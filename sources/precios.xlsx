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leonardocandio/cargos/sources/"/>
    </mc:Choice>
  </mc:AlternateContent>
  <xr:revisionPtr revIDLastSave="0" documentId="13_ncr:1_{084513C0-5D7C-7448-83DD-CF96A101F642}" xr6:coauthVersionLast="47" xr6:coauthVersionMax="47" xr10:uidLastSave="{00000000-0000-0000-0000-000000000000}"/>
  <bookViews>
    <workbookView xWindow="6460" yWindow="6060" windowWidth="22620" windowHeight="13500" tabRatio="818" activeTab="3" xr2:uid="{00000000-000D-0000-FFFF-FFFF00000000}"/>
  </bookViews>
  <sheets>
    <sheet name="Locales" sheetId="1" state="hidden" r:id="rId1"/>
    <sheet name="MapeoCargos" sheetId="2" state="hidden" r:id="rId2"/>
    <sheet name="Personal" sheetId="3" state="hidden" r:id="rId3"/>
    <sheet name="Precios" sheetId="4" r:id="rId4"/>
    <sheet name="Entradas" sheetId="5" state="hidden" r:id="rId5"/>
    <sheet name="Solicitudes" sheetId="6" state="hidden" r:id="rId6"/>
    <sheet name="Descuentos" sheetId="7" state="hidden" r:id="rId7"/>
    <sheet name="Movimientos" sheetId="8" state="hidden" r:id="rId8"/>
    <sheet name="Stock" sheetId="9" state="hidden" r:id="rId9"/>
    <sheet name="Resumen" sheetId="10" state="hidden" r:id="rId10"/>
  </sheets>
  <definedNames>
    <definedName name="_xlnm._FilterDatabase" localSheetId="6" hidden="1">Descuentos!$A$1:$I$1</definedName>
    <definedName name="_xlnm._FilterDatabase" localSheetId="2" hidden="1">Personal!$A$1:$G$2176</definedName>
    <definedName name="ListaCargosStd">Precios!$B$2:$B$1023</definedName>
    <definedName name="ListaLocales">Locales!$A$2:$A$110</definedName>
    <definedName name="ListaMateriales">Precios!$C$2:$C$1023</definedName>
    <definedName name="TablaLocales">Locales!$A$1:$B$110</definedName>
    <definedName name="TablaMapeoCargos">MapeoCargos!$A$2:$B$1001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5" i="6" l="1" a="1"/>
  <c r="F215" i="6" s="1"/>
  <c r="D215" i="6" a="1"/>
  <c r="D215" i="6" s="1"/>
  <c r="E215" i="6" s="1" a="1"/>
  <c r="E215" i="6" s="1"/>
  <c r="C215" i="6" a="1"/>
  <c r="C215" i="6" s="1"/>
  <c r="F212" i="6" a="1"/>
  <c r="F212" i="6" s="1"/>
  <c r="D212" i="6" a="1"/>
  <c r="D212" i="6" s="1"/>
  <c r="E212" i="6" s="1" a="1"/>
  <c r="E212" i="6" s="1"/>
  <c r="C212" i="6" a="1"/>
  <c r="C212" i="6" s="1"/>
  <c r="F57" i="4"/>
  <c r="E57" i="4"/>
  <c r="E56" i="4"/>
  <c r="F56" i="4"/>
  <c r="G58" i="4"/>
  <c r="G57" i="4"/>
  <c r="D57" i="4"/>
  <c r="F74" i="3" a="1"/>
  <c r="F74" i="3" s="1"/>
  <c r="F176" i="6" s="1" a="1"/>
  <c r="F176" i="6" s="1"/>
  <c r="F534" i="3" a="1"/>
  <c r="F534" i="3" s="1"/>
  <c r="F93" i="6" s="1" a="1"/>
  <c r="F93" i="6" s="1"/>
  <c r="C3" i="6" a="1"/>
  <c r="C3" i="6" s="1"/>
  <c r="D3" i="6" a="1"/>
  <c r="D3" i="6" s="1"/>
  <c r="E3" i="6" s="1" a="1"/>
  <c r="E3" i="6" s="1"/>
  <c r="C4" i="6" a="1"/>
  <c r="C4" i="6" s="1"/>
  <c r="D4" i="6" a="1"/>
  <c r="D4" i="6" s="1"/>
  <c r="E4" i="6" s="1" a="1"/>
  <c r="E4" i="6" s="1"/>
  <c r="C5" i="6" a="1"/>
  <c r="C5" i="6" s="1"/>
  <c r="D5" i="6" a="1"/>
  <c r="D5" i="6" s="1"/>
  <c r="E5" i="6" s="1" a="1"/>
  <c r="E5" i="6" s="1"/>
  <c r="C6" i="6" a="1"/>
  <c r="C6" i="6" s="1"/>
  <c r="D6" i="6" a="1"/>
  <c r="D6" i="6" s="1"/>
  <c r="E6" i="6" s="1" a="1"/>
  <c r="E6" i="6" s="1"/>
  <c r="C7" i="6" a="1"/>
  <c r="C7" i="6" s="1"/>
  <c r="D7" i="6" a="1"/>
  <c r="D7" i="6" s="1"/>
  <c r="E7" i="6" s="1" a="1"/>
  <c r="E7" i="6" s="1"/>
  <c r="C8" i="6" a="1"/>
  <c r="C8" i="6" s="1"/>
  <c r="D8" i="6" a="1"/>
  <c r="D8" i="6" s="1"/>
  <c r="E8" i="6" s="1" a="1"/>
  <c r="E8" i="6" s="1"/>
  <c r="C9" i="6" a="1"/>
  <c r="C9" i="6" s="1"/>
  <c r="D9" i="6" a="1"/>
  <c r="D9" i="6" s="1"/>
  <c r="E9" i="6" s="1" a="1"/>
  <c r="E9" i="6" s="1"/>
  <c r="C10" i="6" a="1"/>
  <c r="C10" i="6" s="1"/>
  <c r="D10" i="6" a="1"/>
  <c r="D10" i="6" s="1"/>
  <c r="E10" i="6" s="1" a="1"/>
  <c r="E10" i="6" s="1"/>
  <c r="C11" i="6" a="1"/>
  <c r="C11" i="6" s="1"/>
  <c r="D11" i="6" a="1"/>
  <c r="D11" i="6" s="1"/>
  <c r="E11" i="6" s="1" a="1"/>
  <c r="E11" i="6" s="1"/>
  <c r="C12" i="6" a="1"/>
  <c r="C12" i="6" s="1"/>
  <c r="D12" i="6" a="1"/>
  <c r="D12" i="6" s="1"/>
  <c r="E12" i="6" s="1" a="1"/>
  <c r="E12" i="6" s="1"/>
  <c r="C13" i="6" a="1"/>
  <c r="C13" i="6" s="1"/>
  <c r="D13" i="6" a="1"/>
  <c r="D13" i="6" s="1"/>
  <c r="E13" i="6" s="1" a="1"/>
  <c r="E13" i="6" s="1"/>
  <c r="C14" i="6" a="1"/>
  <c r="C14" i="6" s="1"/>
  <c r="D14" i="6" a="1"/>
  <c r="D14" i="6" s="1"/>
  <c r="E14" i="6" s="1" a="1"/>
  <c r="E14" i="6" s="1"/>
  <c r="C15" i="6" a="1"/>
  <c r="C15" i="6" s="1"/>
  <c r="D15" i="6" a="1"/>
  <c r="D15" i="6" s="1"/>
  <c r="E15" i="6" s="1" a="1"/>
  <c r="E15" i="6" s="1"/>
  <c r="C16" i="6" a="1"/>
  <c r="C16" i="6" s="1"/>
  <c r="D16" i="6" a="1"/>
  <c r="D16" i="6" s="1"/>
  <c r="E16" i="6" s="1" a="1"/>
  <c r="E16" i="6" s="1"/>
  <c r="C17" i="6" a="1"/>
  <c r="C17" i="6" s="1"/>
  <c r="D17" i="6" a="1"/>
  <c r="D17" i="6" s="1"/>
  <c r="E17" i="6" s="1" a="1"/>
  <c r="E17" i="6" s="1"/>
  <c r="C18" i="6" a="1"/>
  <c r="C18" i="6" s="1"/>
  <c r="D18" i="6" a="1"/>
  <c r="D18" i="6" s="1"/>
  <c r="E18" i="6" s="1" a="1"/>
  <c r="E18" i="6" s="1"/>
  <c r="C19" i="6" a="1"/>
  <c r="C19" i="6" s="1"/>
  <c r="D19" i="6" a="1"/>
  <c r="D19" i="6" s="1"/>
  <c r="E19" i="6" s="1" a="1"/>
  <c r="E19" i="6" s="1"/>
  <c r="C20" i="6" a="1"/>
  <c r="C20" i="6" s="1"/>
  <c r="D20" i="6" a="1"/>
  <c r="D20" i="6" s="1"/>
  <c r="E20" i="6" s="1" a="1"/>
  <c r="E20" i="6" s="1"/>
  <c r="C21" i="6" a="1"/>
  <c r="C21" i="6" s="1"/>
  <c r="D21" i="6" a="1"/>
  <c r="D21" i="6" s="1"/>
  <c r="E21" i="6" s="1" a="1"/>
  <c r="E21" i="6" s="1"/>
  <c r="C22" i="6" a="1"/>
  <c r="C22" i="6" s="1"/>
  <c r="D22" i="6" a="1"/>
  <c r="D22" i="6" s="1"/>
  <c r="E22" i="6" s="1" a="1"/>
  <c r="E22" i="6" s="1"/>
  <c r="C23" i="6" a="1"/>
  <c r="C23" i="6" s="1"/>
  <c r="D23" i="6" a="1"/>
  <c r="D23" i="6" s="1"/>
  <c r="E23" i="6" s="1" a="1"/>
  <c r="E23" i="6" s="1"/>
  <c r="C24" i="6" a="1"/>
  <c r="C24" i="6" s="1"/>
  <c r="D24" i="6" a="1"/>
  <c r="D24" i="6" s="1"/>
  <c r="E24" i="6" s="1" a="1"/>
  <c r="E24" i="6" s="1"/>
  <c r="C25" i="6" a="1"/>
  <c r="C25" i="6" s="1"/>
  <c r="D25" i="6" a="1"/>
  <c r="D25" i="6" s="1"/>
  <c r="E25" i="6" s="1" a="1"/>
  <c r="E25" i="6" s="1"/>
  <c r="C26" i="6" a="1"/>
  <c r="C26" i="6" s="1"/>
  <c r="D26" i="6" a="1"/>
  <c r="D26" i="6" s="1"/>
  <c r="E26" i="6" s="1" a="1"/>
  <c r="E26" i="6" s="1"/>
  <c r="C27" i="6" a="1"/>
  <c r="C27" i="6" s="1"/>
  <c r="D27" i="6" a="1"/>
  <c r="D27" i="6" s="1"/>
  <c r="E27" i="6" s="1" a="1"/>
  <c r="E27" i="6" s="1"/>
  <c r="C28" i="6" a="1"/>
  <c r="C28" i="6" s="1"/>
  <c r="D28" i="6" a="1"/>
  <c r="D28" i="6" s="1"/>
  <c r="E28" i="6" s="1" a="1"/>
  <c r="E28" i="6" s="1"/>
  <c r="C29" i="6" a="1"/>
  <c r="C29" i="6" s="1"/>
  <c r="D29" i="6" a="1"/>
  <c r="D29" i="6" s="1"/>
  <c r="E29" i="6" s="1" a="1"/>
  <c r="E29" i="6" s="1"/>
  <c r="C30" i="6" a="1"/>
  <c r="C30" i="6" s="1"/>
  <c r="D30" i="6" a="1"/>
  <c r="D30" i="6" s="1"/>
  <c r="E30" i="6" s="1" a="1"/>
  <c r="E30" i="6" s="1"/>
  <c r="C31" i="6" a="1"/>
  <c r="C31" i="6" s="1"/>
  <c r="D31" i="6" a="1"/>
  <c r="D31" i="6" s="1"/>
  <c r="E31" i="6" s="1" a="1"/>
  <c r="E31" i="6" s="1"/>
  <c r="C32" i="6" a="1"/>
  <c r="C32" i="6" s="1"/>
  <c r="D32" i="6" a="1"/>
  <c r="D32" i="6" s="1"/>
  <c r="E32" i="6" s="1" a="1"/>
  <c r="E32" i="6" s="1"/>
  <c r="C33" i="6" a="1"/>
  <c r="C33" i="6" s="1"/>
  <c r="D33" i="6" a="1"/>
  <c r="D33" i="6" s="1"/>
  <c r="E33" i="6" s="1" a="1"/>
  <c r="E33" i="6" s="1"/>
  <c r="C34" i="6" a="1"/>
  <c r="C34" i="6" s="1"/>
  <c r="D34" i="6" a="1"/>
  <c r="D34" i="6" s="1"/>
  <c r="E34" i="6" s="1" a="1"/>
  <c r="E34" i="6" s="1"/>
  <c r="C35" i="6" a="1"/>
  <c r="C35" i="6" s="1"/>
  <c r="D35" i="6" a="1"/>
  <c r="D35" i="6" s="1"/>
  <c r="E35" i="6" s="1" a="1"/>
  <c r="E35" i="6" s="1"/>
  <c r="C36" i="6" a="1"/>
  <c r="C36" i="6" s="1"/>
  <c r="D36" i="6" a="1"/>
  <c r="D36" i="6" s="1"/>
  <c r="E36" i="6" s="1" a="1"/>
  <c r="E36" i="6" s="1"/>
  <c r="C37" i="6" a="1"/>
  <c r="C37" i="6" s="1"/>
  <c r="D37" i="6" a="1"/>
  <c r="D37" i="6" s="1"/>
  <c r="E37" i="6" s="1" a="1"/>
  <c r="E37" i="6" s="1"/>
  <c r="C38" i="6" a="1"/>
  <c r="C38" i="6" s="1"/>
  <c r="D38" i="6" a="1"/>
  <c r="D38" i="6" s="1"/>
  <c r="E38" i="6" s="1" a="1"/>
  <c r="E38" i="6" s="1"/>
  <c r="C39" i="6" a="1"/>
  <c r="C39" i="6" s="1"/>
  <c r="D39" i="6" a="1"/>
  <c r="D39" i="6" s="1"/>
  <c r="E39" i="6" s="1" a="1"/>
  <c r="E39" i="6" s="1"/>
  <c r="C40" i="6" a="1"/>
  <c r="C40" i="6" s="1"/>
  <c r="D40" i="6" a="1"/>
  <c r="D40" i="6" s="1"/>
  <c r="E40" i="6" s="1" a="1"/>
  <c r="E40" i="6" s="1"/>
  <c r="C41" i="6" a="1"/>
  <c r="C41" i="6" s="1"/>
  <c r="D41" i="6" a="1"/>
  <c r="D41" i="6" s="1"/>
  <c r="E41" i="6" s="1" a="1"/>
  <c r="E41" i="6" s="1"/>
  <c r="C42" i="6" a="1"/>
  <c r="C42" i="6" s="1"/>
  <c r="D42" i="6" a="1"/>
  <c r="D42" i="6" s="1"/>
  <c r="E42" i="6" s="1" a="1"/>
  <c r="E42" i="6" s="1"/>
  <c r="C43" i="6" a="1"/>
  <c r="C43" i="6" s="1"/>
  <c r="D43" i="6" a="1"/>
  <c r="D43" i="6" s="1"/>
  <c r="E43" i="6" s="1" a="1"/>
  <c r="E43" i="6" s="1"/>
  <c r="C44" i="6" a="1"/>
  <c r="C44" i="6" s="1"/>
  <c r="D44" i="6" a="1"/>
  <c r="D44" i="6" s="1"/>
  <c r="E44" i="6" s="1" a="1"/>
  <c r="E44" i="6" s="1"/>
  <c r="C45" i="6" a="1"/>
  <c r="C45" i="6" s="1"/>
  <c r="D45" i="6" a="1"/>
  <c r="D45" i="6" s="1"/>
  <c r="E45" i="6" s="1" a="1"/>
  <c r="E45" i="6" s="1"/>
  <c r="C46" i="6" a="1"/>
  <c r="C46" i="6" s="1"/>
  <c r="D46" i="6" a="1"/>
  <c r="D46" i="6" s="1"/>
  <c r="E46" i="6" s="1" a="1"/>
  <c r="E46" i="6" s="1"/>
  <c r="C47" i="6" a="1"/>
  <c r="C47" i="6" s="1"/>
  <c r="D47" i="6" a="1"/>
  <c r="D47" i="6" s="1"/>
  <c r="E47" i="6" s="1" a="1"/>
  <c r="E47" i="6" s="1"/>
  <c r="C48" i="6" a="1"/>
  <c r="C48" i="6" s="1"/>
  <c r="D48" i="6" a="1"/>
  <c r="D48" i="6" s="1"/>
  <c r="E48" i="6" s="1" a="1"/>
  <c r="E48" i="6" s="1"/>
  <c r="C49" i="6" a="1"/>
  <c r="C49" i="6" s="1"/>
  <c r="D49" i="6" a="1"/>
  <c r="D49" i="6" s="1"/>
  <c r="E49" i="6" s="1" a="1"/>
  <c r="E49" i="6" s="1"/>
  <c r="C50" i="6" a="1"/>
  <c r="C50" i="6" s="1"/>
  <c r="D50" i="6" a="1"/>
  <c r="D50" i="6" s="1"/>
  <c r="E50" i="6" s="1" a="1"/>
  <c r="E50" i="6" s="1"/>
  <c r="C51" i="6" a="1"/>
  <c r="C51" i="6" s="1"/>
  <c r="D51" i="6" a="1"/>
  <c r="D51" i="6" s="1"/>
  <c r="E51" i="6" s="1" a="1"/>
  <c r="E51" i="6" s="1"/>
  <c r="C52" i="6" a="1"/>
  <c r="C52" i="6" s="1"/>
  <c r="D52" i="6" a="1"/>
  <c r="D52" i="6" s="1"/>
  <c r="E52" i="6" s="1" a="1"/>
  <c r="E52" i="6" s="1"/>
  <c r="C53" i="6" a="1"/>
  <c r="C53" i="6" s="1"/>
  <c r="D53" i="6" a="1"/>
  <c r="D53" i="6" s="1"/>
  <c r="E53" i="6" s="1" a="1"/>
  <c r="E53" i="6" s="1"/>
  <c r="C54" i="6" a="1"/>
  <c r="C54" i="6" s="1"/>
  <c r="D54" i="6" a="1"/>
  <c r="D54" i="6" s="1"/>
  <c r="E54" i="6" s="1" a="1"/>
  <c r="E54" i="6" s="1"/>
  <c r="C55" i="6" a="1"/>
  <c r="C55" i="6" s="1"/>
  <c r="D55" i="6" a="1"/>
  <c r="D55" i="6" s="1"/>
  <c r="E55" i="6" s="1" a="1"/>
  <c r="E55" i="6" s="1"/>
  <c r="C56" i="6" a="1"/>
  <c r="C56" i="6" s="1"/>
  <c r="D56" i="6" a="1"/>
  <c r="D56" i="6" s="1"/>
  <c r="E56" i="6" s="1" a="1"/>
  <c r="E56" i="6" s="1"/>
  <c r="C57" i="6" a="1"/>
  <c r="C57" i="6" s="1"/>
  <c r="D57" i="6" a="1"/>
  <c r="D57" i="6" s="1"/>
  <c r="E57" i="6" s="1" a="1"/>
  <c r="E57" i="6" s="1"/>
  <c r="C58" i="6" a="1"/>
  <c r="C58" i="6" s="1"/>
  <c r="D58" i="6" a="1"/>
  <c r="D58" i="6" s="1"/>
  <c r="E58" i="6" s="1" a="1"/>
  <c r="E58" i="6" s="1"/>
  <c r="C59" i="6" a="1"/>
  <c r="C59" i="6" s="1"/>
  <c r="D59" i="6" a="1"/>
  <c r="D59" i="6" s="1"/>
  <c r="E59" i="6" s="1" a="1"/>
  <c r="E59" i="6" s="1"/>
  <c r="C60" i="6" a="1"/>
  <c r="C60" i="6" s="1"/>
  <c r="D60" i="6" a="1"/>
  <c r="D60" i="6" s="1"/>
  <c r="E60" i="6" s="1" a="1"/>
  <c r="E60" i="6" s="1"/>
  <c r="C61" i="6" a="1"/>
  <c r="C61" i="6" s="1"/>
  <c r="D61" i="6" a="1"/>
  <c r="D61" i="6" s="1"/>
  <c r="E61" i="6" s="1" a="1"/>
  <c r="E61" i="6" s="1"/>
  <c r="C62" i="6" a="1"/>
  <c r="C62" i="6" s="1"/>
  <c r="D62" i="6" a="1"/>
  <c r="D62" i="6" s="1"/>
  <c r="E62" i="6" s="1" a="1"/>
  <c r="E62" i="6" s="1"/>
  <c r="C63" i="6" a="1"/>
  <c r="C63" i="6" s="1"/>
  <c r="D63" i="6" a="1"/>
  <c r="D63" i="6" s="1"/>
  <c r="E63" i="6" s="1" a="1"/>
  <c r="E63" i="6" s="1"/>
  <c r="C64" i="6" a="1"/>
  <c r="C64" i="6" s="1"/>
  <c r="D64" i="6" a="1"/>
  <c r="D64" i="6" s="1"/>
  <c r="E64" i="6" s="1" a="1"/>
  <c r="E64" i="6" s="1"/>
  <c r="C65" i="6" a="1"/>
  <c r="C65" i="6" s="1"/>
  <c r="D65" i="6" a="1"/>
  <c r="D65" i="6" s="1"/>
  <c r="E65" i="6" s="1" a="1"/>
  <c r="E65" i="6" s="1"/>
  <c r="C66" i="6" a="1"/>
  <c r="C66" i="6" s="1"/>
  <c r="D66" i="6" a="1"/>
  <c r="D66" i="6" s="1"/>
  <c r="E66" i="6" s="1" a="1"/>
  <c r="E66" i="6" s="1"/>
  <c r="C67" i="6" a="1"/>
  <c r="C67" i="6" s="1"/>
  <c r="D67" i="6" a="1"/>
  <c r="D67" i="6" s="1"/>
  <c r="E67" i="6" s="1" a="1"/>
  <c r="E67" i="6" s="1"/>
  <c r="C68" i="6" a="1"/>
  <c r="C68" i="6" s="1"/>
  <c r="D68" i="6" a="1"/>
  <c r="D68" i="6" s="1"/>
  <c r="E68" i="6" s="1" a="1"/>
  <c r="E68" i="6" s="1"/>
  <c r="C69" i="6" a="1"/>
  <c r="C69" i="6" s="1"/>
  <c r="D69" i="6" a="1"/>
  <c r="D69" i="6" s="1"/>
  <c r="E69" i="6" s="1" a="1"/>
  <c r="E69" i="6" s="1"/>
  <c r="C70" i="6" a="1"/>
  <c r="C70" i="6" s="1"/>
  <c r="D70" i="6" a="1"/>
  <c r="D70" i="6" s="1"/>
  <c r="E70" i="6" s="1" a="1"/>
  <c r="E70" i="6" s="1"/>
  <c r="C71" i="6" a="1"/>
  <c r="C71" i="6" s="1"/>
  <c r="D71" i="6" a="1"/>
  <c r="D71" i="6" s="1"/>
  <c r="E71" i="6" s="1" a="1"/>
  <c r="E71" i="6" s="1"/>
  <c r="C72" i="6" a="1"/>
  <c r="C72" i="6" s="1"/>
  <c r="D72" i="6" a="1"/>
  <c r="D72" i="6" s="1"/>
  <c r="E72" i="6" s="1" a="1"/>
  <c r="E72" i="6" s="1"/>
  <c r="C73" i="6" a="1"/>
  <c r="C73" i="6" s="1"/>
  <c r="D73" i="6" a="1"/>
  <c r="D73" i="6" s="1"/>
  <c r="E73" i="6" s="1" a="1"/>
  <c r="E73" i="6" s="1"/>
  <c r="C74" i="6" a="1"/>
  <c r="C74" i="6" s="1"/>
  <c r="D74" i="6" a="1"/>
  <c r="D74" i="6" s="1"/>
  <c r="E74" i="6" s="1" a="1"/>
  <c r="E74" i="6" s="1"/>
  <c r="C75" i="6" a="1"/>
  <c r="C75" i="6" s="1"/>
  <c r="D75" i="6" a="1"/>
  <c r="D75" i="6" s="1"/>
  <c r="E75" i="6" s="1" a="1"/>
  <c r="E75" i="6" s="1"/>
  <c r="C76" i="6" a="1"/>
  <c r="C76" i="6" s="1"/>
  <c r="D76" i="6" a="1"/>
  <c r="D76" i="6" s="1"/>
  <c r="E76" i="6" s="1" a="1"/>
  <c r="E76" i="6" s="1"/>
  <c r="C77" i="6" a="1"/>
  <c r="C77" i="6" s="1"/>
  <c r="D77" i="6" a="1"/>
  <c r="D77" i="6" s="1"/>
  <c r="E77" i="6" s="1" a="1"/>
  <c r="E77" i="6" s="1"/>
  <c r="C78" i="6" a="1"/>
  <c r="C78" i="6" s="1"/>
  <c r="D78" i="6" a="1"/>
  <c r="D78" i="6" s="1"/>
  <c r="E78" i="6" s="1" a="1"/>
  <c r="E78" i="6" s="1"/>
  <c r="C79" i="6" a="1"/>
  <c r="C79" i="6" s="1"/>
  <c r="D79" i="6" a="1"/>
  <c r="D79" i="6" s="1"/>
  <c r="E79" i="6" s="1" a="1"/>
  <c r="E79" i="6" s="1"/>
  <c r="C80" i="6" a="1"/>
  <c r="C80" i="6" s="1"/>
  <c r="D80" i="6" a="1"/>
  <c r="D80" i="6" s="1"/>
  <c r="E80" i="6" s="1" a="1"/>
  <c r="E80" i="6" s="1"/>
  <c r="C81" i="6" a="1"/>
  <c r="C81" i="6" s="1"/>
  <c r="D81" i="6" a="1"/>
  <c r="D81" i="6" s="1"/>
  <c r="E81" i="6" s="1" a="1"/>
  <c r="E81" i="6" s="1"/>
  <c r="C82" i="6" a="1"/>
  <c r="C82" i="6" s="1"/>
  <c r="D82" i="6" a="1"/>
  <c r="D82" i="6" s="1"/>
  <c r="E82" i="6" s="1" a="1"/>
  <c r="E82" i="6" s="1"/>
  <c r="C83" i="6" a="1"/>
  <c r="C83" i="6" s="1"/>
  <c r="D83" i="6" a="1"/>
  <c r="D83" i="6" s="1"/>
  <c r="E83" i="6" s="1" a="1"/>
  <c r="E83" i="6" s="1"/>
  <c r="C84" i="6" a="1"/>
  <c r="C84" i="6" s="1"/>
  <c r="D84" i="6" a="1"/>
  <c r="D84" i="6" s="1"/>
  <c r="E84" i="6" s="1" a="1"/>
  <c r="E84" i="6" s="1"/>
  <c r="C85" i="6" a="1"/>
  <c r="C85" i="6" s="1"/>
  <c r="D85" i="6" a="1"/>
  <c r="D85" i="6" s="1"/>
  <c r="E85" i="6" s="1" a="1"/>
  <c r="E85" i="6" s="1"/>
  <c r="C86" i="6" a="1"/>
  <c r="C86" i="6" s="1"/>
  <c r="D86" i="6" a="1"/>
  <c r="D86" i="6" s="1"/>
  <c r="E86" i="6" s="1" a="1"/>
  <c r="E86" i="6" s="1"/>
  <c r="C87" i="6" a="1"/>
  <c r="C87" i="6" s="1"/>
  <c r="D87" i="6" a="1"/>
  <c r="D87" i="6" s="1"/>
  <c r="E87" i="6" s="1" a="1"/>
  <c r="E87" i="6" s="1"/>
  <c r="C88" i="6" a="1"/>
  <c r="C88" i="6" s="1"/>
  <c r="D88" i="6" a="1"/>
  <c r="D88" i="6" s="1"/>
  <c r="E88" i="6" s="1" a="1"/>
  <c r="E88" i="6" s="1"/>
  <c r="C89" i="6" a="1"/>
  <c r="C89" i="6" s="1"/>
  <c r="D89" i="6" a="1"/>
  <c r="D89" i="6" s="1"/>
  <c r="E89" i="6" s="1" a="1"/>
  <c r="E89" i="6" s="1"/>
  <c r="C90" i="6" a="1"/>
  <c r="C90" i="6" s="1"/>
  <c r="D90" i="6" a="1"/>
  <c r="D90" i="6" s="1"/>
  <c r="E90" i="6" s="1" a="1"/>
  <c r="E90" i="6" s="1"/>
  <c r="C91" i="6" a="1"/>
  <c r="C91" i="6" s="1"/>
  <c r="D91" i="6" a="1"/>
  <c r="D91" i="6" s="1"/>
  <c r="E91" i="6" s="1" a="1"/>
  <c r="E91" i="6" s="1"/>
  <c r="C92" i="6" a="1"/>
  <c r="C92" i="6" s="1"/>
  <c r="D92" i="6" a="1"/>
  <c r="D92" i="6" s="1"/>
  <c r="E92" i="6" s="1" a="1"/>
  <c r="E92" i="6" s="1"/>
  <c r="C93" i="6" a="1"/>
  <c r="C93" i="6" s="1"/>
  <c r="D93" i="6" a="1"/>
  <c r="D93" i="6" s="1"/>
  <c r="E93" i="6" s="1" a="1"/>
  <c r="E93" i="6" s="1"/>
  <c r="C94" i="6" a="1"/>
  <c r="C94" i="6" s="1"/>
  <c r="D94" i="6" a="1"/>
  <c r="D94" i="6" s="1"/>
  <c r="E94" i="6" s="1" a="1"/>
  <c r="E94" i="6" s="1"/>
  <c r="C95" i="6" a="1"/>
  <c r="C95" i="6" s="1"/>
  <c r="D95" i="6" a="1"/>
  <c r="D95" i="6" s="1"/>
  <c r="E95" i="6" s="1" a="1"/>
  <c r="E95" i="6" s="1"/>
  <c r="C96" i="6" a="1"/>
  <c r="C96" i="6" s="1"/>
  <c r="D96" i="6" a="1"/>
  <c r="D96" i="6" s="1"/>
  <c r="E96" i="6" s="1" a="1"/>
  <c r="E96" i="6" s="1"/>
  <c r="C97" i="6" a="1"/>
  <c r="C97" i="6" s="1"/>
  <c r="D97" i="6" a="1"/>
  <c r="D97" i="6" s="1"/>
  <c r="E97" i="6" s="1" a="1"/>
  <c r="E97" i="6" s="1"/>
  <c r="C98" i="6" a="1"/>
  <c r="C98" i="6" s="1"/>
  <c r="D98" i="6" a="1"/>
  <c r="D98" i="6" s="1"/>
  <c r="E98" i="6" s="1" a="1"/>
  <c r="E98" i="6" s="1"/>
  <c r="C99" i="6" a="1"/>
  <c r="C99" i="6" s="1"/>
  <c r="D99" i="6" a="1"/>
  <c r="D99" i="6" s="1"/>
  <c r="E99" i="6" s="1" a="1"/>
  <c r="E99" i="6" s="1"/>
  <c r="C100" i="6" a="1"/>
  <c r="C100" i="6" s="1"/>
  <c r="D100" i="6" a="1"/>
  <c r="D100" i="6" s="1"/>
  <c r="E100" i="6" s="1" a="1"/>
  <c r="E100" i="6" s="1"/>
  <c r="C101" i="6" a="1"/>
  <c r="C101" i="6" s="1"/>
  <c r="D101" i="6" a="1"/>
  <c r="D101" i="6" s="1"/>
  <c r="E101" i="6" s="1" a="1"/>
  <c r="E101" i="6" s="1"/>
  <c r="C102" i="6" a="1"/>
  <c r="C102" i="6" s="1"/>
  <c r="D102" i="6" a="1"/>
  <c r="D102" i="6" s="1"/>
  <c r="E102" i="6" s="1" a="1"/>
  <c r="E102" i="6" s="1"/>
  <c r="C103" i="6" a="1"/>
  <c r="C103" i="6" s="1"/>
  <c r="D103" i="6" a="1"/>
  <c r="D103" i="6" s="1"/>
  <c r="E103" i="6" s="1" a="1"/>
  <c r="E103" i="6" s="1"/>
  <c r="C104" i="6" a="1"/>
  <c r="C104" i="6" s="1"/>
  <c r="D104" i="6" a="1"/>
  <c r="D104" i="6" s="1"/>
  <c r="E104" i="6" s="1" a="1"/>
  <c r="E104" i="6" s="1"/>
  <c r="C105" i="6" a="1"/>
  <c r="C105" i="6" s="1"/>
  <c r="D105" i="6" a="1"/>
  <c r="D105" i="6" s="1"/>
  <c r="E105" i="6" s="1" a="1"/>
  <c r="E105" i="6" s="1"/>
  <c r="C106" i="6" a="1"/>
  <c r="C106" i="6" s="1"/>
  <c r="D106" i="6" a="1"/>
  <c r="D106" i="6" s="1"/>
  <c r="E106" i="6" s="1" a="1"/>
  <c r="E106" i="6" s="1"/>
  <c r="C107" i="6" a="1"/>
  <c r="C107" i="6" s="1"/>
  <c r="D107" i="6" a="1"/>
  <c r="D107" i="6" s="1"/>
  <c r="E107" i="6" s="1" a="1"/>
  <c r="E107" i="6" s="1"/>
  <c r="C108" i="6" a="1"/>
  <c r="C108" i="6" s="1"/>
  <c r="D108" i="6" a="1"/>
  <c r="D108" i="6" s="1"/>
  <c r="E108" i="6" s="1" a="1"/>
  <c r="E108" i="6" s="1"/>
  <c r="C109" i="6" a="1"/>
  <c r="C109" i="6" s="1"/>
  <c r="D109" i="6" a="1"/>
  <c r="D109" i="6" s="1"/>
  <c r="E109" i="6" s="1" a="1"/>
  <c r="E109" i="6" s="1"/>
  <c r="C110" i="6" a="1"/>
  <c r="C110" i="6" s="1"/>
  <c r="D110" i="6" a="1"/>
  <c r="D110" i="6" s="1"/>
  <c r="E110" i="6" s="1" a="1"/>
  <c r="E110" i="6" s="1"/>
  <c r="C111" i="6" a="1"/>
  <c r="C111" i="6" s="1"/>
  <c r="D111" i="6" a="1"/>
  <c r="D111" i="6" s="1"/>
  <c r="E111" i="6" s="1" a="1"/>
  <c r="E111" i="6" s="1"/>
  <c r="C112" i="6" a="1"/>
  <c r="C112" i="6" s="1"/>
  <c r="D112" i="6" a="1"/>
  <c r="D112" i="6" s="1"/>
  <c r="E112" i="6" s="1" a="1"/>
  <c r="E112" i="6" s="1"/>
  <c r="C113" i="6" a="1"/>
  <c r="C113" i="6" s="1"/>
  <c r="D113" i="6" a="1"/>
  <c r="D113" i="6" s="1"/>
  <c r="E113" i="6" s="1" a="1"/>
  <c r="E113" i="6" s="1"/>
  <c r="C114" i="6" a="1"/>
  <c r="C114" i="6" s="1"/>
  <c r="D114" i="6" a="1"/>
  <c r="D114" i="6" s="1"/>
  <c r="E114" i="6" s="1" a="1"/>
  <c r="E114" i="6" s="1"/>
  <c r="C115" i="6" a="1"/>
  <c r="C115" i="6" s="1"/>
  <c r="D115" i="6" a="1"/>
  <c r="D115" i="6" s="1"/>
  <c r="E115" i="6" s="1" a="1"/>
  <c r="E115" i="6" s="1"/>
  <c r="C116" i="6" a="1"/>
  <c r="C116" i="6" s="1"/>
  <c r="D116" i="6" a="1"/>
  <c r="D116" i="6" s="1"/>
  <c r="E116" i="6" s="1" a="1"/>
  <c r="E116" i="6" s="1"/>
  <c r="C117" i="6" a="1"/>
  <c r="C117" i="6" s="1"/>
  <c r="D117" i="6" a="1"/>
  <c r="D117" i="6" s="1"/>
  <c r="E117" i="6" s="1" a="1"/>
  <c r="E117" i="6" s="1"/>
  <c r="C118" i="6" a="1"/>
  <c r="C118" i="6" s="1"/>
  <c r="D118" i="6" a="1"/>
  <c r="D118" i="6" s="1"/>
  <c r="E118" i="6" s="1" a="1"/>
  <c r="E118" i="6" s="1"/>
  <c r="C119" i="6" a="1"/>
  <c r="C119" i="6" s="1"/>
  <c r="D119" i="6" a="1"/>
  <c r="D119" i="6" s="1"/>
  <c r="E119" i="6" s="1" a="1"/>
  <c r="E119" i="6" s="1"/>
  <c r="C120" i="6" a="1"/>
  <c r="C120" i="6" s="1"/>
  <c r="D120" i="6" a="1"/>
  <c r="D120" i="6" s="1"/>
  <c r="E120" i="6" s="1" a="1"/>
  <c r="E120" i="6" s="1"/>
  <c r="C121" i="6" a="1"/>
  <c r="C121" i="6" s="1"/>
  <c r="D121" i="6" a="1"/>
  <c r="D121" i="6" s="1"/>
  <c r="E121" i="6" s="1" a="1"/>
  <c r="E121" i="6" s="1"/>
  <c r="C122" i="6" a="1"/>
  <c r="C122" i="6" s="1"/>
  <c r="D122" i="6" a="1"/>
  <c r="D122" i="6" s="1"/>
  <c r="E122" i="6" s="1" a="1"/>
  <c r="E122" i="6" s="1"/>
  <c r="C123" i="6" a="1"/>
  <c r="C123" i="6" s="1"/>
  <c r="D123" i="6" a="1"/>
  <c r="D123" i="6" s="1"/>
  <c r="E123" i="6" s="1" a="1"/>
  <c r="E123" i="6" s="1"/>
  <c r="C124" i="6" a="1"/>
  <c r="C124" i="6" s="1"/>
  <c r="D124" i="6" a="1"/>
  <c r="D124" i="6" s="1"/>
  <c r="E124" i="6" s="1" a="1"/>
  <c r="E124" i="6" s="1"/>
  <c r="C125" i="6" a="1"/>
  <c r="C125" i="6" s="1"/>
  <c r="D125" i="6" a="1"/>
  <c r="D125" i="6" s="1"/>
  <c r="E125" i="6" s="1" a="1"/>
  <c r="E125" i="6" s="1"/>
  <c r="C126" i="6" a="1"/>
  <c r="C126" i="6" s="1"/>
  <c r="D126" i="6" a="1"/>
  <c r="D126" i="6" s="1"/>
  <c r="E126" i="6" s="1" a="1"/>
  <c r="E126" i="6" s="1"/>
  <c r="C127" i="6" a="1"/>
  <c r="C127" i="6" s="1"/>
  <c r="D127" i="6" a="1"/>
  <c r="D127" i="6" s="1"/>
  <c r="E127" i="6" s="1" a="1"/>
  <c r="E127" i="6" s="1"/>
  <c r="C128" i="6" a="1"/>
  <c r="C128" i="6" s="1"/>
  <c r="D128" i="6" a="1"/>
  <c r="D128" i="6" s="1"/>
  <c r="E128" i="6" s="1" a="1"/>
  <c r="E128" i="6" s="1"/>
  <c r="C129" i="6" a="1"/>
  <c r="C129" i="6" s="1"/>
  <c r="D129" i="6" a="1"/>
  <c r="D129" i="6" s="1"/>
  <c r="E129" i="6" s="1" a="1"/>
  <c r="E129" i="6" s="1"/>
  <c r="C130" i="6" a="1"/>
  <c r="C130" i="6" s="1"/>
  <c r="D130" i="6" a="1"/>
  <c r="D130" i="6" s="1"/>
  <c r="E130" i="6" s="1" a="1"/>
  <c r="E130" i="6" s="1"/>
  <c r="C131" i="6" a="1"/>
  <c r="C131" i="6" s="1"/>
  <c r="D131" i="6" a="1"/>
  <c r="D131" i="6" s="1"/>
  <c r="E131" i="6" s="1" a="1"/>
  <c r="E131" i="6" s="1"/>
  <c r="C132" i="6" a="1"/>
  <c r="C132" i="6" s="1"/>
  <c r="D132" i="6" a="1"/>
  <c r="D132" i="6" s="1"/>
  <c r="E132" i="6" s="1" a="1"/>
  <c r="E132" i="6" s="1"/>
  <c r="C133" i="6" a="1"/>
  <c r="C133" i="6" s="1"/>
  <c r="D133" i="6" a="1"/>
  <c r="D133" i="6" s="1"/>
  <c r="E133" i="6" s="1" a="1"/>
  <c r="E133" i="6" s="1"/>
  <c r="C134" i="6" a="1"/>
  <c r="C134" i="6" s="1"/>
  <c r="D134" i="6" a="1"/>
  <c r="D134" i="6" s="1"/>
  <c r="E134" i="6" s="1" a="1"/>
  <c r="E134" i="6" s="1"/>
  <c r="C135" i="6" a="1"/>
  <c r="C135" i="6" s="1"/>
  <c r="D135" i="6" a="1"/>
  <c r="D135" i="6" s="1"/>
  <c r="E135" i="6" s="1" a="1"/>
  <c r="E135" i="6" s="1"/>
  <c r="C136" i="6" a="1"/>
  <c r="C136" i="6" s="1"/>
  <c r="D136" i="6" a="1"/>
  <c r="D136" i="6" s="1"/>
  <c r="E136" i="6" s="1" a="1"/>
  <c r="E136" i="6" s="1"/>
  <c r="C137" i="6" a="1"/>
  <c r="C137" i="6" s="1"/>
  <c r="D137" i="6" a="1"/>
  <c r="D137" i="6" s="1"/>
  <c r="E137" i="6" s="1" a="1"/>
  <c r="E137" i="6" s="1"/>
  <c r="C138" i="6" a="1"/>
  <c r="C138" i="6" s="1"/>
  <c r="D138" i="6" a="1"/>
  <c r="D138" i="6" s="1"/>
  <c r="E138" i="6" s="1" a="1"/>
  <c r="E138" i="6" s="1"/>
  <c r="C139" i="6" a="1"/>
  <c r="C139" i="6" s="1"/>
  <c r="D139" i="6" a="1"/>
  <c r="D139" i="6" s="1"/>
  <c r="E139" i="6" s="1" a="1"/>
  <c r="E139" i="6" s="1"/>
  <c r="C140" i="6" a="1"/>
  <c r="C140" i="6" s="1"/>
  <c r="D140" i="6" a="1"/>
  <c r="D140" i="6" s="1"/>
  <c r="E140" i="6" s="1" a="1"/>
  <c r="E140" i="6" s="1"/>
  <c r="C141" i="6" a="1"/>
  <c r="C141" i="6" s="1"/>
  <c r="D141" i="6" a="1"/>
  <c r="D141" i="6" s="1"/>
  <c r="E141" i="6" s="1" a="1"/>
  <c r="E141" i="6" s="1"/>
  <c r="C142" i="6" a="1"/>
  <c r="C142" i="6" s="1"/>
  <c r="D142" i="6" a="1"/>
  <c r="D142" i="6" s="1"/>
  <c r="E142" i="6" s="1" a="1"/>
  <c r="E142" i="6" s="1"/>
  <c r="C143" i="6" a="1"/>
  <c r="C143" i="6" s="1"/>
  <c r="D143" i="6" a="1"/>
  <c r="D143" i="6" s="1"/>
  <c r="E143" i="6" s="1" a="1"/>
  <c r="E143" i="6" s="1"/>
  <c r="C144" i="6" a="1"/>
  <c r="C144" i="6" s="1"/>
  <c r="D144" i="6" a="1"/>
  <c r="D144" i="6" s="1"/>
  <c r="E144" i="6" s="1" a="1"/>
  <c r="E144" i="6" s="1"/>
  <c r="C145" i="6" a="1"/>
  <c r="C145" i="6" s="1"/>
  <c r="D145" i="6" a="1"/>
  <c r="D145" i="6" s="1"/>
  <c r="E145" i="6" s="1" a="1"/>
  <c r="E145" i="6" s="1"/>
  <c r="C146" i="6" a="1"/>
  <c r="C146" i="6" s="1"/>
  <c r="D146" i="6" a="1"/>
  <c r="D146" i="6" s="1"/>
  <c r="E146" i="6" s="1" a="1"/>
  <c r="E146" i="6" s="1"/>
  <c r="C147" i="6" a="1"/>
  <c r="C147" i="6" s="1"/>
  <c r="D147" i="6" a="1"/>
  <c r="D147" i="6" s="1"/>
  <c r="E147" i="6" s="1" a="1"/>
  <c r="E147" i="6" s="1"/>
  <c r="C148" i="6" a="1"/>
  <c r="C148" i="6" s="1"/>
  <c r="D148" i="6" a="1"/>
  <c r="D148" i="6" s="1"/>
  <c r="E148" i="6" s="1" a="1"/>
  <c r="E148" i="6" s="1"/>
  <c r="C149" i="6" a="1"/>
  <c r="C149" i="6" s="1"/>
  <c r="D149" i="6" a="1"/>
  <c r="D149" i="6" s="1"/>
  <c r="E149" i="6" s="1" a="1"/>
  <c r="E149" i="6" s="1"/>
  <c r="C150" i="6" a="1"/>
  <c r="C150" i="6" s="1"/>
  <c r="D150" i="6" a="1"/>
  <c r="D150" i="6" s="1"/>
  <c r="E150" i="6" s="1" a="1"/>
  <c r="E150" i="6" s="1"/>
  <c r="C151" i="6" a="1"/>
  <c r="C151" i="6" s="1"/>
  <c r="D151" i="6" a="1"/>
  <c r="D151" i="6" s="1"/>
  <c r="E151" i="6" s="1" a="1"/>
  <c r="E151" i="6" s="1"/>
  <c r="C152" i="6" a="1"/>
  <c r="C152" i="6" s="1"/>
  <c r="D152" i="6" a="1"/>
  <c r="D152" i="6" s="1"/>
  <c r="E152" i="6" s="1" a="1"/>
  <c r="E152" i="6" s="1"/>
  <c r="C153" i="6" a="1"/>
  <c r="C153" i="6" s="1"/>
  <c r="D153" i="6" a="1"/>
  <c r="D153" i="6" s="1"/>
  <c r="E153" i="6" s="1" a="1"/>
  <c r="E153" i="6" s="1"/>
  <c r="C154" i="6" a="1"/>
  <c r="C154" i="6" s="1"/>
  <c r="D154" i="6" a="1"/>
  <c r="D154" i="6" s="1"/>
  <c r="E154" i="6" s="1" a="1"/>
  <c r="E154" i="6" s="1"/>
  <c r="C155" i="6" a="1"/>
  <c r="C155" i="6" s="1"/>
  <c r="D155" i="6" a="1"/>
  <c r="D155" i="6" s="1"/>
  <c r="E155" i="6" s="1" a="1"/>
  <c r="E155" i="6" s="1"/>
  <c r="C156" i="6" a="1"/>
  <c r="C156" i="6" s="1"/>
  <c r="D156" i="6" a="1"/>
  <c r="D156" i="6" s="1"/>
  <c r="E156" i="6" s="1" a="1"/>
  <c r="E156" i="6" s="1"/>
  <c r="C157" i="6" a="1"/>
  <c r="C157" i="6" s="1"/>
  <c r="D157" i="6" a="1"/>
  <c r="D157" i="6" s="1"/>
  <c r="E157" i="6" s="1" a="1"/>
  <c r="E157" i="6" s="1"/>
  <c r="C158" i="6" a="1"/>
  <c r="C158" i="6" s="1"/>
  <c r="D158" i="6" a="1"/>
  <c r="D158" i="6" s="1"/>
  <c r="E158" i="6" s="1" a="1"/>
  <c r="E158" i="6" s="1"/>
  <c r="C159" i="6" a="1"/>
  <c r="C159" i="6" s="1"/>
  <c r="D159" i="6" a="1"/>
  <c r="D159" i="6" s="1"/>
  <c r="E159" i="6" s="1" a="1"/>
  <c r="E159" i="6" s="1"/>
  <c r="C160" i="6" a="1"/>
  <c r="C160" i="6" s="1"/>
  <c r="D160" i="6" a="1"/>
  <c r="D160" i="6" s="1"/>
  <c r="E160" i="6" s="1" a="1"/>
  <c r="E160" i="6" s="1"/>
  <c r="C161" i="6" a="1"/>
  <c r="C161" i="6" s="1"/>
  <c r="D161" i="6" a="1"/>
  <c r="D161" i="6" s="1"/>
  <c r="E161" i="6" s="1" a="1"/>
  <c r="E161" i="6" s="1"/>
  <c r="C162" i="6" a="1"/>
  <c r="C162" i="6" s="1"/>
  <c r="D162" i="6" a="1"/>
  <c r="D162" i="6" s="1"/>
  <c r="E162" i="6" s="1" a="1"/>
  <c r="E162" i="6" s="1"/>
  <c r="C163" i="6" a="1"/>
  <c r="C163" i="6" s="1"/>
  <c r="D163" i="6" a="1"/>
  <c r="D163" i="6" s="1"/>
  <c r="E163" i="6" s="1" a="1"/>
  <c r="E163" i="6" s="1"/>
  <c r="C164" i="6" a="1"/>
  <c r="C164" i="6" s="1"/>
  <c r="D164" i="6" a="1"/>
  <c r="D164" i="6" s="1"/>
  <c r="E164" i="6" s="1" a="1"/>
  <c r="E164" i="6" s="1"/>
  <c r="C165" i="6" a="1"/>
  <c r="C165" i="6" s="1"/>
  <c r="D165" i="6" a="1"/>
  <c r="D165" i="6" s="1"/>
  <c r="E165" i="6" s="1" a="1"/>
  <c r="E165" i="6" s="1"/>
  <c r="C166" i="6" a="1"/>
  <c r="C166" i="6" s="1"/>
  <c r="D166" i="6" a="1"/>
  <c r="D166" i="6" s="1"/>
  <c r="E166" i="6" s="1" a="1"/>
  <c r="E166" i="6" s="1"/>
  <c r="C167" i="6" a="1"/>
  <c r="C167" i="6" s="1"/>
  <c r="D167" i="6" a="1"/>
  <c r="D167" i="6" s="1"/>
  <c r="E167" i="6" s="1" a="1"/>
  <c r="E167" i="6" s="1"/>
  <c r="C168" i="6" a="1"/>
  <c r="C168" i="6" s="1"/>
  <c r="D168" i="6" a="1"/>
  <c r="D168" i="6" s="1"/>
  <c r="E168" i="6" s="1" a="1"/>
  <c r="E168" i="6" s="1"/>
  <c r="C169" i="6" a="1"/>
  <c r="C169" i="6" s="1"/>
  <c r="D169" i="6" a="1"/>
  <c r="D169" i="6" s="1"/>
  <c r="E169" i="6" s="1" a="1"/>
  <c r="E169" i="6" s="1"/>
  <c r="C170" i="6" a="1"/>
  <c r="C170" i="6" s="1"/>
  <c r="D170" i="6" a="1"/>
  <c r="D170" i="6" s="1"/>
  <c r="E170" i="6" s="1" a="1"/>
  <c r="E170" i="6" s="1"/>
  <c r="C171" i="6" a="1"/>
  <c r="C171" i="6" s="1"/>
  <c r="D171" i="6" a="1"/>
  <c r="D171" i="6" s="1"/>
  <c r="E171" i="6" s="1" a="1"/>
  <c r="E171" i="6" s="1"/>
  <c r="C172" i="6" a="1"/>
  <c r="C172" i="6" s="1"/>
  <c r="D172" i="6" a="1"/>
  <c r="D172" i="6" s="1"/>
  <c r="E172" i="6" s="1" a="1"/>
  <c r="E172" i="6" s="1"/>
  <c r="C173" i="6" a="1"/>
  <c r="C173" i="6" s="1"/>
  <c r="D173" i="6" a="1"/>
  <c r="D173" i="6" s="1"/>
  <c r="E173" i="6" s="1" a="1"/>
  <c r="E173" i="6" s="1"/>
  <c r="C174" i="6" a="1"/>
  <c r="C174" i="6" s="1"/>
  <c r="D174" i="6" a="1"/>
  <c r="D174" i="6" s="1"/>
  <c r="E174" i="6" s="1" a="1"/>
  <c r="E174" i="6" s="1"/>
  <c r="C175" i="6" a="1"/>
  <c r="C175" i="6" s="1"/>
  <c r="D175" i="6" a="1"/>
  <c r="D175" i="6" s="1"/>
  <c r="E175" i="6" s="1" a="1"/>
  <c r="E175" i="6" s="1"/>
  <c r="C176" i="6" a="1"/>
  <c r="C176" i="6" s="1"/>
  <c r="D176" i="6" a="1"/>
  <c r="D176" i="6" s="1"/>
  <c r="E176" i="6" s="1" a="1"/>
  <c r="E176" i="6" s="1"/>
  <c r="C177" i="6" a="1"/>
  <c r="C177" i="6" s="1"/>
  <c r="D177" i="6" a="1"/>
  <c r="D177" i="6" s="1"/>
  <c r="E177" i="6" s="1" a="1"/>
  <c r="E177" i="6" s="1"/>
  <c r="C178" i="6" a="1"/>
  <c r="C178" i="6" s="1"/>
  <c r="D178" i="6" a="1"/>
  <c r="D178" i="6" s="1"/>
  <c r="E178" i="6" s="1" a="1"/>
  <c r="E178" i="6" s="1"/>
  <c r="C179" i="6" a="1"/>
  <c r="C179" i="6" s="1"/>
  <c r="D179" i="6" a="1"/>
  <c r="D179" i="6" s="1"/>
  <c r="E179" i="6" s="1" a="1"/>
  <c r="E179" i="6" s="1"/>
  <c r="C180" i="6" a="1"/>
  <c r="C180" i="6" s="1"/>
  <c r="D180" i="6" a="1"/>
  <c r="D180" i="6" s="1"/>
  <c r="E180" i="6" s="1" a="1"/>
  <c r="E180" i="6" s="1"/>
  <c r="C181" i="6" a="1"/>
  <c r="C181" i="6" s="1"/>
  <c r="D181" i="6" a="1"/>
  <c r="D181" i="6" s="1"/>
  <c r="E181" i="6" s="1" a="1"/>
  <c r="E181" i="6" s="1"/>
  <c r="C182" i="6" a="1"/>
  <c r="C182" i="6" s="1"/>
  <c r="D182" i="6" a="1"/>
  <c r="D182" i="6" s="1"/>
  <c r="E182" i="6" s="1" a="1"/>
  <c r="E182" i="6" s="1"/>
  <c r="C183" i="6" a="1"/>
  <c r="C183" i="6" s="1"/>
  <c r="D183" i="6" a="1"/>
  <c r="D183" i="6" s="1"/>
  <c r="E183" i="6" s="1" a="1"/>
  <c r="E183" i="6" s="1"/>
  <c r="C184" i="6" a="1"/>
  <c r="C184" i="6" s="1"/>
  <c r="D184" i="6" a="1"/>
  <c r="D184" i="6" s="1"/>
  <c r="E184" i="6" s="1" a="1"/>
  <c r="E184" i="6" s="1"/>
  <c r="C185" i="6" a="1"/>
  <c r="C185" i="6" s="1"/>
  <c r="D185" i="6" a="1"/>
  <c r="D185" i="6" s="1"/>
  <c r="E185" i="6" s="1" a="1"/>
  <c r="E185" i="6" s="1"/>
  <c r="C186" i="6" a="1"/>
  <c r="C186" i="6" s="1"/>
  <c r="D186" i="6" a="1"/>
  <c r="D186" i="6" s="1"/>
  <c r="E186" i="6" s="1" a="1"/>
  <c r="E186" i="6" s="1"/>
  <c r="C187" i="6" a="1"/>
  <c r="C187" i="6" s="1"/>
  <c r="D187" i="6" a="1"/>
  <c r="D187" i="6" s="1"/>
  <c r="E187" i="6" s="1" a="1"/>
  <c r="E187" i="6" s="1"/>
  <c r="C188" i="6" a="1"/>
  <c r="C188" i="6" s="1"/>
  <c r="D188" i="6" a="1"/>
  <c r="D188" i="6" s="1"/>
  <c r="E188" i="6" s="1" a="1"/>
  <c r="E188" i="6" s="1"/>
  <c r="C189" i="6" a="1"/>
  <c r="C189" i="6" s="1"/>
  <c r="D189" i="6" a="1"/>
  <c r="D189" i="6" s="1"/>
  <c r="E189" i="6" s="1" a="1"/>
  <c r="E189" i="6" s="1"/>
  <c r="C190" i="6" a="1"/>
  <c r="C190" i="6" s="1"/>
  <c r="D190" i="6" a="1"/>
  <c r="D190" i="6" s="1"/>
  <c r="E190" i="6" s="1" a="1"/>
  <c r="E190" i="6" s="1"/>
  <c r="C191" i="6" a="1"/>
  <c r="C191" i="6" s="1"/>
  <c r="D191" i="6" a="1"/>
  <c r="D191" i="6" s="1"/>
  <c r="E191" i="6" s="1" a="1"/>
  <c r="E191" i="6" s="1"/>
  <c r="F191" i="6" a="1"/>
  <c r="F191" i="6" s="1"/>
  <c r="C192" i="6" a="1"/>
  <c r="C192" i="6" s="1"/>
  <c r="D192" i="6" a="1"/>
  <c r="D192" i="6" s="1"/>
  <c r="E192" i="6" s="1" a="1"/>
  <c r="E192" i="6" s="1"/>
  <c r="F192" i="6" a="1"/>
  <c r="F192" i="6" s="1"/>
  <c r="C193" i="6" a="1"/>
  <c r="C193" i="6" s="1"/>
  <c r="D193" i="6" a="1"/>
  <c r="D193" i="6" s="1"/>
  <c r="E193" i="6" s="1" a="1"/>
  <c r="E193" i="6" s="1"/>
  <c r="F193" i="6" a="1"/>
  <c r="F193" i="6" s="1"/>
  <c r="C194" i="6" a="1"/>
  <c r="C194" i="6" s="1"/>
  <c r="D194" i="6" a="1"/>
  <c r="D194" i="6" s="1"/>
  <c r="E194" i="6" s="1" a="1"/>
  <c r="E194" i="6" s="1"/>
  <c r="F194" i="6" a="1"/>
  <c r="F194" i="6" s="1"/>
  <c r="C195" i="6" a="1"/>
  <c r="C195" i="6" s="1"/>
  <c r="D195" i="6" a="1"/>
  <c r="D195" i="6" s="1"/>
  <c r="E195" i="6" s="1" a="1"/>
  <c r="E195" i="6" s="1"/>
  <c r="F195" i="6" a="1"/>
  <c r="F195" i="6" s="1"/>
  <c r="C196" i="6" a="1"/>
  <c r="C196" i="6" s="1"/>
  <c r="D196" i="6" a="1"/>
  <c r="D196" i="6" s="1"/>
  <c r="E196" i="6" s="1" a="1"/>
  <c r="E196" i="6" s="1"/>
  <c r="F196" i="6" a="1"/>
  <c r="F196" i="6" s="1"/>
  <c r="C197" i="6" a="1"/>
  <c r="C197" i="6" s="1"/>
  <c r="D197" i="6" a="1"/>
  <c r="D197" i="6" s="1"/>
  <c r="E197" i="6" s="1" a="1"/>
  <c r="E197" i="6" s="1"/>
  <c r="F197" i="6" a="1"/>
  <c r="F197" i="6" s="1"/>
  <c r="C198" i="6" a="1"/>
  <c r="C198" i="6" s="1"/>
  <c r="D198" i="6" a="1"/>
  <c r="D198" i="6" s="1"/>
  <c r="E198" i="6" s="1" a="1"/>
  <c r="E198" i="6" s="1"/>
  <c r="F198" i="6" a="1"/>
  <c r="F198" i="6" s="1"/>
  <c r="C199" i="6" a="1"/>
  <c r="C199" i="6" s="1"/>
  <c r="D199" i="6" a="1"/>
  <c r="D199" i="6" s="1"/>
  <c r="E199" i="6" s="1" a="1"/>
  <c r="E199" i="6" s="1"/>
  <c r="F199" i="6" a="1"/>
  <c r="F199" i="6" s="1"/>
  <c r="C200" i="6" a="1"/>
  <c r="C200" i="6" s="1"/>
  <c r="D200" i="6" a="1"/>
  <c r="D200" i="6" s="1"/>
  <c r="E200" i="6" s="1" a="1"/>
  <c r="E200" i="6" s="1"/>
  <c r="F200" i="6" a="1"/>
  <c r="F200" i="6" s="1"/>
  <c r="C201" i="6" a="1"/>
  <c r="C201" i="6" s="1"/>
  <c r="D201" i="6" a="1"/>
  <c r="D201" i="6" s="1"/>
  <c r="E201" i="6" s="1" a="1"/>
  <c r="E201" i="6" s="1"/>
  <c r="F201" i="6" a="1"/>
  <c r="F201" i="6" s="1"/>
  <c r="C202" i="6" a="1"/>
  <c r="C202" i="6" s="1"/>
  <c r="D202" i="6" a="1"/>
  <c r="D202" i="6" s="1"/>
  <c r="E202" i="6" s="1" a="1"/>
  <c r="E202" i="6" s="1"/>
  <c r="F202" i="6" a="1"/>
  <c r="F202" i="6" s="1"/>
  <c r="C203" i="6" a="1"/>
  <c r="C203" i="6" s="1"/>
  <c r="D203" i="6" a="1"/>
  <c r="D203" i="6" s="1"/>
  <c r="E203" i="6" s="1" a="1"/>
  <c r="E203" i="6" s="1"/>
  <c r="F203" i="6" a="1"/>
  <c r="F203" i="6" s="1"/>
  <c r="C204" i="6" a="1"/>
  <c r="C204" i="6" s="1"/>
  <c r="D204" i="6" a="1"/>
  <c r="D204" i="6" s="1"/>
  <c r="E204" i="6" s="1" a="1"/>
  <c r="E204" i="6" s="1"/>
  <c r="F204" i="6" a="1"/>
  <c r="F204" i="6" s="1"/>
  <c r="C205" i="6" a="1"/>
  <c r="C205" i="6" s="1"/>
  <c r="D205" i="6" a="1"/>
  <c r="D205" i="6" s="1"/>
  <c r="E205" i="6" s="1" a="1"/>
  <c r="E205" i="6" s="1"/>
  <c r="F205" i="6" a="1"/>
  <c r="F205" i="6" s="1"/>
  <c r="C206" i="6" a="1"/>
  <c r="C206" i="6" s="1"/>
  <c r="D206" i="6" a="1"/>
  <c r="D206" i="6" s="1"/>
  <c r="E206" i="6" s="1" a="1"/>
  <c r="E206" i="6" s="1"/>
  <c r="F206" i="6" a="1"/>
  <c r="F206" i="6" s="1"/>
  <c r="C207" i="6" a="1"/>
  <c r="C207" i="6" s="1"/>
  <c r="D207" i="6" a="1"/>
  <c r="D207" i="6" s="1"/>
  <c r="E207" i="6" s="1" a="1"/>
  <c r="E207" i="6" s="1"/>
  <c r="F207" i="6" a="1"/>
  <c r="F207" i="6" s="1"/>
  <c r="C208" i="6" a="1"/>
  <c r="C208" i="6" s="1"/>
  <c r="D208" i="6" a="1"/>
  <c r="D208" i="6" s="1"/>
  <c r="E208" i="6" s="1" a="1"/>
  <c r="E208" i="6" s="1"/>
  <c r="F208" i="6" a="1"/>
  <c r="F208" i="6" s="1"/>
  <c r="C209" i="6" a="1"/>
  <c r="C209" i="6" s="1"/>
  <c r="D209" i="6" a="1"/>
  <c r="D209" i="6" s="1"/>
  <c r="E209" i="6" s="1" a="1"/>
  <c r="E209" i="6" s="1"/>
  <c r="F209" i="6" a="1"/>
  <c r="F209" i="6" s="1"/>
  <c r="C210" i="6" a="1"/>
  <c r="C210" i="6" s="1"/>
  <c r="D210" i="6" a="1"/>
  <c r="D210" i="6" s="1"/>
  <c r="E210" i="6" s="1" a="1"/>
  <c r="E210" i="6" s="1"/>
  <c r="C211" i="6" a="1"/>
  <c r="C211" i="6" s="1"/>
  <c r="D211" i="6" a="1"/>
  <c r="D211" i="6" s="1"/>
  <c r="E211" i="6" s="1" a="1"/>
  <c r="E211" i="6" s="1"/>
  <c r="C213" i="6" a="1"/>
  <c r="C213" i="6" s="1"/>
  <c r="D213" i="6" a="1"/>
  <c r="D213" i="6" s="1"/>
  <c r="E213" i="6" s="1" a="1"/>
  <c r="E213" i="6" s="1"/>
  <c r="C214" i="6" a="1"/>
  <c r="C214" i="6" s="1"/>
  <c r="D214" i="6" a="1"/>
  <c r="D214" i="6" s="1"/>
  <c r="E214" i="6" s="1" a="1"/>
  <c r="E214" i="6" s="1"/>
  <c r="C216" i="6" a="1"/>
  <c r="C216" i="6" s="1"/>
  <c r="D216" i="6" a="1"/>
  <c r="D216" i="6" s="1"/>
  <c r="E216" i="6" s="1" a="1"/>
  <c r="E216" i="6" s="1"/>
  <c r="F216" i="6" a="1"/>
  <c r="F216" i="6" s="1"/>
  <c r="C217" i="6" a="1"/>
  <c r="C217" i="6" s="1"/>
  <c r="D217" i="6" a="1"/>
  <c r="D217" i="6" s="1"/>
  <c r="E217" i="6" s="1" a="1"/>
  <c r="E217" i="6" s="1"/>
  <c r="F217" i="6" a="1"/>
  <c r="F217" i="6" s="1"/>
  <c r="C218" i="6" a="1"/>
  <c r="C218" i="6" s="1"/>
  <c r="D218" i="6" a="1"/>
  <c r="D218" i="6" s="1"/>
  <c r="E218" i="6" s="1" a="1"/>
  <c r="E218" i="6" s="1"/>
  <c r="F218" i="6" a="1"/>
  <c r="F218" i="6" s="1"/>
  <c r="C219" i="6" a="1"/>
  <c r="C219" i="6" s="1"/>
  <c r="D219" i="6" a="1"/>
  <c r="D219" i="6" s="1"/>
  <c r="E219" i="6" s="1" a="1"/>
  <c r="E219" i="6" s="1"/>
  <c r="F219" i="6" a="1"/>
  <c r="F219" i="6" s="1"/>
  <c r="C220" i="6" a="1"/>
  <c r="C220" i="6" s="1"/>
  <c r="D220" i="6" a="1"/>
  <c r="D220" i="6" s="1"/>
  <c r="E220" i="6" s="1" a="1"/>
  <c r="E220" i="6" s="1"/>
  <c r="F220" i="6" a="1"/>
  <c r="F220" i="6" s="1"/>
  <c r="C221" i="6" a="1"/>
  <c r="C221" i="6" s="1"/>
  <c r="D221" i="6" a="1"/>
  <c r="D221" i="6" s="1"/>
  <c r="E221" i="6" s="1" a="1"/>
  <c r="E221" i="6" s="1"/>
  <c r="F221" i="6" a="1"/>
  <c r="F221" i="6" s="1"/>
  <c r="C222" i="6" a="1"/>
  <c r="C222" i="6" s="1"/>
  <c r="D222" i="6" a="1"/>
  <c r="D222" i="6" s="1"/>
  <c r="E222" i="6" s="1" a="1"/>
  <c r="E222" i="6" s="1"/>
  <c r="F222" i="6" a="1"/>
  <c r="F222" i="6" s="1"/>
  <c r="C223" i="6" a="1"/>
  <c r="C223" i="6" s="1"/>
  <c r="D223" i="6" a="1"/>
  <c r="D223" i="6" s="1"/>
  <c r="E223" i="6" s="1" a="1"/>
  <c r="E223" i="6" s="1"/>
  <c r="F223" i="6" a="1"/>
  <c r="F223" i="6" s="1"/>
  <c r="C224" i="6" a="1"/>
  <c r="C224" i="6" s="1"/>
  <c r="D224" i="6" a="1"/>
  <c r="D224" i="6" s="1"/>
  <c r="E224" i="6" s="1" a="1"/>
  <c r="E224" i="6" s="1"/>
  <c r="F224" i="6" a="1"/>
  <c r="F224" i="6" s="1"/>
  <c r="C225" i="6" a="1"/>
  <c r="C225" i="6" s="1"/>
  <c r="D225" i="6" a="1"/>
  <c r="D225" i="6" s="1"/>
  <c r="E225" i="6" s="1" a="1"/>
  <c r="E225" i="6" s="1"/>
  <c r="F225" i="6" a="1"/>
  <c r="F225" i="6" s="1"/>
  <c r="C226" i="6" a="1"/>
  <c r="C226" i="6" s="1"/>
  <c r="D226" i="6" a="1"/>
  <c r="D226" i="6" s="1"/>
  <c r="E226" i="6" s="1" a="1"/>
  <c r="E226" i="6" s="1"/>
  <c r="F226" i="6" a="1"/>
  <c r="F226" i="6" s="1"/>
  <c r="C227" i="6" a="1"/>
  <c r="C227" i="6" s="1"/>
  <c r="D227" i="6" a="1"/>
  <c r="D227" i="6" s="1"/>
  <c r="E227" i="6" s="1" a="1"/>
  <c r="E227" i="6" s="1"/>
  <c r="F227" i="6" a="1"/>
  <c r="F227" i="6" s="1"/>
  <c r="C228" i="6" a="1"/>
  <c r="C228" i="6" s="1"/>
  <c r="D228" i="6" a="1"/>
  <c r="D228" i="6" s="1"/>
  <c r="E228" i="6" s="1" a="1"/>
  <c r="E228" i="6" s="1"/>
  <c r="F228" i="6" a="1"/>
  <c r="F228" i="6" s="1"/>
  <c r="C229" i="6" a="1"/>
  <c r="C229" i="6" s="1"/>
  <c r="D229" i="6" a="1"/>
  <c r="D229" i="6" s="1"/>
  <c r="E229" i="6" s="1" a="1"/>
  <c r="E229" i="6" s="1"/>
  <c r="F229" i="6" a="1"/>
  <c r="F229" i="6" s="1"/>
  <c r="C230" i="6" a="1"/>
  <c r="C230" i="6" s="1"/>
  <c r="D230" i="6" a="1"/>
  <c r="D230" i="6" s="1"/>
  <c r="E230" i="6" s="1" a="1"/>
  <c r="E230" i="6" s="1"/>
  <c r="F230" i="6" a="1"/>
  <c r="F230" i="6" s="1"/>
  <c r="C231" i="6" a="1"/>
  <c r="C231" i="6" s="1"/>
  <c r="D231" i="6" a="1"/>
  <c r="D231" i="6" s="1"/>
  <c r="E231" i="6" s="1" a="1"/>
  <c r="E231" i="6" s="1"/>
  <c r="F231" i="6" a="1"/>
  <c r="F231" i="6" s="1"/>
  <c r="C232" i="6" a="1"/>
  <c r="C232" i="6" s="1"/>
  <c r="D232" i="6" a="1"/>
  <c r="D232" i="6" s="1"/>
  <c r="E232" i="6" s="1" a="1"/>
  <c r="E232" i="6" s="1"/>
  <c r="F232" i="6" a="1"/>
  <c r="F232" i="6" s="1"/>
  <c r="C233" i="6" a="1"/>
  <c r="C233" i="6" s="1"/>
  <c r="D233" i="6" a="1"/>
  <c r="D233" i="6" s="1"/>
  <c r="E233" i="6" s="1" a="1"/>
  <c r="E233" i="6" s="1"/>
  <c r="F233" i="6" a="1"/>
  <c r="F233" i="6" s="1"/>
  <c r="C234" i="6" a="1"/>
  <c r="C234" i="6" s="1"/>
  <c r="D234" i="6" a="1"/>
  <c r="D234" i="6" s="1"/>
  <c r="E234" i="6" s="1" a="1"/>
  <c r="E234" i="6" s="1"/>
  <c r="F234" i="6" a="1"/>
  <c r="F234" i="6" s="1"/>
  <c r="C235" i="6" a="1"/>
  <c r="C235" i="6" s="1"/>
  <c r="D235" i="6" a="1"/>
  <c r="D235" i="6" s="1"/>
  <c r="E235" i="6" s="1" a="1"/>
  <c r="E235" i="6" s="1"/>
  <c r="F235" i="6" a="1"/>
  <c r="F235" i="6" s="1"/>
  <c r="C236" i="6" a="1"/>
  <c r="C236" i="6" s="1"/>
  <c r="D236" i="6" a="1"/>
  <c r="D236" i="6" s="1"/>
  <c r="E236" i="6" s="1" a="1"/>
  <c r="E236" i="6" s="1"/>
  <c r="F236" i="6" a="1"/>
  <c r="F236" i="6" s="1"/>
  <c r="C237" i="6" a="1"/>
  <c r="C237" i="6" s="1"/>
  <c r="D237" i="6" a="1"/>
  <c r="D237" i="6" s="1"/>
  <c r="E237" i="6" s="1" a="1"/>
  <c r="E237" i="6" s="1"/>
  <c r="F237" i="6" a="1"/>
  <c r="F237" i="6" s="1"/>
  <c r="C238" i="6" a="1"/>
  <c r="C238" i="6" s="1"/>
  <c r="D238" i="6" a="1"/>
  <c r="D238" i="6" s="1"/>
  <c r="E238" i="6" s="1" a="1"/>
  <c r="E238" i="6" s="1"/>
  <c r="F238" i="6" a="1"/>
  <c r="F238" i="6" s="1"/>
  <c r="C239" i="6" a="1"/>
  <c r="C239" i="6" s="1"/>
  <c r="D239" i="6" a="1"/>
  <c r="D239" i="6" s="1"/>
  <c r="E239" i="6" s="1" a="1"/>
  <c r="E239" i="6" s="1"/>
  <c r="F239" i="6" a="1"/>
  <c r="F239" i="6" s="1"/>
  <c r="C240" i="6" a="1"/>
  <c r="C240" i="6" s="1"/>
  <c r="D240" i="6" a="1"/>
  <c r="D240" i="6" s="1"/>
  <c r="E240" i="6" s="1" a="1"/>
  <c r="E240" i="6" s="1"/>
  <c r="F240" i="6" a="1"/>
  <c r="F240" i="6" s="1"/>
  <c r="C241" i="6" a="1"/>
  <c r="C241" i="6" s="1"/>
  <c r="D241" i="6" a="1"/>
  <c r="D241" i="6" s="1"/>
  <c r="E241" i="6" s="1" a="1"/>
  <c r="E241" i="6" s="1"/>
  <c r="F241" i="6" a="1"/>
  <c r="F241" i="6" s="1"/>
  <c r="C242" i="6" a="1"/>
  <c r="C242" i="6" s="1"/>
  <c r="D242" i="6" a="1"/>
  <c r="D242" i="6" s="1"/>
  <c r="E242" i="6" s="1" a="1"/>
  <c r="E242" i="6" s="1"/>
  <c r="F242" i="6" a="1"/>
  <c r="F242" i="6" s="1"/>
  <c r="C243" i="6" a="1"/>
  <c r="C243" i="6" s="1"/>
  <c r="D243" i="6" a="1"/>
  <c r="D243" i="6" s="1"/>
  <c r="E243" i="6" s="1" a="1"/>
  <c r="E243" i="6" s="1"/>
  <c r="F243" i="6" a="1"/>
  <c r="F243" i="6" s="1"/>
  <c r="C244" i="6" a="1"/>
  <c r="C244" i="6" s="1"/>
  <c r="D244" i="6" a="1"/>
  <c r="D244" i="6" s="1"/>
  <c r="E244" i="6" s="1" a="1"/>
  <c r="E244" i="6" s="1"/>
  <c r="F244" i="6" a="1"/>
  <c r="F244" i="6" s="1"/>
  <c r="C245" i="6" a="1"/>
  <c r="C245" i="6" s="1"/>
  <c r="D245" i="6" a="1"/>
  <c r="D245" i="6" s="1"/>
  <c r="E245" i="6" s="1" a="1"/>
  <c r="E245" i="6" s="1"/>
  <c r="F245" i="6" a="1"/>
  <c r="F245" i="6" s="1"/>
  <c r="C246" i="6" a="1"/>
  <c r="C246" i="6" s="1"/>
  <c r="D246" i="6" a="1"/>
  <c r="D246" i="6" s="1"/>
  <c r="E246" i="6" s="1" a="1"/>
  <c r="E246" i="6" s="1"/>
  <c r="F246" i="6" a="1"/>
  <c r="F246" i="6" s="1"/>
  <c r="C247" i="6" a="1"/>
  <c r="C247" i="6" s="1"/>
  <c r="D247" i="6" a="1"/>
  <c r="D247" i="6" s="1"/>
  <c r="E247" i="6" s="1" a="1"/>
  <c r="E247" i="6" s="1"/>
  <c r="F247" i="6" a="1"/>
  <c r="F247" i="6" s="1"/>
  <c r="C248" i="6" a="1"/>
  <c r="C248" i="6" s="1"/>
  <c r="D248" i="6" a="1"/>
  <c r="D248" i="6" s="1"/>
  <c r="E248" i="6" s="1" a="1"/>
  <c r="E248" i="6" s="1"/>
  <c r="F248" i="6" a="1"/>
  <c r="F248" i="6" s="1"/>
  <c r="C249" i="6" a="1"/>
  <c r="C249" i="6" s="1"/>
  <c r="D249" i="6" a="1"/>
  <c r="D249" i="6" s="1"/>
  <c r="E249" i="6" s="1" a="1"/>
  <c r="E249" i="6" s="1"/>
  <c r="F249" i="6" a="1"/>
  <c r="F249" i="6" s="1"/>
  <c r="C250" i="6" a="1"/>
  <c r="C250" i="6" s="1"/>
  <c r="D250" i="6" a="1"/>
  <c r="D250" i="6" s="1"/>
  <c r="E250" i="6" s="1" a="1"/>
  <c r="E250" i="6" s="1"/>
  <c r="F250" i="6" a="1"/>
  <c r="F250" i="6" s="1"/>
  <c r="C251" i="6" a="1"/>
  <c r="C251" i="6" s="1"/>
  <c r="D251" i="6" a="1"/>
  <c r="D251" i="6" s="1"/>
  <c r="E251" i="6" s="1" a="1"/>
  <c r="E251" i="6" s="1"/>
  <c r="F251" i="6" a="1"/>
  <c r="F251" i="6" s="1"/>
  <c r="C252" i="6" a="1"/>
  <c r="C252" i="6" s="1"/>
  <c r="D252" i="6" a="1"/>
  <c r="D252" i="6" s="1"/>
  <c r="E252" i="6" s="1" a="1"/>
  <c r="E252" i="6" s="1"/>
  <c r="F252" i="6" a="1"/>
  <c r="F252" i="6" s="1"/>
  <c r="C253" i="6" a="1"/>
  <c r="C253" i="6" s="1"/>
  <c r="D253" i="6" a="1"/>
  <c r="D253" i="6" s="1"/>
  <c r="E253" i="6" s="1" a="1"/>
  <c r="E253" i="6" s="1"/>
  <c r="F253" i="6" a="1"/>
  <c r="F253" i="6" s="1"/>
  <c r="C254" i="6" a="1"/>
  <c r="C254" i="6" s="1"/>
  <c r="D254" i="6" a="1"/>
  <c r="D254" i="6" s="1"/>
  <c r="E254" i="6" s="1" a="1"/>
  <c r="E254" i="6" s="1"/>
  <c r="F254" i="6" a="1"/>
  <c r="F254" i="6" s="1"/>
  <c r="C255" i="6" a="1"/>
  <c r="C255" i="6" s="1"/>
  <c r="D255" i="6" a="1"/>
  <c r="D255" i="6" s="1"/>
  <c r="E255" i="6" s="1" a="1"/>
  <c r="E255" i="6" s="1"/>
  <c r="F255" i="6" a="1"/>
  <c r="F255" i="6" s="1"/>
  <c r="C256" i="6" a="1"/>
  <c r="C256" i="6" s="1"/>
  <c r="D256" i="6" a="1"/>
  <c r="D256" i="6" s="1"/>
  <c r="E256" i="6" s="1" a="1"/>
  <c r="E256" i="6" s="1"/>
  <c r="F256" i="6" a="1"/>
  <c r="F256" i="6" s="1"/>
  <c r="C257" i="6" a="1"/>
  <c r="C257" i="6" s="1"/>
  <c r="D257" i="6" a="1"/>
  <c r="D257" i="6" s="1"/>
  <c r="E257" i="6" s="1" a="1"/>
  <c r="E257" i="6" s="1"/>
  <c r="F257" i="6" a="1"/>
  <c r="F257" i="6" s="1"/>
  <c r="C258" i="6" a="1"/>
  <c r="C258" i="6" s="1"/>
  <c r="D258" i="6" a="1"/>
  <c r="D258" i="6" s="1"/>
  <c r="E258" i="6" s="1" a="1"/>
  <c r="E258" i="6" s="1"/>
  <c r="F258" i="6" a="1"/>
  <c r="F258" i="6" s="1"/>
  <c r="C259" i="6" a="1"/>
  <c r="C259" i="6" s="1"/>
  <c r="D259" i="6" a="1"/>
  <c r="D259" i="6" s="1"/>
  <c r="E259" i="6" s="1" a="1"/>
  <c r="E259" i="6" s="1"/>
  <c r="F259" i="6" a="1"/>
  <c r="F259" i="6" s="1"/>
  <c r="C260" i="6" a="1"/>
  <c r="C260" i="6" s="1"/>
  <c r="D260" i="6" a="1"/>
  <c r="D260" i="6" s="1"/>
  <c r="E260" i="6" s="1" a="1"/>
  <c r="E260" i="6" s="1"/>
  <c r="F260" i="6" a="1"/>
  <c r="F260" i="6" s="1"/>
  <c r="C261" i="6" a="1"/>
  <c r="C261" i="6" s="1"/>
  <c r="D261" i="6" a="1"/>
  <c r="D261" i="6" s="1"/>
  <c r="E261" i="6" s="1" a="1"/>
  <c r="E261" i="6" s="1"/>
  <c r="F261" i="6" a="1"/>
  <c r="F261" i="6" s="1"/>
  <c r="C262" i="6" a="1"/>
  <c r="C262" i="6" s="1"/>
  <c r="D262" i="6" a="1"/>
  <c r="D262" i="6" s="1"/>
  <c r="E262" i="6" s="1" a="1"/>
  <c r="E262" i="6" s="1"/>
  <c r="F262" i="6" a="1"/>
  <c r="F262" i="6" s="1"/>
  <c r="C263" i="6" a="1"/>
  <c r="C263" i="6" s="1"/>
  <c r="D263" i="6" a="1"/>
  <c r="D263" i="6" s="1"/>
  <c r="E263" i="6" s="1" a="1"/>
  <c r="E263" i="6" s="1"/>
  <c r="F263" i="6" a="1"/>
  <c r="F263" i="6" s="1"/>
  <c r="C264" i="6" a="1"/>
  <c r="C264" i="6" s="1"/>
  <c r="D264" i="6" a="1"/>
  <c r="D264" i="6" s="1"/>
  <c r="E264" i="6" s="1" a="1"/>
  <c r="E264" i="6" s="1"/>
  <c r="F264" i="6" a="1"/>
  <c r="F264" i="6" s="1"/>
  <c r="C265" i="6" a="1"/>
  <c r="C265" i="6" s="1"/>
  <c r="D265" i="6" a="1"/>
  <c r="D265" i="6" s="1"/>
  <c r="E265" i="6" s="1" a="1"/>
  <c r="E265" i="6" s="1"/>
  <c r="F265" i="6" a="1"/>
  <c r="F265" i="6" s="1"/>
  <c r="C266" i="6" a="1"/>
  <c r="C266" i="6" s="1"/>
  <c r="D266" i="6" a="1"/>
  <c r="D266" i="6" s="1"/>
  <c r="E266" i="6" s="1" a="1"/>
  <c r="E266" i="6" s="1"/>
  <c r="F266" i="6" a="1"/>
  <c r="F266" i="6" s="1"/>
  <c r="C267" i="6" a="1"/>
  <c r="C267" i="6" s="1"/>
  <c r="D267" i="6" a="1"/>
  <c r="D267" i="6" s="1"/>
  <c r="E267" i="6" s="1" a="1"/>
  <c r="E267" i="6" s="1"/>
  <c r="F267" i="6" a="1"/>
  <c r="F267" i="6" s="1"/>
  <c r="C268" i="6" a="1"/>
  <c r="C268" i="6" s="1"/>
  <c r="D268" i="6" a="1"/>
  <c r="D268" i="6" s="1"/>
  <c r="E268" i="6" s="1" a="1"/>
  <c r="E268" i="6" s="1"/>
  <c r="F268" i="6" a="1"/>
  <c r="F268" i="6" s="1"/>
  <c r="C269" i="6" a="1"/>
  <c r="C269" i="6" s="1"/>
  <c r="D269" i="6" a="1"/>
  <c r="D269" i="6" s="1"/>
  <c r="E269" i="6" s="1" a="1"/>
  <c r="E269" i="6" s="1"/>
  <c r="F269" i="6" a="1"/>
  <c r="F269" i="6" s="1"/>
  <c r="C270" i="6" a="1"/>
  <c r="C270" i="6" s="1"/>
  <c r="D270" i="6" a="1"/>
  <c r="D270" i="6" s="1"/>
  <c r="E270" i="6" s="1" a="1"/>
  <c r="E270" i="6" s="1"/>
  <c r="F270" i="6" a="1"/>
  <c r="F270" i="6" s="1"/>
  <c r="C271" i="6" a="1"/>
  <c r="C271" i="6" s="1"/>
  <c r="D271" i="6" a="1"/>
  <c r="D271" i="6" s="1"/>
  <c r="E271" i="6" s="1" a="1"/>
  <c r="E271" i="6" s="1"/>
  <c r="F271" i="6" a="1"/>
  <c r="F271" i="6" s="1"/>
  <c r="C272" i="6" a="1"/>
  <c r="C272" i="6" s="1"/>
  <c r="D272" i="6" a="1"/>
  <c r="D272" i="6" s="1"/>
  <c r="E272" i="6" s="1" a="1"/>
  <c r="E272" i="6" s="1"/>
  <c r="F272" i="6" a="1"/>
  <c r="F272" i="6" s="1"/>
  <c r="C273" i="6" a="1"/>
  <c r="C273" i="6" s="1"/>
  <c r="D273" i="6" a="1"/>
  <c r="D273" i="6" s="1"/>
  <c r="E273" i="6" s="1" a="1"/>
  <c r="E273" i="6" s="1"/>
  <c r="F273" i="6" a="1"/>
  <c r="F273" i="6" s="1"/>
  <c r="C274" i="6" a="1"/>
  <c r="C274" i="6" s="1"/>
  <c r="D274" i="6" a="1"/>
  <c r="D274" i="6" s="1"/>
  <c r="E274" i="6" s="1" a="1"/>
  <c r="E274" i="6" s="1"/>
  <c r="F274" i="6" a="1"/>
  <c r="F274" i="6" s="1"/>
  <c r="C275" i="6" a="1"/>
  <c r="C275" i="6" s="1"/>
  <c r="D275" i="6" a="1"/>
  <c r="D275" i="6" s="1"/>
  <c r="E275" i="6" s="1" a="1"/>
  <c r="E275" i="6" s="1"/>
  <c r="F275" i="6" a="1"/>
  <c r="F275" i="6" s="1"/>
  <c r="C276" i="6" a="1"/>
  <c r="C276" i="6" s="1"/>
  <c r="D276" i="6" a="1"/>
  <c r="D276" i="6" s="1"/>
  <c r="E276" i="6" s="1" a="1"/>
  <c r="E276" i="6" s="1"/>
  <c r="F276" i="6" a="1"/>
  <c r="F276" i="6" s="1"/>
  <c r="C277" i="6" a="1"/>
  <c r="C277" i="6" s="1"/>
  <c r="D277" i="6" a="1"/>
  <c r="D277" i="6" s="1"/>
  <c r="E277" i="6" s="1" a="1"/>
  <c r="E277" i="6" s="1"/>
  <c r="F277" i="6" a="1"/>
  <c r="F277" i="6" s="1"/>
  <c r="C278" i="6" a="1"/>
  <c r="C278" i="6" s="1"/>
  <c r="D278" i="6" a="1"/>
  <c r="D278" i="6" s="1"/>
  <c r="E278" i="6" s="1" a="1"/>
  <c r="E278" i="6" s="1"/>
  <c r="F278" i="6" a="1"/>
  <c r="F278" i="6" s="1"/>
  <c r="C279" i="6" a="1"/>
  <c r="C279" i="6" s="1"/>
  <c r="D279" i="6" a="1"/>
  <c r="D279" i="6" s="1"/>
  <c r="E279" i="6" s="1" a="1"/>
  <c r="E279" i="6" s="1"/>
  <c r="F279" i="6" a="1"/>
  <c r="F279" i="6" s="1"/>
  <c r="C280" i="6" a="1"/>
  <c r="C280" i="6" s="1"/>
  <c r="D280" i="6" a="1"/>
  <c r="D280" i="6" s="1"/>
  <c r="E280" i="6" s="1" a="1"/>
  <c r="E280" i="6" s="1"/>
  <c r="F280" i="6" a="1"/>
  <c r="F280" i="6" s="1"/>
  <c r="C281" i="6" a="1"/>
  <c r="C281" i="6" s="1"/>
  <c r="D281" i="6" a="1"/>
  <c r="D281" i="6" s="1"/>
  <c r="E281" i="6" s="1" a="1"/>
  <c r="E281" i="6" s="1"/>
  <c r="F281" i="6" a="1"/>
  <c r="F281" i="6" s="1"/>
  <c r="C282" i="6" a="1"/>
  <c r="C282" i="6" s="1"/>
  <c r="D282" i="6" a="1"/>
  <c r="D282" i="6" s="1"/>
  <c r="E282" i="6" s="1" a="1"/>
  <c r="E282" i="6" s="1"/>
  <c r="F282" i="6" a="1"/>
  <c r="F282" i="6" s="1"/>
  <c r="C283" i="6" a="1"/>
  <c r="C283" i="6" s="1"/>
  <c r="D283" i="6" a="1"/>
  <c r="D283" i="6" s="1"/>
  <c r="E283" i="6" s="1" a="1"/>
  <c r="E283" i="6" s="1"/>
  <c r="F283" i="6" a="1"/>
  <c r="F283" i="6" s="1"/>
  <c r="C284" i="6" a="1"/>
  <c r="C284" i="6" s="1"/>
  <c r="D284" i="6" a="1"/>
  <c r="D284" i="6" s="1"/>
  <c r="E284" i="6" s="1" a="1"/>
  <c r="E284" i="6" s="1"/>
  <c r="F284" i="6" a="1"/>
  <c r="F284" i="6" s="1"/>
  <c r="C285" i="6" a="1"/>
  <c r="C285" i="6" s="1"/>
  <c r="D285" i="6" a="1"/>
  <c r="D285" i="6" s="1"/>
  <c r="E285" i="6" s="1" a="1"/>
  <c r="E285" i="6" s="1"/>
  <c r="F285" i="6" a="1"/>
  <c r="F285" i="6" s="1"/>
  <c r="C286" i="6" a="1"/>
  <c r="C286" i="6" s="1"/>
  <c r="D286" i="6" a="1"/>
  <c r="D286" i="6" s="1"/>
  <c r="E286" i="6" s="1" a="1"/>
  <c r="E286" i="6" s="1"/>
  <c r="F286" i="6" a="1"/>
  <c r="F286" i="6" s="1"/>
  <c r="C287" i="6" a="1"/>
  <c r="C287" i="6" s="1"/>
  <c r="D287" i="6" a="1"/>
  <c r="D287" i="6" s="1"/>
  <c r="E287" i="6" s="1" a="1"/>
  <c r="E287" i="6" s="1"/>
  <c r="F287" i="6" a="1"/>
  <c r="F287" i="6" s="1"/>
  <c r="C288" i="6" a="1"/>
  <c r="C288" i="6" s="1"/>
  <c r="D288" i="6" a="1"/>
  <c r="D288" i="6" s="1"/>
  <c r="E288" i="6" s="1" a="1"/>
  <c r="E288" i="6" s="1"/>
  <c r="F288" i="6" a="1"/>
  <c r="F288" i="6" s="1"/>
  <c r="C289" i="6" a="1"/>
  <c r="C289" i="6" s="1"/>
  <c r="D289" i="6" a="1"/>
  <c r="D289" i="6" s="1"/>
  <c r="E289" i="6" s="1" a="1"/>
  <c r="E289" i="6" s="1"/>
  <c r="F289" i="6" a="1"/>
  <c r="F289" i="6" s="1"/>
  <c r="C290" i="6" a="1"/>
  <c r="C290" i="6" s="1"/>
  <c r="D290" i="6" a="1"/>
  <c r="D290" i="6" s="1"/>
  <c r="E290" i="6" s="1" a="1"/>
  <c r="E290" i="6" s="1"/>
  <c r="F290" i="6" a="1"/>
  <c r="F290" i="6" s="1"/>
  <c r="C291" i="6" a="1"/>
  <c r="C291" i="6" s="1"/>
  <c r="D291" i="6" a="1"/>
  <c r="D291" i="6" s="1"/>
  <c r="E291" i="6" s="1" a="1"/>
  <c r="E291" i="6" s="1"/>
  <c r="F291" i="6" a="1"/>
  <c r="F291" i="6" s="1"/>
  <c r="C292" i="6" a="1"/>
  <c r="C292" i="6" s="1"/>
  <c r="D292" i="6" a="1"/>
  <c r="D292" i="6" s="1"/>
  <c r="E292" i="6" s="1" a="1"/>
  <c r="E292" i="6" s="1"/>
  <c r="F292" i="6" a="1"/>
  <c r="F292" i="6" s="1"/>
  <c r="C293" i="6" a="1"/>
  <c r="C293" i="6" s="1"/>
  <c r="D293" i="6" a="1"/>
  <c r="D293" i="6" s="1"/>
  <c r="E293" i="6" s="1" a="1"/>
  <c r="E293" i="6" s="1"/>
  <c r="F293" i="6" a="1"/>
  <c r="F293" i="6" s="1"/>
  <c r="C294" i="6" a="1"/>
  <c r="C294" i="6" s="1"/>
  <c r="D294" i="6" a="1"/>
  <c r="D294" i="6" s="1"/>
  <c r="E294" i="6" s="1" a="1"/>
  <c r="E294" i="6" s="1"/>
  <c r="F294" i="6" a="1"/>
  <c r="F294" i="6" s="1"/>
  <c r="C295" i="6" a="1"/>
  <c r="C295" i="6" s="1"/>
  <c r="D295" i="6" a="1"/>
  <c r="D295" i="6" s="1"/>
  <c r="E295" i="6" s="1" a="1"/>
  <c r="E295" i="6" s="1"/>
  <c r="F295" i="6" a="1"/>
  <c r="F295" i="6" s="1"/>
  <c r="C296" i="6" a="1"/>
  <c r="C296" i="6" s="1"/>
  <c r="D296" i="6" a="1"/>
  <c r="D296" i="6" s="1"/>
  <c r="E296" i="6" s="1" a="1"/>
  <c r="E296" i="6" s="1"/>
  <c r="F296" i="6" a="1"/>
  <c r="F296" i="6" s="1"/>
  <c r="C297" i="6" a="1"/>
  <c r="C297" i="6" s="1"/>
  <c r="D297" i="6" a="1"/>
  <c r="D297" i="6" s="1"/>
  <c r="E297" i="6" s="1" a="1"/>
  <c r="E297" i="6" s="1"/>
  <c r="F297" i="6" a="1"/>
  <c r="F297" i="6" s="1"/>
  <c r="C298" i="6" a="1"/>
  <c r="C298" i="6" s="1"/>
  <c r="D298" i="6" a="1"/>
  <c r="D298" i="6" s="1"/>
  <c r="E298" i="6" s="1" a="1"/>
  <c r="E298" i="6" s="1"/>
  <c r="F298" i="6" a="1"/>
  <c r="F298" i="6" s="1"/>
  <c r="C299" i="6" a="1"/>
  <c r="C299" i="6" s="1"/>
  <c r="D299" i="6" a="1"/>
  <c r="D299" i="6" s="1"/>
  <c r="E299" i="6" s="1" a="1"/>
  <c r="E299" i="6" s="1"/>
  <c r="F299" i="6" a="1"/>
  <c r="F299" i="6" s="1"/>
  <c r="C300" i="6" a="1"/>
  <c r="C300" i="6" s="1"/>
  <c r="D300" i="6" a="1"/>
  <c r="D300" i="6" s="1"/>
  <c r="E300" i="6" s="1" a="1"/>
  <c r="E300" i="6" s="1"/>
  <c r="F300" i="6" a="1"/>
  <c r="F300" i="6" s="1"/>
  <c r="C301" i="6" a="1"/>
  <c r="C301" i="6" s="1"/>
  <c r="D301" i="6" a="1"/>
  <c r="D301" i="6" s="1"/>
  <c r="E301" i="6" s="1" a="1"/>
  <c r="E301" i="6" s="1"/>
  <c r="F301" i="6" a="1"/>
  <c r="F301" i="6" s="1"/>
  <c r="C302" i="6" a="1"/>
  <c r="C302" i="6" s="1"/>
  <c r="D302" i="6" a="1"/>
  <c r="D302" i="6" s="1"/>
  <c r="E302" i="6" s="1" a="1"/>
  <c r="E302" i="6" s="1"/>
  <c r="F302" i="6" a="1"/>
  <c r="F302" i="6" s="1"/>
  <c r="C303" i="6" a="1"/>
  <c r="C303" i="6" s="1"/>
  <c r="D303" i="6" a="1"/>
  <c r="D303" i="6" s="1"/>
  <c r="E303" i="6" s="1" a="1"/>
  <c r="E303" i="6" s="1"/>
  <c r="F303" i="6" a="1"/>
  <c r="F303" i="6" s="1"/>
  <c r="C304" i="6" a="1"/>
  <c r="C304" i="6" s="1"/>
  <c r="D304" i="6" a="1"/>
  <c r="D304" i="6" s="1"/>
  <c r="E304" i="6" s="1" a="1"/>
  <c r="E304" i="6" s="1"/>
  <c r="F304" i="6" a="1"/>
  <c r="F304" i="6" s="1"/>
  <c r="C305" i="6" a="1"/>
  <c r="C305" i="6" s="1"/>
  <c r="D305" i="6" a="1"/>
  <c r="D305" i="6" s="1"/>
  <c r="E305" i="6" s="1" a="1"/>
  <c r="E305" i="6" s="1"/>
  <c r="F305" i="6" a="1"/>
  <c r="F305" i="6" s="1"/>
  <c r="C306" i="6" a="1"/>
  <c r="C306" i="6" s="1"/>
  <c r="D306" i="6" a="1"/>
  <c r="D306" i="6" s="1"/>
  <c r="E306" i="6" s="1" a="1"/>
  <c r="E306" i="6" s="1"/>
  <c r="F306" i="6" a="1"/>
  <c r="F306" i="6" s="1"/>
  <c r="C307" i="6" a="1"/>
  <c r="C307" i="6" s="1"/>
  <c r="D307" i="6" a="1"/>
  <c r="D307" i="6" s="1"/>
  <c r="E307" i="6" s="1" a="1"/>
  <c r="E307" i="6" s="1"/>
  <c r="F307" i="6" a="1"/>
  <c r="F307" i="6" s="1"/>
  <c r="C308" i="6" a="1"/>
  <c r="C308" i="6" s="1"/>
  <c r="D308" i="6" a="1"/>
  <c r="D308" i="6" s="1"/>
  <c r="E308" i="6" s="1" a="1"/>
  <c r="E308" i="6" s="1"/>
  <c r="F308" i="6" a="1"/>
  <c r="F308" i="6" s="1"/>
  <c r="C309" i="6" a="1"/>
  <c r="C309" i="6" s="1"/>
  <c r="D309" i="6" a="1"/>
  <c r="D309" i="6" s="1"/>
  <c r="E309" i="6" s="1" a="1"/>
  <c r="E309" i="6" s="1"/>
  <c r="F309" i="6" a="1"/>
  <c r="F309" i="6" s="1"/>
  <c r="C310" i="6" a="1"/>
  <c r="C310" i="6" s="1"/>
  <c r="D310" i="6" a="1"/>
  <c r="D310" i="6" s="1"/>
  <c r="E310" i="6" s="1" a="1"/>
  <c r="E310" i="6" s="1"/>
  <c r="F310" i="6" a="1"/>
  <c r="F310" i="6" s="1"/>
  <c r="C311" i="6" a="1"/>
  <c r="C311" i="6" s="1"/>
  <c r="D311" i="6" a="1"/>
  <c r="D311" i="6" s="1"/>
  <c r="E311" i="6" s="1" a="1"/>
  <c r="E311" i="6" s="1"/>
  <c r="F311" i="6" a="1"/>
  <c r="F311" i="6" s="1"/>
  <c r="C312" i="6" a="1"/>
  <c r="C312" i="6" s="1"/>
  <c r="D312" i="6" a="1"/>
  <c r="D312" i="6" s="1"/>
  <c r="E312" i="6" s="1" a="1"/>
  <c r="E312" i="6" s="1"/>
  <c r="F312" i="6" a="1"/>
  <c r="F312" i="6" s="1"/>
  <c r="C313" i="6" a="1"/>
  <c r="C313" i="6" s="1"/>
  <c r="D313" i="6" a="1"/>
  <c r="D313" i="6" s="1"/>
  <c r="E313" i="6" s="1" a="1"/>
  <c r="E313" i="6" s="1"/>
  <c r="F313" i="6" a="1"/>
  <c r="F313" i="6" s="1"/>
  <c r="C314" i="6" a="1"/>
  <c r="C314" i="6" s="1"/>
  <c r="D314" i="6" a="1"/>
  <c r="D314" i="6" s="1"/>
  <c r="E314" i="6" s="1" a="1"/>
  <c r="E314" i="6" s="1"/>
  <c r="F314" i="6" a="1"/>
  <c r="F314" i="6" s="1"/>
  <c r="C315" i="6" a="1"/>
  <c r="C315" i="6" s="1"/>
  <c r="D315" i="6" a="1"/>
  <c r="D315" i="6" s="1"/>
  <c r="E315" i="6" s="1" a="1"/>
  <c r="E315" i="6" s="1"/>
  <c r="F315" i="6" a="1"/>
  <c r="F315" i="6" s="1"/>
  <c r="C316" i="6" a="1"/>
  <c r="C316" i="6" s="1"/>
  <c r="D316" i="6" a="1"/>
  <c r="D316" i="6" s="1"/>
  <c r="E316" i="6" s="1" a="1"/>
  <c r="E316" i="6" s="1"/>
  <c r="F316" i="6" a="1"/>
  <c r="F316" i="6" s="1"/>
  <c r="C317" i="6" a="1"/>
  <c r="C317" i="6" s="1"/>
  <c r="D317" i="6" a="1"/>
  <c r="D317" i="6" s="1"/>
  <c r="E317" i="6" s="1" a="1"/>
  <c r="E317" i="6" s="1"/>
  <c r="F317" i="6" a="1"/>
  <c r="F317" i="6" s="1"/>
  <c r="C318" i="6" a="1"/>
  <c r="C318" i="6" s="1"/>
  <c r="D318" i="6" a="1"/>
  <c r="D318" i="6" s="1"/>
  <c r="E318" i="6" s="1" a="1"/>
  <c r="E318" i="6" s="1"/>
  <c r="F318" i="6" a="1"/>
  <c r="F318" i="6" s="1"/>
  <c r="C319" i="6" a="1"/>
  <c r="C319" i="6" s="1"/>
  <c r="D319" i="6" a="1"/>
  <c r="D319" i="6" s="1"/>
  <c r="E319" i="6" s="1" a="1"/>
  <c r="E319" i="6" s="1"/>
  <c r="F319" i="6" a="1"/>
  <c r="F319" i="6" s="1"/>
  <c r="C320" i="6" a="1"/>
  <c r="C320" i="6" s="1"/>
  <c r="D320" i="6" a="1"/>
  <c r="D320" i="6" s="1"/>
  <c r="E320" i="6" s="1" a="1"/>
  <c r="E320" i="6" s="1"/>
  <c r="F320" i="6" a="1"/>
  <c r="F320" i="6" s="1"/>
  <c r="C321" i="6" a="1"/>
  <c r="C321" i="6" s="1"/>
  <c r="D321" i="6" a="1"/>
  <c r="D321" i="6" s="1"/>
  <c r="E321" i="6" s="1" a="1"/>
  <c r="E321" i="6" s="1"/>
  <c r="F321" i="6" a="1"/>
  <c r="F321" i="6" s="1"/>
  <c r="C322" i="6" a="1"/>
  <c r="C322" i="6" s="1"/>
  <c r="D322" i="6" a="1"/>
  <c r="D322" i="6" s="1"/>
  <c r="E322" i="6" s="1" a="1"/>
  <c r="E322" i="6" s="1"/>
  <c r="F322" i="6" a="1"/>
  <c r="F322" i="6" s="1"/>
  <c r="C323" i="6" a="1"/>
  <c r="C323" i="6" s="1"/>
  <c r="D323" i="6" a="1"/>
  <c r="D323" i="6" s="1"/>
  <c r="E323" i="6" s="1" a="1"/>
  <c r="E323" i="6" s="1"/>
  <c r="F323" i="6" a="1"/>
  <c r="F323" i="6" s="1"/>
  <c r="C324" i="6" a="1"/>
  <c r="C324" i="6" s="1"/>
  <c r="D324" i="6" a="1"/>
  <c r="D324" i="6" s="1"/>
  <c r="E324" i="6" s="1" a="1"/>
  <c r="E324" i="6" s="1"/>
  <c r="F324" i="6" a="1"/>
  <c r="F324" i="6" s="1"/>
  <c r="C325" i="6" a="1"/>
  <c r="C325" i="6" s="1"/>
  <c r="D325" i="6" a="1"/>
  <c r="D325" i="6" s="1"/>
  <c r="E325" i="6" s="1" a="1"/>
  <c r="E325" i="6" s="1"/>
  <c r="F325" i="6" a="1"/>
  <c r="F325" i="6" s="1"/>
  <c r="C326" i="6" a="1"/>
  <c r="C326" i="6" s="1"/>
  <c r="D326" i="6" a="1"/>
  <c r="D326" i="6" s="1"/>
  <c r="E326" i="6" s="1" a="1"/>
  <c r="E326" i="6" s="1"/>
  <c r="F326" i="6" a="1"/>
  <c r="F326" i="6" s="1"/>
  <c r="C327" i="6" a="1"/>
  <c r="C327" i="6" s="1"/>
  <c r="D327" i="6" a="1"/>
  <c r="D327" i="6" s="1"/>
  <c r="E327" i="6" s="1" a="1"/>
  <c r="E327" i="6" s="1"/>
  <c r="F327" i="6" a="1"/>
  <c r="F327" i="6" s="1"/>
  <c r="C328" i="6" a="1"/>
  <c r="C328" i="6" s="1"/>
  <c r="D328" i="6" a="1"/>
  <c r="D328" i="6" s="1"/>
  <c r="E328" i="6" s="1" a="1"/>
  <c r="E328" i="6" s="1"/>
  <c r="F328" i="6" a="1"/>
  <c r="F328" i="6" s="1"/>
  <c r="C329" i="6" a="1"/>
  <c r="C329" i="6" s="1"/>
  <c r="D329" i="6" a="1"/>
  <c r="D329" i="6" s="1"/>
  <c r="E329" i="6" s="1" a="1"/>
  <c r="E329" i="6" s="1"/>
  <c r="F329" i="6" a="1"/>
  <c r="F329" i="6" s="1"/>
  <c r="C330" i="6" a="1"/>
  <c r="C330" i="6" s="1"/>
  <c r="D330" i="6" a="1"/>
  <c r="D330" i="6" s="1"/>
  <c r="E330" i="6" s="1" a="1"/>
  <c r="E330" i="6" s="1"/>
  <c r="F330" i="6" a="1"/>
  <c r="F330" i="6" s="1"/>
  <c r="C331" i="6" a="1"/>
  <c r="C331" i="6" s="1"/>
  <c r="D331" i="6" a="1"/>
  <c r="D331" i="6" s="1"/>
  <c r="E331" i="6" s="1" a="1"/>
  <c r="E331" i="6" s="1"/>
  <c r="F331" i="6" a="1"/>
  <c r="F331" i="6" s="1"/>
  <c r="C332" i="6" a="1"/>
  <c r="C332" i="6" s="1"/>
  <c r="D332" i="6" a="1"/>
  <c r="D332" i="6" s="1"/>
  <c r="E332" i="6" s="1" a="1"/>
  <c r="E332" i="6" s="1"/>
  <c r="F332" i="6" a="1"/>
  <c r="F332" i="6" s="1"/>
  <c r="C333" i="6" a="1"/>
  <c r="C333" i="6" s="1"/>
  <c r="D333" i="6" a="1"/>
  <c r="D333" i="6" s="1"/>
  <c r="E333" i="6" s="1" a="1"/>
  <c r="E333" i="6" s="1"/>
  <c r="F333" i="6" a="1"/>
  <c r="F333" i="6" s="1"/>
  <c r="C334" i="6" a="1"/>
  <c r="C334" i="6" s="1"/>
  <c r="D334" i="6" a="1"/>
  <c r="D334" i="6" s="1"/>
  <c r="E334" i="6" s="1" a="1"/>
  <c r="E334" i="6" s="1"/>
  <c r="F334" i="6" a="1"/>
  <c r="F334" i="6" s="1"/>
  <c r="C335" i="6" a="1"/>
  <c r="C335" i="6" s="1"/>
  <c r="D335" i="6" a="1"/>
  <c r="D335" i="6" s="1"/>
  <c r="E335" i="6" s="1" a="1"/>
  <c r="E335" i="6" s="1"/>
  <c r="F335" i="6" a="1"/>
  <c r="F335" i="6" s="1"/>
  <c r="C336" i="6" a="1"/>
  <c r="C336" i="6" s="1"/>
  <c r="D336" i="6" a="1"/>
  <c r="D336" i="6" s="1"/>
  <c r="E336" i="6" s="1" a="1"/>
  <c r="E336" i="6" s="1"/>
  <c r="F336" i="6" a="1"/>
  <c r="F336" i="6" s="1"/>
  <c r="C337" i="6" a="1"/>
  <c r="C337" i="6" s="1"/>
  <c r="D337" i="6" a="1"/>
  <c r="D337" i="6" s="1"/>
  <c r="E337" i="6" s="1" a="1"/>
  <c r="E337" i="6" s="1"/>
  <c r="F337" i="6" a="1"/>
  <c r="F337" i="6" s="1"/>
  <c r="C338" i="6" a="1"/>
  <c r="C338" i="6" s="1"/>
  <c r="D338" i="6" a="1"/>
  <c r="D338" i="6" s="1"/>
  <c r="E338" i="6" s="1" a="1"/>
  <c r="E338" i="6" s="1"/>
  <c r="F338" i="6" a="1"/>
  <c r="F338" i="6" s="1"/>
  <c r="C339" i="6" a="1"/>
  <c r="C339" i="6" s="1"/>
  <c r="D339" i="6" a="1"/>
  <c r="D339" i="6" s="1"/>
  <c r="E339" i="6" s="1" a="1"/>
  <c r="E339" i="6" s="1"/>
  <c r="F339" i="6" a="1"/>
  <c r="F339" i="6" s="1"/>
  <c r="C340" i="6" a="1"/>
  <c r="C340" i="6" s="1"/>
  <c r="D340" i="6" a="1"/>
  <c r="D340" i="6" s="1"/>
  <c r="E340" i="6" s="1" a="1"/>
  <c r="E340" i="6" s="1"/>
  <c r="F340" i="6" a="1"/>
  <c r="F340" i="6" s="1"/>
  <c r="C341" i="6" a="1"/>
  <c r="C341" i="6" s="1"/>
  <c r="D341" i="6" a="1"/>
  <c r="D341" i="6" s="1"/>
  <c r="E341" i="6" s="1" a="1"/>
  <c r="E341" i="6" s="1"/>
  <c r="F341" i="6" a="1"/>
  <c r="F341" i="6" s="1"/>
  <c r="C342" i="6" a="1"/>
  <c r="C342" i="6" s="1"/>
  <c r="D342" i="6" a="1"/>
  <c r="D342" i="6" s="1"/>
  <c r="E342" i="6" s="1" a="1"/>
  <c r="E342" i="6" s="1"/>
  <c r="F342" i="6" a="1"/>
  <c r="F342" i="6" s="1"/>
  <c r="C343" i="6" a="1"/>
  <c r="C343" i="6" s="1"/>
  <c r="D343" i="6" a="1"/>
  <c r="D343" i="6" s="1"/>
  <c r="E343" i="6" s="1" a="1"/>
  <c r="E343" i="6" s="1"/>
  <c r="F343" i="6" a="1"/>
  <c r="F343" i="6" s="1"/>
  <c r="C344" i="6" a="1"/>
  <c r="C344" i="6" s="1"/>
  <c r="D344" i="6" a="1"/>
  <c r="D344" i="6" s="1"/>
  <c r="E344" i="6" s="1" a="1"/>
  <c r="E344" i="6" s="1"/>
  <c r="F344" i="6" a="1"/>
  <c r="F344" i="6" s="1"/>
  <c r="C345" i="6" a="1"/>
  <c r="C345" i="6" s="1"/>
  <c r="D345" i="6" a="1"/>
  <c r="D345" i="6" s="1"/>
  <c r="E345" i="6" s="1" a="1"/>
  <c r="E345" i="6" s="1"/>
  <c r="F345" i="6" a="1"/>
  <c r="F345" i="6" s="1"/>
  <c r="C346" i="6" a="1"/>
  <c r="C346" i="6" s="1"/>
  <c r="D346" i="6" a="1"/>
  <c r="D346" i="6" s="1"/>
  <c r="E346" i="6" s="1" a="1"/>
  <c r="E346" i="6" s="1"/>
  <c r="F346" i="6" a="1"/>
  <c r="F346" i="6" s="1"/>
  <c r="C347" i="6" a="1"/>
  <c r="C347" i="6" s="1"/>
  <c r="D347" i="6" a="1"/>
  <c r="D347" i="6" s="1"/>
  <c r="E347" i="6" s="1" a="1"/>
  <c r="E347" i="6" s="1"/>
  <c r="F347" i="6" a="1"/>
  <c r="F347" i="6" s="1"/>
  <c r="C348" i="6" a="1"/>
  <c r="C348" i="6" s="1"/>
  <c r="D348" i="6" a="1"/>
  <c r="D348" i="6" s="1"/>
  <c r="E348" i="6" s="1" a="1"/>
  <c r="E348" i="6" s="1"/>
  <c r="F348" i="6" a="1"/>
  <c r="F348" i="6" s="1"/>
  <c r="C349" i="6" a="1"/>
  <c r="C349" i="6" s="1"/>
  <c r="D349" i="6" a="1"/>
  <c r="D349" i="6" s="1"/>
  <c r="E349" i="6" s="1" a="1"/>
  <c r="E349" i="6" s="1"/>
  <c r="F349" i="6" a="1"/>
  <c r="F349" i="6" s="1"/>
  <c r="C350" i="6" a="1"/>
  <c r="C350" i="6" s="1"/>
  <c r="D350" i="6" a="1"/>
  <c r="D350" i="6" s="1"/>
  <c r="E350" i="6" s="1" a="1"/>
  <c r="E350" i="6" s="1"/>
  <c r="F350" i="6" a="1"/>
  <c r="F350" i="6" s="1"/>
  <c r="C351" i="6" a="1"/>
  <c r="C351" i="6" s="1"/>
  <c r="D351" i="6" a="1"/>
  <c r="D351" i="6" s="1"/>
  <c r="E351" i="6" s="1" a="1"/>
  <c r="E351" i="6" s="1"/>
  <c r="F351" i="6" a="1"/>
  <c r="F351" i="6" s="1"/>
  <c r="C352" i="6" a="1"/>
  <c r="C352" i="6" s="1"/>
  <c r="D352" i="6" a="1"/>
  <c r="D352" i="6" s="1"/>
  <c r="E352" i="6" s="1" a="1"/>
  <c r="E352" i="6" s="1"/>
  <c r="F352" i="6" a="1"/>
  <c r="F352" i="6" s="1"/>
  <c r="C353" i="6" a="1"/>
  <c r="C353" i="6" s="1"/>
  <c r="D353" i="6" a="1"/>
  <c r="D353" i="6" s="1"/>
  <c r="E353" i="6" s="1" a="1"/>
  <c r="E353" i="6" s="1"/>
  <c r="F353" i="6" a="1"/>
  <c r="F353" i="6" s="1"/>
  <c r="C354" i="6" a="1"/>
  <c r="C354" i="6" s="1"/>
  <c r="D354" i="6" a="1"/>
  <c r="D354" i="6" s="1"/>
  <c r="E354" i="6" s="1" a="1"/>
  <c r="E354" i="6" s="1"/>
  <c r="F354" i="6" a="1"/>
  <c r="F354" i="6" s="1"/>
  <c r="C355" i="6" a="1"/>
  <c r="C355" i="6" s="1"/>
  <c r="D355" i="6" a="1"/>
  <c r="D355" i="6" s="1"/>
  <c r="E355" i="6" s="1" a="1"/>
  <c r="E355" i="6" s="1"/>
  <c r="F355" i="6" a="1"/>
  <c r="F355" i="6" s="1"/>
  <c r="C356" i="6" a="1"/>
  <c r="C356" i="6" s="1"/>
  <c r="D356" i="6" a="1"/>
  <c r="D356" i="6" s="1"/>
  <c r="E356" i="6" s="1" a="1"/>
  <c r="E356" i="6" s="1"/>
  <c r="F356" i="6" a="1"/>
  <c r="F356" i="6" s="1"/>
  <c r="C357" i="6" a="1"/>
  <c r="C357" i="6" s="1"/>
  <c r="D357" i="6" a="1"/>
  <c r="D357" i="6" s="1"/>
  <c r="E357" i="6" s="1" a="1"/>
  <c r="E357" i="6" s="1"/>
  <c r="F357" i="6" a="1"/>
  <c r="F357" i="6" s="1"/>
  <c r="C358" i="6" a="1"/>
  <c r="C358" i="6" s="1"/>
  <c r="D358" i="6" a="1"/>
  <c r="D358" i="6" s="1"/>
  <c r="E358" i="6" s="1" a="1"/>
  <c r="E358" i="6" s="1"/>
  <c r="F358" i="6" a="1"/>
  <c r="F358" i="6" s="1"/>
  <c r="C359" i="6" a="1"/>
  <c r="C359" i="6" s="1"/>
  <c r="D359" i="6" a="1"/>
  <c r="D359" i="6" s="1"/>
  <c r="E359" i="6" s="1" a="1"/>
  <c r="E359" i="6" s="1"/>
  <c r="F359" i="6" a="1"/>
  <c r="F359" i="6" s="1"/>
  <c r="C360" i="6" a="1"/>
  <c r="C360" i="6" s="1"/>
  <c r="D360" i="6" a="1"/>
  <c r="D360" i="6" s="1"/>
  <c r="E360" i="6" s="1" a="1"/>
  <c r="E360" i="6" s="1"/>
  <c r="F360" i="6" a="1"/>
  <c r="F360" i="6" s="1"/>
  <c r="C361" i="6" a="1"/>
  <c r="C361" i="6" s="1"/>
  <c r="D361" i="6" a="1"/>
  <c r="D361" i="6" s="1"/>
  <c r="E361" i="6" s="1" a="1"/>
  <c r="E361" i="6" s="1"/>
  <c r="F361" i="6" a="1"/>
  <c r="F361" i="6" s="1"/>
  <c r="C362" i="6" a="1"/>
  <c r="C362" i="6" s="1"/>
  <c r="D362" i="6" a="1"/>
  <c r="D362" i="6" s="1"/>
  <c r="E362" i="6" s="1" a="1"/>
  <c r="E362" i="6" s="1"/>
  <c r="F362" i="6" a="1"/>
  <c r="F362" i="6" s="1"/>
  <c r="C363" i="6" a="1"/>
  <c r="C363" i="6" s="1"/>
  <c r="D363" i="6" a="1"/>
  <c r="D363" i="6" s="1"/>
  <c r="E363" i="6" s="1" a="1"/>
  <c r="E363" i="6" s="1"/>
  <c r="F363" i="6" a="1"/>
  <c r="F363" i="6" s="1"/>
  <c r="C364" i="6" a="1"/>
  <c r="C364" i="6" s="1"/>
  <c r="D364" i="6" a="1"/>
  <c r="D364" i="6" s="1"/>
  <c r="E364" i="6" s="1" a="1"/>
  <c r="E364" i="6" s="1"/>
  <c r="F364" i="6" a="1"/>
  <c r="F364" i="6" s="1"/>
  <c r="C365" i="6" a="1"/>
  <c r="C365" i="6" s="1"/>
  <c r="D365" i="6" a="1"/>
  <c r="D365" i="6" s="1"/>
  <c r="E365" i="6" s="1" a="1"/>
  <c r="E365" i="6" s="1"/>
  <c r="F365" i="6" a="1"/>
  <c r="F365" i="6" s="1"/>
  <c r="C366" i="6" a="1"/>
  <c r="C366" i="6" s="1"/>
  <c r="D366" i="6" a="1"/>
  <c r="D366" i="6" s="1"/>
  <c r="E366" i="6" s="1" a="1"/>
  <c r="E366" i="6" s="1"/>
  <c r="F366" i="6" a="1"/>
  <c r="F366" i="6" s="1"/>
  <c r="C367" i="6" a="1"/>
  <c r="C367" i="6" s="1"/>
  <c r="D367" i="6" a="1"/>
  <c r="D367" i="6" s="1"/>
  <c r="E367" i="6" s="1" a="1"/>
  <c r="E367" i="6" s="1"/>
  <c r="F367" i="6" a="1"/>
  <c r="F367" i="6" s="1"/>
  <c r="C368" i="6" a="1"/>
  <c r="C368" i="6" s="1"/>
  <c r="D368" i="6" a="1"/>
  <c r="D368" i="6" s="1"/>
  <c r="E368" i="6" s="1" a="1"/>
  <c r="E368" i="6" s="1"/>
  <c r="F368" i="6" a="1"/>
  <c r="F368" i="6" s="1"/>
  <c r="C369" i="6" a="1"/>
  <c r="C369" i="6" s="1"/>
  <c r="D369" i="6" a="1"/>
  <c r="D369" i="6" s="1"/>
  <c r="E369" i="6" s="1" a="1"/>
  <c r="E369" i="6" s="1"/>
  <c r="F369" i="6" a="1"/>
  <c r="F369" i="6" s="1"/>
  <c r="C370" i="6" a="1"/>
  <c r="C370" i="6" s="1"/>
  <c r="D370" i="6" a="1"/>
  <c r="D370" i="6" s="1"/>
  <c r="E370" i="6" s="1" a="1"/>
  <c r="E370" i="6" s="1"/>
  <c r="F370" i="6" a="1"/>
  <c r="F370" i="6" s="1"/>
  <c r="C371" i="6" a="1"/>
  <c r="C371" i="6" s="1"/>
  <c r="D371" i="6" a="1"/>
  <c r="D371" i="6" s="1"/>
  <c r="E371" i="6" s="1" a="1"/>
  <c r="E371" i="6" s="1"/>
  <c r="F371" i="6" a="1"/>
  <c r="F371" i="6" s="1"/>
  <c r="C372" i="6" a="1"/>
  <c r="C372" i="6" s="1"/>
  <c r="D372" i="6" a="1"/>
  <c r="D372" i="6" s="1"/>
  <c r="E372" i="6" s="1" a="1"/>
  <c r="E372" i="6" s="1"/>
  <c r="F372" i="6" a="1"/>
  <c r="F372" i="6" s="1"/>
  <c r="C373" i="6" a="1"/>
  <c r="C373" i="6" s="1"/>
  <c r="D373" i="6" a="1"/>
  <c r="D373" i="6" s="1"/>
  <c r="E373" i="6" s="1" a="1"/>
  <c r="E373" i="6" s="1"/>
  <c r="F373" i="6" a="1"/>
  <c r="F373" i="6" s="1"/>
  <c r="C374" i="6" a="1"/>
  <c r="C374" i="6" s="1"/>
  <c r="D374" i="6" a="1"/>
  <c r="D374" i="6" s="1"/>
  <c r="E374" i="6" s="1" a="1"/>
  <c r="E374" i="6" s="1"/>
  <c r="F374" i="6" a="1"/>
  <c r="F374" i="6" s="1"/>
  <c r="C375" i="6" a="1"/>
  <c r="C375" i="6" s="1"/>
  <c r="D375" i="6" a="1"/>
  <c r="D375" i="6" s="1"/>
  <c r="E375" i="6" s="1" a="1"/>
  <c r="E375" i="6" s="1"/>
  <c r="F375" i="6" a="1"/>
  <c r="F375" i="6" s="1"/>
  <c r="C376" i="6" a="1"/>
  <c r="C376" i="6" s="1"/>
  <c r="D376" i="6" a="1"/>
  <c r="D376" i="6" s="1"/>
  <c r="E376" i="6" s="1" a="1"/>
  <c r="E376" i="6" s="1"/>
  <c r="F376" i="6" a="1"/>
  <c r="F376" i="6" s="1"/>
  <c r="C377" i="6" a="1"/>
  <c r="C377" i="6" s="1"/>
  <c r="D377" i="6" a="1"/>
  <c r="D377" i="6" s="1"/>
  <c r="E377" i="6" s="1" a="1"/>
  <c r="E377" i="6" s="1"/>
  <c r="F377" i="6" a="1"/>
  <c r="F377" i="6" s="1"/>
  <c r="C378" i="6" a="1"/>
  <c r="C378" i="6" s="1"/>
  <c r="D378" i="6" a="1"/>
  <c r="D378" i="6" s="1"/>
  <c r="E378" i="6" s="1" a="1"/>
  <c r="E378" i="6" s="1"/>
  <c r="F378" i="6" a="1"/>
  <c r="F378" i="6" s="1"/>
  <c r="C379" i="6" a="1"/>
  <c r="C379" i="6" s="1"/>
  <c r="D379" i="6" a="1"/>
  <c r="D379" i="6" s="1"/>
  <c r="E379" i="6" s="1" a="1"/>
  <c r="E379" i="6" s="1"/>
  <c r="F379" i="6" a="1"/>
  <c r="F379" i="6" s="1"/>
  <c r="C380" i="6" a="1"/>
  <c r="C380" i="6" s="1"/>
  <c r="D380" i="6" a="1"/>
  <c r="D380" i="6" s="1"/>
  <c r="E380" i="6" s="1" a="1"/>
  <c r="E380" i="6" s="1"/>
  <c r="F380" i="6" a="1"/>
  <c r="F380" i="6" s="1"/>
  <c r="C381" i="6" a="1"/>
  <c r="C381" i="6" s="1"/>
  <c r="D381" i="6" a="1"/>
  <c r="D381" i="6" s="1"/>
  <c r="E381" i="6" s="1" a="1"/>
  <c r="E381" i="6" s="1"/>
  <c r="F381" i="6" a="1"/>
  <c r="F381" i="6" s="1"/>
  <c r="C382" i="6" a="1"/>
  <c r="C382" i="6" s="1"/>
  <c r="D382" i="6" a="1"/>
  <c r="D382" i="6" s="1"/>
  <c r="E382" i="6" s="1" a="1"/>
  <c r="E382" i="6" s="1"/>
  <c r="F382" i="6" a="1"/>
  <c r="F382" i="6" s="1"/>
  <c r="C383" i="6" a="1"/>
  <c r="C383" i="6" s="1"/>
  <c r="D383" i="6" a="1"/>
  <c r="D383" i="6" s="1"/>
  <c r="E383" i="6" s="1" a="1"/>
  <c r="E383" i="6" s="1"/>
  <c r="F383" i="6" a="1"/>
  <c r="F383" i="6" s="1"/>
  <c r="C384" i="6" a="1"/>
  <c r="C384" i="6" s="1"/>
  <c r="D384" i="6" a="1"/>
  <c r="D384" i="6" s="1"/>
  <c r="E384" i="6" s="1" a="1"/>
  <c r="E384" i="6" s="1"/>
  <c r="F384" i="6" a="1"/>
  <c r="F384" i="6" s="1"/>
  <c r="C385" i="6" a="1"/>
  <c r="C385" i="6" s="1"/>
  <c r="D385" i="6" a="1"/>
  <c r="D385" i="6" s="1"/>
  <c r="E385" i="6" s="1" a="1"/>
  <c r="E385" i="6" s="1"/>
  <c r="F385" i="6" a="1"/>
  <c r="F385" i="6" s="1"/>
  <c r="C386" i="6" a="1"/>
  <c r="C386" i="6" s="1"/>
  <c r="D386" i="6" a="1"/>
  <c r="D386" i="6" s="1"/>
  <c r="E386" i="6" s="1" a="1"/>
  <c r="E386" i="6" s="1"/>
  <c r="F386" i="6" a="1"/>
  <c r="F386" i="6" s="1"/>
  <c r="C387" i="6" a="1"/>
  <c r="C387" i="6" s="1"/>
  <c r="D387" i="6" a="1"/>
  <c r="D387" i="6" s="1"/>
  <c r="E387" i="6" s="1" a="1"/>
  <c r="E387" i="6" s="1"/>
  <c r="F387" i="6" a="1"/>
  <c r="F387" i="6" s="1"/>
  <c r="C388" i="6" a="1"/>
  <c r="C388" i="6" s="1"/>
  <c r="D388" i="6" a="1"/>
  <c r="D388" i="6" s="1"/>
  <c r="E388" i="6" s="1" a="1"/>
  <c r="E388" i="6" s="1"/>
  <c r="F388" i="6" a="1"/>
  <c r="F388" i="6" s="1"/>
  <c r="C389" i="6" a="1"/>
  <c r="C389" i="6" s="1"/>
  <c r="D389" i="6" a="1"/>
  <c r="D389" i="6" s="1"/>
  <c r="E389" i="6" s="1" a="1"/>
  <c r="E389" i="6" s="1"/>
  <c r="F389" i="6" a="1"/>
  <c r="F389" i="6" s="1"/>
  <c r="C390" i="6" a="1"/>
  <c r="C390" i="6" s="1"/>
  <c r="D390" i="6" a="1"/>
  <c r="D390" i="6" s="1"/>
  <c r="E390" i="6" s="1" a="1"/>
  <c r="E390" i="6" s="1"/>
  <c r="F390" i="6" a="1"/>
  <c r="F390" i="6" s="1"/>
  <c r="C391" i="6" a="1"/>
  <c r="C391" i="6" s="1"/>
  <c r="D391" i="6" a="1"/>
  <c r="D391" i="6" s="1"/>
  <c r="E391" i="6" s="1" a="1"/>
  <c r="E391" i="6" s="1"/>
  <c r="F391" i="6" a="1"/>
  <c r="F391" i="6" s="1"/>
  <c r="C392" i="6" a="1"/>
  <c r="C392" i="6" s="1"/>
  <c r="D392" i="6" a="1"/>
  <c r="D392" i="6" s="1"/>
  <c r="E392" i="6" s="1" a="1"/>
  <c r="E392" i="6" s="1"/>
  <c r="F392" i="6" a="1"/>
  <c r="F392" i="6" s="1"/>
  <c r="C393" i="6" a="1"/>
  <c r="C393" i="6" s="1"/>
  <c r="D393" i="6" a="1"/>
  <c r="D393" i="6" s="1"/>
  <c r="E393" i="6" s="1" a="1"/>
  <c r="E393" i="6" s="1"/>
  <c r="F393" i="6" a="1"/>
  <c r="F393" i="6" s="1"/>
  <c r="C394" i="6" a="1"/>
  <c r="C394" i="6" s="1"/>
  <c r="D394" i="6" a="1"/>
  <c r="D394" i="6" s="1"/>
  <c r="E394" i="6" s="1" a="1"/>
  <c r="E394" i="6" s="1"/>
  <c r="F394" i="6" a="1"/>
  <c r="F394" i="6" s="1"/>
  <c r="C395" i="6" a="1"/>
  <c r="C395" i="6" s="1"/>
  <c r="D395" i="6" a="1"/>
  <c r="D395" i="6" s="1"/>
  <c r="E395" i="6" s="1" a="1"/>
  <c r="E395" i="6" s="1"/>
  <c r="F395" i="6" a="1"/>
  <c r="F395" i="6" s="1"/>
  <c r="C396" i="6" a="1"/>
  <c r="C396" i="6" s="1"/>
  <c r="D396" i="6" a="1"/>
  <c r="D396" i="6" s="1"/>
  <c r="E396" i="6" s="1" a="1"/>
  <c r="E396" i="6" s="1"/>
  <c r="F396" i="6" a="1"/>
  <c r="F396" i="6" s="1"/>
  <c r="C397" i="6" a="1"/>
  <c r="C397" i="6" s="1"/>
  <c r="D397" i="6" a="1"/>
  <c r="D397" i="6" s="1"/>
  <c r="E397" i="6" s="1" a="1"/>
  <c r="E397" i="6" s="1"/>
  <c r="F397" i="6" a="1"/>
  <c r="F397" i="6" s="1"/>
  <c r="C398" i="6" a="1"/>
  <c r="C398" i="6" s="1"/>
  <c r="D398" i="6" a="1"/>
  <c r="D398" i="6" s="1"/>
  <c r="E398" i="6" s="1" a="1"/>
  <c r="E398" i="6" s="1"/>
  <c r="F398" i="6" a="1"/>
  <c r="F398" i="6" s="1"/>
  <c r="C399" i="6" a="1"/>
  <c r="C399" i="6" s="1"/>
  <c r="D399" i="6" a="1"/>
  <c r="D399" i="6" s="1"/>
  <c r="E399" i="6" s="1" a="1"/>
  <c r="E399" i="6" s="1"/>
  <c r="F399" i="6" a="1"/>
  <c r="F399" i="6" s="1"/>
  <c r="C400" i="6" a="1"/>
  <c r="C400" i="6" s="1"/>
  <c r="D400" i="6" a="1"/>
  <c r="D400" i="6" s="1"/>
  <c r="E400" i="6" s="1" a="1"/>
  <c r="E400" i="6" s="1"/>
  <c r="F400" i="6" a="1"/>
  <c r="F400" i="6" s="1"/>
  <c r="C401" i="6" a="1"/>
  <c r="C401" i="6" s="1"/>
  <c r="D401" i="6" a="1"/>
  <c r="D401" i="6" s="1"/>
  <c r="E401" i="6" s="1" a="1"/>
  <c r="E401" i="6" s="1"/>
  <c r="F401" i="6" a="1"/>
  <c r="F401" i="6" s="1"/>
  <c r="C402" i="6" a="1"/>
  <c r="C402" i="6" s="1"/>
  <c r="D402" i="6" a="1"/>
  <c r="D402" i="6" s="1"/>
  <c r="E402" i="6" s="1" a="1"/>
  <c r="E402" i="6" s="1"/>
  <c r="F402" i="6" a="1"/>
  <c r="F402" i="6" s="1"/>
  <c r="C403" i="6" a="1"/>
  <c r="C403" i="6" s="1"/>
  <c r="D403" i="6" a="1"/>
  <c r="D403" i="6" s="1"/>
  <c r="E403" i="6" s="1" a="1"/>
  <c r="E403" i="6" s="1"/>
  <c r="F403" i="6" a="1"/>
  <c r="F403" i="6" s="1"/>
  <c r="C404" i="6" a="1"/>
  <c r="C404" i="6" s="1"/>
  <c r="D404" i="6" a="1"/>
  <c r="D404" i="6" s="1"/>
  <c r="E404" i="6" s="1" a="1"/>
  <c r="E404" i="6" s="1"/>
  <c r="F404" i="6" a="1"/>
  <c r="F404" i="6" s="1"/>
  <c r="C405" i="6" a="1"/>
  <c r="C405" i="6" s="1"/>
  <c r="D405" i="6" a="1"/>
  <c r="D405" i="6" s="1"/>
  <c r="E405" i="6" s="1" a="1"/>
  <c r="E405" i="6" s="1"/>
  <c r="F405" i="6" a="1"/>
  <c r="F405" i="6" s="1"/>
  <c r="C406" i="6" a="1"/>
  <c r="C406" i="6" s="1"/>
  <c r="D406" i="6" a="1"/>
  <c r="D406" i="6" s="1"/>
  <c r="E406" i="6" s="1" a="1"/>
  <c r="E406" i="6" s="1"/>
  <c r="F406" i="6" a="1"/>
  <c r="F406" i="6" s="1"/>
  <c r="C407" i="6" a="1"/>
  <c r="C407" i="6" s="1"/>
  <c r="D407" i="6" a="1"/>
  <c r="D407" i="6" s="1"/>
  <c r="E407" i="6" s="1" a="1"/>
  <c r="E407" i="6" s="1"/>
  <c r="F407" i="6" a="1"/>
  <c r="F407" i="6" s="1"/>
  <c r="C408" i="6" a="1"/>
  <c r="C408" i="6" s="1"/>
  <c r="D408" i="6" a="1"/>
  <c r="D408" i="6" s="1"/>
  <c r="E408" i="6" s="1" a="1"/>
  <c r="E408" i="6" s="1"/>
  <c r="F408" i="6" a="1"/>
  <c r="F408" i="6" s="1"/>
  <c r="C409" i="6" a="1"/>
  <c r="C409" i="6" s="1"/>
  <c r="D409" i="6" a="1"/>
  <c r="D409" i="6" s="1"/>
  <c r="E409" i="6" s="1" a="1"/>
  <c r="E409" i="6" s="1"/>
  <c r="F409" i="6" a="1"/>
  <c r="F409" i="6" s="1"/>
  <c r="C410" i="6" a="1"/>
  <c r="C410" i="6" s="1"/>
  <c r="D410" i="6" a="1"/>
  <c r="D410" i="6" s="1"/>
  <c r="E410" i="6" s="1" a="1"/>
  <c r="E410" i="6" s="1"/>
  <c r="F410" i="6" a="1"/>
  <c r="F410" i="6" s="1"/>
  <c r="C411" i="6" a="1"/>
  <c r="C411" i="6" s="1"/>
  <c r="D411" i="6" a="1"/>
  <c r="D411" i="6" s="1"/>
  <c r="E411" i="6" s="1" a="1"/>
  <c r="E411" i="6" s="1"/>
  <c r="F411" i="6" a="1"/>
  <c r="F411" i="6" s="1"/>
  <c r="C412" i="6" a="1"/>
  <c r="C412" i="6" s="1"/>
  <c r="D412" i="6" a="1"/>
  <c r="D412" i="6" s="1"/>
  <c r="E412" i="6" s="1" a="1"/>
  <c r="E412" i="6" s="1"/>
  <c r="F412" i="6" a="1"/>
  <c r="F412" i="6" s="1"/>
  <c r="C413" i="6" a="1"/>
  <c r="C413" i="6" s="1"/>
  <c r="D413" i="6" a="1"/>
  <c r="D413" i="6" s="1"/>
  <c r="E413" i="6" s="1" a="1"/>
  <c r="E413" i="6" s="1"/>
  <c r="F413" i="6" a="1"/>
  <c r="F413" i="6" s="1"/>
  <c r="C414" i="6" a="1"/>
  <c r="C414" i="6" s="1"/>
  <c r="D414" i="6" a="1"/>
  <c r="D414" i="6" s="1"/>
  <c r="E414" i="6" s="1" a="1"/>
  <c r="E414" i="6" s="1"/>
  <c r="F414" i="6" a="1"/>
  <c r="F414" i="6" s="1"/>
  <c r="C415" i="6" a="1"/>
  <c r="C415" i="6" s="1"/>
  <c r="D415" i="6" a="1"/>
  <c r="D415" i="6" s="1"/>
  <c r="E415" i="6" s="1" a="1"/>
  <c r="E415" i="6" s="1"/>
  <c r="F415" i="6" a="1"/>
  <c r="F415" i="6" s="1"/>
  <c r="C416" i="6" a="1"/>
  <c r="C416" i="6" s="1"/>
  <c r="D416" i="6" a="1"/>
  <c r="D416" i="6" s="1"/>
  <c r="E416" i="6" s="1" a="1"/>
  <c r="E416" i="6" s="1"/>
  <c r="F416" i="6" a="1"/>
  <c r="F416" i="6" s="1"/>
  <c r="C417" i="6" a="1"/>
  <c r="C417" i="6" s="1"/>
  <c r="D417" i="6" a="1"/>
  <c r="D417" i="6" s="1"/>
  <c r="E417" i="6" s="1" a="1"/>
  <c r="E417" i="6" s="1"/>
  <c r="F417" i="6" a="1"/>
  <c r="F417" i="6" s="1"/>
  <c r="C418" i="6" a="1"/>
  <c r="C418" i="6" s="1"/>
  <c r="D418" i="6" a="1"/>
  <c r="D418" i="6" s="1"/>
  <c r="E418" i="6" s="1" a="1"/>
  <c r="E418" i="6" s="1"/>
  <c r="F418" i="6" a="1"/>
  <c r="F418" i="6" s="1"/>
  <c r="C419" i="6" a="1"/>
  <c r="C419" i="6" s="1"/>
  <c r="D419" i="6" a="1"/>
  <c r="D419" i="6" s="1"/>
  <c r="E419" i="6" s="1" a="1"/>
  <c r="E419" i="6" s="1"/>
  <c r="F419" i="6" a="1"/>
  <c r="F419" i="6" s="1"/>
  <c r="C420" i="6" a="1"/>
  <c r="C420" i="6" s="1"/>
  <c r="D420" i="6" a="1"/>
  <c r="D420" i="6" s="1"/>
  <c r="E420" i="6" s="1" a="1"/>
  <c r="E420" i="6" s="1"/>
  <c r="F420" i="6" a="1"/>
  <c r="F420" i="6" s="1"/>
  <c r="C421" i="6" a="1"/>
  <c r="C421" i="6" s="1"/>
  <c r="D421" i="6" a="1"/>
  <c r="D421" i="6" s="1"/>
  <c r="E421" i="6" s="1" a="1"/>
  <c r="E421" i="6" s="1"/>
  <c r="F421" i="6" a="1"/>
  <c r="F421" i="6" s="1"/>
  <c r="C422" i="6" a="1"/>
  <c r="C422" i="6" s="1"/>
  <c r="D422" i="6" a="1"/>
  <c r="D422" i="6" s="1"/>
  <c r="E422" i="6" s="1" a="1"/>
  <c r="E422" i="6" s="1"/>
  <c r="F422" i="6" a="1"/>
  <c r="F422" i="6" s="1"/>
  <c r="C423" i="6" a="1"/>
  <c r="C423" i="6" s="1"/>
  <c r="D423" i="6" a="1"/>
  <c r="D423" i="6" s="1"/>
  <c r="E423" i="6" s="1" a="1"/>
  <c r="E423" i="6" s="1"/>
  <c r="F423" i="6" a="1"/>
  <c r="F423" i="6" s="1"/>
  <c r="C424" i="6" a="1"/>
  <c r="C424" i="6" s="1"/>
  <c r="D424" i="6" a="1"/>
  <c r="D424" i="6" s="1"/>
  <c r="E424" i="6" s="1" a="1"/>
  <c r="E424" i="6" s="1"/>
  <c r="F424" i="6" a="1"/>
  <c r="F424" i="6" s="1"/>
  <c r="C425" i="6" a="1"/>
  <c r="C425" i="6" s="1"/>
  <c r="D425" i="6" a="1"/>
  <c r="D425" i="6" s="1"/>
  <c r="E425" i="6" s="1" a="1"/>
  <c r="E425" i="6" s="1"/>
  <c r="F425" i="6" a="1"/>
  <c r="F425" i="6" s="1"/>
  <c r="C426" i="6" a="1"/>
  <c r="C426" i="6" s="1"/>
  <c r="D426" i="6" a="1"/>
  <c r="D426" i="6" s="1"/>
  <c r="E426" i="6" s="1" a="1"/>
  <c r="E426" i="6" s="1"/>
  <c r="F426" i="6" a="1"/>
  <c r="F426" i="6" s="1"/>
  <c r="C427" i="6" a="1"/>
  <c r="C427" i="6" s="1"/>
  <c r="D427" i="6" a="1"/>
  <c r="D427" i="6" s="1"/>
  <c r="E427" i="6" s="1" a="1"/>
  <c r="E427" i="6" s="1"/>
  <c r="F427" i="6" a="1"/>
  <c r="F427" i="6" s="1"/>
  <c r="C428" i="6" a="1"/>
  <c r="C428" i="6" s="1"/>
  <c r="D428" i="6" a="1"/>
  <c r="D428" i="6" s="1"/>
  <c r="E428" i="6" s="1" a="1"/>
  <c r="E428" i="6" s="1"/>
  <c r="F428" i="6" a="1"/>
  <c r="F428" i="6" s="1"/>
  <c r="C429" i="6" a="1"/>
  <c r="C429" i="6" s="1"/>
  <c r="D429" i="6" a="1"/>
  <c r="D429" i="6" s="1"/>
  <c r="E429" i="6" s="1" a="1"/>
  <c r="E429" i="6" s="1"/>
  <c r="F429" i="6" a="1"/>
  <c r="F429" i="6" s="1"/>
  <c r="C430" i="6" a="1"/>
  <c r="C430" i="6" s="1"/>
  <c r="D430" i="6" a="1"/>
  <c r="D430" i="6" s="1"/>
  <c r="E430" i="6" s="1" a="1"/>
  <c r="E430" i="6" s="1"/>
  <c r="F430" i="6" a="1"/>
  <c r="F430" i="6" s="1"/>
  <c r="C431" i="6" a="1"/>
  <c r="C431" i="6" s="1"/>
  <c r="D431" i="6" a="1"/>
  <c r="D431" i="6" s="1"/>
  <c r="E431" i="6" s="1" a="1"/>
  <c r="E431" i="6" s="1"/>
  <c r="F431" i="6" a="1"/>
  <c r="F431" i="6" s="1"/>
  <c r="C432" i="6" a="1"/>
  <c r="C432" i="6" s="1"/>
  <c r="D432" i="6" a="1"/>
  <c r="D432" i="6" s="1"/>
  <c r="E432" i="6" s="1" a="1"/>
  <c r="E432" i="6" s="1"/>
  <c r="F432" i="6" a="1"/>
  <c r="F432" i="6" s="1"/>
  <c r="C433" i="6" a="1"/>
  <c r="C433" i="6" s="1"/>
  <c r="D433" i="6" a="1"/>
  <c r="D433" i="6" s="1"/>
  <c r="E433" i="6" s="1" a="1"/>
  <c r="E433" i="6" s="1"/>
  <c r="F433" i="6" a="1"/>
  <c r="F433" i="6" s="1"/>
  <c r="C434" i="6" a="1"/>
  <c r="C434" i="6" s="1"/>
  <c r="D434" i="6" a="1"/>
  <c r="D434" i="6" s="1"/>
  <c r="E434" i="6" s="1" a="1"/>
  <c r="E434" i="6" s="1"/>
  <c r="F434" i="6" a="1"/>
  <c r="F434" i="6" s="1"/>
  <c r="C435" i="6" a="1"/>
  <c r="C435" i="6" s="1"/>
  <c r="D435" i="6" a="1"/>
  <c r="D435" i="6" s="1"/>
  <c r="E435" i="6" s="1" a="1"/>
  <c r="E435" i="6" s="1"/>
  <c r="F435" i="6" a="1"/>
  <c r="F435" i="6" s="1"/>
  <c r="C436" i="6" a="1"/>
  <c r="C436" i="6" s="1"/>
  <c r="D436" i="6" a="1"/>
  <c r="D436" i="6" s="1"/>
  <c r="E436" i="6" s="1" a="1"/>
  <c r="E436" i="6" s="1"/>
  <c r="F436" i="6" a="1"/>
  <c r="F436" i="6" s="1"/>
  <c r="C437" i="6" a="1"/>
  <c r="C437" i="6" s="1"/>
  <c r="D437" i="6" a="1"/>
  <c r="D437" i="6" s="1"/>
  <c r="E437" i="6" s="1" a="1"/>
  <c r="E437" i="6" s="1"/>
  <c r="F437" i="6" a="1"/>
  <c r="F437" i="6" s="1"/>
  <c r="C438" i="6" a="1"/>
  <c r="C438" i="6" s="1"/>
  <c r="D438" i="6" a="1"/>
  <c r="D438" i="6" s="1"/>
  <c r="E438" i="6" s="1" a="1"/>
  <c r="E438" i="6" s="1"/>
  <c r="F438" i="6" a="1"/>
  <c r="F438" i="6" s="1"/>
  <c r="C439" i="6" a="1"/>
  <c r="C439" i="6" s="1"/>
  <c r="D439" i="6" a="1"/>
  <c r="D439" i="6" s="1"/>
  <c r="E439" i="6" s="1" a="1"/>
  <c r="E439" i="6" s="1"/>
  <c r="F439" i="6" a="1"/>
  <c r="F439" i="6" s="1"/>
  <c r="C440" i="6" a="1"/>
  <c r="C440" i="6" s="1"/>
  <c r="D440" i="6" a="1"/>
  <c r="D440" i="6" s="1"/>
  <c r="E440" i="6" s="1" a="1"/>
  <c r="E440" i="6" s="1"/>
  <c r="F440" i="6" a="1"/>
  <c r="F440" i="6" s="1"/>
  <c r="C441" i="6" a="1"/>
  <c r="C441" i="6" s="1"/>
  <c r="D441" i="6" a="1"/>
  <c r="D441" i="6" s="1"/>
  <c r="E441" i="6" s="1" a="1"/>
  <c r="E441" i="6" s="1"/>
  <c r="F441" i="6" a="1"/>
  <c r="F441" i="6" s="1"/>
  <c r="C442" i="6" a="1"/>
  <c r="C442" i="6" s="1"/>
  <c r="D442" i="6" a="1"/>
  <c r="D442" i="6" s="1"/>
  <c r="E442" i="6" s="1" a="1"/>
  <c r="E442" i="6" s="1"/>
  <c r="F442" i="6" a="1"/>
  <c r="F442" i="6" s="1"/>
  <c r="C443" i="6" a="1"/>
  <c r="C443" i="6" s="1"/>
  <c r="D443" i="6" a="1"/>
  <c r="D443" i="6" s="1"/>
  <c r="E443" i="6" s="1" a="1"/>
  <c r="E443" i="6" s="1"/>
  <c r="F443" i="6" a="1"/>
  <c r="F443" i="6" s="1"/>
  <c r="C444" i="6" a="1"/>
  <c r="C444" i="6" s="1"/>
  <c r="D444" i="6" a="1"/>
  <c r="D444" i="6" s="1"/>
  <c r="E444" i="6" s="1" a="1"/>
  <c r="E444" i="6" s="1"/>
  <c r="F444" i="6" a="1"/>
  <c r="F444" i="6" s="1"/>
  <c r="C445" i="6" a="1"/>
  <c r="C445" i="6" s="1"/>
  <c r="D445" i="6" a="1"/>
  <c r="D445" i="6" s="1"/>
  <c r="E445" i="6" s="1" a="1"/>
  <c r="E445" i="6" s="1"/>
  <c r="F445" i="6" a="1"/>
  <c r="F445" i="6" s="1"/>
  <c r="C446" i="6" a="1"/>
  <c r="C446" i="6" s="1"/>
  <c r="D446" i="6" a="1"/>
  <c r="D446" i="6" s="1"/>
  <c r="E446" i="6" s="1" a="1"/>
  <c r="E446" i="6" s="1"/>
  <c r="F446" i="6" a="1"/>
  <c r="F446" i="6" s="1"/>
  <c r="C447" i="6" a="1"/>
  <c r="C447" i="6" s="1"/>
  <c r="D447" i="6" a="1"/>
  <c r="D447" i="6" s="1"/>
  <c r="E447" i="6" s="1" a="1"/>
  <c r="E447" i="6" s="1"/>
  <c r="F447" i="6" a="1"/>
  <c r="F447" i="6" s="1"/>
  <c r="C448" i="6" a="1"/>
  <c r="C448" i="6" s="1"/>
  <c r="D448" i="6" a="1"/>
  <c r="D448" i="6" s="1"/>
  <c r="E448" i="6" s="1" a="1"/>
  <c r="E448" i="6" s="1"/>
  <c r="F448" i="6" a="1"/>
  <c r="F448" i="6" s="1"/>
  <c r="C449" i="6" a="1"/>
  <c r="C449" i="6" s="1"/>
  <c r="D449" i="6" a="1"/>
  <c r="D449" i="6" s="1"/>
  <c r="E449" i="6" s="1" a="1"/>
  <c r="E449" i="6" s="1"/>
  <c r="F449" i="6" a="1"/>
  <c r="F449" i="6" s="1"/>
  <c r="C450" i="6" a="1"/>
  <c r="C450" i="6" s="1"/>
  <c r="D450" i="6" a="1"/>
  <c r="D450" i="6" s="1"/>
  <c r="E450" i="6" s="1" a="1"/>
  <c r="E450" i="6" s="1"/>
  <c r="F450" i="6" a="1"/>
  <c r="F450" i="6" s="1"/>
  <c r="C451" i="6" a="1"/>
  <c r="C451" i="6" s="1"/>
  <c r="D451" i="6" a="1"/>
  <c r="D451" i="6" s="1"/>
  <c r="E451" i="6" s="1" a="1"/>
  <c r="E451" i="6" s="1"/>
  <c r="F451" i="6" a="1"/>
  <c r="F451" i="6" s="1"/>
  <c r="C452" i="6" a="1"/>
  <c r="C452" i="6" s="1"/>
  <c r="D452" i="6" a="1"/>
  <c r="D452" i="6" s="1"/>
  <c r="E452" i="6" s="1" a="1"/>
  <c r="E452" i="6" s="1"/>
  <c r="F452" i="6" a="1"/>
  <c r="F452" i="6" s="1"/>
  <c r="C453" i="6" a="1"/>
  <c r="C453" i="6" s="1"/>
  <c r="D453" i="6" a="1"/>
  <c r="D453" i="6" s="1"/>
  <c r="E453" i="6" s="1" a="1"/>
  <c r="E453" i="6" s="1"/>
  <c r="F453" i="6" a="1"/>
  <c r="F453" i="6" s="1"/>
  <c r="C454" i="6" a="1"/>
  <c r="C454" i="6" s="1"/>
  <c r="D454" i="6" a="1"/>
  <c r="D454" i="6" s="1"/>
  <c r="E454" i="6" s="1" a="1"/>
  <c r="E454" i="6" s="1"/>
  <c r="F454" i="6" a="1"/>
  <c r="F454" i="6" s="1"/>
  <c r="C455" i="6" a="1"/>
  <c r="C455" i="6" s="1"/>
  <c r="D455" i="6" a="1"/>
  <c r="D455" i="6" s="1"/>
  <c r="E455" i="6" s="1" a="1"/>
  <c r="E455" i="6" s="1"/>
  <c r="F455" i="6" a="1"/>
  <c r="F455" i="6" s="1"/>
  <c r="C456" i="6" a="1"/>
  <c r="C456" i="6" s="1"/>
  <c r="D456" i="6" a="1"/>
  <c r="D456" i="6" s="1"/>
  <c r="E456" i="6" s="1" a="1"/>
  <c r="E456" i="6" s="1"/>
  <c r="F456" i="6" a="1"/>
  <c r="F456" i="6" s="1"/>
  <c r="C457" i="6" a="1"/>
  <c r="C457" i="6" s="1"/>
  <c r="D457" i="6" a="1"/>
  <c r="D457" i="6" s="1"/>
  <c r="E457" i="6" s="1" a="1"/>
  <c r="E457" i="6" s="1"/>
  <c r="F457" i="6" a="1"/>
  <c r="F457" i="6" s="1"/>
  <c r="C458" i="6" a="1"/>
  <c r="C458" i="6" s="1"/>
  <c r="D458" i="6" a="1"/>
  <c r="D458" i="6" s="1"/>
  <c r="E458" i="6" s="1" a="1"/>
  <c r="E458" i="6" s="1"/>
  <c r="F458" i="6" a="1"/>
  <c r="F458" i="6" s="1"/>
  <c r="C459" i="6" a="1"/>
  <c r="C459" i="6" s="1"/>
  <c r="D459" i="6" a="1"/>
  <c r="D459" i="6" s="1"/>
  <c r="E459" i="6" s="1" a="1"/>
  <c r="E459" i="6" s="1"/>
  <c r="F459" i="6" a="1"/>
  <c r="F459" i="6" s="1"/>
  <c r="C460" i="6" a="1"/>
  <c r="C460" i="6" s="1"/>
  <c r="D460" i="6" a="1"/>
  <c r="D460" i="6" s="1"/>
  <c r="E460" i="6" s="1" a="1"/>
  <c r="E460" i="6" s="1"/>
  <c r="F460" i="6" a="1"/>
  <c r="F460" i="6" s="1"/>
  <c r="C461" i="6" a="1"/>
  <c r="C461" i="6" s="1"/>
  <c r="D461" i="6" a="1"/>
  <c r="D461" i="6" s="1"/>
  <c r="E461" i="6" s="1" a="1"/>
  <c r="E461" i="6" s="1"/>
  <c r="F461" i="6" a="1"/>
  <c r="F461" i="6" s="1"/>
  <c r="C462" i="6" a="1"/>
  <c r="C462" i="6" s="1"/>
  <c r="D462" i="6" a="1"/>
  <c r="D462" i="6" s="1"/>
  <c r="E462" i="6" s="1" a="1"/>
  <c r="E462" i="6" s="1"/>
  <c r="F462" i="6" a="1"/>
  <c r="F462" i="6" s="1"/>
  <c r="C463" i="6" a="1"/>
  <c r="C463" i="6" s="1"/>
  <c r="D463" i="6" a="1"/>
  <c r="D463" i="6" s="1"/>
  <c r="E463" i="6" s="1" a="1"/>
  <c r="E463" i="6" s="1"/>
  <c r="F463" i="6" a="1"/>
  <c r="F463" i="6" s="1"/>
  <c r="C464" i="6" a="1"/>
  <c r="C464" i="6" s="1"/>
  <c r="D464" i="6" a="1"/>
  <c r="D464" i="6" s="1"/>
  <c r="E464" i="6" s="1" a="1"/>
  <c r="E464" i="6" s="1"/>
  <c r="F464" i="6" a="1"/>
  <c r="F464" i="6" s="1"/>
  <c r="C465" i="6" a="1"/>
  <c r="C465" i="6" s="1"/>
  <c r="D465" i="6" a="1"/>
  <c r="D465" i="6" s="1"/>
  <c r="E465" i="6" s="1" a="1"/>
  <c r="E465" i="6" s="1"/>
  <c r="F465" i="6" a="1"/>
  <c r="F465" i="6" s="1"/>
  <c r="C466" i="6" a="1"/>
  <c r="C466" i="6" s="1"/>
  <c r="D466" i="6" a="1"/>
  <c r="D466" i="6" s="1"/>
  <c r="E466" i="6" s="1" a="1"/>
  <c r="E466" i="6" s="1"/>
  <c r="F466" i="6" a="1"/>
  <c r="F466" i="6" s="1"/>
  <c r="C467" i="6" a="1"/>
  <c r="C467" i="6" s="1"/>
  <c r="D467" i="6" a="1"/>
  <c r="D467" i="6" s="1"/>
  <c r="E467" i="6" s="1" a="1"/>
  <c r="E467" i="6" s="1"/>
  <c r="F467" i="6" a="1"/>
  <c r="F467" i="6" s="1"/>
  <c r="C468" i="6" a="1"/>
  <c r="C468" i="6" s="1"/>
  <c r="D468" i="6" a="1"/>
  <c r="D468" i="6" s="1"/>
  <c r="E468" i="6" s="1" a="1"/>
  <c r="E468" i="6" s="1"/>
  <c r="F468" i="6" a="1"/>
  <c r="F468" i="6" s="1"/>
  <c r="C469" i="6" a="1"/>
  <c r="C469" i="6" s="1"/>
  <c r="D469" i="6" a="1"/>
  <c r="D469" i="6" s="1"/>
  <c r="E469" i="6" s="1" a="1"/>
  <c r="E469" i="6" s="1"/>
  <c r="F469" i="6" a="1"/>
  <c r="F469" i="6" s="1"/>
  <c r="C470" i="6" a="1"/>
  <c r="C470" i="6" s="1"/>
  <c r="D470" i="6" a="1"/>
  <c r="D470" i="6" s="1"/>
  <c r="E470" i="6" s="1" a="1"/>
  <c r="E470" i="6" s="1"/>
  <c r="F470" i="6" a="1"/>
  <c r="F470" i="6" s="1"/>
  <c r="C471" i="6" a="1"/>
  <c r="C471" i="6" s="1"/>
  <c r="D471" i="6" a="1"/>
  <c r="D471" i="6" s="1"/>
  <c r="E471" i="6" s="1" a="1"/>
  <c r="E471" i="6" s="1"/>
  <c r="F471" i="6" a="1"/>
  <c r="F471" i="6" s="1"/>
  <c r="C472" i="6" a="1"/>
  <c r="C472" i="6" s="1"/>
  <c r="D472" i="6" a="1"/>
  <c r="D472" i="6" s="1"/>
  <c r="E472" i="6" s="1" a="1"/>
  <c r="E472" i="6" s="1"/>
  <c r="F472" i="6" a="1"/>
  <c r="F472" i="6" s="1"/>
  <c r="C473" i="6" a="1"/>
  <c r="C473" i="6" s="1"/>
  <c r="D473" i="6" a="1"/>
  <c r="D473" i="6" s="1"/>
  <c r="E473" i="6" s="1" a="1"/>
  <c r="E473" i="6" s="1"/>
  <c r="F473" i="6" a="1"/>
  <c r="F473" i="6" s="1"/>
  <c r="C474" i="6" a="1"/>
  <c r="C474" i="6" s="1"/>
  <c r="D474" i="6" a="1"/>
  <c r="D474" i="6" s="1"/>
  <c r="E474" i="6" s="1" a="1"/>
  <c r="E474" i="6" s="1"/>
  <c r="F474" i="6" a="1"/>
  <c r="F474" i="6" s="1"/>
  <c r="C475" i="6" a="1"/>
  <c r="C475" i="6" s="1"/>
  <c r="D475" i="6" a="1"/>
  <c r="D475" i="6" s="1"/>
  <c r="E475" i="6" s="1" a="1"/>
  <c r="E475" i="6" s="1"/>
  <c r="F475" i="6" a="1"/>
  <c r="F475" i="6" s="1"/>
  <c r="C476" i="6" a="1"/>
  <c r="C476" i="6" s="1"/>
  <c r="D476" i="6" a="1"/>
  <c r="D476" i="6" s="1"/>
  <c r="E476" i="6" s="1" a="1"/>
  <c r="E476" i="6" s="1"/>
  <c r="F476" i="6" a="1"/>
  <c r="F476" i="6" s="1"/>
  <c r="C477" i="6" a="1"/>
  <c r="C477" i="6" s="1"/>
  <c r="D477" i="6" a="1"/>
  <c r="D477" i="6" s="1"/>
  <c r="E477" i="6" s="1" a="1"/>
  <c r="E477" i="6" s="1"/>
  <c r="F477" i="6" a="1"/>
  <c r="F477" i="6" s="1"/>
  <c r="C478" i="6" a="1"/>
  <c r="C478" i="6" s="1"/>
  <c r="D478" i="6" a="1"/>
  <c r="D478" i="6" s="1"/>
  <c r="E478" i="6" s="1" a="1"/>
  <c r="E478" i="6" s="1"/>
  <c r="F478" i="6" a="1"/>
  <c r="F478" i="6" s="1"/>
  <c r="C479" i="6" a="1"/>
  <c r="C479" i="6" s="1"/>
  <c r="D479" i="6" a="1"/>
  <c r="D479" i="6" s="1"/>
  <c r="E479" i="6" s="1" a="1"/>
  <c r="E479" i="6" s="1"/>
  <c r="F479" i="6" a="1"/>
  <c r="F479" i="6" s="1"/>
  <c r="C480" i="6" a="1"/>
  <c r="C480" i="6" s="1"/>
  <c r="D480" i="6" a="1"/>
  <c r="D480" i="6" s="1"/>
  <c r="E480" i="6" s="1" a="1"/>
  <c r="E480" i="6" s="1"/>
  <c r="F480" i="6" a="1"/>
  <c r="F480" i="6" s="1"/>
  <c r="C481" i="6" a="1"/>
  <c r="C481" i="6" s="1"/>
  <c r="D481" i="6" a="1"/>
  <c r="D481" i="6" s="1"/>
  <c r="E481" i="6" s="1" a="1"/>
  <c r="E481" i="6" s="1"/>
  <c r="F481" i="6" a="1"/>
  <c r="F481" i="6" s="1"/>
  <c r="C482" i="6" a="1"/>
  <c r="C482" i="6" s="1"/>
  <c r="D482" i="6" a="1"/>
  <c r="D482" i="6" s="1"/>
  <c r="E482" i="6" s="1" a="1"/>
  <c r="E482" i="6" s="1"/>
  <c r="F482" i="6" a="1"/>
  <c r="F482" i="6" s="1"/>
  <c r="C483" i="6" a="1"/>
  <c r="C483" i="6" s="1"/>
  <c r="D483" i="6" a="1"/>
  <c r="D483" i="6" s="1"/>
  <c r="E483" i="6" s="1" a="1"/>
  <c r="E483" i="6" s="1"/>
  <c r="F483" i="6" a="1"/>
  <c r="F483" i="6" s="1"/>
  <c r="C484" i="6" a="1"/>
  <c r="C484" i="6" s="1"/>
  <c r="D484" i="6" a="1"/>
  <c r="D484" i="6" s="1"/>
  <c r="E484" i="6" s="1" a="1"/>
  <c r="E484" i="6" s="1"/>
  <c r="F484" i="6" a="1"/>
  <c r="F484" i="6" s="1"/>
  <c r="C485" i="6" a="1"/>
  <c r="C485" i="6" s="1"/>
  <c r="D485" i="6" a="1"/>
  <c r="D485" i="6" s="1"/>
  <c r="E485" i="6" s="1" a="1"/>
  <c r="E485" i="6" s="1"/>
  <c r="F485" i="6" a="1"/>
  <c r="F485" i="6" s="1"/>
  <c r="C486" i="6" a="1"/>
  <c r="C486" i="6" s="1"/>
  <c r="D486" i="6" a="1"/>
  <c r="D486" i="6" s="1"/>
  <c r="E486" i="6" s="1" a="1"/>
  <c r="E486" i="6" s="1"/>
  <c r="F486" i="6" a="1"/>
  <c r="F486" i="6" s="1"/>
  <c r="C487" i="6" a="1"/>
  <c r="C487" i="6" s="1"/>
  <c r="D487" i="6" a="1"/>
  <c r="D487" i="6" s="1"/>
  <c r="E487" i="6" s="1" a="1"/>
  <c r="E487" i="6" s="1"/>
  <c r="F487" i="6" a="1"/>
  <c r="F487" i="6" s="1"/>
  <c r="C488" i="6" a="1"/>
  <c r="C488" i="6" s="1"/>
  <c r="D488" i="6" a="1"/>
  <c r="D488" i="6" s="1"/>
  <c r="E488" i="6" s="1" a="1"/>
  <c r="E488" i="6" s="1"/>
  <c r="F488" i="6" a="1"/>
  <c r="F488" i="6" s="1"/>
  <c r="C489" i="6" a="1"/>
  <c r="C489" i="6" s="1"/>
  <c r="D489" i="6" a="1"/>
  <c r="D489" i="6" s="1"/>
  <c r="E489" i="6" s="1" a="1"/>
  <c r="E489" i="6" s="1"/>
  <c r="F489" i="6" a="1"/>
  <c r="F489" i="6" s="1"/>
  <c r="C490" i="6" a="1"/>
  <c r="C490" i="6" s="1"/>
  <c r="D490" i="6" a="1"/>
  <c r="D490" i="6" s="1"/>
  <c r="E490" i="6" s="1" a="1"/>
  <c r="E490" i="6" s="1"/>
  <c r="F490" i="6" a="1"/>
  <c r="F490" i="6" s="1"/>
  <c r="C491" i="6" a="1"/>
  <c r="C491" i="6" s="1"/>
  <c r="D491" i="6" a="1"/>
  <c r="D491" i="6" s="1"/>
  <c r="E491" i="6" s="1" a="1"/>
  <c r="E491" i="6" s="1"/>
  <c r="F491" i="6" a="1"/>
  <c r="F491" i="6" s="1"/>
  <c r="C492" i="6" a="1"/>
  <c r="C492" i="6" s="1"/>
  <c r="D492" i="6" a="1"/>
  <c r="D492" i="6" s="1"/>
  <c r="E492" i="6" s="1" a="1"/>
  <c r="E492" i="6" s="1"/>
  <c r="F492" i="6" a="1"/>
  <c r="F492" i="6" s="1"/>
  <c r="C493" i="6" a="1"/>
  <c r="C493" i="6" s="1"/>
  <c r="D493" i="6" a="1"/>
  <c r="D493" i="6" s="1"/>
  <c r="E493" i="6" s="1" a="1"/>
  <c r="E493" i="6" s="1"/>
  <c r="F493" i="6" a="1"/>
  <c r="F493" i="6" s="1"/>
  <c r="C494" i="6" a="1"/>
  <c r="C494" i="6" s="1"/>
  <c r="D494" i="6" a="1"/>
  <c r="D494" i="6" s="1"/>
  <c r="E494" i="6" s="1" a="1"/>
  <c r="E494" i="6" s="1"/>
  <c r="F494" i="6" a="1"/>
  <c r="F494" i="6" s="1"/>
  <c r="C495" i="6" a="1"/>
  <c r="C495" i="6" s="1"/>
  <c r="D495" i="6" a="1"/>
  <c r="D495" i="6" s="1"/>
  <c r="E495" i="6" s="1" a="1"/>
  <c r="E495" i="6" s="1"/>
  <c r="F495" i="6" a="1"/>
  <c r="F495" i="6" s="1"/>
  <c r="C496" i="6" a="1"/>
  <c r="C496" i="6" s="1"/>
  <c r="D496" i="6" a="1"/>
  <c r="D496" i="6" s="1"/>
  <c r="E496" i="6" s="1" a="1"/>
  <c r="E496" i="6" s="1"/>
  <c r="F496" i="6" a="1"/>
  <c r="F496" i="6" s="1"/>
  <c r="C497" i="6" a="1"/>
  <c r="C497" i="6" s="1"/>
  <c r="D497" i="6" a="1"/>
  <c r="D497" i="6" s="1"/>
  <c r="E497" i="6" s="1" a="1"/>
  <c r="E497" i="6" s="1"/>
  <c r="F497" i="6" a="1"/>
  <c r="F497" i="6" s="1"/>
  <c r="C498" i="6" a="1"/>
  <c r="C498" i="6" s="1"/>
  <c r="D498" i="6" a="1"/>
  <c r="D498" i="6" s="1"/>
  <c r="E498" i="6" s="1" a="1"/>
  <c r="E498" i="6" s="1"/>
  <c r="F498" i="6" a="1"/>
  <c r="F498" i="6" s="1"/>
  <c r="C499" i="6" a="1"/>
  <c r="C499" i="6" s="1"/>
  <c r="D499" i="6" a="1"/>
  <c r="D499" i="6" s="1"/>
  <c r="E499" i="6" s="1" a="1"/>
  <c r="E499" i="6" s="1"/>
  <c r="F499" i="6" a="1"/>
  <c r="F499" i="6" s="1"/>
  <c r="C500" i="6" a="1"/>
  <c r="C500" i="6" s="1"/>
  <c r="D500" i="6" a="1"/>
  <c r="D500" i="6" s="1"/>
  <c r="E500" i="6" s="1" a="1"/>
  <c r="E500" i="6" s="1"/>
  <c r="F500" i="6" a="1"/>
  <c r="F500" i="6" s="1"/>
  <c r="C501" i="6" a="1"/>
  <c r="C501" i="6" s="1"/>
  <c r="D501" i="6" a="1"/>
  <c r="D501" i="6" s="1"/>
  <c r="E501" i="6" s="1" a="1"/>
  <c r="E501" i="6" s="1"/>
  <c r="F501" i="6" a="1"/>
  <c r="F501" i="6" s="1"/>
  <c r="C502" i="6" a="1"/>
  <c r="C502" i="6" s="1"/>
  <c r="D502" i="6" a="1"/>
  <c r="D502" i="6" s="1"/>
  <c r="E502" i="6" s="1" a="1"/>
  <c r="E502" i="6" s="1"/>
  <c r="F502" i="6" a="1"/>
  <c r="F502" i="6" s="1"/>
  <c r="C503" i="6" a="1"/>
  <c r="C503" i="6" s="1"/>
  <c r="D503" i="6" a="1"/>
  <c r="D503" i="6" s="1"/>
  <c r="E503" i="6" s="1" a="1"/>
  <c r="E503" i="6" s="1"/>
  <c r="F503" i="6" a="1"/>
  <c r="F503" i="6" s="1"/>
  <c r="C504" i="6" a="1"/>
  <c r="C504" i="6" s="1"/>
  <c r="D504" i="6" a="1"/>
  <c r="D504" i="6" s="1"/>
  <c r="E504" i="6" s="1" a="1"/>
  <c r="E504" i="6" s="1"/>
  <c r="F504" i="6" a="1"/>
  <c r="F504" i="6" s="1"/>
  <c r="C505" i="6" a="1"/>
  <c r="C505" i="6" s="1"/>
  <c r="D505" i="6" a="1"/>
  <c r="D505" i="6" s="1"/>
  <c r="E505" i="6" s="1" a="1"/>
  <c r="E505" i="6" s="1"/>
  <c r="F505" i="6" a="1"/>
  <c r="F505" i="6" s="1"/>
  <c r="C506" i="6" a="1"/>
  <c r="C506" i="6" s="1"/>
  <c r="D506" i="6" a="1"/>
  <c r="D506" i="6" s="1"/>
  <c r="E506" i="6" s="1" a="1"/>
  <c r="E506" i="6" s="1"/>
  <c r="F506" i="6" a="1"/>
  <c r="F506" i="6" s="1"/>
  <c r="C507" i="6" a="1"/>
  <c r="C507" i="6" s="1"/>
  <c r="D507" i="6" a="1"/>
  <c r="D507" i="6" s="1"/>
  <c r="E507" i="6" s="1" a="1"/>
  <c r="E507" i="6" s="1"/>
  <c r="F507" i="6" a="1"/>
  <c r="F507" i="6" s="1"/>
  <c r="C508" i="6" a="1"/>
  <c r="C508" i="6" s="1"/>
  <c r="D508" i="6" a="1"/>
  <c r="D508" i="6" s="1"/>
  <c r="E508" i="6" s="1" a="1"/>
  <c r="E508" i="6" s="1"/>
  <c r="F508" i="6" a="1"/>
  <c r="F508" i="6" s="1"/>
  <c r="C509" i="6" a="1"/>
  <c r="C509" i="6" s="1"/>
  <c r="D509" i="6" a="1"/>
  <c r="D509" i="6" s="1"/>
  <c r="E509" i="6" s="1" a="1"/>
  <c r="E509" i="6" s="1"/>
  <c r="F509" i="6" a="1"/>
  <c r="F509" i="6" s="1"/>
  <c r="C510" i="6" a="1"/>
  <c r="C510" i="6" s="1"/>
  <c r="D510" i="6" a="1"/>
  <c r="D510" i="6" s="1"/>
  <c r="E510" i="6" s="1" a="1"/>
  <c r="E510" i="6" s="1"/>
  <c r="F510" i="6" a="1"/>
  <c r="F510" i="6" s="1"/>
  <c r="C511" i="6" a="1"/>
  <c r="C511" i="6" s="1"/>
  <c r="D511" i="6" a="1"/>
  <c r="D511" i="6" s="1"/>
  <c r="E511" i="6" s="1" a="1"/>
  <c r="E511" i="6" s="1"/>
  <c r="F511" i="6" a="1"/>
  <c r="F511" i="6" s="1"/>
  <c r="C512" i="6" a="1"/>
  <c r="C512" i="6" s="1"/>
  <c r="D512" i="6" a="1"/>
  <c r="D512" i="6" s="1"/>
  <c r="E512" i="6" s="1" a="1"/>
  <c r="E512" i="6" s="1"/>
  <c r="F512" i="6" a="1"/>
  <c r="F512" i="6" s="1"/>
  <c r="C513" i="6" a="1"/>
  <c r="C513" i="6" s="1"/>
  <c r="D513" i="6" a="1"/>
  <c r="D513" i="6" s="1"/>
  <c r="E513" i="6" s="1" a="1"/>
  <c r="E513" i="6" s="1"/>
  <c r="F513" i="6" a="1"/>
  <c r="F513" i="6" s="1"/>
  <c r="C514" i="6" a="1"/>
  <c r="C514" i="6" s="1"/>
  <c r="D514" i="6" a="1"/>
  <c r="D514" i="6" s="1"/>
  <c r="E514" i="6" s="1" a="1"/>
  <c r="E514" i="6" s="1"/>
  <c r="F514" i="6" a="1"/>
  <c r="F514" i="6" s="1"/>
  <c r="C515" i="6" a="1"/>
  <c r="C515" i="6" s="1"/>
  <c r="D515" i="6" a="1"/>
  <c r="D515" i="6" s="1"/>
  <c r="E515" i="6" s="1" a="1"/>
  <c r="E515" i="6" s="1"/>
  <c r="F515" i="6" a="1"/>
  <c r="F515" i="6" s="1"/>
  <c r="C516" i="6" a="1"/>
  <c r="C516" i="6" s="1"/>
  <c r="D516" i="6" a="1"/>
  <c r="D516" i="6" s="1"/>
  <c r="E516" i="6" s="1" a="1"/>
  <c r="E516" i="6" s="1"/>
  <c r="F516" i="6" a="1"/>
  <c r="F516" i="6" s="1"/>
  <c r="C517" i="6" a="1"/>
  <c r="C517" i="6" s="1"/>
  <c r="D517" i="6" a="1"/>
  <c r="D517" i="6" s="1"/>
  <c r="E517" i="6" s="1" a="1"/>
  <c r="E517" i="6" s="1"/>
  <c r="F517" i="6" a="1"/>
  <c r="F517" i="6" s="1"/>
  <c r="C518" i="6" a="1"/>
  <c r="C518" i="6" s="1"/>
  <c r="D518" i="6" a="1"/>
  <c r="D518" i="6" s="1"/>
  <c r="E518" i="6" s="1" a="1"/>
  <c r="E518" i="6" s="1"/>
  <c r="F518" i="6" a="1"/>
  <c r="F518" i="6" s="1"/>
  <c r="C519" i="6" a="1"/>
  <c r="C519" i="6" s="1"/>
  <c r="D519" i="6" a="1"/>
  <c r="D519" i="6" s="1"/>
  <c r="E519" i="6" s="1" a="1"/>
  <c r="E519" i="6" s="1"/>
  <c r="F519" i="6" a="1"/>
  <c r="F519" i="6" s="1"/>
  <c r="C520" i="6" a="1"/>
  <c r="C520" i="6" s="1"/>
  <c r="D520" i="6" a="1"/>
  <c r="D520" i="6" s="1"/>
  <c r="E520" i="6" s="1" a="1"/>
  <c r="E520" i="6" s="1"/>
  <c r="F520" i="6" a="1"/>
  <c r="F520" i="6" s="1"/>
  <c r="C521" i="6" a="1"/>
  <c r="C521" i="6" s="1"/>
  <c r="D521" i="6" a="1"/>
  <c r="D521" i="6" s="1"/>
  <c r="E521" i="6" s="1" a="1"/>
  <c r="E521" i="6" s="1"/>
  <c r="F521" i="6" a="1"/>
  <c r="F521" i="6" s="1"/>
  <c r="C522" i="6" a="1"/>
  <c r="C522" i="6" s="1"/>
  <c r="D522" i="6" a="1"/>
  <c r="D522" i="6" s="1"/>
  <c r="E522" i="6" s="1" a="1"/>
  <c r="E522" i="6" s="1"/>
  <c r="F522" i="6" a="1"/>
  <c r="F522" i="6" s="1"/>
  <c r="C523" i="6" a="1"/>
  <c r="C523" i="6" s="1"/>
  <c r="D523" i="6" a="1"/>
  <c r="D523" i="6" s="1"/>
  <c r="E523" i="6" s="1" a="1"/>
  <c r="E523" i="6" s="1"/>
  <c r="F523" i="6" a="1"/>
  <c r="F523" i="6" s="1"/>
  <c r="C524" i="6" a="1"/>
  <c r="C524" i="6" s="1"/>
  <c r="D524" i="6" a="1"/>
  <c r="D524" i="6" s="1"/>
  <c r="E524" i="6" s="1" a="1"/>
  <c r="E524" i="6" s="1"/>
  <c r="F524" i="6" a="1"/>
  <c r="F524" i="6" s="1"/>
  <c r="C525" i="6" a="1"/>
  <c r="C525" i="6" s="1"/>
  <c r="D525" i="6" a="1"/>
  <c r="D525" i="6" s="1"/>
  <c r="E525" i="6" s="1" a="1"/>
  <c r="E525" i="6" s="1"/>
  <c r="F525" i="6" a="1"/>
  <c r="F525" i="6" s="1"/>
  <c r="C526" i="6" a="1"/>
  <c r="C526" i="6" s="1"/>
  <c r="D526" i="6" a="1"/>
  <c r="D526" i="6" s="1"/>
  <c r="E526" i="6" s="1" a="1"/>
  <c r="E526" i="6" s="1"/>
  <c r="F526" i="6" a="1"/>
  <c r="F526" i="6" s="1"/>
  <c r="C527" i="6" a="1"/>
  <c r="C527" i="6" s="1"/>
  <c r="D527" i="6" a="1"/>
  <c r="D527" i="6" s="1"/>
  <c r="E527" i="6" s="1" a="1"/>
  <c r="E527" i="6" s="1"/>
  <c r="F527" i="6" a="1"/>
  <c r="F527" i="6" s="1"/>
  <c r="C528" i="6" a="1"/>
  <c r="C528" i="6" s="1"/>
  <c r="D528" i="6" a="1"/>
  <c r="D528" i="6" s="1"/>
  <c r="E528" i="6" s="1" a="1"/>
  <c r="E528" i="6" s="1"/>
  <c r="F528" i="6" a="1"/>
  <c r="F528" i="6" s="1"/>
  <c r="C529" i="6" a="1"/>
  <c r="C529" i="6" s="1"/>
  <c r="D529" i="6" a="1"/>
  <c r="D529" i="6" s="1"/>
  <c r="E529" i="6" s="1" a="1"/>
  <c r="E529" i="6" s="1"/>
  <c r="F529" i="6" a="1"/>
  <c r="F529" i="6" s="1"/>
  <c r="C530" i="6" a="1"/>
  <c r="C530" i="6" s="1"/>
  <c r="D530" i="6" a="1"/>
  <c r="D530" i="6" s="1"/>
  <c r="E530" i="6" s="1" a="1"/>
  <c r="E530" i="6" s="1"/>
  <c r="F530" i="6" a="1"/>
  <c r="F530" i="6" s="1"/>
  <c r="C531" i="6" a="1"/>
  <c r="C531" i="6" s="1"/>
  <c r="D531" i="6" a="1"/>
  <c r="D531" i="6" s="1"/>
  <c r="E531" i="6" s="1" a="1"/>
  <c r="E531" i="6" s="1"/>
  <c r="F531" i="6" a="1"/>
  <c r="F531" i="6" s="1"/>
  <c r="C532" i="6" a="1"/>
  <c r="C532" i="6" s="1"/>
  <c r="D532" i="6" a="1"/>
  <c r="D532" i="6" s="1"/>
  <c r="E532" i="6" s="1" a="1"/>
  <c r="E532" i="6" s="1"/>
  <c r="F532" i="6" a="1"/>
  <c r="F532" i="6" s="1"/>
  <c r="C533" i="6" a="1"/>
  <c r="C533" i="6" s="1"/>
  <c r="D533" i="6" a="1"/>
  <c r="D533" i="6" s="1"/>
  <c r="E533" i="6" s="1" a="1"/>
  <c r="E533" i="6" s="1"/>
  <c r="F533" i="6" a="1"/>
  <c r="F533" i="6" s="1"/>
  <c r="C534" i="6" a="1"/>
  <c r="C534" i="6" s="1"/>
  <c r="D534" i="6" a="1"/>
  <c r="D534" i="6" s="1"/>
  <c r="E534" i="6" s="1" a="1"/>
  <c r="E534" i="6" s="1"/>
  <c r="F534" i="6" a="1"/>
  <c r="F534" i="6" s="1"/>
  <c r="C535" i="6" a="1"/>
  <c r="C535" i="6" s="1"/>
  <c r="D535" i="6" a="1"/>
  <c r="D535" i="6" s="1"/>
  <c r="E535" i="6" s="1" a="1"/>
  <c r="E535" i="6" s="1"/>
  <c r="F535" i="6" a="1"/>
  <c r="F535" i="6" s="1"/>
  <c r="C536" i="6" a="1"/>
  <c r="C536" i="6" s="1"/>
  <c r="D536" i="6" a="1"/>
  <c r="D536" i="6" s="1"/>
  <c r="E536" i="6" s="1" a="1"/>
  <c r="E536" i="6" s="1"/>
  <c r="F536" i="6" a="1"/>
  <c r="F536" i="6" s="1"/>
  <c r="C537" i="6" a="1"/>
  <c r="C537" i="6" s="1"/>
  <c r="D537" i="6" a="1"/>
  <c r="D537" i="6" s="1"/>
  <c r="E537" i="6" s="1" a="1"/>
  <c r="E537" i="6" s="1"/>
  <c r="F537" i="6" a="1"/>
  <c r="F537" i="6" s="1"/>
  <c r="C538" i="6" a="1"/>
  <c r="C538" i="6" s="1"/>
  <c r="D538" i="6" a="1"/>
  <c r="D538" i="6" s="1"/>
  <c r="E538" i="6" s="1" a="1"/>
  <c r="E538" i="6" s="1"/>
  <c r="F538" i="6" a="1"/>
  <c r="F538" i="6" s="1"/>
  <c r="C539" i="6" a="1"/>
  <c r="C539" i="6" s="1"/>
  <c r="D539" i="6" a="1"/>
  <c r="D539" i="6" s="1"/>
  <c r="E539" i="6" s="1" a="1"/>
  <c r="E539" i="6" s="1"/>
  <c r="F539" i="6" a="1"/>
  <c r="F539" i="6" s="1"/>
  <c r="C540" i="6" a="1"/>
  <c r="C540" i="6" s="1"/>
  <c r="D540" i="6" a="1"/>
  <c r="D540" i="6" s="1"/>
  <c r="E540" i="6" s="1" a="1"/>
  <c r="E540" i="6" s="1"/>
  <c r="F540" i="6" a="1"/>
  <c r="F540" i="6" s="1"/>
  <c r="C541" i="6" a="1"/>
  <c r="C541" i="6" s="1"/>
  <c r="D541" i="6" a="1"/>
  <c r="D541" i="6" s="1"/>
  <c r="E541" i="6" s="1" a="1"/>
  <c r="E541" i="6" s="1"/>
  <c r="F541" i="6" a="1"/>
  <c r="F541" i="6" s="1"/>
  <c r="C542" i="6" a="1"/>
  <c r="C542" i="6" s="1"/>
  <c r="D542" i="6" a="1"/>
  <c r="D542" i="6" s="1"/>
  <c r="E542" i="6" s="1" a="1"/>
  <c r="E542" i="6" s="1"/>
  <c r="F542" i="6" a="1"/>
  <c r="F542" i="6" s="1"/>
  <c r="C543" i="6" a="1"/>
  <c r="C543" i="6" s="1"/>
  <c r="D543" i="6" a="1"/>
  <c r="D543" i="6" s="1"/>
  <c r="E543" i="6" s="1" a="1"/>
  <c r="E543" i="6" s="1"/>
  <c r="F543" i="6" a="1"/>
  <c r="F543" i="6" s="1"/>
  <c r="C544" i="6" a="1"/>
  <c r="C544" i="6" s="1"/>
  <c r="D544" i="6" a="1"/>
  <c r="D544" i="6" s="1"/>
  <c r="E544" i="6" s="1" a="1"/>
  <c r="E544" i="6" s="1"/>
  <c r="F544" i="6" a="1"/>
  <c r="F544" i="6" s="1"/>
  <c r="C545" i="6" a="1"/>
  <c r="C545" i="6" s="1"/>
  <c r="D545" i="6" a="1"/>
  <c r="D545" i="6" s="1"/>
  <c r="E545" i="6" s="1" a="1"/>
  <c r="E545" i="6" s="1"/>
  <c r="F545" i="6" a="1"/>
  <c r="F545" i="6" s="1"/>
  <c r="C546" i="6" a="1"/>
  <c r="C546" i="6" s="1"/>
  <c r="D546" i="6" a="1"/>
  <c r="D546" i="6" s="1"/>
  <c r="E546" i="6" s="1" a="1"/>
  <c r="E546" i="6" s="1"/>
  <c r="F546" i="6" a="1"/>
  <c r="F546" i="6" s="1"/>
  <c r="C547" i="6" a="1"/>
  <c r="C547" i="6" s="1"/>
  <c r="D547" i="6" a="1"/>
  <c r="D547" i="6" s="1"/>
  <c r="E547" i="6" s="1" a="1"/>
  <c r="E547" i="6" s="1"/>
  <c r="F547" i="6" a="1"/>
  <c r="F547" i="6" s="1"/>
  <c r="C548" i="6" a="1"/>
  <c r="C548" i="6" s="1"/>
  <c r="D548" i="6" a="1"/>
  <c r="D548" i="6" s="1"/>
  <c r="E548" i="6" s="1" a="1"/>
  <c r="E548" i="6" s="1"/>
  <c r="F548" i="6" a="1"/>
  <c r="F548" i="6" s="1"/>
  <c r="C549" i="6" a="1"/>
  <c r="C549" i="6" s="1"/>
  <c r="D549" i="6" a="1"/>
  <c r="D549" i="6" s="1"/>
  <c r="E549" i="6" s="1" a="1"/>
  <c r="E549" i="6" s="1"/>
  <c r="F549" i="6" a="1"/>
  <c r="F549" i="6" s="1"/>
  <c r="C550" i="6" a="1"/>
  <c r="C550" i="6" s="1"/>
  <c r="D550" i="6" a="1"/>
  <c r="D550" i="6" s="1"/>
  <c r="E550" i="6" s="1" a="1"/>
  <c r="E550" i="6" s="1"/>
  <c r="F550" i="6" a="1"/>
  <c r="F550" i="6" s="1"/>
  <c r="C551" i="6" a="1"/>
  <c r="C551" i="6" s="1"/>
  <c r="D551" i="6" a="1"/>
  <c r="D551" i="6" s="1"/>
  <c r="E551" i="6" s="1" a="1"/>
  <c r="E551" i="6" s="1"/>
  <c r="F551" i="6" a="1"/>
  <c r="F551" i="6" s="1"/>
  <c r="C552" i="6" a="1"/>
  <c r="C552" i="6" s="1"/>
  <c r="D552" i="6" a="1"/>
  <c r="D552" i="6" s="1"/>
  <c r="E552" i="6" s="1" a="1"/>
  <c r="E552" i="6" s="1"/>
  <c r="F552" i="6" a="1"/>
  <c r="F552" i="6" s="1"/>
  <c r="C553" i="6" a="1"/>
  <c r="C553" i="6" s="1"/>
  <c r="D553" i="6" a="1"/>
  <c r="D553" i="6" s="1"/>
  <c r="E553" i="6" s="1" a="1"/>
  <c r="E553" i="6" s="1"/>
  <c r="F553" i="6" a="1"/>
  <c r="F553" i="6" s="1"/>
  <c r="C554" i="6" a="1"/>
  <c r="C554" i="6" s="1"/>
  <c r="D554" i="6" a="1"/>
  <c r="D554" i="6" s="1"/>
  <c r="E554" i="6" s="1" a="1"/>
  <c r="E554" i="6" s="1"/>
  <c r="F554" i="6" a="1"/>
  <c r="F554" i="6" s="1"/>
  <c r="C555" i="6" a="1"/>
  <c r="C555" i="6" s="1"/>
  <c r="D555" i="6" a="1"/>
  <c r="D555" i="6" s="1"/>
  <c r="E555" i="6" s="1" a="1"/>
  <c r="E555" i="6" s="1"/>
  <c r="F555" i="6" a="1"/>
  <c r="F555" i="6" s="1"/>
  <c r="C556" i="6" a="1"/>
  <c r="C556" i="6" s="1"/>
  <c r="D556" i="6" a="1"/>
  <c r="D556" i="6" s="1"/>
  <c r="E556" i="6" s="1" a="1"/>
  <c r="E556" i="6" s="1"/>
  <c r="F556" i="6" a="1"/>
  <c r="F556" i="6" s="1"/>
  <c r="C557" i="6" a="1"/>
  <c r="C557" i="6" s="1"/>
  <c r="D557" i="6" a="1"/>
  <c r="D557" i="6" s="1"/>
  <c r="E557" i="6" s="1" a="1"/>
  <c r="E557" i="6" s="1"/>
  <c r="F557" i="6" a="1"/>
  <c r="F557" i="6" s="1"/>
  <c r="C558" i="6" a="1"/>
  <c r="C558" i="6" s="1"/>
  <c r="D558" i="6" a="1"/>
  <c r="D558" i="6" s="1"/>
  <c r="E558" i="6" s="1" a="1"/>
  <c r="E558" i="6" s="1"/>
  <c r="F558" i="6" a="1"/>
  <c r="F558" i="6" s="1"/>
  <c r="C559" i="6" a="1"/>
  <c r="C559" i="6" s="1"/>
  <c r="D559" i="6" a="1"/>
  <c r="D559" i="6" s="1"/>
  <c r="E559" i="6" s="1" a="1"/>
  <c r="E559" i="6" s="1"/>
  <c r="F559" i="6" a="1"/>
  <c r="F559" i="6" s="1"/>
  <c r="C560" i="6" a="1"/>
  <c r="C560" i="6" s="1"/>
  <c r="D560" i="6" a="1"/>
  <c r="D560" i="6" s="1"/>
  <c r="E560" i="6" s="1" a="1"/>
  <c r="E560" i="6" s="1"/>
  <c r="F560" i="6" a="1"/>
  <c r="F560" i="6" s="1"/>
  <c r="C561" i="6" a="1"/>
  <c r="C561" i="6" s="1"/>
  <c r="D561" i="6" a="1"/>
  <c r="D561" i="6" s="1"/>
  <c r="E561" i="6" s="1" a="1"/>
  <c r="E561" i="6" s="1"/>
  <c r="F561" i="6" a="1"/>
  <c r="F561" i="6" s="1"/>
  <c r="C562" i="6" a="1"/>
  <c r="C562" i="6" s="1"/>
  <c r="D562" i="6" a="1"/>
  <c r="D562" i="6" s="1"/>
  <c r="E562" i="6" s="1" a="1"/>
  <c r="E562" i="6" s="1"/>
  <c r="F562" i="6" a="1"/>
  <c r="F562" i="6" s="1"/>
  <c r="C563" i="6" a="1"/>
  <c r="C563" i="6" s="1"/>
  <c r="D563" i="6" a="1"/>
  <c r="D563" i="6" s="1"/>
  <c r="E563" i="6" s="1" a="1"/>
  <c r="E563" i="6" s="1"/>
  <c r="F563" i="6" a="1"/>
  <c r="F563" i="6" s="1"/>
  <c r="C564" i="6" a="1"/>
  <c r="C564" i="6" s="1"/>
  <c r="D564" i="6" a="1"/>
  <c r="D564" i="6" s="1"/>
  <c r="E564" i="6" s="1" a="1"/>
  <c r="E564" i="6" s="1"/>
  <c r="F564" i="6" a="1"/>
  <c r="F564" i="6" s="1"/>
  <c r="C565" i="6" a="1"/>
  <c r="C565" i="6" s="1"/>
  <c r="D565" i="6" a="1"/>
  <c r="D565" i="6" s="1"/>
  <c r="E565" i="6" s="1" a="1"/>
  <c r="E565" i="6" s="1"/>
  <c r="F565" i="6" a="1"/>
  <c r="F565" i="6" s="1"/>
  <c r="C566" i="6" a="1"/>
  <c r="C566" i="6" s="1"/>
  <c r="D566" i="6" a="1"/>
  <c r="D566" i="6" s="1"/>
  <c r="E566" i="6" s="1" a="1"/>
  <c r="E566" i="6" s="1"/>
  <c r="F566" i="6" a="1"/>
  <c r="F566" i="6" s="1"/>
  <c r="C567" i="6" a="1"/>
  <c r="C567" i="6" s="1"/>
  <c r="D567" i="6" a="1"/>
  <c r="D567" i="6" s="1"/>
  <c r="E567" i="6" s="1" a="1"/>
  <c r="E567" i="6" s="1"/>
  <c r="F567" i="6" a="1"/>
  <c r="F567" i="6" s="1"/>
  <c r="C568" i="6" a="1"/>
  <c r="C568" i="6" s="1"/>
  <c r="D568" i="6" a="1"/>
  <c r="D568" i="6" s="1"/>
  <c r="E568" i="6" s="1" a="1"/>
  <c r="E568" i="6" s="1"/>
  <c r="F568" i="6" a="1"/>
  <c r="F568" i="6" s="1"/>
  <c r="C569" i="6" a="1"/>
  <c r="C569" i="6" s="1"/>
  <c r="D569" i="6" a="1"/>
  <c r="D569" i="6" s="1"/>
  <c r="E569" i="6" s="1" a="1"/>
  <c r="E569" i="6" s="1"/>
  <c r="F569" i="6" a="1"/>
  <c r="F569" i="6" s="1"/>
  <c r="C570" i="6" a="1"/>
  <c r="C570" i="6" s="1"/>
  <c r="D570" i="6" a="1"/>
  <c r="D570" i="6" s="1"/>
  <c r="E570" i="6" s="1" a="1"/>
  <c r="E570" i="6" s="1"/>
  <c r="F570" i="6" a="1"/>
  <c r="F570" i="6" s="1"/>
  <c r="C571" i="6" a="1"/>
  <c r="C571" i="6" s="1"/>
  <c r="D571" i="6" a="1"/>
  <c r="D571" i="6" s="1"/>
  <c r="E571" i="6" s="1" a="1"/>
  <c r="E571" i="6" s="1"/>
  <c r="F571" i="6" a="1"/>
  <c r="F571" i="6" s="1"/>
  <c r="C572" i="6" a="1"/>
  <c r="C572" i="6" s="1"/>
  <c r="D572" i="6" a="1"/>
  <c r="D572" i="6" s="1"/>
  <c r="E572" i="6" s="1" a="1"/>
  <c r="E572" i="6" s="1"/>
  <c r="F572" i="6" a="1"/>
  <c r="F572" i="6" s="1"/>
  <c r="C573" i="6" a="1"/>
  <c r="C573" i="6" s="1"/>
  <c r="D573" i="6" a="1"/>
  <c r="D573" i="6" s="1"/>
  <c r="E573" i="6" s="1" a="1"/>
  <c r="E573" i="6" s="1"/>
  <c r="F573" i="6" a="1"/>
  <c r="F573" i="6" s="1"/>
  <c r="C574" i="6" a="1"/>
  <c r="C574" i="6" s="1"/>
  <c r="D574" i="6" a="1"/>
  <c r="D574" i="6" s="1"/>
  <c r="E574" i="6" s="1" a="1"/>
  <c r="E574" i="6" s="1"/>
  <c r="F574" i="6" a="1"/>
  <c r="F574" i="6" s="1"/>
  <c r="C575" i="6" a="1"/>
  <c r="C575" i="6" s="1"/>
  <c r="D575" i="6" a="1"/>
  <c r="D575" i="6" s="1"/>
  <c r="E575" i="6" s="1" a="1"/>
  <c r="E575" i="6" s="1"/>
  <c r="F575" i="6" a="1"/>
  <c r="F575" i="6" s="1"/>
  <c r="C576" i="6" a="1"/>
  <c r="C576" i="6" s="1"/>
  <c r="D576" i="6" a="1"/>
  <c r="D576" i="6" s="1"/>
  <c r="E576" i="6" s="1" a="1"/>
  <c r="E576" i="6" s="1"/>
  <c r="F576" i="6" a="1"/>
  <c r="F576" i="6" s="1"/>
  <c r="C577" i="6" a="1"/>
  <c r="C577" i="6" s="1"/>
  <c r="D577" i="6" a="1"/>
  <c r="D577" i="6" s="1"/>
  <c r="E577" i="6" s="1" a="1"/>
  <c r="E577" i="6" s="1"/>
  <c r="F577" i="6" a="1"/>
  <c r="F577" i="6" s="1"/>
  <c r="C578" i="6" a="1"/>
  <c r="C578" i="6" s="1"/>
  <c r="D578" i="6" a="1"/>
  <c r="D578" i="6" s="1"/>
  <c r="E578" i="6" s="1" a="1"/>
  <c r="E578" i="6" s="1"/>
  <c r="F578" i="6" a="1"/>
  <c r="F578" i="6" s="1"/>
  <c r="C579" i="6" a="1"/>
  <c r="C579" i="6" s="1"/>
  <c r="D579" i="6" a="1"/>
  <c r="D579" i="6" s="1"/>
  <c r="E579" i="6" s="1" a="1"/>
  <c r="E579" i="6" s="1"/>
  <c r="F579" i="6" a="1"/>
  <c r="F579" i="6" s="1"/>
  <c r="C580" i="6" a="1"/>
  <c r="C580" i="6" s="1"/>
  <c r="D580" i="6" a="1"/>
  <c r="D580" i="6" s="1"/>
  <c r="E580" i="6" s="1" a="1"/>
  <c r="E580" i="6" s="1"/>
  <c r="F580" i="6" a="1"/>
  <c r="F580" i="6" s="1"/>
  <c r="C581" i="6" a="1"/>
  <c r="C581" i="6" s="1"/>
  <c r="D581" i="6" a="1"/>
  <c r="D581" i="6" s="1"/>
  <c r="E581" i="6" s="1" a="1"/>
  <c r="E581" i="6" s="1"/>
  <c r="F581" i="6" a="1"/>
  <c r="F581" i="6" s="1"/>
  <c r="C582" i="6" a="1"/>
  <c r="C582" i="6" s="1"/>
  <c r="D582" i="6" a="1"/>
  <c r="D582" i="6" s="1"/>
  <c r="E582" i="6" s="1" a="1"/>
  <c r="E582" i="6" s="1"/>
  <c r="F582" i="6" a="1"/>
  <c r="F582" i="6" s="1"/>
  <c r="C583" i="6" a="1"/>
  <c r="C583" i="6" s="1"/>
  <c r="D583" i="6" a="1"/>
  <c r="D583" i="6" s="1"/>
  <c r="E583" i="6" s="1" a="1"/>
  <c r="E583" i="6" s="1"/>
  <c r="F583" i="6" a="1"/>
  <c r="F583" i="6" s="1"/>
  <c r="C584" i="6" a="1"/>
  <c r="C584" i="6" s="1"/>
  <c r="D584" i="6" a="1"/>
  <c r="D584" i="6" s="1"/>
  <c r="E584" i="6" s="1" a="1"/>
  <c r="E584" i="6" s="1"/>
  <c r="F584" i="6" a="1"/>
  <c r="F584" i="6" s="1"/>
  <c r="C585" i="6" a="1"/>
  <c r="C585" i="6" s="1"/>
  <c r="D585" i="6" a="1"/>
  <c r="D585" i="6" s="1"/>
  <c r="E585" i="6" s="1" a="1"/>
  <c r="E585" i="6" s="1"/>
  <c r="F585" i="6" a="1"/>
  <c r="F585" i="6" s="1"/>
  <c r="C586" i="6" a="1"/>
  <c r="C586" i="6" s="1"/>
  <c r="D586" i="6" a="1"/>
  <c r="D586" i="6" s="1"/>
  <c r="E586" i="6" s="1" a="1"/>
  <c r="E586" i="6" s="1"/>
  <c r="F586" i="6" a="1"/>
  <c r="F586" i="6" s="1"/>
  <c r="C587" i="6" a="1"/>
  <c r="C587" i="6" s="1"/>
  <c r="D587" i="6" a="1"/>
  <c r="D587" i="6" s="1"/>
  <c r="E587" i="6" s="1" a="1"/>
  <c r="E587" i="6" s="1"/>
  <c r="F587" i="6" a="1"/>
  <c r="F587" i="6" s="1"/>
  <c r="C588" i="6" a="1"/>
  <c r="C588" i="6" s="1"/>
  <c r="D588" i="6" a="1"/>
  <c r="D588" i="6" s="1"/>
  <c r="E588" i="6" s="1" a="1"/>
  <c r="E588" i="6" s="1"/>
  <c r="F588" i="6" a="1"/>
  <c r="F588" i="6" s="1"/>
  <c r="C589" i="6" a="1"/>
  <c r="C589" i="6" s="1"/>
  <c r="D589" i="6" a="1"/>
  <c r="D589" i="6" s="1"/>
  <c r="E589" i="6" s="1" a="1"/>
  <c r="E589" i="6" s="1"/>
  <c r="F589" i="6" a="1"/>
  <c r="F589" i="6" s="1"/>
  <c r="C590" i="6" a="1"/>
  <c r="C590" i="6" s="1"/>
  <c r="D590" i="6" a="1"/>
  <c r="D590" i="6" s="1"/>
  <c r="E590" i="6" s="1" a="1"/>
  <c r="E590" i="6" s="1"/>
  <c r="F590" i="6" a="1"/>
  <c r="F590" i="6" s="1"/>
  <c r="C591" i="6" a="1"/>
  <c r="C591" i="6" s="1"/>
  <c r="D591" i="6" a="1"/>
  <c r="D591" i="6" s="1"/>
  <c r="E591" i="6" s="1" a="1"/>
  <c r="E591" i="6" s="1"/>
  <c r="F591" i="6" a="1"/>
  <c r="F591" i="6" s="1"/>
  <c r="C592" i="6" a="1"/>
  <c r="C592" i="6" s="1"/>
  <c r="D592" i="6" a="1"/>
  <c r="D592" i="6" s="1"/>
  <c r="E592" i="6" s="1" a="1"/>
  <c r="E592" i="6" s="1"/>
  <c r="F592" i="6" a="1"/>
  <c r="F592" i="6" s="1"/>
  <c r="C593" i="6" a="1"/>
  <c r="C593" i="6" s="1"/>
  <c r="D593" i="6" a="1"/>
  <c r="D593" i="6" s="1"/>
  <c r="E593" i="6" s="1" a="1"/>
  <c r="E593" i="6" s="1"/>
  <c r="F593" i="6" a="1"/>
  <c r="F593" i="6" s="1"/>
  <c r="C594" i="6" a="1"/>
  <c r="C594" i="6" s="1"/>
  <c r="D594" i="6" a="1"/>
  <c r="D594" i="6" s="1"/>
  <c r="E594" i="6" s="1" a="1"/>
  <c r="E594" i="6" s="1"/>
  <c r="F594" i="6" a="1"/>
  <c r="F594" i="6" s="1"/>
  <c r="C595" i="6" a="1"/>
  <c r="C595" i="6" s="1"/>
  <c r="D595" i="6" a="1"/>
  <c r="D595" i="6" s="1"/>
  <c r="E595" i="6" s="1" a="1"/>
  <c r="E595" i="6" s="1"/>
  <c r="F595" i="6" a="1"/>
  <c r="F595" i="6" s="1"/>
  <c r="C596" i="6" a="1"/>
  <c r="C596" i="6" s="1"/>
  <c r="D596" i="6" a="1"/>
  <c r="D596" i="6" s="1"/>
  <c r="E596" i="6" s="1" a="1"/>
  <c r="E596" i="6" s="1"/>
  <c r="F596" i="6" a="1"/>
  <c r="F596" i="6" s="1"/>
  <c r="C597" i="6" a="1"/>
  <c r="C597" i="6" s="1"/>
  <c r="D597" i="6" a="1"/>
  <c r="D597" i="6" s="1"/>
  <c r="E597" i="6" s="1" a="1"/>
  <c r="E597" i="6" s="1"/>
  <c r="F597" i="6" a="1"/>
  <c r="F597" i="6" s="1"/>
  <c r="C598" i="6" a="1"/>
  <c r="C598" i="6" s="1"/>
  <c r="D598" i="6" a="1"/>
  <c r="D598" i="6" s="1"/>
  <c r="E598" i="6" s="1" a="1"/>
  <c r="E598" i="6" s="1"/>
  <c r="F598" i="6" a="1"/>
  <c r="F598" i="6" s="1"/>
  <c r="C599" i="6" a="1"/>
  <c r="C599" i="6" s="1"/>
  <c r="D599" i="6" a="1"/>
  <c r="D599" i="6" s="1"/>
  <c r="E599" i="6" s="1" a="1"/>
  <c r="E599" i="6" s="1"/>
  <c r="F599" i="6" a="1"/>
  <c r="F599" i="6" s="1"/>
  <c r="C600" i="6" a="1"/>
  <c r="C600" i="6" s="1"/>
  <c r="D600" i="6" a="1"/>
  <c r="D600" i="6" s="1"/>
  <c r="E600" i="6" s="1" a="1"/>
  <c r="E600" i="6" s="1"/>
  <c r="F600" i="6" a="1"/>
  <c r="F600" i="6" s="1"/>
  <c r="C601" i="6" a="1"/>
  <c r="C601" i="6" s="1"/>
  <c r="D601" i="6" a="1"/>
  <c r="D601" i="6" s="1"/>
  <c r="E601" i="6" s="1" a="1"/>
  <c r="E601" i="6" s="1"/>
  <c r="F601" i="6" a="1"/>
  <c r="F601" i="6" s="1"/>
  <c r="C602" i="6" a="1"/>
  <c r="C602" i="6" s="1"/>
  <c r="D602" i="6" a="1"/>
  <c r="D602" i="6" s="1"/>
  <c r="E602" i="6" s="1" a="1"/>
  <c r="E602" i="6" s="1"/>
  <c r="F602" i="6" a="1"/>
  <c r="F602" i="6" s="1"/>
  <c r="C603" i="6" a="1"/>
  <c r="C603" i="6" s="1"/>
  <c r="D603" i="6" a="1"/>
  <c r="D603" i="6" s="1"/>
  <c r="E603" i="6" s="1" a="1"/>
  <c r="E603" i="6" s="1"/>
  <c r="F603" i="6" a="1"/>
  <c r="F603" i="6" s="1"/>
  <c r="C604" i="6" a="1"/>
  <c r="C604" i="6" s="1"/>
  <c r="D604" i="6" a="1"/>
  <c r="D604" i="6" s="1"/>
  <c r="E604" i="6" s="1" a="1"/>
  <c r="E604" i="6" s="1"/>
  <c r="F604" i="6" a="1"/>
  <c r="F604" i="6" s="1"/>
  <c r="C605" i="6" a="1"/>
  <c r="C605" i="6" s="1"/>
  <c r="D605" i="6" a="1"/>
  <c r="D605" i="6" s="1"/>
  <c r="E605" i="6" s="1" a="1"/>
  <c r="E605" i="6" s="1"/>
  <c r="F605" i="6" a="1"/>
  <c r="F605" i="6" s="1"/>
  <c r="C606" i="6" a="1"/>
  <c r="C606" i="6" s="1"/>
  <c r="D606" i="6" a="1"/>
  <c r="D606" i="6" s="1"/>
  <c r="E606" i="6" s="1" a="1"/>
  <c r="E606" i="6" s="1"/>
  <c r="F606" i="6" a="1"/>
  <c r="F606" i="6" s="1"/>
  <c r="C607" i="6" a="1"/>
  <c r="C607" i="6" s="1"/>
  <c r="D607" i="6" a="1"/>
  <c r="D607" i="6" s="1"/>
  <c r="E607" i="6" s="1" a="1"/>
  <c r="E607" i="6" s="1"/>
  <c r="F607" i="6" a="1"/>
  <c r="F607" i="6" s="1"/>
  <c r="C608" i="6" a="1"/>
  <c r="C608" i="6" s="1"/>
  <c r="D608" i="6" a="1"/>
  <c r="D608" i="6" s="1"/>
  <c r="E608" i="6" s="1" a="1"/>
  <c r="E608" i="6" s="1"/>
  <c r="F608" i="6" a="1"/>
  <c r="F608" i="6" s="1"/>
  <c r="C609" i="6" a="1"/>
  <c r="C609" i="6" s="1"/>
  <c r="D609" i="6" a="1"/>
  <c r="D609" i="6" s="1"/>
  <c r="E609" i="6" s="1" a="1"/>
  <c r="E609" i="6" s="1"/>
  <c r="F609" i="6" a="1"/>
  <c r="F609" i="6" s="1"/>
  <c r="C610" i="6" a="1"/>
  <c r="C610" i="6" s="1"/>
  <c r="D610" i="6" a="1"/>
  <c r="D610" i="6" s="1"/>
  <c r="E610" i="6" s="1" a="1"/>
  <c r="E610" i="6" s="1"/>
  <c r="F610" i="6" a="1"/>
  <c r="F610" i="6" s="1"/>
  <c r="C611" i="6" a="1"/>
  <c r="C611" i="6" s="1"/>
  <c r="D611" i="6" a="1"/>
  <c r="D611" i="6" s="1"/>
  <c r="E611" i="6" s="1" a="1"/>
  <c r="E611" i="6" s="1"/>
  <c r="F611" i="6" a="1"/>
  <c r="F611" i="6" s="1"/>
  <c r="C612" i="6" a="1"/>
  <c r="C612" i="6" s="1"/>
  <c r="D612" i="6" a="1"/>
  <c r="D612" i="6" s="1"/>
  <c r="E612" i="6" s="1" a="1"/>
  <c r="E612" i="6" s="1"/>
  <c r="F612" i="6" a="1"/>
  <c r="F612" i="6" s="1"/>
  <c r="C613" i="6" a="1"/>
  <c r="C613" i="6" s="1"/>
  <c r="D613" i="6" a="1"/>
  <c r="D613" i="6" s="1"/>
  <c r="E613" i="6" s="1" a="1"/>
  <c r="E613" i="6" s="1"/>
  <c r="F613" i="6" a="1"/>
  <c r="F613" i="6" s="1"/>
  <c r="C614" i="6" a="1"/>
  <c r="C614" i="6" s="1"/>
  <c r="D614" i="6" a="1"/>
  <c r="D614" i="6" s="1"/>
  <c r="E614" i="6" s="1" a="1"/>
  <c r="E614" i="6" s="1"/>
  <c r="F614" i="6" a="1"/>
  <c r="F614" i="6" s="1"/>
  <c r="C615" i="6" a="1"/>
  <c r="C615" i="6" s="1"/>
  <c r="D615" i="6" a="1"/>
  <c r="D615" i="6" s="1"/>
  <c r="E615" i="6" s="1" a="1"/>
  <c r="E615" i="6" s="1"/>
  <c r="F615" i="6" a="1"/>
  <c r="F615" i="6" s="1"/>
  <c r="C616" i="6" a="1"/>
  <c r="C616" i="6" s="1"/>
  <c r="D616" i="6" a="1"/>
  <c r="D616" i="6" s="1"/>
  <c r="E616" i="6" s="1" a="1"/>
  <c r="E616" i="6" s="1"/>
  <c r="F616" i="6" a="1"/>
  <c r="F616" i="6" s="1"/>
  <c r="C617" i="6" a="1"/>
  <c r="C617" i="6" s="1"/>
  <c r="D617" i="6" a="1"/>
  <c r="D617" i="6" s="1"/>
  <c r="E617" i="6" s="1" a="1"/>
  <c r="E617" i="6" s="1"/>
  <c r="F617" i="6" a="1"/>
  <c r="F617" i="6" s="1"/>
  <c r="C618" i="6" a="1"/>
  <c r="C618" i="6" s="1"/>
  <c r="D618" i="6" a="1"/>
  <c r="D618" i="6" s="1"/>
  <c r="E618" i="6" s="1" a="1"/>
  <c r="E618" i="6" s="1"/>
  <c r="F618" i="6" a="1"/>
  <c r="F618" i="6" s="1"/>
  <c r="C619" i="6" a="1"/>
  <c r="C619" i="6" s="1"/>
  <c r="D619" i="6" a="1"/>
  <c r="D619" i="6" s="1"/>
  <c r="E619" i="6" s="1" a="1"/>
  <c r="E619" i="6" s="1"/>
  <c r="F619" i="6" a="1"/>
  <c r="F619" i="6" s="1"/>
  <c r="C620" i="6" a="1"/>
  <c r="C620" i="6" s="1"/>
  <c r="D620" i="6" a="1"/>
  <c r="D620" i="6" s="1"/>
  <c r="E620" i="6" s="1" a="1"/>
  <c r="E620" i="6" s="1"/>
  <c r="F620" i="6" a="1"/>
  <c r="F620" i="6" s="1"/>
  <c r="C621" i="6" a="1"/>
  <c r="C621" i="6" s="1"/>
  <c r="D621" i="6" a="1"/>
  <c r="D621" i="6" s="1"/>
  <c r="E621" i="6" s="1" a="1"/>
  <c r="E621" i="6" s="1"/>
  <c r="F621" i="6" a="1"/>
  <c r="F621" i="6" s="1"/>
  <c r="C622" i="6" a="1"/>
  <c r="C622" i="6" s="1"/>
  <c r="D622" i="6" a="1"/>
  <c r="D622" i="6" s="1"/>
  <c r="E622" i="6" s="1" a="1"/>
  <c r="E622" i="6" s="1"/>
  <c r="F622" i="6" a="1"/>
  <c r="F622" i="6" s="1"/>
  <c r="C623" i="6" a="1"/>
  <c r="C623" i="6" s="1"/>
  <c r="D623" i="6" a="1"/>
  <c r="D623" i="6" s="1"/>
  <c r="E623" i="6" s="1" a="1"/>
  <c r="E623" i="6" s="1"/>
  <c r="F623" i="6" a="1"/>
  <c r="F623" i="6" s="1"/>
  <c r="C624" i="6" a="1"/>
  <c r="C624" i="6" s="1"/>
  <c r="D624" i="6" a="1"/>
  <c r="D624" i="6" s="1"/>
  <c r="E624" i="6" s="1" a="1"/>
  <c r="E624" i="6" s="1"/>
  <c r="F624" i="6" a="1"/>
  <c r="F624" i="6" s="1"/>
  <c r="C625" i="6" a="1"/>
  <c r="C625" i="6" s="1"/>
  <c r="D625" i="6" a="1"/>
  <c r="D625" i="6" s="1"/>
  <c r="E625" i="6" s="1" a="1"/>
  <c r="E625" i="6" s="1"/>
  <c r="F625" i="6" a="1"/>
  <c r="F625" i="6" s="1"/>
  <c r="C626" i="6" a="1"/>
  <c r="C626" i="6" s="1"/>
  <c r="D626" i="6" a="1"/>
  <c r="D626" i="6" s="1"/>
  <c r="E626" i="6" s="1" a="1"/>
  <c r="E626" i="6" s="1"/>
  <c r="F626" i="6" a="1"/>
  <c r="F626" i="6" s="1"/>
  <c r="C627" i="6" a="1"/>
  <c r="C627" i="6" s="1"/>
  <c r="D627" i="6" a="1"/>
  <c r="D627" i="6" s="1"/>
  <c r="E627" i="6" s="1" a="1"/>
  <c r="E627" i="6" s="1"/>
  <c r="F627" i="6" a="1"/>
  <c r="F627" i="6" s="1"/>
  <c r="C628" i="6" a="1"/>
  <c r="C628" i="6" s="1"/>
  <c r="D628" i="6" a="1"/>
  <c r="D628" i="6" s="1"/>
  <c r="E628" i="6" s="1" a="1"/>
  <c r="E628" i="6" s="1"/>
  <c r="F628" i="6" a="1"/>
  <c r="F628" i="6" s="1"/>
  <c r="C629" i="6" a="1"/>
  <c r="C629" i="6" s="1"/>
  <c r="D629" i="6" a="1"/>
  <c r="D629" i="6" s="1"/>
  <c r="E629" i="6" s="1" a="1"/>
  <c r="E629" i="6" s="1"/>
  <c r="F629" i="6" a="1"/>
  <c r="F629" i="6" s="1"/>
  <c r="C630" i="6" a="1"/>
  <c r="C630" i="6" s="1"/>
  <c r="D630" i="6" a="1"/>
  <c r="D630" i="6" s="1"/>
  <c r="E630" i="6" s="1" a="1"/>
  <c r="E630" i="6" s="1"/>
  <c r="F630" i="6" a="1"/>
  <c r="F630" i="6" s="1"/>
  <c r="C631" i="6" a="1"/>
  <c r="C631" i="6" s="1"/>
  <c r="D631" i="6" a="1"/>
  <c r="D631" i="6" s="1"/>
  <c r="E631" i="6" s="1" a="1"/>
  <c r="E631" i="6" s="1"/>
  <c r="F631" i="6" a="1"/>
  <c r="F631" i="6" s="1"/>
  <c r="C632" i="6" a="1"/>
  <c r="C632" i="6" s="1"/>
  <c r="D632" i="6" a="1"/>
  <c r="D632" i="6" s="1"/>
  <c r="E632" i="6" s="1" a="1"/>
  <c r="E632" i="6" s="1"/>
  <c r="F632" i="6" a="1"/>
  <c r="F632" i="6" s="1"/>
  <c r="C633" i="6" a="1"/>
  <c r="C633" i="6" s="1"/>
  <c r="D633" i="6" a="1"/>
  <c r="D633" i="6" s="1"/>
  <c r="E633" i="6" s="1" a="1"/>
  <c r="E633" i="6" s="1"/>
  <c r="F633" i="6" a="1"/>
  <c r="F633" i="6" s="1"/>
  <c r="C634" i="6" a="1"/>
  <c r="C634" i="6" s="1"/>
  <c r="D634" i="6" a="1"/>
  <c r="D634" i="6" s="1"/>
  <c r="E634" i="6" s="1" a="1"/>
  <c r="E634" i="6" s="1"/>
  <c r="F634" i="6" a="1"/>
  <c r="F634" i="6" s="1"/>
  <c r="C635" i="6" a="1"/>
  <c r="C635" i="6" s="1"/>
  <c r="D635" i="6" a="1"/>
  <c r="D635" i="6" s="1"/>
  <c r="E635" i="6" s="1" a="1"/>
  <c r="E635" i="6" s="1"/>
  <c r="F635" i="6" a="1"/>
  <c r="F635" i="6" s="1"/>
  <c r="C636" i="6" a="1"/>
  <c r="C636" i="6" s="1"/>
  <c r="D636" i="6" a="1"/>
  <c r="D636" i="6" s="1"/>
  <c r="E636" i="6" s="1" a="1"/>
  <c r="E636" i="6" s="1"/>
  <c r="F636" i="6" a="1"/>
  <c r="F636" i="6" s="1"/>
  <c r="C637" i="6" a="1"/>
  <c r="C637" i="6" s="1"/>
  <c r="D637" i="6" a="1"/>
  <c r="D637" i="6" s="1"/>
  <c r="E637" i="6" s="1" a="1"/>
  <c r="E637" i="6" s="1"/>
  <c r="F637" i="6" a="1"/>
  <c r="F637" i="6" s="1"/>
  <c r="C638" i="6" a="1"/>
  <c r="C638" i="6" s="1"/>
  <c r="D638" i="6" a="1"/>
  <c r="D638" i="6" s="1"/>
  <c r="E638" i="6" s="1" a="1"/>
  <c r="E638" i="6" s="1"/>
  <c r="F638" i="6" a="1"/>
  <c r="F638" i="6" s="1"/>
  <c r="C639" i="6" a="1"/>
  <c r="C639" i="6" s="1"/>
  <c r="D639" i="6" a="1"/>
  <c r="D639" i="6" s="1"/>
  <c r="E639" i="6" s="1" a="1"/>
  <c r="E639" i="6" s="1"/>
  <c r="F639" i="6" a="1"/>
  <c r="F639" i="6" s="1"/>
  <c r="C640" i="6" a="1"/>
  <c r="C640" i="6" s="1"/>
  <c r="D640" i="6" a="1"/>
  <c r="D640" i="6" s="1"/>
  <c r="E640" i="6" s="1" a="1"/>
  <c r="E640" i="6" s="1"/>
  <c r="F640" i="6" a="1"/>
  <c r="F640" i="6" s="1"/>
  <c r="C641" i="6" a="1"/>
  <c r="C641" i="6" s="1"/>
  <c r="D641" i="6" a="1"/>
  <c r="D641" i="6" s="1"/>
  <c r="E641" i="6" s="1" a="1"/>
  <c r="E641" i="6" s="1"/>
  <c r="F641" i="6" a="1"/>
  <c r="F641" i="6" s="1"/>
  <c r="C642" i="6" a="1"/>
  <c r="C642" i="6" s="1"/>
  <c r="D642" i="6" a="1"/>
  <c r="D642" i="6" s="1"/>
  <c r="E642" i="6" s="1" a="1"/>
  <c r="E642" i="6" s="1"/>
  <c r="F642" i="6" a="1"/>
  <c r="F642" i="6" s="1"/>
  <c r="C643" i="6" a="1"/>
  <c r="C643" i="6" s="1"/>
  <c r="D643" i="6" a="1"/>
  <c r="D643" i="6" s="1"/>
  <c r="E643" i="6" s="1" a="1"/>
  <c r="E643" i="6" s="1"/>
  <c r="F643" i="6" a="1"/>
  <c r="F643" i="6" s="1"/>
  <c r="C644" i="6" a="1"/>
  <c r="C644" i="6" s="1"/>
  <c r="D644" i="6" a="1"/>
  <c r="D644" i="6" s="1"/>
  <c r="E644" i="6" s="1" a="1"/>
  <c r="E644" i="6" s="1"/>
  <c r="F644" i="6" a="1"/>
  <c r="F644" i="6" s="1"/>
  <c r="C645" i="6" a="1"/>
  <c r="C645" i="6" s="1"/>
  <c r="D645" i="6" a="1"/>
  <c r="D645" i="6" s="1"/>
  <c r="E645" i="6" s="1" a="1"/>
  <c r="E645" i="6" s="1"/>
  <c r="F645" i="6" a="1"/>
  <c r="F645" i="6" s="1"/>
  <c r="C646" i="6" a="1"/>
  <c r="C646" i="6" s="1"/>
  <c r="D646" i="6" a="1"/>
  <c r="D646" i="6" s="1"/>
  <c r="E646" i="6" s="1" a="1"/>
  <c r="E646" i="6" s="1"/>
  <c r="F646" i="6" a="1"/>
  <c r="F646" i="6" s="1"/>
  <c r="C647" i="6" a="1"/>
  <c r="C647" i="6" s="1"/>
  <c r="D647" i="6" a="1"/>
  <c r="D647" i="6" s="1"/>
  <c r="E647" i="6" s="1" a="1"/>
  <c r="E647" i="6" s="1"/>
  <c r="F647" i="6" a="1"/>
  <c r="F647" i="6" s="1"/>
  <c r="C648" i="6" a="1"/>
  <c r="C648" i="6" s="1"/>
  <c r="D648" i="6" a="1"/>
  <c r="D648" i="6" s="1"/>
  <c r="E648" i="6" s="1" a="1"/>
  <c r="E648" i="6" s="1"/>
  <c r="F648" i="6" a="1"/>
  <c r="F648" i="6" s="1"/>
  <c r="C649" i="6" a="1"/>
  <c r="C649" i="6" s="1"/>
  <c r="D649" i="6" a="1"/>
  <c r="D649" i="6" s="1"/>
  <c r="E649" i="6" s="1" a="1"/>
  <c r="E649" i="6" s="1"/>
  <c r="F649" i="6" a="1"/>
  <c r="F649" i="6" s="1"/>
  <c r="C650" i="6" a="1"/>
  <c r="C650" i="6" s="1"/>
  <c r="D650" i="6" a="1"/>
  <c r="D650" i="6" s="1"/>
  <c r="E650" i="6" s="1" a="1"/>
  <c r="E650" i="6" s="1"/>
  <c r="F650" i="6" a="1"/>
  <c r="F650" i="6" s="1"/>
  <c r="C651" i="6" a="1"/>
  <c r="C651" i="6" s="1"/>
  <c r="D651" i="6" a="1"/>
  <c r="D651" i="6" s="1"/>
  <c r="E651" i="6" s="1" a="1"/>
  <c r="E651" i="6" s="1"/>
  <c r="F651" i="6" a="1"/>
  <c r="F651" i="6" s="1"/>
  <c r="C652" i="6" a="1"/>
  <c r="C652" i="6" s="1"/>
  <c r="D652" i="6" a="1"/>
  <c r="D652" i="6" s="1"/>
  <c r="E652" i="6" s="1" a="1"/>
  <c r="E652" i="6" s="1"/>
  <c r="F652" i="6" a="1"/>
  <c r="F652" i="6" s="1"/>
  <c r="C653" i="6" a="1"/>
  <c r="C653" i="6" s="1"/>
  <c r="D653" i="6" a="1"/>
  <c r="D653" i="6" s="1"/>
  <c r="E653" i="6" s="1" a="1"/>
  <c r="E653" i="6" s="1"/>
  <c r="F653" i="6" a="1"/>
  <c r="F653" i="6" s="1"/>
  <c r="C654" i="6" a="1"/>
  <c r="C654" i="6" s="1"/>
  <c r="D654" i="6" a="1"/>
  <c r="D654" i="6" s="1"/>
  <c r="E654" i="6" s="1" a="1"/>
  <c r="E654" i="6" s="1"/>
  <c r="F654" i="6" a="1"/>
  <c r="F654" i="6" s="1"/>
  <c r="C655" i="6" a="1"/>
  <c r="C655" i="6" s="1"/>
  <c r="D655" i="6" a="1"/>
  <c r="D655" i="6" s="1"/>
  <c r="E655" i="6" s="1" a="1"/>
  <c r="E655" i="6" s="1"/>
  <c r="F655" i="6" a="1"/>
  <c r="F655" i="6" s="1"/>
  <c r="C656" i="6" a="1"/>
  <c r="C656" i="6" s="1"/>
  <c r="D656" i="6" a="1"/>
  <c r="D656" i="6" s="1"/>
  <c r="E656" i="6" s="1" a="1"/>
  <c r="E656" i="6" s="1"/>
  <c r="F656" i="6" a="1"/>
  <c r="F656" i="6" s="1"/>
  <c r="C657" i="6" a="1"/>
  <c r="C657" i="6" s="1"/>
  <c r="D657" i="6" a="1"/>
  <c r="D657" i="6" s="1"/>
  <c r="E657" i="6" s="1" a="1"/>
  <c r="E657" i="6" s="1"/>
  <c r="F657" i="6" a="1"/>
  <c r="F657" i="6" s="1"/>
  <c r="C658" i="6" a="1"/>
  <c r="C658" i="6" s="1"/>
  <c r="D658" i="6" a="1"/>
  <c r="D658" i="6" s="1"/>
  <c r="E658" i="6" s="1" a="1"/>
  <c r="E658" i="6" s="1"/>
  <c r="F658" i="6" a="1"/>
  <c r="F658" i="6" s="1"/>
  <c r="C659" i="6" a="1"/>
  <c r="C659" i="6" s="1"/>
  <c r="D659" i="6" a="1"/>
  <c r="D659" i="6" s="1"/>
  <c r="E659" i="6" s="1" a="1"/>
  <c r="E659" i="6" s="1"/>
  <c r="F659" i="6" a="1"/>
  <c r="F659" i="6" s="1"/>
  <c r="C660" i="6" a="1"/>
  <c r="C660" i="6" s="1"/>
  <c r="D660" i="6" a="1"/>
  <c r="D660" i="6" s="1"/>
  <c r="E660" i="6" s="1" a="1"/>
  <c r="E660" i="6" s="1"/>
  <c r="F660" i="6" a="1"/>
  <c r="F660" i="6" s="1"/>
  <c r="C661" i="6" a="1"/>
  <c r="C661" i="6" s="1"/>
  <c r="D661" i="6" a="1"/>
  <c r="D661" i="6" s="1"/>
  <c r="E661" i="6" s="1" a="1"/>
  <c r="E661" i="6" s="1"/>
  <c r="F661" i="6" a="1"/>
  <c r="F661" i="6" s="1"/>
  <c r="C662" i="6" a="1"/>
  <c r="C662" i="6" s="1"/>
  <c r="D662" i="6" a="1"/>
  <c r="D662" i="6" s="1"/>
  <c r="E662" i="6" s="1" a="1"/>
  <c r="E662" i="6" s="1"/>
  <c r="F662" i="6" a="1"/>
  <c r="F662" i="6" s="1"/>
  <c r="C663" i="6" a="1"/>
  <c r="C663" i="6" s="1"/>
  <c r="D663" i="6" a="1"/>
  <c r="D663" i="6" s="1"/>
  <c r="E663" i="6" s="1" a="1"/>
  <c r="E663" i="6" s="1"/>
  <c r="F663" i="6" a="1"/>
  <c r="F663" i="6" s="1"/>
  <c r="C664" i="6" a="1"/>
  <c r="C664" i="6" s="1"/>
  <c r="D664" i="6" a="1"/>
  <c r="D664" i="6" s="1"/>
  <c r="E664" i="6" s="1" a="1"/>
  <c r="E664" i="6" s="1"/>
  <c r="F664" i="6" a="1"/>
  <c r="F664" i="6" s="1"/>
  <c r="C665" i="6" a="1"/>
  <c r="C665" i="6" s="1"/>
  <c r="D665" i="6" a="1"/>
  <c r="D665" i="6" s="1"/>
  <c r="E665" i="6" s="1" a="1"/>
  <c r="E665" i="6" s="1"/>
  <c r="F665" i="6" a="1"/>
  <c r="F665" i="6" s="1"/>
  <c r="C666" i="6" a="1"/>
  <c r="C666" i="6" s="1"/>
  <c r="D666" i="6" a="1"/>
  <c r="D666" i="6" s="1"/>
  <c r="E666" i="6" s="1" a="1"/>
  <c r="E666" i="6" s="1"/>
  <c r="F666" i="6" a="1"/>
  <c r="F666" i="6" s="1"/>
  <c r="C667" i="6" a="1"/>
  <c r="C667" i="6" s="1"/>
  <c r="D667" i="6" a="1"/>
  <c r="D667" i="6" s="1"/>
  <c r="E667" i="6" s="1" a="1"/>
  <c r="E667" i="6" s="1"/>
  <c r="F667" i="6" a="1"/>
  <c r="F667" i="6" s="1"/>
  <c r="C668" i="6" a="1"/>
  <c r="C668" i="6" s="1"/>
  <c r="D668" i="6" a="1"/>
  <c r="D668" i="6" s="1"/>
  <c r="E668" i="6" s="1" a="1"/>
  <c r="E668" i="6" s="1"/>
  <c r="F668" i="6" a="1"/>
  <c r="F668" i="6" s="1"/>
  <c r="C669" i="6" a="1"/>
  <c r="C669" i="6" s="1"/>
  <c r="D669" i="6" a="1"/>
  <c r="D669" i="6" s="1"/>
  <c r="E669" i="6" s="1" a="1"/>
  <c r="E669" i="6" s="1"/>
  <c r="F669" i="6" a="1"/>
  <c r="F669" i="6" s="1"/>
  <c r="C670" i="6" a="1"/>
  <c r="C670" i="6" s="1"/>
  <c r="D670" i="6" a="1"/>
  <c r="D670" i="6" s="1"/>
  <c r="E670" i="6" s="1" a="1"/>
  <c r="E670" i="6" s="1"/>
  <c r="F670" i="6" a="1"/>
  <c r="F670" i="6" s="1"/>
  <c r="C671" i="6" a="1"/>
  <c r="C671" i="6" s="1"/>
  <c r="D671" i="6" a="1"/>
  <c r="D671" i="6" s="1"/>
  <c r="E671" i="6" s="1" a="1"/>
  <c r="E671" i="6" s="1"/>
  <c r="F671" i="6" a="1"/>
  <c r="F671" i="6" s="1"/>
  <c r="C672" i="6" a="1"/>
  <c r="C672" i="6" s="1"/>
  <c r="D672" i="6" a="1"/>
  <c r="D672" i="6" s="1"/>
  <c r="E672" i="6" s="1" a="1"/>
  <c r="E672" i="6" s="1"/>
  <c r="F672" i="6" a="1"/>
  <c r="F672" i="6" s="1"/>
  <c r="C673" i="6" a="1"/>
  <c r="C673" i="6" s="1"/>
  <c r="D673" i="6" a="1"/>
  <c r="D673" i="6" s="1"/>
  <c r="E673" i="6" s="1" a="1"/>
  <c r="E673" i="6" s="1"/>
  <c r="F673" i="6" a="1"/>
  <c r="F673" i="6" s="1"/>
  <c r="C674" i="6" a="1"/>
  <c r="C674" i="6" s="1"/>
  <c r="D674" i="6" a="1"/>
  <c r="D674" i="6" s="1"/>
  <c r="E674" i="6" s="1" a="1"/>
  <c r="E674" i="6" s="1"/>
  <c r="F674" i="6" a="1"/>
  <c r="F674" i="6" s="1"/>
  <c r="C675" i="6" a="1"/>
  <c r="C675" i="6" s="1"/>
  <c r="D675" i="6" a="1"/>
  <c r="D675" i="6" s="1"/>
  <c r="E675" i="6" s="1" a="1"/>
  <c r="E675" i="6" s="1"/>
  <c r="F675" i="6" a="1"/>
  <c r="F675" i="6" s="1"/>
  <c r="C676" i="6" a="1"/>
  <c r="C676" i="6" s="1"/>
  <c r="D676" i="6" a="1"/>
  <c r="D676" i="6" s="1"/>
  <c r="E676" i="6" s="1" a="1"/>
  <c r="E676" i="6" s="1"/>
  <c r="F676" i="6" a="1"/>
  <c r="F676" i="6" s="1"/>
  <c r="C677" i="6" a="1"/>
  <c r="C677" i="6" s="1"/>
  <c r="D677" i="6" a="1"/>
  <c r="D677" i="6" s="1"/>
  <c r="E677" i="6" s="1" a="1"/>
  <c r="E677" i="6" s="1"/>
  <c r="F677" i="6" a="1"/>
  <c r="F677" i="6" s="1"/>
  <c r="C678" i="6" a="1"/>
  <c r="C678" i="6" s="1"/>
  <c r="D678" i="6" a="1"/>
  <c r="D678" i="6" s="1"/>
  <c r="E678" i="6" s="1" a="1"/>
  <c r="E678" i="6" s="1"/>
  <c r="F678" i="6" a="1"/>
  <c r="F678" i="6" s="1"/>
  <c r="C679" i="6" a="1"/>
  <c r="C679" i="6" s="1"/>
  <c r="D679" i="6" a="1"/>
  <c r="D679" i="6" s="1"/>
  <c r="E679" i="6" s="1" a="1"/>
  <c r="E679" i="6" s="1"/>
  <c r="F679" i="6" a="1"/>
  <c r="F679" i="6" s="1"/>
  <c r="C680" i="6" a="1"/>
  <c r="C680" i="6" s="1"/>
  <c r="D680" i="6" a="1"/>
  <c r="D680" i="6" s="1"/>
  <c r="E680" i="6" s="1" a="1"/>
  <c r="E680" i="6" s="1"/>
  <c r="F680" i="6" a="1"/>
  <c r="F680" i="6" s="1"/>
  <c r="C681" i="6" a="1"/>
  <c r="C681" i="6" s="1"/>
  <c r="D681" i="6" a="1"/>
  <c r="D681" i="6" s="1"/>
  <c r="E681" i="6" s="1" a="1"/>
  <c r="E681" i="6" s="1"/>
  <c r="F681" i="6" a="1"/>
  <c r="F681" i="6" s="1"/>
  <c r="C682" i="6" a="1"/>
  <c r="C682" i="6" s="1"/>
  <c r="D682" i="6" a="1"/>
  <c r="D682" i="6" s="1"/>
  <c r="E682" i="6" s="1" a="1"/>
  <c r="E682" i="6" s="1"/>
  <c r="F682" i="6" a="1"/>
  <c r="F682" i="6" s="1"/>
  <c r="C683" i="6" a="1"/>
  <c r="C683" i="6" s="1"/>
  <c r="D683" i="6" a="1"/>
  <c r="D683" i="6" s="1"/>
  <c r="E683" i="6" s="1" a="1"/>
  <c r="E683" i="6" s="1"/>
  <c r="F683" i="6" a="1"/>
  <c r="F683" i="6" s="1"/>
  <c r="C684" i="6" a="1"/>
  <c r="C684" i="6" s="1"/>
  <c r="D684" i="6" a="1"/>
  <c r="D684" i="6" s="1"/>
  <c r="E684" i="6" s="1" a="1"/>
  <c r="E684" i="6" s="1"/>
  <c r="F684" i="6" a="1"/>
  <c r="F684" i="6" s="1"/>
  <c r="C685" i="6" a="1"/>
  <c r="C685" i="6" s="1"/>
  <c r="D685" i="6" a="1"/>
  <c r="D685" i="6" s="1"/>
  <c r="E685" i="6" s="1" a="1"/>
  <c r="E685" i="6" s="1"/>
  <c r="F685" i="6" a="1"/>
  <c r="F685" i="6" s="1"/>
  <c r="C686" i="6" a="1"/>
  <c r="C686" i="6" s="1"/>
  <c r="D686" i="6" a="1"/>
  <c r="D686" i="6" s="1"/>
  <c r="E686" i="6" s="1" a="1"/>
  <c r="E686" i="6" s="1"/>
  <c r="F686" i="6" a="1"/>
  <c r="F686" i="6" s="1"/>
  <c r="C687" i="6" a="1"/>
  <c r="C687" i="6" s="1"/>
  <c r="D687" i="6" a="1"/>
  <c r="D687" i="6" s="1"/>
  <c r="E687" i="6" s="1" a="1"/>
  <c r="E687" i="6" s="1"/>
  <c r="F687" i="6" a="1"/>
  <c r="F687" i="6" s="1"/>
  <c r="C688" i="6" a="1"/>
  <c r="C688" i="6" s="1"/>
  <c r="D688" i="6" a="1"/>
  <c r="D688" i="6" s="1"/>
  <c r="E688" i="6" s="1" a="1"/>
  <c r="E688" i="6" s="1"/>
  <c r="F688" i="6" a="1"/>
  <c r="F688" i="6" s="1"/>
  <c r="C689" i="6" a="1"/>
  <c r="C689" i="6" s="1"/>
  <c r="D689" i="6" a="1"/>
  <c r="D689" i="6" s="1"/>
  <c r="E689" i="6" s="1" a="1"/>
  <c r="E689" i="6" s="1"/>
  <c r="F689" i="6" a="1"/>
  <c r="F689" i="6" s="1"/>
  <c r="C690" i="6" a="1"/>
  <c r="C690" i="6" s="1"/>
  <c r="D690" i="6" a="1"/>
  <c r="D690" i="6" s="1"/>
  <c r="E690" i="6" s="1" a="1"/>
  <c r="E690" i="6" s="1"/>
  <c r="F690" i="6" a="1"/>
  <c r="F690" i="6" s="1"/>
  <c r="C691" i="6" a="1"/>
  <c r="C691" i="6" s="1"/>
  <c r="D691" i="6" a="1"/>
  <c r="D691" i="6" s="1"/>
  <c r="E691" i="6" s="1" a="1"/>
  <c r="E691" i="6" s="1"/>
  <c r="F691" i="6" a="1"/>
  <c r="F691" i="6" s="1"/>
  <c r="C692" i="6" a="1"/>
  <c r="C692" i="6" s="1"/>
  <c r="D692" i="6" a="1"/>
  <c r="D692" i="6" s="1"/>
  <c r="E692" i="6" s="1" a="1"/>
  <c r="E692" i="6" s="1"/>
  <c r="F692" i="6" a="1"/>
  <c r="F692" i="6" s="1"/>
  <c r="C693" i="6" a="1"/>
  <c r="C693" i="6" s="1"/>
  <c r="D693" i="6" a="1"/>
  <c r="D693" i="6" s="1"/>
  <c r="E693" i="6" s="1" a="1"/>
  <c r="E693" i="6" s="1"/>
  <c r="F693" i="6" a="1"/>
  <c r="F693" i="6" s="1"/>
  <c r="C694" i="6" a="1"/>
  <c r="C694" i="6" s="1"/>
  <c r="D694" i="6" a="1"/>
  <c r="D694" i="6" s="1"/>
  <c r="E694" i="6" s="1" a="1"/>
  <c r="E694" i="6" s="1"/>
  <c r="F694" i="6" a="1"/>
  <c r="F694" i="6" s="1"/>
  <c r="C695" i="6" a="1"/>
  <c r="C695" i="6" s="1"/>
  <c r="D695" i="6" a="1"/>
  <c r="D695" i="6" s="1"/>
  <c r="E695" i="6" s="1" a="1"/>
  <c r="E695" i="6" s="1"/>
  <c r="F695" i="6" a="1"/>
  <c r="F695" i="6" s="1"/>
  <c r="C696" i="6" a="1"/>
  <c r="C696" i="6" s="1"/>
  <c r="D696" i="6" a="1"/>
  <c r="D696" i="6" s="1"/>
  <c r="E696" i="6" s="1" a="1"/>
  <c r="E696" i="6" s="1"/>
  <c r="F696" i="6" a="1"/>
  <c r="F696" i="6" s="1"/>
  <c r="C697" i="6" a="1"/>
  <c r="C697" i="6" s="1"/>
  <c r="D697" i="6" a="1"/>
  <c r="D697" i="6" s="1"/>
  <c r="E697" i="6" s="1" a="1"/>
  <c r="E697" i="6" s="1"/>
  <c r="F697" i="6" a="1"/>
  <c r="F697" i="6" s="1"/>
  <c r="C698" i="6" a="1"/>
  <c r="C698" i="6" s="1"/>
  <c r="D698" i="6" a="1"/>
  <c r="D698" i="6" s="1"/>
  <c r="E698" i="6" s="1" a="1"/>
  <c r="E698" i="6" s="1"/>
  <c r="F698" i="6" a="1"/>
  <c r="F698" i="6" s="1"/>
  <c r="C699" i="6" a="1"/>
  <c r="C699" i="6" s="1"/>
  <c r="D699" i="6" a="1"/>
  <c r="D699" i="6" s="1"/>
  <c r="E699" i="6" s="1" a="1"/>
  <c r="E699" i="6" s="1"/>
  <c r="F699" i="6" a="1"/>
  <c r="F699" i="6" s="1"/>
  <c r="C700" i="6" a="1"/>
  <c r="C700" i="6" s="1"/>
  <c r="D700" i="6" a="1"/>
  <c r="D700" i="6" s="1"/>
  <c r="E700" i="6" s="1" a="1"/>
  <c r="E700" i="6" s="1"/>
  <c r="F700" i="6" a="1"/>
  <c r="F700" i="6" s="1"/>
  <c r="C701" i="6" a="1"/>
  <c r="C701" i="6" s="1"/>
  <c r="D701" i="6" a="1"/>
  <c r="D701" i="6" s="1"/>
  <c r="E701" i="6" s="1" a="1"/>
  <c r="E701" i="6" s="1"/>
  <c r="F701" i="6" a="1"/>
  <c r="F701" i="6" s="1"/>
  <c r="C702" i="6" a="1"/>
  <c r="C702" i="6" s="1"/>
  <c r="D702" i="6" a="1"/>
  <c r="D702" i="6" s="1"/>
  <c r="E702" i="6" s="1" a="1"/>
  <c r="E702" i="6" s="1"/>
  <c r="F702" i="6" a="1"/>
  <c r="F702" i="6" s="1"/>
  <c r="C703" i="6" a="1"/>
  <c r="C703" i="6" s="1"/>
  <c r="D703" i="6" a="1"/>
  <c r="D703" i="6" s="1"/>
  <c r="E703" i="6" s="1" a="1"/>
  <c r="E703" i="6" s="1"/>
  <c r="F703" i="6" a="1"/>
  <c r="F703" i="6" s="1"/>
  <c r="C704" i="6" a="1"/>
  <c r="C704" i="6" s="1"/>
  <c r="D704" i="6" a="1"/>
  <c r="D704" i="6" s="1"/>
  <c r="E704" i="6" s="1" a="1"/>
  <c r="E704" i="6" s="1"/>
  <c r="F704" i="6" a="1"/>
  <c r="F704" i="6" s="1"/>
  <c r="C705" i="6" a="1"/>
  <c r="C705" i="6" s="1"/>
  <c r="D705" i="6" a="1"/>
  <c r="D705" i="6" s="1"/>
  <c r="E705" i="6" s="1" a="1"/>
  <c r="E705" i="6" s="1"/>
  <c r="F705" i="6" a="1"/>
  <c r="F705" i="6" s="1"/>
  <c r="C706" i="6" a="1"/>
  <c r="C706" i="6" s="1"/>
  <c r="D706" i="6" a="1"/>
  <c r="D706" i="6" s="1"/>
  <c r="E706" i="6" s="1" a="1"/>
  <c r="E706" i="6" s="1"/>
  <c r="F706" i="6" a="1"/>
  <c r="F706" i="6" s="1"/>
  <c r="C707" i="6" a="1"/>
  <c r="C707" i="6" s="1"/>
  <c r="D707" i="6" a="1"/>
  <c r="D707" i="6" s="1"/>
  <c r="E707" i="6" s="1" a="1"/>
  <c r="E707" i="6" s="1"/>
  <c r="F707" i="6" a="1"/>
  <c r="F707" i="6" s="1"/>
  <c r="C708" i="6" a="1"/>
  <c r="C708" i="6" s="1"/>
  <c r="D708" i="6" a="1"/>
  <c r="D708" i="6" s="1"/>
  <c r="E708" i="6" s="1" a="1"/>
  <c r="E708" i="6" s="1"/>
  <c r="F708" i="6" a="1"/>
  <c r="F708" i="6" s="1"/>
  <c r="C709" i="6" a="1"/>
  <c r="C709" i="6" s="1"/>
  <c r="D709" i="6" a="1"/>
  <c r="D709" i="6" s="1"/>
  <c r="E709" i="6" s="1" a="1"/>
  <c r="E709" i="6" s="1"/>
  <c r="F709" i="6" a="1"/>
  <c r="F709" i="6" s="1"/>
  <c r="C710" i="6" a="1"/>
  <c r="C710" i="6" s="1"/>
  <c r="D710" i="6" a="1"/>
  <c r="D710" i="6" s="1"/>
  <c r="E710" i="6" s="1" a="1"/>
  <c r="E710" i="6" s="1"/>
  <c r="F710" i="6" a="1"/>
  <c r="F710" i="6" s="1"/>
  <c r="C711" i="6" a="1"/>
  <c r="C711" i="6" s="1"/>
  <c r="D711" i="6" a="1"/>
  <c r="D711" i="6" s="1"/>
  <c r="E711" i="6" s="1" a="1"/>
  <c r="E711" i="6" s="1"/>
  <c r="F711" i="6" a="1"/>
  <c r="F711" i="6" s="1"/>
  <c r="C712" i="6" a="1"/>
  <c r="C712" i="6" s="1"/>
  <c r="D712" i="6" a="1"/>
  <c r="D712" i="6" s="1"/>
  <c r="E712" i="6" s="1" a="1"/>
  <c r="E712" i="6" s="1"/>
  <c r="F712" i="6" a="1"/>
  <c r="F712" i="6" s="1"/>
  <c r="C713" i="6" a="1"/>
  <c r="C713" i="6" s="1"/>
  <c r="D713" i="6" a="1"/>
  <c r="D713" i="6" s="1"/>
  <c r="E713" i="6" s="1" a="1"/>
  <c r="E713" i="6" s="1"/>
  <c r="F713" i="6" a="1"/>
  <c r="F713" i="6" s="1"/>
  <c r="C714" i="6" a="1"/>
  <c r="C714" i="6" s="1"/>
  <c r="D714" i="6" a="1"/>
  <c r="D714" i="6" s="1"/>
  <c r="E714" i="6" s="1" a="1"/>
  <c r="E714" i="6" s="1"/>
  <c r="F714" i="6" a="1"/>
  <c r="F714" i="6" s="1"/>
  <c r="C715" i="6" a="1"/>
  <c r="C715" i="6" s="1"/>
  <c r="D715" i="6" a="1"/>
  <c r="D715" i="6" s="1"/>
  <c r="E715" i="6" s="1" a="1"/>
  <c r="E715" i="6" s="1"/>
  <c r="F715" i="6" a="1"/>
  <c r="F715" i="6" s="1"/>
  <c r="C716" i="6" a="1"/>
  <c r="C716" i="6" s="1"/>
  <c r="D716" i="6" a="1"/>
  <c r="D716" i="6" s="1"/>
  <c r="E716" i="6" s="1" a="1"/>
  <c r="E716" i="6" s="1"/>
  <c r="F716" i="6" a="1"/>
  <c r="F716" i="6" s="1"/>
  <c r="C717" i="6" a="1"/>
  <c r="C717" i="6" s="1"/>
  <c r="D717" i="6" a="1"/>
  <c r="D717" i="6" s="1"/>
  <c r="E717" i="6" s="1" a="1"/>
  <c r="E717" i="6" s="1"/>
  <c r="F717" i="6" a="1"/>
  <c r="F717" i="6" s="1"/>
  <c r="C718" i="6" a="1"/>
  <c r="C718" i="6" s="1"/>
  <c r="D718" i="6" a="1"/>
  <c r="D718" i="6" s="1"/>
  <c r="E718" i="6" s="1" a="1"/>
  <c r="E718" i="6" s="1"/>
  <c r="F718" i="6" a="1"/>
  <c r="F718" i="6" s="1"/>
  <c r="C719" i="6" a="1"/>
  <c r="C719" i="6" s="1"/>
  <c r="D719" i="6" a="1"/>
  <c r="D719" i="6" s="1"/>
  <c r="E719" i="6" s="1" a="1"/>
  <c r="E719" i="6" s="1"/>
  <c r="F719" i="6" a="1"/>
  <c r="F719" i="6" s="1"/>
  <c r="C720" i="6" a="1"/>
  <c r="C720" i="6" s="1"/>
  <c r="D720" i="6" a="1"/>
  <c r="D720" i="6" s="1"/>
  <c r="E720" i="6" s="1" a="1"/>
  <c r="E720" i="6" s="1"/>
  <c r="F720" i="6" a="1"/>
  <c r="F720" i="6" s="1"/>
  <c r="C721" i="6" a="1"/>
  <c r="C721" i="6" s="1"/>
  <c r="D721" i="6" a="1"/>
  <c r="D721" i="6" s="1"/>
  <c r="E721" i="6" s="1" a="1"/>
  <c r="E721" i="6" s="1"/>
  <c r="F721" i="6" a="1"/>
  <c r="F721" i="6" s="1"/>
  <c r="C722" i="6" a="1"/>
  <c r="C722" i="6" s="1"/>
  <c r="D722" i="6" a="1"/>
  <c r="D722" i="6" s="1"/>
  <c r="E722" i="6" s="1" a="1"/>
  <c r="E722" i="6" s="1"/>
  <c r="F722" i="6" a="1"/>
  <c r="F722" i="6" s="1"/>
  <c r="C723" i="6" a="1"/>
  <c r="C723" i="6" s="1"/>
  <c r="D723" i="6" a="1"/>
  <c r="D723" i="6" s="1"/>
  <c r="E723" i="6" s="1" a="1"/>
  <c r="E723" i="6" s="1"/>
  <c r="F723" i="6" a="1"/>
  <c r="F723" i="6" s="1"/>
  <c r="C724" i="6" a="1"/>
  <c r="C724" i="6" s="1"/>
  <c r="D724" i="6" a="1"/>
  <c r="D724" i="6" s="1"/>
  <c r="E724" i="6" s="1" a="1"/>
  <c r="E724" i="6" s="1"/>
  <c r="F724" i="6" a="1"/>
  <c r="F724" i="6" s="1"/>
  <c r="C725" i="6" a="1"/>
  <c r="C725" i="6" s="1"/>
  <c r="D725" i="6" a="1"/>
  <c r="D725" i="6" s="1"/>
  <c r="E725" i="6" s="1" a="1"/>
  <c r="E725" i="6" s="1"/>
  <c r="F725" i="6" a="1"/>
  <c r="F725" i="6" s="1"/>
  <c r="C726" i="6" a="1"/>
  <c r="C726" i="6" s="1"/>
  <c r="D726" i="6" a="1"/>
  <c r="D726" i="6" s="1"/>
  <c r="E726" i="6" s="1" a="1"/>
  <c r="E726" i="6" s="1"/>
  <c r="F726" i="6" a="1"/>
  <c r="F726" i="6" s="1"/>
  <c r="C727" i="6" a="1"/>
  <c r="C727" i="6" s="1"/>
  <c r="D727" i="6" a="1"/>
  <c r="D727" i="6" s="1"/>
  <c r="E727" i="6" s="1" a="1"/>
  <c r="E727" i="6" s="1"/>
  <c r="F727" i="6" a="1"/>
  <c r="F727" i="6" s="1"/>
  <c r="C728" i="6" a="1"/>
  <c r="C728" i="6" s="1"/>
  <c r="D728" i="6" a="1"/>
  <c r="D728" i="6" s="1"/>
  <c r="E728" i="6" s="1" a="1"/>
  <c r="E728" i="6" s="1"/>
  <c r="F728" i="6" a="1"/>
  <c r="F728" i="6" s="1"/>
  <c r="C729" i="6" a="1"/>
  <c r="C729" i="6" s="1"/>
  <c r="D729" i="6" a="1"/>
  <c r="D729" i="6" s="1"/>
  <c r="E729" i="6" s="1" a="1"/>
  <c r="E729" i="6" s="1"/>
  <c r="F729" i="6" a="1"/>
  <c r="F729" i="6" s="1"/>
  <c r="C730" i="6" a="1"/>
  <c r="C730" i="6" s="1"/>
  <c r="D730" i="6" a="1"/>
  <c r="D730" i="6" s="1"/>
  <c r="E730" i="6" s="1" a="1"/>
  <c r="E730" i="6" s="1"/>
  <c r="F730" i="6" a="1"/>
  <c r="F730" i="6" s="1"/>
  <c r="C731" i="6" a="1"/>
  <c r="C731" i="6" s="1"/>
  <c r="D731" i="6" a="1"/>
  <c r="D731" i="6" s="1"/>
  <c r="E731" i="6" s="1" a="1"/>
  <c r="E731" i="6" s="1"/>
  <c r="F731" i="6" a="1"/>
  <c r="F731" i="6" s="1"/>
  <c r="C732" i="6" a="1"/>
  <c r="C732" i="6" s="1"/>
  <c r="D732" i="6" a="1"/>
  <c r="D732" i="6" s="1"/>
  <c r="E732" i="6" s="1" a="1"/>
  <c r="E732" i="6" s="1"/>
  <c r="F732" i="6" a="1"/>
  <c r="F732" i="6" s="1"/>
  <c r="C733" i="6" a="1"/>
  <c r="C733" i="6" s="1"/>
  <c r="D733" i="6" a="1"/>
  <c r="D733" i="6" s="1"/>
  <c r="E733" i="6" s="1" a="1"/>
  <c r="E733" i="6" s="1"/>
  <c r="F733" i="6" a="1"/>
  <c r="F733" i="6" s="1"/>
  <c r="C734" i="6" a="1"/>
  <c r="C734" i="6" s="1"/>
  <c r="D734" i="6" a="1"/>
  <c r="D734" i="6" s="1"/>
  <c r="E734" i="6" s="1" a="1"/>
  <c r="E734" i="6" s="1"/>
  <c r="F734" i="6" a="1"/>
  <c r="F734" i="6" s="1"/>
  <c r="C735" i="6" a="1"/>
  <c r="C735" i="6" s="1"/>
  <c r="D735" i="6" a="1"/>
  <c r="D735" i="6" s="1"/>
  <c r="E735" i="6" s="1" a="1"/>
  <c r="E735" i="6" s="1"/>
  <c r="F735" i="6" a="1"/>
  <c r="F735" i="6" s="1"/>
  <c r="C736" i="6" a="1"/>
  <c r="C736" i="6" s="1"/>
  <c r="D736" i="6" a="1"/>
  <c r="D736" i="6" s="1"/>
  <c r="E736" i="6" s="1" a="1"/>
  <c r="E736" i="6" s="1"/>
  <c r="F736" i="6" a="1"/>
  <c r="F736" i="6" s="1"/>
  <c r="C737" i="6" a="1"/>
  <c r="C737" i="6" s="1"/>
  <c r="D737" i="6" a="1"/>
  <c r="D737" i="6" s="1"/>
  <c r="E737" i="6" s="1" a="1"/>
  <c r="E737" i="6" s="1"/>
  <c r="F737" i="6" a="1"/>
  <c r="F737" i="6" s="1"/>
  <c r="C738" i="6" a="1"/>
  <c r="C738" i="6" s="1"/>
  <c r="D738" i="6" a="1"/>
  <c r="D738" i="6" s="1"/>
  <c r="E738" i="6" s="1" a="1"/>
  <c r="E738" i="6" s="1"/>
  <c r="F738" i="6" a="1"/>
  <c r="F738" i="6" s="1"/>
  <c r="C739" i="6" a="1"/>
  <c r="C739" i="6" s="1"/>
  <c r="D739" i="6" a="1"/>
  <c r="D739" i="6" s="1"/>
  <c r="E739" i="6" s="1" a="1"/>
  <c r="E739" i="6" s="1"/>
  <c r="F739" i="6" a="1"/>
  <c r="F739" i="6" s="1"/>
  <c r="C740" i="6" a="1"/>
  <c r="C740" i="6" s="1"/>
  <c r="D740" i="6" a="1"/>
  <c r="D740" i="6" s="1"/>
  <c r="E740" i="6" s="1" a="1"/>
  <c r="E740" i="6" s="1"/>
  <c r="F740" i="6" a="1"/>
  <c r="F740" i="6" s="1"/>
  <c r="C741" i="6" a="1"/>
  <c r="C741" i="6" s="1"/>
  <c r="D741" i="6" a="1"/>
  <c r="D741" i="6" s="1"/>
  <c r="E741" i="6" s="1" a="1"/>
  <c r="E741" i="6" s="1"/>
  <c r="F741" i="6" a="1"/>
  <c r="F741" i="6" s="1"/>
  <c r="C742" i="6" a="1"/>
  <c r="C742" i="6" s="1"/>
  <c r="D742" i="6" a="1"/>
  <c r="D742" i="6" s="1"/>
  <c r="E742" i="6" s="1" a="1"/>
  <c r="E742" i="6" s="1"/>
  <c r="F742" i="6" a="1"/>
  <c r="F742" i="6" s="1"/>
  <c r="C743" i="6" a="1"/>
  <c r="C743" i="6" s="1"/>
  <c r="D743" i="6" a="1"/>
  <c r="D743" i="6" s="1"/>
  <c r="E743" i="6" s="1" a="1"/>
  <c r="E743" i="6" s="1"/>
  <c r="F743" i="6" a="1"/>
  <c r="F743" i="6" s="1"/>
  <c r="C744" i="6" a="1"/>
  <c r="C744" i="6" s="1"/>
  <c r="D744" i="6" a="1"/>
  <c r="D744" i="6" s="1"/>
  <c r="E744" i="6" s="1" a="1"/>
  <c r="E744" i="6" s="1"/>
  <c r="F744" i="6" a="1"/>
  <c r="F744" i="6" s="1"/>
  <c r="C745" i="6" a="1"/>
  <c r="C745" i="6" s="1"/>
  <c r="D745" i="6" a="1"/>
  <c r="D745" i="6" s="1"/>
  <c r="E745" i="6" s="1" a="1"/>
  <c r="E745" i="6" s="1"/>
  <c r="F745" i="6" a="1"/>
  <c r="F745" i="6" s="1"/>
  <c r="C746" i="6" a="1"/>
  <c r="C746" i="6" s="1"/>
  <c r="D746" i="6" a="1"/>
  <c r="D746" i="6" s="1"/>
  <c r="E746" i="6" s="1" a="1"/>
  <c r="E746" i="6" s="1"/>
  <c r="F746" i="6" a="1"/>
  <c r="F746" i="6" s="1"/>
  <c r="C747" i="6" a="1"/>
  <c r="C747" i="6" s="1"/>
  <c r="D747" i="6" a="1"/>
  <c r="D747" i="6" s="1"/>
  <c r="E747" i="6" s="1" a="1"/>
  <c r="E747" i="6" s="1"/>
  <c r="F747" i="6" a="1"/>
  <c r="F747" i="6" s="1"/>
  <c r="C748" i="6" a="1"/>
  <c r="C748" i="6" s="1"/>
  <c r="D748" i="6" a="1"/>
  <c r="D748" i="6" s="1"/>
  <c r="E748" i="6" s="1" a="1"/>
  <c r="E748" i="6" s="1"/>
  <c r="F748" i="6" a="1"/>
  <c r="F748" i="6" s="1"/>
  <c r="C749" i="6" a="1"/>
  <c r="C749" i="6" s="1"/>
  <c r="D749" i="6" a="1"/>
  <c r="D749" i="6" s="1"/>
  <c r="E749" i="6" s="1" a="1"/>
  <c r="E749" i="6" s="1"/>
  <c r="F749" i="6" a="1"/>
  <c r="F749" i="6" s="1"/>
  <c r="C750" i="6" a="1"/>
  <c r="C750" i="6" s="1"/>
  <c r="D750" i="6" a="1"/>
  <c r="D750" i="6" s="1"/>
  <c r="E750" i="6" s="1" a="1"/>
  <c r="E750" i="6" s="1"/>
  <c r="F750" i="6" a="1"/>
  <c r="F750" i="6" s="1"/>
  <c r="C751" i="6" a="1"/>
  <c r="C751" i="6" s="1"/>
  <c r="D751" i="6" a="1"/>
  <c r="D751" i="6" s="1"/>
  <c r="E751" i="6" s="1" a="1"/>
  <c r="E751" i="6" s="1"/>
  <c r="F751" i="6" a="1"/>
  <c r="F751" i="6" s="1"/>
  <c r="C752" i="6" a="1"/>
  <c r="C752" i="6" s="1"/>
  <c r="D752" i="6" a="1"/>
  <c r="D752" i="6" s="1"/>
  <c r="E752" i="6" s="1" a="1"/>
  <c r="E752" i="6" s="1"/>
  <c r="F752" i="6" a="1"/>
  <c r="F752" i="6" s="1"/>
  <c r="C753" i="6" a="1"/>
  <c r="C753" i="6" s="1"/>
  <c r="D753" i="6" a="1"/>
  <c r="D753" i="6" s="1"/>
  <c r="E753" i="6" s="1" a="1"/>
  <c r="E753" i="6" s="1"/>
  <c r="F753" i="6" a="1"/>
  <c r="F753" i="6" s="1"/>
  <c r="C754" i="6" a="1"/>
  <c r="C754" i="6" s="1"/>
  <c r="D754" i="6" a="1"/>
  <c r="D754" i="6" s="1"/>
  <c r="E754" i="6" s="1" a="1"/>
  <c r="E754" i="6" s="1"/>
  <c r="F754" i="6" a="1"/>
  <c r="F754" i="6" s="1"/>
  <c r="C755" i="6" a="1"/>
  <c r="C755" i="6" s="1"/>
  <c r="D755" i="6" a="1"/>
  <c r="D755" i="6" s="1"/>
  <c r="E755" i="6" s="1" a="1"/>
  <c r="E755" i="6" s="1"/>
  <c r="F755" i="6" a="1"/>
  <c r="F755" i="6" s="1"/>
  <c r="C756" i="6" a="1"/>
  <c r="C756" i="6" s="1"/>
  <c r="D756" i="6" a="1"/>
  <c r="D756" i="6" s="1"/>
  <c r="E756" i="6" s="1" a="1"/>
  <c r="E756" i="6" s="1"/>
  <c r="F756" i="6" a="1"/>
  <c r="F756" i="6" s="1"/>
  <c r="C757" i="6" a="1"/>
  <c r="C757" i="6" s="1"/>
  <c r="D757" i="6" a="1"/>
  <c r="D757" i="6" s="1"/>
  <c r="E757" i="6" s="1" a="1"/>
  <c r="E757" i="6" s="1"/>
  <c r="F757" i="6" a="1"/>
  <c r="F757" i="6" s="1"/>
  <c r="C758" i="6" a="1"/>
  <c r="C758" i="6" s="1"/>
  <c r="D758" i="6" a="1"/>
  <c r="D758" i="6" s="1"/>
  <c r="E758" i="6" s="1" a="1"/>
  <c r="E758" i="6" s="1"/>
  <c r="F758" i="6" a="1"/>
  <c r="F758" i="6" s="1"/>
  <c r="C759" i="6" a="1"/>
  <c r="C759" i="6" s="1"/>
  <c r="D759" i="6" a="1"/>
  <c r="D759" i="6" s="1"/>
  <c r="E759" i="6" s="1" a="1"/>
  <c r="E759" i="6" s="1"/>
  <c r="F759" i="6" a="1"/>
  <c r="F759" i="6" s="1"/>
  <c r="C760" i="6" a="1"/>
  <c r="C760" i="6" s="1"/>
  <c r="D760" i="6" a="1"/>
  <c r="D760" i="6" s="1"/>
  <c r="E760" i="6" s="1" a="1"/>
  <c r="E760" i="6" s="1"/>
  <c r="F760" i="6" a="1"/>
  <c r="F760" i="6" s="1"/>
  <c r="C761" i="6" a="1"/>
  <c r="C761" i="6" s="1"/>
  <c r="D761" i="6" a="1"/>
  <c r="D761" i="6" s="1"/>
  <c r="E761" i="6" s="1" a="1"/>
  <c r="E761" i="6" s="1"/>
  <c r="F761" i="6" a="1"/>
  <c r="F761" i="6" s="1"/>
  <c r="C762" i="6" a="1"/>
  <c r="C762" i="6" s="1"/>
  <c r="D762" i="6" a="1"/>
  <c r="D762" i="6" s="1"/>
  <c r="E762" i="6" s="1" a="1"/>
  <c r="E762" i="6" s="1"/>
  <c r="F762" i="6" a="1"/>
  <c r="F762" i="6" s="1"/>
  <c r="C763" i="6" a="1"/>
  <c r="C763" i="6" s="1"/>
  <c r="D763" i="6" a="1"/>
  <c r="D763" i="6" s="1"/>
  <c r="E763" i="6" s="1" a="1"/>
  <c r="E763" i="6" s="1"/>
  <c r="F763" i="6" a="1"/>
  <c r="F763" i="6" s="1"/>
  <c r="C764" i="6" a="1"/>
  <c r="C764" i="6" s="1"/>
  <c r="D764" i="6" a="1"/>
  <c r="D764" i="6" s="1"/>
  <c r="E764" i="6" s="1" a="1"/>
  <c r="E764" i="6" s="1"/>
  <c r="F764" i="6" a="1"/>
  <c r="F764" i="6" s="1"/>
  <c r="C765" i="6" a="1"/>
  <c r="C765" i="6" s="1"/>
  <c r="D765" i="6" a="1"/>
  <c r="D765" i="6" s="1"/>
  <c r="E765" i="6" s="1" a="1"/>
  <c r="E765" i="6" s="1"/>
  <c r="F765" i="6" a="1"/>
  <c r="F765" i="6" s="1"/>
  <c r="C766" i="6" a="1"/>
  <c r="C766" i="6" s="1"/>
  <c r="D766" i="6" a="1"/>
  <c r="D766" i="6" s="1"/>
  <c r="E766" i="6" s="1" a="1"/>
  <c r="E766" i="6" s="1"/>
  <c r="F766" i="6" a="1"/>
  <c r="F766" i="6" s="1"/>
  <c r="C767" i="6" a="1"/>
  <c r="C767" i="6" s="1"/>
  <c r="D767" i="6" a="1"/>
  <c r="D767" i="6" s="1"/>
  <c r="E767" i="6" s="1" a="1"/>
  <c r="E767" i="6" s="1"/>
  <c r="F767" i="6" a="1"/>
  <c r="F767" i="6" s="1"/>
  <c r="C768" i="6" a="1"/>
  <c r="C768" i="6" s="1"/>
  <c r="D768" i="6" a="1"/>
  <c r="D768" i="6" s="1"/>
  <c r="E768" i="6" s="1" a="1"/>
  <c r="E768" i="6" s="1"/>
  <c r="F768" i="6" a="1"/>
  <c r="F768" i="6" s="1"/>
  <c r="C769" i="6" a="1"/>
  <c r="C769" i="6" s="1"/>
  <c r="D769" i="6" a="1"/>
  <c r="D769" i="6" s="1"/>
  <c r="E769" i="6" s="1" a="1"/>
  <c r="E769" i="6" s="1"/>
  <c r="F769" i="6" a="1"/>
  <c r="F769" i="6" s="1"/>
  <c r="C770" i="6" a="1"/>
  <c r="C770" i="6" s="1"/>
  <c r="D770" i="6" a="1"/>
  <c r="D770" i="6" s="1"/>
  <c r="E770" i="6" s="1" a="1"/>
  <c r="E770" i="6" s="1"/>
  <c r="F770" i="6" a="1"/>
  <c r="F770" i="6" s="1"/>
  <c r="C771" i="6" a="1"/>
  <c r="C771" i="6" s="1"/>
  <c r="D771" i="6" a="1"/>
  <c r="D771" i="6" s="1"/>
  <c r="E771" i="6" s="1" a="1"/>
  <c r="E771" i="6" s="1"/>
  <c r="F771" i="6" a="1"/>
  <c r="F771" i="6" s="1"/>
  <c r="C772" i="6" a="1"/>
  <c r="C772" i="6" s="1"/>
  <c r="D772" i="6" a="1"/>
  <c r="D772" i="6" s="1"/>
  <c r="E772" i="6" s="1" a="1"/>
  <c r="E772" i="6" s="1"/>
  <c r="F772" i="6" a="1"/>
  <c r="F772" i="6" s="1"/>
  <c r="C773" i="6" a="1"/>
  <c r="C773" i="6" s="1"/>
  <c r="D773" i="6" a="1"/>
  <c r="D773" i="6" s="1"/>
  <c r="E773" i="6" s="1" a="1"/>
  <c r="E773" i="6" s="1"/>
  <c r="F773" i="6" a="1"/>
  <c r="F773" i="6" s="1"/>
  <c r="C774" i="6" a="1"/>
  <c r="C774" i="6" s="1"/>
  <c r="D774" i="6" a="1"/>
  <c r="D774" i="6" s="1"/>
  <c r="E774" i="6" s="1" a="1"/>
  <c r="E774" i="6" s="1"/>
  <c r="F774" i="6" a="1"/>
  <c r="F774" i="6" s="1"/>
  <c r="C775" i="6" a="1"/>
  <c r="C775" i="6" s="1"/>
  <c r="D775" i="6" a="1"/>
  <c r="D775" i="6" s="1"/>
  <c r="E775" i="6" s="1" a="1"/>
  <c r="E775" i="6" s="1"/>
  <c r="F775" i="6" a="1"/>
  <c r="F775" i="6" s="1"/>
  <c r="C776" i="6" a="1"/>
  <c r="C776" i="6" s="1"/>
  <c r="D776" i="6" a="1"/>
  <c r="D776" i="6" s="1"/>
  <c r="E776" i="6" s="1" a="1"/>
  <c r="E776" i="6" s="1"/>
  <c r="F776" i="6" a="1"/>
  <c r="F776" i="6" s="1"/>
  <c r="C777" i="6" a="1"/>
  <c r="C777" i="6" s="1"/>
  <c r="D777" i="6" a="1"/>
  <c r="D777" i="6" s="1"/>
  <c r="E777" i="6" s="1" a="1"/>
  <c r="E777" i="6" s="1"/>
  <c r="F777" i="6" a="1"/>
  <c r="F777" i="6" s="1"/>
  <c r="C778" i="6" a="1"/>
  <c r="C778" i="6" s="1"/>
  <c r="D778" i="6" a="1"/>
  <c r="D778" i="6" s="1"/>
  <c r="E778" i="6" s="1" a="1"/>
  <c r="E778" i="6" s="1"/>
  <c r="F778" i="6" a="1"/>
  <c r="F778" i="6" s="1"/>
  <c r="C779" i="6" a="1"/>
  <c r="C779" i="6" s="1"/>
  <c r="D779" i="6" a="1"/>
  <c r="D779" i="6" s="1"/>
  <c r="E779" i="6" s="1" a="1"/>
  <c r="E779" i="6" s="1"/>
  <c r="F779" i="6" a="1"/>
  <c r="F779" i="6" s="1"/>
  <c r="C780" i="6" a="1"/>
  <c r="C780" i="6" s="1"/>
  <c r="D780" i="6" a="1"/>
  <c r="D780" i="6" s="1"/>
  <c r="E780" i="6" s="1" a="1"/>
  <c r="E780" i="6" s="1"/>
  <c r="F780" i="6" a="1"/>
  <c r="F780" i="6" s="1"/>
  <c r="C781" i="6" a="1"/>
  <c r="C781" i="6" s="1"/>
  <c r="D781" i="6" a="1"/>
  <c r="D781" i="6" s="1"/>
  <c r="E781" i="6" s="1" a="1"/>
  <c r="E781" i="6" s="1"/>
  <c r="F781" i="6" a="1"/>
  <c r="F781" i="6" s="1"/>
  <c r="C782" i="6" a="1"/>
  <c r="C782" i="6" s="1"/>
  <c r="D782" i="6" a="1"/>
  <c r="D782" i="6" s="1"/>
  <c r="E782" i="6" s="1" a="1"/>
  <c r="E782" i="6" s="1"/>
  <c r="F782" i="6" a="1"/>
  <c r="F782" i="6" s="1"/>
  <c r="C783" i="6" a="1"/>
  <c r="C783" i="6" s="1"/>
  <c r="D783" i="6" a="1"/>
  <c r="D783" i="6" s="1"/>
  <c r="E783" i="6" s="1" a="1"/>
  <c r="E783" i="6" s="1"/>
  <c r="F783" i="6" a="1"/>
  <c r="F783" i="6" s="1"/>
  <c r="C784" i="6" a="1"/>
  <c r="C784" i="6" s="1"/>
  <c r="D784" i="6" a="1"/>
  <c r="D784" i="6" s="1"/>
  <c r="E784" i="6" s="1" a="1"/>
  <c r="E784" i="6" s="1"/>
  <c r="F784" i="6" a="1"/>
  <c r="F784" i="6" s="1"/>
  <c r="C785" i="6" a="1"/>
  <c r="C785" i="6" s="1"/>
  <c r="D785" i="6" a="1"/>
  <c r="D785" i="6" s="1"/>
  <c r="E785" i="6" s="1" a="1"/>
  <c r="E785" i="6" s="1"/>
  <c r="F785" i="6" a="1"/>
  <c r="F785" i="6" s="1"/>
  <c r="C786" i="6" a="1"/>
  <c r="C786" i="6" s="1"/>
  <c r="D786" i="6" a="1"/>
  <c r="D786" i="6" s="1"/>
  <c r="E786" i="6" s="1" a="1"/>
  <c r="E786" i="6" s="1"/>
  <c r="F786" i="6" a="1"/>
  <c r="F786" i="6" s="1"/>
  <c r="C787" i="6" a="1"/>
  <c r="C787" i="6" s="1"/>
  <c r="D787" i="6" a="1"/>
  <c r="D787" i="6" s="1"/>
  <c r="E787" i="6" s="1" a="1"/>
  <c r="E787" i="6" s="1"/>
  <c r="F787" i="6" a="1"/>
  <c r="F787" i="6" s="1"/>
  <c r="C788" i="6" a="1"/>
  <c r="C788" i="6" s="1"/>
  <c r="D788" i="6" a="1"/>
  <c r="D788" i="6" s="1"/>
  <c r="E788" i="6" s="1" a="1"/>
  <c r="E788" i="6" s="1"/>
  <c r="F788" i="6" a="1"/>
  <c r="F788" i="6" s="1"/>
  <c r="C789" i="6" a="1"/>
  <c r="C789" i="6" s="1"/>
  <c r="D789" i="6" a="1"/>
  <c r="D789" i="6" s="1"/>
  <c r="E789" i="6" s="1" a="1"/>
  <c r="E789" i="6" s="1"/>
  <c r="F789" i="6" a="1"/>
  <c r="F789" i="6" s="1"/>
  <c r="C790" i="6" a="1"/>
  <c r="C790" i="6" s="1"/>
  <c r="D790" i="6" a="1"/>
  <c r="D790" i="6" s="1"/>
  <c r="E790" i="6" s="1" a="1"/>
  <c r="E790" i="6" s="1"/>
  <c r="F790" i="6" a="1"/>
  <c r="F790" i="6" s="1"/>
  <c r="C791" i="6" a="1"/>
  <c r="C791" i="6" s="1"/>
  <c r="D791" i="6" a="1"/>
  <c r="D791" i="6" s="1"/>
  <c r="E791" i="6" s="1" a="1"/>
  <c r="E791" i="6" s="1"/>
  <c r="F791" i="6" a="1"/>
  <c r="F791" i="6" s="1"/>
  <c r="C792" i="6" a="1"/>
  <c r="C792" i="6" s="1"/>
  <c r="D792" i="6" a="1"/>
  <c r="D792" i="6" s="1"/>
  <c r="E792" i="6" s="1" a="1"/>
  <c r="E792" i="6" s="1"/>
  <c r="F792" i="6" a="1"/>
  <c r="F792" i="6" s="1"/>
  <c r="C793" i="6" a="1"/>
  <c r="C793" i="6" s="1"/>
  <c r="D793" i="6" a="1"/>
  <c r="D793" i="6" s="1"/>
  <c r="E793" i="6" s="1" a="1"/>
  <c r="E793" i="6" s="1"/>
  <c r="F793" i="6" a="1"/>
  <c r="F793" i="6" s="1"/>
  <c r="C794" i="6" a="1"/>
  <c r="C794" i="6" s="1"/>
  <c r="D794" i="6" a="1"/>
  <c r="D794" i="6" s="1"/>
  <c r="E794" i="6" s="1" a="1"/>
  <c r="E794" i="6" s="1"/>
  <c r="F794" i="6" a="1"/>
  <c r="F794" i="6" s="1"/>
  <c r="C795" i="6" a="1"/>
  <c r="C795" i="6" s="1"/>
  <c r="D795" i="6" a="1"/>
  <c r="D795" i="6" s="1"/>
  <c r="E795" i="6" s="1" a="1"/>
  <c r="E795" i="6" s="1"/>
  <c r="F795" i="6" a="1"/>
  <c r="F795" i="6" s="1"/>
  <c r="C796" i="6" a="1"/>
  <c r="C796" i="6" s="1"/>
  <c r="D796" i="6" a="1"/>
  <c r="D796" i="6" s="1"/>
  <c r="E796" i="6" s="1" a="1"/>
  <c r="E796" i="6" s="1"/>
  <c r="F796" i="6" a="1"/>
  <c r="F796" i="6" s="1"/>
  <c r="C797" i="6" a="1"/>
  <c r="C797" i="6" s="1"/>
  <c r="D797" i="6" a="1"/>
  <c r="D797" i="6" s="1"/>
  <c r="E797" i="6" s="1" a="1"/>
  <c r="E797" i="6" s="1"/>
  <c r="F797" i="6" a="1"/>
  <c r="F797" i="6" s="1"/>
  <c r="C798" i="6" a="1"/>
  <c r="C798" i="6" s="1"/>
  <c r="D798" i="6" a="1"/>
  <c r="D798" i="6" s="1"/>
  <c r="E798" i="6" s="1" a="1"/>
  <c r="E798" i="6" s="1"/>
  <c r="F798" i="6" a="1"/>
  <c r="F798" i="6" s="1"/>
  <c r="C799" i="6" a="1"/>
  <c r="C799" i="6" s="1"/>
  <c r="D799" i="6" a="1"/>
  <c r="D799" i="6" s="1"/>
  <c r="E799" i="6" s="1" a="1"/>
  <c r="E799" i="6" s="1"/>
  <c r="F799" i="6" a="1"/>
  <c r="F799" i="6" s="1"/>
  <c r="C800" i="6" a="1"/>
  <c r="C800" i="6" s="1"/>
  <c r="D800" i="6" a="1"/>
  <c r="D800" i="6" s="1"/>
  <c r="E800" i="6" s="1" a="1"/>
  <c r="E800" i="6" s="1"/>
  <c r="F800" i="6" a="1"/>
  <c r="F800" i="6" s="1"/>
  <c r="C801" i="6" a="1"/>
  <c r="C801" i="6" s="1"/>
  <c r="D801" i="6" a="1"/>
  <c r="D801" i="6" s="1"/>
  <c r="E801" i="6" s="1" a="1"/>
  <c r="E801" i="6" s="1"/>
  <c r="F801" i="6" a="1"/>
  <c r="F801" i="6" s="1"/>
  <c r="C802" i="6" a="1"/>
  <c r="C802" i="6" s="1"/>
  <c r="D802" i="6" a="1"/>
  <c r="D802" i="6" s="1"/>
  <c r="E802" i="6" s="1" a="1"/>
  <c r="E802" i="6" s="1"/>
  <c r="F802" i="6" a="1"/>
  <c r="F802" i="6" s="1"/>
  <c r="C803" i="6" a="1"/>
  <c r="C803" i="6" s="1"/>
  <c r="D803" i="6" a="1"/>
  <c r="D803" i="6" s="1"/>
  <c r="E803" i="6" s="1" a="1"/>
  <c r="E803" i="6" s="1"/>
  <c r="F803" i="6" a="1"/>
  <c r="F803" i="6" s="1"/>
  <c r="C804" i="6" a="1"/>
  <c r="C804" i="6" s="1"/>
  <c r="D804" i="6" a="1"/>
  <c r="D804" i="6" s="1"/>
  <c r="E804" i="6" s="1" a="1"/>
  <c r="E804" i="6" s="1"/>
  <c r="F804" i="6" a="1"/>
  <c r="F804" i="6" s="1"/>
  <c r="C805" i="6" a="1"/>
  <c r="C805" i="6" s="1"/>
  <c r="D805" i="6" a="1"/>
  <c r="D805" i="6" s="1"/>
  <c r="E805" i="6" s="1" a="1"/>
  <c r="E805" i="6" s="1"/>
  <c r="F805" i="6" a="1"/>
  <c r="F805" i="6" s="1"/>
  <c r="C806" i="6" a="1"/>
  <c r="C806" i="6" s="1"/>
  <c r="D806" i="6" a="1"/>
  <c r="D806" i="6" s="1"/>
  <c r="E806" i="6" s="1" a="1"/>
  <c r="E806" i="6" s="1"/>
  <c r="F806" i="6" a="1"/>
  <c r="F806" i="6" s="1"/>
  <c r="C807" i="6" a="1"/>
  <c r="C807" i="6" s="1"/>
  <c r="D807" i="6" a="1"/>
  <c r="D807" i="6" s="1"/>
  <c r="E807" i="6" s="1" a="1"/>
  <c r="E807" i="6" s="1"/>
  <c r="F807" i="6" a="1"/>
  <c r="F807" i="6" s="1"/>
  <c r="C808" i="6" a="1"/>
  <c r="C808" i="6" s="1"/>
  <c r="D808" i="6" a="1"/>
  <c r="D808" i="6" s="1"/>
  <c r="E808" i="6" s="1" a="1"/>
  <c r="E808" i="6" s="1"/>
  <c r="F808" i="6" a="1"/>
  <c r="F808" i="6" s="1"/>
  <c r="C809" i="6" a="1"/>
  <c r="C809" i="6" s="1"/>
  <c r="D809" i="6" a="1"/>
  <c r="D809" i="6" s="1"/>
  <c r="E809" i="6" s="1" a="1"/>
  <c r="E809" i="6" s="1"/>
  <c r="F809" i="6" a="1"/>
  <c r="F809" i="6" s="1"/>
  <c r="C810" i="6" a="1"/>
  <c r="C810" i="6" s="1"/>
  <c r="D810" i="6" a="1"/>
  <c r="D810" i="6" s="1"/>
  <c r="E810" i="6" s="1" a="1"/>
  <c r="E810" i="6" s="1"/>
  <c r="F810" i="6" a="1"/>
  <c r="F810" i="6" s="1"/>
  <c r="C811" i="6" a="1"/>
  <c r="C811" i="6" s="1"/>
  <c r="D811" i="6" a="1"/>
  <c r="D811" i="6" s="1"/>
  <c r="E811" i="6" s="1" a="1"/>
  <c r="E811" i="6" s="1"/>
  <c r="F811" i="6" a="1"/>
  <c r="F811" i="6" s="1"/>
  <c r="C812" i="6" a="1"/>
  <c r="C812" i="6" s="1"/>
  <c r="D812" i="6" a="1"/>
  <c r="D812" i="6" s="1"/>
  <c r="E812" i="6" s="1" a="1"/>
  <c r="E812" i="6" s="1"/>
  <c r="F812" i="6" a="1"/>
  <c r="F812" i="6" s="1"/>
  <c r="C813" i="6" a="1"/>
  <c r="C813" i="6" s="1"/>
  <c r="D813" i="6" a="1"/>
  <c r="D813" i="6" s="1"/>
  <c r="E813" i="6" s="1" a="1"/>
  <c r="E813" i="6" s="1"/>
  <c r="F813" i="6" a="1"/>
  <c r="F813" i="6" s="1"/>
  <c r="C814" i="6" a="1"/>
  <c r="C814" i="6" s="1"/>
  <c r="D814" i="6" a="1"/>
  <c r="D814" i="6" s="1"/>
  <c r="E814" i="6" s="1" a="1"/>
  <c r="E814" i="6" s="1"/>
  <c r="F814" i="6" a="1"/>
  <c r="F814" i="6" s="1"/>
  <c r="C815" i="6" a="1"/>
  <c r="C815" i="6" s="1"/>
  <c r="D815" i="6" a="1"/>
  <c r="D815" i="6" s="1"/>
  <c r="E815" i="6" s="1" a="1"/>
  <c r="E815" i="6" s="1"/>
  <c r="F815" i="6" a="1"/>
  <c r="F815" i="6" s="1"/>
  <c r="C816" i="6" a="1"/>
  <c r="C816" i="6" s="1"/>
  <c r="D816" i="6" a="1"/>
  <c r="D816" i="6" s="1"/>
  <c r="E816" i="6" s="1" a="1"/>
  <c r="E816" i="6" s="1"/>
  <c r="F816" i="6" a="1"/>
  <c r="F816" i="6" s="1"/>
  <c r="C817" i="6" a="1"/>
  <c r="C817" i="6" s="1"/>
  <c r="D817" i="6" a="1"/>
  <c r="D817" i="6" s="1"/>
  <c r="E817" i="6" s="1" a="1"/>
  <c r="E817" i="6" s="1"/>
  <c r="F817" i="6" a="1"/>
  <c r="F817" i="6" s="1"/>
  <c r="C818" i="6" a="1"/>
  <c r="C818" i="6" s="1"/>
  <c r="D818" i="6" a="1"/>
  <c r="D818" i="6" s="1"/>
  <c r="E818" i="6" s="1" a="1"/>
  <c r="E818" i="6" s="1"/>
  <c r="F818" i="6" a="1"/>
  <c r="F818" i="6" s="1"/>
  <c r="C819" i="6" a="1"/>
  <c r="C819" i="6" s="1"/>
  <c r="D819" i="6" a="1"/>
  <c r="D819" i="6" s="1"/>
  <c r="E819" i="6" s="1" a="1"/>
  <c r="E819" i="6" s="1"/>
  <c r="F819" i="6" a="1"/>
  <c r="F819" i="6" s="1"/>
  <c r="C820" i="6" a="1"/>
  <c r="C820" i="6" s="1"/>
  <c r="D820" i="6" a="1"/>
  <c r="D820" i="6" s="1"/>
  <c r="E820" i="6" s="1" a="1"/>
  <c r="E820" i="6" s="1"/>
  <c r="F820" i="6" a="1"/>
  <c r="F820" i="6" s="1"/>
  <c r="C821" i="6" a="1"/>
  <c r="C821" i="6" s="1"/>
  <c r="D821" i="6" a="1"/>
  <c r="D821" i="6" s="1"/>
  <c r="E821" i="6" s="1" a="1"/>
  <c r="E821" i="6" s="1"/>
  <c r="F821" i="6" a="1"/>
  <c r="F821" i="6" s="1"/>
  <c r="C822" i="6" a="1"/>
  <c r="C822" i="6" s="1"/>
  <c r="D822" i="6" a="1"/>
  <c r="D822" i="6" s="1"/>
  <c r="E822" i="6" s="1" a="1"/>
  <c r="E822" i="6" s="1"/>
  <c r="F822" i="6" a="1"/>
  <c r="F822" i="6" s="1"/>
  <c r="C823" i="6" a="1"/>
  <c r="C823" i="6" s="1"/>
  <c r="D823" i="6" a="1"/>
  <c r="D823" i="6" s="1"/>
  <c r="E823" i="6" s="1" a="1"/>
  <c r="E823" i="6" s="1"/>
  <c r="F823" i="6" a="1"/>
  <c r="F823" i="6" s="1"/>
  <c r="C824" i="6" a="1"/>
  <c r="C824" i="6" s="1"/>
  <c r="D824" i="6" a="1"/>
  <c r="D824" i="6" s="1"/>
  <c r="E824" i="6" s="1" a="1"/>
  <c r="E824" i="6" s="1"/>
  <c r="F824" i="6" a="1"/>
  <c r="F824" i="6" s="1"/>
  <c r="C825" i="6" a="1"/>
  <c r="C825" i="6" s="1"/>
  <c r="D825" i="6" a="1"/>
  <c r="D825" i="6" s="1"/>
  <c r="E825" i="6" s="1" a="1"/>
  <c r="E825" i="6" s="1"/>
  <c r="F825" i="6" a="1"/>
  <c r="F825" i="6" s="1"/>
  <c r="C826" i="6" a="1"/>
  <c r="C826" i="6" s="1"/>
  <c r="D826" i="6" a="1"/>
  <c r="D826" i="6" s="1"/>
  <c r="E826" i="6" s="1" a="1"/>
  <c r="E826" i="6" s="1"/>
  <c r="F826" i="6" a="1"/>
  <c r="F826" i="6" s="1"/>
  <c r="C827" i="6" a="1"/>
  <c r="C827" i="6" s="1"/>
  <c r="D827" i="6" a="1"/>
  <c r="D827" i="6" s="1"/>
  <c r="E827" i="6" s="1" a="1"/>
  <c r="E827" i="6" s="1"/>
  <c r="F827" i="6" a="1"/>
  <c r="F827" i="6" s="1"/>
  <c r="C828" i="6" a="1"/>
  <c r="C828" i="6" s="1"/>
  <c r="D828" i="6" a="1"/>
  <c r="D828" i="6" s="1"/>
  <c r="E828" i="6" s="1" a="1"/>
  <c r="E828" i="6" s="1"/>
  <c r="F828" i="6" a="1"/>
  <c r="F828" i="6" s="1"/>
  <c r="C829" i="6" a="1"/>
  <c r="C829" i="6" s="1"/>
  <c r="D829" i="6" a="1"/>
  <c r="D829" i="6" s="1"/>
  <c r="E829" i="6" s="1" a="1"/>
  <c r="E829" i="6" s="1"/>
  <c r="F829" i="6" a="1"/>
  <c r="F829" i="6" s="1"/>
  <c r="C830" i="6" a="1"/>
  <c r="C830" i="6" s="1"/>
  <c r="D830" i="6" a="1"/>
  <c r="D830" i="6" s="1"/>
  <c r="E830" i="6" s="1" a="1"/>
  <c r="E830" i="6" s="1"/>
  <c r="F830" i="6" a="1"/>
  <c r="F830" i="6" s="1"/>
  <c r="C831" i="6" a="1"/>
  <c r="C831" i="6" s="1"/>
  <c r="D831" i="6" a="1"/>
  <c r="D831" i="6" s="1"/>
  <c r="E831" i="6" s="1" a="1"/>
  <c r="E831" i="6" s="1"/>
  <c r="F831" i="6" a="1"/>
  <c r="F831" i="6" s="1"/>
  <c r="C832" i="6" a="1"/>
  <c r="C832" i="6" s="1"/>
  <c r="D832" i="6" a="1"/>
  <c r="D832" i="6" s="1"/>
  <c r="E832" i="6" s="1" a="1"/>
  <c r="E832" i="6" s="1"/>
  <c r="F832" i="6" a="1"/>
  <c r="F832" i="6" s="1"/>
  <c r="C833" i="6" a="1"/>
  <c r="C833" i="6" s="1"/>
  <c r="D833" i="6" a="1"/>
  <c r="D833" i="6" s="1"/>
  <c r="E833" i="6" s="1" a="1"/>
  <c r="E833" i="6" s="1"/>
  <c r="F833" i="6" a="1"/>
  <c r="F833" i="6" s="1"/>
  <c r="C834" i="6" a="1"/>
  <c r="C834" i="6" s="1"/>
  <c r="D834" i="6" a="1"/>
  <c r="D834" i="6" s="1"/>
  <c r="E834" i="6" s="1" a="1"/>
  <c r="E834" i="6" s="1"/>
  <c r="F834" i="6" a="1"/>
  <c r="F834" i="6" s="1"/>
  <c r="C835" i="6" a="1"/>
  <c r="C835" i="6" s="1"/>
  <c r="D835" i="6" a="1"/>
  <c r="D835" i="6" s="1"/>
  <c r="E835" i="6" s="1" a="1"/>
  <c r="E835" i="6" s="1"/>
  <c r="F835" i="6" a="1"/>
  <c r="F835" i="6" s="1"/>
  <c r="C836" i="6" a="1"/>
  <c r="C836" i="6" s="1"/>
  <c r="D836" i="6" a="1"/>
  <c r="D836" i="6" s="1"/>
  <c r="E836" i="6" s="1" a="1"/>
  <c r="E836" i="6" s="1"/>
  <c r="F836" i="6" a="1"/>
  <c r="F836" i="6" s="1"/>
  <c r="C837" i="6" a="1"/>
  <c r="C837" i="6" s="1"/>
  <c r="D837" i="6" a="1"/>
  <c r="D837" i="6" s="1"/>
  <c r="E837" i="6" s="1" a="1"/>
  <c r="E837" i="6" s="1"/>
  <c r="F837" i="6" a="1"/>
  <c r="F837" i="6" s="1"/>
  <c r="C838" i="6" a="1"/>
  <c r="C838" i="6" s="1"/>
  <c r="D838" i="6" a="1"/>
  <c r="D838" i="6" s="1"/>
  <c r="E838" i="6" s="1" a="1"/>
  <c r="E838" i="6" s="1"/>
  <c r="F838" i="6" a="1"/>
  <c r="F838" i="6" s="1"/>
  <c r="C839" i="6" a="1"/>
  <c r="C839" i="6" s="1"/>
  <c r="D839" i="6" a="1"/>
  <c r="D839" i="6" s="1"/>
  <c r="E839" i="6" s="1" a="1"/>
  <c r="E839" i="6" s="1"/>
  <c r="F839" i="6" a="1"/>
  <c r="F839" i="6" s="1"/>
  <c r="C840" i="6" a="1"/>
  <c r="C840" i="6" s="1"/>
  <c r="D840" i="6" a="1"/>
  <c r="D840" i="6" s="1"/>
  <c r="E840" i="6" s="1" a="1"/>
  <c r="E840" i="6" s="1"/>
  <c r="F840" i="6" a="1"/>
  <c r="F840" i="6" s="1"/>
  <c r="C841" i="6" a="1"/>
  <c r="C841" i="6" s="1"/>
  <c r="D841" i="6" a="1"/>
  <c r="D841" i="6" s="1"/>
  <c r="E841" i="6" s="1" a="1"/>
  <c r="E841" i="6" s="1"/>
  <c r="F841" i="6" a="1"/>
  <c r="F841" i="6" s="1"/>
  <c r="C842" i="6" a="1"/>
  <c r="C842" i="6" s="1"/>
  <c r="D842" i="6" a="1"/>
  <c r="D842" i="6" s="1"/>
  <c r="E842" i="6" s="1" a="1"/>
  <c r="E842" i="6" s="1"/>
  <c r="F842" i="6" a="1"/>
  <c r="F842" i="6" s="1"/>
  <c r="C843" i="6" a="1"/>
  <c r="C843" i="6" s="1"/>
  <c r="D843" i="6" a="1"/>
  <c r="D843" i="6" s="1"/>
  <c r="E843" i="6" s="1" a="1"/>
  <c r="E843" i="6" s="1"/>
  <c r="F843" i="6" a="1"/>
  <c r="F843" i="6" s="1"/>
  <c r="C844" i="6" a="1"/>
  <c r="C844" i="6" s="1"/>
  <c r="D844" i="6" a="1"/>
  <c r="D844" i="6" s="1"/>
  <c r="E844" i="6" s="1" a="1"/>
  <c r="E844" i="6" s="1"/>
  <c r="F844" i="6" a="1"/>
  <c r="F844" i="6" s="1"/>
  <c r="C845" i="6" a="1"/>
  <c r="C845" i="6" s="1"/>
  <c r="D845" i="6" a="1"/>
  <c r="D845" i="6" s="1"/>
  <c r="E845" i="6" s="1" a="1"/>
  <c r="E845" i="6" s="1"/>
  <c r="F845" i="6" a="1"/>
  <c r="F845" i="6" s="1"/>
  <c r="C846" i="6" a="1"/>
  <c r="C846" i="6" s="1"/>
  <c r="D846" i="6" a="1"/>
  <c r="D846" i="6" s="1"/>
  <c r="E846" i="6" s="1" a="1"/>
  <c r="E846" i="6" s="1"/>
  <c r="F846" i="6" a="1"/>
  <c r="F846" i="6" s="1"/>
  <c r="C847" i="6" a="1"/>
  <c r="C847" i="6" s="1"/>
  <c r="D847" i="6" a="1"/>
  <c r="D847" i="6" s="1"/>
  <c r="E847" i="6" s="1" a="1"/>
  <c r="E847" i="6" s="1"/>
  <c r="F847" i="6" a="1"/>
  <c r="F847" i="6" s="1"/>
  <c r="C848" i="6" a="1"/>
  <c r="C848" i="6" s="1"/>
  <c r="D848" i="6" a="1"/>
  <c r="D848" i="6" s="1"/>
  <c r="E848" i="6" s="1" a="1"/>
  <c r="E848" i="6" s="1"/>
  <c r="F848" i="6" a="1"/>
  <c r="F848" i="6" s="1"/>
  <c r="C849" i="6" a="1"/>
  <c r="C849" i="6" s="1"/>
  <c r="D849" i="6" a="1"/>
  <c r="D849" i="6" s="1"/>
  <c r="E849" i="6" s="1" a="1"/>
  <c r="E849" i="6" s="1"/>
  <c r="F849" i="6" a="1"/>
  <c r="F849" i="6" s="1"/>
  <c r="C850" i="6" a="1"/>
  <c r="C850" i="6" s="1"/>
  <c r="D850" i="6" a="1"/>
  <c r="D850" i="6" s="1"/>
  <c r="E850" i="6" s="1" a="1"/>
  <c r="E850" i="6" s="1"/>
  <c r="F850" i="6" a="1"/>
  <c r="F850" i="6" s="1"/>
  <c r="C851" i="6" a="1"/>
  <c r="C851" i="6" s="1"/>
  <c r="D851" i="6" a="1"/>
  <c r="D851" i="6" s="1"/>
  <c r="E851" i="6" s="1" a="1"/>
  <c r="E851" i="6" s="1"/>
  <c r="F851" i="6" a="1"/>
  <c r="F851" i="6" s="1"/>
  <c r="C852" i="6" a="1"/>
  <c r="C852" i="6" s="1"/>
  <c r="D852" i="6" a="1"/>
  <c r="D852" i="6" s="1"/>
  <c r="E852" i="6" s="1" a="1"/>
  <c r="E852" i="6" s="1"/>
  <c r="F852" i="6" a="1"/>
  <c r="F852" i="6" s="1"/>
  <c r="C853" i="6" a="1"/>
  <c r="C853" i="6" s="1"/>
  <c r="D853" i="6" a="1"/>
  <c r="D853" i="6" s="1"/>
  <c r="E853" i="6" s="1" a="1"/>
  <c r="E853" i="6" s="1"/>
  <c r="F853" i="6" a="1"/>
  <c r="F853" i="6" s="1"/>
  <c r="C854" i="6" a="1"/>
  <c r="C854" i="6" s="1"/>
  <c r="D854" i="6" a="1"/>
  <c r="D854" i="6" s="1"/>
  <c r="E854" i="6" s="1" a="1"/>
  <c r="E854" i="6" s="1"/>
  <c r="F854" i="6" a="1"/>
  <c r="F854" i="6" s="1"/>
  <c r="C855" i="6" a="1"/>
  <c r="C855" i="6" s="1"/>
  <c r="D855" i="6" a="1"/>
  <c r="D855" i="6" s="1"/>
  <c r="E855" i="6" s="1" a="1"/>
  <c r="E855" i="6" s="1"/>
  <c r="F855" i="6" a="1"/>
  <c r="F855" i="6" s="1"/>
  <c r="C856" i="6" a="1"/>
  <c r="C856" i="6" s="1"/>
  <c r="D856" i="6" a="1"/>
  <c r="D856" i="6" s="1"/>
  <c r="E856" i="6" s="1" a="1"/>
  <c r="E856" i="6" s="1"/>
  <c r="F856" i="6" a="1"/>
  <c r="F856" i="6" s="1"/>
  <c r="C857" i="6" a="1"/>
  <c r="C857" i="6" s="1"/>
  <c r="D857" i="6" a="1"/>
  <c r="D857" i="6" s="1"/>
  <c r="E857" i="6" s="1" a="1"/>
  <c r="E857" i="6" s="1"/>
  <c r="F857" i="6" a="1"/>
  <c r="F857" i="6" s="1"/>
  <c r="C858" i="6" a="1"/>
  <c r="C858" i="6" s="1"/>
  <c r="D858" i="6" a="1"/>
  <c r="D858" i="6" s="1"/>
  <c r="E858" i="6" s="1" a="1"/>
  <c r="E858" i="6" s="1"/>
  <c r="F858" i="6" a="1"/>
  <c r="F858" i="6" s="1"/>
  <c r="C859" i="6" a="1"/>
  <c r="C859" i="6" s="1"/>
  <c r="D859" i="6" a="1"/>
  <c r="D859" i="6" s="1"/>
  <c r="E859" i="6" s="1" a="1"/>
  <c r="E859" i="6" s="1"/>
  <c r="F859" i="6" a="1"/>
  <c r="F859" i="6" s="1"/>
  <c r="C860" i="6" a="1"/>
  <c r="C860" i="6" s="1"/>
  <c r="D860" i="6" a="1"/>
  <c r="D860" i="6" s="1"/>
  <c r="E860" i="6" s="1" a="1"/>
  <c r="E860" i="6" s="1"/>
  <c r="F860" i="6" a="1"/>
  <c r="F860" i="6" s="1"/>
  <c r="C861" i="6" a="1"/>
  <c r="C861" i="6" s="1"/>
  <c r="D861" i="6" a="1"/>
  <c r="D861" i="6" s="1"/>
  <c r="E861" i="6" s="1" a="1"/>
  <c r="E861" i="6" s="1"/>
  <c r="F861" i="6" a="1"/>
  <c r="F861" i="6" s="1"/>
  <c r="C862" i="6" a="1"/>
  <c r="C862" i="6" s="1"/>
  <c r="D862" i="6" a="1"/>
  <c r="D862" i="6" s="1"/>
  <c r="E862" i="6" s="1" a="1"/>
  <c r="E862" i="6" s="1"/>
  <c r="F862" i="6" a="1"/>
  <c r="F862" i="6" s="1"/>
  <c r="C863" i="6" a="1"/>
  <c r="C863" i="6" s="1"/>
  <c r="D863" i="6" a="1"/>
  <c r="D863" i="6" s="1"/>
  <c r="E863" i="6" s="1" a="1"/>
  <c r="E863" i="6" s="1"/>
  <c r="F863" i="6" a="1"/>
  <c r="F863" i="6" s="1"/>
  <c r="C864" i="6" a="1"/>
  <c r="C864" i="6" s="1"/>
  <c r="D864" i="6" a="1"/>
  <c r="D864" i="6" s="1"/>
  <c r="E864" i="6" s="1" a="1"/>
  <c r="E864" i="6" s="1"/>
  <c r="F864" i="6" a="1"/>
  <c r="F864" i="6" s="1"/>
  <c r="C865" i="6" a="1"/>
  <c r="C865" i="6" s="1"/>
  <c r="D865" i="6" a="1"/>
  <c r="D865" i="6" s="1"/>
  <c r="E865" i="6" s="1" a="1"/>
  <c r="E865" i="6" s="1"/>
  <c r="F865" i="6" a="1"/>
  <c r="F865" i="6" s="1"/>
  <c r="C866" i="6" a="1"/>
  <c r="C866" i="6" s="1"/>
  <c r="D866" i="6" a="1"/>
  <c r="D866" i="6" s="1"/>
  <c r="E866" i="6" s="1" a="1"/>
  <c r="E866" i="6" s="1"/>
  <c r="F866" i="6" a="1"/>
  <c r="F866" i="6" s="1"/>
  <c r="C867" i="6" a="1"/>
  <c r="C867" i="6" s="1"/>
  <c r="D867" i="6" a="1"/>
  <c r="D867" i="6" s="1"/>
  <c r="E867" i="6" s="1" a="1"/>
  <c r="E867" i="6" s="1"/>
  <c r="F867" i="6" a="1"/>
  <c r="F867" i="6" s="1"/>
  <c r="C868" i="6" a="1"/>
  <c r="C868" i="6" s="1"/>
  <c r="D868" i="6" a="1"/>
  <c r="D868" i="6" s="1"/>
  <c r="E868" i="6" s="1" a="1"/>
  <c r="E868" i="6" s="1"/>
  <c r="F868" i="6" a="1"/>
  <c r="F868" i="6" s="1"/>
  <c r="C869" i="6" a="1"/>
  <c r="C869" i="6" s="1"/>
  <c r="D869" i="6" a="1"/>
  <c r="D869" i="6" s="1"/>
  <c r="E869" i="6" s="1" a="1"/>
  <c r="E869" i="6" s="1"/>
  <c r="F869" i="6" a="1"/>
  <c r="F869" i="6" s="1"/>
  <c r="C870" i="6" a="1"/>
  <c r="C870" i="6" s="1"/>
  <c r="D870" i="6" a="1"/>
  <c r="D870" i="6" s="1"/>
  <c r="E870" i="6" s="1" a="1"/>
  <c r="E870" i="6" s="1"/>
  <c r="F870" i="6" a="1"/>
  <c r="F870" i="6" s="1"/>
  <c r="C871" i="6" a="1"/>
  <c r="C871" i="6" s="1"/>
  <c r="D871" i="6" a="1"/>
  <c r="D871" i="6" s="1"/>
  <c r="E871" i="6" s="1" a="1"/>
  <c r="E871" i="6" s="1"/>
  <c r="F871" i="6" a="1"/>
  <c r="F871" i="6" s="1"/>
  <c r="C872" i="6" a="1"/>
  <c r="C872" i="6" s="1"/>
  <c r="D872" i="6" a="1"/>
  <c r="D872" i="6" s="1"/>
  <c r="E872" i="6" s="1" a="1"/>
  <c r="E872" i="6" s="1"/>
  <c r="F872" i="6" a="1"/>
  <c r="F872" i="6" s="1"/>
  <c r="C873" i="6" a="1"/>
  <c r="C873" i="6" s="1"/>
  <c r="D873" i="6" a="1"/>
  <c r="D873" i="6" s="1"/>
  <c r="E873" i="6" s="1" a="1"/>
  <c r="E873" i="6" s="1"/>
  <c r="F873" i="6" a="1"/>
  <c r="F873" i="6" s="1"/>
  <c r="C874" i="6" a="1"/>
  <c r="C874" i="6" s="1"/>
  <c r="D874" i="6" a="1"/>
  <c r="D874" i="6" s="1"/>
  <c r="E874" i="6" s="1" a="1"/>
  <c r="E874" i="6" s="1"/>
  <c r="F874" i="6" a="1"/>
  <c r="F874" i="6" s="1"/>
  <c r="C875" i="6" a="1"/>
  <c r="C875" i="6" s="1"/>
  <c r="D875" i="6" a="1"/>
  <c r="D875" i="6" s="1"/>
  <c r="E875" i="6" s="1" a="1"/>
  <c r="E875" i="6" s="1"/>
  <c r="F875" i="6" a="1"/>
  <c r="F875" i="6" s="1"/>
  <c r="C876" i="6" a="1"/>
  <c r="C876" i="6" s="1"/>
  <c r="D876" i="6" a="1"/>
  <c r="D876" i="6" s="1"/>
  <c r="E876" i="6" s="1" a="1"/>
  <c r="E876" i="6" s="1"/>
  <c r="F876" i="6" a="1"/>
  <c r="F876" i="6" s="1"/>
  <c r="C877" i="6" a="1"/>
  <c r="C877" i="6" s="1"/>
  <c r="D877" i="6" a="1"/>
  <c r="D877" i="6" s="1"/>
  <c r="E877" i="6" s="1" a="1"/>
  <c r="E877" i="6" s="1"/>
  <c r="F877" i="6" a="1"/>
  <c r="F877" i="6" s="1"/>
  <c r="C878" i="6" a="1"/>
  <c r="C878" i="6" s="1"/>
  <c r="D878" i="6" a="1"/>
  <c r="D878" i="6" s="1"/>
  <c r="E878" i="6" s="1" a="1"/>
  <c r="E878" i="6" s="1"/>
  <c r="F878" i="6" a="1"/>
  <c r="F878" i="6" s="1"/>
  <c r="C879" i="6" a="1"/>
  <c r="C879" i="6" s="1"/>
  <c r="D879" i="6" a="1"/>
  <c r="D879" i="6" s="1"/>
  <c r="E879" i="6" s="1" a="1"/>
  <c r="E879" i="6" s="1"/>
  <c r="F879" i="6" a="1"/>
  <c r="F879" i="6" s="1"/>
  <c r="C880" i="6" a="1"/>
  <c r="C880" i="6" s="1"/>
  <c r="D880" i="6" a="1"/>
  <c r="D880" i="6" s="1"/>
  <c r="E880" i="6" s="1" a="1"/>
  <c r="E880" i="6" s="1"/>
  <c r="F880" i="6" a="1"/>
  <c r="F880" i="6" s="1"/>
  <c r="C881" i="6" a="1"/>
  <c r="C881" i="6" s="1"/>
  <c r="D881" i="6" a="1"/>
  <c r="D881" i="6" s="1"/>
  <c r="E881" i="6" s="1" a="1"/>
  <c r="E881" i="6" s="1"/>
  <c r="F881" i="6" a="1"/>
  <c r="F881" i="6" s="1"/>
  <c r="C882" i="6" a="1"/>
  <c r="C882" i="6" s="1"/>
  <c r="D882" i="6" a="1"/>
  <c r="D882" i="6" s="1"/>
  <c r="E882" i="6" s="1" a="1"/>
  <c r="E882" i="6" s="1"/>
  <c r="F882" i="6" a="1"/>
  <c r="F882" i="6" s="1"/>
  <c r="C883" i="6" a="1"/>
  <c r="C883" i="6" s="1"/>
  <c r="D883" i="6" a="1"/>
  <c r="D883" i="6" s="1"/>
  <c r="E883" i="6" s="1" a="1"/>
  <c r="E883" i="6" s="1"/>
  <c r="F883" i="6" a="1"/>
  <c r="F883" i="6" s="1"/>
  <c r="C884" i="6" a="1"/>
  <c r="C884" i="6" s="1"/>
  <c r="D884" i="6" a="1"/>
  <c r="D884" i="6" s="1"/>
  <c r="E884" i="6" s="1" a="1"/>
  <c r="E884" i="6" s="1"/>
  <c r="F884" i="6" a="1"/>
  <c r="F884" i="6" s="1"/>
  <c r="C885" i="6" a="1"/>
  <c r="C885" i="6" s="1"/>
  <c r="D885" i="6" a="1"/>
  <c r="D885" i="6" s="1"/>
  <c r="E885" i="6" s="1" a="1"/>
  <c r="E885" i="6" s="1"/>
  <c r="F885" i="6" a="1"/>
  <c r="F885" i="6" s="1"/>
  <c r="C886" i="6" a="1"/>
  <c r="C886" i="6" s="1"/>
  <c r="D886" i="6" a="1"/>
  <c r="D886" i="6" s="1"/>
  <c r="E886" i="6" s="1" a="1"/>
  <c r="E886" i="6" s="1"/>
  <c r="F886" i="6" a="1"/>
  <c r="F886" i="6" s="1"/>
  <c r="C887" i="6" a="1"/>
  <c r="C887" i="6" s="1"/>
  <c r="D887" i="6" a="1"/>
  <c r="D887" i="6" s="1"/>
  <c r="E887" i="6" s="1" a="1"/>
  <c r="E887" i="6" s="1"/>
  <c r="F887" i="6" a="1"/>
  <c r="F887" i="6" s="1"/>
  <c r="C888" i="6" a="1"/>
  <c r="C888" i="6" s="1"/>
  <c r="D888" i="6" a="1"/>
  <c r="D888" i="6" s="1"/>
  <c r="E888" i="6" s="1" a="1"/>
  <c r="E888" i="6" s="1"/>
  <c r="F888" i="6" a="1"/>
  <c r="F888" i="6" s="1"/>
  <c r="C889" i="6" a="1"/>
  <c r="C889" i="6" s="1"/>
  <c r="D889" i="6" a="1"/>
  <c r="D889" i="6" s="1"/>
  <c r="E889" i="6" s="1" a="1"/>
  <c r="E889" i="6" s="1"/>
  <c r="F889" i="6" a="1"/>
  <c r="F889" i="6" s="1"/>
  <c r="C890" i="6" a="1"/>
  <c r="C890" i="6" s="1"/>
  <c r="D890" i="6" a="1"/>
  <c r="D890" i="6" s="1"/>
  <c r="E890" i="6" s="1" a="1"/>
  <c r="E890" i="6" s="1"/>
  <c r="F890" i="6" a="1"/>
  <c r="F890" i="6" s="1"/>
  <c r="C891" i="6" a="1"/>
  <c r="C891" i="6" s="1"/>
  <c r="D891" i="6" a="1"/>
  <c r="D891" i="6" s="1"/>
  <c r="E891" i="6" s="1" a="1"/>
  <c r="E891" i="6" s="1"/>
  <c r="F891" i="6" a="1"/>
  <c r="F891" i="6" s="1"/>
  <c r="C892" i="6" a="1"/>
  <c r="C892" i="6" s="1"/>
  <c r="D892" i="6" a="1"/>
  <c r="D892" i="6" s="1"/>
  <c r="E892" i="6" s="1" a="1"/>
  <c r="E892" i="6" s="1"/>
  <c r="F892" i="6" a="1"/>
  <c r="F892" i="6" s="1"/>
  <c r="C893" i="6" a="1"/>
  <c r="C893" i="6" s="1"/>
  <c r="D893" i="6" a="1"/>
  <c r="D893" i="6" s="1"/>
  <c r="E893" i="6" s="1" a="1"/>
  <c r="E893" i="6" s="1"/>
  <c r="F893" i="6" a="1"/>
  <c r="F893" i="6" s="1"/>
  <c r="C894" i="6" a="1"/>
  <c r="C894" i="6" s="1"/>
  <c r="D894" i="6" a="1"/>
  <c r="D894" i="6" s="1"/>
  <c r="E894" i="6" s="1" a="1"/>
  <c r="E894" i="6" s="1"/>
  <c r="F894" i="6" a="1"/>
  <c r="F894" i="6" s="1"/>
  <c r="C895" i="6" a="1"/>
  <c r="C895" i="6" s="1"/>
  <c r="D895" i="6" a="1"/>
  <c r="D895" i="6" s="1"/>
  <c r="E895" i="6" s="1" a="1"/>
  <c r="E895" i="6" s="1"/>
  <c r="F895" i="6" a="1"/>
  <c r="F895" i="6" s="1"/>
  <c r="C896" i="6" a="1"/>
  <c r="C896" i="6" s="1"/>
  <c r="D896" i="6" a="1"/>
  <c r="D896" i="6" s="1"/>
  <c r="E896" i="6" s="1" a="1"/>
  <c r="E896" i="6" s="1"/>
  <c r="F896" i="6" a="1"/>
  <c r="F896" i="6" s="1"/>
  <c r="C897" i="6" a="1"/>
  <c r="C897" i="6" s="1"/>
  <c r="D897" i="6" a="1"/>
  <c r="D897" i="6" s="1"/>
  <c r="E897" i="6" s="1" a="1"/>
  <c r="E897" i="6" s="1"/>
  <c r="F897" i="6" a="1"/>
  <c r="F897" i="6" s="1"/>
  <c r="C898" i="6" a="1"/>
  <c r="C898" i="6" s="1"/>
  <c r="D898" i="6" a="1"/>
  <c r="D898" i="6" s="1"/>
  <c r="E898" i="6" s="1" a="1"/>
  <c r="E898" i="6" s="1"/>
  <c r="F898" i="6" a="1"/>
  <c r="F898" i="6" s="1"/>
  <c r="C899" i="6" a="1"/>
  <c r="C899" i="6" s="1"/>
  <c r="D899" i="6" a="1"/>
  <c r="D899" i="6" s="1"/>
  <c r="E899" i="6" s="1" a="1"/>
  <c r="E899" i="6" s="1"/>
  <c r="F899" i="6" a="1"/>
  <c r="F899" i="6" s="1"/>
  <c r="C900" i="6" a="1"/>
  <c r="C900" i="6" s="1"/>
  <c r="D900" i="6" a="1"/>
  <c r="D900" i="6" s="1"/>
  <c r="E900" i="6" s="1" a="1"/>
  <c r="E900" i="6" s="1"/>
  <c r="F900" i="6" a="1"/>
  <c r="F900" i="6" s="1"/>
  <c r="C901" i="6" a="1"/>
  <c r="C901" i="6" s="1"/>
  <c r="D901" i="6" a="1"/>
  <c r="D901" i="6" s="1"/>
  <c r="E901" i="6" s="1" a="1"/>
  <c r="E901" i="6" s="1"/>
  <c r="F901" i="6" a="1"/>
  <c r="F901" i="6" s="1"/>
  <c r="C902" i="6" a="1"/>
  <c r="C902" i="6" s="1"/>
  <c r="D902" i="6" a="1"/>
  <c r="D902" i="6" s="1"/>
  <c r="E902" i="6" s="1" a="1"/>
  <c r="E902" i="6" s="1"/>
  <c r="F902" i="6" a="1"/>
  <c r="F902" i="6" s="1"/>
  <c r="C903" i="6" a="1"/>
  <c r="C903" i="6" s="1"/>
  <c r="D903" i="6" a="1"/>
  <c r="D903" i="6" s="1"/>
  <c r="E903" i="6" s="1" a="1"/>
  <c r="E903" i="6" s="1"/>
  <c r="F903" i="6" a="1"/>
  <c r="F903" i="6" s="1"/>
  <c r="C904" i="6" a="1"/>
  <c r="C904" i="6" s="1"/>
  <c r="D904" i="6" a="1"/>
  <c r="D904" i="6" s="1"/>
  <c r="E904" i="6" s="1" a="1"/>
  <c r="E904" i="6" s="1"/>
  <c r="F904" i="6" a="1"/>
  <c r="F904" i="6" s="1"/>
  <c r="C905" i="6" a="1"/>
  <c r="C905" i="6" s="1"/>
  <c r="D905" i="6" a="1"/>
  <c r="D905" i="6" s="1"/>
  <c r="E905" i="6" s="1" a="1"/>
  <c r="E905" i="6" s="1"/>
  <c r="F905" i="6" a="1"/>
  <c r="F905" i="6" s="1"/>
  <c r="C906" i="6" a="1"/>
  <c r="C906" i="6" s="1"/>
  <c r="D906" i="6" a="1"/>
  <c r="D906" i="6" s="1"/>
  <c r="E906" i="6" s="1" a="1"/>
  <c r="E906" i="6" s="1"/>
  <c r="F906" i="6" a="1"/>
  <c r="F906" i="6" s="1"/>
  <c r="C907" i="6" a="1"/>
  <c r="C907" i="6" s="1"/>
  <c r="D907" i="6" a="1"/>
  <c r="D907" i="6" s="1"/>
  <c r="E907" i="6" s="1" a="1"/>
  <c r="E907" i="6" s="1"/>
  <c r="F907" i="6" a="1"/>
  <c r="F907" i="6" s="1"/>
  <c r="C908" i="6" a="1"/>
  <c r="C908" i="6" s="1"/>
  <c r="D908" i="6" a="1"/>
  <c r="D908" i="6" s="1"/>
  <c r="E908" i="6" s="1" a="1"/>
  <c r="E908" i="6" s="1"/>
  <c r="F908" i="6" a="1"/>
  <c r="F908" i="6" s="1"/>
  <c r="C909" i="6" a="1"/>
  <c r="C909" i="6" s="1"/>
  <c r="D909" i="6" a="1"/>
  <c r="D909" i="6" s="1"/>
  <c r="E909" i="6" s="1" a="1"/>
  <c r="E909" i="6" s="1"/>
  <c r="F909" i="6" a="1"/>
  <c r="F909" i="6" s="1"/>
  <c r="C910" i="6" a="1"/>
  <c r="C910" i="6" s="1"/>
  <c r="D910" i="6" a="1"/>
  <c r="D910" i="6" s="1"/>
  <c r="E910" i="6" s="1" a="1"/>
  <c r="E910" i="6" s="1"/>
  <c r="F910" i="6" a="1"/>
  <c r="F910" i="6" s="1"/>
  <c r="C911" i="6" a="1"/>
  <c r="C911" i="6" s="1"/>
  <c r="D911" i="6" a="1"/>
  <c r="D911" i="6" s="1"/>
  <c r="E911" i="6" s="1" a="1"/>
  <c r="E911" i="6" s="1"/>
  <c r="F911" i="6" a="1"/>
  <c r="F911" i="6" s="1"/>
  <c r="C912" i="6" a="1"/>
  <c r="C912" i="6" s="1"/>
  <c r="D912" i="6" a="1"/>
  <c r="D912" i="6" s="1"/>
  <c r="E912" i="6" s="1" a="1"/>
  <c r="E912" i="6" s="1"/>
  <c r="F912" i="6" a="1"/>
  <c r="F912" i="6" s="1"/>
  <c r="C913" i="6" a="1"/>
  <c r="C913" i="6" s="1"/>
  <c r="D913" i="6" a="1"/>
  <c r="D913" i="6" s="1"/>
  <c r="E913" i="6" s="1" a="1"/>
  <c r="E913" i="6" s="1"/>
  <c r="F913" i="6" a="1"/>
  <c r="F913" i="6" s="1"/>
  <c r="C914" i="6" a="1"/>
  <c r="C914" i="6" s="1"/>
  <c r="D914" i="6" a="1"/>
  <c r="D914" i="6" s="1"/>
  <c r="E914" i="6" s="1" a="1"/>
  <c r="E914" i="6" s="1"/>
  <c r="F914" i="6" a="1"/>
  <c r="F914" i="6" s="1"/>
  <c r="C915" i="6" a="1"/>
  <c r="C915" i="6" s="1"/>
  <c r="D915" i="6" a="1"/>
  <c r="D915" i="6" s="1"/>
  <c r="E915" i="6" s="1" a="1"/>
  <c r="E915" i="6" s="1"/>
  <c r="F915" i="6" a="1"/>
  <c r="F915" i="6" s="1"/>
  <c r="C916" i="6" a="1"/>
  <c r="C916" i="6" s="1"/>
  <c r="D916" i="6" a="1"/>
  <c r="D916" i="6" s="1"/>
  <c r="E916" i="6" s="1" a="1"/>
  <c r="E916" i="6" s="1"/>
  <c r="F916" i="6" a="1"/>
  <c r="F916" i="6" s="1"/>
  <c r="C917" i="6" a="1"/>
  <c r="C917" i="6" s="1"/>
  <c r="D917" i="6" a="1"/>
  <c r="D917" i="6" s="1"/>
  <c r="E917" i="6" s="1" a="1"/>
  <c r="E917" i="6" s="1"/>
  <c r="F917" i="6" a="1"/>
  <c r="F917" i="6" s="1"/>
  <c r="C918" i="6" a="1"/>
  <c r="C918" i="6" s="1"/>
  <c r="D918" i="6" a="1"/>
  <c r="D918" i="6" s="1"/>
  <c r="E918" i="6" s="1" a="1"/>
  <c r="E918" i="6" s="1"/>
  <c r="F918" i="6" a="1"/>
  <c r="F918" i="6" s="1"/>
  <c r="C919" i="6" a="1"/>
  <c r="C919" i="6" s="1"/>
  <c r="D919" i="6" a="1"/>
  <c r="D919" i="6" s="1"/>
  <c r="E919" i="6" s="1" a="1"/>
  <c r="E919" i="6" s="1"/>
  <c r="F919" i="6" a="1"/>
  <c r="F919" i="6" s="1"/>
  <c r="C920" i="6" a="1"/>
  <c r="C920" i="6" s="1"/>
  <c r="D920" i="6" a="1"/>
  <c r="D920" i="6" s="1"/>
  <c r="E920" i="6" s="1" a="1"/>
  <c r="E920" i="6" s="1"/>
  <c r="F920" i="6" a="1"/>
  <c r="F920" i="6" s="1"/>
  <c r="C921" i="6" a="1"/>
  <c r="C921" i="6" s="1"/>
  <c r="D921" i="6" a="1"/>
  <c r="D921" i="6" s="1"/>
  <c r="E921" i="6" s="1" a="1"/>
  <c r="E921" i="6" s="1"/>
  <c r="F921" i="6" a="1"/>
  <c r="F921" i="6" s="1"/>
  <c r="C922" i="6" a="1"/>
  <c r="C922" i="6" s="1"/>
  <c r="D922" i="6" a="1"/>
  <c r="D922" i="6" s="1"/>
  <c r="E922" i="6" s="1" a="1"/>
  <c r="E922" i="6" s="1"/>
  <c r="F922" i="6" a="1"/>
  <c r="F922" i="6" s="1"/>
  <c r="C923" i="6" a="1"/>
  <c r="C923" i="6" s="1"/>
  <c r="D923" i="6" a="1"/>
  <c r="D923" i="6" s="1"/>
  <c r="E923" i="6" s="1" a="1"/>
  <c r="E923" i="6" s="1"/>
  <c r="F923" i="6" a="1"/>
  <c r="F923" i="6" s="1"/>
  <c r="C924" i="6" a="1"/>
  <c r="C924" i="6" s="1"/>
  <c r="D924" i="6" a="1"/>
  <c r="D924" i="6" s="1"/>
  <c r="E924" i="6" s="1" a="1"/>
  <c r="E924" i="6" s="1"/>
  <c r="F924" i="6" a="1"/>
  <c r="F924" i="6" s="1"/>
  <c r="C925" i="6" a="1"/>
  <c r="C925" i="6" s="1"/>
  <c r="D925" i="6" a="1"/>
  <c r="D925" i="6" s="1"/>
  <c r="E925" i="6" s="1" a="1"/>
  <c r="E925" i="6" s="1"/>
  <c r="F925" i="6" a="1"/>
  <c r="F925" i="6" s="1"/>
  <c r="C926" i="6" a="1"/>
  <c r="C926" i="6" s="1"/>
  <c r="D926" i="6" a="1"/>
  <c r="D926" i="6" s="1"/>
  <c r="E926" i="6" s="1" a="1"/>
  <c r="E926" i="6" s="1"/>
  <c r="F926" i="6" a="1"/>
  <c r="F926" i="6" s="1"/>
  <c r="C927" i="6" a="1"/>
  <c r="C927" i="6" s="1"/>
  <c r="D927" i="6" a="1"/>
  <c r="D927" i="6" s="1"/>
  <c r="E927" i="6" s="1" a="1"/>
  <c r="E927" i="6" s="1"/>
  <c r="F927" i="6" a="1"/>
  <c r="F927" i="6" s="1"/>
  <c r="C928" i="6" a="1"/>
  <c r="C928" i="6" s="1"/>
  <c r="D928" i="6" a="1"/>
  <c r="D928" i="6" s="1"/>
  <c r="E928" i="6" s="1" a="1"/>
  <c r="E928" i="6" s="1"/>
  <c r="F928" i="6" a="1"/>
  <c r="F928" i="6" s="1"/>
  <c r="C929" i="6" a="1"/>
  <c r="C929" i="6" s="1"/>
  <c r="D929" i="6" a="1"/>
  <c r="D929" i="6" s="1"/>
  <c r="E929" i="6" s="1" a="1"/>
  <c r="E929" i="6" s="1"/>
  <c r="F929" i="6" a="1"/>
  <c r="F929" i="6" s="1"/>
  <c r="C930" i="6" a="1"/>
  <c r="C930" i="6" s="1"/>
  <c r="D930" i="6" a="1"/>
  <c r="D930" i="6" s="1"/>
  <c r="E930" i="6" s="1" a="1"/>
  <c r="E930" i="6" s="1"/>
  <c r="F930" i="6" a="1"/>
  <c r="F930" i="6" s="1"/>
  <c r="C931" i="6" a="1"/>
  <c r="C931" i="6" s="1"/>
  <c r="D931" i="6" a="1"/>
  <c r="D931" i="6" s="1"/>
  <c r="E931" i="6" s="1" a="1"/>
  <c r="E931" i="6" s="1"/>
  <c r="F931" i="6" a="1"/>
  <c r="F931" i="6" s="1"/>
  <c r="C932" i="6" a="1"/>
  <c r="C932" i="6" s="1"/>
  <c r="D932" i="6" a="1"/>
  <c r="D932" i="6" s="1"/>
  <c r="E932" i="6" s="1" a="1"/>
  <c r="E932" i="6" s="1"/>
  <c r="F932" i="6" a="1"/>
  <c r="F932" i="6" s="1"/>
  <c r="C933" i="6" a="1"/>
  <c r="C933" i="6" s="1"/>
  <c r="D933" i="6" a="1"/>
  <c r="D933" i="6" s="1"/>
  <c r="E933" i="6" s="1" a="1"/>
  <c r="E933" i="6" s="1"/>
  <c r="F933" i="6" a="1"/>
  <c r="F933" i="6" s="1"/>
  <c r="C934" i="6" a="1"/>
  <c r="C934" i="6" s="1"/>
  <c r="D934" i="6" a="1"/>
  <c r="D934" i="6" s="1"/>
  <c r="E934" i="6" s="1" a="1"/>
  <c r="E934" i="6" s="1"/>
  <c r="F934" i="6" a="1"/>
  <c r="F934" i="6" s="1"/>
  <c r="C935" i="6" a="1"/>
  <c r="C935" i="6" s="1"/>
  <c r="D935" i="6" a="1"/>
  <c r="D935" i="6" s="1"/>
  <c r="E935" i="6" s="1" a="1"/>
  <c r="E935" i="6" s="1"/>
  <c r="F935" i="6" a="1"/>
  <c r="F935" i="6" s="1"/>
  <c r="C936" i="6" a="1"/>
  <c r="C936" i="6" s="1"/>
  <c r="D936" i="6" a="1"/>
  <c r="D936" i="6" s="1"/>
  <c r="E936" i="6" s="1" a="1"/>
  <c r="E936" i="6" s="1"/>
  <c r="F936" i="6" a="1"/>
  <c r="F936" i="6" s="1"/>
  <c r="C937" i="6" a="1"/>
  <c r="C937" i="6" s="1"/>
  <c r="D937" i="6" a="1"/>
  <c r="D937" i="6" s="1"/>
  <c r="E937" i="6" s="1" a="1"/>
  <c r="E937" i="6" s="1"/>
  <c r="F937" i="6" a="1"/>
  <c r="F937" i="6" s="1"/>
  <c r="C938" i="6" a="1"/>
  <c r="C938" i="6" s="1"/>
  <c r="D938" i="6" a="1"/>
  <c r="D938" i="6" s="1"/>
  <c r="E938" i="6" s="1" a="1"/>
  <c r="E938" i="6" s="1"/>
  <c r="F938" i="6" a="1"/>
  <c r="F938" i="6" s="1"/>
  <c r="C939" i="6" a="1"/>
  <c r="C939" i="6" s="1"/>
  <c r="D939" i="6" a="1"/>
  <c r="D939" i="6" s="1"/>
  <c r="E939" i="6" s="1" a="1"/>
  <c r="E939" i="6" s="1"/>
  <c r="F939" i="6" a="1"/>
  <c r="F939" i="6" s="1"/>
  <c r="C940" i="6" a="1"/>
  <c r="C940" i="6" s="1"/>
  <c r="D940" i="6" a="1"/>
  <c r="D940" i="6" s="1"/>
  <c r="E940" i="6" s="1" a="1"/>
  <c r="E940" i="6" s="1"/>
  <c r="F940" i="6" a="1"/>
  <c r="F940" i="6" s="1"/>
  <c r="C941" i="6" a="1"/>
  <c r="C941" i="6" s="1"/>
  <c r="D941" i="6" a="1"/>
  <c r="D941" i="6" s="1"/>
  <c r="E941" i="6" s="1" a="1"/>
  <c r="E941" i="6" s="1"/>
  <c r="F941" i="6" a="1"/>
  <c r="F941" i="6" s="1"/>
  <c r="C942" i="6" a="1"/>
  <c r="C942" i="6" s="1"/>
  <c r="D942" i="6" a="1"/>
  <c r="D942" i="6" s="1"/>
  <c r="E942" i="6" s="1" a="1"/>
  <c r="E942" i="6" s="1"/>
  <c r="F942" i="6" a="1"/>
  <c r="F942" i="6" s="1"/>
  <c r="C943" i="6" a="1"/>
  <c r="C943" i="6" s="1"/>
  <c r="D943" i="6" a="1"/>
  <c r="D943" i="6" s="1"/>
  <c r="E943" i="6" s="1" a="1"/>
  <c r="E943" i="6" s="1"/>
  <c r="F943" i="6" a="1"/>
  <c r="F943" i="6" s="1"/>
  <c r="C944" i="6" a="1"/>
  <c r="C944" i="6" s="1"/>
  <c r="D944" i="6" a="1"/>
  <c r="D944" i="6" s="1"/>
  <c r="E944" i="6" s="1" a="1"/>
  <c r="E944" i="6" s="1"/>
  <c r="F944" i="6" a="1"/>
  <c r="F944" i="6" s="1"/>
  <c r="C945" i="6" a="1"/>
  <c r="C945" i="6" s="1"/>
  <c r="D945" i="6" a="1"/>
  <c r="D945" i="6" s="1"/>
  <c r="E945" i="6" s="1" a="1"/>
  <c r="E945" i="6" s="1"/>
  <c r="F945" i="6" a="1"/>
  <c r="F945" i="6" s="1"/>
  <c r="C946" i="6" a="1"/>
  <c r="C946" i="6" s="1"/>
  <c r="D946" i="6" a="1"/>
  <c r="D946" i="6" s="1"/>
  <c r="E946" i="6" s="1" a="1"/>
  <c r="E946" i="6" s="1"/>
  <c r="F946" i="6" a="1"/>
  <c r="F946" i="6" s="1"/>
  <c r="C947" i="6" a="1"/>
  <c r="C947" i="6" s="1"/>
  <c r="D947" i="6" a="1"/>
  <c r="D947" i="6" s="1"/>
  <c r="E947" i="6" s="1" a="1"/>
  <c r="E947" i="6" s="1"/>
  <c r="F947" i="6" a="1"/>
  <c r="F947" i="6" s="1"/>
  <c r="C948" i="6" a="1"/>
  <c r="C948" i="6" s="1"/>
  <c r="D948" i="6" a="1"/>
  <c r="D948" i="6" s="1"/>
  <c r="E948" i="6" s="1" a="1"/>
  <c r="E948" i="6" s="1"/>
  <c r="F948" i="6" a="1"/>
  <c r="F948" i="6" s="1"/>
  <c r="C949" i="6" a="1"/>
  <c r="C949" i="6" s="1"/>
  <c r="D949" i="6" a="1"/>
  <c r="D949" i="6" s="1"/>
  <c r="E949" i="6" s="1" a="1"/>
  <c r="E949" i="6" s="1"/>
  <c r="F949" i="6" a="1"/>
  <c r="F949" i="6" s="1"/>
  <c r="C950" i="6" a="1"/>
  <c r="C950" i="6" s="1"/>
  <c r="D950" i="6" a="1"/>
  <c r="D950" i="6" s="1"/>
  <c r="E950" i="6" s="1" a="1"/>
  <c r="E950" i="6" s="1"/>
  <c r="F950" i="6" a="1"/>
  <c r="F950" i="6" s="1"/>
  <c r="C951" i="6" a="1"/>
  <c r="C951" i="6" s="1"/>
  <c r="D951" i="6" a="1"/>
  <c r="D951" i="6" s="1"/>
  <c r="E951" i="6" s="1" a="1"/>
  <c r="E951" i="6" s="1"/>
  <c r="F951" i="6" a="1"/>
  <c r="F951" i="6" s="1"/>
  <c r="C952" i="6" a="1"/>
  <c r="C952" i="6" s="1"/>
  <c r="D952" i="6" a="1"/>
  <c r="D952" i="6" s="1"/>
  <c r="E952" i="6" s="1" a="1"/>
  <c r="E952" i="6" s="1"/>
  <c r="F952" i="6" a="1"/>
  <c r="F952" i="6" s="1"/>
  <c r="C953" i="6" a="1"/>
  <c r="C953" i="6" s="1"/>
  <c r="D953" i="6" a="1"/>
  <c r="D953" i="6" s="1"/>
  <c r="E953" i="6" s="1" a="1"/>
  <c r="E953" i="6" s="1"/>
  <c r="F953" i="6" a="1"/>
  <c r="F953" i="6" s="1"/>
  <c r="C954" i="6" a="1"/>
  <c r="C954" i="6" s="1"/>
  <c r="D954" i="6" a="1"/>
  <c r="D954" i="6" s="1"/>
  <c r="E954" i="6" s="1" a="1"/>
  <c r="E954" i="6" s="1"/>
  <c r="F954" i="6" a="1"/>
  <c r="F954" i="6" s="1"/>
  <c r="C955" i="6" a="1"/>
  <c r="C955" i="6" s="1"/>
  <c r="D955" i="6" a="1"/>
  <c r="D955" i="6" s="1"/>
  <c r="E955" i="6" s="1" a="1"/>
  <c r="E955" i="6" s="1"/>
  <c r="F955" i="6" a="1"/>
  <c r="F955" i="6" s="1"/>
  <c r="C956" i="6" a="1"/>
  <c r="C956" i="6" s="1"/>
  <c r="D956" i="6" a="1"/>
  <c r="D956" i="6" s="1"/>
  <c r="E956" i="6" s="1" a="1"/>
  <c r="E956" i="6" s="1"/>
  <c r="F956" i="6" a="1"/>
  <c r="F956" i="6" s="1"/>
  <c r="C957" i="6" a="1"/>
  <c r="C957" i="6" s="1"/>
  <c r="D957" i="6" a="1"/>
  <c r="D957" i="6" s="1"/>
  <c r="E957" i="6" s="1" a="1"/>
  <c r="E957" i="6" s="1"/>
  <c r="F957" i="6" a="1"/>
  <c r="F957" i="6" s="1"/>
  <c r="C958" i="6" a="1"/>
  <c r="C958" i="6" s="1"/>
  <c r="D958" i="6" a="1"/>
  <c r="D958" i="6" s="1"/>
  <c r="E958" i="6" s="1" a="1"/>
  <c r="E958" i="6" s="1"/>
  <c r="F958" i="6" a="1"/>
  <c r="F958" i="6" s="1"/>
  <c r="C959" i="6" a="1"/>
  <c r="C959" i="6" s="1"/>
  <c r="D959" i="6" a="1"/>
  <c r="D959" i="6" s="1"/>
  <c r="E959" i="6" s="1" a="1"/>
  <c r="E959" i="6" s="1"/>
  <c r="F959" i="6" a="1"/>
  <c r="F959" i="6" s="1"/>
  <c r="C960" i="6" a="1"/>
  <c r="C960" i="6" s="1"/>
  <c r="D960" i="6" a="1"/>
  <c r="D960" i="6" s="1"/>
  <c r="E960" i="6" s="1" a="1"/>
  <c r="E960" i="6" s="1"/>
  <c r="F960" i="6" a="1"/>
  <c r="F960" i="6" s="1"/>
  <c r="C961" i="6" a="1"/>
  <c r="C961" i="6" s="1"/>
  <c r="D961" i="6" a="1"/>
  <c r="D961" i="6" s="1"/>
  <c r="E961" i="6" s="1" a="1"/>
  <c r="E961" i="6" s="1"/>
  <c r="F961" i="6" a="1"/>
  <c r="F961" i="6" s="1"/>
  <c r="C962" i="6" a="1"/>
  <c r="C962" i="6" s="1"/>
  <c r="D962" i="6" a="1"/>
  <c r="D962" i="6" s="1"/>
  <c r="E962" i="6" s="1" a="1"/>
  <c r="E962" i="6" s="1"/>
  <c r="F962" i="6" a="1"/>
  <c r="F962" i="6" s="1"/>
  <c r="C963" i="6" a="1"/>
  <c r="C963" i="6" s="1"/>
  <c r="D963" i="6" a="1"/>
  <c r="D963" i="6" s="1"/>
  <c r="E963" i="6" s="1" a="1"/>
  <c r="E963" i="6" s="1"/>
  <c r="F963" i="6" a="1"/>
  <c r="F963" i="6" s="1"/>
  <c r="C964" i="6" a="1"/>
  <c r="C964" i="6" s="1"/>
  <c r="D964" i="6" a="1"/>
  <c r="D964" i="6" s="1"/>
  <c r="E964" i="6" s="1" a="1"/>
  <c r="E964" i="6" s="1"/>
  <c r="F964" i="6" a="1"/>
  <c r="F964" i="6" s="1"/>
  <c r="C965" i="6" a="1"/>
  <c r="C965" i="6" s="1"/>
  <c r="D965" i="6" a="1"/>
  <c r="D965" i="6" s="1"/>
  <c r="E965" i="6" s="1" a="1"/>
  <c r="E965" i="6" s="1"/>
  <c r="F965" i="6" a="1"/>
  <c r="F965" i="6" s="1"/>
  <c r="C966" i="6" a="1"/>
  <c r="C966" i="6" s="1"/>
  <c r="D966" i="6" a="1"/>
  <c r="D966" i="6" s="1"/>
  <c r="E966" i="6" s="1" a="1"/>
  <c r="E966" i="6" s="1"/>
  <c r="F966" i="6" a="1"/>
  <c r="F966" i="6" s="1"/>
  <c r="C967" i="6" a="1"/>
  <c r="C967" i="6" s="1"/>
  <c r="D967" i="6" a="1"/>
  <c r="D967" i="6" s="1"/>
  <c r="E967" i="6" s="1" a="1"/>
  <c r="E967" i="6" s="1"/>
  <c r="F967" i="6" a="1"/>
  <c r="F967" i="6" s="1"/>
  <c r="C968" i="6" a="1"/>
  <c r="C968" i="6" s="1"/>
  <c r="D968" i="6" a="1"/>
  <c r="D968" i="6" s="1"/>
  <c r="E968" i="6" s="1" a="1"/>
  <c r="E968" i="6" s="1"/>
  <c r="F968" i="6" a="1"/>
  <c r="F968" i="6" s="1"/>
  <c r="C969" i="6" a="1"/>
  <c r="C969" i="6" s="1"/>
  <c r="D969" i="6" a="1"/>
  <c r="D969" i="6" s="1"/>
  <c r="E969" i="6" s="1" a="1"/>
  <c r="E969" i="6" s="1"/>
  <c r="F969" i="6" a="1"/>
  <c r="F969" i="6" s="1"/>
  <c r="C970" i="6" a="1"/>
  <c r="C970" i="6" s="1"/>
  <c r="D970" i="6" a="1"/>
  <c r="D970" i="6" s="1"/>
  <c r="E970" i="6" s="1" a="1"/>
  <c r="E970" i="6" s="1"/>
  <c r="F970" i="6" a="1"/>
  <c r="F970" i="6" s="1"/>
  <c r="C971" i="6" a="1"/>
  <c r="C971" i="6" s="1"/>
  <c r="D971" i="6" a="1"/>
  <c r="D971" i="6" s="1"/>
  <c r="E971" i="6" s="1" a="1"/>
  <c r="E971" i="6" s="1"/>
  <c r="F971" i="6" a="1"/>
  <c r="F971" i="6" s="1"/>
  <c r="C972" i="6" a="1"/>
  <c r="C972" i="6" s="1"/>
  <c r="D972" i="6" a="1"/>
  <c r="D972" i="6" s="1"/>
  <c r="E972" i="6" s="1" a="1"/>
  <c r="E972" i="6" s="1"/>
  <c r="F972" i="6" a="1"/>
  <c r="F972" i="6" s="1"/>
  <c r="C973" i="6" a="1"/>
  <c r="C973" i="6" s="1"/>
  <c r="D973" i="6" a="1"/>
  <c r="D973" i="6" s="1"/>
  <c r="E973" i="6" s="1" a="1"/>
  <c r="E973" i="6" s="1"/>
  <c r="F973" i="6" a="1"/>
  <c r="F973" i="6" s="1"/>
  <c r="C974" i="6" a="1"/>
  <c r="C974" i="6" s="1"/>
  <c r="D974" i="6" a="1"/>
  <c r="D974" i="6" s="1"/>
  <c r="E974" i="6" s="1" a="1"/>
  <c r="E974" i="6" s="1"/>
  <c r="F974" i="6" a="1"/>
  <c r="F974" i="6" s="1"/>
  <c r="C975" i="6" a="1"/>
  <c r="C975" i="6" s="1"/>
  <c r="D975" i="6" a="1"/>
  <c r="D975" i="6" s="1"/>
  <c r="E975" i="6" s="1" a="1"/>
  <c r="E975" i="6" s="1"/>
  <c r="F975" i="6" a="1"/>
  <c r="F975" i="6" s="1"/>
  <c r="C976" i="6" a="1"/>
  <c r="C976" i="6" s="1"/>
  <c r="D976" i="6" a="1"/>
  <c r="D976" i="6" s="1"/>
  <c r="E976" i="6" s="1" a="1"/>
  <c r="E976" i="6" s="1"/>
  <c r="F976" i="6" a="1"/>
  <c r="F976" i="6" s="1"/>
  <c r="C977" i="6" a="1"/>
  <c r="C977" i="6" s="1"/>
  <c r="D977" i="6" a="1"/>
  <c r="D977" i="6" s="1"/>
  <c r="E977" i="6" s="1" a="1"/>
  <c r="E977" i="6" s="1"/>
  <c r="F977" i="6" a="1"/>
  <c r="F977" i="6" s="1"/>
  <c r="C978" i="6" a="1"/>
  <c r="C978" i="6" s="1"/>
  <c r="D978" i="6" a="1"/>
  <c r="D978" i="6" s="1"/>
  <c r="E978" i="6" s="1" a="1"/>
  <c r="E978" i="6" s="1"/>
  <c r="F978" i="6" a="1"/>
  <c r="F978" i="6" s="1"/>
  <c r="C979" i="6" a="1"/>
  <c r="C979" i="6" s="1"/>
  <c r="D979" i="6" a="1"/>
  <c r="D979" i="6" s="1"/>
  <c r="E979" i="6" s="1" a="1"/>
  <c r="E979" i="6" s="1"/>
  <c r="F979" i="6" a="1"/>
  <c r="F979" i="6" s="1"/>
  <c r="C980" i="6" a="1"/>
  <c r="C980" i="6" s="1"/>
  <c r="D980" i="6" a="1"/>
  <c r="D980" i="6" s="1"/>
  <c r="E980" i="6" s="1" a="1"/>
  <c r="E980" i="6" s="1"/>
  <c r="F980" i="6" a="1"/>
  <c r="F980" i="6" s="1"/>
  <c r="C981" i="6" a="1"/>
  <c r="C981" i="6" s="1"/>
  <c r="D981" i="6" a="1"/>
  <c r="D981" i="6" s="1"/>
  <c r="E981" i="6" s="1" a="1"/>
  <c r="E981" i="6" s="1"/>
  <c r="F981" i="6" a="1"/>
  <c r="F981" i="6" s="1"/>
  <c r="C982" i="6" a="1"/>
  <c r="C982" i="6" s="1"/>
  <c r="D982" i="6" a="1"/>
  <c r="D982" i="6" s="1"/>
  <c r="E982" i="6" s="1" a="1"/>
  <c r="E982" i="6" s="1"/>
  <c r="F982" i="6" a="1"/>
  <c r="F982" i="6" s="1"/>
  <c r="C983" i="6" a="1"/>
  <c r="C983" i="6" s="1"/>
  <c r="D983" i="6" a="1"/>
  <c r="D983" i="6" s="1"/>
  <c r="E983" i="6" s="1" a="1"/>
  <c r="E983" i="6" s="1"/>
  <c r="F983" i="6" a="1"/>
  <c r="F983" i="6" s="1"/>
  <c r="C984" i="6" a="1"/>
  <c r="C984" i="6" s="1"/>
  <c r="D984" i="6" a="1"/>
  <c r="D984" i="6" s="1"/>
  <c r="E984" i="6" s="1" a="1"/>
  <c r="E984" i="6" s="1"/>
  <c r="F984" i="6" a="1"/>
  <c r="F984" i="6" s="1"/>
  <c r="C985" i="6" a="1"/>
  <c r="C985" i="6" s="1"/>
  <c r="D985" i="6" a="1"/>
  <c r="D985" i="6" s="1"/>
  <c r="E985" i="6" s="1" a="1"/>
  <c r="E985" i="6" s="1"/>
  <c r="F985" i="6" a="1"/>
  <c r="F985" i="6" s="1"/>
  <c r="C986" i="6" a="1"/>
  <c r="C986" i="6" s="1"/>
  <c r="D986" i="6" a="1"/>
  <c r="D986" i="6" s="1"/>
  <c r="E986" i="6" s="1" a="1"/>
  <c r="E986" i="6" s="1"/>
  <c r="F986" i="6" a="1"/>
  <c r="F986" i="6" s="1"/>
  <c r="C987" i="6" a="1"/>
  <c r="C987" i="6" s="1"/>
  <c r="D987" i="6" a="1"/>
  <c r="D987" i="6" s="1"/>
  <c r="E987" i="6" s="1" a="1"/>
  <c r="E987" i="6" s="1"/>
  <c r="F987" i="6" a="1"/>
  <c r="F987" i="6" s="1"/>
  <c r="C988" i="6" a="1"/>
  <c r="C988" i="6" s="1"/>
  <c r="D988" i="6" a="1"/>
  <c r="D988" i="6" s="1"/>
  <c r="E988" i="6" s="1" a="1"/>
  <c r="E988" i="6" s="1"/>
  <c r="F988" i="6" a="1"/>
  <c r="F988" i="6" s="1"/>
  <c r="C989" i="6" a="1"/>
  <c r="C989" i="6" s="1"/>
  <c r="D989" i="6" a="1"/>
  <c r="D989" i="6" s="1"/>
  <c r="E989" i="6" s="1" a="1"/>
  <c r="E989" i="6" s="1"/>
  <c r="F989" i="6" a="1"/>
  <c r="F989" i="6" s="1"/>
  <c r="C990" i="6" a="1"/>
  <c r="C990" i="6" s="1"/>
  <c r="D990" i="6" a="1"/>
  <c r="D990" i="6" s="1"/>
  <c r="E990" i="6" s="1" a="1"/>
  <c r="E990" i="6" s="1"/>
  <c r="F990" i="6" a="1"/>
  <c r="F990" i="6" s="1"/>
  <c r="C991" i="6" a="1"/>
  <c r="C991" i="6" s="1"/>
  <c r="D991" i="6" a="1"/>
  <c r="D991" i="6" s="1"/>
  <c r="E991" i="6" s="1" a="1"/>
  <c r="E991" i="6" s="1"/>
  <c r="F991" i="6" a="1"/>
  <c r="F991" i="6" s="1"/>
  <c r="C992" i="6" a="1"/>
  <c r="C992" i="6" s="1"/>
  <c r="D992" i="6" a="1"/>
  <c r="D992" i="6" s="1"/>
  <c r="E992" i="6" s="1" a="1"/>
  <c r="E992" i="6" s="1"/>
  <c r="F992" i="6" a="1"/>
  <c r="F992" i="6" s="1"/>
  <c r="C993" i="6" a="1"/>
  <c r="C993" i="6" s="1"/>
  <c r="D993" i="6" a="1"/>
  <c r="D993" i="6" s="1"/>
  <c r="E993" i="6" s="1" a="1"/>
  <c r="E993" i="6" s="1"/>
  <c r="F993" i="6" a="1"/>
  <c r="F993" i="6" s="1"/>
  <c r="C994" i="6" a="1"/>
  <c r="C994" i="6" s="1"/>
  <c r="D994" i="6" a="1"/>
  <c r="D994" i="6" s="1"/>
  <c r="E994" i="6" s="1" a="1"/>
  <c r="E994" i="6" s="1"/>
  <c r="F994" i="6" a="1"/>
  <c r="F994" i="6" s="1"/>
  <c r="C995" i="6" a="1"/>
  <c r="C995" i="6" s="1"/>
  <c r="D995" i="6" a="1"/>
  <c r="D995" i="6" s="1"/>
  <c r="E995" i="6" s="1" a="1"/>
  <c r="E995" i="6" s="1"/>
  <c r="F995" i="6" a="1"/>
  <c r="F995" i="6" s="1"/>
  <c r="C996" i="6" a="1"/>
  <c r="C996" i="6" s="1"/>
  <c r="D996" i="6" a="1"/>
  <c r="D996" i="6" s="1"/>
  <c r="E996" i="6" s="1" a="1"/>
  <c r="E996" i="6" s="1"/>
  <c r="F996" i="6" a="1"/>
  <c r="F996" i="6" s="1"/>
  <c r="C997" i="6" a="1"/>
  <c r="C997" i="6" s="1"/>
  <c r="D997" i="6" a="1"/>
  <c r="D997" i="6" s="1"/>
  <c r="E997" i="6" s="1" a="1"/>
  <c r="E997" i="6" s="1"/>
  <c r="F997" i="6" a="1"/>
  <c r="F997" i="6" s="1"/>
  <c r="C998" i="6" a="1"/>
  <c r="C998" i="6" s="1"/>
  <c r="D998" i="6" a="1"/>
  <c r="D998" i="6" s="1"/>
  <c r="E998" i="6" s="1" a="1"/>
  <c r="E998" i="6" s="1"/>
  <c r="F998" i="6" a="1"/>
  <c r="F998" i="6" s="1"/>
  <c r="C999" i="6" a="1"/>
  <c r="C999" i="6" s="1"/>
  <c r="D999" i="6" a="1"/>
  <c r="D999" i="6" s="1"/>
  <c r="E999" i="6" s="1" a="1"/>
  <c r="E999" i="6" s="1"/>
  <c r="F999" i="6" a="1"/>
  <c r="F999" i="6" s="1"/>
  <c r="C1000" i="6" a="1"/>
  <c r="C1000" i="6" s="1"/>
  <c r="D1000" i="6" a="1"/>
  <c r="D1000" i="6" s="1"/>
  <c r="E1000" i="6" s="1" a="1"/>
  <c r="E1000" i="6" s="1"/>
  <c r="F1000" i="6" a="1"/>
  <c r="F1000" i="6" s="1"/>
  <c r="C1001" i="6" a="1"/>
  <c r="C1001" i="6" s="1"/>
  <c r="D1001" i="6" a="1"/>
  <c r="D1001" i="6" s="1"/>
  <c r="E1001" i="6" s="1" a="1"/>
  <c r="E1001" i="6" s="1"/>
  <c r="F1001" i="6" a="1"/>
  <c r="F1001" i="6" s="1"/>
  <c r="C1002" i="6" a="1"/>
  <c r="C1002" i="6" s="1"/>
  <c r="D1002" i="6" a="1"/>
  <c r="D1002" i="6" s="1"/>
  <c r="E1002" i="6" s="1" a="1"/>
  <c r="E1002" i="6" s="1"/>
  <c r="F1002" i="6" a="1"/>
  <c r="F1002" i="6" s="1"/>
  <c r="C1003" i="6" a="1"/>
  <c r="C1003" i="6" s="1"/>
  <c r="D1003" i="6" a="1"/>
  <c r="D1003" i="6" s="1"/>
  <c r="E1003" i="6" s="1" a="1"/>
  <c r="E1003" i="6" s="1"/>
  <c r="F1003" i="6" a="1"/>
  <c r="F1003" i="6" s="1"/>
  <c r="C1004" i="6" a="1"/>
  <c r="C1004" i="6" s="1"/>
  <c r="D1004" i="6" a="1"/>
  <c r="D1004" i="6" s="1"/>
  <c r="E1004" i="6" s="1" a="1"/>
  <c r="E1004" i="6" s="1"/>
  <c r="F1004" i="6" a="1"/>
  <c r="F1004" i="6" s="1"/>
  <c r="C1005" i="6" a="1"/>
  <c r="C1005" i="6" s="1"/>
  <c r="D1005" i="6" a="1"/>
  <c r="D1005" i="6" s="1"/>
  <c r="E1005" i="6" s="1" a="1"/>
  <c r="E1005" i="6" s="1"/>
  <c r="F1005" i="6" a="1"/>
  <c r="F1005" i="6" s="1"/>
  <c r="C1006" i="6" a="1"/>
  <c r="C1006" i="6" s="1"/>
  <c r="D1006" i="6" a="1"/>
  <c r="D1006" i="6" s="1"/>
  <c r="E1006" i="6" s="1" a="1"/>
  <c r="E1006" i="6" s="1"/>
  <c r="F1006" i="6" a="1"/>
  <c r="F1006" i="6" s="1"/>
  <c r="C1007" i="6" a="1"/>
  <c r="C1007" i="6" s="1"/>
  <c r="D1007" i="6" a="1"/>
  <c r="D1007" i="6" s="1"/>
  <c r="E1007" i="6" s="1" a="1"/>
  <c r="E1007" i="6" s="1"/>
  <c r="F1007" i="6" a="1"/>
  <c r="F1007" i="6" s="1"/>
  <c r="C1008" i="6" a="1"/>
  <c r="C1008" i="6" s="1"/>
  <c r="D1008" i="6" a="1"/>
  <c r="D1008" i="6" s="1"/>
  <c r="E1008" i="6" s="1" a="1"/>
  <c r="E1008" i="6" s="1"/>
  <c r="F1008" i="6" a="1"/>
  <c r="F1008" i="6" s="1"/>
  <c r="C1009" i="6" a="1"/>
  <c r="C1009" i="6" s="1"/>
  <c r="D1009" i="6" a="1"/>
  <c r="D1009" i="6" s="1"/>
  <c r="E1009" i="6" s="1" a="1"/>
  <c r="E1009" i="6" s="1"/>
  <c r="F1009" i="6" a="1"/>
  <c r="F1009" i="6" s="1"/>
  <c r="C1010" i="6" a="1"/>
  <c r="C1010" i="6" s="1"/>
  <c r="D1010" i="6" a="1"/>
  <c r="D1010" i="6" s="1"/>
  <c r="E1010" i="6" s="1" a="1"/>
  <c r="E1010" i="6" s="1"/>
  <c r="F1010" i="6" a="1"/>
  <c r="F1010" i="6" s="1"/>
  <c r="C1011" i="6" a="1"/>
  <c r="C1011" i="6" s="1"/>
  <c r="D1011" i="6" a="1"/>
  <c r="D1011" i="6" s="1"/>
  <c r="E1011" i="6" s="1" a="1"/>
  <c r="E1011" i="6" s="1"/>
  <c r="F1011" i="6" a="1"/>
  <c r="F1011" i="6" s="1"/>
  <c r="C1012" i="6" a="1"/>
  <c r="C1012" i="6" s="1"/>
  <c r="D1012" i="6" a="1"/>
  <c r="D1012" i="6" s="1"/>
  <c r="E1012" i="6" s="1" a="1"/>
  <c r="E1012" i="6" s="1"/>
  <c r="F1012" i="6" a="1"/>
  <c r="F1012" i="6" s="1"/>
  <c r="C1013" i="6" a="1"/>
  <c r="C1013" i="6" s="1"/>
  <c r="D1013" i="6" a="1"/>
  <c r="D1013" i="6" s="1"/>
  <c r="E1013" i="6" s="1" a="1"/>
  <c r="E1013" i="6" s="1"/>
  <c r="F1013" i="6" a="1"/>
  <c r="F1013" i="6" s="1"/>
  <c r="C1014" i="6" a="1"/>
  <c r="C1014" i="6" s="1"/>
  <c r="D1014" i="6" a="1"/>
  <c r="D1014" i="6" s="1"/>
  <c r="E1014" i="6" s="1" a="1"/>
  <c r="E1014" i="6" s="1"/>
  <c r="F1014" i="6" a="1"/>
  <c r="F1014" i="6" s="1"/>
  <c r="C1015" i="6" a="1"/>
  <c r="C1015" i="6" s="1"/>
  <c r="D1015" i="6" a="1"/>
  <c r="D1015" i="6" s="1"/>
  <c r="E1015" i="6" s="1" a="1"/>
  <c r="E1015" i="6" s="1"/>
  <c r="F1015" i="6" a="1"/>
  <c r="F1015" i="6" s="1"/>
  <c r="C1016" i="6" a="1"/>
  <c r="C1016" i="6" s="1"/>
  <c r="D1016" i="6" a="1"/>
  <c r="D1016" i="6" s="1"/>
  <c r="E1016" i="6" s="1" a="1"/>
  <c r="E1016" i="6" s="1"/>
  <c r="F1016" i="6" a="1"/>
  <c r="F1016" i="6" s="1"/>
  <c r="C1017" i="6" a="1"/>
  <c r="C1017" i="6" s="1"/>
  <c r="D1017" i="6" a="1"/>
  <c r="D1017" i="6" s="1"/>
  <c r="E1017" i="6" s="1" a="1"/>
  <c r="E1017" i="6" s="1"/>
  <c r="F1017" i="6" a="1"/>
  <c r="F1017" i="6" s="1"/>
  <c r="C1018" i="6" a="1"/>
  <c r="C1018" i="6" s="1"/>
  <c r="D1018" i="6" a="1"/>
  <c r="D1018" i="6" s="1"/>
  <c r="E1018" i="6" s="1" a="1"/>
  <c r="E1018" i="6" s="1"/>
  <c r="F1018" i="6" a="1"/>
  <c r="F1018" i="6" s="1"/>
  <c r="C1019" i="6" a="1"/>
  <c r="C1019" i="6" s="1"/>
  <c r="D1019" i="6" a="1"/>
  <c r="D1019" i="6" s="1"/>
  <c r="E1019" i="6" s="1" a="1"/>
  <c r="E1019" i="6" s="1"/>
  <c r="F1019" i="6" a="1"/>
  <c r="F1019" i="6" s="1"/>
  <c r="C1020" i="6" a="1"/>
  <c r="C1020" i="6" s="1"/>
  <c r="D1020" i="6" a="1"/>
  <c r="D1020" i="6" s="1"/>
  <c r="E1020" i="6" s="1" a="1"/>
  <c r="E1020" i="6" s="1"/>
  <c r="F1020" i="6" a="1"/>
  <c r="F1020" i="6" s="1"/>
  <c r="C1021" i="6" a="1"/>
  <c r="C1021" i="6" s="1"/>
  <c r="D1021" i="6" a="1"/>
  <c r="D1021" i="6" s="1"/>
  <c r="E1021" i="6" s="1" a="1"/>
  <c r="E1021" i="6" s="1"/>
  <c r="F1021" i="6" a="1"/>
  <c r="F1021" i="6" s="1"/>
  <c r="C1022" i="6" a="1"/>
  <c r="C1022" i="6" s="1"/>
  <c r="D1022" i="6" a="1"/>
  <c r="D1022" i="6" s="1"/>
  <c r="E1022" i="6" s="1" a="1"/>
  <c r="E1022" i="6" s="1"/>
  <c r="F1022" i="6" a="1"/>
  <c r="F1022" i="6" s="1"/>
  <c r="C1023" i="6" a="1"/>
  <c r="C1023" i="6" s="1"/>
  <c r="D1023" i="6" a="1"/>
  <c r="D1023" i="6" s="1"/>
  <c r="E1023" i="6" s="1" a="1"/>
  <c r="E1023" i="6" s="1"/>
  <c r="F1023" i="6" a="1"/>
  <c r="F1023" i="6" s="1"/>
  <c r="C1024" i="6" a="1"/>
  <c r="C1024" i="6" s="1"/>
  <c r="D1024" i="6" a="1"/>
  <c r="D1024" i="6" s="1"/>
  <c r="E1024" i="6" s="1" a="1"/>
  <c r="E1024" i="6" s="1"/>
  <c r="F1024" i="6" a="1"/>
  <c r="F1024" i="6" s="1"/>
  <c r="C1025" i="6" a="1"/>
  <c r="C1025" i="6" s="1"/>
  <c r="D1025" i="6" a="1"/>
  <c r="D1025" i="6" s="1"/>
  <c r="E1025" i="6" s="1" a="1"/>
  <c r="E1025" i="6" s="1"/>
  <c r="F1025" i="6" a="1"/>
  <c r="F1025" i="6" s="1"/>
  <c r="C1026" i="6" a="1"/>
  <c r="C1026" i="6" s="1"/>
  <c r="D1026" i="6" a="1"/>
  <c r="D1026" i="6" s="1"/>
  <c r="E1026" i="6" s="1" a="1"/>
  <c r="E1026" i="6" s="1"/>
  <c r="F1026" i="6" a="1"/>
  <c r="F1026" i="6" s="1"/>
  <c r="C1027" i="6" a="1"/>
  <c r="C1027" i="6" s="1"/>
  <c r="D1027" i="6" a="1"/>
  <c r="D1027" i="6" s="1"/>
  <c r="E1027" i="6" s="1" a="1"/>
  <c r="E1027" i="6" s="1"/>
  <c r="F1027" i="6" a="1"/>
  <c r="F1027" i="6" s="1"/>
  <c r="C1028" i="6" a="1"/>
  <c r="C1028" i="6" s="1"/>
  <c r="D1028" i="6" a="1"/>
  <c r="D1028" i="6" s="1"/>
  <c r="E1028" i="6" s="1" a="1"/>
  <c r="E1028" i="6" s="1"/>
  <c r="F1028" i="6" a="1"/>
  <c r="F1028" i="6" s="1"/>
  <c r="C1029" i="6" a="1"/>
  <c r="C1029" i="6" s="1"/>
  <c r="D1029" i="6" a="1"/>
  <c r="D1029" i="6" s="1"/>
  <c r="E1029" i="6" s="1" a="1"/>
  <c r="E1029" i="6" s="1"/>
  <c r="F1029" i="6" a="1"/>
  <c r="F1029" i="6" s="1"/>
  <c r="C1030" i="6" a="1"/>
  <c r="C1030" i="6" s="1"/>
  <c r="D1030" i="6" a="1"/>
  <c r="D1030" i="6" s="1"/>
  <c r="E1030" i="6" s="1" a="1"/>
  <c r="E1030" i="6" s="1"/>
  <c r="F1030" i="6" a="1"/>
  <c r="F1030" i="6" s="1"/>
  <c r="C1031" i="6" a="1"/>
  <c r="C1031" i="6" s="1"/>
  <c r="D1031" i="6" a="1"/>
  <c r="D1031" i="6" s="1"/>
  <c r="E1031" i="6" s="1" a="1"/>
  <c r="E1031" i="6" s="1"/>
  <c r="F1031" i="6" a="1"/>
  <c r="F1031" i="6" s="1"/>
  <c r="C1032" i="6" a="1"/>
  <c r="C1032" i="6" s="1"/>
  <c r="D1032" i="6" a="1"/>
  <c r="D1032" i="6" s="1"/>
  <c r="E1032" i="6" s="1" a="1"/>
  <c r="E1032" i="6" s="1"/>
  <c r="F1032" i="6" a="1"/>
  <c r="F1032" i="6" s="1"/>
  <c r="C1033" i="6" a="1"/>
  <c r="C1033" i="6" s="1"/>
  <c r="D1033" i="6" a="1"/>
  <c r="D1033" i="6" s="1"/>
  <c r="E1033" i="6" s="1" a="1"/>
  <c r="E1033" i="6" s="1"/>
  <c r="F1033" i="6" a="1"/>
  <c r="F1033" i="6" s="1"/>
  <c r="C1034" i="6" a="1"/>
  <c r="C1034" i="6" s="1"/>
  <c r="D1034" i="6" a="1"/>
  <c r="D1034" i="6" s="1"/>
  <c r="E1034" i="6" s="1" a="1"/>
  <c r="E1034" i="6" s="1"/>
  <c r="F1034" i="6" a="1"/>
  <c r="F1034" i="6" s="1"/>
  <c r="C1035" i="6" a="1"/>
  <c r="C1035" i="6" s="1"/>
  <c r="D1035" i="6" a="1"/>
  <c r="D1035" i="6" s="1"/>
  <c r="E1035" i="6" s="1" a="1"/>
  <c r="E1035" i="6" s="1"/>
  <c r="F1035" i="6" a="1"/>
  <c r="F1035" i="6" s="1"/>
  <c r="C1036" i="6" a="1"/>
  <c r="C1036" i="6" s="1"/>
  <c r="D1036" i="6" a="1"/>
  <c r="D1036" i="6" s="1"/>
  <c r="E1036" i="6" s="1" a="1"/>
  <c r="E1036" i="6" s="1"/>
  <c r="F1036" i="6" a="1"/>
  <c r="F1036" i="6" s="1"/>
  <c r="C1037" i="6" a="1"/>
  <c r="C1037" i="6" s="1"/>
  <c r="D1037" i="6" a="1"/>
  <c r="D1037" i="6" s="1"/>
  <c r="E1037" i="6" s="1" a="1"/>
  <c r="E1037" i="6" s="1"/>
  <c r="F1037" i="6" a="1"/>
  <c r="F1037" i="6" s="1"/>
  <c r="C1038" i="6" a="1"/>
  <c r="C1038" i="6" s="1"/>
  <c r="D1038" i="6" a="1"/>
  <c r="D1038" i="6" s="1"/>
  <c r="E1038" i="6" s="1" a="1"/>
  <c r="E1038" i="6" s="1"/>
  <c r="F1038" i="6" a="1"/>
  <c r="F1038" i="6" s="1"/>
  <c r="C1039" i="6" a="1"/>
  <c r="C1039" i="6" s="1"/>
  <c r="D1039" i="6" a="1"/>
  <c r="D1039" i="6" s="1"/>
  <c r="E1039" i="6" s="1" a="1"/>
  <c r="E1039" i="6" s="1"/>
  <c r="F1039" i="6" a="1"/>
  <c r="F1039" i="6" s="1"/>
  <c r="C1040" i="6" a="1"/>
  <c r="C1040" i="6" s="1"/>
  <c r="D1040" i="6" a="1"/>
  <c r="D1040" i="6" s="1"/>
  <c r="E1040" i="6" s="1" a="1"/>
  <c r="E1040" i="6" s="1"/>
  <c r="F1040" i="6" a="1"/>
  <c r="F1040" i="6" s="1"/>
  <c r="C1041" i="6" a="1"/>
  <c r="C1041" i="6" s="1"/>
  <c r="D1041" i="6" a="1"/>
  <c r="D1041" i="6" s="1"/>
  <c r="E1041" i="6" s="1" a="1"/>
  <c r="E1041" i="6" s="1"/>
  <c r="F1041" i="6" a="1"/>
  <c r="F1041" i="6" s="1"/>
  <c r="C1042" i="6" a="1"/>
  <c r="C1042" i="6" s="1"/>
  <c r="D1042" i="6" a="1"/>
  <c r="D1042" i="6" s="1"/>
  <c r="E1042" i="6" s="1" a="1"/>
  <c r="E1042" i="6" s="1"/>
  <c r="F1042" i="6" a="1"/>
  <c r="F1042" i="6" s="1"/>
  <c r="C1043" i="6" a="1"/>
  <c r="C1043" i="6" s="1"/>
  <c r="D1043" i="6" a="1"/>
  <c r="D1043" i="6" s="1"/>
  <c r="E1043" i="6" s="1" a="1"/>
  <c r="E1043" i="6" s="1"/>
  <c r="F1043" i="6" a="1"/>
  <c r="F1043" i="6" s="1"/>
  <c r="C1044" i="6" a="1"/>
  <c r="C1044" i="6" s="1"/>
  <c r="D1044" i="6" a="1"/>
  <c r="D1044" i="6" s="1"/>
  <c r="E1044" i="6" s="1" a="1"/>
  <c r="E1044" i="6" s="1"/>
  <c r="F1044" i="6" a="1"/>
  <c r="F1044" i="6" s="1"/>
  <c r="C1045" i="6" a="1"/>
  <c r="C1045" i="6" s="1"/>
  <c r="D1045" i="6" a="1"/>
  <c r="D1045" i="6" s="1"/>
  <c r="E1045" i="6" s="1" a="1"/>
  <c r="E1045" i="6" s="1"/>
  <c r="F1045" i="6" a="1"/>
  <c r="F1045" i="6" s="1"/>
  <c r="C1046" i="6" a="1"/>
  <c r="C1046" i="6" s="1"/>
  <c r="D1046" i="6" a="1"/>
  <c r="D1046" i="6" s="1"/>
  <c r="E1046" i="6" s="1" a="1"/>
  <c r="E1046" i="6" s="1"/>
  <c r="F1046" i="6" a="1"/>
  <c r="F1046" i="6" s="1"/>
  <c r="C1047" i="6" a="1"/>
  <c r="C1047" i="6" s="1"/>
  <c r="D1047" i="6" a="1"/>
  <c r="D1047" i="6" s="1"/>
  <c r="E1047" i="6" s="1" a="1"/>
  <c r="E1047" i="6" s="1"/>
  <c r="F1047" i="6" a="1"/>
  <c r="F1047" i="6" s="1"/>
  <c r="C1048" i="6" a="1"/>
  <c r="C1048" i="6" s="1"/>
  <c r="D1048" i="6" a="1"/>
  <c r="D1048" i="6" s="1"/>
  <c r="E1048" i="6" s="1" a="1"/>
  <c r="E1048" i="6" s="1"/>
  <c r="F1048" i="6" a="1"/>
  <c r="F1048" i="6" s="1"/>
  <c r="C1049" i="6" a="1"/>
  <c r="C1049" i="6" s="1"/>
  <c r="D1049" i="6" a="1"/>
  <c r="D1049" i="6" s="1"/>
  <c r="E1049" i="6" s="1" a="1"/>
  <c r="E1049" i="6" s="1"/>
  <c r="F1049" i="6" a="1"/>
  <c r="F1049" i="6" s="1"/>
  <c r="C1050" i="6" a="1"/>
  <c r="C1050" i="6" s="1"/>
  <c r="D1050" i="6" a="1"/>
  <c r="D1050" i="6" s="1"/>
  <c r="E1050" i="6" s="1" a="1"/>
  <c r="E1050" i="6" s="1"/>
  <c r="F1050" i="6" a="1"/>
  <c r="F1050" i="6" s="1"/>
  <c r="C1051" i="6" a="1"/>
  <c r="C1051" i="6" s="1"/>
  <c r="D1051" i="6" a="1"/>
  <c r="D1051" i="6" s="1"/>
  <c r="E1051" i="6" s="1" a="1"/>
  <c r="E1051" i="6" s="1"/>
  <c r="F1051" i="6" a="1"/>
  <c r="F1051" i="6" s="1"/>
  <c r="C1052" i="6" a="1"/>
  <c r="C1052" i="6" s="1"/>
  <c r="D1052" i="6" a="1"/>
  <c r="D1052" i="6" s="1"/>
  <c r="E1052" i="6" s="1" a="1"/>
  <c r="E1052" i="6" s="1"/>
  <c r="F1052" i="6" a="1"/>
  <c r="F1052" i="6" s="1"/>
  <c r="C1053" i="6" a="1"/>
  <c r="C1053" i="6" s="1"/>
  <c r="D1053" i="6" a="1"/>
  <c r="D1053" i="6" s="1"/>
  <c r="E1053" i="6" s="1" a="1"/>
  <c r="E1053" i="6" s="1"/>
  <c r="F1053" i="6" a="1"/>
  <c r="F1053" i="6" s="1"/>
  <c r="C1054" i="6" a="1"/>
  <c r="C1054" i="6" s="1"/>
  <c r="D1054" i="6" a="1"/>
  <c r="D1054" i="6" s="1"/>
  <c r="E1054" i="6" s="1" a="1"/>
  <c r="E1054" i="6" s="1"/>
  <c r="F1054" i="6" a="1"/>
  <c r="F1054" i="6" s="1"/>
  <c r="C1055" i="6" a="1"/>
  <c r="C1055" i="6" s="1"/>
  <c r="D1055" i="6" a="1"/>
  <c r="D1055" i="6" s="1"/>
  <c r="E1055" i="6" s="1" a="1"/>
  <c r="E1055" i="6" s="1"/>
  <c r="F1055" i="6" a="1"/>
  <c r="F1055" i="6" s="1"/>
  <c r="C1056" i="6" a="1"/>
  <c r="C1056" i="6" s="1"/>
  <c r="D1056" i="6" a="1"/>
  <c r="D1056" i="6" s="1"/>
  <c r="E1056" i="6" s="1" a="1"/>
  <c r="E1056" i="6" s="1"/>
  <c r="F1056" i="6" a="1"/>
  <c r="F1056" i="6" s="1"/>
  <c r="C1057" i="6" a="1"/>
  <c r="C1057" i="6" s="1"/>
  <c r="D1057" i="6" a="1"/>
  <c r="D1057" i="6" s="1"/>
  <c r="E1057" i="6" s="1" a="1"/>
  <c r="E1057" i="6" s="1"/>
  <c r="F1057" i="6" a="1"/>
  <c r="F1057" i="6" s="1"/>
  <c r="C1058" i="6" a="1"/>
  <c r="C1058" i="6" s="1"/>
  <c r="D1058" i="6" a="1"/>
  <c r="D1058" i="6" s="1"/>
  <c r="E1058" i="6" s="1" a="1"/>
  <c r="E1058" i="6" s="1"/>
  <c r="F1058" i="6" a="1"/>
  <c r="F1058" i="6" s="1"/>
  <c r="C1059" i="6" a="1"/>
  <c r="C1059" i="6" s="1"/>
  <c r="D1059" i="6" a="1"/>
  <c r="D1059" i="6" s="1"/>
  <c r="E1059" i="6" s="1" a="1"/>
  <c r="E1059" i="6" s="1"/>
  <c r="F1059" i="6" a="1"/>
  <c r="F1059" i="6" s="1"/>
  <c r="C1060" i="6" a="1"/>
  <c r="C1060" i="6" s="1"/>
  <c r="D1060" i="6" a="1"/>
  <c r="D1060" i="6" s="1"/>
  <c r="E1060" i="6" s="1" a="1"/>
  <c r="E1060" i="6" s="1"/>
  <c r="F1060" i="6" a="1"/>
  <c r="F1060" i="6" s="1"/>
  <c r="C1061" i="6" a="1"/>
  <c r="C1061" i="6" s="1"/>
  <c r="D1061" i="6" a="1"/>
  <c r="D1061" i="6" s="1"/>
  <c r="E1061" i="6" s="1" a="1"/>
  <c r="E1061" i="6" s="1"/>
  <c r="F1061" i="6" a="1"/>
  <c r="F1061" i="6" s="1"/>
  <c r="C1062" i="6" a="1"/>
  <c r="C1062" i="6" s="1"/>
  <c r="D1062" i="6" a="1"/>
  <c r="D1062" i="6" s="1"/>
  <c r="E1062" i="6" s="1" a="1"/>
  <c r="E1062" i="6" s="1"/>
  <c r="F1062" i="6" a="1"/>
  <c r="F1062" i="6" s="1"/>
  <c r="C1063" i="6" a="1"/>
  <c r="C1063" i="6" s="1"/>
  <c r="D1063" i="6" a="1"/>
  <c r="D1063" i="6" s="1"/>
  <c r="E1063" i="6" s="1" a="1"/>
  <c r="E1063" i="6" s="1"/>
  <c r="F1063" i="6" a="1"/>
  <c r="F1063" i="6" s="1"/>
  <c r="C1064" i="6" a="1"/>
  <c r="C1064" i="6" s="1"/>
  <c r="D1064" i="6" a="1"/>
  <c r="D1064" i="6" s="1"/>
  <c r="E1064" i="6" s="1" a="1"/>
  <c r="E1064" i="6" s="1"/>
  <c r="F1064" i="6" a="1"/>
  <c r="F1064" i="6" s="1"/>
  <c r="C1065" i="6" a="1"/>
  <c r="C1065" i="6" s="1"/>
  <c r="D1065" i="6" a="1"/>
  <c r="D1065" i="6" s="1"/>
  <c r="E1065" i="6" s="1" a="1"/>
  <c r="E1065" i="6" s="1"/>
  <c r="F1065" i="6" a="1"/>
  <c r="F1065" i="6" s="1"/>
  <c r="C1066" i="6" a="1"/>
  <c r="C1066" i="6" s="1"/>
  <c r="D1066" i="6" a="1"/>
  <c r="D1066" i="6" s="1"/>
  <c r="E1066" i="6" s="1" a="1"/>
  <c r="E1066" i="6" s="1"/>
  <c r="F1066" i="6" a="1"/>
  <c r="F1066" i="6" s="1"/>
  <c r="C1067" i="6" a="1"/>
  <c r="C1067" i="6" s="1"/>
  <c r="D1067" i="6" a="1"/>
  <c r="D1067" i="6" s="1"/>
  <c r="E1067" i="6" s="1" a="1"/>
  <c r="E1067" i="6" s="1"/>
  <c r="F1067" i="6" a="1"/>
  <c r="F1067" i="6" s="1"/>
  <c r="C1068" i="6" a="1"/>
  <c r="C1068" i="6" s="1"/>
  <c r="D1068" i="6" a="1"/>
  <c r="D1068" i="6" s="1"/>
  <c r="E1068" i="6" s="1" a="1"/>
  <c r="E1068" i="6" s="1"/>
  <c r="F1068" i="6" a="1"/>
  <c r="F1068" i="6" s="1"/>
  <c r="C1069" i="6" a="1"/>
  <c r="C1069" i="6" s="1"/>
  <c r="D1069" i="6" a="1"/>
  <c r="D1069" i="6" s="1"/>
  <c r="E1069" i="6" s="1" a="1"/>
  <c r="E1069" i="6" s="1"/>
  <c r="F1069" i="6" a="1"/>
  <c r="F1069" i="6" s="1"/>
  <c r="C1070" i="6" a="1"/>
  <c r="C1070" i="6" s="1"/>
  <c r="D1070" i="6" a="1"/>
  <c r="D1070" i="6" s="1"/>
  <c r="E1070" i="6" s="1" a="1"/>
  <c r="E1070" i="6" s="1"/>
  <c r="F1070" i="6" a="1"/>
  <c r="F1070" i="6" s="1"/>
  <c r="C1071" i="6" a="1"/>
  <c r="C1071" i="6" s="1"/>
  <c r="D1071" i="6" a="1"/>
  <c r="D1071" i="6" s="1"/>
  <c r="E1071" i="6" s="1" a="1"/>
  <c r="E1071" i="6" s="1"/>
  <c r="F1071" i="6" a="1"/>
  <c r="F1071" i="6" s="1"/>
  <c r="C1072" i="6" a="1"/>
  <c r="C1072" i="6" s="1"/>
  <c r="D1072" i="6" a="1"/>
  <c r="D1072" i="6" s="1"/>
  <c r="E1072" i="6" s="1" a="1"/>
  <c r="E1072" i="6" s="1"/>
  <c r="F1072" i="6" a="1"/>
  <c r="F1072" i="6" s="1"/>
  <c r="C1073" i="6" a="1"/>
  <c r="C1073" i="6" s="1"/>
  <c r="D1073" i="6" a="1"/>
  <c r="D1073" i="6" s="1"/>
  <c r="E1073" i="6" s="1" a="1"/>
  <c r="E1073" i="6" s="1"/>
  <c r="F1073" i="6" a="1"/>
  <c r="F1073" i="6" s="1"/>
  <c r="C1074" i="6" a="1"/>
  <c r="C1074" i="6" s="1"/>
  <c r="D1074" i="6" a="1"/>
  <c r="D1074" i="6" s="1"/>
  <c r="E1074" i="6" s="1" a="1"/>
  <c r="E1074" i="6" s="1"/>
  <c r="F1074" i="6" a="1"/>
  <c r="F1074" i="6" s="1"/>
  <c r="C1075" i="6" a="1"/>
  <c r="C1075" i="6" s="1"/>
  <c r="D1075" i="6" a="1"/>
  <c r="D1075" i="6" s="1"/>
  <c r="E1075" i="6" s="1" a="1"/>
  <c r="E1075" i="6" s="1"/>
  <c r="F1075" i="6" a="1"/>
  <c r="F1075" i="6" s="1"/>
  <c r="C1076" i="6" a="1"/>
  <c r="C1076" i="6" s="1"/>
  <c r="D1076" i="6" a="1"/>
  <c r="D1076" i="6" s="1"/>
  <c r="E1076" i="6" s="1" a="1"/>
  <c r="E1076" i="6" s="1"/>
  <c r="F1076" i="6" a="1"/>
  <c r="F1076" i="6" s="1"/>
  <c r="C1077" i="6" a="1"/>
  <c r="C1077" i="6" s="1"/>
  <c r="D1077" i="6" a="1"/>
  <c r="D1077" i="6" s="1"/>
  <c r="E1077" i="6" s="1" a="1"/>
  <c r="E1077" i="6" s="1"/>
  <c r="F1077" i="6" a="1"/>
  <c r="F1077" i="6" s="1"/>
  <c r="C1078" i="6" a="1"/>
  <c r="C1078" i="6" s="1"/>
  <c r="D1078" i="6" a="1"/>
  <c r="D1078" i="6" s="1"/>
  <c r="E1078" i="6" s="1" a="1"/>
  <c r="E1078" i="6" s="1"/>
  <c r="F1078" i="6" a="1"/>
  <c r="F1078" i="6" s="1"/>
  <c r="C1079" i="6" a="1"/>
  <c r="C1079" i="6" s="1"/>
  <c r="D1079" i="6" a="1"/>
  <c r="D1079" i="6" s="1"/>
  <c r="E1079" i="6" s="1" a="1"/>
  <c r="E1079" i="6" s="1"/>
  <c r="F1079" i="6" a="1"/>
  <c r="F1079" i="6" s="1"/>
  <c r="C1080" i="6" a="1"/>
  <c r="C1080" i="6" s="1"/>
  <c r="D1080" i="6" a="1"/>
  <c r="D1080" i="6" s="1"/>
  <c r="E1080" i="6" s="1" a="1"/>
  <c r="E1080" i="6" s="1"/>
  <c r="F1080" i="6" a="1"/>
  <c r="F1080" i="6" s="1"/>
  <c r="C1081" i="6" a="1"/>
  <c r="C1081" i="6" s="1"/>
  <c r="D1081" i="6" a="1"/>
  <c r="D1081" i="6" s="1"/>
  <c r="E1081" i="6" s="1" a="1"/>
  <c r="E1081" i="6" s="1"/>
  <c r="F1081" i="6" a="1"/>
  <c r="F1081" i="6" s="1"/>
  <c r="C1082" i="6" a="1"/>
  <c r="C1082" i="6" s="1"/>
  <c r="D1082" i="6" a="1"/>
  <c r="D1082" i="6" s="1"/>
  <c r="E1082" i="6" s="1" a="1"/>
  <c r="E1082" i="6" s="1"/>
  <c r="F1082" i="6" a="1"/>
  <c r="F1082" i="6" s="1"/>
  <c r="C1083" i="6" a="1"/>
  <c r="C1083" i="6" s="1"/>
  <c r="D1083" i="6" a="1"/>
  <c r="D1083" i="6" s="1"/>
  <c r="E1083" i="6" s="1" a="1"/>
  <c r="E1083" i="6" s="1"/>
  <c r="F1083" i="6" a="1"/>
  <c r="F1083" i="6" s="1"/>
  <c r="C1084" i="6" a="1"/>
  <c r="C1084" i="6" s="1"/>
  <c r="D1084" i="6" a="1"/>
  <c r="D1084" i="6" s="1"/>
  <c r="E1084" i="6" s="1" a="1"/>
  <c r="E1084" i="6" s="1"/>
  <c r="F1084" i="6" a="1"/>
  <c r="F1084" i="6" s="1"/>
  <c r="C1085" i="6" a="1"/>
  <c r="C1085" i="6" s="1"/>
  <c r="D1085" i="6" a="1"/>
  <c r="D1085" i="6" s="1"/>
  <c r="E1085" i="6" s="1" a="1"/>
  <c r="E1085" i="6" s="1"/>
  <c r="F1085" i="6" a="1"/>
  <c r="F1085" i="6" s="1"/>
  <c r="C1086" i="6" a="1"/>
  <c r="C1086" i="6" s="1"/>
  <c r="D1086" i="6" a="1"/>
  <c r="D1086" i="6" s="1"/>
  <c r="E1086" i="6" s="1" a="1"/>
  <c r="E1086" i="6" s="1"/>
  <c r="F1086" i="6" a="1"/>
  <c r="F1086" i="6" s="1"/>
  <c r="C1087" i="6" a="1"/>
  <c r="C1087" i="6" s="1"/>
  <c r="D1087" i="6" a="1"/>
  <c r="D1087" i="6" s="1"/>
  <c r="E1087" i="6" s="1" a="1"/>
  <c r="E1087" i="6" s="1"/>
  <c r="F1087" i="6" a="1"/>
  <c r="F1087" i="6" s="1"/>
  <c r="C1088" i="6" a="1"/>
  <c r="C1088" i="6" s="1"/>
  <c r="D1088" i="6" a="1"/>
  <c r="D1088" i="6" s="1"/>
  <c r="E1088" i="6" s="1" a="1"/>
  <c r="E1088" i="6" s="1"/>
  <c r="F1088" i="6" a="1"/>
  <c r="F1088" i="6" s="1"/>
  <c r="C1089" i="6" a="1"/>
  <c r="C1089" i="6" s="1"/>
  <c r="D1089" i="6" a="1"/>
  <c r="D1089" i="6" s="1"/>
  <c r="E1089" i="6" s="1" a="1"/>
  <c r="E1089" i="6" s="1"/>
  <c r="F1089" i="6" a="1"/>
  <c r="F1089" i="6" s="1"/>
  <c r="C1090" i="6" a="1"/>
  <c r="C1090" i="6" s="1"/>
  <c r="D1090" i="6" a="1"/>
  <c r="D1090" i="6" s="1"/>
  <c r="E1090" i="6" s="1" a="1"/>
  <c r="E1090" i="6" s="1"/>
  <c r="F1090" i="6" a="1"/>
  <c r="F1090" i="6" s="1"/>
  <c r="C1091" i="6" a="1"/>
  <c r="C1091" i="6" s="1"/>
  <c r="D1091" i="6" a="1"/>
  <c r="D1091" i="6" s="1"/>
  <c r="E1091" i="6" s="1" a="1"/>
  <c r="E1091" i="6" s="1"/>
  <c r="F1091" i="6" a="1"/>
  <c r="F1091" i="6" s="1"/>
  <c r="C1092" i="6" a="1"/>
  <c r="C1092" i="6" s="1"/>
  <c r="D1092" i="6" a="1"/>
  <c r="D1092" i="6" s="1"/>
  <c r="E1092" i="6" s="1" a="1"/>
  <c r="E1092" i="6" s="1"/>
  <c r="F1092" i="6" a="1"/>
  <c r="F1092" i="6" s="1"/>
  <c r="C1093" i="6" a="1"/>
  <c r="C1093" i="6" s="1"/>
  <c r="D1093" i="6" a="1"/>
  <c r="D1093" i="6" s="1"/>
  <c r="E1093" i="6" s="1" a="1"/>
  <c r="E1093" i="6" s="1"/>
  <c r="F1093" i="6" a="1"/>
  <c r="F1093" i="6" s="1"/>
  <c r="C1094" i="6" a="1"/>
  <c r="C1094" i="6" s="1"/>
  <c r="D1094" i="6" a="1"/>
  <c r="D1094" i="6" s="1"/>
  <c r="E1094" i="6" s="1" a="1"/>
  <c r="E1094" i="6" s="1"/>
  <c r="F1094" i="6" a="1"/>
  <c r="F1094" i="6" s="1"/>
  <c r="C1095" i="6" a="1"/>
  <c r="C1095" i="6" s="1"/>
  <c r="D1095" i="6" a="1"/>
  <c r="D1095" i="6" s="1"/>
  <c r="E1095" i="6" s="1" a="1"/>
  <c r="E1095" i="6" s="1"/>
  <c r="F1095" i="6" a="1"/>
  <c r="F1095" i="6" s="1"/>
  <c r="C1096" i="6" a="1"/>
  <c r="C1096" i="6" s="1"/>
  <c r="D1096" i="6" a="1"/>
  <c r="D1096" i="6" s="1"/>
  <c r="E1096" i="6" s="1" a="1"/>
  <c r="E1096" i="6" s="1"/>
  <c r="F1096" i="6" a="1"/>
  <c r="F1096" i="6" s="1"/>
  <c r="C1097" i="6" a="1"/>
  <c r="C1097" i="6" s="1"/>
  <c r="D1097" i="6" a="1"/>
  <c r="D1097" i="6" s="1"/>
  <c r="E1097" i="6" s="1" a="1"/>
  <c r="E1097" i="6" s="1"/>
  <c r="F1097" i="6" a="1"/>
  <c r="F1097" i="6" s="1"/>
  <c r="C1098" i="6" a="1"/>
  <c r="C1098" i="6" s="1"/>
  <c r="D1098" i="6" a="1"/>
  <c r="D1098" i="6" s="1"/>
  <c r="E1098" i="6" s="1" a="1"/>
  <c r="E1098" i="6" s="1"/>
  <c r="F1098" i="6" a="1"/>
  <c r="F1098" i="6" s="1"/>
  <c r="C1099" i="6" a="1"/>
  <c r="C1099" i="6" s="1"/>
  <c r="D1099" i="6" a="1"/>
  <c r="D1099" i="6" s="1"/>
  <c r="E1099" i="6" s="1" a="1"/>
  <c r="E1099" i="6" s="1"/>
  <c r="F1099" i="6" a="1"/>
  <c r="F1099" i="6" s="1"/>
  <c r="C1100" i="6" a="1"/>
  <c r="C1100" i="6" s="1"/>
  <c r="D1100" i="6" a="1"/>
  <c r="D1100" i="6" s="1"/>
  <c r="E1100" i="6" s="1" a="1"/>
  <c r="E1100" i="6" s="1"/>
  <c r="F1100" i="6" a="1"/>
  <c r="F1100" i="6" s="1"/>
  <c r="C1101" i="6" a="1"/>
  <c r="C1101" i="6" s="1"/>
  <c r="D1101" i="6" a="1"/>
  <c r="D1101" i="6" s="1"/>
  <c r="E1101" i="6" s="1" a="1"/>
  <c r="E1101" i="6" s="1"/>
  <c r="F1101" i="6" a="1"/>
  <c r="F1101" i="6" s="1"/>
  <c r="C1102" i="6" a="1"/>
  <c r="C1102" i="6" s="1"/>
  <c r="D1102" i="6" a="1"/>
  <c r="D1102" i="6" s="1"/>
  <c r="E1102" i="6" s="1" a="1"/>
  <c r="E1102" i="6" s="1"/>
  <c r="F1102" i="6" a="1"/>
  <c r="F1102" i="6" s="1"/>
  <c r="C1103" i="6" a="1"/>
  <c r="C1103" i="6" s="1"/>
  <c r="D1103" i="6" a="1"/>
  <c r="D1103" i="6" s="1"/>
  <c r="E1103" i="6" s="1" a="1"/>
  <c r="E1103" i="6" s="1"/>
  <c r="F1103" i="6" a="1"/>
  <c r="F1103" i="6" s="1"/>
  <c r="C1104" i="6" a="1"/>
  <c r="C1104" i="6" s="1"/>
  <c r="D1104" i="6" a="1"/>
  <c r="D1104" i="6" s="1"/>
  <c r="E1104" i="6" s="1" a="1"/>
  <c r="E1104" i="6" s="1"/>
  <c r="F1104" i="6" a="1"/>
  <c r="F1104" i="6" s="1"/>
  <c r="C1105" i="6" a="1"/>
  <c r="C1105" i="6" s="1"/>
  <c r="D1105" i="6" a="1"/>
  <c r="D1105" i="6" s="1"/>
  <c r="E1105" i="6" s="1" a="1"/>
  <c r="E1105" i="6" s="1"/>
  <c r="F1105" i="6" a="1"/>
  <c r="F1105" i="6" s="1"/>
  <c r="C1106" i="6" a="1"/>
  <c r="C1106" i="6" s="1"/>
  <c r="D1106" i="6" a="1"/>
  <c r="D1106" i="6" s="1"/>
  <c r="E1106" i="6" s="1" a="1"/>
  <c r="E1106" i="6" s="1"/>
  <c r="F1106" i="6" a="1"/>
  <c r="F1106" i="6" s="1"/>
  <c r="C1107" i="6" a="1"/>
  <c r="C1107" i="6" s="1"/>
  <c r="D1107" i="6" a="1"/>
  <c r="D1107" i="6" s="1"/>
  <c r="E1107" i="6" s="1" a="1"/>
  <c r="E1107" i="6" s="1"/>
  <c r="F1107" i="6" a="1"/>
  <c r="F1107" i="6" s="1"/>
  <c r="C1108" i="6" a="1"/>
  <c r="C1108" i="6" s="1"/>
  <c r="D1108" i="6" a="1"/>
  <c r="D1108" i="6" s="1"/>
  <c r="E1108" i="6" s="1" a="1"/>
  <c r="E1108" i="6" s="1"/>
  <c r="F1108" i="6" a="1"/>
  <c r="F1108" i="6" s="1"/>
  <c r="C1109" i="6" a="1"/>
  <c r="C1109" i="6" s="1"/>
  <c r="D1109" i="6" a="1"/>
  <c r="D1109" i="6" s="1"/>
  <c r="E1109" i="6" s="1" a="1"/>
  <c r="E1109" i="6" s="1"/>
  <c r="F1109" i="6" a="1"/>
  <c r="F1109" i="6" s="1"/>
  <c r="C1110" i="6" a="1"/>
  <c r="C1110" i="6" s="1"/>
  <c r="D1110" i="6" a="1"/>
  <c r="D1110" i="6" s="1"/>
  <c r="E1110" i="6" s="1" a="1"/>
  <c r="E1110" i="6" s="1"/>
  <c r="F1110" i="6" a="1"/>
  <c r="F1110" i="6" s="1"/>
  <c r="C1111" i="6" a="1"/>
  <c r="C1111" i="6" s="1"/>
  <c r="D1111" i="6" a="1"/>
  <c r="D1111" i="6" s="1"/>
  <c r="E1111" i="6" s="1" a="1"/>
  <c r="E1111" i="6" s="1"/>
  <c r="F1111" i="6" a="1"/>
  <c r="F1111" i="6" s="1"/>
  <c r="C1112" i="6" a="1"/>
  <c r="C1112" i="6" s="1"/>
  <c r="D1112" i="6" a="1"/>
  <c r="D1112" i="6" s="1"/>
  <c r="E1112" i="6" s="1" a="1"/>
  <c r="E1112" i="6" s="1"/>
  <c r="F1112" i="6" a="1"/>
  <c r="F1112" i="6" s="1"/>
  <c r="C1113" i="6" a="1"/>
  <c r="C1113" i="6" s="1"/>
  <c r="D1113" i="6" a="1"/>
  <c r="D1113" i="6" s="1"/>
  <c r="E1113" i="6" s="1" a="1"/>
  <c r="E1113" i="6" s="1"/>
  <c r="F1113" i="6" a="1"/>
  <c r="F1113" i="6" s="1"/>
  <c r="C1114" i="6" a="1"/>
  <c r="C1114" i="6" s="1"/>
  <c r="D1114" i="6" a="1"/>
  <c r="D1114" i="6" s="1"/>
  <c r="E1114" i="6" s="1" a="1"/>
  <c r="E1114" i="6" s="1"/>
  <c r="F1114" i="6" a="1"/>
  <c r="F1114" i="6" s="1"/>
  <c r="C1115" i="6" a="1"/>
  <c r="C1115" i="6" s="1"/>
  <c r="D1115" i="6" a="1"/>
  <c r="D1115" i="6" s="1"/>
  <c r="E1115" i="6" s="1" a="1"/>
  <c r="E1115" i="6" s="1"/>
  <c r="F1115" i="6" a="1"/>
  <c r="F1115" i="6" s="1"/>
  <c r="C1116" i="6" a="1"/>
  <c r="C1116" i="6" s="1"/>
  <c r="D1116" i="6" a="1"/>
  <c r="D1116" i="6" s="1"/>
  <c r="E1116" i="6" s="1" a="1"/>
  <c r="E1116" i="6" s="1"/>
  <c r="F1116" i="6" a="1"/>
  <c r="F1116" i="6" s="1"/>
  <c r="C1117" i="6" a="1"/>
  <c r="C1117" i="6" s="1"/>
  <c r="D1117" i="6" a="1"/>
  <c r="D1117" i="6" s="1"/>
  <c r="E1117" i="6" s="1" a="1"/>
  <c r="E1117" i="6" s="1"/>
  <c r="F1117" i="6" a="1"/>
  <c r="F1117" i="6" s="1"/>
  <c r="C1118" i="6" a="1"/>
  <c r="C1118" i="6" s="1"/>
  <c r="D1118" i="6" a="1"/>
  <c r="D1118" i="6" s="1"/>
  <c r="E1118" i="6" s="1" a="1"/>
  <c r="E1118" i="6" s="1"/>
  <c r="F1118" i="6" a="1"/>
  <c r="F1118" i="6" s="1"/>
  <c r="C1119" i="6" a="1"/>
  <c r="C1119" i="6" s="1"/>
  <c r="D1119" i="6" a="1"/>
  <c r="D1119" i="6" s="1"/>
  <c r="E1119" i="6" s="1" a="1"/>
  <c r="E1119" i="6" s="1"/>
  <c r="F1119" i="6" a="1"/>
  <c r="F1119" i="6" s="1"/>
  <c r="C1120" i="6" a="1"/>
  <c r="C1120" i="6" s="1"/>
  <c r="D1120" i="6" a="1"/>
  <c r="D1120" i="6" s="1"/>
  <c r="E1120" i="6" s="1" a="1"/>
  <c r="E1120" i="6" s="1"/>
  <c r="F1120" i="6" a="1"/>
  <c r="F1120" i="6" s="1"/>
  <c r="C1121" i="6" a="1"/>
  <c r="C1121" i="6" s="1"/>
  <c r="D1121" i="6" a="1"/>
  <c r="D1121" i="6" s="1"/>
  <c r="E1121" i="6" s="1" a="1"/>
  <c r="E1121" i="6" s="1"/>
  <c r="F1121" i="6" a="1"/>
  <c r="F1121" i="6" s="1"/>
  <c r="C1122" i="6" a="1"/>
  <c r="C1122" i="6" s="1"/>
  <c r="D1122" i="6" a="1"/>
  <c r="D1122" i="6" s="1"/>
  <c r="E1122" i="6" s="1" a="1"/>
  <c r="E1122" i="6" s="1"/>
  <c r="F1122" i="6" a="1"/>
  <c r="F1122" i="6" s="1"/>
  <c r="C1123" i="6" a="1"/>
  <c r="C1123" i="6" s="1"/>
  <c r="D1123" i="6" a="1"/>
  <c r="D1123" i="6" s="1"/>
  <c r="E1123" i="6" s="1" a="1"/>
  <c r="E1123" i="6" s="1"/>
  <c r="F1123" i="6" a="1"/>
  <c r="F1123" i="6" s="1"/>
  <c r="C1124" i="6" a="1"/>
  <c r="C1124" i="6" s="1"/>
  <c r="D1124" i="6" a="1"/>
  <c r="D1124" i="6" s="1"/>
  <c r="E1124" i="6" s="1" a="1"/>
  <c r="E1124" i="6" s="1"/>
  <c r="F1124" i="6" a="1"/>
  <c r="F1124" i="6" s="1"/>
  <c r="C1125" i="6" a="1"/>
  <c r="C1125" i="6" s="1"/>
  <c r="D1125" i="6" a="1"/>
  <c r="D1125" i="6" s="1"/>
  <c r="E1125" i="6" s="1" a="1"/>
  <c r="E1125" i="6" s="1"/>
  <c r="F1125" i="6" a="1"/>
  <c r="F1125" i="6" s="1"/>
  <c r="C1126" i="6" a="1"/>
  <c r="C1126" i="6" s="1"/>
  <c r="D1126" i="6" a="1"/>
  <c r="D1126" i="6" s="1"/>
  <c r="E1126" i="6" s="1" a="1"/>
  <c r="E1126" i="6" s="1"/>
  <c r="F1126" i="6" a="1"/>
  <c r="F1126" i="6" s="1"/>
  <c r="C1127" i="6" a="1"/>
  <c r="C1127" i="6" s="1"/>
  <c r="D1127" i="6" a="1"/>
  <c r="D1127" i="6" s="1"/>
  <c r="E1127" i="6" s="1" a="1"/>
  <c r="E1127" i="6" s="1"/>
  <c r="F1127" i="6" a="1"/>
  <c r="F1127" i="6" s="1"/>
  <c r="C1128" i="6" a="1"/>
  <c r="C1128" i="6" s="1"/>
  <c r="D1128" i="6" a="1"/>
  <c r="D1128" i="6" s="1"/>
  <c r="E1128" i="6" s="1" a="1"/>
  <c r="E1128" i="6" s="1"/>
  <c r="F1128" i="6" a="1"/>
  <c r="F1128" i="6" s="1"/>
  <c r="C1129" i="6" a="1"/>
  <c r="C1129" i="6" s="1"/>
  <c r="D1129" i="6" a="1"/>
  <c r="D1129" i="6" s="1"/>
  <c r="E1129" i="6" s="1" a="1"/>
  <c r="E1129" i="6" s="1"/>
  <c r="F1129" i="6" a="1"/>
  <c r="F1129" i="6" s="1"/>
  <c r="C1130" i="6" a="1"/>
  <c r="C1130" i="6" s="1"/>
  <c r="D1130" i="6" a="1"/>
  <c r="D1130" i="6" s="1"/>
  <c r="E1130" i="6" s="1" a="1"/>
  <c r="E1130" i="6" s="1"/>
  <c r="F1130" i="6" a="1"/>
  <c r="F1130" i="6" s="1"/>
  <c r="C1131" i="6" a="1"/>
  <c r="C1131" i="6" s="1"/>
  <c r="D1131" i="6" a="1"/>
  <c r="D1131" i="6" s="1"/>
  <c r="E1131" i="6" s="1" a="1"/>
  <c r="E1131" i="6" s="1"/>
  <c r="F1131" i="6" a="1"/>
  <c r="F1131" i="6" s="1"/>
  <c r="C1132" i="6" a="1"/>
  <c r="C1132" i="6" s="1"/>
  <c r="D1132" i="6" a="1"/>
  <c r="D1132" i="6" s="1"/>
  <c r="E1132" i="6" s="1" a="1"/>
  <c r="E1132" i="6" s="1"/>
  <c r="F1132" i="6" a="1"/>
  <c r="F1132" i="6" s="1"/>
  <c r="C1133" i="6" a="1"/>
  <c r="C1133" i="6" s="1"/>
  <c r="D1133" i="6" a="1"/>
  <c r="D1133" i="6" s="1"/>
  <c r="E1133" i="6" s="1" a="1"/>
  <c r="E1133" i="6" s="1"/>
  <c r="F1133" i="6" a="1"/>
  <c r="F1133" i="6" s="1"/>
  <c r="C1134" i="6" a="1"/>
  <c r="C1134" i="6" s="1"/>
  <c r="D1134" i="6" a="1"/>
  <c r="D1134" i="6" s="1"/>
  <c r="E1134" i="6" s="1" a="1"/>
  <c r="E1134" i="6" s="1"/>
  <c r="F1134" i="6" a="1"/>
  <c r="F1134" i="6" s="1"/>
  <c r="C1135" i="6" a="1"/>
  <c r="C1135" i="6" s="1"/>
  <c r="D1135" i="6" a="1"/>
  <c r="D1135" i="6" s="1"/>
  <c r="E1135" i="6" s="1" a="1"/>
  <c r="E1135" i="6" s="1"/>
  <c r="F1135" i="6" a="1"/>
  <c r="F1135" i="6" s="1"/>
  <c r="C1136" i="6" a="1"/>
  <c r="C1136" i="6" s="1"/>
  <c r="D1136" i="6" a="1"/>
  <c r="D1136" i="6" s="1"/>
  <c r="E1136" i="6" s="1" a="1"/>
  <c r="E1136" i="6" s="1"/>
  <c r="F1136" i="6" a="1"/>
  <c r="F1136" i="6" s="1"/>
  <c r="C1137" i="6" a="1"/>
  <c r="C1137" i="6" s="1"/>
  <c r="D1137" i="6" a="1"/>
  <c r="D1137" i="6" s="1"/>
  <c r="E1137" i="6" s="1" a="1"/>
  <c r="E1137" i="6" s="1"/>
  <c r="F1137" i="6" a="1"/>
  <c r="F1137" i="6" s="1"/>
  <c r="C1138" i="6" a="1"/>
  <c r="C1138" i="6" s="1"/>
  <c r="D1138" i="6" a="1"/>
  <c r="D1138" i="6" s="1"/>
  <c r="E1138" i="6" s="1" a="1"/>
  <c r="E1138" i="6" s="1"/>
  <c r="F1138" i="6" a="1"/>
  <c r="F1138" i="6" s="1"/>
  <c r="C1139" i="6" a="1"/>
  <c r="C1139" i="6" s="1"/>
  <c r="D1139" i="6" a="1"/>
  <c r="D1139" i="6" s="1"/>
  <c r="E1139" i="6" s="1" a="1"/>
  <c r="E1139" i="6" s="1"/>
  <c r="F1139" i="6" a="1"/>
  <c r="F1139" i="6" s="1"/>
  <c r="C1140" i="6" a="1"/>
  <c r="C1140" i="6" s="1"/>
  <c r="D1140" i="6" a="1"/>
  <c r="D1140" i="6" s="1"/>
  <c r="E1140" i="6" s="1" a="1"/>
  <c r="E1140" i="6" s="1"/>
  <c r="F1140" i="6" a="1"/>
  <c r="F1140" i="6" s="1"/>
  <c r="C1141" i="6" a="1"/>
  <c r="C1141" i="6" s="1"/>
  <c r="D1141" i="6" a="1"/>
  <c r="D1141" i="6" s="1"/>
  <c r="E1141" i="6" s="1" a="1"/>
  <c r="E1141" i="6" s="1"/>
  <c r="F1141" i="6" a="1"/>
  <c r="F1141" i="6" s="1"/>
  <c r="C1142" i="6" a="1"/>
  <c r="C1142" i="6" s="1"/>
  <c r="D1142" i="6" a="1"/>
  <c r="D1142" i="6" s="1"/>
  <c r="E1142" i="6" s="1" a="1"/>
  <c r="E1142" i="6" s="1"/>
  <c r="F1142" i="6" a="1"/>
  <c r="F1142" i="6" s="1"/>
  <c r="C1143" i="6" a="1"/>
  <c r="C1143" i="6" s="1"/>
  <c r="D1143" i="6" a="1"/>
  <c r="D1143" i="6" s="1"/>
  <c r="E1143" i="6" s="1" a="1"/>
  <c r="E1143" i="6" s="1"/>
  <c r="F1143" i="6" a="1"/>
  <c r="F1143" i="6" s="1"/>
  <c r="C1144" i="6" a="1"/>
  <c r="C1144" i="6" s="1"/>
  <c r="D1144" i="6" a="1"/>
  <c r="D1144" i="6" s="1"/>
  <c r="E1144" i="6" s="1" a="1"/>
  <c r="E1144" i="6" s="1"/>
  <c r="F1144" i="6" a="1"/>
  <c r="F1144" i="6" s="1"/>
  <c r="C1145" i="6" a="1"/>
  <c r="C1145" i="6" s="1"/>
  <c r="D1145" i="6" a="1"/>
  <c r="D1145" i="6" s="1"/>
  <c r="E1145" i="6" s="1" a="1"/>
  <c r="E1145" i="6" s="1"/>
  <c r="F1145" i="6" a="1"/>
  <c r="F1145" i="6" s="1"/>
  <c r="C1146" i="6" a="1"/>
  <c r="C1146" i="6" s="1"/>
  <c r="D1146" i="6" a="1"/>
  <c r="D1146" i="6" s="1"/>
  <c r="E1146" i="6" s="1" a="1"/>
  <c r="E1146" i="6" s="1"/>
  <c r="F1146" i="6" a="1"/>
  <c r="F1146" i="6" s="1"/>
  <c r="C1147" i="6" a="1"/>
  <c r="C1147" i="6" s="1"/>
  <c r="D1147" i="6" a="1"/>
  <c r="D1147" i="6" s="1"/>
  <c r="E1147" i="6" s="1" a="1"/>
  <c r="E1147" i="6" s="1"/>
  <c r="F1147" i="6" a="1"/>
  <c r="F1147" i="6" s="1"/>
  <c r="C1148" i="6" a="1"/>
  <c r="C1148" i="6" s="1"/>
  <c r="D1148" i="6" a="1"/>
  <c r="D1148" i="6" s="1"/>
  <c r="E1148" i="6" s="1" a="1"/>
  <c r="E1148" i="6" s="1"/>
  <c r="F1148" i="6" a="1"/>
  <c r="F1148" i="6" s="1"/>
  <c r="C1149" i="6" a="1"/>
  <c r="C1149" i="6" s="1"/>
  <c r="D1149" i="6" a="1"/>
  <c r="D1149" i="6" s="1"/>
  <c r="E1149" i="6" s="1" a="1"/>
  <c r="E1149" i="6" s="1"/>
  <c r="F1149" i="6" a="1"/>
  <c r="F1149" i="6" s="1"/>
  <c r="C1150" i="6" a="1"/>
  <c r="C1150" i="6" s="1"/>
  <c r="D1150" i="6" a="1"/>
  <c r="D1150" i="6" s="1"/>
  <c r="E1150" i="6" s="1" a="1"/>
  <c r="E1150" i="6" s="1"/>
  <c r="F1150" i="6" a="1"/>
  <c r="F1150" i="6" s="1"/>
  <c r="C1151" i="6" a="1"/>
  <c r="C1151" i="6" s="1"/>
  <c r="D1151" i="6" a="1"/>
  <c r="D1151" i="6" s="1"/>
  <c r="E1151" i="6" s="1" a="1"/>
  <c r="E1151" i="6" s="1"/>
  <c r="F1151" i="6" a="1"/>
  <c r="F1151" i="6" s="1"/>
  <c r="C1152" i="6" a="1"/>
  <c r="C1152" i="6" s="1"/>
  <c r="D1152" i="6" a="1"/>
  <c r="D1152" i="6" s="1"/>
  <c r="E1152" i="6" s="1" a="1"/>
  <c r="E1152" i="6" s="1"/>
  <c r="F1152" i="6" a="1"/>
  <c r="F1152" i="6" s="1"/>
  <c r="C1153" i="6" a="1"/>
  <c r="C1153" i="6" s="1"/>
  <c r="D1153" i="6" a="1"/>
  <c r="D1153" i="6" s="1"/>
  <c r="E1153" i="6" s="1" a="1"/>
  <c r="E1153" i="6" s="1"/>
  <c r="F1153" i="6" a="1"/>
  <c r="F1153" i="6" s="1"/>
  <c r="C1154" i="6" a="1"/>
  <c r="C1154" i="6" s="1"/>
  <c r="D1154" i="6" a="1"/>
  <c r="D1154" i="6" s="1"/>
  <c r="E1154" i="6" s="1" a="1"/>
  <c r="E1154" i="6" s="1"/>
  <c r="F1154" i="6" a="1"/>
  <c r="F1154" i="6" s="1"/>
  <c r="C1155" i="6" a="1"/>
  <c r="C1155" i="6" s="1"/>
  <c r="D1155" i="6" a="1"/>
  <c r="D1155" i="6" s="1"/>
  <c r="E1155" i="6" s="1" a="1"/>
  <c r="E1155" i="6" s="1"/>
  <c r="F1155" i="6" a="1"/>
  <c r="F1155" i="6" s="1"/>
  <c r="C1156" i="6" a="1"/>
  <c r="C1156" i="6" s="1"/>
  <c r="D1156" i="6" a="1"/>
  <c r="D1156" i="6" s="1"/>
  <c r="E1156" i="6" s="1" a="1"/>
  <c r="E1156" i="6" s="1"/>
  <c r="F1156" i="6" a="1"/>
  <c r="F1156" i="6" s="1"/>
  <c r="C1157" i="6" a="1"/>
  <c r="C1157" i="6" s="1"/>
  <c r="D1157" i="6" a="1"/>
  <c r="D1157" i="6" s="1"/>
  <c r="E1157" i="6" s="1" a="1"/>
  <c r="E1157" i="6" s="1"/>
  <c r="F1157" i="6" a="1"/>
  <c r="F1157" i="6" s="1"/>
  <c r="C1158" i="6" a="1"/>
  <c r="C1158" i="6" s="1"/>
  <c r="D1158" i="6" a="1"/>
  <c r="D1158" i="6" s="1"/>
  <c r="E1158" i="6" s="1" a="1"/>
  <c r="E1158" i="6" s="1"/>
  <c r="F1158" i="6" a="1"/>
  <c r="F1158" i="6" s="1"/>
  <c r="C1159" i="6" a="1"/>
  <c r="C1159" i="6" s="1"/>
  <c r="D1159" i="6" a="1"/>
  <c r="D1159" i="6" s="1"/>
  <c r="E1159" i="6" s="1" a="1"/>
  <c r="E1159" i="6" s="1"/>
  <c r="F1159" i="6" a="1"/>
  <c r="F1159" i="6" s="1"/>
  <c r="C1160" i="6" a="1"/>
  <c r="C1160" i="6" s="1"/>
  <c r="D1160" i="6" a="1"/>
  <c r="D1160" i="6" s="1"/>
  <c r="E1160" i="6" s="1" a="1"/>
  <c r="E1160" i="6" s="1"/>
  <c r="F1160" i="6" a="1"/>
  <c r="F1160" i="6" s="1"/>
  <c r="C1161" i="6" a="1"/>
  <c r="C1161" i="6" s="1"/>
  <c r="D1161" i="6" a="1"/>
  <c r="D1161" i="6" s="1"/>
  <c r="E1161" i="6" s="1" a="1"/>
  <c r="E1161" i="6" s="1"/>
  <c r="F1161" i="6" a="1"/>
  <c r="F1161" i="6" s="1"/>
  <c r="C1162" i="6" a="1"/>
  <c r="C1162" i="6" s="1"/>
  <c r="D1162" i="6" a="1"/>
  <c r="D1162" i="6" s="1"/>
  <c r="E1162" i="6" s="1" a="1"/>
  <c r="E1162" i="6" s="1"/>
  <c r="F1162" i="6" a="1"/>
  <c r="F1162" i="6" s="1"/>
  <c r="C1163" i="6" a="1"/>
  <c r="C1163" i="6" s="1"/>
  <c r="D1163" i="6" a="1"/>
  <c r="D1163" i="6" s="1"/>
  <c r="E1163" i="6" s="1" a="1"/>
  <c r="E1163" i="6" s="1"/>
  <c r="F1163" i="6" a="1"/>
  <c r="F1163" i="6" s="1"/>
  <c r="C1164" i="6" a="1"/>
  <c r="C1164" i="6" s="1"/>
  <c r="D1164" i="6" a="1"/>
  <c r="D1164" i="6" s="1"/>
  <c r="E1164" i="6" s="1" a="1"/>
  <c r="E1164" i="6" s="1"/>
  <c r="F1164" i="6" a="1"/>
  <c r="F1164" i="6" s="1"/>
  <c r="C1165" i="6" a="1"/>
  <c r="C1165" i="6" s="1"/>
  <c r="D1165" i="6" a="1"/>
  <c r="D1165" i="6" s="1"/>
  <c r="E1165" i="6" s="1" a="1"/>
  <c r="E1165" i="6" s="1"/>
  <c r="F1165" i="6" a="1"/>
  <c r="F1165" i="6" s="1"/>
  <c r="C1166" i="6" a="1"/>
  <c r="C1166" i="6" s="1"/>
  <c r="D1166" i="6" a="1"/>
  <c r="D1166" i="6" s="1"/>
  <c r="E1166" i="6" s="1" a="1"/>
  <c r="E1166" i="6" s="1"/>
  <c r="F1166" i="6" a="1"/>
  <c r="F1166" i="6" s="1"/>
  <c r="C1167" i="6" a="1"/>
  <c r="C1167" i="6" s="1"/>
  <c r="D1167" i="6" a="1"/>
  <c r="D1167" i="6" s="1"/>
  <c r="E1167" i="6" s="1" a="1"/>
  <c r="E1167" i="6" s="1"/>
  <c r="F1167" i="6" a="1"/>
  <c r="F1167" i="6" s="1"/>
  <c r="C1168" i="6" a="1"/>
  <c r="C1168" i="6" s="1"/>
  <c r="D1168" i="6" a="1"/>
  <c r="D1168" i="6" s="1"/>
  <c r="E1168" i="6" s="1" a="1"/>
  <c r="E1168" i="6" s="1"/>
  <c r="F1168" i="6" a="1"/>
  <c r="F1168" i="6" s="1"/>
  <c r="C1169" i="6" a="1"/>
  <c r="C1169" i="6" s="1"/>
  <c r="D1169" i="6" a="1"/>
  <c r="D1169" i="6" s="1"/>
  <c r="E1169" i="6" s="1" a="1"/>
  <c r="E1169" i="6" s="1"/>
  <c r="F1169" i="6" a="1"/>
  <c r="F1169" i="6" s="1"/>
  <c r="C1170" i="6" a="1"/>
  <c r="C1170" i="6" s="1"/>
  <c r="D1170" i="6" a="1"/>
  <c r="D1170" i="6" s="1"/>
  <c r="E1170" i="6" s="1" a="1"/>
  <c r="E1170" i="6" s="1"/>
  <c r="F1170" i="6" a="1"/>
  <c r="F1170" i="6" s="1"/>
  <c r="C1171" i="6" a="1"/>
  <c r="C1171" i="6" s="1"/>
  <c r="D1171" i="6" a="1"/>
  <c r="D1171" i="6" s="1"/>
  <c r="E1171" i="6" s="1" a="1"/>
  <c r="E1171" i="6" s="1"/>
  <c r="F1171" i="6" a="1"/>
  <c r="F1171" i="6" s="1"/>
  <c r="C1172" i="6" a="1"/>
  <c r="C1172" i="6" s="1"/>
  <c r="D1172" i="6" a="1"/>
  <c r="D1172" i="6" s="1"/>
  <c r="E1172" i="6" s="1" a="1"/>
  <c r="E1172" i="6" s="1"/>
  <c r="F1172" i="6" a="1"/>
  <c r="F1172" i="6" s="1"/>
  <c r="C1173" i="6" a="1"/>
  <c r="C1173" i="6" s="1"/>
  <c r="D1173" i="6" a="1"/>
  <c r="D1173" i="6" s="1"/>
  <c r="E1173" i="6" s="1" a="1"/>
  <c r="E1173" i="6" s="1"/>
  <c r="F1173" i="6" a="1"/>
  <c r="F1173" i="6" s="1"/>
  <c r="C1174" i="6" a="1"/>
  <c r="C1174" i="6" s="1"/>
  <c r="D1174" i="6" a="1"/>
  <c r="D1174" i="6" s="1"/>
  <c r="E1174" i="6" s="1" a="1"/>
  <c r="E1174" i="6" s="1"/>
  <c r="F1174" i="6" a="1"/>
  <c r="F1174" i="6" s="1"/>
  <c r="C1175" i="6" a="1"/>
  <c r="C1175" i="6" s="1"/>
  <c r="D1175" i="6" a="1"/>
  <c r="D1175" i="6" s="1"/>
  <c r="E1175" i="6" s="1" a="1"/>
  <c r="E1175" i="6" s="1"/>
  <c r="F1175" i="6" a="1"/>
  <c r="F1175" i="6" s="1"/>
  <c r="C1176" i="6" a="1"/>
  <c r="C1176" i="6" s="1"/>
  <c r="D1176" i="6" a="1"/>
  <c r="D1176" i="6" s="1"/>
  <c r="E1176" i="6" s="1" a="1"/>
  <c r="E1176" i="6" s="1"/>
  <c r="F1176" i="6" a="1"/>
  <c r="F1176" i="6" s="1"/>
  <c r="C1177" i="6" a="1"/>
  <c r="C1177" i="6" s="1"/>
  <c r="D1177" i="6" a="1"/>
  <c r="D1177" i="6" s="1"/>
  <c r="E1177" i="6" s="1" a="1"/>
  <c r="E1177" i="6" s="1"/>
  <c r="F1177" i="6" a="1"/>
  <c r="F1177" i="6" s="1"/>
  <c r="C1178" i="6" a="1"/>
  <c r="C1178" i="6" s="1"/>
  <c r="D1178" i="6" a="1"/>
  <c r="D1178" i="6" s="1"/>
  <c r="E1178" i="6" s="1" a="1"/>
  <c r="E1178" i="6" s="1"/>
  <c r="F1178" i="6" a="1"/>
  <c r="F1178" i="6" s="1"/>
  <c r="C1179" i="6" a="1"/>
  <c r="C1179" i="6" s="1"/>
  <c r="D1179" i="6" a="1"/>
  <c r="D1179" i="6" s="1"/>
  <c r="E1179" i="6" s="1" a="1"/>
  <c r="E1179" i="6" s="1"/>
  <c r="F1179" i="6" a="1"/>
  <c r="F1179" i="6" s="1"/>
  <c r="C1180" i="6" a="1"/>
  <c r="C1180" i="6" s="1"/>
  <c r="D1180" i="6" a="1"/>
  <c r="D1180" i="6" s="1"/>
  <c r="E1180" i="6" s="1" a="1"/>
  <c r="E1180" i="6" s="1"/>
  <c r="F1180" i="6" a="1"/>
  <c r="F1180" i="6" s="1"/>
  <c r="C1181" i="6" a="1"/>
  <c r="C1181" i="6" s="1"/>
  <c r="D1181" i="6" a="1"/>
  <c r="D1181" i="6" s="1"/>
  <c r="E1181" i="6" s="1" a="1"/>
  <c r="E1181" i="6" s="1"/>
  <c r="F1181" i="6" a="1"/>
  <c r="F1181" i="6" s="1"/>
  <c r="C1182" i="6" a="1"/>
  <c r="C1182" i="6" s="1"/>
  <c r="D1182" i="6" a="1"/>
  <c r="D1182" i="6" s="1"/>
  <c r="E1182" i="6" s="1" a="1"/>
  <c r="E1182" i="6" s="1"/>
  <c r="F1182" i="6" a="1"/>
  <c r="F1182" i="6" s="1"/>
  <c r="C1183" i="6" a="1"/>
  <c r="C1183" i="6" s="1"/>
  <c r="D1183" i="6" a="1"/>
  <c r="D1183" i="6" s="1"/>
  <c r="E1183" i="6" s="1" a="1"/>
  <c r="E1183" i="6" s="1"/>
  <c r="F1183" i="6" a="1"/>
  <c r="F1183" i="6" s="1"/>
  <c r="C1184" i="6" a="1"/>
  <c r="C1184" i="6" s="1"/>
  <c r="D1184" i="6" a="1"/>
  <c r="D1184" i="6" s="1"/>
  <c r="E1184" i="6" s="1" a="1"/>
  <c r="E1184" i="6" s="1"/>
  <c r="F1184" i="6" a="1"/>
  <c r="F1184" i="6" s="1"/>
  <c r="C1185" i="6" a="1"/>
  <c r="C1185" i="6" s="1"/>
  <c r="D1185" i="6" a="1"/>
  <c r="D1185" i="6" s="1"/>
  <c r="E1185" i="6" s="1" a="1"/>
  <c r="E1185" i="6" s="1"/>
  <c r="F1185" i="6" a="1"/>
  <c r="F1185" i="6" s="1"/>
  <c r="C1186" i="6" a="1"/>
  <c r="C1186" i="6" s="1"/>
  <c r="D1186" i="6" a="1"/>
  <c r="D1186" i="6" s="1"/>
  <c r="E1186" i="6" s="1" a="1"/>
  <c r="E1186" i="6" s="1"/>
  <c r="F1186" i="6" a="1"/>
  <c r="F1186" i="6" s="1"/>
  <c r="C1187" i="6" a="1"/>
  <c r="C1187" i="6" s="1"/>
  <c r="D1187" i="6" a="1"/>
  <c r="D1187" i="6" s="1"/>
  <c r="E1187" i="6" s="1" a="1"/>
  <c r="E1187" i="6" s="1"/>
  <c r="F1187" i="6" a="1"/>
  <c r="F1187" i="6" s="1"/>
  <c r="C1188" i="6" a="1"/>
  <c r="C1188" i="6" s="1"/>
  <c r="D1188" i="6" a="1"/>
  <c r="D1188" i="6" s="1"/>
  <c r="E1188" i="6" s="1" a="1"/>
  <c r="E1188" i="6" s="1"/>
  <c r="F1188" i="6" a="1"/>
  <c r="F1188" i="6" s="1"/>
  <c r="C1189" i="6" a="1"/>
  <c r="C1189" i="6" s="1"/>
  <c r="D1189" i="6" a="1"/>
  <c r="D1189" i="6" s="1"/>
  <c r="E1189" i="6" s="1" a="1"/>
  <c r="E1189" i="6" s="1"/>
  <c r="F1189" i="6" a="1"/>
  <c r="F1189" i="6" s="1"/>
  <c r="C1190" i="6" a="1"/>
  <c r="C1190" i="6" s="1"/>
  <c r="D1190" i="6" a="1"/>
  <c r="D1190" i="6" s="1"/>
  <c r="E1190" i="6" s="1" a="1"/>
  <c r="E1190" i="6" s="1"/>
  <c r="F1190" i="6" a="1"/>
  <c r="F1190" i="6" s="1"/>
  <c r="C1191" i="6" a="1"/>
  <c r="C1191" i="6" s="1"/>
  <c r="D1191" i="6" a="1"/>
  <c r="D1191" i="6" s="1"/>
  <c r="E1191" i="6" s="1" a="1"/>
  <c r="E1191" i="6" s="1"/>
  <c r="F1191" i="6" a="1"/>
  <c r="F1191" i="6" s="1"/>
  <c r="C1192" i="6" a="1"/>
  <c r="C1192" i="6" s="1"/>
  <c r="D1192" i="6" a="1"/>
  <c r="D1192" i="6" s="1"/>
  <c r="E1192" i="6" s="1" a="1"/>
  <c r="E1192" i="6" s="1"/>
  <c r="F1192" i="6" a="1"/>
  <c r="F1192" i="6" s="1"/>
  <c r="C1193" i="6" a="1"/>
  <c r="C1193" i="6" s="1"/>
  <c r="D1193" i="6" a="1"/>
  <c r="D1193" i="6" s="1"/>
  <c r="E1193" i="6" s="1" a="1"/>
  <c r="E1193" i="6" s="1"/>
  <c r="F1193" i="6" a="1"/>
  <c r="F1193" i="6" s="1"/>
  <c r="C1194" i="6" a="1"/>
  <c r="C1194" i="6" s="1"/>
  <c r="D1194" i="6" a="1"/>
  <c r="D1194" i="6" s="1"/>
  <c r="E1194" i="6" s="1" a="1"/>
  <c r="E1194" i="6" s="1"/>
  <c r="F1194" i="6" a="1"/>
  <c r="F1194" i="6" s="1"/>
  <c r="C1195" i="6" a="1"/>
  <c r="C1195" i="6" s="1"/>
  <c r="D1195" i="6" a="1"/>
  <c r="D1195" i="6" s="1"/>
  <c r="E1195" i="6" s="1" a="1"/>
  <c r="E1195" i="6" s="1"/>
  <c r="F1195" i="6" a="1"/>
  <c r="F1195" i="6" s="1"/>
  <c r="C1196" i="6" a="1"/>
  <c r="C1196" i="6" s="1"/>
  <c r="D1196" i="6" a="1"/>
  <c r="D1196" i="6" s="1"/>
  <c r="E1196" i="6" s="1" a="1"/>
  <c r="E1196" i="6" s="1"/>
  <c r="F1196" i="6" a="1"/>
  <c r="F1196" i="6" s="1"/>
  <c r="C1197" i="6" a="1"/>
  <c r="C1197" i="6" s="1"/>
  <c r="D1197" i="6" a="1"/>
  <c r="D1197" i="6" s="1"/>
  <c r="E1197" i="6" s="1" a="1"/>
  <c r="E1197" i="6" s="1"/>
  <c r="F1197" i="6" a="1"/>
  <c r="F1197" i="6" s="1"/>
  <c r="C1198" i="6" a="1"/>
  <c r="C1198" i="6" s="1"/>
  <c r="D1198" i="6" a="1"/>
  <c r="D1198" i="6" s="1"/>
  <c r="E1198" i="6" s="1" a="1"/>
  <c r="E1198" i="6" s="1"/>
  <c r="F1198" i="6" a="1"/>
  <c r="F1198" i="6" s="1"/>
  <c r="C1199" i="6" a="1"/>
  <c r="C1199" i="6" s="1"/>
  <c r="D1199" i="6" a="1"/>
  <c r="D1199" i="6" s="1"/>
  <c r="E1199" i="6" s="1" a="1"/>
  <c r="E1199" i="6" s="1"/>
  <c r="F1199" i="6" a="1"/>
  <c r="F1199" i="6" s="1"/>
  <c r="C1200" i="6" a="1"/>
  <c r="C1200" i="6" s="1"/>
  <c r="D1200" i="6" a="1"/>
  <c r="D1200" i="6" s="1"/>
  <c r="E1200" i="6" s="1" a="1"/>
  <c r="E1200" i="6" s="1"/>
  <c r="F1200" i="6" a="1"/>
  <c r="F1200" i="6" s="1"/>
  <c r="C1201" i="6" a="1"/>
  <c r="C1201" i="6" s="1"/>
  <c r="D1201" i="6" a="1"/>
  <c r="D1201" i="6" s="1"/>
  <c r="E1201" i="6" s="1" a="1"/>
  <c r="E1201" i="6" s="1"/>
  <c r="F1201" i="6" a="1"/>
  <c r="F1201" i="6" s="1"/>
  <c r="C1202" i="6" a="1"/>
  <c r="C1202" i="6" s="1"/>
  <c r="D1202" i="6" a="1"/>
  <c r="D1202" i="6" s="1"/>
  <c r="E1202" i="6" s="1" a="1"/>
  <c r="E1202" i="6" s="1"/>
  <c r="F1202" i="6" a="1"/>
  <c r="F1202" i="6" s="1"/>
  <c r="C1203" i="6" a="1"/>
  <c r="C1203" i="6" s="1"/>
  <c r="D1203" i="6" a="1"/>
  <c r="D1203" i="6" s="1"/>
  <c r="E1203" i="6" s="1" a="1"/>
  <c r="E1203" i="6" s="1"/>
  <c r="F1203" i="6" a="1"/>
  <c r="F1203" i="6" s="1"/>
  <c r="C1204" i="6" a="1"/>
  <c r="C1204" i="6" s="1"/>
  <c r="D1204" i="6" a="1"/>
  <c r="D1204" i="6" s="1"/>
  <c r="E1204" i="6" s="1" a="1"/>
  <c r="E1204" i="6" s="1"/>
  <c r="F1204" i="6" a="1"/>
  <c r="F1204" i="6" s="1"/>
  <c r="C1205" i="6" a="1"/>
  <c r="C1205" i="6" s="1"/>
  <c r="D1205" i="6" a="1"/>
  <c r="D1205" i="6" s="1"/>
  <c r="E1205" i="6" s="1" a="1"/>
  <c r="E1205" i="6" s="1"/>
  <c r="F1205" i="6" a="1"/>
  <c r="F1205" i="6" s="1"/>
  <c r="C1206" i="6" a="1"/>
  <c r="C1206" i="6" s="1"/>
  <c r="D1206" i="6" a="1"/>
  <c r="D1206" i="6" s="1"/>
  <c r="E1206" i="6" s="1" a="1"/>
  <c r="E1206" i="6" s="1"/>
  <c r="F1206" i="6" a="1"/>
  <c r="F1206" i="6" s="1"/>
  <c r="C1207" i="6" a="1"/>
  <c r="C1207" i="6" s="1"/>
  <c r="D1207" i="6" a="1"/>
  <c r="D1207" i="6" s="1"/>
  <c r="E1207" i="6" s="1" a="1"/>
  <c r="E1207" i="6" s="1"/>
  <c r="F1207" i="6" a="1"/>
  <c r="F1207" i="6" s="1"/>
  <c r="C1208" i="6" a="1"/>
  <c r="C1208" i="6" s="1"/>
  <c r="D1208" i="6" a="1"/>
  <c r="D1208" i="6" s="1"/>
  <c r="E1208" i="6" s="1" a="1"/>
  <c r="E1208" i="6" s="1"/>
  <c r="F1208" i="6" a="1"/>
  <c r="F1208" i="6" s="1"/>
  <c r="C1209" i="6" a="1"/>
  <c r="C1209" i="6" s="1"/>
  <c r="D1209" i="6" a="1"/>
  <c r="D1209" i="6" s="1"/>
  <c r="E1209" i="6" s="1" a="1"/>
  <c r="E1209" i="6" s="1"/>
  <c r="F1209" i="6" a="1"/>
  <c r="F1209" i="6" s="1"/>
  <c r="C1210" i="6" a="1"/>
  <c r="C1210" i="6" s="1"/>
  <c r="D1210" i="6" a="1"/>
  <c r="D1210" i="6" s="1"/>
  <c r="E1210" i="6" s="1" a="1"/>
  <c r="E1210" i="6" s="1"/>
  <c r="F1210" i="6" a="1"/>
  <c r="F1210" i="6" s="1"/>
  <c r="C1211" i="6" a="1"/>
  <c r="C1211" i="6" s="1"/>
  <c r="D1211" i="6" a="1"/>
  <c r="D1211" i="6" s="1"/>
  <c r="E1211" i="6" s="1" a="1"/>
  <c r="E1211" i="6" s="1"/>
  <c r="F1211" i="6" a="1"/>
  <c r="F1211" i="6" s="1"/>
  <c r="C1212" i="6" a="1"/>
  <c r="C1212" i="6" s="1"/>
  <c r="D1212" i="6" a="1"/>
  <c r="D1212" i="6" s="1"/>
  <c r="E1212" i="6" s="1" a="1"/>
  <c r="E1212" i="6" s="1"/>
  <c r="F1212" i="6" a="1"/>
  <c r="F1212" i="6" s="1"/>
  <c r="C1213" i="6" a="1"/>
  <c r="C1213" i="6" s="1"/>
  <c r="D1213" i="6" a="1"/>
  <c r="D1213" i="6" s="1"/>
  <c r="E1213" i="6" s="1" a="1"/>
  <c r="E1213" i="6" s="1"/>
  <c r="F1213" i="6" a="1"/>
  <c r="F1213" i="6" s="1"/>
  <c r="C1214" i="6" a="1"/>
  <c r="C1214" i="6" s="1"/>
  <c r="D1214" i="6" a="1"/>
  <c r="D1214" i="6" s="1"/>
  <c r="E1214" i="6" s="1" a="1"/>
  <c r="E1214" i="6" s="1"/>
  <c r="F1214" i="6" a="1"/>
  <c r="F1214" i="6" s="1"/>
  <c r="C1215" i="6" a="1"/>
  <c r="C1215" i="6" s="1"/>
  <c r="D1215" i="6" a="1"/>
  <c r="D1215" i="6" s="1"/>
  <c r="E1215" i="6" s="1" a="1"/>
  <c r="E1215" i="6" s="1"/>
  <c r="F1215" i="6" a="1"/>
  <c r="F1215" i="6" s="1"/>
  <c r="C1216" i="6" a="1"/>
  <c r="C1216" i="6" s="1"/>
  <c r="D1216" i="6" a="1"/>
  <c r="D1216" i="6" s="1"/>
  <c r="E1216" i="6" s="1" a="1"/>
  <c r="E1216" i="6" s="1"/>
  <c r="F1216" i="6" a="1"/>
  <c r="F1216" i="6" s="1"/>
  <c r="C1217" i="6" a="1"/>
  <c r="C1217" i="6" s="1"/>
  <c r="D1217" i="6" a="1"/>
  <c r="D1217" i="6" s="1"/>
  <c r="E1217" i="6" s="1" a="1"/>
  <c r="E1217" i="6" s="1"/>
  <c r="F1217" i="6" a="1"/>
  <c r="F1217" i="6" s="1"/>
  <c r="C1218" i="6" a="1"/>
  <c r="C1218" i="6" s="1"/>
  <c r="D1218" i="6" a="1"/>
  <c r="D1218" i="6" s="1"/>
  <c r="E1218" i="6" s="1" a="1"/>
  <c r="E1218" i="6" s="1"/>
  <c r="F1218" i="6" a="1"/>
  <c r="F1218" i="6" s="1"/>
  <c r="C1219" i="6" a="1"/>
  <c r="C1219" i="6" s="1"/>
  <c r="D1219" i="6" a="1"/>
  <c r="D1219" i="6" s="1"/>
  <c r="E1219" i="6" s="1" a="1"/>
  <c r="E1219" i="6" s="1"/>
  <c r="F1219" i="6" a="1"/>
  <c r="F1219" i="6" s="1"/>
  <c r="C1220" i="6" a="1"/>
  <c r="C1220" i="6" s="1"/>
  <c r="D1220" i="6" a="1"/>
  <c r="D1220" i="6" s="1"/>
  <c r="E1220" i="6" s="1" a="1"/>
  <c r="E1220" i="6" s="1"/>
  <c r="F1220" i="6" a="1"/>
  <c r="F1220" i="6" s="1"/>
  <c r="C1221" i="6" a="1"/>
  <c r="C1221" i="6" s="1"/>
  <c r="D1221" i="6" a="1"/>
  <c r="D1221" i="6" s="1"/>
  <c r="E1221" i="6" s="1" a="1"/>
  <c r="E1221" i="6" s="1"/>
  <c r="F1221" i="6" a="1"/>
  <c r="F1221" i="6" s="1"/>
  <c r="C1222" i="6" a="1"/>
  <c r="C1222" i="6" s="1"/>
  <c r="D1222" i="6" a="1"/>
  <c r="D1222" i="6" s="1"/>
  <c r="E1222" i="6" s="1" a="1"/>
  <c r="E1222" i="6" s="1"/>
  <c r="F1222" i="6" a="1"/>
  <c r="F1222" i="6" s="1"/>
  <c r="C1223" i="6" a="1"/>
  <c r="C1223" i="6" s="1"/>
  <c r="D1223" i="6" a="1"/>
  <c r="D1223" i="6" s="1"/>
  <c r="E1223" i="6" s="1" a="1"/>
  <c r="E1223" i="6" s="1"/>
  <c r="F1223" i="6" a="1"/>
  <c r="F1223" i="6" s="1"/>
  <c r="C1224" i="6" a="1"/>
  <c r="C1224" i="6" s="1"/>
  <c r="D1224" i="6" a="1"/>
  <c r="D1224" i="6" s="1"/>
  <c r="E1224" i="6" s="1" a="1"/>
  <c r="E1224" i="6" s="1"/>
  <c r="F1224" i="6" a="1"/>
  <c r="F1224" i="6" s="1"/>
  <c r="C1225" i="6" a="1"/>
  <c r="C1225" i="6" s="1"/>
  <c r="D1225" i="6" a="1"/>
  <c r="D1225" i="6" s="1"/>
  <c r="E1225" i="6" s="1" a="1"/>
  <c r="E1225" i="6" s="1"/>
  <c r="F1225" i="6" a="1"/>
  <c r="F1225" i="6" s="1"/>
  <c r="C1226" i="6" a="1"/>
  <c r="C1226" i="6" s="1"/>
  <c r="D1226" i="6" a="1"/>
  <c r="D1226" i="6" s="1"/>
  <c r="E1226" i="6" s="1" a="1"/>
  <c r="E1226" i="6" s="1"/>
  <c r="F1226" i="6" a="1"/>
  <c r="F1226" i="6" s="1"/>
  <c r="C1227" i="6" a="1"/>
  <c r="C1227" i="6" s="1"/>
  <c r="D1227" i="6" a="1"/>
  <c r="D1227" i="6" s="1"/>
  <c r="E1227" i="6" s="1" a="1"/>
  <c r="E1227" i="6" s="1"/>
  <c r="F1227" i="6" a="1"/>
  <c r="F1227" i="6" s="1"/>
  <c r="C1228" i="6" a="1"/>
  <c r="C1228" i="6" s="1"/>
  <c r="D1228" i="6" a="1"/>
  <c r="D1228" i="6" s="1"/>
  <c r="E1228" i="6" s="1" a="1"/>
  <c r="E1228" i="6" s="1"/>
  <c r="F1228" i="6" a="1"/>
  <c r="F1228" i="6" s="1"/>
  <c r="C1229" i="6" a="1"/>
  <c r="C1229" i="6" s="1"/>
  <c r="D1229" i="6" a="1"/>
  <c r="D1229" i="6" s="1"/>
  <c r="E1229" i="6" s="1" a="1"/>
  <c r="E1229" i="6" s="1"/>
  <c r="F1229" i="6" a="1"/>
  <c r="F1229" i="6" s="1"/>
  <c r="C1230" i="6" a="1"/>
  <c r="C1230" i="6" s="1"/>
  <c r="D1230" i="6" a="1"/>
  <c r="D1230" i="6" s="1"/>
  <c r="E1230" i="6" s="1" a="1"/>
  <c r="E1230" i="6" s="1"/>
  <c r="F1230" i="6" a="1"/>
  <c r="F1230" i="6" s="1"/>
  <c r="C1231" i="6" a="1"/>
  <c r="C1231" i="6" s="1"/>
  <c r="D1231" i="6" a="1"/>
  <c r="D1231" i="6" s="1"/>
  <c r="E1231" i="6" s="1" a="1"/>
  <c r="E1231" i="6" s="1"/>
  <c r="F1231" i="6" a="1"/>
  <c r="F1231" i="6" s="1"/>
  <c r="C1232" i="6" a="1"/>
  <c r="C1232" i="6" s="1"/>
  <c r="D1232" i="6" a="1"/>
  <c r="D1232" i="6" s="1"/>
  <c r="E1232" i="6" s="1" a="1"/>
  <c r="E1232" i="6" s="1"/>
  <c r="F1232" i="6" a="1"/>
  <c r="F1232" i="6" s="1"/>
  <c r="C1233" i="6" a="1"/>
  <c r="C1233" i="6" s="1"/>
  <c r="D1233" i="6" a="1"/>
  <c r="D1233" i="6" s="1"/>
  <c r="E1233" i="6" s="1" a="1"/>
  <c r="E1233" i="6" s="1"/>
  <c r="F1233" i="6" a="1"/>
  <c r="F1233" i="6" s="1"/>
  <c r="C1234" i="6" a="1"/>
  <c r="C1234" i="6" s="1"/>
  <c r="D1234" i="6" a="1"/>
  <c r="D1234" i="6" s="1"/>
  <c r="E1234" i="6" s="1" a="1"/>
  <c r="E1234" i="6" s="1"/>
  <c r="F1234" i="6" a="1"/>
  <c r="F1234" i="6" s="1"/>
  <c r="C1235" i="6" a="1"/>
  <c r="C1235" i="6" s="1"/>
  <c r="D1235" i="6" a="1"/>
  <c r="D1235" i="6" s="1"/>
  <c r="E1235" i="6" s="1" a="1"/>
  <c r="E1235" i="6" s="1"/>
  <c r="F1235" i="6" a="1"/>
  <c r="F1235" i="6" s="1"/>
  <c r="C1236" i="6" a="1"/>
  <c r="C1236" i="6" s="1"/>
  <c r="D1236" i="6" a="1"/>
  <c r="D1236" i="6" s="1"/>
  <c r="E1236" i="6" s="1" a="1"/>
  <c r="E1236" i="6" s="1"/>
  <c r="F1236" i="6" a="1"/>
  <c r="F1236" i="6" s="1"/>
  <c r="C1237" i="6" a="1"/>
  <c r="C1237" i="6" s="1"/>
  <c r="D1237" i="6" a="1"/>
  <c r="D1237" i="6" s="1"/>
  <c r="E1237" i="6" s="1" a="1"/>
  <c r="E1237" i="6" s="1"/>
  <c r="F1237" i="6" a="1"/>
  <c r="F1237" i="6" s="1"/>
  <c r="C1238" i="6" a="1"/>
  <c r="C1238" i="6" s="1"/>
  <c r="D1238" i="6" a="1"/>
  <c r="D1238" i="6" s="1"/>
  <c r="E1238" i="6" s="1" a="1"/>
  <c r="E1238" i="6" s="1"/>
  <c r="F1238" i="6" a="1"/>
  <c r="F1238" i="6" s="1"/>
  <c r="C1239" i="6" a="1"/>
  <c r="C1239" i="6" s="1"/>
  <c r="D1239" i="6" a="1"/>
  <c r="D1239" i="6" s="1"/>
  <c r="E1239" i="6" s="1" a="1"/>
  <c r="E1239" i="6" s="1"/>
  <c r="F1239" i="6" a="1"/>
  <c r="F1239" i="6" s="1"/>
  <c r="C1240" i="6" a="1"/>
  <c r="C1240" i="6" s="1"/>
  <c r="D1240" i="6" a="1"/>
  <c r="D1240" i="6" s="1"/>
  <c r="E1240" i="6" s="1" a="1"/>
  <c r="E1240" i="6" s="1"/>
  <c r="F1240" i="6" a="1"/>
  <c r="F1240" i="6" s="1"/>
  <c r="C1241" i="6" a="1"/>
  <c r="C1241" i="6" s="1"/>
  <c r="D1241" i="6" a="1"/>
  <c r="D1241" i="6" s="1"/>
  <c r="E1241" i="6" s="1" a="1"/>
  <c r="E1241" i="6" s="1"/>
  <c r="F1241" i="6" a="1"/>
  <c r="F1241" i="6" s="1"/>
  <c r="C1242" i="6" a="1"/>
  <c r="C1242" i="6" s="1"/>
  <c r="D1242" i="6" a="1"/>
  <c r="D1242" i="6" s="1"/>
  <c r="E1242" i="6" s="1" a="1"/>
  <c r="E1242" i="6" s="1"/>
  <c r="F1242" i="6" a="1"/>
  <c r="F1242" i="6" s="1"/>
  <c r="C1243" i="6" a="1"/>
  <c r="C1243" i="6" s="1"/>
  <c r="D1243" i="6" a="1"/>
  <c r="D1243" i="6" s="1"/>
  <c r="E1243" i="6" s="1" a="1"/>
  <c r="E1243" i="6" s="1"/>
  <c r="F1243" i="6" a="1"/>
  <c r="F1243" i="6" s="1"/>
  <c r="C1244" i="6" a="1"/>
  <c r="C1244" i="6" s="1"/>
  <c r="D1244" i="6" a="1"/>
  <c r="D1244" i="6" s="1"/>
  <c r="E1244" i="6" s="1" a="1"/>
  <c r="E1244" i="6" s="1"/>
  <c r="F1244" i="6" a="1"/>
  <c r="F1244" i="6" s="1"/>
  <c r="C1245" i="6" a="1"/>
  <c r="C1245" i="6" s="1"/>
  <c r="D1245" i="6" a="1"/>
  <c r="D1245" i="6" s="1"/>
  <c r="E1245" i="6" s="1" a="1"/>
  <c r="E1245" i="6" s="1"/>
  <c r="F1245" i="6" a="1"/>
  <c r="F1245" i="6" s="1"/>
  <c r="C1246" i="6" a="1"/>
  <c r="C1246" i="6" s="1"/>
  <c r="D1246" i="6" a="1"/>
  <c r="D1246" i="6" s="1"/>
  <c r="E1246" i="6" s="1" a="1"/>
  <c r="E1246" i="6" s="1"/>
  <c r="F1246" i="6" a="1"/>
  <c r="F1246" i="6" s="1"/>
  <c r="C1247" i="6" a="1"/>
  <c r="C1247" i="6" s="1"/>
  <c r="D1247" i="6" a="1"/>
  <c r="D1247" i="6" s="1"/>
  <c r="E1247" i="6" s="1" a="1"/>
  <c r="E1247" i="6" s="1"/>
  <c r="F1247" i="6" a="1"/>
  <c r="F1247" i="6" s="1"/>
  <c r="C1248" i="6" a="1"/>
  <c r="C1248" i="6" s="1"/>
  <c r="D1248" i="6" a="1"/>
  <c r="D1248" i="6" s="1"/>
  <c r="E1248" i="6" s="1" a="1"/>
  <c r="E1248" i="6" s="1"/>
  <c r="F1248" i="6" a="1"/>
  <c r="F1248" i="6" s="1"/>
  <c r="C1249" i="6" a="1"/>
  <c r="C1249" i="6" s="1"/>
  <c r="D1249" i="6" a="1"/>
  <c r="D1249" i="6" s="1"/>
  <c r="E1249" i="6" s="1" a="1"/>
  <c r="E1249" i="6" s="1"/>
  <c r="F1249" i="6" a="1"/>
  <c r="F1249" i="6" s="1"/>
  <c r="C1250" i="6" a="1"/>
  <c r="C1250" i="6" s="1"/>
  <c r="D1250" i="6" a="1"/>
  <c r="D1250" i="6" s="1"/>
  <c r="E1250" i="6" s="1" a="1"/>
  <c r="E1250" i="6" s="1"/>
  <c r="F1250" i="6" a="1"/>
  <c r="F1250" i="6" s="1"/>
  <c r="C1251" i="6" a="1"/>
  <c r="C1251" i="6" s="1"/>
  <c r="D1251" i="6" a="1"/>
  <c r="D1251" i="6" s="1"/>
  <c r="E1251" i="6" s="1" a="1"/>
  <c r="E1251" i="6" s="1"/>
  <c r="F1251" i="6" a="1"/>
  <c r="F1251" i="6" s="1"/>
  <c r="C1252" i="6" a="1"/>
  <c r="C1252" i="6" s="1"/>
  <c r="D1252" i="6" a="1"/>
  <c r="D1252" i="6" s="1"/>
  <c r="E1252" i="6" s="1" a="1"/>
  <c r="E1252" i="6" s="1"/>
  <c r="F1252" i="6" a="1"/>
  <c r="F1252" i="6" s="1"/>
  <c r="C1253" i="6" a="1"/>
  <c r="C1253" i="6" s="1"/>
  <c r="D1253" i="6" a="1"/>
  <c r="D1253" i="6" s="1"/>
  <c r="E1253" i="6" s="1" a="1"/>
  <c r="E1253" i="6" s="1"/>
  <c r="F1253" i="6" a="1"/>
  <c r="F1253" i="6" s="1"/>
  <c r="C1254" i="6" a="1"/>
  <c r="C1254" i="6" s="1"/>
  <c r="D1254" i="6" a="1"/>
  <c r="D1254" i="6" s="1"/>
  <c r="E1254" i="6" s="1" a="1"/>
  <c r="E1254" i="6" s="1"/>
  <c r="F1254" i="6" a="1"/>
  <c r="F1254" i="6" s="1"/>
  <c r="C1255" i="6" a="1"/>
  <c r="C1255" i="6" s="1"/>
  <c r="D1255" i="6" a="1"/>
  <c r="D1255" i="6" s="1"/>
  <c r="E1255" i="6" s="1" a="1"/>
  <c r="E1255" i="6" s="1"/>
  <c r="F1255" i="6" a="1"/>
  <c r="F1255" i="6" s="1"/>
  <c r="C1256" i="6" a="1"/>
  <c r="C1256" i="6" s="1"/>
  <c r="D1256" i="6" a="1"/>
  <c r="D1256" i="6" s="1"/>
  <c r="E1256" i="6" s="1" a="1"/>
  <c r="E1256" i="6" s="1"/>
  <c r="F1256" i="6" a="1"/>
  <c r="F1256" i="6" s="1"/>
  <c r="C1257" i="6" a="1"/>
  <c r="C1257" i="6" s="1"/>
  <c r="D1257" i="6" a="1"/>
  <c r="D1257" i="6" s="1"/>
  <c r="E1257" i="6" s="1" a="1"/>
  <c r="E1257" i="6" s="1"/>
  <c r="F1257" i="6" a="1"/>
  <c r="F1257" i="6" s="1"/>
  <c r="C1258" i="6" a="1"/>
  <c r="C1258" i="6" s="1"/>
  <c r="D1258" i="6" a="1"/>
  <c r="D1258" i="6" s="1"/>
  <c r="E1258" i="6" s="1" a="1"/>
  <c r="E1258" i="6" s="1"/>
  <c r="F1258" i="6" a="1"/>
  <c r="F1258" i="6" s="1"/>
  <c r="C1259" i="6" a="1"/>
  <c r="C1259" i="6" s="1"/>
  <c r="D1259" i="6" a="1"/>
  <c r="D1259" i="6" s="1"/>
  <c r="E1259" i="6" s="1" a="1"/>
  <c r="E1259" i="6" s="1"/>
  <c r="F1259" i="6" a="1"/>
  <c r="F1259" i="6" s="1"/>
  <c r="C1260" i="6" a="1"/>
  <c r="C1260" i="6" s="1"/>
  <c r="D1260" i="6" a="1"/>
  <c r="D1260" i="6" s="1"/>
  <c r="E1260" i="6" s="1" a="1"/>
  <c r="E1260" i="6" s="1"/>
  <c r="F1260" i="6" a="1"/>
  <c r="F1260" i="6" s="1"/>
  <c r="C1261" i="6" a="1"/>
  <c r="C1261" i="6" s="1"/>
  <c r="D1261" i="6" a="1"/>
  <c r="D1261" i="6" s="1"/>
  <c r="E1261" i="6" s="1" a="1"/>
  <c r="E1261" i="6" s="1"/>
  <c r="F1261" i="6" a="1"/>
  <c r="F1261" i="6" s="1"/>
  <c r="C1262" i="6" a="1"/>
  <c r="C1262" i="6" s="1"/>
  <c r="D1262" i="6" a="1"/>
  <c r="D1262" i="6" s="1"/>
  <c r="E1262" i="6" s="1" a="1"/>
  <c r="E1262" i="6" s="1"/>
  <c r="F1262" i="6" a="1"/>
  <c r="F1262" i="6" s="1"/>
  <c r="C1263" i="6" a="1"/>
  <c r="C1263" i="6" s="1"/>
  <c r="D1263" i="6" a="1"/>
  <c r="D1263" i="6" s="1"/>
  <c r="E1263" i="6" s="1" a="1"/>
  <c r="E1263" i="6" s="1"/>
  <c r="F1263" i="6" a="1"/>
  <c r="F1263" i="6" s="1"/>
  <c r="C1264" i="6" a="1"/>
  <c r="C1264" i="6" s="1"/>
  <c r="D1264" i="6" a="1"/>
  <c r="D1264" i="6" s="1"/>
  <c r="E1264" i="6" s="1" a="1"/>
  <c r="E1264" i="6" s="1"/>
  <c r="F1264" i="6" a="1"/>
  <c r="F1264" i="6" s="1"/>
  <c r="C1265" i="6" a="1"/>
  <c r="C1265" i="6" s="1"/>
  <c r="D1265" i="6" a="1"/>
  <c r="D1265" i="6" s="1"/>
  <c r="E1265" i="6" s="1" a="1"/>
  <c r="E1265" i="6" s="1"/>
  <c r="F1265" i="6" a="1"/>
  <c r="F1265" i="6" s="1"/>
  <c r="C1266" i="6" a="1"/>
  <c r="C1266" i="6" s="1"/>
  <c r="D1266" i="6" a="1"/>
  <c r="D1266" i="6" s="1"/>
  <c r="E1266" i="6" s="1" a="1"/>
  <c r="E1266" i="6" s="1"/>
  <c r="F1266" i="6" a="1"/>
  <c r="F1266" i="6" s="1"/>
  <c r="C1267" i="6" a="1"/>
  <c r="C1267" i="6" s="1"/>
  <c r="D1267" i="6" a="1"/>
  <c r="D1267" i="6" s="1"/>
  <c r="E1267" i="6" s="1" a="1"/>
  <c r="E1267" i="6" s="1"/>
  <c r="F1267" i="6" a="1"/>
  <c r="F1267" i="6" s="1"/>
  <c r="C1268" i="6" a="1"/>
  <c r="C1268" i="6" s="1"/>
  <c r="D1268" i="6" a="1"/>
  <c r="D1268" i="6" s="1"/>
  <c r="E1268" i="6" s="1" a="1"/>
  <c r="E1268" i="6" s="1"/>
  <c r="F1268" i="6" a="1"/>
  <c r="F1268" i="6" s="1"/>
  <c r="C1269" i="6" a="1"/>
  <c r="C1269" i="6" s="1"/>
  <c r="D1269" i="6" a="1"/>
  <c r="D1269" i="6" s="1"/>
  <c r="E1269" i="6" s="1" a="1"/>
  <c r="E1269" i="6" s="1"/>
  <c r="F1269" i="6" a="1"/>
  <c r="F1269" i="6" s="1"/>
  <c r="C1270" i="6" a="1"/>
  <c r="C1270" i="6" s="1"/>
  <c r="D1270" i="6" a="1"/>
  <c r="D1270" i="6" s="1"/>
  <c r="E1270" i="6" s="1" a="1"/>
  <c r="E1270" i="6" s="1"/>
  <c r="F1270" i="6" a="1"/>
  <c r="F1270" i="6" s="1"/>
  <c r="C1271" i="6" a="1"/>
  <c r="C1271" i="6" s="1"/>
  <c r="D1271" i="6" a="1"/>
  <c r="D1271" i="6" s="1"/>
  <c r="E1271" i="6" s="1" a="1"/>
  <c r="E1271" i="6" s="1"/>
  <c r="F1271" i="6" a="1"/>
  <c r="F1271" i="6" s="1"/>
  <c r="C1272" i="6" a="1"/>
  <c r="C1272" i="6" s="1"/>
  <c r="D1272" i="6" a="1"/>
  <c r="D1272" i="6" s="1"/>
  <c r="E1272" i="6" s="1" a="1"/>
  <c r="E1272" i="6" s="1"/>
  <c r="F1272" i="6" a="1"/>
  <c r="F1272" i="6" s="1"/>
  <c r="C1273" i="6" a="1"/>
  <c r="C1273" i="6" s="1"/>
  <c r="D1273" i="6" a="1"/>
  <c r="D1273" i="6" s="1"/>
  <c r="E1273" i="6" s="1" a="1"/>
  <c r="E1273" i="6" s="1"/>
  <c r="F1273" i="6" a="1"/>
  <c r="F1273" i="6" s="1"/>
  <c r="C1274" i="6" a="1"/>
  <c r="C1274" i="6" s="1"/>
  <c r="D1274" i="6" a="1"/>
  <c r="D1274" i="6" s="1"/>
  <c r="E1274" i="6" s="1" a="1"/>
  <c r="E1274" i="6" s="1"/>
  <c r="F1274" i="6" a="1"/>
  <c r="F1274" i="6" s="1"/>
  <c r="C1275" i="6" a="1"/>
  <c r="C1275" i="6" s="1"/>
  <c r="D1275" i="6" a="1"/>
  <c r="D1275" i="6" s="1"/>
  <c r="E1275" i="6" s="1" a="1"/>
  <c r="E1275" i="6" s="1"/>
  <c r="F1275" i="6" a="1"/>
  <c r="F1275" i="6" s="1"/>
  <c r="C1276" i="6" a="1"/>
  <c r="C1276" i="6" s="1"/>
  <c r="D1276" i="6" a="1"/>
  <c r="D1276" i="6" s="1"/>
  <c r="E1276" i="6" s="1" a="1"/>
  <c r="E1276" i="6" s="1"/>
  <c r="F1276" i="6" a="1"/>
  <c r="F1276" i="6" s="1"/>
  <c r="C1277" i="6" a="1"/>
  <c r="C1277" i="6" s="1"/>
  <c r="D1277" i="6" a="1"/>
  <c r="D1277" i="6" s="1"/>
  <c r="E1277" i="6" s="1" a="1"/>
  <c r="E1277" i="6" s="1"/>
  <c r="F1277" i="6" a="1"/>
  <c r="F1277" i="6" s="1"/>
  <c r="C1278" i="6" a="1"/>
  <c r="C1278" i="6" s="1"/>
  <c r="D1278" i="6" a="1"/>
  <c r="D1278" i="6" s="1"/>
  <c r="E1278" i="6" s="1" a="1"/>
  <c r="E1278" i="6" s="1"/>
  <c r="F1278" i="6" a="1"/>
  <c r="F1278" i="6" s="1"/>
  <c r="C1279" i="6" a="1"/>
  <c r="C1279" i="6" s="1"/>
  <c r="D1279" i="6" a="1"/>
  <c r="D1279" i="6" s="1"/>
  <c r="E1279" i="6" s="1" a="1"/>
  <c r="E1279" i="6" s="1"/>
  <c r="F1279" i="6" a="1"/>
  <c r="F1279" i="6" s="1"/>
  <c r="C1280" i="6" a="1"/>
  <c r="C1280" i="6" s="1"/>
  <c r="D1280" i="6" a="1"/>
  <c r="D1280" i="6" s="1"/>
  <c r="E1280" i="6" s="1" a="1"/>
  <c r="E1280" i="6" s="1"/>
  <c r="F1280" i="6" a="1"/>
  <c r="F1280" i="6" s="1"/>
  <c r="C1281" i="6" a="1"/>
  <c r="C1281" i="6" s="1"/>
  <c r="D1281" i="6" a="1"/>
  <c r="D1281" i="6" s="1"/>
  <c r="E1281" i="6" s="1" a="1"/>
  <c r="E1281" i="6" s="1"/>
  <c r="F1281" i="6" a="1"/>
  <c r="F1281" i="6" s="1"/>
  <c r="C1282" i="6" a="1"/>
  <c r="C1282" i="6" s="1"/>
  <c r="D1282" i="6" a="1"/>
  <c r="D1282" i="6" s="1"/>
  <c r="E1282" i="6" s="1" a="1"/>
  <c r="E1282" i="6" s="1"/>
  <c r="F1282" i="6" a="1"/>
  <c r="F1282" i="6" s="1"/>
  <c r="C1283" i="6" a="1"/>
  <c r="C1283" i="6" s="1"/>
  <c r="D1283" i="6" a="1"/>
  <c r="D1283" i="6" s="1"/>
  <c r="E1283" i="6" s="1" a="1"/>
  <c r="E1283" i="6" s="1"/>
  <c r="F1283" i="6" a="1"/>
  <c r="F1283" i="6" s="1"/>
  <c r="C1284" i="6" a="1"/>
  <c r="C1284" i="6" s="1"/>
  <c r="D1284" i="6" a="1"/>
  <c r="D1284" i="6" s="1"/>
  <c r="E1284" i="6" s="1" a="1"/>
  <c r="E1284" i="6" s="1"/>
  <c r="F1284" i="6" a="1"/>
  <c r="F1284" i="6" s="1"/>
  <c r="C1285" i="6" a="1"/>
  <c r="C1285" i="6" s="1"/>
  <c r="D1285" i="6" a="1"/>
  <c r="D1285" i="6" s="1"/>
  <c r="E1285" i="6" s="1" a="1"/>
  <c r="E1285" i="6" s="1"/>
  <c r="F1285" i="6" a="1"/>
  <c r="F1285" i="6" s="1"/>
  <c r="C1286" i="6" a="1"/>
  <c r="C1286" i="6" s="1"/>
  <c r="D1286" i="6" a="1"/>
  <c r="D1286" i="6" s="1"/>
  <c r="E1286" i="6" s="1" a="1"/>
  <c r="E1286" i="6" s="1"/>
  <c r="F1286" i="6" a="1"/>
  <c r="F1286" i="6" s="1"/>
  <c r="C1287" i="6" a="1"/>
  <c r="C1287" i="6" s="1"/>
  <c r="D1287" i="6" a="1"/>
  <c r="D1287" i="6" s="1"/>
  <c r="E1287" i="6" s="1" a="1"/>
  <c r="E1287" i="6" s="1"/>
  <c r="F1287" i="6" a="1"/>
  <c r="F1287" i="6" s="1"/>
  <c r="C1288" i="6" a="1"/>
  <c r="C1288" i="6" s="1"/>
  <c r="D1288" i="6" a="1"/>
  <c r="D1288" i="6" s="1"/>
  <c r="E1288" i="6" s="1" a="1"/>
  <c r="E1288" i="6" s="1"/>
  <c r="F1288" i="6" a="1"/>
  <c r="F1288" i="6" s="1"/>
  <c r="C1289" i="6" a="1"/>
  <c r="C1289" i="6" s="1"/>
  <c r="D1289" i="6" a="1"/>
  <c r="D1289" i="6" s="1"/>
  <c r="E1289" i="6" s="1" a="1"/>
  <c r="E1289" i="6" s="1"/>
  <c r="F1289" i="6" a="1"/>
  <c r="F1289" i="6" s="1"/>
  <c r="C1290" i="6" a="1"/>
  <c r="C1290" i="6" s="1"/>
  <c r="D1290" i="6" a="1"/>
  <c r="D1290" i="6" s="1"/>
  <c r="E1290" i="6" s="1" a="1"/>
  <c r="E1290" i="6" s="1"/>
  <c r="F1290" i="6" a="1"/>
  <c r="F1290" i="6" s="1"/>
  <c r="C1291" i="6" a="1"/>
  <c r="C1291" i="6" s="1"/>
  <c r="D1291" i="6" a="1"/>
  <c r="D1291" i="6" s="1"/>
  <c r="E1291" i="6" s="1" a="1"/>
  <c r="E1291" i="6" s="1"/>
  <c r="F1291" i="6" a="1"/>
  <c r="F1291" i="6" s="1"/>
  <c r="C1292" i="6" a="1"/>
  <c r="C1292" i="6" s="1"/>
  <c r="D1292" i="6" a="1"/>
  <c r="D1292" i="6" s="1"/>
  <c r="E1292" i="6" s="1" a="1"/>
  <c r="E1292" i="6" s="1"/>
  <c r="F1292" i="6" a="1"/>
  <c r="F1292" i="6" s="1"/>
  <c r="C1293" i="6" a="1"/>
  <c r="C1293" i="6" s="1"/>
  <c r="D1293" i="6" a="1"/>
  <c r="D1293" i="6" s="1"/>
  <c r="E1293" i="6" s="1" a="1"/>
  <c r="E1293" i="6" s="1"/>
  <c r="F1293" i="6" a="1"/>
  <c r="F1293" i="6" s="1"/>
  <c r="C1294" i="6" a="1"/>
  <c r="C1294" i="6" s="1"/>
  <c r="D1294" i="6" a="1"/>
  <c r="D1294" i="6" s="1"/>
  <c r="E1294" i="6" s="1" a="1"/>
  <c r="E1294" i="6" s="1"/>
  <c r="F1294" i="6" a="1"/>
  <c r="F1294" i="6" s="1"/>
  <c r="C1295" i="6" a="1"/>
  <c r="C1295" i="6" s="1"/>
  <c r="D1295" i="6" a="1"/>
  <c r="D1295" i="6" s="1"/>
  <c r="E1295" i="6" s="1" a="1"/>
  <c r="E1295" i="6" s="1"/>
  <c r="F1295" i="6" a="1"/>
  <c r="F1295" i="6" s="1"/>
  <c r="C1296" i="6" a="1"/>
  <c r="C1296" i="6" s="1"/>
  <c r="D1296" i="6" a="1"/>
  <c r="D1296" i="6" s="1"/>
  <c r="E1296" i="6" s="1" a="1"/>
  <c r="E1296" i="6" s="1"/>
  <c r="F1296" i="6" a="1"/>
  <c r="F1296" i="6" s="1"/>
  <c r="C1297" i="6" a="1"/>
  <c r="C1297" i="6" s="1"/>
  <c r="D1297" i="6" a="1"/>
  <c r="D1297" i="6" s="1"/>
  <c r="E1297" i="6" s="1" a="1"/>
  <c r="E1297" i="6" s="1"/>
  <c r="F1297" i="6" a="1"/>
  <c r="F1297" i="6" s="1"/>
  <c r="C1298" i="6" a="1"/>
  <c r="C1298" i="6" s="1"/>
  <c r="D1298" i="6" a="1"/>
  <c r="D1298" i="6" s="1"/>
  <c r="E1298" i="6" s="1" a="1"/>
  <c r="E1298" i="6" s="1"/>
  <c r="F1298" i="6" a="1"/>
  <c r="F1298" i="6" s="1"/>
  <c r="C1299" i="6" a="1"/>
  <c r="C1299" i="6" s="1"/>
  <c r="D1299" i="6" a="1"/>
  <c r="D1299" i="6" s="1"/>
  <c r="E1299" i="6" s="1" a="1"/>
  <c r="E1299" i="6" s="1"/>
  <c r="F1299" i="6" a="1"/>
  <c r="F1299" i="6" s="1"/>
  <c r="C1300" i="6" a="1"/>
  <c r="C1300" i="6" s="1"/>
  <c r="D1300" i="6" a="1"/>
  <c r="D1300" i="6" s="1"/>
  <c r="E1300" i="6" s="1" a="1"/>
  <c r="E1300" i="6" s="1"/>
  <c r="F1300" i="6" a="1"/>
  <c r="F1300" i="6" s="1"/>
  <c r="C1301" i="6" a="1"/>
  <c r="C1301" i="6" s="1"/>
  <c r="D1301" i="6" a="1"/>
  <c r="D1301" i="6" s="1"/>
  <c r="E1301" i="6" s="1" a="1"/>
  <c r="E1301" i="6" s="1"/>
  <c r="F1301" i="6" a="1"/>
  <c r="F1301" i="6" s="1"/>
  <c r="C1302" i="6" a="1"/>
  <c r="C1302" i="6" s="1"/>
  <c r="D1302" i="6" a="1"/>
  <c r="D1302" i="6" s="1"/>
  <c r="E1302" i="6" s="1" a="1"/>
  <c r="E1302" i="6" s="1"/>
  <c r="F1302" i="6" a="1"/>
  <c r="F1302" i="6" s="1"/>
  <c r="C1303" i="6" a="1"/>
  <c r="C1303" i="6" s="1"/>
  <c r="D1303" i="6" a="1"/>
  <c r="D1303" i="6" s="1"/>
  <c r="E1303" i="6" s="1" a="1"/>
  <c r="E1303" i="6" s="1"/>
  <c r="F1303" i="6" a="1"/>
  <c r="F1303" i="6" s="1"/>
  <c r="C1304" i="6" a="1"/>
  <c r="C1304" i="6" s="1"/>
  <c r="D1304" i="6" a="1"/>
  <c r="D1304" i="6" s="1"/>
  <c r="E1304" i="6" s="1" a="1"/>
  <c r="E1304" i="6" s="1"/>
  <c r="F1304" i="6" a="1"/>
  <c r="F1304" i="6" s="1"/>
  <c r="C1305" i="6" a="1"/>
  <c r="C1305" i="6" s="1"/>
  <c r="D1305" i="6" a="1"/>
  <c r="D1305" i="6" s="1"/>
  <c r="E1305" i="6" s="1" a="1"/>
  <c r="E1305" i="6" s="1"/>
  <c r="F1305" i="6" a="1"/>
  <c r="F1305" i="6" s="1"/>
  <c r="C1306" i="6" a="1"/>
  <c r="C1306" i="6" s="1"/>
  <c r="D1306" i="6" a="1"/>
  <c r="D1306" i="6" s="1"/>
  <c r="E1306" i="6" s="1" a="1"/>
  <c r="E1306" i="6" s="1"/>
  <c r="F1306" i="6" a="1"/>
  <c r="F1306" i="6" s="1"/>
  <c r="C1307" i="6" a="1"/>
  <c r="C1307" i="6" s="1"/>
  <c r="D1307" i="6" a="1"/>
  <c r="D1307" i="6" s="1"/>
  <c r="E1307" i="6" s="1" a="1"/>
  <c r="E1307" i="6" s="1"/>
  <c r="F1307" i="6" a="1"/>
  <c r="F1307" i="6" s="1"/>
  <c r="C1308" i="6" a="1"/>
  <c r="C1308" i="6" s="1"/>
  <c r="D1308" i="6" a="1"/>
  <c r="D1308" i="6" s="1"/>
  <c r="E1308" i="6" s="1" a="1"/>
  <c r="E1308" i="6" s="1"/>
  <c r="F1308" i="6" a="1"/>
  <c r="F1308" i="6" s="1"/>
  <c r="C1309" i="6" a="1"/>
  <c r="C1309" i="6" s="1"/>
  <c r="D1309" i="6" a="1"/>
  <c r="D1309" i="6" s="1"/>
  <c r="E1309" i="6" s="1" a="1"/>
  <c r="E1309" i="6" s="1"/>
  <c r="F1309" i="6" a="1"/>
  <c r="F1309" i="6" s="1"/>
  <c r="C1310" i="6" a="1"/>
  <c r="C1310" i="6" s="1"/>
  <c r="D1310" i="6" a="1"/>
  <c r="D1310" i="6" s="1"/>
  <c r="E1310" i="6" s="1" a="1"/>
  <c r="E1310" i="6" s="1"/>
  <c r="F1310" i="6" a="1"/>
  <c r="F1310" i="6" s="1"/>
  <c r="C1311" i="6" a="1"/>
  <c r="C1311" i="6" s="1"/>
  <c r="D1311" i="6" a="1"/>
  <c r="D1311" i="6" s="1"/>
  <c r="E1311" i="6" s="1" a="1"/>
  <c r="E1311" i="6" s="1"/>
  <c r="F1311" i="6" a="1"/>
  <c r="F1311" i="6" s="1"/>
  <c r="C1312" i="6" a="1"/>
  <c r="C1312" i="6" s="1"/>
  <c r="D1312" i="6" a="1"/>
  <c r="D1312" i="6" s="1"/>
  <c r="E1312" i="6" s="1" a="1"/>
  <c r="E1312" i="6" s="1"/>
  <c r="F1312" i="6" a="1"/>
  <c r="F1312" i="6" s="1"/>
  <c r="C1313" i="6" a="1"/>
  <c r="C1313" i="6" s="1"/>
  <c r="D1313" i="6" a="1"/>
  <c r="D1313" i="6" s="1"/>
  <c r="E1313" i="6" s="1" a="1"/>
  <c r="E1313" i="6" s="1"/>
  <c r="F1313" i="6" a="1"/>
  <c r="F1313" i="6" s="1"/>
  <c r="C1314" i="6" a="1"/>
  <c r="C1314" i="6" s="1"/>
  <c r="D1314" i="6" a="1"/>
  <c r="D1314" i="6" s="1"/>
  <c r="E1314" i="6" s="1" a="1"/>
  <c r="E1314" i="6" s="1"/>
  <c r="F1314" i="6" a="1"/>
  <c r="F1314" i="6" s="1"/>
  <c r="C1315" i="6" a="1"/>
  <c r="C1315" i="6" s="1"/>
  <c r="D1315" i="6" a="1"/>
  <c r="D1315" i="6" s="1"/>
  <c r="E1315" i="6" s="1" a="1"/>
  <c r="E1315" i="6" s="1"/>
  <c r="F1315" i="6" a="1"/>
  <c r="F1315" i="6" s="1"/>
  <c r="C1316" i="6" a="1"/>
  <c r="C1316" i="6" s="1"/>
  <c r="D1316" i="6" a="1"/>
  <c r="D1316" i="6" s="1"/>
  <c r="E1316" i="6" s="1" a="1"/>
  <c r="E1316" i="6" s="1"/>
  <c r="F1316" i="6" a="1"/>
  <c r="F1316" i="6" s="1"/>
  <c r="C1317" i="6" a="1"/>
  <c r="C1317" i="6" s="1"/>
  <c r="D1317" i="6" a="1"/>
  <c r="D1317" i="6" s="1"/>
  <c r="E1317" i="6" s="1" a="1"/>
  <c r="E1317" i="6" s="1"/>
  <c r="F1317" i="6" a="1"/>
  <c r="F1317" i="6" s="1"/>
  <c r="C1318" i="6" a="1"/>
  <c r="C1318" i="6" s="1"/>
  <c r="D1318" i="6" a="1"/>
  <c r="D1318" i="6" s="1"/>
  <c r="E1318" i="6" s="1" a="1"/>
  <c r="E1318" i="6" s="1"/>
  <c r="F1318" i="6" a="1"/>
  <c r="F1318" i="6" s="1"/>
  <c r="C1319" i="6" a="1"/>
  <c r="C1319" i="6" s="1"/>
  <c r="D1319" i="6" a="1"/>
  <c r="D1319" i="6" s="1"/>
  <c r="E1319" i="6" s="1" a="1"/>
  <c r="E1319" i="6" s="1"/>
  <c r="F1319" i="6" a="1"/>
  <c r="F1319" i="6" s="1"/>
  <c r="C1320" i="6" a="1"/>
  <c r="C1320" i="6" s="1"/>
  <c r="D1320" i="6" a="1"/>
  <c r="D1320" i="6" s="1"/>
  <c r="E1320" i="6" s="1" a="1"/>
  <c r="E1320" i="6" s="1"/>
  <c r="F1320" i="6" a="1"/>
  <c r="F1320" i="6" s="1"/>
  <c r="C1321" i="6" a="1"/>
  <c r="C1321" i="6" s="1"/>
  <c r="D1321" i="6" a="1"/>
  <c r="D1321" i="6" s="1"/>
  <c r="E1321" i="6" s="1" a="1"/>
  <c r="E1321" i="6" s="1"/>
  <c r="F1321" i="6" a="1"/>
  <c r="F1321" i="6" s="1"/>
  <c r="C1322" i="6" a="1"/>
  <c r="C1322" i="6" s="1"/>
  <c r="D1322" i="6" a="1"/>
  <c r="D1322" i="6" s="1"/>
  <c r="E1322" i="6" s="1" a="1"/>
  <c r="E1322" i="6" s="1"/>
  <c r="F1322" i="6" a="1"/>
  <c r="F1322" i="6" s="1"/>
  <c r="C1323" i="6" a="1"/>
  <c r="C1323" i="6" s="1"/>
  <c r="D1323" i="6" a="1"/>
  <c r="D1323" i="6" s="1"/>
  <c r="E1323" i="6" s="1" a="1"/>
  <c r="E1323" i="6" s="1"/>
  <c r="F1323" i="6" a="1"/>
  <c r="F1323" i="6" s="1"/>
  <c r="C1324" i="6" a="1"/>
  <c r="C1324" i="6" s="1"/>
  <c r="D1324" i="6" a="1"/>
  <c r="D1324" i="6" s="1"/>
  <c r="E1324" i="6" s="1" a="1"/>
  <c r="E1324" i="6" s="1"/>
  <c r="F1324" i="6" a="1"/>
  <c r="F1324" i="6" s="1"/>
  <c r="C1325" i="6" a="1"/>
  <c r="C1325" i="6" s="1"/>
  <c r="D1325" i="6" a="1"/>
  <c r="D1325" i="6" s="1"/>
  <c r="E1325" i="6" s="1" a="1"/>
  <c r="E1325" i="6" s="1"/>
  <c r="F1325" i="6" a="1"/>
  <c r="F1325" i="6" s="1"/>
  <c r="C1326" i="6" a="1"/>
  <c r="C1326" i="6" s="1"/>
  <c r="D1326" i="6" a="1"/>
  <c r="D1326" i="6" s="1"/>
  <c r="E1326" i="6" s="1" a="1"/>
  <c r="E1326" i="6" s="1"/>
  <c r="F1326" i="6" a="1"/>
  <c r="F1326" i="6" s="1"/>
  <c r="C1327" i="6" a="1"/>
  <c r="C1327" i="6" s="1"/>
  <c r="D1327" i="6" a="1"/>
  <c r="D1327" i="6" s="1"/>
  <c r="E1327" i="6" s="1" a="1"/>
  <c r="E1327" i="6" s="1"/>
  <c r="F1327" i="6" a="1"/>
  <c r="F1327" i="6" s="1"/>
  <c r="C1328" i="6" a="1"/>
  <c r="C1328" i="6" s="1"/>
  <c r="D1328" i="6" a="1"/>
  <c r="D1328" i="6" s="1"/>
  <c r="E1328" i="6" s="1" a="1"/>
  <c r="E1328" i="6" s="1"/>
  <c r="F1328" i="6" a="1"/>
  <c r="F1328" i="6" s="1"/>
  <c r="C1329" i="6" a="1"/>
  <c r="C1329" i="6" s="1"/>
  <c r="D1329" i="6" a="1"/>
  <c r="D1329" i="6" s="1"/>
  <c r="E1329" i="6" s="1" a="1"/>
  <c r="E1329" i="6" s="1"/>
  <c r="F1329" i="6" a="1"/>
  <c r="F1329" i="6" s="1"/>
  <c r="C1330" i="6" a="1"/>
  <c r="C1330" i="6" s="1"/>
  <c r="D1330" i="6" a="1"/>
  <c r="D1330" i="6" s="1"/>
  <c r="E1330" i="6" s="1" a="1"/>
  <c r="E1330" i="6" s="1"/>
  <c r="F1330" i="6" a="1"/>
  <c r="F1330" i="6" s="1"/>
  <c r="C1331" i="6" a="1"/>
  <c r="C1331" i="6" s="1"/>
  <c r="D1331" i="6" a="1"/>
  <c r="D1331" i="6" s="1"/>
  <c r="E1331" i="6" s="1" a="1"/>
  <c r="E1331" i="6" s="1"/>
  <c r="F1331" i="6" a="1"/>
  <c r="F1331" i="6" s="1"/>
  <c r="C1332" i="6" a="1"/>
  <c r="C1332" i="6" s="1"/>
  <c r="D1332" i="6" a="1"/>
  <c r="D1332" i="6" s="1"/>
  <c r="E1332" i="6" s="1" a="1"/>
  <c r="E1332" i="6" s="1"/>
  <c r="F1332" i="6" a="1"/>
  <c r="F1332" i="6" s="1"/>
  <c r="C1333" i="6" a="1"/>
  <c r="C1333" i="6" s="1"/>
  <c r="D1333" i="6" a="1"/>
  <c r="D1333" i="6" s="1"/>
  <c r="E1333" i="6" s="1" a="1"/>
  <c r="E1333" i="6" s="1"/>
  <c r="F1333" i="6" a="1"/>
  <c r="F1333" i="6" s="1"/>
  <c r="C1334" i="6" a="1"/>
  <c r="C1334" i="6" s="1"/>
  <c r="D1334" i="6" a="1"/>
  <c r="D1334" i="6" s="1"/>
  <c r="E1334" i="6" s="1" a="1"/>
  <c r="E1334" i="6" s="1"/>
  <c r="F1334" i="6" a="1"/>
  <c r="F1334" i="6" s="1"/>
  <c r="C1335" i="6" a="1"/>
  <c r="C1335" i="6" s="1"/>
  <c r="D1335" i="6" a="1"/>
  <c r="D1335" i="6" s="1"/>
  <c r="E1335" i="6" s="1" a="1"/>
  <c r="E1335" i="6" s="1"/>
  <c r="F1335" i="6" a="1"/>
  <c r="F1335" i="6" s="1"/>
  <c r="C1336" i="6" a="1"/>
  <c r="C1336" i="6" s="1"/>
  <c r="D1336" i="6" a="1"/>
  <c r="D1336" i="6" s="1"/>
  <c r="E1336" i="6" s="1" a="1"/>
  <c r="E1336" i="6" s="1"/>
  <c r="F1336" i="6" a="1"/>
  <c r="F1336" i="6" s="1"/>
  <c r="C1337" i="6" a="1"/>
  <c r="C1337" i="6" s="1"/>
  <c r="D1337" i="6" a="1"/>
  <c r="D1337" i="6" s="1"/>
  <c r="E1337" i="6" s="1" a="1"/>
  <c r="E1337" i="6" s="1"/>
  <c r="F1337" i="6" a="1"/>
  <c r="F1337" i="6" s="1"/>
  <c r="C1338" i="6" a="1"/>
  <c r="C1338" i="6" s="1"/>
  <c r="D1338" i="6" a="1"/>
  <c r="D1338" i="6" s="1"/>
  <c r="E1338" i="6" s="1" a="1"/>
  <c r="E1338" i="6" s="1"/>
  <c r="F1338" i="6" a="1"/>
  <c r="F1338" i="6" s="1"/>
  <c r="C1339" i="6" a="1"/>
  <c r="C1339" i="6" s="1"/>
  <c r="D1339" i="6" a="1"/>
  <c r="D1339" i="6" s="1"/>
  <c r="E1339" i="6" s="1" a="1"/>
  <c r="E1339" i="6" s="1"/>
  <c r="F1339" i="6" a="1"/>
  <c r="F1339" i="6" s="1"/>
  <c r="C1340" i="6" a="1"/>
  <c r="C1340" i="6" s="1"/>
  <c r="D1340" i="6" a="1"/>
  <c r="D1340" i="6" s="1"/>
  <c r="E1340" i="6" s="1" a="1"/>
  <c r="E1340" i="6" s="1"/>
  <c r="F1340" i="6" a="1"/>
  <c r="F1340" i="6" s="1"/>
  <c r="C1341" i="6" a="1"/>
  <c r="C1341" i="6" s="1"/>
  <c r="D1341" i="6" a="1"/>
  <c r="D1341" i="6" s="1"/>
  <c r="E1341" i="6" s="1" a="1"/>
  <c r="E1341" i="6" s="1"/>
  <c r="F1341" i="6" a="1"/>
  <c r="F1341" i="6" s="1"/>
  <c r="C1342" i="6" a="1"/>
  <c r="C1342" i="6" s="1"/>
  <c r="D1342" i="6" a="1"/>
  <c r="D1342" i="6" s="1"/>
  <c r="E1342" i="6" s="1" a="1"/>
  <c r="E1342" i="6" s="1"/>
  <c r="F1342" i="6" a="1"/>
  <c r="F1342" i="6" s="1"/>
  <c r="C1343" i="6" a="1"/>
  <c r="C1343" i="6" s="1"/>
  <c r="D1343" i="6" a="1"/>
  <c r="D1343" i="6" s="1"/>
  <c r="E1343" i="6" s="1" a="1"/>
  <c r="E1343" i="6" s="1"/>
  <c r="F1343" i="6" a="1"/>
  <c r="F1343" i="6" s="1"/>
  <c r="C1344" i="6" a="1"/>
  <c r="C1344" i="6" s="1"/>
  <c r="D1344" i="6" a="1"/>
  <c r="D1344" i="6" s="1"/>
  <c r="E1344" i="6" s="1" a="1"/>
  <c r="E1344" i="6" s="1"/>
  <c r="F1344" i="6" a="1"/>
  <c r="F1344" i="6" s="1"/>
  <c r="C1345" i="6" a="1"/>
  <c r="C1345" i="6" s="1"/>
  <c r="D1345" i="6" a="1"/>
  <c r="D1345" i="6" s="1"/>
  <c r="E1345" i="6" s="1" a="1"/>
  <c r="E1345" i="6" s="1"/>
  <c r="F1345" i="6" a="1"/>
  <c r="F1345" i="6" s="1"/>
  <c r="C1346" i="6" a="1"/>
  <c r="C1346" i="6" s="1"/>
  <c r="D1346" i="6" a="1"/>
  <c r="D1346" i="6" s="1"/>
  <c r="E1346" i="6" s="1" a="1"/>
  <c r="E1346" i="6" s="1"/>
  <c r="F1346" i="6" a="1"/>
  <c r="F1346" i="6" s="1"/>
  <c r="C1347" i="6" a="1"/>
  <c r="C1347" i="6" s="1"/>
  <c r="D1347" i="6" a="1"/>
  <c r="D1347" i="6" s="1"/>
  <c r="E1347" i="6" s="1" a="1"/>
  <c r="E1347" i="6" s="1"/>
  <c r="F1347" i="6" a="1"/>
  <c r="F1347" i="6" s="1"/>
  <c r="C1348" i="6" a="1"/>
  <c r="C1348" i="6" s="1"/>
  <c r="D1348" i="6" a="1"/>
  <c r="D1348" i="6" s="1"/>
  <c r="E1348" i="6" s="1" a="1"/>
  <c r="E1348" i="6" s="1"/>
  <c r="F1348" i="6" a="1"/>
  <c r="F1348" i="6" s="1"/>
  <c r="C1349" i="6" a="1"/>
  <c r="C1349" i="6" s="1"/>
  <c r="D1349" i="6" a="1"/>
  <c r="D1349" i="6" s="1"/>
  <c r="E1349" i="6" s="1" a="1"/>
  <c r="E1349" i="6" s="1"/>
  <c r="F1349" i="6" a="1"/>
  <c r="F1349" i="6" s="1"/>
  <c r="C1350" i="6" a="1"/>
  <c r="C1350" i="6" s="1"/>
  <c r="D1350" i="6" a="1"/>
  <c r="D1350" i="6" s="1"/>
  <c r="E1350" i="6" s="1" a="1"/>
  <c r="E1350" i="6" s="1"/>
  <c r="F1350" i="6" a="1"/>
  <c r="F1350" i="6" s="1"/>
  <c r="C1351" i="6" a="1"/>
  <c r="C1351" i="6" s="1"/>
  <c r="D1351" i="6" a="1"/>
  <c r="D1351" i="6" s="1"/>
  <c r="E1351" i="6" s="1" a="1"/>
  <c r="E1351" i="6" s="1"/>
  <c r="F1351" i="6" a="1"/>
  <c r="F1351" i="6" s="1"/>
  <c r="C1352" i="6" a="1"/>
  <c r="C1352" i="6" s="1"/>
  <c r="D1352" i="6" a="1"/>
  <c r="D1352" i="6" s="1"/>
  <c r="E1352" i="6" s="1" a="1"/>
  <c r="E1352" i="6" s="1"/>
  <c r="F1352" i="6" a="1"/>
  <c r="F1352" i="6" s="1"/>
  <c r="C1353" i="6" a="1"/>
  <c r="C1353" i="6" s="1"/>
  <c r="D1353" i="6" a="1"/>
  <c r="D1353" i="6" s="1"/>
  <c r="E1353" i="6" s="1" a="1"/>
  <c r="E1353" i="6" s="1"/>
  <c r="F1353" i="6" a="1"/>
  <c r="F1353" i="6" s="1"/>
  <c r="C1354" i="6" a="1"/>
  <c r="C1354" i="6" s="1"/>
  <c r="D1354" i="6" a="1"/>
  <c r="D1354" i="6" s="1"/>
  <c r="E1354" i="6" s="1" a="1"/>
  <c r="E1354" i="6" s="1"/>
  <c r="F1354" i="6" a="1"/>
  <c r="F1354" i="6" s="1"/>
  <c r="C1355" i="6" a="1"/>
  <c r="C1355" i="6" s="1"/>
  <c r="D1355" i="6" a="1"/>
  <c r="D1355" i="6" s="1"/>
  <c r="E1355" i="6" s="1" a="1"/>
  <c r="E1355" i="6" s="1"/>
  <c r="F1355" i="6" a="1"/>
  <c r="F1355" i="6" s="1"/>
  <c r="C1356" i="6" a="1"/>
  <c r="C1356" i="6" s="1"/>
  <c r="D1356" i="6" a="1"/>
  <c r="D1356" i="6" s="1"/>
  <c r="E1356" i="6" s="1" a="1"/>
  <c r="E1356" i="6" s="1"/>
  <c r="F1356" i="6" a="1"/>
  <c r="F1356" i="6" s="1"/>
  <c r="C1357" i="6" a="1"/>
  <c r="C1357" i="6" s="1"/>
  <c r="D1357" i="6" a="1"/>
  <c r="D1357" i="6" s="1"/>
  <c r="E1357" i="6" s="1" a="1"/>
  <c r="E1357" i="6" s="1"/>
  <c r="F1357" i="6" a="1"/>
  <c r="F1357" i="6" s="1"/>
  <c r="C1358" i="6" a="1"/>
  <c r="C1358" i="6" s="1"/>
  <c r="D1358" i="6" a="1"/>
  <c r="D1358" i="6" s="1"/>
  <c r="E1358" i="6" s="1" a="1"/>
  <c r="E1358" i="6" s="1"/>
  <c r="F1358" i="6" a="1"/>
  <c r="F1358" i="6" s="1"/>
  <c r="C1359" i="6" a="1"/>
  <c r="C1359" i="6" s="1"/>
  <c r="D1359" i="6" a="1"/>
  <c r="D1359" i="6" s="1"/>
  <c r="E1359" i="6" s="1" a="1"/>
  <c r="E1359" i="6" s="1"/>
  <c r="F1359" i="6" a="1"/>
  <c r="F1359" i="6" s="1"/>
  <c r="C1360" i="6" a="1"/>
  <c r="C1360" i="6" s="1"/>
  <c r="D1360" i="6" a="1"/>
  <c r="D1360" i="6" s="1"/>
  <c r="E1360" i="6" s="1" a="1"/>
  <c r="E1360" i="6" s="1"/>
  <c r="F1360" i="6" a="1"/>
  <c r="F1360" i="6" s="1"/>
  <c r="C1361" i="6" a="1"/>
  <c r="C1361" i="6" s="1"/>
  <c r="D1361" i="6" a="1"/>
  <c r="D1361" i="6" s="1"/>
  <c r="E1361" i="6" s="1" a="1"/>
  <c r="E1361" i="6" s="1"/>
  <c r="F1361" i="6" a="1"/>
  <c r="F1361" i="6" s="1"/>
  <c r="C1362" i="6" a="1"/>
  <c r="C1362" i="6" s="1"/>
  <c r="D1362" i="6" a="1"/>
  <c r="D1362" i="6" s="1"/>
  <c r="E1362" i="6" s="1" a="1"/>
  <c r="E1362" i="6" s="1"/>
  <c r="F1362" i="6" a="1"/>
  <c r="F1362" i="6" s="1"/>
  <c r="C1363" i="6" a="1"/>
  <c r="C1363" i="6" s="1"/>
  <c r="D1363" i="6" a="1"/>
  <c r="D1363" i="6" s="1"/>
  <c r="E1363" i="6" s="1" a="1"/>
  <c r="E1363" i="6" s="1"/>
  <c r="F1363" i="6" a="1"/>
  <c r="F1363" i="6" s="1"/>
  <c r="C1364" i="6" a="1"/>
  <c r="C1364" i="6" s="1"/>
  <c r="D1364" i="6" a="1"/>
  <c r="D1364" i="6" s="1"/>
  <c r="E1364" i="6" s="1" a="1"/>
  <c r="E1364" i="6" s="1"/>
  <c r="F1364" i="6" a="1"/>
  <c r="F1364" i="6" s="1"/>
  <c r="C1365" i="6" a="1"/>
  <c r="C1365" i="6" s="1"/>
  <c r="D1365" i="6" a="1"/>
  <c r="D1365" i="6" s="1"/>
  <c r="E1365" i="6" s="1" a="1"/>
  <c r="E1365" i="6" s="1"/>
  <c r="F1365" i="6" a="1"/>
  <c r="F1365" i="6" s="1"/>
  <c r="C1366" i="6" a="1"/>
  <c r="C1366" i="6" s="1"/>
  <c r="D1366" i="6" a="1"/>
  <c r="D1366" i="6" s="1"/>
  <c r="E1366" i="6" s="1" a="1"/>
  <c r="E1366" i="6" s="1"/>
  <c r="F1366" i="6" a="1"/>
  <c r="F1366" i="6" s="1"/>
  <c r="C1367" i="6" a="1"/>
  <c r="C1367" i="6" s="1"/>
  <c r="D1367" i="6" a="1"/>
  <c r="D1367" i="6" s="1"/>
  <c r="E1367" i="6" s="1" a="1"/>
  <c r="E1367" i="6" s="1"/>
  <c r="F1367" i="6" a="1"/>
  <c r="F1367" i="6" s="1"/>
  <c r="C1368" i="6" a="1"/>
  <c r="C1368" i="6" s="1"/>
  <c r="D1368" i="6" a="1"/>
  <c r="D1368" i="6" s="1"/>
  <c r="E1368" i="6" s="1" a="1"/>
  <c r="E1368" i="6" s="1"/>
  <c r="F1368" i="6" a="1"/>
  <c r="F1368" i="6" s="1"/>
  <c r="C1369" i="6" a="1"/>
  <c r="C1369" i="6" s="1"/>
  <c r="D1369" i="6" a="1"/>
  <c r="D1369" i="6" s="1"/>
  <c r="E1369" i="6" s="1" a="1"/>
  <c r="E1369" i="6" s="1"/>
  <c r="F1369" i="6" a="1"/>
  <c r="F1369" i="6" s="1"/>
  <c r="C1370" i="6" a="1"/>
  <c r="C1370" i="6" s="1"/>
  <c r="D1370" i="6" a="1"/>
  <c r="D1370" i="6" s="1"/>
  <c r="E1370" i="6" s="1" a="1"/>
  <c r="E1370" i="6" s="1"/>
  <c r="F1370" i="6" a="1"/>
  <c r="F1370" i="6" s="1"/>
  <c r="C1371" i="6" a="1"/>
  <c r="C1371" i="6" s="1"/>
  <c r="D1371" i="6" a="1"/>
  <c r="D1371" i="6" s="1"/>
  <c r="E1371" i="6" s="1" a="1"/>
  <c r="E1371" i="6" s="1"/>
  <c r="F1371" i="6" a="1"/>
  <c r="F1371" i="6" s="1"/>
  <c r="C1372" i="6" a="1"/>
  <c r="C1372" i="6" s="1"/>
  <c r="D1372" i="6" a="1"/>
  <c r="D1372" i="6" s="1"/>
  <c r="E1372" i="6" s="1" a="1"/>
  <c r="E1372" i="6" s="1"/>
  <c r="F1372" i="6" a="1"/>
  <c r="F1372" i="6" s="1"/>
  <c r="C1373" i="6" a="1"/>
  <c r="C1373" i="6" s="1"/>
  <c r="D1373" i="6" a="1"/>
  <c r="D1373" i="6" s="1"/>
  <c r="E1373" i="6" s="1" a="1"/>
  <c r="E1373" i="6" s="1"/>
  <c r="F1373" i="6" a="1"/>
  <c r="F1373" i="6" s="1"/>
  <c r="C1374" i="6" a="1"/>
  <c r="C1374" i="6" s="1"/>
  <c r="D1374" i="6" a="1"/>
  <c r="D1374" i="6" s="1"/>
  <c r="E1374" i="6" s="1" a="1"/>
  <c r="E1374" i="6" s="1"/>
  <c r="F1374" i="6" a="1"/>
  <c r="F1374" i="6" s="1"/>
  <c r="C1375" i="6" a="1"/>
  <c r="C1375" i="6" s="1"/>
  <c r="D1375" i="6" a="1"/>
  <c r="D1375" i="6" s="1"/>
  <c r="E1375" i="6" s="1" a="1"/>
  <c r="E1375" i="6" s="1"/>
  <c r="F1375" i="6" a="1"/>
  <c r="F1375" i="6" s="1"/>
  <c r="C1376" i="6" a="1"/>
  <c r="C1376" i="6" s="1"/>
  <c r="D1376" i="6" a="1"/>
  <c r="D1376" i="6" s="1"/>
  <c r="E1376" i="6" s="1" a="1"/>
  <c r="E1376" i="6" s="1"/>
  <c r="F1376" i="6" a="1"/>
  <c r="F1376" i="6" s="1"/>
  <c r="C1377" i="6" a="1"/>
  <c r="C1377" i="6" s="1"/>
  <c r="D1377" i="6" a="1"/>
  <c r="D1377" i="6" s="1"/>
  <c r="E1377" i="6" s="1" a="1"/>
  <c r="E1377" i="6" s="1"/>
  <c r="F1377" i="6" a="1"/>
  <c r="F1377" i="6" s="1"/>
  <c r="C1378" i="6" a="1"/>
  <c r="C1378" i="6" s="1"/>
  <c r="D1378" i="6" a="1"/>
  <c r="D1378" i="6" s="1"/>
  <c r="E1378" i="6" s="1" a="1"/>
  <c r="E1378" i="6" s="1"/>
  <c r="F1378" i="6" a="1"/>
  <c r="F1378" i="6" s="1"/>
  <c r="C1379" i="6" a="1"/>
  <c r="C1379" i="6" s="1"/>
  <c r="D1379" i="6" a="1"/>
  <c r="D1379" i="6" s="1"/>
  <c r="E1379" i="6" s="1" a="1"/>
  <c r="E1379" i="6" s="1"/>
  <c r="F1379" i="6" a="1"/>
  <c r="F1379" i="6" s="1"/>
  <c r="C1380" i="6" a="1"/>
  <c r="C1380" i="6" s="1"/>
  <c r="D1380" i="6" a="1"/>
  <c r="D1380" i="6" s="1"/>
  <c r="E1380" i="6" s="1" a="1"/>
  <c r="E1380" i="6" s="1"/>
  <c r="F1380" i="6" a="1"/>
  <c r="F1380" i="6" s="1"/>
  <c r="C1381" i="6" a="1"/>
  <c r="C1381" i="6" s="1"/>
  <c r="D1381" i="6" a="1"/>
  <c r="D1381" i="6" s="1"/>
  <c r="E1381" i="6" s="1" a="1"/>
  <c r="E1381" i="6" s="1"/>
  <c r="F1381" i="6" a="1"/>
  <c r="F1381" i="6" s="1"/>
  <c r="C1382" i="6" a="1"/>
  <c r="C1382" i="6" s="1"/>
  <c r="D1382" i="6" a="1"/>
  <c r="D1382" i="6" s="1"/>
  <c r="E1382" i="6" s="1" a="1"/>
  <c r="E1382" i="6" s="1"/>
  <c r="F1382" i="6" a="1"/>
  <c r="F1382" i="6" s="1"/>
  <c r="C1383" i="6" a="1"/>
  <c r="C1383" i="6" s="1"/>
  <c r="D1383" i="6" a="1"/>
  <c r="D1383" i="6" s="1"/>
  <c r="E1383" i="6" s="1" a="1"/>
  <c r="E1383" i="6" s="1"/>
  <c r="F1383" i="6" a="1"/>
  <c r="F1383" i="6" s="1"/>
  <c r="C1384" i="6" a="1"/>
  <c r="C1384" i="6" s="1"/>
  <c r="D1384" i="6" a="1"/>
  <c r="D1384" i="6" s="1"/>
  <c r="E1384" i="6" s="1" a="1"/>
  <c r="E1384" i="6" s="1"/>
  <c r="F1384" i="6" a="1"/>
  <c r="F1384" i="6" s="1"/>
  <c r="C1385" i="6" a="1"/>
  <c r="C1385" i="6" s="1"/>
  <c r="D1385" i="6" a="1"/>
  <c r="D1385" i="6" s="1"/>
  <c r="E1385" i="6" s="1" a="1"/>
  <c r="E1385" i="6" s="1"/>
  <c r="F1385" i="6" a="1"/>
  <c r="F1385" i="6" s="1"/>
  <c r="C1386" i="6" a="1"/>
  <c r="C1386" i="6" s="1"/>
  <c r="D1386" i="6" a="1"/>
  <c r="D1386" i="6" s="1"/>
  <c r="E1386" i="6" s="1" a="1"/>
  <c r="E1386" i="6" s="1"/>
  <c r="F1386" i="6" a="1"/>
  <c r="F1386" i="6" s="1"/>
  <c r="C1387" i="6" a="1"/>
  <c r="C1387" i="6" s="1"/>
  <c r="D1387" i="6" a="1"/>
  <c r="D1387" i="6" s="1"/>
  <c r="E1387" i="6" s="1" a="1"/>
  <c r="E1387" i="6" s="1"/>
  <c r="F1387" i="6" a="1"/>
  <c r="F1387" i="6" s="1"/>
  <c r="C1388" i="6" a="1"/>
  <c r="C1388" i="6" s="1"/>
  <c r="D1388" i="6" a="1"/>
  <c r="D1388" i="6" s="1"/>
  <c r="E1388" i="6" s="1" a="1"/>
  <c r="E1388" i="6" s="1"/>
  <c r="F1388" i="6" a="1"/>
  <c r="F1388" i="6" s="1"/>
  <c r="C1389" i="6" a="1"/>
  <c r="C1389" i="6" s="1"/>
  <c r="D1389" i="6" a="1"/>
  <c r="D1389" i="6" s="1"/>
  <c r="E1389" i="6" s="1" a="1"/>
  <c r="E1389" i="6" s="1"/>
  <c r="F1389" i="6" a="1"/>
  <c r="F1389" i="6" s="1"/>
  <c r="C1390" i="6" a="1"/>
  <c r="C1390" i="6" s="1"/>
  <c r="D1390" i="6" a="1"/>
  <c r="D1390" i="6" s="1"/>
  <c r="E1390" i="6" s="1" a="1"/>
  <c r="E1390" i="6" s="1"/>
  <c r="F1390" i="6" a="1"/>
  <c r="F1390" i="6" s="1"/>
  <c r="C1391" i="6" a="1"/>
  <c r="C1391" i="6" s="1"/>
  <c r="D1391" i="6" a="1"/>
  <c r="D1391" i="6" s="1"/>
  <c r="E1391" i="6" s="1" a="1"/>
  <c r="E1391" i="6" s="1"/>
  <c r="F1391" i="6" a="1"/>
  <c r="F1391" i="6" s="1"/>
  <c r="C1392" i="6" a="1"/>
  <c r="C1392" i="6" s="1"/>
  <c r="D1392" i="6" a="1"/>
  <c r="D1392" i="6" s="1"/>
  <c r="E1392" i="6" s="1" a="1"/>
  <c r="E1392" i="6" s="1"/>
  <c r="F1392" i="6" a="1"/>
  <c r="F1392" i="6" s="1"/>
  <c r="C1393" i="6" a="1"/>
  <c r="C1393" i="6" s="1"/>
  <c r="D1393" i="6" a="1"/>
  <c r="D1393" i="6" s="1"/>
  <c r="E1393" i="6" s="1" a="1"/>
  <c r="E1393" i="6" s="1"/>
  <c r="F1393" i="6" a="1"/>
  <c r="F1393" i="6" s="1"/>
  <c r="C1394" i="6" a="1"/>
  <c r="C1394" i="6" s="1"/>
  <c r="D1394" i="6" a="1"/>
  <c r="D1394" i="6" s="1"/>
  <c r="E1394" i="6" s="1" a="1"/>
  <c r="E1394" i="6" s="1"/>
  <c r="F1394" i="6" a="1"/>
  <c r="F1394" i="6" s="1"/>
  <c r="C1395" i="6" a="1"/>
  <c r="C1395" i="6" s="1"/>
  <c r="D1395" i="6" a="1"/>
  <c r="D1395" i="6" s="1"/>
  <c r="E1395" i="6" s="1" a="1"/>
  <c r="E1395" i="6" s="1"/>
  <c r="F1395" i="6" a="1"/>
  <c r="F1395" i="6" s="1"/>
  <c r="C1396" i="6" a="1"/>
  <c r="C1396" i="6" s="1"/>
  <c r="D1396" i="6" a="1"/>
  <c r="D1396" i="6" s="1"/>
  <c r="E1396" i="6" s="1" a="1"/>
  <c r="E1396" i="6" s="1"/>
  <c r="F1396" i="6" a="1"/>
  <c r="F1396" i="6" s="1"/>
  <c r="C1397" i="6" a="1"/>
  <c r="C1397" i="6" s="1"/>
  <c r="D1397" i="6" a="1"/>
  <c r="D1397" i="6" s="1"/>
  <c r="E1397" i="6" s="1" a="1"/>
  <c r="E1397" i="6" s="1"/>
  <c r="F1397" i="6" a="1"/>
  <c r="F1397" i="6" s="1"/>
  <c r="C1398" i="6" a="1"/>
  <c r="C1398" i="6" s="1"/>
  <c r="D1398" i="6" a="1"/>
  <c r="D1398" i="6" s="1"/>
  <c r="E1398" i="6" s="1" a="1"/>
  <c r="E1398" i="6" s="1"/>
  <c r="F1398" i="6" a="1"/>
  <c r="F1398" i="6" s="1"/>
  <c r="C1399" i="6" a="1"/>
  <c r="C1399" i="6" s="1"/>
  <c r="D1399" i="6" a="1"/>
  <c r="D1399" i="6" s="1"/>
  <c r="E1399" i="6" s="1" a="1"/>
  <c r="E1399" i="6" s="1"/>
  <c r="F1399" i="6" a="1"/>
  <c r="F1399" i="6" s="1"/>
  <c r="C1400" i="6" a="1"/>
  <c r="C1400" i="6" s="1"/>
  <c r="D1400" i="6" a="1"/>
  <c r="D1400" i="6" s="1"/>
  <c r="E1400" i="6" s="1" a="1"/>
  <c r="E1400" i="6" s="1"/>
  <c r="F1400" i="6" a="1"/>
  <c r="F1400" i="6" s="1"/>
  <c r="C1401" i="6" a="1"/>
  <c r="C1401" i="6" s="1"/>
  <c r="D1401" i="6" a="1"/>
  <c r="D1401" i="6" s="1"/>
  <c r="E1401" i="6" s="1" a="1"/>
  <c r="E1401" i="6" s="1"/>
  <c r="F1401" i="6" a="1"/>
  <c r="F1401" i="6" s="1"/>
  <c r="C1402" i="6" a="1"/>
  <c r="C1402" i="6" s="1"/>
  <c r="D1402" i="6" a="1"/>
  <c r="D1402" i="6" s="1"/>
  <c r="E1402" i="6" s="1" a="1"/>
  <c r="E1402" i="6" s="1"/>
  <c r="F1402" i="6" a="1"/>
  <c r="F1402" i="6" s="1"/>
  <c r="C1403" i="6" a="1"/>
  <c r="C1403" i="6" s="1"/>
  <c r="D1403" i="6" a="1"/>
  <c r="D1403" i="6" s="1"/>
  <c r="E1403" i="6" s="1" a="1"/>
  <c r="E1403" i="6" s="1"/>
  <c r="F1403" i="6" a="1"/>
  <c r="F1403" i="6" s="1"/>
  <c r="C1404" i="6" a="1"/>
  <c r="C1404" i="6" s="1"/>
  <c r="D1404" i="6" a="1"/>
  <c r="D1404" i="6" s="1"/>
  <c r="E1404" i="6" s="1" a="1"/>
  <c r="E1404" i="6" s="1"/>
  <c r="F1404" i="6" a="1"/>
  <c r="F1404" i="6" s="1"/>
  <c r="C1405" i="6" a="1"/>
  <c r="C1405" i="6" s="1"/>
  <c r="D1405" i="6" a="1"/>
  <c r="D1405" i="6" s="1"/>
  <c r="E1405" i="6" s="1" a="1"/>
  <c r="E1405" i="6" s="1"/>
  <c r="F1405" i="6" a="1"/>
  <c r="F1405" i="6" s="1"/>
  <c r="C1406" i="6" a="1"/>
  <c r="C1406" i="6" s="1"/>
  <c r="D1406" i="6" a="1"/>
  <c r="D1406" i="6" s="1"/>
  <c r="E1406" i="6" s="1" a="1"/>
  <c r="E1406" i="6" s="1"/>
  <c r="F1406" i="6" a="1"/>
  <c r="F1406" i="6" s="1"/>
  <c r="C1407" i="6" a="1"/>
  <c r="C1407" i="6" s="1"/>
  <c r="D1407" i="6" a="1"/>
  <c r="D1407" i="6" s="1"/>
  <c r="E1407" i="6" s="1" a="1"/>
  <c r="E1407" i="6" s="1"/>
  <c r="F1407" i="6" a="1"/>
  <c r="F1407" i="6" s="1"/>
  <c r="C1408" i="6" a="1"/>
  <c r="C1408" i="6" s="1"/>
  <c r="D1408" i="6" a="1"/>
  <c r="D1408" i="6" s="1"/>
  <c r="E1408" i="6" s="1" a="1"/>
  <c r="E1408" i="6" s="1"/>
  <c r="F1408" i="6" a="1"/>
  <c r="F1408" i="6" s="1"/>
  <c r="C1409" i="6" a="1"/>
  <c r="C1409" i="6" s="1"/>
  <c r="D1409" i="6" a="1"/>
  <c r="D1409" i="6" s="1"/>
  <c r="E1409" i="6" s="1" a="1"/>
  <c r="E1409" i="6" s="1"/>
  <c r="F1409" i="6" a="1"/>
  <c r="F1409" i="6" s="1"/>
  <c r="C1410" i="6" a="1"/>
  <c r="C1410" i="6" s="1"/>
  <c r="D1410" i="6" a="1"/>
  <c r="D1410" i="6" s="1"/>
  <c r="E1410" i="6" s="1" a="1"/>
  <c r="E1410" i="6" s="1"/>
  <c r="F1410" i="6" a="1"/>
  <c r="F1410" i="6" s="1"/>
  <c r="C1411" i="6" a="1"/>
  <c r="C1411" i="6" s="1"/>
  <c r="D1411" i="6" a="1"/>
  <c r="D1411" i="6" s="1"/>
  <c r="E1411" i="6" s="1" a="1"/>
  <c r="E1411" i="6" s="1"/>
  <c r="F1411" i="6" a="1"/>
  <c r="F1411" i="6" s="1"/>
  <c r="C1412" i="6" a="1"/>
  <c r="C1412" i="6" s="1"/>
  <c r="D1412" i="6" a="1"/>
  <c r="D1412" i="6" s="1"/>
  <c r="E1412" i="6" s="1" a="1"/>
  <c r="E1412" i="6" s="1"/>
  <c r="F1412" i="6" a="1"/>
  <c r="F1412" i="6" s="1"/>
  <c r="C1413" i="6" a="1"/>
  <c r="C1413" i="6" s="1"/>
  <c r="D1413" i="6" a="1"/>
  <c r="D1413" i="6" s="1"/>
  <c r="E1413" i="6" s="1" a="1"/>
  <c r="E1413" i="6" s="1"/>
  <c r="F1413" i="6" a="1"/>
  <c r="F1413" i="6" s="1"/>
  <c r="C1414" i="6" a="1"/>
  <c r="C1414" i="6" s="1"/>
  <c r="D1414" i="6" a="1"/>
  <c r="D1414" i="6" s="1"/>
  <c r="E1414" i="6" s="1" a="1"/>
  <c r="E1414" i="6" s="1"/>
  <c r="F1414" i="6" a="1"/>
  <c r="F1414" i="6" s="1"/>
  <c r="C1415" i="6" a="1"/>
  <c r="C1415" i="6" s="1"/>
  <c r="D1415" i="6" a="1"/>
  <c r="D1415" i="6" s="1"/>
  <c r="E1415" i="6" s="1" a="1"/>
  <c r="E1415" i="6" s="1"/>
  <c r="F1415" i="6" a="1"/>
  <c r="F1415" i="6" s="1"/>
  <c r="C1416" i="6" a="1"/>
  <c r="C1416" i="6" s="1"/>
  <c r="D1416" i="6" a="1"/>
  <c r="D1416" i="6" s="1"/>
  <c r="E1416" i="6" s="1" a="1"/>
  <c r="E1416" i="6" s="1"/>
  <c r="F1416" i="6" a="1"/>
  <c r="F1416" i="6" s="1"/>
  <c r="C1417" i="6" a="1"/>
  <c r="C1417" i="6" s="1"/>
  <c r="D1417" i="6" a="1"/>
  <c r="D1417" i="6" s="1"/>
  <c r="E1417" i="6" s="1" a="1"/>
  <c r="E1417" i="6" s="1"/>
  <c r="F1417" i="6" a="1"/>
  <c r="F1417" i="6" s="1"/>
  <c r="C1418" i="6" a="1"/>
  <c r="C1418" i="6" s="1"/>
  <c r="D1418" i="6" a="1"/>
  <c r="D1418" i="6" s="1"/>
  <c r="E1418" i="6" s="1" a="1"/>
  <c r="E1418" i="6" s="1"/>
  <c r="F1418" i="6" a="1"/>
  <c r="F1418" i="6" s="1"/>
  <c r="C1419" i="6" a="1"/>
  <c r="C1419" i="6" s="1"/>
  <c r="D1419" i="6" a="1"/>
  <c r="D1419" i="6" s="1"/>
  <c r="E1419" i="6" s="1" a="1"/>
  <c r="E1419" i="6" s="1"/>
  <c r="F1419" i="6" a="1"/>
  <c r="F1419" i="6" s="1"/>
  <c r="C1420" i="6" a="1"/>
  <c r="C1420" i="6" s="1"/>
  <c r="D1420" i="6" a="1"/>
  <c r="D1420" i="6" s="1"/>
  <c r="E1420" i="6" s="1" a="1"/>
  <c r="E1420" i="6" s="1"/>
  <c r="F1420" i="6" a="1"/>
  <c r="F1420" i="6" s="1"/>
  <c r="C1421" i="6" a="1"/>
  <c r="C1421" i="6" s="1"/>
  <c r="D1421" i="6" a="1"/>
  <c r="D1421" i="6" s="1"/>
  <c r="E1421" i="6" s="1" a="1"/>
  <c r="E1421" i="6" s="1"/>
  <c r="F1421" i="6" a="1"/>
  <c r="F1421" i="6" s="1"/>
  <c r="C1422" i="6" a="1"/>
  <c r="C1422" i="6" s="1"/>
  <c r="D1422" i="6" a="1"/>
  <c r="D1422" i="6" s="1"/>
  <c r="E1422" i="6" s="1" a="1"/>
  <c r="E1422" i="6" s="1"/>
  <c r="F1422" i="6" a="1"/>
  <c r="F1422" i="6" s="1"/>
  <c r="C1423" i="6" a="1"/>
  <c r="C1423" i="6" s="1"/>
  <c r="D1423" i="6" a="1"/>
  <c r="D1423" i="6" s="1"/>
  <c r="E1423" i="6" s="1" a="1"/>
  <c r="E1423" i="6" s="1"/>
  <c r="F1423" i="6" a="1"/>
  <c r="F1423" i="6" s="1"/>
  <c r="C1424" i="6" a="1"/>
  <c r="C1424" i="6" s="1"/>
  <c r="D1424" i="6" a="1"/>
  <c r="D1424" i="6" s="1"/>
  <c r="E1424" i="6" s="1" a="1"/>
  <c r="E1424" i="6" s="1"/>
  <c r="F1424" i="6" a="1"/>
  <c r="F1424" i="6" s="1"/>
  <c r="C1425" i="6" a="1"/>
  <c r="C1425" i="6" s="1"/>
  <c r="D1425" i="6" a="1"/>
  <c r="D1425" i="6" s="1"/>
  <c r="E1425" i="6" s="1" a="1"/>
  <c r="E1425" i="6" s="1"/>
  <c r="F1425" i="6" a="1"/>
  <c r="F1425" i="6" s="1"/>
  <c r="C1426" i="6" a="1"/>
  <c r="C1426" i="6" s="1"/>
  <c r="D1426" i="6" a="1"/>
  <c r="D1426" i="6" s="1"/>
  <c r="E1426" i="6" s="1" a="1"/>
  <c r="E1426" i="6" s="1"/>
  <c r="F1426" i="6" a="1"/>
  <c r="F1426" i="6" s="1"/>
  <c r="C1427" i="6" a="1"/>
  <c r="C1427" i="6" s="1"/>
  <c r="D1427" i="6" a="1"/>
  <c r="D1427" i="6" s="1"/>
  <c r="E1427" i="6" s="1" a="1"/>
  <c r="E1427" i="6" s="1"/>
  <c r="F1427" i="6" a="1"/>
  <c r="F1427" i="6" s="1"/>
  <c r="C1428" i="6" a="1"/>
  <c r="C1428" i="6" s="1"/>
  <c r="D1428" i="6" a="1"/>
  <c r="D1428" i="6" s="1"/>
  <c r="E1428" i="6" s="1" a="1"/>
  <c r="E1428" i="6" s="1"/>
  <c r="F1428" i="6" a="1"/>
  <c r="F1428" i="6" s="1"/>
  <c r="C1429" i="6" a="1"/>
  <c r="C1429" i="6" s="1"/>
  <c r="D1429" i="6" a="1"/>
  <c r="D1429" i="6" s="1"/>
  <c r="E1429" i="6" s="1" a="1"/>
  <c r="E1429" i="6" s="1"/>
  <c r="F1429" i="6" a="1"/>
  <c r="F1429" i="6" s="1"/>
  <c r="C1430" i="6" a="1"/>
  <c r="C1430" i="6" s="1"/>
  <c r="D1430" i="6" a="1"/>
  <c r="D1430" i="6" s="1"/>
  <c r="E1430" i="6" s="1" a="1"/>
  <c r="E1430" i="6" s="1"/>
  <c r="F1430" i="6" a="1"/>
  <c r="F1430" i="6" s="1"/>
  <c r="C1431" i="6" a="1"/>
  <c r="C1431" i="6" s="1"/>
  <c r="D1431" i="6" a="1"/>
  <c r="D1431" i="6" s="1"/>
  <c r="E1431" i="6" s="1" a="1"/>
  <c r="E1431" i="6" s="1"/>
  <c r="F1431" i="6" a="1"/>
  <c r="F1431" i="6" s="1"/>
  <c r="C1432" i="6" a="1"/>
  <c r="C1432" i="6" s="1"/>
  <c r="D1432" i="6" a="1"/>
  <c r="D1432" i="6" s="1"/>
  <c r="E1432" i="6" s="1" a="1"/>
  <c r="E1432" i="6" s="1"/>
  <c r="F1432" i="6" a="1"/>
  <c r="F1432" i="6" s="1"/>
  <c r="C1433" i="6" a="1"/>
  <c r="C1433" i="6" s="1"/>
  <c r="D1433" i="6" a="1"/>
  <c r="D1433" i="6" s="1"/>
  <c r="E1433" i="6" s="1" a="1"/>
  <c r="E1433" i="6" s="1"/>
  <c r="F1433" i="6" a="1"/>
  <c r="F1433" i="6" s="1"/>
  <c r="C1434" i="6" a="1"/>
  <c r="C1434" i="6" s="1"/>
  <c r="D1434" i="6" a="1"/>
  <c r="D1434" i="6" s="1"/>
  <c r="E1434" i="6" s="1" a="1"/>
  <c r="E1434" i="6" s="1"/>
  <c r="F1434" i="6" a="1"/>
  <c r="F1434" i="6" s="1"/>
  <c r="C1435" i="6" a="1"/>
  <c r="C1435" i="6" s="1"/>
  <c r="D1435" i="6" a="1"/>
  <c r="D1435" i="6" s="1"/>
  <c r="E1435" i="6" s="1" a="1"/>
  <c r="E1435" i="6" s="1"/>
  <c r="F1435" i="6" a="1"/>
  <c r="F1435" i="6" s="1"/>
  <c r="C1436" i="6" a="1"/>
  <c r="C1436" i="6" s="1"/>
  <c r="D1436" i="6" a="1"/>
  <c r="D1436" i="6" s="1"/>
  <c r="E1436" i="6" s="1" a="1"/>
  <c r="E1436" i="6" s="1"/>
  <c r="F1436" i="6" a="1"/>
  <c r="F1436" i="6" s="1"/>
  <c r="C1437" i="6" a="1"/>
  <c r="C1437" i="6" s="1"/>
  <c r="D1437" i="6" a="1"/>
  <c r="D1437" i="6" s="1"/>
  <c r="E1437" i="6" s="1" a="1"/>
  <c r="E1437" i="6" s="1"/>
  <c r="F1437" i="6" a="1"/>
  <c r="F1437" i="6" s="1"/>
  <c r="C1438" i="6" a="1"/>
  <c r="C1438" i="6" s="1"/>
  <c r="D1438" i="6" a="1"/>
  <c r="D1438" i="6" s="1"/>
  <c r="E1438" i="6" s="1" a="1"/>
  <c r="E1438" i="6" s="1"/>
  <c r="F1438" i="6" a="1"/>
  <c r="F1438" i="6" s="1"/>
  <c r="C1439" i="6" a="1"/>
  <c r="C1439" i="6" s="1"/>
  <c r="D1439" i="6" a="1"/>
  <c r="D1439" i="6" s="1"/>
  <c r="E1439" i="6" s="1" a="1"/>
  <c r="E1439" i="6" s="1"/>
  <c r="F1439" i="6" a="1"/>
  <c r="F1439" i="6" s="1"/>
  <c r="C1440" i="6" a="1"/>
  <c r="C1440" i="6" s="1"/>
  <c r="D1440" i="6" a="1"/>
  <c r="D1440" i="6" s="1"/>
  <c r="E1440" i="6" s="1" a="1"/>
  <c r="E1440" i="6" s="1"/>
  <c r="F1440" i="6" a="1"/>
  <c r="F1440" i="6" s="1"/>
  <c r="C1441" i="6" a="1"/>
  <c r="C1441" i="6" s="1"/>
  <c r="D1441" i="6" a="1"/>
  <c r="D1441" i="6" s="1"/>
  <c r="E1441" i="6" s="1" a="1"/>
  <c r="E1441" i="6" s="1"/>
  <c r="F1441" i="6" a="1"/>
  <c r="F1441" i="6" s="1"/>
  <c r="C1442" i="6" a="1"/>
  <c r="C1442" i="6" s="1"/>
  <c r="D1442" i="6" a="1"/>
  <c r="D1442" i="6" s="1"/>
  <c r="E1442" i="6" s="1" a="1"/>
  <c r="E1442" i="6" s="1"/>
  <c r="F1442" i="6" a="1"/>
  <c r="F1442" i="6" s="1"/>
  <c r="C1443" i="6" a="1"/>
  <c r="C1443" i="6" s="1"/>
  <c r="D1443" i="6" a="1"/>
  <c r="D1443" i="6" s="1"/>
  <c r="E1443" i="6" s="1" a="1"/>
  <c r="E1443" i="6" s="1"/>
  <c r="F1443" i="6" a="1"/>
  <c r="F1443" i="6" s="1"/>
  <c r="C1444" i="6" a="1"/>
  <c r="C1444" i="6" s="1"/>
  <c r="D1444" i="6" a="1"/>
  <c r="D1444" i="6" s="1"/>
  <c r="E1444" i="6" s="1" a="1"/>
  <c r="E1444" i="6" s="1"/>
  <c r="F1444" i="6" a="1"/>
  <c r="F1444" i="6" s="1"/>
  <c r="C1445" i="6" a="1"/>
  <c r="C1445" i="6" s="1"/>
  <c r="D1445" i="6" a="1"/>
  <c r="D1445" i="6" s="1"/>
  <c r="E1445" i="6" s="1" a="1"/>
  <c r="E1445" i="6" s="1"/>
  <c r="F1445" i="6" a="1"/>
  <c r="F1445" i="6" s="1"/>
  <c r="C1446" i="6" a="1"/>
  <c r="C1446" i="6" s="1"/>
  <c r="D1446" i="6" a="1"/>
  <c r="D1446" i="6" s="1"/>
  <c r="E1446" i="6" s="1" a="1"/>
  <c r="E1446" i="6" s="1"/>
  <c r="F1446" i="6" a="1"/>
  <c r="F1446" i="6" s="1"/>
  <c r="C1447" i="6" a="1"/>
  <c r="C1447" i="6" s="1"/>
  <c r="D1447" i="6" a="1"/>
  <c r="D1447" i="6" s="1"/>
  <c r="E1447" i="6" s="1" a="1"/>
  <c r="E1447" i="6" s="1"/>
  <c r="F1447" i="6" a="1"/>
  <c r="F1447" i="6" s="1"/>
  <c r="C1448" i="6" a="1"/>
  <c r="C1448" i="6" s="1"/>
  <c r="D1448" i="6" a="1"/>
  <c r="D1448" i="6" s="1"/>
  <c r="E1448" i="6" s="1" a="1"/>
  <c r="E1448" i="6" s="1"/>
  <c r="F1448" i="6" a="1"/>
  <c r="F1448" i="6" s="1"/>
  <c r="C1449" i="6" a="1"/>
  <c r="C1449" i="6" s="1"/>
  <c r="D1449" i="6" a="1"/>
  <c r="D1449" i="6" s="1"/>
  <c r="E1449" i="6" s="1" a="1"/>
  <c r="E1449" i="6" s="1"/>
  <c r="F1449" i="6" a="1"/>
  <c r="F1449" i="6" s="1"/>
  <c r="C1450" i="6" a="1"/>
  <c r="C1450" i="6" s="1"/>
  <c r="D1450" i="6" a="1"/>
  <c r="D1450" i="6" s="1"/>
  <c r="E1450" i="6" s="1" a="1"/>
  <c r="E1450" i="6" s="1"/>
  <c r="F1450" i="6" a="1"/>
  <c r="F1450" i="6" s="1"/>
  <c r="C1451" i="6" a="1"/>
  <c r="C1451" i="6" s="1"/>
  <c r="D1451" i="6" a="1"/>
  <c r="D1451" i="6" s="1"/>
  <c r="E1451" i="6" s="1" a="1"/>
  <c r="E1451" i="6" s="1"/>
  <c r="F1451" i="6" a="1"/>
  <c r="F1451" i="6" s="1"/>
  <c r="C1452" i="6" a="1"/>
  <c r="C1452" i="6" s="1"/>
  <c r="D1452" i="6" a="1"/>
  <c r="D1452" i="6" s="1"/>
  <c r="E1452" i="6" s="1" a="1"/>
  <c r="E1452" i="6" s="1"/>
  <c r="F1452" i="6" a="1"/>
  <c r="F1452" i="6" s="1"/>
  <c r="C1453" i="6" a="1"/>
  <c r="C1453" i="6" s="1"/>
  <c r="D1453" i="6" a="1"/>
  <c r="D1453" i="6" s="1"/>
  <c r="E1453" i="6" s="1" a="1"/>
  <c r="E1453" i="6" s="1"/>
  <c r="F1453" i="6" a="1"/>
  <c r="F1453" i="6" s="1"/>
  <c r="C1454" i="6" a="1"/>
  <c r="C1454" i="6" s="1"/>
  <c r="D1454" i="6" a="1"/>
  <c r="D1454" i="6" s="1"/>
  <c r="E1454" i="6" s="1" a="1"/>
  <c r="E1454" i="6" s="1"/>
  <c r="F1454" i="6" a="1"/>
  <c r="F1454" i="6" s="1"/>
  <c r="C1455" i="6" a="1"/>
  <c r="C1455" i="6" s="1"/>
  <c r="D1455" i="6" a="1"/>
  <c r="D1455" i="6" s="1"/>
  <c r="E1455" i="6" s="1" a="1"/>
  <c r="E1455" i="6" s="1"/>
  <c r="F1455" i="6" a="1"/>
  <c r="F1455" i="6" s="1"/>
  <c r="C1456" i="6" a="1"/>
  <c r="C1456" i="6" s="1"/>
  <c r="D1456" i="6" a="1"/>
  <c r="D1456" i="6" s="1"/>
  <c r="E1456" i="6" s="1" a="1"/>
  <c r="E1456" i="6" s="1"/>
  <c r="F1456" i="6" a="1"/>
  <c r="F1456" i="6" s="1"/>
  <c r="C1457" i="6" a="1"/>
  <c r="C1457" i="6" s="1"/>
  <c r="D1457" i="6" a="1"/>
  <c r="D1457" i="6" s="1"/>
  <c r="E1457" i="6" s="1" a="1"/>
  <c r="E1457" i="6" s="1"/>
  <c r="F1457" i="6" a="1"/>
  <c r="F1457" i="6" s="1"/>
  <c r="C1458" i="6" a="1"/>
  <c r="C1458" i="6" s="1"/>
  <c r="D1458" i="6" a="1"/>
  <c r="D1458" i="6" s="1"/>
  <c r="E1458" i="6" s="1" a="1"/>
  <c r="E1458" i="6" s="1"/>
  <c r="F1458" i="6" a="1"/>
  <c r="F1458" i="6" s="1"/>
  <c r="C1459" i="6" a="1"/>
  <c r="C1459" i="6" s="1"/>
  <c r="D1459" i="6" a="1"/>
  <c r="D1459" i="6" s="1"/>
  <c r="E1459" i="6" s="1" a="1"/>
  <c r="E1459" i="6" s="1"/>
  <c r="F1459" i="6" a="1"/>
  <c r="F1459" i="6" s="1"/>
  <c r="C1460" i="6" a="1"/>
  <c r="C1460" i="6" s="1"/>
  <c r="D1460" i="6" a="1"/>
  <c r="D1460" i="6" s="1"/>
  <c r="E1460" i="6" s="1" a="1"/>
  <c r="E1460" i="6" s="1"/>
  <c r="F1460" i="6" a="1"/>
  <c r="F1460" i="6" s="1"/>
  <c r="C1461" i="6" a="1"/>
  <c r="C1461" i="6" s="1"/>
  <c r="D1461" i="6" a="1"/>
  <c r="D1461" i="6" s="1"/>
  <c r="E1461" i="6" s="1" a="1"/>
  <c r="E1461" i="6" s="1"/>
  <c r="F1461" i="6" a="1"/>
  <c r="F1461" i="6" s="1"/>
  <c r="C1462" i="6" a="1"/>
  <c r="C1462" i="6" s="1"/>
  <c r="D1462" i="6" a="1"/>
  <c r="D1462" i="6" s="1"/>
  <c r="E1462" i="6" s="1" a="1"/>
  <c r="E1462" i="6" s="1"/>
  <c r="F1462" i="6" a="1"/>
  <c r="F1462" i="6" s="1"/>
  <c r="C1463" i="6" a="1"/>
  <c r="C1463" i="6" s="1"/>
  <c r="D1463" i="6" a="1"/>
  <c r="D1463" i="6" s="1"/>
  <c r="E1463" i="6" s="1" a="1"/>
  <c r="E1463" i="6" s="1"/>
  <c r="F1463" i="6" a="1"/>
  <c r="F1463" i="6" s="1"/>
  <c r="C1464" i="6" a="1"/>
  <c r="C1464" i="6" s="1"/>
  <c r="D1464" i="6" a="1"/>
  <c r="D1464" i="6" s="1"/>
  <c r="E1464" i="6" s="1" a="1"/>
  <c r="E1464" i="6" s="1"/>
  <c r="F1464" i="6" a="1"/>
  <c r="F1464" i="6" s="1"/>
  <c r="C1465" i="6" a="1"/>
  <c r="C1465" i="6" s="1"/>
  <c r="D1465" i="6" a="1"/>
  <c r="D1465" i="6" s="1"/>
  <c r="E1465" i="6" s="1" a="1"/>
  <c r="E1465" i="6" s="1"/>
  <c r="F1465" i="6" a="1"/>
  <c r="F1465" i="6" s="1"/>
  <c r="C1466" i="6" a="1"/>
  <c r="C1466" i="6" s="1"/>
  <c r="D1466" i="6" a="1"/>
  <c r="D1466" i="6" s="1"/>
  <c r="E1466" i="6" s="1" a="1"/>
  <c r="E1466" i="6" s="1"/>
  <c r="F1466" i="6" a="1"/>
  <c r="F1466" i="6" s="1"/>
  <c r="C1467" i="6" a="1"/>
  <c r="C1467" i="6" s="1"/>
  <c r="D1467" i="6" a="1"/>
  <c r="D1467" i="6" s="1"/>
  <c r="E1467" i="6" s="1" a="1"/>
  <c r="E1467" i="6" s="1"/>
  <c r="F1467" i="6" a="1"/>
  <c r="F1467" i="6" s="1"/>
  <c r="C1468" i="6" a="1"/>
  <c r="C1468" i="6" s="1"/>
  <c r="D1468" i="6" a="1"/>
  <c r="D1468" i="6" s="1"/>
  <c r="E1468" i="6" s="1" a="1"/>
  <c r="E1468" i="6" s="1"/>
  <c r="F1468" i="6" a="1"/>
  <c r="F1468" i="6" s="1"/>
  <c r="C1469" i="6" a="1"/>
  <c r="C1469" i="6" s="1"/>
  <c r="D1469" i="6" a="1"/>
  <c r="D1469" i="6" s="1"/>
  <c r="E1469" i="6" s="1" a="1"/>
  <c r="E1469" i="6" s="1"/>
  <c r="F1469" i="6" a="1"/>
  <c r="F1469" i="6" s="1"/>
  <c r="C1470" i="6" a="1"/>
  <c r="C1470" i="6" s="1"/>
  <c r="D1470" i="6" a="1"/>
  <c r="D1470" i="6" s="1"/>
  <c r="E1470" i="6" s="1" a="1"/>
  <c r="E1470" i="6" s="1"/>
  <c r="F1470" i="6" a="1"/>
  <c r="F1470" i="6" s="1"/>
  <c r="C1471" i="6" a="1"/>
  <c r="C1471" i="6" s="1"/>
  <c r="D1471" i="6" a="1"/>
  <c r="D1471" i="6" s="1"/>
  <c r="E1471" i="6" s="1" a="1"/>
  <c r="E1471" i="6" s="1"/>
  <c r="F1471" i="6" a="1"/>
  <c r="F1471" i="6" s="1"/>
  <c r="C1472" i="6" a="1"/>
  <c r="C1472" i="6" s="1"/>
  <c r="D1472" i="6" a="1"/>
  <c r="D1472" i="6" s="1"/>
  <c r="E1472" i="6" s="1" a="1"/>
  <c r="E1472" i="6" s="1"/>
  <c r="F1472" i="6" a="1"/>
  <c r="F1472" i="6" s="1"/>
  <c r="C1473" i="6" a="1"/>
  <c r="C1473" i="6" s="1"/>
  <c r="D1473" i="6" a="1"/>
  <c r="D1473" i="6" s="1"/>
  <c r="E1473" i="6" s="1" a="1"/>
  <c r="E1473" i="6" s="1"/>
  <c r="F1473" i="6" a="1"/>
  <c r="F1473" i="6" s="1"/>
  <c r="D2" i="6" a="1"/>
  <c r="D2" i="6" s="1"/>
  <c r="E2" i="6" s="1" a="1"/>
  <c r="E2" i="6" s="1"/>
  <c r="C2" i="6" a="1"/>
  <c r="C2" i="6" s="1"/>
  <c r="F135" i="3" a="1"/>
  <c r="F135" i="3" s="1"/>
  <c r="F55" i="3" a="1"/>
  <c r="F55" i="3" s="1"/>
  <c r="G35" i="4"/>
  <c r="F34" i="4"/>
  <c r="E34" i="4"/>
  <c r="D34" i="4"/>
  <c r="G34" i="4"/>
  <c r="F68" i="3" a="1"/>
  <c r="F68" i="3" s="1"/>
  <c r="G113" i="4"/>
  <c r="F113" i="4"/>
  <c r="E113" i="4"/>
  <c r="D113" i="4"/>
  <c r="G112" i="4"/>
  <c r="F112" i="4"/>
  <c r="E112" i="4"/>
  <c r="D112" i="4"/>
  <c r="G111" i="4"/>
  <c r="F111" i="4"/>
  <c r="E111" i="4"/>
  <c r="D111" i="4"/>
  <c r="G76" i="4"/>
  <c r="F76" i="4"/>
  <c r="E76" i="4"/>
  <c r="D76" i="4"/>
  <c r="G20" i="4"/>
  <c r="F20" i="4"/>
  <c r="E20" i="4"/>
  <c r="D20" i="4"/>
  <c r="G7" i="4"/>
  <c r="F921" i="3" a="1"/>
  <c r="F921" i="3" s="1"/>
  <c r="F543" i="3" a="1"/>
  <c r="F543" i="3" s="1"/>
  <c r="G33" i="4"/>
  <c r="G19" i="4"/>
  <c r="F19" i="4"/>
  <c r="E19" i="4"/>
  <c r="D19" i="4"/>
  <c r="G18" i="4"/>
  <c r="F18" i="4"/>
  <c r="E18" i="4"/>
  <c r="D18" i="4"/>
  <c r="G17" i="4"/>
  <c r="F17" i="4"/>
  <c r="E17" i="4"/>
  <c r="D17" i="4"/>
  <c r="G16" i="4"/>
  <c r="F16" i="4"/>
  <c r="E16" i="4"/>
  <c r="D16" i="4"/>
  <c r="G15" i="4"/>
  <c r="F15" i="4"/>
  <c r="E15" i="4"/>
  <c r="D15" i="4"/>
  <c r="G110" i="4"/>
  <c r="G108" i="4"/>
  <c r="G105" i="4"/>
  <c r="G29" i="4"/>
  <c r="G14" i="4"/>
  <c r="C3" i="5" a="1"/>
  <c r="C3" i="5" s="1"/>
  <c r="C4" i="5" a="1"/>
  <c r="C4" i="5" s="1"/>
  <c r="C5" i="5" a="1"/>
  <c r="C5" i="5" s="1"/>
  <c r="C6" i="5" a="1"/>
  <c r="C6" i="5" s="1"/>
  <c r="C7" i="5" a="1"/>
  <c r="C7" i="5" s="1"/>
  <c r="C8" i="5" a="1"/>
  <c r="C8" i="5" s="1"/>
  <c r="C9" i="5" a="1"/>
  <c r="C9" i="5" s="1"/>
  <c r="C10" i="5" a="1"/>
  <c r="C10" i="5" s="1"/>
  <c r="C11" i="5" a="1"/>
  <c r="C11" i="5" s="1"/>
  <c r="C12" i="5" a="1"/>
  <c r="C12" i="5" s="1"/>
  <c r="C13" i="5" a="1"/>
  <c r="C13" i="5" s="1"/>
  <c r="C14" i="5" a="1"/>
  <c r="C14" i="5" s="1"/>
  <c r="C15" i="5" a="1"/>
  <c r="C15" i="5" s="1"/>
  <c r="C16" i="5" a="1"/>
  <c r="C16" i="5" s="1"/>
  <c r="C17" i="5" a="1"/>
  <c r="C17" i="5" s="1"/>
  <c r="C18" i="5" a="1"/>
  <c r="C18" i="5" s="1"/>
  <c r="C19" i="5" a="1"/>
  <c r="C19" i="5" s="1"/>
  <c r="C20" i="5" a="1"/>
  <c r="C20" i="5" s="1"/>
  <c r="C21" i="5" a="1"/>
  <c r="C21" i="5" s="1"/>
  <c r="C22" i="5" a="1"/>
  <c r="C22" i="5" s="1"/>
  <c r="C23" i="5" a="1"/>
  <c r="C23" i="5" s="1"/>
  <c r="C24" i="5" a="1"/>
  <c r="C24" i="5" s="1"/>
  <c r="C25" i="5" a="1"/>
  <c r="C25" i="5" s="1"/>
  <c r="C26" i="5" a="1"/>
  <c r="C26" i="5" s="1"/>
  <c r="C27" i="5" a="1"/>
  <c r="C27" i="5" s="1"/>
  <c r="C28" i="5" a="1"/>
  <c r="C28" i="5" s="1"/>
  <c r="C29" i="5" a="1"/>
  <c r="C29" i="5" s="1"/>
  <c r="C30" i="5" a="1"/>
  <c r="C30" i="5" s="1"/>
  <c r="C31" i="5" a="1"/>
  <c r="C31" i="5" s="1"/>
  <c r="C32" i="5" a="1"/>
  <c r="C32" i="5" s="1"/>
  <c r="C33" i="5" a="1"/>
  <c r="C33" i="5" s="1"/>
  <c r="C34" i="5" a="1"/>
  <c r="C34" i="5" s="1"/>
  <c r="C35" i="5" a="1"/>
  <c r="C35" i="5" s="1"/>
  <c r="C36" i="5" a="1"/>
  <c r="C36" i="5" s="1"/>
  <c r="C37" i="5" a="1"/>
  <c r="C37" i="5" s="1"/>
  <c r="C38" i="5" a="1"/>
  <c r="C38" i="5" s="1"/>
  <c r="C39" i="5" a="1"/>
  <c r="C39" i="5" s="1"/>
  <c r="C40" i="5" a="1"/>
  <c r="C40" i="5" s="1"/>
  <c r="C41" i="5" a="1"/>
  <c r="C41" i="5" s="1"/>
  <c r="C42" i="5" a="1"/>
  <c r="C42" i="5" s="1"/>
  <c r="C43" i="5" a="1"/>
  <c r="C43" i="5" s="1"/>
  <c r="C44" i="5" a="1"/>
  <c r="C44" i="5" s="1"/>
  <c r="C45" i="5" a="1"/>
  <c r="C45" i="5" s="1"/>
  <c r="C46" i="5" a="1"/>
  <c r="C46" i="5" s="1"/>
  <c r="C47" i="5" a="1"/>
  <c r="C47" i="5" s="1"/>
  <c r="C48" i="5" a="1"/>
  <c r="C48" i="5" s="1"/>
  <c r="C49" i="5" a="1"/>
  <c r="C49" i="5" s="1"/>
  <c r="C50" i="5" a="1"/>
  <c r="C50" i="5" s="1"/>
  <c r="C51" i="5" a="1"/>
  <c r="C51" i="5" s="1"/>
  <c r="C52" i="5" a="1"/>
  <c r="C52" i="5" s="1"/>
  <c r="C53" i="5" a="1"/>
  <c r="C53" i="5" s="1"/>
  <c r="C54" i="5" a="1"/>
  <c r="C54" i="5" s="1"/>
  <c r="C55" i="5" a="1"/>
  <c r="C55" i="5" s="1"/>
  <c r="C56" i="5" a="1"/>
  <c r="C56" i="5" s="1"/>
  <c r="C57" i="5" a="1"/>
  <c r="C57" i="5" s="1"/>
  <c r="C58" i="5" a="1"/>
  <c r="C58" i="5" s="1"/>
  <c r="C59" i="5" a="1"/>
  <c r="C59" i="5" s="1"/>
  <c r="C60" i="5" a="1"/>
  <c r="C60" i="5" s="1"/>
  <c r="C61" i="5" a="1"/>
  <c r="C61" i="5" s="1"/>
  <c r="C62" i="5" a="1"/>
  <c r="C62" i="5" s="1"/>
  <c r="C63" i="5" a="1"/>
  <c r="C63" i="5" s="1"/>
  <c r="C64" i="5" a="1"/>
  <c r="C64" i="5" s="1"/>
  <c r="C65" i="5" a="1"/>
  <c r="C65" i="5" s="1"/>
  <c r="C66" i="5" a="1"/>
  <c r="C66" i="5" s="1"/>
  <c r="C67" i="5" a="1"/>
  <c r="C67" i="5" s="1"/>
  <c r="C68" i="5" a="1"/>
  <c r="C68" i="5" s="1"/>
  <c r="C69" i="5" a="1"/>
  <c r="C69" i="5" s="1"/>
  <c r="C70" i="5" a="1"/>
  <c r="C70" i="5" s="1"/>
  <c r="C71" i="5" a="1"/>
  <c r="C71" i="5" s="1"/>
  <c r="C72" i="5" a="1"/>
  <c r="C72" i="5" s="1"/>
  <c r="C73" i="5" a="1"/>
  <c r="C73" i="5" s="1"/>
  <c r="C74" i="5" a="1"/>
  <c r="C74" i="5" s="1"/>
  <c r="C75" i="5" a="1"/>
  <c r="C75" i="5" s="1"/>
  <c r="C76" i="5" a="1"/>
  <c r="C76" i="5" s="1"/>
  <c r="C77" i="5" a="1"/>
  <c r="C77" i="5" s="1"/>
  <c r="C78" i="5" a="1"/>
  <c r="C78" i="5" s="1"/>
  <c r="C79" i="5" a="1"/>
  <c r="C79" i="5" s="1"/>
  <c r="C80" i="5" a="1"/>
  <c r="C80" i="5" s="1"/>
  <c r="C81" i="5" a="1"/>
  <c r="C81" i="5" s="1"/>
  <c r="C82" i="5" a="1"/>
  <c r="C82" i="5" s="1"/>
  <c r="C83" i="5" a="1"/>
  <c r="C83" i="5" s="1"/>
  <c r="C84" i="5" a="1"/>
  <c r="C84" i="5" s="1"/>
  <c r="C85" i="5" a="1"/>
  <c r="C85" i="5" s="1"/>
  <c r="C86" i="5" a="1"/>
  <c r="C86" i="5" s="1"/>
  <c r="C87" i="5" a="1"/>
  <c r="C87" i="5" s="1"/>
  <c r="C88" i="5" a="1"/>
  <c r="C88" i="5" s="1"/>
  <c r="C89" i="5" a="1"/>
  <c r="C89" i="5" s="1"/>
  <c r="C90" i="5" a="1"/>
  <c r="C90" i="5" s="1"/>
  <c r="C91" i="5" a="1"/>
  <c r="C91" i="5" s="1"/>
  <c r="C92" i="5" a="1"/>
  <c r="C92" i="5" s="1"/>
  <c r="C93" i="5" a="1"/>
  <c r="C93" i="5" s="1"/>
  <c r="C94" i="5" a="1"/>
  <c r="C94" i="5" s="1"/>
  <c r="C95" i="5" a="1"/>
  <c r="C95" i="5" s="1"/>
  <c r="C96" i="5" a="1"/>
  <c r="C96" i="5" s="1"/>
  <c r="C97" i="5" a="1"/>
  <c r="C97" i="5" s="1"/>
  <c r="C98" i="5" a="1"/>
  <c r="C98" i="5" s="1"/>
  <c r="C99" i="5" a="1"/>
  <c r="C99" i="5" s="1"/>
  <c r="C100" i="5" a="1"/>
  <c r="C100" i="5" s="1"/>
  <c r="C101" i="5" a="1"/>
  <c r="C101" i="5" s="1"/>
  <c r="C102" i="5" a="1"/>
  <c r="C102" i="5" s="1"/>
  <c r="C103" i="5" a="1"/>
  <c r="C103" i="5" s="1"/>
  <c r="C104" i="5" a="1"/>
  <c r="C104" i="5" s="1"/>
  <c r="C105" i="5" a="1"/>
  <c r="C105" i="5" s="1"/>
  <c r="C106" i="5" a="1"/>
  <c r="C106" i="5" s="1"/>
  <c r="C107" i="5" a="1"/>
  <c r="C107" i="5" s="1"/>
  <c r="C108" i="5" a="1"/>
  <c r="C108" i="5" s="1"/>
  <c r="C109" i="5" a="1"/>
  <c r="C109" i="5" s="1"/>
  <c r="C110" i="5" a="1"/>
  <c r="C110" i="5" s="1"/>
  <c r="C111" i="5" a="1"/>
  <c r="C111" i="5" s="1"/>
  <c r="C112" i="5" a="1"/>
  <c r="C112" i="5" s="1"/>
  <c r="C113" i="5" a="1"/>
  <c r="C113" i="5" s="1"/>
  <c r="C114" i="5" a="1"/>
  <c r="C114" i="5" s="1"/>
  <c r="C115" i="5" a="1"/>
  <c r="C115" i="5" s="1"/>
  <c r="C116" i="5" a="1"/>
  <c r="C116" i="5" s="1"/>
  <c r="C117" i="5" a="1"/>
  <c r="C117" i="5" s="1"/>
  <c r="C118" i="5" a="1"/>
  <c r="C118" i="5" s="1"/>
  <c r="C119" i="5" a="1"/>
  <c r="C119" i="5" s="1"/>
  <c r="C120" i="5" a="1"/>
  <c r="C120" i="5" s="1"/>
  <c r="C121" i="5" a="1"/>
  <c r="C121" i="5" s="1"/>
  <c r="C122" i="5" a="1"/>
  <c r="C122" i="5" s="1"/>
  <c r="C123" i="5" a="1"/>
  <c r="C123" i="5" s="1"/>
  <c r="C124" i="5" a="1"/>
  <c r="C124" i="5" s="1"/>
  <c r="C125" i="5" a="1"/>
  <c r="C125" i="5" s="1"/>
  <c r="C126" i="5" a="1"/>
  <c r="C126" i="5" s="1"/>
  <c r="C127" i="5" a="1"/>
  <c r="C127" i="5" s="1"/>
  <c r="C128" i="5" a="1"/>
  <c r="C128" i="5" s="1"/>
  <c r="C129" i="5" a="1"/>
  <c r="C129" i="5" s="1"/>
  <c r="C130" i="5" a="1"/>
  <c r="C130" i="5" s="1"/>
  <c r="C131" i="5" a="1"/>
  <c r="C131" i="5" s="1"/>
  <c r="C132" i="5" a="1"/>
  <c r="C132" i="5" s="1"/>
  <c r="C133" i="5" a="1"/>
  <c r="C133" i="5" s="1"/>
  <c r="C134" i="5" a="1"/>
  <c r="C134" i="5" s="1"/>
  <c r="C135" i="5" a="1"/>
  <c r="C135" i="5" s="1"/>
  <c r="C136" i="5" a="1"/>
  <c r="C136" i="5" s="1"/>
  <c r="C137" i="5" a="1"/>
  <c r="C137" i="5" s="1"/>
  <c r="C138" i="5" a="1"/>
  <c r="C138" i="5" s="1"/>
  <c r="C139" i="5" a="1"/>
  <c r="C139" i="5" s="1"/>
  <c r="C140" i="5" a="1"/>
  <c r="C140" i="5" s="1"/>
  <c r="C141" i="5" a="1"/>
  <c r="C141" i="5" s="1"/>
  <c r="C142" i="5" a="1"/>
  <c r="C142" i="5" s="1"/>
  <c r="C143" i="5" a="1"/>
  <c r="C143" i="5" s="1"/>
  <c r="C144" i="5" a="1"/>
  <c r="C144" i="5" s="1"/>
  <c r="C145" i="5" a="1"/>
  <c r="C145" i="5" s="1"/>
  <c r="C146" i="5" a="1"/>
  <c r="C146" i="5" s="1"/>
  <c r="C147" i="5" a="1"/>
  <c r="C147" i="5" s="1"/>
  <c r="C148" i="5" a="1"/>
  <c r="C148" i="5" s="1"/>
  <c r="C149" i="5" a="1"/>
  <c r="C149" i="5" s="1"/>
  <c r="C150" i="5" a="1"/>
  <c r="C150" i="5" s="1"/>
  <c r="C151" i="5" a="1"/>
  <c r="C151" i="5" s="1"/>
  <c r="C152" i="5" a="1"/>
  <c r="C152" i="5" s="1"/>
  <c r="C153" i="5" a="1"/>
  <c r="C153" i="5" s="1"/>
  <c r="C154" i="5" a="1"/>
  <c r="C154" i="5" s="1"/>
  <c r="C155" i="5" a="1"/>
  <c r="C155" i="5" s="1"/>
  <c r="C156" i="5" a="1"/>
  <c r="C156" i="5" s="1"/>
  <c r="C157" i="5" a="1"/>
  <c r="C157" i="5" s="1"/>
  <c r="C158" i="5" a="1"/>
  <c r="C158" i="5" s="1"/>
  <c r="C159" i="5" a="1"/>
  <c r="C159" i="5" s="1"/>
  <c r="C160" i="5" a="1"/>
  <c r="C160" i="5" s="1"/>
  <c r="C161" i="5" a="1"/>
  <c r="C161" i="5" s="1"/>
  <c r="C162" i="5" a="1"/>
  <c r="C162" i="5" s="1"/>
  <c r="C163" i="5" a="1"/>
  <c r="C163" i="5" s="1"/>
  <c r="C164" i="5" a="1"/>
  <c r="C164" i="5" s="1"/>
  <c r="C165" i="5" a="1"/>
  <c r="C165" i="5" s="1"/>
  <c r="C166" i="5" a="1"/>
  <c r="C166" i="5" s="1"/>
  <c r="C167" i="5" a="1"/>
  <c r="C167" i="5" s="1"/>
  <c r="C168" i="5" a="1"/>
  <c r="C168" i="5" s="1"/>
  <c r="C169" i="5" a="1"/>
  <c r="C169" i="5" s="1"/>
  <c r="C170" i="5" a="1"/>
  <c r="C170" i="5" s="1"/>
  <c r="C171" i="5" a="1"/>
  <c r="C171" i="5" s="1"/>
  <c r="C172" i="5" a="1"/>
  <c r="C172" i="5" s="1"/>
  <c r="C173" i="5" a="1"/>
  <c r="C173" i="5" s="1"/>
  <c r="C174" i="5" a="1"/>
  <c r="C174" i="5" s="1"/>
  <c r="C175" i="5" a="1"/>
  <c r="C175" i="5" s="1"/>
  <c r="C176" i="5" a="1"/>
  <c r="C176" i="5" s="1"/>
  <c r="C177" i="5" a="1"/>
  <c r="C177" i="5" s="1"/>
  <c r="C178" i="5" a="1"/>
  <c r="C178" i="5" s="1"/>
  <c r="C179" i="5" a="1"/>
  <c r="C179" i="5" s="1"/>
  <c r="C180" i="5" a="1"/>
  <c r="C180" i="5" s="1"/>
  <c r="C181" i="5" a="1"/>
  <c r="C181" i="5" s="1"/>
  <c r="C182" i="5" a="1"/>
  <c r="C182" i="5" s="1"/>
  <c r="C183" i="5" a="1"/>
  <c r="C183" i="5" s="1"/>
  <c r="C184" i="5" a="1"/>
  <c r="C184" i="5" s="1"/>
  <c r="C185" i="5" a="1"/>
  <c r="C185" i="5" s="1"/>
  <c r="C186" i="5" a="1"/>
  <c r="C186" i="5" s="1"/>
  <c r="C187" i="5" a="1"/>
  <c r="C187" i="5" s="1"/>
  <c r="C188" i="5" a="1"/>
  <c r="C188" i="5" s="1"/>
  <c r="C189" i="5" a="1"/>
  <c r="C189" i="5" s="1"/>
  <c r="C190" i="5" a="1"/>
  <c r="C190" i="5" s="1"/>
  <c r="C191" i="5" a="1"/>
  <c r="C191" i="5" s="1"/>
  <c r="C192" i="5" a="1"/>
  <c r="C192" i="5" s="1"/>
  <c r="C193" i="5" a="1"/>
  <c r="C193" i="5" s="1"/>
  <c r="C194" i="5" a="1"/>
  <c r="C194" i="5" s="1"/>
  <c r="C195" i="5" a="1"/>
  <c r="C195" i="5" s="1"/>
  <c r="C196" i="5" a="1"/>
  <c r="C196" i="5" s="1"/>
  <c r="C197" i="5" a="1"/>
  <c r="C197" i="5" s="1"/>
  <c r="C198" i="5" a="1"/>
  <c r="C198" i="5" s="1"/>
  <c r="C199" i="5" a="1"/>
  <c r="C199" i="5" s="1"/>
  <c r="C200" i="5" a="1"/>
  <c r="C200" i="5" s="1"/>
  <c r="C201" i="5" a="1"/>
  <c r="C201" i="5" s="1"/>
  <c r="C202" i="5" a="1"/>
  <c r="C202" i="5" s="1"/>
  <c r="C203" i="5" a="1"/>
  <c r="C203" i="5" s="1"/>
  <c r="C204" i="5" a="1"/>
  <c r="C204" i="5" s="1"/>
  <c r="C205" i="5" a="1"/>
  <c r="C205" i="5" s="1"/>
  <c r="C206" i="5" a="1"/>
  <c r="C206" i="5" s="1"/>
  <c r="C207" i="5" a="1"/>
  <c r="C207" i="5" s="1"/>
  <c r="C208" i="5" a="1"/>
  <c r="C208" i="5" s="1"/>
  <c r="C209" i="5" a="1"/>
  <c r="C209" i="5" s="1"/>
  <c r="C210" i="5" a="1"/>
  <c r="C210" i="5" s="1"/>
  <c r="C211" i="5" a="1"/>
  <c r="C211" i="5" s="1"/>
  <c r="C212" i="5" a="1"/>
  <c r="C212" i="5" s="1"/>
  <c r="C213" i="5" a="1"/>
  <c r="C213" i="5" s="1"/>
  <c r="C214" i="5" a="1"/>
  <c r="C214" i="5" s="1"/>
  <c r="C215" i="5" a="1"/>
  <c r="C215" i="5" s="1"/>
  <c r="C216" i="5" a="1"/>
  <c r="C216" i="5" s="1"/>
  <c r="C217" i="5" a="1"/>
  <c r="C217" i="5" s="1"/>
  <c r="C218" i="5" a="1"/>
  <c r="C218" i="5" s="1"/>
  <c r="C219" i="5" a="1"/>
  <c r="C219" i="5" s="1"/>
  <c r="C220" i="5" a="1"/>
  <c r="C220" i="5" s="1"/>
  <c r="C221" i="5" a="1"/>
  <c r="C221" i="5" s="1"/>
  <c r="C222" i="5" a="1"/>
  <c r="C222" i="5" s="1"/>
  <c r="C223" i="5" a="1"/>
  <c r="C223" i="5" s="1"/>
  <c r="C224" i="5" a="1"/>
  <c r="C224" i="5" s="1"/>
  <c r="C225" i="5" a="1"/>
  <c r="C225" i="5" s="1"/>
  <c r="C226" i="5" a="1"/>
  <c r="C226" i="5" s="1"/>
  <c r="C227" i="5" a="1"/>
  <c r="C227" i="5" s="1"/>
  <c r="C228" i="5" a="1"/>
  <c r="C228" i="5" s="1"/>
  <c r="C229" i="5" a="1"/>
  <c r="C229" i="5" s="1"/>
  <c r="C230" i="5" a="1"/>
  <c r="C230" i="5" s="1"/>
  <c r="C231" i="5" a="1"/>
  <c r="C231" i="5" s="1"/>
  <c r="C232" i="5" a="1"/>
  <c r="C232" i="5" s="1"/>
  <c r="C233" i="5" a="1"/>
  <c r="C233" i="5" s="1"/>
  <c r="C234" i="5" a="1"/>
  <c r="C234" i="5" s="1"/>
  <c r="C235" i="5" a="1"/>
  <c r="C235" i="5" s="1"/>
  <c r="C236" i="5" a="1"/>
  <c r="C236" i="5" s="1"/>
  <c r="C237" i="5" a="1"/>
  <c r="C237" i="5" s="1"/>
  <c r="C238" i="5" a="1"/>
  <c r="C238" i="5" s="1"/>
  <c r="C239" i="5" a="1"/>
  <c r="C239" i="5" s="1"/>
  <c r="C240" i="5" a="1"/>
  <c r="C240" i="5" s="1"/>
  <c r="C241" i="5" a="1"/>
  <c r="C241" i="5" s="1"/>
  <c r="C242" i="5" a="1"/>
  <c r="C242" i="5" s="1"/>
  <c r="C243" i="5" a="1"/>
  <c r="C243" i="5" s="1"/>
  <c r="C244" i="5" a="1"/>
  <c r="C244" i="5" s="1"/>
  <c r="C245" i="5" a="1"/>
  <c r="C245" i="5" s="1"/>
  <c r="C246" i="5" a="1"/>
  <c r="C246" i="5" s="1"/>
  <c r="C247" i="5" a="1"/>
  <c r="C247" i="5" s="1"/>
  <c r="C248" i="5" a="1"/>
  <c r="C248" i="5" s="1"/>
  <c r="C249" i="5" a="1"/>
  <c r="C249" i="5" s="1"/>
  <c r="C250" i="5" a="1"/>
  <c r="C250" i="5" s="1"/>
  <c r="C251" i="5" a="1"/>
  <c r="C251" i="5" s="1"/>
  <c r="C252" i="5" a="1"/>
  <c r="C252" i="5" s="1"/>
  <c r="C253" i="5" a="1"/>
  <c r="C253" i="5" s="1"/>
  <c r="C254" i="5" a="1"/>
  <c r="C254" i="5" s="1"/>
  <c r="C255" i="5" a="1"/>
  <c r="C255" i="5" s="1"/>
  <c r="C256" i="5" a="1"/>
  <c r="C256" i="5" s="1"/>
  <c r="C257" i="5" a="1"/>
  <c r="C257" i="5" s="1"/>
  <c r="C258" i="5" a="1"/>
  <c r="C258" i="5" s="1"/>
  <c r="C259" i="5" a="1"/>
  <c r="C259" i="5" s="1"/>
  <c r="C260" i="5" a="1"/>
  <c r="C260" i="5" s="1"/>
  <c r="C261" i="5" a="1"/>
  <c r="C261" i="5" s="1"/>
  <c r="C262" i="5" a="1"/>
  <c r="C262" i="5" s="1"/>
  <c r="C263" i="5" a="1"/>
  <c r="C263" i="5" s="1"/>
  <c r="C264" i="5" a="1"/>
  <c r="C264" i="5" s="1"/>
  <c r="C265" i="5" a="1"/>
  <c r="C265" i="5" s="1"/>
  <c r="C266" i="5" a="1"/>
  <c r="C266" i="5" s="1"/>
  <c r="C267" i="5" a="1"/>
  <c r="C267" i="5" s="1"/>
  <c r="C268" i="5" a="1"/>
  <c r="C268" i="5" s="1"/>
  <c r="C269" i="5" a="1"/>
  <c r="C269" i="5" s="1"/>
  <c r="C270" i="5" a="1"/>
  <c r="C270" i="5" s="1"/>
  <c r="C271" i="5" a="1"/>
  <c r="C271" i="5" s="1"/>
  <c r="C272" i="5" a="1"/>
  <c r="C272" i="5" s="1"/>
  <c r="C273" i="5" a="1"/>
  <c r="C273" i="5" s="1"/>
  <c r="C274" i="5" a="1"/>
  <c r="C274" i="5" s="1"/>
  <c r="C275" i="5" a="1"/>
  <c r="C275" i="5" s="1"/>
  <c r="C276" i="5" a="1"/>
  <c r="C276" i="5" s="1"/>
  <c r="C277" i="5" a="1"/>
  <c r="C277" i="5" s="1"/>
  <c r="C278" i="5" a="1"/>
  <c r="C278" i="5" s="1"/>
  <c r="C279" i="5" a="1"/>
  <c r="C279" i="5" s="1"/>
  <c r="C280" i="5" a="1"/>
  <c r="C280" i="5" s="1"/>
  <c r="C281" i="5" a="1"/>
  <c r="C281" i="5" s="1"/>
  <c r="C282" i="5" a="1"/>
  <c r="C282" i="5" s="1"/>
  <c r="C283" i="5" a="1"/>
  <c r="C283" i="5" s="1"/>
  <c r="C284" i="5" a="1"/>
  <c r="C284" i="5" s="1"/>
  <c r="C285" i="5" a="1"/>
  <c r="C285" i="5" s="1"/>
  <c r="C286" i="5" a="1"/>
  <c r="C286" i="5" s="1"/>
  <c r="C287" i="5" a="1"/>
  <c r="C287" i="5" s="1"/>
  <c r="C288" i="5" a="1"/>
  <c r="C288" i="5" s="1"/>
  <c r="C289" i="5" a="1"/>
  <c r="C289" i="5" s="1"/>
  <c r="C290" i="5" a="1"/>
  <c r="C290" i="5" s="1"/>
  <c r="C291" i="5" a="1"/>
  <c r="C291" i="5" s="1"/>
  <c r="C292" i="5" a="1"/>
  <c r="C292" i="5" s="1"/>
  <c r="C293" i="5" a="1"/>
  <c r="C293" i="5" s="1"/>
  <c r="C294" i="5" a="1"/>
  <c r="C294" i="5" s="1"/>
  <c r="C295" i="5" a="1"/>
  <c r="C295" i="5" s="1"/>
  <c r="C296" i="5" a="1"/>
  <c r="C296" i="5" s="1"/>
  <c r="C297" i="5" a="1"/>
  <c r="C297" i="5" s="1"/>
  <c r="C298" i="5" a="1"/>
  <c r="C298" i="5" s="1"/>
  <c r="C299" i="5" a="1"/>
  <c r="C299" i="5" s="1"/>
  <c r="C300" i="5" a="1"/>
  <c r="C300" i="5" s="1"/>
  <c r="C301" i="5" a="1"/>
  <c r="C301" i="5" s="1"/>
  <c r="C302" i="5" a="1"/>
  <c r="C302" i="5" s="1"/>
  <c r="C303" i="5" a="1"/>
  <c r="C303" i="5" s="1"/>
  <c r="C304" i="5" a="1"/>
  <c r="C304" i="5" s="1"/>
  <c r="C305" i="5" a="1"/>
  <c r="C305" i="5" s="1"/>
  <c r="C306" i="5" a="1"/>
  <c r="C306" i="5" s="1"/>
  <c r="C307" i="5" a="1"/>
  <c r="C307" i="5" s="1"/>
  <c r="C308" i="5" a="1"/>
  <c r="C308" i="5" s="1"/>
  <c r="C309" i="5" a="1"/>
  <c r="C309" i="5" s="1"/>
  <c r="C310" i="5" a="1"/>
  <c r="C310" i="5" s="1"/>
  <c r="C311" i="5" a="1"/>
  <c r="C311" i="5" s="1"/>
  <c r="C312" i="5" a="1"/>
  <c r="C312" i="5" s="1"/>
  <c r="C313" i="5" a="1"/>
  <c r="C313" i="5" s="1"/>
  <c r="C314" i="5" a="1"/>
  <c r="C314" i="5" s="1"/>
  <c r="C315" i="5" a="1"/>
  <c r="C315" i="5" s="1"/>
  <c r="C316" i="5" a="1"/>
  <c r="C316" i="5" s="1"/>
  <c r="C317" i="5" a="1"/>
  <c r="C317" i="5" s="1"/>
  <c r="C318" i="5" a="1"/>
  <c r="C318" i="5" s="1"/>
  <c r="C319" i="5" a="1"/>
  <c r="C319" i="5" s="1"/>
  <c r="C320" i="5" a="1"/>
  <c r="C320" i="5" s="1"/>
  <c r="C321" i="5" a="1"/>
  <c r="C321" i="5" s="1"/>
  <c r="C322" i="5" a="1"/>
  <c r="C322" i="5" s="1"/>
  <c r="C323" i="5" a="1"/>
  <c r="C323" i="5" s="1"/>
  <c r="C324" i="5" a="1"/>
  <c r="C324" i="5" s="1"/>
  <c r="C325" i="5" a="1"/>
  <c r="C325" i="5" s="1"/>
  <c r="C326" i="5" a="1"/>
  <c r="C326" i="5" s="1"/>
  <c r="C327" i="5" a="1"/>
  <c r="C327" i="5" s="1"/>
  <c r="C328" i="5" a="1"/>
  <c r="C328" i="5" s="1"/>
  <c r="C329" i="5" a="1"/>
  <c r="C329" i="5" s="1"/>
  <c r="C330" i="5" a="1"/>
  <c r="C330" i="5" s="1"/>
  <c r="C331" i="5" a="1"/>
  <c r="C331" i="5" s="1"/>
  <c r="C332" i="5" a="1"/>
  <c r="C332" i="5" s="1"/>
  <c r="C333" i="5" a="1"/>
  <c r="C333" i="5" s="1"/>
  <c r="C334" i="5" a="1"/>
  <c r="C334" i="5" s="1"/>
  <c r="C335" i="5" a="1"/>
  <c r="C335" i="5" s="1"/>
  <c r="C336" i="5" a="1"/>
  <c r="C336" i="5" s="1"/>
  <c r="C337" i="5" a="1"/>
  <c r="C337" i="5" s="1"/>
  <c r="C338" i="5" a="1"/>
  <c r="C338" i="5" s="1"/>
  <c r="C339" i="5" a="1"/>
  <c r="C339" i="5" s="1"/>
  <c r="C340" i="5" a="1"/>
  <c r="C340" i="5" s="1"/>
  <c r="C341" i="5" a="1"/>
  <c r="C341" i="5" s="1"/>
  <c r="C342" i="5" a="1"/>
  <c r="C342" i="5" s="1"/>
  <c r="C343" i="5" a="1"/>
  <c r="C343" i="5" s="1"/>
  <c r="C344" i="5" a="1"/>
  <c r="C344" i="5" s="1"/>
  <c r="C345" i="5" a="1"/>
  <c r="C345" i="5" s="1"/>
  <c r="C346" i="5" a="1"/>
  <c r="C346" i="5" s="1"/>
  <c r="C347" i="5" a="1"/>
  <c r="C347" i="5" s="1"/>
  <c r="C348" i="5" a="1"/>
  <c r="C348" i="5" s="1"/>
  <c r="C349" i="5" a="1"/>
  <c r="C349" i="5" s="1"/>
  <c r="C350" i="5" a="1"/>
  <c r="C350" i="5" s="1"/>
  <c r="C351" i="5" a="1"/>
  <c r="C351" i="5" s="1"/>
  <c r="C352" i="5" a="1"/>
  <c r="C352" i="5" s="1"/>
  <c r="C353" i="5" a="1"/>
  <c r="C353" i="5" s="1"/>
  <c r="C354" i="5" a="1"/>
  <c r="C354" i="5" s="1"/>
  <c r="C355" i="5" a="1"/>
  <c r="C355" i="5" s="1"/>
  <c r="C356" i="5" a="1"/>
  <c r="C356" i="5" s="1"/>
  <c r="C357" i="5" a="1"/>
  <c r="C357" i="5" s="1"/>
  <c r="C358" i="5" a="1"/>
  <c r="C358" i="5" s="1"/>
  <c r="C359" i="5" a="1"/>
  <c r="C359" i="5" s="1"/>
  <c r="C360" i="5" a="1"/>
  <c r="C360" i="5" s="1"/>
  <c r="C361" i="5" a="1"/>
  <c r="C361" i="5" s="1"/>
  <c r="C362" i="5" a="1"/>
  <c r="C362" i="5" s="1"/>
  <c r="C363" i="5" a="1"/>
  <c r="C363" i="5" s="1"/>
  <c r="C364" i="5" a="1"/>
  <c r="C364" i="5" s="1"/>
  <c r="C365" i="5" a="1"/>
  <c r="C365" i="5" s="1"/>
  <c r="C366" i="5" a="1"/>
  <c r="C366" i="5" s="1"/>
  <c r="C367" i="5" a="1"/>
  <c r="C367" i="5" s="1"/>
  <c r="C368" i="5" a="1"/>
  <c r="C368" i="5" s="1"/>
  <c r="C369" i="5" a="1"/>
  <c r="C369" i="5" s="1"/>
  <c r="C370" i="5" a="1"/>
  <c r="C370" i="5" s="1"/>
  <c r="C371" i="5" a="1"/>
  <c r="C371" i="5" s="1"/>
  <c r="C372" i="5" a="1"/>
  <c r="C372" i="5" s="1"/>
  <c r="C373" i="5" a="1"/>
  <c r="C373" i="5" s="1"/>
  <c r="C374" i="5" a="1"/>
  <c r="C374" i="5" s="1"/>
  <c r="C375" i="5" a="1"/>
  <c r="C375" i="5" s="1"/>
  <c r="C376" i="5" a="1"/>
  <c r="C376" i="5" s="1"/>
  <c r="C377" i="5" a="1"/>
  <c r="C377" i="5" s="1"/>
  <c r="C378" i="5" a="1"/>
  <c r="C378" i="5" s="1"/>
  <c r="C379" i="5" a="1"/>
  <c r="C379" i="5" s="1"/>
  <c r="C380" i="5" a="1"/>
  <c r="C380" i="5" s="1"/>
  <c r="C381" i="5" a="1"/>
  <c r="C381" i="5" s="1"/>
  <c r="C382" i="5" a="1"/>
  <c r="C382" i="5" s="1"/>
  <c r="C383" i="5" a="1"/>
  <c r="C383" i="5" s="1"/>
  <c r="C384" i="5" a="1"/>
  <c r="C384" i="5" s="1"/>
  <c r="C385" i="5" a="1"/>
  <c r="C385" i="5" s="1"/>
  <c r="C386" i="5" a="1"/>
  <c r="C386" i="5" s="1"/>
  <c r="C387" i="5" a="1"/>
  <c r="C387" i="5" s="1"/>
  <c r="C388" i="5" a="1"/>
  <c r="C388" i="5" s="1"/>
  <c r="C389" i="5" a="1"/>
  <c r="C389" i="5" s="1"/>
  <c r="C390" i="5" a="1"/>
  <c r="C390" i="5" s="1"/>
  <c r="C391" i="5" a="1"/>
  <c r="C391" i="5" s="1"/>
  <c r="C392" i="5" a="1"/>
  <c r="C392" i="5" s="1"/>
  <c r="C393" i="5" a="1"/>
  <c r="C393" i="5" s="1"/>
  <c r="C394" i="5" a="1"/>
  <c r="C394" i="5" s="1"/>
  <c r="C395" i="5" a="1"/>
  <c r="C395" i="5" s="1"/>
  <c r="C396" i="5" a="1"/>
  <c r="C396" i="5" s="1"/>
  <c r="C397" i="5" a="1"/>
  <c r="C397" i="5" s="1"/>
  <c r="C398" i="5" a="1"/>
  <c r="C398" i="5" s="1"/>
  <c r="C399" i="5" a="1"/>
  <c r="C399" i="5" s="1"/>
  <c r="C400" i="5" a="1"/>
  <c r="C400" i="5" s="1"/>
  <c r="C401" i="5" a="1"/>
  <c r="C401" i="5" s="1"/>
  <c r="C402" i="5" a="1"/>
  <c r="C402" i="5" s="1"/>
  <c r="C403" i="5" a="1"/>
  <c r="C403" i="5" s="1"/>
  <c r="C404" i="5" a="1"/>
  <c r="C404" i="5" s="1"/>
  <c r="C405" i="5" a="1"/>
  <c r="C405" i="5" s="1"/>
  <c r="C406" i="5" a="1"/>
  <c r="C406" i="5" s="1"/>
  <c r="C407" i="5" a="1"/>
  <c r="C407" i="5" s="1"/>
  <c r="C408" i="5" a="1"/>
  <c r="C408" i="5" s="1"/>
  <c r="C409" i="5" a="1"/>
  <c r="C409" i="5" s="1"/>
  <c r="C410" i="5" a="1"/>
  <c r="C410" i="5" s="1"/>
  <c r="C411" i="5" a="1"/>
  <c r="C411" i="5" s="1"/>
  <c r="C412" i="5" a="1"/>
  <c r="C412" i="5" s="1"/>
  <c r="C413" i="5" a="1"/>
  <c r="C413" i="5" s="1"/>
  <c r="C414" i="5" a="1"/>
  <c r="C414" i="5" s="1"/>
  <c r="C415" i="5" a="1"/>
  <c r="C415" i="5" s="1"/>
  <c r="C416" i="5" a="1"/>
  <c r="C416" i="5" s="1"/>
  <c r="C417" i="5" a="1"/>
  <c r="C417" i="5" s="1"/>
  <c r="C418" i="5" a="1"/>
  <c r="C418" i="5" s="1"/>
  <c r="C419" i="5" a="1"/>
  <c r="C419" i="5" s="1"/>
  <c r="C420" i="5" a="1"/>
  <c r="C420" i="5" s="1"/>
  <c r="C421" i="5" a="1"/>
  <c r="C421" i="5" s="1"/>
  <c r="C422" i="5" a="1"/>
  <c r="C422" i="5" s="1"/>
  <c r="C423" i="5" a="1"/>
  <c r="C423" i="5" s="1"/>
  <c r="C424" i="5" a="1"/>
  <c r="C424" i="5" s="1"/>
  <c r="C425" i="5" a="1"/>
  <c r="C425" i="5" s="1"/>
  <c r="C426" i="5" a="1"/>
  <c r="C426" i="5" s="1"/>
  <c r="C427" i="5" a="1"/>
  <c r="C427" i="5" s="1"/>
  <c r="C428" i="5" a="1"/>
  <c r="C428" i="5" s="1"/>
  <c r="C429" i="5" a="1"/>
  <c r="C429" i="5" s="1"/>
  <c r="C430" i="5" a="1"/>
  <c r="C430" i="5" s="1"/>
  <c r="C431" i="5" a="1"/>
  <c r="C431" i="5" s="1"/>
  <c r="C432" i="5" a="1"/>
  <c r="C432" i="5" s="1"/>
  <c r="C433" i="5" a="1"/>
  <c r="C433" i="5" s="1"/>
  <c r="C434" i="5" a="1"/>
  <c r="C434" i="5" s="1"/>
  <c r="C435" i="5" a="1"/>
  <c r="C435" i="5" s="1"/>
  <c r="C436" i="5" a="1"/>
  <c r="C436" i="5" s="1"/>
  <c r="C437" i="5" a="1"/>
  <c r="C437" i="5" s="1"/>
  <c r="C438" i="5" a="1"/>
  <c r="C438" i="5" s="1"/>
  <c r="C439" i="5" a="1"/>
  <c r="C439" i="5" s="1"/>
  <c r="C440" i="5" a="1"/>
  <c r="C440" i="5" s="1"/>
  <c r="C441" i="5" a="1"/>
  <c r="C441" i="5" s="1"/>
  <c r="C442" i="5" a="1"/>
  <c r="C442" i="5" s="1"/>
  <c r="C443" i="5" a="1"/>
  <c r="C443" i="5" s="1"/>
  <c r="C444" i="5" a="1"/>
  <c r="C444" i="5" s="1"/>
  <c r="C445" i="5" a="1"/>
  <c r="C445" i="5" s="1"/>
  <c r="C446" i="5" a="1"/>
  <c r="C446" i="5" s="1"/>
  <c r="C447" i="5" a="1"/>
  <c r="C447" i="5" s="1"/>
  <c r="C448" i="5" a="1"/>
  <c r="C448" i="5" s="1"/>
  <c r="C449" i="5" a="1"/>
  <c r="C449" i="5" s="1"/>
  <c r="C450" i="5" a="1"/>
  <c r="C450" i="5" s="1"/>
  <c r="C451" i="5" a="1"/>
  <c r="C451" i="5" s="1"/>
  <c r="C452" i="5" a="1"/>
  <c r="C452" i="5" s="1"/>
  <c r="C453" i="5" a="1"/>
  <c r="C453" i="5" s="1"/>
  <c r="C454" i="5" a="1"/>
  <c r="C454" i="5" s="1"/>
  <c r="C455" i="5" a="1"/>
  <c r="C455" i="5" s="1"/>
  <c r="C456" i="5" a="1"/>
  <c r="C456" i="5" s="1"/>
  <c r="C457" i="5" a="1"/>
  <c r="C457" i="5" s="1"/>
  <c r="C458" i="5" a="1"/>
  <c r="C458" i="5" s="1"/>
  <c r="C459" i="5" a="1"/>
  <c r="C459" i="5" s="1"/>
  <c r="C460" i="5" a="1"/>
  <c r="C460" i="5" s="1"/>
  <c r="C461" i="5" a="1"/>
  <c r="C461" i="5" s="1"/>
  <c r="C462" i="5" a="1"/>
  <c r="C462" i="5" s="1"/>
  <c r="C463" i="5" a="1"/>
  <c r="C463" i="5" s="1"/>
  <c r="C464" i="5" a="1"/>
  <c r="C464" i="5" s="1"/>
  <c r="C465" i="5" a="1"/>
  <c r="C465" i="5" s="1"/>
  <c r="C466" i="5" a="1"/>
  <c r="C466" i="5" s="1"/>
  <c r="C467" i="5" a="1"/>
  <c r="C467" i="5" s="1"/>
  <c r="C468" i="5" a="1"/>
  <c r="C468" i="5" s="1"/>
  <c r="C469" i="5" a="1"/>
  <c r="C469" i="5" s="1"/>
  <c r="C470" i="5" a="1"/>
  <c r="C470" i="5" s="1"/>
  <c r="C471" i="5" a="1"/>
  <c r="C471" i="5" s="1"/>
  <c r="C472" i="5" a="1"/>
  <c r="C472" i="5" s="1"/>
  <c r="C473" i="5" a="1"/>
  <c r="C473" i="5" s="1"/>
  <c r="C474" i="5" a="1"/>
  <c r="C474" i="5" s="1"/>
  <c r="C475" i="5" a="1"/>
  <c r="C475" i="5" s="1"/>
  <c r="C476" i="5" a="1"/>
  <c r="C476" i="5" s="1"/>
  <c r="C477" i="5" a="1"/>
  <c r="C477" i="5" s="1"/>
  <c r="C478" i="5" a="1"/>
  <c r="C478" i="5" s="1"/>
  <c r="C479" i="5" a="1"/>
  <c r="C479" i="5" s="1"/>
  <c r="C480" i="5" a="1"/>
  <c r="C480" i="5" s="1"/>
  <c r="C481" i="5" a="1"/>
  <c r="C481" i="5" s="1"/>
  <c r="C482" i="5" a="1"/>
  <c r="C482" i="5" s="1"/>
  <c r="C483" i="5" a="1"/>
  <c r="C483" i="5" s="1"/>
  <c r="C484" i="5" a="1"/>
  <c r="C484" i="5" s="1"/>
  <c r="C485" i="5" a="1"/>
  <c r="C485" i="5" s="1"/>
  <c r="C486" i="5" a="1"/>
  <c r="C486" i="5" s="1"/>
  <c r="C487" i="5" a="1"/>
  <c r="C487" i="5" s="1"/>
  <c r="C488" i="5" a="1"/>
  <c r="C488" i="5" s="1"/>
  <c r="C489" i="5" a="1"/>
  <c r="C489" i="5" s="1"/>
  <c r="C490" i="5" a="1"/>
  <c r="C490" i="5" s="1"/>
  <c r="C491" i="5" a="1"/>
  <c r="C491" i="5" s="1"/>
  <c r="C492" i="5" a="1"/>
  <c r="C492" i="5" s="1"/>
  <c r="C493" i="5" a="1"/>
  <c r="C493" i="5" s="1"/>
  <c r="C494" i="5" a="1"/>
  <c r="C494" i="5" s="1"/>
  <c r="C495" i="5" a="1"/>
  <c r="C495" i="5" s="1"/>
  <c r="C496" i="5" a="1"/>
  <c r="C496" i="5" s="1"/>
  <c r="C497" i="5" a="1"/>
  <c r="C497" i="5" s="1"/>
  <c r="C498" i="5" a="1"/>
  <c r="C498" i="5" s="1"/>
  <c r="C499" i="5" a="1"/>
  <c r="C499" i="5" s="1"/>
  <c r="C500" i="5" a="1"/>
  <c r="C500" i="5" s="1"/>
  <c r="C501" i="5" a="1"/>
  <c r="C501" i="5" s="1"/>
  <c r="C502" i="5" a="1"/>
  <c r="C502" i="5" s="1"/>
  <c r="C503" i="5" a="1"/>
  <c r="C503" i="5" s="1"/>
  <c r="C504" i="5" a="1"/>
  <c r="C504" i="5" s="1"/>
  <c r="C505" i="5" a="1"/>
  <c r="C505" i="5" s="1"/>
  <c r="C506" i="5" a="1"/>
  <c r="C506" i="5" s="1"/>
  <c r="C507" i="5" a="1"/>
  <c r="C507" i="5" s="1"/>
  <c r="C508" i="5" a="1"/>
  <c r="C508" i="5" s="1"/>
  <c r="C509" i="5" a="1"/>
  <c r="C509" i="5" s="1"/>
  <c r="C510" i="5" a="1"/>
  <c r="C510" i="5" s="1"/>
  <c r="C511" i="5" a="1"/>
  <c r="C511" i="5" s="1"/>
  <c r="C512" i="5" a="1"/>
  <c r="C512" i="5" s="1"/>
  <c r="C513" i="5" a="1"/>
  <c r="C513" i="5" s="1"/>
  <c r="C514" i="5" a="1"/>
  <c r="C514" i="5" s="1"/>
  <c r="C515" i="5" a="1"/>
  <c r="C515" i="5" s="1"/>
  <c r="C516" i="5" a="1"/>
  <c r="C516" i="5" s="1"/>
  <c r="C517" i="5" a="1"/>
  <c r="C517" i="5" s="1"/>
  <c r="C518" i="5" a="1"/>
  <c r="C518" i="5" s="1"/>
  <c r="C519" i="5" a="1"/>
  <c r="C519" i="5" s="1"/>
  <c r="C520" i="5" a="1"/>
  <c r="C520" i="5" s="1"/>
  <c r="C521" i="5" a="1"/>
  <c r="C521" i="5" s="1"/>
  <c r="C522" i="5" a="1"/>
  <c r="C522" i="5" s="1"/>
  <c r="C523" i="5" a="1"/>
  <c r="C523" i="5" s="1"/>
  <c r="C524" i="5" a="1"/>
  <c r="C524" i="5" s="1"/>
  <c r="C525" i="5" a="1"/>
  <c r="C525" i="5" s="1"/>
  <c r="C526" i="5" a="1"/>
  <c r="C526" i="5" s="1"/>
  <c r="C527" i="5" a="1"/>
  <c r="C527" i="5" s="1"/>
  <c r="C528" i="5" a="1"/>
  <c r="C528" i="5" s="1"/>
  <c r="C529" i="5" a="1"/>
  <c r="C529" i="5" s="1"/>
  <c r="C530" i="5" a="1"/>
  <c r="C530" i="5" s="1"/>
  <c r="C531" i="5" a="1"/>
  <c r="C531" i="5" s="1"/>
  <c r="C532" i="5" a="1"/>
  <c r="C532" i="5" s="1"/>
  <c r="C533" i="5" a="1"/>
  <c r="C533" i="5" s="1"/>
  <c r="C534" i="5" a="1"/>
  <c r="C534" i="5" s="1"/>
  <c r="C535" i="5" a="1"/>
  <c r="C535" i="5" s="1"/>
  <c r="C536" i="5" a="1"/>
  <c r="C536" i="5" s="1"/>
  <c r="C537" i="5" a="1"/>
  <c r="C537" i="5" s="1"/>
  <c r="C538" i="5" a="1"/>
  <c r="C538" i="5" s="1"/>
  <c r="C539" i="5" a="1"/>
  <c r="C539" i="5" s="1"/>
  <c r="C540" i="5" a="1"/>
  <c r="C540" i="5" s="1"/>
  <c r="C541" i="5" a="1"/>
  <c r="C541" i="5" s="1"/>
  <c r="C542" i="5" a="1"/>
  <c r="C542" i="5" s="1"/>
  <c r="C543" i="5" a="1"/>
  <c r="C543" i="5" s="1"/>
  <c r="C544" i="5" a="1"/>
  <c r="C544" i="5" s="1"/>
  <c r="C545" i="5" a="1"/>
  <c r="C545" i="5" s="1"/>
  <c r="C546" i="5" a="1"/>
  <c r="C546" i="5" s="1"/>
  <c r="C547" i="5" a="1"/>
  <c r="C547" i="5" s="1"/>
  <c r="C548" i="5" a="1"/>
  <c r="C548" i="5" s="1"/>
  <c r="C549" i="5" a="1"/>
  <c r="C549" i="5" s="1"/>
  <c r="C550" i="5" a="1"/>
  <c r="C550" i="5" s="1"/>
  <c r="C551" i="5" a="1"/>
  <c r="C551" i="5" s="1"/>
  <c r="C552" i="5" a="1"/>
  <c r="C552" i="5" s="1"/>
  <c r="C553" i="5" a="1"/>
  <c r="C553" i="5" s="1"/>
  <c r="C554" i="5" a="1"/>
  <c r="C554" i="5" s="1"/>
  <c r="C555" i="5" a="1"/>
  <c r="C555" i="5" s="1"/>
  <c r="C556" i="5" a="1"/>
  <c r="C556" i="5" s="1"/>
  <c r="C557" i="5" a="1"/>
  <c r="C557" i="5" s="1"/>
  <c r="C558" i="5" a="1"/>
  <c r="C558" i="5" s="1"/>
  <c r="C559" i="5" a="1"/>
  <c r="C559" i="5" s="1"/>
  <c r="C560" i="5" a="1"/>
  <c r="C560" i="5" s="1"/>
  <c r="C561" i="5" a="1"/>
  <c r="C561" i="5" s="1"/>
  <c r="C562" i="5" a="1"/>
  <c r="C562" i="5" s="1"/>
  <c r="C563" i="5" a="1"/>
  <c r="C563" i="5" s="1"/>
  <c r="C564" i="5" a="1"/>
  <c r="C564" i="5" s="1"/>
  <c r="C565" i="5" a="1"/>
  <c r="C565" i="5" s="1"/>
  <c r="C566" i="5" a="1"/>
  <c r="C566" i="5" s="1"/>
  <c r="C567" i="5" a="1"/>
  <c r="C567" i="5" s="1"/>
  <c r="C568" i="5" a="1"/>
  <c r="C568" i="5" s="1"/>
  <c r="C569" i="5" a="1"/>
  <c r="C569" i="5" s="1"/>
  <c r="C570" i="5" a="1"/>
  <c r="C570" i="5" s="1"/>
  <c r="C571" i="5" a="1"/>
  <c r="C571" i="5" s="1"/>
  <c r="C572" i="5" a="1"/>
  <c r="C572" i="5" s="1"/>
  <c r="C573" i="5" a="1"/>
  <c r="C573" i="5" s="1"/>
  <c r="C574" i="5" a="1"/>
  <c r="C574" i="5" s="1"/>
  <c r="C575" i="5" a="1"/>
  <c r="C575" i="5" s="1"/>
  <c r="C576" i="5" a="1"/>
  <c r="C576" i="5" s="1"/>
  <c r="C577" i="5" a="1"/>
  <c r="C577" i="5" s="1"/>
  <c r="C578" i="5" a="1"/>
  <c r="C578" i="5" s="1"/>
  <c r="C579" i="5" a="1"/>
  <c r="C579" i="5" s="1"/>
  <c r="C580" i="5" a="1"/>
  <c r="C580" i="5" s="1"/>
  <c r="C581" i="5" a="1"/>
  <c r="C581" i="5" s="1"/>
  <c r="C582" i="5" a="1"/>
  <c r="C582" i="5" s="1"/>
  <c r="C583" i="5" a="1"/>
  <c r="C583" i="5" s="1"/>
  <c r="C584" i="5" a="1"/>
  <c r="C584" i="5" s="1"/>
  <c r="C585" i="5" a="1"/>
  <c r="C585" i="5" s="1"/>
  <c r="C586" i="5" a="1"/>
  <c r="C586" i="5" s="1"/>
  <c r="C587" i="5" a="1"/>
  <c r="C587" i="5" s="1"/>
  <c r="C588" i="5" a="1"/>
  <c r="C588" i="5" s="1"/>
  <c r="C589" i="5" a="1"/>
  <c r="C589" i="5" s="1"/>
  <c r="C590" i="5" a="1"/>
  <c r="C590" i="5" s="1"/>
  <c r="C591" i="5" a="1"/>
  <c r="C591" i="5" s="1"/>
  <c r="C592" i="5" a="1"/>
  <c r="C592" i="5" s="1"/>
  <c r="C593" i="5" a="1"/>
  <c r="C593" i="5" s="1"/>
  <c r="C594" i="5" a="1"/>
  <c r="C594" i="5" s="1"/>
  <c r="C595" i="5" a="1"/>
  <c r="C595" i="5" s="1"/>
  <c r="C596" i="5" a="1"/>
  <c r="C596" i="5" s="1"/>
  <c r="C597" i="5" a="1"/>
  <c r="C597" i="5" s="1"/>
  <c r="C598" i="5" a="1"/>
  <c r="C598" i="5" s="1"/>
  <c r="C599" i="5" a="1"/>
  <c r="C599" i="5" s="1"/>
  <c r="C600" i="5" a="1"/>
  <c r="C600" i="5" s="1"/>
  <c r="C601" i="5" a="1"/>
  <c r="C601" i="5" s="1"/>
  <c r="C602" i="5" a="1"/>
  <c r="C602" i="5" s="1"/>
  <c r="C603" i="5" a="1"/>
  <c r="C603" i="5" s="1"/>
  <c r="C604" i="5" a="1"/>
  <c r="C604" i="5" s="1"/>
  <c r="C605" i="5" a="1"/>
  <c r="C605" i="5" s="1"/>
  <c r="C606" i="5" a="1"/>
  <c r="C606" i="5" s="1"/>
  <c r="C607" i="5" a="1"/>
  <c r="C607" i="5" s="1"/>
  <c r="C608" i="5" a="1"/>
  <c r="C608" i="5" s="1"/>
  <c r="C609" i="5" a="1"/>
  <c r="C609" i="5" s="1"/>
  <c r="C610" i="5" a="1"/>
  <c r="C610" i="5" s="1"/>
  <c r="C611" i="5" a="1"/>
  <c r="C611" i="5" s="1"/>
  <c r="C612" i="5" a="1"/>
  <c r="C612" i="5" s="1"/>
  <c r="C613" i="5" a="1"/>
  <c r="C613" i="5" s="1"/>
  <c r="C614" i="5" a="1"/>
  <c r="C614" i="5" s="1"/>
  <c r="C615" i="5" a="1"/>
  <c r="C615" i="5" s="1"/>
  <c r="C616" i="5" a="1"/>
  <c r="C616" i="5" s="1"/>
  <c r="C617" i="5" a="1"/>
  <c r="C617" i="5" s="1"/>
  <c r="C618" i="5" a="1"/>
  <c r="C618" i="5" s="1"/>
  <c r="C619" i="5" a="1"/>
  <c r="C619" i="5" s="1"/>
  <c r="C620" i="5" a="1"/>
  <c r="C620" i="5" s="1"/>
  <c r="C621" i="5" a="1"/>
  <c r="C621" i="5" s="1"/>
  <c r="C622" i="5" a="1"/>
  <c r="C622" i="5" s="1"/>
  <c r="C623" i="5" a="1"/>
  <c r="C623" i="5" s="1"/>
  <c r="C624" i="5" a="1"/>
  <c r="C624" i="5" s="1"/>
  <c r="C625" i="5" a="1"/>
  <c r="C625" i="5" s="1"/>
  <c r="C626" i="5" a="1"/>
  <c r="C626" i="5" s="1"/>
  <c r="C627" i="5" a="1"/>
  <c r="C627" i="5" s="1"/>
  <c r="C628" i="5" a="1"/>
  <c r="C628" i="5" s="1"/>
  <c r="C629" i="5" a="1"/>
  <c r="C629" i="5" s="1"/>
  <c r="C630" i="5" a="1"/>
  <c r="C630" i="5" s="1"/>
  <c r="C631" i="5" a="1"/>
  <c r="C631" i="5" s="1"/>
  <c r="C632" i="5" a="1"/>
  <c r="C632" i="5" s="1"/>
  <c r="C633" i="5" a="1"/>
  <c r="C633" i="5" s="1"/>
  <c r="C634" i="5" a="1"/>
  <c r="C634" i="5" s="1"/>
  <c r="C635" i="5" a="1"/>
  <c r="C635" i="5" s="1"/>
  <c r="C636" i="5" a="1"/>
  <c r="C636" i="5" s="1"/>
  <c r="C637" i="5" a="1"/>
  <c r="C637" i="5" s="1"/>
  <c r="C638" i="5" a="1"/>
  <c r="C638" i="5" s="1"/>
  <c r="C639" i="5" a="1"/>
  <c r="C639" i="5" s="1"/>
  <c r="C640" i="5" a="1"/>
  <c r="C640" i="5" s="1"/>
  <c r="C641" i="5" a="1"/>
  <c r="C641" i="5" s="1"/>
  <c r="C642" i="5" a="1"/>
  <c r="C642" i="5" s="1"/>
  <c r="C643" i="5" a="1"/>
  <c r="C643" i="5" s="1"/>
  <c r="C644" i="5" a="1"/>
  <c r="C644" i="5" s="1"/>
  <c r="C645" i="5" a="1"/>
  <c r="C645" i="5" s="1"/>
  <c r="C646" i="5" a="1"/>
  <c r="C646" i="5" s="1"/>
  <c r="C647" i="5" a="1"/>
  <c r="C647" i="5" s="1"/>
  <c r="C648" i="5" a="1"/>
  <c r="C648" i="5" s="1"/>
  <c r="C649" i="5" a="1"/>
  <c r="C649" i="5" s="1"/>
  <c r="C650" i="5" a="1"/>
  <c r="C650" i="5" s="1"/>
  <c r="C651" i="5" a="1"/>
  <c r="C651" i="5" s="1"/>
  <c r="C652" i="5" a="1"/>
  <c r="C652" i="5" s="1"/>
  <c r="C653" i="5" a="1"/>
  <c r="C653" i="5" s="1"/>
  <c r="C654" i="5" a="1"/>
  <c r="C654" i="5" s="1"/>
  <c r="C655" i="5" a="1"/>
  <c r="C655" i="5" s="1"/>
  <c r="C656" i="5" a="1"/>
  <c r="C656" i="5" s="1"/>
  <c r="C657" i="5" a="1"/>
  <c r="C657" i="5" s="1"/>
  <c r="C658" i="5" a="1"/>
  <c r="C658" i="5" s="1"/>
  <c r="C659" i="5" a="1"/>
  <c r="C659" i="5" s="1"/>
  <c r="C660" i="5" a="1"/>
  <c r="C660" i="5" s="1"/>
  <c r="C661" i="5" a="1"/>
  <c r="C661" i="5" s="1"/>
  <c r="C662" i="5" a="1"/>
  <c r="C662" i="5" s="1"/>
  <c r="C663" i="5" a="1"/>
  <c r="C663" i="5" s="1"/>
  <c r="C664" i="5" a="1"/>
  <c r="C664" i="5" s="1"/>
  <c r="C665" i="5" a="1"/>
  <c r="C665" i="5" s="1"/>
  <c r="C666" i="5" a="1"/>
  <c r="C666" i="5" s="1"/>
  <c r="C667" i="5" a="1"/>
  <c r="C667" i="5" s="1"/>
  <c r="C668" i="5" a="1"/>
  <c r="C668" i="5" s="1"/>
  <c r="C669" i="5" a="1"/>
  <c r="C669" i="5" s="1"/>
  <c r="C670" i="5" a="1"/>
  <c r="C670" i="5" s="1"/>
  <c r="C671" i="5" a="1"/>
  <c r="C671" i="5" s="1"/>
  <c r="C672" i="5" a="1"/>
  <c r="C672" i="5" s="1"/>
  <c r="C673" i="5" a="1"/>
  <c r="C673" i="5" s="1"/>
  <c r="C674" i="5" a="1"/>
  <c r="C674" i="5" s="1"/>
  <c r="C675" i="5" a="1"/>
  <c r="C675" i="5" s="1"/>
  <c r="C676" i="5" a="1"/>
  <c r="C676" i="5" s="1"/>
  <c r="C677" i="5" a="1"/>
  <c r="C677" i="5" s="1"/>
  <c r="C678" i="5" a="1"/>
  <c r="C678" i="5" s="1"/>
  <c r="C679" i="5" a="1"/>
  <c r="C679" i="5" s="1"/>
  <c r="C680" i="5" a="1"/>
  <c r="C680" i="5" s="1"/>
  <c r="C681" i="5" a="1"/>
  <c r="C681" i="5" s="1"/>
  <c r="C682" i="5" a="1"/>
  <c r="C682" i="5" s="1"/>
  <c r="C683" i="5" a="1"/>
  <c r="C683" i="5" s="1"/>
  <c r="C684" i="5" a="1"/>
  <c r="C684" i="5" s="1"/>
  <c r="C685" i="5" a="1"/>
  <c r="C685" i="5" s="1"/>
  <c r="C686" i="5" a="1"/>
  <c r="C686" i="5" s="1"/>
  <c r="C687" i="5" a="1"/>
  <c r="C687" i="5" s="1"/>
  <c r="C688" i="5" a="1"/>
  <c r="C688" i="5" s="1"/>
  <c r="C689" i="5" a="1"/>
  <c r="C689" i="5" s="1"/>
  <c r="C690" i="5" a="1"/>
  <c r="C690" i="5" s="1"/>
  <c r="C691" i="5" a="1"/>
  <c r="C691" i="5" s="1"/>
  <c r="C692" i="5" a="1"/>
  <c r="C692" i="5" s="1"/>
  <c r="C693" i="5" a="1"/>
  <c r="C693" i="5" s="1"/>
  <c r="C694" i="5" a="1"/>
  <c r="C694" i="5" s="1"/>
  <c r="C695" i="5" a="1"/>
  <c r="C695" i="5" s="1"/>
  <c r="C696" i="5" a="1"/>
  <c r="C696" i="5" s="1"/>
  <c r="C697" i="5" a="1"/>
  <c r="C697" i="5" s="1"/>
  <c r="C698" i="5" a="1"/>
  <c r="C698" i="5" s="1"/>
  <c r="C699" i="5" a="1"/>
  <c r="C699" i="5" s="1"/>
  <c r="C700" i="5" a="1"/>
  <c r="C700" i="5" s="1"/>
  <c r="C701" i="5" a="1"/>
  <c r="C701" i="5" s="1"/>
  <c r="C702" i="5" a="1"/>
  <c r="C702" i="5" s="1"/>
  <c r="C703" i="5" a="1"/>
  <c r="C703" i="5" s="1"/>
  <c r="C704" i="5" a="1"/>
  <c r="C704" i="5" s="1"/>
  <c r="C705" i="5" a="1"/>
  <c r="C705" i="5" s="1"/>
  <c r="C706" i="5" a="1"/>
  <c r="C706" i="5" s="1"/>
  <c r="C707" i="5" a="1"/>
  <c r="C707" i="5" s="1"/>
  <c r="C708" i="5" a="1"/>
  <c r="C708" i="5" s="1"/>
  <c r="C709" i="5" a="1"/>
  <c r="C709" i="5" s="1"/>
  <c r="C710" i="5" a="1"/>
  <c r="C710" i="5" s="1"/>
  <c r="C711" i="5" a="1"/>
  <c r="C711" i="5" s="1"/>
  <c r="C712" i="5" a="1"/>
  <c r="C712" i="5" s="1"/>
  <c r="C713" i="5" a="1"/>
  <c r="C713" i="5" s="1"/>
  <c r="C714" i="5" a="1"/>
  <c r="C714" i="5" s="1"/>
  <c r="C715" i="5" a="1"/>
  <c r="C715" i="5" s="1"/>
  <c r="C716" i="5" a="1"/>
  <c r="C716" i="5" s="1"/>
  <c r="C717" i="5" a="1"/>
  <c r="C717" i="5" s="1"/>
  <c r="C718" i="5" a="1"/>
  <c r="C718" i="5" s="1"/>
  <c r="C719" i="5" a="1"/>
  <c r="C719" i="5" s="1"/>
  <c r="C720" i="5" a="1"/>
  <c r="C720" i="5" s="1"/>
  <c r="C721" i="5" a="1"/>
  <c r="C721" i="5" s="1"/>
  <c r="C722" i="5" a="1"/>
  <c r="C722" i="5" s="1"/>
  <c r="C723" i="5" a="1"/>
  <c r="C723" i="5" s="1"/>
  <c r="C724" i="5" a="1"/>
  <c r="C724" i="5" s="1"/>
  <c r="C725" i="5" a="1"/>
  <c r="C725" i="5" s="1"/>
  <c r="C726" i="5" a="1"/>
  <c r="C726" i="5" s="1"/>
  <c r="C727" i="5" a="1"/>
  <c r="C727" i="5" s="1"/>
  <c r="C728" i="5" a="1"/>
  <c r="C728" i="5" s="1"/>
  <c r="C729" i="5" a="1"/>
  <c r="C729" i="5" s="1"/>
  <c r="C730" i="5" a="1"/>
  <c r="C730" i="5" s="1"/>
  <c r="C731" i="5" a="1"/>
  <c r="C731" i="5" s="1"/>
  <c r="C732" i="5" a="1"/>
  <c r="C732" i="5" s="1"/>
  <c r="C733" i="5" a="1"/>
  <c r="C733" i="5" s="1"/>
  <c r="C734" i="5" a="1"/>
  <c r="C734" i="5" s="1"/>
  <c r="C735" i="5" a="1"/>
  <c r="C735" i="5" s="1"/>
  <c r="C736" i="5" a="1"/>
  <c r="C736" i="5" s="1"/>
  <c r="C737" i="5" a="1"/>
  <c r="C737" i="5" s="1"/>
  <c r="C738" i="5" a="1"/>
  <c r="C738" i="5" s="1"/>
  <c r="C739" i="5" a="1"/>
  <c r="C739" i="5" s="1"/>
  <c r="C740" i="5" a="1"/>
  <c r="C740" i="5" s="1"/>
  <c r="C741" i="5" a="1"/>
  <c r="C741" i="5" s="1"/>
  <c r="C742" i="5" a="1"/>
  <c r="C742" i="5" s="1"/>
  <c r="C743" i="5" a="1"/>
  <c r="C743" i="5" s="1"/>
  <c r="C744" i="5" a="1"/>
  <c r="C744" i="5" s="1"/>
  <c r="C745" i="5" a="1"/>
  <c r="C745" i="5" s="1"/>
  <c r="C746" i="5" a="1"/>
  <c r="C746" i="5" s="1"/>
  <c r="C747" i="5" a="1"/>
  <c r="C747" i="5" s="1"/>
  <c r="C748" i="5" a="1"/>
  <c r="C748" i="5" s="1"/>
  <c r="C749" i="5" a="1"/>
  <c r="C749" i="5" s="1"/>
  <c r="C750" i="5" a="1"/>
  <c r="C750" i="5" s="1"/>
  <c r="C751" i="5" a="1"/>
  <c r="C751" i="5" s="1"/>
  <c r="C752" i="5" a="1"/>
  <c r="C752" i="5" s="1"/>
  <c r="C753" i="5" a="1"/>
  <c r="C753" i="5" s="1"/>
  <c r="C754" i="5" a="1"/>
  <c r="C754" i="5" s="1"/>
  <c r="C755" i="5" a="1"/>
  <c r="C755" i="5" s="1"/>
  <c r="C756" i="5" a="1"/>
  <c r="C756" i="5" s="1"/>
  <c r="C757" i="5" a="1"/>
  <c r="C757" i="5" s="1"/>
  <c r="C758" i="5" a="1"/>
  <c r="C758" i="5" s="1"/>
  <c r="C759" i="5" a="1"/>
  <c r="C759" i="5" s="1"/>
  <c r="C760" i="5" a="1"/>
  <c r="C760" i="5" s="1"/>
  <c r="C761" i="5" a="1"/>
  <c r="C761" i="5" s="1"/>
  <c r="C762" i="5" a="1"/>
  <c r="C762" i="5" s="1"/>
  <c r="C763" i="5" a="1"/>
  <c r="C763" i="5" s="1"/>
  <c r="C764" i="5" a="1"/>
  <c r="C764" i="5" s="1"/>
  <c r="C765" i="5" a="1"/>
  <c r="C765" i="5" s="1"/>
  <c r="C766" i="5" a="1"/>
  <c r="C766" i="5" s="1"/>
  <c r="C767" i="5" a="1"/>
  <c r="C767" i="5" s="1"/>
  <c r="C768" i="5" a="1"/>
  <c r="C768" i="5" s="1"/>
  <c r="C769" i="5" a="1"/>
  <c r="C769" i="5" s="1"/>
  <c r="C770" i="5" a="1"/>
  <c r="C770" i="5" s="1"/>
  <c r="C771" i="5" a="1"/>
  <c r="C771" i="5" s="1"/>
  <c r="C772" i="5" a="1"/>
  <c r="C772" i="5" s="1"/>
  <c r="C773" i="5" a="1"/>
  <c r="C773" i="5" s="1"/>
  <c r="C774" i="5" a="1"/>
  <c r="C774" i="5" s="1"/>
  <c r="C775" i="5" a="1"/>
  <c r="C775" i="5" s="1"/>
  <c r="C776" i="5" a="1"/>
  <c r="C776" i="5" s="1"/>
  <c r="C777" i="5" a="1"/>
  <c r="C777" i="5" s="1"/>
  <c r="C778" i="5" a="1"/>
  <c r="C778" i="5" s="1"/>
  <c r="C779" i="5" a="1"/>
  <c r="C779" i="5" s="1"/>
  <c r="C780" i="5" a="1"/>
  <c r="C780" i="5" s="1"/>
  <c r="C781" i="5" a="1"/>
  <c r="C781" i="5" s="1"/>
  <c r="C782" i="5" a="1"/>
  <c r="C782" i="5" s="1"/>
  <c r="C783" i="5" a="1"/>
  <c r="C783" i="5" s="1"/>
  <c r="C784" i="5" a="1"/>
  <c r="C784" i="5" s="1"/>
  <c r="C785" i="5" a="1"/>
  <c r="C785" i="5" s="1"/>
  <c r="C786" i="5" a="1"/>
  <c r="C786" i="5" s="1"/>
  <c r="C787" i="5" a="1"/>
  <c r="C787" i="5" s="1"/>
  <c r="C788" i="5" a="1"/>
  <c r="C788" i="5" s="1"/>
  <c r="C789" i="5" a="1"/>
  <c r="C789" i="5" s="1"/>
  <c r="C790" i="5" a="1"/>
  <c r="C790" i="5" s="1"/>
  <c r="C791" i="5" a="1"/>
  <c r="C791" i="5" s="1"/>
  <c r="C792" i="5" a="1"/>
  <c r="C792" i="5" s="1"/>
  <c r="C793" i="5" a="1"/>
  <c r="C793" i="5" s="1"/>
  <c r="C794" i="5" a="1"/>
  <c r="C794" i="5" s="1"/>
  <c r="C795" i="5" a="1"/>
  <c r="C795" i="5" s="1"/>
  <c r="C796" i="5" a="1"/>
  <c r="C796" i="5" s="1"/>
  <c r="C797" i="5" a="1"/>
  <c r="C797" i="5" s="1"/>
  <c r="C798" i="5" a="1"/>
  <c r="C798" i="5" s="1"/>
  <c r="C799" i="5" a="1"/>
  <c r="C799" i="5" s="1"/>
  <c r="C800" i="5" a="1"/>
  <c r="C800" i="5" s="1"/>
  <c r="C801" i="5" a="1"/>
  <c r="C801" i="5" s="1"/>
  <c r="C802" i="5" a="1"/>
  <c r="C802" i="5" s="1"/>
  <c r="C803" i="5" a="1"/>
  <c r="C803" i="5" s="1"/>
  <c r="C804" i="5" a="1"/>
  <c r="C804" i="5" s="1"/>
  <c r="C805" i="5" a="1"/>
  <c r="C805" i="5" s="1"/>
  <c r="C806" i="5" a="1"/>
  <c r="C806" i="5" s="1"/>
  <c r="C807" i="5" a="1"/>
  <c r="C807" i="5" s="1"/>
  <c r="C808" i="5" a="1"/>
  <c r="C808" i="5" s="1"/>
  <c r="C809" i="5" a="1"/>
  <c r="C809" i="5" s="1"/>
  <c r="C810" i="5" a="1"/>
  <c r="C810" i="5" s="1"/>
  <c r="C811" i="5" a="1"/>
  <c r="C811" i="5" s="1"/>
  <c r="C812" i="5" a="1"/>
  <c r="C812" i="5" s="1"/>
  <c r="C813" i="5" a="1"/>
  <c r="C813" i="5" s="1"/>
  <c r="C814" i="5" a="1"/>
  <c r="C814" i="5" s="1"/>
  <c r="C815" i="5" a="1"/>
  <c r="C815" i="5" s="1"/>
  <c r="C816" i="5" a="1"/>
  <c r="C816" i="5" s="1"/>
  <c r="C817" i="5" a="1"/>
  <c r="C817" i="5" s="1"/>
  <c r="C818" i="5" a="1"/>
  <c r="C818" i="5" s="1"/>
  <c r="C819" i="5" a="1"/>
  <c r="C819" i="5" s="1"/>
  <c r="C820" i="5" a="1"/>
  <c r="C820" i="5" s="1"/>
  <c r="C821" i="5" a="1"/>
  <c r="C821" i="5" s="1"/>
  <c r="C822" i="5" a="1"/>
  <c r="C822" i="5" s="1"/>
  <c r="C823" i="5" a="1"/>
  <c r="C823" i="5" s="1"/>
  <c r="C824" i="5" a="1"/>
  <c r="C824" i="5" s="1"/>
  <c r="C825" i="5" a="1"/>
  <c r="C825" i="5" s="1"/>
  <c r="C826" i="5" a="1"/>
  <c r="C826" i="5" s="1"/>
  <c r="C827" i="5" a="1"/>
  <c r="C827" i="5" s="1"/>
  <c r="C828" i="5" a="1"/>
  <c r="C828" i="5" s="1"/>
  <c r="C829" i="5" a="1"/>
  <c r="C829" i="5" s="1"/>
  <c r="C830" i="5" a="1"/>
  <c r="C830" i="5" s="1"/>
  <c r="C831" i="5" a="1"/>
  <c r="C831" i="5" s="1"/>
  <c r="C832" i="5" a="1"/>
  <c r="C832" i="5" s="1"/>
  <c r="C833" i="5" a="1"/>
  <c r="C833" i="5" s="1"/>
  <c r="C834" i="5" a="1"/>
  <c r="C834" i="5" s="1"/>
  <c r="C835" i="5" a="1"/>
  <c r="C835" i="5" s="1"/>
  <c r="C836" i="5" a="1"/>
  <c r="C836" i="5" s="1"/>
  <c r="C837" i="5" a="1"/>
  <c r="C837" i="5" s="1"/>
  <c r="C838" i="5" a="1"/>
  <c r="C838" i="5" s="1"/>
  <c r="C839" i="5" a="1"/>
  <c r="C839" i="5" s="1"/>
  <c r="C840" i="5" a="1"/>
  <c r="C840" i="5" s="1"/>
  <c r="C841" i="5" a="1"/>
  <c r="C841" i="5" s="1"/>
  <c r="C842" i="5" a="1"/>
  <c r="C842" i="5" s="1"/>
  <c r="C843" i="5" a="1"/>
  <c r="C843" i="5" s="1"/>
  <c r="C844" i="5" a="1"/>
  <c r="C844" i="5" s="1"/>
  <c r="C845" i="5" a="1"/>
  <c r="C845" i="5" s="1"/>
  <c r="C846" i="5" a="1"/>
  <c r="C846" i="5" s="1"/>
  <c r="C847" i="5" a="1"/>
  <c r="C847" i="5" s="1"/>
  <c r="C848" i="5" a="1"/>
  <c r="C848" i="5" s="1"/>
  <c r="C849" i="5" a="1"/>
  <c r="C849" i="5" s="1"/>
  <c r="C850" i="5" a="1"/>
  <c r="C850" i="5" s="1"/>
  <c r="C851" i="5" a="1"/>
  <c r="C851" i="5" s="1"/>
  <c r="C852" i="5" a="1"/>
  <c r="C852" i="5" s="1"/>
  <c r="C853" i="5" a="1"/>
  <c r="C853" i="5" s="1"/>
  <c r="C854" i="5" a="1"/>
  <c r="C854" i="5" s="1"/>
  <c r="C855" i="5" a="1"/>
  <c r="C855" i="5" s="1"/>
  <c r="C856" i="5" a="1"/>
  <c r="C856" i="5" s="1"/>
  <c r="C857" i="5" a="1"/>
  <c r="C857" i="5" s="1"/>
  <c r="C858" i="5" a="1"/>
  <c r="C858" i="5" s="1"/>
  <c r="C859" i="5" a="1"/>
  <c r="C859" i="5" s="1"/>
  <c r="C860" i="5" a="1"/>
  <c r="C860" i="5" s="1"/>
  <c r="C861" i="5" a="1"/>
  <c r="C861" i="5" s="1"/>
  <c r="C862" i="5" a="1"/>
  <c r="C862" i="5" s="1"/>
  <c r="C863" i="5" a="1"/>
  <c r="C863" i="5" s="1"/>
  <c r="C864" i="5" a="1"/>
  <c r="C864" i="5" s="1"/>
  <c r="C865" i="5" a="1"/>
  <c r="C865" i="5" s="1"/>
  <c r="C866" i="5" a="1"/>
  <c r="C866" i="5" s="1"/>
  <c r="C867" i="5" a="1"/>
  <c r="C867" i="5" s="1"/>
  <c r="C868" i="5" a="1"/>
  <c r="C868" i="5" s="1"/>
  <c r="C869" i="5" a="1"/>
  <c r="C869" i="5" s="1"/>
  <c r="C870" i="5" a="1"/>
  <c r="C870" i="5" s="1"/>
  <c r="C871" i="5" a="1"/>
  <c r="C871" i="5" s="1"/>
  <c r="C872" i="5" a="1"/>
  <c r="C872" i="5" s="1"/>
  <c r="C873" i="5" a="1"/>
  <c r="C873" i="5" s="1"/>
  <c r="C874" i="5" a="1"/>
  <c r="C874" i="5" s="1"/>
  <c r="C875" i="5" a="1"/>
  <c r="C875" i="5" s="1"/>
  <c r="C876" i="5" a="1"/>
  <c r="C876" i="5" s="1"/>
  <c r="C877" i="5" a="1"/>
  <c r="C877" i="5" s="1"/>
  <c r="C878" i="5" a="1"/>
  <c r="C878" i="5" s="1"/>
  <c r="C879" i="5" a="1"/>
  <c r="C879" i="5" s="1"/>
  <c r="C880" i="5" a="1"/>
  <c r="C880" i="5" s="1"/>
  <c r="C881" i="5" a="1"/>
  <c r="C881" i="5" s="1"/>
  <c r="C882" i="5" a="1"/>
  <c r="C882" i="5" s="1"/>
  <c r="C883" i="5" a="1"/>
  <c r="C883" i="5" s="1"/>
  <c r="C884" i="5" a="1"/>
  <c r="C884" i="5" s="1"/>
  <c r="C885" i="5" a="1"/>
  <c r="C885" i="5" s="1"/>
  <c r="C886" i="5" a="1"/>
  <c r="C886" i="5" s="1"/>
  <c r="C887" i="5" a="1"/>
  <c r="C887" i="5" s="1"/>
  <c r="C888" i="5" a="1"/>
  <c r="C888" i="5" s="1"/>
  <c r="C889" i="5" a="1"/>
  <c r="C889" i="5" s="1"/>
  <c r="C890" i="5" a="1"/>
  <c r="C890" i="5" s="1"/>
  <c r="C891" i="5" a="1"/>
  <c r="C891" i="5" s="1"/>
  <c r="C892" i="5" a="1"/>
  <c r="C892" i="5" s="1"/>
  <c r="C893" i="5" a="1"/>
  <c r="C893" i="5" s="1"/>
  <c r="C894" i="5" a="1"/>
  <c r="C894" i="5" s="1"/>
  <c r="C895" i="5" a="1"/>
  <c r="C895" i="5" s="1"/>
  <c r="C896" i="5" a="1"/>
  <c r="C896" i="5" s="1"/>
  <c r="C897" i="5" a="1"/>
  <c r="C897" i="5" s="1"/>
  <c r="C898" i="5" a="1"/>
  <c r="C898" i="5" s="1"/>
  <c r="C899" i="5" a="1"/>
  <c r="C899" i="5" s="1"/>
  <c r="C900" i="5" a="1"/>
  <c r="C900" i="5" s="1"/>
  <c r="C901" i="5" a="1"/>
  <c r="C901" i="5" s="1"/>
  <c r="C902" i="5" a="1"/>
  <c r="C902" i="5" s="1"/>
  <c r="C903" i="5" a="1"/>
  <c r="C903" i="5" s="1"/>
  <c r="C904" i="5" a="1"/>
  <c r="C904" i="5" s="1"/>
  <c r="C905" i="5" a="1"/>
  <c r="C905" i="5" s="1"/>
  <c r="C906" i="5" a="1"/>
  <c r="C906" i="5" s="1"/>
  <c r="C907" i="5" a="1"/>
  <c r="C907" i="5" s="1"/>
  <c r="C908" i="5" a="1"/>
  <c r="C908" i="5" s="1"/>
  <c r="C909" i="5" a="1"/>
  <c r="C909" i="5" s="1"/>
  <c r="C910" i="5" a="1"/>
  <c r="C910" i="5" s="1"/>
  <c r="C911" i="5" a="1"/>
  <c r="C911" i="5" s="1"/>
  <c r="C912" i="5" a="1"/>
  <c r="C912" i="5" s="1"/>
  <c r="C913" i="5" a="1"/>
  <c r="C913" i="5" s="1"/>
  <c r="C914" i="5" a="1"/>
  <c r="C914" i="5" s="1"/>
  <c r="C915" i="5" a="1"/>
  <c r="C915" i="5" s="1"/>
  <c r="C916" i="5" a="1"/>
  <c r="C916" i="5" s="1"/>
  <c r="C917" i="5" a="1"/>
  <c r="C917" i="5" s="1"/>
  <c r="C918" i="5" a="1"/>
  <c r="C918" i="5" s="1"/>
  <c r="C919" i="5" a="1"/>
  <c r="C919" i="5" s="1"/>
  <c r="C920" i="5" a="1"/>
  <c r="C920" i="5" s="1"/>
  <c r="C921" i="5" a="1"/>
  <c r="C921" i="5" s="1"/>
  <c r="C922" i="5" a="1"/>
  <c r="C922" i="5" s="1"/>
  <c r="C923" i="5" a="1"/>
  <c r="C923" i="5" s="1"/>
  <c r="C924" i="5" a="1"/>
  <c r="C924" i="5" s="1"/>
  <c r="C925" i="5" a="1"/>
  <c r="C925" i="5" s="1"/>
  <c r="C926" i="5" a="1"/>
  <c r="C926" i="5" s="1"/>
  <c r="C927" i="5" a="1"/>
  <c r="C927" i="5" s="1"/>
  <c r="C928" i="5" a="1"/>
  <c r="C928" i="5" s="1"/>
  <c r="C929" i="5" a="1"/>
  <c r="C929" i="5" s="1"/>
  <c r="C930" i="5" a="1"/>
  <c r="C930" i="5" s="1"/>
  <c r="C931" i="5" a="1"/>
  <c r="C931" i="5" s="1"/>
  <c r="C932" i="5" a="1"/>
  <c r="C932" i="5" s="1"/>
  <c r="C933" i="5" a="1"/>
  <c r="C933" i="5" s="1"/>
  <c r="C934" i="5" a="1"/>
  <c r="C934" i="5" s="1"/>
  <c r="C935" i="5" a="1"/>
  <c r="C935" i="5" s="1"/>
  <c r="C936" i="5" a="1"/>
  <c r="C936" i="5" s="1"/>
  <c r="C937" i="5" a="1"/>
  <c r="C937" i="5" s="1"/>
  <c r="C938" i="5" a="1"/>
  <c r="C938" i="5" s="1"/>
  <c r="C939" i="5" a="1"/>
  <c r="C939" i="5" s="1"/>
  <c r="C940" i="5" a="1"/>
  <c r="C940" i="5" s="1"/>
  <c r="C941" i="5" a="1"/>
  <c r="C941" i="5" s="1"/>
  <c r="C942" i="5" a="1"/>
  <c r="C942" i="5" s="1"/>
  <c r="C943" i="5" a="1"/>
  <c r="C943" i="5" s="1"/>
  <c r="C944" i="5" a="1"/>
  <c r="C944" i="5" s="1"/>
  <c r="C945" i="5" a="1"/>
  <c r="C945" i="5" s="1"/>
  <c r="C946" i="5" a="1"/>
  <c r="C946" i="5" s="1"/>
  <c r="C947" i="5" a="1"/>
  <c r="C947" i="5" s="1"/>
  <c r="C948" i="5" a="1"/>
  <c r="C948" i="5" s="1"/>
  <c r="C949" i="5" a="1"/>
  <c r="C949" i="5" s="1"/>
  <c r="C950" i="5" a="1"/>
  <c r="C950" i="5" s="1"/>
  <c r="C951" i="5" a="1"/>
  <c r="C951" i="5" s="1"/>
  <c r="C952" i="5" a="1"/>
  <c r="C952" i="5" s="1"/>
  <c r="C953" i="5" a="1"/>
  <c r="C953" i="5" s="1"/>
  <c r="C954" i="5" a="1"/>
  <c r="C954" i="5" s="1"/>
  <c r="C955" i="5" a="1"/>
  <c r="C955" i="5" s="1"/>
  <c r="C956" i="5" a="1"/>
  <c r="C956" i="5" s="1"/>
  <c r="C957" i="5" a="1"/>
  <c r="C957" i="5" s="1"/>
  <c r="C958" i="5" a="1"/>
  <c r="C958" i="5" s="1"/>
  <c r="C959" i="5" a="1"/>
  <c r="C959" i="5" s="1"/>
  <c r="C960" i="5" a="1"/>
  <c r="C960" i="5" s="1"/>
  <c r="C961" i="5" a="1"/>
  <c r="C961" i="5" s="1"/>
  <c r="C962" i="5" a="1"/>
  <c r="C962" i="5" s="1"/>
  <c r="C963" i="5" a="1"/>
  <c r="C963" i="5" s="1"/>
  <c r="C964" i="5" a="1"/>
  <c r="C964" i="5" s="1"/>
  <c r="C965" i="5" a="1"/>
  <c r="C965" i="5" s="1"/>
  <c r="C966" i="5" a="1"/>
  <c r="C966" i="5" s="1"/>
  <c r="C967" i="5" a="1"/>
  <c r="C967" i="5" s="1"/>
  <c r="C968" i="5" a="1"/>
  <c r="C968" i="5" s="1"/>
  <c r="C969" i="5" a="1"/>
  <c r="C969" i="5" s="1"/>
  <c r="C970" i="5" a="1"/>
  <c r="C970" i="5" s="1"/>
  <c r="C971" i="5" a="1"/>
  <c r="C971" i="5" s="1"/>
  <c r="C972" i="5" a="1"/>
  <c r="C972" i="5" s="1"/>
  <c r="C973" i="5" a="1"/>
  <c r="C973" i="5" s="1"/>
  <c r="C974" i="5" a="1"/>
  <c r="C974" i="5" s="1"/>
  <c r="C975" i="5" a="1"/>
  <c r="C975" i="5" s="1"/>
  <c r="C976" i="5" a="1"/>
  <c r="C976" i="5" s="1"/>
  <c r="C977" i="5" a="1"/>
  <c r="C977" i="5" s="1"/>
  <c r="C978" i="5" a="1"/>
  <c r="C978" i="5" s="1"/>
  <c r="C979" i="5" a="1"/>
  <c r="C979" i="5" s="1"/>
  <c r="C980" i="5" a="1"/>
  <c r="C980" i="5" s="1"/>
  <c r="C981" i="5" a="1"/>
  <c r="C981" i="5" s="1"/>
  <c r="C982" i="5" a="1"/>
  <c r="C982" i="5" s="1"/>
  <c r="C983" i="5" a="1"/>
  <c r="C983" i="5" s="1"/>
  <c r="C984" i="5" a="1"/>
  <c r="C984" i="5" s="1"/>
  <c r="C985" i="5" a="1"/>
  <c r="C985" i="5" s="1"/>
  <c r="C986" i="5" a="1"/>
  <c r="C986" i="5" s="1"/>
  <c r="C987" i="5" a="1"/>
  <c r="C987" i="5" s="1"/>
  <c r="C988" i="5" a="1"/>
  <c r="C988" i="5" s="1"/>
  <c r="C989" i="5" a="1"/>
  <c r="C989" i="5" s="1"/>
  <c r="C990" i="5" a="1"/>
  <c r="C990" i="5" s="1"/>
  <c r="C991" i="5" a="1"/>
  <c r="C991" i="5" s="1"/>
  <c r="C992" i="5" a="1"/>
  <c r="C992" i="5" s="1"/>
  <c r="C993" i="5" a="1"/>
  <c r="C993" i="5" s="1"/>
  <c r="C994" i="5" a="1"/>
  <c r="C994" i="5" s="1"/>
  <c r="C995" i="5" a="1"/>
  <c r="C995" i="5" s="1"/>
  <c r="C996" i="5" a="1"/>
  <c r="C996" i="5" s="1"/>
  <c r="C997" i="5" a="1"/>
  <c r="C997" i="5" s="1"/>
  <c r="C998" i="5" a="1"/>
  <c r="C998" i="5" s="1"/>
  <c r="C999" i="5" a="1"/>
  <c r="C999" i="5" s="1"/>
  <c r="C1000" i="5" a="1"/>
  <c r="C1000" i="5" s="1"/>
  <c r="C1001" i="5" a="1"/>
  <c r="C1001" i="5" s="1"/>
  <c r="C1002" i="5" a="1"/>
  <c r="C1002" i="5" s="1"/>
  <c r="C1003" i="5" a="1"/>
  <c r="C1003" i="5" s="1"/>
  <c r="C1004" i="5" a="1"/>
  <c r="C1004" i="5" s="1"/>
  <c r="C1005" i="5" a="1"/>
  <c r="C1005" i="5" s="1"/>
  <c r="C1006" i="5" a="1"/>
  <c r="C1006" i="5" s="1"/>
  <c r="C1007" i="5" a="1"/>
  <c r="C1007" i="5" s="1"/>
  <c r="C1008" i="5" a="1"/>
  <c r="C1008" i="5" s="1"/>
  <c r="C1009" i="5" a="1"/>
  <c r="C1009" i="5" s="1"/>
  <c r="C1010" i="5" a="1"/>
  <c r="C1010" i="5" s="1"/>
  <c r="C1011" i="5" a="1"/>
  <c r="C1011" i="5" s="1"/>
  <c r="C1012" i="5" a="1"/>
  <c r="C1012" i="5" s="1"/>
  <c r="C1013" i="5" a="1"/>
  <c r="C1013" i="5" s="1"/>
  <c r="C1014" i="5" a="1"/>
  <c r="C1014" i="5" s="1"/>
  <c r="C1015" i="5" a="1"/>
  <c r="C1015" i="5" s="1"/>
  <c r="C1016" i="5" a="1"/>
  <c r="C1016" i="5" s="1"/>
  <c r="C1017" i="5" a="1"/>
  <c r="C1017" i="5" s="1"/>
  <c r="C1018" i="5" a="1"/>
  <c r="C1018" i="5" s="1"/>
  <c r="C1019" i="5" a="1"/>
  <c r="C1019" i="5" s="1"/>
  <c r="C1020" i="5" a="1"/>
  <c r="C1020" i="5" s="1"/>
  <c r="C1021" i="5" a="1"/>
  <c r="C1021" i="5" s="1"/>
  <c r="C1022" i="5" a="1"/>
  <c r="C1022" i="5" s="1"/>
  <c r="C1023" i="5" a="1"/>
  <c r="C1023" i="5" s="1"/>
  <c r="C1024" i="5" a="1"/>
  <c r="C1024" i="5" s="1"/>
  <c r="C1025" i="5" a="1"/>
  <c r="C1025" i="5" s="1"/>
  <c r="C1026" i="5" a="1"/>
  <c r="C1026" i="5" s="1"/>
  <c r="C1027" i="5" a="1"/>
  <c r="C1027" i="5" s="1"/>
  <c r="C1028" i="5" a="1"/>
  <c r="C1028" i="5" s="1"/>
  <c r="C1029" i="5" a="1"/>
  <c r="C1029" i="5" s="1"/>
  <c r="C1030" i="5" a="1"/>
  <c r="C1030" i="5" s="1"/>
  <c r="C1031" i="5" a="1"/>
  <c r="C1031" i="5" s="1"/>
  <c r="C1032" i="5" a="1"/>
  <c r="C1032" i="5" s="1"/>
  <c r="C1033" i="5" a="1"/>
  <c r="C1033" i="5" s="1"/>
  <c r="C1034" i="5" a="1"/>
  <c r="C1034" i="5" s="1"/>
  <c r="C1035" i="5" a="1"/>
  <c r="C1035" i="5" s="1"/>
  <c r="C1036" i="5" a="1"/>
  <c r="C1036" i="5" s="1"/>
  <c r="C1037" i="5" a="1"/>
  <c r="C1037" i="5" s="1"/>
  <c r="C1038" i="5" a="1"/>
  <c r="C1038" i="5" s="1"/>
  <c r="C1039" i="5" a="1"/>
  <c r="C1039" i="5" s="1"/>
  <c r="C1040" i="5" a="1"/>
  <c r="C1040" i="5" s="1"/>
  <c r="C1041" i="5" a="1"/>
  <c r="C1041" i="5" s="1"/>
  <c r="C1042" i="5" a="1"/>
  <c r="C1042" i="5" s="1"/>
  <c r="C1043" i="5" a="1"/>
  <c r="C1043" i="5" s="1"/>
  <c r="C1044" i="5" a="1"/>
  <c r="C1044" i="5" s="1"/>
  <c r="C1045" i="5" a="1"/>
  <c r="C1045" i="5" s="1"/>
  <c r="C1046" i="5" a="1"/>
  <c r="C1046" i="5" s="1"/>
  <c r="C1047" i="5" a="1"/>
  <c r="C1047" i="5" s="1"/>
  <c r="C1048" i="5" a="1"/>
  <c r="C1048" i="5" s="1"/>
  <c r="C1049" i="5" a="1"/>
  <c r="C1049" i="5" s="1"/>
  <c r="C1050" i="5" a="1"/>
  <c r="C1050" i="5" s="1"/>
  <c r="C1051" i="5" a="1"/>
  <c r="C1051" i="5" s="1"/>
  <c r="C1052" i="5" a="1"/>
  <c r="C1052" i="5" s="1"/>
  <c r="C1053" i="5" a="1"/>
  <c r="C1053" i="5" s="1"/>
  <c r="C1054" i="5" a="1"/>
  <c r="C1054" i="5" s="1"/>
  <c r="C1055" i="5" a="1"/>
  <c r="C1055" i="5" s="1"/>
  <c r="C1056" i="5" a="1"/>
  <c r="C1056" i="5" s="1"/>
  <c r="C1057" i="5" a="1"/>
  <c r="C1057" i="5" s="1"/>
  <c r="C1058" i="5" a="1"/>
  <c r="C1058" i="5" s="1"/>
  <c r="C1059" i="5" a="1"/>
  <c r="C1059" i="5" s="1"/>
  <c r="C1060" i="5" a="1"/>
  <c r="C1060" i="5" s="1"/>
  <c r="C1061" i="5" a="1"/>
  <c r="C1061" i="5" s="1"/>
  <c r="C1062" i="5" a="1"/>
  <c r="C1062" i="5" s="1"/>
  <c r="C1063" i="5" a="1"/>
  <c r="C1063" i="5" s="1"/>
  <c r="C1064" i="5" a="1"/>
  <c r="C1064" i="5" s="1"/>
  <c r="C1065" i="5" a="1"/>
  <c r="C1065" i="5" s="1"/>
  <c r="C1066" i="5" a="1"/>
  <c r="C1066" i="5" s="1"/>
  <c r="C1067" i="5" a="1"/>
  <c r="C1067" i="5" s="1"/>
  <c r="C1068" i="5" a="1"/>
  <c r="C1068" i="5" s="1"/>
  <c r="C1069" i="5" a="1"/>
  <c r="C1069" i="5" s="1"/>
  <c r="C1070" i="5" a="1"/>
  <c r="C1070" i="5" s="1"/>
  <c r="C1071" i="5" a="1"/>
  <c r="C1071" i="5" s="1"/>
  <c r="C1072" i="5" a="1"/>
  <c r="C1072" i="5" s="1"/>
  <c r="C1073" i="5" a="1"/>
  <c r="C1073" i="5" s="1"/>
  <c r="C1074" i="5" a="1"/>
  <c r="C1074" i="5" s="1"/>
  <c r="C1075" i="5" a="1"/>
  <c r="C1075" i="5" s="1"/>
  <c r="C1076" i="5" a="1"/>
  <c r="C1076" i="5" s="1"/>
  <c r="C1077" i="5" a="1"/>
  <c r="C1077" i="5" s="1"/>
  <c r="C1078" i="5" a="1"/>
  <c r="C1078" i="5" s="1"/>
  <c r="C1079" i="5" a="1"/>
  <c r="C1079" i="5" s="1"/>
  <c r="C1080" i="5" a="1"/>
  <c r="C1080" i="5" s="1"/>
  <c r="C1081" i="5" a="1"/>
  <c r="C1081" i="5" s="1"/>
  <c r="C1082" i="5" a="1"/>
  <c r="C1082" i="5" s="1"/>
  <c r="C1083" i="5" a="1"/>
  <c r="C1083" i="5" s="1"/>
  <c r="C1084" i="5" a="1"/>
  <c r="C1084" i="5" s="1"/>
  <c r="C1085" i="5" a="1"/>
  <c r="C1085" i="5" s="1"/>
  <c r="C1086" i="5" a="1"/>
  <c r="C1086" i="5" s="1"/>
  <c r="C1087" i="5" a="1"/>
  <c r="C1087" i="5" s="1"/>
  <c r="C1088" i="5" a="1"/>
  <c r="C1088" i="5" s="1"/>
  <c r="C1089" i="5" a="1"/>
  <c r="C1089" i="5" s="1"/>
  <c r="C1090" i="5" a="1"/>
  <c r="C1090" i="5" s="1"/>
  <c r="C1091" i="5" a="1"/>
  <c r="C1091" i="5" s="1"/>
  <c r="C1092" i="5" a="1"/>
  <c r="C1092" i="5" s="1"/>
  <c r="C1093" i="5" a="1"/>
  <c r="C1093" i="5" s="1"/>
  <c r="C1094" i="5" a="1"/>
  <c r="C1094" i="5" s="1"/>
  <c r="C1095" i="5" a="1"/>
  <c r="C1095" i="5" s="1"/>
  <c r="C1096" i="5" a="1"/>
  <c r="C1096" i="5" s="1"/>
  <c r="C1097" i="5" a="1"/>
  <c r="C1097" i="5" s="1"/>
  <c r="C1098" i="5" a="1"/>
  <c r="C1098" i="5" s="1"/>
  <c r="C1099" i="5" a="1"/>
  <c r="C1099" i="5" s="1"/>
  <c r="C1100" i="5" a="1"/>
  <c r="C1100" i="5" s="1"/>
  <c r="C1101" i="5" a="1"/>
  <c r="C1101" i="5" s="1"/>
  <c r="C1102" i="5" a="1"/>
  <c r="C1102" i="5" s="1"/>
  <c r="C1103" i="5" a="1"/>
  <c r="C1103" i="5" s="1"/>
  <c r="C1104" i="5" a="1"/>
  <c r="C1104" i="5" s="1"/>
  <c r="C1105" i="5" a="1"/>
  <c r="C1105" i="5" s="1"/>
  <c r="C1106" i="5" a="1"/>
  <c r="C1106" i="5" s="1"/>
  <c r="C1107" i="5" a="1"/>
  <c r="C1107" i="5" s="1"/>
  <c r="C1108" i="5" a="1"/>
  <c r="C1108" i="5" s="1"/>
  <c r="C1109" i="5" a="1"/>
  <c r="C1109" i="5" s="1"/>
  <c r="C1110" i="5" a="1"/>
  <c r="C1110" i="5" s="1"/>
  <c r="C1111" i="5" a="1"/>
  <c r="C1111" i="5" s="1"/>
  <c r="C1112" i="5" a="1"/>
  <c r="C1112" i="5" s="1"/>
  <c r="C1113" i="5" a="1"/>
  <c r="C1113" i="5" s="1"/>
  <c r="C1114" i="5" a="1"/>
  <c r="C1114" i="5" s="1"/>
  <c r="C1115" i="5" a="1"/>
  <c r="C1115" i="5" s="1"/>
  <c r="C1116" i="5" a="1"/>
  <c r="C1116" i="5" s="1"/>
  <c r="C1117" i="5" a="1"/>
  <c r="C1117" i="5" s="1"/>
  <c r="C1118" i="5" a="1"/>
  <c r="C1118" i="5" s="1"/>
  <c r="C1119" i="5" a="1"/>
  <c r="C1119" i="5" s="1"/>
  <c r="C1120" i="5" a="1"/>
  <c r="C1120" i="5" s="1"/>
  <c r="C1121" i="5" a="1"/>
  <c r="C1121" i="5" s="1"/>
  <c r="C1122" i="5" a="1"/>
  <c r="C1122" i="5" s="1"/>
  <c r="C1123" i="5" a="1"/>
  <c r="C1123" i="5" s="1"/>
  <c r="C1124" i="5" a="1"/>
  <c r="C1124" i="5" s="1"/>
  <c r="C1125" i="5" a="1"/>
  <c r="C1125" i="5" s="1"/>
  <c r="C1126" i="5" a="1"/>
  <c r="C1126" i="5" s="1"/>
  <c r="C1127" i="5" a="1"/>
  <c r="C1127" i="5" s="1"/>
  <c r="C1128" i="5" a="1"/>
  <c r="C1128" i="5" s="1"/>
  <c r="C1129" i="5" a="1"/>
  <c r="C1129" i="5" s="1"/>
  <c r="C1130" i="5" a="1"/>
  <c r="C1130" i="5" s="1"/>
  <c r="C1131" i="5" a="1"/>
  <c r="C1131" i="5" s="1"/>
  <c r="C1132" i="5" a="1"/>
  <c r="C1132" i="5" s="1"/>
  <c r="C1133" i="5" a="1"/>
  <c r="C1133" i="5" s="1"/>
  <c r="C1134" i="5" a="1"/>
  <c r="C1134" i="5" s="1"/>
  <c r="C1135" i="5" a="1"/>
  <c r="C1135" i="5" s="1"/>
  <c r="C1136" i="5" a="1"/>
  <c r="C1136" i="5" s="1"/>
  <c r="C1137" i="5" a="1"/>
  <c r="C1137" i="5" s="1"/>
  <c r="C1138" i="5" a="1"/>
  <c r="C1138" i="5" s="1"/>
  <c r="C1139" i="5" a="1"/>
  <c r="C1139" i="5" s="1"/>
  <c r="C1140" i="5" a="1"/>
  <c r="C1140" i="5" s="1"/>
  <c r="C1141" i="5" a="1"/>
  <c r="C1141" i="5" s="1"/>
  <c r="C1142" i="5" a="1"/>
  <c r="C1142" i="5" s="1"/>
  <c r="C1143" i="5" a="1"/>
  <c r="C1143" i="5" s="1"/>
  <c r="C1144" i="5" a="1"/>
  <c r="C1144" i="5" s="1"/>
  <c r="C1145" i="5" a="1"/>
  <c r="C1145" i="5" s="1"/>
  <c r="C1146" i="5" a="1"/>
  <c r="C1146" i="5" s="1"/>
  <c r="C1147" i="5" a="1"/>
  <c r="C1147" i="5" s="1"/>
  <c r="C1148" i="5" a="1"/>
  <c r="C1148" i="5" s="1"/>
  <c r="C1149" i="5" a="1"/>
  <c r="C1149" i="5" s="1"/>
  <c r="C1150" i="5" a="1"/>
  <c r="C1150" i="5" s="1"/>
  <c r="C1151" i="5" a="1"/>
  <c r="C1151" i="5" s="1"/>
  <c r="C1152" i="5" a="1"/>
  <c r="C1152" i="5" s="1"/>
  <c r="C1153" i="5" a="1"/>
  <c r="C1153" i="5" s="1"/>
  <c r="C1154" i="5" a="1"/>
  <c r="C1154" i="5" s="1"/>
  <c r="C1155" i="5" a="1"/>
  <c r="C1155" i="5" s="1"/>
  <c r="C1156" i="5" a="1"/>
  <c r="C1156" i="5" s="1"/>
  <c r="C1157" i="5" a="1"/>
  <c r="C1157" i="5" s="1"/>
  <c r="C1158" i="5" a="1"/>
  <c r="C1158" i="5" s="1"/>
  <c r="C1159" i="5" a="1"/>
  <c r="C1159" i="5" s="1"/>
  <c r="C1160" i="5" a="1"/>
  <c r="C1160" i="5" s="1"/>
  <c r="C1161" i="5" a="1"/>
  <c r="C1161" i="5" s="1"/>
  <c r="C1162" i="5" a="1"/>
  <c r="C1162" i="5" s="1"/>
  <c r="C1163" i="5" a="1"/>
  <c r="C1163" i="5" s="1"/>
  <c r="C1164" i="5" a="1"/>
  <c r="C1164" i="5" s="1"/>
  <c r="C1165" i="5" a="1"/>
  <c r="C1165" i="5" s="1"/>
  <c r="C1166" i="5" a="1"/>
  <c r="C1166" i="5" s="1"/>
  <c r="C1167" i="5" a="1"/>
  <c r="C1167" i="5" s="1"/>
  <c r="C1168" i="5" a="1"/>
  <c r="C1168" i="5" s="1"/>
  <c r="C1169" i="5" a="1"/>
  <c r="C1169" i="5" s="1"/>
  <c r="C1170" i="5" a="1"/>
  <c r="C1170" i="5" s="1"/>
  <c r="C1171" i="5" a="1"/>
  <c r="C1171" i="5" s="1"/>
  <c r="C1172" i="5" a="1"/>
  <c r="C1172" i="5" s="1"/>
  <c r="C1173" i="5" a="1"/>
  <c r="C1173" i="5" s="1"/>
  <c r="C1174" i="5" a="1"/>
  <c r="C1174" i="5" s="1"/>
  <c r="C1175" i="5" a="1"/>
  <c r="C1175" i="5" s="1"/>
  <c r="C1176" i="5" a="1"/>
  <c r="C1176" i="5" s="1"/>
  <c r="C1177" i="5" a="1"/>
  <c r="C1177" i="5" s="1"/>
  <c r="C1178" i="5" a="1"/>
  <c r="C1178" i="5" s="1"/>
  <c r="C1179" i="5" a="1"/>
  <c r="C1179" i="5" s="1"/>
  <c r="C1180" i="5" a="1"/>
  <c r="C1180" i="5" s="1"/>
  <c r="C1181" i="5" a="1"/>
  <c r="C1181" i="5" s="1"/>
  <c r="C1182" i="5" a="1"/>
  <c r="C1182" i="5" s="1"/>
  <c r="C1183" i="5" a="1"/>
  <c r="C1183" i="5" s="1"/>
  <c r="C1184" i="5" a="1"/>
  <c r="C1184" i="5" s="1"/>
  <c r="C1185" i="5" a="1"/>
  <c r="C1185" i="5" s="1"/>
  <c r="C1186" i="5" a="1"/>
  <c r="C1186" i="5" s="1"/>
  <c r="C1187" i="5" a="1"/>
  <c r="C1187" i="5" s="1"/>
  <c r="C1188" i="5" a="1"/>
  <c r="C1188" i="5" s="1"/>
  <c r="C1189" i="5" a="1"/>
  <c r="C1189" i="5" s="1"/>
  <c r="C1190" i="5" a="1"/>
  <c r="C1190" i="5" s="1"/>
  <c r="C1191" i="5" a="1"/>
  <c r="C1191" i="5" s="1"/>
  <c r="C1192" i="5" a="1"/>
  <c r="C1192" i="5" s="1"/>
  <c r="C1193" i="5" a="1"/>
  <c r="C1193" i="5" s="1"/>
  <c r="C1194" i="5" a="1"/>
  <c r="C1194" i="5" s="1"/>
  <c r="C1195" i="5" a="1"/>
  <c r="C1195" i="5" s="1"/>
  <c r="C1196" i="5" a="1"/>
  <c r="C1196" i="5" s="1"/>
  <c r="C1197" i="5" a="1"/>
  <c r="C1197" i="5" s="1"/>
  <c r="C1198" i="5" a="1"/>
  <c r="C1198" i="5" s="1"/>
  <c r="C1199" i="5" a="1"/>
  <c r="C1199" i="5" s="1"/>
  <c r="C1200" i="5" a="1"/>
  <c r="C1200" i="5" s="1"/>
  <c r="C1201" i="5" a="1"/>
  <c r="C1201" i="5" s="1"/>
  <c r="C1202" i="5" a="1"/>
  <c r="C1202" i="5" s="1"/>
  <c r="C1203" i="5" a="1"/>
  <c r="C1203" i="5" s="1"/>
  <c r="C1204" i="5" a="1"/>
  <c r="C1204" i="5" s="1"/>
  <c r="C1205" i="5" a="1"/>
  <c r="C1205" i="5" s="1"/>
  <c r="C1206" i="5" a="1"/>
  <c r="C1206" i="5" s="1"/>
  <c r="C1207" i="5" a="1"/>
  <c r="C1207" i="5" s="1"/>
  <c r="C1208" i="5" a="1"/>
  <c r="C1208" i="5" s="1"/>
  <c r="C1209" i="5" a="1"/>
  <c r="C1209" i="5" s="1"/>
  <c r="C1210" i="5" a="1"/>
  <c r="C1210" i="5" s="1"/>
  <c r="C1211" i="5" a="1"/>
  <c r="C1211" i="5" s="1"/>
  <c r="C1212" i="5" a="1"/>
  <c r="C1212" i="5" s="1"/>
  <c r="C1213" i="5" a="1"/>
  <c r="C1213" i="5" s="1"/>
  <c r="C1214" i="5" a="1"/>
  <c r="C1214" i="5" s="1"/>
  <c r="C1215" i="5" a="1"/>
  <c r="C1215" i="5" s="1"/>
  <c r="C1216" i="5" a="1"/>
  <c r="C1216" i="5" s="1"/>
  <c r="C1217" i="5" a="1"/>
  <c r="C1217" i="5" s="1"/>
  <c r="C1218" i="5" a="1"/>
  <c r="C1218" i="5" s="1"/>
  <c r="C1219" i="5" a="1"/>
  <c r="C1219" i="5" s="1"/>
  <c r="C1220" i="5" a="1"/>
  <c r="C1220" i="5" s="1"/>
  <c r="C1221" i="5" a="1"/>
  <c r="C1221" i="5" s="1"/>
  <c r="C1222" i="5" a="1"/>
  <c r="C1222" i="5" s="1"/>
  <c r="C1223" i="5" a="1"/>
  <c r="C1223" i="5" s="1"/>
  <c r="C1224" i="5" a="1"/>
  <c r="C1224" i="5" s="1"/>
  <c r="C1225" i="5" a="1"/>
  <c r="C1225" i="5" s="1"/>
  <c r="C1226" i="5" a="1"/>
  <c r="C1226" i="5" s="1"/>
  <c r="C1227" i="5" a="1"/>
  <c r="C1227" i="5" s="1"/>
  <c r="C1228" i="5" a="1"/>
  <c r="C1228" i="5" s="1"/>
  <c r="C1229" i="5" a="1"/>
  <c r="C1229" i="5" s="1"/>
  <c r="C1230" i="5" a="1"/>
  <c r="C1230" i="5" s="1"/>
  <c r="C1231" i="5" a="1"/>
  <c r="C1231" i="5" s="1"/>
  <c r="C1232" i="5" a="1"/>
  <c r="C1232" i="5" s="1"/>
  <c r="C1233" i="5" a="1"/>
  <c r="C1233" i="5" s="1"/>
  <c r="C1234" i="5" a="1"/>
  <c r="C1234" i="5" s="1"/>
  <c r="C1235" i="5" a="1"/>
  <c r="C1235" i="5" s="1"/>
  <c r="C1236" i="5" a="1"/>
  <c r="C1236" i="5" s="1"/>
  <c r="C1237" i="5" a="1"/>
  <c r="C1237" i="5" s="1"/>
  <c r="C1238" i="5" a="1"/>
  <c r="C1238" i="5" s="1"/>
  <c r="C1239" i="5" a="1"/>
  <c r="C1239" i="5" s="1"/>
  <c r="C1240" i="5" a="1"/>
  <c r="C1240" i="5" s="1"/>
  <c r="C1241" i="5" a="1"/>
  <c r="C1241" i="5" s="1"/>
  <c r="C1242" i="5" a="1"/>
  <c r="C1242" i="5" s="1"/>
  <c r="C1243" i="5" a="1"/>
  <c r="C1243" i="5" s="1"/>
  <c r="C1244" i="5" a="1"/>
  <c r="C1244" i="5" s="1"/>
  <c r="C1245" i="5" a="1"/>
  <c r="C1245" i="5" s="1"/>
  <c r="C1246" i="5" a="1"/>
  <c r="C1246" i="5" s="1"/>
  <c r="C1247" i="5" a="1"/>
  <c r="C1247" i="5" s="1"/>
  <c r="C1248" i="5" a="1"/>
  <c r="C1248" i="5" s="1"/>
  <c r="C1249" i="5" a="1"/>
  <c r="C1249" i="5" s="1"/>
  <c r="C1250" i="5" a="1"/>
  <c r="C1250" i="5" s="1"/>
  <c r="C1251" i="5" a="1"/>
  <c r="C1251" i="5" s="1"/>
  <c r="C1252" i="5" a="1"/>
  <c r="C1252" i="5" s="1"/>
  <c r="C1253" i="5" a="1"/>
  <c r="C1253" i="5" s="1"/>
  <c r="C1254" i="5" a="1"/>
  <c r="C1254" i="5" s="1"/>
  <c r="C1255" i="5" a="1"/>
  <c r="C1255" i="5" s="1"/>
  <c r="C1256" i="5" a="1"/>
  <c r="C1256" i="5" s="1"/>
  <c r="C1257" i="5" a="1"/>
  <c r="C1257" i="5" s="1"/>
  <c r="C1258" i="5" a="1"/>
  <c r="C1258" i="5" s="1"/>
  <c r="C1259" i="5" a="1"/>
  <c r="C1259" i="5" s="1"/>
  <c r="C1260" i="5" a="1"/>
  <c r="C1260" i="5" s="1"/>
  <c r="C1261" i="5" a="1"/>
  <c r="C1261" i="5" s="1"/>
  <c r="C1262" i="5" a="1"/>
  <c r="C1262" i="5" s="1"/>
  <c r="C1263" i="5" a="1"/>
  <c r="C1263" i="5" s="1"/>
  <c r="C1264" i="5" a="1"/>
  <c r="C1264" i="5" s="1"/>
  <c r="C1265" i="5" a="1"/>
  <c r="C1265" i="5" s="1"/>
  <c r="C1266" i="5" a="1"/>
  <c r="C1266" i="5" s="1"/>
  <c r="C1267" i="5" a="1"/>
  <c r="C1267" i="5" s="1"/>
  <c r="C1268" i="5" a="1"/>
  <c r="C1268" i="5" s="1"/>
  <c r="C1269" i="5" a="1"/>
  <c r="C1269" i="5" s="1"/>
  <c r="C1270" i="5" a="1"/>
  <c r="C1270" i="5" s="1"/>
  <c r="C1271" i="5" a="1"/>
  <c r="C1271" i="5" s="1"/>
  <c r="C1272" i="5" a="1"/>
  <c r="C1272" i="5" s="1"/>
  <c r="C1273" i="5" a="1"/>
  <c r="C1273" i="5" s="1"/>
  <c r="C1274" i="5" a="1"/>
  <c r="C1274" i="5" s="1"/>
  <c r="C1275" i="5" a="1"/>
  <c r="C1275" i="5" s="1"/>
  <c r="C1276" i="5" a="1"/>
  <c r="C1276" i="5" s="1"/>
  <c r="C1277" i="5" a="1"/>
  <c r="C1277" i="5" s="1"/>
  <c r="C1278" i="5" a="1"/>
  <c r="C1278" i="5" s="1"/>
  <c r="C1279" i="5" a="1"/>
  <c r="C1279" i="5" s="1"/>
  <c r="C1280" i="5" a="1"/>
  <c r="C1280" i="5" s="1"/>
  <c r="C1281" i="5" a="1"/>
  <c r="C1281" i="5" s="1"/>
  <c r="C1282" i="5" a="1"/>
  <c r="C1282" i="5" s="1"/>
  <c r="C1283" i="5" a="1"/>
  <c r="C1283" i="5" s="1"/>
  <c r="C1284" i="5" a="1"/>
  <c r="C1284" i="5" s="1"/>
  <c r="C1285" i="5" a="1"/>
  <c r="C1285" i="5" s="1"/>
  <c r="C1286" i="5" a="1"/>
  <c r="C1286" i="5" s="1"/>
  <c r="C1287" i="5" a="1"/>
  <c r="C1287" i="5" s="1"/>
  <c r="C1288" i="5" a="1"/>
  <c r="C1288" i="5" s="1"/>
  <c r="C1289" i="5" a="1"/>
  <c r="C1289" i="5" s="1"/>
  <c r="C1290" i="5" a="1"/>
  <c r="C1290" i="5" s="1"/>
  <c r="C1291" i="5" a="1"/>
  <c r="C1291" i="5" s="1"/>
  <c r="C1292" i="5" a="1"/>
  <c r="C1292" i="5" s="1"/>
  <c r="C1293" i="5" a="1"/>
  <c r="C1293" i="5" s="1"/>
  <c r="C1294" i="5" a="1"/>
  <c r="C1294" i="5" s="1"/>
  <c r="C1295" i="5" a="1"/>
  <c r="C1295" i="5" s="1"/>
  <c r="C1296" i="5" a="1"/>
  <c r="C1296" i="5" s="1"/>
  <c r="C1297" i="5" a="1"/>
  <c r="C1297" i="5" s="1"/>
  <c r="C1298" i="5" a="1"/>
  <c r="C1298" i="5" s="1"/>
  <c r="C1299" i="5" a="1"/>
  <c r="C1299" i="5" s="1"/>
  <c r="C1300" i="5" a="1"/>
  <c r="C1300" i="5" s="1"/>
  <c r="C1301" i="5" a="1"/>
  <c r="C1301" i="5" s="1"/>
  <c r="C1302" i="5" a="1"/>
  <c r="C1302" i="5" s="1"/>
  <c r="C1303" i="5" a="1"/>
  <c r="C1303" i="5" s="1"/>
  <c r="C1304" i="5" a="1"/>
  <c r="C1304" i="5" s="1"/>
  <c r="C1305" i="5" a="1"/>
  <c r="C1305" i="5" s="1"/>
  <c r="C1306" i="5" a="1"/>
  <c r="C1306" i="5" s="1"/>
  <c r="C1307" i="5" a="1"/>
  <c r="C1307" i="5" s="1"/>
  <c r="C1308" i="5" a="1"/>
  <c r="C1308" i="5" s="1"/>
  <c r="C1309" i="5" a="1"/>
  <c r="C1309" i="5" s="1"/>
  <c r="C1310" i="5" a="1"/>
  <c r="C1310" i="5" s="1"/>
  <c r="C1311" i="5" a="1"/>
  <c r="C1311" i="5" s="1"/>
  <c r="C1312" i="5" a="1"/>
  <c r="C1312" i="5" s="1"/>
  <c r="C1313" i="5" a="1"/>
  <c r="C1313" i="5" s="1"/>
  <c r="C1314" i="5" a="1"/>
  <c r="C1314" i="5" s="1"/>
  <c r="C1315" i="5" a="1"/>
  <c r="C1315" i="5" s="1"/>
  <c r="C1316" i="5" a="1"/>
  <c r="C1316" i="5" s="1"/>
  <c r="C1317" i="5" a="1"/>
  <c r="C1317" i="5" s="1"/>
  <c r="C1318" i="5" a="1"/>
  <c r="C1318" i="5" s="1"/>
  <c r="C1319" i="5" a="1"/>
  <c r="C1319" i="5" s="1"/>
  <c r="C1320" i="5" a="1"/>
  <c r="C1320" i="5" s="1"/>
  <c r="C1321" i="5" a="1"/>
  <c r="C1321" i="5" s="1"/>
  <c r="C1322" i="5" a="1"/>
  <c r="C1322" i="5" s="1"/>
  <c r="C1323" i="5" a="1"/>
  <c r="C1323" i="5" s="1"/>
  <c r="C1324" i="5" a="1"/>
  <c r="C1324" i="5" s="1"/>
  <c r="C1325" i="5" a="1"/>
  <c r="C1325" i="5" s="1"/>
  <c r="C1326" i="5" a="1"/>
  <c r="C1326" i="5" s="1"/>
  <c r="C1327" i="5" a="1"/>
  <c r="C1327" i="5" s="1"/>
  <c r="C1328" i="5" a="1"/>
  <c r="C1328" i="5" s="1"/>
  <c r="C1329" i="5" a="1"/>
  <c r="C1329" i="5" s="1"/>
  <c r="C1330" i="5" a="1"/>
  <c r="C1330" i="5" s="1"/>
  <c r="C1331" i="5" a="1"/>
  <c r="C1331" i="5" s="1"/>
  <c r="C1332" i="5" a="1"/>
  <c r="C1332" i="5" s="1"/>
  <c r="C1333" i="5" a="1"/>
  <c r="C1333" i="5" s="1"/>
  <c r="C1334" i="5" a="1"/>
  <c r="C1334" i="5" s="1"/>
  <c r="C1335" i="5" a="1"/>
  <c r="C1335" i="5" s="1"/>
  <c r="C1336" i="5" a="1"/>
  <c r="C1336" i="5" s="1"/>
  <c r="C1337" i="5" a="1"/>
  <c r="C1337" i="5" s="1"/>
  <c r="C1338" i="5" a="1"/>
  <c r="C1338" i="5" s="1"/>
  <c r="C1339" i="5" a="1"/>
  <c r="C1339" i="5" s="1"/>
  <c r="C1340" i="5" a="1"/>
  <c r="C1340" i="5" s="1"/>
  <c r="C1341" i="5" a="1"/>
  <c r="C1341" i="5" s="1"/>
  <c r="C1342" i="5" a="1"/>
  <c r="C1342" i="5" s="1"/>
  <c r="C1343" i="5" a="1"/>
  <c r="C1343" i="5" s="1"/>
  <c r="C1344" i="5" a="1"/>
  <c r="C1344" i="5" s="1"/>
  <c r="C1345" i="5" a="1"/>
  <c r="C1345" i="5" s="1"/>
  <c r="C1346" i="5" a="1"/>
  <c r="C1346" i="5" s="1"/>
  <c r="C1347" i="5" a="1"/>
  <c r="C1347" i="5" s="1"/>
  <c r="C1348" i="5" a="1"/>
  <c r="C1348" i="5" s="1"/>
  <c r="C1349" i="5" a="1"/>
  <c r="C1349" i="5" s="1"/>
  <c r="C1350" i="5" a="1"/>
  <c r="C1350" i="5" s="1"/>
  <c r="C1351" i="5" a="1"/>
  <c r="C1351" i="5" s="1"/>
  <c r="C1352" i="5" a="1"/>
  <c r="C1352" i="5" s="1"/>
  <c r="C1353" i="5" a="1"/>
  <c r="C1353" i="5" s="1"/>
  <c r="C1354" i="5" a="1"/>
  <c r="C1354" i="5" s="1"/>
  <c r="C1355" i="5" a="1"/>
  <c r="C1355" i="5" s="1"/>
  <c r="C1356" i="5" a="1"/>
  <c r="C1356" i="5" s="1"/>
  <c r="C1357" i="5" a="1"/>
  <c r="C1357" i="5" s="1"/>
  <c r="C1358" i="5" a="1"/>
  <c r="C1358" i="5" s="1"/>
  <c r="C1359" i="5" a="1"/>
  <c r="C1359" i="5" s="1"/>
  <c r="C1360" i="5" a="1"/>
  <c r="C1360" i="5" s="1"/>
  <c r="C1361" i="5" a="1"/>
  <c r="C1361" i="5" s="1"/>
  <c r="C1362" i="5" a="1"/>
  <c r="C1362" i="5" s="1"/>
  <c r="C1363" i="5" a="1"/>
  <c r="C1363" i="5" s="1"/>
  <c r="C1364" i="5" a="1"/>
  <c r="C1364" i="5" s="1"/>
  <c r="C1365" i="5" a="1"/>
  <c r="C1365" i="5" s="1"/>
  <c r="C1366" i="5" a="1"/>
  <c r="C1366" i="5" s="1"/>
  <c r="C1367" i="5" a="1"/>
  <c r="C1367" i="5" s="1"/>
  <c r="C1368" i="5" a="1"/>
  <c r="C1368" i="5" s="1"/>
  <c r="C1369" i="5" a="1"/>
  <c r="C1369" i="5" s="1"/>
  <c r="C1370" i="5" a="1"/>
  <c r="C1370" i="5" s="1"/>
  <c r="C1371" i="5" a="1"/>
  <c r="C1371" i="5" s="1"/>
  <c r="C1372" i="5" a="1"/>
  <c r="C1372" i="5" s="1"/>
  <c r="C1373" i="5" a="1"/>
  <c r="C1373" i="5" s="1"/>
  <c r="C1374" i="5" a="1"/>
  <c r="C1374" i="5" s="1"/>
  <c r="C1375" i="5" a="1"/>
  <c r="C1375" i="5" s="1"/>
  <c r="C1376" i="5" a="1"/>
  <c r="C1376" i="5" s="1"/>
  <c r="C1377" i="5" a="1"/>
  <c r="C1377" i="5" s="1"/>
  <c r="C1378" i="5" a="1"/>
  <c r="C1378" i="5" s="1"/>
  <c r="C1379" i="5" a="1"/>
  <c r="C1379" i="5" s="1"/>
  <c r="C1380" i="5" a="1"/>
  <c r="C1380" i="5" s="1"/>
  <c r="C1381" i="5" a="1"/>
  <c r="C1381" i="5" s="1"/>
  <c r="C1382" i="5" a="1"/>
  <c r="C1382" i="5" s="1"/>
  <c r="C1383" i="5" a="1"/>
  <c r="C1383" i="5" s="1"/>
  <c r="C1384" i="5" a="1"/>
  <c r="C1384" i="5" s="1"/>
  <c r="C1385" i="5" a="1"/>
  <c r="C1385" i="5" s="1"/>
  <c r="C1386" i="5" a="1"/>
  <c r="C1386" i="5" s="1"/>
  <c r="C1387" i="5" a="1"/>
  <c r="C1387" i="5" s="1"/>
  <c r="C1388" i="5" a="1"/>
  <c r="C1388" i="5" s="1"/>
  <c r="C1389" i="5" a="1"/>
  <c r="C1389" i="5" s="1"/>
  <c r="C1390" i="5" a="1"/>
  <c r="C1390" i="5" s="1"/>
  <c r="C1391" i="5" a="1"/>
  <c r="C1391" i="5" s="1"/>
  <c r="C1392" i="5" a="1"/>
  <c r="C1392" i="5" s="1"/>
  <c r="C1393" i="5" a="1"/>
  <c r="C1393" i="5" s="1"/>
  <c r="C1394" i="5" a="1"/>
  <c r="C1394" i="5" s="1"/>
  <c r="C1395" i="5" a="1"/>
  <c r="C1395" i="5" s="1"/>
  <c r="C1396" i="5" a="1"/>
  <c r="C1396" i="5" s="1"/>
  <c r="C1397" i="5" a="1"/>
  <c r="C1397" i="5" s="1"/>
  <c r="C1398" i="5" a="1"/>
  <c r="C1398" i="5" s="1"/>
  <c r="C1399" i="5" a="1"/>
  <c r="C1399" i="5" s="1"/>
  <c r="C1400" i="5" a="1"/>
  <c r="C1400" i="5" s="1"/>
  <c r="C1401" i="5" a="1"/>
  <c r="C1401" i="5" s="1"/>
  <c r="C1402" i="5" a="1"/>
  <c r="C1402" i="5" s="1"/>
  <c r="C1403" i="5" a="1"/>
  <c r="C1403" i="5" s="1"/>
  <c r="C1404" i="5" a="1"/>
  <c r="C1404" i="5" s="1"/>
  <c r="C1405" i="5" a="1"/>
  <c r="C1405" i="5" s="1"/>
  <c r="C1406" i="5" a="1"/>
  <c r="C1406" i="5" s="1"/>
  <c r="C1407" i="5" a="1"/>
  <c r="C1407" i="5" s="1"/>
  <c r="C1408" i="5" a="1"/>
  <c r="C1408" i="5" s="1"/>
  <c r="C1409" i="5" a="1"/>
  <c r="C1409" i="5" s="1"/>
  <c r="C1410" i="5" a="1"/>
  <c r="C1410" i="5" s="1"/>
  <c r="C1411" i="5" a="1"/>
  <c r="C1411" i="5" s="1"/>
  <c r="C1412" i="5" a="1"/>
  <c r="C1412" i="5" s="1"/>
  <c r="C1413" i="5" a="1"/>
  <c r="C1413" i="5" s="1"/>
  <c r="C1414" i="5" a="1"/>
  <c r="C1414" i="5" s="1"/>
  <c r="C1415" i="5" a="1"/>
  <c r="C1415" i="5" s="1"/>
  <c r="C1416" i="5" a="1"/>
  <c r="C1416" i="5" s="1"/>
  <c r="C1417" i="5" a="1"/>
  <c r="C1417" i="5" s="1"/>
  <c r="C1418" i="5" a="1"/>
  <c r="C1418" i="5" s="1"/>
  <c r="C1419" i="5" a="1"/>
  <c r="C1419" i="5" s="1"/>
  <c r="C1420" i="5" a="1"/>
  <c r="C1420" i="5" s="1"/>
  <c r="C1421" i="5" a="1"/>
  <c r="C1421" i="5" s="1"/>
  <c r="C1422" i="5" a="1"/>
  <c r="C1422" i="5" s="1"/>
  <c r="C1423" i="5" a="1"/>
  <c r="C1423" i="5" s="1"/>
  <c r="C1424" i="5" a="1"/>
  <c r="C1424" i="5" s="1"/>
  <c r="C1425" i="5" a="1"/>
  <c r="C1425" i="5" s="1"/>
  <c r="C1426" i="5" a="1"/>
  <c r="C1426" i="5" s="1"/>
  <c r="C1427" i="5" a="1"/>
  <c r="C1427" i="5" s="1"/>
  <c r="C1428" i="5" a="1"/>
  <c r="C1428" i="5" s="1"/>
  <c r="C1429" i="5" a="1"/>
  <c r="C1429" i="5" s="1"/>
  <c r="C1430" i="5" a="1"/>
  <c r="C1430" i="5" s="1"/>
  <c r="C1431" i="5" a="1"/>
  <c r="C1431" i="5" s="1"/>
  <c r="C1432" i="5" a="1"/>
  <c r="C1432" i="5" s="1"/>
  <c r="C1433" i="5" a="1"/>
  <c r="C1433" i="5" s="1"/>
  <c r="C1434" i="5" a="1"/>
  <c r="C1434" i="5" s="1"/>
  <c r="C1435" i="5" a="1"/>
  <c r="C1435" i="5" s="1"/>
  <c r="C1436" i="5" a="1"/>
  <c r="C1436" i="5" s="1"/>
  <c r="C1437" i="5" a="1"/>
  <c r="C1437" i="5" s="1"/>
  <c r="C1438" i="5" a="1"/>
  <c r="C1438" i="5" s="1"/>
  <c r="C1439" i="5" a="1"/>
  <c r="C1439" i="5" s="1"/>
  <c r="C1440" i="5" a="1"/>
  <c r="C1440" i="5" s="1"/>
  <c r="C1441" i="5" a="1"/>
  <c r="C1441" i="5" s="1"/>
  <c r="C1442" i="5" a="1"/>
  <c r="C1442" i="5" s="1"/>
  <c r="C1443" i="5" a="1"/>
  <c r="C1443" i="5" s="1"/>
  <c r="C1444" i="5" a="1"/>
  <c r="C1444" i="5" s="1"/>
  <c r="C1445" i="5" a="1"/>
  <c r="C1445" i="5" s="1"/>
  <c r="C1446" i="5" a="1"/>
  <c r="C1446" i="5" s="1"/>
  <c r="C1447" i="5" a="1"/>
  <c r="C1447" i="5" s="1"/>
  <c r="C1448" i="5" a="1"/>
  <c r="C1448" i="5" s="1"/>
  <c r="C1449" i="5" a="1"/>
  <c r="C1449" i="5" s="1"/>
  <c r="C1450" i="5" a="1"/>
  <c r="C1450" i="5" s="1"/>
  <c r="C1451" i="5" a="1"/>
  <c r="C1451" i="5" s="1"/>
  <c r="C1452" i="5" a="1"/>
  <c r="C1452" i="5" s="1"/>
  <c r="C1453" i="5" a="1"/>
  <c r="C1453" i="5" s="1"/>
  <c r="C1454" i="5" a="1"/>
  <c r="C1454" i="5" s="1"/>
  <c r="C1455" i="5" a="1"/>
  <c r="C1455" i="5" s="1"/>
  <c r="C1456" i="5" a="1"/>
  <c r="C1456" i="5" s="1"/>
  <c r="C1457" i="5" a="1"/>
  <c r="C1457" i="5" s="1"/>
  <c r="C1458" i="5" a="1"/>
  <c r="C1458" i="5" s="1"/>
  <c r="C1459" i="5" a="1"/>
  <c r="C1459" i="5" s="1"/>
  <c r="C1460" i="5" a="1"/>
  <c r="C1460" i="5" s="1"/>
  <c r="C1461" i="5" a="1"/>
  <c r="C1461" i="5" s="1"/>
  <c r="C1462" i="5" a="1"/>
  <c r="C1462" i="5" s="1"/>
  <c r="C1463" i="5" a="1"/>
  <c r="C1463" i="5" s="1"/>
  <c r="C1464" i="5" a="1"/>
  <c r="C1464" i="5" s="1"/>
  <c r="C1465" i="5" a="1"/>
  <c r="C1465" i="5" s="1"/>
  <c r="C1466" i="5" a="1"/>
  <c r="C1466" i="5" s="1"/>
  <c r="C1467" i="5" a="1"/>
  <c r="C1467" i="5" s="1"/>
  <c r="C1468" i="5" a="1"/>
  <c r="C1468" i="5" s="1"/>
  <c r="C1469" i="5" a="1"/>
  <c r="C1469" i="5" s="1"/>
  <c r="C1470" i="5" a="1"/>
  <c r="C1470" i="5" s="1"/>
  <c r="C1471" i="5" a="1"/>
  <c r="C1471" i="5" s="1"/>
  <c r="C1472" i="5" a="1"/>
  <c r="C1472" i="5" s="1"/>
  <c r="C1473" i="5" a="1"/>
  <c r="C1473" i="5" s="1"/>
  <c r="C1474" i="5" a="1"/>
  <c r="C1474" i="5" s="1"/>
  <c r="C1475" i="5" a="1"/>
  <c r="C1475" i="5" s="1"/>
  <c r="C1476" i="5" a="1"/>
  <c r="C1476" i="5" s="1"/>
  <c r="C1477" i="5" a="1"/>
  <c r="C1477" i="5" s="1"/>
  <c r="C1478" i="5" a="1"/>
  <c r="C1478" i="5" s="1"/>
  <c r="C1479" i="5" a="1"/>
  <c r="C1479" i="5" s="1"/>
  <c r="C1480" i="5" a="1"/>
  <c r="C1480" i="5" s="1"/>
  <c r="C1481" i="5" a="1"/>
  <c r="C1481" i="5" s="1"/>
  <c r="C1482" i="5" a="1"/>
  <c r="C1482" i="5" s="1"/>
  <c r="C1483" i="5" a="1"/>
  <c r="C1483" i="5" s="1"/>
  <c r="C1484" i="5" a="1"/>
  <c r="C1484" i="5" s="1"/>
  <c r="C1485" i="5" a="1"/>
  <c r="C1485" i="5" s="1"/>
  <c r="C1486" i="5" a="1"/>
  <c r="C1486" i="5" s="1"/>
  <c r="C1487" i="5" a="1"/>
  <c r="C1487" i="5" s="1"/>
  <c r="C1488" i="5" a="1"/>
  <c r="C1488" i="5" s="1"/>
  <c r="C1489" i="5" a="1"/>
  <c r="C1489" i="5" s="1"/>
  <c r="C1490" i="5" a="1"/>
  <c r="C1490" i="5" s="1"/>
  <c r="C1491" i="5" a="1"/>
  <c r="C1491" i="5" s="1"/>
  <c r="C1492" i="5" a="1"/>
  <c r="C1492" i="5" s="1"/>
  <c r="C1493" i="5" a="1"/>
  <c r="C1493" i="5" s="1"/>
  <c r="C1494" i="5" a="1"/>
  <c r="C1494" i="5" s="1"/>
  <c r="C1495" i="5" a="1"/>
  <c r="C1495" i="5" s="1"/>
  <c r="C1496" i="5" a="1"/>
  <c r="C1496" i="5" s="1"/>
  <c r="C1497" i="5" a="1"/>
  <c r="C1497" i="5" s="1"/>
  <c r="C1498" i="5" a="1"/>
  <c r="C1498" i="5" s="1"/>
  <c r="C1499" i="5" a="1"/>
  <c r="C1499" i="5" s="1"/>
  <c r="C1500" i="5" a="1"/>
  <c r="C1500" i="5" s="1"/>
  <c r="C1501" i="5" a="1"/>
  <c r="C1501" i="5" s="1"/>
  <c r="C1502" i="5" a="1"/>
  <c r="C1502" i="5" s="1"/>
  <c r="C1503" i="5" a="1"/>
  <c r="C1503" i="5" s="1"/>
  <c r="C1504" i="5" a="1"/>
  <c r="C1504" i="5" s="1"/>
  <c r="C1505" i="5" a="1"/>
  <c r="C1505" i="5" s="1"/>
  <c r="C1506" i="5" a="1"/>
  <c r="C1506" i="5" s="1"/>
  <c r="C1507" i="5" a="1"/>
  <c r="C1507" i="5" s="1"/>
  <c r="C1508" i="5" a="1"/>
  <c r="C1508" i="5" s="1"/>
  <c r="C1509" i="5" a="1"/>
  <c r="C1509" i="5" s="1"/>
  <c r="C1510" i="5" a="1"/>
  <c r="C1510" i="5" s="1"/>
  <c r="C1511" i="5" a="1"/>
  <c r="C1511" i="5" s="1"/>
  <c r="C1512" i="5" a="1"/>
  <c r="C1512" i="5" s="1"/>
  <c r="C1513" i="5" a="1"/>
  <c r="C1513" i="5" s="1"/>
  <c r="C1514" i="5" a="1"/>
  <c r="C1514" i="5" s="1"/>
  <c r="C1515" i="5" a="1"/>
  <c r="C1515" i="5" s="1"/>
  <c r="C1516" i="5" a="1"/>
  <c r="C1516" i="5" s="1"/>
  <c r="C1517" i="5" a="1"/>
  <c r="C1517" i="5" s="1"/>
  <c r="C1518" i="5" a="1"/>
  <c r="C1518" i="5" s="1"/>
  <c r="C1519" i="5" a="1"/>
  <c r="C1519" i="5" s="1"/>
  <c r="C1520" i="5" a="1"/>
  <c r="C1520" i="5" s="1"/>
  <c r="C1521" i="5" a="1"/>
  <c r="C1521" i="5" s="1"/>
  <c r="C1522" i="5" a="1"/>
  <c r="C1522" i="5" s="1"/>
  <c r="C1523" i="5" a="1"/>
  <c r="C1523" i="5" s="1"/>
  <c r="C1524" i="5" a="1"/>
  <c r="C1524" i="5" s="1"/>
  <c r="C1525" i="5" a="1"/>
  <c r="C1525" i="5" s="1"/>
  <c r="C1526" i="5" a="1"/>
  <c r="C1526" i="5" s="1"/>
  <c r="C1527" i="5" a="1"/>
  <c r="C1527" i="5" s="1"/>
  <c r="C1528" i="5" a="1"/>
  <c r="C1528" i="5" s="1"/>
  <c r="C1529" i="5" a="1"/>
  <c r="C1529" i="5" s="1"/>
  <c r="C1530" i="5" a="1"/>
  <c r="C1530" i="5" s="1"/>
  <c r="C1531" i="5" a="1"/>
  <c r="C1531" i="5" s="1"/>
  <c r="C1532" i="5" a="1"/>
  <c r="C1532" i="5" s="1"/>
  <c r="C1533" i="5" a="1"/>
  <c r="C1533" i="5" s="1"/>
  <c r="C1534" i="5" a="1"/>
  <c r="C1534" i="5" s="1"/>
  <c r="C1535" i="5" a="1"/>
  <c r="C1535" i="5" s="1"/>
  <c r="C1536" i="5" a="1"/>
  <c r="C1536" i="5" s="1"/>
  <c r="C1537" i="5" a="1"/>
  <c r="C1537" i="5" s="1"/>
  <c r="C1538" i="5" a="1"/>
  <c r="C1538" i="5" s="1"/>
  <c r="C1539" i="5" a="1"/>
  <c r="C1539" i="5" s="1"/>
  <c r="C1540" i="5" a="1"/>
  <c r="C1540" i="5" s="1"/>
  <c r="C1541" i="5" a="1"/>
  <c r="C1541" i="5" s="1"/>
  <c r="C1542" i="5" a="1"/>
  <c r="C1542" i="5" s="1"/>
  <c r="C1543" i="5" a="1"/>
  <c r="C1543" i="5" s="1"/>
  <c r="C1544" i="5" a="1"/>
  <c r="C1544" i="5" s="1"/>
  <c r="C1545" i="5" a="1"/>
  <c r="C1545" i="5" s="1"/>
  <c r="C1546" i="5" a="1"/>
  <c r="C1546" i="5" s="1"/>
  <c r="C1547" i="5" a="1"/>
  <c r="C1547" i="5" s="1"/>
  <c r="C1548" i="5" a="1"/>
  <c r="C1548" i="5" s="1"/>
  <c r="C1549" i="5" a="1"/>
  <c r="C1549" i="5" s="1"/>
  <c r="C1550" i="5" a="1"/>
  <c r="C1550" i="5" s="1"/>
  <c r="C1551" i="5" a="1"/>
  <c r="C1551" i="5" s="1"/>
  <c r="C1552" i="5" a="1"/>
  <c r="C1552" i="5" s="1"/>
  <c r="C1553" i="5" a="1"/>
  <c r="C1553" i="5" s="1"/>
  <c r="C1554" i="5" a="1"/>
  <c r="C1554" i="5" s="1"/>
  <c r="C1555" i="5" a="1"/>
  <c r="C1555" i="5" s="1"/>
  <c r="C1556" i="5" a="1"/>
  <c r="C1556" i="5" s="1"/>
  <c r="C1557" i="5" a="1"/>
  <c r="C1557" i="5" s="1"/>
  <c r="C1558" i="5" a="1"/>
  <c r="C1558" i="5" s="1"/>
  <c r="C1559" i="5" a="1"/>
  <c r="C1559" i="5" s="1"/>
  <c r="C1560" i="5" a="1"/>
  <c r="C1560" i="5" s="1"/>
  <c r="C1561" i="5" a="1"/>
  <c r="C1561" i="5" s="1"/>
  <c r="C1562" i="5" a="1"/>
  <c r="C1562" i="5" s="1"/>
  <c r="C1563" i="5" a="1"/>
  <c r="C1563" i="5" s="1"/>
  <c r="C1564" i="5" a="1"/>
  <c r="C1564" i="5" s="1"/>
  <c r="C1565" i="5" a="1"/>
  <c r="C1565" i="5" s="1"/>
  <c r="C1566" i="5" a="1"/>
  <c r="C1566" i="5" s="1"/>
  <c r="C1567" i="5" a="1"/>
  <c r="C1567" i="5" s="1"/>
  <c r="C1568" i="5" a="1"/>
  <c r="C1568" i="5" s="1"/>
  <c r="C1569" i="5" a="1"/>
  <c r="C1569" i="5" s="1"/>
  <c r="C1570" i="5" a="1"/>
  <c r="C1570" i="5" s="1"/>
  <c r="C1571" i="5" a="1"/>
  <c r="C1571" i="5" s="1"/>
  <c r="C1572" i="5" a="1"/>
  <c r="C1572" i="5" s="1"/>
  <c r="C1573" i="5" a="1"/>
  <c r="C1573" i="5" s="1"/>
  <c r="C1574" i="5" a="1"/>
  <c r="C1574" i="5" s="1"/>
  <c r="C1575" i="5" a="1"/>
  <c r="C1575" i="5" s="1"/>
  <c r="C1576" i="5" a="1"/>
  <c r="C1576" i="5" s="1"/>
  <c r="C1577" i="5" a="1"/>
  <c r="C1577" i="5" s="1"/>
  <c r="C1578" i="5" a="1"/>
  <c r="C1578" i="5" s="1"/>
  <c r="C1579" i="5" a="1"/>
  <c r="C1579" i="5" s="1"/>
  <c r="C1580" i="5" a="1"/>
  <c r="C1580" i="5" s="1"/>
  <c r="C1581" i="5" a="1"/>
  <c r="C1581" i="5" s="1"/>
  <c r="C1582" i="5" a="1"/>
  <c r="C1582" i="5" s="1"/>
  <c r="C1583" i="5" a="1"/>
  <c r="C1583" i="5" s="1"/>
  <c r="C1584" i="5" a="1"/>
  <c r="C1584" i="5" s="1"/>
  <c r="C1585" i="5" a="1"/>
  <c r="C1585" i="5" s="1"/>
  <c r="C1586" i="5" a="1"/>
  <c r="C1586" i="5" s="1"/>
  <c r="C1587" i="5" a="1"/>
  <c r="C1587" i="5" s="1"/>
  <c r="C1588" i="5" a="1"/>
  <c r="C1588" i="5" s="1"/>
  <c r="C1589" i="5" a="1"/>
  <c r="C1589" i="5" s="1"/>
  <c r="C1590" i="5" a="1"/>
  <c r="C1590" i="5" s="1"/>
  <c r="C1591" i="5" a="1"/>
  <c r="C1591" i="5" s="1"/>
  <c r="C1592" i="5" a="1"/>
  <c r="C1592" i="5" s="1"/>
  <c r="C1593" i="5" a="1"/>
  <c r="C1593" i="5" s="1"/>
  <c r="C1594" i="5" a="1"/>
  <c r="C1594" i="5" s="1"/>
  <c r="C1595" i="5" a="1"/>
  <c r="C1595" i="5" s="1"/>
  <c r="C1596" i="5" a="1"/>
  <c r="C1596" i="5" s="1"/>
  <c r="C1597" i="5" a="1"/>
  <c r="C1597" i="5" s="1"/>
  <c r="C1598" i="5" a="1"/>
  <c r="C1598" i="5" s="1"/>
  <c r="C1599" i="5" a="1"/>
  <c r="C1599" i="5" s="1"/>
  <c r="C1600" i="5" a="1"/>
  <c r="C1600" i="5" s="1"/>
  <c r="C1601" i="5" a="1"/>
  <c r="C1601" i="5" s="1"/>
  <c r="C1602" i="5" a="1"/>
  <c r="C1602" i="5" s="1"/>
  <c r="C1603" i="5" a="1"/>
  <c r="C1603" i="5" s="1"/>
  <c r="C1604" i="5" a="1"/>
  <c r="C1604" i="5" s="1"/>
  <c r="C1605" i="5" a="1"/>
  <c r="C1605" i="5" s="1"/>
  <c r="C1606" i="5" a="1"/>
  <c r="C1606" i="5" s="1"/>
  <c r="C1607" i="5" a="1"/>
  <c r="C1607" i="5" s="1"/>
  <c r="C1608" i="5" a="1"/>
  <c r="C1608" i="5" s="1"/>
  <c r="C1609" i="5" a="1"/>
  <c r="C1609" i="5" s="1"/>
  <c r="C1610" i="5" a="1"/>
  <c r="C1610" i="5" s="1"/>
  <c r="C1611" i="5" a="1"/>
  <c r="C1611" i="5" s="1"/>
  <c r="C1612" i="5" a="1"/>
  <c r="C1612" i="5" s="1"/>
  <c r="C1613" i="5" a="1"/>
  <c r="C1613" i="5" s="1"/>
  <c r="C1614" i="5" a="1"/>
  <c r="C1614" i="5" s="1"/>
  <c r="C1615" i="5" a="1"/>
  <c r="C1615" i="5" s="1"/>
  <c r="C1616" i="5" a="1"/>
  <c r="C1616" i="5" s="1"/>
  <c r="C1617" i="5" a="1"/>
  <c r="C1617" i="5" s="1"/>
  <c r="C1618" i="5" a="1"/>
  <c r="C1618" i="5" s="1"/>
  <c r="C1619" i="5" a="1"/>
  <c r="C1619" i="5" s="1"/>
  <c r="C1620" i="5" a="1"/>
  <c r="C1620" i="5" s="1"/>
  <c r="C1621" i="5" a="1"/>
  <c r="C1621" i="5" s="1"/>
  <c r="C1622" i="5" a="1"/>
  <c r="C1622" i="5" s="1"/>
  <c r="C1623" i="5" a="1"/>
  <c r="C1623" i="5" s="1"/>
  <c r="C1624" i="5" a="1"/>
  <c r="C1624" i="5" s="1"/>
  <c r="C1625" i="5" a="1"/>
  <c r="C1625" i="5" s="1"/>
  <c r="C1626" i="5" a="1"/>
  <c r="C1626" i="5" s="1"/>
  <c r="C1627" i="5" a="1"/>
  <c r="C1627" i="5" s="1"/>
  <c r="C1628" i="5" a="1"/>
  <c r="C1628" i="5" s="1"/>
  <c r="C1629" i="5" a="1"/>
  <c r="C1629" i="5" s="1"/>
  <c r="C1630" i="5" a="1"/>
  <c r="C1630" i="5" s="1"/>
  <c r="C1631" i="5" a="1"/>
  <c r="C1631" i="5" s="1"/>
  <c r="C1632" i="5" a="1"/>
  <c r="C1632" i="5" s="1"/>
  <c r="C1633" i="5" a="1"/>
  <c r="C1633" i="5" s="1"/>
  <c r="C1634" i="5" a="1"/>
  <c r="C1634" i="5" s="1"/>
  <c r="C1635" i="5" a="1"/>
  <c r="C1635" i="5" s="1"/>
  <c r="C1636" i="5" a="1"/>
  <c r="C1636" i="5" s="1"/>
  <c r="C1637" i="5" a="1"/>
  <c r="C1637" i="5" s="1"/>
  <c r="C1638" i="5" a="1"/>
  <c r="C1638" i="5" s="1"/>
  <c r="C1639" i="5" a="1"/>
  <c r="C1639" i="5" s="1"/>
  <c r="C1640" i="5" a="1"/>
  <c r="C1640" i="5" s="1"/>
  <c r="C1641" i="5" a="1"/>
  <c r="C1641" i="5" s="1"/>
  <c r="C1642" i="5" a="1"/>
  <c r="C1642" i="5" s="1"/>
  <c r="C1643" i="5" a="1"/>
  <c r="C1643" i="5" s="1"/>
  <c r="C1644" i="5" a="1"/>
  <c r="C1644" i="5" s="1"/>
  <c r="C1645" i="5" a="1"/>
  <c r="C1645" i="5" s="1"/>
  <c r="C1646" i="5" a="1"/>
  <c r="C1646" i="5" s="1"/>
  <c r="C1647" i="5" a="1"/>
  <c r="C1647" i="5" s="1"/>
  <c r="C1648" i="5" a="1"/>
  <c r="C1648" i="5" s="1"/>
  <c r="C1649" i="5" a="1"/>
  <c r="C1649" i="5" s="1"/>
  <c r="C1650" i="5" a="1"/>
  <c r="C1650" i="5" s="1"/>
  <c r="C1651" i="5" a="1"/>
  <c r="C1651" i="5" s="1"/>
  <c r="C1652" i="5" a="1"/>
  <c r="C1652" i="5" s="1"/>
  <c r="C1653" i="5" a="1"/>
  <c r="C1653" i="5" s="1"/>
  <c r="C1654" i="5" a="1"/>
  <c r="C1654" i="5" s="1"/>
  <c r="C1655" i="5" a="1"/>
  <c r="C1655" i="5" s="1"/>
  <c r="C1656" i="5" a="1"/>
  <c r="C1656" i="5" s="1"/>
  <c r="C1657" i="5" a="1"/>
  <c r="C1657" i="5" s="1"/>
  <c r="C1658" i="5" a="1"/>
  <c r="C1658" i="5" s="1"/>
  <c r="C1659" i="5" a="1"/>
  <c r="C1659" i="5" s="1"/>
  <c r="C1660" i="5" a="1"/>
  <c r="C1660" i="5" s="1"/>
  <c r="C1661" i="5" a="1"/>
  <c r="C1661" i="5" s="1"/>
  <c r="C1662" i="5" a="1"/>
  <c r="C1662" i="5" s="1"/>
  <c r="C1663" i="5" a="1"/>
  <c r="C1663" i="5" s="1"/>
  <c r="C1664" i="5" a="1"/>
  <c r="C1664" i="5" s="1"/>
  <c r="C1665" i="5" a="1"/>
  <c r="C1665" i="5" s="1"/>
  <c r="C1666" i="5" a="1"/>
  <c r="C1666" i="5" s="1"/>
  <c r="C1667" i="5" a="1"/>
  <c r="C1667" i="5" s="1"/>
  <c r="C1668" i="5" a="1"/>
  <c r="C1668" i="5" s="1"/>
  <c r="C1669" i="5" a="1"/>
  <c r="C1669" i="5" s="1"/>
  <c r="C1670" i="5" a="1"/>
  <c r="C1670" i="5" s="1"/>
  <c r="C1671" i="5" a="1"/>
  <c r="C1671" i="5" s="1"/>
  <c r="C1672" i="5" a="1"/>
  <c r="C1672" i="5" s="1"/>
  <c r="C1673" i="5" a="1"/>
  <c r="C1673" i="5" s="1"/>
  <c r="C1674" i="5" a="1"/>
  <c r="C1674" i="5" s="1"/>
  <c r="C1675" i="5" a="1"/>
  <c r="C1675" i="5" s="1"/>
  <c r="C1676" i="5" a="1"/>
  <c r="C1676" i="5" s="1"/>
  <c r="C1677" i="5" a="1"/>
  <c r="C1677" i="5" s="1"/>
  <c r="C1678" i="5" a="1"/>
  <c r="C1678" i="5" s="1"/>
  <c r="C1679" i="5" a="1"/>
  <c r="C1679" i="5" s="1"/>
  <c r="C1680" i="5" a="1"/>
  <c r="C1680" i="5" s="1"/>
  <c r="C1681" i="5" a="1"/>
  <c r="C1681" i="5" s="1"/>
  <c r="C1682" i="5" a="1"/>
  <c r="C1682" i="5" s="1"/>
  <c r="C1683" i="5" a="1"/>
  <c r="C1683" i="5" s="1"/>
  <c r="C1684" i="5" a="1"/>
  <c r="C1684" i="5" s="1"/>
  <c r="C1685" i="5" a="1"/>
  <c r="C1685" i="5" s="1"/>
  <c r="C1686" i="5" a="1"/>
  <c r="C1686" i="5" s="1"/>
  <c r="C1687" i="5" a="1"/>
  <c r="C1687" i="5" s="1"/>
  <c r="C1688" i="5" a="1"/>
  <c r="C1688" i="5" s="1"/>
  <c r="C1689" i="5" a="1"/>
  <c r="C1689" i="5" s="1"/>
  <c r="C1690" i="5" a="1"/>
  <c r="C1690" i="5" s="1"/>
  <c r="C1691" i="5" a="1"/>
  <c r="C1691" i="5" s="1"/>
  <c r="C1692" i="5" a="1"/>
  <c r="C1692" i="5" s="1"/>
  <c r="C1693" i="5" a="1"/>
  <c r="C1693" i="5" s="1"/>
  <c r="C1694" i="5" a="1"/>
  <c r="C1694" i="5" s="1"/>
  <c r="C1695" i="5" a="1"/>
  <c r="C1695" i="5" s="1"/>
  <c r="C1696" i="5" a="1"/>
  <c r="C1696" i="5" s="1"/>
  <c r="C1697" i="5" a="1"/>
  <c r="C1697" i="5" s="1"/>
  <c r="C1698" i="5" a="1"/>
  <c r="C1698" i="5" s="1"/>
  <c r="C1699" i="5" a="1"/>
  <c r="C1699" i="5" s="1"/>
  <c r="C1700" i="5" a="1"/>
  <c r="C1700" i="5" s="1"/>
  <c r="C1701" i="5" a="1"/>
  <c r="C1701" i="5" s="1"/>
  <c r="C1702" i="5" a="1"/>
  <c r="C1702" i="5" s="1"/>
  <c r="C1703" i="5" a="1"/>
  <c r="C1703" i="5" s="1"/>
  <c r="C1704" i="5" a="1"/>
  <c r="C1704" i="5" s="1"/>
  <c r="C1705" i="5" a="1"/>
  <c r="C1705" i="5" s="1"/>
  <c r="C1706" i="5" a="1"/>
  <c r="C1706" i="5" s="1"/>
  <c r="C1707" i="5" a="1"/>
  <c r="C1707" i="5" s="1"/>
  <c r="C1708" i="5" a="1"/>
  <c r="C1708" i="5" s="1"/>
  <c r="C1709" i="5" a="1"/>
  <c r="C1709" i="5" s="1"/>
  <c r="C1710" i="5" a="1"/>
  <c r="C1710" i="5" s="1"/>
  <c r="C1711" i="5" a="1"/>
  <c r="C1711" i="5" s="1"/>
  <c r="C1712" i="5" a="1"/>
  <c r="C1712" i="5" s="1"/>
  <c r="C1713" i="5" a="1"/>
  <c r="C1713" i="5" s="1"/>
  <c r="C1714" i="5" a="1"/>
  <c r="C1714" i="5" s="1"/>
  <c r="C1715" i="5" a="1"/>
  <c r="C1715" i="5" s="1"/>
  <c r="C1716" i="5" a="1"/>
  <c r="C1716" i="5" s="1"/>
  <c r="C1717" i="5" a="1"/>
  <c r="C1717" i="5" s="1"/>
  <c r="C1718" i="5" a="1"/>
  <c r="C1718" i="5" s="1"/>
  <c r="C1719" i="5" a="1"/>
  <c r="C1719" i="5" s="1"/>
  <c r="C1720" i="5" a="1"/>
  <c r="C1720" i="5" s="1"/>
  <c r="C1721" i="5" a="1"/>
  <c r="C1721" i="5" s="1"/>
  <c r="C1722" i="5" a="1"/>
  <c r="C1722" i="5" s="1"/>
  <c r="C1723" i="5" a="1"/>
  <c r="C1723" i="5" s="1"/>
  <c r="C1724" i="5" a="1"/>
  <c r="C1724" i="5" s="1"/>
  <c r="C1725" i="5" a="1"/>
  <c r="C1725" i="5" s="1"/>
  <c r="C1726" i="5" a="1"/>
  <c r="C1726" i="5" s="1"/>
  <c r="C1727" i="5" a="1"/>
  <c r="C1727" i="5" s="1"/>
  <c r="C1728" i="5" a="1"/>
  <c r="C1728" i="5" s="1"/>
  <c r="C1729" i="5" a="1"/>
  <c r="C1729" i="5" s="1"/>
  <c r="C1730" i="5" a="1"/>
  <c r="C1730" i="5" s="1"/>
  <c r="C1731" i="5" a="1"/>
  <c r="C1731" i="5" s="1"/>
  <c r="C1732" i="5" a="1"/>
  <c r="C1732" i="5" s="1"/>
  <c r="C1733" i="5" a="1"/>
  <c r="C1733" i="5" s="1"/>
  <c r="C1734" i="5" a="1"/>
  <c r="C1734" i="5" s="1"/>
  <c r="C1735" i="5" a="1"/>
  <c r="C1735" i="5" s="1"/>
  <c r="C1736" i="5" a="1"/>
  <c r="C1736" i="5" s="1"/>
  <c r="C1737" i="5" a="1"/>
  <c r="C1737" i="5" s="1"/>
  <c r="C1738" i="5" a="1"/>
  <c r="C1738" i="5" s="1"/>
  <c r="C1739" i="5" a="1"/>
  <c r="C1739" i="5" s="1"/>
  <c r="C1740" i="5" a="1"/>
  <c r="C1740" i="5" s="1"/>
  <c r="C1741" i="5" a="1"/>
  <c r="C1741" i="5" s="1"/>
  <c r="C1742" i="5" a="1"/>
  <c r="C1742" i="5" s="1"/>
  <c r="C1743" i="5" a="1"/>
  <c r="C1743" i="5" s="1"/>
  <c r="C1744" i="5" a="1"/>
  <c r="C1744" i="5" s="1"/>
  <c r="C1745" i="5" a="1"/>
  <c r="C1745" i="5" s="1"/>
  <c r="C1746" i="5" a="1"/>
  <c r="C1746" i="5" s="1"/>
  <c r="C1747" i="5" a="1"/>
  <c r="C1747" i="5" s="1"/>
  <c r="C1748" i="5" a="1"/>
  <c r="C1748" i="5" s="1"/>
  <c r="C1749" i="5" a="1"/>
  <c r="C1749" i="5" s="1"/>
  <c r="C1750" i="5" a="1"/>
  <c r="C1750" i="5" s="1"/>
  <c r="C1751" i="5" a="1"/>
  <c r="C1751" i="5" s="1"/>
  <c r="C1752" i="5" a="1"/>
  <c r="C1752" i="5" s="1"/>
  <c r="C1753" i="5" a="1"/>
  <c r="C1753" i="5" s="1"/>
  <c r="C1754" i="5" a="1"/>
  <c r="C1754" i="5" s="1"/>
  <c r="C1755" i="5" a="1"/>
  <c r="C1755" i="5" s="1"/>
  <c r="C1756" i="5" a="1"/>
  <c r="C1756" i="5" s="1"/>
  <c r="C1757" i="5" a="1"/>
  <c r="C1757" i="5" s="1"/>
  <c r="C1758" i="5" a="1"/>
  <c r="C1758" i="5" s="1"/>
  <c r="C1759" i="5" a="1"/>
  <c r="C1759" i="5" s="1"/>
  <c r="C1760" i="5" a="1"/>
  <c r="C1760" i="5" s="1"/>
  <c r="C1761" i="5" a="1"/>
  <c r="C1761" i="5" s="1"/>
  <c r="C1762" i="5" a="1"/>
  <c r="C1762" i="5" s="1"/>
  <c r="C1763" i="5" a="1"/>
  <c r="C1763" i="5" s="1"/>
  <c r="C1764" i="5" a="1"/>
  <c r="C1764" i="5" s="1"/>
  <c r="C1765" i="5" a="1"/>
  <c r="C1765" i="5" s="1"/>
  <c r="C1766" i="5" a="1"/>
  <c r="C1766" i="5" s="1"/>
  <c r="C1767" i="5" a="1"/>
  <c r="C1767" i="5" s="1"/>
  <c r="C1768" i="5" a="1"/>
  <c r="C1768" i="5" s="1"/>
  <c r="C1769" i="5" a="1"/>
  <c r="C1769" i="5" s="1"/>
  <c r="C1770" i="5" a="1"/>
  <c r="C1770" i="5" s="1"/>
  <c r="C1771" i="5" a="1"/>
  <c r="C1771" i="5" s="1"/>
  <c r="C1772" i="5" a="1"/>
  <c r="C1772" i="5" s="1"/>
  <c r="C1773" i="5" a="1"/>
  <c r="C1773" i="5" s="1"/>
  <c r="C1774" i="5" a="1"/>
  <c r="C1774" i="5" s="1"/>
  <c r="C1775" i="5" a="1"/>
  <c r="C1775" i="5" s="1"/>
  <c r="C1776" i="5" a="1"/>
  <c r="C1776" i="5" s="1"/>
  <c r="C1777" i="5" a="1"/>
  <c r="C1777" i="5" s="1"/>
  <c r="C1778" i="5" a="1"/>
  <c r="C1778" i="5" s="1"/>
  <c r="C1779" i="5" a="1"/>
  <c r="C1779" i="5" s="1"/>
  <c r="C1780" i="5" a="1"/>
  <c r="C1780" i="5" s="1"/>
  <c r="C1781" i="5" a="1"/>
  <c r="C1781" i="5" s="1"/>
  <c r="C1782" i="5" a="1"/>
  <c r="C1782" i="5" s="1"/>
  <c r="C1783" i="5" a="1"/>
  <c r="C1783" i="5" s="1"/>
  <c r="C1784" i="5" a="1"/>
  <c r="C1784" i="5" s="1"/>
  <c r="C1785" i="5" a="1"/>
  <c r="C1785" i="5" s="1"/>
  <c r="C1786" i="5" a="1"/>
  <c r="C1786" i="5" s="1"/>
  <c r="C1787" i="5" a="1"/>
  <c r="C1787" i="5" s="1"/>
  <c r="C1788" i="5" a="1"/>
  <c r="C1788" i="5" s="1"/>
  <c r="C1789" i="5" a="1"/>
  <c r="C1789" i="5" s="1"/>
  <c r="C1790" i="5" a="1"/>
  <c r="C1790" i="5" s="1"/>
  <c r="C1791" i="5" a="1"/>
  <c r="C1791" i="5" s="1"/>
  <c r="C1792" i="5" a="1"/>
  <c r="C1792" i="5" s="1"/>
  <c r="C1793" i="5" a="1"/>
  <c r="C1793" i="5" s="1"/>
  <c r="C1794" i="5" a="1"/>
  <c r="C1794" i="5" s="1"/>
  <c r="C1795" i="5" a="1"/>
  <c r="C1795" i="5" s="1"/>
  <c r="C1796" i="5" a="1"/>
  <c r="C1796" i="5" s="1"/>
  <c r="C1797" i="5" a="1"/>
  <c r="C1797" i="5" s="1"/>
  <c r="C1798" i="5" a="1"/>
  <c r="C1798" i="5" s="1"/>
  <c r="C1799" i="5" a="1"/>
  <c r="C1799" i="5" s="1"/>
  <c r="C1800" i="5" a="1"/>
  <c r="C1800" i="5" s="1"/>
  <c r="C1801" i="5" a="1"/>
  <c r="C1801" i="5" s="1"/>
  <c r="C1802" i="5" a="1"/>
  <c r="C1802" i="5" s="1"/>
  <c r="C1803" i="5" a="1"/>
  <c r="C1803" i="5" s="1"/>
  <c r="C1804" i="5" a="1"/>
  <c r="C1804" i="5" s="1"/>
  <c r="C1805" i="5" a="1"/>
  <c r="C1805" i="5" s="1"/>
  <c r="C1806" i="5" a="1"/>
  <c r="C1806" i="5" s="1"/>
  <c r="C1807" i="5" a="1"/>
  <c r="C1807" i="5" s="1"/>
  <c r="C1808" i="5" a="1"/>
  <c r="C1808" i="5" s="1"/>
  <c r="C1809" i="5" a="1"/>
  <c r="C1809" i="5" s="1"/>
  <c r="C1810" i="5" a="1"/>
  <c r="C1810" i="5" s="1"/>
  <c r="C1811" i="5" a="1"/>
  <c r="C1811" i="5" s="1"/>
  <c r="C1812" i="5" a="1"/>
  <c r="C1812" i="5" s="1"/>
  <c r="C1813" i="5" a="1"/>
  <c r="C1813" i="5" s="1"/>
  <c r="C1814" i="5" a="1"/>
  <c r="C1814" i="5" s="1"/>
  <c r="C1815" i="5" a="1"/>
  <c r="C1815" i="5" s="1"/>
  <c r="C1816" i="5" a="1"/>
  <c r="C1816" i="5" s="1"/>
  <c r="C1817" i="5" a="1"/>
  <c r="C1817" i="5" s="1"/>
  <c r="C1818" i="5" a="1"/>
  <c r="C1818" i="5" s="1"/>
  <c r="C1819" i="5" a="1"/>
  <c r="C1819" i="5" s="1"/>
  <c r="C1820" i="5" a="1"/>
  <c r="C1820" i="5" s="1"/>
  <c r="C1821" i="5" a="1"/>
  <c r="C1821" i="5" s="1"/>
  <c r="C1822" i="5" a="1"/>
  <c r="C1822" i="5" s="1"/>
  <c r="C1823" i="5" a="1"/>
  <c r="C1823" i="5" s="1"/>
  <c r="C1824" i="5" a="1"/>
  <c r="C1824" i="5" s="1"/>
  <c r="C1825" i="5" a="1"/>
  <c r="C1825" i="5" s="1"/>
  <c r="C1826" i="5" a="1"/>
  <c r="C1826" i="5" s="1"/>
  <c r="C1827" i="5" a="1"/>
  <c r="C1827" i="5" s="1"/>
  <c r="C1828" i="5" a="1"/>
  <c r="C1828" i="5" s="1"/>
  <c r="C1829" i="5" a="1"/>
  <c r="C1829" i="5" s="1"/>
  <c r="C1830" i="5" a="1"/>
  <c r="C1830" i="5" s="1"/>
  <c r="C1831" i="5" a="1"/>
  <c r="C1831" i="5" s="1"/>
  <c r="C1832" i="5" a="1"/>
  <c r="C1832" i="5" s="1"/>
  <c r="C1833" i="5" a="1"/>
  <c r="C1833" i="5" s="1"/>
  <c r="C1834" i="5" a="1"/>
  <c r="C1834" i="5" s="1"/>
  <c r="C1835" i="5" a="1"/>
  <c r="C1835" i="5" s="1"/>
  <c r="C1836" i="5" a="1"/>
  <c r="C1836" i="5" s="1"/>
  <c r="C1837" i="5" a="1"/>
  <c r="C1837" i="5" s="1"/>
  <c r="C1838" i="5" a="1"/>
  <c r="C1838" i="5" s="1"/>
  <c r="C1839" i="5" a="1"/>
  <c r="C1839" i="5" s="1"/>
  <c r="C1840" i="5" a="1"/>
  <c r="C1840" i="5" s="1"/>
  <c r="C1841" i="5" a="1"/>
  <c r="C1841" i="5" s="1"/>
  <c r="C1842" i="5" a="1"/>
  <c r="C1842" i="5" s="1"/>
  <c r="C1843" i="5" a="1"/>
  <c r="C1843" i="5" s="1"/>
  <c r="C1844" i="5" a="1"/>
  <c r="C1844" i="5" s="1"/>
  <c r="C1845" i="5" a="1"/>
  <c r="C1845" i="5" s="1"/>
  <c r="C1846" i="5" a="1"/>
  <c r="C1846" i="5" s="1"/>
  <c r="C1847" i="5" a="1"/>
  <c r="C1847" i="5" s="1"/>
  <c r="C1848" i="5" a="1"/>
  <c r="C1848" i="5" s="1"/>
  <c r="C1849" i="5" a="1"/>
  <c r="C1849" i="5" s="1"/>
  <c r="C1850" i="5" a="1"/>
  <c r="C1850" i="5" s="1"/>
  <c r="C1851" i="5" a="1"/>
  <c r="C1851" i="5" s="1"/>
  <c r="C1852" i="5" a="1"/>
  <c r="C1852" i="5" s="1"/>
  <c r="C1853" i="5" a="1"/>
  <c r="C1853" i="5" s="1"/>
  <c r="C1854" i="5" a="1"/>
  <c r="C1854" i="5" s="1"/>
  <c r="C1855" i="5" a="1"/>
  <c r="C1855" i="5" s="1"/>
  <c r="C1856" i="5" a="1"/>
  <c r="C1856" i="5" s="1"/>
  <c r="C1857" i="5" a="1"/>
  <c r="C1857" i="5" s="1"/>
  <c r="C1858" i="5" a="1"/>
  <c r="C1858" i="5" s="1"/>
  <c r="C1859" i="5" a="1"/>
  <c r="C1859" i="5" s="1"/>
  <c r="C1860" i="5" a="1"/>
  <c r="C1860" i="5" s="1"/>
  <c r="C1861" i="5" a="1"/>
  <c r="C1861" i="5" s="1"/>
  <c r="C1862" i="5" a="1"/>
  <c r="C1862" i="5" s="1"/>
  <c r="C1863" i="5" a="1"/>
  <c r="C1863" i="5" s="1"/>
  <c r="C1864" i="5" a="1"/>
  <c r="C1864" i="5" s="1"/>
  <c r="C1865" i="5" a="1"/>
  <c r="C1865" i="5" s="1"/>
  <c r="C1866" i="5" a="1"/>
  <c r="C1866" i="5" s="1"/>
  <c r="C1867" i="5" a="1"/>
  <c r="C1867" i="5" s="1"/>
  <c r="C1868" i="5" a="1"/>
  <c r="C1868" i="5" s="1"/>
  <c r="C1869" i="5" a="1"/>
  <c r="C1869" i="5" s="1"/>
  <c r="C1870" i="5" a="1"/>
  <c r="C1870" i="5" s="1"/>
  <c r="C1871" i="5" a="1"/>
  <c r="C1871" i="5" s="1"/>
  <c r="C1872" i="5" a="1"/>
  <c r="C1872" i="5" s="1"/>
  <c r="C1873" i="5" a="1"/>
  <c r="C1873" i="5" s="1"/>
  <c r="C1874" i="5" a="1"/>
  <c r="C1874" i="5" s="1"/>
  <c r="C1875" i="5" a="1"/>
  <c r="C1875" i="5" s="1"/>
  <c r="C1876" i="5" a="1"/>
  <c r="C1876" i="5" s="1"/>
  <c r="C1877" i="5" a="1"/>
  <c r="C1877" i="5" s="1"/>
  <c r="C1878" i="5" a="1"/>
  <c r="C1878" i="5" s="1"/>
  <c r="C1879" i="5" a="1"/>
  <c r="C1879" i="5" s="1"/>
  <c r="C1880" i="5" a="1"/>
  <c r="C1880" i="5" s="1"/>
  <c r="C1881" i="5" a="1"/>
  <c r="C1881" i="5" s="1"/>
  <c r="C1882" i="5" a="1"/>
  <c r="C1882" i="5" s="1"/>
  <c r="C1883" i="5" a="1"/>
  <c r="C1883" i="5" s="1"/>
  <c r="C1884" i="5" a="1"/>
  <c r="C1884" i="5" s="1"/>
  <c r="C1885" i="5" a="1"/>
  <c r="C1885" i="5" s="1"/>
  <c r="C1886" i="5" a="1"/>
  <c r="C1886" i="5" s="1"/>
  <c r="C1887" i="5" a="1"/>
  <c r="C1887" i="5" s="1"/>
  <c r="C1888" i="5" a="1"/>
  <c r="C1888" i="5" s="1"/>
  <c r="C1889" i="5" a="1"/>
  <c r="C1889" i="5" s="1"/>
  <c r="C1890" i="5" a="1"/>
  <c r="C1890" i="5" s="1"/>
  <c r="C1891" i="5" a="1"/>
  <c r="C1891" i="5" s="1"/>
  <c r="C1892" i="5" a="1"/>
  <c r="C1892" i="5" s="1"/>
  <c r="C1893" i="5" a="1"/>
  <c r="C1893" i="5" s="1"/>
  <c r="C1894" i="5" a="1"/>
  <c r="C1894" i="5" s="1"/>
  <c r="C1895" i="5" a="1"/>
  <c r="C1895" i="5" s="1"/>
  <c r="C1896" i="5" a="1"/>
  <c r="C1896" i="5" s="1"/>
  <c r="C1897" i="5" a="1"/>
  <c r="C1897" i="5" s="1"/>
  <c r="C1898" i="5" a="1"/>
  <c r="C1898" i="5" s="1"/>
  <c r="C1899" i="5" a="1"/>
  <c r="C1899" i="5" s="1"/>
  <c r="C1900" i="5" a="1"/>
  <c r="C1900" i="5" s="1"/>
  <c r="C1901" i="5" a="1"/>
  <c r="C1901" i="5" s="1"/>
  <c r="C1902" i="5" a="1"/>
  <c r="C1902" i="5" s="1"/>
  <c r="C1903" i="5" a="1"/>
  <c r="C1903" i="5" s="1"/>
  <c r="C1904" i="5" a="1"/>
  <c r="C1904" i="5" s="1"/>
  <c r="C1905" i="5" a="1"/>
  <c r="C1905" i="5" s="1"/>
  <c r="C1906" i="5" a="1"/>
  <c r="C1906" i="5" s="1"/>
  <c r="C1907" i="5" a="1"/>
  <c r="C1907" i="5" s="1"/>
  <c r="C1908" i="5" a="1"/>
  <c r="C1908" i="5" s="1"/>
  <c r="C1909" i="5" a="1"/>
  <c r="C1909" i="5" s="1"/>
  <c r="C1910" i="5" a="1"/>
  <c r="C1910" i="5" s="1"/>
  <c r="C1911" i="5" a="1"/>
  <c r="C1911" i="5" s="1"/>
  <c r="C1912" i="5" a="1"/>
  <c r="C1912" i="5" s="1"/>
  <c r="C1913" i="5" a="1"/>
  <c r="C1913" i="5" s="1"/>
  <c r="C1914" i="5" a="1"/>
  <c r="C1914" i="5" s="1"/>
  <c r="C1915" i="5" a="1"/>
  <c r="C1915" i="5" s="1"/>
  <c r="C1916" i="5" a="1"/>
  <c r="C1916" i="5" s="1"/>
  <c r="C1917" i="5" a="1"/>
  <c r="C1917" i="5" s="1"/>
  <c r="C1918" i="5" a="1"/>
  <c r="C1918" i="5" s="1"/>
  <c r="C1919" i="5" a="1"/>
  <c r="C1919" i="5" s="1"/>
  <c r="C1920" i="5" a="1"/>
  <c r="C1920" i="5" s="1"/>
  <c r="C1921" i="5" a="1"/>
  <c r="C1921" i="5" s="1"/>
  <c r="C1922" i="5" a="1"/>
  <c r="C1922" i="5" s="1"/>
  <c r="C1923" i="5" a="1"/>
  <c r="C1923" i="5" s="1"/>
  <c r="C1924" i="5" a="1"/>
  <c r="C1924" i="5" s="1"/>
  <c r="C1925" i="5" a="1"/>
  <c r="C1925" i="5" s="1"/>
  <c r="C1926" i="5" a="1"/>
  <c r="C1926" i="5" s="1"/>
  <c r="C1927" i="5" a="1"/>
  <c r="C1927" i="5" s="1"/>
  <c r="C1928" i="5" a="1"/>
  <c r="C1928" i="5" s="1"/>
  <c r="C1929" i="5" a="1"/>
  <c r="C1929" i="5" s="1"/>
  <c r="C1930" i="5" a="1"/>
  <c r="C1930" i="5" s="1"/>
  <c r="C1931" i="5" a="1"/>
  <c r="C1931" i="5" s="1"/>
  <c r="C1932" i="5" a="1"/>
  <c r="C1932" i="5" s="1"/>
  <c r="C1933" i="5" a="1"/>
  <c r="C1933" i="5" s="1"/>
  <c r="C1934" i="5" a="1"/>
  <c r="C1934" i="5" s="1"/>
  <c r="C1935" i="5" a="1"/>
  <c r="C1935" i="5" s="1"/>
  <c r="C1936" i="5" a="1"/>
  <c r="C1936" i="5" s="1"/>
  <c r="C1937" i="5" a="1"/>
  <c r="C1937" i="5" s="1"/>
  <c r="C1938" i="5" a="1"/>
  <c r="C1938" i="5" s="1"/>
  <c r="C1939" i="5" a="1"/>
  <c r="C1939" i="5" s="1"/>
  <c r="C1940" i="5" a="1"/>
  <c r="C1940" i="5" s="1"/>
  <c r="C1941" i="5" a="1"/>
  <c r="C1941" i="5" s="1"/>
  <c r="C1942" i="5" a="1"/>
  <c r="C1942" i="5" s="1"/>
  <c r="C1943" i="5" a="1"/>
  <c r="C1943" i="5" s="1"/>
  <c r="C1944" i="5" a="1"/>
  <c r="C1944" i="5" s="1"/>
  <c r="C1945" i="5" a="1"/>
  <c r="C1945" i="5" s="1"/>
  <c r="C1946" i="5" a="1"/>
  <c r="C1946" i="5" s="1"/>
  <c r="C1947" i="5" a="1"/>
  <c r="C1947" i="5" s="1"/>
  <c r="C1948" i="5" a="1"/>
  <c r="C1948" i="5" s="1"/>
  <c r="C1949" i="5" a="1"/>
  <c r="C1949" i="5" s="1"/>
  <c r="C1950" i="5" a="1"/>
  <c r="C1950" i="5" s="1"/>
  <c r="C1951" i="5" a="1"/>
  <c r="C1951" i="5" s="1"/>
  <c r="C1952" i="5" a="1"/>
  <c r="C1952" i="5" s="1"/>
  <c r="C1953" i="5" a="1"/>
  <c r="C1953" i="5" s="1"/>
  <c r="C1954" i="5" a="1"/>
  <c r="C1954" i="5" s="1"/>
  <c r="C1955" i="5" a="1"/>
  <c r="C1955" i="5" s="1"/>
  <c r="C1956" i="5" a="1"/>
  <c r="C1956" i="5" s="1"/>
  <c r="C1957" i="5" a="1"/>
  <c r="C1957" i="5" s="1"/>
  <c r="C1958" i="5" a="1"/>
  <c r="C1958" i="5" s="1"/>
  <c r="C1959" i="5" a="1"/>
  <c r="C1959" i="5" s="1"/>
  <c r="C1960" i="5" a="1"/>
  <c r="C1960" i="5" s="1"/>
  <c r="C1961" i="5" a="1"/>
  <c r="C1961" i="5" s="1"/>
  <c r="C1962" i="5" a="1"/>
  <c r="C1962" i="5" s="1"/>
  <c r="C1963" i="5" a="1"/>
  <c r="C1963" i="5" s="1"/>
  <c r="C1964" i="5" a="1"/>
  <c r="C1964" i="5" s="1"/>
  <c r="C1965" i="5" a="1"/>
  <c r="C1965" i="5" s="1"/>
  <c r="C1966" i="5" a="1"/>
  <c r="C1966" i="5" s="1"/>
  <c r="C1967" i="5" a="1"/>
  <c r="C1967" i="5" s="1"/>
  <c r="C1968" i="5" a="1"/>
  <c r="C1968" i="5" s="1"/>
  <c r="C1969" i="5" a="1"/>
  <c r="C1969" i="5" s="1"/>
  <c r="C1970" i="5" a="1"/>
  <c r="C1970" i="5" s="1"/>
  <c r="C1971" i="5" a="1"/>
  <c r="C1971" i="5" s="1"/>
  <c r="C1972" i="5" a="1"/>
  <c r="C1972" i="5" s="1"/>
  <c r="C1973" i="5" a="1"/>
  <c r="C1973" i="5" s="1"/>
  <c r="C1974" i="5" a="1"/>
  <c r="C1974" i="5" s="1"/>
  <c r="C1975" i="5" a="1"/>
  <c r="C1975" i="5" s="1"/>
  <c r="C1976" i="5" a="1"/>
  <c r="C1976" i="5" s="1"/>
  <c r="C1977" i="5" a="1"/>
  <c r="C1977" i="5" s="1"/>
  <c r="C1978" i="5" a="1"/>
  <c r="C1978" i="5" s="1"/>
  <c r="C1979" i="5" a="1"/>
  <c r="C1979" i="5" s="1"/>
  <c r="C1980" i="5" a="1"/>
  <c r="C1980" i="5" s="1"/>
  <c r="C1981" i="5" a="1"/>
  <c r="C1981" i="5" s="1"/>
  <c r="C1982" i="5" a="1"/>
  <c r="C1982" i="5" s="1"/>
  <c r="C1983" i="5" a="1"/>
  <c r="C1983" i="5" s="1"/>
  <c r="C1984" i="5" a="1"/>
  <c r="C1984" i="5" s="1"/>
  <c r="C1985" i="5" a="1"/>
  <c r="C1985" i="5" s="1"/>
  <c r="C1986" i="5" a="1"/>
  <c r="C1986" i="5" s="1"/>
  <c r="C1987" i="5" a="1"/>
  <c r="C1987" i="5" s="1"/>
  <c r="C1988" i="5" a="1"/>
  <c r="C1988" i="5" s="1"/>
  <c r="C1989" i="5" a="1"/>
  <c r="C1989" i="5" s="1"/>
  <c r="C1990" i="5" a="1"/>
  <c r="C1990" i="5" s="1"/>
  <c r="C1991" i="5" a="1"/>
  <c r="C1991" i="5" s="1"/>
  <c r="C1992" i="5" a="1"/>
  <c r="C1992" i="5" s="1"/>
  <c r="C1993" i="5" a="1"/>
  <c r="C1993" i="5" s="1"/>
  <c r="C1994" i="5" a="1"/>
  <c r="C1994" i="5" s="1"/>
  <c r="C1995" i="5" a="1"/>
  <c r="C1995" i="5" s="1"/>
  <c r="C1996" i="5" a="1"/>
  <c r="C1996" i="5" s="1"/>
  <c r="C1997" i="5" a="1"/>
  <c r="C1997" i="5" s="1"/>
  <c r="C1998" i="5" a="1"/>
  <c r="C1998" i="5" s="1"/>
  <c r="C1999" i="5" a="1"/>
  <c r="C1999" i="5" s="1"/>
  <c r="C2000" i="5" a="1"/>
  <c r="C2000" i="5" s="1"/>
  <c r="G107" i="4"/>
  <c r="F107" i="4"/>
  <c r="E107" i="4"/>
  <c r="D107" i="4"/>
  <c r="G106" i="4"/>
  <c r="F106" i="4"/>
  <c r="E106" i="4"/>
  <c r="D106" i="4"/>
  <c r="F2008" i="3" a="1"/>
  <c r="F2008" i="3" s="1"/>
  <c r="F2009" i="3" a="1"/>
  <c r="F2009" i="3" s="1"/>
  <c r="F2010" i="3" a="1"/>
  <c r="F2010" i="3" s="1"/>
  <c r="F2011" i="3" a="1"/>
  <c r="F2011" i="3" s="1"/>
  <c r="F2012" i="3" a="1"/>
  <c r="F2012" i="3" s="1"/>
  <c r="F2013" i="3" a="1"/>
  <c r="F2013" i="3" s="1"/>
  <c r="F2014" i="3" a="1"/>
  <c r="F2014" i="3" s="1"/>
  <c r="F2015" i="3" a="1"/>
  <c r="F2015" i="3" s="1"/>
  <c r="F2016" i="3" a="1"/>
  <c r="F2016" i="3" s="1"/>
  <c r="F2017" i="3" a="1"/>
  <c r="F2017" i="3" s="1"/>
  <c r="F2018" i="3" a="1"/>
  <c r="F2018" i="3" s="1"/>
  <c r="F2019" i="3" a="1"/>
  <c r="F2019" i="3" s="1"/>
  <c r="F2020" i="3" a="1"/>
  <c r="F2020" i="3" s="1"/>
  <c r="F2021" i="3" a="1"/>
  <c r="F2021" i="3" s="1"/>
  <c r="F2022" i="3" a="1"/>
  <c r="F2022" i="3" s="1"/>
  <c r="F2023" i="3" a="1"/>
  <c r="F2023" i="3" s="1"/>
  <c r="F2024" i="3" a="1"/>
  <c r="F2024" i="3" s="1"/>
  <c r="F2025" i="3" a="1"/>
  <c r="F2025" i="3" s="1"/>
  <c r="F2026" i="3" a="1"/>
  <c r="F2026" i="3" s="1"/>
  <c r="F2027" i="3" a="1"/>
  <c r="F2027" i="3" s="1"/>
  <c r="F2028" i="3" a="1"/>
  <c r="F2028" i="3" s="1"/>
  <c r="F2029" i="3" a="1"/>
  <c r="F2029" i="3" s="1"/>
  <c r="F2030" i="3" a="1"/>
  <c r="F2030" i="3" s="1"/>
  <c r="F2031" i="3" a="1"/>
  <c r="F2031" i="3" s="1"/>
  <c r="F2032" i="3" a="1"/>
  <c r="F2032" i="3" s="1"/>
  <c r="F2033" i="3" a="1"/>
  <c r="F2033" i="3" s="1"/>
  <c r="F2034" i="3" a="1"/>
  <c r="F2034" i="3" s="1"/>
  <c r="F2035" i="3" a="1"/>
  <c r="F2035" i="3" s="1"/>
  <c r="F2036" i="3" a="1"/>
  <c r="F2036" i="3" s="1"/>
  <c r="F2037" i="3" a="1"/>
  <c r="F2037" i="3" s="1"/>
  <c r="F2038" i="3" a="1"/>
  <c r="F2038" i="3" s="1"/>
  <c r="F2039" i="3" a="1"/>
  <c r="F2039" i="3" s="1"/>
  <c r="F2040" i="3" a="1"/>
  <c r="F2040" i="3" s="1"/>
  <c r="F2041" i="3" a="1"/>
  <c r="F2041" i="3" s="1"/>
  <c r="F2042" i="3" a="1"/>
  <c r="F2042" i="3" s="1"/>
  <c r="F2043" i="3" a="1"/>
  <c r="F2043" i="3" s="1"/>
  <c r="F2044" i="3" a="1"/>
  <c r="F2044" i="3" s="1"/>
  <c r="F2045" i="3" a="1"/>
  <c r="F2045" i="3" s="1"/>
  <c r="F2046" i="3" a="1"/>
  <c r="F2046" i="3" s="1"/>
  <c r="F2047" i="3" a="1"/>
  <c r="F2047" i="3" s="1"/>
  <c r="F2048" i="3" a="1"/>
  <c r="F2048" i="3" s="1"/>
  <c r="F2049" i="3" a="1"/>
  <c r="F2049" i="3" s="1"/>
  <c r="F2050" i="3" a="1"/>
  <c r="F2050" i="3" s="1"/>
  <c r="F2051" i="3" a="1"/>
  <c r="F2051" i="3" s="1"/>
  <c r="F2052" i="3" a="1"/>
  <c r="F2052" i="3" s="1"/>
  <c r="F2053" i="3" a="1"/>
  <c r="F2053" i="3" s="1"/>
  <c r="F2054" i="3" a="1"/>
  <c r="F2054" i="3" s="1"/>
  <c r="F2055" i="3" a="1"/>
  <c r="F2055" i="3" s="1"/>
  <c r="F2056" i="3" a="1"/>
  <c r="F2056" i="3" s="1"/>
  <c r="F2057" i="3" a="1"/>
  <c r="F2057" i="3" s="1"/>
  <c r="F2058" i="3" a="1"/>
  <c r="F2058" i="3" s="1"/>
  <c r="F2059" i="3" a="1"/>
  <c r="F2059" i="3" s="1"/>
  <c r="F2060" i="3" a="1"/>
  <c r="F2060" i="3" s="1"/>
  <c r="F2061" i="3" a="1"/>
  <c r="F2061" i="3" s="1"/>
  <c r="F2062" i="3" a="1"/>
  <c r="F2062" i="3" s="1"/>
  <c r="F2063" i="3" a="1"/>
  <c r="F2063" i="3" s="1"/>
  <c r="F2064" i="3" a="1"/>
  <c r="F2064" i="3" s="1"/>
  <c r="F2065" i="3" a="1"/>
  <c r="F2065" i="3" s="1"/>
  <c r="F2066" i="3" a="1"/>
  <c r="F2066" i="3" s="1"/>
  <c r="F2067" i="3" a="1"/>
  <c r="F2067" i="3" s="1"/>
  <c r="F2068" i="3" a="1"/>
  <c r="F2068" i="3" s="1"/>
  <c r="F2069" i="3" a="1"/>
  <c r="F2069" i="3" s="1"/>
  <c r="F2070" i="3" a="1"/>
  <c r="F2070" i="3" s="1"/>
  <c r="F2071" i="3" a="1"/>
  <c r="F2071" i="3" s="1"/>
  <c r="F2072" i="3" a="1"/>
  <c r="F2072" i="3" s="1"/>
  <c r="F2073" i="3" a="1"/>
  <c r="F2073" i="3" s="1"/>
  <c r="F2074" i="3" a="1"/>
  <c r="F2074" i="3" s="1"/>
  <c r="F2075" i="3" a="1"/>
  <c r="F2075" i="3" s="1"/>
  <c r="F2076" i="3" a="1"/>
  <c r="F2076" i="3" s="1"/>
  <c r="F2077" i="3" a="1"/>
  <c r="F2077" i="3" s="1"/>
  <c r="F2078" i="3" a="1"/>
  <c r="F2078" i="3" s="1"/>
  <c r="F2079" i="3" a="1"/>
  <c r="F2079" i="3" s="1"/>
  <c r="F2080" i="3" a="1"/>
  <c r="F2080" i="3" s="1"/>
  <c r="F2081" i="3" a="1"/>
  <c r="F2081" i="3" s="1"/>
  <c r="F2082" i="3" a="1"/>
  <c r="F2082" i="3" s="1"/>
  <c r="F2083" i="3" a="1"/>
  <c r="F2083" i="3" s="1"/>
  <c r="F2084" i="3" a="1"/>
  <c r="F2084" i="3" s="1"/>
  <c r="F2085" i="3" a="1"/>
  <c r="F2085" i="3" s="1"/>
  <c r="F2086" i="3" a="1"/>
  <c r="F2086" i="3" s="1"/>
  <c r="F2087" i="3" a="1"/>
  <c r="F2087" i="3" s="1"/>
  <c r="F2088" i="3" a="1"/>
  <c r="F2088" i="3" s="1"/>
  <c r="F2089" i="3" a="1"/>
  <c r="F2089" i="3" s="1"/>
  <c r="F2090" i="3" a="1"/>
  <c r="F2090" i="3" s="1"/>
  <c r="F2091" i="3" a="1"/>
  <c r="F2091" i="3" s="1"/>
  <c r="F2092" i="3" a="1"/>
  <c r="F2092" i="3" s="1"/>
  <c r="F2093" i="3" a="1"/>
  <c r="F2093" i="3" s="1"/>
  <c r="F2094" i="3" a="1"/>
  <c r="F2094" i="3" s="1"/>
  <c r="F2095" i="3" a="1"/>
  <c r="F2095" i="3" s="1"/>
  <c r="F2096" i="3" a="1"/>
  <c r="F2096" i="3" s="1"/>
  <c r="F2097" i="3" a="1"/>
  <c r="F2097" i="3" s="1"/>
  <c r="F2098" i="3" a="1"/>
  <c r="F2098" i="3" s="1"/>
  <c r="F2099" i="3" a="1"/>
  <c r="F2099" i="3" s="1"/>
  <c r="F2100" i="3" a="1"/>
  <c r="F2100" i="3" s="1"/>
  <c r="F2101" i="3" a="1"/>
  <c r="F2101" i="3" s="1"/>
  <c r="F2102" i="3" a="1"/>
  <c r="F2102" i="3" s="1"/>
  <c r="F2103" i="3" a="1"/>
  <c r="F2103" i="3" s="1"/>
  <c r="F2104" i="3" a="1"/>
  <c r="F2104" i="3" s="1"/>
  <c r="F2105" i="3" a="1"/>
  <c r="F2105" i="3" s="1"/>
  <c r="F2106" i="3" a="1"/>
  <c r="F2106" i="3" s="1"/>
  <c r="F2107" i="3" a="1"/>
  <c r="F2107" i="3" s="1"/>
  <c r="F2108" i="3" a="1"/>
  <c r="F2108" i="3" s="1"/>
  <c r="F2109" i="3" a="1"/>
  <c r="F2109" i="3" s="1"/>
  <c r="F2110" i="3" a="1"/>
  <c r="F2110" i="3" s="1"/>
  <c r="F2111" i="3" a="1"/>
  <c r="F2111" i="3" s="1"/>
  <c r="F2112" i="3" a="1"/>
  <c r="F2112" i="3" s="1"/>
  <c r="F2113" i="3" a="1"/>
  <c r="F2113" i="3" s="1"/>
  <c r="F2114" i="3" a="1"/>
  <c r="F2114" i="3" s="1"/>
  <c r="F2115" i="3" a="1"/>
  <c r="F2115" i="3" s="1"/>
  <c r="F2116" i="3" a="1"/>
  <c r="F2116" i="3" s="1"/>
  <c r="F2117" i="3" a="1"/>
  <c r="F2117" i="3" s="1"/>
  <c r="F2118" i="3" a="1"/>
  <c r="F2118" i="3" s="1"/>
  <c r="F2119" i="3" a="1"/>
  <c r="F2119" i="3" s="1"/>
  <c r="F2120" i="3" a="1"/>
  <c r="F2120" i="3" s="1"/>
  <c r="F2121" i="3" a="1"/>
  <c r="F2121" i="3" s="1"/>
  <c r="F2122" i="3" a="1"/>
  <c r="F2122" i="3" s="1"/>
  <c r="F2123" i="3" a="1"/>
  <c r="F2123" i="3" s="1"/>
  <c r="F2124" i="3" a="1"/>
  <c r="F2124" i="3" s="1"/>
  <c r="F2125" i="3" a="1"/>
  <c r="F2125" i="3" s="1"/>
  <c r="F2126" i="3" a="1"/>
  <c r="F2126" i="3" s="1"/>
  <c r="F2127" i="3" a="1"/>
  <c r="F2127" i="3" s="1"/>
  <c r="F2128" i="3" a="1"/>
  <c r="F2128" i="3" s="1"/>
  <c r="F2129" i="3" a="1"/>
  <c r="F2129" i="3" s="1"/>
  <c r="F2130" i="3" a="1"/>
  <c r="F2130" i="3" s="1"/>
  <c r="F2131" i="3" a="1"/>
  <c r="F2131" i="3" s="1"/>
  <c r="F2132" i="3" a="1"/>
  <c r="F2132" i="3" s="1"/>
  <c r="F2133" i="3" a="1"/>
  <c r="F2133" i="3" s="1"/>
  <c r="F2134" i="3" a="1"/>
  <c r="F2134" i="3" s="1"/>
  <c r="F2135" i="3" a="1"/>
  <c r="F2135" i="3" s="1"/>
  <c r="F2136" i="3" a="1"/>
  <c r="F2136" i="3" s="1"/>
  <c r="F2137" i="3" a="1"/>
  <c r="F2137" i="3" s="1"/>
  <c r="F2138" i="3" a="1"/>
  <c r="F2138" i="3" s="1"/>
  <c r="F2139" i="3" a="1"/>
  <c r="F2139" i="3" s="1"/>
  <c r="F2140" i="3" a="1"/>
  <c r="F2140" i="3" s="1"/>
  <c r="F2141" i="3" a="1"/>
  <c r="F2141" i="3" s="1"/>
  <c r="F2142" i="3" a="1"/>
  <c r="F2142" i="3" s="1"/>
  <c r="F2143" i="3" a="1"/>
  <c r="F2143" i="3" s="1"/>
  <c r="F2144" i="3" a="1"/>
  <c r="F2144" i="3" s="1"/>
  <c r="F2145" i="3" a="1"/>
  <c r="F2145" i="3" s="1"/>
  <c r="F2146" i="3" a="1"/>
  <c r="F2146" i="3" s="1"/>
  <c r="F2147" i="3" a="1"/>
  <c r="F2147" i="3" s="1"/>
  <c r="F2148" i="3" a="1"/>
  <c r="F2148" i="3" s="1"/>
  <c r="F2149" i="3" a="1"/>
  <c r="F2149" i="3" s="1"/>
  <c r="F2150" i="3" a="1"/>
  <c r="F2150" i="3" s="1"/>
  <c r="F2151" i="3" a="1"/>
  <c r="F2151" i="3" s="1"/>
  <c r="F2152" i="3" a="1"/>
  <c r="F2152" i="3" s="1"/>
  <c r="F2153" i="3" a="1"/>
  <c r="F2153" i="3" s="1"/>
  <c r="F2154" i="3" a="1"/>
  <c r="F2154" i="3" s="1"/>
  <c r="F2155" i="3" a="1"/>
  <c r="F2155" i="3" s="1"/>
  <c r="F2156" i="3" a="1"/>
  <c r="F2156" i="3" s="1"/>
  <c r="F2157" i="3" a="1"/>
  <c r="F2157" i="3" s="1"/>
  <c r="F2158" i="3" a="1"/>
  <c r="F2158" i="3" s="1"/>
  <c r="F2159" i="3" a="1"/>
  <c r="F2159" i="3" s="1"/>
  <c r="F2160" i="3" a="1"/>
  <c r="F2160" i="3" s="1"/>
  <c r="F2161" i="3" a="1"/>
  <c r="F2161" i="3" s="1"/>
  <c r="F2162" i="3" a="1"/>
  <c r="F2162" i="3" s="1"/>
  <c r="F2163" i="3" a="1"/>
  <c r="F2163" i="3" s="1"/>
  <c r="F2164" i="3" a="1"/>
  <c r="F2164" i="3" s="1"/>
  <c r="F2165" i="3" a="1"/>
  <c r="F2165" i="3" s="1"/>
  <c r="F2166" i="3" a="1"/>
  <c r="F2166" i="3" s="1"/>
  <c r="F2167" i="3" a="1"/>
  <c r="F2167" i="3" s="1"/>
  <c r="F2168" i="3" a="1"/>
  <c r="F2168" i="3" s="1"/>
  <c r="F2169" i="3" a="1"/>
  <c r="F2169" i="3" s="1"/>
  <c r="F2170" i="3" a="1"/>
  <c r="F2170" i="3" s="1"/>
  <c r="F2171" i="3" a="1"/>
  <c r="F2171" i="3" s="1"/>
  <c r="F2172" i="3" a="1"/>
  <c r="F2172" i="3" s="1"/>
  <c r="F2173" i="3" a="1"/>
  <c r="F2173" i="3" s="1"/>
  <c r="F2174" i="3" a="1"/>
  <c r="F2174" i="3" s="1"/>
  <c r="F2175" i="3" a="1"/>
  <c r="F2175" i="3" s="1"/>
  <c r="F2176" i="3" a="1"/>
  <c r="F2176" i="3" s="1"/>
  <c r="F129" i="4"/>
  <c r="E129" i="4"/>
  <c r="D129" i="4"/>
  <c r="F128" i="4"/>
  <c r="E128" i="4"/>
  <c r="D128" i="4"/>
  <c r="F127" i="4"/>
  <c r="E127" i="4"/>
  <c r="D127" i="4"/>
  <c r="F126" i="4"/>
  <c r="E126" i="4"/>
  <c r="D126" i="4"/>
  <c r="F125" i="4"/>
  <c r="E125" i="4"/>
  <c r="D125" i="4"/>
  <c r="E123" i="4"/>
  <c r="F123" i="4"/>
  <c r="E124" i="4"/>
  <c r="F124" i="4"/>
  <c r="D124" i="4"/>
  <c r="D123" i="4"/>
  <c r="F122" i="4"/>
  <c r="E122" i="4"/>
  <c r="D122" i="4"/>
  <c r="F120" i="4"/>
  <c r="E120" i="4"/>
  <c r="D120" i="4"/>
  <c r="F119" i="4"/>
  <c r="E119" i="4"/>
  <c r="D119" i="4"/>
  <c r="F118" i="4"/>
  <c r="E118" i="4"/>
  <c r="D118" i="4"/>
  <c r="F117" i="4"/>
  <c r="E117" i="4"/>
  <c r="D117" i="4"/>
  <c r="E116" i="4"/>
  <c r="F116" i="4"/>
  <c r="D116" i="4"/>
  <c r="E115" i="4"/>
  <c r="F115" i="4"/>
  <c r="D115" i="4"/>
  <c r="F114" i="4"/>
  <c r="E114" i="4"/>
  <c r="D114" i="4"/>
  <c r="E104" i="4"/>
  <c r="F104" i="4"/>
  <c r="D104" i="4"/>
  <c r="F103" i="4"/>
  <c r="E103" i="4"/>
  <c r="D103" i="4"/>
  <c r="F102" i="4"/>
  <c r="E102" i="4"/>
  <c r="D102" i="4"/>
  <c r="F101" i="4"/>
  <c r="E101" i="4"/>
  <c r="D101" i="4"/>
  <c r="F100" i="4"/>
  <c r="E100" i="4"/>
  <c r="D100" i="4"/>
  <c r="F99" i="4"/>
  <c r="E99" i="4"/>
  <c r="D99" i="4"/>
  <c r="F98" i="4"/>
  <c r="E98" i="4"/>
  <c r="D98" i="4"/>
  <c r="F97" i="4"/>
  <c r="E97" i="4"/>
  <c r="D97" i="4"/>
  <c r="F96" i="4"/>
  <c r="E96" i="4"/>
  <c r="D96" i="4"/>
  <c r="F95" i="4"/>
  <c r="E95" i="4"/>
  <c r="D95" i="4"/>
  <c r="F94" i="4"/>
  <c r="E94" i="4"/>
  <c r="D94" i="4"/>
  <c r="F93" i="4"/>
  <c r="E93" i="4"/>
  <c r="D93" i="4"/>
  <c r="F92" i="4"/>
  <c r="E92" i="4"/>
  <c r="D92" i="4"/>
  <c r="F90" i="4"/>
  <c r="E90" i="4"/>
  <c r="D90" i="4"/>
  <c r="F88" i="4"/>
  <c r="E88" i="4"/>
  <c r="D88" i="4"/>
  <c r="F86" i="4"/>
  <c r="E86" i="4"/>
  <c r="D86" i="4"/>
  <c r="F85" i="4"/>
  <c r="E85" i="4"/>
  <c r="D85" i="4"/>
  <c r="F83" i="4"/>
  <c r="E83" i="4"/>
  <c r="D83" i="4"/>
  <c r="F82" i="4"/>
  <c r="E82" i="4"/>
  <c r="D82" i="4"/>
  <c r="F81" i="4"/>
  <c r="E81" i="4"/>
  <c r="D81" i="4"/>
  <c r="F79" i="4"/>
  <c r="E79" i="4"/>
  <c r="D79" i="4"/>
  <c r="F78" i="4"/>
  <c r="E78" i="4"/>
  <c r="D78" i="4"/>
  <c r="F77" i="4"/>
  <c r="E77" i="4"/>
  <c r="D77" i="4"/>
  <c r="F75" i="4"/>
  <c r="E75" i="4"/>
  <c r="D75" i="4"/>
  <c r="F73" i="4"/>
  <c r="E73" i="4"/>
  <c r="D73" i="4"/>
  <c r="F72" i="4"/>
  <c r="E72" i="4"/>
  <c r="D72" i="4"/>
  <c r="F70" i="4"/>
  <c r="E70" i="4"/>
  <c r="D70" i="4"/>
  <c r="F68" i="4"/>
  <c r="E68" i="4"/>
  <c r="D68" i="4"/>
  <c r="F67" i="4"/>
  <c r="E67" i="4"/>
  <c r="D67" i="4"/>
  <c r="E66" i="4"/>
  <c r="F66" i="4"/>
  <c r="D66" i="4"/>
  <c r="F65" i="4"/>
  <c r="E65" i="4"/>
  <c r="D65" i="4"/>
  <c r="F64" i="4"/>
  <c r="E64" i="4"/>
  <c r="D64" i="4"/>
  <c r="F63" i="4"/>
  <c r="E63" i="4"/>
  <c r="D63" i="4"/>
  <c r="F62" i="4"/>
  <c r="E62" i="4"/>
  <c r="D62" i="4"/>
  <c r="E60" i="4"/>
  <c r="F60" i="4"/>
  <c r="E61" i="4"/>
  <c r="F61" i="4"/>
  <c r="D61" i="4"/>
  <c r="D60" i="4"/>
  <c r="F59" i="4"/>
  <c r="E59" i="4"/>
  <c r="D59" i="4"/>
  <c r="D56" i="4"/>
  <c r="F55" i="4"/>
  <c r="E55" i="4"/>
  <c r="D55" i="4"/>
  <c r="E53" i="4"/>
  <c r="F53" i="4"/>
  <c r="E54" i="4"/>
  <c r="F54" i="4"/>
  <c r="D54" i="4"/>
  <c r="D53" i="4"/>
  <c r="F52" i="4"/>
  <c r="E52" i="4"/>
  <c r="D52" i="4"/>
  <c r="F51" i="4"/>
  <c r="E51" i="4"/>
  <c r="D51" i="4"/>
  <c r="E50" i="4"/>
  <c r="F50" i="4"/>
  <c r="D50" i="4"/>
  <c r="F49" i="4"/>
  <c r="E49" i="4"/>
  <c r="D49" i="4"/>
  <c r="F48" i="4"/>
  <c r="E48" i="4"/>
  <c r="D48" i="4"/>
  <c r="F47" i="4"/>
  <c r="E47" i="4"/>
  <c r="D47" i="4"/>
  <c r="F46" i="4"/>
  <c r="E46" i="4"/>
  <c r="D46" i="4"/>
  <c r="F44" i="4"/>
  <c r="E44" i="4"/>
  <c r="D44" i="4"/>
  <c r="F42" i="4"/>
  <c r="E42" i="4"/>
  <c r="D42" i="4"/>
  <c r="E40" i="4"/>
  <c r="F40" i="4"/>
  <c r="D40" i="4"/>
  <c r="F39" i="4"/>
  <c r="E39" i="4"/>
  <c r="D39" i="4"/>
  <c r="F38" i="4"/>
  <c r="E38" i="4"/>
  <c r="D38" i="4"/>
  <c r="F37" i="4"/>
  <c r="E37" i="4"/>
  <c r="D37" i="4"/>
  <c r="E31" i="4"/>
  <c r="F31" i="4"/>
  <c r="E32" i="4"/>
  <c r="F32" i="4"/>
  <c r="D32" i="4"/>
  <c r="D31" i="4"/>
  <c r="F36" i="4"/>
  <c r="E36" i="4"/>
  <c r="D36" i="4"/>
  <c r="F30" i="4"/>
  <c r="E30" i="4"/>
  <c r="D30" i="4"/>
  <c r="F27" i="4"/>
  <c r="E27" i="4"/>
  <c r="D27" i="4"/>
  <c r="F26" i="4"/>
  <c r="E26" i="4"/>
  <c r="D26" i="4"/>
  <c r="F25" i="4"/>
  <c r="E25" i="4"/>
  <c r="D25" i="4"/>
  <c r="F23" i="4"/>
  <c r="E23" i="4"/>
  <c r="D23" i="4"/>
  <c r="F22" i="4"/>
  <c r="E22" i="4"/>
  <c r="D22" i="4"/>
  <c r="F21" i="4"/>
  <c r="E21" i="4"/>
  <c r="D21" i="4"/>
  <c r="F11" i="4"/>
  <c r="E11" i="4"/>
  <c r="D11" i="4"/>
  <c r="F10" i="4"/>
  <c r="E10" i="4"/>
  <c r="D10" i="4"/>
  <c r="F8" i="4"/>
  <c r="E8" i="4"/>
  <c r="D8" i="4"/>
  <c r="F5" i="4"/>
  <c r="E5" i="4"/>
  <c r="E6" i="4"/>
  <c r="F6" i="4"/>
  <c r="D6" i="4"/>
  <c r="D5" i="4"/>
  <c r="E3" i="4"/>
  <c r="F3" i="4"/>
  <c r="D3" i="4"/>
  <c r="F2" i="4"/>
  <c r="E2" i="4"/>
  <c r="D2" i="4"/>
  <c r="G3" i="4"/>
  <c r="G4" i="4"/>
  <c r="G5" i="4"/>
  <c r="G6" i="4"/>
  <c r="G8" i="4"/>
  <c r="G9" i="4"/>
  <c r="G10" i="4"/>
  <c r="G11" i="4"/>
  <c r="G12" i="4"/>
  <c r="G13" i="4"/>
  <c r="G21" i="4"/>
  <c r="G22" i="4"/>
  <c r="G23" i="4"/>
  <c r="G24" i="4"/>
  <c r="G25" i="4"/>
  <c r="G26" i="4"/>
  <c r="G27" i="4"/>
  <c r="G28" i="4"/>
  <c r="G30" i="4"/>
  <c r="G31" i="4"/>
  <c r="G32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9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2" i="4"/>
  <c r="N1089" i="6" l="1"/>
  <c r="N215" i="6"/>
  <c r="O215" i="6"/>
  <c r="I215" i="6" a="1"/>
  <c r="I215" i="6" s="1"/>
  <c r="K215" i="6" s="1"/>
  <c r="N212" i="6"/>
  <c r="I212" i="6" s="1" a="1"/>
  <c r="I212" i="6" s="1"/>
  <c r="K212" i="6" s="1"/>
  <c r="F95" i="6" a="1"/>
  <c r="F95" i="6" s="1"/>
  <c r="N95" i="6" s="1"/>
  <c r="F94" i="6" a="1"/>
  <c r="F94" i="6" s="1"/>
  <c r="N94" i="6" s="1"/>
  <c r="F178" i="6" a="1"/>
  <c r="F178" i="6" s="1"/>
  <c r="F177" i="6" a="1"/>
  <c r="F177" i="6" s="1"/>
  <c r="N177" i="6" s="1"/>
  <c r="N1073" i="6"/>
  <c r="N569" i="6"/>
  <c r="N836" i="6"/>
  <c r="I836" i="6" s="1" a="1"/>
  <c r="I836" i="6" s="1"/>
  <c r="K836" i="6" s="1"/>
  <c r="N995" i="6"/>
  <c r="I995" i="6" s="1" a="1"/>
  <c r="I995" i="6" s="1"/>
  <c r="K995" i="6" s="1"/>
  <c r="N1106" i="6"/>
  <c r="I1106" i="6" s="1" a="1"/>
  <c r="I1106" i="6" s="1"/>
  <c r="K1106" i="6" s="1"/>
  <c r="N1159" i="6"/>
  <c r="I1159" i="6" s="1" a="1"/>
  <c r="I1159" i="6" s="1"/>
  <c r="K1159" i="6" s="1"/>
  <c r="N1012" i="6"/>
  <c r="I1012" i="6" s="1" a="1"/>
  <c r="I1012" i="6" s="1"/>
  <c r="K1012" i="6" s="1"/>
  <c r="N722" i="6"/>
  <c r="N535" i="6"/>
  <c r="N645" i="6"/>
  <c r="N416" i="6"/>
  <c r="N1260" i="6"/>
  <c r="I1260" i="6" s="1" a="1"/>
  <c r="I1260" i="6" s="1"/>
  <c r="K1260" i="6" s="1"/>
  <c r="N1036" i="6"/>
  <c r="N868" i="6"/>
  <c r="N1066" i="6"/>
  <c r="N803" i="6"/>
  <c r="N689" i="6"/>
  <c r="N675" i="6"/>
  <c r="N642" i="6"/>
  <c r="N632" i="6"/>
  <c r="N823" i="6"/>
  <c r="N466" i="6"/>
  <c r="N438" i="6"/>
  <c r="N1049" i="6"/>
  <c r="N764" i="6"/>
  <c r="N993" i="6"/>
  <c r="N831" i="6"/>
  <c r="N686" i="6"/>
  <c r="N439" i="6"/>
  <c r="N1001" i="6"/>
  <c r="N761" i="6"/>
  <c r="N529" i="6"/>
  <c r="N1193" i="6"/>
  <c r="N601" i="6"/>
  <c r="N1110" i="6"/>
  <c r="N1011" i="6"/>
  <c r="N1129" i="6"/>
  <c r="N1095" i="6"/>
  <c r="N880" i="6"/>
  <c r="N751" i="6"/>
  <c r="N619" i="6"/>
  <c r="N594" i="6"/>
  <c r="N410" i="6"/>
  <c r="N425" i="6"/>
  <c r="N462" i="6"/>
  <c r="N428" i="6"/>
  <c r="N1147" i="6"/>
  <c r="N1056" i="6"/>
  <c r="N1252" i="6"/>
  <c r="N1188" i="6"/>
  <c r="N312" i="6"/>
  <c r="N1186" i="6"/>
  <c r="N1119" i="6"/>
  <c r="N449" i="6"/>
  <c r="N255" i="6"/>
  <c r="N379" i="6"/>
  <c r="N176" i="6"/>
  <c r="I176" i="6" s="1" a="1"/>
  <c r="I176" i="6" s="1"/>
  <c r="K176" i="6" s="1"/>
  <c r="N299" i="6"/>
  <c r="N385" i="6"/>
  <c r="N303" i="6"/>
  <c r="N1401" i="6"/>
  <c r="N418" i="6"/>
  <c r="N816" i="6"/>
  <c r="N777" i="6"/>
  <c r="N613" i="6"/>
  <c r="N515" i="6"/>
  <c r="N506" i="6"/>
  <c r="N230" i="6"/>
  <c r="N193" i="6"/>
  <c r="N1236" i="6"/>
  <c r="N1000" i="6"/>
  <c r="N485" i="6"/>
  <c r="N477" i="6"/>
  <c r="N457" i="6"/>
  <c r="N1439" i="6"/>
  <c r="N724" i="6"/>
  <c r="N782" i="6"/>
  <c r="N337" i="6"/>
  <c r="N1423" i="6"/>
  <c r="N797" i="6"/>
  <c r="N233" i="6"/>
  <c r="N321" i="6"/>
  <c r="N792" i="6"/>
  <c r="N1419" i="6"/>
  <c r="N1447" i="6"/>
  <c r="N1455" i="6"/>
  <c r="N1208" i="6"/>
  <c r="N250" i="6"/>
  <c r="N1054" i="6"/>
  <c r="N1030" i="6"/>
  <c r="N1317" i="6"/>
  <c r="N650" i="6"/>
  <c r="N563" i="6"/>
  <c r="N819" i="6"/>
  <c r="N265" i="6"/>
  <c r="N845" i="6"/>
  <c r="N815" i="6"/>
  <c r="N827" i="6"/>
  <c r="N762" i="6"/>
  <c r="N558" i="6"/>
  <c r="N339" i="6"/>
  <c r="N1395" i="6"/>
  <c r="N974" i="6"/>
  <c r="N959" i="6"/>
  <c r="N1280" i="6"/>
  <c r="N1187" i="6"/>
  <c r="N570" i="6"/>
  <c r="N305" i="6"/>
  <c r="N1399" i="6"/>
  <c r="N978" i="6"/>
  <c r="N953" i="6"/>
  <c r="N793" i="6"/>
  <c r="N711" i="6"/>
  <c r="N1467" i="6"/>
  <c r="N1431" i="6"/>
  <c r="N1222" i="6"/>
  <c r="N1182" i="6"/>
  <c r="N1005" i="6"/>
  <c r="N198" i="6"/>
  <c r="N919" i="6"/>
  <c r="N768" i="6"/>
  <c r="N460" i="6"/>
  <c r="N432" i="6"/>
  <c r="N1329" i="6"/>
  <c r="N849" i="6"/>
  <c r="N549" i="6"/>
  <c r="N715" i="6"/>
  <c r="N346" i="6"/>
  <c r="N1471" i="6"/>
  <c r="N1321" i="6"/>
  <c r="N1048" i="6"/>
  <c r="N879" i="6"/>
  <c r="N862" i="6"/>
  <c r="N626" i="6"/>
  <c r="N589" i="6"/>
  <c r="N389" i="6"/>
  <c r="N1408" i="6"/>
  <c r="N1359" i="6"/>
  <c r="N971" i="6"/>
  <c r="N893" i="6"/>
  <c r="N844" i="6"/>
  <c r="N789" i="6"/>
  <c r="N785" i="6"/>
  <c r="N767" i="6"/>
  <c r="N759" i="6"/>
  <c r="N723" i="6"/>
  <c r="N605" i="6"/>
  <c r="N557" i="6"/>
  <c r="N392" i="6"/>
  <c r="N1307" i="6"/>
  <c r="N1254" i="6"/>
  <c r="N1190" i="6"/>
  <c r="N966" i="6"/>
  <c r="N861" i="6"/>
  <c r="N848" i="6"/>
  <c r="N818" i="6"/>
  <c r="N780" i="6"/>
  <c r="N776" i="6"/>
  <c r="N718" i="6"/>
  <c r="N625" i="6"/>
  <c r="N618" i="6"/>
  <c r="N384" i="6"/>
  <c r="N341" i="6"/>
  <c r="N1277" i="6"/>
  <c r="N1134" i="6"/>
  <c r="N1052" i="6"/>
  <c r="N1020" i="6"/>
  <c r="N929" i="6"/>
  <c r="N801" i="6"/>
  <c r="N731" i="6"/>
  <c r="N531" i="6"/>
  <c r="N523" i="6"/>
  <c r="N519" i="6"/>
  <c r="N364" i="6"/>
  <c r="N352" i="6"/>
  <c r="N235" i="6"/>
  <c r="N1389" i="6"/>
  <c r="N1288" i="6"/>
  <c r="N1272" i="6"/>
  <c r="N1070" i="6"/>
  <c r="N994" i="6"/>
  <c r="N989" i="6"/>
  <c r="N788" i="6"/>
  <c r="N708" i="6"/>
  <c r="N695" i="6"/>
  <c r="N412" i="6"/>
  <c r="N408" i="6"/>
  <c r="N399" i="6"/>
  <c r="N320" i="6"/>
  <c r="N1393" i="6"/>
  <c r="N1380" i="6"/>
  <c r="N1097" i="6"/>
  <c r="N1051" i="6"/>
  <c r="N1046" i="6"/>
  <c r="N937" i="6"/>
  <c r="N678" i="6"/>
  <c r="N430" i="6"/>
  <c r="N423" i="6"/>
  <c r="N420" i="6"/>
  <c r="N316" i="6"/>
  <c r="N1397" i="6"/>
  <c r="N1349" i="6"/>
  <c r="N1336" i="6"/>
  <c r="N1323" i="6"/>
  <c r="N1262" i="6"/>
  <c r="N1142" i="6"/>
  <c r="N1041" i="6"/>
  <c r="N945" i="6"/>
  <c r="N808" i="6"/>
  <c r="N551" i="6"/>
  <c r="N518" i="6"/>
  <c r="N1287" i="6"/>
  <c r="N1180" i="6"/>
  <c r="N1101" i="6"/>
  <c r="N1092" i="6"/>
  <c r="N1078" i="6"/>
  <c r="N407" i="6"/>
  <c r="N335" i="6"/>
  <c r="N331" i="6"/>
  <c r="N217" i="6"/>
  <c r="N1433" i="6"/>
  <c r="N1425" i="6"/>
  <c r="N1417" i="6"/>
  <c r="N1379" i="6"/>
  <c r="N1340" i="6"/>
  <c r="N1305" i="6"/>
  <c r="N1132" i="6"/>
  <c r="N1128" i="6"/>
  <c r="N1105" i="6"/>
  <c r="N1082" i="6"/>
  <c r="N685" i="6"/>
  <c r="N572" i="6"/>
  <c r="N402" i="6"/>
  <c r="N398" i="6"/>
  <c r="N1405" i="6"/>
  <c r="N1171" i="6"/>
  <c r="N1158" i="6"/>
  <c r="N1064" i="6"/>
  <c r="N1022" i="6"/>
  <c r="N958" i="6"/>
  <c r="N811" i="6"/>
  <c r="N791" i="6"/>
  <c r="N496" i="6"/>
  <c r="N224" i="6"/>
  <c r="N1420" i="6"/>
  <c r="N1409" i="6"/>
  <c r="N1365" i="6"/>
  <c r="N1218" i="6"/>
  <c r="N1213" i="6"/>
  <c r="N1209" i="6"/>
  <c r="N1154" i="6"/>
  <c r="N1145" i="6"/>
  <c r="N748" i="6"/>
  <c r="N706" i="6"/>
  <c r="N606" i="6"/>
  <c r="N598" i="6"/>
  <c r="N567" i="6"/>
  <c r="N554" i="6"/>
  <c r="N545" i="6"/>
  <c r="N476" i="6"/>
  <c r="N464" i="6"/>
  <c r="N456" i="6"/>
  <c r="N298" i="6"/>
  <c r="N507" i="6"/>
  <c r="N260" i="6"/>
  <c r="N826" i="6"/>
  <c r="N843" i="6"/>
  <c r="N928" i="6"/>
  <c r="N577" i="6"/>
  <c r="N261" i="6"/>
  <c r="N646" i="6"/>
  <c r="N595" i="6"/>
  <c r="N770" i="6"/>
  <c r="N757" i="6"/>
  <c r="N1427" i="6"/>
  <c r="N1403" i="6"/>
  <c r="N870" i="6"/>
  <c r="N852" i="6"/>
  <c r="N444" i="6"/>
  <c r="N835" i="6"/>
  <c r="N455" i="6"/>
  <c r="N882" i="6"/>
  <c r="N245" i="6"/>
  <c r="N253" i="6"/>
  <c r="N608" i="6"/>
  <c r="N1118" i="6"/>
  <c r="N753" i="6"/>
  <c r="N281" i="6"/>
  <c r="N896" i="6"/>
  <c r="N860" i="6"/>
  <c r="N486" i="6"/>
  <c r="N941" i="6"/>
  <c r="N891" i="6"/>
  <c r="N851" i="6"/>
  <c r="N612" i="6"/>
  <c r="N742" i="6"/>
  <c r="N1170" i="6"/>
  <c r="N1166" i="6"/>
  <c r="N1149" i="6"/>
  <c r="N1140" i="6"/>
  <c r="N1131" i="6"/>
  <c r="N778" i="6"/>
  <c r="N300" i="6"/>
  <c r="N451" i="6"/>
  <c r="N750" i="6"/>
  <c r="N699" i="6"/>
  <c r="N638" i="6"/>
  <c r="N1109" i="6"/>
  <c r="N600" i="6"/>
  <c r="N1153" i="6"/>
  <c r="N406" i="6"/>
  <c r="N1415" i="6"/>
  <c r="N448" i="6"/>
  <c r="N220" i="6"/>
  <c r="N869" i="6"/>
  <c r="N834" i="6"/>
  <c r="N596" i="6"/>
  <c r="N565" i="6"/>
  <c r="N505" i="6"/>
  <c r="N474" i="6"/>
  <c r="N617" i="6"/>
  <c r="N1391" i="6"/>
  <c r="N1375" i="6"/>
  <c r="N1226" i="6"/>
  <c r="N1212" i="6"/>
  <c r="N802" i="6"/>
  <c r="N371" i="6"/>
  <c r="N1241" i="6"/>
  <c r="N1161" i="6"/>
  <c r="N806" i="6"/>
  <c r="N390" i="6"/>
  <c r="N1267" i="6"/>
  <c r="N1257" i="6"/>
  <c r="N1249" i="6"/>
  <c r="N628" i="6"/>
  <c r="N458" i="6"/>
  <c r="N443" i="6"/>
  <c r="N1224" i="6"/>
  <c r="N1202" i="6"/>
  <c r="N349" i="6"/>
  <c r="N1210" i="6"/>
  <c r="N1043" i="6"/>
  <c r="N962" i="6"/>
  <c r="N931" i="6"/>
  <c r="N727" i="6"/>
  <c r="N668" i="6"/>
  <c r="N664" i="6"/>
  <c r="N660" i="6"/>
  <c r="N310" i="6"/>
  <c r="N178" i="6"/>
  <c r="N1278" i="6"/>
  <c r="N1265" i="6"/>
  <c r="N1047" i="6"/>
  <c r="N1029" i="6"/>
  <c r="N1008" i="6"/>
  <c r="N1003" i="6"/>
  <c r="N935" i="6"/>
  <c r="N921" i="6"/>
  <c r="N907" i="6"/>
  <c r="N533" i="6"/>
  <c r="N225" i="6"/>
  <c r="N207" i="6"/>
  <c r="N1320" i="6"/>
  <c r="N1274" i="6"/>
  <c r="N1133" i="6"/>
  <c r="N1083" i="6"/>
  <c r="N696" i="6"/>
  <c r="N395" i="6"/>
  <c r="N360" i="6"/>
  <c r="N329" i="6"/>
  <c r="N229" i="6"/>
  <c r="N203" i="6"/>
  <c r="N649" i="6"/>
  <c r="N1185" i="6"/>
  <c r="N1178" i="6"/>
  <c r="N932" i="6"/>
  <c r="N913" i="6"/>
  <c r="N877" i="6"/>
  <c r="N838" i="6"/>
  <c r="N669" i="6"/>
  <c r="N501" i="6"/>
  <c r="N497" i="6"/>
  <c r="N311" i="6"/>
  <c r="N267" i="6"/>
  <c r="N256" i="6"/>
  <c r="N1453" i="6"/>
  <c r="N1445" i="6"/>
  <c r="N1275" i="6"/>
  <c r="N1181" i="6"/>
  <c r="N968" i="6"/>
  <c r="N881" i="6"/>
  <c r="N842" i="6"/>
  <c r="N657" i="6"/>
  <c r="N637" i="6"/>
  <c r="N454" i="6"/>
  <c r="N276" i="6"/>
  <c r="N1473" i="6"/>
  <c r="N850" i="6"/>
  <c r="N641" i="6"/>
  <c r="N513" i="6"/>
  <c r="N465" i="6"/>
  <c r="N342" i="6"/>
  <c r="N322" i="6"/>
  <c r="N315" i="6"/>
  <c r="N284" i="6"/>
  <c r="N280" i="6"/>
  <c r="N208" i="6"/>
  <c r="N200" i="6"/>
  <c r="N1457" i="6"/>
  <c r="N1294" i="6"/>
  <c r="N1270" i="6"/>
  <c r="N1067" i="6"/>
  <c r="N334" i="6"/>
  <c r="N326" i="6"/>
  <c r="N985" i="6"/>
  <c r="N956" i="6"/>
  <c r="N1465" i="6"/>
  <c r="N1449" i="6"/>
  <c r="N986" i="6"/>
  <c r="N903" i="6"/>
  <c r="N652" i="6"/>
  <c r="N1383" i="6"/>
  <c r="N1367" i="6"/>
  <c r="N1297" i="6"/>
  <c r="N1141" i="6"/>
  <c r="N1123" i="6"/>
  <c r="N1024" i="6"/>
  <c r="N980" i="6"/>
  <c r="N943" i="6"/>
  <c r="N775" i="6"/>
  <c r="N609" i="6"/>
  <c r="N578" i="6"/>
  <c r="N553" i="6"/>
  <c r="N536" i="6"/>
  <c r="N422" i="6"/>
  <c r="N93" i="6"/>
  <c r="N1290" i="6"/>
  <c r="N1244" i="6"/>
  <c r="N1229" i="6"/>
  <c r="N1039" i="6"/>
  <c r="N1025" i="6"/>
  <c r="N1021" i="6"/>
  <c r="N922" i="6"/>
  <c r="N899" i="6"/>
  <c r="N1441" i="6"/>
  <c r="N1411" i="6"/>
  <c r="N1407" i="6"/>
  <c r="N1390" i="6"/>
  <c r="N1385" i="6"/>
  <c r="N1378" i="6"/>
  <c r="N1347" i="6"/>
  <c r="N1339" i="6"/>
  <c r="N1301" i="6"/>
  <c r="N1289" i="6"/>
  <c r="N1243" i="6"/>
  <c r="N1219" i="6"/>
  <c r="N1173" i="6"/>
  <c r="N1152" i="6"/>
  <c r="N1148" i="6"/>
  <c r="N1091" i="6"/>
  <c r="N1069" i="6"/>
  <c r="N984" i="6"/>
  <c r="N911" i="6"/>
  <c r="N854" i="6"/>
  <c r="N833" i="6"/>
  <c r="N825" i="6"/>
  <c r="N790" i="6"/>
  <c r="N749" i="6"/>
  <c r="N671" i="6"/>
  <c r="N591" i="6"/>
  <c r="N520" i="6"/>
  <c r="N503" i="6"/>
  <c r="N484" i="6"/>
  <c r="N469" i="6"/>
  <c r="N461" i="6"/>
  <c r="N417" i="6"/>
  <c r="N413" i="6"/>
  <c r="N405" i="6"/>
  <c r="N354" i="6"/>
  <c r="N271" i="6"/>
  <c r="N244" i="6"/>
  <c r="N1381" i="6"/>
  <c r="N1373" i="6"/>
  <c r="N1355" i="6"/>
  <c r="N1292" i="6"/>
  <c r="N1122" i="6"/>
  <c r="N1050" i="6"/>
  <c r="N1006" i="6"/>
  <c r="N955" i="6"/>
  <c r="N889" i="6"/>
  <c r="N884" i="6"/>
  <c r="N829" i="6"/>
  <c r="N798" i="6"/>
  <c r="N769" i="6"/>
  <c r="N734" i="6"/>
  <c r="N703" i="6"/>
  <c r="N667" i="6"/>
  <c r="N607" i="6"/>
  <c r="N599" i="6"/>
  <c r="N552" i="6"/>
  <c r="N548" i="6"/>
  <c r="N544" i="6"/>
  <c r="N397" i="6"/>
  <c r="N381" i="6"/>
  <c r="N374" i="6"/>
  <c r="N328" i="6"/>
  <c r="N309" i="6"/>
  <c r="N202" i="6"/>
  <c r="N1472" i="6"/>
  <c r="N1437" i="6"/>
  <c r="N1429" i="6"/>
  <c r="N1421" i="6"/>
  <c r="N1414" i="6"/>
  <c r="N1343" i="6"/>
  <c r="N1309" i="6"/>
  <c r="N1273" i="6"/>
  <c r="N1259" i="6"/>
  <c r="N1251" i="6"/>
  <c r="N1247" i="6"/>
  <c r="N1232" i="6"/>
  <c r="N1205" i="6"/>
  <c r="N1168" i="6"/>
  <c r="N1160" i="6"/>
  <c r="N1135" i="6"/>
  <c r="N1027" i="6"/>
  <c r="N997" i="6"/>
  <c r="N920" i="6"/>
  <c r="N837" i="6"/>
  <c r="N809" i="6"/>
  <c r="N760" i="6"/>
  <c r="N716" i="6"/>
  <c r="N644" i="6"/>
  <c r="N580" i="6"/>
  <c r="N576" i="6"/>
  <c r="N499" i="6"/>
  <c r="N480" i="6"/>
  <c r="N347" i="6"/>
  <c r="N324" i="6"/>
  <c r="N293" i="6"/>
  <c r="N279" i="6"/>
  <c r="N251" i="6"/>
  <c r="N223" i="6"/>
  <c r="N1452" i="6"/>
  <c r="N1156" i="6"/>
  <c r="N1139" i="6"/>
  <c r="N773" i="6"/>
  <c r="N651" i="6"/>
  <c r="N587" i="6"/>
  <c r="N362" i="6"/>
  <c r="N286" i="6"/>
  <c r="N274" i="6"/>
  <c r="N227" i="6"/>
  <c r="N910" i="6"/>
  <c r="N820" i="6"/>
  <c r="N659" i="6"/>
  <c r="N647" i="6"/>
  <c r="N568" i="6"/>
  <c r="N289" i="6"/>
  <c r="N282" i="6"/>
  <c r="N270" i="6"/>
  <c r="N243" i="6"/>
  <c r="N209" i="6"/>
  <c r="N1384" i="6"/>
  <c r="N1295" i="6"/>
  <c r="N1125" i="6"/>
  <c r="N824" i="6"/>
  <c r="N301" i="6"/>
  <c r="N205" i="6"/>
  <c r="N1440" i="6"/>
  <c r="N1363" i="6"/>
  <c r="N1333" i="6"/>
  <c r="N1268" i="6"/>
  <c r="N1217" i="6"/>
  <c r="N1138" i="6"/>
  <c r="N1107" i="6"/>
  <c r="N1103" i="6"/>
  <c r="N1094" i="6"/>
  <c r="N1063" i="6"/>
  <c r="N1013" i="6"/>
  <c r="N905" i="6"/>
  <c r="N804" i="6"/>
  <c r="N800" i="6"/>
  <c r="N763" i="6"/>
  <c r="N693" i="6"/>
  <c r="N681" i="6"/>
  <c r="N677" i="6"/>
  <c r="N630" i="6"/>
  <c r="N575" i="6"/>
  <c r="N538" i="6"/>
  <c r="N471" i="6"/>
  <c r="N463" i="6"/>
  <c r="N361" i="6"/>
  <c r="N1215" i="6"/>
  <c r="N1200" i="6"/>
  <c r="N1177" i="6"/>
  <c r="N1163" i="6"/>
  <c r="N1130" i="6"/>
  <c r="N1096" i="6"/>
  <c r="N969" i="6"/>
  <c r="N885" i="6"/>
  <c r="N500" i="6"/>
  <c r="N1464" i="6"/>
  <c r="N1443" i="6"/>
  <c r="N1438" i="6"/>
  <c r="N1435" i="6"/>
  <c r="N1402" i="6"/>
  <c r="N1352" i="6"/>
  <c r="N1279" i="6"/>
  <c r="N1432" i="6"/>
  <c r="N1256" i="6"/>
  <c r="N1238" i="6"/>
  <c r="N1211" i="6"/>
  <c r="N1192" i="6"/>
  <c r="N1151" i="6"/>
  <c r="N1074" i="6"/>
  <c r="N915" i="6"/>
  <c r="N661" i="6"/>
  <c r="N621" i="6"/>
  <c r="N653" i="6"/>
  <c r="N1203" i="6"/>
  <c r="N1470" i="6"/>
  <c r="N1422" i="6"/>
  <c r="N1410" i="6"/>
  <c r="N1255" i="6"/>
  <c r="N1248" i="6"/>
  <c r="N1117" i="6"/>
  <c r="N1033" i="6"/>
  <c r="N981" i="6"/>
  <c r="N949" i="6"/>
  <c r="N752" i="6"/>
  <c r="N1271" i="6"/>
  <c r="N1463" i="6"/>
  <c r="N1428" i="6"/>
  <c r="N1416" i="6"/>
  <c r="N1404" i="6"/>
  <c r="N1344" i="6"/>
  <c r="N1325" i="6"/>
  <c r="N1299" i="6"/>
  <c r="N1285" i="6"/>
  <c r="N1150" i="6"/>
  <c r="N1454" i="6"/>
  <c r="N534" i="6"/>
  <c r="N1459" i="6"/>
  <c r="N1313" i="6"/>
  <c r="N1281" i="6"/>
  <c r="N1221" i="6"/>
  <c r="N755" i="6"/>
  <c r="N1469" i="6"/>
  <c r="N1198" i="6"/>
  <c r="N1194" i="6"/>
  <c r="N1098" i="6"/>
  <c r="N1085" i="6"/>
  <c r="N592" i="6"/>
  <c r="N582" i="6"/>
  <c r="N940" i="6"/>
  <c r="N799" i="6"/>
  <c r="N783" i="6"/>
  <c r="N1080" i="6"/>
  <c r="N636" i="6"/>
  <c r="N1436" i="6"/>
  <c r="N1424" i="6"/>
  <c r="N1450" i="6"/>
  <c r="N1444" i="6"/>
  <c r="N1430" i="6"/>
  <c r="N1406" i="6"/>
  <c r="N1368" i="6"/>
  <c r="N1220" i="6"/>
  <c r="N1164" i="6"/>
  <c r="N1144" i="6"/>
  <c r="N1084" i="6"/>
  <c r="N1040" i="6"/>
  <c r="N1023" i="6"/>
  <c r="N988" i="6"/>
  <c r="N970" i="6"/>
  <c r="N947" i="6"/>
  <c r="N904" i="6"/>
  <c r="N866" i="6"/>
  <c r="N640" i="6"/>
  <c r="N377" i="6"/>
  <c r="N1400" i="6"/>
  <c r="N1468" i="6"/>
  <c r="N1269" i="6"/>
  <c r="N1127" i="6"/>
  <c r="N951" i="6"/>
  <c r="N517" i="6"/>
  <c r="N786" i="6"/>
  <c r="N1388" i="6"/>
  <c r="N1426" i="6"/>
  <c r="N1356" i="6"/>
  <c r="N1283" i="6"/>
  <c r="N1167" i="6"/>
  <c r="N1062" i="6"/>
  <c r="N1018" i="6"/>
  <c r="N916" i="6"/>
  <c r="N746" i="6"/>
  <c r="N739" i="6"/>
  <c r="N1108" i="6"/>
  <c r="N1081" i="6"/>
  <c r="N1038" i="6"/>
  <c r="N1034" i="6"/>
  <c r="N1017" i="6"/>
  <c r="N957" i="6"/>
  <c r="N912" i="6"/>
  <c r="N908" i="6"/>
  <c r="N900" i="6"/>
  <c r="N859" i="6"/>
  <c r="N855" i="6"/>
  <c r="N688" i="6"/>
  <c r="N663" i="6"/>
  <c r="N541" i="6"/>
  <c r="N526" i="6"/>
  <c r="N514" i="6"/>
  <c r="N367" i="6"/>
  <c r="N221" i="6"/>
  <c r="N1077" i="6"/>
  <c r="N648" i="6"/>
  <c r="N429" i="6"/>
  <c r="N351" i="6"/>
  <c r="N344" i="6"/>
  <c r="N336" i="6"/>
  <c r="N1374" i="6"/>
  <c r="N1304" i="6"/>
  <c r="N1245" i="6"/>
  <c r="N1201" i="6"/>
  <c r="N1197" i="6"/>
  <c r="N1174" i="6"/>
  <c r="N1057" i="6"/>
  <c r="N1045" i="6"/>
  <c r="N973" i="6"/>
  <c r="N952" i="6"/>
  <c r="N771" i="6"/>
  <c r="N707" i="6"/>
  <c r="N666" i="6"/>
  <c r="N633" i="6"/>
  <c r="N510" i="6"/>
  <c r="N404" i="6"/>
  <c r="N400" i="6"/>
  <c r="N1387" i="6"/>
  <c r="N1360" i="6"/>
  <c r="N1228" i="6"/>
  <c r="N1223" i="6"/>
  <c r="N1176" i="6"/>
  <c r="N1026" i="6"/>
  <c r="N1004" i="6"/>
  <c r="N895" i="6"/>
  <c r="N872" i="6"/>
  <c r="N865" i="6"/>
  <c r="N814" i="6"/>
  <c r="N781" i="6"/>
  <c r="N726" i="6"/>
  <c r="N719" i="6"/>
  <c r="N683" i="6"/>
  <c r="N676" i="6"/>
  <c r="N673" i="6"/>
  <c r="N624" i="6"/>
  <c r="N610" i="6"/>
  <c r="N415" i="6"/>
  <c r="N370" i="6"/>
  <c r="N350" i="6"/>
  <c r="N1102" i="6"/>
  <c r="N1076" i="6"/>
  <c r="N1068" i="6"/>
  <c r="N1060" i="6"/>
  <c r="N1044" i="6"/>
  <c r="N976" i="6"/>
  <c r="N936" i="6"/>
  <c r="N857" i="6"/>
  <c r="N817" i="6"/>
  <c r="N758" i="6"/>
  <c r="N710" i="6"/>
  <c r="N698" i="6"/>
  <c r="N690" i="6"/>
  <c r="N603" i="6"/>
  <c r="N581" i="6"/>
  <c r="N373" i="6"/>
  <c r="N1237" i="6"/>
  <c r="N1227" i="6"/>
  <c r="N1124" i="6"/>
  <c r="N1121" i="6"/>
  <c r="N1087" i="6"/>
  <c r="N1059" i="6"/>
  <c r="N923" i="6"/>
  <c r="N890" i="6"/>
  <c r="N886" i="6"/>
  <c r="N841" i="6"/>
  <c r="N729" i="6"/>
  <c r="N697" i="6"/>
  <c r="N672" i="6"/>
  <c r="N631" i="6"/>
  <c r="N494" i="6"/>
  <c r="N490" i="6"/>
  <c r="N278" i="6"/>
  <c r="N262" i="6"/>
  <c r="N1234" i="6"/>
  <c r="N1195" i="6"/>
  <c r="N1114" i="6"/>
  <c r="N1075" i="6"/>
  <c r="N991" i="6"/>
  <c r="N740" i="6"/>
  <c r="N547" i="6"/>
  <c r="N472" i="6"/>
  <c r="N435" i="6"/>
  <c r="N296" i="6"/>
  <c r="N258" i="6"/>
  <c r="N1240" i="6"/>
  <c r="N1230" i="6"/>
  <c r="N1206" i="6"/>
  <c r="N1165" i="6"/>
  <c r="N1162" i="6"/>
  <c r="N1055" i="6"/>
  <c r="N1007" i="6"/>
  <c r="N643" i="6"/>
  <c r="N584" i="6"/>
  <c r="N446" i="6"/>
  <c r="N345" i="6"/>
  <c r="N1372" i="6"/>
  <c r="N1184" i="6"/>
  <c r="N1113" i="6"/>
  <c r="N1093" i="6"/>
  <c r="N897" i="6"/>
  <c r="N863" i="6"/>
  <c r="N772" i="6"/>
  <c r="N590" i="6"/>
  <c r="N542" i="6"/>
  <c r="N511" i="6"/>
  <c r="N873" i="6"/>
  <c r="N821" i="6"/>
  <c r="N784" i="6"/>
  <c r="N730" i="6"/>
  <c r="N654" i="6"/>
  <c r="N620" i="6"/>
  <c r="N614" i="6"/>
  <c r="N602" i="6"/>
  <c r="N571" i="6"/>
  <c r="N564" i="6"/>
  <c r="N394" i="6"/>
  <c r="N363" i="6"/>
  <c r="N308" i="6"/>
  <c r="N283" i="6"/>
  <c r="N743" i="6"/>
  <c r="N478" i="6"/>
  <c r="N450" i="6"/>
  <c r="N426" i="6"/>
  <c r="N387" i="6"/>
  <c r="N263" i="6"/>
  <c r="N240" i="6"/>
  <c r="N236" i="6"/>
  <c r="N232" i="6"/>
  <c r="N1042" i="6"/>
  <c r="N1016" i="6"/>
  <c r="N987" i="6"/>
  <c r="N972" i="6"/>
  <c r="N961" i="6"/>
  <c r="N946" i="6"/>
  <c r="N927" i="6"/>
  <c r="N892" i="6"/>
  <c r="N774" i="6"/>
  <c r="N745" i="6"/>
  <c r="N725" i="6"/>
  <c r="N705" i="6"/>
  <c r="N691" i="6"/>
  <c r="N684" i="6"/>
  <c r="N635" i="6"/>
  <c r="N604" i="6"/>
  <c r="N559" i="6"/>
  <c r="N537" i="6"/>
  <c r="N524" i="6"/>
  <c r="N473" i="6"/>
  <c r="N431" i="6"/>
  <c r="N353" i="6"/>
  <c r="N343" i="6"/>
  <c r="N216" i="6"/>
  <c r="N810" i="6"/>
  <c r="N735" i="6"/>
  <c r="N597" i="6"/>
  <c r="N585" i="6"/>
  <c r="N556" i="6"/>
  <c r="N550" i="6"/>
  <c r="N540" i="6"/>
  <c r="N527" i="6"/>
  <c r="N489" i="6"/>
  <c r="N442" i="6"/>
  <c r="N421" i="6"/>
  <c r="N403" i="6"/>
  <c r="N365" i="6"/>
  <c r="N332" i="6"/>
  <c r="N318" i="6"/>
  <c r="N288" i="6"/>
  <c r="N1035" i="6"/>
  <c r="N998" i="6"/>
  <c r="N983" i="6"/>
  <c r="N979" i="6"/>
  <c r="N975" i="6"/>
  <c r="N914" i="6"/>
  <c r="N813" i="6"/>
  <c r="N741" i="6"/>
  <c r="N728" i="6"/>
  <c r="N687" i="6"/>
  <c r="N627" i="6"/>
  <c r="N579" i="6"/>
  <c r="N543" i="6"/>
  <c r="N493" i="6"/>
  <c r="N445" i="6"/>
  <c r="N378" i="6"/>
  <c r="N375" i="6"/>
  <c r="N314" i="6"/>
  <c r="N1061" i="6"/>
  <c r="N1053" i="6"/>
  <c r="N1028" i="6"/>
  <c r="N794" i="6"/>
  <c r="N616" i="6"/>
  <c r="N356" i="6"/>
  <c r="N887" i="6"/>
  <c r="N874" i="6"/>
  <c r="N864" i="6"/>
  <c r="N306" i="6"/>
  <c r="N1072" i="6"/>
  <c r="N982" i="6"/>
  <c r="N901" i="6"/>
  <c r="N867" i="6"/>
  <c r="N832" i="6"/>
  <c r="N680" i="6"/>
  <c r="N555" i="6"/>
  <c r="N508" i="6"/>
  <c r="N492" i="6"/>
  <c r="N391" i="6"/>
  <c r="N388" i="6"/>
  <c r="N294" i="6"/>
  <c r="N204" i="6"/>
  <c r="N856" i="6"/>
  <c r="N847" i="6"/>
  <c r="N766" i="6"/>
  <c r="N662" i="6"/>
  <c r="N656" i="6"/>
  <c r="N586" i="6"/>
  <c r="N516" i="6"/>
  <c r="N509" i="6"/>
  <c r="N498" i="6"/>
  <c r="N488" i="6"/>
  <c r="N441" i="6"/>
  <c r="N383" i="6"/>
  <c r="N376" i="6"/>
  <c r="N327" i="6"/>
  <c r="N323" i="6"/>
  <c r="N272" i="6"/>
  <c r="N246" i="6"/>
  <c r="N206" i="6"/>
  <c r="N674" i="6"/>
  <c r="N622" i="6"/>
  <c r="N588" i="6"/>
  <c r="N583" i="6"/>
  <c r="N475" i="6"/>
  <c r="N386" i="6"/>
  <c r="N366" i="6"/>
  <c r="N358" i="6"/>
  <c r="N302" i="6"/>
  <c r="N257" i="6"/>
  <c r="N238" i="6"/>
  <c r="N222" i="6"/>
  <c r="N924" i="6"/>
  <c r="N894" i="6"/>
  <c r="N828" i="6"/>
  <c r="N712" i="6"/>
  <c r="N702" i="6"/>
  <c r="N611" i="6"/>
  <c r="N396" i="6"/>
  <c r="N249" i="6"/>
  <c r="N234" i="6"/>
  <c r="N411" i="6"/>
  <c r="N359" i="6"/>
  <c r="N292" i="6"/>
  <c r="N254" i="6"/>
  <c r="N241" i="6"/>
  <c r="N424" i="6"/>
  <c r="N447" i="6"/>
  <c r="N338" i="6"/>
  <c r="N195" i="6"/>
  <c r="N237" i="6"/>
  <c r="N467" i="6"/>
  <c r="N452" i="6"/>
  <c r="N437" i="6"/>
  <c r="N307" i="6"/>
  <c r="N290" i="6"/>
  <c r="N219" i="6"/>
  <c r="N191" i="6"/>
  <c r="N419" i="6"/>
  <c r="N325" i="6"/>
  <c r="N248" i="6"/>
  <c r="N194" i="6"/>
  <c r="N231" i="6"/>
  <c r="N226" i="6"/>
  <c r="N504" i="6"/>
  <c r="N1466" i="6"/>
  <c r="N1361" i="6"/>
  <c r="N1345" i="6"/>
  <c r="N1319" i="6"/>
  <c r="N1303" i="6"/>
  <c r="N1282" i="6"/>
  <c r="N1242" i="6"/>
  <c r="N1225" i="6"/>
  <c r="N1458" i="6"/>
  <c r="N1377" i="6"/>
  <c r="N1351" i="6"/>
  <c r="N1335" i="6"/>
  <c r="N1332" i="6"/>
  <c r="N1316" i="6"/>
  <c r="N1300" i="6"/>
  <c r="N1448" i="6"/>
  <c r="N1364" i="6"/>
  <c r="N1348" i="6"/>
  <c r="N1261" i="6"/>
  <c r="N1357" i="6"/>
  <c r="N1341" i="6"/>
  <c r="N1331" i="6"/>
  <c r="N1315" i="6"/>
  <c r="N1293" i="6"/>
  <c r="N1264" i="6"/>
  <c r="N1451" i="6"/>
  <c r="N1412" i="6"/>
  <c r="N1328" i="6"/>
  <c r="N1312" i="6"/>
  <c r="N1371" i="6"/>
  <c r="N1369" i="6"/>
  <c r="N1353" i="6"/>
  <c r="N1337" i="6"/>
  <c r="N1327" i="6"/>
  <c r="N1311" i="6"/>
  <c r="N1250" i="6"/>
  <c r="N1461" i="6"/>
  <c r="N1276" i="6"/>
  <c r="N1324" i="6"/>
  <c r="N1308" i="6"/>
  <c r="N1413" i="6"/>
  <c r="N1460" i="6"/>
  <c r="N1126" i="6"/>
  <c r="N1015" i="6"/>
  <c r="N1286" i="6"/>
  <c r="N1284" i="6"/>
  <c r="N1239" i="6"/>
  <c r="N1146" i="6"/>
  <c r="N1263" i="6"/>
  <c r="N1258" i="6"/>
  <c r="N1246" i="6"/>
  <c r="N1207" i="6"/>
  <c r="N1172" i="6"/>
  <c r="N1143" i="6"/>
  <c r="N1398" i="6"/>
  <c r="N1169" i="6"/>
  <c r="N1155" i="6"/>
  <c r="N1099" i="6"/>
  <c r="N1434" i="6"/>
  <c r="N1418" i="6"/>
  <c r="N1396" i="6"/>
  <c r="N1394" i="6"/>
  <c r="N1037" i="6"/>
  <c r="N1291" i="6"/>
  <c r="N1253" i="6"/>
  <c r="N1199" i="6"/>
  <c r="N1116" i="6"/>
  <c r="N1112" i="6"/>
  <c r="N1086" i="6"/>
  <c r="N1079" i="6"/>
  <c r="N1065" i="6"/>
  <c r="N1446" i="6"/>
  <c r="N1392" i="6"/>
  <c r="N1386" i="6"/>
  <c r="N1196" i="6"/>
  <c r="N1137" i="6"/>
  <c r="N1058" i="6"/>
  <c r="N1456" i="6"/>
  <c r="N1382" i="6"/>
  <c r="N1214" i="6"/>
  <c r="N1204" i="6"/>
  <c r="N1179" i="6"/>
  <c r="N1115" i="6"/>
  <c r="N1032" i="6"/>
  <c r="N1376" i="6"/>
  <c r="N1462" i="6"/>
  <c r="N1442" i="6"/>
  <c r="N1370" i="6"/>
  <c r="N1366" i="6"/>
  <c r="N1362" i="6"/>
  <c r="N1358" i="6"/>
  <c r="N1354" i="6"/>
  <c r="N1350" i="6"/>
  <c r="N1346" i="6"/>
  <c r="N1342" i="6"/>
  <c r="N1338" i="6"/>
  <c r="N1334" i="6"/>
  <c r="N1330" i="6"/>
  <c r="N1326" i="6"/>
  <c r="N1322" i="6"/>
  <c r="N1318" i="6"/>
  <c r="N1314" i="6"/>
  <c r="N1310" i="6"/>
  <c r="N1306" i="6"/>
  <c r="N1302" i="6"/>
  <c r="N1233" i="6"/>
  <c r="N1088" i="6"/>
  <c r="N1298" i="6"/>
  <c r="N1136" i="6"/>
  <c r="N1104" i="6"/>
  <c r="N1071" i="6"/>
  <c r="N1296" i="6"/>
  <c r="N1266" i="6"/>
  <c r="N1235" i="6"/>
  <c r="N1216" i="6"/>
  <c r="N1189" i="6"/>
  <c r="N1183" i="6"/>
  <c r="N1100" i="6"/>
  <c r="N1175" i="6"/>
  <c r="N1120" i="6"/>
  <c r="N1031" i="6"/>
  <c r="N990" i="6"/>
  <c r="N1002" i="6"/>
  <c r="N917" i="6"/>
  <c r="N1157" i="6"/>
  <c r="N1111" i="6"/>
  <c r="N977" i="6"/>
  <c r="N960" i="6"/>
  <c r="N906" i="6"/>
  <c r="N1231" i="6"/>
  <c r="N1191" i="6"/>
  <c r="N1010" i="6"/>
  <c r="N939" i="6"/>
  <c r="N996" i="6"/>
  <c r="N992" i="6"/>
  <c r="N963" i="6"/>
  <c r="N948" i="6"/>
  <c r="N938" i="6"/>
  <c r="N898" i="6"/>
  <c r="N1014" i="6"/>
  <c r="N930" i="6"/>
  <c r="N1009" i="6"/>
  <c r="N926" i="6"/>
  <c r="N965" i="6"/>
  <c r="N933" i="6"/>
  <c r="N954" i="6"/>
  <c r="N944" i="6"/>
  <c r="N1090" i="6"/>
  <c r="N858" i="6"/>
  <c r="N950" i="6"/>
  <c r="N805" i="6"/>
  <c r="N737" i="6"/>
  <c r="N717" i="6"/>
  <c r="N883" i="6"/>
  <c r="N853" i="6"/>
  <c r="N822" i="6"/>
  <c r="N876" i="6"/>
  <c r="N796" i="6"/>
  <c r="N967" i="6"/>
  <c r="N700" i="6"/>
  <c r="N902" i="6"/>
  <c r="N888" i="6"/>
  <c r="N839" i="6"/>
  <c r="N925" i="6"/>
  <c r="N909" i="6"/>
  <c r="N754" i="6"/>
  <c r="N934" i="6"/>
  <c r="N918" i="6"/>
  <c r="N878" i="6"/>
  <c r="N795" i="6"/>
  <c r="N999" i="6"/>
  <c r="N875" i="6"/>
  <c r="N779" i="6"/>
  <c r="N1019" i="6"/>
  <c r="N964" i="6"/>
  <c r="N721" i="6"/>
  <c r="N942" i="6"/>
  <c r="N692" i="6"/>
  <c r="N670" i="6"/>
  <c r="N812" i="6"/>
  <c r="N747" i="6"/>
  <c r="N732" i="6"/>
  <c r="N629" i="6"/>
  <c r="N682" i="6"/>
  <c r="N871" i="6"/>
  <c r="N807" i="6"/>
  <c r="N736" i="6"/>
  <c r="N658" i="6"/>
  <c r="N765" i="6"/>
  <c r="N756" i="6"/>
  <c r="N744" i="6"/>
  <c r="N846" i="6"/>
  <c r="N840" i="6"/>
  <c r="N713" i="6"/>
  <c r="N539" i="6"/>
  <c r="N714" i="6"/>
  <c r="N709" i="6"/>
  <c r="N704" i="6"/>
  <c r="N694" i="6"/>
  <c r="N573" i="6"/>
  <c r="N787" i="6"/>
  <c r="N738" i="6"/>
  <c r="N701" i="6"/>
  <c r="N639" i="6"/>
  <c r="N830" i="6"/>
  <c r="N634" i="6"/>
  <c r="N615" i="6"/>
  <c r="N546" i="6"/>
  <c r="N434" i="6"/>
  <c r="N679" i="6"/>
  <c r="N623" i="6"/>
  <c r="N561" i="6"/>
  <c r="N720" i="6"/>
  <c r="N655" i="6"/>
  <c r="N528" i="6"/>
  <c r="N313" i="6"/>
  <c r="N733" i="6"/>
  <c r="N665" i="6"/>
  <c r="N566" i="6"/>
  <c r="N560" i="6"/>
  <c r="N369" i="6"/>
  <c r="N593" i="6"/>
  <c r="N574" i="6"/>
  <c r="N491" i="6"/>
  <c r="N427" i="6"/>
  <c r="N530" i="6"/>
  <c r="N525" i="6"/>
  <c r="N436" i="6"/>
  <c r="N522" i="6"/>
  <c r="N317" i="6"/>
  <c r="N482" i="6"/>
  <c r="N355" i="6"/>
  <c r="N372" i="6"/>
  <c r="N453" i="6"/>
  <c r="N287" i="6"/>
  <c r="N495" i="6"/>
  <c r="N487" i="6"/>
  <c r="N479" i="6"/>
  <c r="N468" i="6"/>
  <c r="N440" i="6"/>
  <c r="N433" i="6"/>
  <c r="N414" i="6"/>
  <c r="N319" i="6"/>
  <c r="N483" i="6"/>
  <c r="N470" i="6"/>
  <c r="N459" i="6"/>
  <c r="N401" i="6"/>
  <c r="N380" i="6"/>
  <c r="N521" i="6"/>
  <c r="N382" i="6"/>
  <c r="N273" i="6"/>
  <c r="N481" i="6"/>
  <c r="N512" i="6"/>
  <c r="N304" i="6"/>
  <c r="N562" i="6"/>
  <c r="N532" i="6"/>
  <c r="N409" i="6"/>
  <c r="N368" i="6"/>
  <c r="N333" i="6"/>
  <c r="N297" i="6"/>
  <c r="N340" i="6"/>
  <c r="N330" i="6"/>
  <c r="N291" i="6"/>
  <c r="N275" i="6"/>
  <c r="N264" i="6"/>
  <c r="N348" i="6"/>
  <c r="N277" i="6"/>
  <c r="N269" i="6"/>
  <c r="N502" i="6"/>
  <c r="N393" i="6"/>
  <c r="N252" i="6"/>
  <c r="N247" i="6"/>
  <c r="N357" i="6"/>
  <c r="N218" i="6"/>
  <c r="N228" i="6"/>
  <c r="N266" i="6"/>
  <c r="N242" i="6"/>
  <c r="N295" i="6"/>
  <c r="N268" i="6"/>
  <c r="N239" i="6"/>
  <c r="N196" i="6"/>
  <c r="N201" i="6"/>
  <c r="N197" i="6"/>
  <c r="N285" i="6"/>
  <c r="N199" i="6"/>
  <c r="N192" i="6"/>
  <c r="N259" i="6"/>
  <c r="F2" i="3" a="1"/>
  <c r="F2" i="3" s="1"/>
  <c r="F3" i="3" a="1"/>
  <c r="F3" i="3" s="1"/>
  <c r="F4" i="3" a="1"/>
  <c r="F4" i="3" s="1"/>
  <c r="F5" i="3" a="1"/>
  <c r="F5" i="3" s="1"/>
  <c r="F6" i="3" a="1"/>
  <c r="F6" i="3" s="1"/>
  <c r="F7" i="3" a="1"/>
  <c r="F7" i="3" s="1"/>
  <c r="F8" i="3" a="1"/>
  <c r="F8" i="3" s="1"/>
  <c r="F9" i="3" a="1"/>
  <c r="F9" i="3" s="1"/>
  <c r="F10" i="3" a="1"/>
  <c r="F10" i="3" s="1"/>
  <c r="F11" i="3" a="1"/>
  <c r="F11" i="3" s="1"/>
  <c r="F12" i="3" a="1"/>
  <c r="F12" i="3" s="1"/>
  <c r="F13" i="3" a="1"/>
  <c r="F13" i="3" s="1"/>
  <c r="F14" i="3" a="1"/>
  <c r="F14" i="3" s="1"/>
  <c r="F15" i="3" a="1"/>
  <c r="F15" i="3" s="1"/>
  <c r="F16" i="3" a="1"/>
  <c r="F16" i="3" s="1"/>
  <c r="F17" i="3" a="1"/>
  <c r="F17" i="3" s="1"/>
  <c r="F18" i="3" a="1"/>
  <c r="F18" i="3" s="1"/>
  <c r="F19" i="3" a="1"/>
  <c r="F19" i="3" s="1"/>
  <c r="F20" i="3" a="1"/>
  <c r="F20" i="3" s="1"/>
  <c r="F21" i="3" a="1"/>
  <c r="F21" i="3" s="1"/>
  <c r="F22" i="3" a="1"/>
  <c r="F22" i="3" s="1"/>
  <c r="F23" i="3" a="1"/>
  <c r="F23" i="3" s="1"/>
  <c r="F24" i="3" a="1"/>
  <c r="F24" i="3" s="1"/>
  <c r="F25" i="3" a="1"/>
  <c r="F25" i="3" s="1"/>
  <c r="F26" i="3" a="1"/>
  <c r="F26" i="3" s="1"/>
  <c r="F27" i="3" a="1"/>
  <c r="F27" i="3" s="1"/>
  <c r="F28" i="3" a="1"/>
  <c r="F28" i="3" s="1"/>
  <c r="F29" i="3" a="1"/>
  <c r="F29" i="3" s="1"/>
  <c r="F30" i="3" a="1"/>
  <c r="F30" i="3" s="1"/>
  <c r="F31" i="3" a="1"/>
  <c r="F31" i="3" s="1"/>
  <c r="F32" i="3" a="1"/>
  <c r="F32" i="3" s="1"/>
  <c r="F33" i="3" a="1"/>
  <c r="F33" i="3" s="1"/>
  <c r="F34" i="3" a="1"/>
  <c r="F34" i="3" s="1"/>
  <c r="F35" i="3" a="1"/>
  <c r="F35" i="3" s="1"/>
  <c r="F36" i="3" a="1"/>
  <c r="F36" i="3" s="1"/>
  <c r="F37" i="3" a="1"/>
  <c r="F37" i="3" s="1"/>
  <c r="F38" i="3" a="1"/>
  <c r="F38" i="3" s="1"/>
  <c r="F39" i="3" a="1"/>
  <c r="F39" i="3" s="1"/>
  <c r="F40" i="3" a="1"/>
  <c r="F40" i="3" s="1"/>
  <c r="F41" i="3" a="1"/>
  <c r="F41" i="3" s="1"/>
  <c r="F42" i="3" a="1"/>
  <c r="F42" i="3" s="1"/>
  <c r="F43" i="3" a="1"/>
  <c r="F43" i="3" s="1"/>
  <c r="F44" i="3" a="1"/>
  <c r="F44" i="3" s="1"/>
  <c r="F45" i="3" a="1"/>
  <c r="F45" i="3" s="1"/>
  <c r="F46" i="3" a="1"/>
  <c r="F46" i="3" s="1"/>
  <c r="F47" i="3" a="1"/>
  <c r="F47" i="3" s="1"/>
  <c r="F48" i="3" a="1"/>
  <c r="F48" i="3" s="1"/>
  <c r="F49" i="3" a="1"/>
  <c r="F49" i="3" s="1"/>
  <c r="F50" i="3" a="1"/>
  <c r="F50" i="3" s="1"/>
  <c r="F51" i="3" a="1"/>
  <c r="F51" i="3" s="1"/>
  <c r="F52" i="3" a="1"/>
  <c r="F52" i="3" s="1"/>
  <c r="F53" i="3" a="1"/>
  <c r="F53" i="3" s="1"/>
  <c r="F54" i="3" a="1"/>
  <c r="F54" i="3" s="1"/>
  <c r="F56" i="3" a="1"/>
  <c r="F56" i="3" s="1"/>
  <c r="F57" i="3" a="1"/>
  <c r="F57" i="3" s="1"/>
  <c r="F58" i="3" a="1"/>
  <c r="F58" i="3" s="1"/>
  <c r="F59" i="3" a="1"/>
  <c r="F59" i="3" s="1"/>
  <c r="F60" i="3" a="1"/>
  <c r="F60" i="3" s="1"/>
  <c r="F61" i="3" a="1"/>
  <c r="F61" i="3" s="1"/>
  <c r="F62" i="3" a="1"/>
  <c r="F62" i="3" s="1"/>
  <c r="F63" i="3" a="1"/>
  <c r="F63" i="3" s="1"/>
  <c r="F64" i="3" a="1"/>
  <c r="F64" i="3" s="1"/>
  <c r="F65" i="3" a="1"/>
  <c r="F65" i="3" s="1"/>
  <c r="F66" i="3" a="1"/>
  <c r="F66" i="3" s="1"/>
  <c r="F67" i="3" a="1"/>
  <c r="F67" i="3" s="1"/>
  <c r="F69" i="3" a="1"/>
  <c r="F69" i="3" s="1"/>
  <c r="F70" i="3" a="1"/>
  <c r="F70" i="3" s="1"/>
  <c r="F71" i="3" a="1"/>
  <c r="F71" i="3" s="1"/>
  <c r="F72" i="3" a="1"/>
  <c r="F72" i="3" s="1"/>
  <c r="F73" i="3" a="1"/>
  <c r="F73" i="3" s="1"/>
  <c r="F75" i="3" a="1"/>
  <c r="F75" i="3" s="1"/>
  <c r="F76" i="3" a="1"/>
  <c r="F76" i="3" s="1"/>
  <c r="F77" i="3" a="1"/>
  <c r="F77" i="3" s="1"/>
  <c r="F78" i="3" a="1"/>
  <c r="F78" i="3" s="1"/>
  <c r="F79" i="3" a="1"/>
  <c r="F79" i="3" s="1"/>
  <c r="F89" i="6" s="1" a="1"/>
  <c r="F89" i="6" s="1"/>
  <c r="N89" i="6" s="1"/>
  <c r="F80" i="3" a="1"/>
  <c r="F80" i="3" s="1"/>
  <c r="F81" i="3" a="1"/>
  <c r="F81" i="3" s="1"/>
  <c r="F82" i="3" a="1"/>
  <c r="F82" i="3" s="1"/>
  <c r="F83" i="3" a="1"/>
  <c r="F83" i="3" s="1"/>
  <c r="F84" i="3" a="1"/>
  <c r="F84" i="3" s="1"/>
  <c r="F85" i="3" a="1"/>
  <c r="F85" i="3" s="1"/>
  <c r="F86" i="3" a="1"/>
  <c r="F86" i="3" s="1"/>
  <c r="F87" i="3" a="1"/>
  <c r="F87" i="3" s="1"/>
  <c r="F88" i="3" a="1"/>
  <c r="F88" i="3" s="1"/>
  <c r="F89" i="3" a="1"/>
  <c r="F89" i="3" s="1"/>
  <c r="F90" i="3" a="1"/>
  <c r="F90" i="3" s="1"/>
  <c r="F91" i="3" a="1"/>
  <c r="F91" i="3" s="1"/>
  <c r="F92" i="3" a="1"/>
  <c r="F92" i="3" s="1"/>
  <c r="F93" i="3" a="1"/>
  <c r="F93" i="3" s="1"/>
  <c r="F94" i="3" a="1"/>
  <c r="F94" i="3" s="1"/>
  <c r="F95" i="3" a="1"/>
  <c r="F95" i="3" s="1"/>
  <c r="F96" i="3" a="1"/>
  <c r="F96" i="3" s="1"/>
  <c r="F97" i="3" a="1"/>
  <c r="F97" i="3" s="1"/>
  <c r="F98" i="3" a="1"/>
  <c r="F98" i="3" s="1"/>
  <c r="F99" i="3" a="1"/>
  <c r="F99" i="3" s="1"/>
  <c r="F100" i="3" a="1"/>
  <c r="F100" i="3" s="1"/>
  <c r="F101" i="3" a="1"/>
  <c r="F101" i="3" s="1"/>
  <c r="F102" i="3" a="1"/>
  <c r="F102" i="3" s="1"/>
  <c r="F103" i="3" a="1"/>
  <c r="F103" i="3" s="1"/>
  <c r="F104" i="3" a="1"/>
  <c r="F104" i="3" s="1"/>
  <c r="F105" i="3" a="1"/>
  <c r="F105" i="3" s="1"/>
  <c r="F106" i="3" a="1"/>
  <c r="F106" i="3" s="1"/>
  <c r="F107" i="3" a="1"/>
  <c r="F107" i="3" s="1"/>
  <c r="F108" i="3" a="1"/>
  <c r="F108" i="3" s="1"/>
  <c r="F109" i="3" a="1"/>
  <c r="F109" i="3" s="1"/>
  <c r="F110" i="3" a="1"/>
  <c r="F110" i="3" s="1"/>
  <c r="F111" i="3" a="1"/>
  <c r="F111" i="3" s="1"/>
  <c r="F112" i="3" a="1"/>
  <c r="F112" i="3" s="1"/>
  <c r="F113" i="3" a="1"/>
  <c r="F113" i="3" s="1"/>
  <c r="F114" i="3" a="1"/>
  <c r="F114" i="3" s="1"/>
  <c r="F115" i="3" a="1"/>
  <c r="F115" i="3" s="1"/>
  <c r="F116" i="3" a="1"/>
  <c r="F116" i="3" s="1"/>
  <c r="F117" i="3" a="1"/>
  <c r="F117" i="3" s="1"/>
  <c r="F118" i="3" a="1"/>
  <c r="F118" i="3" s="1"/>
  <c r="F119" i="3" a="1"/>
  <c r="F119" i="3" s="1"/>
  <c r="F120" i="3" a="1"/>
  <c r="F120" i="3" s="1"/>
  <c r="F121" i="3" a="1"/>
  <c r="F121" i="3" s="1"/>
  <c r="F122" i="3" a="1"/>
  <c r="F122" i="3" s="1"/>
  <c r="F123" i="3" a="1"/>
  <c r="F123" i="3" s="1"/>
  <c r="F124" i="3" a="1"/>
  <c r="F124" i="3" s="1"/>
  <c r="F125" i="3" a="1"/>
  <c r="F125" i="3" s="1"/>
  <c r="F126" i="3" a="1"/>
  <c r="F126" i="3" s="1"/>
  <c r="F127" i="3" a="1"/>
  <c r="F127" i="3" s="1"/>
  <c r="F128" i="3" a="1"/>
  <c r="F128" i="3" s="1"/>
  <c r="F129" i="3" a="1"/>
  <c r="F129" i="3" s="1"/>
  <c r="F130" i="3" a="1"/>
  <c r="F130" i="3" s="1"/>
  <c r="F131" i="3" a="1"/>
  <c r="F131" i="3" s="1"/>
  <c r="F132" i="3" a="1"/>
  <c r="F132" i="3" s="1"/>
  <c r="F133" i="3" a="1"/>
  <c r="F133" i="3" s="1"/>
  <c r="F134" i="3" a="1"/>
  <c r="F134" i="3" s="1"/>
  <c r="F136" i="3" a="1"/>
  <c r="F136" i="3" s="1"/>
  <c r="F137" i="3" a="1"/>
  <c r="F137" i="3" s="1"/>
  <c r="F138" i="3" a="1"/>
  <c r="F138" i="3" s="1"/>
  <c r="F139" i="3" a="1"/>
  <c r="F139" i="3" s="1"/>
  <c r="F140" i="3" a="1"/>
  <c r="F140" i="3" s="1"/>
  <c r="F141" i="3" a="1"/>
  <c r="F141" i="3" s="1"/>
  <c r="F142" i="3" a="1"/>
  <c r="F142" i="3" s="1"/>
  <c r="F143" i="3" a="1"/>
  <c r="F143" i="3" s="1"/>
  <c r="F144" i="3" a="1"/>
  <c r="F144" i="3" s="1"/>
  <c r="F145" i="3" a="1"/>
  <c r="F145" i="3" s="1"/>
  <c r="F146" i="3" a="1"/>
  <c r="F146" i="3" s="1"/>
  <c r="F147" i="3" a="1"/>
  <c r="F147" i="3" s="1"/>
  <c r="F148" i="3" a="1"/>
  <c r="F148" i="3" s="1"/>
  <c r="F149" i="3" a="1"/>
  <c r="F149" i="3" s="1"/>
  <c r="F150" i="3" a="1"/>
  <c r="F150" i="3" s="1"/>
  <c r="F151" i="3" a="1"/>
  <c r="F151" i="3" s="1"/>
  <c r="F152" i="3" a="1"/>
  <c r="F152" i="3" s="1"/>
  <c r="F153" i="3" a="1"/>
  <c r="F153" i="3" s="1"/>
  <c r="F154" i="3" a="1"/>
  <c r="F154" i="3" s="1"/>
  <c r="F155" i="3" a="1"/>
  <c r="F155" i="3" s="1"/>
  <c r="F156" i="3" a="1"/>
  <c r="F156" i="3" s="1"/>
  <c r="F157" i="3" a="1"/>
  <c r="F157" i="3" s="1"/>
  <c r="F158" i="3" a="1"/>
  <c r="F158" i="3" s="1"/>
  <c r="F159" i="3" a="1"/>
  <c r="F159" i="3" s="1"/>
  <c r="F160" i="3" a="1"/>
  <c r="F160" i="3" s="1"/>
  <c r="F161" i="3" a="1"/>
  <c r="F161" i="3" s="1"/>
  <c r="F162" i="3" a="1"/>
  <c r="F162" i="3" s="1"/>
  <c r="F163" i="3" a="1"/>
  <c r="F163" i="3" s="1"/>
  <c r="F164" i="3" a="1"/>
  <c r="F164" i="3" s="1"/>
  <c r="F165" i="3" a="1"/>
  <c r="F165" i="3" s="1"/>
  <c r="F166" i="3" a="1"/>
  <c r="F166" i="3" s="1"/>
  <c r="F167" i="3" a="1"/>
  <c r="F167" i="3" s="1"/>
  <c r="F168" i="3" a="1"/>
  <c r="F168" i="3" s="1"/>
  <c r="F169" i="3" a="1"/>
  <c r="F169" i="3" s="1"/>
  <c r="F170" i="3" a="1"/>
  <c r="F170" i="3" s="1"/>
  <c r="F171" i="3" a="1"/>
  <c r="F171" i="3" s="1"/>
  <c r="F172" i="3" a="1"/>
  <c r="F172" i="3" s="1"/>
  <c r="F173" i="3" a="1"/>
  <c r="F173" i="3" s="1"/>
  <c r="F174" i="3" a="1"/>
  <c r="F174" i="3" s="1"/>
  <c r="F175" i="3" a="1"/>
  <c r="F175" i="3" s="1"/>
  <c r="F176" i="3" a="1"/>
  <c r="F176" i="3" s="1"/>
  <c r="F177" i="3" a="1"/>
  <c r="F177" i="3" s="1"/>
  <c r="F178" i="3" a="1"/>
  <c r="F178" i="3" s="1"/>
  <c r="F179" i="3" a="1"/>
  <c r="F179" i="3" s="1"/>
  <c r="F180" i="3" a="1"/>
  <c r="F180" i="3" s="1"/>
  <c r="F181" i="3" a="1"/>
  <c r="F181" i="3" s="1"/>
  <c r="F182" i="3" a="1"/>
  <c r="F182" i="3" s="1"/>
  <c r="F183" i="3" a="1"/>
  <c r="F183" i="3" s="1"/>
  <c r="F184" i="3" a="1"/>
  <c r="F184" i="3" s="1"/>
  <c r="F185" i="3" a="1"/>
  <c r="F185" i="3" s="1"/>
  <c r="F186" i="3" a="1"/>
  <c r="F186" i="3" s="1"/>
  <c r="F187" i="3" a="1"/>
  <c r="F187" i="3" s="1"/>
  <c r="F188" i="3" a="1"/>
  <c r="F188" i="3" s="1"/>
  <c r="F189" i="3" a="1"/>
  <c r="F189" i="3" s="1"/>
  <c r="F190" i="3" a="1"/>
  <c r="F190" i="3" s="1"/>
  <c r="F191" i="3" a="1"/>
  <c r="F191" i="3" s="1"/>
  <c r="F192" i="3" a="1"/>
  <c r="F192" i="3" s="1"/>
  <c r="F193" i="3" a="1"/>
  <c r="F193" i="3" s="1"/>
  <c r="F194" i="3" a="1"/>
  <c r="F194" i="3" s="1"/>
  <c r="F195" i="3" a="1"/>
  <c r="F195" i="3" s="1"/>
  <c r="F196" i="3" a="1"/>
  <c r="F196" i="3" s="1"/>
  <c r="F197" i="3" a="1"/>
  <c r="F197" i="3" s="1"/>
  <c r="F198" i="3" a="1"/>
  <c r="F198" i="3" s="1"/>
  <c r="F199" i="3" a="1"/>
  <c r="F199" i="3" s="1"/>
  <c r="F200" i="3" a="1"/>
  <c r="F200" i="3" s="1"/>
  <c r="F201" i="3" a="1"/>
  <c r="F201" i="3" s="1"/>
  <c r="F202" i="3" a="1"/>
  <c r="F202" i="3" s="1"/>
  <c r="F203" i="3" a="1"/>
  <c r="F203" i="3" s="1"/>
  <c r="F204" i="3" a="1"/>
  <c r="F204" i="3" s="1"/>
  <c r="F205" i="3" a="1"/>
  <c r="F205" i="3" s="1"/>
  <c r="F206" i="3" a="1"/>
  <c r="F206" i="3" s="1"/>
  <c r="F207" i="3" a="1"/>
  <c r="F207" i="3" s="1"/>
  <c r="F208" i="3" a="1"/>
  <c r="F208" i="3" s="1"/>
  <c r="F209" i="3" a="1"/>
  <c r="F209" i="3" s="1"/>
  <c r="F210" i="3" a="1"/>
  <c r="F210" i="3" s="1"/>
  <c r="F211" i="3" a="1"/>
  <c r="F211" i="3" s="1"/>
  <c r="F212" i="3" a="1"/>
  <c r="F212" i="3" s="1"/>
  <c r="F213" i="3" a="1"/>
  <c r="F213" i="3" s="1"/>
  <c r="F214" i="3" a="1"/>
  <c r="F214" i="3" s="1"/>
  <c r="F215" i="3" a="1"/>
  <c r="F215" i="3" s="1"/>
  <c r="F216" i="3" a="1"/>
  <c r="F216" i="3" s="1"/>
  <c r="F217" i="3" a="1"/>
  <c r="F217" i="3" s="1"/>
  <c r="F218" i="3" a="1"/>
  <c r="F218" i="3" s="1"/>
  <c r="F219" i="3" a="1"/>
  <c r="F219" i="3" s="1"/>
  <c r="F220" i="3" a="1"/>
  <c r="F220" i="3" s="1"/>
  <c r="F221" i="3" a="1"/>
  <c r="F221" i="3" s="1"/>
  <c r="F222" i="3" a="1"/>
  <c r="F222" i="3" s="1"/>
  <c r="F223" i="3" a="1"/>
  <c r="F223" i="3" s="1"/>
  <c r="F224" i="3" a="1"/>
  <c r="F224" i="3" s="1"/>
  <c r="F225" i="3" a="1"/>
  <c r="F225" i="3" s="1"/>
  <c r="F226" i="3" a="1"/>
  <c r="F226" i="3" s="1"/>
  <c r="F227" i="3" a="1"/>
  <c r="F227" i="3" s="1"/>
  <c r="F228" i="3" a="1"/>
  <c r="F228" i="3" s="1"/>
  <c r="F229" i="3" a="1"/>
  <c r="F229" i="3" s="1"/>
  <c r="F230" i="3" a="1"/>
  <c r="F230" i="3" s="1"/>
  <c r="F231" i="3" a="1"/>
  <c r="F231" i="3" s="1"/>
  <c r="F232" i="3" a="1"/>
  <c r="F232" i="3" s="1"/>
  <c r="F233" i="3" a="1"/>
  <c r="F233" i="3" s="1"/>
  <c r="F234" i="3" a="1"/>
  <c r="F234" i="3" s="1"/>
  <c r="F235" i="3" a="1"/>
  <c r="F235" i="3" s="1"/>
  <c r="F236" i="3" a="1"/>
  <c r="F236" i="3" s="1"/>
  <c r="F237" i="3" a="1"/>
  <c r="F237" i="3" s="1"/>
  <c r="F238" i="3" a="1"/>
  <c r="F238" i="3" s="1"/>
  <c r="F239" i="3" a="1"/>
  <c r="F239" i="3" s="1"/>
  <c r="F240" i="3" a="1"/>
  <c r="F240" i="3" s="1"/>
  <c r="F241" i="3" a="1"/>
  <c r="F241" i="3" s="1"/>
  <c r="F242" i="3" a="1"/>
  <c r="F242" i="3" s="1"/>
  <c r="F243" i="3" a="1"/>
  <c r="F243" i="3" s="1"/>
  <c r="F244" i="3" a="1"/>
  <c r="F244" i="3" s="1"/>
  <c r="F245" i="3" a="1"/>
  <c r="F245" i="3" s="1"/>
  <c r="F246" i="3" a="1"/>
  <c r="F246" i="3" s="1"/>
  <c r="F247" i="3" a="1"/>
  <c r="F247" i="3" s="1"/>
  <c r="F248" i="3" a="1"/>
  <c r="F248" i="3" s="1"/>
  <c r="F249" i="3" a="1"/>
  <c r="F249" i="3" s="1"/>
  <c r="F250" i="3" a="1"/>
  <c r="F250" i="3" s="1"/>
  <c r="F251" i="3" a="1"/>
  <c r="F251" i="3" s="1"/>
  <c r="F252" i="3" a="1"/>
  <c r="F252" i="3" s="1"/>
  <c r="F253" i="3" a="1"/>
  <c r="F253" i="3" s="1"/>
  <c r="F254" i="3" a="1"/>
  <c r="F254" i="3" s="1"/>
  <c r="F255" i="3" a="1"/>
  <c r="F255" i="3" s="1"/>
  <c r="F256" i="3" a="1"/>
  <c r="F256" i="3" s="1"/>
  <c r="F257" i="3" a="1"/>
  <c r="F257" i="3" s="1"/>
  <c r="F258" i="3" a="1"/>
  <c r="F258" i="3" s="1"/>
  <c r="F259" i="3" a="1"/>
  <c r="F259" i="3" s="1"/>
  <c r="F260" i="3" a="1"/>
  <c r="F260" i="3" s="1"/>
  <c r="F261" i="3" a="1"/>
  <c r="F261" i="3" s="1"/>
  <c r="F262" i="3" a="1"/>
  <c r="F262" i="3" s="1"/>
  <c r="F263" i="3" a="1"/>
  <c r="F263" i="3" s="1"/>
  <c r="F264" i="3" a="1"/>
  <c r="F264" i="3" s="1"/>
  <c r="F265" i="3" a="1"/>
  <c r="F265" i="3" s="1"/>
  <c r="F266" i="3" a="1"/>
  <c r="F266" i="3" s="1"/>
  <c r="F267" i="3" a="1"/>
  <c r="F267" i="3" s="1"/>
  <c r="F268" i="3" a="1"/>
  <c r="F268" i="3" s="1"/>
  <c r="F269" i="3" a="1"/>
  <c r="F269" i="3" s="1"/>
  <c r="F270" i="3" a="1"/>
  <c r="F270" i="3" s="1"/>
  <c r="F271" i="3" a="1"/>
  <c r="F271" i="3" s="1"/>
  <c r="F272" i="3" a="1"/>
  <c r="F272" i="3" s="1"/>
  <c r="F273" i="3" a="1"/>
  <c r="F273" i="3" s="1"/>
  <c r="F274" i="3" a="1"/>
  <c r="F274" i="3" s="1"/>
  <c r="F275" i="3" a="1"/>
  <c r="F275" i="3" s="1"/>
  <c r="F276" i="3" a="1"/>
  <c r="F276" i="3" s="1"/>
  <c r="F277" i="3" a="1"/>
  <c r="F277" i="3" s="1"/>
  <c r="F278" i="3" a="1"/>
  <c r="F278" i="3" s="1"/>
  <c r="F279" i="3" a="1"/>
  <c r="F279" i="3" s="1"/>
  <c r="F280" i="3" a="1"/>
  <c r="F280" i="3" s="1"/>
  <c r="F281" i="3" a="1"/>
  <c r="F281" i="3" s="1"/>
  <c r="F282" i="3" a="1"/>
  <c r="F282" i="3" s="1"/>
  <c r="F283" i="3" a="1"/>
  <c r="F283" i="3" s="1"/>
  <c r="F284" i="3" a="1"/>
  <c r="F284" i="3" s="1"/>
  <c r="F285" i="3" a="1"/>
  <c r="F285" i="3" s="1"/>
  <c r="F286" i="3" a="1"/>
  <c r="F286" i="3" s="1"/>
  <c r="F287" i="3" a="1"/>
  <c r="F287" i="3" s="1"/>
  <c r="F288" i="3" a="1"/>
  <c r="F288" i="3" s="1"/>
  <c r="F289" i="3" a="1"/>
  <c r="F289" i="3" s="1"/>
  <c r="F290" i="3" a="1"/>
  <c r="F290" i="3" s="1"/>
  <c r="F291" i="3" a="1"/>
  <c r="F291" i="3" s="1"/>
  <c r="F292" i="3" a="1"/>
  <c r="F292" i="3" s="1"/>
  <c r="F293" i="3" a="1"/>
  <c r="F293" i="3" s="1"/>
  <c r="F294" i="3" a="1"/>
  <c r="F294" i="3" s="1"/>
  <c r="F295" i="3" a="1"/>
  <c r="F295" i="3" s="1"/>
  <c r="F296" i="3" a="1"/>
  <c r="F296" i="3" s="1"/>
  <c r="F297" i="3" a="1"/>
  <c r="F297" i="3" s="1"/>
  <c r="F298" i="3" a="1"/>
  <c r="F298" i="3" s="1"/>
  <c r="F299" i="3" a="1"/>
  <c r="F299" i="3" s="1"/>
  <c r="F300" i="3" a="1"/>
  <c r="F300" i="3" s="1"/>
  <c r="F301" i="3" a="1"/>
  <c r="F301" i="3" s="1"/>
  <c r="F302" i="3" a="1"/>
  <c r="F302" i="3" s="1"/>
  <c r="F303" i="3" a="1"/>
  <c r="F303" i="3" s="1"/>
  <c r="F304" i="3" a="1"/>
  <c r="F304" i="3" s="1"/>
  <c r="F305" i="3" a="1"/>
  <c r="F305" i="3" s="1"/>
  <c r="F306" i="3" a="1"/>
  <c r="F306" i="3" s="1"/>
  <c r="F307" i="3" a="1"/>
  <c r="F307" i="3" s="1"/>
  <c r="F308" i="3" a="1"/>
  <c r="F308" i="3" s="1"/>
  <c r="F309" i="3" a="1"/>
  <c r="F309" i="3" s="1"/>
  <c r="F310" i="3" a="1"/>
  <c r="F310" i="3" s="1"/>
  <c r="F311" i="3" a="1"/>
  <c r="F311" i="3" s="1"/>
  <c r="F312" i="3" a="1"/>
  <c r="F312" i="3" s="1"/>
  <c r="F313" i="3" a="1"/>
  <c r="F313" i="3" s="1"/>
  <c r="F314" i="3" a="1"/>
  <c r="F314" i="3" s="1"/>
  <c r="F315" i="3" a="1"/>
  <c r="F315" i="3" s="1"/>
  <c r="F316" i="3" a="1"/>
  <c r="F316" i="3" s="1"/>
  <c r="F317" i="3" a="1"/>
  <c r="F317" i="3" s="1"/>
  <c r="F318" i="3" a="1"/>
  <c r="F318" i="3" s="1"/>
  <c r="F319" i="3" a="1"/>
  <c r="F319" i="3" s="1"/>
  <c r="F320" i="3" a="1"/>
  <c r="F320" i="3" s="1"/>
  <c r="F321" i="3" a="1"/>
  <c r="F321" i="3" s="1"/>
  <c r="F322" i="3" a="1"/>
  <c r="F322" i="3" s="1"/>
  <c r="F323" i="3" a="1"/>
  <c r="F323" i="3" s="1"/>
  <c r="F324" i="3" a="1"/>
  <c r="F324" i="3" s="1"/>
  <c r="F325" i="3" a="1"/>
  <c r="F325" i="3" s="1"/>
  <c r="F326" i="3" a="1"/>
  <c r="F326" i="3" s="1"/>
  <c r="F327" i="3" a="1"/>
  <c r="F327" i="3" s="1"/>
  <c r="F328" i="3" a="1"/>
  <c r="F328" i="3" s="1"/>
  <c r="F329" i="3" a="1"/>
  <c r="F329" i="3" s="1"/>
  <c r="F330" i="3" a="1"/>
  <c r="F330" i="3" s="1"/>
  <c r="F331" i="3" a="1"/>
  <c r="F331" i="3" s="1"/>
  <c r="F332" i="3" a="1"/>
  <c r="F332" i="3" s="1"/>
  <c r="F333" i="3" a="1"/>
  <c r="F333" i="3" s="1"/>
  <c r="F334" i="3" a="1"/>
  <c r="F334" i="3" s="1"/>
  <c r="F335" i="3" a="1"/>
  <c r="F335" i="3" s="1"/>
  <c r="F336" i="3" a="1"/>
  <c r="F336" i="3" s="1"/>
  <c r="F337" i="3" a="1"/>
  <c r="F337" i="3" s="1"/>
  <c r="F338" i="3" a="1"/>
  <c r="F338" i="3" s="1"/>
  <c r="F339" i="3" a="1"/>
  <c r="F339" i="3" s="1"/>
  <c r="F340" i="3" a="1"/>
  <c r="F340" i="3" s="1"/>
  <c r="F341" i="3" a="1"/>
  <c r="F341" i="3" s="1"/>
  <c r="F342" i="3" a="1"/>
  <c r="F342" i="3" s="1"/>
  <c r="F343" i="3" a="1"/>
  <c r="F343" i="3" s="1"/>
  <c r="F344" i="3" a="1"/>
  <c r="F344" i="3" s="1"/>
  <c r="F345" i="3" a="1"/>
  <c r="F345" i="3" s="1"/>
  <c r="F346" i="3" a="1"/>
  <c r="F346" i="3" s="1"/>
  <c r="F347" i="3" a="1"/>
  <c r="F347" i="3" s="1"/>
  <c r="F348" i="3" a="1"/>
  <c r="F348" i="3" s="1"/>
  <c r="F349" i="3" a="1"/>
  <c r="F349" i="3" s="1"/>
  <c r="F350" i="3" a="1"/>
  <c r="F350" i="3" s="1"/>
  <c r="F351" i="3" a="1"/>
  <c r="F351" i="3" s="1"/>
  <c r="F352" i="3" a="1"/>
  <c r="F352" i="3" s="1"/>
  <c r="F353" i="3" a="1"/>
  <c r="F353" i="3" s="1"/>
  <c r="F96" i="6" s="1" a="1"/>
  <c r="F96" i="6" s="1"/>
  <c r="N96" i="6" s="1"/>
  <c r="F354" i="3" a="1"/>
  <c r="F354" i="3" s="1"/>
  <c r="F355" i="3" a="1"/>
  <c r="F355" i="3" s="1"/>
  <c r="F356" i="3" a="1"/>
  <c r="F356" i="3" s="1"/>
  <c r="F357" i="3" a="1"/>
  <c r="F357" i="3" s="1"/>
  <c r="F358" i="3" a="1"/>
  <c r="F358" i="3" s="1"/>
  <c r="F359" i="3" a="1"/>
  <c r="F359" i="3" s="1"/>
  <c r="F360" i="3" a="1"/>
  <c r="F360" i="3" s="1"/>
  <c r="F361" i="3" a="1"/>
  <c r="F361" i="3" s="1"/>
  <c r="F362" i="3" a="1"/>
  <c r="F362" i="3" s="1"/>
  <c r="F363" i="3" a="1"/>
  <c r="F363" i="3" s="1"/>
  <c r="F364" i="3" a="1"/>
  <c r="F364" i="3" s="1"/>
  <c r="F365" i="3" a="1"/>
  <c r="F365" i="3" s="1"/>
  <c r="F366" i="3" a="1"/>
  <c r="F366" i="3" s="1"/>
  <c r="F367" i="3" a="1"/>
  <c r="F367" i="3" s="1"/>
  <c r="F368" i="3" a="1"/>
  <c r="F368" i="3" s="1"/>
  <c r="F369" i="3" a="1"/>
  <c r="F369" i="3" s="1"/>
  <c r="F370" i="3" a="1"/>
  <c r="F370" i="3" s="1"/>
  <c r="F371" i="3" a="1"/>
  <c r="F371" i="3" s="1"/>
  <c r="F372" i="3" a="1"/>
  <c r="F372" i="3" s="1"/>
  <c r="F373" i="3" a="1"/>
  <c r="F373" i="3" s="1"/>
  <c r="F374" i="3" a="1"/>
  <c r="F374" i="3" s="1"/>
  <c r="F375" i="3" a="1"/>
  <c r="F375" i="3" s="1"/>
  <c r="F376" i="3" a="1"/>
  <c r="F376" i="3" s="1"/>
  <c r="F377" i="3" a="1"/>
  <c r="F377" i="3" s="1"/>
  <c r="F378" i="3" a="1"/>
  <c r="F378" i="3" s="1"/>
  <c r="F379" i="3" a="1"/>
  <c r="F379" i="3" s="1"/>
  <c r="F380" i="3" a="1"/>
  <c r="F380" i="3" s="1"/>
  <c r="F381" i="3" a="1"/>
  <c r="F381" i="3" s="1"/>
  <c r="F382" i="3" a="1"/>
  <c r="F382" i="3" s="1"/>
  <c r="F90" i="6" s="1" a="1"/>
  <c r="F90" i="6" s="1"/>
  <c r="N90" i="6" s="1"/>
  <c r="F383" i="3" a="1"/>
  <c r="F383" i="3" s="1"/>
  <c r="F384" i="3" a="1"/>
  <c r="F384" i="3" s="1"/>
  <c r="F385" i="3" a="1"/>
  <c r="F385" i="3" s="1"/>
  <c r="F386" i="3" a="1"/>
  <c r="F386" i="3" s="1"/>
  <c r="F387" i="3" a="1"/>
  <c r="F387" i="3" s="1"/>
  <c r="F388" i="3" a="1"/>
  <c r="F388" i="3" s="1"/>
  <c r="F389" i="3" a="1"/>
  <c r="F389" i="3" s="1"/>
  <c r="F390" i="3" a="1"/>
  <c r="F390" i="3" s="1"/>
  <c r="F391" i="3" a="1"/>
  <c r="F391" i="3" s="1"/>
  <c r="F392" i="3" a="1"/>
  <c r="F392" i="3" s="1"/>
  <c r="F393" i="3" a="1"/>
  <c r="F393" i="3" s="1"/>
  <c r="F394" i="3" a="1"/>
  <c r="F394" i="3" s="1"/>
  <c r="F395" i="3" a="1"/>
  <c r="F395" i="3" s="1"/>
  <c r="F396" i="3" a="1"/>
  <c r="F396" i="3" s="1"/>
  <c r="F397" i="3" a="1"/>
  <c r="F397" i="3" s="1"/>
  <c r="F398" i="3" a="1"/>
  <c r="F398" i="3" s="1"/>
  <c r="F399" i="3" a="1"/>
  <c r="F399" i="3" s="1"/>
  <c r="F400" i="3" a="1"/>
  <c r="F400" i="3" s="1"/>
  <c r="F401" i="3" a="1"/>
  <c r="F401" i="3" s="1"/>
  <c r="F402" i="3" a="1"/>
  <c r="F402" i="3" s="1"/>
  <c r="F403" i="3" a="1"/>
  <c r="F403" i="3" s="1"/>
  <c r="F404" i="3" a="1"/>
  <c r="F404" i="3" s="1"/>
  <c r="F405" i="3" a="1"/>
  <c r="F405" i="3" s="1"/>
  <c r="F406" i="3" a="1"/>
  <c r="F406" i="3" s="1"/>
  <c r="F407" i="3" a="1"/>
  <c r="F407" i="3" s="1"/>
  <c r="F408" i="3" a="1"/>
  <c r="F408" i="3" s="1"/>
  <c r="F409" i="3" a="1"/>
  <c r="F409" i="3" s="1"/>
  <c r="F410" i="3" a="1"/>
  <c r="F410" i="3" s="1"/>
  <c r="F411" i="3" a="1"/>
  <c r="F411" i="3" s="1"/>
  <c r="F412" i="3" a="1"/>
  <c r="F412" i="3" s="1"/>
  <c r="F413" i="3" a="1"/>
  <c r="F413" i="3" s="1"/>
  <c r="F414" i="3" a="1"/>
  <c r="F414" i="3" s="1"/>
  <c r="F415" i="3" a="1"/>
  <c r="F415" i="3" s="1"/>
  <c r="F416" i="3" a="1"/>
  <c r="F416" i="3" s="1"/>
  <c r="F417" i="3" a="1"/>
  <c r="F417" i="3" s="1"/>
  <c r="F418" i="3" a="1"/>
  <c r="F418" i="3" s="1"/>
  <c r="F419" i="3" a="1"/>
  <c r="F419" i="3" s="1"/>
  <c r="F420" i="3" a="1"/>
  <c r="F420" i="3" s="1"/>
  <c r="F421" i="3" a="1"/>
  <c r="F421" i="3" s="1"/>
  <c r="F422" i="3" a="1"/>
  <c r="F422" i="3" s="1"/>
  <c r="F423" i="3" a="1"/>
  <c r="F423" i="3" s="1"/>
  <c r="F424" i="3" a="1"/>
  <c r="F424" i="3" s="1"/>
  <c r="F425" i="3" a="1"/>
  <c r="F425" i="3" s="1"/>
  <c r="F426" i="3" a="1"/>
  <c r="F426" i="3" s="1"/>
  <c r="F427" i="3" a="1"/>
  <c r="F427" i="3" s="1"/>
  <c r="F428" i="3" a="1"/>
  <c r="F428" i="3" s="1"/>
  <c r="F429" i="3" a="1"/>
  <c r="F429" i="3" s="1"/>
  <c r="F430" i="3" a="1"/>
  <c r="F430" i="3" s="1"/>
  <c r="F431" i="3" a="1"/>
  <c r="F431" i="3" s="1"/>
  <c r="F432" i="3" a="1"/>
  <c r="F432" i="3" s="1"/>
  <c r="F433" i="3" a="1"/>
  <c r="F433" i="3" s="1"/>
  <c r="F434" i="3" a="1"/>
  <c r="F434" i="3" s="1"/>
  <c r="F435" i="3" a="1"/>
  <c r="F435" i="3" s="1"/>
  <c r="F436" i="3" a="1"/>
  <c r="F436" i="3" s="1"/>
  <c r="F91" i="6" s="1" a="1"/>
  <c r="F91" i="6" s="1"/>
  <c r="N91" i="6" s="1"/>
  <c r="I91" i="6" s="1" a="1"/>
  <c r="I91" i="6" s="1"/>
  <c r="K91" i="6" s="1"/>
  <c r="F437" i="3" a="1"/>
  <c r="F437" i="3" s="1"/>
  <c r="F438" i="3" a="1"/>
  <c r="F438" i="3" s="1"/>
  <c r="F439" i="3" a="1"/>
  <c r="F439" i="3" s="1"/>
  <c r="F440" i="3" a="1"/>
  <c r="F440" i="3" s="1"/>
  <c r="F441" i="3" a="1"/>
  <c r="F441" i="3" s="1"/>
  <c r="F442" i="3" a="1"/>
  <c r="F442" i="3" s="1"/>
  <c r="F443" i="3" a="1"/>
  <c r="F443" i="3" s="1"/>
  <c r="F444" i="3" a="1"/>
  <c r="F444" i="3" s="1"/>
  <c r="F445" i="3" a="1"/>
  <c r="F445" i="3" s="1"/>
  <c r="F446" i="3" a="1"/>
  <c r="F446" i="3" s="1"/>
  <c r="F447" i="3" a="1"/>
  <c r="F447" i="3" s="1"/>
  <c r="F448" i="3" a="1"/>
  <c r="F448" i="3" s="1"/>
  <c r="F449" i="3" a="1"/>
  <c r="F449" i="3" s="1"/>
  <c r="F450" i="3" a="1"/>
  <c r="F450" i="3" s="1"/>
  <c r="F451" i="3" a="1"/>
  <c r="F451" i="3" s="1"/>
  <c r="F452" i="3" a="1"/>
  <c r="F452" i="3" s="1"/>
  <c r="F453" i="3" a="1"/>
  <c r="F453" i="3" s="1"/>
  <c r="F454" i="3" a="1"/>
  <c r="F454" i="3" s="1"/>
  <c r="F455" i="3" a="1"/>
  <c r="F455" i="3" s="1"/>
  <c r="F456" i="3" a="1"/>
  <c r="F456" i="3" s="1"/>
  <c r="F457" i="3" a="1"/>
  <c r="F457" i="3" s="1"/>
  <c r="F458" i="3" a="1"/>
  <c r="F458" i="3" s="1"/>
  <c r="F459" i="3" a="1"/>
  <c r="F459" i="3" s="1"/>
  <c r="F460" i="3" a="1"/>
  <c r="F460" i="3" s="1"/>
  <c r="F461" i="3" a="1"/>
  <c r="F461" i="3" s="1"/>
  <c r="F462" i="3" a="1"/>
  <c r="F462" i="3" s="1"/>
  <c r="F463" i="3" a="1"/>
  <c r="F463" i="3" s="1"/>
  <c r="F464" i="3" a="1"/>
  <c r="F464" i="3" s="1"/>
  <c r="F465" i="3" a="1"/>
  <c r="F465" i="3" s="1"/>
  <c r="F466" i="3" a="1"/>
  <c r="F466" i="3" s="1"/>
  <c r="F467" i="3" a="1"/>
  <c r="F467" i="3" s="1"/>
  <c r="F468" i="3" a="1"/>
  <c r="F468" i="3" s="1"/>
  <c r="F469" i="3" a="1"/>
  <c r="F469" i="3" s="1"/>
  <c r="F470" i="3" a="1"/>
  <c r="F470" i="3" s="1"/>
  <c r="F471" i="3" a="1"/>
  <c r="F471" i="3" s="1"/>
  <c r="F472" i="3" a="1"/>
  <c r="F472" i="3" s="1"/>
  <c r="F473" i="3" a="1"/>
  <c r="F473" i="3" s="1"/>
  <c r="F474" i="3" a="1"/>
  <c r="F474" i="3" s="1"/>
  <c r="F475" i="3" a="1"/>
  <c r="F475" i="3" s="1"/>
  <c r="F476" i="3" a="1"/>
  <c r="F476" i="3" s="1"/>
  <c r="F477" i="3" a="1"/>
  <c r="F477" i="3" s="1"/>
  <c r="F478" i="3" a="1"/>
  <c r="F478" i="3" s="1"/>
  <c r="F479" i="3" a="1"/>
  <c r="F479" i="3" s="1"/>
  <c r="F480" i="3" a="1"/>
  <c r="F480" i="3" s="1"/>
  <c r="F481" i="3" a="1"/>
  <c r="F481" i="3" s="1"/>
  <c r="F482" i="3" a="1"/>
  <c r="F482" i="3" s="1"/>
  <c r="F483" i="3" a="1"/>
  <c r="F483" i="3" s="1"/>
  <c r="F484" i="3" a="1"/>
  <c r="F484" i="3" s="1"/>
  <c r="F485" i="3" a="1"/>
  <c r="F485" i="3" s="1"/>
  <c r="F486" i="3" a="1"/>
  <c r="F486" i="3" s="1"/>
  <c r="F487" i="3" a="1"/>
  <c r="F487" i="3" s="1"/>
  <c r="F488" i="3" a="1"/>
  <c r="F488" i="3" s="1"/>
  <c r="F489" i="3" a="1"/>
  <c r="F489" i="3" s="1"/>
  <c r="F490" i="3" a="1"/>
  <c r="F490" i="3" s="1"/>
  <c r="F491" i="3" a="1"/>
  <c r="F491" i="3" s="1"/>
  <c r="F492" i="3" a="1"/>
  <c r="F492" i="3" s="1"/>
  <c r="F493" i="3" a="1"/>
  <c r="F493" i="3" s="1"/>
  <c r="F494" i="3" a="1"/>
  <c r="F494" i="3" s="1"/>
  <c r="F495" i="3" a="1"/>
  <c r="F495" i="3" s="1"/>
  <c r="F496" i="3" a="1"/>
  <c r="F496" i="3" s="1"/>
  <c r="F497" i="3" a="1"/>
  <c r="F497" i="3" s="1"/>
  <c r="F498" i="3" a="1"/>
  <c r="F498" i="3" s="1"/>
  <c r="F499" i="3" a="1"/>
  <c r="F499" i="3" s="1"/>
  <c r="F500" i="3" a="1"/>
  <c r="F500" i="3" s="1"/>
  <c r="F501" i="3" a="1"/>
  <c r="F501" i="3" s="1"/>
  <c r="F502" i="3" a="1"/>
  <c r="F502" i="3" s="1"/>
  <c r="F503" i="3" a="1"/>
  <c r="F503" i="3" s="1"/>
  <c r="F504" i="3" a="1"/>
  <c r="F504" i="3" s="1"/>
  <c r="F505" i="3" a="1"/>
  <c r="F505" i="3" s="1"/>
  <c r="F506" i="3" a="1"/>
  <c r="F506" i="3" s="1"/>
  <c r="F507" i="3" a="1"/>
  <c r="F507" i="3" s="1"/>
  <c r="F508" i="3" a="1"/>
  <c r="F508" i="3" s="1"/>
  <c r="F509" i="3" a="1"/>
  <c r="F509" i="3" s="1"/>
  <c r="F510" i="3" a="1"/>
  <c r="F510" i="3" s="1"/>
  <c r="F511" i="3" a="1"/>
  <c r="F511" i="3" s="1"/>
  <c r="F512" i="3" a="1"/>
  <c r="F512" i="3" s="1"/>
  <c r="F513" i="3" a="1"/>
  <c r="F513" i="3" s="1"/>
  <c r="F514" i="3" a="1"/>
  <c r="F514" i="3" s="1"/>
  <c r="F515" i="3" a="1"/>
  <c r="F515" i="3" s="1"/>
  <c r="F516" i="3" a="1"/>
  <c r="F516" i="3" s="1"/>
  <c r="F517" i="3" a="1"/>
  <c r="F517" i="3" s="1"/>
  <c r="F518" i="3" a="1"/>
  <c r="F518" i="3" s="1"/>
  <c r="F519" i="3" a="1"/>
  <c r="F519" i="3" s="1"/>
  <c r="F520" i="3" a="1"/>
  <c r="F520" i="3" s="1"/>
  <c r="F521" i="3" a="1"/>
  <c r="F521" i="3" s="1"/>
  <c r="F522" i="3" a="1"/>
  <c r="F522" i="3" s="1"/>
  <c r="F523" i="3" a="1"/>
  <c r="F523" i="3" s="1"/>
  <c r="F524" i="3" a="1"/>
  <c r="F524" i="3" s="1"/>
  <c r="F525" i="3" a="1"/>
  <c r="F525" i="3" s="1"/>
  <c r="F526" i="3" a="1"/>
  <c r="F526" i="3" s="1"/>
  <c r="F527" i="3" a="1"/>
  <c r="F527" i="3" s="1"/>
  <c r="F528" i="3" a="1"/>
  <c r="F528" i="3" s="1"/>
  <c r="F529" i="3" a="1"/>
  <c r="F529" i="3" s="1"/>
  <c r="F530" i="3" a="1"/>
  <c r="F530" i="3" s="1"/>
  <c r="F531" i="3" a="1"/>
  <c r="F531" i="3" s="1"/>
  <c r="F532" i="3" a="1"/>
  <c r="F532" i="3" s="1"/>
  <c r="F533" i="3" a="1"/>
  <c r="F533" i="3" s="1"/>
  <c r="F535" i="3" a="1"/>
  <c r="F535" i="3" s="1"/>
  <c r="F536" i="3" a="1"/>
  <c r="F536" i="3" s="1"/>
  <c r="F537" i="3" a="1"/>
  <c r="F537" i="3" s="1"/>
  <c r="F538" i="3" a="1"/>
  <c r="F538" i="3" s="1"/>
  <c r="F539" i="3" a="1"/>
  <c r="F539" i="3" s="1"/>
  <c r="F119" i="6" s="1" a="1"/>
  <c r="F119" i="6" s="1"/>
  <c r="N119" i="6" s="1"/>
  <c r="F540" i="3" a="1"/>
  <c r="F540" i="3" s="1"/>
  <c r="F541" i="3" a="1"/>
  <c r="F541" i="3" s="1"/>
  <c r="F542" i="3" a="1"/>
  <c r="F542" i="3" s="1"/>
  <c r="F544" i="3" a="1"/>
  <c r="F544" i="3" s="1"/>
  <c r="F545" i="3" a="1"/>
  <c r="F545" i="3" s="1"/>
  <c r="F546" i="3" a="1"/>
  <c r="F546" i="3" s="1"/>
  <c r="F547" i="3" a="1"/>
  <c r="F547" i="3" s="1"/>
  <c r="F548" i="3" a="1"/>
  <c r="F548" i="3" s="1"/>
  <c r="F549" i="3" a="1"/>
  <c r="F549" i="3" s="1"/>
  <c r="F550" i="3" a="1"/>
  <c r="F550" i="3" s="1"/>
  <c r="F551" i="3" a="1"/>
  <c r="F551" i="3" s="1"/>
  <c r="F552" i="3" a="1"/>
  <c r="F552" i="3" s="1"/>
  <c r="F553" i="3" a="1"/>
  <c r="F553" i="3" s="1"/>
  <c r="F554" i="3" a="1"/>
  <c r="F554" i="3" s="1"/>
  <c r="F92" i="6" s="1" a="1"/>
  <c r="F92" i="6" s="1"/>
  <c r="N92" i="6" s="1"/>
  <c r="F555" i="3" a="1"/>
  <c r="F555" i="3" s="1"/>
  <c r="F556" i="3" a="1"/>
  <c r="F556" i="3" s="1"/>
  <c r="F557" i="3" a="1"/>
  <c r="F557" i="3" s="1"/>
  <c r="F558" i="3" a="1"/>
  <c r="F558" i="3" s="1"/>
  <c r="F559" i="3" a="1"/>
  <c r="F559" i="3" s="1"/>
  <c r="F560" i="3" a="1"/>
  <c r="F560" i="3" s="1"/>
  <c r="F561" i="3" a="1"/>
  <c r="F561" i="3" s="1"/>
  <c r="F562" i="3" a="1"/>
  <c r="F562" i="3" s="1"/>
  <c r="F563" i="3" a="1"/>
  <c r="F563" i="3" s="1"/>
  <c r="F564" i="3" a="1"/>
  <c r="F564" i="3" s="1"/>
  <c r="F565" i="3" a="1"/>
  <c r="F565" i="3" s="1"/>
  <c r="F566" i="3" a="1"/>
  <c r="F566" i="3" s="1"/>
  <c r="F567" i="3" a="1"/>
  <c r="F567" i="3" s="1"/>
  <c r="F568" i="3" a="1"/>
  <c r="F568" i="3" s="1"/>
  <c r="F569" i="3" a="1"/>
  <c r="F569" i="3" s="1"/>
  <c r="F570" i="3" a="1"/>
  <c r="F570" i="3" s="1"/>
  <c r="F571" i="3" a="1"/>
  <c r="F571" i="3" s="1"/>
  <c r="F572" i="3" a="1"/>
  <c r="F572" i="3" s="1"/>
  <c r="F573" i="3" a="1"/>
  <c r="F573" i="3" s="1"/>
  <c r="F574" i="3" a="1"/>
  <c r="F574" i="3" s="1"/>
  <c r="F575" i="3" a="1"/>
  <c r="F575" i="3" s="1"/>
  <c r="F576" i="3" a="1"/>
  <c r="F576" i="3" s="1"/>
  <c r="F577" i="3" a="1"/>
  <c r="F577" i="3" s="1"/>
  <c r="F578" i="3" a="1"/>
  <c r="F578" i="3" s="1"/>
  <c r="F579" i="3" a="1"/>
  <c r="F579" i="3" s="1"/>
  <c r="F580" i="3" a="1"/>
  <c r="F580" i="3" s="1"/>
  <c r="F581" i="3" a="1"/>
  <c r="F581" i="3" s="1"/>
  <c r="F582" i="3" a="1"/>
  <c r="F582" i="3" s="1"/>
  <c r="F583" i="3" a="1"/>
  <c r="F583" i="3" s="1"/>
  <c r="F584" i="3" a="1"/>
  <c r="F584" i="3" s="1"/>
  <c r="F585" i="3" a="1"/>
  <c r="F585" i="3" s="1"/>
  <c r="F586" i="3" a="1"/>
  <c r="F586" i="3" s="1"/>
  <c r="F587" i="3" a="1"/>
  <c r="F587" i="3" s="1"/>
  <c r="F588" i="3" a="1"/>
  <c r="F588" i="3" s="1"/>
  <c r="F589" i="3" a="1"/>
  <c r="F589" i="3" s="1"/>
  <c r="F590" i="3" a="1"/>
  <c r="F590" i="3" s="1"/>
  <c r="F591" i="3" a="1"/>
  <c r="F591" i="3" s="1"/>
  <c r="F592" i="3" a="1"/>
  <c r="F592" i="3" s="1"/>
  <c r="F593" i="3" a="1"/>
  <c r="F593" i="3" s="1"/>
  <c r="F594" i="3" a="1"/>
  <c r="F594" i="3" s="1"/>
  <c r="F595" i="3" a="1"/>
  <c r="F595" i="3" s="1"/>
  <c r="F596" i="3" a="1"/>
  <c r="F596" i="3" s="1"/>
  <c r="F597" i="3" a="1"/>
  <c r="F597" i="3" s="1"/>
  <c r="F598" i="3" a="1"/>
  <c r="F598" i="3" s="1"/>
  <c r="F599" i="3" a="1"/>
  <c r="F599" i="3" s="1"/>
  <c r="F600" i="3" a="1"/>
  <c r="F600" i="3" s="1"/>
  <c r="F601" i="3" a="1"/>
  <c r="F601" i="3" s="1"/>
  <c r="F602" i="3" a="1"/>
  <c r="F602" i="3" s="1"/>
  <c r="F603" i="3" a="1"/>
  <c r="F603" i="3" s="1"/>
  <c r="F604" i="3" a="1"/>
  <c r="F604" i="3" s="1"/>
  <c r="F605" i="3" a="1"/>
  <c r="F605" i="3" s="1"/>
  <c r="F606" i="3" a="1"/>
  <c r="F606" i="3" s="1"/>
  <c r="F607" i="3" a="1"/>
  <c r="F607" i="3" s="1"/>
  <c r="F608" i="3" a="1"/>
  <c r="F608" i="3" s="1"/>
  <c r="F609" i="3" a="1"/>
  <c r="F609" i="3" s="1"/>
  <c r="F610" i="3" a="1"/>
  <c r="F610" i="3" s="1"/>
  <c r="F611" i="3" a="1"/>
  <c r="F611" i="3" s="1"/>
  <c r="F612" i="3" a="1"/>
  <c r="F612" i="3" s="1"/>
  <c r="F613" i="3" a="1"/>
  <c r="F613" i="3" s="1"/>
  <c r="F614" i="3" a="1"/>
  <c r="F614" i="3" s="1"/>
  <c r="F615" i="3" a="1"/>
  <c r="F615" i="3" s="1"/>
  <c r="F616" i="3" a="1"/>
  <c r="F616" i="3" s="1"/>
  <c r="F617" i="3" a="1"/>
  <c r="F617" i="3" s="1"/>
  <c r="F618" i="3" a="1"/>
  <c r="F618" i="3" s="1"/>
  <c r="F619" i="3" a="1"/>
  <c r="F619" i="3" s="1"/>
  <c r="F620" i="3" a="1"/>
  <c r="F620" i="3" s="1"/>
  <c r="F621" i="3" a="1"/>
  <c r="F621" i="3" s="1"/>
  <c r="F622" i="3" a="1"/>
  <c r="F622" i="3" s="1"/>
  <c r="F623" i="3" a="1"/>
  <c r="F623" i="3" s="1"/>
  <c r="F624" i="3" a="1"/>
  <c r="F624" i="3" s="1"/>
  <c r="F625" i="3" a="1"/>
  <c r="F625" i="3" s="1"/>
  <c r="F626" i="3" a="1"/>
  <c r="F626" i="3" s="1"/>
  <c r="F627" i="3" a="1"/>
  <c r="F627" i="3" s="1"/>
  <c r="F628" i="3" a="1"/>
  <c r="F628" i="3" s="1"/>
  <c r="F629" i="3" a="1"/>
  <c r="F629" i="3" s="1"/>
  <c r="F630" i="3" a="1"/>
  <c r="F630" i="3" s="1"/>
  <c r="F631" i="3" a="1"/>
  <c r="F631" i="3" s="1"/>
  <c r="F632" i="3" a="1"/>
  <c r="F632" i="3" s="1"/>
  <c r="F633" i="3" a="1"/>
  <c r="F633" i="3" s="1"/>
  <c r="F634" i="3" a="1"/>
  <c r="F634" i="3" s="1"/>
  <c r="F635" i="3" a="1"/>
  <c r="F635" i="3" s="1"/>
  <c r="F636" i="3" a="1"/>
  <c r="F636" i="3" s="1"/>
  <c r="F637" i="3" a="1"/>
  <c r="F637" i="3" s="1"/>
  <c r="F638" i="3" a="1"/>
  <c r="F638" i="3" s="1"/>
  <c r="F639" i="3" a="1"/>
  <c r="F639" i="3" s="1"/>
  <c r="F640" i="3" a="1"/>
  <c r="F640" i="3" s="1"/>
  <c r="F641" i="3" a="1"/>
  <c r="F641" i="3" s="1"/>
  <c r="F642" i="3" a="1"/>
  <c r="F642" i="3" s="1"/>
  <c r="F643" i="3" a="1"/>
  <c r="F643" i="3" s="1"/>
  <c r="F644" i="3" a="1"/>
  <c r="F644" i="3" s="1"/>
  <c r="F645" i="3" a="1"/>
  <c r="F645" i="3" s="1"/>
  <c r="F646" i="3" a="1"/>
  <c r="F646" i="3" s="1"/>
  <c r="F647" i="3" a="1"/>
  <c r="F647" i="3" s="1"/>
  <c r="F648" i="3" a="1"/>
  <c r="F648" i="3" s="1"/>
  <c r="F649" i="3" a="1"/>
  <c r="F649" i="3" s="1"/>
  <c r="F650" i="3" a="1"/>
  <c r="F650" i="3" s="1"/>
  <c r="F651" i="3" a="1"/>
  <c r="F651" i="3" s="1"/>
  <c r="F652" i="3" a="1"/>
  <c r="F652" i="3" s="1"/>
  <c r="F653" i="3" a="1"/>
  <c r="F653" i="3" s="1"/>
  <c r="F654" i="3" a="1"/>
  <c r="F654" i="3" s="1"/>
  <c r="F655" i="3" a="1"/>
  <c r="F655" i="3" s="1"/>
  <c r="F656" i="3" a="1"/>
  <c r="F656" i="3" s="1"/>
  <c r="F657" i="3" a="1"/>
  <c r="F657" i="3" s="1"/>
  <c r="F658" i="3" a="1"/>
  <c r="F658" i="3" s="1"/>
  <c r="F659" i="3" a="1"/>
  <c r="F659" i="3" s="1"/>
  <c r="F660" i="3" a="1"/>
  <c r="F660" i="3" s="1"/>
  <c r="F661" i="3" a="1"/>
  <c r="F661" i="3" s="1"/>
  <c r="F662" i="3" a="1"/>
  <c r="F662" i="3" s="1"/>
  <c r="F663" i="3" a="1"/>
  <c r="F663" i="3" s="1"/>
  <c r="F664" i="3" a="1"/>
  <c r="F664" i="3" s="1"/>
  <c r="F665" i="3" a="1"/>
  <c r="F665" i="3" s="1"/>
  <c r="F666" i="3" a="1"/>
  <c r="F666" i="3" s="1"/>
  <c r="F667" i="3" a="1"/>
  <c r="F667" i="3" s="1"/>
  <c r="F668" i="3" a="1"/>
  <c r="F668" i="3" s="1"/>
  <c r="F669" i="3" a="1"/>
  <c r="F669" i="3" s="1"/>
  <c r="F670" i="3" a="1"/>
  <c r="F670" i="3" s="1"/>
  <c r="F671" i="3" a="1"/>
  <c r="F671" i="3" s="1"/>
  <c r="F672" i="3" a="1"/>
  <c r="F672" i="3" s="1"/>
  <c r="F673" i="3" a="1"/>
  <c r="F673" i="3" s="1"/>
  <c r="F674" i="3" a="1"/>
  <c r="F674" i="3" s="1"/>
  <c r="F675" i="3" a="1"/>
  <c r="F675" i="3" s="1"/>
  <c r="F676" i="3" a="1"/>
  <c r="F676" i="3" s="1"/>
  <c r="F677" i="3" a="1"/>
  <c r="F677" i="3" s="1"/>
  <c r="F678" i="3" a="1"/>
  <c r="F678" i="3" s="1"/>
  <c r="F679" i="3" a="1"/>
  <c r="F679" i="3" s="1"/>
  <c r="F680" i="3" a="1"/>
  <c r="F680" i="3" s="1"/>
  <c r="F681" i="3" a="1"/>
  <c r="F681" i="3" s="1"/>
  <c r="F682" i="3" a="1"/>
  <c r="F682" i="3" s="1"/>
  <c r="F683" i="3" a="1"/>
  <c r="F683" i="3" s="1"/>
  <c r="F684" i="3" a="1"/>
  <c r="F684" i="3" s="1"/>
  <c r="F685" i="3" a="1"/>
  <c r="F685" i="3" s="1"/>
  <c r="F686" i="3" a="1"/>
  <c r="F686" i="3" s="1"/>
  <c r="F687" i="3" a="1"/>
  <c r="F687" i="3" s="1"/>
  <c r="F688" i="3" a="1"/>
  <c r="F688" i="3" s="1"/>
  <c r="F689" i="3" a="1"/>
  <c r="F689" i="3" s="1"/>
  <c r="F690" i="3" a="1"/>
  <c r="F690" i="3" s="1"/>
  <c r="F691" i="3" a="1"/>
  <c r="F691" i="3" s="1"/>
  <c r="F692" i="3" a="1"/>
  <c r="F692" i="3" s="1"/>
  <c r="F693" i="3" a="1"/>
  <c r="F693" i="3" s="1"/>
  <c r="F694" i="3" a="1"/>
  <c r="F694" i="3" s="1"/>
  <c r="F695" i="3" a="1"/>
  <c r="F695" i="3" s="1"/>
  <c r="F696" i="3" a="1"/>
  <c r="F696" i="3" s="1"/>
  <c r="F697" i="3" a="1"/>
  <c r="F697" i="3" s="1"/>
  <c r="F698" i="3" a="1"/>
  <c r="F698" i="3" s="1"/>
  <c r="F699" i="3" a="1"/>
  <c r="F699" i="3" s="1"/>
  <c r="F700" i="3" a="1"/>
  <c r="F700" i="3" s="1"/>
  <c r="F701" i="3" a="1"/>
  <c r="F701" i="3" s="1"/>
  <c r="F702" i="3" a="1"/>
  <c r="F702" i="3" s="1"/>
  <c r="F703" i="3" a="1"/>
  <c r="F703" i="3" s="1"/>
  <c r="F704" i="3" a="1"/>
  <c r="F704" i="3" s="1"/>
  <c r="F705" i="3" a="1"/>
  <c r="F705" i="3" s="1"/>
  <c r="F706" i="3" a="1"/>
  <c r="F706" i="3" s="1"/>
  <c r="F707" i="3" a="1"/>
  <c r="F707" i="3" s="1"/>
  <c r="F708" i="3" a="1"/>
  <c r="F708" i="3" s="1"/>
  <c r="F709" i="3" a="1"/>
  <c r="F709" i="3" s="1"/>
  <c r="F710" i="3" a="1"/>
  <c r="F710" i="3" s="1"/>
  <c r="F711" i="3" a="1"/>
  <c r="F711" i="3" s="1"/>
  <c r="F712" i="3" a="1"/>
  <c r="F712" i="3" s="1"/>
  <c r="F713" i="3" a="1"/>
  <c r="F713" i="3" s="1"/>
  <c r="F714" i="3" a="1"/>
  <c r="F714" i="3" s="1"/>
  <c r="F715" i="3" a="1"/>
  <c r="F715" i="3" s="1"/>
  <c r="F716" i="3" a="1"/>
  <c r="F716" i="3" s="1"/>
  <c r="F717" i="3" a="1"/>
  <c r="F717" i="3" s="1"/>
  <c r="F718" i="3" a="1"/>
  <c r="F718" i="3" s="1"/>
  <c r="F719" i="3" a="1"/>
  <c r="F719" i="3" s="1"/>
  <c r="F720" i="3" a="1"/>
  <c r="F720" i="3" s="1"/>
  <c r="F721" i="3" a="1"/>
  <c r="F721" i="3" s="1"/>
  <c r="F722" i="3" a="1"/>
  <c r="F722" i="3" s="1"/>
  <c r="F723" i="3" a="1"/>
  <c r="F723" i="3" s="1"/>
  <c r="F724" i="3" a="1"/>
  <c r="F724" i="3" s="1"/>
  <c r="F725" i="3" a="1"/>
  <c r="F725" i="3" s="1"/>
  <c r="F726" i="3" a="1"/>
  <c r="F726" i="3" s="1"/>
  <c r="F727" i="3" a="1"/>
  <c r="F727" i="3" s="1"/>
  <c r="F728" i="3" a="1"/>
  <c r="F728" i="3" s="1"/>
  <c r="F729" i="3" a="1"/>
  <c r="F729" i="3" s="1"/>
  <c r="F730" i="3" a="1"/>
  <c r="F730" i="3" s="1"/>
  <c r="F731" i="3" a="1"/>
  <c r="F731" i="3" s="1"/>
  <c r="F732" i="3" a="1"/>
  <c r="F732" i="3" s="1"/>
  <c r="F733" i="3" a="1"/>
  <c r="F733" i="3" s="1"/>
  <c r="F734" i="3" a="1"/>
  <c r="F734" i="3" s="1"/>
  <c r="F735" i="3" a="1"/>
  <c r="F735" i="3" s="1"/>
  <c r="F736" i="3" a="1"/>
  <c r="F736" i="3" s="1"/>
  <c r="F737" i="3" a="1"/>
  <c r="F737" i="3" s="1"/>
  <c r="F738" i="3" a="1"/>
  <c r="F738" i="3" s="1"/>
  <c r="F739" i="3" a="1"/>
  <c r="F739" i="3" s="1"/>
  <c r="F740" i="3" a="1"/>
  <c r="F740" i="3" s="1"/>
  <c r="F741" i="3" a="1"/>
  <c r="F741" i="3" s="1"/>
  <c r="F742" i="3" a="1"/>
  <c r="F742" i="3" s="1"/>
  <c r="F743" i="3" a="1"/>
  <c r="F743" i="3" s="1"/>
  <c r="F744" i="3" a="1"/>
  <c r="F744" i="3" s="1"/>
  <c r="F745" i="3" a="1"/>
  <c r="F745" i="3" s="1"/>
  <c r="F746" i="3" a="1"/>
  <c r="F746" i="3" s="1"/>
  <c r="F747" i="3" a="1"/>
  <c r="F747" i="3" s="1"/>
  <c r="F748" i="3" a="1"/>
  <c r="F748" i="3" s="1"/>
  <c r="F749" i="3" a="1"/>
  <c r="F749" i="3" s="1"/>
  <c r="F750" i="3" a="1"/>
  <c r="F750" i="3" s="1"/>
  <c r="F751" i="3" a="1"/>
  <c r="F751" i="3" s="1"/>
  <c r="F752" i="3" a="1"/>
  <c r="F752" i="3" s="1"/>
  <c r="F753" i="3" a="1"/>
  <c r="F753" i="3" s="1"/>
  <c r="F754" i="3" a="1"/>
  <c r="F754" i="3" s="1"/>
  <c r="F755" i="3" a="1"/>
  <c r="F755" i="3" s="1"/>
  <c r="F756" i="3" a="1"/>
  <c r="F756" i="3" s="1"/>
  <c r="F757" i="3" a="1"/>
  <c r="F757" i="3" s="1"/>
  <c r="F758" i="3" a="1"/>
  <c r="F758" i="3" s="1"/>
  <c r="F759" i="3" a="1"/>
  <c r="F759" i="3" s="1"/>
  <c r="F760" i="3" a="1"/>
  <c r="F760" i="3" s="1"/>
  <c r="F761" i="3" a="1"/>
  <c r="F761" i="3" s="1"/>
  <c r="F762" i="3" a="1"/>
  <c r="F762" i="3" s="1"/>
  <c r="F763" i="3" a="1"/>
  <c r="F763" i="3" s="1"/>
  <c r="F764" i="3" a="1"/>
  <c r="F764" i="3" s="1"/>
  <c r="F765" i="3" a="1"/>
  <c r="F765" i="3" s="1"/>
  <c r="F766" i="3" a="1"/>
  <c r="F766" i="3" s="1"/>
  <c r="F767" i="3" a="1"/>
  <c r="F767" i="3" s="1"/>
  <c r="F768" i="3" a="1"/>
  <c r="F768" i="3" s="1"/>
  <c r="F769" i="3" a="1"/>
  <c r="F769" i="3" s="1"/>
  <c r="F770" i="3" a="1"/>
  <c r="F770" i="3" s="1"/>
  <c r="F771" i="3" a="1"/>
  <c r="F771" i="3" s="1"/>
  <c r="F772" i="3" a="1"/>
  <c r="F772" i="3" s="1"/>
  <c r="F773" i="3" a="1"/>
  <c r="F773" i="3" s="1"/>
  <c r="F774" i="3" a="1"/>
  <c r="F774" i="3" s="1"/>
  <c r="F775" i="3" a="1"/>
  <c r="F775" i="3" s="1"/>
  <c r="F776" i="3" a="1"/>
  <c r="F776" i="3" s="1"/>
  <c r="F777" i="3" a="1"/>
  <c r="F777" i="3" s="1"/>
  <c r="F778" i="3" a="1"/>
  <c r="F778" i="3" s="1"/>
  <c r="F779" i="3" a="1"/>
  <c r="F779" i="3" s="1"/>
  <c r="F780" i="3" a="1"/>
  <c r="F780" i="3" s="1"/>
  <c r="F781" i="3" a="1"/>
  <c r="F781" i="3" s="1"/>
  <c r="F782" i="3" a="1"/>
  <c r="F782" i="3" s="1"/>
  <c r="F783" i="3" a="1"/>
  <c r="F783" i="3" s="1"/>
  <c r="F784" i="3" a="1"/>
  <c r="F784" i="3" s="1"/>
  <c r="F785" i="3" a="1"/>
  <c r="F785" i="3" s="1"/>
  <c r="F786" i="3" a="1"/>
  <c r="F786" i="3" s="1"/>
  <c r="F787" i="3" a="1"/>
  <c r="F787" i="3" s="1"/>
  <c r="F788" i="3" a="1"/>
  <c r="F788" i="3" s="1"/>
  <c r="F789" i="3" a="1"/>
  <c r="F789" i="3" s="1"/>
  <c r="F790" i="3" a="1"/>
  <c r="F790" i="3" s="1"/>
  <c r="F791" i="3" a="1"/>
  <c r="F791" i="3" s="1"/>
  <c r="F792" i="3" a="1"/>
  <c r="F792" i="3" s="1"/>
  <c r="F793" i="3" a="1"/>
  <c r="F793" i="3" s="1"/>
  <c r="F794" i="3" a="1"/>
  <c r="F794" i="3" s="1"/>
  <c r="F795" i="3" a="1"/>
  <c r="F795" i="3" s="1"/>
  <c r="F796" i="3" a="1"/>
  <c r="F796" i="3" s="1"/>
  <c r="F797" i="3" a="1"/>
  <c r="F797" i="3" s="1"/>
  <c r="F798" i="3" a="1"/>
  <c r="F798" i="3" s="1"/>
  <c r="F799" i="3" a="1"/>
  <c r="F799" i="3" s="1"/>
  <c r="F800" i="3" a="1"/>
  <c r="F800" i="3" s="1"/>
  <c r="F801" i="3" a="1"/>
  <c r="F801" i="3" s="1"/>
  <c r="F802" i="3" a="1"/>
  <c r="F802" i="3" s="1"/>
  <c r="F803" i="3" a="1"/>
  <c r="F803" i="3" s="1"/>
  <c r="F804" i="3" a="1"/>
  <c r="F804" i="3" s="1"/>
  <c r="F805" i="3" a="1"/>
  <c r="F805" i="3" s="1"/>
  <c r="F806" i="3" a="1"/>
  <c r="F806" i="3" s="1"/>
  <c r="F807" i="3" a="1"/>
  <c r="F807" i="3" s="1"/>
  <c r="F808" i="3" a="1"/>
  <c r="F808" i="3" s="1"/>
  <c r="F809" i="3" a="1"/>
  <c r="F809" i="3" s="1"/>
  <c r="F810" i="3" a="1"/>
  <c r="F810" i="3" s="1"/>
  <c r="F811" i="3" a="1"/>
  <c r="F811" i="3" s="1"/>
  <c r="F812" i="3" a="1"/>
  <c r="F812" i="3" s="1"/>
  <c r="F813" i="3" a="1"/>
  <c r="F813" i="3" s="1"/>
  <c r="F814" i="3" a="1"/>
  <c r="F814" i="3" s="1"/>
  <c r="F815" i="3" a="1"/>
  <c r="F815" i="3" s="1"/>
  <c r="F816" i="3" a="1"/>
  <c r="F816" i="3" s="1"/>
  <c r="F817" i="3" a="1"/>
  <c r="F817" i="3" s="1"/>
  <c r="F179" i="6" s="1" a="1"/>
  <c r="F179" i="6" s="1"/>
  <c r="N179" i="6" s="1"/>
  <c r="I179" i="6" s="1" a="1"/>
  <c r="I179" i="6" s="1"/>
  <c r="K179" i="6" s="1"/>
  <c r="F818" i="3" a="1"/>
  <c r="F818" i="3" s="1"/>
  <c r="F819" i="3" a="1"/>
  <c r="F819" i="3" s="1"/>
  <c r="F820" i="3" a="1"/>
  <c r="F820" i="3" s="1"/>
  <c r="F821" i="3" a="1"/>
  <c r="F821" i="3" s="1"/>
  <c r="F822" i="3" a="1"/>
  <c r="F822" i="3" s="1"/>
  <c r="F823" i="3" a="1"/>
  <c r="F823" i="3" s="1"/>
  <c r="F824" i="3" a="1"/>
  <c r="F824" i="3" s="1"/>
  <c r="F825" i="3" a="1"/>
  <c r="F825" i="3" s="1"/>
  <c r="F826" i="3" a="1"/>
  <c r="F826" i="3" s="1"/>
  <c r="F827" i="3" a="1"/>
  <c r="F827" i="3" s="1"/>
  <c r="F828" i="3" a="1"/>
  <c r="F828" i="3" s="1"/>
  <c r="F829" i="3" a="1"/>
  <c r="F829" i="3" s="1"/>
  <c r="F830" i="3" a="1"/>
  <c r="F830" i="3" s="1"/>
  <c r="F831" i="3" a="1"/>
  <c r="F831" i="3" s="1"/>
  <c r="F832" i="3" a="1"/>
  <c r="F832" i="3" s="1"/>
  <c r="F833" i="3" a="1"/>
  <c r="F833" i="3" s="1"/>
  <c r="F834" i="3" a="1"/>
  <c r="F834" i="3" s="1"/>
  <c r="F835" i="3" a="1"/>
  <c r="F835" i="3" s="1"/>
  <c r="F836" i="3" a="1"/>
  <c r="F836" i="3" s="1"/>
  <c r="F837" i="3" a="1"/>
  <c r="F837" i="3" s="1"/>
  <c r="F838" i="3" a="1"/>
  <c r="F838" i="3" s="1"/>
  <c r="F839" i="3" a="1"/>
  <c r="F839" i="3" s="1"/>
  <c r="F840" i="3" a="1"/>
  <c r="F840" i="3" s="1"/>
  <c r="F841" i="3" a="1"/>
  <c r="F841" i="3" s="1"/>
  <c r="F842" i="3" a="1"/>
  <c r="F842" i="3" s="1"/>
  <c r="F843" i="3" a="1"/>
  <c r="F843" i="3" s="1"/>
  <c r="F844" i="3" a="1"/>
  <c r="F844" i="3" s="1"/>
  <c r="F845" i="3" a="1"/>
  <c r="F845" i="3" s="1"/>
  <c r="F846" i="3" a="1"/>
  <c r="F846" i="3" s="1"/>
  <c r="F847" i="3" a="1"/>
  <c r="F847" i="3" s="1"/>
  <c r="F848" i="3" a="1"/>
  <c r="F848" i="3" s="1"/>
  <c r="F849" i="3" a="1"/>
  <c r="F849" i="3" s="1"/>
  <c r="F850" i="3" a="1"/>
  <c r="F850" i="3" s="1"/>
  <c r="F851" i="3" a="1"/>
  <c r="F851" i="3" s="1"/>
  <c r="F852" i="3" a="1"/>
  <c r="F852" i="3" s="1"/>
  <c r="F853" i="3" a="1"/>
  <c r="F853" i="3" s="1"/>
  <c r="F854" i="3" a="1"/>
  <c r="F854" i="3" s="1"/>
  <c r="F855" i="3" a="1"/>
  <c r="F855" i="3" s="1"/>
  <c r="F856" i="3" a="1"/>
  <c r="F856" i="3" s="1"/>
  <c r="F857" i="3" a="1"/>
  <c r="F857" i="3" s="1"/>
  <c r="F858" i="3" a="1"/>
  <c r="F858" i="3" s="1"/>
  <c r="F859" i="3" a="1"/>
  <c r="F859" i="3" s="1"/>
  <c r="F860" i="3" a="1"/>
  <c r="F860" i="3" s="1"/>
  <c r="F861" i="3" a="1"/>
  <c r="F861" i="3" s="1"/>
  <c r="F862" i="3" a="1"/>
  <c r="F862" i="3" s="1"/>
  <c r="F863" i="3" a="1"/>
  <c r="F863" i="3" s="1"/>
  <c r="F864" i="3" a="1"/>
  <c r="F864" i="3" s="1"/>
  <c r="F865" i="3" a="1"/>
  <c r="F865" i="3" s="1"/>
  <c r="F866" i="3" a="1"/>
  <c r="F866" i="3" s="1"/>
  <c r="F867" i="3" a="1"/>
  <c r="F867" i="3" s="1"/>
  <c r="F868" i="3" a="1"/>
  <c r="F868" i="3" s="1"/>
  <c r="F869" i="3" a="1"/>
  <c r="F869" i="3" s="1"/>
  <c r="F870" i="3" a="1"/>
  <c r="F870" i="3" s="1"/>
  <c r="F871" i="3" a="1"/>
  <c r="F871" i="3" s="1"/>
  <c r="F872" i="3" a="1"/>
  <c r="F872" i="3" s="1"/>
  <c r="F873" i="3" a="1"/>
  <c r="F873" i="3" s="1"/>
  <c r="F874" i="3" a="1"/>
  <c r="F874" i="3" s="1"/>
  <c r="F875" i="3" a="1"/>
  <c r="F875" i="3" s="1"/>
  <c r="F876" i="3" a="1"/>
  <c r="F876" i="3" s="1"/>
  <c r="F877" i="3" a="1"/>
  <c r="F877" i="3" s="1"/>
  <c r="F878" i="3" a="1"/>
  <c r="F878" i="3" s="1"/>
  <c r="F879" i="3" a="1"/>
  <c r="F879" i="3" s="1"/>
  <c r="F880" i="3" a="1"/>
  <c r="F880" i="3" s="1"/>
  <c r="F881" i="3" a="1"/>
  <c r="F881" i="3" s="1"/>
  <c r="F882" i="3" a="1"/>
  <c r="F882" i="3" s="1"/>
  <c r="F883" i="3" a="1"/>
  <c r="F883" i="3" s="1"/>
  <c r="F884" i="3" a="1"/>
  <c r="F884" i="3" s="1"/>
  <c r="F885" i="3" a="1"/>
  <c r="F885" i="3" s="1"/>
  <c r="F886" i="3" a="1"/>
  <c r="F886" i="3" s="1"/>
  <c r="F887" i="3" a="1"/>
  <c r="F887" i="3" s="1"/>
  <c r="F888" i="3" a="1"/>
  <c r="F888" i="3" s="1"/>
  <c r="F889" i="3" a="1"/>
  <c r="F889" i="3" s="1"/>
  <c r="F890" i="3" a="1"/>
  <c r="F890" i="3" s="1"/>
  <c r="F891" i="3" a="1"/>
  <c r="F891" i="3" s="1"/>
  <c r="F892" i="3" a="1"/>
  <c r="F892" i="3" s="1"/>
  <c r="F893" i="3" a="1"/>
  <c r="F893" i="3" s="1"/>
  <c r="F894" i="3" a="1"/>
  <c r="F894" i="3" s="1"/>
  <c r="F895" i="3" a="1"/>
  <c r="F895" i="3" s="1"/>
  <c r="F896" i="3" a="1"/>
  <c r="F896" i="3" s="1"/>
  <c r="F897" i="3" a="1"/>
  <c r="F897" i="3" s="1"/>
  <c r="F898" i="3" a="1"/>
  <c r="F898" i="3" s="1"/>
  <c r="F85" i="6" s="1" a="1"/>
  <c r="F85" i="6" s="1"/>
  <c r="N85" i="6" s="1"/>
  <c r="I85" i="6" s="1" a="1"/>
  <c r="I85" i="6" s="1"/>
  <c r="K85" i="6" s="1"/>
  <c r="F899" i="3" a="1"/>
  <c r="F899" i="3" s="1"/>
  <c r="F900" i="3" a="1"/>
  <c r="F900" i="3" s="1"/>
  <c r="F901" i="3" a="1"/>
  <c r="F901" i="3" s="1"/>
  <c r="F902" i="3" a="1"/>
  <c r="F902" i="3" s="1"/>
  <c r="F903" i="3" a="1"/>
  <c r="F903" i="3" s="1"/>
  <c r="F904" i="3" a="1"/>
  <c r="F904" i="3" s="1"/>
  <c r="F905" i="3" a="1"/>
  <c r="F905" i="3" s="1"/>
  <c r="F906" i="3" a="1"/>
  <c r="F906" i="3" s="1"/>
  <c r="F907" i="3" a="1"/>
  <c r="F907" i="3" s="1"/>
  <c r="F908" i="3" a="1"/>
  <c r="F908" i="3" s="1"/>
  <c r="F909" i="3" a="1"/>
  <c r="F909" i="3" s="1"/>
  <c r="F910" i="3" a="1"/>
  <c r="F910" i="3" s="1"/>
  <c r="F911" i="3" a="1"/>
  <c r="F911" i="3" s="1"/>
  <c r="F912" i="3" a="1"/>
  <c r="F912" i="3" s="1"/>
  <c r="F913" i="3" a="1"/>
  <c r="F913" i="3" s="1"/>
  <c r="F914" i="3" a="1"/>
  <c r="F914" i="3" s="1"/>
  <c r="F915" i="3" a="1"/>
  <c r="F915" i="3" s="1"/>
  <c r="F916" i="3" a="1"/>
  <c r="F916" i="3" s="1"/>
  <c r="F917" i="3" a="1"/>
  <c r="F917" i="3" s="1"/>
  <c r="F918" i="3" a="1"/>
  <c r="F918" i="3" s="1"/>
  <c r="F919" i="3" a="1"/>
  <c r="F919" i="3" s="1"/>
  <c r="F920" i="3" a="1"/>
  <c r="F920" i="3" s="1"/>
  <c r="F922" i="3" a="1"/>
  <c r="F922" i="3" s="1"/>
  <c r="F923" i="3" a="1"/>
  <c r="F923" i="3" s="1"/>
  <c r="F924" i="3" a="1"/>
  <c r="F924" i="3" s="1"/>
  <c r="F925" i="3" a="1"/>
  <c r="F925" i="3" s="1"/>
  <c r="F926" i="3" a="1"/>
  <c r="F926" i="3" s="1"/>
  <c r="F927" i="3" a="1"/>
  <c r="F927" i="3" s="1"/>
  <c r="F928" i="3" a="1"/>
  <c r="F928" i="3" s="1"/>
  <c r="F929" i="3" a="1"/>
  <c r="F929" i="3" s="1"/>
  <c r="F930" i="3" a="1"/>
  <c r="F930" i="3" s="1"/>
  <c r="F931" i="3" a="1"/>
  <c r="F931" i="3" s="1"/>
  <c r="F932" i="3" a="1"/>
  <c r="F932" i="3" s="1"/>
  <c r="F933" i="3" a="1"/>
  <c r="F933" i="3" s="1"/>
  <c r="F934" i="3" a="1"/>
  <c r="F934" i="3" s="1"/>
  <c r="F935" i="3" a="1"/>
  <c r="F935" i="3" s="1"/>
  <c r="F936" i="3" a="1"/>
  <c r="F936" i="3" s="1"/>
  <c r="F937" i="3" a="1"/>
  <c r="F937" i="3" s="1"/>
  <c r="F938" i="3" a="1"/>
  <c r="F938" i="3" s="1"/>
  <c r="F939" i="3" a="1"/>
  <c r="F939" i="3" s="1"/>
  <c r="F940" i="3" a="1"/>
  <c r="F940" i="3" s="1"/>
  <c r="F941" i="3" a="1"/>
  <c r="F941" i="3" s="1"/>
  <c r="F942" i="3" a="1"/>
  <c r="F942" i="3" s="1"/>
  <c r="F943" i="3" a="1"/>
  <c r="F943" i="3" s="1"/>
  <c r="F944" i="3" a="1"/>
  <c r="F944" i="3" s="1"/>
  <c r="F945" i="3" a="1"/>
  <c r="F945" i="3" s="1"/>
  <c r="F946" i="3" a="1"/>
  <c r="F946" i="3" s="1"/>
  <c r="F947" i="3" a="1"/>
  <c r="F947" i="3" s="1"/>
  <c r="F948" i="3" a="1"/>
  <c r="F948" i="3" s="1"/>
  <c r="F949" i="3" a="1"/>
  <c r="F949" i="3" s="1"/>
  <c r="F950" i="3" a="1"/>
  <c r="F950" i="3" s="1"/>
  <c r="F951" i="3" a="1"/>
  <c r="F951" i="3" s="1"/>
  <c r="F952" i="3" a="1"/>
  <c r="F952" i="3" s="1"/>
  <c r="F953" i="3" a="1"/>
  <c r="F953" i="3" s="1"/>
  <c r="F954" i="3" a="1"/>
  <c r="F954" i="3" s="1"/>
  <c r="F955" i="3" a="1"/>
  <c r="F955" i="3" s="1"/>
  <c r="F956" i="3" a="1"/>
  <c r="F956" i="3" s="1"/>
  <c r="F957" i="3" a="1"/>
  <c r="F957" i="3" s="1"/>
  <c r="F958" i="3" a="1"/>
  <c r="F958" i="3" s="1"/>
  <c r="F959" i="3" a="1"/>
  <c r="F959" i="3" s="1"/>
  <c r="F960" i="3" a="1"/>
  <c r="F960" i="3" s="1"/>
  <c r="F961" i="3" a="1"/>
  <c r="F961" i="3" s="1"/>
  <c r="F962" i="3" a="1"/>
  <c r="F962" i="3" s="1"/>
  <c r="F963" i="3" a="1"/>
  <c r="F963" i="3" s="1"/>
  <c r="F964" i="3" a="1"/>
  <c r="F964" i="3" s="1"/>
  <c r="F965" i="3" a="1"/>
  <c r="F965" i="3" s="1"/>
  <c r="F966" i="3" a="1"/>
  <c r="F966" i="3" s="1"/>
  <c r="F967" i="3" a="1"/>
  <c r="F967" i="3" s="1"/>
  <c r="F968" i="3" a="1"/>
  <c r="F968" i="3" s="1"/>
  <c r="F969" i="3" a="1"/>
  <c r="F969" i="3" s="1"/>
  <c r="F970" i="3" a="1"/>
  <c r="F970" i="3" s="1"/>
  <c r="F971" i="3" a="1"/>
  <c r="F971" i="3" s="1"/>
  <c r="F972" i="3" a="1"/>
  <c r="F972" i="3" s="1"/>
  <c r="F973" i="3" a="1"/>
  <c r="F973" i="3" s="1"/>
  <c r="F974" i="3" a="1"/>
  <c r="F974" i="3" s="1"/>
  <c r="F975" i="3" a="1"/>
  <c r="F975" i="3" s="1"/>
  <c r="F976" i="3" a="1"/>
  <c r="F976" i="3" s="1"/>
  <c r="F977" i="3" a="1"/>
  <c r="F977" i="3" s="1"/>
  <c r="F978" i="3" a="1"/>
  <c r="F978" i="3" s="1"/>
  <c r="F979" i="3" a="1"/>
  <c r="F979" i="3" s="1"/>
  <c r="F980" i="3" a="1"/>
  <c r="F980" i="3" s="1"/>
  <c r="F981" i="3" a="1"/>
  <c r="F981" i="3" s="1"/>
  <c r="F982" i="3" a="1"/>
  <c r="F982" i="3" s="1"/>
  <c r="F983" i="3" a="1"/>
  <c r="F983" i="3" s="1"/>
  <c r="F984" i="3" a="1"/>
  <c r="F984" i="3" s="1"/>
  <c r="F985" i="3" a="1"/>
  <c r="F985" i="3" s="1"/>
  <c r="F986" i="3" a="1"/>
  <c r="F986" i="3" s="1"/>
  <c r="F987" i="3" a="1"/>
  <c r="F987" i="3" s="1"/>
  <c r="F988" i="3" a="1"/>
  <c r="F988" i="3" s="1"/>
  <c r="F989" i="3" a="1"/>
  <c r="F989" i="3" s="1"/>
  <c r="F990" i="3" a="1"/>
  <c r="F990" i="3" s="1"/>
  <c r="F991" i="3" a="1"/>
  <c r="F991" i="3" s="1"/>
  <c r="F992" i="3" a="1"/>
  <c r="F992" i="3" s="1"/>
  <c r="F993" i="3" a="1"/>
  <c r="F993" i="3" s="1"/>
  <c r="F994" i="3" a="1"/>
  <c r="F994" i="3" s="1"/>
  <c r="F995" i="3" a="1"/>
  <c r="F995" i="3" s="1"/>
  <c r="F2" i="6" s="1" a="1"/>
  <c r="F2" i="6" s="1"/>
  <c r="N2" i="6" s="1"/>
  <c r="F996" i="3" a="1"/>
  <c r="F996" i="3" s="1"/>
  <c r="F36" i="6" s="1" a="1"/>
  <c r="F36" i="6" s="1"/>
  <c r="N36" i="6" s="1"/>
  <c r="F997" i="3" a="1"/>
  <c r="F997" i="3" s="1"/>
  <c r="F998" i="3" a="1"/>
  <c r="F998" i="3" s="1"/>
  <c r="F3" i="6" s="1" a="1"/>
  <c r="F3" i="6" s="1"/>
  <c r="N3" i="6" s="1"/>
  <c r="F999" i="3" a="1"/>
  <c r="F999" i="3" s="1"/>
  <c r="F1000" i="3" a="1"/>
  <c r="F1000" i="3" s="1"/>
  <c r="F1001" i="3" a="1"/>
  <c r="F1001" i="3" s="1"/>
  <c r="F1002" i="3" a="1"/>
  <c r="F1002" i="3" s="1"/>
  <c r="F4" i="6" s="1" a="1"/>
  <c r="F4" i="6" s="1"/>
  <c r="N4" i="6" s="1"/>
  <c r="F1003" i="3" a="1"/>
  <c r="F1003" i="3" s="1"/>
  <c r="F5" i="6" s="1" a="1"/>
  <c r="F5" i="6" s="1"/>
  <c r="N5" i="6" s="1"/>
  <c r="F1004" i="3" a="1"/>
  <c r="F1004" i="3" s="1"/>
  <c r="F1005" i="3" a="1"/>
  <c r="F1005" i="3" s="1"/>
  <c r="F1006" i="3" a="1"/>
  <c r="F1006" i="3" s="1"/>
  <c r="F1007" i="3" a="1"/>
  <c r="F1007" i="3" s="1"/>
  <c r="F1008" i="3" a="1"/>
  <c r="F1008" i="3" s="1"/>
  <c r="F1009" i="3" a="1"/>
  <c r="F1009" i="3" s="1"/>
  <c r="F1010" i="3" a="1"/>
  <c r="F1010" i="3" s="1"/>
  <c r="F1011" i="3" a="1"/>
  <c r="F1011" i="3" s="1"/>
  <c r="F1012" i="3" a="1"/>
  <c r="F1012" i="3" s="1"/>
  <c r="F1013" i="3" a="1"/>
  <c r="F1013" i="3" s="1"/>
  <c r="F1014" i="3" a="1"/>
  <c r="F1014" i="3" s="1"/>
  <c r="F1015" i="3" a="1"/>
  <c r="F1015" i="3" s="1"/>
  <c r="F1016" i="3" a="1"/>
  <c r="F1016" i="3" s="1"/>
  <c r="F1017" i="3" a="1"/>
  <c r="F1017" i="3" s="1"/>
  <c r="F1018" i="3" a="1"/>
  <c r="F1018" i="3" s="1"/>
  <c r="F1019" i="3" a="1"/>
  <c r="F1019" i="3" s="1"/>
  <c r="F1020" i="3" a="1"/>
  <c r="F1020" i="3" s="1"/>
  <c r="F1021" i="3" a="1"/>
  <c r="F1021" i="3" s="1"/>
  <c r="F1022" i="3" a="1"/>
  <c r="F1022" i="3" s="1"/>
  <c r="F1023" i="3" a="1"/>
  <c r="F1023" i="3" s="1"/>
  <c r="F1024" i="3" a="1"/>
  <c r="F1024" i="3" s="1"/>
  <c r="F1025" i="3" a="1"/>
  <c r="F1025" i="3" s="1"/>
  <c r="F1026" i="3" a="1"/>
  <c r="F1026" i="3" s="1"/>
  <c r="F1027" i="3" a="1"/>
  <c r="F1027" i="3" s="1"/>
  <c r="F1028" i="3" a="1"/>
  <c r="F1028" i="3" s="1"/>
  <c r="F1029" i="3" a="1"/>
  <c r="F1029" i="3" s="1"/>
  <c r="F1030" i="3" a="1"/>
  <c r="F1030" i="3" s="1"/>
  <c r="F1031" i="3" a="1"/>
  <c r="F1031" i="3" s="1"/>
  <c r="F1032" i="3" a="1"/>
  <c r="F1032" i="3" s="1"/>
  <c r="F1033" i="3" a="1"/>
  <c r="F1033" i="3" s="1"/>
  <c r="F1034" i="3" a="1"/>
  <c r="F1034" i="3" s="1"/>
  <c r="F1035" i="3" a="1"/>
  <c r="F1035" i="3" s="1"/>
  <c r="F1036" i="3" a="1"/>
  <c r="F1036" i="3" s="1"/>
  <c r="F1037" i="3" a="1"/>
  <c r="F1037" i="3" s="1"/>
  <c r="F1038" i="3" a="1"/>
  <c r="F1038" i="3" s="1"/>
  <c r="F1039" i="3" a="1"/>
  <c r="F1039" i="3" s="1"/>
  <c r="F1040" i="3" a="1"/>
  <c r="F1040" i="3" s="1"/>
  <c r="F1041" i="3" a="1"/>
  <c r="F1041" i="3" s="1"/>
  <c r="F1042" i="3" a="1"/>
  <c r="F1042" i="3" s="1"/>
  <c r="F1043" i="3" a="1"/>
  <c r="F1043" i="3" s="1"/>
  <c r="F1044" i="3" a="1"/>
  <c r="F1044" i="3" s="1"/>
  <c r="F1045" i="3" a="1"/>
  <c r="F1045" i="3" s="1"/>
  <c r="F1046" i="3" a="1"/>
  <c r="F1046" i="3" s="1"/>
  <c r="F1047" i="3" a="1"/>
  <c r="F1047" i="3" s="1"/>
  <c r="F1048" i="3" a="1"/>
  <c r="F1048" i="3" s="1"/>
  <c r="F1049" i="3" a="1"/>
  <c r="F1049" i="3" s="1"/>
  <c r="F1050" i="3" a="1"/>
  <c r="F1050" i="3" s="1"/>
  <c r="F1051" i="3" a="1"/>
  <c r="F1051" i="3" s="1"/>
  <c r="F1052" i="3" a="1"/>
  <c r="F1052" i="3" s="1"/>
  <c r="F1053" i="3" a="1"/>
  <c r="F1053" i="3" s="1"/>
  <c r="F1054" i="3" a="1"/>
  <c r="F1054" i="3" s="1"/>
  <c r="F1055" i="3" a="1"/>
  <c r="F1055" i="3" s="1"/>
  <c r="F1056" i="3" a="1"/>
  <c r="F1056" i="3" s="1"/>
  <c r="F1057" i="3" a="1"/>
  <c r="F1057" i="3" s="1"/>
  <c r="F1058" i="3" a="1"/>
  <c r="F1058" i="3" s="1"/>
  <c r="F1059" i="3" a="1"/>
  <c r="F1059" i="3" s="1"/>
  <c r="F1060" i="3" a="1"/>
  <c r="F1060" i="3" s="1"/>
  <c r="F1061" i="3" a="1"/>
  <c r="F1061" i="3" s="1"/>
  <c r="F1062" i="3" a="1"/>
  <c r="F1062" i="3" s="1"/>
  <c r="F1063" i="3" a="1"/>
  <c r="F1063" i="3" s="1"/>
  <c r="F1064" i="3" a="1"/>
  <c r="F1064" i="3" s="1"/>
  <c r="F1065" i="3" a="1"/>
  <c r="F1065" i="3" s="1"/>
  <c r="F1066" i="3" a="1"/>
  <c r="F1066" i="3" s="1"/>
  <c r="F1067" i="3" a="1"/>
  <c r="F1067" i="3" s="1"/>
  <c r="F1068" i="3" a="1"/>
  <c r="F1068" i="3" s="1"/>
  <c r="F1069" i="3" a="1"/>
  <c r="F1069" i="3" s="1"/>
  <c r="F1070" i="3" a="1"/>
  <c r="F1070" i="3" s="1"/>
  <c r="F1071" i="3" a="1"/>
  <c r="F1071" i="3" s="1"/>
  <c r="F1072" i="3" a="1"/>
  <c r="F1072" i="3" s="1"/>
  <c r="F1073" i="3" a="1"/>
  <c r="F1073" i="3" s="1"/>
  <c r="F1074" i="3" a="1"/>
  <c r="F1074" i="3" s="1"/>
  <c r="F1075" i="3" a="1"/>
  <c r="F1075" i="3" s="1"/>
  <c r="F1076" i="3" a="1"/>
  <c r="F1076" i="3" s="1"/>
  <c r="F1077" i="3" a="1"/>
  <c r="F1077" i="3" s="1"/>
  <c r="F1078" i="3" a="1"/>
  <c r="F1078" i="3" s="1"/>
  <c r="F1079" i="3" a="1"/>
  <c r="F1079" i="3" s="1"/>
  <c r="F1080" i="3" a="1"/>
  <c r="F1080" i="3" s="1"/>
  <c r="F1081" i="3" a="1"/>
  <c r="F1081" i="3" s="1"/>
  <c r="F1082" i="3" a="1"/>
  <c r="F1082" i="3" s="1"/>
  <c r="F1083" i="3" a="1"/>
  <c r="F1083" i="3" s="1"/>
  <c r="F1084" i="3" a="1"/>
  <c r="F1084" i="3" s="1"/>
  <c r="F1085" i="3" a="1"/>
  <c r="F1085" i="3" s="1"/>
  <c r="F1086" i="3" a="1"/>
  <c r="F1086" i="3" s="1"/>
  <c r="F1087" i="3" a="1"/>
  <c r="F1087" i="3" s="1"/>
  <c r="F1088" i="3" a="1"/>
  <c r="F1088" i="3" s="1"/>
  <c r="F1089" i="3" a="1"/>
  <c r="F1089" i="3" s="1"/>
  <c r="F1090" i="3" a="1"/>
  <c r="F1090" i="3" s="1"/>
  <c r="F1091" i="3" a="1"/>
  <c r="F1091" i="3" s="1"/>
  <c r="F1092" i="3" a="1"/>
  <c r="F1092" i="3" s="1"/>
  <c r="F1093" i="3" a="1"/>
  <c r="F1093" i="3" s="1"/>
  <c r="F1094" i="3" a="1"/>
  <c r="F1094" i="3" s="1"/>
  <c r="F1095" i="3" a="1"/>
  <c r="F1095" i="3" s="1"/>
  <c r="F1096" i="3" a="1"/>
  <c r="F1096" i="3" s="1"/>
  <c r="F1097" i="3" a="1"/>
  <c r="F1097" i="3" s="1"/>
  <c r="F1098" i="3" a="1"/>
  <c r="F1098" i="3" s="1"/>
  <c r="F1099" i="3" a="1"/>
  <c r="F1099" i="3" s="1"/>
  <c r="F1100" i="3" a="1"/>
  <c r="F1100" i="3" s="1"/>
  <c r="F1101" i="3" a="1"/>
  <c r="F1101" i="3" s="1"/>
  <c r="F1102" i="3" a="1"/>
  <c r="F1102" i="3" s="1"/>
  <c r="F1103" i="3" a="1"/>
  <c r="F1103" i="3" s="1"/>
  <c r="F1104" i="3" a="1"/>
  <c r="F1104" i="3" s="1"/>
  <c r="F1105" i="3" a="1"/>
  <c r="F1105" i="3" s="1"/>
  <c r="F1106" i="3" a="1"/>
  <c r="F1106" i="3" s="1"/>
  <c r="F1107" i="3" a="1"/>
  <c r="F1107" i="3" s="1"/>
  <c r="F1108" i="3" a="1"/>
  <c r="F1108" i="3" s="1"/>
  <c r="F1109" i="3" a="1"/>
  <c r="F1109" i="3" s="1"/>
  <c r="F1110" i="3" a="1"/>
  <c r="F1110" i="3" s="1"/>
  <c r="F1111" i="3" a="1"/>
  <c r="F1111" i="3" s="1"/>
  <c r="F1112" i="3" a="1"/>
  <c r="F1112" i="3" s="1"/>
  <c r="F1113" i="3" a="1"/>
  <c r="F1113" i="3" s="1"/>
  <c r="F1114" i="3" a="1"/>
  <c r="F1114" i="3" s="1"/>
  <c r="F1115" i="3" a="1"/>
  <c r="F1115" i="3" s="1"/>
  <c r="F1116" i="3" a="1"/>
  <c r="F1116" i="3" s="1"/>
  <c r="F1117" i="3" a="1"/>
  <c r="F1117" i="3" s="1"/>
  <c r="F1118" i="3" a="1"/>
  <c r="F1118" i="3" s="1"/>
  <c r="F1119" i="3" a="1"/>
  <c r="F1119" i="3" s="1"/>
  <c r="F1120" i="3" a="1"/>
  <c r="F1120" i="3" s="1"/>
  <c r="F1121" i="3" a="1"/>
  <c r="F1121" i="3" s="1"/>
  <c r="F1122" i="3" a="1"/>
  <c r="F1122" i="3" s="1"/>
  <c r="F1123" i="3" a="1"/>
  <c r="F1123" i="3" s="1"/>
  <c r="F1124" i="3" a="1"/>
  <c r="F1124" i="3" s="1"/>
  <c r="F1125" i="3" a="1"/>
  <c r="F1125" i="3" s="1"/>
  <c r="F1126" i="3" a="1"/>
  <c r="F1126" i="3" s="1"/>
  <c r="F1127" i="3" a="1"/>
  <c r="F1127" i="3" s="1"/>
  <c r="F1128" i="3" a="1"/>
  <c r="F1128" i="3" s="1"/>
  <c r="F1129" i="3" a="1"/>
  <c r="F1129" i="3" s="1"/>
  <c r="F1130" i="3" a="1"/>
  <c r="F1130" i="3" s="1"/>
  <c r="F1131" i="3" a="1"/>
  <c r="F1131" i="3" s="1"/>
  <c r="F1132" i="3" a="1"/>
  <c r="F1132" i="3" s="1"/>
  <c r="F1133" i="3" a="1"/>
  <c r="F1133" i="3" s="1"/>
  <c r="F1134" i="3" a="1"/>
  <c r="F1134" i="3" s="1"/>
  <c r="F1135" i="3" a="1"/>
  <c r="F1135" i="3" s="1"/>
  <c r="F1136" i="3" a="1"/>
  <c r="F1136" i="3" s="1"/>
  <c r="F1137" i="3" a="1"/>
  <c r="F1137" i="3" s="1"/>
  <c r="F1138" i="3" a="1"/>
  <c r="F1138" i="3" s="1"/>
  <c r="F1139" i="3" a="1"/>
  <c r="F1139" i="3" s="1"/>
  <c r="F1140" i="3" a="1"/>
  <c r="F1140" i="3" s="1"/>
  <c r="F1141" i="3" a="1"/>
  <c r="F1141" i="3" s="1"/>
  <c r="F1142" i="3" a="1"/>
  <c r="F1142" i="3" s="1"/>
  <c r="F1143" i="3" a="1"/>
  <c r="F1143" i="3" s="1"/>
  <c r="F1144" i="3" a="1"/>
  <c r="F1144" i="3" s="1"/>
  <c r="F1145" i="3" a="1"/>
  <c r="F1145" i="3" s="1"/>
  <c r="F1146" i="3" a="1"/>
  <c r="F1146" i="3" s="1"/>
  <c r="F1147" i="3" a="1"/>
  <c r="F1147" i="3" s="1"/>
  <c r="F1148" i="3" a="1"/>
  <c r="F1148" i="3" s="1"/>
  <c r="F1149" i="3" a="1"/>
  <c r="F1149" i="3" s="1"/>
  <c r="F1150" i="3" a="1"/>
  <c r="F1150" i="3" s="1"/>
  <c r="F1151" i="3" a="1"/>
  <c r="F1151" i="3" s="1"/>
  <c r="F1152" i="3" a="1"/>
  <c r="F1152" i="3" s="1"/>
  <c r="F1153" i="3" a="1"/>
  <c r="F1153" i="3" s="1"/>
  <c r="F1154" i="3" a="1"/>
  <c r="F1154" i="3" s="1"/>
  <c r="F1155" i="3" a="1"/>
  <c r="F1155" i="3" s="1"/>
  <c r="F1156" i="3" a="1"/>
  <c r="F1156" i="3" s="1"/>
  <c r="F1157" i="3" a="1"/>
  <c r="F1157" i="3" s="1"/>
  <c r="F1158" i="3" a="1"/>
  <c r="F1158" i="3" s="1"/>
  <c r="F1159" i="3" a="1"/>
  <c r="F1159" i="3" s="1"/>
  <c r="F1160" i="3" a="1"/>
  <c r="F1160" i="3" s="1"/>
  <c r="F1161" i="3" a="1"/>
  <c r="F1161" i="3" s="1"/>
  <c r="F1162" i="3" a="1"/>
  <c r="F1162" i="3" s="1"/>
  <c r="F1163" i="3" a="1"/>
  <c r="F1163" i="3" s="1"/>
  <c r="F1164" i="3" a="1"/>
  <c r="F1164" i="3" s="1"/>
  <c r="F1165" i="3" a="1"/>
  <c r="F1165" i="3" s="1"/>
  <c r="F1166" i="3" a="1"/>
  <c r="F1166" i="3" s="1"/>
  <c r="F1167" i="3" a="1"/>
  <c r="F1167" i="3" s="1"/>
  <c r="F1168" i="3" a="1"/>
  <c r="F1168" i="3" s="1"/>
  <c r="F1169" i="3" a="1"/>
  <c r="F1169" i="3" s="1"/>
  <c r="F1170" i="3" a="1"/>
  <c r="F1170" i="3" s="1"/>
  <c r="F1171" i="3" a="1"/>
  <c r="F1171" i="3" s="1"/>
  <c r="F1172" i="3" a="1"/>
  <c r="F1172" i="3" s="1"/>
  <c r="F1173" i="3" a="1"/>
  <c r="F1173" i="3" s="1"/>
  <c r="F1174" i="3" a="1"/>
  <c r="F1174" i="3" s="1"/>
  <c r="F1175" i="3" a="1"/>
  <c r="F1175" i="3" s="1"/>
  <c r="F1176" i="3" a="1"/>
  <c r="F1176" i="3" s="1"/>
  <c r="F1177" i="3" a="1"/>
  <c r="F1177" i="3" s="1"/>
  <c r="F1178" i="3" a="1"/>
  <c r="F1178" i="3" s="1"/>
  <c r="F1179" i="3" a="1"/>
  <c r="F1179" i="3" s="1"/>
  <c r="F1180" i="3" a="1"/>
  <c r="F1180" i="3" s="1"/>
  <c r="F1181" i="3" a="1"/>
  <c r="F1181" i="3" s="1"/>
  <c r="F1182" i="3" a="1"/>
  <c r="F1182" i="3" s="1"/>
  <c r="F1183" i="3" a="1"/>
  <c r="F1183" i="3" s="1"/>
  <c r="F1184" i="3" a="1"/>
  <c r="F1184" i="3" s="1"/>
  <c r="F1185" i="3" a="1"/>
  <c r="F1185" i="3" s="1"/>
  <c r="F1186" i="3" a="1"/>
  <c r="F1186" i="3" s="1"/>
  <c r="F1187" i="3" a="1"/>
  <c r="F1187" i="3" s="1"/>
  <c r="F1188" i="3" a="1"/>
  <c r="F1188" i="3" s="1"/>
  <c r="F1189" i="3" a="1"/>
  <c r="F1189" i="3" s="1"/>
  <c r="F1190" i="3" a="1"/>
  <c r="F1190" i="3" s="1"/>
  <c r="F1191" i="3" a="1"/>
  <c r="F1191" i="3" s="1"/>
  <c r="F1192" i="3" a="1"/>
  <c r="F1192" i="3" s="1"/>
  <c r="F1193" i="3" a="1"/>
  <c r="F1193" i="3" s="1"/>
  <c r="F1194" i="3" a="1"/>
  <c r="F1194" i="3" s="1"/>
  <c r="F1195" i="3" a="1"/>
  <c r="F1195" i="3" s="1"/>
  <c r="F1196" i="3" a="1"/>
  <c r="F1196" i="3" s="1"/>
  <c r="F1197" i="3" a="1"/>
  <c r="F1197" i="3" s="1"/>
  <c r="F1198" i="3" a="1"/>
  <c r="F1198" i="3" s="1"/>
  <c r="F1199" i="3" a="1"/>
  <c r="F1199" i="3" s="1"/>
  <c r="F1200" i="3" a="1"/>
  <c r="F1200" i="3" s="1"/>
  <c r="F1201" i="3" a="1"/>
  <c r="F1201" i="3" s="1"/>
  <c r="F1202" i="3" a="1"/>
  <c r="F1202" i="3" s="1"/>
  <c r="F1203" i="3" a="1"/>
  <c r="F1203" i="3" s="1"/>
  <c r="F1204" i="3" a="1"/>
  <c r="F1204" i="3" s="1"/>
  <c r="F1205" i="3" a="1"/>
  <c r="F1205" i="3" s="1"/>
  <c r="F1206" i="3" a="1"/>
  <c r="F1206" i="3" s="1"/>
  <c r="F1207" i="3" a="1"/>
  <c r="F1207" i="3" s="1"/>
  <c r="F1208" i="3" a="1"/>
  <c r="F1208" i="3" s="1"/>
  <c r="F1209" i="3" a="1"/>
  <c r="F1209" i="3" s="1"/>
  <c r="F1210" i="3" a="1"/>
  <c r="F1210" i="3" s="1"/>
  <c r="F1211" i="3" a="1"/>
  <c r="F1211" i="3" s="1"/>
  <c r="F1212" i="3" a="1"/>
  <c r="F1212" i="3" s="1"/>
  <c r="F1213" i="3" a="1"/>
  <c r="F1213" i="3" s="1"/>
  <c r="F1214" i="3" a="1"/>
  <c r="F1214" i="3" s="1"/>
  <c r="F1215" i="3" a="1"/>
  <c r="F1215" i="3" s="1"/>
  <c r="F1216" i="3" a="1"/>
  <c r="F1216" i="3" s="1"/>
  <c r="F1217" i="3" a="1"/>
  <c r="F1217" i="3" s="1"/>
  <c r="F1218" i="3" a="1"/>
  <c r="F1218" i="3" s="1"/>
  <c r="F1219" i="3" a="1"/>
  <c r="F1219" i="3" s="1"/>
  <c r="F1220" i="3" a="1"/>
  <c r="F1220" i="3" s="1"/>
  <c r="F1221" i="3" a="1"/>
  <c r="F1221" i="3" s="1"/>
  <c r="F1222" i="3" a="1"/>
  <c r="F1222" i="3" s="1"/>
  <c r="F1223" i="3" a="1"/>
  <c r="F1223" i="3" s="1"/>
  <c r="F1224" i="3" a="1"/>
  <c r="F1224" i="3" s="1"/>
  <c r="F1225" i="3" a="1"/>
  <c r="F1225" i="3" s="1"/>
  <c r="F1226" i="3" a="1"/>
  <c r="F1226" i="3" s="1"/>
  <c r="F1227" i="3" a="1"/>
  <c r="F1227" i="3" s="1"/>
  <c r="F1228" i="3" a="1"/>
  <c r="F1228" i="3" s="1"/>
  <c r="F1229" i="3" a="1"/>
  <c r="F1229" i="3" s="1"/>
  <c r="F1230" i="3" a="1"/>
  <c r="F1230" i="3" s="1"/>
  <c r="F1231" i="3" a="1"/>
  <c r="F1231" i="3" s="1"/>
  <c r="F1232" i="3" a="1"/>
  <c r="F1232" i="3" s="1"/>
  <c r="F1233" i="3" a="1"/>
  <c r="F1233" i="3" s="1"/>
  <c r="F1234" i="3" a="1"/>
  <c r="F1234" i="3" s="1"/>
  <c r="F1235" i="3" a="1"/>
  <c r="F1235" i="3" s="1"/>
  <c r="F1236" i="3" a="1"/>
  <c r="F1236" i="3" s="1"/>
  <c r="F1237" i="3" a="1"/>
  <c r="F1237" i="3" s="1"/>
  <c r="F1238" i="3" a="1"/>
  <c r="F1238" i="3" s="1"/>
  <c r="F1239" i="3" a="1"/>
  <c r="F1239" i="3" s="1"/>
  <c r="F1240" i="3" a="1"/>
  <c r="F1240" i="3" s="1"/>
  <c r="F1241" i="3" a="1"/>
  <c r="F1241" i="3" s="1"/>
  <c r="F1242" i="3" a="1"/>
  <c r="F1242" i="3" s="1"/>
  <c r="F1243" i="3" a="1"/>
  <c r="F1243" i="3" s="1"/>
  <c r="F1244" i="3" a="1"/>
  <c r="F1244" i="3" s="1"/>
  <c r="F1245" i="3" a="1"/>
  <c r="F1245" i="3" s="1"/>
  <c r="F1246" i="3" a="1"/>
  <c r="F1246" i="3" s="1"/>
  <c r="F1247" i="3" a="1"/>
  <c r="F1247" i="3" s="1"/>
  <c r="F1248" i="3" a="1"/>
  <c r="F1248" i="3" s="1"/>
  <c r="F1249" i="3" a="1"/>
  <c r="F1249" i="3" s="1"/>
  <c r="F1250" i="3" a="1"/>
  <c r="F1250" i="3" s="1"/>
  <c r="F1251" i="3" a="1"/>
  <c r="F1251" i="3" s="1"/>
  <c r="F1252" i="3" a="1"/>
  <c r="F1252" i="3" s="1"/>
  <c r="F1253" i="3" a="1"/>
  <c r="F1253" i="3" s="1"/>
  <c r="F1254" i="3" a="1"/>
  <c r="F1254" i="3" s="1"/>
  <c r="F1255" i="3" a="1"/>
  <c r="F1255" i="3" s="1"/>
  <c r="F1256" i="3" a="1"/>
  <c r="F1256" i="3" s="1"/>
  <c r="F1257" i="3" a="1"/>
  <c r="F1257" i="3" s="1"/>
  <c r="F1258" i="3" a="1"/>
  <c r="F1258" i="3" s="1"/>
  <c r="F1259" i="3" a="1"/>
  <c r="F1259" i="3" s="1"/>
  <c r="F1260" i="3" a="1"/>
  <c r="F1260" i="3" s="1"/>
  <c r="F1261" i="3" a="1"/>
  <c r="F1261" i="3" s="1"/>
  <c r="F1262" i="3" a="1"/>
  <c r="F1262" i="3" s="1"/>
  <c r="F1263" i="3" a="1"/>
  <c r="F1263" i="3" s="1"/>
  <c r="F1264" i="3" a="1"/>
  <c r="F1264" i="3" s="1"/>
  <c r="F1265" i="3" a="1"/>
  <c r="F1265" i="3" s="1"/>
  <c r="F1266" i="3" a="1"/>
  <c r="F1266" i="3" s="1"/>
  <c r="F1267" i="3" a="1"/>
  <c r="F1267" i="3" s="1"/>
  <c r="F1268" i="3" a="1"/>
  <c r="F1268" i="3" s="1"/>
  <c r="F1269" i="3" a="1"/>
  <c r="F1269" i="3" s="1"/>
  <c r="F1270" i="3" a="1"/>
  <c r="F1270" i="3" s="1"/>
  <c r="F1271" i="3" a="1"/>
  <c r="F1271" i="3" s="1"/>
  <c r="F1272" i="3" a="1"/>
  <c r="F1272" i="3" s="1"/>
  <c r="F1273" i="3" a="1"/>
  <c r="F1273" i="3" s="1"/>
  <c r="F1274" i="3" a="1"/>
  <c r="F1274" i="3" s="1"/>
  <c r="F1275" i="3" a="1"/>
  <c r="F1275" i="3" s="1"/>
  <c r="F1276" i="3" a="1"/>
  <c r="F1276" i="3" s="1"/>
  <c r="F1277" i="3" a="1"/>
  <c r="F1277" i="3" s="1"/>
  <c r="F1278" i="3" a="1"/>
  <c r="F1278" i="3" s="1"/>
  <c r="F1279" i="3" a="1"/>
  <c r="F1279" i="3" s="1"/>
  <c r="F1280" i="3" a="1"/>
  <c r="F1280" i="3" s="1"/>
  <c r="F1281" i="3" a="1"/>
  <c r="F1281" i="3" s="1"/>
  <c r="F1282" i="3" a="1"/>
  <c r="F1282" i="3" s="1"/>
  <c r="F1283" i="3" a="1"/>
  <c r="F1283" i="3" s="1"/>
  <c r="F1284" i="3" a="1"/>
  <c r="F1284" i="3" s="1"/>
  <c r="F1285" i="3" a="1"/>
  <c r="F1285" i="3" s="1"/>
  <c r="F1286" i="3" a="1"/>
  <c r="F1286" i="3" s="1"/>
  <c r="F1287" i="3" a="1"/>
  <c r="F1287" i="3" s="1"/>
  <c r="F1288" i="3" a="1"/>
  <c r="F1288" i="3" s="1"/>
  <c r="F1289" i="3" a="1"/>
  <c r="F1289" i="3" s="1"/>
  <c r="F1290" i="3" a="1"/>
  <c r="F1290" i="3" s="1"/>
  <c r="F1291" i="3" a="1"/>
  <c r="F1291" i="3" s="1"/>
  <c r="F1292" i="3" a="1"/>
  <c r="F1292" i="3" s="1"/>
  <c r="F1293" i="3" a="1"/>
  <c r="F1293" i="3" s="1"/>
  <c r="F1294" i="3" a="1"/>
  <c r="F1294" i="3" s="1"/>
  <c r="F1295" i="3" a="1"/>
  <c r="F1295" i="3" s="1"/>
  <c r="F1296" i="3" a="1"/>
  <c r="F1296" i="3" s="1"/>
  <c r="F1297" i="3" a="1"/>
  <c r="F1297" i="3" s="1"/>
  <c r="F1298" i="3" a="1"/>
  <c r="F1298" i="3" s="1"/>
  <c r="F1299" i="3" a="1"/>
  <c r="F1299" i="3" s="1"/>
  <c r="F1300" i="3" a="1"/>
  <c r="F1300" i="3" s="1"/>
  <c r="F1301" i="3" a="1"/>
  <c r="F1301" i="3" s="1"/>
  <c r="F1302" i="3" a="1"/>
  <c r="F1302" i="3" s="1"/>
  <c r="F1303" i="3" a="1"/>
  <c r="F1303" i="3" s="1"/>
  <c r="F1304" i="3" a="1"/>
  <c r="F1304" i="3" s="1"/>
  <c r="F1305" i="3" a="1"/>
  <c r="F1305" i="3" s="1"/>
  <c r="F1306" i="3" a="1"/>
  <c r="F1306" i="3" s="1"/>
  <c r="F1307" i="3" a="1"/>
  <c r="F1307" i="3" s="1"/>
  <c r="F1308" i="3" a="1"/>
  <c r="F1308" i="3" s="1"/>
  <c r="F1309" i="3" a="1"/>
  <c r="F1309" i="3" s="1"/>
  <c r="F1310" i="3" a="1"/>
  <c r="F1310" i="3" s="1"/>
  <c r="F1311" i="3" a="1"/>
  <c r="F1311" i="3" s="1"/>
  <c r="F1312" i="3" a="1"/>
  <c r="F1312" i="3" s="1"/>
  <c r="F1313" i="3" a="1"/>
  <c r="F1313" i="3" s="1"/>
  <c r="F1314" i="3" a="1"/>
  <c r="F1314" i="3" s="1"/>
  <c r="F1315" i="3" a="1"/>
  <c r="F1315" i="3" s="1"/>
  <c r="F1316" i="3" a="1"/>
  <c r="F1316" i="3" s="1"/>
  <c r="F1317" i="3" a="1"/>
  <c r="F1317" i="3" s="1"/>
  <c r="F1318" i="3" a="1"/>
  <c r="F1318" i="3" s="1"/>
  <c r="F1319" i="3" a="1"/>
  <c r="F1319" i="3" s="1"/>
  <c r="F1320" i="3" a="1"/>
  <c r="F1320" i="3" s="1"/>
  <c r="F1321" i="3" a="1"/>
  <c r="F1321" i="3" s="1"/>
  <c r="F1322" i="3" a="1"/>
  <c r="F1322" i="3" s="1"/>
  <c r="F1323" i="3" a="1"/>
  <c r="F1323" i="3" s="1"/>
  <c r="F1324" i="3" a="1"/>
  <c r="F1324" i="3" s="1"/>
  <c r="F1325" i="3" a="1"/>
  <c r="F1325" i="3" s="1"/>
  <c r="F1326" i="3" a="1"/>
  <c r="F1326" i="3" s="1"/>
  <c r="F1327" i="3" a="1"/>
  <c r="F1327" i="3" s="1"/>
  <c r="F1328" i="3" a="1"/>
  <c r="F1328" i="3" s="1"/>
  <c r="F1329" i="3" a="1"/>
  <c r="F1329" i="3" s="1"/>
  <c r="F1330" i="3" a="1"/>
  <c r="F1330" i="3" s="1"/>
  <c r="F1331" i="3" a="1"/>
  <c r="F1331" i="3" s="1"/>
  <c r="F1332" i="3" a="1"/>
  <c r="F1332" i="3" s="1"/>
  <c r="F1333" i="3" a="1"/>
  <c r="F1333" i="3" s="1"/>
  <c r="F1334" i="3" a="1"/>
  <c r="F1334" i="3" s="1"/>
  <c r="F1335" i="3" a="1"/>
  <c r="F1335" i="3" s="1"/>
  <c r="F1336" i="3" a="1"/>
  <c r="F1336" i="3" s="1"/>
  <c r="F1337" i="3" a="1"/>
  <c r="F1337" i="3" s="1"/>
  <c r="F1338" i="3" a="1"/>
  <c r="F1338" i="3" s="1"/>
  <c r="F1339" i="3" a="1"/>
  <c r="F1339" i="3" s="1"/>
  <c r="F1340" i="3" a="1"/>
  <c r="F1340" i="3" s="1"/>
  <c r="F1341" i="3" a="1"/>
  <c r="F1341" i="3" s="1"/>
  <c r="F1342" i="3" a="1"/>
  <c r="F1342" i="3" s="1"/>
  <c r="F1343" i="3" a="1"/>
  <c r="F1343" i="3" s="1"/>
  <c r="F1344" i="3" a="1"/>
  <c r="F1344" i="3" s="1"/>
  <c r="F1345" i="3" a="1"/>
  <c r="F1345" i="3" s="1"/>
  <c r="F1346" i="3" a="1"/>
  <c r="F1346" i="3" s="1"/>
  <c r="F1347" i="3" a="1"/>
  <c r="F1347" i="3" s="1"/>
  <c r="F1348" i="3" a="1"/>
  <c r="F1348" i="3" s="1"/>
  <c r="F1349" i="3" a="1"/>
  <c r="F1349" i="3" s="1"/>
  <c r="F1350" i="3" a="1"/>
  <c r="F1350" i="3" s="1"/>
  <c r="F1351" i="3" a="1"/>
  <c r="F1351" i="3" s="1"/>
  <c r="F1352" i="3" a="1"/>
  <c r="F1352" i="3" s="1"/>
  <c r="F1353" i="3" a="1"/>
  <c r="F1353" i="3" s="1"/>
  <c r="F1354" i="3" a="1"/>
  <c r="F1354" i="3" s="1"/>
  <c r="F1355" i="3" a="1"/>
  <c r="F1355" i="3" s="1"/>
  <c r="F1356" i="3" a="1"/>
  <c r="F1356" i="3" s="1"/>
  <c r="F1357" i="3" a="1"/>
  <c r="F1357" i="3" s="1"/>
  <c r="F1358" i="3" a="1"/>
  <c r="F1358" i="3" s="1"/>
  <c r="F1359" i="3" a="1"/>
  <c r="F1359" i="3" s="1"/>
  <c r="F1360" i="3" a="1"/>
  <c r="F1360" i="3" s="1"/>
  <c r="F1361" i="3" a="1"/>
  <c r="F1361" i="3" s="1"/>
  <c r="F1362" i="3" a="1"/>
  <c r="F1362" i="3" s="1"/>
  <c r="F1363" i="3" a="1"/>
  <c r="F1363" i="3" s="1"/>
  <c r="F1364" i="3" a="1"/>
  <c r="F1364" i="3" s="1"/>
  <c r="F1365" i="3" a="1"/>
  <c r="F1365" i="3" s="1"/>
  <c r="F1366" i="3" a="1"/>
  <c r="F1366" i="3" s="1"/>
  <c r="F1367" i="3" a="1"/>
  <c r="F1367" i="3" s="1"/>
  <c r="F1368" i="3" a="1"/>
  <c r="F1368" i="3" s="1"/>
  <c r="F1369" i="3" a="1"/>
  <c r="F1369" i="3" s="1"/>
  <c r="F1370" i="3" a="1"/>
  <c r="F1370" i="3" s="1"/>
  <c r="F1371" i="3" a="1"/>
  <c r="F1371" i="3" s="1"/>
  <c r="F1372" i="3" a="1"/>
  <c r="F1372" i="3" s="1"/>
  <c r="F1373" i="3" a="1"/>
  <c r="F1373" i="3" s="1"/>
  <c r="F1374" i="3" a="1"/>
  <c r="F1374" i="3" s="1"/>
  <c r="F1375" i="3" a="1"/>
  <c r="F1375" i="3" s="1"/>
  <c r="F1376" i="3" a="1"/>
  <c r="F1376" i="3" s="1"/>
  <c r="F1377" i="3" a="1"/>
  <c r="F1377" i="3" s="1"/>
  <c r="F1378" i="3" a="1"/>
  <c r="F1378" i="3" s="1"/>
  <c r="F1379" i="3" a="1"/>
  <c r="F1379" i="3" s="1"/>
  <c r="F1380" i="3" a="1"/>
  <c r="F1380" i="3" s="1"/>
  <c r="F1381" i="3" a="1"/>
  <c r="F1381" i="3" s="1"/>
  <c r="F1382" i="3" a="1"/>
  <c r="F1382" i="3" s="1"/>
  <c r="F1383" i="3" a="1"/>
  <c r="F1383" i="3" s="1"/>
  <c r="F1384" i="3" a="1"/>
  <c r="F1384" i="3" s="1"/>
  <c r="F1385" i="3" a="1"/>
  <c r="F1385" i="3" s="1"/>
  <c r="F1386" i="3" a="1"/>
  <c r="F1386" i="3" s="1"/>
  <c r="F1387" i="3" a="1"/>
  <c r="F1387" i="3" s="1"/>
  <c r="F1388" i="3" a="1"/>
  <c r="F1388" i="3" s="1"/>
  <c r="F1389" i="3" a="1"/>
  <c r="F1389" i="3" s="1"/>
  <c r="F1390" i="3" a="1"/>
  <c r="F1390" i="3" s="1"/>
  <c r="F1391" i="3" a="1"/>
  <c r="F1391" i="3" s="1"/>
  <c r="F1392" i="3" a="1"/>
  <c r="F1392" i="3" s="1"/>
  <c r="F1393" i="3" a="1"/>
  <c r="F1393" i="3" s="1"/>
  <c r="F1394" i="3" a="1"/>
  <c r="F1394" i="3" s="1"/>
  <c r="F1395" i="3" a="1"/>
  <c r="F1395" i="3" s="1"/>
  <c r="F1396" i="3" a="1"/>
  <c r="F1396" i="3" s="1"/>
  <c r="F1397" i="3" a="1"/>
  <c r="F1397" i="3" s="1"/>
  <c r="F1398" i="3" a="1"/>
  <c r="F1398" i="3" s="1"/>
  <c r="F1399" i="3" a="1"/>
  <c r="F1399" i="3" s="1"/>
  <c r="F1400" i="3" a="1"/>
  <c r="F1400" i="3" s="1"/>
  <c r="F1401" i="3" a="1"/>
  <c r="F1401" i="3" s="1"/>
  <c r="F1402" i="3" a="1"/>
  <c r="F1402" i="3" s="1"/>
  <c r="F1403" i="3" a="1"/>
  <c r="F1403" i="3" s="1"/>
  <c r="F1404" i="3" a="1"/>
  <c r="F1404" i="3" s="1"/>
  <c r="F1405" i="3" a="1"/>
  <c r="F1405" i="3" s="1"/>
  <c r="F1406" i="3" a="1"/>
  <c r="F1406" i="3" s="1"/>
  <c r="F1407" i="3" a="1"/>
  <c r="F1407" i="3" s="1"/>
  <c r="F1408" i="3" a="1"/>
  <c r="F1408" i="3" s="1"/>
  <c r="F1409" i="3" a="1"/>
  <c r="F1409" i="3" s="1"/>
  <c r="F1410" i="3" a="1"/>
  <c r="F1410" i="3" s="1"/>
  <c r="F1411" i="3" a="1"/>
  <c r="F1411" i="3" s="1"/>
  <c r="F1412" i="3" a="1"/>
  <c r="F1412" i="3" s="1"/>
  <c r="F1413" i="3" a="1"/>
  <c r="F1413" i="3" s="1"/>
  <c r="F1414" i="3" a="1"/>
  <c r="F1414" i="3" s="1"/>
  <c r="F1415" i="3" a="1"/>
  <c r="F1415" i="3" s="1"/>
  <c r="F1416" i="3" a="1"/>
  <c r="F1416" i="3" s="1"/>
  <c r="F1417" i="3" a="1"/>
  <c r="F1417" i="3" s="1"/>
  <c r="F1418" i="3" a="1"/>
  <c r="F1418" i="3" s="1"/>
  <c r="F1419" i="3" a="1"/>
  <c r="F1419" i="3" s="1"/>
  <c r="F1420" i="3" a="1"/>
  <c r="F1420" i="3" s="1"/>
  <c r="F1421" i="3" a="1"/>
  <c r="F1421" i="3" s="1"/>
  <c r="F1422" i="3" a="1"/>
  <c r="F1422" i="3" s="1"/>
  <c r="F1423" i="3" a="1"/>
  <c r="F1423" i="3" s="1"/>
  <c r="F1424" i="3" a="1"/>
  <c r="F1424" i="3" s="1"/>
  <c r="F1425" i="3" a="1"/>
  <c r="F1425" i="3" s="1"/>
  <c r="F1426" i="3" a="1"/>
  <c r="F1426" i="3" s="1"/>
  <c r="F1427" i="3" a="1"/>
  <c r="F1427" i="3" s="1"/>
  <c r="F1428" i="3" a="1"/>
  <c r="F1428" i="3" s="1"/>
  <c r="F1429" i="3" a="1"/>
  <c r="F1429" i="3" s="1"/>
  <c r="F1430" i="3" a="1"/>
  <c r="F1430" i="3" s="1"/>
  <c r="F1431" i="3" a="1"/>
  <c r="F1431" i="3" s="1"/>
  <c r="F1432" i="3" a="1"/>
  <c r="F1432" i="3" s="1"/>
  <c r="F1433" i="3" a="1"/>
  <c r="F1433" i="3" s="1"/>
  <c r="F1434" i="3" a="1"/>
  <c r="F1434" i="3" s="1"/>
  <c r="F1435" i="3" a="1"/>
  <c r="F1435" i="3" s="1"/>
  <c r="F1436" i="3" a="1"/>
  <c r="F1436" i="3" s="1"/>
  <c r="F1437" i="3" a="1"/>
  <c r="F1437" i="3" s="1"/>
  <c r="F1438" i="3" a="1"/>
  <c r="F1438" i="3" s="1"/>
  <c r="F1439" i="3" a="1"/>
  <c r="F1439" i="3" s="1"/>
  <c r="F1440" i="3" a="1"/>
  <c r="F1440" i="3" s="1"/>
  <c r="F1441" i="3" a="1"/>
  <c r="F1441" i="3" s="1"/>
  <c r="F1442" i="3" a="1"/>
  <c r="F1442" i="3" s="1"/>
  <c r="F1443" i="3" a="1"/>
  <c r="F1443" i="3" s="1"/>
  <c r="F1444" i="3" a="1"/>
  <c r="F1444" i="3" s="1"/>
  <c r="F1445" i="3" a="1"/>
  <c r="F1445" i="3" s="1"/>
  <c r="F1446" i="3" a="1"/>
  <c r="F1446" i="3" s="1"/>
  <c r="F1447" i="3" a="1"/>
  <c r="F1447" i="3" s="1"/>
  <c r="F1448" i="3" a="1"/>
  <c r="F1448" i="3" s="1"/>
  <c r="F1449" i="3" a="1"/>
  <c r="F1449" i="3" s="1"/>
  <c r="F1450" i="3" a="1"/>
  <c r="F1450" i="3" s="1"/>
  <c r="F1451" i="3" a="1"/>
  <c r="F1451" i="3" s="1"/>
  <c r="F1452" i="3" a="1"/>
  <c r="F1452" i="3" s="1"/>
  <c r="F1453" i="3" a="1"/>
  <c r="F1453" i="3" s="1"/>
  <c r="F1454" i="3" a="1"/>
  <c r="F1454" i="3" s="1"/>
  <c r="F1455" i="3" a="1"/>
  <c r="F1455" i="3" s="1"/>
  <c r="F1456" i="3" a="1"/>
  <c r="F1456" i="3" s="1"/>
  <c r="F1457" i="3" a="1"/>
  <c r="F1457" i="3" s="1"/>
  <c r="F1458" i="3" a="1"/>
  <c r="F1458" i="3" s="1"/>
  <c r="F1459" i="3" a="1"/>
  <c r="F1459" i="3" s="1"/>
  <c r="F1460" i="3" a="1"/>
  <c r="F1460" i="3" s="1"/>
  <c r="F1461" i="3" a="1"/>
  <c r="F1461" i="3" s="1"/>
  <c r="F1462" i="3" a="1"/>
  <c r="F1462" i="3" s="1"/>
  <c r="F1463" i="3" a="1"/>
  <c r="F1463" i="3" s="1"/>
  <c r="F1464" i="3" a="1"/>
  <c r="F1464" i="3" s="1"/>
  <c r="F1465" i="3" a="1"/>
  <c r="F1465" i="3" s="1"/>
  <c r="F1466" i="3" a="1"/>
  <c r="F1466" i="3" s="1"/>
  <c r="F1467" i="3" a="1"/>
  <c r="F1467" i="3" s="1"/>
  <c r="F1468" i="3" a="1"/>
  <c r="F1468" i="3" s="1"/>
  <c r="F1469" i="3" a="1"/>
  <c r="F1469" i="3" s="1"/>
  <c r="F1470" i="3" a="1"/>
  <c r="F1470" i="3" s="1"/>
  <c r="F1471" i="3" a="1"/>
  <c r="F1471" i="3" s="1"/>
  <c r="F1472" i="3" a="1"/>
  <c r="F1472" i="3" s="1"/>
  <c r="F1473" i="3" a="1"/>
  <c r="F1473" i="3" s="1"/>
  <c r="F1474" i="3" a="1"/>
  <c r="F1474" i="3" s="1"/>
  <c r="F1475" i="3" a="1"/>
  <c r="F1475" i="3" s="1"/>
  <c r="F1476" i="3" a="1"/>
  <c r="F1476" i="3" s="1"/>
  <c r="F1477" i="3" a="1"/>
  <c r="F1477" i="3" s="1"/>
  <c r="F1478" i="3" a="1"/>
  <c r="F1478" i="3" s="1"/>
  <c r="F1479" i="3" a="1"/>
  <c r="F1479" i="3" s="1"/>
  <c r="F1480" i="3" a="1"/>
  <c r="F1480" i="3" s="1"/>
  <c r="F1481" i="3" a="1"/>
  <c r="F1481" i="3" s="1"/>
  <c r="F1482" i="3" a="1"/>
  <c r="F1482" i="3" s="1"/>
  <c r="F1483" i="3" a="1"/>
  <c r="F1483" i="3" s="1"/>
  <c r="F1484" i="3" a="1"/>
  <c r="F1484" i="3" s="1"/>
  <c r="F1485" i="3" a="1"/>
  <c r="F1485" i="3" s="1"/>
  <c r="F1486" i="3" a="1"/>
  <c r="F1486" i="3" s="1"/>
  <c r="F1487" i="3" a="1"/>
  <c r="F1487" i="3" s="1"/>
  <c r="F1488" i="3" a="1"/>
  <c r="F1488" i="3" s="1"/>
  <c r="F1489" i="3" a="1"/>
  <c r="F1489" i="3" s="1"/>
  <c r="F1490" i="3" a="1"/>
  <c r="F1490" i="3" s="1"/>
  <c r="F1491" i="3" a="1"/>
  <c r="F1491" i="3" s="1"/>
  <c r="F1492" i="3" a="1"/>
  <c r="F1492" i="3" s="1"/>
  <c r="F1493" i="3" a="1"/>
  <c r="F1493" i="3" s="1"/>
  <c r="F1494" i="3" a="1"/>
  <c r="F1494" i="3" s="1"/>
  <c r="F1495" i="3" a="1"/>
  <c r="F1495" i="3" s="1"/>
  <c r="F1496" i="3" a="1"/>
  <c r="F1496" i="3" s="1"/>
  <c r="F1497" i="3" a="1"/>
  <c r="F1497" i="3" s="1"/>
  <c r="F1498" i="3" a="1"/>
  <c r="F1498" i="3" s="1"/>
  <c r="F1499" i="3" a="1"/>
  <c r="F1499" i="3" s="1"/>
  <c r="F1500" i="3" a="1"/>
  <c r="F1500" i="3" s="1"/>
  <c r="F1501" i="3" a="1"/>
  <c r="F1501" i="3" s="1"/>
  <c r="F1502" i="3" a="1"/>
  <c r="F1502" i="3" s="1"/>
  <c r="F1503" i="3" a="1"/>
  <c r="F1503" i="3" s="1"/>
  <c r="F1504" i="3" a="1"/>
  <c r="F1504" i="3" s="1"/>
  <c r="F1505" i="3" a="1"/>
  <c r="F1505" i="3" s="1"/>
  <c r="F1506" i="3" a="1"/>
  <c r="F1506" i="3" s="1"/>
  <c r="F1507" i="3" a="1"/>
  <c r="F1507" i="3" s="1"/>
  <c r="F1508" i="3" a="1"/>
  <c r="F1508" i="3" s="1"/>
  <c r="F1509" i="3" a="1"/>
  <c r="F1509" i="3" s="1"/>
  <c r="F1510" i="3" a="1"/>
  <c r="F1510" i="3" s="1"/>
  <c r="F1511" i="3" a="1"/>
  <c r="F1511" i="3" s="1"/>
  <c r="F1512" i="3" a="1"/>
  <c r="F1512" i="3" s="1"/>
  <c r="F1513" i="3" a="1"/>
  <c r="F1513" i="3" s="1"/>
  <c r="F1514" i="3" a="1"/>
  <c r="F1514" i="3" s="1"/>
  <c r="F1515" i="3" a="1"/>
  <c r="F1515" i="3" s="1"/>
  <c r="F1516" i="3" a="1"/>
  <c r="F1516" i="3" s="1"/>
  <c r="F1517" i="3" a="1"/>
  <c r="F1517" i="3" s="1"/>
  <c r="F1518" i="3" a="1"/>
  <c r="F1518" i="3" s="1"/>
  <c r="F1519" i="3" a="1"/>
  <c r="F1519" i="3" s="1"/>
  <c r="F1520" i="3" a="1"/>
  <c r="F1520" i="3" s="1"/>
  <c r="F1521" i="3" a="1"/>
  <c r="F1521" i="3" s="1"/>
  <c r="F1522" i="3" a="1"/>
  <c r="F1522" i="3" s="1"/>
  <c r="F1523" i="3" a="1"/>
  <c r="F1523" i="3" s="1"/>
  <c r="F1524" i="3" a="1"/>
  <c r="F1524" i="3" s="1"/>
  <c r="F1525" i="3" a="1"/>
  <c r="F1525" i="3" s="1"/>
  <c r="F1526" i="3" a="1"/>
  <c r="F1526" i="3" s="1"/>
  <c r="F1527" i="3" a="1"/>
  <c r="F1527" i="3" s="1"/>
  <c r="F1528" i="3" a="1"/>
  <c r="F1528" i="3" s="1"/>
  <c r="F1529" i="3" a="1"/>
  <c r="F1529" i="3" s="1"/>
  <c r="F1530" i="3" a="1"/>
  <c r="F1530" i="3" s="1"/>
  <c r="F1531" i="3" a="1"/>
  <c r="F1531" i="3" s="1"/>
  <c r="F1532" i="3" a="1"/>
  <c r="F1532" i="3" s="1"/>
  <c r="F1533" i="3" a="1"/>
  <c r="F1533" i="3" s="1"/>
  <c r="F1534" i="3" a="1"/>
  <c r="F1534" i="3" s="1"/>
  <c r="F1535" i="3" a="1"/>
  <c r="F1535" i="3" s="1"/>
  <c r="F1536" i="3" a="1"/>
  <c r="F1536" i="3" s="1"/>
  <c r="F1537" i="3" a="1"/>
  <c r="F1537" i="3" s="1"/>
  <c r="F1538" i="3" a="1"/>
  <c r="F1538" i="3" s="1"/>
  <c r="F1539" i="3" a="1"/>
  <c r="F1539" i="3" s="1"/>
  <c r="F1540" i="3" a="1"/>
  <c r="F1540" i="3" s="1"/>
  <c r="F1541" i="3" a="1"/>
  <c r="F1541" i="3" s="1"/>
  <c r="F1542" i="3" a="1"/>
  <c r="F1542" i="3" s="1"/>
  <c r="F1543" i="3" a="1"/>
  <c r="F1543" i="3" s="1"/>
  <c r="F1544" i="3" a="1"/>
  <c r="F1544" i="3" s="1"/>
  <c r="F1545" i="3" a="1"/>
  <c r="F1545" i="3" s="1"/>
  <c r="F1546" i="3" a="1"/>
  <c r="F1546" i="3" s="1"/>
  <c r="F1547" i="3" a="1"/>
  <c r="F1547" i="3" s="1"/>
  <c r="F1548" i="3" a="1"/>
  <c r="F1548" i="3" s="1"/>
  <c r="F1549" i="3" a="1"/>
  <c r="F1549" i="3" s="1"/>
  <c r="F1550" i="3" a="1"/>
  <c r="F1550" i="3" s="1"/>
  <c r="F1551" i="3" a="1"/>
  <c r="F1551" i="3" s="1"/>
  <c r="F1552" i="3" a="1"/>
  <c r="F1552" i="3" s="1"/>
  <c r="F1553" i="3" a="1"/>
  <c r="F1553" i="3" s="1"/>
  <c r="F1554" i="3" a="1"/>
  <c r="F1554" i="3" s="1"/>
  <c r="F1555" i="3" a="1"/>
  <c r="F1555" i="3" s="1"/>
  <c r="F1556" i="3" a="1"/>
  <c r="F1556" i="3" s="1"/>
  <c r="F1557" i="3" a="1"/>
  <c r="F1557" i="3" s="1"/>
  <c r="F1558" i="3" a="1"/>
  <c r="F1558" i="3" s="1"/>
  <c r="F1559" i="3" a="1"/>
  <c r="F1559" i="3" s="1"/>
  <c r="F1560" i="3" a="1"/>
  <c r="F1560" i="3" s="1"/>
  <c r="F1561" i="3" a="1"/>
  <c r="F1561" i="3" s="1"/>
  <c r="F1562" i="3" a="1"/>
  <c r="F1562" i="3" s="1"/>
  <c r="F1563" i="3" a="1"/>
  <c r="F1563" i="3" s="1"/>
  <c r="F1564" i="3" a="1"/>
  <c r="F1564" i="3" s="1"/>
  <c r="F1565" i="3" a="1"/>
  <c r="F1565" i="3" s="1"/>
  <c r="F1566" i="3" a="1"/>
  <c r="F1566" i="3" s="1"/>
  <c r="F1567" i="3" a="1"/>
  <c r="F1567" i="3" s="1"/>
  <c r="F1568" i="3" a="1"/>
  <c r="F1568" i="3" s="1"/>
  <c r="F1569" i="3" a="1"/>
  <c r="F1569" i="3" s="1"/>
  <c r="F1570" i="3" a="1"/>
  <c r="F1570" i="3" s="1"/>
  <c r="F1571" i="3" a="1"/>
  <c r="F1571" i="3" s="1"/>
  <c r="F1572" i="3" a="1"/>
  <c r="F1572" i="3" s="1"/>
  <c r="F1573" i="3" a="1"/>
  <c r="F1573" i="3" s="1"/>
  <c r="F1574" i="3" a="1"/>
  <c r="F1574" i="3" s="1"/>
  <c r="F1575" i="3" a="1"/>
  <c r="F1575" i="3" s="1"/>
  <c r="F1576" i="3" a="1"/>
  <c r="F1576" i="3" s="1"/>
  <c r="F1577" i="3" a="1"/>
  <c r="F1577" i="3" s="1"/>
  <c r="F1578" i="3" a="1"/>
  <c r="F1578" i="3" s="1"/>
  <c r="F1579" i="3" a="1"/>
  <c r="F1579" i="3" s="1"/>
  <c r="F1580" i="3" a="1"/>
  <c r="F1580" i="3" s="1"/>
  <c r="F1581" i="3" a="1"/>
  <c r="F1581" i="3" s="1"/>
  <c r="F1582" i="3" a="1"/>
  <c r="F1582" i="3" s="1"/>
  <c r="F1583" i="3" a="1"/>
  <c r="F1583" i="3" s="1"/>
  <c r="F1584" i="3" a="1"/>
  <c r="F1584" i="3" s="1"/>
  <c r="F1585" i="3" a="1"/>
  <c r="F1585" i="3" s="1"/>
  <c r="F1586" i="3" a="1"/>
  <c r="F1586" i="3" s="1"/>
  <c r="F1587" i="3" a="1"/>
  <c r="F1587" i="3" s="1"/>
  <c r="F1588" i="3" a="1"/>
  <c r="F1588" i="3" s="1"/>
  <c r="F1589" i="3" a="1"/>
  <c r="F1589" i="3" s="1"/>
  <c r="F1590" i="3" a="1"/>
  <c r="F1590" i="3" s="1"/>
  <c r="F1591" i="3" a="1"/>
  <c r="F1591" i="3" s="1"/>
  <c r="F1592" i="3" a="1"/>
  <c r="F1592" i="3" s="1"/>
  <c r="F1593" i="3" a="1"/>
  <c r="F1593" i="3" s="1"/>
  <c r="F1594" i="3" a="1"/>
  <c r="F1594" i="3" s="1"/>
  <c r="F1595" i="3" a="1"/>
  <c r="F1595" i="3" s="1"/>
  <c r="F1596" i="3" a="1"/>
  <c r="F1596" i="3" s="1"/>
  <c r="F1597" i="3" a="1"/>
  <c r="F1597" i="3" s="1"/>
  <c r="F1598" i="3" a="1"/>
  <c r="F1598" i="3" s="1"/>
  <c r="F1599" i="3" a="1"/>
  <c r="F1599" i="3" s="1"/>
  <c r="F1600" i="3" a="1"/>
  <c r="F1600" i="3" s="1"/>
  <c r="F1601" i="3" a="1"/>
  <c r="F1601" i="3" s="1"/>
  <c r="F1602" i="3" a="1"/>
  <c r="F1602" i="3" s="1"/>
  <c r="F1603" i="3" a="1"/>
  <c r="F1603" i="3" s="1"/>
  <c r="F1604" i="3" a="1"/>
  <c r="F1604" i="3" s="1"/>
  <c r="F1605" i="3" a="1"/>
  <c r="F1605" i="3" s="1"/>
  <c r="F1606" i="3" a="1"/>
  <c r="F1606" i="3" s="1"/>
  <c r="F1607" i="3" a="1"/>
  <c r="F1607" i="3" s="1"/>
  <c r="F1608" i="3" a="1"/>
  <c r="F1608" i="3" s="1"/>
  <c r="F1609" i="3" a="1"/>
  <c r="F1609" i="3" s="1"/>
  <c r="F1610" i="3" a="1"/>
  <c r="F1610" i="3" s="1"/>
  <c r="F1611" i="3" a="1"/>
  <c r="F1611" i="3" s="1"/>
  <c r="F1612" i="3" a="1"/>
  <c r="F1612" i="3" s="1"/>
  <c r="F1613" i="3" a="1"/>
  <c r="F1613" i="3" s="1"/>
  <c r="F1614" i="3" a="1"/>
  <c r="F1614" i="3" s="1"/>
  <c r="F1615" i="3" a="1"/>
  <c r="F1615" i="3" s="1"/>
  <c r="F1616" i="3" a="1"/>
  <c r="F1616" i="3" s="1"/>
  <c r="F1617" i="3" a="1"/>
  <c r="F1617" i="3" s="1"/>
  <c r="F1618" i="3" a="1"/>
  <c r="F1618" i="3" s="1"/>
  <c r="F1619" i="3" a="1"/>
  <c r="F1619" i="3" s="1"/>
  <c r="F1620" i="3" a="1"/>
  <c r="F1620" i="3" s="1"/>
  <c r="F1621" i="3" a="1"/>
  <c r="F1621" i="3" s="1"/>
  <c r="F1622" i="3" a="1"/>
  <c r="F1622" i="3" s="1"/>
  <c r="F1623" i="3" a="1"/>
  <c r="F1623" i="3" s="1"/>
  <c r="F1624" i="3" a="1"/>
  <c r="F1624" i="3" s="1"/>
  <c r="F1625" i="3" a="1"/>
  <c r="F1625" i="3" s="1"/>
  <c r="F1626" i="3" a="1"/>
  <c r="F1626" i="3" s="1"/>
  <c r="F1627" i="3" a="1"/>
  <c r="F1627" i="3" s="1"/>
  <c r="F1628" i="3" a="1"/>
  <c r="F1628" i="3" s="1"/>
  <c r="F1629" i="3" a="1"/>
  <c r="F1629" i="3" s="1"/>
  <c r="F1630" i="3" a="1"/>
  <c r="F1630" i="3" s="1"/>
  <c r="F1631" i="3" a="1"/>
  <c r="F1631" i="3" s="1"/>
  <c r="F1632" i="3" a="1"/>
  <c r="F1632" i="3" s="1"/>
  <c r="F1633" i="3" a="1"/>
  <c r="F1633" i="3" s="1"/>
  <c r="F1634" i="3" a="1"/>
  <c r="F1634" i="3" s="1"/>
  <c r="F1635" i="3" a="1"/>
  <c r="F1635" i="3" s="1"/>
  <c r="F1636" i="3" a="1"/>
  <c r="F1636" i="3" s="1"/>
  <c r="F1637" i="3" a="1"/>
  <c r="F1637" i="3" s="1"/>
  <c r="F1638" i="3" a="1"/>
  <c r="F1638" i="3" s="1"/>
  <c r="F1639" i="3" a="1"/>
  <c r="F1639" i="3" s="1"/>
  <c r="F1640" i="3" a="1"/>
  <c r="F1640" i="3" s="1"/>
  <c r="F1641" i="3" a="1"/>
  <c r="F1641" i="3" s="1"/>
  <c r="F1642" i="3" a="1"/>
  <c r="F1642" i="3" s="1"/>
  <c r="F1643" i="3" a="1"/>
  <c r="F1643" i="3" s="1"/>
  <c r="F1644" i="3" a="1"/>
  <c r="F1644" i="3" s="1"/>
  <c r="F1645" i="3" a="1"/>
  <c r="F1645" i="3" s="1"/>
  <c r="F1646" i="3" a="1"/>
  <c r="F1646" i="3" s="1"/>
  <c r="F1647" i="3" a="1"/>
  <c r="F1647" i="3" s="1"/>
  <c r="F1648" i="3" a="1"/>
  <c r="F1648" i="3" s="1"/>
  <c r="F1649" i="3" a="1"/>
  <c r="F1649" i="3" s="1"/>
  <c r="F1650" i="3" a="1"/>
  <c r="F1650" i="3" s="1"/>
  <c r="F1651" i="3" a="1"/>
  <c r="F1651" i="3" s="1"/>
  <c r="F1652" i="3" a="1"/>
  <c r="F1652" i="3" s="1"/>
  <c r="F1653" i="3" a="1"/>
  <c r="F1653" i="3" s="1"/>
  <c r="F1654" i="3" a="1"/>
  <c r="F1654" i="3" s="1"/>
  <c r="F1655" i="3" a="1"/>
  <c r="F1655" i="3" s="1"/>
  <c r="F1656" i="3" a="1"/>
  <c r="F1656" i="3" s="1"/>
  <c r="F1657" i="3" a="1"/>
  <c r="F1657" i="3" s="1"/>
  <c r="F1658" i="3" a="1"/>
  <c r="F1658" i="3" s="1"/>
  <c r="F1659" i="3" a="1"/>
  <c r="F1659" i="3" s="1"/>
  <c r="F1660" i="3" a="1"/>
  <c r="F1660" i="3" s="1"/>
  <c r="F1661" i="3" a="1"/>
  <c r="F1661" i="3" s="1"/>
  <c r="F1662" i="3" a="1"/>
  <c r="F1662" i="3" s="1"/>
  <c r="F1663" i="3" a="1"/>
  <c r="F1663" i="3" s="1"/>
  <c r="F1664" i="3" a="1"/>
  <c r="F1664" i="3" s="1"/>
  <c r="F1665" i="3" a="1"/>
  <c r="F1665" i="3" s="1"/>
  <c r="F1666" i="3" a="1"/>
  <c r="F1666" i="3" s="1"/>
  <c r="F1667" i="3" a="1"/>
  <c r="F1667" i="3" s="1"/>
  <c r="F1668" i="3" a="1"/>
  <c r="F1668" i="3" s="1"/>
  <c r="F1669" i="3" a="1"/>
  <c r="F1669" i="3" s="1"/>
  <c r="F1670" i="3" a="1"/>
  <c r="F1670" i="3" s="1"/>
  <c r="F1671" i="3" a="1"/>
  <c r="F1671" i="3" s="1"/>
  <c r="F1672" i="3" a="1"/>
  <c r="F1672" i="3" s="1"/>
  <c r="F1673" i="3" a="1"/>
  <c r="F1673" i="3" s="1"/>
  <c r="F1674" i="3" a="1"/>
  <c r="F1674" i="3" s="1"/>
  <c r="F1675" i="3" a="1"/>
  <c r="F1675" i="3" s="1"/>
  <c r="F1676" i="3" a="1"/>
  <c r="F1676" i="3" s="1"/>
  <c r="F1677" i="3" a="1"/>
  <c r="F1677" i="3" s="1"/>
  <c r="F1678" i="3" a="1"/>
  <c r="F1678" i="3" s="1"/>
  <c r="F1679" i="3" a="1"/>
  <c r="F1679" i="3" s="1"/>
  <c r="F1680" i="3" a="1"/>
  <c r="F1680" i="3" s="1"/>
  <c r="F1681" i="3" a="1"/>
  <c r="F1681" i="3" s="1"/>
  <c r="F1682" i="3" a="1"/>
  <c r="F1682" i="3" s="1"/>
  <c r="F1683" i="3" a="1"/>
  <c r="F1683" i="3" s="1"/>
  <c r="F1684" i="3" a="1"/>
  <c r="F1684" i="3" s="1"/>
  <c r="F1685" i="3" a="1"/>
  <c r="F1685" i="3" s="1"/>
  <c r="F1686" i="3" a="1"/>
  <c r="F1686" i="3" s="1"/>
  <c r="F1687" i="3" a="1"/>
  <c r="F1687" i="3" s="1"/>
  <c r="F1688" i="3" a="1"/>
  <c r="F1688" i="3" s="1"/>
  <c r="F1689" i="3" a="1"/>
  <c r="F1689" i="3" s="1"/>
  <c r="F1690" i="3" a="1"/>
  <c r="F1690" i="3" s="1"/>
  <c r="F1691" i="3" a="1"/>
  <c r="F1691" i="3" s="1"/>
  <c r="F1692" i="3" a="1"/>
  <c r="F1692" i="3" s="1"/>
  <c r="F1693" i="3" a="1"/>
  <c r="F1693" i="3" s="1"/>
  <c r="F1694" i="3" a="1"/>
  <c r="F1694" i="3" s="1"/>
  <c r="F1695" i="3" a="1"/>
  <c r="F1695" i="3" s="1"/>
  <c r="F1696" i="3" a="1"/>
  <c r="F1696" i="3" s="1"/>
  <c r="F1697" i="3" a="1"/>
  <c r="F1697" i="3" s="1"/>
  <c r="F1698" i="3" a="1"/>
  <c r="F1698" i="3" s="1"/>
  <c r="F1699" i="3" a="1"/>
  <c r="F1699" i="3" s="1"/>
  <c r="F1700" i="3" a="1"/>
  <c r="F1700" i="3" s="1"/>
  <c r="F1701" i="3" a="1"/>
  <c r="F1701" i="3" s="1"/>
  <c r="F1702" i="3" a="1"/>
  <c r="F1702" i="3" s="1"/>
  <c r="F1703" i="3" a="1"/>
  <c r="F1703" i="3" s="1"/>
  <c r="F1704" i="3" a="1"/>
  <c r="F1704" i="3" s="1"/>
  <c r="F1705" i="3" a="1"/>
  <c r="F1705" i="3" s="1"/>
  <c r="F1706" i="3" a="1"/>
  <c r="F1706" i="3" s="1"/>
  <c r="F1707" i="3" a="1"/>
  <c r="F1707" i="3" s="1"/>
  <c r="F1708" i="3" a="1"/>
  <c r="F1708" i="3" s="1"/>
  <c r="F1709" i="3" a="1"/>
  <c r="F1709" i="3" s="1"/>
  <c r="F1710" i="3" a="1"/>
  <c r="F1710" i="3" s="1"/>
  <c r="F1711" i="3" a="1"/>
  <c r="F1711" i="3" s="1"/>
  <c r="F1712" i="3" a="1"/>
  <c r="F1712" i="3" s="1"/>
  <c r="F1713" i="3" a="1"/>
  <c r="F1713" i="3" s="1"/>
  <c r="F1714" i="3" a="1"/>
  <c r="F1714" i="3" s="1"/>
  <c r="F1715" i="3" a="1"/>
  <c r="F1715" i="3" s="1"/>
  <c r="F1716" i="3" a="1"/>
  <c r="F1716" i="3" s="1"/>
  <c r="F1717" i="3" a="1"/>
  <c r="F1717" i="3" s="1"/>
  <c r="F1718" i="3" a="1"/>
  <c r="F1718" i="3" s="1"/>
  <c r="F1719" i="3" a="1"/>
  <c r="F1719" i="3" s="1"/>
  <c r="F1720" i="3" a="1"/>
  <c r="F1720" i="3" s="1"/>
  <c r="F1721" i="3" a="1"/>
  <c r="F1721" i="3" s="1"/>
  <c r="F1722" i="3" a="1"/>
  <c r="F1722" i="3" s="1"/>
  <c r="F1723" i="3" a="1"/>
  <c r="F1723" i="3" s="1"/>
  <c r="F1724" i="3" a="1"/>
  <c r="F1724" i="3" s="1"/>
  <c r="F1725" i="3" a="1"/>
  <c r="F1725" i="3" s="1"/>
  <c r="F1726" i="3" a="1"/>
  <c r="F1726" i="3" s="1"/>
  <c r="F1727" i="3" a="1"/>
  <c r="F1727" i="3" s="1"/>
  <c r="F1728" i="3" a="1"/>
  <c r="F1728" i="3" s="1"/>
  <c r="F1729" i="3" a="1"/>
  <c r="F1729" i="3" s="1"/>
  <c r="F1730" i="3" a="1"/>
  <c r="F1730" i="3" s="1"/>
  <c r="F1731" i="3" a="1"/>
  <c r="F1731" i="3" s="1"/>
  <c r="F1732" i="3" a="1"/>
  <c r="F1732" i="3" s="1"/>
  <c r="F1733" i="3" a="1"/>
  <c r="F1733" i="3" s="1"/>
  <c r="F1734" i="3" a="1"/>
  <c r="F1734" i="3" s="1"/>
  <c r="F1735" i="3" a="1"/>
  <c r="F1735" i="3" s="1"/>
  <c r="F1736" i="3" a="1"/>
  <c r="F1736" i="3" s="1"/>
  <c r="F1737" i="3" a="1"/>
  <c r="F1737" i="3" s="1"/>
  <c r="F1738" i="3" a="1"/>
  <c r="F1738" i="3" s="1"/>
  <c r="F1739" i="3" a="1"/>
  <c r="F1739" i="3" s="1"/>
  <c r="F1740" i="3" a="1"/>
  <c r="F1740" i="3" s="1"/>
  <c r="F1741" i="3" a="1"/>
  <c r="F1741" i="3" s="1"/>
  <c r="F1742" i="3" a="1"/>
  <c r="F1742" i="3" s="1"/>
  <c r="F1743" i="3" a="1"/>
  <c r="F1743" i="3" s="1"/>
  <c r="F1744" i="3" a="1"/>
  <c r="F1744" i="3" s="1"/>
  <c r="F1745" i="3" a="1"/>
  <c r="F1745" i="3" s="1"/>
  <c r="F1746" i="3" a="1"/>
  <c r="F1746" i="3" s="1"/>
  <c r="F1747" i="3" a="1"/>
  <c r="F1747" i="3" s="1"/>
  <c r="F1748" i="3" a="1"/>
  <c r="F1748" i="3" s="1"/>
  <c r="F1749" i="3" a="1"/>
  <c r="F1749" i="3" s="1"/>
  <c r="F1750" i="3" a="1"/>
  <c r="F1750" i="3" s="1"/>
  <c r="F1751" i="3" a="1"/>
  <c r="F1751" i="3" s="1"/>
  <c r="F1752" i="3" a="1"/>
  <c r="F1752" i="3" s="1"/>
  <c r="F1753" i="3" a="1"/>
  <c r="F1753" i="3" s="1"/>
  <c r="F1754" i="3" a="1"/>
  <c r="F1754" i="3" s="1"/>
  <c r="F1755" i="3" a="1"/>
  <c r="F1755" i="3" s="1"/>
  <c r="F1756" i="3" a="1"/>
  <c r="F1756" i="3" s="1"/>
  <c r="F1757" i="3" a="1"/>
  <c r="F1757" i="3" s="1"/>
  <c r="F1758" i="3" a="1"/>
  <c r="F1758" i="3" s="1"/>
  <c r="F1759" i="3" a="1"/>
  <c r="F1759" i="3" s="1"/>
  <c r="F1760" i="3" a="1"/>
  <c r="F1760" i="3" s="1"/>
  <c r="F1761" i="3" a="1"/>
  <c r="F1761" i="3" s="1"/>
  <c r="F1762" i="3" a="1"/>
  <c r="F1762" i="3" s="1"/>
  <c r="F1763" i="3" a="1"/>
  <c r="F1763" i="3" s="1"/>
  <c r="F1764" i="3" a="1"/>
  <c r="F1764" i="3" s="1"/>
  <c r="F1765" i="3" a="1"/>
  <c r="F1765" i="3" s="1"/>
  <c r="F1766" i="3" a="1"/>
  <c r="F1766" i="3" s="1"/>
  <c r="F1767" i="3" a="1"/>
  <c r="F1767" i="3" s="1"/>
  <c r="F1768" i="3" a="1"/>
  <c r="F1768" i="3" s="1"/>
  <c r="F1769" i="3" a="1"/>
  <c r="F1769" i="3" s="1"/>
  <c r="F1770" i="3" a="1"/>
  <c r="F1770" i="3" s="1"/>
  <c r="F1771" i="3" a="1"/>
  <c r="F1771" i="3" s="1"/>
  <c r="F1772" i="3" a="1"/>
  <c r="F1772" i="3" s="1"/>
  <c r="F1773" i="3" a="1"/>
  <c r="F1773" i="3" s="1"/>
  <c r="F1774" i="3" a="1"/>
  <c r="F1774" i="3" s="1"/>
  <c r="F1775" i="3" a="1"/>
  <c r="F1775" i="3" s="1"/>
  <c r="F1776" i="3" a="1"/>
  <c r="F1776" i="3" s="1"/>
  <c r="F1777" i="3" a="1"/>
  <c r="F1777" i="3" s="1"/>
  <c r="F1778" i="3" a="1"/>
  <c r="F1778" i="3" s="1"/>
  <c r="F1779" i="3" a="1"/>
  <c r="F1779" i="3" s="1"/>
  <c r="F1780" i="3" a="1"/>
  <c r="F1780" i="3" s="1"/>
  <c r="F1781" i="3" a="1"/>
  <c r="F1781" i="3" s="1"/>
  <c r="F1782" i="3" a="1"/>
  <c r="F1782" i="3" s="1"/>
  <c r="F1783" i="3" a="1"/>
  <c r="F1783" i="3" s="1"/>
  <c r="F1784" i="3" a="1"/>
  <c r="F1784" i="3" s="1"/>
  <c r="F1785" i="3" a="1"/>
  <c r="F1785" i="3" s="1"/>
  <c r="F1786" i="3" a="1"/>
  <c r="F1786" i="3" s="1"/>
  <c r="F1787" i="3" a="1"/>
  <c r="F1787" i="3" s="1"/>
  <c r="F1788" i="3" a="1"/>
  <c r="F1788" i="3" s="1"/>
  <c r="F1789" i="3" a="1"/>
  <c r="F1789" i="3" s="1"/>
  <c r="F1790" i="3" a="1"/>
  <c r="F1790" i="3" s="1"/>
  <c r="F1791" i="3" a="1"/>
  <c r="F1791" i="3" s="1"/>
  <c r="F1792" i="3" a="1"/>
  <c r="F1792" i="3" s="1"/>
  <c r="F1793" i="3" a="1"/>
  <c r="F1793" i="3" s="1"/>
  <c r="F1794" i="3" a="1"/>
  <c r="F1794" i="3" s="1"/>
  <c r="F1795" i="3" a="1"/>
  <c r="F1795" i="3" s="1"/>
  <c r="F1796" i="3" a="1"/>
  <c r="F1796" i="3" s="1"/>
  <c r="F1797" i="3" a="1"/>
  <c r="F1797" i="3" s="1"/>
  <c r="F1798" i="3" a="1"/>
  <c r="F1798" i="3" s="1"/>
  <c r="F1799" i="3" a="1"/>
  <c r="F1799" i="3" s="1"/>
  <c r="F1800" i="3" a="1"/>
  <c r="F1800" i="3" s="1"/>
  <c r="F1801" i="3" a="1"/>
  <c r="F1801" i="3" s="1"/>
  <c r="F1802" i="3" a="1"/>
  <c r="F1802" i="3" s="1"/>
  <c r="F1803" i="3" a="1"/>
  <c r="F1803" i="3" s="1"/>
  <c r="F1804" i="3" a="1"/>
  <c r="F1804" i="3" s="1"/>
  <c r="F1805" i="3" a="1"/>
  <c r="F1805" i="3" s="1"/>
  <c r="F1806" i="3" a="1"/>
  <c r="F1806" i="3" s="1"/>
  <c r="F1807" i="3" a="1"/>
  <c r="F1807" i="3" s="1"/>
  <c r="F1808" i="3" a="1"/>
  <c r="F1808" i="3" s="1"/>
  <c r="F1809" i="3" a="1"/>
  <c r="F1809" i="3" s="1"/>
  <c r="F1810" i="3" a="1"/>
  <c r="F1810" i="3" s="1"/>
  <c r="F1811" i="3" a="1"/>
  <c r="F1811" i="3" s="1"/>
  <c r="F1812" i="3" a="1"/>
  <c r="F1812" i="3" s="1"/>
  <c r="F1813" i="3" a="1"/>
  <c r="F1813" i="3" s="1"/>
  <c r="F1814" i="3" a="1"/>
  <c r="F1814" i="3" s="1"/>
  <c r="F1815" i="3" a="1"/>
  <c r="F1815" i="3" s="1"/>
  <c r="F1816" i="3" a="1"/>
  <c r="F1816" i="3" s="1"/>
  <c r="F1817" i="3" a="1"/>
  <c r="F1817" i="3" s="1"/>
  <c r="F1818" i="3" a="1"/>
  <c r="F1818" i="3" s="1"/>
  <c r="F1819" i="3" a="1"/>
  <c r="F1819" i="3" s="1"/>
  <c r="F1820" i="3" a="1"/>
  <c r="F1820" i="3" s="1"/>
  <c r="F1821" i="3" a="1"/>
  <c r="F1821" i="3" s="1"/>
  <c r="F1822" i="3" a="1"/>
  <c r="F1822" i="3" s="1"/>
  <c r="F1823" i="3" a="1"/>
  <c r="F1823" i="3" s="1"/>
  <c r="F1824" i="3" a="1"/>
  <c r="F1824" i="3" s="1"/>
  <c r="F1825" i="3" a="1"/>
  <c r="F1825" i="3" s="1"/>
  <c r="F1826" i="3" a="1"/>
  <c r="F1826" i="3" s="1"/>
  <c r="F1827" i="3" a="1"/>
  <c r="F1827" i="3" s="1"/>
  <c r="F1828" i="3" a="1"/>
  <c r="F1828" i="3" s="1"/>
  <c r="F1829" i="3" a="1"/>
  <c r="F1829" i="3" s="1"/>
  <c r="F1830" i="3" a="1"/>
  <c r="F1830" i="3" s="1"/>
  <c r="F1831" i="3" a="1"/>
  <c r="F1831" i="3" s="1"/>
  <c r="F1832" i="3" a="1"/>
  <c r="F1832" i="3" s="1"/>
  <c r="F1833" i="3" a="1"/>
  <c r="F1833" i="3" s="1"/>
  <c r="F1834" i="3" a="1"/>
  <c r="F1834" i="3" s="1"/>
  <c r="F1835" i="3" a="1"/>
  <c r="F1835" i="3" s="1"/>
  <c r="F1836" i="3" a="1"/>
  <c r="F1836" i="3" s="1"/>
  <c r="F1837" i="3" a="1"/>
  <c r="F1837" i="3" s="1"/>
  <c r="F1838" i="3" a="1"/>
  <c r="F1838" i="3" s="1"/>
  <c r="F1839" i="3" a="1"/>
  <c r="F1839" i="3" s="1"/>
  <c r="F1840" i="3" a="1"/>
  <c r="F1840" i="3" s="1"/>
  <c r="F1841" i="3" a="1"/>
  <c r="F1841" i="3" s="1"/>
  <c r="F1842" i="3" a="1"/>
  <c r="F1842" i="3" s="1"/>
  <c r="F1843" i="3" a="1"/>
  <c r="F1843" i="3" s="1"/>
  <c r="F1844" i="3" a="1"/>
  <c r="F1844" i="3" s="1"/>
  <c r="F1845" i="3" a="1"/>
  <c r="F1845" i="3" s="1"/>
  <c r="F1846" i="3" a="1"/>
  <c r="F1846" i="3" s="1"/>
  <c r="F1847" i="3" a="1"/>
  <c r="F1847" i="3" s="1"/>
  <c r="F1848" i="3" a="1"/>
  <c r="F1848" i="3" s="1"/>
  <c r="F1849" i="3" a="1"/>
  <c r="F1849" i="3" s="1"/>
  <c r="F1850" i="3" a="1"/>
  <c r="F1850" i="3" s="1"/>
  <c r="F1851" i="3" a="1"/>
  <c r="F1851" i="3" s="1"/>
  <c r="F1852" i="3" a="1"/>
  <c r="F1852" i="3" s="1"/>
  <c r="F1853" i="3" a="1"/>
  <c r="F1853" i="3" s="1"/>
  <c r="F1854" i="3" a="1"/>
  <c r="F1854" i="3" s="1"/>
  <c r="F1855" i="3" a="1"/>
  <c r="F1855" i="3" s="1"/>
  <c r="F1856" i="3" a="1"/>
  <c r="F1856" i="3" s="1"/>
  <c r="F1857" i="3" a="1"/>
  <c r="F1857" i="3" s="1"/>
  <c r="F1858" i="3" a="1"/>
  <c r="F1858" i="3" s="1"/>
  <c r="F1859" i="3" a="1"/>
  <c r="F1859" i="3" s="1"/>
  <c r="F1860" i="3" a="1"/>
  <c r="F1860" i="3" s="1"/>
  <c r="F1861" i="3" a="1"/>
  <c r="F1861" i="3" s="1"/>
  <c r="F1862" i="3" a="1"/>
  <c r="F1862" i="3" s="1"/>
  <c r="F1863" i="3" a="1"/>
  <c r="F1863" i="3" s="1"/>
  <c r="F1864" i="3" a="1"/>
  <c r="F1864" i="3" s="1"/>
  <c r="F1865" i="3" a="1"/>
  <c r="F1865" i="3" s="1"/>
  <c r="F1866" i="3" a="1"/>
  <c r="F1866" i="3" s="1"/>
  <c r="F1867" i="3" a="1"/>
  <c r="F1867" i="3" s="1"/>
  <c r="F1868" i="3" a="1"/>
  <c r="F1868" i="3" s="1"/>
  <c r="F1869" i="3" a="1"/>
  <c r="F1869" i="3" s="1"/>
  <c r="F1870" i="3" a="1"/>
  <c r="F1870" i="3" s="1"/>
  <c r="F1871" i="3" a="1"/>
  <c r="F1871" i="3" s="1"/>
  <c r="F1872" i="3" a="1"/>
  <c r="F1872" i="3" s="1"/>
  <c r="F1873" i="3" a="1"/>
  <c r="F1873" i="3" s="1"/>
  <c r="F1874" i="3" a="1"/>
  <c r="F1874" i="3" s="1"/>
  <c r="F1875" i="3" a="1"/>
  <c r="F1875" i="3" s="1"/>
  <c r="F1876" i="3" a="1"/>
  <c r="F1876" i="3" s="1"/>
  <c r="F1877" i="3" a="1"/>
  <c r="F1877" i="3" s="1"/>
  <c r="F1878" i="3" a="1"/>
  <c r="F1878" i="3" s="1"/>
  <c r="F1879" i="3" a="1"/>
  <c r="F1879" i="3" s="1"/>
  <c r="F1880" i="3" a="1"/>
  <c r="F1880" i="3" s="1"/>
  <c r="F1881" i="3" a="1"/>
  <c r="F1881" i="3" s="1"/>
  <c r="F1882" i="3" a="1"/>
  <c r="F1882" i="3" s="1"/>
  <c r="F1883" i="3" a="1"/>
  <c r="F1883" i="3" s="1"/>
  <c r="F1884" i="3" a="1"/>
  <c r="F1884" i="3" s="1"/>
  <c r="F1885" i="3" a="1"/>
  <c r="F1885" i="3" s="1"/>
  <c r="F1886" i="3" a="1"/>
  <c r="F1886" i="3" s="1"/>
  <c r="F1887" i="3" a="1"/>
  <c r="F1887" i="3" s="1"/>
  <c r="F1888" i="3" a="1"/>
  <c r="F1888" i="3" s="1"/>
  <c r="F1889" i="3" a="1"/>
  <c r="F1889" i="3" s="1"/>
  <c r="F1890" i="3" a="1"/>
  <c r="F1890" i="3" s="1"/>
  <c r="F1891" i="3" a="1"/>
  <c r="F1891" i="3" s="1"/>
  <c r="F1892" i="3" a="1"/>
  <c r="F1892" i="3" s="1"/>
  <c r="F1893" i="3" a="1"/>
  <c r="F1893" i="3" s="1"/>
  <c r="F1894" i="3" a="1"/>
  <c r="F1894" i="3" s="1"/>
  <c r="F1895" i="3" a="1"/>
  <c r="F1895" i="3" s="1"/>
  <c r="F1896" i="3" a="1"/>
  <c r="F1896" i="3" s="1"/>
  <c r="F1897" i="3" a="1"/>
  <c r="F1897" i="3" s="1"/>
  <c r="F1898" i="3" a="1"/>
  <c r="F1898" i="3" s="1"/>
  <c r="F1899" i="3" a="1"/>
  <c r="F1899" i="3" s="1"/>
  <c r="F1900" i="3" a="1"/>
  <c r="F1900" i="3" s="1"/>
  <c r="F1901" i="3" a="1"/>
  <c r="F1901" i="3" s="1"/>
  <c r="F1902" i="3" a="1"/>
  <c r="F1902" i="3" s="1"/>
  <c r="F1903" i="3" a="1"/>
  <c r="F1903" i="3" s="1"/>
  <c r="F1904" i="3" a="1"/>
  <c r="F1904" i="3" s="1"/>
  <c r="F1905" i="3" a="1"/>
  <c r="F1905" i="3" s="1"/>
  <c r="F1906" i="3" a="1"/>
  <c r="F1906" i="3" s="1"/>
  <c r="F1907" i="3" a="1"/>
  <c r="F1907" i="3" s="1"/>
  <c r="F1908" i="3" a="1"/>
  <c r="F1908" i="3" s="1"/>
  <c r="F1909" i="3" a="1"/>
  <c r="F1909" i="3" s="1"/>
  <c r="F1910" i="3" a="1"/>
  <c r="F1910" i="3" s="1"/>
  <c r="F1911" i="3" a="1"/>
  <c r="F1911" i="3" s="1"/>
  <c r="F1912" i="3" a="1"/>
  <c r="F1912" i="3" s="1"/>
  <c r="F1913" i="3" a="1"/>
  <c r="F1913" i="3" s="1"/>
  <c r="F1914" i="3" a="1"/>
  <c r="F1914" i="3" s="1"/>
  <c r="F1915" i="3" a="1"/>
  <c r="F1915" i="3" s="1"/>
  <c r="F1916" i="3" a="1"/>
  <c r="F1916" i="3" s="1"/>
  <c r="F1917" i="3" a="1"/>
  <c r="F1917" i="3" s="1"/>
  <c r="F1918" i="3" a="1"/>
  <c r="F1918" i="3" s="1"/>
  <c r="F1919" i="3" a="1"/>
  <c r="F1919" i="3" s="1"/>
  <c r="F1920" i="3" a="1"/>
  <c r="F1920" i="3" s="1"/>
  <c r="F1921" i="3" a="1"/>
  <c r="F1921" i="3" s="1"/>
  <c r="F1922" i="3" a="1"/>
  <c r="F1922" i="3" s="1"/>
  <c r="F1923" i="3" a="1"/>
  <c r="F1923" i="3" s="1"/>
  <c r="F1924" i="3" a="1"/>
  <c r="F1924" i="3" s="1"/>
  <c r="F1925" i="3" a="1"/>
  <c r="F1925" i="3" s="1"/>
  <c r="F1926" i="3" a="1"/>
  <c r="F1926" i="3" s="1"/>
  <c r="F1927" i="3" a="1"/>
  <c r="F1927" i="3" s="1"/>
  <c r="F1928" i="3" a="1"/>
  <c r="F1928" i="3" s="1"/>
  <c r="F1929" i="3" a="1"/>
  <c r="F1929" i="3" s="1"/>
  <c r="F1930" i="3" a="1"/>
  <c r="F1930" i="3" s="1"/>
  <c r="F1931" i="3" a="1"/>
  <c r="F1931" i="3" s="1"/>
  <c r="F1932" i="3" a="1"/>
  <c r="F1932" i="3" s="1"/>
  <c r="F1933" i="3" a="1"/>
  <c r="F1933" i="3" s="1"/>
  <c r="F1934" i="3" a="1"/>
  <c r="F1934" i="3" s="1"/>
  <c r="F1935" i="3" a="1"/>
  <c r="F1935" i="3" s="1"/>
  <c r="F1936" i="3" a="1"/>
  <c r="F1936" i="3" s="1"/>
  <c r="F1937" i="3" a="1"/>
  <c r="F1937" i="3" s="1"/>
  <c r="F1938" i="3" a="1"/>
  <c r="F1938" i="3" s="1"/>
  <c r="F1939" i="3" a="1"/>
  <c r="F1939" i="3" s="1"/>
  <c r="F1940" i="3" a="1"/>
  <c r="F1940" i="3" s="1"/>
  <c r="F1941" i="3" a="1"/>
  <c r="F1941" i="3" s="1"/>
  <c r="F1942" i="3" a="1"/>
  <c r="F1942" i="3" s="1"/>
  <c r="F1943" i="3" a="1"/>
  <c r="F1943" i="3" s="1"/>
  <c r="F1944" i="3" a="1"/>
  <c r="F1944" i="3" s="1"/>
  <c r="F1945" i="3" a="1"/>
  <c r="F1945" i="3" s="1"/>
  <c r="F1946" i="3" a="1"/>
  <c r="F1946" i="3" s="1"/>
  <c r="F1947" i="3" a="1"/>
  <c r="F1947" i="3" s="1"/>
  <c r="F1948" i="3" a="1"/>
  <c r="F1948" i="3" s="1"/>
  <c r="F1949" i="3" a="1"/>
  <c r="F1949" i="3" s="1"/>
  <c r="F1950" i="3" a="1"/>
  <c r="F1950" i="3" s="1"/>
  <c r="F1951" i="3" a="1"/>
  <c r="F1951" i="3" s="1"/>
  <c r="F1952" i="3" a="1"/>
  <c r="F1952" i="3" s="1"/>
  <c r="F1953" i="3" a="1"/>
  <c r="F1953" i="3" s="1"/>
  <c r="F1954" i="3" a="1"/>
  <c r="F1954" i="3" s="1"/>
  <c r="F1955" i="3" a="1"/>
  <c r="F1955" i="3" s="1"/>
  <c r="F1956" i="3" a="1"/>
  <c r="F1956" i="3" s="1"/>
  <c r="F1957" i="3" a="1"/>
  <c r="F1957" i="3" s="1"/>
  <c r="F1958" i="3" a="1"/>
  <c r="F1958" i="3" s="1"/>
  <c r="F1959" i="3" a="1"/>
  <c r="F1959" i="3" s="1"/>
  <c r="F1960" i="3" a="1"/>
  <c r="F1960" i="3" s="1"/>
  <c r="F1961" i="3" a="1"/>
  <c r="F1961" i="3" s="1"/>
  <c r="F1962" i="3" a="1"/>
  <c r="F1962" i="3" s="1"/>
  <c r="F1963" i="3" a="1"/>
  <c r="F1963" i="3" s="1"/>
  <c r="F1964" i="3" a="1"/>
  <c r="F1964" i="3" s="1"/>
  <c r="F1965" i="3" a="1"/>
  <c r="F1965" i="3" s="1"/>
  <c r="F1966" i="3" a="1"/>
  <c r="F1966" i="3" s="1"/>
  <c r="F1967" i="3" a="1"/>
  <c r="F1967" i="3" s="1"/>
  <c r="F1968" i="3" a="1"/>
  <c r="F1968" i="3" s="1"/>
  <c r="F1969" i="3" a="1"/>
  <c r="F1969" i="3" s="1"/>
  <c r="F1970" i="3" a="1"/>
  <c r="F1970" i="3" s="1"/>
  <c r="F1971" i="3" a="1"/>
  <c r="F1971" i="3" s="1"/>
  <c r="F1972" i="3" a="1"/>
  <c r="F1972" i="3" s="1"/>
  <c r="F1973" i="3" a="1"/>
  <c r="F1973" i="3" s="1"/>
  <c r="F1974" i="3" a="1"/>
  <c r="F1974" i="3" s="1"/>
  <c r="F1975" i="3" a="1"/>
  <c r="F1975" i="3" s="1"/>
  <c r="F1976" i="3" a="1"/>
  <c r="F1976" i="3" s="1"/>
  <c r="F1977" i="3" a="1"/>
  <c r="F1977" i="3" s="1"/>
  <c r="F1978" i="3" a="1"/>
  <c r="F1978" i="3" s="1"/>
  <c r="F1979" i="3" a="1"/>
  <c r="F1979" i="3" s="1"/>
  <c r="F1980" i="3" a="1"/>
  <c r="F1980" i="3" s="1"/>
  <c r="F1981" i="3" a="1"/>
  <c r="F1981" i="3" s="1"/>
  <c r="F1982" i="3" a="1"/>
  <c r="F1982" i="3" s="1"/>
  <c r="F1983" i="3" a="1"/>
  <c r="F1983" i="3" s="1"/>
  <c r="F1984" i="3" a="1"/>
  <c r="F1984" i="3" s="1"/>
  <c r="F1985" i="3" a="1"/>
  <c r="F1985" i="3" s="1"/>
  <c r="F1986" i="3" a="1"/>
  <c r="F1986" i="3" s="1"/>
  <c r="F1987" i="3" a="1"/>
  <c r="F1987" i="3" s="1"/>
  <c r="F1988" i="3" a="1"/>
  <c r="F1988" i="3" s="1"/>
  <c r="F1989" i="3" a="1"/>
  <c r="F1989" i="3" s="1"/>
  <c r="F1990" i="3" a="1"/>
  <c r="F1990" i="3" s="1"/>
  <c r="F1991" i="3" a="1"/>
  <c r="F1991" i="3" s="1"/>
  <c r="F1992" i="3" a="1"/>
  <c r="F1992" i="3" s="1"/>
  <c r="F1993" i="3" a="1"/>
  <c r="F1993" i="3" s="1"/>
  <c r="F1994" i="3" a="1"/>
  <c r="F1994" i="3" s="1"/>
  <c r="F1995" i="3" a="1"/>
  <c r="F1995" i="3" s="1"/>
  <c r="F1996" i="3" a="1"/>
  <c r="F1996" i="3" s="1"/>
  <c r="F1997" i="3" a="1"/>
  <c r="F1997" i="3" s="1"/>
  <c r="F1998" i="3" a="1"/>
  <c r="F1998" i="3" s="1"/>
  <c r="F1999" i="3" a="1"/>
  <c r="F1999" i="3" s="1"/>
  <c r="F2000" i="3" a="1"/>
  <c r="F2000" i="3" s="1"/>
  <c r="F2001" i="3" a="1"/>
  <c r="F2001" i="3" s="1"/>
  <c r="F2002" i="3" a="1"/>
  <c r="F2002" i="3" s="1"/>
  <c r="F2003" i="3" a="1"/>
  <c r="F2003" i="3" s="1"/>
  <c r="F2004" i="3" a="1"/>
  <c r="F2004" i="3" s="1"/>
  <c r="F2005" i="3" a="1"/>
  <c r="F2005" i="3" s="1"/>
  <c r="F2006" i="3" a="1"/>
  <c r="F2006" i="3" s="1"/>
  <c r="F2007" i="3" a="1"/>
  <c r="F2007" i="3" s="1"/>
  <c r="D3229" i="6" a="1"/>
  <c r="D3229" i="6" s="1"/>
  <c r="E3229" i="6" s="1" a="1"/>
  <c r="E3229" i="6" s="1"/>
  <c r="C3229" i="6" a="1"/>
  <c r="C3229" i="6" s="1"/>
  <c r="D3228" i="6" a="1"/>
  <c r="D3228" i="6" s="1"/>
  <c r="E3228" i="6" s="1" a="1"/>
  <c r="E3228" i="6" s="1"/>
  <c r="C3228" i="6" a="1"/>
  <c r="C3228" i="6" s="1"/>
  <c r="D3227" i="6" a="1"/>
  <c r="D3227" i="6" s="1"/>
  <c r="E3227" i="6" s="1" a="1"/>
  <c r="E3227" i="6" s="1"/>
  <c r="C3227" i="6" a="1"/>
  <c r="C3227" i="6" s="1"/>
  <c r="D3226" i="6" a="1"/>
  <c r="D3226" i="6" s="1"/>
  <c r="E3226" i="6" s="1" a="1"/>
  <c r="E3226" i="6" s="1"/>
  <c r="C3226" i="6" a="1"/>
  <c r="C3226" i="6" s="1"/>
  <c r="D3225" i="6" a="1"/>
  <c r="D3225" i="6" s="1"/>
  <c r="E3225" i="6" s="1" a="1"/>
  <c r="E3225" i="6" s="1"/>
  <c r="C3225" i="6" a="1"/>
  <c r="C3225" i="6" s="1"/>
  <c r="D3224" i="6" a="1"/>
  <c r="D3224" i="6" s="1"/>
  <c r="E3224" i="6" s="1" a="1"/>
  <c r="E3224" i="6" s="1"/>
  <c r="C3224" i="6" a="1"/>
  <c r="C3224" i="6" s="1"/>
  <c r="D3223" i="6" a="1"/>
  <c r="D3223" i="6" s="1"/>
  <c r="E3223" i="6" s="1" a="1"/>
  <c r="E3223" i="6" s="1"/>
  <c r="C3223" i="6" a="1"/>
  <c r="C3223" i="6" s="1"/>
  <c r="D3222" i="6" a="1"/>
  <c r="D3222" i="6" s="1"/>
  <c r="E3222" i="6" s="1" a="1"/>
  <c r="E3222" i="6" s="1"/>
  <c r="C3222" i="6" a="1"/>
  <c r="C3222" i="6" s="1"/>
  <c r="D3221" i="6" a="1"/>
  <c r="D3221" i="6" s="1"/>
  <c r="E3221" i="6" s="1" a="1"/>
  <c r="E3221" i="6" s="1"/>
  <c r="C3221" i="6" a="1"/>
  <c r="C3221" i="6" s="1"/>
  <c r="D3220" i="6" a="1"/>
  <c r="D3220" i="6" s="1"/>
  <c r="E3220" i="6" s="1" a="1"/>
  <c r="E3220" i="6" s="1"/>
  <c r="C3220" i="6" a="1"/>
  <c r="C3220" i="6" s="1"/>
  <c r="D3219" i="6" a="1"/>
  <c r="D3219" i="6" s="1"/>
  <c r="E3219" i="6" s="1" a="1"/>
  <c r="E3219" i="6" s="1"/>
  <c r="C3219" i="6" a="1"/>
  <c r="C3219" i="6" s="1"/>
  <c r="D3218" i="6" a="1"/>
  <c r="D3218" i="6" s="1"/>
  <c r="E3218" i="6" s="1" a="1"/>
  <c r="E3218" i="6" s="1"/>
  <c r="C3218" i="6" a="1"/>
  <c r="C3218" i="6" s="1"/>
  <c r="D3217" i="6" a="1"/>
  <c r="D3217" i="6" s="1"/>
  <c r="E3217" i="6" s="1" a="1"/>
  <c r="E3217" i="6" s="1"/>
  <c r="C3217" i="6" a="1"/>
  <c r="C3217" i="6" s="1"/>
  <c r="D3216" i="6" a="1"/>
  <c r="D3216" i="6" s="1"/>
  <c r="E3216" i="6" s="1" a="1"/>
  <c r="E3216" i="6" s="1"/>
  <c r="C3216" i="6" a="1"/>
  <c r="C3216" i="6" s="1"/>
  <c r="D3215" i="6" a="1"/>
  <c r="D3215" i="6" s="1"/>
  <c r="E3215" i="6" s="1" a="1"/>
  <c r="E3215" i="6" s="1"/>
  <c r="C3215" i="6" a="1"/>
  <c r="C3215" i="6" s="1"/>
  <c r="D3214" i="6" a="1"/>
  <c r="D3214" i="6" s="1"/>
  <c r="E3214" i="6" s="1" a="1"/>
  <c r="E3214" i="6" s="1"/>
  <c r="C3214" i="6" a="1"/>
  <c r="C3214" i="6" s="1"/>
  <c r="D3213" i="6" a="1"/>
  <c r="D3213" i="6" s="1"/>
  <c r="E3213" i="6" s="1" a="1"/>
  <c r="E3213" i="6" s="1"/>
  <c r="C3213" i="6" a="1"/>
  <c r="C3213" i="6" s="1"/>
  <c r="D3212" i="6" a="1"/>
  <c r="D3212" i="6" s="1"/>
  <c r="E3212" i="6" s="1" a="1"/>
  <c r="E3212" i="6" s="1"/>
  <c r="C3212" i="6" a="1"/>
  <c r="C3212" i="6" s="1"/>
  <c r="D3211" i="6" a="1"/>
  <c r="D3211" i="6" s="1"/>
  <c r="E3211" i="6" s="1" a="1"/>
  <c r="E3211" i="6" s="1"/>
  <c r="C3211" i="6" a="1"/>
  <c r="C3211" i="6" s="1"/>
  <c r="D3210" i="6" a="1"/>
  <c r="D3210" i="6" s="1"/>
  <c r="E3210" i="6" s="1" a="1"/>
  <c r="E3210" i="6" s="1"/>
  <c r="C3210" i="6" a="1"/>
  <c r="C3210" i="6" s="1"/>
  <c r="D3209" i="6" a="1"/>
  <c r="D3209" i="6" s="1"/>
  <c r="E3209" i="6" s="1" a="1"/>
  <c r="E3209" i="6" s="1"/>
  <c r="C3209" i="6" a="1"/>
  <c r="C3209" i="6" s="1"/>
  <c r="D3208" i="6" a="1"/>
  <c r="D3208" i="6" s="1"/>
  <c r="E3208" i="6" s="1" a="1"/>
  <c r="E3208" i="6" s="1"/>
  <c r="C3208" i="6" a="1"/>
  <c r="C3208" i="6" s="1"/>
  <c r="D3207" i="6" a="1"/>
  <c r="D3207" i="6" s="1"/>
  <c r="E3207" i="6" s="1" a="1"/>
  <c r="E3207" i="6" s="1"/>
  <c r="C3207" i="6" a="1"/>
  <c r="C3207" i="6" s="1"/>
  <c r="D3206" i="6" a="1"/>
  <c r="D3206" i="6" s="1"/>
  <c r="E3206" i="6" s="1" a="1"/>
  <c r="E3206" i="6" s="1"/>
  <c r="C3206" i="6" a="1"/>
  <c r="C3206" i="6" s="1"/>
  <c r="D3205" i="6" a="1"/>
  <c r="D3205" i="6" s="1"/>
  <c r="E3205" i="6" s="1" a="1"/>
  <c r="E3205" i="6" s="1"/>
  <c r="C3205" i="6" a="1"/>
  <c r="C3205" i="6" s="1"/>
  <c r="D3204" i="6" a="1"/>
  <c r="D3204" i="6" s="1"/>
  <c r="E3204" i="6" s="1" a="1"/>
  <c r="E3204" i="6" s="1"/>
  <c r="C3204" i="6" a="1"/>
  <c r="C3204" i="6" s="1"/>
  <c r="D3203" i="6" a="1"/>
  <c r="D3203" i="6" s="1"/>
  <c r="E3203" i="6" s="1" a="1"/>
  <c r="E3203" i="6" s="1"/>
  <c r="C3203" i="6" a="1"/>
  <c r="C3203" i="6" s="1"/>
  <c r="D3202" i="6" a="1"/>
  <c r="D3202" i="6" s="1"/>
  <c r="E3202" i="6" s="1" a="1"/>
  <c r="E3202" i="6" s="1"/>
  <c r="C3202" i="6" a="1"/>
  <c r="C3202" i="6" s="1"/>
  <c r="D3201" i="6" a="1"/>
  <c r="D3201" i="6" s="1"/>
  <c r="E3201" i="6" s="1" a="1"/>
  <c r="E3201" i="6" s="1"/>
  <c r="C3201" i="6" a="1"/>
  <c r="C3201" i="6" s="1"/>
  <c r="D3200" i="6" a="1"/>
  <c r="D3200" i="6" s="1"/>
  <c r="E3200" i="6" s="1" a="1"/>
  <c r="E3200" i="6" s="1"/>
  <c r="C3200" i="6" a="1"/>
  <c r="C3200" i="6" s="1"/>
  <c r="D3199" i="6" a="1"/>
  <c r="D3199" i="6" s="1"/>
  <c r="E3199" i="6" s="1" a="1"/>
  <c r="E3199" i="6" s="1"/>
  <c r="C3199" i="6" a="1"/>
  <c r="C3199" i="6" s="1"/>
  <c r="D3198" i="6" a="1"/>
  <c r="D3198" i="6" s="1"/>
  <c r="E3198" i="6" s="1" a="1"/>
  <c r="E3198" i="6" s="1"/>
  <c r="C3198" i="6" a="1"/>
  <c r="C3198" i="6" s="1"/>
  <c r="D3197" i="6" a="1"/>
  <c r="D3197" i="6" s="1"/>
  <c r="E3197" i="6" s="1" a="1"/>
  <c r="E3197" i="6" s="1"/>
  <c r="C3197" i="6" a="1"/>
  <c r="C3197" i="6" s="1"/>
  <c r="D3196" i="6" a="1"/>
  <c r="D3196" i="6" s="1"/>
  <c r="E3196" i="6" s="1" a="1"/>
  <c r="E3196" i="6" s="1"/>
  <c r="C3196" i="6" a="1"/>
  <c r="C3196" i="6" s="1"/>
  <c r="D3195" i="6" a="1"/>
  <c r="D3195" i="6" s="1"/>
  <c r="E3195" i="6" s="1" a="1"/>
  <c r="E3195" i="6" s="1"/>
  <c r="C3195" i="6" a="1"/>
  <c r="C3195" i="6" s="1"/>
  <c r="D3194" i="6" a="1"/>
  <c r="D3194" i="6" s="1"/>
  <c r="E3194" i="6" s="1" a="1"/>
  <c r="E3194" i="6" s="1"/>
  <c r="C3194" i="6" a="1"/>
  <c r="C3194" i="6" s="1"/>
  <c r="D3193" i="6" a="1"/>
  <c r="D3193" i="6" s="1"/>
  <c r="E3193" i="6" s="1" a="1"/>
  <c r="E3193" i="6" s="1"/>
  <c r="C3193" i="6" a="1"/>
  <c r="C3193" i="6" s="1"/>
  <c r="D3192" i="6" a="1"/>
  <c r="D3192" i="6" s="1"/>
  <c r="E3192" i="6" s="1" a="1"/>
  <c r="E3192" i="6" s="1"/>
  <c r="C3192" i="6" a="1"/>
  <c r="C3192" i="6" s="1"/>
  <c r="D3191" i="6" a="1"/>
  <c r="D3191" i="6" s="1"/>
  <c r="E3191" i="6" s="1" a="1"/>
  <c r="E3191" i="6" s="1"/>
  <c r="C3191" i="6" a="1"/>
  <c r="C3191" i="6" s="1"/>
  <c r="D3190" i="6" a="1"/>
  <c r="D3190" i="6" s="1"/>
  <c r="E3190" i="6" s="1" a="1"/>
  <c r="E3190" i="6" s="1"/>
  <c r="C3190" i="6" a="1"/>
  <c r="C3190" i="6" s="1"/>
  <c r="D3189" i="6" a="1"/>
  <c r="D3189" i="6" s="1"/>
  <c r="E3189" i="6" s="1" a="1"/>
  <c r="E3189" i="6" s="1"/>
  <c r="C3189" i="6" a="1"/>
  <c r="C3189" i="6" s="1"/>
  <c r="D3188" i="6" a="1"/>
  <c r="D3188" i="6" s="1"/>
  <c r="E3188" i="6" s="1" a="1"/>
  <c r="E3188" i="6" s="1"/>
  <c r="C3188" i="6" a="1"/>
  <c r="C3188" i="6" s="1"/>
  <c r="D3187" i="6" a="1"/>
  <c r="D3187" i="6" s="1"/>
  <c r="E3187" i="6" s="1" a="1"/>
  <c r="E3187" i="6" s="1"/>
  <c r="C3187" i="6" a="1"/>
  <c r="C3187" i="6" s="1"/>
  <c r="D3186" i="6" a="1"/>
  <c r="D3186" i="6" s="1"/>
  <c r="E3186" i="6" s="1" a="1"/>
  <c r="E3186" i="6" s="1"/>
  <c r="C3186" i="6" a="1"/>
  <c r="C3186" i="6" s="1"/>
  <c r="D3185" i="6" a="1"/>
  <c r="D3185" i="6" s="1"/>
  <c r="E3185" i="6" s="1" a="1"/>
  <c r="E3185" i="6" s="1"/>
  <c r="C3185" i="6" a="1"/>
  <c r="C3185" i="6" s="1"/>
  <c r="D3184" i="6" a="1"/>
  <c r="D3184" i="6" s="1"/>
  <c r="E3184" i="6" s="1" a="1"/>
  <c r="E3184" i="6" s="1"/>
  <c r="C3184" i="6" a="1"/>
  <c r="C3184" i="6" s="1"/>
  <c r="D3183" i="6" a="1"/>
  <c r="D3183" i="6" s="1"/>
  <c r="E3183" i="6" s="1" a="1"/>
  <c r="E3183" i="6" s="1"/>
  <c r="C3183" i="6" a="1"/>
  <c r="C3183" i="6" s="1"/>
  <c r="D3182" i="6" a="1"/>
  <c r="D3182" i="6" s="1"/>
  <c r="E3182" i="6" s="1" a="1"/>
  <c r="E3182" i="6" s="1"/>
  <c r="C3182" i="6" a="1"/>
  <c r="C3182" i="6" s="1"/>
  <c r="D3181" i="6" a="1"/>
  <c r="D3181" i="6" s="1"/>
  <c r="E3181" i="6" s="1" a="1"/>
  <c r="E3181" i="6" s="1"/>
  <c r="C3181" i="6" a="1"/>
  <c r="C3181" i="6" s="1"/>
  <c r="D3180" i="6" a="1"/>
  <c r="D3180" i="6" s="1"/>
  <c r="E3180" i="6" s="1" a="1"/>
  <c r="E3180" i="6" s="1"/>
  <c r="C3180" i="6" a="1"/>
  <c r="C3180" i="6" s="1"/>
  <c r="D3179" i="6" a="1"/>
  <c r="D3179" i="6" s="1"/>
  <c r="E3179" i="6" s="1" a="1"/>
  <c r="E3179" i="6" s="1"/>
  <c r="C3179" i="6" a="1"/>
  <c r="C3179" i="6" s="1"/>
  <c r="D3178" i="6" a="1"/>
  <c r="D3178" i="6" s="1"/>
  <c r="E3178" i="6" s="1" a="1"/>
  <c r="E3178" i="6" s="1"/>
  <c r="C3178" i="6" a="1"/>
  <c r="C3178" i="6" s="1"/>
  <c r="D3177" i="6" a="1"/>
  <c r="D3177" i="6" s="1"/>
  <c r="E3177" i="6" s="1" a="1"/>
  <c r="E3177" i="6" s="1"/>
  <c r="C3177" i="6" a="1"/>
  <c r="C3177" i="6" s="1"/>
  <c r="D3176" i="6" a="1"/>
  <c r="D3176" i="6" s="1"/>
  <c r="E3176" i="6" s="1" a="1"/>
  <c r="E3176" i="6" s="1"/>
  <c r="C3176" i="6" a="1"/>
  <c r="C3176" i="6" s="1"/>
  <c r="D3175" i="6" a="1"/>
  <c r="D3175" i="6" s="1"/>
  <c r="E3175" i="6" s="1" a="1"/>
  <c r="E3175" i="6" s="1"/>
  <c r="C3175" i="6" a="1"/>
  <c r="C3175" i="6" s="1"/>
  <c r="D3174" i="6" a="1"/>
  <c r="D3174" i="6" s="1"/>
  <c r="E3174" i="6" s="1" a="1"/>
  <c r="E3174" i="6" s="1"/>
  <c r="C3174" i="6" a="1"/>
  <c r="C3174" i="6" s="1"/>
  <c r="D3173" i="6" a="1"/>
  <c r="D3173" i="6" s="1"/>
  <c r="E3173" i="6" s="1" a="1"/>
  <c r="E3173" i="6" s="1"/>
  <c r="C3173" i="6" a="1"/>
  <c r="C3173" i="6" s="1"/>
  <c r="D3172" i="6" a="1"/>
  <c r="D3172" i="6" s="1"/>
  <c r="E3172" i="6" s="1" a="1"/>
  <c r="E3172" i="6" s="1"/>
  <c r="C3172" i="6" a="1"/>
  <c r="C3172" i="6" s="1"/>
  <c r="D3171" i="6" a="1"/>
  <c r="D3171" i="6" s="1"/>
  <c r="E3171" i="6" s="1" a="1"/>
  <c r="E3171" i="6" s="1"/>
  <c r="C3171" i="6" a="1"/>
  <c r="C3171" i="6" s="1"/>
  <c r="D3170" i="6" a="1"/>
  <c r="D3170" i="6" s="1"/>
  <c r="E3170" i="6" s="1" a="1"/>
  <c r="E3170" i="6" s="1"/>
  <c r="C3170" i="6" a="1"/>
  <c r="C3170" i="6" s="1"/>
  <c r="D3169" i="6" a="1"/>
  <c r="D3169" i="6" s="1"/>
  <c r="E3169" i="6" s="1" a="1"/>
  <c r="E3169" i="6" s="1"/>
  <c r="C3169" i="6" a="1"/>
  <c r="C3169" i="6" s="1"/>
  <c r="D3168" i="6" a="1"/>
  <c r="D3168" i="6" s="1"/>
  <c r="E3168" i="6" s="1" a="1"/>
  <c r="E3168" i="6" s="1"/>
  <c r="C3168" i="6" a="1"/>
  <c r="C3168" i="6" s="1"/>
  <c r="D3167" i="6" a="1"/>
  <c r="D3167" i="6" s="1"/>
  <c r="E3167" i="6" s="1" a="1"/>
  <c r="E3167" i="6" s="1"/>
  <c r="C3167" i="6" a="1"/>
  <c r="C3167" i="6" s="1"/>
  <c r="D3166" i="6" a="1"/>
  <c r="D3166" i="6" s="1"/>
  <c r="E3166" i="6" s="1" a="1"/>
  <c r="E3166" i="6" s="1"/>
  <c r="C3166" i="6" a="1"/>
  <c r="C3166" i="6" s="1"/>
  <c r="D3165" i="6" a="1"/>
  <c r="D3165" i="6" s="1"/>
  <c r="E3165" i="6" s="1" a="1"/>
  <c r="E3165" i="6" s="1"/>
  <c r="C3165" i="6" a="1"/>
  <c r="C3165" i="6" s="1"/>
  <c r="D3164" i="6" a="1"/>
  <c r="D3164" i="6" s="1"/>
  <c r="E3164" i="6" s="1" a="1"/>
  <c r="E3164" i="6" s="1"/>
  <c r="C3164" i="6" a="1"/>
  <c r="C3164" i="6" s="1"/>
  <c r="D3163" i="6" a="1"/>
  <c r="D3163" i="6" s="1"/>
  <c r="E3163" i="6" s="1" a="1"/>
  <c r="E3163" i="6" s="1"/>
  <c r="C3163" i="6" a="1"/>
  <c r="C3163" i="6" s="1"/>
  <c r="D3162" i="6" a="1"/>
  <c r="D3162" i="6" s="1"/>
  <c r="E3162" i="6" s="1" a="1"/>
  <c r="E3162" i="6" s="1"/>
  <c r="C3162" i="6" a="1"/>
  <c r="C3162" i="6" s="1"/>
  <c r="D3161" i="6" a="1"/>
  <c r="D3161" i="6" s="1"/>
  <c r="E3161" i="6" s="1" a="1"/>
  <c r="E3161" i="6" s="1"/>
  <c r="C3161" i="6" a="1"/>
  <c r="C3161" i="6" s="1"/>
  <c r="D3160" i="6" a="1"/>
  <c r="D3160" i="6" s="1"/>
  <c r="E3160" i="6" s="1" a="1"/>
  <c r="E3160" i="6" s="1"/>
  <c r="C3160" i="6" a="1"/>
  <c r="C3160" i="6" s="1"/>
  <c r="D3159" i="6" a="1"/>
  <c r="D3159" i="6" s="1"/>
  <c r="E3159" i="6" s="1" a="1"/>
  <c r="E3159" i="6" s="1"/>
  <c r="C3159" i="6" a="1"/>
  <c r="C3159" i="6" s="1"/>
  <c r="D3158" i="6" a="1"/>
  <c r="D3158" i="6" s="1"/>
  <c r="E3158" i="6" s="1" a="1"/>
  <c r="E3158" i="6" s="1"/>
  <c r="C3158" i="6" a="1"/>
  <c r="C3158" i="6" s="1"/>
  <c r="D3157" i="6" a="1"/>
  <c r="D3157" i="6" s="1"/>
  <c r="E3157" i="6" s="1" a="1"/>
  <c r="E3157" i="6" s="1"/>
  <c r="C3157" i="6" a="1"/>
  <c r="C3157" i="6" s="1"/>
  <c r="D3156" i="6" a="1"/>
  <c r="D3156" i="6" s="1"/>
  <c r="E3156" i="6" s="1" a="1"/>
  <c r="E3156" i="6" s="1"/>
  <c r="C3156" i="6" a="1"/>
  <c r="C3156" i="6" s="1"/>
  <c r="D3155" i="6" a="1"/>
  <c r="D3155" i="6" s="1"/>
  <c r="E3155" i="6" s="1" a="1"/>
  <c r="E3155" i="6" s="1"/>
  <c r="C3155" i="6" a="1"/>
  <c r="C3155" i="6" s="1"/>
  <c r="D3154" i="6" a="1"/>
  <c r="D3154" i="6" s="1"/>
  <c r="E3154" i="6" s="1" a="1"/>
  <c r="E3154" i="6" s="1"/>
  <c r="C3154" i="6" a="1"/>
  <c r="C3154" i="6" s="1"/>
  <c r="D3153" i="6" a="1"/>
  <c r="D3153" i="6" s="1"/>
  <c r="E3153" i="6" s="1" a="1"/>
  <c r="E3153" i="6" s="1"/>
  <c r="C3153" i="6" a="1"/>
  <c r="C3153" i="6" s="1"/>
  <c r="D3152" i="6" a="1"/>
  <c r="D3152" i="6" s="1"/>
  <c r="E3152" i="6" s="1" a="1"/>
  <c r="E3152" i="6" s="1"/>
  <c r="C3152" i="6" a="1"/>
  <c r="C3152" i="6" s="1"/>
  <c r="D3151" i="6" a="1"/>
  <c r="D3151" i="6" s="1"/>
  <c r="E3151" i="6" s="1" a="1"/>
  <c r="E3151" i="6" s="1"/>
  <c r="C3151" i="6" a="1"/>
  <c r="C3151" i="6" s="1"/>
  <c r="D3150" i="6" a="1"/>
  <c r="D3150" i="6" s="1"/>
  <c r="E3150" i="6" s="1" a="1"/>
  <c r="E3150" i="6" s="1"/>
  <c r="C3150" i="6" a="1"/>
  <c r="C3150" i="6" s="1"/>
  <c r="D3149" i="6" a="1"/>
  <c r="D3149" i="6" s="1"/>
  <c r="E3149" i="6" s="1" a="1"/>
  <c r="E3149" i="6" s="1"/>
  <c r="C3149" i="6" a="1"/>
  <c r="C3149" i="6" s="1"/>
  <c r="D3148" i="6" a="1"/>
  <c r="D3148" i="6" s="1"/>
  <c r="E3148" i="6" s="1" a="1"/>
  <c r="E3148" i="6" s="1"/>
  <c r="C3148" i="6" a="1"/>
  <c r="C3148" i="6" s="1"/>
  <c r="D3147" i="6" a="1"/>
  <c r="D3147" i="6" s="1"/>
  <c r="E3147" i="6" s="1" a="1"/>
  <c r="E3147" i="6" s="1"/>
  <c r="C3147" i="6" a="1"/>
  <c r="C3147" i="6" s="1"/>
  <c r="D3146" i="6" a="1"/>
  <c r="D3146" i="6" s="1"/>
  <c r="E3146" i="6" s="1" a="1"/>
  <c r="E3146" i="6" s="1"/>
  <c r="C3146" i="6" a="1"/>
  <c r="C3146" i="6" s="1"/>
  <c r="D3145" i="6" a="1"/>
  <c r="D3145" i="6" s="1"/>
  <c r="E3145" i="6" s="1" a="1"/>
  <c r="E3145" i="6" s="1"/>
  <c r="C3145" i="6" a="1"/>
  <c r="C3145" i="6" s="1"/>
  <c r="D3144" i="6" a="1"/>
  <c r="D3144" i="6" s="1"/>
  <c r="E3144" i="6" s="1" a="1"/>
  <c r="E3144" i="6" s="1"/>
  <c r="C3144" i="6" a="1"/>
  <c r="C3144" i="6" s="1"/>
  <c r="D3143" i="6" a="1"/>
  <c r="D3143" i="6" s="1"/>
  <c r="E3143" i="6" s="1" a="1"/>
  <c r="E3143" i="6" s="1"/>
  <c r="C3143" i="6" a="1"/>
  <c r="C3143" i="6" s="1"/>
  <c r="D3142" i="6" a="1"/>
  <c r="D3142" i="6" s="1"/>
  <c r="E3142" i="6" s="1" a="1"/>
  <c r="E3142" i="6" s="1"/>
  <c r="C3142" i="6" a="1"/>
  <c r="C3142" i="6" s="1"/>
  <c r="D3141" i="6" a="1"/>
  <c r="D3141" i="6" s="1"/>
  <c r="E3141" i="6" s="1" a="1"/>
  <c r="E3141" i="6" s="1"/>
  <c r="C3141" i="6" a="1"/>
  <c r="C3141" i="6" s="1"/>
  <c r="D3140" i="6" a="1"/>
  <c r="D3140" i="6" s="1"/>
  <c r="E3140" i="6" s="1" a="1"/>
  <c r="E3140" i="6" s="1"/>
  <c r="C3140" i="6" a="1"/>
  <c r="C3140" i="6" s="1"/>
  <c r="D3139" i="6" a="1"/>
  <c r="D3139" i="6" s="1"/>
  <c r="E3139" i="6" s="1" a="1"/>
  <c r="E3139" i="6" s="1"/>
  <c r="C3139" i="6" a="1"/>
  <c r="C3139" i="6" s="1"/>
  <c r="D3138" i="6" a="1"/>
  <c r="D3138" i="6" s="1"/>
  <c r="E3138" i="6" s="1" a="1"/>
  <c r="E3138" i="6" s="1"/>
  <c r="C3138" i="6" a="1"/>
  <c r="C3138" i="6" s="1"/>
  <c r="D3137" i="6" a="1"/>
  <c r="D3137" i="6" s="1"/>
  <c r="E3137" i="6" s="1" a="1"/>
  <c r="E3137" i="6" s="1"/>
  <c r="C3137" i="6" a="1"/>
  <c r="C3137" i="6" s="1"/>
  <c r="D3136" i="6" a="1"/>
  <c r="D3136" i="6" s="1"/>
  <c r="E3136" i="6" s="1" a="1"/>
  <c r="E3136" i="6" s="1"/>
  <c r="C3136" i="6" a="1"/>
  <c r="C3136" i="6" s="1"/>
  <c r="D3135" i="6" a="1"/>
  <c r="D3135" i="6" s="1"/>
  <c r="E3135" i="6" s="1" a="1"/>
  <c r="E3135" i="6" s="1"/>
  <c r="C3135" i="6" a="1"/>
  <c r="C3135" i="6" s="1"/>
  <c r="D3134" i="6" a="1"/>
  <c r="D3134" i="6" s="1"/>
  <c r="E3134" i="6" s="1" a="1"/>
  <c r="E3134" i="6" s="1"/>
  <c r="C3134" i="6" a="1"/>
  <c r="C3134" i="6" s="1"/>
  <c r="D3133" i="6" a="1"/>
  <c r="D3133" i="6" s="1"/>
  <c r="E3133" i="6" s="1" a="1"/>
  <c r="E3133" i="6" s="1"/>
  <c r="C3133" i="6" a="1"/>
  <c r="C3133" i="6" s="1"/>
  <c r="D3132" i="6" a="1"/>
  <c r="D3132" i="6" s="1"/>
  <c r="E3132" i="6" s="1" a="1"/>
  <c r="E3132" i="6" s="1"/>
  <c r="C3132" i="6" a="1"/>
  <c r="C3132" i="6" s="1"/>
  <c r="D3131" i="6" a="1"/>
  <c r="D3131" i="6" s="1"/>
  <c r="E3131" i="6" s="1" a="1"/>
  <c r="E3131" i="6" s="1"/>
  <c r="C3131" i="6" a="1"/>
  <c r="C3131" i="6" s="1"/>
  <c r="D3130" i="6" a="1"/>
  <c r="D3130" i="6" s="1"/>
  <c r="E3130" i="6" s="1" a="1"/>
  <c r="E3130" i="6" s="1"/>
  <c r="C3130" i="6" a="1"/>
  <c r="C3130" i="6" s="1"/>
  <c r="D3129" i="6" a="1"/>
  <c r="D3129" i="6" s="1"/>
  <c r="E3129" i="6" s="1" a="1"/>
  <c r="E3129" i="6" s="1"/>
  <c r="C3129" i="6" a="1"/>
  <c r="C3129" i="6" s="1"/>
  <c r="D3128" i="6" a="1"/>
  <c r="D3128" i="6" s="1"/>
  <c r="E3128" i="6" s="1" a="1"/>
  <c r="E3128" i="6" s="1"/>
  <c r="C3128" i="6" a="1"/>
  <c r="C3128" i="6" s="1"/>
  <c r="D3127" i="6" a="1"/>
  <c r="D3127" i="6" s="1"/>
  <c r="E3127" i="6" s="1" a="1"/>
  <c r="E3127" i="6" s="1"/>
  <c r="C3127" i="6" a="1"/>
  <c r="C3127" i="6" s="1"/>
  <c r="D3126" i="6" a="1"/>
  <c r="D3126" i="6" s="1"/>
  <c r="E3126" i="6" s="1" a="1"/>
  <c r="E3126" i="6" s="1"/>
  <c r="C3126" i="6" a="1"/>
  <c r="C3126" i="6" s="1"/>
  <c r="D3125" i="6" a="1"/>
  <c r="D3125" i="6" s="1"/>
  <c r="E3125" i="6" s="1" a="1"/>
  <c r="E3125" i="6" s="1"/>
  <c r="C3125" i="6" a="1"/>
  <c r="C3125" i="6" s="1"/>
  <c r="D3124" i="6" a="1"/>
  <c r="D3124" i="6" s="1"/>
  <c r="E3124" i="6" s="1" a="1"/>
  <c r="E3124" i="6" s="1"/>
  <c r="C3124" i="6" a="1"/>
  <c r="C3124" i="6" s="1"/>
  <c r="D3123" i="6" a="1"/>
  <c r="D3123" i="6" s="1"/>
  <c r="E3123" i="6" s="1" a="1"/>
  <c r="E3123" i="6" s="1"/>
  <c r="C3123" i="6" a="1"/>
  <c r="C3123" i="6" s="1"/>
  <c r="D3122" i="6" a="1"/>
  <c r="D3122" i="6" s="1"/>
  <c r="E3122" i="6" s="1" a="1"/>
  <c r="E3122" i="6" s="1"/>
  <c r="C3122" i="6" a="1"/>
  <c r="C3122" i="6" s="1"/>
  <c r="D3121" i="6" a="1"/>
  <c r="D3121" i="6" s="1"/>
  <c r="E3121" i="6" s="1" a="1"/>
  <c r="E3121" i="6" s="1"/>
  <c r="C3121" i="6" a="1"/>
  <c r="C3121" i="6" s="1"/>
  <c r="D3120" i="6" a="1"/>
  <c r="D3120" i="6" s="1"/>
  <c r="E3120" i="6" s="1" a="1"/>
  <c r="E3120" i="6" s="1"/>
  <c r="C3120" i="6" a="1"/>
  <c r="C3120" i="6" s="1"/>
  <c r="D3119" i="6" a="1"/>
  <c r="D3119" i="6" s="1"/>
  <c r="E3119" i="6" s="1" a="1"/>
  <c r="E3119" i="6" s="1"/>
  <c r="C3119" i="6" a="1"/>
  <c r="C3119" i="6" s="1"/>
  <c r="D3118" i="6" a="1"/>
  <c r="D3118" i="6" s="1"/>
  <c r="E3118" i="6" s="1" a="1"/>
  <c r="E3118" i="6" s="1"/>
  <c r="C3118" i="6" a="1"/>
  <c r="C3118" i="6" s="1"/>
  <c r="D3117" i="6" a="1"/>
  <c r="D3117" i="6" s="1"/>
  <c r="E3117" i="6" s="1" a="1"/>
  <c r="E3117" i="6" s="1"/>
  <c r="C3117" i="6" a="1"/>
  <c r="C3117" i="6" s="1"/>
  <c r="D3116" i="6" a="1"/>
  <c r="D3116" i="6" s="1"/>
  <c r="E3116" i="6" s="1" a="1"/>
  <c r="E3116" i="6" s="1"/>
  <c r="C3116" i="6" a="1"/>
  <c r="C3116" i="6" s="1"/>
  <c r="D3115" i="6" a="1"/>
  <c r="D3115" i="6" s="1"/>
  <c r="E3115" i="6" s="1" a="1"/>
  <c r="E3115" i="6" s="1"/>
  <c r="C3115" i="6" a="1"/>
  <c r="C3115" i="6" s="1"/>
  <c r="D3114" i="6" a="1"/>
  <c r="D3114" i="6" s="1"/>
  <c r="E3114" i="6" s="1" a="1"/>
  <c r="E3114" i="6" s="1"/>
  <c r="C3114" i="6" a="1"/>
  <c r="C3114" i="6" s="1"/>
  <c r="D3113" i="6" a="1"/>
  <c r="D3113" i="6" s="1"/>
  <c r="E3113" i="6" s="1" a="1"/>
  <c r="E3113" i="6" s="1"/>
  <c r="C3113" i="6" a="1"/>
  <c r="C3113" i="6" s="1"/>
  <c r="D3112" i="6" a="1"/>
  <c r="D3112" i="6" s="1"/>
  <c r="E3112" i="6" s="1" a="1"/>
  <c r="E3112" i="6" s="1"/>
  <c r="C3112" i="6" a="1"/>
  <c r="C3112" i="6" s="1"/>
  <c r="D3111" i="6" a="1"/>
  <c r="D3111" i="6" s="1"/>
  <c r="E3111" i="6" s="1" a="1"/>
  <c r="E3111" i="6" s="1"/>
  <c r="C3111" i="6" a="1"/>
  <c r="C3111" i="6" s="1"/>
  <c r="D3110" i="6" a="1"/>
  <c r="D3110" i="6" s="1"/>
  <c r="E3110" i="6" s="1" a="1"/>
  <c r="E3110" i="6" s="1"/>
  <c r="C3110" i="6" a="1"/>
  <c r="C3110" i="6" s="1"/>
  <c r="D3109" i="6" a="1"/>
  <c r="D3109" i="6" s="1"/>
  <c r="E3109" i="6" s="1" a="1"/>
  <c r="E3109" i="6" s="1"/>
  <c r="C3109" i="6" a="1"/>
  <c r="C3109" i="6" s="1"/>
  <c r="D3108" i="6" a="1"/>
  <c r="D3108" i="6" s="1"/>
  <c r="E3108" i="6" s="1" a="1"/>
  <c r="E3108" i="6" s="1"/>
  <c r="C3108" i="6" a="1"/>
  <c r="C3108" i="6" s="1"/>
  <c r="D3107" i="6" a="1"/>
  <c r="D3107" i="6" s="1"/>
  <c r="E3107" i="6" s="1" a="1"/>
  <c r="E3107" i="6" s="1"/>
  <c r="C3107" i="6" a="1"/>
  <c r="C3107" i="6" s="1"/>
  <c r="D3106" i="6" a="1"/>
  <c r="D3106" i="6" s="1"/>
  <c r="E3106" i="6" s="1" a="1"/>
  <c r="E3106" i="6" s="1"/>
  <c r="C3106" i="6" a="1"/>
  <c r="C3106" i="6" s="1"/>
  <c r="D3105" i="6" a="1"/>
  <c r="D3105" i="6" s="1"/>
  <c r="E3105" i="6" s="1" a="1"/>
  <c r="E3105" i="6" s="1"/>
  <c r="C3105" i="6" a="1"/>
  <c r="C3105" i="6" s="1"/>
  <c r="D3104" i="6" a="1"/>
  <c r="D3104" i="6" s="1"/>
  <c r="E3104" i="6" s="1" a="1"/>
  <c r="E3104" i="6" s="1"/>
  <c r="C3104" i="6" a="1"/>
  <c r="C3104" i="6" s="1"/>
  <c r="D3103" i="6" a="1"/>
  <c r="D3103" i="6" s="1"/>
  <c r="E3103" i="6" s="1" a="1"/>
  <c r="E3103" i="6" s="1"/>
  <c r="C3103" i="6" a="1"/>
  <c r="C3103" i="6" s="1"/>
  <c r="D3102" i="6" a="1"/>
  <c r="D3102" i="6" s="1"/>
  <c r="E3102" i="6" s="1" a="1"/>
  <c r="E3102" i="6" s="1"/>
  <c r="C3102" i="6" a="1"/>
  <c r="C3102" i="6" s="1"/>
  <c r="D3101" i="6" a="1"/>
  <c r="D3101" i="6" s="1"/>
  <c r="E3101" i="6" s="1" a="1"/>
  <c r="E3101" i="6" s="1"/>
  <c r="C3101" i="6" a="1"/>
  <c r="C3101" i="6" s="1"/>
  <c r="D3100" i="6" a="1"/>
  <c r="D3100" i="6" s="1"/>
  <c r="E3100" i="6" s="1" a="1"/>
  <c r="E3100" i="6" s="1"/>
  <c r="C3100" i="6" a="1"/>
  <c r="C3100" i="6" s="1"/>
  <c r="D3099" i="6" a="1"/>
  <c r="D3099" i="6" s="1"/>
  <c r="E3099" i="6" s="1" a="1"/>
  <c r="E3099" i="6" s="1"/>
  <c r="C3099" i="6" a="1"/>
  <c r="C3099" i="6" s="1"/>
  <c r="D3098" i="6" a="1"/>
  <c r="D3098" i="6" s="1"/>
  <c r="E3098" i="6" s="1" a="1"/>
  <c r="E3098" i="6" s="1"/>
  <c r="C3098" i="6" a="1"/>
  <c r="C3098" i="6" s="1"/>
  <c r="D3097" i="6" a="1"/>
  <c r="D3097" i="6" s="1"/>
  <c r="E3097" i="6" s="1" a="1"/>
  <c r="E3097" i="6" s="1"/>
  <c r="C3097" i="6" a="1"/>
  <c r="C3097" i="6" s="1"/>
  <c r="D3096" i="6" a="1"/>
  <c r="D3096" i="6" s="1"/>
  <c r="E3096" i="6" s="1" a="1"/>
  <c r="E3096" i="6" s="1"/>
  <c r="C3096" i="6" a="1"/>
  <c r="C3096" i="6" s="1"/>
  <c r="D3095" i="6" a="1"/>
  <c r="D3095" i="6" s="1"/>
  <c r="E3095" i="6" s="1" a="1"/>
  <c r="E3095" i="6" s="1"/>
  <c r="C3095" i="6" a="1"/>
  <c r="C3095" i="6" s="1"/>
  <c r="D3094" i="6" a="1"/>
  <c r="D3094" i="6" s="1"/>
  <c r="E3094" i="6" s="1" a="1"/>
  <c r="E3094" i="6" s="1"/>
  <c r="C3094" i="6" a="1"/>
  <c r="C3094" i="6" s="1"/>
  <c r="D3093" i="6" a="1"/>
  <c r="D3093" i="6" s="1"/>
  <c r="E3093" i="6" s="1" a="1"/>
  <c r="E3093" i="6" s="1"/>
  <c r="C3093" i="6" a="1"/>
  <c r="C3093" i="6" s="1"/>
  <c r="D3092" i="6" a="1"/>
  <c r="D3092" i="6" s="1"/>
  <c r="E3092" i="6" s="1" a="1"/>
  <c r="E3092" i="6" s="1"/>
  <c r="C3092" i="6" a="1"/>
  <c r="C3092" i="6" s="1"/>
  <c r="D3091" i="6" a="1"/>
  <c r="D3091" i="6" s="1"/>
  <c r="E3091" i="6" s="1" a="1"/>
  <c r="E3091" i="6" s="1"/>
  <c r="C3091" i="6" a="1"/>
  <c r="C3091" i="6" s="1"/>
  <c r="D3090" i="6" a="1"/>
  <c r="D3090" i="6" s="1"/>
  <c r="E3090" i="6" s="1" a="1"/>
  <c r="E3090" i="6" s="1"/>
  <c r="C3090" i="6" a="1"/>
  <c r="C3090" i="6" s="1"/>
  <c r="D3089" i="6" a="1"/>
  <c r="D3089" i="6" s="1"/>
  <c r="E3089" i="6" s="1" a="1"/>
  <c r="E3089" i="6" s="1"/>
  <c r="C3089" i="6" a="1"/>
  <c r="C3089" i="6" s="1"/>
  <c r="D3088" i="6" a="1"/>
  <c r="D3088" i="6" s="1"/>
  <c r="E3088" i="6" s="1" a="1"/>
  <c r="E3088" i="6" s="1"/>
  <c r="C3088" i="6" a="1"/>
  <c r="C3088" i="6" s="1"/>
  <c r="D3087" i="6" a="1"/>
  <c r="D3087" i="6" s="1"/>
  <c r="E3087" i="6" s="1" a="1"/>
  <c r="E3087" i="6" s="1"/>
  <c r="C3087" i="6" a="1"/>
  <c r="C3087" i="6" s="1"/>
  <c r="D3086" i="6" a="1"/>
  <c r="D3086" i="6" s="1"/>
  <c r="E3086" i="6" s="1" a="1"/>
  <c r="E3086" i="6" s="1"/>
  <c r="C3086" i="6" a="1"/>
  <c r="C3086" i="6" s="1"/>
  <c r="D3085" i="6" a="1"/>
  <c r="D3085" i="6" s="1"/>
  <c r="E3085" i="6" s="1" a="1"/>
  <c r="E3085" i="6" s="1"/>
  <c r="C3085" i="6" a="1"/>
  <c r="C3085" i="6" s="1"/>
  <c r="D3084" i="6" a="1"/>
  <c r="D3084" i="6" s="1"/>
  <c r="E3084" i="6" s="1" a="1"/>
  <c r="E3084" i="6" s="1"/>
  <c r="C3084" i="6" a="1"/>
  <c r="C3084" i="6" s="1"/>
  <c r="D3083" i="6" a="1"/>
  <c r="D3083" i="6" s="1"/>
  <c r="E3083" i="6" s="1" a="1"/>
  <c r="E3083" i="6" s="1"/>
  <c r="C3083" i="6" a="1"/>
  <c r="C3083" i="6" s="1"/>
  <c r="D3082" i="6" a="1"/>
  <c r="D3082" i="6" s="1"/>
  <c r="E3082" i="6" s="1" a="1"/>
  <c r="E3082" i="6" s="1"/>
  <c r="C3082" i="6" a="1"/>
  <c r="C3082" i="6" s="1"/>
  <c r="D3081" i="6" a="1"/>
  <c r="D3081" i="6" s="1"/>
  <c r="E3081" i="6" s="1" a="1"/>
  <c r="E3081" i="6" s="1"/>
  <c r="C3081" i="6" a="1"/>
  <c r="C3081" i="6" s="1"/>
  <c r="D3080" i="6" a="1"/>
  <c r="D3080" i="6" s="1"/>
  <c r="E3080" i="6" s="1" a="1"/>
  <c r="E3080" i="6" s="1"/>
  <c r="C3080" i="6" a="1"/>
  <c r="C3080" i="6" s="1"/>
  <c r="D3079" i="6" a="1"/>
  <c r="D3079" i="6" s="1"/>
  <c r="E3079" i="6" s="1" a="1"/>
  <c r="E3079" i="6" s="1"/>
  <c r="C3079" i="6" a="1"/>
  <c r="C3079" i="6" s="1"/>
  <c r="D3078" i="6" a="1"/>
  <c r="D3078" i="6" s="1"/>
  <c r="E3078" i="6" s="1" a="1"/>
  <c r="E3078" i="6" s="1"/>
  <c r="C3078" i="6" a="1"/>
  <c r="C3078" i="6" s="1"/>
  <c r="D3077" i="6" a="1"/>
  <c r="D3077" i="6" s="1"/>
  <c r="E3077" i="6" s="1" a="1"/>
  <c r="E3077" i="6" s="1"/>
  <c r="C3077" i="6" a="1"/>
  <c r="C3077" i="6" s="1"/>
  <c r="D3076" i="6" a="1"/>
  <c r="D3076" i="6" s="1"/>
  <c r="E3076" i="6" s="1" a="1"/>
  <c r="E3076" i="6" s="1"/>
  <c r="C3076" i="6" a="1"/>
  <c r="C3076" i="6" s="1"/>
  <c r="D3075" i="6" a="1"/>
  <c r="D3075" i="6" s="1"/>
  <c r="E3075" i="6" s="1" a="1"/>
  <c r="E3075" i="6" s="1"/>
  <c r="C3075" i="6" a="1"/>
  <c r="C3075" i="6" s="1"/>
  <c r="D3074" i="6" a="1"/>
  <c r="D3074" i="6" s="1"/>
  <c r="E3074" i="6" s="1" a="1"/>
  <c r="E3074" i="6" s="1"/>
  <c r="C3074" i="6" a="1"/>
  <c r="C3074" i="6" s="1"/>
  <c r="D3073" i="6" a="1"/>
  <c r="D3073" i="6" s="1"/>
  <c r="E3073" i="6" s="1" a="1"/>
  <c r="E3073" i="6" s="1"/>
  <c r="C3073" i="6" a="1"/>
  <c r="C3073" i="6" s="1"/>
  <c r="D3072" i="6" a="1"/>
  <c r="D3072" i="6" s="1"/>
  <c r="E3072" i="6" s="1" a="1"/>
  <c r="E3072" i="6" s="1"/>
  <c r="C3072" i="6" a="1"/>
  <c r="C3072" i="6" s="1"/>
  <c r="D3071" i="6" a="1"/>
  <c r="D3071" i="6" s="1"/>
  <c r="E3071" i="6" s="1" a="1"/>
  <c r="E3071" i="6" s="1"/>
  <c r="C3071" i="6" a="1"/>
  <c r="C3071" i="6" s="1"/>
  <c r="D3070" i="6" a="1"/>
  <c r="D3070" i="6" s="1"/>
  <c r="E3070" i="6" s="1" a="1"/>
  <c r="E3070" i="6" s="1"/>
  <c r="C3070" i="6" a="1"/>
  <c r="C3070" i="6" s="1"/>
  <c r="D3069" i="6" a="1"/>
  <c r="D3069" i="6" s="1"/>
  <c r="E3069" i="6" s="1" a="1"/>
  <c r="E3069" i="6" s="1"/>
  <c r="C3069" i="6" a="1"/>
  <c r="C3069" i="6" s="1"/>
  <c r="D3068" i="6" a="1"/>
  <c r="D3068" i="6" s="1"/>
  <c r="E3068" i="6" s="1" a="1"/>
  <c r="E3068" i="6" s="1"/>
  <c r="C3068" i="6" a="1"/>
  <c r="C3068" i="6" s="1"/>
  <c r="D3067" i="6" a="1"/>
  <c r="D3067" i="6" s="1"/>
  <c r="E3067" i="6" s="1" a="1"/>
  <c r="E3067" i="6" s="1"/>
  <c r="C3067" i="6" a="1"/>
  <c r="C3067" i="6" s="1"/>
  <c r="D3066" i="6" a="1"/>
  <c r="D3066" i="6" s="1"/>
  <c r="E3066" i="6" s="1" a="1"/>
  <c r="E3066" i="6" s="1"/>
  <c r="C3066" i="6" a="1"/>
  <c r="C3066" i="6" s="1"/>
  <c r="D3065" i="6" a="1"/>
  <c r="D3065" i="6" s="1"/>
  <c r="E3065" i="6" s="1" a="1"/>
  <c r="E3065" i="6" s="1"/>
  <c r="C3065" i="6" a="1"/>
  <c r="C3065" i="6" s="1"/>
  <c r="D3064" i="6" a="1"/>
  <c r="D3064" i="6" s="1"/>
  <c r="E3064" i="6" s="1" a="1"/>
  <c r="E3064" i="6" s="1"/>
  <c r="C3064" i="6" a="1"/>
  <c r="C3064" i="6" s="1"/>
  <c r="D3063" i="6" a="1"/>
  <c r="D3063" i="6" s="1"/>
  <c r="E3063" i="6" s="1" a="1"/>
  <c r="E3063" i="6" s="1"/>
  <c r="C3063" i="6" a="1"/>
  <c r="C3063" i="6" s="1"/>
  <c r="D3062" i="6" a="1"/>
  <c r="D3062" i="6" s="1"/>
  <c r="E3062" i="6" s="1" a="1"/>
  <c r="E3062" i="6" s="1"/>
  <c r="C3062" i="6" a="1"/>
  <c r="C3062" i="6" s="1"/>
  <c r="D3061" i="6" a="1"/>
  <c r="D3061" i="6" s="1"/>
  <c r="E3061" i="6" s="1" a="1"/>
  <c r="E3061" i="6" s="1"/>
  <c r="C3061" i="6" a="1"/>
  <c r="C3061" i="6" s="1"/>
  <c r="D3060" i="6" a="1"/>
  <c r="D3060" i="6" s="1"/>
  <c r="E3060" i="6" s="1" a="1"/>
  <c r="E3060" i="6" s="1"/>
  <c r="C3060" i="6" a="1"/>
  <c r="C3060" i="6" s="1"/>
  <c r="D3059" i="6" a="1"/>
  <c r="D3059" i="6" s="1"/>
  <c r="E3059" i="6" s="1" a="1"/>
  <c r="E3059" i="6" s="1"/>
  <c r="C3059" i="6" a="1"/>
  <c r="C3059" i="6" s="1"/>
  <c r="D3058" i="6" a="1"/>
  <c r="D3058" i="6" s="1"/>
  <c r="E3058" i="6" s="1" a="1"/>
  <c r="E3058" i="6" s="1"/>
  <c r="C3058" i="6" a="1"/>
  <c r="C3058" i="6" s="1"/>
  <c r="D3057" i="6" a="1"/>
  <c r="D3057" i="6" s="1"/>
  <c r="E3057" i="6" s="1" a="1"/>
  <c r="E3057" i="6" s="1"/>
  <c r="C3057" i="6" a="1"/>
  <c r="C3057" i="6" s="1"/>
  <c r="D3056" i="6" a="1"/>
  <c r="D3056" i="6" s="1"/>
  <c r="E3056" i="6" s="1" a="1"/>
  <c r="E3056" i="6" s="1"/>
  <c r="C3056" i="6" a="1"/>
  <c r="C3056" i="6" s="1"/>
  <c r="D3055" i="6" a="1"/>
  <c r="D3055" i="6" s="1"/>
  <c r="E3055" i="6" s="1" a="1"/>
  <c r="E3055" i="6" s="1"/>
  <c r="C3055" i="6" a="1"/>
  <c r="C3055" i="6" s="1"/>
  <c r="D3054" i="6" a="1"/>
  <c r="D3054" i="6" s="1"/>
  <c r="E3054" i="6" s="1" a="1"/>
  <c r="E3054" i="6" s="1"/>
  <c r="C3054" i="6" a="1"/>
  <c r="C3054" i="6" s="1"/>
  <c r="D3053" i="6" a="1"/>
  <c r="D3053" i="6" s="1"/>
  <c r="E3053" i="6" s="1" a="1"/>
  <c r="E3053" i="6" s="1"/>
  <c r="C3053" i="6" a="1"/>
  <c r="C3053" i="6" s="1"/>
  <c r="D3052" i="6" a="1"/>
  <c r="D3052" i="6" s="1"/>
  <c r="E3052" i="6" s="1" a="1"/>
  <c r="E3052" i="6" s="1"/>
  <c r="C3052" i="6" a="1"/>
  <c r="C3052" i="6" s="1"/>
  <c r="D3051" i="6" a="1"/>
  <c r="D3051" i="6" s="1"/>
  <c r="E3051" i="6" s="1" a="1"/>
  <c r="E3051" i="6" s="1"/>
  <c r="C3051" i="6" a="1"/>
  <c r="C3051" i="6" s="1"/>
  <c r="D3050" i="6" a="1"/>
  <c r="D3050" i="6" s="1"/>
  <c r="E3050" i="6" s="1" a="1"/>
  <c r="E3050" i="6" s="1"/>
  <c r="C3050" i="6" a="1"/>
  <c r="C3050" i="6" s="1"/>
  <c r="D3049" i="6" a="1"/>
  <c r="D3049" i="6" s="1"/>
  <c r="E3049" i="6" s="1" a="1"/>
  <c r="E3049" i="6" s="1"/>
  <c r="C3049" i="6" a="1"/>
  <c r="C3049" i="6" s="1"/>
  <c r="D3048" i="6" a="1"/>
  <c r="D3048" i="6" s="1"/>
  <c r="E3048" i="6" s="1" a="1"/>
  <c r="E3048" i="6" s="1"/>
  <c r="C3048" i="6" a="1"/>
  <c r="C3048" i="6" s="1"/>
  <c r="D3047" i="6" a="1"/>
  <c r="D3047" i="6" s="1"/>
  <c r="E3047" i="6" s="1" a="1"/>
  <c r="E3047" i="6" s="1"/>
  <c r="C3047" i="6" a="1"/>
  <c r="C3047" i="6" s="1"/>
  <c r="D3046" i="6" a="1"/>
  <c r="D3046" i="6" s="1"/>
  <c r="E3046" i="6" s="1" a="1"/>
  <c r="E3046" i="6" s="1"/>
  <c r="C3046" i="6" a="1"/>
  <c r="C3046" i="6" s="1"/>
  <c r="D3045" i="6" a="1"/>
  <c r="D3045" i="6" s="1"/>
  <c r="E3045" i="6" s="1" a="1"/>
  <c r="E3045" i="6" s="1"/>
  <c r="C3045" i="6" a="1"/>
  <c r="C3045" i="6" s="1"/>
  <c r="D3044" i="6" a="1"/>
  <c r="D3044" i="6" s="1"/>
  <c r="E3044" i="6" s="1" a="1"/>
  <c r="E3044" i="6" s="1"/>
  <c r="C3044" i="6" a="1"/>
  <c r="C3044" i="6" s="1"/>
  <c r="D3043" i="6" a="1"/>
  <c r="D3043" i="6" s="1"/>
  <c r="E3043" i="6" s="1" a="1"/>
  <c r="E3043" i="6" s="1"/>
  <c r="C3043" i="6" a="1"/>
  <c r="C3043" i="6" s="1"/>
  <c r="D3042" i="6" a="1"/>
  <c r="D3042" i="6" s="1"/>
  <c r="E3042" i="6" s="1" a="1"/>
  <c r="E3042" i="6" s="1"/>
  <c r="C3042" i="6" a="1"/>
  <c r="C3042" i="6" s="1"/>
  <c r="D3041" i="6" a="1"/>
  <c r="D3041" i="6" s="1"/>
  <c r="E3041" i="6" s="1" a="1"/>
  <c r="E3041" i="6" s="1"/>
  <c r="C3041" i="6" a="1"/>
  <c r="C3041" i="6" s="1"/>
  <c r="D3040" i="6" a="1"/>
  <c r="D3040" i="6" s="1"/>
  <c r="E3040" i="6" s="1" a="1"/>
  <c r="E3040" i="6" s="1"/>
  <c r="C3040" i="6" a="1"/>
  <c r="C3040" i="6" s="1"/>
  <c r="D3039" i="6" a="1"/>
  <c r="D3039" i="6" s="1"/>
  <c r="E3039" i="6" s="1" a="1"/>
  <c r="E3039" i="6" s="1"/>
  <c r="C3039" i="6" a="1"/>
  <c r="C3039" i="6" s="1"/>
  <c r="D3038" i="6" a="1"/>
  <c r="D3038" i="6" s="1"/>
  <c r="E3038" i="6" s="1" a="1"/>
  <c r="E3038" i="6" s="1"/>
  <c r="C3038" i="6" a="1"/>
  <c r="C3038" i="6" s="1"/>
  <c r="D3037" i="6" a="1"/>
  <c r="D3037" i="6" s="1"/>
  <c r="E3037" i="6" s="1" a="1"/>
  <c r="E3037" i="6" s="1"/>
  <c r="C3037" i="6" a="1"/>
  <c r="C3037" i="6" s="1"/>
  <c r="D3036" i="6" a="1"/>
  <c r="D3036" i="6" s="1"/>
  <c r="E3036" i="6" s="1" a="1"/>
  <c r="E3036" i="6" s="1"/>
  <c r="C3036" i="6" a="1"/>
  <c r="C3036" i="6" s="1"/>
  <c r="D3035" i="6" a="1"/>
  <c r="D3035" i="6" s="1"/>
  <c r="E3035" i="6" s="1" a="1"/>
  <c r="E3035" i="6" s="1"/>
  <c r="C3035" i="6" a="1"/>
  <c r="C3035" i="6" s="1"/>
  <c r="D3034" i="6" a="1"/>
  <c r="D3034" i="6" s="1"/>
  <c r="E3034" i="6" s="1" a="1"/>
  <c r="E3034" i="6" s="1"/>
  <c r="C3034" i="6" a="1"/>
  <c r="C3034" i="6" s="1"/>
  <c r="D3033" i="6" a="1"/>
  <c r="D3033" i="6" s="1"/>
  <c r="E3033" i="6" s="1" a="1"/>
  <c r="E3033" i="6" s="1"/>
  <c r="C3033" i="6" a="1"/>
  <c r="C3033" i="6" s="1"/>
  <c r="D3032" i="6" a="1"/>
  <c r="D3032" i="6" s="1"/>
  <c r="E3032" i="6" s="1" a="1"/>
  <c r="E3032" i="6" s="1"/>
  <c r="C3032" i="6" a="1"/>
  <c r="C3032" i="6" s="1"/>
  <c r="D3031" i="6" a="1"/>
  <c r="D3031" i="6" s="1"/>
  <c r="E3031" i="6" s="1" a="1"/>
  <c r="E3031" i="6" s="1"/>
  <c r="C3031" i="6" a="1"/>
  <c r="C3031" i="6" s="1"/>
  <c r="D3030" i="6" a="1"/>
  <c r="D3030" i="6" s="1"/>
  <c r="E3030" i="6" s="1" a="1"/>
  <c r="E3030" i="6" s="1"/>
  <c r="C3030" i="6" a="1"/>
  <c r="C3030" i="6" s="1"/>
  <c r="D3029" i="6" a="1"/>
  <c r="D3029" i="6" s="1"/>
  <c r="E3029" i="6" s="1" a="1"/>
  <c r="E3029" i="6" s="1"/>
  <c r="C3029" i="6" a="1"/>
  <c r="C3029" i="6" s="1"/>
  <c r="D3028" i="6" a="1"/>
  <c r="D3028" i="6" s="1"/>
  <c r="E3028" i="6" s="1" a="1"/>
  <c r="E3028" i="6" s="1"/>
  <c r="C3028" i="6" a="1"/>
  <c r="C3028" i="6" s="1"/>
  <c r="D3027" i="6" a="1"/>
  <c r="D3027" i="6" s="1"/>
  <c r="E3027" i="6" s="1" a="1"/>
  <c r="E3027" i="6" s="1"/>
  <c r="C3027" i="6" a="1"/>
  <c r="C3027" i="6" s="1"/>
  <c r="D3026" i="6" a="1"/>
  <c r="D3026" i="6" s="1"/>
  <c r="E3026" i="6" s="1" a="1"/>
  <c r="E3026" i="6" s="1"/>
  <c r="C3026" i="6" a="1"/>
  <c r="C3026" i="6" s="1"/>
  <c r="D3025" i="6" a="1"/>
  <c r="D3025" i="6" s="1"/>
  <c r="E3025" i="6" s="1" a="1"/>
  <c r="E3025" i="6" s="1"/>
  <c r="C3025" i="6" a="1"/>
  <c r="C3025" i="6" s="1"/>
  <c r="D3024" i="6" a="1"/>
  <c r="D3024" i="6" s="1"/>
  <c r="E3024" i="6" s="1" a="1"/>
  <c r="E3024" i="6" s="1"/>
  <c r="C3024" i="6" a="1"/>
  <c r="C3024" i="6" s="1"/>
  <c r="D3023" i="6" a="1"/>
  <c r="D3023" i="6" s="1"/>
  <c r="E3023" i="6" s="1" a="1"/>
  <c r="E3023" i="6" s="1"/>
  <c r="C3023" i="6" a="1"/>
  <c r="C3023" i="6" s="1"/>
  <c r="D3022" i="6" a="1"/>
  <c r="D3022" i="6" s="1"/>
  <c r="E3022" i="6" s="1" a="1"/>
  <c r="E3022" i="6" s="1"/>
  <c r="C3022" i="6" a="1"/>
  <c r="C3022" i="6" s="1"/>
  <c r="D3021" i="6" a="1"/>
  <c r="D3021" i="6" s="1"/>
  <c r="E3021" i="6" s="1" a="1"/>
  <c r="E3021" i="6" s="1"/>
  <c r="C3021" i="6" a="1"/>
  <c r="C3021" i="6" s="1"/>
  <c r="D3020" i="6" a="1"/>
  <c r="D3020" i="6" s="1"/>
  <c r="E3020" i="6" s="1" a="1"/>
  <c r="E3020" i="6" s="1"/>
  <c r="C3020" i="6" a="1"/>
  <c r="C3020" i="6" s="1"/>
  <c r="D3019" i="6" a="1"/>
  <c r="D3019" i="6" s="1"/>
  <c r="E3019" i="6" s="1" a="1"/>
  <c r="E3019" i="6" s="1"/>
  <c r="C3019" i="6" a="1"/>
  <c r="C3019" i="6" s="1"/>
  <c r="D3018" i="6" a="1"/>
  <c r="D3018" i="6" s="1"/>
  <c r="E3018" i="6" s="1" a="1"/>
  <c r="E3018" i="6" s="1"/>
  <c r="C3018" i="6" a="1"/>
  <c r="C3018" i="6" s="1"/>
  <c r="D3017" i="6" a="1"/>
  <c r="D3017" i="6" s="1"/>
  <c r="E3017" i="6" s="1" a="1"/>
  <c r="E3017" i="6" s="1"/>
  <c r="C3017" i="6" a="1"/>
  <c r="C3017" i="6" s="1"/>
  <c r="D3016" i="6" a="1"/>
  <c r="D3016" i="6" s="1"/>
  <c r="E3016" i="6" s="1" a="1"/>
  <c r="E3016" i="6" s="1"/>
  <c r="C3016" i="6" a="1"/>
  <c r="C3016" i="6" s="1"/>
  <c r="D3015" i="6" a="1"/>
  <c r="D3015" i="6" s="1"/>
  <c r="E3015" i="6" s="1" a="1"/>
  <c r="E3015" i="6" s="1"/>
  <c r="C3015" i="6" a="1"/>
  <c r="C3015" i="6" s="1"/>
  <c r="D3014" i="6" a="1"/>
  <c r="D3014" i="6" s="1"/>
  <c r="E3014" i="6" s="1" a="1"/>
  <c r="E3014" i="6" s="1"/>
  <c r="C3014" i="6" a="1"/>
  <c r="C3014" i="6" s="1"/>
  <c r="D3013" i="6" a="1"/>
  <c r="D3013" i="6" s="1"/>
  <c r="E3013" i="6" s="1" a="1"/>
  <c r="E3013" i="6" s="1"/>
  <c r="C3013" i="6" a="1"/>
  <c r="C3013" i="6" s="1"/>
  <c r="D3012" i="6" a="1"/>
  <c r="D3012" i="6" s="1"/>
  <c r="E3012" i="6" s="1" a="1"/>
  <c r="E3012" i="6" s="1"/>
  <c r="C3012" i="6" a="1"/>
  <c r="C3012" i="6" s="1"/>
  <c r="D3011" i="6" a="1"/>
  <c r="D3011" i="6" s="1"/>
  <c r="E3011" i="6" s="1" a="1"/>
  <c r="E3011" i="6" s="1"/>
  <c r="C3011" i="6" a="1"/>
  <c r="C3011" i="6" s="1"/>
  <c r="D3010" i="6" a="1"/>
  <c r="D3010" i="6" s="1"/>
  <c r="E3010" i="6" s="1" a="1"/>
  <c r="E3010" i="6" s="1"/>
  <c r="C3010" i="6" a="1"/>
  <c r="C3010" i="6" s="1"/>
  <c r="D3009" i="6" a="1"/>
  <c r="D3009" i="6" s="1"/>
  <c r="E3009" i="6" s="1" a="1"/>
  <c r="E3009" i="6" s="1"/>
  <c r="C3009" i="6" a="1"/>
  <c r="C3009" i="6" s="1"/>
  <c r="D3008" i="6" a="1"/>
  <c r="D3008" i="6" s="1"/>
  <c r="E3008" i="6" s="1" a="1"/>
  <c r="E3008" i="6" s="1"/>
  <c r="C3008" i="6" a="1"/>
  <c r="C3008" i="6" s="1"/>
  <c r="D3007" i="6" a="1"/>
  <c r="D3007" i="6" s="1"/>
  <c r="E3007" i="6" s="1" a="1"/>
  <c r="E3007" i="6" s="1"/>
  <c r="C3007" i="6" a="1"/>
  <c r="C3007" i="6" s="1"/>
  <c r="D3006" i="6" a="1"/>
  <c r="D3006" i="6" s="1"/>
  <c r="E3006" i="6" s="1" a="1"/>
  <c r="E3006" i="6" s="1"/>
  <c r="C3006" i="6" a="1"/>
  <c r="C3006" i="6" s="1"/>
  <c r="D3005" i="6" a="1"/>
  <c r="D3005" i="6" s="1"/>
  <c r="E3005" i="6" s="1" a="1"/>
  <c r="E3005" i="6" s="1"/>
  <c r="C3005" i="6" a="1"/>
  <c r="C3005" i="6" s="1"/>
  <c r="D3004" i="6" a="1"/>
  <c r="D3004" i="6" s="1"/>
  <c r="E3004" i="6" s="1" a="1"/>
  <c r="E3004" i="6" s="1"/>
  <c r="C3004" i="6" a="1"/>
  <c r="C3004" i="6" s="1"/>
  <c r="D3003" i="6" a="1"/>
  <c r="D3003" i="6" s="1"/>
  <c r="E3003" i="6" s="1" a="1"/>
  <c r="E3003" i="6" s="1"/>
  <c r="C3003" i="6" a="1"/>
  <c r="C3003" i="6" s="1"/>
  <c r="D3002" i="6" a="1"/>
  <c r="D3002" i="6" s="1"/>
  <c r="E3002" i="6" s="1" a="1"/>
  <c r="E3002" i="6" s="1"/>
  <c r="C3002" i="6" a="1"/>
  <c r="C3002" i="6" s="1"/>
  <c r="D3001" i="6" a="1"/>
  <c r="D3001" i="6" s="1"/>
  <c r="E3001" i="6" s="1" a="1"/>
  <c r="E3001" i="6" s="1"/>
  <c r="C3001" i="6" a="1"/>
  <c r="C3001" i="6" s="1"/>
  <c r="D3000" i="6" a="1"/>
  <c r="D3000" i="6" s="1"/>
  <c r="E3000" i="6" s="1" a="1"/>
  <c r="E3000" i="6" s="1"/>
  <c r="C3000" i="6" a="1"/>
  <c r="C3000" i="6" s="1"/>
  <c r="D2999" i="6" a="1"/>
  <c r="D2999" i="6" s="1"/>
  <c r="E2999" i="6" s="1" a="1"/>
  <c r="E2999" i="6" s="1"/>
  <c r="C2999" i="6" a="1"/>
  <c r="C2999" i="6" s="1"/>
  <c r="D2998" i="6" a="1"/>
  <c r="D2998" i="6" s="1"/>
  <c r="E2998" i="6" s="1" a="1"/>
  <c r="E2998" i="6" s="1"/>
  <c r="C2998" i="6" a="1"/>
  <c r="C2998" i="6" s="1"/>
  <c r="D2997" i="6" a="1"/>
  <c r="D2997" i="6" s="1"/>
  <c r="E2997" i="6" s="1" a="1"/>
  <c r="E2997" i="6" s="1"/>
  <c r="C2997" i="6" a="1"/>
  <c r="C2997" i="6" s="1"/>
  <c r="D2996" i="6" a="1"/>
  <c r="D2996" i="6" s="1"/>
  <c r="E2996" i="6" s="1" a="1"/>
  <c r="E2996" i="6" s="1"/>
  <c r="C2996" i="6" a="1"/>
  <c r="C2996" i="6" s="1"/>
  <c r="D2995" i="6" a="1"/>
  <c r="D2995" i="6" s="1"/>
  <c r="E2995" i="6" s="1" a="1"/>
  <c r="E2995" i="6" s="1"/>
  <c r="C2995" i="6" a="1"/>
  <c r="C2995" i="6" s="1"/>
  <c r="D2994" i="6" a="1"/>
  <c r="D2994" i="6" s="1"/>
  <c r="E2994" i="6" s="1" a="1"/>
  <c r="E2994" i="6" s="1"/>
  <c r="C2994" i="6" a="1"/>
  <c r="C2994" i="6" s="1"/>
  <c r="D2993" i="6" a="1"/>
  <c r="D2993" i="6" s="1"/>
  <c r="E2993" i="6" s="1" a="1"/>
  <c r="E2993" i="6" s="1"/>
  <c r="C2993" i="6" a="1"/>
  <c r="C2993" i="6" s="1"/>
  <c r="D2992" i="6" a="1"/>
  <c r="D2992" i="6" s="1"/>
  <c r="E2992" i="6" s="1" a="1"/>
  <c r="E2992" i="6" s="1"/>
  <c r="C2992" i="6" a="1"/>
  <c r="C2992" i="6" s="1"/>
  <c r="D2991" i="6" a="1"/>
  <c r="D2991" i="6" s="1"/>
  <c r="E2991" i="6" s="1" a="1"/>
  <c r="E2991" i="6" s="1"/>
  <c r="C2991" i="6" a="1"/>
  <c r="C2991" i="6" s="1"/>
  <c r="D2990" i="6" a="1"/>
  <c r="D2990" i="6" s="1"/>
  <c r="E2990" i="6" s="1" a="1"/>
  <c r="E2990" i="6" s="1"/>
  <c r="C2990" i="6" a="1"/>
  <c r="C2990" i="6" s="1"/>
  <c r="D2989" i="6" a="1"/>
  <c r="D2989" i="6" s="1"/>
  <c r="E2989" i="6" s="1" a="1"/>
  <c r="E2989" i="6" s="1"/>
  <c r="C2989" i="6" a="1"/>
  <c r="C2989" i="6" s="1"/>
  <c r="D2988" i="6" a="1"/>
  <c r="D2988" i="6" s="1"/>
  <c r="E2988" i="6" s="1" a="1"/>
  <c r="E2988" i="6" s="1"/>
  <c r="C2988" i="6" a="1"/>
  <c r="C2988" i="6" s="1"/>
  <c r="D2987" i="6" a="1"/>
  <c r="D2987" i="6" s="1"/>
  <c r="E2987" i="6" s="1" a="1"/>
  <c r="E2987" i="6" s="1"/>
  <c r="C2987" i="6" a="1"/>
  <c r="C2987" i="6" s="1"/>
  <c r="D2986" i="6" a="1"/>
  <c r="D2986" i="6" s="1"/>
  <c r="E2986" i="6" s="1" a="1"/>
  <c r="E2986" i="6" s="1"/>
  <c r="C2986" i="6" a="1"/>
  <c r="C2986" i="6" s="1"/>
  <c r="D2985" i="6" a="1"/>
  <c r="D2985" i="6" s="1"/>
  <c r="E2985" i="6" s="1" a="1"/>
  <c r="E2985" i="6" s="1"/>
  <c r="C2985" i="6" a="1"/>
  <c r="C2985" i="6" s="1"/>
  <c r="D2984" i="6" a="1"/>
  <c r="D2984" i="6" s="1"/>
  <c r="E2984" i="6" s="1" a="1"/>
  <c r="E2984" i="6" s="1"/>
  <c r="C2984" i="6" a="1"/>
  <c r="C2984" i="6" s="1"/>
  <c r="D2983" i="6" a="1"/>
  <c r="D2983" i="6" s="1"/>
  <c r="E2983" i="6" s="1" a="1"/>
  <c r="E2983" i="6" s="1"/>
  <c r="C2983" i="6" a="1"/>
  <c r="C2983" i="6" s="1"/>
  <c r="D2982" i="6" a="1"/>
  <c r="D2982" i="6" s="1"/>
  <c r="E2982" i="6" s="1" a="1"/>
  <c r="E2982" i="6" s="1"/>
  <c r="C2982" i="6" a="1"/>
  <c r="C2982" i="6" s="1"/>
  <c r="D2981" i="6" a="1"/>
  <c r="D2981" i="6" s="1"/>
  <c r="E2981" i="6" s="1" a="1"/>
  <c r="E2981" i="6" s="1"/>
  <c r="C2981" i="6" a="1"/>
  <c r="C2981" i="6" s="1"/>
  <c r="D2980" i="6" a="1"/>
  <c r="D2980" i="6" s="1"/>
  <c r="E2980" i="6" s="1" a="1"/>
  <c r="E2980" i="6" s="1"/>
  <c r="C2980" i="6" a="1"/>
  <c r="C2980" i="6" s="1"/>
  <c r="D2979" i="6" a="1"/>
  <c r="D2979" i="6" s="1"/>
  <c r="E2979" i="6" s="1" a="1"/>
  <c r="E2979" i="6" s="1"/>
  <c r="C2979" i="6" a="1"/>
  <c r="C2979" i="6" s="1"/>
  <c r="D2978" i="6" a="1"/>
  <c r="D2978" i="6" s="1"/>
  <c r="E2978" i="6" s="1" a="1"/>
  <c r="E2978" i="6" s="1"/>
  <c r="C2978" i="6" a="1"/>
  <c r="C2978" i="6" s="1"/>
  <c r="D2977" i="6" a="1"/>
  <c r="D2977" i="6" s="1"/>
  <c r="E2977" i="6" s="1" a="1"/>
  <c r="E2977" i="6" s="1"/>
  <c r="C2977" i="6" a="1"/>
  <c r="C2977" i="6" s="1"/>
  <c r="D2976" i="6" a="1"/>
  <c r="D2976" i="6" s="1"/>
  <c r="E2976" i="6" s="1" a="1"/>
  <c r="E2976" i="6" s="1"/>
  <c r="C2976" i="6" a="1"/>
  <c r="C2976" i="6" s="1"/>
  <c r="D2975" i="6" a="1"/>
  <c r="D2975" i="6" s="1"/>
  <c r="E2975" i="6" s="1" a="1"/>
  <c r="E2975" i="6" s="1"/>
  <c r="C2975" i="6" a="1"/>
  <c r="C2975" i="6" s="1"/>
  <c r="D2974" i="6" a="1"/>
  <c r="D2974" i="6" s="1"/>
  <c r="E2974" i="6" s="1" a="1"/>
  <c r="E2974" i="6" s="1"/>
  <c r="C2974" i="6" a="1"/>
  <c r="C2974" i="6" s="1"/>
  <c r="D2973" i="6" a="1"/>
  <c r="D2973" i="6" s="1"/>
  <c r="E2973" i="6" s="1" a="1"/>
  <c r="E2973" i="6" s="1"/>
  <c r="C2973" i="6" a="1"/>
  <c r="C2973" i="6" s="1"/>
  <c r="D2972" i="6" a="1"/>
  <c r="D2972" i="6" s="1"/>
  <c r="E2972" i="6" s="1" a="1"/>
  <c r="E2972" i="6" s="1"/>
  <c r="C2972" i="6" a="1"/>
  <c r="C2972" i="6" s="1"/>
  <c r="D2971" i="6" a="1"/>
  <c r="D2971" i="6" s="1"/>
  <c r="E2971" i="6" s="1" a="1"/>
  <c r="E2971" i="6" s="1"/>
  <c r="C2971" i="6" a="1"/>
  <c r="C2971" i="6" s="1"/>
  <c r="D2970" i="6" a="1"/>
  <c r="D2970" i="6" s="1"/>
  <c r="E2970" i="6" s="1" a="1"/>
  <c r="E2970" i="6" s="1"/>
  <c r="C2970" i="6" a="1"/>
  <c r="C2970" i="6" s="1"/>
  <c r="D2969" i="6" a="1"/>
  <c r="D2969" i="6" s="1"/>
  <c r="E2969" i="6" s="1" a="1"/>
  <c r="E2969" i="6" s="1"/>
  <c r="C2969" i="6" a="1"/>
  <c r="C2969" i="6" s="1"/>
  <c r="D2968" i="6" a="1"/>
  <c r="D2968" i="6" s="1"/>
  <c r="E2968" i="6" s="1" a="1"/>
  <c r="E2968" i="6" s="1"/>
  <c r="C2968" i="6" a="1"/>
  <c r="C2968" i="6" s="1"/>
  <c r="D2967" i="6" a="1"/>
  <c r="D2967" i="6" s="1"/>
  <c r="E2967" i="6" s="1" a="1"/>
  <c r="E2967" i="6" s="1"/>
  <c r="C2967" i="6" a="1"/>
  <c r="C2967" i="6" s="1"/>
  <c r="D2966" i="6" a="1"/>
  <c r="D2966" i="6" s="1"/>
  <c r="E2966" i="6" s="1" a="1"/>
  <c r="E2966" i="6" s="1"/>
  <c r="C2966" i="6" a="1"/>
  <c r="C2966" i="6" s="1"/>
  <c r="D2965" i="6" a="1"/>
  <c r="D2965" i="6" s="1"/>
  <c r="E2965" i="6" s="1" a="1"/>
  <c r="E2965" i="6" s="1"/>
  <c r="C2965" i="6" a="1"/>
  <c r="C2965" i="6" s="1"/>
  <c r="D2964" i="6" a="1"/>
  <c r="D2964" i="6" s="1"/>
  <c r="E2964" i="6" s="1" a="1"/>
  <c r="E2964" i="6" s="1"/>
  <c r="C2964" i="6" a="1"/>
  <c r="C2964" i="6" s="1"/>
  <c r="D2963" i="6" a="1"/>
  <c r="D2963" i="6" s="1"/>
  <c r="E2963" i="6" s="1" a="1"/>
  <c r="E2963" i="6" s="1"/>
  <c r="C2963" i="6" a="1"/>
  <c r="C2963" i="6" s="1"/>
  <c r="D2962" i="6" a="1"/>
  <c r="D2962" i="6" s="1"/>
  <c r="E2962" i="6" s="1" a="1"/>
  <c r="E2962" i="6" s="1"/>
  <c r="C2962" i="6" a="1"/>
  <c r="C2962" i="6" s="1"/>
  <c r="D2961" i="6" a="1"/>
  <c r="D2961" i="6" s="1"/>
  <c r="E2961" i="6" s="1" a="1"/>
  <c r="E2961" i="6" s="1"/>
  <c r="C2961" i="6" a="1"/>
  <c r="C2961" i="6" s="1"/>
  <c r="D2960" i="6" a="1"/>
  <c r="D2960" i="6" s="1"/>
  <c r="E2960" i="6" s="1" a="1"/>
  <c r="E2960" i="6" s="1"/>
  <c r="C2960" i="6" a="1"/>
  <c r="C2960" i="6" s="1"/>
  <c r="D2959" i="6" a="1"/>
  <c r="D2959" i="6" s="1"/>
  <c r="E2959" i="6" s="1" a="1"/>
  <c r="E2959" i="6" s="1"/>
  <c r="C2959" i="6" a="1"/>
  <c r="C2959" i="6" s="1"/>
  <c r="D2958" i="6" a="1"/>
  <c r="D2958" i="6" s="1"/>
  <c r="E2958" i="6" s="1" a="1"/>
  <c r="E2958" i="6" s="1"/>
  <c r="C2958" i="6" a="1"/>
  <c r="C2958" i="6" s="1"/>
  <c r="D2957" i="6" a="1"/>
  <c r="D2957" i="6" s="1"/>
  <c r="E2957" i="6" s="1" a="1"/>
  <c r="E2957" i="6" s="1"/>
  <c r="C2957" i="6" a="1"/>
  <c r="C2957" i="6" s="1"/>
  <c r="D2956" i="6" a="1"/>
  <c r="D2956" i="6" s="1"/>
  <c r="E2956" i="6" s="1" a="1"/>
  <c r="E2956" i="6" s="1"/>
  <c r="C2956" i="6" a="1"/>
  <c r="C2956" i="6" s="1"/>
  <c r="D2955" i="6" a="1"/>
  <c r="D2955" i="6" s="1"/>
  <c r="E2955" i="6" s="1" a="1"/>
  <c r="E2955" i="6" s="1"/>
  <c r="C2955" i="6" a="1"/>
  <c r="C2955" i="6" s="1"/>
  <c r="D2954" i="6" a="1"/>
  <c r="D2954" i="6" s="1"/>
  <c r="E2954" i="6" s="1" a="1"/>
  <c r="E2954" i="6" s="1"/>
  <c r="C2954" i="6" a="1"/>
  <c r="C2954" i="6" s="1"/>
  <c r="D2953" i="6" a="1"/>
  <c r="D2953" i="6" s="1"/>
  <c r="E2953" i="6" s="1" a="1"/>
  <c r="E2953" i="6" s="1"/>
  <c r="C2953" i="6" a="1"/>
  <c r="C2953" i="6" s="1"/>
  <c r="D2952" i="6" a="1"/>
  <c r="D2952" i="6" s="1"/>
  <c r="E2952" i="6" s="1" a="1"/>
  <c r="E2952" i="6" s="1"/>
  <c r="C2952" i="6" a="1"/>
  <c r="C2952" i="6" s="1"/>
  <c r="D2951" i="6" a="1"/>
  <c r="D2951" i="6" s="1"/>
  <c r="E2951" i="6" s="1" a="1"/>
  <c r="E2951" i="6" s="1"/>
  <c r="C2951" i="6" a="1"/>
  <c r="C2951" i="6" s="1"/>
  <c r="D2950" i="6" a="1"/>
  <c r="D2950" i="6" s="1"/>
  <c r="E2950" i="6" s="1" a="1"/>
  <c r="E2950" i="6" s="1"/>
  <c r="C2950" i="6" a="1"/>
  <c r="C2950" i="6" s="1"/>
  <c r="D2949" i="6" a="1"/>
  <c r="D2949" i="6" s="1"/>
  <c r="E2949" i="6" s="1" a="1"/>
  <c r="E2949" i="6" s="1"/>
  <c r="C2949" i="6" a="1"/>
  <c r="C2949" i="6" s="1"/>
  <c r="D2948" i="6" a="1"/>
  <c r="D2948" i="6" s="1"/>
  <c r="E2948" i="6" s="1" a="1"/>
  <c r="E2948" i="6" s="1"/>
  <c r="C2948" i="6" a="1"/>
  <c r="C2948" i="6" s="1"/>
  <c r="D2947" i="6" a="1"/>
  <c r="D2947" i="6" s="1"/>
  <c r="E2947" i="6" s="1" a="1"/>
  <c r="E2947" i="6" s="1"/>
  <c r="C2947" i="6" a="1"/>
  <c r="C2947" i="6" s="1"/>
  <c r="D2946" i="6" a="1"/>
  <c r="D2946" i="6" s="1"/>
  <c r="E2946" i="6" s="1" a="1"/>
  <c r="E2946" i="6" s="1"/>
  <c r="C2946" i="6" a="1"/>
  <c r="C2946" i="6" s="1"/>
  <c r="D2945" i="6" a="1"/>
  <c r="D2945" i="6" s="1"/>
  <c r="E2945" i="6" s="1" a="1"/>
  <c r="E2945" i="6" s="1"/>
  <c r="C2945" i="6" a="1"/>
  <c r="C2945" i="6" s="1"/>
  <c r="D2944" i="6" a="1"/>
  <c r="D2944" i="6" s="1"/>
  <c r="E2944" i="6" s="1" a="1"/>
  <c r="E2944" i="6" s="1"/>
  <c r="C2944" i="6" a="1"/>
  <c r="C2944" i="6" s="1"/>
  <c r="D2943" i="6" a="1"/>
  <c r="D2943" i="6" s="1"/>
  <c r="E2943" i="6" s="1" a="1"/>
  <c r="E2943" i="6" s="1"/>
  <c r="C2943" i="6" a="1"/>
  <c r="C2943" i="6" s="1"/>
  <c r="D2942" i="6" a="1"/>
  <c r="D2942" i="6" s="1"/>
  <c r="E2942" i="6" s="1" a="1"/>
  <c r="E2942" i="6" s="1"/>
  <c r="C2942" i="6" a="1"/>
  <c r="C2942" i="6" s="1"/>
  <c r="D2941" i="6" a="1"/>
  <c r="D2941" i="6" s="1"/>
  <c r="E2941" i="6" s="1" a="1"/>
  <c r="E2941" i="6" s="1"/>
  <c r="C2941" i="6" a="1"/>
  <c r="C2941" i="6" s="1"/>
  <c r="D2940" i="6" a="1"/>
  <c r="D2940" i="6" s="1"/>
  <c r="E2940" i="6" s="1" a="1"/>
  <c r="E2940" i="6" s="1"/>
  <c r="C2940" i="6" a="1"/>
  <c r="C2940" i="6" s="1"/>
  <c r="D2939" i="6" a="1"/>
  <c r="D2939" i="6" s="1"/>
  <c r="E2939" i="6" s="1" a="1"/>
  <c r="E2939" i="6" s="1"/>
  <c r="C2939" i="6" a="1"/>
  <c r="C2939" i="6" s="1"/>
  <c r="D2938" i="6" a="1"/>
  <c r="D2938" i="6" s="1"/>
  <c r="E2938" i="6" s="1" a="1"/>
  <c r="E2938" i="6" s="1"/>
  <c r="C2938" i="6" a="1"/>
  <c r="C2938" i="6" s="1"/>
  <c r="D2937" i="6" a="1"/>
  <c r="D2937" i="6" s="1"/>
  <c r="E2937" i="6" s="1" a="1"/>
  <c r="E2937" i="6" s="1"/>
  <c r="C2937" i="6" a="1"/>
  <c r="C2937" i="6" s="1"/>
  <c r="D2936" i="6" a="1"/>
  <c r="D2936" i="6" s="1"/>
  <c r="E2936" i="6" s="1" a="1"/>
  <c r="E2936" i="6" s="1"/>
  <c r="C2936" i="6" a="1"/>
  <c r="C2936" i="6" s="1"/>
  <c r="D2935" i="6" a="1"/>
  <c r="D2935" i="6" s="1"/>
  <c r="E2935" i="6" s="1" a="1"/>
  <c r="E2935" i="6" s="1"/>
  <c r="C2935" i="6" a="1"/>
  <c r="C2935" i="6" s="1"/>
  <c r="D2934" i="6" a="1"/>
  <c r="D2934" i="6" s="1"/>
  <c r="E2934" i="6" s="1" a="1"/>
  <c r="E2934" i="6" s="1"/>
  <c r="C2934" i="6" a="1"/>
  <c r="C2934" i="6" s="1"/>
  <c r="D2933" i="6" a="1"/>
  <c r="D2933" i="6" s="1"/>
  <c r="E2933" i="6" s="1" a="1"/>
  <c r="E2933" i="6" s="1"/>
  <c r="C2933" i="6" a="1"/>
  <c r="C2933" i="6" s="1"/>
  <c r="D2932" i="6" a="1"/>
  <c r="D2932" i="6" s="1"/>
  <c r="E2932" i="6" s="1" a="1"/>
  <c r="E2932" i="6" s="1"/>
  <c r="C2932" i="6" a="1"/>
  <c r="C2932" i="6" s="1"/>
  <c r="D2931" i="6" a="1"/>
  <c r="D2931" i="6" s="1"/>
  <c r="E2931" i="6" s="1" a="1"/>
  <c r="E2931" i="6" s="1"/>
  <c r="C2931" i="6" a="1"/>
  <c r="C2931" i="6" s="1"/>
  <c r="D2930" i="6" a="1"/>
  <c r="D2930" i="6" s="1"/>
  <c r="E2930" i="6" s="1" a="1"/>
  <c r="E2930" i="6" s="1"/>
  <c r="C2930" i="6" a="1"/>
  <c r="C2930" i="6" s="1"/>
  <c r="D2929" i="6" a="1"/>
  <c r="D2929" i="6" s="1"/>
  <c r="E2929" i="6" s="1" a="1"/>
  <c r="E2929" i="6" s="1"/>
  <c r="C2929" i="6" a="1"/>
  <c r="C2929" i="6" s="1"/>
  <c r="D2928" i="6" a="1"/>
  <c r="D2928" i="6" s="1"/>
  <c r="E2928" i="6" s="1" a="1"/>
  <c r="E2928" i="6" s="1"/>
  <c r="C2928" i="6" a="1"/>
  <c r="C2928" i="6" s="1"/>
  <c r="D2927" i="6" a="1"/>
  <c r="D2927" i="6" s="1"/>
  <c r="E2927" i="6" s="1" a="1"/>
  <c r="E2927" i="6" s="1"/>
  <c r="C2927" i="6" a="1"/>
  <c r="C2927" i="6" s="1"/>
  <c r="D2926" i="6" a="1"/>
  <c r="D2926" i="6" s="1"/>
  <c r="E2926" i="6" s="1" a="1"/>
  <c r="E2926" i="6" s="1"/>
  <c r="C2926" i="6" a="1"/>
  <c r="C2926" i="6" s="1"/>
  <c r="D2925" i="6" a="1"/>
  <c r="D2925" i="6" s="1"/>
  <c r="E2925" i="6" s="1" a="1"/>
  <c r="E2925" i="6" s="1"/>
  <c r="C2925" i="6" a="1"/>
  <c r="C2925" i="6" s="1"/>
  <c r="D2924" i="6" a="1"/>
  <c r="D2924" i="6" s="1"/>
  <c r="E2924" i="6" s="1" a="1"/>
  <c r="E2924" i="6" s="1"/>
  <c r="C2924" i="6" a="1"/>
  <c r="C2924" i="6" s="1"/>
  <c r="D2923" i="6" a="1"/>
  <c r="D2923" i="6" s="1"/>
  <c r="E2923" i="6" s="1" a="1"/>
  <c r="E2923" i="6" s="1"/>
  <c r="C2923" i="6" a="1"/>
  <c r="C2923" i="6" s="1"/>
  <c r="D2922" i="6" a="1"/>
  <c r="D2922" i="6" s="1"/>
  <c r="E2922" i="6" s="1" a="1"/>
  <c r="E2922" i="6" s="1"/>
  <c r="C2922" i="6" a="1"/>
  <c r="C2922" i="6" s="1"/>
  <c r="D2921" i="6" a="1"/>
  <c r="D2921" i="6" s="1"/>
  <c r="E2921" i="6" s="1" a="1"/>
  <c r="E2921" i="6" s="1"/>
  <c r="C2921" i="6" a="1"/>
  <c r="C2921" i="6" s="1"/>
  <c r="D2920" i="6" a="1"/>
  <c r="D2920" i="6" s="1"/>
  <c r="E2920" i="6" s="1" a="1"/>
  <c r="E2920" i="6" s="1"/>
  <c r="C2920" i="6" a="1"/>
  <c r="C2920" i="6" s="1"/>
  <c r="D2919" i="6" a="1"/>
  <c r="D2919" i="6" s="1"/>
  <c r="E2919" i="6" s="1" a="1"/>
  <c r="E2919" i="6" s="1"/>
  <c r="C2919" i="6" a="1"/>
  <c r="C2919" i="6" s="1"/>
  <c r="D2918" i="6" a="1"/>
  <c r="D2918" i="6" s="1"/>
  <c r="E2918" i="6" s="1" a="1"/>
  <c r="E2918" i="6" s="1"/>
  <c r="C2918" i="6" a="1"/>
  <c r="C2918" i="6" s="1"/>
  <c r="D2917" i="6" a="1"/>
  <c r="D2917" i="6" s="1"/>
  <c r="E2917" i="6" s="1" a="1"/>
  <c r="E2917" i="6" s="1"/>
  <c r="C2917" i="6" a="1"/>
  <c r="C2917" i="6" s="1"/>
  <c r="D2916" i="6" a="1"/>
  <c r="D2916" i="6" s="1"/>
  <c r="E2916" i="6" s="1" a="1"/>
  <c r="E2916" i="6" s="1"/>
  <c r="C2916" i="6" a="1"/>
  <c r="C2916" i="6" s="1"/>
  <c r="D2915" i="6" a="1"/>
  <c r="D2915" i="6" s="1"/>
  <c r="E2915" i="6" s="1" a="1"/>
  <c r="E2915" i="6" s="1"/>
  <c r="C2915" i="6" a="1"/>
  <c r="C2915" i="6" s="1"/>
  <c r="D2914" i="6" a="1"/>
  <c r="D2914" i="6" s="1"/>
  <c r="E2914" i="6" s="1" a="1"/>
  <c r="E2914" i="6" s="1"/>
  <c r="C2914" i="6" a="1"/>
  <c r="C2914" i="6" s="1"/>
  <c r="D2913" i="6" a="1"/>
  <c r="D2913" i="6" s="1"/>
  <c r="E2913" i="6" s="1" a="1"/>
  <c r="E2913" i="6" s="1"/>
  <c r="C2913" i="6" a="1"/>
  <c r="C2913" i="6" s="1"/>
  <c r="D2912" i="6" a="1"/>
  <c r="D2912" i="6" s="1"/>
  <c r="E2912" i="6" s="1" a="1"/>
  <c r="E2912" i="6" s="1"/>
  <c r="C2912" i="6" a="1"/>
  <c r="C2912" i="6" s="1"/>
  <c r="D2911" i="6" a="1"/>
  <c r="D2911" i="6" s="1"/>
  <c r="E2911" i="6" s="1" a="1"/>
  <c r="E2911" i="6" s="1"/>
  <c r="C2911" i="6" a="1"/>
  <c r="C2911" i="6" s="1"/>
  <c r="D2910" i="6" a="1"/>
  <c r="D2910" i="6" s="1"/>
  <c r="E2910" i="6" s="1" a="1"/>
  <c r="E2910" i="6" s="1"/>
  <c r="C2910" i="6" a="1"/>
  <c r="C2910" i="6" s="1"/>
  <c r="D2909" i="6" a="1"/>
  <c r="D2909" i="6" s="1"/>
  <c r="E2909" i="6" s="1" a="1"/>
  <c r="E2909" i="6" s="1"/>
  <c r="C2909" i="6" a="1"/>
  <c r="C2909" i="6" s="1"/>
  <c r="D2908" i="6" a="1"/>
  <c r="D2908" i="6" s="1"/>
  <c r="E2908" i="6" s="1" a="1"/>
  <c r="E2908" i="6" s="1"/>
  <c r="C2908" i="6" a="1"/>
  <c r="C2908" i="6" s="1"/>
  <c r="D2907" i="6" a="1"/>
  <c r="D2907" i="6" s="1"/>
  <c r="E2907" i="6" s="1" a="1"/>
  <c r="E2907" i="6" s="1"/>
  <c r="C2907" i="6" a="1"/>
  <c r="C2907" i="6" s="1"/>
  <c r="D2906" i="6" a="1"/>
  <c r="D2906" i="6" s="1"/>
  <c r="E2906" i="6" s="1" a="1"/>
  <c r="E2906" i="6" s="1"/>
  <c r="C2906" i="6" a="1"/>
  <c r="C2906" i="6" s="1"/>
  <c r="D2905" i="6" a="1"/>
  <c r="D2905" i="6" s="1"/>
  <c r="E2905" i="6" s="1" a="1"/>
  <c r="E2905" i="6" s="1"/>
  <c r="C2905" i="6" a="1"/>
  <c r="C2905" i="6" s="1"/>
  <c r="D2904" i="6" a="1"/>
  <c r="D2904" i="6" s="1"/>
  <c r="E2904" i="6" s="1" a="1"/>
  <c r="E2904" i="6" s="1"/>
  <c r="C2904" i="6" a="1"/>
  <c r="C2904" i="6" s="1"/>
  <c r="D2903" i="6" a="1"/>
  <c r="D2903" i="6" s="1"/>
  <c r="E2903" i="6" s="1" a="1"/>
  <c r="E2903" i="6" s="1"/>
  <c r="C2903" i="6" a="1"/>
  <c r="C2903" i="6" s="1"/>
  <c r="D2902" i="6" a="1"/>
  <c r="D2902" i="6" s="1"/>
  <c r="E2902" i="6" s="1" a="1"/>
  <c r="E2902" i="6" s="1"/>
  <c r="C2902" i="6" a="1"/>
  <c r="C2902" i="6" s="1"/>
  <c r="D2901" i="6" a="1"/>
  <c r="D2901" i="6" s="1"/>
  <c r="E2901" i="6" s="1" a="1"/>
  <c r="E2901" i="6" s="1"/>
  <c r="C2901" i="6" a="1"/>
  <c r="C2901" i="6" s="1"/>
  <c r="D2900" i="6" a="1"/>
  <c r="D2900" i="6" s="1"/>
  <c r="E2900" i="6" s="1" a="1"/>
  <c r="E2900" i="6" s="1"/>
  <c r="C2900" i="6" a="1"/>
  <c r="C2900" i="6" s="1"/>
  <c r="D2899" i="6" a="1"/>
  <c r="D2899" i="6" s="1"/>
  <c r="E2899" i="6" s="1" a="1"/>
  <c r="E2899" i="6" s="1"/>
  <c r="C2899" i="6" a="1"/>
  <c r="C2899" i="6" s="1"/>
  <c r="D2898" i="6" a="1"/>
  <c r="D2898" i="6" s="1"/>
  <c r="E2898" i="6" s="1" a="1"/>
  <c r="E2898" i="6" s="1"/>
  <c r="C2898" i="6" a="1"/>
  <c r="C2898" i="6" s="1"/>
  <c r="D2897" i="6" a="1"/>
  <c r="D2897" i="6" s="1"/>
  <c r="E2897" i="6" s="1" a="1"/>
  <c r="E2897" i="6" s="1"/>
  <c r="C2897" i="6" a="1"/>
  <c r="C2897" i="6" s="1"/>
  <c r="D2896" i="6" a="1"/>
  <c r="D2896" i="6" s="1"/>
  <c r="E2896" i="6" s="1" a="1"/>
  <c r="E2896" i="6" s="1"/>
  <c r="C2896" i="6" a="1"/>
  <c r="C2896" i="6" s="1"/>
  <c r="D2895" i="6" a="1"/>
  <c r="D2895" i="6" s="1"/>
  <c r="E2895" i="6" s="1" a="1"/>
  <c r="E2895" i="6" s="1"/>
  <c r="C2895" i="6" a="1"/>
  <c r="C2895" i="6" s="1"/>
  <c r="D2894" i="6" a="1"/>
  <c r="D2894" i="6" s="1"/>
  <c r="E2894" i="6" s="1" a="1"/>
  <c r="E2894" i="6" s="1"/>
  <c r="C2894" i="6" a="1"/>
  <c r="C2894" i="6" s="1"/>
  <c r="D2893" i="6" a="1"/>
  <c r="D2893" i="6" s="1"/>
  <c r="E2893" i="6" s="1" a="1"/>
  <c r="E2893" i="6" s="1"/>
  <c r="C2893" i="6" a="1"/>
  <c r="C2893" i="6" s="1"/>
  <c r="D2892" i="6" a="1"/>
  <c r="D2892" i="6" s="1"/>
  <c r="E2892" i="6" s="1" a="1"/>
  <c r="E2892" i="6" s="1"/>
  <c r="C2892" i="6" a="1"/>
  <c r="C2892" i="6" s="1"/>
  <c r="D2891" i="6" a="1"/>
  <c r="D2891" i="6" s="1"/>
  <c r="E2891" i="6" s="1" a="1"/>
  <c r="E2891" i="6" s="1"/>
  <c r="C2891" i="6" a="1"/>
  <c r="C2891" i="6" s="1"/>
  <c r="D2890" i="6" a="1"/>
  <c r="D2890" i="6" s="1"/>
  <c r="E2890" i="6" s="1" a="1"/>
  <c r="E2890" i="6" s="1"/>
  <c r="C2890" i="6" a="1"/>
  <c r="C2890" i="6" s="1"/>
  <c r="D2889" i="6" a="1"/>
  <c r="D2889" i="6" s="1"/>
  <c r="E2889" i="6" s="1" a="1"/>
  <c r="E2889" i="6" s="1"/>
  <c r="C2889" i="6" a="1"/>
  <c r="C2889" i="6" s="1"/>
  <c r="D2888" i="6" a="1"/>
  <c r="D2888" i="6" s="1"/>
  <c r="E2888" i="6" s="1" a="1"/>
  <c r="E2888" i="6" s="1"/>
  <c r="C2888" i="6" a="1"/>
  <c r="C2888" i="6" s="1"/>
  <c r="D2887" i="6" a="1"/>
  <c r="D2887" i="6" s="1"/>
  <c r="E2887" i="6" s="1" a="1"/>
  <c r="E2887" i="6" s="1"/>
  <c r="C2887" i="6" a="1"/>
  <c r="C2887" i="6" s="1"/>
  <c r="D2886" i="6" a="1"/>
  <c r="D2886" i="6" s="1"/>
  <c r="E2886" i="6" s="1" a="1"/>
  <c r="E2886" i="6" s="1"/>
  <c r="C2886" i="6" a="1"/>
  <c r="C2886" i="6" s="1"/>
  <c r="D2885" i="6" a="1"/>
  <c r="D2885" i="6" s="1"/>
  <c r="E2885" i="6" s="1" a="1"/>
  <c r="E2885" i="6" s="1"/>
  <c r="C2885" i="6" a="1"/>
  <c r="C2885" i="6" s="1"/>
  <c r="D2884" i="6" a="1"/>
  <c r="D2884" i="6" s="1"/>
  <c r="E2884" i="6" s="1" a="1"/>
  <c r="E2884" i="6" s="1"/>
  <c r="C2884" i="6" a="1"/>
  <c r="C2884" i="6" s="1"/>
  <c r="D2883" i="6" a="1"/>
  <c r="D2883" i="6" s="1"/>
  <c r="E2883" i="6" s="1" a="1"/>
  <c r="E2883" i="6" s="1"/>
  <c r="C2883" i="6" a="1"/>
  <c r="C2883" i="6" s="1"/>
  <c r="D2882" i="6" a="1"/>
  <c r="D2882" i="6" s="1"/>
  <c r="E2882" i="6" s="1" a="1"/>
  <c r="E2882" i="6" s="1"/>
  <c r="C2882" i="6" a="1"/>
  <c r="C2882" i="6" s="1"/>
  <c r="D2881" i="6" a="1"/>
  <c r="D2881" i="6" s="1"/>
  <c r="E2881" i="6" s="1" a="1"/>
  <c r="E2881" i="6" s="1"/>
  <c r="C2881" i="6" a="1"/>
  <c r="C2881" i="6" s="1"/>
  <c r="D2880" i="6" a="1"/>
  <c r="D2880" i="6" s="1"/>
  <c r="E2880" i="6" s="1" a="1"/>
  <c r="E2880" i="6" s="1"/>
  <c r="C2880" i="6" a="1"/>
  <c r="C2880" i="6" s="1"/>
  <c r="D2879" i="6" a="1"/>
  <c r="D2879" i="6" s="1"/>
  <c r="E2879" i="6" s="1" a="1"/>
  <c r="E2879" i="6" s="1"/>
  <c r="C2879" i="6" a="1"/>
  <c r="C2879" i="6" s="1"/>
  <c r="D2878" i="6" a="1"/>
  <c r="D2878" i="6" s="1"/>
  <c r="E2878" i="6" s="1" a="1"/>
  <c r="E2878" i="6" s="1"/>
  <c r="C2878" i="6" a="1"/>
  <c r="C2878" i="6" s="1"/>
  <c r="D2877" i="6" a="1"/>
  <c r="D2877" i="6" s="1"/>
  <c r="E2877" i="6" s="1" a="1"/>
  <c r="E2877" i="6" s="1"/>
  <c r="C2877" i="6" a="1"/>
  <c r="C2877" i="6" s="1"/>
  <c r="D2876" i="6" a="1"/>
  <c r="D2876" i="6" s="1"/>
  <c r="E2876" i="6" s="1" a="1"/>
  <c r="E2876" i="6" s="1"/>
  <c r="C2876" i="6" a="1"/>
  <c r="C2876" i="6" s="1"/>
  <c r="D2875" i="6" a="1"/>
  <c r="D2875" i="6" s="1"/>
  <c r="E2875" i="6" s="1" a="1"/>
  <c r="E2875" i="6" s="1"/>
  <c r="C2875" i="6" a="1"/>
  <c r="C2875" i="6" s="1"/>
  <c r="D2874" i="6" a="1"/>
  <c r="D2874" i="6" s="1"/>
  <c r="E2874" i="6" s="1" a="1"/>
  <c r="E2874" i="6" s="1"/>
  <c r="C2874" i="6" a="1"/>
  <c r="C2874" i="6" s="1"/>
  <c r="D2873" i="6" a="1"/>
  <c r="D2873" i="6" s="1"/>
  <c r="E2873" i="6" s="1" a="1"/>
  <c r="E2873" i="6" s="1"/>
  <c r="C2873" i="6" a="1"/>
  <c r="C2873" i="6" s="1"/>
  <c r="D2872" i="6" a="1"/>
  <c r="D2872" i="6" s="1"/>
  <c r="E2872" i="6" s="1" a="1"/>
  <c r="E2872" i="6" s="1"/>
  <c r="C2872" i="6" a="1"/>
  <c r="C2872" i="6" s="1"/>
  <c r="D2871" i="6" a="1"/>
  <c r="D2871" i="6" s="1"/>
  <c r="E2871" i="6" s="1" a="1"/>
  <c r="E2871" i="6" s="1"/>
  <c r="C2871" i="6" a="1"/>
  <c r="C2871" i="6" s="1"/>
  <c r="D2870" i="6" a="1"/>
  <c r="D2870" i="6" s="1"/>
  <c r="E2870" i="6" s="1" a="1"/>
  <c r="E2870" i="6" s="1"/>
  <c r="C2870" i="6" a="1"/>
  <c r="C2870" i="6" s="1"/>
  <c r="D2869" i="6" a="1"/>
  <c r="D2869" i="6" s="1"/>
  <c r="E2869" i="6" s="1" a="1"/>
  <c r="E2869" i="6" s="1"/>
  <c r="C2869" i="6" a="1"/>
  <c r="C2869" i="6" s="1"/>
  <c r="D2868" i="6" a="1"/>
  <c r="D2868" i="6" s="1"/>
  <c r="E2868" i="6" s="1" a="1"/>
  <c r="E2868" i="6" s="1"/>
  <c r="C2868" i="6" a="1"/>
  <c r="C2868" i="6" s="1"/>
  <c r="D2867" i="6" a="1"/>
  <c r="D2867" i="6" s="1"/>
  <c r="E2867" i="6" s="1" a="1"/>
  <c r="E2867" i="6" s="1"/>
  <c r="C2867" i="6" a="1"/>
  <c r="C2867" i="6" s="1"/>
  <c r="D2866" i="6" a="1"/>
  <c r="D2866" i="6" s="1"/>
  <c r="E2866" i="6" s="1" a="1"/>
  <c r="E2866" i="6" s="1"/>
  <c r="C2866" i="6" a="1"/>
  <c r="C2866" i="6" s="1"/>
  <c r="D2865" i="6" a="1"/>
  <c r="D2865" i="6" s="1"/>
  <c r="E2865" i="6" s="1" a="1"/>
  <c r="E2865" i="6" s="1"/>
  <c r="C2865" i="6" a="1"/>
  <c r="C2865" i="6" s="1"/>
  <c r="D2864" i="6" a="1"/>
  <c r="D2864" i="6" s="1"/>
  <c r="E2864" i="6" s="1" a="1"/>
  <c r="E2864" i="6" s="1"/>
  <c r="C2864" i="6" a="1"/>
  <c r="C2864" i="6" s="1"/>
  <c r="D2863" i="6" a="1"/>
  <c r="D2863" i="6" s="1"/>
  <c r="E2863" i="6" s="1" a="1"/>
  <c r="E2863" i="6" s="1"/>
  <c r="C2863" i="6" a="1"/>
  <c r="C2863" i="6" s="1"/>
  <c r="D2862" i="6" a="1"/>
  <c r="D2862" i="6" s="1"/>
  <c r="E2862" i="6" s="1" a="1"/>
  <c r="E2862" i="6" s="1"/>
  <c r="C2862" i="6" a="1"/>
  <c r="C2862" i="6" s="1"/>
  <c r="D2861" i="6" a="1"/>
  <c r="D2861" i="6" s="1"/>
  <c r="E2861" i="6" s="1" a="1"/>
  <c r="E2861" i="6" s="1"/>
  <c r="C2861" i="6" a="1"/>
  <c r="C2861" i="6" s="1"/>
  <c r="D2860" i="6" a="1"/>
  <c r="D2860" i="6" s="1"/>
  <c r="E2860" i="6" s="1" a="1"/>
  <c r="E2860" i="6" s="1"/>
  <c r="C2860" i="6" a="1"/>
  <c r="C2860" i="6" s="1"/>
  <c r="D2859" i="6" a="1"/>
  <c r="D2859" i="6" s="1"/>
  <c r="E2859" i="6" s="1" a="1"/>
  <c r="E2859" i="6" s="1"/>
  <c r="C2859" i="6" a="1"/>
  <c r="C2859" i="6" s="1"/>
  <c r="D2858" i="6" a="1"/>
  <c r="D2858" i="6" s="1"/>
  <c r="E2858" i="6" s="1" a="1"/>
  <c r="E2858" i="6" s="1"/>
  <c r="C2858" i="6" a="1"/>
  <c r="C2858" i="6" s="1"/>
  <c r="D2857" i="6" a="1"/>
  <c r="D2857" i="6" s="1"/>
  <c r="E2857" i="6" s="1" a="1"/>
  <c r="E2857" i="6" s="1"/>
  <c r="C2857" i="6" a="1"/>
  <c r="C2857" i="6" s="1"/>
  <c r="D2856" i="6" a="1"/>
  <c r="D2856" i="6" s="1"/>
  <c r="E2856" i="6" s="1" a="1"/>
  <c r="E2856" i="6" s="1"/>
  <c r="C2856" i="6" a="1"/>
  <c r="C2856" i="6" s="1"/>
  <c r="D2855" i="6" a="1"/>
  <c r="D2855" i="6" s="1"/>
  <c r="E2855" i="6" s="1" a="1"/>
  <c r="E2855" i="6" s="1"/>
  <c r="C2855" i="6" a="1"/>
  <c r="C2855" i="6" s="1"/>
  <c r="D2854" i="6" a="1"/>
  <c r="D2854" i="6" s="1"/>
  <c r="E2854" i="6" s="1" a="1"/>
  <c r="E2854" i="6" s="1"/>
  <c r="C2854" i="6" a="1"/>
  <c r="C2854" i="6" s="1"/>
  <c r="D2853" i="6" a="1"/>
  <c r="D2853" i="6" s="1"/>
  <c r="E2853" i="6" s="1" a="1"/>
  <c r="E2853" i="6" s="1"/>
  <c r="C2853" i="6" a="1"/>
  <c r="C2853" i="6" s="1"/>
  <c r="D2852" i="6" a="1"/>
  <c r="D2852" i="6" s="1"/>
  <c r="E2852" i="6" s="1" a="1"/>
  <c r="E2852" i="6" s="1"/>
  <c r="C2852" i="6" a="1"/>
  <c r="C2852" i="6" s="1"/>
  <c r="D2851" i="6" a="1"/>
  <c r="D2851" i="6" s="1"/>
  <c r="E2851" i="6" s="1" a="1"/>
  <c r="E2851" i="6" s="1"/>
  <c r="C2851" i="6" a="1"/>
  <c r="C2851" i="6" s="1"/>
  <c r="D2850" i="6" a="1"/>
  <c r="D2850" i="6" s="1"/>
  <c r="E2850" i="6" s="1" a="1"/>
  <c r="E2850" i="6" s="1"/>
  <c r="C2850" i="6" a="1"/>
  <c r="C2850" i="6" s="1"/>
  <c r="D2849" i="6" a="1"/>
  <c r="D2849" i="6" s="1"/>
  <c r="E2849" i="6" s="1" a="1"/>
  <c r="E2849" i="6" s="1"/>
  <c r="C2849" i="6" a="1"/>
  <c r="C2849" i="6" s="1"/>
  <c r="D2848" i="6" a="1"/>
  <c r="D2848" i="6" s="1"/>
  <c r="E2848" i="6" s="1" a="1"/>
  <c r="E2848" i="6" s="1"/>
  <c r="C2848" i="6" a="1"/>
  <c r="C2848" i="6" s="1"/>
  <c r="D2847" i="6" a="1"/>
  <c r="D2847" i="6" s="1"/>
  <c r="E2847" i="6" s="1" a="1"/>
  <c r="E2847" i="6" s="1"/>
  <c r="C2847" i="6" a="1"/>
  <c r="C2847" i="6" s="1"/>
  <c r="D2846" i="6" a="1"/>
  <c r="D2846" i="6" s="1"/>
  <c r="E2846" i="6" s="1" a="1"/>
  <c r="E2846" i="6" s="1"/>
  <c r="C2846" i="6" a="1"/>
  <c r="C2846" i="6" s="1"/>
  <c r="D2845" i="6" a="1"/>
  <c r="D2845" i="6" s="1"/>
  <c r="E2845" i="6" s="1" a="1"/>
  <c r="E2845" i="6" s="1"/>
  <c r="C2845" i="6" a="1"/>
  <c r="C2845" i="6" s="1"/>
  <c r="D2844" i="6" a="1"/>
  <c r="D2844" i="6" s="1"/>
  <c r="E2844" i="6" s="1" a="1"/>
  <c r="E2844" i="6" s="1"/>
  <c r="C2844" i="6" a="1"/>
  <c r="C2844" i="6" s="1"/>
  <c r="D2843" i="6" a="1"/>
  <c r="D2843" i="6" s="1"/>
  <c r="E2843" i="6" s="1" a="1"/>
  <c r="E2843" i="6" s="1"/>
  <c r="C2843" i="6" a="1"/>
  <c r="C2843" i="6" s="1"/>
  <c r="D2842" i="6" a="1"/>
  <c r="D2842" i="6" s="1"/>
  <c r="E2842" i="6" s="1" a="1"/>
  <c r="E2842" i="6" s="1"/>
  <c r="C2842" i="6" a="1"/>
  <c r="C2842" i="6" s="1"/>
  <c r="D2841" i="6" a="1"/>
  <c r="D2841" i="6" s="1"/>
  <c r="E2841" i="6" s="1" a="1"/>
  <c r="E2841" i="6" s="1"/>
  <c r="C2841" i="6" a="1"/>
  <c r="C2841" i="6" s="1"/>
  <c r="D2840" i="6" a="1"/>
  <c r="D2840" i="6" s="1"/>
  <c r="E2840" i="6" s="1" a="1"/>
  <c r="E2840" i="6" s="1"/>
  <c r="C2840" i="6" a="1"/>
  <c r="C2840" i="6" s="1"/>
  <c r="D2839" i="6" a="1"/>
  <c r="D2839" i="6" s="1"/>
  <c r="E2839" i="6" s="1" a="1"/>
  <c r="E2839" i="6" s="1"/>
  <c r="C2839" i="6" a="1"/>
  <c r="C2839" i="6" s="1"/>
  <c r="D2838" i="6" a="1"/>
  <c r="D2838" i="6" s="1"/>
  <c r="E2838" i="6" s="1" a="1"/>
  <c r="E2838" i="6" s="1"/>
  <c r="C2838" i="6" a="1"/>
  <c r="C2838" i="6" s="1"/>
  <c r="D2837" i="6" a="1"/>
  <c r="D2837" i="6" s="1"/>
  <c r="E2837" i="6" s="1" a="1"/>
  <c r="E2837" i="6" s="1"/>
  <c r="C2837" i="6" a="1"/>
  <c r="C2837" i="6" s="1"/>
  <c r="D2836" i="6" a="1"/>
  <c r="D2836" i="6" s="1"/>
  <c r="E2836" i="6" s="1" a="1"/>
  <c r="E2836" i="6" s="1"/>
  <c r="C2836" i="6" a="1"/>
  <c r="C2836" i="6" s="1"/>
  <c r="D2835" i="6" a="1"/>
  <c r="D2835" i="6" s="1"/>
  <c r="E2835" i="6" s="1" a="1"/>
  <c r="E2835" i="6" s="1"/>
  <c r="C2835" i="6" a="1"/>
  <c r="C2835" i="6" s="1"/>
  <c r="D2834" i="6" a="1"/>
  <c r="D2834" i="6" s="1"/>
  <c r="E2834" i="6" s="1" a="1"/>
  <c r="E2834" i="6" s="1"/>
  <c r="C2834" i="6" a="1"/>
  <c r="C2834" i="6" s="1"/>
  <c r="D2833" i="6" a="1"/>
  <c r="D2833" i="6" s="1"/>
  <c r="E2833" i="6" s="1" a="1"/>
  <c r="E2833" i="6" s="1"/>
  <c r="C2833" i="6" a="1"/>
  <c r="C2833" i="6" s="1"/>
  <c r="D2832" i="6" a="1"/>
  <c r="D2832" i="6" s="1"/>
  <c r="E2832" i="6" s="1" a="1"/>
  <c r="E2832" i="6" s="1"/>
  <c r="C2832" i="6" a="1"/>
  <c r="C2832" i="6" s="1"/>
  <c r="D2831" i="6" a="1"/>
  <c r="D2831" i="6" s="1"/>
  <c r="E2831" i="6" s="1" a="1"/>
  <c r="E2831" i="6" s="1"/>
  <c r="C2831" i="6" a="1"/>
  <c r="C2831" i="6" s="1"/>
  <c r="D2830" i="6" a="1"/>
  <c r="D2830" i="6" s="1"/>
  <c r="E2830" i="6" s="1" a="1"/>
  <c r="E2830" i="6" s="1"/>
  <c r="C2830" i="6" a="1"/>
  <c r="C2830" i="6" s="1"/>
  <c r="D2829" i="6" a="1"/>
  <c r="D2829" i="6" s="1"/>
  <c r="E2829" i="6" s="1" a="1"/>
  <c r="E2829" i="6" s="1"/>
  <c r="C2829" i="6" a="1"/>
  <c r="C2829" i="6" s="1"/>
  <c r="D2828" i="6" a="1"/>
  <c r="D2828" i="6" s="1"/>
  <c r="E2828" i="6" s="1" a="1"/>
  <c r="E2828" i="6" s="1"/>
  <c r="C2828" i="6" a="1"/>
  <c r="C2828" i="6" s="1"/>
  <c r="D2827" i="6" a="1"/>
  <c r="D2827" i="6" s="1"/>
  <c r="E2827" i="6" s="1" a="1"/>
  <c r="E2827" i="6" s="1"/>
  <c r="C2827" i="6" a="1"/>
  <c r="C2827" i="6" s="1"/>
  <c r="D2826" i="6" a="1"/>
  <c r="D2826" i="6" s="1"/>
  <c r="E2826" i="6" s="1" a="1"/>
  <c r="E2826" i="6" s="1"/>
  <c r="C2826" i="6" a="1"/>
  <c r="C2826" i="6" s="1"/>
  <c r="D2825" i="6" a="1"/>
  <c r="D2825" i="6" s="1"/>
  <c r="E2825" i="6" s="1" a="1"/>
  <c r="E2825" i="6" s="1"/>
  <c r="C2825" i="6" a="1"/>
  <c r="C2825" i="6" s="1"/>
  <c r="D2824" i="6" a="1"/>
  <c r="D2824" i="6" s="1"/>
  <c r="E2824" i="6" s="1" a="1"/>
  <c r="E2824" i="6" s="1"/>
  <c r="C2824" i="6" a="1"/>
  <c r="C2824" i="6" s="1"/>
  <c r="D2823" i="6" a="1"/>
  <c r="D2823" i="6" s="1"/>
  <c r="E2823" i="6" s="1" a="1"/>
  <c r="E2823" i="6" s="1"/>
  <c r="C2823" i="6" a="1"/>
  <c r="C2823" i="6" s="1"/>
  <c r="D2822" i="6" a="1"/>
  <c r="D2822" i="6" s="1"/>
  <c r="E2822" i="6" s="1" a="1"/>
  <c r="E2822" i="6" s="1"/>
  <c r="C2822" i="6" a="1"/>
  <c r="C2822" i="6" s="1"/>
  <c r="D2821" i="6" a="1"/>
  <c r="D2821" i="6" s="1"/>
  <c r="E2821" i="6" s="1" a="1"/>
  <c r="E2821" i="6" s="1"/>
  <c r="C2821" i="6" a="1"/>
  <c r="C2821" i="6" s="1"/>
  <c r="D2820" i="6" a="1"/>
  <c r="D2820" i="6" s="1"/>
  <c r="E2820" i="6" s="1" a="1"/>
  <c r="E2820" i="6" s="1"/>
  <c r="C2820" i="6" a="1"/>
  <c r="C2820" i="6" s="1"/>
  <c r="D2819" i="6" a="1"/>
  <c r="D2819" i="6" s="1"/>
  <c r="E2819" i="6" s="1" a="1"/>
  <c r="E2819" i="6" s="1"/>
  <c r="C2819" i="6" a="1"/>
  <c r="C2819" i="6" s="1"/>
  <c r="D2818" i="6" a="1"/>
  <c r="D2818" i="6" s="1"/>
  <c r="E2818" i="6" s="1" a="1"/>
  <c r="E2818" i="6" s="1"/>
  <c r="C2818" i="6" a="1"/>
  <c r="C2818" i="6" s="1"/>
  <c r="D2817" i="6" a="1"/>
  <c r="D2817" i="6" s="1"/>
  <c r="E2817" i="6" s="1" a="1"/>
  <c r="E2817" i="6" s="1"/>
  <c r="C2817" i="6" a="1"/>
  <c r="C2817" i="6" s="1"/>
  <c r="D2816" i="6" a="1"/>
  <c r="D2816" i="6" s="1"/>
  <c r="E2816" i="6" s="1" a="1"/>
  <c r="E2816" i="6" s="1"/>
  <c r="C2816" i="6" a="1"/>
  <c r="C2816" i="6" s="1"/>
  <c r="D2815" i="6" a="1"/>
  <c r="D2815" i="6" s="1"/>
  <c r="E2815" i="6" s="1" a="1"/>
  <c r="E2815" i="6" s="1"/>
  <c r="C2815" i="6" a="1"/>
  <c r="C2815" i="6" s="1"/>
  <c r="D2814" i="6" a="1"/>
  <c r="D2814" i="6" s="1"/>
  <c r="E2814" i="6" s="1" a="1"/>
  <c r="E2814" i="6" s="1"/>
  <c r="C2814" i="6" a="1"/>
  <c r="C2814" i="6" s="1"/>
  <c r="D2813" i="6" a="1"/>
  <c r="D2813" i="6" s="1"/>
  <c r="E2813" i="6" s="1" a="1"/>
  <c r="E2813" i="6" s="1"/>
  <c r="C2813" i="6" a="1"/>
  <c r="C2813" i="6" s="1"/>
  <c r="D2812" i="6" a="1"/>
  <c r="D2812" i="6" s="1"/>
  <c r="E2812" i="6" s="1" a="1"/>
  <c r="E2812" i="6" s="1"/>
  <c r="C2812" i="6" a="1"/>
  <c r="C2812" i="6" s="1"/>
  <c r="D2811" i="6" a="1"/>
  <c r="D2811" i="6" s="1"/>
  <c r="E2811" i="6" s="1" a="1"/>
  <c r="E2811" i="6" s="1"/>
  <c r="C2811" i="6" a="1"/>
  <c r="C2811" i="6" s="1"/>
  <c r="D2810" i="6" a="1"/>
  <c r="D2810" i="6" s="1"/>
  <c r="E2810" i="6" s="1" a="1"/>
  <c r="E2810" i="6" s="1"/>
  <c r="C2810" i="6" a="1"/>
  <c r="C2810" i="6" s="1"/>
  <c r="D2809" i="6" a="1"/>
  <c r="D2809" i="6" s="1"/>
  <c r="E2809" i="6" s="1" a="1"/>
  <c r="E2809" i="6" s="1"/>
  <c r="C2809" i="6" a="1"/>
  <c r="C2809" i="6" s="1"/>
  <c r="D2808" i="6" a="1"/>
  <c r="D2808" i="6" s="1"/>
  <c r="E2808" i="6" s="1" a="1"/>
  <c r="E2808" i="6" s="1"/>
  <c r="C2808" i="6" a="1"/>
  <c r="C2808" i="6" s="1"/>
  <c r="D2807" i="6" a="1"/>
  <c r="D2807" i="6" s="1"/>
  <c r="E2807" i="6" s="1" a="1"/>
  <c r="E2807" i="6" s="1"/>
  <c r="C2807" i="6" a="1"/>
  <c r="C2807" i="6" s="1"/>
  <c r="D2806" i="6" a="1"/>
  <c r="D2806" i="6" s="1"/>
  <c r="E2806" i="6" s="1" a="1"/>
  <c r="E2806" i="6" s="1"/>
  <c r="C2806" i="6" a="1"/>
  <c r="C2806" i="6" s="1"/>
  <c r="D2805" i="6" a="1"/>
  <c r="D2805" i="6" s="1"/>
  <c r="E2805" i="6" s="1" a="1"/>
  <c r="E2805" i="6" s="1"/>
  <c r="C2805" i="6" a="1"/>
  <c r="C2805" i="6" s="1"/>
  <c r="D2804" i="6" a="1"/>
  <c r="D2804" i="6" s="1"/>
  <c r="E2804" i="6" s="1" a="1"/>
  <c r="E2804" i="6" s="1"/>
  <c r="C2804" i="6" a="1"/>
  <c r="C2804" i="6" s="1"/>
  <c r="D2803" i="6" a="1"/>
  <c r="D2803" i="6" s="1"/>
  <c r="E2803" i="6" s="1" a="1"/>
  <c r="E2803" i="6" s="1"/>
  <c r="C2803" i="6" a="1"/>
  <c r="C2803" i="6" s="1"/>
  <c r="D2802" i="6" a="1"/>
  <c r="D2802" i="6" s="1"/>
  <c r="E2802" i="6" s="1" a="1"/>
  <c r="E2802" i="6" s="1"/>
  <c r="C2802" i="6" a="1"/>
  <c r="C2802" i="6" s="1"/>
  <c r="D2801" i="6" a="1"/>
  <c r="D2801" i="6" s="1"/>
  <c r="E2801" i="6" s="1" a="1"/>
  <c r="E2801" i="6" s="1"/>
  <c r="C2801" i="6" a="1"/>
  <c r="C2801" i="6" s="1"/>
  <c r="D2800" i="6" a="1"/>
  <c r="D2800" i="6" s="1"/>
  <c r="E2800" i="6" s="1" a="1"/>
  <c r="E2800" i="6" s="1"/>
  <c r="C2800" i="6" a="1"/>
  <c r="C2800" i="6" s="1"/>
  <c r="D2799" i="6" a="1"/>
  <c r="D2799" i="6" s="1"/>
  <c r="E2799" i="6" s="1" a="1"/>
  <c r="E2799" i="6" s="1"/>
  <c r="C2799" i="6" a="1"/>
  <c r="C2799" i="6" s="1"/>
  <c r="D2798" i="6" a="1"/>
  <c r="D2798" i="6" s="1"/>
  <c r="E2798" i="6" s="1" a="1"/>
  <c r="E2798" i="6" s="1"/>
  <c r="C2798" i="6" a="1"/>
  <c r="C2798" i="6" s="1"/>
  <c r="D2797" i="6" a="1"/>
  <c r="D2797" i="6" s="1"/>
  <c r="E2797" i="6" s="1" a="1"/>
  <c r="E2797" i="6" s="1"/>
  <c r="C2797" i="6" a="1"/>
  <c r="C2797" i="6" s="1"/>
  <c r="D2796" i="6" a="1"/>
  <c r="D2796" i="6" s="1"/>
  <c r="E2796" i="6" s="1" a="1"/>
  <c r="E2796" i="6" s="1"/>
  <c r="C2796" i="6" a="1"/>
  <c r="C2796" i="6" s="1"/>
  <c r="D2795" i="6" a="1"/>
  <c r="D2795" i="6" s="1"/>
  <c r="E2795" i="6" s="1" a="1"/>
  <c r="E2795" i="6" s="1"/>
  <c r="C2795" i="6" a="1"/>
  <c r="C2795" i="6" s="1"/>
  <c r="D2794" i="6" a="1"/>
  <c r="D2794" i="6" s="1"/>
  <c r="E2794" i="6" s="1" a="1"/>
  <c r="E2794" i="6" s="1"/>
  <c r="C2794" i="6" a="1"/>
  <c r="C2794" i="6" s="1"/>
  <c r="D2793" i="6" a="1"/>
  <c r="D2793" i="6" s="1"/>
  <c r="E2793" i="6" s="1" a="1"/>
  <c r="E2793" i="6" s="1"/>
  <c r="C2793" i="6" a="1"/>
  <c r="C2793" i="6" s="1"/>
  <c r="D2792" i="6" a="1"/>
  <c r="D2792" i="6" s="1"/>
  <c r="E2792" i="6" s="1" a="1"/>
  <c r="E2792" i="6" s="1"/>
  <c r="C2792" i="6" a="1"/>
  <c r="C2792" i="6" s="1"/>
  <c r="D2791" i="6" a="1"/>
  <c r="D2791" i="6" s="1"/>
  <c r="E2791" i="6" s="1" a="1"/>
  <c r="E2791" i="6" s="1"/>
  <c r="C2791" i="6" a="1"/>
  <c r="C2791" i="6" s="1"/>
  <c r="D2790" i="6" a="1"/>
  <c r="D2790" i="6" s="1"/>
  <c r="E2790" i="6" s="1" a="1"/>
  <c r="E2790" i="6" s="1"/>
  <c r="C2790" i="6" a="1"/>
  <c r="C2790" i="6" s="1"/>
  <c r="D2789" i="6" a="1"/>
  <c r="D2789" i="6" s="1"/>
  <c r="E2789" i="6" s="1" a="1"/>
  <c r="E2789" i="6" s="1"/>
  <c r="C2789" i="6" a="1"/>
  <c r="C2789" i="6" s="1"/>
  <c r="D2788" i="6" a="1"/>
  <c r="D2788" i="6" s="1"/>
  <c r="E2788" i="6" s="1" a="1"/>
  <c r="E2788" i="6" s="1"/>
  <c r="C2788" i="6" a="1"/>
  <c r="C2788" i="6" s="1"/>
  <c r="D2787" i="6" a="1"/>
  <c r="D2787" i="6" s="1"/>
  <c r="E2787" i="6" s="1" a="1"/>
  <c r="E2787" i="6" s="1"/>
  <c r="C2787" i="6" a="1"/>
  <c r="C2787" i="6" s="1"/>
  <c r="D2786" i="6" a="1"/>
  <c r="D2786" i="6" s="1"/>
  <c r="E2786" i="6" s="1" a="1"/>
  <c r="E2786" i="6" s="1"/>
  <c r="C2786" i="6" a="1"/>
  <c r="C2786" i="6" s="1"/>
  <c r="D2785" i="6" a="1"/>
  <c r="D2785" i="6" s="1"/>
  <c r="E2785" i="6" s="1" a="1"/>
  <c r="E2785" i="6" s="1"/>
  <c r="C2785" i="6" a="1"/>
  <c r="C2785" i="6" s="1"/>
  <c r="D2784" i="6" a="1"/>
  <c r="D2784" i="6" s="1"/>
  <c r="E2784" i="6" s="1" a="1"/>
  <c r="E2784" i="6" s="1"/>
  <c r="C2784" i="6" a="1"/>
  <c r="C2784" i="6" s="1"/>
  <c r="D2783" i="6" a="1"/>
  <c r="D2783" i="6" s="1"/>
  <c r="E2783" i="6" s="1" a="1"/>
  <c r="E2783" i="6" s="1"/>
  <c r="C2783" i="6" a="1"/>
  <c r="C2783" i="6" s="1"/>
  <c r="D2782" i="6" a="1"/>
  <c r="D2782" i="6" s="1"/>
  <c r="E2782" i="6" s="1" a="1"/>
  <c r="E2782" i="6" s="1"/>
  <c r="C2782" i="6" a="1"/>
  <c r="C2782" i="6" s="1"/>
  <c r="D2781" i="6" a="1"/>
  <c r="D2781" i="6" s="1"/>
  <c r="E2781" i="6" s="1" a="1"/>
  <c r="E2781" i="6" s="1"/>
  <c r="C2781" i="6" a="1"/>
  <c r="C2781" i="6" s="1"/>
  <c r="D2780" i="6" a="1"/>
  <c r="D2780" i="6" s="1"/>
  <c r="E2780" i="6" s="1" a="1"/>
  <c r="E2780" i="6" s="1"/>
  <c r="C2780" i="6" a="1"/>
  <c r="C2780" i="6" s="1"/>
  <c r="D2779" i="6" a="1"/>
  <c r="D2779" i="6" s="1"/>
  <c r="E2779" i="6" s="1" a="1"/>
  <c r="E2779" i="6" s="1"/>
  <c r="C2779" i="6" a="1"/>
  <c r="C2779" i="6" s="1"/>
  <c r="D2778" i="6" a="1"/>
  <c r="D2778" i="6" s="1"/>
  <c r="E2778" i="6" s="1" a="1"/>
  <c r="E2778" i="6" s="1"/>
  <c r="C2778" i="6" a="1"/>
  <c r="C2778" i="6" s="1"/>
  <c r="D2777" i="6" a="1"/>
  <c r="D2777" i="6" s="1"/>
  <c r="E2777" i="6" s="1" a="1"/>
  <c r="E2777" i="6" s="1"/>
  <c r="C2777" i="6" a="1"/>
  <c r="C2777" i="6" s="1"/>
  <c r="D2776" i="6" a="1"/>
  <c r="D2776" i="6" s="1"/>
  <c r="E2776" i="6" s="1" a="1"/>
  <c r="E2776" i="6" s="1"/>
  <c r="C2776" i="6" a="1"/>
  <c r="C2776" i="6" s="1"/>
  <c r="D2775" i="6" a="1"/>
  <c r="D2775" i="6" s="1"/>
  <c r="E2775" i="6" s="1" a="1"/>
  <c r="E2775" i="6" s="1"/>
  <c r="C2775" i="6" a="1"/>
  <c r="C2775" i="6" s="1"/>
  <c r="D2774" i="6" a="1"/>
  <c r="D2774" i="6" s="1"/>
  <c r="E2774" i="6" s="1" a="1"/>
  <c r="E2774" i="6" s="1"/>
  <c r="C2774" i="6" a="1"/>
  <c r="C2774" i="6" s="1"/>
  <c r="D2773" i="6" a="1"/>
  <c r="D2773" i="6" s="1"/>
  <c r="E2773" i="6" s="1" a="1"/>
  <c r="E2773" i="6" s="1"/>
  <c r="C2773" i="6" a="1"/>
  <c r="C2773" i="6" s="1"/>
  <c r="D2772" i="6" a="1"/>
  <c r="D2772" i="6" s="1"/>
  <c r="E2772" i="6" s="1" a="1"/>
  <c r="E2772" i="6" s="1"/>
  <c r="C2772" i="6" a="1"/>
  <c r="C2772" i="6" s="1"/>
  <c r="D2771" i="6" a="1"/>
  <c r="D2771" i="6" s="1"/>
  <c r="E2771" i="6" s="1" a="1"/>
  <c r="E2771" i="6" s="1"/>
  <c r="C2771" i="6" a="1"/>
  <c r="C2771" i="6" s="1"/>
  <c r="D2770" i="6" a="1"/>
  <c r="D2770" i="6" s="1"/>
  <c r="E2770" i="6" s="1" a="1"/>
  <c r="E2770" i="6" s="1"/>
  <c r="C2770" i="6" a="1"/>
  <c r="C2770" i="6" s="1"/>
  <c r="D2769" i="6" a="1"/>
  <c r="D2769" i="6" s="1"/>
  <c r="E2769" i="6" s="1" a="1"/>
  <c r="E2769" i="6" s="1"/>
  <c r="C2769" i="6" a="1"/>
  <c r="C2769" i="6" s="1"/>
  <c r="D2768" i="6" a="1"/>
  <c r="D2768" i="6" s="1"/>
  <c r="E2768" i="6" s="1" a="1"/>
  <c r="E2768" i="6" s="1"/>
  <c r="C2768" i="6" a="1"/>
  <c r="C2768" i="6" s="1"/>
  <c r="D2767" i="6" a="1"/>
  <c r="D2767" i="6" s="1"/>
  <c r="E2767" i="6" s="1" a="1"/>
  <c r="E2767" i="6" s="1"/>
  <c r="C2767" i="6" a="1"/>
  <c r="C2767" i="6" s="1"/>
  <c r="D2766" i="6" a="1"/>
  <c r="D2766" i="6" s="1"/>
  <c r="E2766" i="6" s="1" a="1"/>
  <c r="E2766" i="6" s="1"/>
  <c r="C2766" i="6" a="1"/>
  <c r="C2766" i="6" s="1"/>
  <c r="D2765" i="6" a="1"/>
  <c r="D2765" i="6" s="1"/>
  <c r="E2765" i="6" s="1" a="1"/>
  <c r="E2765" i="6" s="1"/>
  <c r="C2765" i="6" a="1"/>
  <c r="C2765" i="6" s="1"/>
  <c r="D2764" i="6" a="1"/>
  <c r="D2764" i="6" s="1"/>
  <c r="E2764" i="6" s="1" a="1"/>
  <c r="E2764" i="6" s="1"/>
  <c r="C2764" i="6" a="1"/>
  <c r="C2764" i="6" s="1"/>
  <c r="D2763" i="6" a="1"/>
  <c r="D2763" i="6" s="1"/>
  <c r="E2763" i="6" s="1" a="1"/>
  <c r="E2763" i="6" s="1"/>
  <c r="C2763" i="6" a="1"/>
  <c r="C2763" i="6" s="1"/>
  <c r="D2762" i="6" a="1"/>
  <c r="D2762" i="6" s="1"/>
  <c r="E2762" i="6" s="1" a="1"/>
  <c r="E2762" i="6" s="1"/>
  <c r="C2762" i="6" a="1"/>
  <c r="C2762" i="6" s="1"/>
  <c r="D2761" i="6" a="1"/>
  <c r="D2761" i="6" s="1"/>
  <c r="E2761" i="6" s="1" a="1"/>
  <c r="E2761" i="6" s="1"/>
  <c r="C2761" i="6" a="1"/>
  <c r="C2761" i="6" s="1"/>
  <c r="D2760" i="6" a="1"/>
  <c r="D2760" i="6" s="1"/>
  <c r="E2760" i="6" s="1" a="1"/>
  <c r="E2760" i="6" s="1"/>
  <c r="C2760" i="6" a="1"/>
  <c r="C2760" i="6" s="1"/>
  <c r="D2759" i="6" a="1"/>
  <c r="D2759" i="6" s="1"/>
  <c r="E2759" i="6" s="1" a="1"/>
  <c r="E2759" i="6" s="1"/>
  <c r="C2759" i="6" a="1"/>
  <c r="C2759" i="6" s="1"/>
  <c r="D2758" i="6" a="1"/>
  <c r="D2758" i="6" s="1"/>
  <c r="E2758" i="6" s="1" a="1"/>
  <c r="E2758" i="6" s="1"/>
  <c r="C2758" i="6" a="1"/>
  <c r="C2758" i="6" s="1"/>
  <c r="D2757" i="6" a="1"/>
  <c r="D2757" i="6" s="1"/>
  <c r="E2757" i="6" s="1" a="1"/>
  <c r="E2757" i="6" s="1"/>
  <c r="C2757" i="6" a="1"/>
  <c r="C2757" i="6" s="1"/>
  <c r="D2756" i="6" a="1"/>
  <c r="D2756" i="6" s="1"/>
  <c r="E2756" i="6" s="1" a="1"/>
  <c r="E2756" i="6" s="1"/>
  <c r="C2756" i="6" a="1"/>
  <c r="C2756" i="6" s="1"/>
  <c r="D2755" i="6" a="1"/>
  <c r="D2755" i="6" s="1"/>
  <c r="E2755" i="6" s="1" a="1"/>
  <c r="E2755" i="6" s="1"/>
  <c r="C2755" i="6" a="1"/>
  <c r="C2755" i="6" s="1"/>
  <c r="D2754" i="6" a="1"/>
  <c r="D2754" i="6" s="1"/>
  <c r="E2754" i="6" s="1" a="1"/>
  <c r="E2754" i="6" s="1"/>
  <c r="C2754" i="6" a="1"/>
  <c r="C2754" i="6" s="1"/>
  <c r="D2753" i="6" a="1"/>
  <c r="D2753" i="6" s="1"/>
  <c r="E2753" i="6" s="1" a="1"/>
  <c r="E2753" i="6" s="1"/>
  <c r="C2753" i="6" a="1"/>
  <c r="C2753" i="6" s="1"/>
  <c r="D2752" i="6" a="1"/>
  <c r="D2752" i="6" s="1"/>
  <c r="E2752" i="6" s="1" a="1"/>
  <c r="E2752" i="6" s="1"/>
  <c r="C2752" i="6" a="1"/>
  <c r="C2752" i="6" s="1"/>
  <c r="D2751" i="6" a="1"/>
  <c r="D2751" i="6" s="1"/>
  <c r="E2751" i="6" s="1" a="1"/>
  <c r="E2751" i="6" s="1"/>
  <c r="C2751" i="6" a="1"/>
  <c r="C2751" i="6" s="1"/>
  <c r="D2750" i="6" a="1"/>
  <c r="D2750" i="6" s="1"/>
  <c r="E2750" i="6" s="1" a="1"/>
  <c r="E2750" i="6" s="1"/>
  <c r="C2750" i="6" a="1"/>
  <c r="C2750" i="6" s="1"/>
  <c r="D2749" i="6" a="1"/>
  <c r="D2749" i="6" s="1"/>
  <c r="E2749" i="6" s="1" a="1"/>
  <c r="E2749" i="6" s="1"/>
  <c r="C2749" i="6" a="1"/>
  <c r="C2749" i="6" s="1"/>
  <c r="D2748" i="6" a="1"/>
  <c r="D2748" i="6" s="1"/>
  <c r="E2748" i="6" s="1" a="1"/>
  <c r="E2748" i="6" s="1"/>
  <c r="C2748" i="6" a="1"/>
  <c r="C2748" i="6" s="1"/>
  <c r="D2747" i="6" a="1"/>
  <c r="D2747" i="6" s="1"/>
  <c r="E2747" i="6" s="1" a="1"/>
  <c r="E2747" i="6" s="1"/>
  <c r="C2747" i="6" a="1"/>
  <c r="C2747" i="6" s="1"/>
  <c r="D2746" i="6" a="1"/>
  <c r="D2746" i="6" s="1"/>
  <c r="E2746" i="6" s="1" a="1"/>
  <c r="E2746" i="6" s="1"/>
  <c r="C2746" i="6" a="1"/>
  <c r="C2746" i="6" s="1"/>
  <c r="D2745" i="6" a="1"/>
  <c r="D2745" i="6" s="1"/>
  <c r="E2745" i="6" s="1" a="1"/>
  <c r="E2745" i="6" s="1"/>
  <c r="C2745" i="6" a="1"/>
  <c r="C2745" i="6" s="1"/>
  <c r="D2744" i="6" a="1"/>
  <c r="D2744" i="6" s="1"/>
  <c r="E2744" i="6" s="1" a="1"/>
  <c r="E2744" i="6" s="1"/>
  <c r="C2744" i="6" a="1"/>
  <c r="C2744" i="6" s="1"/>
  <c r="D2743" i="6" a="1"/>
  <c r="D2743" i="6" s="1"/>
  <c r="E2743" i="6" s="1" a="1"/>
  <c r="E2743" i="6" s="1"/>
  <c r="C2743" i="6" a="1"/>
  <c r="C2743" i="6" s="1"/>
  <c r="D2742" i="6" a="1"/>
  <c r="D2742" i="6" s="1"/>
  <c r="E2742" i="6" s="1" a="1"/>
  <c r="E2742" i="6" s="1"/>
  <c r="C2742" i="6" a="1"/>
  <c r="C2742" i="6" s="1"/>
  <c r="D2741" i="6" a="1"/>
  <c r="D2741" i="6" s="1"/>
  <c r="E2741" i="6" s="1" a="1"/>
  <c r="E2741" i="6" s="1"/>
  <c r="C2741" i="6" a="1"/>
  <c r="C2741" i="6" s="1"/>
  <c r="D2740" i="6" a="1"/>
  <c r="D2740" i="6" s="1"/>
  <c r="E2740" i="6" s="1" a="1"/>
  <c r="E2740" i="6" s="1"/>
  <c r="C2740" i="6" a="1"/>
  <c r="C2740" i="6" s="1"/>
  <c r="D2739" i="6" a="1"/>
  <c r="D2739" i="6" s="1"/>
  <c r="E2739" i="6" s="1" a="1"/>
  <c r="E2739" i="6" s="1"/>
  <c r="C2739" i="6" a="1"/>
  <c r="C2739" i="6" s="1"/>
  <c r="D2738" i="6" a="1"/>
  <c r="D2738" i="6" s="1"/>
  <c r="E2738" i="6" s="1" a="1"/>
  <c r="E2738" i="6" s="1"/>
  <c r="C2738" i="6" a="1"/>
  <c r="C2738" i="6" s="1"/>
  <c r="D2737" i="6" a="1"/>
  <c r="D2737" i="6" s="1"/>
  <c r="E2737" i="6" s="1" a="1"/>
  <c r="E2737" i="6" s="1"/>
  <c r="C2737" i="6" a="1"/>
  <c r="C2737" i="6" s="1"/>
  <c r="D2736" i="6" a="1"/>
  <c r="D2736" i="6" s="1"/>
  <c r="E2736" i="6" s="1" a="1"/>
  <c r="E2736" i="6" s="1"/>
  <c r="C2736" i="6" a="1"/>
  <c r="C2736" i="6" s="1"/>
  <c r="D2735" i="6" a="1"/>
  <c r="D2735" i="6" s="1"/>
  <c r="E2735" i="6" s="1" a="1"/>
  <c r="E2735" i="6" s="1"/>
  <c r="C2735" i="6" a="1"/>
  <c r="C2735" i="6" s="1"/>
  <c r="D2734" i="6" a="1"/>
  <c r="D2734" i="6" s="1"/>
  <c r="E2734" i="6" s="1" a="1"/>
  <c r="E2734" i="6" s="1"/>
  <c r="C2734" i="6" a="1"/>
  <c r="C2734" i="6" s="1"/>
  <c r="D2733" i="6" a="1"/>
  <c r="D2733" i="6" s="1"/>
  <c r="E2733" i="6" s="1" a="1"/>
  <c r="E2733" i="6" s="1"/>
  <c r="C2733" i="6" a="1"/>
  <c r="C2733" i="6" s="1"/>
  <c r="D2732" i="6" a="1"/>
  <c r="D2732" i="6" s="1"/>
  <c r="E2732" i="6" s="1" a="1"/>
  <c r="E2732" i="6" s="1"/>
  <c r="C2732" i="6" a="1"/>
  <c r="C2732" i="6" s="1"/>
  <c r="D2731" i="6" a="1"/>
  <c r="D2731" i="6" s="1"/>
  <c r="E2731" i="6" s="1" a="1"/>
  <c r="E2731" i="6" s="1"/>
  <c r="C2731" i="6" a="1"/>
  <c r="C2731" i="6" s="1"/>
  <c r="D2730" i="6" a="1"/>
  <c r="D2730" i="6" s="1"/>
  <c r="E2730" i="6" s="1" a="1"/>
  <c r="E2730" i="6" s="1"/>
  <c r="C2730" i="6" a="1"/>
  <c r="C2730" i="6" s="1"/>
  <c r="D2729" i="6" a="1"/>
  <c r="D2729" i="6" s="1"/>
  <c r="E2729" i="6" s="1" a="1"/>
  <c r="E2729" i="6" s="1"/>
  <c r="C2729" i="6" a="1"/>
  <c r="C2729" i="6" s="1"/>
  <c r="D2728" i="6" a="1"/>
  <c r="D2728" i="6" s="1"/>
  <c r="E2728" i="6" s="1" a="1"/>
  <c r="E2728" i="6" s="1"/>
  <c r="C2728" i="6" a="1"/>
  <c r="C2728" i="6" s="1"/>
  <c r="D2727" i="6" a="1"/>
  <c r="D2727" i="6" s="1"/>
  <c r="E2727" i="6" s="1" a="1"/>
  <c r="E2727" i="6" s="1"/>
  <c r="C2727" i="6" a="1"/>
  <c r="C2727" i="6" s="1"/>
  <c r="D2726" i="6" a="1"/>
  <c r="D2726" i="6" s="1"/>
  <c r="E2726" i="6" s="1" a="1"/>
  <c r="E2726" i="6" s="1"/>
  <c r="C2726" i="6" a="1"/>
  <c r="C2726" i="6" s="1"/>
  <c r="D2725" i="6" a="1"/>
  <c r="D2725" i="6" s="1"/>
  <c r="E2725" i="6" s="1" a="1"/>
  <c r="E2725" i="6" s="1"/>
  <c r="C2725" i="6" a="1"/>
  <c r="C2725" i="6" s="1"/>
  <c r="D2724" i="6" a="1"/>
  <c r="D2724" i="6" s="1"/>
  <c r="E2724" i="6" s="1" a="1"/>
  <c r="E2724" i="6" s="1"/>
  <c r="C2724" i="6" a="1"/>
  <c r="C2724" i="6" s="1"/>
  <c r="D2723" i="6" a="1"/>
  <c r="D2723" i="6" s="1"/>
  <c r="E2723" i="6" s="1" a="1"/>
  <c r="E2723" i="6" s="1"/>
  <c r="C2723" i="6" a="1"/>
  <c r="C2723" i="6" s="1"/>
  <c r="D2722" i="6" a="1"/>
  <c r="D2722" i="6" s="1"/>
  <c r="E2722" i="6" s="1" a="1"/>
  <c r="E2722" i="6" s="1"/>
  <c r="C2722" i="6" a="1"/>
  <c r="C2722" i="6" s="1"/>
  <c r="D2721" i="6" a="1"/>
  <c r="D2721" i="6" s="1"/>
  <c r="E2721" i="6" s="1" a="1"/>
  <c r="E2721" i="6" s="1"/>
  <c r="C2721" i="6" a="1"/>
  <c r="C2721" i="6" s="1"/>
  <c r="D2720" i="6" a="1"/>
  <c r="D2720" i="6" s="1"/>
  <c r="E2720" i="6" s="1" a="1"/>
  <c r="E2720" i="6" s="1"/>
  <c r="C2720" i="6" a="1"/>
  <c r="C2720" i="6" s="1"/>
  <c r="D2719" i="6" a="1"/>
  <c r="D2719" i="6" s="1"/>
  <c r="E2719" i="6" s="1" a="1"/>
  <c r="E2719" i="6" s="1"/>
  <c r="C2719" i="6" a="1"/>
  <c r="C2719" i="6" s="1"/>
  <c r="D2718" i="6" a="1"/>
  <c r="D2718" i="6" s="1"/>
  <c r="E2718" i="6" s="1" a="1"/>
  <c r="E2718" i="6" s="1"/>
  <c r="C2718" i="6" a="1"/>
  <c r="C2718" i="6" s="1"/>
  <c r="D2717" i="6" a="1"/>
  <c r="D2717" i="6" s="1"/>
  <c r="E2717" i="6" s="1" a="1"/>
  <c r="E2717" i="6" s="1"/>
  <c r="C2717" i="6" a="1"/>
  <c r="C2717" i="6" s="1"/>
  <c r="D2716" i="6" a="1"/>
  <c r="D2716" i="6" s="1"/>
  <c r="E2716" i="6" s="1" a="1"/>
  <c r="E2716" i="6" s="1"/>
  <c r="C2716" i="6" a="1"/>
  <c r="C2716" i="6" s="1"/>
  <c r="D2715" i="6" a="1"/>
  <c r="D2715" i="6" s="1"/>
  <c r="E2715" i="6" s="1" a="1"/>
  <c r="E2715" i="6" s="1"/>
  <c r="C2715" i="6" a="1"/>
  <c r="C2715" i="6" s="1"/>
  <c r="D2714" i="6" a="1"/>
  <c r="D2714" i="6" s="1"/>
  <c r="E2714" i="6" s="1" a="1"/>
  <c r="E2714" i="6" s="1"/>
  <c r="C2714" i="6" a="1"/>
  <c r="C2714" i="6" s="1"/>
  <c r="D2713" i="6" a="1"/>
  <c r="D2713" i="6" s="1"/>
  <c r="E2713" i="6" s="1" a="1"/>
  <c r="E2713" i="6" s="1"/>
  <c r="C2713" i="6" a="1"/>
  <c r="C2713" i="6" s="1"/>
  <c r="D2712" i="6" a="1"/>
  <c r="D2712" i="6" s="1"/>
  <c r="E2712" i="6" s="1" a="1"/>
  <c r="E2712" i="6" s="1"/>
  <c r="C2712" i="6" a="1"/>
  <c r="C2712" i="6" s="1"/>
  <c r="D2711" i="6" a="1"/>
  <c r="D2711" i="6" s="1"/>
  <c r="E2711" i="6" s="1" a="1"/>
  <c r="E2711" i="6" s="1"/>
  <c r="C2711" i="6" a="1"/>
  <c r="C2711" i="6" s="1"/>
  <c r="D2710" i="6" a="1"/>
  <c r="D2710" i="6" s="1"/>
  <c r="E2710" i="6" s="1" a="1"/>
  <c r="E2710" i="6" s="1"/>
  <c r="C2710" i="6" a="1"/>
  <c r="C2710" i="6" s="1"/>
  <c r="D2709" i="6" a="1"/>
  <c r="D2709" i="6" s="1"/>
  <c r="E2709" i="6" s="1" a="1"/>
  <c r="E2709" i="6" s="1"/>
  <c r="C2709" i="6" a="1"/>
  <c r="C2709" i="6" s="1"/>
  <c r="D2708" i="6" a="1"/>
  <c r="D2708" i="6" s="1"/>
  <c r="E2708" i="6" s="1" a="1"/>
  <c r="E2708" i="6" s="1"/>
  <c r="C2708" i="6" a="1"/>
  <c r="C2708" i="6" s="1"/>
  <c r="D2707" i="6" a="1"/>
  <c r="D2707" i="6" s="1"/>
  <c r="E2707" i="6" s="1" a="1"/>
  <c r="E2707" i="6" s="1"/>
  <c r="C2707" i="6" a="1"/>
  <c r="C2707" i="6" s="1"/>
  <c r="D2706" i="6" a="1"/>
  <c r="D2706" i="6" s="1"/>
  <c r="E2706" i="6" s="1" a="1"/>
  <c r="E2706" i="6" s="1"/>
  <c r="C2706" i="6" a="1"/>
  <c r="C2706" i="6" s="1"/>
  <c r="D2705" i="6" a="1"/>
  <c r="D2705" i="6" s="1"/>
  <c r="E2705" i="6" s="1" a="1"/>
  <c r="E2705" i="6" s="1"/>
  <c r="C2705" i="6" a="1"/>
  <c r="C2705" i="6" s="1"/>
  <c r="D2704" i="6" a="1"/>
  <c r="D2704" i="6" s="1"/>
  <c r="E2704" i="6" s="1" a="1"/>
  <c r="E2704" i="6" s="1"/>
  <c r="C2704" i="6" a="1"/>
  <c r="C2704" i="6" s="1"/>
  <c r="D2703" i="6" a="1"/>
  <c r="D2703" i="6" s="1"/>
  <c r="E2703" i="6" s="1" a="1"/>
  <c r="E2703" i="6" s="1"/>
  <c r="C2703" i="6" a="1"/>
  <c r="C2703" i="6" s="1"/>
  <c r="D2702" i="6" a="1"/>
  <c r="D2702" i="6" s="1"/>
  <c r="E2702" i="6" s="1" a="1"/>
  <c r="E2702" i="6" s="1"/>
  <c r="C2702" i="6" a="1"/>
  <c r="C2702" i="6" s="1"/>
  <c r="D2701" i="6" a="1"/>
  <c r="D2701" i="6" s="1"/>
  <c r="E2701" i="6" s="1" a="1"/>
  <c r="E2701" i="6" s="1"/>
  <c r="C2701" i="6" a="1"/>
  <c r="C2701" i="6" s="1"/>
  <c r="D2700" i="6" a="1"/>
  <c r="D2700" i="6" s="1"/>
  <c r="E2700" i="6" s="1" a="1"/>
  <c r="E2700" i="6" s="1"/>
  <c r="C2700" i="6" a="1"/>
  <c r="C2700" i="6" s="1"/>
  <c r="D2699" i="6" a="1"/>
  <c r="D2699" i="6" s="1"/>
  <c r="E2699" i="6" s="1" a="1"/>
  <c r="E2699" i="6" s="1"/>
  <c r="C2699" i="6" a="1"/>
  <c r="C2699" i="6" s="1"/>
  <c r="D2698" i="6" a="1"/>
  <c r="D2698" i="6" s="1"/>
  <c r="E2698" i="6" s="1" a="1"/>
  <c r="E2698" i="6" s="1"/>
  <c r="C2698" i="6" a="1"/>
  <c r="C2698" i="6" s="1"/>
  <c r="D2697" i="6" a="1"/>
  <c r="D2697" i="6" s="1"/>
  <c r="E2697" i="6" s="1" a="1"/>
  <c r="E2697" i="6" s="1"/>
  <c r="C2697" i="6" a="1"/>
  <c r="C2697" i="6" s="1"/>
  <c r="D2696" i="6" a="1"/>
  <c r="D2696" i="6" s="1"/>
  <c r="E2696" i="6" s="1" a="1"/>
  <c r="E2696" i="6" s="1"/>
  <c r="C2696" i="6" a="1"/>
  <c r="C2696" i="6" s="1"/>
  <c r="D2695" i="6" a="1"/>
  <c r="D2695" i="6" s="1"/>
  <c r="E2695" i="6" s="1" a="1"/>
  <c r="E2695" i="6" s="1"/>
  <c r="C2695" i="6" a="1"/>
  <c r="C2695" i="6" s="1"/>
  <c r="D2694" i="6" a="1"/>
  <c r="D2694" i="6" s="1"/>
  <c r="E2694" i="6" s="1" a="1"/>
  <c r="E2694" i="6" s="1"/>
  <c r="C2694" i="6" a="1"/>
  <c r="C2694" i="6" s="1"/>
  <c r="D2693" i="6" a="1"/>
  <c r="D2693" i="6" s="1"/>
  <c r="E2693" i="6" s="1" a="1"/>
  <c r="E2693" i="6" s="1"/>
  <c r="C2693" i="6" a="1"/>
  <c r="C2693" i="6" s="1"/>
  <c r="D2692" i="6" a="1"/>
  <c r="D2692" i="6" s="1"/>
  <c r="E2692" i="6" s="1" a="1"/>
  <c r="E2692" i="6" s="1"/>
  <c r="C2692" i="6" a="1"/>
  <c r="C2692" i="6" s="1"/>
  <c r="D2691" i="6" a="1"/>
  <c r="D2691" i="6" s="1"/>
  <c r="E2691" i="6" s="1" a="1"/>
  <c r="E2691" i="6" s="1"/>
  <c r="C2691" i="6" a="1"/>
  <c r="C2691" i="6" s="1"/>
  <c r="D2690" i="6" a="1"/>
  <c r="D2690" i="6" s="1"/>
  <c r="E2690" i="6" s="1" a="1"/>
  <c r="E2690" i="6" s="1"/>
  <c r="C2690" i="6" a="1"/>
  <c r="C2690" i="6" s="1"/>
  <c r="D2689" i="6" a="1"/>
  <c r="D2689" i="6" s="1"/>
  <c r="E2689" i="6" s="1" a="1"/>
  <c r="E2689" i="6" s="1"/>
  <c r="C2689" i="6" a="1"/>
  <c r="C2689" i="6" s="1"/>
  <c r="D2688" i="6" a="1"/>
  <c r="D2688" i="6" s="1"/>
  <c r="E2688" i="6" s="1" a="1"/>
  <c r="E2688" i="6" s="1"/>
  <c r="C2688" i="6" a="1"/>
  <c r="C2688" i="6" s="1"/>
  <c r="D2687" i="6" a="1"/>
  <c r="D2687" i="6" s="1"/>
  <c r="E2687" i="6" s="1" a="1"/>
  <c r="E2687" i="6" s="1"/>
  <c r="C2687" i="6" a="1"/>
  <c r="C2687" i="6" s="1"/>
  <c r="D2686" i="6" a="1"/>
  <c r="D2686" i="6" s="1"/>
  <c r="E2686" i="6" s="1" a="1"/>
  <c r="E2686" i="6" s="1"/>
  <c r="C2686" i="6" a="1"/>
  <c r="C2686" i="6" s="1"/>
  <c r="D2685" i="6" a="1"/>
  <c r="D2685" i="6" s="1"/>
  <c r="E2685" i="6" s="1" a="1"/>
  <c r="E2685" i="6" s="1"/>
  <c r="C2685" i="6" a="1"/>
  <c r="C2685" i="6" s="1"/>
  <c r="D2684" i="6" a="1"/>
  <c r="D2684" i="6" s="1"/>
  <c r="E2684" i="6" s="1" a="1"/>
  <c r="E2684" i="6" s="1"/>
  <c r="C2684" i="6" a="1"/>
  <c r="C2684" i="6" s="1"/>
  <c r="D2683" i="6" a="1"/>
  <c r="D2683" i="6" s="1"/>
  <c r="E2683" i="6" s="1" a="1"/>
  <c r="E2683" i="6" s="1"/>
  <c r="C2683" i="6" a="1"/>
  <c r="C2683" i="6" s="1"/>
  <c r="D2682" i="6" a="1"/>
  <c r="D2682" i="6" s="1"/>
  <c r="E2682" i="6" s="1" a="1"/>
  <c r="E2682" i="6" s="1"/>
  <c r="C2682" i="6" a="1"/>
  <c r="C2682" i="6" s="1"/>
  <c r="D2681" i="6" a="1"/>
  <c r="D2681" i="6" s="1"/>
  <c r="E2681" i="6" s="1" a="1"/>
  <c r="E2681" i="6" s="1"/>
  <c r="C2681" i="6" a="1"/>
  <c r="C2681" i="6" s="1"/>
  <c r="D2680" i="6" a="1"/>
  <c r="D2680" i="6" s="1"/>
  <c r="E2680" i="6" s="1" a="1"/>
  <c r="E2680" i="6" s="1"/>
  <c r="C2680" i="6" a="1"/>
  <c r="C2680" i="6" s="1"/>
  <c r="D2679" i="6" a="1"/>
  <c r="D2679" i="6" s="1"/>
  <c r="E2679" i="6" s="1" a="1"/>
  <c r="E2679" i="6" s="1"/>
  <c r="C2679" i="6" a="1"/>
  <c r="C2679" i="6" s="1"/>
  <c r="D2678" i="6" a="1"/>
  <c r="D2678" i="6" s="1"/>
  <c r="E2678" i="6" s="1" a="1"/>
  <c r="E2678" i="6" s="1"/>
  <c r="C2678" i="6" a="1"/>
  <c r="C2678" i="6" s="1"/>
  <c r="D2677" i="6" a="1"/>
  <c r="D2677" i="6" s="1"/>
  <c r="E2677" i="6" s="1" a="1"/>
  <c r="E2677" i="6" s="1"/>
  <c r="C2677" i="6" a="1"/>
  <c r="C2677" i="6" s="1"/>
  <c r="D2676" i="6" a="1"/>
  <c r="D2676" i="6" s="1"/>
  <c r="E2676" i="6" s="1" a="1"/>
  <c r="E2676" i="6" s="1"/>
  <c r="C2676" i="6" a="1"/>
  <c r="C2676" i="6" s="1"/>
  <c r="D2675" i="6" a="1"/>
  <c r="D2675" i="6" s="1"/>
  <c r="E2675" i="6" s="1" a="1"/>
  <c r="E2675" i="6" s="1"/>
  <c r="C2675" i="6" a="1"/>
  <c r="C2675" i="6" s="1"/>
  <c r="D2674" i="6" a="1"/>
  <c r="D2674" i="6" s="1"/>
  <c r="E2674" i="6" s="1" a="1"/>
  <c r="E2674" i="6" s="1"/>
  <c r="C2674" i="6" a="1"/>
  <c r="C2674" i="6" s="1"/>
  <c r="D2673" i="6" a="1"/>
  <c r="D2673" i="6" s="1"/>
  <c r="E2673" i="6" s="1" a="1"/>
  <c r="E2673" i="6" s="1"/>
  <c r="C2673" i="6" a="1"/>
  <c r="C2673" i="6" s="1"/>
  <c r="D2672" i="6" a="1"/>
  <c r="D2672" i="6" s="1"/>
  <c r="E2672" i="6" s="1" a="1"/>
  <c r="E2672" i="6" s="1"/>
  <c r="C2672" i="6" a="1"/>
  <c r="C2672" i="6" s="1"/>
  <c r="D2671" i="6" a="1"/>
  <c r="D2671" i="6" s="1"/>
  <c r="E2671" i="6" s="1" a="1"/>
  <c r="E2671" i="6" s="1"/>
  <c r="C2671" i="6" a="1"/>
  <c r="C2671" i="6" s="1"/>
  <c r="D2670" i="6" a="1"/>
  <c r="D2670" i="6" s="1"/>
  <c r="E2670" i="6" s="1" a="1"/>
  <c r="E2670" i="6" s="1"/>
  <c r="C2670" i="6" a="1"/>
  <c r="C2670" i="6" s="1"/>
  <c r="D2669" i="6" a="1"/>
  <c r="D2669" i="6" s="1"/>
  <c r="E2669" i="6" s="1" a="1"/>
  <c r="E2669" i="6" s="1"/>
  <c r="C2669" i="6" a="1"/>
  <c r="C2669" i="6" s="1"/>
  <c r="D2668" i="6" a="1"/>
  <c r="D2668" i="6" s="1"/>
  <c r="E2668" i="6" s="1" a="1"/>
  <c r="E2668" i="6" s="1"/>
  <c r="C2668" i="6" a="1"/>
  <c r="C2668" i="6" s="1"/>
  <c r="D2667" i="6" a="1"/>
  <c r="D2667" i="6" s="1"/>
  <c r="E2667" i="6" s="1" a="1"/>
  <c r="E2667" i="6" s="1"/>
  <c r="C2667" i="6" a="1"/>
  <c r="C2667" i="6" s="1"/>
  <c r="D2666" i="6" a="1"/>
  <c r="D2666" i="6" s="1"/>
  <c r="E2666" i="6" s="1" a="1"/>
  <c r="E2666" i="6" s="1"/>
  <c r="C2666" i="6" a="1"/>
  <c r="C2666" i="6" s="1"/>
  <c r="D2665" i="6" a="1"/>
  <c r="D2665" i="6" s="1"/>
  <c r="E2665" i="6" s="1" a="1"/>
  <c r="E2665" i="6" s="1"/>
  <c r="C2665" i="6" a="1"/>
  <c r="C2665" i="6" s="1"/>
  <c r="D2664" i="6" a="1"/>
  <c r="D2664" i="6" s="1"/>
  <c r="E2664" i="6" s="1" a="1"/>
  <c r="E2664" i="6" s="1"/>
  <c r="C2664" i="6" a="1"/>
  <c r="C2664" i="6" s="1"/>
  <c r="D2663" i="6" a="1"/>
  <c r="D2663" i="6" s="1"/>
  <c r="E2663" i="6" s="1" a="1"/>
  <c r="E2663" i="6" s="1"/>
  <c r="C2663" i="6" a="1"/>
  <c r="C2663" i="6" s="1"/>
  <c r="D2662" i="6" a="1"/>
  <c r="D2662" i="6" s="1"/>
  <c r="E2662" i="6" s="1" a="1"/>
  <c r="E2662" i="6" s="1"/>
  <c r="C2662" i="6" a="1"/>
  <c r="C2662" i="6" s="1"/>
  <c r="D2661" i="6" a="1"/>
  <c r="D2661" i="6" s="1"/>
  <c r="E2661" i="6" s="1" a="1"/>
  <c r="E2661" i="6" s="1"/>
  <c r="C2661" i="6" a="1"/>
  <c r="C2661" i="6" s="1"/>
  <c r="D2660" i="6" a="1"/>
  <c r="D2660" i="6" s="1"/>
  <c r="E2660" i="6" s="1" a="1"/>
  <c r="E2660" i="6" s="1"/>
  <c r="C2660" i="6" a="1"/>
  <c r="C2660" i="6" s="1"/>
  <c r="D2659" i="6" a="1"/>
  <c r="D2659" i="6" s="1"/>
  <c r="E2659" i="6" s="1" a="1"/>
  <c r="E2659" i="6" s="1"/>
  <c r="C2659" i="6" a="1"/>
  <c r="C2659" i="6" s="1"/>
  <c r="D2658" i="6" a="1"/>
  <c r="D2658" i="6" s="1"/>
  <c r="E2658" i="6" s="1" a="1"/>
  <c r="E2658" i="6" s="1"/>
  <c r="C2658" i="6" a="1"/>
  <c r="C2658" i="6" s="1"/>
  <c r="D2657" i="6" a="1"/>
  <c r="D2657" i="6" s="1"/>
  <c r="E2657" i="6" s="1" a="1"/>
  <c r="E2657" i="6" s="1"/>
  <c r="C2657" i="6" a="1"/>
  <c r="C2657" i="6" s="1"/>
  <c r="D2656" i="6" a="1"/>
  <c r="D2656" i="6" s="1"/>
  <c r="E2656" i="6" s="1" a="1"/>
  <c r="E2656" i="6" s="1"/>
  <c r="C2656" i="6" a="1"/>
  <c r="C2656" i="6" s="1"/>
  <c r="D2655" i="6" a="1"/>
  <c r="D2655" i="6" s="1"/>
  <c r="E2655" i="6" s="1" a="1"/>
  <c r="E2655" i="6" s="1"/>
  <c r="C2655" i="6" a="1"/>
  <c r="C2655" i="6" s="1"/>
  <c r="D2654" i="6" a="1"/>
  <c r="D2654" i="6" s="1"/>
  <c r="E2654" i="6" s="1" a="1"/>
  <c r="E2654" i="6" s="1"/>
  <c r="C2654" i="6" a="1"/>
  <c r="C2654" i="6" s="1"/>
  <c r="D2653" i="6" a="1"/>
  <c r="D2653" i="6" s="1"/>
  <c r="E2653" i="6" s="1" a="1"/>
  <c r="E2653" i="6" s="1"/>
  <c r="C2653" i="6" a="1"/>
  <c r="C2653" i="6" s="1"/>
  <c r="D2652" i="6" a="1"/>
  <c r="D2652" i="6" s="1"/>
  <c r="E2652" i="6" s="1" a="1"/>
  <c r="E2652" i="6" s="1"/>
  <c r="C2652" i="6" a="1"/>
  <c r="C2652" i="6" s="1"/>
  <c r="D2651" i="6" a="1"/>
  <c r="D2651" i="6" s="1"/>
  <c r="E2651" i="6" s="1" a="1"/>
  <c r="E2651" i="6" s="1"/>
  <c r="C2651" i="6" a="1"/>
  <c r="C2651" i="6" s="1"/>
  <c r="D2650" i="6" a="1"/>
  <c r="D2650" i="6" s="1"/>
  <c r="E2650" i="6" s="1" a="1"/>
  <c r="E2650" i="6" s="1"/>
  <c r="C2650" i="6" a="1"/>
  <c r="C2650" i="6" s="1"/>
  <c r="D2649" i="6" a="1"/>
  <c r="D2649" i="6" s="1"/>
  <c r="E2649" i="6" s="1" a="1"/>
  <c r="E2649" i="6" s="1"/>
  <c r="C2649" i="6" a="1"/>
  <c r="C2649" i="6" s="1"/>
  <c r="D2648" i="6" a="1"/>
  <c r="D2648" i="6" s="1"/>
  <c r="E2648" i="6" s="1" a="1"/>
  <c r="E2648" i="6" s="1"/>
  <c r="C2648" i="6" a="1"/>
  <c r="C2648" i="6" s="1"/>
  <c r="D2647" i="6" a="1"/>
  <c r="D2647" i="6" s="1"/>
  <c r="E2647" i="6" s="1" a="1"/>
  <c r="E2647" i="6" s="1"/>
  <c r="C2647" i="6" a="1"/>
  <c r="C2647" i="6" s="1"/>
  <c r="D2646" i="6" a="1"/>
  <c r="D2646" i="6" s="1"/>
  <c r="E2646" i="6" s="1" a="1"/>
  <c r="E2646" i="6" s="1"/>
  <c r="C2646" i="6" a="1"/>
  <c r="C2646" i="6" s="1"/>
  <c r="D2645" i="6" a="1"/>
  <c r="D2645" i="6" s="1"/>
  <c r="E2645" i="6" s="1" a="1"/>
  <c r="E2645" i="6" s="1"/>
  <c r="C2645" i="6" a="1"/>
  <c r="C2645" i="6" s="1"/>
  <c r="D2644" i="6" a="1"/>
  <c r="D2644" i="6" s="1"/>
  <c r="E2644" i="6" s="1" a="1"/>
  <c r="E2644" i="6" s="1"/>
  <c r="C2644" i="6" a="1"/>
  <c r="C2644" i="6" s="1"/>
  <c r="D2643" i="6" a="1"/>
  <c r="D2643" i="6" s="1"/>
  <c r="E2643" i="6" s="1" a="1"/>
  <c r="E2643" i="6" s="1"/>
  <c r="C2643" i="6" a="1"/>
  <c r="C2643" i="6" s="1"/>
  <c r="D2642" i="6" a="1"/>
  <c r="D2642" i="6" s="1"/>
  <c r="E2642" i="6" s="1" a="1"/>
  <c r="E2642" i="6" s="1"/>
  <c r="C2642" i="6" a="1"/>
  <c r="C2642" i="6" s="1"/>
  <c r="D2641" i="6" a="1"/>
  <c r="D2641" i="6" s="1"/>
  <c r="E2641" i="6" s="1" a="1"/>
  <c r="E2641" i="6" s="1"/>
  <c r="C2641" i="6" a="1"/>
  <c r="C2641" i="6" s="1"/>
  <c r="D2640" i="6" a="1"/>
  <c r="D2640" i="6" s="1"/>
  <c r="E2640" i="6" s="1" a="1"/>
  <c r="E2640" i="6" s="1"/>
  <c r="C2640" i="6" a="1"/>
  <c r="C2640" i="6" s="1"/>
  <c r="D2639" i="6" a="1"/>
  <c r="D2639" i="6" s="1"/>
  <c r="E2639" i="6" s="1" a="1"/>
  <c r="E2639" i="6" s="1"/>
  <c r="C2639" i="6" a="1"/>
  <c r="C2639" i="6" s="1"/>
  <c r="D2638" i="6" a="1"/>
  <c r="D2638" i="6" s="1"/>
  <c r="E2638" i="6" s="1" a="1"/>
  <c r="E2638" i="6" s="1"/>
  <c r="C2638" i="6" a="1"/>
  <c r="C2638" i="6" s="1"/>
  <c r="D2637" i="6" a="1"/>
  <c r="D2637" i="6" s="1"/>
  <c r="E2637" i="6" s="1" a="1"/>
  <c r="E2637" i="6" s="1"/>
  <c r="C2637" i="6" a="1"/>
  <c r="C2637" i="6" s="1"/>
  <c r="D2636" i="6" a="1"/>
  <c r="D2636" i="6" s="1"/>
  <c r="E2636" i="6" s="1" a="1"/>
  <c r="E2636" i="6" s="1"/>
  <c r="C2636" i="6" a="1"/>
  <c r="C2636" i="6" s="1"/>
  <c r="D2635" i="6" a="1"/>
  <c r="D2635" i="6" s="1"/>
  <c r="E2635" i="6" s="1" a="1"/>
  <c r="E2635" i="6" s="1"/>
  <c r="C2635" i="6" a="1"/>
  <c r="C2635" i="6" s="1"/>
  <c r="D2634" i="6" a="1"/>
  <c r="D2634" i="6" s="1"/>
  <c r="E2634" i="6" s="1" a="1"/>
  <c r="E2634" i="6" s="1"/>
  <c r="C2634" i="6" a="1"/>
  <c r="C2634" i="6" s="1"/>
  <c r="D2633" i="6" a="1"/>
  <c r="D2633" i="6" s="1"/>
  <c r="E2633" i="6" s="1" a="1"/>
  <c r="E2633" i="6" s="1"/>
  <c r="C2633" i="6" a="1"/>
  <c r="C2633" i="6" s="1"/>
  <c r="D2632" i="6" a="1"/>
  <c r="D2632" i="6" s="1"/>
  <c r="E2632" i="6" s="1" a="1"/>
  <c r="E2632" i="6" s="1"/>
  <c r="C2632" i="6" a="1"/>
  <c r="C2632" i="6" s="1"/>
  <c r="D2631" i="6" a="1"/>
  <c r="D2631" i="6" s="1"/>
  <c r="E2631" i="6" s="1" a="1"/>
  <c r="E2631" i="6" s="1"/>
  <c r="C2631" i="6" a="1"/>
  <c r="C2631" i="6" s="1"/>
  <c r="D2630" i="6" a="1"/>
  <c r="D2630" i="6" s="1"/>
  <c r="E2630" i="6" s="1" a="1"/>
  <c r="E2630" i="6" s="1"/>
  <c r="C2630" i="6" a="1"/>
  <c r="C2630" i="6" s="1"/>
  <c r="D2629" i="6" a="1"/>
  <c r="D2629" i="6" s="1"/>
  <c r="E2629" i="6" s="1" a="1"/>
  <c r="E2629" i="6" s="1"/>
  <c r="C2629" i="6" a="1"/>
  <c r="C2629" i="6" s="1"/>
  <c r="D2628" i="6" a="1"/>
  <c r="D2628" i="6" s="1"/>
  <c r="E2628" i="6" s="1" a="1"/>
  <c r="E2628" i="6" s="1"/>
  <c r="C2628" i="6" a="1"/>
  <c r="C2628" i="6" s="1"/>
  <c r="D2627" i="6" a="1"/>
  <c r="D2627" i="6" s="1"/>
  <c r="E2627" i="6" s="1" a="1"/>
  <c r="E2627" i="6" s="1"/>
  <c r="C2627" i="6" a="1"/>
  <c r="C2627" i="6" s="1"/>
  <c r="D2626" i="6" a="1"/>
  <c r="D2626" i="6" s="1"/>
  <c r="E2626" i="6" s="1" a="1"/>
  <c r="E2626" i="6" s="1"/>
  <c r="C2626" i="6" a="1"/>
  <c r="C2626" i="6" s="1"/>
  <c r="D2625" i="6" a="1"/>
  <c r="D2625" i="6" s="1"/>
  <c r="E2625" i="6" s="1" a="1"/>
  <c r="E2625" i="6" s="1"/>
  <c r="C2625" i="6" a="1"/>
  <c r="C2625" i="6" s="1"/>
  <c r="D2624" i="6" a="1"/>
  <c r="D2624" i="6" s="1"/>
  <c r="E2624" i="6" s="1" a="1"/>
  <c r="E2624" i="6" s="1"/>
  <c r="C2624" i="6" a="1"/>
  <c r="C2624" i="6" s="1"/>
  <c r="D2623" i="6" a="1"/>
  <c r="D2623" i="6" s="1"/>
  <c r="E2623" i="6" s="1" a="1"/>
  <c r="E2623" i="6" s="1"/>
  <c r="C2623" i="6" a="1"/>
  <c r="C2623" i="6" s="1"/>
  <c r="D2622" i="6" a="1"/>
  <c r="D2622" i="6" s="1"/>
  <c r="E2622" i="6" s="1" a="1"/>
  <c r="E2622" i="6" s="1"/>
  <c r="C2622" i="6" a="1"/>
  <c r="C2622" i="6" s="1"/>
  <c r="D2621" i="6" a="1"/>
  <c r="D2621" i="6" s="1"/>
  <c r="E2621" i="6" s="1" a="1"/>
  <c r="E2621" i="6" s="1"/>
  <c r="C2621" i="6" a="1"/>
  <c r="C2621" i="6" s="1"/>
  <c r="D2620" i="6" a="1"/>
  <c r="D2620" i="6" s="1"/>
  <c r="E2620" i="6" s="1" a="1"/>
  <c r="E2620" i="6" s="1"/>
  <c r="C2620" i="6" a="1"/>
  <c r="C2620" i="6" s="1"/>
  <c r="D2619" i="6" a="1"/>
  <c r="D2619" i="6" s="1"/>
  <c r="E2619" i="6" s="1" a="1"/>
  <c r="E2619" i="6" s="1"/>
  <c r="C2619" i="6" a="1"/>
  <c r="C2619" i="6" s="1"/>
  <c r="D2618" i="6" a="1"/>
  <c r="D2618" i="6" s="1"/>
  <c r="E2618" i="6" s="1" a="1"/>
  <c r="E2618" i="6" s="1"/>
  <c r="C2618" i="6" a="1"/>
  <c r="C2618" i="6" s="1"/>
  <c r="D2617" i="6" a="1"/>
  <c r="D2617" i="6" s="1"/>
  <c r="E2617" i="6" s="1" a="1"/>
  <c r="E2617" i="6" s="1"/>
  <c r="C2617" i="6" a="1"/>
  <c r="C2617" i="6" s="1"/>
  <c r="D2616" i="6" a="1"/>
  <c r="D2616" i="6" s="1"/>
  <c r="E2616" i="6" s="1" a="1"/>
  <c r="E2616" i="6" s="1"/>
  <c r="C2616" i="6" a="1"/>
  <c r="C2616" i="6" s="1"/>
  <c r="D2615" i="6" a="1"/>
  <c r="D2615" i="6" s="1"/>
  <c r="E2615" i="6" s="1" a="1"/>
  <c r="E2615" i="6" s="1"/>
  <c r="C2615" i="6" a="1"/>
  <c r="C2615" i="6" s="1"/>
  <c r="D2614" i="6" a="1"/>
  <c r="D2614" i="6" s="1"/>
  <c r="E2614" i="6" s="1" a="1"/>
  <c r="E2614" i="6" s="1"/>
  <c r="C2614" i="6" a="1"/>
  <c r="C2614" i="6" s="1"/>
  <c r="D2613" i="6" a="1"/>
  <c r="D2613" i="6" s="1"/>
  <c r="E2613" i="6" s="1" a="1"/>
  <c r="E2613" i="6" s="1"/>
  <c r="C2613" i="6" a="1"/>
  <c r="C2613" i="6" s="1"/>
  <c r="D2612" i="6" a="1"/>
  <c r="D2612" i="6" s="1"/>
  <c r="E2612" i="6" s="1" a="1"/>
  <c r="E2612" i="6" s="1"/>
  <c r="C2612" i="6" a="1"/>
  <c r="C2612" i="6" s="1"/>
  <c r="D2611" i="6" a="1"/>
  <c r="D2611" i="6" s="1"/>
  <c r="E2611" i="6" s="1" a="1"/>
  <c r="E2611" i="6" s="1"/>
  <c r="C2611" i="6" a="1"/>
  <c r="C2611" i="6" s="1"/>
  <c r="D2610" i="6" a="1"/>
  <c r="D2610" i="6" s="1"/>
  <c r="E2610" i="6" s="1" a="1"/>
  <c r="E2610" i="6" s="1"/>
  <c r="C2610" i="6" a="1"/>
  <c r="C2610" i="6" s="1"/>
  <c r="D2609" i="6" a="1"/>
  <c r="D2609" i="6" s="1"/>
  <c r="E2609" i="6" s="1" a="1"/>
  <c r="E2609" i="6" s="1"/>
  <c r="C2609" i="6" a="1"/>
  <c r="C2609" i="6" s="1"/>
  <c r="D2608" i="6" a="1"/>
  <c r="D2608" i="6" s="1"/>
  <c r="E2608" i="6" s="1" a="1"/>
  <c r="E2608" i="6" s="1"/>
  <c r="C2608" i="6" a="1"/>
  <c r="C2608" i="6" s="1"/>
  <c r="D2607" i="6" a="1"/>
  <c r="D2607" i="6" s="1"/>
  <c r="E2607" i="6" s="1" a="1"/>
  <c r="E2607" i="6" s="1"/>
  <c r="C2607" i="6" a="1"/>
  <c r="C2607" i="6" s="1"/>
  <c r="D2606" i="6" a="1"/>
  <c r="D2606" i="6" s="1"/>
  <c r="E2606" i="6" s="1" a="1"/>
  <c r="E2606" i="6" s="1"/>
  <c r="C2606" i="6" a="1"/>
  <c r="C2606" i="6" s="1"/>
  <c r="D2605" i="6" a="1"/>
  <c r="D2605" i="6" s="1"/>
  <c r="E2605" i="6" s="1" a="1"/>
  <c r="E2605" i="6" s="1"/>
  <c r="C2605" i="6" a="1"/>
  <c r="C2605" i="6" s="1"/>
  <c r="D2604" i="6" a="1"/>
  <c r="D2604" i="6" s="1"/>
  <c r="E2604" i="6" s="1" a="1"/>
  <c r="E2604" i="6" s="1"/>
  <c r="C2604" i="6" a="1"/>
  <c r="C2604" i="6" s="1"/>
  <c r="D2603" i="6" a="1"/>
  <c r="D2603" i="6" s="1"/>
  <c r="E2603" i="6" s="1" a="1"/>
  <c r="E2603" i="6" s="1"/>
  <c r="C2603" i="6" a="1"/>
  <c r="C2603" i="6" s="1"/>
  <c r="D2602" i="6" a="1"/>
  <c r="D2602" i="6" s="1"/>
  <c r="E2602" i="6" s="1" a="1"/>
  <c r="E2602" i="6" s="1"/>
  <c r="C2602" i="6" a="1"/>
  <c r="C2602" i="6" s="1"/>
  <c r="D2601" i="6" a="1"/>
  <c r="D2601" i="6" s="1"/>
  <c r="E2601" i="6" s="1" a="1"/>
  <c r="E2601" i="6" s="1"/>
  <c r="C2601" i="6" a="1"/>
  <c r="C2601" i="6" s="1"/>
  <c r="D2600" i="6" a="1"/>
  <c r="D2600" i="6" s="1"/>
  <c r="E2600" i="6" s="1" a="1"/>
  <c r="E2600" i="6" s="1"/>
  <c r="C2600" i="6" a="1"/>
  <c r="C2600" i="6" s="1"/>
  <c r="D2599" i="6" a="1"/>
  <c r="D2599" i="6" s="1"/>
  <c r="E2599" i="6" s="1" a="1"/>
  <c r="E2599" i="6" s="1"/>
  <c r="C2599" i="6" a="1"/>
  <c r="C2599" i="6" s="1"/>
  <c r="D2598" i="6" a="1"/>
  <c r="D2598" i="6" s="1"/>
  <c r="E2598" i="6" s="1" a="1"/>
  <c r="E2598" i="6" s="1"/>
  <c r="C2598" i="6" a="1"/>
  <c r="C2598" i="6" s="1"/>
  <c r="D2597" i="6" a="1"/>
  <c r="D2597" i="6" s="1"/>
  <c r="E2597" i="6" s="1" a="1"/>
  <c r="E2597" i="6" s="1"/>
  <c r="C2597" i="6" a="1"/>
  <c r="C2597" i="6" s="1"/>
  <c r="D2596" i="6" a="1"/>
  <c r="D2596" i="6" s="1"/>
  <c r="E2596" i="6" s="1" a="1"/>
  <c r="E2596" i="6" s="1"/>
  <c r="C2596" i="6" a="1"/>
  <c r="C2596" i="6" s="1"/>
  <c r="D2595" i="6" a="1"/>
  <c r="D2595" i="6" s="1"/>
  <c r="E2595" i="6" s="1" a="1"/>
  <c r="E2595" i="6" s="1"/>
  <c r="C2595" i="6" a="1"/>
  <c r="C2595" i="6" s="1"/>
  <c r="D2594" i="6" a="1"/>
  <c r="D2594" i="6" s="1"/>
  <c r="E2594" i="6" s="1" a="1"/>
  <c r="E2594" i="6" s="1"/>
  <c r="C2594" i="6" a="1"/>
  <c r="C2594" i="6" s="1"/>
  <c r="D2593" i="6" a="1"/>
  <c r="D2593" i="6" s="1"/>
  <c r="E2593" i="6" s="1" a="1"/>
  <c r="E2593" i="6" s="1"/>
  <c r="C2593" i="6" a="1"/>
  <c r="C2593" i="6" s="1"/>
  <c r="D2592" i="6" a="1"/>
  <c r="D2592" i="6" s="1"/>
  <c r="E2592" i="6" s="1" a="1"/>
  <c r="E2592" i="6" s="1"/>
  <c r="C2592" i="6" a="1"/>
  <c r="C2592" i="6" s="1"/>
  <c r="D2591" i="6" a="1"/>
  <c r="D2591" i="6" s="1"/>
  <c r="E2591" i="6" s="1" a="1"/>
  <c r="E2591" i="6" s="1"/>
  <c r="C2591" i="6" a="1"/>
  <c r="C2591" i="6" s="1"/>
  <c r="D2590" i="6" a="1"/>
  <c r="D2590" i="6" s="1"/>
  <c r="E2590" i="6" s="1" a="1"/>
  <c r="E2590" i="6" s="1"/>
  <c r="C2590" i="6" a="1"/>
  <c r="C2590" i="6" s="1"/>
  <c r="D2589" i="6" a="1"/>
  <c r="D2589" i="6" s="1"/>
  <c r="E2589" i="6" s="1" a="1"/>
  <c r="E2589" i="6" s="1"/>
  <c r="C2589" i="6" a="1"/>
  <c r="C2589" i="6" s="1"/>
  <c r="D2588" i="6" a="1"/>
  <c r="D2588" i="6" s="1"/>
  <c r="E2588" i="6" s="1" a="1"/>
  <c r="E2588" i="6" s="1"/>
  <c r="C2588" i="6" a="1"/>
  <c r="C2588" i="6" s="1"/>
  <c r="D2587" i="6" a="1"/>
  <c r="D2587" i="6" s="1"/>
  <c r="E2587" i="6" s="1" a="1"/>
  <c r="E2587" i="6" s="1"/>
  <c r="C2587" i="6" a="1"/>
  <c r="C2587" i="6" s="1"/>
  <c r="D2586" i="6" a="1"/>
  <c r="D2586" i="6" s="1"/>
  <c r="E2586" i="6" s="1" a="1"/>
  <c r="E2586" i="6" s="1"/>
  <c r="C2586" i="6" a="1"/>
  <c r="C2586" i="6" s="1"/>
  <c r="D2585" i="6" a="1"/>
  <c r="D2585" i="6" s="1"/>
  <c r="E2585" i="6" s="1" a="1"/>
  <c r="E2585" i="6" s="1"/>
  <c r="C2585" i="6" a="1"/>
  <c r="C2585" i="6" s="1"/>
  <c r="D2584" i="6" a="1"/>
  <c r="D2584" i="6" s="1"/>
  <c r="E2584" i="6" s="1" a="1"/>
  <c r="E2584" i="6" s="1"/>
  <c r="C2584" i="6" a="1"/>
  <c r="C2584" i="6" s="1"/>
  <c r="D2583" i="6" a="1"/>
  <c r="D2583" i="6" s="1"/>
  <c r="E2583" i="6" s="1" a="1"/>
  <c r="E2583" i="6" s="1"/>
  <c r="C2583" i="6" a="1"/>
  <c r="C2583" i="6" s="1"/>
  <c r="D2582" i="6" a="1"/>
  <c r="D2582" i="6" s="1"/>
  <c r="E2582" i="6" s="1" a="1"/>
  <c r="E2582" i="6" s="1"/>
  <c r="C2582" i="6" a="1"/>
  <c r="C2582" i="6" s="1"/>
  <c r="D2581" i="6" a="1"/>
  <c r="D2581" i="6" s="1"/>
  <c r="E2581" i="6" s="1" a="1"/>
  <c r="E2581" i="6" s="1"/>
  <c r="C2581" i="6" a="1"/>
  <c r="C2581" i="6" s="1"/>
  <c r="D2580" i="6" a="1"/>
  <c r="D2580" i="6" s="1"/>
  <c r="E2580" i="6" s="1" a="1"/>
  <c r="E2580" i="6" s="1"/>
  <c r="C2580" i="6" a="1"/>
  <c r="C2580" i="6" s="1"/>
  <c r="D2579" i="6" a="1"/>
  <c r="D2579" i="6" s="1"/>
  <c r="E2579" i="6" s="1" a="1"/>
  <c r="E2579" i="6" s="1"/>
  <c r="C2579" i="6" a="1"/>
  <c r="C2579" i="6" s="1"/>
  <c r="D2578" i="6" a="1"/>
  <c r="D2578" i="6" s="1"/>
  <c r="E2578" i="6" s="1" a="1"/>
  <c r="E2578" i="6" s="1"/>
  <c r="C2578" i="6" a="1"/>
  <c r="C2578" i="6" s="1"/>
  <c r="D2577" i="6" a="1"/>
  <c r="D2577" i="6" s="1"/>
  <c r="E2577" i="6" s="1" a="1"/>
  <c r="E2577" i="6" s="1"/>
  <c r="C2577" i="6" a="1"/>
  <c r="C2577" i="6" s="1"/>
  <c r="D2576" i="6" a="1"/>
  <c r="D2576" i="6" s="1"/>
  <c r="E2576" i="6" s="1" a="1"/>
  <c r="E2576" i="6" s="1"/>
  <c r="C2576" i="6" a="1"/>
  <c r="C2576" i="6" s="1"/>
  <c r="D2575" i="6" a="1"/>
  <c r="D2575" i="6" s="1"/>
  <c r="E2575" i="6" s="1" a="1"/>
  <c r="E2575" i="6" s="1"/>
  <c r="C2575" i="6" a="1"/>
  <c r="C2575" i="6" s="1"/>
  <c r="D2574" i="6" a="1"/>
  <c r="D2574" i="6" s="1"/>
  <c r="E2574" i="6" s="1" a="1"/>
  <c r="E2574" i="6" s="1"/>
  <c r="C2574" i="6" a="1"/>
  <c r="C2574" i="6" s="1"/>
  <c r="D2573" i="6" a="1"/>
  <c r="D2573" i="6" s="1"/>
  <c r="E2573" i="6" s="1" a="1"/>
  <c r="E2573" i="6" s="1"/>
  <c r="C2573" i="6" a="1"/>
  <c r="C2573" i="6" s="1"/>
  <c r="D2572" i="6" a="1"/>
  <c r="D2572" i="6" s="1"/>
  <c r="E2572" i="6" s="1" a="1"/>
  <c r="E2572" i="6" s="1"/>
  <c r="C2572" i="6" a="1"/>
  <c r="C2572" i="6" s="1"/>
  <c r="D2571" i="6" a="1"/>
  <c r="D2571" i="6" s="1"/>
  <c r="E2571" i="6" s="1" a="1"/>
  <c r="E2571" i="6" s="1"/>
  <c r="C2571" i="6" a="1"/>
  <c r="C2571" i="6" s="1"/>
  <c r="D2570" i="6" a="1"/>
  <c r="D2570" i="6" s="1"/>
  <c r="E2570" i="6" s="1" a="1"/>
  <c r="E2570" i="6" s="1"/>
  <c r="C2570" i="6" a="1"/>
  <c r="C2570" i="6" s="1"/>
  <c r="D2569" i="6" a="1"/>
  <c r="D2569" i="6" s="1"/>
  <c r="E2569" i="6" s="1" a="1"/>
  <c r="E2569" i="6" s="1"/>
  <c r="C2569" i="6" a="1"/>
  <c r="C2569" i="6" s="1"/>
  <c r="D2568" i="6" a="1"/>
  <c r="D2568" i="6" s="1"/>
  <c r="E2568" i="6" s="1" a="1"/>
  <c r="E2568" i="6" s="1"/>
  <c r="C2568" i="6" a="1"/>
  <c r="C2568" i="6" s="1"/>
  <c r="D2567" i="6" a="1"/>
  <c r="D2567" i="6" s="1"/>
  <c r="E2567" i="6" s="1" a="1"/>
  <c r="E2567" i="6" s="1"/>
  <c r="C2567" i="6" a="1"/>
  <c r="C2567" i="6" s="1"/>
  <c r="D2566" i="6" a="1"/>
  <c r="D2566" i="6" s="1"/>
  <c r="E2566" i="6" s="1" a="1"/>
  <c r="E2566" i="6" s="1"/>
  <c r="C2566" i="6" a="1"/>
  <c r="C2566" i="6" s="1"/>
  <c r="D2565" i="6" a="1"/>
  <c r="D2565" i="6" s="1"/>
  <c r="E2565" i="6" s="1" a="1"/>
  <c r="E2565" i="6" s="1"/>
  <c r="C2565" i="6" a="1"/>
  <c r="C2565" i="6" s="1"/>
  <c r="D2564" i="6" a="1"/>
  <c r="D2564" i="6" s="1"/>
  <c r="E2564" i="6" s="1" a="1"/>
  <c r="E2564" i="6" s="1"/>
  <c r="C2564" i="6" a="1"/>
  <c r="C2564" i="6" s="1"/>
  <c r="D2563" i="6" a="1"/>
  <c r="D2563" i="6" s="1"/>
  <c r="E2563" i="6" s="1" a="1"/>
  <c r="E2563" i="6" s="1"/>
  <c r="C2563" i="6" a="1"/>
  <c r="C2563" i="6" s="1"/>
  <c r="D2562" i="6" a="1"/>
  <c r="D2562" i="6" s="1"/>
  <c r="E2562" i="6" s="1" a="1"/>
  <c r="E2562" i="6" s="1"/>
  <c r="C2562" i="6" a="1"/>
  <c r="C2562" i="6" s="1"/>
  <c r="D2561" i="6" a="1"/>
  <c r="D2561" i="6" s="1"/>
  <c r="E2561" i="6" s="1" a="1"/>
  <c r="E2561" i="6" s="1"/>
  <c r="C2561" i="6" a="1"/>
  <c r="C2561" i="6" s="1"/>
  <c r="D2560" i="6" a="1"/>
  <c r="D2560" i="6" s="1"/>
  <c r="E2560" i="6" s="1" a="1"/>
  <c r="E2560" i="6" s="1"/>
  <c r="C2560" i="6" a="1"/>
  <c r="C2560" i="6" s="1"/>
  <c r="D2559" i="6" a="1"/>
  <c r="D2559" i="6" s="1"/>
  <c r="E2559" i="6" s="1" a="1"/>
  <c r="E2559" i="6" s="1"/>
  <c r="C2559" i="6" a="1"/>
  <c r="C2559" i="6" s="1"/>
  <c r="D2558" i="6" a="1"/>
  <c r="D2558" i="6" s="1"/>
  <c r="E2558" i="6" s="1" a="1"/>
  <c r="E2558" i="6" s="1"/>
  <c r="C2558" i="6" a="1"/>
  <c r="C2558" i="6" s="1"/>
  <c r="D2557" i="6" a="1"/>
  <c r="D2557" i="6" s="1"/>
  <c r="E2557" i="6" s="1" a="1"/>
  <c r="E2557" i="6" s="1"/>
  <c r="C2557" i="6" a="1"/>
  <c r="C2557" i="6" s="1"/>
  <c r="D2556" i="6" a="1"/>
  <c r="D2556" i="6" s="1"/>
  <c r="E2556" i="6" s="1" a="1"/>
  <c r="E2556" i="6" s="1"/>
  <c r="C2556" i="6" a="1"/>
  <c r="C2556" i="6" s="1"/>
  <c r="D2555" i="6" a="1"/>
  <c r="D2555" i="6" s="1"/>
  <c r="E2555" i="6" s="1" a="1"/>
  <c r="E2555" i="6" s="1"/>
  <c r="C2555" i="6" a="1"/>
  <c r="C2555" i="6" s="1"/>
  <c r="D2554" i="6" a="1"/>
  <c r="D2554" i="6" s="1"/>
  <c r="E2554" i="6" s="1" a="1"/>
  <c r="E2554" i="6" s="1"/>
  <c r="C2554" i="6" a="1"/>
  <c r="C2554" i="6" s="1"/>
  <c r="D2553" i="6" a="1"/>
  <c r="D2553" i="6" s="1"/>
  <c r="E2553" i="6" s="1" a="1"/>
  <c r="E2553" i="6" s="1"/>
  <c r="C2553" i="6" a="1"/>
  <c r="C2553" i="6" s="1"/>
  <c r="D2552" i="6" a="1"/>
  <c r="D2552" i="6" s="1"/>
  <c r="E2552" i="6" s="1" a="1"/>
  <c r="E2552" i="6" s="1"/>
  <c r="C2552" i="6" a="1"/>
  <c r="C2552" i="6" s="1"/>
  <c r="D2551" i="6" a="1"/>
  <c r="D2551" i="6" s="1"/>
  <c r="E2551" i="6" s="1" a="1"/>
  <c r="E2551" i="6" s="1"/>
  <c r="C2551" i="6" a="1"/>
  <c r="C2551" i="6" s="1"/>
  <c r="D2550" i="6" a="1"/>
  <c r="D2550" i="6" s="1"/>
  <c r="E2550" i="6" s="1" a="1"/>
  <c r="E2550" i="6" s="1"/>
  <c r="C2550" i="6" a="1"/>
  <c r="C2550" i="6" s="1"/>
  <c r="D2549" i="6" a="1"/>
  <c r="D2549" i="6" s="1"/>
  <c r="E2549" i="6" s="1" a="1"/>
  <c r="E2549" i="6" s="1"/>
  <c r="C2549" i="6" a="1"/>
  <c r="C2549" i="6" s="1"/>
  <c r="D2548" i="6" a="1"/>
  <c r="D2548" i="6" s="1"/>
  <c r="E2548" i="6" s="1" a="1"/>
  <c r="E2548" i="6" s="1"/>
  <c r="C2548" i="6" a="1"/>
  <c r="C2548" i="6" s="1"/>
  <c r="D2547" i="6" a="1"/>
  <c r="D2547" i="6" s="1"/>
  <c r="E2547" i="6" s="1" a="1"/>
  <c r="E2547" i="6" s="1"/>
  <c r="C2547" i="6" a="1"/>
  <c r="C2547" i="6" s="1"/>
  <c r="D2546" i="6" a="1"/>
  <c r="D2546" i="6" s="1"/>
  <c r="E2546" i="6" s="1" a="1"/>
  <c r="E2546" i="6" s="1"/>
  <c r="C2546" i="6" a="1"/>
  <c r="C2546" i="6" s="1"/>
  <c r="D2545" i="6" a="1"/>
  <c r="D2545" i="6" s="1"/>
  <c r="E2545" i="6" s="1" a="1"/>
  <c r="E2545" i="6" s="1"/>
  <c r="C2545" i="6" a="1"/>
  <c r="C2545" i="6" s="1"/>
  <c r="D2544" i="6" a="1"/>
  <c r="D2544" i="6" s="1"/>
  <c r="E2544" i="6" s="1" a="1"/>
  <c r="E2544" i="6" s="1"/>
  <c r="C2544" i="6" a="1"/>
  <c r="C2544" i="6" s="1"/>
  <c r="D2543" i="6" a="1"/>
  <c r="D2543" i="6" s="1"/>
  <c r="E2543" i="6" s="1" a="1"/>
  <c r="E2543" i="6" s="1"/>
  <c r="C2543" i="6" a="1"/>
  <c r="C2543" i="6" s="1"/>
  <c r="D2542" i="6" a="1"/>
  <c r="D2542" i="6" s="1"/>
  <c r="E2542" i="6" s="1" a="1"/>
  <c r="E2542" i="6" s="1"/>
  <c r="C2542" i="6" a="1"/>
  <c r="C2542" i="6" s="1"/>
  <c r="D2541" i="6" a="1"/>
  <c r="D2541" i="6" s="1"/>
  <c r="E2541" i="6" s="1" a="1"/>
  <c r="E2541" i="6" s="1"/>
  <c r="C2541" i="6" a="1"/>
  <c r="C2541" i="6" s="1"/>
  <c r="D2540" i="6" a="1"/>
  <c r="D2540" i="6" s="1"/>
  <c r="E2540" i="6" s="1" a="1"/>
  <c r="E2540" i="6" s="1"/>
  <c r="C2540" i="6" a="1"/>
  <c r="C2540" i="6" s="1"/>
  <c r="D2539" i="6" a="1"/>
  <c r="D2539" i="6" s="1"/>
  <c r="E2539" i="6" s="1" a="1"/>
  <c r="E2539" i="6" s="1"/>
  <c r="C2539" i="6" a="1"/>
  <c r="C2539" i="6" s="1"/>
  <c r="D2538" i="6" a="1"/>
  <c r="D2538" i="6" s="1"/>
  <c r="E2538" i="6" s="1" a="1"/>
  <c r="E2538" i="6" s="1"/>
  <c r="C2538" i="6" a="1"/>
  <c r="C2538" i="6" s="1"/>
  <c r="D2537" i="6" a="1"/>
  <c r="D2537" i="6" s="1"/>
  <c r="E2537" i="6" s="1" a="1"/>
  <c r="E2537" i="6" s="1"/>
  <c r="C2537" i="6" a="1"/>
  <c r="C2537" i="6" s="1"/>
  <c r="D2536" i="6" a="1"/>
  <c r="D2536" i="6" s="1"/>
  <c r="E2536" i="6" s="1" a="1"/>
  <c r="E2536" i="6" s="1"/>
  <c r="C2536" i="6" a="1"/>
  <c r="C2536" i="6" s="1"/>
  <c r="D2535" i="6" a="1"/>
  <c r="D2535" i="6" s="1"/>
  <c r="E2535" i="6" s="1" a="1"/>
  <c r="E2535" i="6" s="1"/>
  <c r="C2535" i="6" a="1"/>
  <c r="C2535" i="6" s="1"/>
  <c r="D2534" i="6" a="1"/>
  <c r="D2534" i="6" s="1"/>
  <c r="E2534" i="6" s="1" a="1"/>
  <c r="E2534" i="6" s="1"/>
  <c r="C2534" i="6" a="1"/>
  <c r="C2534" i="6" s="1"/>
  <c r="D2533" i="6" a="1"/>
  <c r="D2533" i="6" s="1"/>
  <c r="E2533" i="6" s="1" a="1"/>
  <c r="E2533" i="6" s="1"/>
  <c r="C2533" i="6" a="1"/>
  <c r="C2533" i="6" s="1"/>
  <c r="D2532" i="6" a="1"/>
  <c r="D2532" i="6" s="1"/>
  <c r="E2532" i="6" s="1" a="1"/>
  <c r="E2532" i="6" s="1"/>
  <c r="C2532" i="6" a="1"/>
  <c r="C2532" i="6" s="1"/>
  <c r="D2531" i="6" a="1"/>
  <c r="D2531" i="6" s="1"/>
  <c r="E2531" i="6" s="1" a="1"/>
  <c r="E2531" i="6" s="1"/>
  <c r="C2531" i="6" a="1"/>
  <c r="C2531" i="6" s="1"/>
  <c r="D2530" i="6" a="1"/>
  <c r="D2530" i="6" s="1"/>
  <c r="E2530" i="6" s="1" a="1"/>
  <c r="E2530" i="6" s="1"/>
  <c r="C2530" i="6" a="1"/>
  <c r="C2530" i="6" s="1"/>
  <c r="D2529" i="6" a="1"/>
  <c r="D2529" i="6" s="1"/>
  <c r="E2529" i="6" s="1" a="1"/>
  <c r="E2529" i="6" s="1"/>
  <c r="C2529" i="6" a="1"/>
  <c r="C2529" i="6" s="1"/>
  <c r="D2528" i="6" a="1"/>
  <c r="D2528" i="6" s="1"/>
  <c r="E2528" i="6" s="1" a="1"/>
  <c r="E2528" i="6" s="1"/>
  <c r="C2528" i="6" a="1"/>
  <c r="C2528" i="6" s="1"/>
  <c r="D2527" i="6" a="1"/>
  <c r="D2527" i="6" s="1"/>
  <c r="E2527" i="6" s="1" a="1"/>
  <c r="E2527" i="6" s="1"/>
  <c r="C2527" i="6" a="1"/>
  <c r="C2527" i="6" s="1"/>
  <c r="D2526" i="6" a="1"/>
  <c r="D2526" i="6" s="1"/>
  <c r="E2526" i="6" s="1" a="1"/>
  <c r="E2526" i="6" s="1"/>
  <c r="C2526" i="6" a="1"/>
  <c r="C2526" i="6" s="1"/>
  <c r="D2525" i="6" a="1"/>
  <c r="D2525" i="6" s="1"/>
  <c r="E2525" i="6" s="1" a="1"/>
  <c r="E2525" i="6" s="1"/>
  <c r="C2525" i="6" a="1"/>
  <c r="C2525" i="6" s="1"/>
  <c r="D2524" i="6" a="1"/>
  <c r="D2524" i="6" s="1"/>
  <c r="E2524" i="6" s="1" a="1"/>
  <c r="E2524" i="6" s="1"/>
  <c r="C2524" i="6" a="1"/>
  <c r="C2524" i="6" s="1"/>
  <c r="D2523" i="6" a="1"/>
  <c r="D2523" i="6" s="1"/>
  <c r="E2523" i="6" s="1" a="1"/>
  <c r="E2523" i="6" s="1"/>
  <c r="C2523" i="6" a="1"/>
  <c r="C2523" i="6" s="1"/>
  <c r="D2522" i="6" a="1"/>
  <c r="D2522" i="6" s="1"/>
  <c r="E2522" i="6" s="1" a="1"/>
  <c r="E2522" i="6" s="1"/>
  <c r="C2522" i="6" a="1"/>
  <c r="C2522" i="6" s="1"/>
  <c r="D2521" i="6" a="1"/>
  <c r="D2521" i="6" s="1"/>
  <c r="E2521" i="6" s="1" a="1"/>
  <c r="E2521" i="6" s="1"/>
  <c r="C2521" i="6" a="1"/>
  <c r="C2521" i="6" s="1"/>
  <c r="D2520" i="6" a="1"/>
  <c r="D2520" i="6" s="1"/>
  <c r="E2520" i="6" s="1" a="1"/>
  <c r="E2520" i="6" s="1"/>
  <c r="C2520" i="6" a="1"/>
  <c r="C2520" i="6" s="1"/>
  <c r="D2519" i="6" a="1"/>
  <c r="D2519" i="6" s="1"/>
  <c r="E2519" i="6" s="1" a="1"/>
  <c r="E2519" i="6" s="1"/>
  <c r="C2519" i="6" a="1"/>
  <c r="C2519" i="6" s="1"/>
  <c r="D2518" i="6" a="1"/>
  <c r="D2518" i="6" s="1"/>
  <c r="E2518" i="6" s="1" a="1"/>
  <c r="E2518" i="6" s="1"/>
  <c r="C2518" i="6" a="1"/>
  <c r="C2518" i="6" s="1"/>
  <c r="D2517" i="6" a="1"/>
  <c r="D2517" i="6" s="1"/>
  <c r="E2517" i="6" s="1" a="1"/>
  <c r="E2517" i="6" s="1"/>
  <c r="C2517" i="6" a="1"/>
  <c r="C2517" i="6" s="1"/>
  <c r="D2516" i="6" a="1"/>
  <c r="D2516" i="6" s="1"/>
  <c r="E2516" i="6" s="1" a="1"/>
  <c r="E2516" i="6" s="1"/>
  <c r="C2516" i="6" a="1"/>
  <c r="C2516" i="6" s="1"/>
  <c r="D2515" i="6" a="1"/>
  <c r="D2515" i="6" s="1"/>
  <c r="E2515" i="6" s="1" a="1"/>
  <c r="E2515" i="6" s="1"/>
  <c r="C2515" i="6" a="1"/>
  <c r="C2515" i="6" s="1"/>
  <c r="D2514" i="6" a="1"/>
  <c r="D2514" i="6" s="1"/>
  <c r="E2514" i="6" s="1" a="1"/>
  <c r="E2514" i="6" s="1"/>
  <c r="C2514" i="6" a="1"/>
  <c r="C2514" i="6" s="1"/>
  <c r="D2513" i="6" a="1"/>
  <c r="D2513" i="6" s="1"/>
  <c r="E2513" i="6" s="1" a="1"/>
  <c r="E2513" i="6" s="1"/>
  <c r="C2513" i="6" a="1"/>
  <c r="C2513" i="6" s="1"/>
  <c r="D2512" i="6" a="1"/>
  <c r="D2512" i="6" s="1"/>
  <c r="E2512" i="6" s="1" a="1"/>
  <c r="E2512" i="6" s="1"/>
  <c r="C2512" i="6" a="1"/>
  <c r="C2512" i="6" s="1"/>
  <c r="D2511" i="6" a="1"/>
  <c r="D2511" i="6" s="1"/>
  <c r="E2511" i="6" s="1" a="1"/>
  <c r="E2511" i="6" s="1"/>
  <c r="C2511" i="6" a="1"/>
  <c r="C2511" i="6" s="1"/>
  <c r="D2510" i="6" a="1"/>
  <c r="D2510" i="6" s="1"/>
  <c r="E2510" i="6" s="1" a="1"/>
  <c r="E2510" i="6" s="1"/>
  <c r="C2510" i="6" a="1"/>
  <c r="C2510" i="6" s="1"/>
  <c r="D2509" i="6" a="1"/>
  <c r="D2509" i="6" s="1"/>
  <c r="E2509" i="6" s="1" a="1"/>
  <c r="E2509" i="6" s="1"/>
  <c r="C2509" i="6" a="1"/>
  <c r="C2509" i="6" s="1"/>
  <c r="D2508" i="6" a="1"/>
  <c r="D2508" i="6" s="1"/>
  <c r="E2508" i="6" s="1" a="1"/>
  <c r="E2508" i="6" s="1"/>
  <c r="C2508" i="6" a="1"/>
  <c r="C2508" i="6" s="1"/>
  <c r="D2507" i="6" a="1"/>
  <c r="D2507" i="6" s="1"/>
  <c r="E2507" i="6" s="1" a="1"/>
  <c r="E2507" i="6" s="1"/>
  <c r="C2507" i="6" a="1"/>
  <c r="C2507" i="6" s="1"/>
  <c r="D2506" i="6" a="1"/>
  <c r="D2506" i="6" s="1"/>
  <c r="E2506" i="6" s="1" a="1"/>
  <c r="E2506" i="6" s="1"/>
  <c r="C2506" i="6" a="1"/>
  <c r="C2506" i="6" s="1"/>
  <c r="D2505" i="6" a="1"/>
  <c r="D2505" i="6" s="1"/>
  <c r="E2505" i="6" s="1" a="1"/>
  <c r="E2505" i="6" s="1"/>
  <c r="C2505" i="6" a="1"/>
  <c r="C2505" i="6" s="1"/>
  <c r="D2504" i="6" a="1"/>
  <c r="D2504" i="6" s="1"/>
  <c r="E2504" i="6" s="1" a="1"/>
  <c r="E2504" i="6" s="1"/>
  <c r="C2504" i="6" a="1"/>
  <c r="C2504" i="6" s="1"/>
  <c r="D2503" i="6" a="1"/>
  <c r="D2503" i="6" s="1"/>
  <c r="E2503" i="6" s="1" a="1"/>
  <c r="E2503" i="6" s="1"/>
  <c r="C2503" i="6" a="1"/>
  <c r="C2503" i="6" s="1"/>
  <c r="D2502" i="6" a="1"/>
  <c r="D2502" i="6" s="1"/>
  <c r="E2502" i="6" s="1" a="1"/>
  <c r="E2502" i="6" s="1"/>
  <c r="C2502" i="6" a="1"/>
  <c r="C2502" i="6" s="1"/>
  <c r="D2501" i="6" a="1"/>
  <c r="D2501" i="6" s="1"/>
  <c r="E2501" i="6" s="1" a="1"/>
  <c r="E2501" i="6" s="1"/>
  <c r="C2501" i="6" a="1"/>
  <c r="C2501" i="6" s="1"/>
  <c r="D2500" i="6" a="1"/>
  <c r="D2500" i="6" s="1"/>
  <c r="E2500" i="6" s="1" a="1"/>
  <c r="E2500" i="6" s="1"/>
  <c r="C2500" i="6" a="1"/>
  <c r="C2500" i="6" s="1"/>
  <c r="D2499" i="6" a="1"/>
  <c r="D2499" i="6" s="1"/>
  <c r="E2499" i="6" s="1" a="1"/>
  <c r="E2499" i="6" s="1"/>
  <c r="C2499" i="6" a="1"/>
  <c r="C2499" i="6" s="1"/>
  <c r="D2498" i="6" a="1"/>
  <c r="D2498" i="6" s="1"/>
  <c r="E2498" i="6" s="1" a="1"/>
  <c r="E2498" i="6" s="1"/>
  <c r="C2498" i="6" a="1"/>
  <c r="C2498" i="6" s="1"/>
  <c r="D2497" i="6" a="1"/>
  <c r="D2497" i="6" s="1"/>
  <c r="E2497" i="6" s="1" a="1"/>
  <c r="E2497" i="6" s="1"/>
  <c r="C2497" i="6" a="1"/>
  <c r="C2497" i="6" s="1"/>
  <c r="D2496" i="6" a="1"/>
  <c r="D2496" i="6" s="1"/>
  <c r="E2496" i="6" s="1" a="1"/>
  <c r="E2496" i="6" s="1"/>
  <c r="C2496" i="6" a="1"/>
  <c r="C2496" i="6" s="1"/>
  <c r="D2495" i="6" a="1"/>
  <c r="D2495" i="6" s="1"/>
  <c r="E2495" i="6" s="1" a="1"/>
  <c r="E2495" i="6" s="1"/>
  <c r="C2495" i="6" a="1"/>
  <c r="C2495" i="6" s="1"/>
  <c r="D2494" i="6" a="1"/>
  <c r="D2494" i="6" s="1"/>
  <c r="E2494" i="6" s="1" a="1"/>
  <c r="E2494" i="6" s="1"/>
  <c r="C2494" i="6" a="1"/>
  <c r="C2494" i="6" s="1"/>
  <c r="D2493" i="6" a="1"/>
  <c r="D2493" i="6" s="1"/>
  <c r="E2493" i="6" s="1" a="1"/>
  <c r="E2493" i="6" s="1"/>
  <c r="C2493" i="6" a="1"/>
  <c r="C2493" i="6" s="1"/>
  <c r="D2492" i="6" a="1"/>
  <c r="D2492" i="6" s="1"/>
  <c r="E2492" i="6" s="1" a="1"/>
  <c r="E2492" i="6" s="1"/>
  <c r="C2492" i="6" a="1"/>
  <c r="C2492" i="6" s="1"/>
  <c r="D2491" i="6" a="1"/>
  <c r="D2491" i="6" s="1"/>
  <c r="E2491" i="6" s="1" a="1"/>
  <c r="E2491" i="6" s="1"/>
  <c r="C2491" i="6" a="1"/>
  <c r="C2491" i="6" s="1"/>
  <c r="D2490" i="6" a="1"/>
  <c r="D2490" i="6" s="1"/>
  <c r="E2490" i="6" s="1" a="1"/>
  <c r="E2490" i="6" s="1"/>
  <c r="C2490" i="6" a="1"/>
  <c r="C2490" i="6" s="1"/>
  <c r="D2489" i="6" a="1"/>
  <c r="D2489" i="6" s="1"/>
  <c r="E2489" i="6" s="1" a="1"/>
  <c r="E2489" i="6" s="1"/>
  <c r="C2489" i="6" a="1"/>
  <c r="C2489" i="6" s="1"/>
  <c r="D2488" i="6" a="1"/>
  <c r="D2488" i="6" s="1"/>
  <c r="E2488" i="6" s="1" a="1"/>
  <c r="E2488" i="6" s="1"/>
  <c r="C2488" i="6" a="1"/>
  <c r="C2488" i="6" s="1"/>
  <c r="D2487" i="6" a="1"/>
  <c r="D2487" i="6" s="1"/>
  <c r="E2487" i="6" s="1" a="1"/>
  <c r="E2487" i="6" s="1"/>
  <c r="C2487" i="6" a="1"/>
  <c r="C2487" i="6" s="1"/>
  <c r="D2486" i="6" a="1"/>
  <c r="D2486" i="6" s="1"/>
  <c r="E2486" i="6" s="1" a="1"/>
  <c r="E2486" i="6" s="1"/>
  <c r="C2486" i="6" a="1"/>
  <c r="C2486" i="6" s="1"/>
  <c r="D2485" i="6" a="1"/>
  <c r="D2485" i="6" s="1"/>
  <c r="E2485" i="6" s="1" a="1"/>
  <c r="E2485" i="6" s="1"/>
  <c r="C2485" i="6" a="1"/>
  <c r="C2485" i="6" s="1"/>
  <c r="D2484" i="6" a="1"/>
  <c r="D2484" i="6" s="1"/>
  <c r="E2484" i="6" s="1" a="1"/>
  <c r="E2484" i="6" s="1"/>
  <c r="C2484" i="6" a="1"/>
  <c r="C2484" i="6" s="1"/>
  <c r="D2483" i="6" a="1"/>
  <c r="D2483" i="6" s="1"/>
  <c r="E2483" i="6" s="1" a="1"/>
  <c r="E2483" i="6" s="1"/>
  <c r="C2483" i="6" a="1"/>
  <c r="C2483" i="6" s="1"/>
  <c r="D2482" i="6" a="1"/>
  <c r="D2482" i="6" s="1"/>
  <c r="E2482" i="6" s="1" a="1"/>
  <c r="E2482" i="6" s="1"/>
  <c r="C2482" i="6" a="1"/>
  <c r="C2482" i="6" s="1"/>
  <c r="D2481" i="6" a="1"/>
  <c r="D2481" i="6" s="1"/>
  <c r="E2481" i="6" s="1" a="1"/>
  <c r="E2481" i="6" s="1"/>
  <c r="C2481" i="6" a="1"/>
  <c r="C2481" i="6" s="1"/>
  <c r="D2480" i="6" a="1"/>
  <c r="D2480" i="6" s="1"/>
  <c r="E2480" i="6" s="1" a="1"/>
  <c r="E2480" i="6" s="1"/>
  <c r="C2480" i="6" a="1"/>
  <c r="C2480" i="6" s="1"/>
  <c r="D2479" i="6" a="1"/>
  <c r="D2479" i="6" s="1"/>
  <c r="E2479" i="6" s="1" a="1"/>
  <c r="E2479" i="6" s="1"/>
  <c r="C2479" i="6" a="1"/>
  <c r="C2479" i="6" s="1"/>
  <c r="D2478" i="6" a="1"/>
  <c r="D2478" i="6" s="1"/>
  <c r="E2478" i="6" s="1" a="1"/>
  <c r="E2478" i="6" s="1"/>
  <c r="C2478" i="6" a="1"/>
  <c r="C2478" i="6" s="1"/>
  <c r="D2477" i="6" a="1"/>
  <c r="D2477" i="6" s="1"/>
  <c r="E2477" i="6" s="1" a="1"/>
  <c r="E2477" i="6" s="1"/>
  <c r="C2477" i="6" a="1"/>
  <c r="C2477" i="6" s="1"/>
  <c r="D2476" i="6" a="1"/>
  <c r="D2476" i="6" s="1"/>
  <c r="E2476" i="6" s="1" a="1"/>
  <c r="E2476" i="6" s="1"/>
  <c r="C2476" i="6" a="1"/>
  <c r="C2476" i="6" s="1"/>
  <c r="D2475" i="6" a="1"/>
  <c r="D2475" i="6" s="1"/>
  <c r="E2475" i="6" s="1" a="1"/>
  <c r="E2475" i="6" s="1"/>
  <c r="C2475" i="6" a="1"/>
  <c r="C2475" i="6" s="1"/>
  <c r="D2474" i="6" a="1"/>
  <c r="D2474" i="6" s="1"/>
  <c r="E2474" i="6" s="1" a="1"/>
  <c r="E2474" i="6" s="1"/>
  <c r="C2474" i="6" a="1"/>
  <c r="C2474" i="6" s="1"/>
  <c r="D2473" i="6" a="1"/>
  <c r="D2473" i="6" s="1"/>
  <c r="E2473" i="6" s="1" a="1"/>
  <c r="E2473" i="6" s="1"/>
  <c r="C2473" i="6" a="1"/>
  <c r="C2473" i="6" s="1"/>
  <c r="D2472" i="6" a="1"/>
  <c r="D2472" i="6" s="1"/>
  <c r="E2472" i="6" s="1" a="1"/>
  <c r="E2472" i="6" s="1"/>
  <c r="C2472" i="6" a="1"/>
  <c r="C2472" i="6" s="1"/>
  <c r="D2471" i="6" a="1"/>
  <c r="D2471" i="6" s="1"/>
  <c r="E2471" i="6" s="1" a="1"/>
  <c r="E2471" i="6" s="1"/>
  <c r="C2471" i="6" a="1"/>
  <c r="C2471" i="6" s="1"/>
  <c r="D2470" i="6" a="1"/>
  <c r="D2470" i="6" s="1"/>
  <c r="E2470" i="6" s="1" a="1"/>
  <c r="E2470" i="6" s="1"/>
  <c r="C2470" i="6" a="1"/>
  <c r="C2470" i="6" s="1"/>
  <c r="D2469" i="6" a="1"/>
  <c r="D2469" i="6" s="1"/>
  <c r="E2469" i="6" s="1" a="1"/>
  <c r="E2469" i="6" s="1"/>
  <c r="C2469" i="6" a="1"/>
  <c r="C2469" i="6" s="1"/>
  <c r="D2468" i="6" a="1"/>
  <c r="D2468" i="6" s="1"/>
  <c r="E2468" i="6" s="1" a="1"/>
  <c r="E2468" i="6" s="1"/>
  <c r="C2468" i="6" a="1"/>
  <c r="C2468" i="6" s="1"/>
  <c r="D2467" i="6" a="1"/>
  <c r="D2467" i="6" s="1"/>
  <c r="E2467" i="6" s="1" a="1"/>
  <c r="E2467" i="6" s="1"/>
  <c r="C2467" i="6" a="1"/>
  <c r="C2467" i="6" s="1"/>
  <c r="D2466" i="6" a="1"/>
  <c r="D2466" i="6" s="1"/>
  <c r="E2466" i="6" s="1" a="1"/>
  <c r="E2466" i="6" s="1"/>
  <c r="C2466" i="6" a="1"/>
  <c r="C2466" i="6" s="1"/>
  <c r="D2465" i="6" a="1"/>
  <c r="D2465" i="6" s="1"/>
  <c r="E2465" i="6" s="1" a="1"/>
  <c r="E2465" i="6" s="1"/>
  <c r="C2465" i="6" a="1"/>
  <c r="C2465" i="6" s="1"/>
  <c r="D2464" i="6" a="1"/>
  <c r="D2464" i="6" s="1"/>
  <c r="E2464" i="6" s="1" a="1"/>
  <c r="E2464" i="6" s="1"/>
  <c r="C2464" i="6" a="1"/>
  <c r="C2464" i="6" s="1"/>
  <c r="D2463" i="6" a="1"/>
  <c r="D2463" i="6" s="1"/>
  <c r="E2463" i="6" s="1" a="1"/>
  <c r="E2463" i="6" s="1"/>
  <c r="C2463" i="6" a="1"/>
  <c r="C2463" i="6" s="1"/>
  <c r="D2462" i="6" a="1"/>
  <c r="D2462" i="6" s="1"/>
  <c r="E2462" i="6" s="1" a="1"/>
  <c r="E2462" i="6" s="1"/>
  <c r="C2462" i="6" a="1"/>
  <c r="C2462" i="6" s="1"/>
  <c r="D2461" i="6" a="1"/>
  <c r="D2461" i="6" s="1"/>
  <c r="E2461" i="6" s="1" a="1"/>
  <c r="E2461" i="6" s="1"/>
  <c r="C2461" i="6" a="1"/>
  <c r="C2461" i="6" s="1"/>
  <c r="D2460" i="6" a="1"/>
  <c r="D2460" i="6" s="1"/>
  <c r="E2460" i="6" s="1" a="1"/>
  <c r="E2460" i="6" s="1"/>
  <c r="C2460" i="6" a="1"/>
  <c r="C2460" i="6" s="1"/>
  <c r="D2459" i="6" a="1"/>
  <c r="D2459" i="6" s="1"/>
  <c r="E2459" i="6" s="1" a="1"/>
  <c r="E2459" i="6" s="1"/>
  <c r="C2459" i="6" a="1"/>
  <c r="C2459" i="6" s="1"/>
  <c r="D2458" i="6" a="1"/>
  <c r="D2458" i="6" s="1"/>
  <c r="E2458" i="6" s="1" a="1"/>
  <c r="E2458" i="6" s="1"/>
  <c r="C2458" i="6" a="1"/>
  <c r="C2458" i="6" s="1"/>
  <c r="D2457" i="6" a="1"/>
  <c r="D2457" i="6" s="1"/>
  <c r="E2457" i="6" s="1" a="1"/>
  <c r="E2457" i="6" s="1"/>
  <c r="C2457" i="6" a="1"/>
  <c r="C2457" i="6" s="1"/>
  <c r="D2456" i="6" a="1"/>
  <c r="D2456" i="6" s="1"/>
  <c r="E2456" i="6" s="1" a="1"/>
  <c r="E2456" i="6" s="1"/>
  <c r="C2456" i="6" a="1"/>
  <c r="C2456" i="6" s="1"/>
  <c r="D2455" i="6" a="1"/>
  <c r="D2455" i="6" s="1"/>
  <c r="E2455" i="6" s="1" a="1"/>
  <c r="E2455" i="6" s="1"/>
  <c r="C2455" i="6" a="1"/>
  <c r="C2455" i="6" s="1"/>
  <c r="D2454" i="6" a="1"/>
  <c r="D2454" i="6" s="1"/>
  <c r="E2454" i="6" s="1" a="1"/>
  <c r="E2454" i="6" s="1"/>
  <c r="C2454" i="6" a="1"/>
  <c r="C2454" i="6" s="1"/>
  <c r="D2453" i="6" a="1"/>
  <c r="D2453" i="6" s="1"/>
  <c r="E2453" i="6" s="1" a="1"/>
  <c r="E2453" i="6" s="1"/>
  <c r="C2453" i="6" a="1"/>
  <c r="C2453" i="6" s="1"/>
  <c r="D2452" i="6" a="1"/>
  <c r="D2452" i="6" s="1"/>
  <c r="E2452" i="6" s="1" a="1"/>
  <c r="E2452" i="6" s="1"/>
  <c r="C2452" i="6" a="1"/>
  <c r="C2452" i="6" s="1"/>
  <c r="D2451" i="6" a="1"/>
  <c r="D2451" i="6" s="1"/>
  <c r="E2451" i="6" s="1" a="1"/>
  <c r="E2451" i="6" s="1"/>
  <c r="C2451" i="6" a="1"/>
  <c r="C2451" i="6" s="1"/>
  <c r="D2450" i="6" a="1"/>
  <c r="D2450" i="6" s="1"/>
  <c r="E2450" i="6" s="1" a="1"/>
  <c r="E2450" i="6" s="1"/>
  <c r="C2450" i="6" a="1"/>
  <c r="C2450" i="6" s="1"/>
  <c r="D2449" i="6" a="1"/>
  <c r="D2449" i="6" s="1"/>
  <c r="E2449" i="6" s="1" a="1"/>
  <c r="E2449" i="6" s="1"/>
  <c r="C2449" i="6" a="1"/>
  <c r="C2449" i="6" s="1"/>
  <c r="D2448" i="6" a="1"/>
  <c r="D2448" i="6" s="1"/>
  <c r="E2448" i="6" s="1" a="1"/>
  <c r="E2448" i="6" s="1"/>
  <c r="C2448" i="6" a="1"/>
  <c r="C2448" i="6" s="1"/>
  <c r="D2447" i="6" a="1"/>
  <c r="D2447" i="6" s="1"/>
  <c r="E2447" i="6" s="1" a="1"/>
  <c r="E2447" i="6" s="1"/>
  <c r="C2447" i="6" a="1"/>
  <c r="C2447" i="6" s="1"/>
  <c r="D2446" i="6" a="1"/>
  <c r="D2446" i="6" s="1"/>
  <c r="E2446" i="6" s="1" a="1"/>
  <c r="E2446" i="6" s="1"/>
  <c r="C2446" i="6" a="1"/>
  <c r="C2446" i="6" s="1"/>
  <c r="D2445" i="6" a="1"/>
  <c r="D2445" i="6" s="1"/>
  <c r="E2445" i="6" s="1" a="1"/>
  <c r="E2445" i="6" s="1"/>
  <c r="C2445" i="6" a="1"/>
  <c r="C2445" i="6" s="1"/>
  <c r="D2444" i="6" a="1"/>
  <c r="D2444" i="6" s="1"/>
  <c r="E2444" i="6" s="1" a="1"/>
  <c r="E2444" i="6" s="1"/>
  <c r="C2444" i="6" a="1"/>
  <c r="C2444" i="6" s="1"/>
  <c r="D2443" i="6" a="1"/>
  <c r="D2443" i="6" s="1"/>
  <c r="E2443" i="6" s="1" a="1"/>
  <c r="E2443" i="6" s="1"/>
  <c r="C2443" i="6" a="1"/>
  <c r="C2443" i="6" s="1"/>
  <c r="D2442" i="6" a="1"/>
  <c r="D2442" i="6" s="1"/>
  <c r="E2442" i="6" s="1" a="1"/>
  <c r="E2442" i="6" s="1"/>
  <c r="C2442" i="6" a="1"/>
  <c r="C2442" i="6" s="1"/>
  <c r="D2441" i="6" a="1"/>
  <c r="D2441" i="6" s="1"/>
  <c r="E2441" i="6" s="1" a="1"/>
  <c r="E2441" i="6" s="1"/>
  <c r="C2441" i="6" a="1"/>
  <c r="C2441" i="6" s="1"/>
  <c r="D2440" i="6" a="1"/>
  <c r="D2440" i="6" s="1"/>
  <c r="E2440" i="6" s="1" a="1"/>
  <c r="E2440" i="6" s="1"/>
  <c r="C2440" i="6" a="1"/>
  <c r="C2440" i="6" s="1"/>
  <c r="D2439" i="6" a="1"/>
  <c r="D2439" i="6" s="1"/>
  <c r="E2439" i="6" s="1" a="1"/>
  <c r="E2439" i="6" s="1"/>
  <c r="C2439" i="6" a="1"/>
  <c r="C2439" i="6" s="1"/>
  <c r="D2438" i="6" a="1"/>
  <c r="D2438" i="6" s="1"/>
  <c r="E2438" i="6" s="1" a="1"/>
  <c r="E2438" i="6" s="1"/>
  <c r="C2438" i="6" a="1"/>
  <c r="C2438" i="6" s="1"/>
  <c r="D2437" i="6" a="1"/>
  <c r="D2437" i="6" s="1"/>
  <c r="E2437" i="6" s="1" a="1"/>
  <c r="E2437" i="6" s="1"/>
  <c r="C2437" i="6" a="1"/>
  <c r="C2437" i="6" s="1"/>
  <c r="D2436" i="6" a="1"/>
  <c r="D2436" i="6" s="1"/>
  <c r="E2436" i="6" s="1" a="1"/>
  <c r="E2436" i="6" s="1"/>
  <c r="C2436" i="6" a="1"/>
  <c r="C2436" i="6" s="1"/>
  <c r="D2435" i="6" a="1"/>
  <c r="D2435" i="6" s="1"/>
  <c r="E2435" i="6" s="1" a="1"/>
  <c r="E2435" i="6" s="1"/>
  <c r="C2435" i="6" a="1"/>
  <c r="C2435" i="6" s="1"/>
  <c r="D2434" i="6" a="1"/>
  <c r="D2434" i="6" s="1"/>
  <c r="E2434" i="6" s="1" a="1"/>
  <c r="E2434" i="6" s="1"/>
  <c r="C2434" i="6" a="1"/>
  <c r="C2434" i="6" s="1"/>
  <c r="D2433" i="6" a="1"/>
  <c r="D2433" i="6" s="1"/>
  <c r="E2433" i="6" s="1" a="1"/>
  <c r="E2433" i="6" s="1"/>
  <c r="C2433" i="6" a="1"/>
  <c r="C2433" i="6" s="1"/>
  <c r="D2432" i="6" a="1"/>
  <c r="D2432" i="6" s="1"/>
  <c r="E2432" i="6" s="1" a="1"/>
  <c r="E2432" i="6" s="1"/>
  <c r="C2432" i="6" a="1"/>
  <c r="C2432" i="6" s="1"/>
  <c r="D2431" i="6" a="1"/>
  <c r="D2431" i="6" s="1"/>
  <c r="E2431" i="6" s="1" a="1"/>
  <c r="E2431" i="6" s="1"/>
  <c r="C2431" i="6" a="1"/>
  <c r="C2431" i="6" s="1"/>
  <c r="D2430" i="6" a="1"/>
  <c r="D2430" i="6" s="1"/>
  <c r="E2430" i="6" s="1" a="1"/>
  <c r="E2430" i="6" s="1"/>
  <c r="C2430" i="6" a="1"/>
  <c r="C2430" i="6" s="1"/>
  <c r="D2429" i="6" a="1"/>
  <c r="D2429" i="6" s="1"/>
  <c r="E2429" i="6" s="1" a="1"/>
  <c r="E2429" i="6" s="1"/>
  <c r="C2429" i="6" a="1"/>
  <c r="C2429" i="6" s="1"/>
  <c r="D2428" i="6" a="1"/>
  <c r="D2428" i="6" s="1"/>
  <c r="E2428" i="6" s="1" a="1"/>
  <c r="E2428" i="6" s="1"/>
  <c r="C2428" i="6" a="1"/>
  <c r="C2428" i="6" s="1"/>
  <c r="D2427" i="6" a="1"/>
  <c r="D2427" i="6" s="1"/>
  <c r="E2427" i="6" s="1" a="1"/>
  <c r="E2427" i="6" s="1"/>
  <c r="C2427" i="6" a="1"/>
  <c r="C2427" i="6" s="1"/>
  <c r="D2426" i="6" a="1"/>
  <c r="D2426" i="6" s="1"/>
  <c r="E2426" i="6" s="1" a="1"/>
  <c r="E2426" i="6" s="1"/>
  <c r="C2426" i="6" a="1"/>
  <c r="C2426" i="6" s="1"/>
  <c r="D2425" i="6" a="1"/>
  <c r="D2425" i="6" s="1"/>
  <c r="E2425" i="6" s="1" a="1"/>
  <c r="E2425" i="6" s="1"/>
  <c r="C2425" i="6" a="1"/>
  <c r="C2425" i="6" s="1"/>
  <c r="D2424" i="6" a="1"/>
  <c r="D2424" i="6" s="1"/>
  <c r="E2424" i="6" s="1" a="1"/>
  <c r="E2424" i="6" s="1"/>
  <c r="C2424" i="6" a="1"/>
  <c r="C2424" i="6" s="1"/>
  <c r="D2423" i="6" a="1"/>
  <c r="D2423" i="6" s="1"/>
  <c r="E2423" i="6" s="1" a="1"/>
  <c r="E2423" i="6" s="1"/>
  <c r="C2423" i="6" a="1"/>
  <c r="C2423" i="6" s="1"/>
  <c r="D2422" i="6" a="1"/>
  <c r="D2422" i="6" s="1"/>
  <c r="E2422" i="6" s="1" a="1"/>
  <c r="E2422" i="6" s="1"/>
  <c r="C2422" i="6" a="1"/>
  <c r="C2422" i="6" s="1"/>
  <c r="D2421" i="6" a="1"/>
  <c r="D2421" i="6" s="1"/>
  <c r="E2421" i="6" s="1" a="1"/>
  <c r="E2421" i="6" s="1"/>
  <c r="C2421" i="6" a="1"/>
  <c r="C2421" i="6" s="1"/>
  <c r="D2420" i="6" a="1"/>
  <c r="D2420" i="6" s="1"/>
  <c r="E2420" i="6" s="1" a="1"/>
  <c r="E2420" i="6" s="1"/>
  <c r="C2420" i="6" a="1"/>
  <c r="C2420" i="6" s="1"/>
  <c r="D2419" i="6" a="1"/>
  <c r="D2419" i="6" s="1"/>
  <c r="E2419" i="6" s="1" a="1"/>
  <c r="E2419" i="6" s="1"/>
  <c r="C2419" i="6" a="1"/>
  <c r="C2419" i="6" s="1"/>
  <c r="D2418" i="6" a="1"/>
  <c r="D2418" i="6" s="1"/>
  <c r="E2418" i="6" s="1" a="1"/>
  <c r="E2418" i="6" s="1"/>
  <c r="C2418" i="6" a="1"/>
  <c r="C2418" i="6" s="1"/>
  <c r="D2417" i="6" a="1"/>
  <c r="D2417" i="6" s="1"/>
  <c r="E2417" i="6" s="1" a="1"/>
  <c r="E2417" i="6" s="1"/>
  <c r="C2417" i="6" a="1"/>
  <c r="C2417" i="6" s="1"/>
  <c r="D2416" i="6" a="1"/>
  <c r="D2416" i="6" s="1"/>
  <c r="E2416" i="6" s="1" a="1"/>
  <c r="E2416" i="6" s="1"/>
  <c r="C2416" i="6" a="1"/>
  <c r="C2416" i="6" s="1"/>
  <c r="D2415" i="6" a="1"/>
  <c r="D2415" i="6" s="1"/>
  <c r="E2415" i="6" s="1" a="1"/>
  <c r="E2415" i="6" s="1"/>
  <c r="C2415" i="6" a="1"/>
  <c r="C2415" i="6" s="1"/>
  <c r="D2414" i="6" a="1"/>
  <c r="D2414" i="6" s="1"/>
  <c r="E2414" i="6" s="1" a="1"/>
  <c r="E2414" i="6" s="1"/>
  <c r="C2414" i="6" a="1"/>
  <c r="C2414" i="6" s="1"/>
  <c r="D2413" i="6" a="1"/>
  <c r="D2413" i="6" s="1"/>
  <c r="E2413" i="6" s="1" a="1"/>
  <c r="E2413" i="6" s="1"/>
  <c r="C2413" i="6" a="1"/>
  <c r="C2413" i="6" s="1"/>
  <c r="D2412" i="6" a="1"/>
  <c r="D2412" i="6" s="1"/>
  <c r="E2412" i="6" s="1" a="1"/>
  <c r="E2412" i="6" s="1"/>
  <c r="C2412" i="6" a="1"/>
  <c r="C2412" i="6" s="1"/>
  <c r="D2411" i="6" a="1"/>
  <c r="D2411" i="6" s="1"/>
  <c r="E2411" i="6" s="1" a="1"/>
  <c r="E2411" i="6" s="1"/>
  <c r="C2411" i="6" a="1"/>
  <c r="C2411" i="6" s="1"/>
  <c r="D2410" i="6" a="1"/>
  <c r="D2410" i="6" s="1"/>
  <c r="E2410" i="6" s="1" a="1"/>
  <c r="E2410" i="6" s="1"/>
  <c r="C2410" i="6" a="1"/>
  <c r="C2410" i="6" s="1"/>
  <c r="D2409" i="6" a="1"/>
  <c r="D2409" i="6" s="1"/>
  <c r="E2409" i="6" s="1" a="1"/>
  <c r="E2409" i="6" s="1"/>
  <c r="C2409" i="6" a="1"/>
  <c r="C2409" i="6" s="1"/>
  <c r="D2408" i="6" a="1"/>
  <c r="D2408" i="6" s="1"/>
  <c r="E2408" i="6" s="1" a="1"/>
  <c r="E2408" i="6" s="1"/>
  <c r="C2408" i="6" a="1"/>
  <c r="C2408" i="6" s="1"/>
  <c r="D2407" i="6" a="1"/>
  <c r="D2407" i="6" s="1"/>
  <c r="E2407" i="6" s="1" a="1"/>
  <c r="E2407" i="6" s="1"/>
  <c r="C2407" i="6" a="1"/>
  <c r="C2407" i="6" s="1"/>
  <c r="D2406" i="6" a="1"/>
  <c r="D2406" i="6" s="1"/>
  <c r="E2406" i="6" s="1" a="1"/>
  <c r="E2406" i="6" s="1"/>
  <c r="C2406" i="6" a="1"/>
  <c r="C2406" i="6" s="1"/>
  <c r="D2405" i="6" a="1"/>
  <c r="D2405" i="6" s="1"/>
  <c r="E2405" i="6" s="1" a="1"/>
  <c r="E2405" i="6" s="1"/>
  <c r="C2405" i="6" a="1"/>
  <c r="C2405" i="6" s="1"/>
  <c r="D2404" i="6" a="1"/>
  <c r="D2404" i="6" s="1"/>
  <c r="E2404" i="6" s="1" a="1"/>
  <c r="E2404" i="6" s="1"/>
  <c r="C2404" i="6" a="1"/>
  <c r="C2404" i="6" s="1"/>
  <c r="D2403" i="6" a="1"/>
  <c r="D2403" i="6" s="1"/>
  <c r="E2403" i="6" s="1" a="1"/>
  <c r="E2403" i="6" s="1"/>
  <c r="C2403" i="6" a="1"/>
  <c r="C2403" i="6" s="1"/>
  <c r="D2402" i="6" a="1"/>
  <c r="D2402" i="6" s="1"/>
  <c r="E2402" i="6" s="1" a="1"/>
  <c r="E2402" i="6" s="1"/>
  <c r="C2402" i="6" a="1"/>
  <c r="C2402" i="6" s="1"/>
  <c r="D2401" i="6" a="1"/>
  <c r="D2401" i="6" s="1"/>
  <c r="E2401" i="6" s="1" a="1"/>
  <c r="E2401" i="6" s="1"/>
  <c r="C2401" i="6" a="1"/>
  <c r="C2401" i="6" s="1"/>
  <c r="D2400" i="6" a="1"/>
  <c r="D2400" i="6" s="1"/>
  <c r="E2400" i="6" s="1" a="1"/>
  <c r="E2400" i="6" s="1"/>
  <c r="C2400" i="6" a="1"/>
  <c r="C2400" i="6" s="1"/>
  <c r="D2399" i="6" a="1"/>
  <c r="D2399" i="6" s="1"/>
  <c r="E2399" i="6" s="1" a="1"/>
  <c r="E2399" i="6" s="1"/>
  <c r="C2399" i="6" a="1"/>
  <c r="C2399" i="6" s="1"/>
  <c r="D2398" i="6" a="1"/>
  <c r="D2398" i="6" s="1"/>
  <c r="E2398" i="6" s="1" a="1"/>
  <c r="E2398" i="6" s="1"/>
  <c r="C2398" i="6" a="1"/>
  <c r="C2398" i="6" s="1"/>
  <c r="D2397" i="6" a="1"/>
  <c r="D2397" i="6" s="1"/>
  <c r="E2397" i="6" s="1" a="1"/>
  <c r="E2397" i="6" s="1"/>
  <c r="C2397" i="6" a="1"/>
  <c r="C2397" i="6" s="1"/>
  <c r="D2396" i="6" a="1"/>
  <c r="D2396" i="6" s="1"/>
  <c r="E2396" i="6" s="1" a="1"/>
  <c r="E2396" i="6" s="1"/>
  <c r="C2396" i="6" a="1"/>
  <c r="C2396" i="6" s="1"/>
  <c r="D2395" i="6" a="1"/>
  <c r="D2395" i="6" s="1"/>
  <c r="E2395" i="6" s="1" a="1"/>
  <c r="E2395" i="6" s="1"/>
  <c r="C2395" i="6" a="1"/>
  <c r="C2395" i="6" s="1"/>
  <c r="D2394" i="6" a="1"/>
  <c r="D2394" i="6" s="1"/>
  <c r="E2394" i="6" s="1" a="1"/>
  <c r="E2394" i="6" s="1"/>
  <c r="C2394" i="6" a="1"/>
  <c r="C2394" i="6" s="1"/>
  <c r="D2393" i="6" a="1"/>
  <c r="D2393" i="6" s="1"/>
  <c r="E2393" i="6" s="1" a="1"/>
  <c r="E2393" i="6" s="1"/>
  <c r="C2393" i="6" a="1"/>
  <c r="C2393" i="6" s="1"/>
  <c r="D2392" i="6" a="1"/>
  <c r="D2392" i="6" s="1"/>
  <c r="E2392" i="6" s="1" a="1"/>
  <c r="E2392" i="6" s="1"/>
  <c r="C2392" i="6" a="1"/>
  <c r="C2392" i="6" s="1"/>
  <c r="D2391" i="6" a="1"/>
  <c r="D2391" i="6" s="1"/>
  <c r="E2391" i="6" s="1" a="1"/>
  <c r="E2391" i="6" s="1"/>
  <c r="C2391" i="6" a="1"/>
  <c r="C2391" i="6" s="1"/>
  <c r="D2390" i="6" a="1"/>
  <c r="D2390" i="6" s="1"/>
  <c r="E2390" i="6" s="1" a="1"/>
  <c r="E2390" i="6" s="1"/>
  <c r="C2390" i="6" a="1"/>
  <c r="C2390" i="6" s="1"/>
  <c r="D2389" i="6" a="1"/>
  <c r="D2389" i="6" s="1"/>
  <c r="E2389" i="6" s="1" a="1"/>
  <c r="E2389" i="6" s="1"/>
  <c r="C2389" i="6" a="1"/>
  <c r="C2389" i="6" s="1"/>
  <c r="D2388" i="6" a="1"/>
  <c r="D2388" i="6" s="1"/>
  <c r="E2388" i="6" s="1" a="1"/>
  <c r="E2388" i="6" s="1"/>
  <c r="C2388" i="6" a="1"/>
  <c r="C2388" i="6" s="1"/>
  <c r="D2387" i="6" a="1"/>
  <c r="D2387" i="6" s="1"/>
  <c r="E2387" i="6" s="1" a="1"/>
  <c r="E2387" i="6" s="1"/>
  <c r="C2387" i="6" a="1"/>
  <c r="C2387" i="6" s="1"/>
  <c r="D2386" i="6" a="1"/>
  <c r="D2386" i="6" s="1"/>
  <c r="E2386" i="6" s="1" a="1"/>
  <c r="E2386" i="6" s="1"/>
  <c r="C2386" i="6" a="1"/>
  <c r="C2386" i="6" s="1"/>
  <c r="D2385" i="6" a="1"/>
  <c r="D2385" i="6" s="1"/>
  <c r="E2385" i="6" s="1" a="1"/>
  <c r="E2385" i="6" s="1"/>
  <c r="C2385" i="6" a="1"/>
  <c r="C2385" i="6" s="1"/>
  <c r="D2384" i="6" a="1"/>
  <c r="D2384" i="6" s="1"/>
  <c r="E2384" i="6" s="1" a="1"/>
  <c r="E2384" i="6" s="1"/>
  <c r="C2384" i="6" a="1"/>
  <c r="C2384" i="6" s="1"/>
  <c r="D2383" i="6" a="1"/>
  <c r="D2383" i="6" s="1"/>
  <c r="E2383" i="6" s="1" a="1"/>
  <c r="E2383" i="6" s="1"/>
  <c r="C2383" i="6" a="1"/>
  <c r="C2383" i="6" s="1"/>
  <c r="D2382" i="6" a="1"/>
  <c r="D2382" i="6" s="1"/>
  <c r="E2382" i="6" s="1" a="1"/>
  <c r="E2382" i="6" s="1"/>
  <c r="C2382" i="6" a="1"/>
  <c r="C2382" i="6" s="1"/>
  <c r="D2381" i="6" a="1"/>
  <c r="D2381" i="6" s="1"/>
  <c r="E2381" i="6" s="1" a="1"/>
  <c r="E2381" i="6" s="1"/>
  <c r="C2381" i="6" a="1"/>
  <c r="C2381" i="6" s="1"/>
  <c r="D2380" i="6" a="1"/>
  <c r="D2380" i="6" s="1"/>
  <c r="E2380" i="6" s="1" a="1"/>
  <c r="E2380" i="6" s="1"/>
  <c r="C2380" i="6" a="1"/>
  <c r="C2380" i="6" s="1"/>
  <c r="D2379" i="6" a="1"/>
  <c r="D2379" i="6" s="1"/>
  <c r="E2379" i="6" s="1" a="1"/>
  <c r="E2379" i="6" s="1"/>
  <c r="C2379" i="6" a="1"/>
  <c r="C2379" i="6" s="1"/>
  <c r="D2378" i="6" a="1"/>
  <c r="D2378" i="6" s="1"/>
  <c r="E2378" i="6" s="1" a="1"/>
  <c r="E2378" i="6" s="1"/>
  <c r="C2378" i="6" a="1"/>
  <c r="C2378" i="6" s="1"/>
  <c r="D2377" i="6" a="1"/>
  <c r="D2377" i="6" s="1"/>
  <c r="E2377" i="6" s="1" a="1"/>
  <c r="E2377" i="6" s="1"/>
  <c r="C2377" i="6" a="1"/>
  <c r="C2377" i="6" s="1"/>
  <c r="D2376" i="6" a="1"/>
  <c r="D2376" i="6" s="1"/>
  <c r="E2376" i="6" s="1" a="1"/>
  <c r="E2376" i="6" s="1"/>
  <c r="C2376" i="6" a="1"/>
  <c r="C2376" i="6" s="1"/>
  <c r="D2375" i="6" a="1"/>
  <c r="D2375" i="6" s="1"/>
  <c r="E2375" i="6" s="1" a="1"/>
  <c r="E2375" i="6" s="1"/>
  <c r="C2375" i="6" a="1"/>
  <c r="C2375" i="6" s="1"/>
  <c r="D2374" i="6" a="1"/>
  <c r="D2374" i="6" s="1"/>
  <c r="E2374" i="6" s="1" a="1"/>
  <c r="E2374" i="6" s="1"/>
  <c r="C2374" i="6" a="1"/>
  <c r="C2374" i="6" s="1"/>
  <c r="D2373" i="6" a="1"/>
  <c r="D2373" i="6" s="1"/>
  <c r="E2373" i="6" s="1" a="1"/>
  <c r="E2373" i="6" s="1"/>
  <c r="C2373" i="6" a="1"/>
  <c r="C2373" i="6" s="1"/>
  <c r="D2372" i="6" a="1"/>
  <c r="D2372" i="6" s="1"/>
  <c r="E2372" i="6" s="1" a="1"/>
  <c r="E2372" i="6" s="1"/>
  <c r="C2372" i="6" a="1"/>
  <c r="C2372" i="6" s="1"/>
  <c r="D2371" i="6" a="1"/>
  <c r="D2371" i="6" s="1"/>
  <c r="E2371" i="6" s="1" a="1"/>
  <c r="E2371" i="6" s="1"/>
  <c r="C2371" i="6" a="1"/>
  <c r="C2371" i="6" s="1"/>
  <c r="D2370" i="6" a="1"/>
  <c r="D2370" i="6" s="1"/>
  <c r="E2370" i="6" s="1" a="1"/>
  <c r="E2370" i="6" s="1"/>
  <c r="C2370" i="6" a="1"/>
  <c r="C2370" i="6" s="1"/>
  <c r="D2369" i="6" a="1"/>
  <c r="D2369" i="6" s="1"/>
  <c r="E2369" i="6" s="1" a="1"/>
  <c r="E2369" i="6" s="1"/>
  <c r="C2369" i="6" a="1"/>
  <c r="C2369" i="6" s="1"/>
  <c r="D2368" i="6" a="1"/>
  <c r="D2368" i="6" s="1"/>
  <c r="E2368" i="6" s="1" a="1"/>
  <c r="E2368" i="6" s="1"/>
  <c r="C2368" i="6" a="1"/>
  <c r="C2368" i="6" s="1"/>
  <c r="D2367" i="6" a="1"/>
  <c r="D2367" i="6" s="1"/>
  <c r="E2367" i="6" s="1" a="1"/>
  <c r="E2367" i="6" s="1"/>
  <c r="C2367" i="6" a="1"/>
  <c r="C2367" i="6" s="1"/>
  <c r="D2366" i="6" a="1"/>
  <c r="D2366" i="6" s="1"/>
  <c r="E2366" i="6" s="1" a="1"/>
  <c r="E2366" i="6" s="1"/>
  <c r="C2366" i="6" a="1"/>
  <c r="C2366" i="6" s="1"/>
  <c r="D2365" i="6" a="1"/>
  <c r="D2365" i="6" s="1"/>
  <c r="E2365" i="6" s="1" a="1"/>
  <c r="E2365" i="6" s="1"/>
  <c r="C2365" i="6" a="1"/>
  <c r="C2365" i="6" s="1"/>
  <c r="D2364" i="6" a="1"/>
  <c r="D2364" i="6" s="1"/>
  <c r="E2364" i="6" s="1" a="1"/>
  <c r="E2364" i="6" s="1"/>
  <c r="C2364" i="6" a="1"/>
  <c r="C2364" i="6" s="1"/>
  <c r="D2363" i="6" a="1"/>
  <c r="D2363" i="6" s="1"/>
  <c r="E2363" i="6" s="1" a="1"/>
  <c r="E2363" i="6" s="1"/>
  <c r="C2363" i="6" a="1"/>
  <c r="C2363" i="6" s="1"/>
  <c r="D2362" i="6" a="1"/>
  <c r="D2362" i="6" s="1"/>
  <c r="E2362" i="6" s="1" a="1"/>
  <c r="E2362" i="6" s="1"/>
  <c r="C2362" i="6" a="1"/>
  <c r="C2362" i="6" s="1"/>
  <c r="D2361" i="6" a="1"/>
  <c r="D2361" i="6" s="1"/>
  <c r="E2361" i="6" s="1" a="1"/>
  <c r="E2361" i="6" s="1"/>
  <c r="C2361" i="6" a="1"/>
  <c r="C2361" i="6" s="1"/>
  <c r="D2360" i="6" a="1"/>
  <c r="D2360" i="6" s="1"/>
  <c r="E2360" i="6" s="1" a="1"/>
  <c r="E2360" i="6" s="1"/>
  <c r="C2360" i="6" a="1"/>
  <c r="C2360" i="6" s="1"/>
  <c r="D2359" i="6" a="1"/>
  <c r="D2359" i="6" s="1"/>
  <c r="E2359" i="6" s="1" a="1"/>
  <c r="E2359" i="6" s="1"/>
  <c r="C2359" i="6" a="1"/>
  <c r="C2359" i="6" s="1"/>
  <c r="D2358" i="6" a="1"/>
  <c r="D2358" i="6" s="1"/>
  <c r="E2358" i="6" s="1" a="1"/>
  <c r="E2358" i="6" s="1"/>
  <c r="C2358" i="6" a="1"/>
  <c r="C2358" i="6" s="1"/>
  <c r="D2357" i="6" a="1"/>
  <c r="D2357" i="6" s="1"/>
  <c r="E2357" i="6" s="1" a="1"/>
  <c r="E2357" i="6" s="1"/>
  <c r="C2357" i="6" a="1"/>
  <c r="C2357" i="6" s="1"/>
  <c r="D2356" i="6" a="1"/>
  <c r="D2356" i="6" s="1"/>
  <c r="E2356" i="6" s="1" a="1"/>
  <c r="E2356" i="6" s="1"/>
  <c r="C2356" i="6" a="1"/>
  <c r="C2356" i="6" s="1"/>
  <c r="D2355" i="6" a="1"/>
  <c r="D2355" i="6" s="1"/>
  <c r="E2355" i="6" s="1" a="1"/>
  <c r="E2355" i="6" s="1"/>
  <c r="C2355" i="6" a="1"/>
  <c r="C2355" i="6" s="1"/>
  <c r="D2354" i="6" a="1"/>
  <c r="D2354" i="6" s="1"/>
  <c r="E2354" i="6" s="1" a="1"/>
  <c r="E2354" i="6" s="1"/>
  <c r="C2354" i="6" a="1"/>
  <c r="C2354" i="6" s="1"/>
  <c r="D2353" i="6" a="1"/>
  <c r="D2353" i="6" s="1"/>
  <c r="E2353" i="6" s="1" a="1"/>
  <c r="E2353" i="6" s="1"/>
  <c r="C2353" i="6" a="1"/>
  <c r="C2353" i="6" s="1"/>
  <c r="D2352" i="6" a="1"/>
  <c r="D2352" i="6" s="1"/>
  <c r="E2352" i="6" s="1" a="1"/>
  <c r="E2352" i="6" s="1"/>
  <c r="C2352" i="6" a="1"/>
  <c r="C2352" i="6" s="1"/>
  <c r="D2351" i="6" a="1"/>
  <c r="D2351" i="6" s="1"/>
  <c r="E2351" i="6" s="1" a="1"/>
  <c r="E2351" i="6" s="1"/>
  <c r="C2351" i="6" a="1"/>
  <c r="C2351" i="6" s="1"/>
  <c r="D2350" i="6" a="1"/>
  <c r="D2350" i="6" s="1"/>
  <c r="E2350" i="6" s="1" a="1"/>
  <c r="E2350" i="6" s="1"/>
  <c r="C2350" i="6" a="1"/>
  <c r="C2350" i="6" s="1"/>
  <c r="D2349" i="6" a="1"/>
  <c r="D2349" i="6" s="1"/>
  <c r="E2349" i="6" s="1" a="1"/>
  <c r="E2349" i="6" s="1"/>
  <c r="C2349" i="6" a="1"/>
  <c r="C2349" i="6" s="1"/>
  <c r="D2348" i="6" a="1"/>
  <c r="D2348" i="6" s="1"/>
  <c r="E2348" i="6" s="1" a="1"/>
  <c r="E2348" i="6" s="1"/>
  <c r="C2348" i="6" a="1"/>
  <c r="C2348" i="6" s="1"/>
  <c r="D2347" i="6" a="1"/>
  <c r="D2347" i="6" s="1"/>
  <c r="E2347" i="6" s="1" a="1"/>
  <c r="E2347" i="6" s="1"/>
  <c r="C2347" i="6" a="1"/>
  <c r="C2347" i="6" s="1"/>
  <c r="D2346" i="6" a="1"/>
  <c r="D2346" i="6" s="1"/>
  <c r="E2346" i="6" s="1" a="1"/>
  <c r="E2346" i="6" s="1"/>
  <c r="C2346" i="6" a="1"/>
  <c r="C2346" i="6" s="1"/>
  <c r="D2345" i="6" a="1"/>
  <c r="D2345" i="6" s="1"/>
  <c r="E2345" i="6" s="1" a="1"/>
  <c r="E2345" i="6" s="1"/>
  <c r="C2345" i="6" a="1"/>
  <c r="C2345" i="6" s="1"/>
  <c r="D2344" i="6" a="1"/>
  <c r="D2344" i="6" s="1"/>
  <c r="E2344" i="6" s="1" a="1"/>
  <c r="E2344" i="6" s="1"/>
  <c r="C2344" i="6" a="1"/>
  <c r="C2344" i="6" s="1"/>
  <c r="D2343" i="6" a="1"/>
  <c r="D2343" i="6" s="1"/>
  <c r="E2343" i="6" s="1" a="1"/>
  <c r="E2343" i="6" s="1"/>
  <c r="C2343" i="6" a="1"/>
  <c r="C2343" i="6" s="1"/>
  <c r="D2342" i="6" a="1"/>
  <c r="D2342" i="6" s="1"/>
  <c r="E2342" i="6" s="1" a="1"/>
  <c r="E2342" i="6" s="1"/>
  <c r="C2342" i="6" a="1"/>
  <c r="C2342" i="6" s="1"/>
  <c r="D2341" i="6" a="1"/>
  <c r="D2341" i="6" s="1"/>
  <c r="E2341" i="6" s="1" a="1"/>
  <c r="E2341" i="6" s="1"/>
  <c r="C2341" i="6" a="1"/>
  <c r="C2341" i="6" s="1"/>
  <c r="D2340" i="6" a="1"/>
  <c r="D2340" i="6" s="1"/>
  <c r="E2340" i="6" s="1" a="1"/>
  <c r="E2340" i="6" s="1"/>
  <c r="C2340" i="6" a="1"/>
  <c r="C2340" i="6" s="1"/>
  <c r="D2339" i="6" a="1"/>
  <c r="D2339" i="6" s="1"/>
  <c r="E2339" i="6" s="1" a="1"/>
  <c r="E2339" i="6" s="1"/>
  <c r="C2339" i="6" a="1"/>
  <c r="C2339" i="6" s="1"/>
  <c r="D2338" i="6" a="1"/>
  <c r="D2338" i="6" s="1"/>
  <c r="E2338" i="6" s="1" a="1"/>
  <c r="E2338" i="6" s="1"/>
  <c r="C2338" i="6" a="1"/>
  <c r="C2338" i="6" s="1"/>
  <c r="D2337" i="6" a="1"/>
  <c r="D2337" i="6" s="1"/>
  <c r="E2337" i="6" s="1" a="1"/>
  <c r="E2337" i="6" s="1"/>
  <c r="C2337" i="6" a="1"/>
  <c r="C2337" i="6" s="1"/>
  <c r="D2336" i="6" a="1"/>
  <c r="D2336" i="6" s="1"/>
  <c r="E2336" i="6" s="1" a="1"/>
  <c r="E2336" i="6" s="1"/>
  <c r="C2336" i="6" a="1"/>
  <c r="C2336" i="6" s="1"/>
  <c r="D2335" i="6" a="1"/>
  <c r="D2335" i="6" s="1"/>
  <c r="E2335" i="6" s="1" a="1"/>
  <c r="E2335" i="6" s="1"/>
  <c r="C2335" i="6" a="1"/>
  <c r="C2335" i="6" s="1"/>
  <c r="D2334" i="6" a="1"/>
  <c r="D2334" i="6" s="1"/>
  <c r="E2334" i="6" s="1" a="1"/>
  <c r="E2334" i="6" s="1"/>
  <c r="C2334" i="6" a="1"/>
  <c r="C2334" i="6" s="1"/>
  <c r="D2333" i="6" a="1"/>
  <c r="D2333" i="6" s="1"/>
  <c r="E2333" i="6" s="1" a="1"/>
  <c r="E2333" i="6" s="1"/>
  <c r="C2333" i="6" a="1"/>
  <c r="C2333" i="6" s="1"/>
  <c r="D2332" i="6" a="1"/>
  <c r="D2332" i="6" s="1"/>
  <c r="E2332" i="6" s="1" a="1"/>
  <c r="E2332" i="6" s="1"/>
  <c r="C2332" i="6" a="1"/>
  <c r="C2332" i="6" s="1"/>
  <c r="D2331" i="6" a="1"/>
  <c r="D2331" i="6" s="1"/>
  <c r="E2331" i="6" s="1" a="1"/>
  <c r="E2331" i="6" s="1"/>
  <c r="C2331" i="6" a="1"/>
  <c r="C2331" i="6" s="1"/>
  <c r="D2330" i="6" a="1"/>
  <c r="D2330" i="6" s="1"/>
  <c r="E2330" i="6" s="1" a="1"/>
  <c r="E2330" i="6" s="1"/>
  <c r="C2330" i="6" a="1"/>
  <c r="C2330" i="6" s="1"/>
  <c r="D2329" i="6" a="1"/>
  <c r="D2329" i="6" s="1"/>
  <c r="E2329" i="6" s="1" a="1"/>
  <c r="E2329" i="6" s="1"/>
  <c r="C2329" i="6" a="1"/>
  <c r="C2329" i="6" s="1"/>
  <c r="D2328" i="6" a="1"/>
  <c r="D2328" i="6" s="1"/>
  <c r="E2328" i="6" s="1" a="1"/>
  <c r="E2328" i="6" s="1"/>
  <c r="C2328" i="6" a="1"/>
  <c r="C2328" i="6" s="1"/>
  <c r="D2327" i="6" a="1"/>
  <c r="D2327" i="6" s="1"/>
  <c r="E2327" i="6" s="1" a="1"/>
  <c r="E2327" i="6" s="1"/>
  <c r="C2327" i="6" a="1"/>
  <c r="C2327" i="6" s="1"/>
  <c r="D2326" i="6" a="1"/>
  <c r="D2326" i="6" s="1"/>
  <c r="E2326" i="6" s="1" a="1"/>
  <c r="E2326" i="6" s="1"/>
  <c r="C2326" i="6" a="1"/>
  <c r="C2326" i="6" s="1"/>
  <c r="D2325" i="6" a="1"/>
  <c r="D2325" i="6" s="1"/>
  <c r="E2325" i="6" s="1" a="1"/>
  <c r="E2325" i="6" s="1"/>
  <c r="C2325" i="6" a="1"/>
  <c r="C2325" i="6" s="1"/>
  <c r="D2324" i="6" a="1"/>
  <c r="D2324" i="6" s="1"/>
  <c r="E2324" i="6" s="1" a="1"/>
  <c r="E2324" i="6" s="1"/>
  <c r="C2324" i="6" a="1"/>
  <c r="C2324" i="6" s="1"/>
  <c r="D2323" i="6" a="1"/>
  <c r="D2323" i="6" s="1"/>
  <c r="E2323" i="6" s="1" a="1"/>
  <c r="E2323" i="6" s="1"/>
  <c r="C2323" i="6" a="1"/>
  <c r="C2323" i="6" s="1"/>
  <c r="D2322" i="6" a="1"/>
  <c r="D2322" i="6" s="1"/>
  <c r="E2322" i="6" s="1" a="1"/>
  <c r="E2322" i="6" s="1"/>
  <c r="C2322" i="6" a="1"/>
  <c r="C2322" i="6" s="1"/>
  <c r="D2321" i="6" a="1"/>
  <c r="D2321" i="6" s="1"/>
  <c r="E2321" i="6" s="1" a="1"/>
  <c r="E2321" i="6" s="1"/>
  <c r="C2321" i="6" a="1"/>
  <c r="C2321" i="6" s="1"/>
  <c r="D2320" i="6" a="1"/>
  <c r="D2320" i="6" s="1"/>
  <c r="E2320" i="6" s="1" a="1"/>
  <c r="E2320" i="6" s="1"/>
  <c r="C2320" i="6" a="1"/>
  <c r="C2320" i="6" s="1"/>
  <c r="D2319" i="6" a="1"/>
  <c r="D2319" i="6" s="1"/>
  <c r="E2319" i="6" s="1" a="1"/>
  <c r="E2319" i="6" s="1"/>
  <c r="C2319" i="6" a="1"/>
  <c r="C2319" i="6" s="1"/>
  <c r="D2318" i="6" a="1"/>
  <c r="D2318" i="6" s="1"/>
  <c r="E2318" i="6" s="1" a="1"/>
  <c r="E2318" i="6" s="1"/>
  <c r="C2318" i="6" a="1"/>
  <c r="C2318" i="6" s="1"/>
  <c r="D2317" i="6" a="1"/>
  <c r="D2317" i="6" s="1"/>
  <c r="E2317" i="6" s="1" a="1"/>
  <c r="E2317" i="6" s="1"/>
  <c r="C2317" i="6" a="1"/>
  <c r="C2317" i="6" s="1"/>
  <c r="D2316" i="6" a="1"/>
  <c r="D2316" i="6" s="1"/>
  <c r="E2316" i="6" s="1" a="1"/>
  <c r="E2316" i="6" s="1"/>
  <c r="C2316" i="6" a="1"/>
  <c r="C2316" i="6" s="1"/>
  <c r="D2315" i="6" a="1"/>
  <c r="D2315" i="6" s="1"/>
  <c r="E2315" i="6" s="1" a="1"/>
  <c r="E2315" i="6" s="1"/>
  <c r="C2315" i="6" a="1"/>
  <c r="C2315" i="6" s="1"/>
  <c r="D2314" i="6" a="1"/>
  <c r="D2314" i="6" s="1"/>
  <c r="E2314" i="6" s="1" a="1"/>
  <c r="E2314" i="6" s="1"/>
  <c r="C2314" i="6" a="1"/>
  <c r="C2314" i="6" s="1"/>
  <c r="D2313" i="6" a="1"/>
  <c r="D2313" i="6" s="1"/>
  <c r="E2313" i="6" s="1" a="1"/>
  <c r="E2313" i="6" s="1"/>
  <c r="C2313" i="6" a="1"/>
  <c r="C2313" i="6" s="1"/>
  <c r="D2312" i="6" a="1"/>
  <c r="D2312" i="6" s="1"/>
  <c r="E2312" i="6" s="1" a="1"/>
  <c r="E2312" i="6" s="1"/>
  <c r="C2312" i="6" a="1"/>
  <c r="C2312" i="6" s="1"/>
  <c r="D2311" i="6" a="1"/>
  <c r="D2311" i="6" s="1"/>
  <c r="E2311" i="6" s="1" a="1"/>
  <c r="E2311" i="6" s="1"/>
  <c r="C2311" i="6" a="1"/>
  <c r="C2311" i="6" s="1"/>
  <c r="D2310" i="6" a="1"/>
  <c r="D2310" i="6" s="1"/>
  <c r="E2310" i="6" s="1" a="1"/>
  <c r="E2310" i="6" s="1"/>
  <c r="C2310" i="6" a="1"/>
  <c r="C2310" i="6" s="1"/>
  <c r="D2309" i="6" a="1"/>
  <c r="D2309" i="6" s="1"/>
  <c r="E2309" i="6" s="1" a="1"/>
  <c r="E2309" i="6" s="1"/>
  <c r="C2309" i="6" a="1"/>
  <c r="C2309" i="6" s="1"/>
  <c r="D2308" i="6" a="1"/>
  <c r="D2308" i="6" s="1"/>
  <c r="E2308" i="6" s="1" a="1"/>
  <c r="E2308" i="6" s="1"/>
  <c r="C2308" i="6" a="1"/>
  <c r="C2308" i="6" s="1"/>
  <c r="D2307" i="6" a="1"/>
  <c r="D2307" i="6" s="1"/>
  <c r="E2307" i="6" s="1" a="1"/>
  <c r="E2307" i="6" s="1"/>
  <c r="C2307" i="6" a="1"/>
  <c r="C2307" i="6" s="1"/>
  <c r="D2306" i="6" a="1"/>
  <c r="D2306" i="6" s="1"/>
  <c r="E2306" i="6" s="1" a="1"/>
  <c r="E2306" i="6" s="1"/>
  <c r="C2306" i="6" a="1"/>
  <c r="C2306" i="6" s="1"/>
  <c r="D2305" i="6" a="1"/>
  <c r="D2305" i="6" s="1"/>
  <c r="E2305" i="6" s="1" a="1"/>
  <c r="E2305" i="6" s="1"/>
  <c r="C2305" i="6" a="1"/>
  <c r="C2305" i="6" s="1"/>
  <c r="D2304" i="6" a="1"/>
  <c r="D2304" i="6" s="1"/>
  <c r="E2304" i="6" s="1" a="1"/>
  <c r="E2304" i="6" s="1"/>
  <c r="C2304" i="6" a="1"/>
  <c r="C2304" i="6" s="1"/>
  <c r="D2303" i="6" a="1"/>
  <c r="D2303" i="6" s="1"/>
  <c r="E2303" i="6" s="1" a="1"/>
  <c r="E2303" i="6" s="1"/>
  <c r="C2303" i="6" a="1"/>
  <c r="C2303" i="6" s="1"/>
  <c r="D2302" i="6" a="1"/>
  <c r="D2302" i="6" s="1"/>
  <c r="E2302" i="6" s="1" a="1"/>
  <c r="E2302" i="6" s="1"/>
  <c r="C2302" i="6" a="1"/>
  <c r="C2302" i="6" s="1"/>
  <c r="D2301" i="6" a="1"/>
  <c r="D2301" i="6" s="1"/>
  <c r="E2301" i="6" s="1" a="1"/>
  <c r="E2301" i="6" s="1"/>
  <c r="C2301" i="6" a="1"/>
  <c r="C2301" i="6" s="1"/>
  <c r="D2300" i="6" a="1"/>
  <c r="D2300" i="6" s="1"/>
  <c r="E2300" i="6" s="1" a="1"/>
  <c r="E2300" i="6" s="1"/>
  <c r="C2300" i="6" a="1"/>
  <c r="C2300" i="6" s="1"/>
  <c r="D2299" i="6" a="1"/>
  <c r="D2299" i="6" s="1"/>
  <c r="E2299" i="6" s="1" a="1"/>
  <c r="E2299" i="6" s="1"/>
  <c r="C2299" i="6" a="1"/>
  <c r="C2299" i="6" s="1"/>
  <c r="D2298" i="6" a="1"/>
  <c r="D2298" i="6" s="1"/>
  <c r="E2298" i="6" s="1" a="1"/>
  <c r="E2298" i="6" s="1"/>
  <c r="C2298" i="6" a="1"/>
  <c r="C2298" i="6" s="1"/>
  <c r="D2297" i="6" a="1"/>
  <c r="D2297" i="6" s="1"/>
  <c r="E2297" i="6" s="1" a="1"/>
  <c r="E2297" i="6" s="1"/>
  <c r="C2297" i="6" a="1"/>
  <c r="C2297" i="6" s="1"/>
  <c r="D2296" i="6" a="1"/>
  <c r="D2296" i="6" s="1"/>
  <c r="E2296" i="6" s="1" a="1"/>
  <c r="E2296" i="6" s="1"/>
  <c r="C2296" i="6" a="1"/>
  <c r="C2296" i="6" s="1"/>
  <c r="D2295" i="6" a="1"/>
  <c r="D2295" i="6" s="1"/>
  <c r="E2295" i="6" s="1" a="1"/>
  <c r="E2295" i="6" s="1"/>
  <c r="C2295" i="6" a="1"/>
  <c r="C2295" i="6" s="1"/>
  <c r="D2294" i="6" a="1"/>
  <c r="D2294" i="6" s="1"/>
  <c r="E2294" i="6" s="1" a="1"/>
  <c r="E2294" i="6" s="1"/>
  <c r="C2294" i="6" a="1"/>
  <c r="C2294" i="6" s="1"/>
  <c r="D2293" i="6" a="1"/>
  <c r="D2293" i="6" s="1"/>
  <c r="E2293" i="6" s="1" a="1"/>
  <c r="E2293" i="6" s="1"/>
  <c r="C2293" i="6" a="1"/>
  <c r="C2293" i="6" s="1"/>
  <c r="D2292" i="6" a="1"/>
  <c r="D2292" i="6" s="1"/>
  <c r="E2292" i="6" s="1" a="1"/>
  <c r="E2292" i="6" s="1"/>
  <c r="C2292" i="6" a="1"/>
  <c r="C2292" i="6" s="1"/>
  <c r="D2291" i="6" a="1"/>
  <c r="D2291" i="6" s="1"/>
  <c r="E2291" i="6" s="1" a="1"/>
  <c r="E2291" i="6" s="1"/>
  <c r="C2291" i="6" a="1"/>
  <c r="C2291" i="6" s="1"/>
  <c r="D2290" i="6" a="1"/>
  <c r="D2290" i="6" s="1"/>
  <c r="E2290" i="6" s="1" a="1"/>
  <c r="E2290" i="6" s="1"/>
  <c r="C2290" i="6" a="1"/>
  <c r="C2290" i="6" s="1"/>
  <c r="D2289" i="6" a="1"/>
  <c r="D2289" i="6" s="1"/>
  <c r="E2289" i="6" s="1" a="1"/>
  <c r="E2289" i="6" s="1"/>
  <c r="C2289" i="6" a="1"/>
  <c r="C2289" i="6" s="1"/>
  <c r="D2288" i="6" a="1"/>
  <c r="D2288" i="6" s="1"/>
  <c r="E2288" i="6" s="1" a="1"/>
  <c r="E2288" i="6" s="1"/>
  <c r="C2288" i="6" a="1"/>
  <c r="C2288" i="6" s="1"/>
  <c r="D2287" i="6" a="1"/>
  <c r="D2287" i="6" s="1"/>
  <c r="E2287" i="6" s="1" a="1"/>
  <c r="E2287" i="6" s="1"/>
  <c r="C2287" i="6" a="1"/>
  <c r="C2287" i="6" s="1"/>
  <c r="D2286" i="6" a="1"/>
  <c r="D2286" i="6" s="1"/>
  <c r="E2286" i="6" s="1" a="1"/>
  <c r="E2286" i="6" s="1"/>
  <c r="C2286" i="6" a="1"/>
  <c r="C2286" i="6" s="1"/>
  <c r="D2285" i="6" a="1"/>
  <c r="D2285" i="6" s="1"/>
  <c r="E2285" i="6" s="1" a="1"/>
  <c r="E2285" i="6" s="1"/>
  <c r="C2285" i="6" a="1"/>
  <c r="C2285" i="6" s="1"/>
  <c r="D2284" i="6" a="1"/>
  <c r="D2284" i="6" s="1"/>
  <c r="E2284" i="6" s="1" a="1"/>
  <c r="E2284" i="6" s="1"/>
  <c r="C2284" i="6" a="1"/>
  <c r="C2284" i="6" s="1"/>
  <c r="D2283" i="6" a="1"/>
  <c r="D2283" i="6" s="1"/>
  <c r="E2283" i="6" s="1" a="1"/>
  <c r="E2283" i="6" s="1"/>
  <c r="C2283" i="6" a="1"/>
  <c r="C2283" i="6" s="1"/>
  <c r="D2282" i="6" a="1"/>
  <c r="D2282" i="6" s="1"/>
  <c r="E2282" i="6" s="1" a="1"/>
  <c r="E2282" i="6" s="1"/>
  <c r="C2282" i="6" a="1"/>
  <c r="C2282" i="6" s="1"/>
  <c r="D2281" i="6" a="1"/>
  <c r="D2281" i="6" s="1"/>
  <c r="E2281" i="6" s="1" a="1"/>
  <c r="E2281" i="6" s="1"/>
  <c r="C2281" i="6" a="1"/>
  <c r="C2281" i="6" s="1"/>
  <c r="D2280" i="6" a="1"/>
  <c r="D2280" i="6" s="1"/>
  <c r="E2280" i="6" s="1" a="1"/>
  <c r="E2280" i="6" s="1"/>
  <c r="C2280" i="6" a="1"/>
  <c r="C2280" i="6" s="1"/>
  <c r="D2279" i="6" a="1"/>
  <c r="D2279" i="6" s="1"/>
  <c r="E2279" i="6" s="1" a="1"/>
  <c r="E2279" i="6" s="1"/>
  <c r="C2279" i="6" a="1"/>
  <c r="C2279" i="6" s="1"/>
  <c r="D2278" i="6" a="1"/>
  <c r="D2278" i="6" s="1"/>
  <c r="E2278" i="6" s="1" a="1"/>
  <c r="E2278" i="6" s="1"/>
  <c r="C2278" i="6" a="1"/>
  <c r="C2278" i="6" s="1"/>
  <c r="D2277" i="6" a="1"/>
  <c r="D2277" i="6" s="1"/>
  <c r="E2277" i="6" s="1" a="1"/>
  <c r="E2277" i="6" s="1"/>
  <c r="C2277" i="6" a="1"/>
  <c r="C2277" i="6" s="1"/>
  <c r="D2276" i="6" a="1"/>
  <c r="D2276" i="6" s="1"/>
  <c r="E2276" i="6" s="1" a="1"/>
  <c r="E2276" i="6" s="1"/>
  <c r="C2276" i="6" a="1"/>
  <c r="C2276" i="6" s="1"/>
  <c r="D2275" i="6" a="1"/>
  <c r="D2275" i="6" s="1"/>
  <c r="E2275" i="6" s="1" a="1"/>
  <c r="E2275" i="6" s="1"/>
  <c r="C2275" i="6" a="1"/>
  <c r="C2275" i="6" s="1"/>
  <c r="D2274" i="6" a="1"/>
  <c r="D2274" i="6" s="1"/>
  <c r="E2274" i="6" s="1" a="1"/>
  <c r="E2274" i="6" s="1"/>
  <c r="C2274" i="6" a="1"/>
  <c r="C2274" i="6" s="1"/>
  <c r="D2273" i="6" a="1"/>
  <c r="D2273" i="6" s="1"/>
  <c r="E2273" i="6" s="1" a="1"/>
  <c r="E2273" i="6" s="1"/>
  <c r="C2273" i="6" a="1"/>
  <c r="C2273" i="6" s="1"/>
  <c r="D2272" i="6" a="1"/>
  <c r="D2272" i="6" s="1"/>
  <c r="E2272" i="6" s="1" a="1"/>
  <c r="E2272" i="6" s="1"/>
  <c r="C2272" i="6" a="1"/>
  <c r="C2272" i="6" s="1"/>
  <c r="D2271" i="6" a="1"/>
  <c r="D2271" i="6" s="1"/>
  <c r="E2271" i="6" s="1" a="1"/>
  <c r="E2271" i="6" s="1"/>
  <c r="C2271" i="6" a="1"/>
  <c r="C2271" i="6" s="1"/>
  <c r="D2270" i="6" a="1"/>
  <c r="D2270" i="6" s="1"/>
  <c r="E2270" i="6" s="1" a="1"/>
  <c r="E2270" i="6" s="1"/>
  <c r="C2270" i="6" a="1"/>
  <c r="C2270" i="6" s="1"/>
  <c r="D2269" i="6" a="1"/>
  <c r="D2269" i="6" s="1"/>
  <c r="E2269" i="6" s="1" a="1"/>
  <c r="E2269" i="6" s="1"/>
  <c r="C2269" i="6" a="1"/>
  <c r="C2269" i="6" s="1"/>
  <c r="D2268" i="6" a="1"/>
  <c r="D2268" i="6" s="1"/>
  <c r="E2268" i="6" s="1" a="1"/>
  <c r="E2268" i="6" s="1"/>
  <c r="C2268" i="6" a="1"/>
  <c r="C2268" i="6" s="1"/>
  <c r="D2267" i="6" a="1"/>
  <c r="D2267" i="6" s="1"/>
  <c r="E2267" i="6" s="1" a="1"/>
  <c r="E2267" i="6" s="1"/>
  <c r="C2267" i="6" a="1"/>
  <c r="C2267" i="6" s="1"/>
  <c r="D2266" i="6" a="1"/>
  <c r="D2266" i="6" s="1"/>
  <c r="E2266" i="6" s="1" a="1"/>
  <c r="E2266" i="6" s="1"/>
  <c r="C2266" i="6" a="1"/>
  <c r="C2266" i="6" s="1"/>
  <c r="D2265" i="6" a="1"/>
  <c r="D2265" i="6" s="1"/>
  <c r="E2265" i="6" s="1" a="1"/>
  <c r="E2265" i="6" s="1"/>
  <c r="C2265" i="6" a="1"/>
  <c r="C2265" i="6" s="1"/>
  <c r="D2264" i="6" a="1"/>
  <c r="D2264" i="6" s="1"/>
  <c r="E2264" i="6" s="1" a="1"/>
  <c r="E2264" i="6" s="1"/>
  <c r="C2264" i="6" a="1"/>
  <c r="C2264" i="6" s="1"/>
  <c r="D2263" i="6" a="1"/>
  <c r="D2263" i="6" s="1"/>
  <c r="E2263" i="6" s="1" a="1"/>
  <c r="E2263" i="6" s="1"/>
  <c r="C2263" i="6" a="1"/>
  <c r="C2263" i="6" s="1"/>
  <c r="D2262" i="6" a="1"/>
  <c r="D2262" i="6" s="1"/>
  <c r="E2262" i="6" s="1" a="1"/>
  <c r="E2262" i="6" s="1"/>
  <c r="C2262" i="6" a="1"/>
  <c r="C2262" i="6" s="1"/>
  <c r="D2261" i="6" a="1"/>
  <c r="D2261" i="6" s="1"/>
  <c r="E2261" i="6" s="1" a="1"/>
  <c r="E2261" i="6" s="1"/>
  <c r="C2261" i="6" a="1"/>
  <c r="C2261" i="6" s="1"/>
  <c r="D2260" i="6" a="1"/>
  <c r="D2260" i="6" s="1"/>
  <c r="E2260" i="6" s="1" a="1"/>
  <c r="E2260" i="6" s="1"/>
  <c r="C2260" i="6" a="1"/>
  <c r="C2260" i="6" s="1"/>
  <c r="D2259" i="6" a="1"/>
  <c r="D2259" i="6" s="1"/>
  <c r="E2259" i="6" s="1" a="1"/>
  <c r="E2259" i="6" s="1"/>
  <c r="C2259" i="6" a="1"/>
  <c r="C2259" i="6" s="1"/>
  <c r="D2258" i="6" a="1"/>
  <c r="D2258" i="6" s="1"/>
  <c r="E2258" i="6" s="1" a="1"/>
  <c r="E2258" i="6" s="1"/>
  <c r="C2258" i="6" a="1"/>
  <c r="C2258" i="6" s="1"/>
  <c r="D2257" i="6" a="1"/>
  <c r="D2257" i="6" s="1"/>
  <c r="E2257" i="6" s="1" a="1"/>
  <c r="E2257" i="6" s="1"/>
  <c r="C2257" i="6" a="1"/>
  <c r="C2257" i="6" s="1"/>
  <c r="D2256" i="6" a="1"/>
  <c r="D2256" i="6" s="1"/>
  <c r="E2256" i="6" s="1" a="1"/>
  <c r="E2256" i="6" s="1"/>
  <c r="C2256" i="6" a="1"/>
  <c r="C2256" i="6" s="1"/>
  <c r="D2255" i="6" a="1"/>
  <c r="D2255" i="6" s="1"/>
  <c r="E2255" i="6" s="1" a="1"/>
  <c r="E2255" i="6" s="1"/>
  <c r="C2255" i="6" a="1"/>
  <c r="C2255" i="6" s="1"/>
  <c r="D2254" i="6" a="1"/>
  <c r="D2254" i="6" s="1"/>
  <c r="E2254" i="6" s="1" a="1"/>
  <c r="E2254" i="6" s="1"/>
  <c r="C2254" i="6" a="1"/>
  <c r="C2254" i="6" s="1"/>
  <c r="D2253" i="6" a="1"/>
  <c r="D2253" i="6" s="1"/>
  <c r="E2253" i="6" s="1" a="1"/>
  <c r="E2253" i="6" s="1"/>
  <c r="C2253" i="6" a="1"/>
  <c r="C2253" i="6" s="1"/>
  <c r="D2252" i="6" a="1"/>
  <c r="D2252" i="6" s="1"/>
  <c r="E2252" i="6" s="1" a="1"/>
  <c r="E2252" i="6" s="1"/>
  <c r="C2252" i="6" a="1"/>
  <c r="C2252" i="6" s="1"/>
  <c r="D2251" i="6" a="1"/>
  <c r="D2251" i="6" s="1"/>
  <c r="E2251" i="6" s="1" a="1"/>
  <c r="E2251" i="6" s="1"/>
  <c r="C2251" i="6" a="1"/>
  <c r="C2251" i="6" s="1"/>
  <c r="D2250" i="6" a="1"/>
  <c r="D2250" i="6" s="1"/>
  <c r="E2250" i="6" s="1" a="1"/>
  <c r="E2250" i="6" s="1"/>
  <c r="C2250" i="6" a="1"/>
  <c r="C2250" i="6" s="1"/>
  <c r="D2249" i="6" a="1"/>
  <c r="D2249" i="6" s="1"/>
  <c r="E2249" i="6" s="1" a="1"/>
  <c r="E2249" i="6" s="1"/>
  <c r="C2249" i="6" a="1"/>
  <c r="C2249" i="6" s="1"/>
  <c r="D2248" i="6" a="1"/>
  <c r="D2248" i="6" s="1"/>
  <c r="E2248" i="6" s="1" a="1"/>
  <c r="E2248" i="6" s="1"/>
  <c r="C2248" i="6" a="1"/>
  <c r="C2248" i="6" s="1"/>
  <c r="D2247" i="6" a="1"/>
  <c r="D2247" i="6" s="1"/>
  <c r="E2247" i="6" s="1" a="1"/>
  <c r="E2247" i="6" s="1"/>
  <c r="C2247" i="6" a="1"/>
  <c r="C2247" i="6" s="1"/>
  <c r="D2246" i="6" a="1"/>
  <c r="D2246" i="6" s="1"/>
  <c r="E2246" i="6" s="1" a="1"/>
  <c r="E2246" i="6" s="1"/>
  <c r="C2246" i="6" a="1"/>
  <c r="C2246" i="6" s="1"/>
  <c r="D2245" i="6" a="1"/>
  <c r="D2245" i="6" s="1"/>
  <c r="E2245" i="6" s="1" a="1"/>
  <c r="E2245" i="6" s="1"/>
  <c r="C2245" i="6" a="1"/>
  <c r="C2245" i="6" s="1"/>
  <c r="D2244" i="6" a="1"/>
  <c r="D2244" i="6" s="1"/>
  <c r="E2244" i="6" s="1" a="1"/>
  <c r="E2244" i="6" s="1"/>
  <c r="C2244" i="6" a="1"/>
  <c r="C2244" i="6" s="1"/>
  <c r="D2243" i="6" a="1"/>
  <c r="D2243" i="6" s="1"/>
  <c r="E2243" i="6" s="1" a="1"/>
  <c r="E2243" i="6" s="1"/>
  <c r="C2243" i="6" a="1"/>
  <c r="C2243" i="6" s="1"/>
  <c r="D2242" i="6" a="1"/>
  <c r="D2242" i="6" s="1"/>
  <c r="E2242" i="6" s="1" a="1"/>
  <c r="E2242" i="6" s="1"/>
  <c r="C2242" i="6" a="1"/>
  <c r="C2242" i="6" s="1"/>
  <c r="D2241" i="6" a="1"/>
  <c r="D2241" i="6" s="1"/>
  <c r="E2241" i="6" s="1" a="1"/>
  <c r="E2241" i="6" s="1"/>
  <c r="C2241" i="6" a="1"/>
  <c r="C2241" i="6" s="1"/>
  <c r="D2240" i="6" a="1"/>
  <c r="D2240" i="6" s="1"/>
  <c r="E2240" i="6" s="1" a="1"/>
  <c r="E2240" i="6" s="1"/>
  <c r="C2240" i="6" a="1"/>
  <c r="C2240" i="6" s="1"/>
  <c r="D2239" i="6" a="1"/>
  <c r="D2239" i="6" s="1"/>
  <c r="E2239" i="6" s="1" a="1"/>
  <c r="E2239" i="6" s="1"/>
  <c r="C2239" i="6" a="1"/>
  <c r="C2239" i="6" s="1"/>
  <c r="D2238" i="6" a="1"/>
  <c r="D2238" i="6" s="1"/>
  <c r="E2238" i="6" s="1" a="1"/>
  <c r="E2238" i="6" s="1"/>
  <c r="C2238" i="6" a="1"/>
  <c r="C2238" i="6" s="1"/>
  <c r="D2237" i="6" a="1"/>
  <c r="D2237" i="6" s="1"/>
  <c r="E2237" i="6" s="1" a="1"/>
  <c r="E2237" i="6" s="1"/>
  <c r="C2237" i="6" a="1"/>
  <c r="C2237" i="6" s="1"/>
  <c r="D2236" i="6" a="1"/>
  <c r="D2236" i="6" s="1"/>
  <c r="E2236" i="6" s="1" a="1"/>
  <c r="E2236" i="6" s="1"/>
  <c r="C2236" i="6" a="1"/>
  <c r="C2236" i="6" s="1"/>
  <c r="D2235" i="6" a="1"/>
  <c r="D2235" i="6" s="1"/>
  <c r="E2235" i="6" s="1" a="1"/>
  <c r="E2235" i="6" s="1"/>
  <c r="C2235" i="6" a="1"/>
  <c r="C2235" i="6" s="1"/>
  <c r="D2234" i="6" a="1"/>
  <c r="D2234" i="6" s="1"/>
  <c r="E2234" i="6" s="1" a="1"/>
  <c r="E2234" i="6" s="1"/>
  <c r="C2234" i="6" a="1"/>
  <c r="C2234" i="6" s="1"/>
  <c r="D2233" i="6" a="1"/>
  <c r="D2233" i="6" s="1"/>
  <c r="E2233" i="6" s="1" a="1"/>
  <c r="E2233" i="6" s="1"/>
  <c r="C2233" i="6" a="1"/>
  <c r="C2233" i="6" s="1"/>
  <c r="D2232" i="6" a="1"/>
  <c r="D2232" i="6" s="1"/>
  <c r="E2232" i="6" s="1" a="1"/>
  <c r="E2232" i="6" s="1"/>
  <c r="C2232" i="6" a="1"/>
  <c r="C2232" i="6" s="1"/>
  <c r="D2231" i="6" a="1"/>
  <c r="D2231" i="6" s="1"/>
  <c r="E2231" i="6" s="1" a="1"/>
  <c r="E2231" i="6" s="1"/>
  <c r="C2231" i="6" a="1"/>
  <c r="C2231" i="6" s="1"/>
  <c r="D2230" i="6" a="1"/>
  <c r="D2230" i="6" s="1"/>
  <c r="E2230" i="6" s="1" a="1"/>
  <c r="E2230" i="6" s="1"/>
  <c r="C2230" i="6" a="1"/>
  <c r="C2230" i="6" s="1"/>
  <c r="D2229" i="6" a="1"/>
  <c r="D2229" i="6" s="1"/>
  <c r="E2229" i="6" s="1" a="1"/>
  <c r="E2229" i="6" s="1"/>
  <c r="C2229" i="6" a="1"/>
  <c r="C2229" i="6" s="1"/>
  <c r="D2228" i="6" a="1"/>
  <c r="D2228" i="6" s="1"/>
  <c r="E2228" i="6" s="1" a="1"/>
  <c r="E2228" i="6" s="1"/>
  <c r="C2228" i="6" a="1"/>
  <c r="C2228" i="6" s="1"/>
  <c r="D2227" i="6" a="1"/>
  <c r="D2227" i="6" s="1"/>
  <c r="E2227" i="6" s="1" a="1"/>
  <c r="E2227" i="6" s="1"/>
  <c r="C2227" i="6" a="1"/>
  <c r="C2227" i="6" s="1"/>
  <c r="D2226" i="6" a="1"/>
  <c r="D2226" i="6" s="1"/>
  <c r="E2226" i="6" s="1" a="1"/>
  <c r="E2226" i="6" s="1"/>
  <c r="C2226" i="6" a="1"/>
  <c r="C2226" i="6" s="1"/>
  <c r="D2225" i="6" a="1"/>
  <c r="D2225" i="6" s="1"/>
  <c r="E2225" i="6" s="1" a="1"/>
  <c r="E2225" i="6" s="1"/>
  <c r="C2225" i="6" a="1"/>
  <c r="C2225" i="6" s="1"/>
  <c r="D2224" i="6" a="1"/>
  <c r="D2224" i="6" s="1"/>
  <c r="E2224" i="6" s="1" a="1"/>
  <c r="E2224" i="6" s="1"/>
  <c r="C2224" i="6" a="1"/>
  <c r="C2224" i="6" s="1"/>
  <c r="D2223" i="6" a="1"/>
  <c r="D2223" i="6" s="1"/>
  <c r="E2223" i="6" s="1" a="1"/>
  <c r="E2223" i="6" s="1"/>
  <c r="C2223" i="6" a="1"/>
  <c r="C2223" i="6" s="1"/>
  <c r="D2222" i="6" a="1"/>
  <c r="D2222" i="6" s="1"/>
  <c r="E2222" i="6" s="1" a="1"/>
  <c r="E2222" i="6" s="1"/>
  <c r="C2222" i="6" a="1"/>
  <c r="C2222" i="6" s="1"/>
  <c r="D2221" i="6" a="1"/>
  <c r="D2221" i="6" s="1"/>
  <c r="E2221" i="6" s="1" a="1"/>
  <c r="E2221" i="6" s="1"/>
  <c r="C2221" i="6" a="1"/>
  <c r="C2221" i="6" s="1"/>
  <c r="D2220" i="6" a="1"/>
  <c r="D2220" i="6" s="1"/>
  <c r="E2220" i="6" s="1" a="1"/>
  <c r="E2220" i="6" s="1"/>
  <c r="C2220" i="6" a="1"/>
  <c r="C2220" i="6" s="1"/>
  <c r="D2219" i="6" a="1"/>
  <c r="D2219" i="6" s="1"/>
  <c r="E2219" i="6" s="1" a="1"/>
  <c r="E2219" i="6" s="1"/>
  <c r="C2219" i="6" a="1"/>
  <c r="C2219" i="6" s="1"/>
  <c r="D2218" i="6" a="1"/>
  <c r="D2218" i="6" s="1"/>
  <c r="E2218" i="6" s="1" a="1"/>
  <c r="E2218" i="6" s="1"/>
  <c r="C2218" i="6" a="1"/>
  <c r="C2218" i="6" s="1"/>
  <c r="D2217" i="6" a="1"/>
  <c r="D2217" i="6" s="1"/>
  <c r="E2217" i="6" s="1" a="1"/>
  <c r="E2217" i="6" s="1"/>
  <c r="C2217" i="6" a="1"/>
  <c r="C2217" i="6" s="1"/>
  <c r="D2216" i="6" a="1"/>
  <c r="D2216" i="6" s="1"/>
  <c r="E2216" i="6" s="1" a="1"/>
  <c r="E2216" i="6" s="1"/>
  <c r="C2216" i="6" a="1"/>
  <c r="C2216" i="6" s="1"/>
  <c r="D2215" i="6" a="1"/>
  <c r="D2215" i="6" s="1"/>
  <c r="E2215" i="6" s="1" a="1"/>
  <c r="E2215" i="6" s="1"/>
  <c r="C2215" i="6" a="1"/>
  <c r="C2215" i="6" s="1"/>
  <c r="D2214" i="6" a="1"/>
  <c r="D2214" i="6" s="1"/>
  <c r="E2214" i="6" s="1" a="1"/>
  <c r="E2214" i="6" s="1"/>
  <c r="C2214" i="6" a="1"/>
  <c r="C2214" i="6" s="1"/>
  <c r="D2213" i="6" a="1"/>
  <c r="D2213" i="6" s="1"/>
  <c r="E2213" i="6" s="1" a="1"/>
  <c r="E2213" i="6" s="1"/>
  <c r="C2213" i="6" a="1"/>
  <c r="C2213" i="6" s="1"/>
  <c r="D2212" i="6" a="1"/>
  <c r="D2212" i="6" s="1"/>
  <c r="E2212" i="6" s="1" a="1"/>
  <c r="E2212" i="6" s="1"/>
  <c r="C2212" i="6" a="1"/>
  <c r="C2212" i="6" s="1"/>
  <c r="D2211" i="6" a="1"/>
  <c r="D2211" i="6" s="1"/>
  <c r="E2211" i="6" s="1" a="1"/>
  <c r="E2211" i="6" s="1"/>
  <c r="C2211" i="6" a="1"/>
  <c r="C2211" i="6" s="1"/>
  <c r="D2210" i="6" a="1"/>
  <c r="D2210" i="6" s="1"/>
  <c r="E2210" i="6" s="1" a="1"/>
  <c r="E2210" i="6" s="1"/>
  <c r="C2210" i="6" a="1"/>
  <c r="C2210" i="6" s="1"/>
  <c r="D2209" i="6" a="1"/>
  <c r="D2209" i="6" s="1"/>
  <c r="E2209" i="6" s="1" a="1"/>
  <c r="E2209" i="6" s="1"/>
  <c r="C2209" i="6" a="1"/>
  <c r="C2209" i="6" s="1"/>
  <c r="D2208" i="6" a="1"/>
  <c r="D2208" i="6" s="1"/>
  <c r="E2208" i="6" s="1" a="1"/>
  <c r="E2208" i="6" s="1"/>
  <c r="C2208" i="6" a="1"/>
  <c r="C2208" i="6" s="1"/>
  <c r="D2207" i="6" a="1"/>
  <c r="D2207" i="6" s="1"/>
  <c r="E2207" i="6" s="1" a="1"/>
  <c r="E2207" i="6" s="1"/>
  <c r="C2207" i="6" a="1"/>
  <c r="C2207" i="6" s="1"/>
  <c r="D2206" i="6" a="1"/>
  <c r="D2206" i="6" s="1"/>
  <c r="E2206" i="6" s="1" a="1"/>
  <c r="E2206" i="6" s="1"/>
  <c r="C2206" i="6" a="1"/>
  <c r="C2206" i="6" s="1"/>
  <c r="D2205" i="6" a="1"/>
  <c r="D2205" i="6" s="1"/>
  <c r="E2205" i="6" s="1" a="1"/>
  <c r="E2205" i="6" s="1"/>
  <c r="C2205" i="6" a="1"/>
  <c r="C2205" i="6" s="1"/>
  <c r="D2204" i="6" a="1"/>
  <c r="D2204" i="6" s="1"/>
  <c r="E2204" i="6" s="1" a="1"/>
  <c r="E2204" i="6" s="1"/>
  <c r="C2204" i="6" a="1"/>
  <c r="C2204" i="6" s="1"/>
  <c r="D2203" i="6" a="1"/>
  <c r="D2203" i="6" s="1"/>
  <c r="E2203" i="6" s="1" a="1"/>
  <c r="E2203" i="6" s="1"/>
  <c r="C2203" i="6" a="1"/>
  <c r="C2203" i="6" s="1"/>
  <c r="D2202" i="6" a="1"/>
  <c r="D2202" i="6" s="1"/>
  <c r="E2202" i="6" s="1" a="1"/>
  <c r="E2202" i="6" s="1"/>
  <c r="C2202" i="6" a="1"/>
  <c r="C2202" i="6" s="1"/>
  <c r="D2201" i="6" a="1"/>
  <c r="D2201" i="6" s="1"/>
  <c r="E2201" i="6" s="1" a="1"/>
  <c r="E2201" i="6" s="1"/>
  <c r="C2201" i="6" a="1"/>
  <c r="C2201" i="6" s="1"/>
  <c r="D2200" i="6" a="1"/>
  <c r="D2200" i="6" s="1"/>
  <c r="E2200" i="6" s="1" a="1"/>
  <c r="E2200" i="6" s="1"/>
  <c r="C2200" i="6" a="1"/>
  <c r="C2200" i="6" s="1"/>
  <c r="D2199" i="6" a="1"/>
  <c r="D2199" i="6" s="1"/>
  <c r="E2199" i="6" s="1" a="1"/>
  <c r="E2199" i="6" s="1"/>
  <c r="C2199" i="6" a="1"/>
  <c r="C2199" i="6" s="1"/>
  <c r="D2198" i="6" a="1"/>
  <c r="D2198" i="6" s="1"/>
  <c r="E2198" i="6" s="1" a="1"/>
  <c r="E2198" i="6" s="1"/>
  <c r="C2198" i="6" a="1"/>
  <c r="C2198" i="6" s="1"/>
  <c r="D2197" i="6" a="1"/>
  <c r="D2197" i="6" s="1"/>
  <c r="E2197" i="6" s="1" a="1"/>
  <c r="E2197" i="6" s="1"/>
  <c r="C2197" i="6" a="1"/>
  <c r="C2197" i="6" s="1"/>
  <c r="D2196" i="6" a="1"/>
  <c r="D2196" i="6" s="1"/>
  <c r="E2196" i="6" s="1" a="1"/>
  <c r="E2196" i="6" s="1"/>
  <c r="C2196" i="6" a="1"/>
  <c r="C2196" i="6" s="1"/>
  <c r="D2195" i="6" a="1"/>
  <c r="D2195" i="6" s="1"/>
  <c r="E2195" i="6" s="1" a="1"/>
  <c r="E2195" i="6" s="1"/>
  <c r="C2195" i="6" a="1"/>
  <c r="C2195" i="6" s="1"/>
  <c r="D2194" i="6" a="1"/>
  <c r="D2194" i="6" s="1"/>
  <c r="E2194" i="6" s="1" a="1"/>
  <c r="E2194" i="6" s="1"/>
  <c r="C2194" i="6" a="1"/>
  <c r="C2194" i="6" s="1"/>
  <c r="D2193" i="6" a="1"/>
  <c r="D2193" i="6" s="1"/>
  <c r="E2193" i="6" s="1" a="1"/>
  <c r="E2193" i="6" s="1"/>
  <c r="C2193" i="6" a="1"/>
  <c r="C2193" i="6" s="1"/>
  <c r="D2192" i="6" a="1"/>
  <c r="D2192" i="6" s="1"/>
  <c r="E2192" i="6" s="1" a="1"/>
  <c r="E2192" i="6" s="1"/>
  <c r="C2192" i="6" a="1"/>
  <c r="C2192" i="6" s="1"/>
  <c r="D2191" i="6" a="1"/>
  <c r="D2191" i="6" s="1"/>
  <c r="E2191" i="6" s="1" a="1"/>
  <c r="E2191" i="6" s="1"/>
  <c r="C2191" i="6" a="1"/>
  <c r="C2191" i="6" s="1"/>
  <c r="D2190" i="6" a="1"/>
  <c r="D2190" i="6" s="1"/>
  <c r="E2190" i="6" s="1" a="1"/>
  <c r="E2190" i="6" s="1"/>
  <c r="C2190" i="6" a="1"/>
  <c r="C2190" i="6" s="1"/>
  <c r="D2189" i="6" a="1"/>
  <c r="D2189" i="6" s="1"/>
  <c r="E2189" i="6" s="1" a="1"/>
  <c r="E2189" i="6" s="1"/>
  <c r="C2189" i="6" a="1"/>
  <c r="C2189" i="6" s="1"/>
  <c r="D2188" i="6" a="1"/>
  <c r="D2188" i="6" s="1"/>
  <c r="E2188" i="6" s="1" a="1"/>
  <c r="E2188" i="6" s="1"/>
  <c r="C2188" i="6" a="1"/>
  <c r="C2188" i="6" s="1"/>
  <c r="D2187" i="6" a="1"/>
  <c r="D2187" i="6" s="1"/>
  <c r="E2187" i="6" s="1" a="1"/>
  <c r="E2187" i="6" s="1"/>
  <c r="C2187" i="6" a="1"/>
  <c r="C2187" i="6" s="1"/>
  <c r="D2186" i="6" a="1"/>
  <c r="D2186" i="6" s="1"/>
  <c r="E2186" i="6" s="1" a="1"/>
  <c r="E2186" i="6" s="1"/>
  <c r="C2186" i="6" a="1"/>
  <c r="C2186" i="6" s="1"/>
  <c r="D2185" i="6" a="1"/>
  <c r="D2185" i="6" s="1"/>
  <c r="E2185" i="6" s="1" a="1"/>
  <c r="E2185" i="6" s="1"/>
  <c r="C2185" i="6" a="1"/>
  <c r="C2185" i="6" s="1"/>
  <c r="D2184" i="6" a="1"/>
  <c r="D2184" i="6" s="1"/>
  <c r="E2184" i="6" s="1" a="1"/>
  <c r="E2184" i="6" s="1"/>
  <c r="C2184" i="6" a="1"/>
  <c r="C2184" i="6" s="1"/>
  <c r="D2183" i="6" a="1"/>
  <c r="D2183" i="6" s="1"/>
  <c r="E2183" i="6" s="1" a="1"/>
  <c r="E2183" i="6" s="1"/>
  <c r="C2183" i="6" a="1"/>
  <c r="C2183" i="6" s="1"/>
  <c r="D2182" i="6" a="1"/>
  <c r="D2182" i="6" s="1"/>
  <c r="E2182" i="6" s="1" a="1"/>
  <c r="E2182" i="6" s="1"/>
  <c r="C2182" i="6" a="1"/>
  <c r="C2182" i="6" s="1"/>
  <c r="D2181" i="6" a="1"/>
  <c r="D2181" i="6" s="1"/>
  <c r="E2181" i="6" s="1" a="1"/>
  <c r="E2181" i="6" s="1"/>
  <c r="C2181" i="6" a="1"/>
  <c r="C2181" i="6" s="1"/>
  <c r="D2180" i="6" a="1"/>
  <c r="D2180" i="6" s="1"/>
  <c r="E2180" i="6" s="1" a="1"/>
  <c r="E2180" i="6" s="1"/>
  <c r="C2180" i="6" a="1"/>
  <c r="C2180" i="6" s="1"/>
  <c r="D2179" i="6" a="1"/>
  <c r="D2179" i="6" s="1"/>
  <c r="E2179" i="6" s="1" a="1"/>
  <c r="E2179" i="6" s="1"/>
  <c r="C2179" i="6" a="1"/>
  <c r="C2179" i="6" s="1"/>
  <c r="D2178" i="6" a="1"/>
  <c r="D2178" i="6" s="1"/>
  <c r="E2178" i="6" s="1" a="1"/>
  <c r="E2178" i="6" s="1"/>
  <c r="C2178" i="6" a="1"/>
  <c r="C2178" i="6" s="1"/>
  <c r="D2177" i="6" a="1"/>
  <c r="D2177" i="6" s="1"/>
  <c r="E2177" i="6" s="1" a="1"/>
  <c r="E2177" i="6" s="1"/>
  <c r="C2177" i="6" a="1"/>
  <c r="C2177" i="6" s="1"/>
  <c r="D2176" i="6" a="1"/>
  <c r="D2176" i="6" s="1"/>
  <c r="E2176" i="6" s="1" a="1"/>
  <c r="E2176" i="6" s="1"/>
  <c r="C2176" i="6" a="1"/>
  <c r="C2176" i="6" s="1"/>
  <c r="D2175" i="6" a="1"/>
  <c r="D2175" i="6" s="1"/>
  <c r="E2175" i="6" s="1" a="1"/>
  <c r="E2175" i="6" s="1"/>
  <c r="C2175" i="6" a="1"/>
  <c r="C2175" i="6" s="1"/>
  <c r="D2174" i="6" a="1"/>
  <c r="D2174" i="6" s="1"/>
  <c r="E2174" i="6" s="1" a="1"/>
  <c r="E2174" i="6" s="1"/>
  <c r="C2174" i="6" a="1"/>
  <c r="C2174" i="6" s="1"/>
  <c r="D2173" i="6" a="1"/>
  <c r="D2173" i="6" s="1"/>
  <c r="E2173" i="6" s="1" a="1"/>
  <c r="E2173" i="6" s="1"/>
  <c r="C2173" i="6" a="1"/>
  <c r="C2173" i="6" s="1"/>
  <c r="D2172" i="6" a="1"/>
  <c r="D2172" i="6" s="1"/>
  <c r="E2172" i="6" s="1" a="1"/>
  <c r="E2172" i="6" s="1"/>
  <c r="C2172" i="6" a="1"/>
  <c r="C2172" i="6" s="1"/>
  <c r="D2171" i="6" a="1"/>
  <c r="D2171" i="6" s="1"/>
  <c r="E2171" i="6" s="1" a="1"/>
  <c r="E2171" i="6" s="1"/>
  <c r="C2171" i="6" a="1"/>
  <c r="C2171" i="6" s="1"/>
  <c r="D2170" i="6" a="1"/>
  <c r="D2170" i="6" s="1"/>
  <c r="E2170" i="6" s="1" a="1"/>
  <c r="E2170" i="6" s="1"/>
  <c r="C2170" i="6" a="1"/>
  <c r="C2170" i="6" s="1"/>
  <c r="D2169" i="6" a="1"/>
  <c r="D2169" i="6" s="1"/>
  <c r="E2169" i="6" s="1" a="1"/>
  <c r="E2169" i="6" s="1"/>
  <c r="C2169" i="6" a="1"/>
  <c r="C2169" i="6" s="1"/>
  <c r="D2168" i="6" a="1"/>
  <c r="D2168" i="6" s="1"/>
  <c r="E2168" i="6" s="1" a="1"/>
  <c r="E2168" i="6" s="1"/>
  <c r="C2168" i="6" a="1"/>
  <c r="C2168" i="6" s="1"/>
  <c r="D2167" i="6" a="1"/>
  <c r="D2167" i="6" s="1"/>
  <c r="E2167" i="6" s="1" a="1"/>
  <c r="E2167" i="6" s="1"/>
  <c r="C2167" i="6" a="1"/>
  <c r="C2167" i="6" s="1"/>
  <c r="D2166" i="6" a="1"/>
  <c r="D2166" i="6" s="1"/>
  <c r="E2166" i="6" s="1" a="1"/>
  <c r="E2166" i="6" s="1"/>
  <c r="C2166" i="6" a="1"/>
  <c r="C2166" i="6" s="1"/>
  <c r="D2165" i="6" a="1"/>
  <c r="D2165" i="6" s="1"/>
  <c r="E2165" i="6" s="1" a="1"/>
  <c r="E2165" i="6" s="1"/>
  <c r="C2165" i="6" a="1"/>
  <c r="C2165" i="6" s="1"/>
  <c r="D2164" i="6" a="1"/>
  <c r="D2164" i="6" s="1"/>
  <c r="E2164" i="6" s="1" a="1"/>
  <c r="E2164" i="6" s="1"/>
  <c r="C2164" i="6" a="1"/>
  <c r="C2164" i="6" s="1"/>
  <c r="D2163" i="6" a="1"/>
  <c r="D2163" i="6" s="1"/>
  <c r="E2163" i="6" s="1" a="1"/>
  <c r="E2163" i="6" s="1"/>
  <c r="C2163" i="6" a="1"/>
  <c r="C2163" i="6" s="1"/>
  <c r="D2162" i="6" a="1"/>
  <c r="D2162" i="6" s="1"/>
  <c r="E2162" i="6" s="1" a="1"/>
  <c r="E2162" i="6" s="1"/>
  <c r="C2162" i="6" a="1"/>
  <c r="C2162" i="6" s="1"/>
  <c r="D2161" i="6" a="1"/>
  <c r="D2161" i="6" s="1"/>
  <c r="E2161" i="6" s="1" a="1"/>
  <c r="E2161" i="6" s="1"/>
  <c r="C2161" i="6" a="1"/>
  <c r="C2161" i="6" s="1"/>
  <c r="D2160" i="6" a="1"/>
  <c r="D2160" i="6" s="1"/>
  <c r="E2160" i="6" s="1" a="1"/>
  <c r="E2160" i="6" s="1"/>
  <c r="C2160" i="6" a="1"/>
  <c r="C2160" i="6" s="1"/>
  <c r="D2159" i="6" a="1"/>
  <c r="D2159" i="6" s="1"/>
  <c r="E2159" i="6" s="1" a="1"/>
  <c r="E2159" i="6" s="1"/>
  <c r="C2159" i="6" a="1"/>
  <c r="C2159" i="6" s="1"/>
  <c r="D2158" i="6" a="1"/>
  <c r="D2158" i="6" s="1"/>
  <c r="E2158" i="6" s="1" a="1"/>
  <c r="E2158" i="6" s="1"/>
  <c r="C2158" i="6" a="1"/>
  <c r="C2158" i="6" s="1"/>
  <c r="D2157" i="6" a="1"/>
  <c r="D2157" i="6" s="1"/>
  <c r="E2157" i="6" s="1" a="1"/>
  <c r="E2157" i="6" s="1"/>
  <c r="C2157" i="6" a="1"/>
  <c r="C2157" i="6" s="1"/>
  <c r="D2156" i="6" a="1"/>
  <c r="D2156" i="6" s="1"/>
  <c r="E2156" i="6" s="1" a="1"/>
  <c r="E2156" i="6" s="1"/>
  <c r="C2156" i="6" a="1"/>
  <c r="C2156" i="6" s="1"/>
  <c r="D2155" i="6" a="1"/>
  <c r="D2155" i="6" s="1"/>
  <c r="E2155" i="6" s="1" a="1"/>
  <c r="E2155" i="6" s="1"/>
  <c r="C2155" i="6" a="1"/>
  <c r="C2155" i="6" s="1"/>
  <c r="D2154" i="6" a="1"/>
  <c r="D2154" i="6" s="1"/>
  <c r="E2154" i="6" s="1" a="1"/>
  <c r="E2154" i="6" s="1"/>
  <c r="C2154" i="6" a="1"/>
  <c r="C2154" i="6" s="1"/>
  <c r="D2153" i="6" a="1"/>
  <c r="D2153" i="6" s="1"/>
  <c r="E2153" i="6" s="1" a="1"/>
  <c r="E2153" i="6" s="1"/>
  <c r="C2153" i="6" a="1"/>
  <c r="C2153" i="6" s="1"/>
  <c r="D2152" i="6" a="1"/>
  <c r="D2152" i="6" s="1"/>
  <c r="E2152" i="6" s="1" a="1"/>
  <c r="E2152" i="6" s="1"/>
  <c r="C2152" i="6" a="1"/>
  <c r="C2152" i="6" s="1"/>
  <c r="D2151" i="6" a="1"/>
  <c r="D2151" i="6" s="1"/>
  <c r="E2151" i="6" s="1" a="1"/>
  <c r="E2151" i="6" s="1"/>
  <c r="C2151" i="6" a="1"/>
  <c r="C2151" i="6" s="1"/>
  <c r="D2150" i="6" a="1"/>
  <c r="D2150" i="6" s="1"/>
  <c r="E2150" i="6" s="1" a="1"/>
  <c r="E2150" i="6" s="1"/>
  <c r="C2150" i="6" a="1"/>
  <c r="C2150" i="6" s="1"/>
  <c r="D2149" i="6" a="1"/>
  <c r="D2149" i="6" s="1"/>
  <c r="E2149" i="6" s="1" a="1"/>
  <c r="E2149" i="6" s="1"/>
  <c r="C2149" i="6" a="1"/>
  <c r="C2149" i="6" s="1"/>
  <c r="D2148" i="6" a="1"/>
  <c r="D2148" i="6" s="1"/>
  <c r="E2148" i="6" s="1" a="1"/>
  <c r="E2148" i="6" s="1"/>
  <c r="C2148" i="6" a="1"/>
  <c r="C2148" i="6" s="1"/>
  <c r="D2147" i="6" a="1"/>
  <c r="D2147" i="6" s="1"/>
  <c r="E2147" i="6" s="1" a="1"/>
  <c r="E2147" i="6" s="1"/>
  <c r="C2147" i="6" a="1"/>
  <c r="C2147" i="6" s="1"/>
  <c r="D2146" i="6" a="1"/>
  <c r="D2146" i="6" s="1"/>
  <c r="E2146" i="6" s="1" a="1"/>
  <c r="E2146" i="6" s="1"/>
  <c r="C2146" i="6" a="1"/>
  <c r="C2146" i="6" s="1"/>
  <c r="D2145" i="6" a="1"/>
  <c r="D2145" i="6" s="1"/>
  <c r="E2145" i="6" s="1" a="1"/>
  <c r="E2145" i="6" s="1"/>
  <c r="C2145" i="6" a="1"/>
  <c r="C2145" i="6" s="1"/>
  <c r="D2144" i="6" a="1"/>
  <c r="D2144" i="6" s="1"/>
  <c r="E2144" i="6" s="1" a="1"/>
  <c r="E2144" i="6" s="1"/>
  <c r="C2144" i="6" a="1"/>
  <c r="C2144" i="6" s="1"/>
  <c r="D2143" i="6" a="1"/>
  <c r="D2143" i="6" s="1"/>
  <c r="E2143" i="6" s="1" a="1"/>
  <c r="E2143" i="6" s="1"/>
  <c r="C2143" i="6" a="1"/>
  <c r="C2143" i="6" s="1"/>
  <c r="D2142" i="6" a="1"/>
  <c r="D2142" i="6" s="1"/>
  <c r="E2142" i="6" s="1" a="1"/>
  <c r="E2142" i="6" s="1"/>
  <c r="C2142" i="6" a="1"/>
  <c r="C2142" i="6" s="1"/>
  <c r="D2141" i="6" a="1"/>
  <c r="D2141" i="6" s="1"/>
  <c r="E2141" i="6" s="1" a="1"/>
  <c r="E2141" i="6" s="1"/>
  <c r="C2141" i="6" a="1"/>
  <c r="C2141" i="6" s="1"/>
  <c r="D2140" i="6" a="1"/>
  <c r="D2140" i="6" s="1"/>
  <c r="E2140" i="6" s="1" a="1"/>
  <c r="E2140" i="6" s="1"/>
  <c r="C2140" i="6" a="1"/>
  <c r="C2140" i="6" s="1"/>
  <c r="D2139" i="6" a="1"/>
  <c r="D2139" i="6" s="1"/>
  <c r="E2139" i="6" s="1" a="1"/>
  <c r="E2139" i="6" s="1"/>
  <c r="C2139" i="6" a="1"/>
  <c r="C2139" i="6" s="1"/>
  <c r="D2138" i="6" a="1"/>
  <c r="D2138" i="6" s="1"/>
  <c r="E2138" i="6" s="1" a="1"/>
  <c r="E2138" i="6" s="1"/>
  <c r="C2138" i="6" a="1"/>
  <c r="C2138" i="6" s="1"/>
  <c r="D2137" i="6" a="1"/>
  <c r="D2137" i="6" s="1"/>
  <c r="E2137" i="6" s="1" a="1"/>
  <c r="E2137" i="6" s="1"/>
  <c r="C2137" i="6" a="1"/>
  <c r="C2137" i="6" s="1"/>
  <c r="D2136" i="6" a="1"/>
  <c r="D2136" i="6" s="1"/>
  <c r="E2136" i="6" s="1" a="1"/>
  <c r="E2136" i="6" s="1"/>
  <c r="C2136" i="6" a="1"/>
  <c r="C2136" i="6" s="1"/>
  <c r="D2135" i="6" a="1"/>
  <c r="D2135" i="6" s="1"/>
  <c r="E2135" i="6" s="1" a="1"/>
  <c r="E2135" i="6" s="1"/>
  <c r="C2135" i="6" a="1"/>
  <c r="C2135" i="6" s="1"/>
  <c r="D2134" i="6" a="1"/>
  <c r="D2134" i="6" s="1"/>
  <c r="E2134" i="6" s="1" a="1"/>
  <c r="E2134" i="6" s="1"/>
  <c r="C2134" i="6" a="1"/>
  <c r="C2134" i="6" s="1"/>
  <c r="D2133" i="6" a="1"/>
  <c r="D2133" i="6" s="1"/>
  <c r="E2133" i="6" s="1" a="1"/>
  <c r="E2133" i="6" s="1"/>
  <c r="C2133" i="6" a="1"/>
  <c r="C2133" i="6" s="1"/>
  <c r="D2132" i="6" a="1"/>
  <c r="D2132" i="6" s="1"/>
  <c r="E2132" i="6" s="1" a="1"/>
  <c r="E2132" i="6" s="1"/>
  <c r="C2132" i="6" a="1"/>
  <c r="C2132" i="6" s="1"/>
  <c r="D2131" i="6" a="1"/>
  <c r="D2131" i="6" s="1"/>
  <c r="E2131" i="6" s="1" a="1"/>
  <c r="E2131" i="6" s="1"/>
  <c r="C2131" i="6" a="1"/>
  <c r="C2131" i="6" s="1"/>
  <c r="D2130" i="6" a="1"/>
  <c r="D2130" i="6" s="1"/>
  <c r="E2130" i="6" s="1" a="1"/>
  <c r="E2130" i="6" s="1"/>
  <c r="C2130" i="6" a="1"/>
  <c r="C2130" i="6" s="1"/>
  <c r="D2129" i="6" a="1"/>
  <c r="D2129" i="6" s="1"/>
  <c r="E2129" i="6" s="1" a="1"/>
  <c r="E2129" i="6" s="1"/>
  <c r="C2129" i="6" a="1"/>
  <c r="C2129" i="6" s="1"/>
  <c r="D2128" i="6" a="1"/>
  <c r="D2128" i="6" s="1"/>
  <c r="E2128" i="6" s="1" a="1"/>
  <c r="E2128" i="6" s="1"/>
  <c r="C2128" i="6" a="1"/>
  <c r="C2128" i="6" s="1"/>
  <c r="D2127" i="6" a="1"/>
  <c r="D2127" i="6" s="1"/>
  <c r="E2127" i="6" s="1" a="1"/>
  <c r="E2127" i="6" s="1"/>
  <c r="C2127" i="6" a="1"/>
  <c r="C2127" i="6" s="1"/>
  <c r="D2126" i="6" a="1"/>
  <c r="D2126" i="6" s="1"/>
  <c r="E2126" i="6" s="1" a="1"/>
  <c r="E2126" i="6" s="1"/>
  <c r="C2126" i="6" a="1"/>
  <c r="C2126" i="6" s="1"/>
  <c r="D2125" i="6" a="1"/>
  <c r="D2125" i="6" s="1"/>
  <c r="E2125" i="6" s="1" a="1"/>
  <c r="E2125" i="6" s="1"/>
  <c r="C2125" i="6" a="1"/>
  <c r="C2125" i="6" s="1"/>
  <c r="D2124" i="6" a="1"/>
  <c r="D2124" i="6" s="1"/>
  <c r="E2124" i="6" s="1" a="1"/>
  <c r="E2124" i="6" s="1"/>
  <c r="C2124" i="6" a="1"/>
  <c r="C2124" i="6" s="1"/>
  <c r="D2123" i="6" a="1"/>
  <c r="D2123" i="6" s="1"/>
  <c r="E2123" i="6" s="1" a="1"/>
  <c r="E2123" i="6" s="1"/>
  <c r="C2123" i="6" a="1"/>
  <c r="C2123" i="6" s="1"/>
  <c r="D2122" i="6" a="1"/>
  <c r="D2122" i="6" s="1"/>
  <c r="E2122" i="6" s="1" a="1"/>
  <c r="E2122" i="6" s="1"/>
  <c r="C2122" i="6" a="1"/>
  <c r="C2122" i="6" s="1"/>
  <c r="D2121" i="6" a="1"/>
  <c r="D2121" i="6" s="1"/>
  <c r="E2121" i="6" s="1" a="1"/>
  <c r="E2121" i="6" s="1"/>
  <c r="C2121" i="6" a="1"/>
  <c r="C2121" i="6" s="1"/>
  <c r="D2120" i="6" a="1"/>
  <c r="D2120" i="6" s="1"/>
  <c r="E2120" i="6" s="1" a="1"/>
  <c r="E2120" i="6" s="1"/>
  <c r="C2120" i="6" a="1"/>
  <c r="C2120" i="6" s="1"/>
  <c r="D2119" i="6" a="1"/>
  <c r="D2119" i="6" s="1"/>
  <c r="E2119" i="6" s="1" a="1"/>
  <c r="E2119" i="6" s="1"/>
  <c r="C2119" i="6" a="1"/>
  <c r="C2119" i="6" s="1"/>
  <c r="D2118" i="6" a="1"/>
  <c r="D2118" i="6" s="1"/>
  <c r="E2118" i="6" s="1" a="1"/>
  <c r="E2118" i="6" s="1"/>
  <c r="C2118" i="6" a="1"/>
  <c r="C2118" i="6" s="1"/>
  <c r="D2117" i="6" a="1"/>
  <c r="D2117" i="6" s="1"/>
  <c r="E2117" i="6" s="1" a="1"/>
  <c r="E2117" i="6" s="1"/>
  <c r="C2117" i="6" a="1"/>
  <c r="C2117" i="6" s="1"/>
  <c r="D2116" i="6" a="1"/>
  <c r="D2116" i="6" s="1"/>
  <c r="E2116" i="6" s="1" a="1"/>
  <c r="E2116" i="6" s="1"/>
  <c r="C2116" i="6" a="1"/>
  <c r="C2116" i="6" s="1"/>
  <c r="D2115" i="6" a="1"/>
  <c r="D2115" i="6" s="1"/>
  <c r="E2115" i="6" s="1" a="1"/>
  <c r="E2115" i="6" s="1"/>
  <c r="C2115" i="6" a="1"/>
  <c r="C2115" i="6" s="1"/>
  <c r="D2114" i="6" a="1"/>
  <c r="D2114" i="6" s="1"/>
  <c r="E2114" i="6" s="1" a="1"/>
  <c r="E2114" i="6" s="1"/>
  <c r="C2114" i="6" a="1"/>
  <c r="C2114" i="6" s="1"/>
  <c r="D2113" i="6" a="1"/>
  <c r="D2113" i="6" s="1"/>
  <c r="E2113" i="6" s="1" a="1"/>
  <c r="E2113" i="6" s="1"/>
  <c r="C2113" i="6" a="1"/>
  <c r="C2113" i="6" s="1"/>
  <c r="D2112" i="6" a="1"/>
  <c r="D2112" i="6" s="1"/>
  <c r="E2112" i="6" s="1" a="1"/>
  <c r="E2112" i="6" s="1"/>
  <c r="C2112" i="6" a="1"/>
  <c r="C2112" i="6" s="1"/>
  <c r="D2111" i="6" a="1"/>
  <c r="D2111" i="6" s="1"/>
  <c r="E2111" i="6" s="1" a="1"/>
  <c r="E2111" i="6" s="1"/>
  <c r="C2111" i="6" a="1"/>
  <c r="C2111" i="6" s="1"/>
  <c r="D2110" i="6" a="1"/>
  <c r="D2110" i="6" s="1"/>
  <c r="E2110" i="6" s="1" a="1"/>
  <c r="E2110" i="6" s="1"/>
  <c r="C2110" i="6" a="1"/>
  <c r="C2110" i="6" s="1"/>
  <c r="D2109" i="6" a="1"/>
  <c r="D2109" i="6" s="1"/>
  <c r="E2109" i="6" s="1" a="1"/>
  <c r="E2109" i="6" s="1"/>
  <c r="C2109" i="6" a="1"/>
  <c r="C2109" i="6" s="1"/>
  <c r="D2108" i="6" a="1"/>
  <c r="D2108" i="6" s="1"/>
  <c r="E2108" i="6" s="1" a="1"/>
  <c r="E2108" i="6" s="1"/>
  <c r="C2108" i="6" a="1"/>
  <c r="C2108" i="6" s="1"/>
  <c r="D2107" i="6" a="1"/>
  <c r="D2107" i="6" s="1"/>
  <c r="E2107" i="6" s="1" a="1"/>
  <c r="E2107" i="6" s="1"/>
  <c r="C2107" i="6" a="1"/>
  <c r="C2107" i="6" s="1"/>
  <c r="D2106" i="6" a="1"/>
  <c r="D2106" i="6" s="1"/>
  <c r="E2106" i="6" s="1" a="1"/>
  <c r="E2106" i="6" s="1"/>
  <c r="C2106" i="6" a="1"/>
  <c r="C2106" i="6" s="1"/>
  <c r="D2105" i="6" a="1"/>
  <c r="D2105" i="6" s="1"/>
  <c r="E2105" i="6" s="1" a="1"/>
  <c r="E2105" i="6" s="1"/>
  <c r="C2105" i="6" a="1"/>
  <c r="C2105" i="6" s="1"/>
  <c r="D2104" i="6" a="1"/>
  <c r="D2104" i="6" s="1"/>
  <c r="E2104" i="6" s="1" a="1"/>
  <c r="E2104" i="6" s="1"/>
  <c r="C2104" i="6" a="1"/>
  <c r="C2104" i="6" s="1"/>
  <c r="D2103" i="6" a="1"/>
  <c r="D2103" i="6" s="1"/>
  <c r="E2103" i="6" s="1" a="1"/>
  <c r="E2103" i="6" s="1"/>
  <c r="C2103" i="6" a="1"/>
  <c r="C2103" i="6" s="1"/>
  <c r="D2102" i="6" a="1"/>
  <c r="D2102" i="6" s="1"/>
  <c r="E2102" i="6" s="1" a="1"/>
  <c r="E2102" i="6" s="1"/>
  <c r="C2102" i="6" a="1"/>
  <c r="C2102" i="6" s="1"/>
  <c r="D2101" i="6" a="1"/>
  <c r="D2101" i="6" s="1"/>
  <c r="E2101" i="6" s="1" a="1"/>
  <c r="E2101" i="6" s="1"/>
  <c r="C2101" i="6" a="1"/>
  <c r="C2101" i="6" s="1"/>
  <c r="D2100" i="6" a="1"/>
  <c r="D2100" i="6" s="1"/>
  <c r="E2100" i="6" s="1" a="1"/>
  <c r="E2100" i="6" s="1"/>
  <c r="C2100" i="6" a="1"/>
  <c r="C2100" i="6" s="1"/>
  <c r="D2099" i="6" a="1"/>
  <c r="D2099" i="6" s="1"/>
  <c r="E2099" i="6" s="1" a="1"/>
  <c r="E2099" i="6" s="1"/>
  <c r="C2099" i="6" a="1"/>
  <c r="C2099" i="6" s="1"/>
  <c r="D2098" i="6" a="1"/>
  <c r="D2098" i="6" s="1"/>
  <c r="E2098" i="6" s="1" a="1"/>
  <c r="E2098" i="6" s="1"/>
  <c r="C2098" i="6" a="1"/>
  <c r="C2098" i="6" s="1"/>
  <c r="D2097" i="6" a="1"/>
  <c r="D2097" i="6" s="1"/>
  <c r="E2097" i="6" s="1" a="1"/>
  <c r="E2097" i="6" s="1"/>
  <c r="C2097" i="6" a="1"/>
  <c r="C2097" i="6" s="1"/>
  <c r="D2096" i="6" a="1"/>
  <c r="D2096" i="6" s="1"/>
  <c r="E2096" i="6" s="1" a="1"/>
  <c r="E2096" i="6" s="1"/>
  <c r="C2096" i="6" a="1"/>
  <c r="C2096" i="6" s="1"/>
  <c r="D2095" i="6" a="1"/>
  <c r="D2095" i="6" s="1"/>
  <c r="E2095" i="6" s="1" a="1"/>
  <c r="E2095" i="6" s="1"/>
  <c r="C2095" i="6" a="1"/>
  <c r="C2095" i="6" s="1"/>
  <c r="D2094" i="6" a="1"/>
  <c r="D2094" i="6" s="1"/>
  <c r="E2094" i="6" s="1" a="1"/>
  <c r="E2094" i="6" s="1"/>
  <c r="C2094" i="6" a="1"/>
  <c r="C2094" i="6" s="1"/>
  <c r="D2093" i="6" a="1"/>
  <c r="D2093" i="6" s="1"/>
  <c r="E2093" i="6" s="1" a="1"/>
  <c r="E2093" i="6" s="1"/>
  <c r="C2093" i="6" a="1"/>
  <c r="C2093" i="6" s="1"/>
  <c r="D2092" i="6" a="1"/>
  <c r="D2092" i="6" s="1"/>
  <c r="E2092" i="6" s="1" a="1"/>
  <c r="E2092" i="6" s="1"/>
  <c r="C2092" i="6" a="1"/>
  <c r="C2092" i="6" s="1"/>
  <c r="D2091" i="6" a="1"/>
  <c r="D2091" i="6" s="1"/>
  <c r="E2091" i="6" s="1" a="1"/>
  <c r="E2091" i="6" s="1"/>
  <c r="C2091" i="6" a="1"/>
  <c r="C2091" i="6" s="1"/>
  <c r="D2090" i="6" a="1"/>
  <c r="D2090" i="6" s="1"/>
  <c r="E2090" i="6" s="1" a="1"/>
  <c r="E2090" i="6" s="1"/>
  <c r="C2090" i="6" a="1"/>
  <c r="C2090" i="6" s="1"/>
  <c r="D2089" i="6" a="1"/>
  <c r="D2089" i="6" s="1"/>
  <c r="E2089" i="6" s="1" a="1"/>
  <c r="E2089" i="6" s="1"/>
  <c r="C2089" i="6" a="1"/>
  <c r="C2089" i="6" s="1"/>
  <c r="D2088" i="6" a="1"/>
  <c r="D2088" i="6" s="1"/>
  <c r="E2088" i="6" s="1" a="1"/>
  <c r="E2088" i="6" s="1"/>
  <c r="C2088" i="6" a="1"/>
  <c r="C2088" i="6" s="1"/>
  <c r="D2087" i="6" a="1"/>
  <c r="D2087" i="6" s="1"/>
  <c r="E2087" i="6" s="1" a="1"/>
  <c r="E2087" i="6" s="1"/>
  <c r="C2087" i="6" a="1"/>
  <c r="C2087" i="6" s="1"/>
  <c r="D2086" i="6" a="1"/>
  <c r="D2086" i="6" s="1"/>
  <c r="E2086" i="6" s="1" a="1"/>
  <c r="E2086" i="6" s="1"/>
  <c r="C2086" i="6" a="1"/>
  <c r="C2086" i="6" s="1"/>
  <c r="D2085" i="6" a="1"/>
  <c r="D2085" i="6" s="1"/>
  <c r="E2085" i="6" s="1" a="1"/>
  <c r="E2085" i="6" s="1"/>
  <c r="C2085" i="6" a="1"/>
  <c r="C2085" i="6" s="1"/>
  <c r="D2084" i="6" a="1"/>
  <c r="D2084" i="6" s="1"/>
  <c r="E2084" i="6" s="1" a="1"/>
  <c r="E2084" i="6" s="1"/>
  <c r="C2084" i="6" a="1"/>
  <c r="C2084" i="6" s="1"/>
  <c r="D2083" i="6" a="1"/>
  <c r="D2083" i="6" s="1"/>
  <c r="E2083" i="6" s="1" a="1"/>
  <c r="E2083" i="6" s="1"/>
  <c r="C2083" i="6" a="1"/>
  <c r="C2083" i="6" s="1"/>
  <c r="D2082" i="6" a="1"/>
  <c r="D2082" i="6" s="1"/>
  <c r="E2082" i="6" s="1" a="1"/>
  <c r="E2082" i="6" s="1"/>
  <c r="C2082" i="6" a="1"/>
  <c r="C2082" i="6" s="1"/>
  <c r="D2081" i="6" a="1"/>
  <c r="D2081" i="6" s="1"/>
  <c r="E2081" i="6" s="1" a="1"/>
  <c r="E2081" i="6" s="1"/>
  <c r="C2081" i="6" a="1"/>
  <c r="C2081" i="6" s="1"/>
  <c r="D2080" i="6" a="1"/>
  <c r="D2080" i="6" s="1"/>
  <c r="E2080" i="6" s="1" a="1"/>
  <c r="E2080" i="6" s="1"/>
  <c r="C2080" i="6" a="1"/>
  <c r="C2080" i="6" s="1"/>
  <c r="D2079" i="6" a="1"/>
  <c r="D2079" i="6" s="1"/>
  <c r="E2079" i="6" s="1" a="1"/>
  <c r="E2079" i="6" s="1"/>
  <c r="C2079" i="6" a="1"/>
  <c r="C2079" i="6" s="1"/>
  <c r="D2078" i="6" a="1"/>
  <c r="D2078" i="6" s="1"/>
  <c r="E2078" i="6" s="1" a="1"/>
  <c r="E2078" i="6" s="1"/>
  <c r="C2078" i="6" a="1"/>
  <c r="C2078" i="6" s="1"/>
  <c r="D2077" i="6" a="1"/>
  <c r="D2077" i="6" s="1"/>
  <c r="E2077" i="6" s="1" a="1"/>
  <c r="E2077" i="6" s="1"/>
  <c r="C2077" i="6" a="1"/>
  <c r="C2077" i="6" s="1"/>
  <c r="D2076" i="6" a="1"/>
  <c r="D2076" i="6" s="1"/>
  <c r="E2076" i="6" s="1" a="1"/>
  <c r="E2076" i="6" s="1"/>
  <c r="C2076" i="6" a="1"/>
  <c r="C2076" i="6" s="1"/>
  <c r="D2075" i="6" a="1"/>
  <c r="D2075" i="6" s="1"/>
  <c r="E2075" i="6" s="1" a="1"/>
  <c r="E2075" i="6" s="1"/>
  <c r="C2075" i="6" a="1"/>
  <c r="C2075" i="6" s="1"/>
  <c r="D2074" i="6" a="1"/>
  <c r="D2074" i="6" s="1"/>
  <c r="E2074" i="6" s="1" a="1"/>
  <c r="E2074" i="6" s="1"/>
  <c r="C2074" i="6" a="1"/>
  <c r="C2074" i="6" s="1"/>
  <c r="D2073" i="6" a="1"/>
  <c r="D2073" i="6" s="1"/>
  <c r="E2073" i="6" s="1" a="1"/>
  <c r="E2073" i="6" s="1"/>
  <c r="C2073" i="6" a="1"/>
  <c r="C2073" i="6" s="1"/>
  <c r="D2072" i="6" a="1"/>
  <c r="D2072" i="6" s="1"/>
  <c r="E2072" i="6" s="1" a="1"/>
  <c r="E2072" i="6" s="1"/>
  <c r="C2072" i="6" a="1"/>
  <c r="C2072" i="6" s="1"/>
  <c r="D2071" i="6" a="1"/>
  <c r="D2071" i="6" s="1"/>
  <c r="E2071" i="6" s="1" a="1"/>
  <c r="E2071" i="6" s="1"/>
  <c r="C2071" i="6" a="1"/>
  <c r="C2071" i="6" s="1"/>
  <c r="D2070" i="6" a="1"/>
  <c r="D2070" i="6" s="1"/>
  <c r="E2070" i="6" s="1" a="1"/>
  <c r="E2070" i="6" s="1"/>
  <c r="C2070" i="6" a="1"/>
  <c r="C2070" i="6" s="1"/>
  <c r="D2069" i="6" a="1"/>
  <c r="D2069" i="6" s="1"/>
  <c r="E2069" i="6" s="1" a="1"/>
  <c r="E2069" i="6" s="1"/>
  <c r="C2069" i="6" a="1"/>
  <c r="C2069" i="6" s="1"/>
  <c r="D2068" i="6" a="1"/>
  <c r="D2068" i="6" s="1"/>
  <c r="E2068" i="6" s="1" a="1"/>
  <c r="E2068" i="6" s="1"/>
  <c r="C2068" i="6" a="1"/>
  <c r="C2068" i="6" s="1"/>
  <c r="D2067" i="6" a="1"/>
  <c r="D2067" i="6" s="1"/>
  <c r="E2067" i="6" s="1" a="1"/>
  <c r="E2067" i="6" s="1"/>
  <c r="C2067" i="6" a="1"/>
  <c r="C2067" i="6" s="1"/>
  <c r="D2066" i="6" a="1"/>
  <c r="D2066" i="6" s="1"/>
  <c r="E2066" i="6" s="1" a="1"/>
  <c r="E2066" i="6" s="1"/>
  <c r="C2066" i="6" a="1"/>
  <c r="C2066" i="6" s="1"/>
  <c r="D2065" i="6" a="1"/>
  <c r="D2065" i="6" s="1"/>
  <c r="E2065" i="6" s="1" a="1"/>
  <c r="E2065" i="6" s="1"/>
  <c r="C2065" i="6" a="1"/>
  <c r="C2065" i="6" s="1"/>
  <c r="D2064" i="6" a="1"/>
  <c r="D2064" i="6" s="1"/>
  <c r="E2064" i="6" s="1" a="1"/>
  <c r="E2064" i="6" s="1"/>
  <c r="C2064" i="6" a="1"/>
  <c r="C2064" i="6" s="1"/>
  <c r="D2063" i="6" a="1"/>
  <c r="D2063" i="6" s="1"/>
  <c r="E2063" i="6" s="1" a="1"/>
  <c r="E2063" i="6" s="1"/>
  <c r="C2063" i="6" a="1"/>
  <c r="C2063" i="6" s="1"/>
  <c r="D2062" i="6" a="1"/>
  <c r="D2062" i="6" s="1"/>
  <c r="E2062" i="6" s="1" a="1"/>
  <c r="E2062" i="6" s="1"/>
  <c r="C2062" i="6" a="1"/>
  <c r="C2062" i="6" s="1"/>
  <c r="D2061" i="6" a="1"/>
  <c r="D2061" i="6" s="1"/>
  <c r="E2061" i="6" s="1" a="1"/>
  <c r="E2061" i="6" s="1"/>
  <c r="C2061" i="6" a="1"/>
  <c r="C2061" i="6" s="1"/>
  <c r="D2060" i="6" a="1"/>
  <c r="D2060" i="6" s="1"/>
  <c r="E2060" i="6" s="1" a="1"/>
  <c r="E2060" i="6" s="1"/>
  <c r="C2060" i="6" a="1"/>
  <c r="C2060" i="6" s="1"/>
  <c r="D2059" i="6" a="1"/>
  <c r="D2059" i="6" s="1"/>
  <c r="E2059" i="6" s="1" a="1"/>
  <c r="E2059" i="6" s="1"/>
  <c r="C2059" i="6" a="1"/>
  <c r="C2059" i="6" s="1"/>
  <c r="D2058" i="6" a="1"/>
  <c r="D2058" i="6" s="1"/>
  <c r="E2058" i="6" s="1" a="1"/>
  <c r="E2058" i="6" s="1"/>
  <c r="C2058" i="6" a="1"/>
  <c r="C2058" i="6" s="1"/>
  <c r="D2057" i="6" a="1"/>
  <c r="D2057" i="6" s="1"/>
  <c r="E2057" i="6" s="1" a="1"/>
  <c r="E2057" i="6" s="1"/>
  <c r="C2057" i="6" a="1"/>
  <c r="C2057" i="6" s="1"/>
  <c r="D2056" i="6" a="1"/>
  <c r="D2056" i="6" s="1"/>
  <c r="E2056" i="6" s="1" a="1"/>
  <c r="E2056" i="6" s="1"/>
  <c r="C2056" i="6" a="1"/>
  <c r="C2056" i="6" s="1"/>
  <c r="D2055" i="6" a="1"/>
  <c r="D2055" i="6" s="1"/>
  <c r="E2055" i="6" s="1" a="1"/>
  <c r="E2055" i="6" s="1"/>
  <c r="C2055" i="6" a="1"/>
  <c r="C2055" i="6" s="1"/>
  <c r="D2054" i="6" a="1"/>
  <c r="D2054" i="6" s="1"/>
  <c r="E2054" i="6" s="1" a="1"/>
  <c r="E2054" i="6" s="1"/>
  <c r="C2054" i="6" a="1"/>
  <c r="C2054" i="6" s="1"/>
  <c r="D2053" i="6" a="1"/>
  <c r="D2053" i="6" s="1"/>
  <c r="E2053" i="6" s="1" a="1"/>
  <c r="E2053" i="6" s="1"/>
  <c r="C2053" i="6" a="1"/>
  <c r="C2053" i="6" s="1"/>
  <c r="D2052" i="6" a="1"/>
  <c r="D2052" i="6" s="1"/>
  <c r="E2052" i="6" s="1" a="1"/>
  <c r="E2052" i="6" s="1"/>
  <c r="C2052" i="6" a="1"/>
  <c r="C2052" i="6" s="1"/>
  <c r="D2051" i="6" a="1"/>
  <c r="D2051" i="6" s="1"/>
  <c r="E2051" i="6" s="1" a="1"/>
  <c r="E2051" i="6" s="1"/>
  <c r="C2051" i="6" a="1"/>
  <c r="C2051" i="6" s="1"/>
  <c r="D2050" i="6" a="1"/>
  <c r="D2050" i="6" s="1"/>
  <c r="E2050" i="6" s="1" a="1"/>
  <c r="E2050" i="6" s="1"/>
  <c r="C2050" i="6" a="1"/>
  <c r="C2050" i="6" s="1"/>
  <c r="D2049" i="6" a="1"/>
  <c r="D2049" i="6" s="1"/>
  <c r="E2049" i="6" s="1" a="1"/>
  <c r="E2049" i="6" s="1"/>
  <c r="C2049" i="6" a="1"/>
  <c r="C2049" i="6" s="1"/>
  <c r="D2048" i="6" a="1"/>
  <c r="D2048" i="6" s="1"/>
  <c r="E2048" i="6" s="1" a="1"/>
  <c r="E2048" i="6" s="1"/>
  <c r="C2048" i="6" a="1"/>
  <c r="C2048" i="6" s="1"/>
  <c r="D2047" i="6" a="1"/>
  <c r="D2047" i="6" s="1"/>
  <c r="E2047" i="6" s="1" a="1"/>
  <c r="E2047" i="6" s="1"/>
  <c r="C2047" i="6" a="1"/>
  <c r="C2047" i="6" s="1"/>
  <c r="D2046" i="6" a="1"/>
  <c r="D2046" i="6" s="1"/>
  <c r="E2046" i="6" s="1" a="1"/>
  <c r="E2046" i="6" s="1"/>
  <c r="C2046" i="6" a="1"/>
  <c r="C2046" i="6" s="1"/>
  <c r="D2045" i="6" a="1"/>
  <c r="D2045" i="6" s="1"/>
  <c r="E2045" i="6" s="1" a="1"/>
  <c r="E2045" i="6" s="1"/>
  <c r="C2045" i="6" a="1"/>
  <c r="C2045" i="6" s="1"/>
  <c r="D2044" i="6" a="1"/>
  <c r="D2044" i="6" s="1"/>
  <c r="E2044" i="6" s="1" a="1"/>
  <c r="E2044" i="6" s="1"/>
  <c r="C2044" i="6" a="1"/>
  <c r="C2044" i="6" s="1"/>
  <c r="D2043" i="6" a="1"/>
  <c r="D2043" i="6" s="1"/>
  <c r="E2043" i="6" s="1" a="1"/>
  <c r="E2043" i="6" s="1"/>
  <c r="C2043" i="6" a="1"/>
  <c r="C2043" i="6" s="1"/>
  <c r="D2042" i="6" a="1"/>
  <c r="D2042" i="6" s="1"/>
  <c r="E2042" i="6" s="1" a="1"/>
  <c r="E2042" i="6" s="1"/>
  <c r="C2042" i="6" a="1"/>
  <c r="C2042" i="6" s="1"/>
  <c r="D2041" i="6" a="1"/>
  <c r="D2041" i="6" s="1"/>
  <c r="E2041" i="6" s="1" a="1"/>
  <c r="E2041" i="6" s="1"/>
  <c r="C2041" i="6" a="1"/>
  <c r="C2041" i="6" s="1"/>
  <c r="D2040" i="6" a="1"/>
  <c r="D2040" i="6" s="1"/>
  <c r="E2040" i="6" s="1" a="1"/>
  <c r="E2040" i="6" s="1"/>
  <c r="C2040" i="6" a="1"/>
  <c r="C2040" i="6" s="1"/>
  <c r="D2039" i="6" a="1"/>
  <c r="D2039" i="6" s="1"/>
  <c r="E2039" i="6" s="1" a="1"/>
  <c r="E2039" i="6" s="1"/>
  <c r="C2039" i="6" a="1"/>
  <c r="C2039" i="6" s="1"/>
  <c r="D2038" i="6" a="1"/>
  <c r="D2038" i="6" s="1"/>
  <c r="E2038" i="6" s="1" a="1"/>
  <c r="E2038" i="6" s="1"/>
  <c r="C2038" i="6" a="1"/>
  <c r="C2038" i="6" s="1"/>
  <c r="D2037" i="6" a="1"/>
  <c r="D2037" i="6" s="1"/>
  <c r="E2037" i="6" s="1" a="1"/>
  <c r="E2037" i="6" s="1"/>
  <c r="C2037" i="6" a="1"/>
  <c r="C2037" i="6" s="1"/>
  <c r="D2036" i="6" a="1"/>
  <c r="D2036" i="6" s="1"/>
  <c r="E2036" i="6" s="1" a="1"/>
  <c r="E2036" i="6" s="1"/>
  <c r="C2036" i="6" a="1"/>
  <c r="C2036" i="6" s="1"/>
  <c r="D2035" i="6" a="1"/>
  <c r="D2035" i="6" s="1"/>
  <c r="E2035" i="6" s="1" a="1"/>
  <c r="E2035" i="6" s="1"/>
  <c r="C2035" i="6" a="1"/>
  <c r="C2035" i="6" s="1"/>
  <c r="D2034" i="6" a="1"/>
  <c r="D2034" i="6" s="1"/>
  <c r="E2034" i="6" s="1" a="1"/>
  <c r="E2034" i="6" s="1"/>
  <c r="C2034" i="6" a="1"/>
  <c r="C2034" i="6" s="1"/>
  <c r="D2033" i="6" a="1"/>
  <c r="D2033" i="6" s="1"/>
  <c r="E2033" i="6" s="1" a="1"/>
  <c r="E2033" i="6" s="1"/>
  <c r="C2033" i="6" a="1"/>
  <c r="C2033" i="6" s="1"/>
  <c r="D2032" i="6" a="1"/>
  <c r="D2032" i="6" s="1"/>
  <c r="E2032" i="6" s="1" a="1"/>
  <c r="E2032" i="6" s="1"/>
  <c r="C2032" i="6" a="1"/>
  <c r="C2032" i="6" s="1"/>
  <c r="D2031" i="6" a="1"/>
  <c r="D2031" i="6" s="1"/>
  <c r="E2031" i="6" s="1" a="1"/>
  <c r="E2031" i="6" s="1"/>
  <c r="C2031" i="6" a="1"/>
  <c r="C2031" i="6" s="1"/>
  <c r="D2030" i="6" a="1"/>
  <c r="D2030" i="6" s="1"/>
  <c r="E2030" i="6" s="1" a="1"/>
  <c r="E2030" i="6" s="1"/>
  <c r="C2030" i="6" a="1"/>
  <c r="C2030" i="6" s="1"/>
  <c r="D2029" i="6" a="1"/>
  <c r="D2029" i="6" s="1"/>
  <c r="E2029" i="6" s="1" a="1"/>
  <c r="E2029" i="6" s="1"/>
  <c r="C2029" i="6" a="1"/>
  <c r="C2029" i="6" s="1"/>
  <c r="D2028" i="6" a="1"/>
  <c r="D2028" i="6" s="1"/>
  <c r="E2028" i="6" s="1" a="1"/>
  <c r="E2028" i="6" s="1"/>
  <c r="C2028" i="6" a="1"/>
  <c r="C2028" i="6" s="1"/>
  <c r="D2027" i="6" a="1"/>
  <c r="D2027" i="6" s="1"/>
  <c r="E2027" i="6" s="1" a="1"/>
  <c r="E2027" i="6" s="1"/>
  <c r="C2027" i="6" a="1"/>
  <c r="C2027" i="6" s="1"/>
  <c r="D2026" i="6" a="1"/>
  <c r="D2026" i="6" s="1"/>
  <c r="E2026" i="6" s="1" a="1"/>
  <c r="E2026" i="6" s="1"/>
  <c r="C2026" i="6" a="1"/>
  <c r="C2026" i="6" s="1"/>
  <c r="D2025" i="6" a="1"/>
  <c r="D2025" i="6" s="1"/>
  <c r="E2025" i="6" s="1" a="1"/>
  <c r="E2025" i="6" s="1"/>
  <c r="C2025" i="6" a="1"/>
  <c r="C2025" i="6" s="1"/>
  <c r="D2024" i="6" a="1"/>
  <c r="D2024" i="6" s="1"/>
  <c r="E2024" i="6" s="1" a="1"/>
  <c r="E2024" i="6" s="1"/>
  <c r="C2024" i="6" a="1"/>
  <c r="C2024" i="6" s="1"/>
  <c r="D2023" i="6" a="1"/>
  <c r="D2023" i="6" s="1"/>
  <c r="E2023" i="6" s="1" a="1"/>
  <c r="E2023" i="6" s="1"/>
  <c r="C2023" i="6" a="1"/>
  <c r="C2023" i="6" s="1"/>
  <c r="D2022" i="6" a="1"/>
  <c r="D2022" i="6" s="1"/>
  <c r="E2022" i="6" s="1" a="1"/>
  <c r="E2022" i="6" s="1"/>
  <c r="C2022" i="6" a="1"/>
  <c r="C2022" i="6" s="1"/>
  <c r="D2021" i="6" a="1"/>
  <c r="D2021" i="6" s="1"/>
  <c r="E2021" i="6" s="1" a="1"/>
  <c r="E2021" i="6" s="1"/>
  <c r="C2021" i="6" a="1"/>
  <c r="C2021" i="6" s="1"/>
  <c r="D2020" i="6" a="1"/>
  <c r="D2020" i="6" s="1"/>
  <c r="E2020" i="6" s="1" a="1"/>
  <c r="E2020" i="6" s="1"/>
  <c r="C2020" i="6" a="1"/>
  <c r="C2020" i="6" s="1"/>
  <c r="D2019" i="6" a="1"/>
  <c r="D2019" i="6" s="1"/>
  <c r="E2019" i="6" s="1" a="1"/>
  <c r="E2019" i="6" s="1"/>
  <c r="C2019" i="6" a="1"/>
  <c r="C2019" i="6" s="1"/>
  <c r="D2018" i="6" a="1"/>
  <c r="D2018" i="6" s="1"/>
  <c r="E2018" i="6" s="1" a="1"/>
  <c r="E2018" i="6" s="1"/>
  <c r="C2018" i="6" a="1"/>
  <c r="C2018" i="6" s="1"/>
  <c r="D2017" i="6" a="1"/>
  <c r="D2017" i="6" s="1"/>
  <c r="E2017" i="6" s="1" a="1"/>
  <c r="E2017" i="6" s="1"/>
  <c r="C2017" i="6" a="1"/>
  <c r="C2017" i="6" s="1"/>
  <c r="D2016" i="6" a="1"/>
  <c r="D2016" i="6" s="1"/>
  <c r="E2016" i="6" s="1" a="1"/>
  <c r="E2016" i="6" s="1"/>
  <c r="C2016" i="6" a="1"/>
  <c r="C2016" i="6" s="1"/>
  <c r="D2015" i="6" a="1"/>
  <c r="D2015" i="6" s="1"/>
  <c r="E2015" i="6" s="1" a="1"/>
  <c r="E2015" i="6" s="1"/>
  <c r="C2015" i="6" a="1"/>
  <c r="C2015" i="6" s="1"/>
  <c r="D2014" i="6" a="1"/>
  <c r="D2014" i="6" s="1"/>
  <c r="E2014" i="6" s="1" a="1"/>
  <c r="E2014" i="6" s="1"/>
  <c r="C2014" i="6" a="1"/>
  <c r="C2014" i="6" s="1"/>
  <c r="D2013" i="6" a="1"/>
  <c r="D2013" i="6" s="1"/>
  <c r="E2013" i="6" s="1" a="1"/>
  <c r="E2013" i="6" s="1"/>
  <c r="C2013" i="6" a="1"/>
  <c r="C2013" i="6" s="1"/>
  <c r="D2012" i="6" a="1"/>
  <c r="D2012" i="6" s="1"/>
  <c r="E2012" i="6" s="1" a="1"/>
  <c r="E2012" i="6" s="1"/>
  <c r="C2012" i="6" a="1"/>
  <c r="C2012" i="6" s="1"/>
  <c r="D2011" i="6" a="1"/>
  <c r="D2011" i="6" s="1"/>
  <c r="E2011" i="6" s="1" a="1"/>
  <c r="E2011" i="6" s="1"/>
  <c r="C2011" i="6" a="1"/>
  <c r="C2011" i="6" s="1"/>
  <c r="D2010" i="6" a="1"/>
  <c r="D2010" i="6" s="1"/>
  <c r="E2010" i="6" s="1" a="1"/>
  <c r="E2010" i="6" s="1"/>
  <c r="C2010" i="6" a="1"/>
  <c r="C2010" i="6" s="1"/>
  <c r="D2009" i="6" a="1"/>
  <c r="D2009" i="6" s="1"/>
  <c r="E2009" i="6" s="1" a="1"/>
  <c r="E2009" i="6" s="1"/>
  <c r="C2009" i="6" a="1"/>
  <c r="C2009" i="6" s="1"/>
  <c r="D2008" i="6" a="1"/>
  <c r="D2008" i="6" s="1"/>
  <c r="E2008" i="6" s="1" a="1"/>
  <c r="E2008" i="6" s="1"/>
  <c r="C2008" i="6" a="1"/>
  <c r="C2008" i="6" s="1"/>
  <c r="D2007" i="6" a="1"/>
  <c r="D2007" i="6" s="1"/>
  <c r="E2007" i="6" s="1" a="1"/>
  <c r="E2007" i="6" s="1"/>
  <c r="C2007" i="6" a="1"/>
  <c r="C2007" i="6" s="1"/>
  <c r="D2006" i="6" a="1"/>
  <c r="D2006" i="6" s="1"/>
  <c r="E2006" i="6" s="1" a="1"/>
  <c r="E2006" i="6" s="1"/>
  <c r="C2006" i="6" a="1"/>
  <c r="C2006" i="6" s="1"/>
  <c r="D2005" i="6" a="1"/>
  <c r="D2005" i="6" s="1"/>
  <c r="E2005" i="6" s="1" a="1"/>
  <c r="E2005" i="6" s="1"/>
  <c r="C2005" i="6" a="1"/>
  <c r="C2005" i="6" s="1"/>
  <c r="D2004" i="6" a="1"/>
  <c r="D2004" i="6" s="1"/>
  <c r="E2004" i="6" s="1" a="1"/>
  <c r="E2004" i="6" s="1"/>
  <c r="C2004" i="6" a="1"/>
  <c r="C2004" i="6" s="1"/>
  <c r="D2003" i="6" a="1"/>
  <c r="D2003" i="6" s="1"/>
  <c r="E2003" i="6" s="1" a="1"/>
  <c r="E2003" i="6" s="1"/>
  <c r="C2003" i="6" a="1"/>
  <c r="C2003" i="6" s="1"/>
  <c r="D2002" i="6" a="1"/>
  <c r="D2002" i="6" s="1"/>
  <c r="E2002" i="6" s="1" a="1"/>
  <c r="E2002" i="6" s="1"/>
  <c r="C2002" i="6" a="1"/>
  <c r="C2002" i="6" s="1"/>
  <c r="D2001" i="6" a="1"/>
  <c r="D2001" i="6" s="1"/>
  <c r="E2001" i="6" s="1" a="1"/>
  <c r="E2001" i="6" s="1"/>
  <c r="C2001" i="6" a="1"/>
  <c r="C2001" i="6" s="1"/>
  <c r="D2000" i="6" a="1"/>
  <c r="D2000" i="6" s="1"/>
  <c r="E2000" i="6" s="1" a="1"/>
  <c r="E2000" i="6" s="1"/>
  <c r="C2000" i="6" a="1"/>
  <c r="C2000" i="6" s="1"/>
  <c r="D1999" i="6" a="1"/>
  <c r="D1999" i="6" s="1"/>
  <c r="E1999" i="6" s="1" a="1"/>
  <c r="E1999" i="6" s="1"/>
  <c r="C1999" i="6" a="1"/>
  <c r="C1999" i="6" s="1"/>
  <c r="D1998" i="6" a="1"/>
  <c r="D1998" i="6" s="1"/>
  <c r="E1998" i="6" s="1" a="1"/>
  <c r="E1998" i="6" s="1"/>
  <c r="C1998" i="6" a="1"/>
  <c r="C1998" i="6" s="1"/>
  <c r="D1997" i="6" a="1"/>
  <c r="D1997" i="6" s="1"/>
  <c r="E1997" i="6" s="1" a="1"/>
  <c r="E1997" i="6" s="1"/>
  <c r="C1997" i="6" a="1"/>
  <c r="C1997" i="6" s="1"/>
  <c r="D1996" i="6" a="1"/>
  <c r="D1996" i="6" s="1"/>
  <c r="E1996" i="6" s="1" a="1"/>
  <c r="E1996" i="6" s="1"/>
  <c r="C1996" i="6" a="1"/>
  <c r="C1996" i="6" s="1"/>
  <c r="D1995" i="6" a="1"/>
  <c r="D1995" i="6" s="1"/>
  <c r="E1995" i="6" s="1" a="1"/>
  <c r="E1995" i="6" s="1"/>
  <c r="C1995" i="6" a="1"/>
  <c r="C1995" i="6" s="1"/>
  <c r="D1994" i="6" a="1"/>
  <c r="D1994" i="6" s="1"/>
  <c r="E1994" i="6" s="1" a="1"/>
  <c r="E1994" i="6" s="1"/>
  <c r="C1994" i="6" a="1"/>
  <c r="C1994" i="6" s="1"/>
  <c r="D1993" i="6" a="1"/>
  <c r="D1993" i="6" s="1"/>
  <c r="E1993" i="6" s="1" a="1"/>
  <c r="E1993" i="6" s="1"/>
  <c r="C1993" i="6" a="1"/>
  <c r="C1993" i="6" s="1"/>
  <c r="D1992" i="6" a="1"/>
  <c r="D1992" i="6" s="1"/>
  <c r="E1992" i="6" s="1" a="1"/>
  <c r="E1992" i="6" s="1"/>
  <c r="C1992" i="6" a="1"/>
  <c r="C1992" i="6" s="1"/>
  <c r="D1991" i="6" a="1"/>
  <c r="D1991" i="6" s="1"/>
  <c r="E1991" i="6" s="1" a="1"/>
  <c r="E1991" i="6" s="1"/>
  <c r="C1991" i="6" a="1"/>
  <c r="C1991" i="6" s="1"/>
  <c r="D1990" i="6" a="1"/>
  <c r="D1990" i="6" s="1"/>
  <c r="E1990" i="6" s="1" a="1"/>
  <c r="E1990" i="6" s="1"/>
  <c r="C1990" i="6" a="1"/>
  <c r="C1990" i="6" s="1"/>
  <c r="D1989" i="6" a="1"/>
  <c r="D1989" i="6" s="1"/>
  <c r="E1989" i="6" s="1" a="1"/>
  <c r="E1989" i="6" s="1"/>
  <c r="C1989" i="6" a="1"/>
  <c r="C1989" i="6" s="1"/>
  <c r="D1988" i="6" a="1"/>
  <c r="D1988" i="6" s="1"/>
  <c r="E1988" i="6" s="1" a="1"/>
  <c r="E1988" i="6" s="1"/>
  <c r="C1988" i="6" a="1"/>
  <c r="C1988" i="6" s="1"/>
  <c r="D1987" i="6" a="1"/>
  <c r="D1987" i="6" s="1"/>
  <c r="E1987" i="6" s="1" a="1"/>
  <c r="E1987" i="6" s="1"/>
  <c r="C1987" i="6" a="1"/>
  <c r="C1987" i="6" s="1"/>
  <c r="D1986" i="6" a="1"/>
  <c r="D1986" i="6" s="1"/>
  <c r="E1986" i="6" s="1" a="1"/>
  <c r="E1986" i="6" s="1"/>
  <c r="C1986" i="6" a="1"/>
  <c r="C1986" i="6" s="1"/>
  <c r="D1985" i="6" a="1"/>
  <c r="D1985" i="6" s="1"/>
  <c r="E1985" i="6" s="1" a="1"/>
  <c r="E1985" i="6" s="1"/>
  <c r="C1985" i="6" a="1"/>
  <c r="C1985" i="6" s="1"/>
  <c r="D1984" i="6" a="1"/>
  <c r="D1984" i="6" s="1"/>
  <c r="E1984" i="6" s="1" a="1"/>
  <c r="E1984" i="6" s="1"/>
  <c r="C1984" i="6" a="1"/>
  <c r="C1984" i="6" s="1"/>
  <c r="D1983" i="6" a="1"/>
  <c r="D1983" i="6" s="1"/>
  <c r="E1983" i="6" s="1" a="1"/>
  <c r="E1983" i="6" s="1"/>
  <c r="C1983" i="6" a="1"/>
  <c r="C1983" i="6" s="1"/>
  <c r="D1982" i="6" a="1"/>
  <c r="D1982" i="6" s="1"/>
  <c r="E1982" i="6" s="1" a="1"/>
  <c r="E1982" i="6" s="1"/>
  <c r="C1982" i="6" a="1"/>
  <c r="C1982" i="6" s="1"/>
  <c r="D1981" i="6" a="1"/>
  <c r="D1981" i="6" s="1"/>
  <c r="E1981" i="6" s="1" a="1"/>
  <c r="E1981" i="6" s="1"/>
  <c r="C1981" i="6" a="1"/>
  <c r="C1981" i="6" s="1"/>
  <c r="D1980" i="6" a="1"/>
  <c r="D1980" i="6" s="1"/>
  <c r="E1980" i="6" s="1" a="1"/>
  <c r="E1980" i="6" s="1"/>
  <c r="C1980" i="6" a="1"/>
  <c r="C1980" i="6" s="1"/>
  <c r="D1979" i="6" a="1"/>
  <c r="D1979" i="6" s="1"/>
  <c r="E1979" i="6" s="1" a="1"/>
  <c r="E1979" i="6" s="1"/>
  <c r="C1979" i="6" a="1"/>
  <c r="C1979" i="6" s="1"/>
  <c r="D1978" i="6" a="1"/>
  <c r="D1978" i="6" s="1"/>
  <c r="E1978" i="6" s="1" a="1"/>
  <c r="E1978" i="6" s="1"/>
  <c r="C1978" i="6" a="1"/>
  <c r="C1978" i="6" s="1"/>
  <c r="D1977" i="6" a="1"/>
  <c r="D1977" i="6" s="1"/>
  <c r="E1977" i="6" s="1" a="1"/>
  <c r="E1977" i="6" s="1"/>
  <c r="C1977" i="6" a="1"/>
  <c r="C1977" i="6" s="1"/>
  <c r="D1976" i="6" a="1"/>
  <c r="D1976" i="6" s="1"/>
  <c r="E1976" i="6" s="1" a="1"/>
  <c r="E1976" i="6" s="1"/>
  <c r="C1976" i="6" a="1"/>
  <c r="C1976" i="6" s="1"/>
  <c r="D1975" i="6" a="1"/>
  <c r="D1975" i="6" s="1"/>
  <c r="E1975" i="6" s="1" a="1"/>
  <c r="E1975" i="6" s="1"/>
  <c r="C1975" i="6" a="1"/>
  <c r="C1975" i="6" s="1"/>
  <c r="D1974" i="6" a="1"/>
  <c r="D1974" i="6" s="1"/>
  <c r="E1974" i="6" s="1" a="1"/>
  <c r="E1974" i="6" s="1"/>
  <c r="C1974" i="6" a="1"/>
  <c r="C1974" i="6" s="1"/>
  <c r="D1973" i="6" a="1"/>
  <c r="D1973" i="6" s="1"/>
  <c r="E1973" i="6" s="1" a="1"/>
  <c r="E1973" i="6" s="1"/>
  <c r="C1973" i="6" a="1"/>
  <c r="C1973" i="6" s="1"/>
  <c r="D1972" i="6" a="1"/>
  <c r="D1972" i="6" s="1"/>
  <c r="E1972" i="6" s="1" a="1"/>
  <c r="E1972" i="6" s="1"/>
  <c r="C1972" i="6" a="1"/>
  <c r="C1972" i="6" s="1"/>
  <c r="D1971" i="6" a="1"/>
  <c r="D1971" i="6" s="1"/>
  <c r="E1971" i="6" s="1" a="1"/>
  <c r="E1971" i="6" s="1"/>
  <c r="C1971" i="6" a="1"/>
  <c r="C1971" i="6" s="1"/>
  <c r="D1970" i="6" a="1"/>
  <c r="D1970" i="6" s="1"/>
  <c r="E1970" i="6" s="1" a="1"/>
  <c r="E1970" i="6" s="1"/>
  <c r="C1970" i="6" a="1"/>
  <c r="C1970" i="6" s="1"/>
  <c r="D1969" i="6" a="1"/>
  <c r="D1969" i="6" s="1"/>
  <c r="E1969" i="6" s="1" a="1"/>
  <c r="E1969" i="6" s="1"/>
  <c r="C1969" i="6" a="1"/>
  <c r="C1969" i="6" s="1"/>
  <c r="D1968" i="6" a="1"/>
  <c r="D1968" i="6" s="1"/>
  <c r="E1968" i="6" s="1" a="1"/>
  <c r="E1968" i="6" s="1"/>
  <c r="C1968" i="6" a="1"/>
  <c r="C1968" i="6" s="1"/>
  <c r="D1967" i="6" a="1"/>
  <c r="D1967" i="6" s="1"/>
  <c r="E1967" i="6" s="1" a="1"/>
  <c r="E1967" i="6" s="1"/>
  <c r="C1967" i="6" a="1"/>
  <c r="C1967" i="6" s="1"/>
  <c r="D1966" i="6" a="1"/>
  <c r="D1966" i="6" s="1"/>
  <c r="E1966" i="6" s="1" a="1"/>
  <c r="E1966" i="6" s="1"/>
  <c r="C1966" i="6" a="1"/>
  <c r="C1966" i="6" s="1"/>
  <c r="D1965" i="6" a="1"/>
  <c r="D1965" i="6" s="1"/>
  <c r="E1965" i="6" s="1" a="1"/>
  <c r="E1965" i="6" s="1"/>
  <c r="C1965" i="6" a="1"/>
  <c r="C1965" i="6" s="1"/>
  <c r="D1964" i="6" a="1"/>
  <c r="D1964" i="6" s="1"/>
  <c r="E1964" i="6" s="1" a="1"/>
  <c r="E1964" i="6" s="1"/>
  <c r="C1964" i="6" a="1"/>
  <c r="C1964" i="6" s="1"/>
  <c r="D1963" i="6" a="1"/>
  <c r="D1963" i="6" s="1"/>
  <c r="E1963" i="6" s="1" a="1"/>
  <c r="E1963" i="6" s="1"/>
  <c r="C1963" i="6" a="1"/>
  <c r="C1963" i="6" s="1"/>
  <c r="D1962" i="6" a="1"/>
  <c r="D1962" i="6" s="1"/>
  <c r="E1962" i="6" s="1" a="1"/>
  <c r="E1962" i="6" s="1"/>
  <c r="C1962" i="6" a="1"/>
  <c r="C1962" i="6" s="1"/>
  <c r="D1961" i="6" a="1"/>
  <c r="D1961" i="6" s="1"/>
  <c r="E1961" i="6" s="1" a="1"/>
  <c r="E1961" i="6" s="1"/>
  <c r="C1961" i="6" a="1"/>
  <c r="C1961" i="6" s="1"/>
  <c r="D1960" i="6" a="1"/>
  <c r="D1960" i="6" s="1"/>
  <c r="E1960" i="6" s="1" a="1"/>
  <c r="E1960" i="6" s="1"/>
  <c r="C1960" i="6" a="1"/>
  <c r="C1960" i="6" s="1"/>
  <c r="D1959" i="6" a="1"/>
  <c r="D1959" i="6" s="1"/>
  <c r="E1959" i="6" s="1" a="1"/>
  <c r="E1959" i="6" s="1"/>
  <c r="C1959" i="6" a="1"/>
  <c r="C1959" i="6" s="1"/>
  <c r="D1958" i="6" a="1"/>
  <c r="D1958" i="6" s="1"/>
  <c r="E1958" i="6" s="1" a="1"/>
  <c r="E1958" i="6" s="1"/>
  <c r="C1958" i="6" a="1"/>
  <c r="C1958" i="6" s="1"/>
  <c r="D1957" i="6" a="1"/>
  <c r="D1957" i="6" s="1"/>
  <c r="E1957" i="6" s="1" a="1"/>
  <c r="E1957" i="6" s="1"/>
  <c r="C1957" i="6" a="1"/>
  <c r="C1957" i="6" s="1"/>
  <c r="D1956" i="6" a="1"/>
  <c r="D1956" i="6" s="1"/>
  <c r="E1956" i="6" s="1" a="1"/>
  <c r="E1956" i="6" s="1"/>
  <c r="C1956" i="6" a="1"/>
  <c r="C1956" i="6" s="1"/>
  <c r="D1955" i="6" a="1"/>
  <c r="D1955" i="6" s="1"/>
  <c r="E1955" i="6" s="1" a="1"/>
  <c r="E1955" i="6" s="1"/>
  <c r="C1955" i="6" a="1"/>
  <c r="C1955" i="6" s="1"/>
  <c r="D1954" i="6" a="1"/>
  <c r="D1954" i="6" s="1"/>
  <c r="E1954" i="6" s="1" a="1"/>
  <c r="E1954" i="6" s="1"/>
  <c r="C1954" i="6" a="1"/>
  <c r="C1954" i="6" s="1"/>
  <c r="D1953" i="6" a="1"/>
  <c r="D1953" i="6" s="1"/>
  <c r="E1953" i="6" s="1" a="1"/>
  <c r="E1953" i="6" s="1"/>
  <c r="C1953" i="6" a="1"/>
  <c r="C1953" i="6" s="1"/>
  <c r="D1952" i="6" a="1"/>
  <c r="D1952" i="6" s="1"/>
  <c r="E1952" i="6" s="1" a="1"/>
  <c r="E1952" i="6" s="1"/>
  <c r="C1952" i="6" a="1"/>
  <c r="C1952" i="6" s="1"/>
  <c r="D1951" i="6" a="1"/>
  <c r="D1951" i="6" s="1"/>
  <c r="E1951" i="6" s="1" a="1"/>
  <c r="E1951" i="6" s="1"/>
  <c r="C1951" i="6" a="1"/>
  <c r="C1951" i="6" s="1"/>
  <c r="D1950" i="6" a="1"/>
  <c r="D1950" i="6" s="1"/>
  <c r="E1950" i="6" s="1" a="1"/>
  <c r="E1950" i="6" s="1"/>
  <c r="C1950" i="6" a="1"/>
  <c r="C1950" i="6" s="1"/>
  <c r="D1949" i="6" a="1"/>
  <c r="D1949" i="6" s="1"/>
  <c r="E1949" i="6" s="1" a="1"/>
  <c r="E1949" i="6" s="1"/>
  <c r="C1949" i="6" a="1"/>
  <c r="C1949" i="6" s="1"/>
  <c r="D1948" i="6" a="1"/>
  <c r="D1948" i="6" s="1"/>
  <c r="E1948" i="6" s="1" a="1"/>
  <c r="E1948" i="6" s="1"/>
  <c r="C1948" i="6" a="1"/>
  <c r="C1948" i="6" s="1"/>
  <c r="D1947" i="6" a="1"/>
  <c r="D1947" i="6" s="1"/>
  <c r="E1947" i="6" s="1" a="1"/>
  <c r="E1947" i="6" s="1"/>
  <c r="C1947" i="6" a="1"/>
  <c r="C1947" i="6" s="1"/>
  <c r="D1946" i="6" a="1"/>
  <c r="D1946" i="6" s="1"/>
  <c r="E1946" i="6" s="1" a="1"/>
  <c r="E1946" i="6" s="1"/>
  <c r="C1946" i="6" a="1"/>
  <c r="C1946" i="6" s="1"/>
  <c r="D1945" i="6" a="1"/>
  <c r="D1945" i="6" s="1"/>
  <c r="E1945" i="6" s="1" a="1"/>
  <c r="E1945" i="6" s="1"/>
  <c r="C1945" i="6" a="1"/>
  <c r="C1945" i="6" s="1"/>
  <c r="D1944" i="6" a="1"/>
  <c r="D1944" i="6" s="1"/>
  <c r="E1944" i="6" s="1" a="1"/>
  <c r="E1944" i="6" s="1"/>
  <c r="C1944" i="6" a="1"/>
  <c r="C1944" i="6" s="1"/>
  <c r="D1943" i="6" a="1"/>
  <c r="D1943" i="6" s="1"/>
  <c r="E1943" i="6" s="1" a="1"/>
  <c r="E1943" i="6" s="1"/>
  <c r="C1943" i="6" a="1"/>
  <c r="C1943" i="6" s="1"/>
  <c r="D1942" i="6" a="1"/>
  <c r="D1942" i="6" s="1"/>
  <c r="E1942" i="6" s="1" a="1"/>
  <c r="E1942" i="6" s="1"/>
  <c r="C1942" i="6" a="1"/>
  <c r="C1942" i="6" s="1"/>
  <c r="D1941" i="6" a="1"/>
  <c r="D1941" i="6" s="1"/>
  <c r="E1941" i="6" s="1" a="1"/>
  <c r="E1941" i="6" s="1"/>
  <c r="C1941" i="6" a="1"/>
  <c r="C1941" i="6" s="1"/>
  <c r="D1940" i="6" a="1"/>
  <c r="D1940" i="6" s="1"/>
  <c r="E1940" i="6" s="1" a="1"/>
  <c r="E1940" i="6" s="1"/>
  <c r="C1940" i="6" a="1"/>
  <c r="C1940" i="6" s="1"/>
  <c r="D1939" i="6" a="1"/>
  <c r="D1939" i="6" s="1"/>
  <c r="E1939" i="6" s="1" a="1"/>
  <c r="E1939" i="6" s="1"/>
  <c r="C1939" i="6" a="1"/>
  <c r="C1939" i="6" s="1"/>
  <c r="D1938" i="6" a="1"/>
  <c r="D1938" i="6" s="1"/>
  <c r="E1938" i="6" s="1" a="1"/>
  <c r="E1938" i="6" s="1"/>
  <c r="C1938" i="6" a="1"/>
  <c r="C1938" i="6" s="1"/>
  <c r="D1937" i="6" a="1"/>
  <c r="D1937" i="6" s="1"/>
  <c r="E1937" i="6" s="1" a="1"/>
  <c r="E1937" i="6" s="1"/>
  <c r="C1937" i="6" a="1"/>
  <c r="C1937" i="6" s="1"/>
  <c r="D1936" i="6" a="1"/>
  <c r="D1936" i="6" s="1"/>
  <c r="E1936" i="6" s="1" a="1"/>
  <c r="E1936" i="6" s="1"/>
  <c r="C1936" i="6" a="1"/>
  <c r="C1936" i="6" s="1"/>
  <c r="D1935" i="6" a="1"/>
  <c r="D1935" i="6" s="1"/>
  <c r="E1935" i="6" s="1" a="1"/>
  <c r="E1935" i="6" s="1"/>
  <c r="C1935" i="6" a="1"/>
  <c r="C1935" i="6" s="1"/>
  <c r="D1934" i="6" a="1"/>
  <c r="D1934" i="6" s="1"/>
  <c r="E1934" i="6" s="1" a="1"/>
  <c r="E1934" i="6" s="1"/>
  <c r="C1934" i="6" a="1"/>
  <c r="C1934" i="6" s="1"/>
  <c r="D1933" i="6" a="1"/>
  <c r="D1933" i="6" s="1"/>
  <c r="E1933" i="6" s="1" a="1"/>
  <c r="E1933" i="6" s="1"/>
  <c r="C1933" i="6" a="1"/>
  <c r="C1933" i="6" s="1"/>
  <c r="D1932" i="6" a="1"/>
  <c r="D1932" i="6" s="1"/>
  <c r="E1932" i="6" s="1" a="1"/>
  <c r="E1932" i="6" s="1"/>
  <c r="C1932" i="6" a="1"/>
  <c r="C1932" i="6" s="1"/>
  <c r="D1931" i="6" a="1"/>
  <c r="D1931" i="6" s="1"/>
  <c r="E1931" i="6" s="1" a="1"/>
  <c r="E1931" i="6" s="1"/>
  <c r="C1931" i="6" a="1"/>
  <c r="C1931" i="6" s="1"/>
  <c r="D1930" i="6" a="1"/>
  <c r="D1930" i="6" s="1"/>
  <c r="E1930" i="6" s="1" a="1"/>
  <c r="E1930" i="6" s="1"/>
  <c r="C1930" i="6" a="1"/>
  <c r="C1930" i="6" s="1"/>
  <c r="D1929" i="6" a="1"/>
  <c r="D1929" i="6" s="1"/>
  <c r="E1929" i="6" s="1" a="1"/>
  <c r="E1929" i="6" s="1"/>
  <c r="C1929" i="6" a="1"/>
  <c r="C1929" i="6" s="1"/>
  <c r="D1928" i="6" a="1"/>
  <c r="D1928" i="6" s="1"/>
  <c r="E1928" i="6" s="1" a="1"/>
  <c r="E1928" i="6" s="1"/>
  <c r="C1928" i="6" a="1"/>
  <c r="C1928" i="6" s="1"/>
  <c r="D1927" i="6" a="1"/>
  <c r="D1927" i="6" s="1"/>
  <c r="E1927" i="6" s="1" a="1"/>
  <c r="E1927" i="6" s="1"/>
  <c r="C1927" i="6" a="1"/>
  <c r="C1927" i="6" s="1"/>
  <c r="D1926" i="6" a="1"/>
  <c r="D1926" i="6" s="1"/>
  <c r="E1926" i="6" s="1" a="1"/>
  <c r="E1926" i="6" s="1"/>
  <c r="C1926" i="6" a="1"/>
  <c r="C1926" i="6" s="1"/>
  <c r="D1925" i="6" a="1"/>
  <c r="D1925" i="6" s="1"/>
  <c r="E1925" i="6" s="1" a="1"/>
  <c r="E1925" i="6" s="1"/>
  <c r="C1925" i="6" a="1"/>
  <c r="C1925" i="6" s="1"/>
  <c r="D1924" i="6" a="1"/>
  <c r="D1924" i="6" s="1"/>
  <c r="E1924" i="6" s="1" a="1"/>
  <c r="E1924" i="6" s="1"/>
  <c r="C1924" i="6" a="1"/>
  <c r="C1924" i="6" s="1"/>
  <c r="D1923" i="6" a="1"/>
  <c r="D1923" i="6" s="1"/>
  <c r="E1923" i="6" s="1" a="1"/>
  <c r="E1923" i="6" s="1"/>
  <c r="C1923" i="6" a="1"/>
  <c r="C1923" i="6" s="1"/>
  <c r="D1922" i="6" a="1"/>
  <c r="D1922" i="6" s="1"/>
  <c r="E1922" i="6" s="1" a="1"/>
  <c r="E1922" i="6" s="1"/>
  <c r="C1922" i="6" a="1"/>
  <c r="C1922" i="6" s="1"/>
  <c r="D1921" i="6" a="1"/>
  <c r="D1921" i="6" s="1"/>
  <c r="E1921" i="6" s="1" a="1"/>
  <c r="E1921" i="6" s="1"/>
  <c r="C1921" i="6" a="1"/>
  <c r="C1921" i="6" s="1"/>
  <c r="D1920" i="6" a="1"/>
  <c r="D1920" i="6" s="1"/>
  <c r="E1920" i="6" s="1" a="1"/>
  <c r="E1920" i="6" s="1"/>
  <c r="C1920" i="6" a="1"/>
  <c r="C1920" i="6" s="1"/>
  <c r="D1919" i="6" a="1"/>
  <c r="D1919" i="6" s="1"/>
  <c r="E1919" i="6" s="1" a="1"/>
  <c r="E1919" i="6" s="1"/>
  <c r="C1919" i="6" a="1"/>
  <c r="C1919" i="6" s="1"/>
  <c r="D1918" i="6" a="1"/>
  <c r="D1918" i="6" s="1"/>
  <c r="E1918" i="6" s="1" a="1"/>
  <c r="E1918" i="6" s="1"/>
  <c r="C1918" i="6" a="1"/>
  <c r="C1918" i="6" s="1"/>
  <c r="D1917" i="6" a="1"/>
  <c r="D1917" i="6" s="1"/>
  <c r="E1917" i="6" s="1" a="1"/>
  <c r="E1917" i="6" s="1"/>
  <c r="C1917" i="6" a="1"/>
  <c r="C1917" i="6" s="1"/>
  <c r="D1916" i="6" a="1"/>
  <c r="D1916" i="6" s="1"/>
  <c r="E1916" i="6" s="1" a="1"/>
  <c r="E1916" i="6" s="1"/>
  <c r="C1916" i="6" a="1"/>
  <c r="C1916" i="6" s="1"/>
  <c r="D1915" i="6" a="1"/>
  <c r="D1915" i="6" s="1"/>
  <c r="E1915" i="6" s="1" a="1"/>
  <c r="E1915" i="6" s="1"/>
  <c r="C1915" i="6" a="1"/>
  <c r="C1915" i="6" s="1"/>
  <c r="D1914" i="6" a="1"/>
  <c r="D1914" i="6" s="1"/>
  <c r="E1914" i="6" s="1" a="1"/>
  <c r="E1914" i="6" s="1"/>
  <c r="C1914" i="6" a="1"/>
  <c r="C1914" i="6" s="1"/>
  <c r="D1913" i="6" a="1"/>
  <c r="D1913" i="6" s="1"/>
  <c r="E1913" i="6" s="1" a="1"/>
  <c r="E1913" i="6" s="1"/>
  <c r="C1913" i="6" a="1"/>
  <c r="C1913" i="6" s="1"/>
  <c r="D1912" i="6" a="1"/>
  <c r="D1912" i="6" s="1"/>
  <c r="E1912" i="6" s="1" a="1"/>
  <c r="E1912" i="6" s="1"/>
  <c r="C1912" i="6" a="1"/>
  <c r="C1912" i="6" s="1"/>
  <c r="D1911" i="6" a="1"/>
  <c r="D1911" i="6" s="1"/>
  <c r="E1911" i="6" s="1" a="1"/>
  <c r="E1911" i="6" s="1"/>
  <c r="C1911" i="6" a="1"/>
  <c r="C1911" i="6" s="1"/>
  <c r="D1910" i="6" a="1"/>
  <c r="D1910" i="6" s="1"/>
  <c r="E1910" i="6" s="1" a="1"/>
  <c r="E1910" i="6" s="1"/>
  <c r="C1910" i="6" a="1"/>
  <c r="C1910" i="6" s="1"/>
  <c r="D1909" i="6" a="1"/>
  <c r="D1909" i="6" s="1"/>
  <c r="E1909" i="6" s="1" a="1"/>
  <c r="E1909" i="6" s="1"/>
  <c r="C1909" i="6" a="1"/>
  <c r="C1909" i="6" s="1"/>
  <c r="D1908" i="6" a="1"/>
  <c r="D1908" i="6" s="1"/>
  <c r="E1908" i="6" s="1" a="1"/>
  <c r="E1908" i="6" s="1"/>
  <c r="C1908" i="6" a="1"/>
  <c r="C1908" i="6" s="1"/>
  <c r="D1907" i="6" a="1"/>
  <c r="D1907" i="6" s="1"/>
  <c r="E1907" i="6" s="1" a="1"/>
  <c r="E1907" i="6" s="1"/>
  <c r="C1907" i="6" a="1"/>
  <c r="C1907" i="6" s="1"/>
  <c r="D1906" i="6" a="1"/>
  <c r="D1906" i="6" s="1"/>
  <c r="E1906" i="6" s="1" a="1"/>
  <c r="E1906" i="6" s="1"/>
  <c r="C1906" i="6" a="1"/>
  <c r="C1906" i="6" s="1"/>
  <c r="D1905" i="6" a="1"/>
  <c r="D1905" i="6" s="1"/>
  <c r="E1905" i="6" s="1" a="1"/>
  <c r="E1905" i="6" s="1"/>
  <c r="C1905" i="6" a="1"/>
  <c r="C1905" i="6" s="1"/>
  <c r="D1904" i="6" a="1"/>
  <c r="D1904" i="6" s="1"/>
  <c r="E1904" i="6" s="1" a="1"/>
  <c r="E1904" i="6" s="1"/>
  <c r="C1904" i="6" a="1"/>
  <c r="C1904" i="6" s="1"/>
  <c r="D1903" i="6" a="1"/>
  <c r="D1903" i="6" s="1"/>
  <c r="E1903" i="6" s="1" a="1"/>
  <c r="E1903" i="6" s="1"/>
  <c r="C1903" i="6" a="1"/>
  <c r="C1903" i="6" s="1"/>
  <c r="D1902" i="6" a="1"/>
  <c r="D1902" i="6" s="1"/>
  <c r="E1902" i="6" s="1" a="1"/>
  <c r="E1902" i="6" s="1"/>
  <c r="C1902" i="6" a="1"/>
  <c r="C1902" i="6" s="1"/>
  <c r="D1901" i="6" a="1"/>
  <c r="D1901" i="6" s="1"/>
  <c r="E1901" i="6" s="1" a="1"/>
  <c r="E1901" i="6" s="1"/>
  <c r="C1901" i="6" a="1"/>
  <c r="C1901" i="6" s="1"/>
  <c r="D1900" i="6" a="1"/>
  <c r="D1900" i="6" s="1"/>
  <c r="E1900" i="6" s="1" a="1"/>
  <c r="E1900" i="6" s="1"/>
  <c r="C1900" i="6" a="1"/>
  <c r="C1900" i="6" s="1"/>
  <c r="D1899" i="6" a="1"/>
  <c r="D1899" i="6" s="1"/>
  <c r="E1899" i="6" s="1" a="1"/>
  <c r="E1899" i="6" s="1"/>
  <c r="C1899" i="6" a="1"/>
  <c r="C1899" i="6" s="1"/>
  <c r="D1898" i="6" a="1"/>
  <c r="D1898" i="6" s="1"/>
  <c r="E1898" i="6" s="1" a="1"/>
  <c r="E1898" i="6" s="1"/>
  <c r="C1898" i="6" a="1"/>
  <c r="C1898" i="6" s="1"/>
  <c r="D1897" i="6" a="1"/>
  <c r="D1897" i="6" s="1"/>
  <c r="E1897" i="6" s="1" a="1"/>
  <c r="E1897" i="6" s="1"/>
  <c r="C1897" i="6" a="1"/>
  <c r="C1897" i="6" s="1"/>
  <c r="D1896" i="6" a="1"/>
  <c r="D1896" i="6" s="1"/>
  <c r="E1896" i="6" s="1" a="1"/>
  <c r="E1896" i="6" s="1"/>
  <c r="C1896" i="6" a="1"/>
  <c r="C1896" i="6" s="1"/>
  <c r="D1895" i="6" a="1"/>
  <c r="D1895" i="6" s="1"/>
  <c r="E1895" i="6" s="1" a="1"/>
  <c r="E1895" i="6" s="1"/>
  <c r="C1895" i="6" a="1"/>
  <c r="C1895" i="6" s="1"/>
  <c r="D1894" i="6" a="1"/>
  <c r="D1894" i="6" s="1"/>
  <c r="E1894" i="6" s="1" a="1"/>
  <c r="E1894" i="6" s="1"/>
  <c r="C1894" i="6" a="1"/>
  <c r="C1894" i="6" s="1"/>
  <c r="D1893" i="6" a="1"/>
  <c r="D1893" i="6" s="1"/>
  <c r="E1893" i="6" s="1" a="1"/>
  <c r="E1893" i="6" s="1"/>
  <c r="C1893" i="6" a="1"/>
  <c r="C1893" i="6" s="1"/>
  <c r="D1892" i="6" a="1"/>
  <c r="D1892" i="6" s="1"/>
  <c r="E1892" i="6" s="1" a="1"/>
  <c r="E1892" i="6" s="1"/>
  <c r="C1892" i="6" a="1"/>
  <c r="C1892" i="6" s="1"/>
  <c r="D1891" i="6" a="1"/>
  <c r="D1891" i="6" s="1"/>
  <c r="E1891" i="6" s="1" a="1"/>
  <c r="E1891" i="6" s="1"/>
  <c r="C1891" i="6" a="1"/>
  <c r="C1891" i="6" s="1"/>
  <c r="D1890" i="6" a="1"/>
  <c r="D1890" i="6" s="1"/>
  <c r="E1890" i="6" s="1" a="1"/>
  <c r="E1890" i="6" s="1"/>
  <c r="C1890" i="6" a="1"/>
  <c r="C1890" i="6" s="1"/>
  <c r="D1889" i="6" a="1"/>
  <c r="D1889" i="6" s="1"/>
  <c r="E1889" i="6" s="1" a="1"/>
  <c r="E1889" i="6" s="1"/>
  <c r="C1889" i="6" a="1"/>
  <c r="C1889" i="6" s="1"/>
  <c r="D1888" i="6" a="1"/>
  <c r="D1888" i="6" s="1"/>
  <c r="E1888" i="6" s="1" a="1"/>
  <c r="E1888" i="6" s="1"/>
  <c r="C1888" i="6" a="1"/>
  <c r="C1888" i="6" s="1"/>
  <c r="D1887" i="6" a="1"/>
  <c r="D1887" i="6" s="1"/>
  <c r="E1887" i="6" s="1" a="1"/>
  <c r="E1887" i="6" s="1"/>
  <c r="C1887" i="6" a="1"/>
  <c r="C1887" i="6" s="1"/>
  <c r="D1886" i="6" a="1"/>
  <c r="D1886" i="6" s="1"/>
  <c r="E1886" i="6" s="1" a="1"/>
  <c r="E1886" i="6" s="1"/>
  <c r="C1886" i="6" a="1"/>
  <c r="C1886" i="6" s="1"/>
  <c r="D1885" i="6" a="1"/>
  <c r="D1885" i="6" s="1"/>
  <c r="E1885" i="6" s="1" a="1"/>
  <c r="E1885" i="6" s="1"/>
  <c r="C1885" i="6" a="1"/>
  <c r="C1885" i="6" s="1"/>
  <c r="D1884" i="6" a="1"/>
  <c r="D1884" i="6" s="1"/>
  <c r="E1884" i="6" s="1" a="1"/>
  <c r="E1884" i="6" s="1"/>
  <c r="C1884" i="6" a="1"/>
  <c r="C1884" i="6" s="1"/>
  <c r="D1883" i="6" a="1"/>
  <c r="D1883" i="6" s="1"/>
  <c r="E1883" i="6" s="1" a="1"/>
  <c r="E1883" i="6" s="1"/>
  <c r="C1883" i="6" a="1"/>
  <c r="C1883" i="6" s="1"/>
  <c r="D1882" i="6" a="1"/>
  <c r="D1882" i="6" s="1"/>
  <c r="E1882" i="6" s="1" a="1"/>
  <c r="E1882" i="6" s="1"/>
  <c r="C1882" i="6" a="1"/>
  <c r="C1882" i="6" s="1"/>
  <c r="D1881" i="6" a="1"/>
  <c r="D1881" i="6" s="1"/>
  <c r="E1881" i="6" s="1" a="1"/>
  <c r="E1881" i="6" s="1"/>
  <c r="C1881" i="6" a="1"/>
  <c r="C1881" i="6" s="1"/>
  <c r="D1880" i="6" a="1"/>
  <c r="D1880" i="6" s="1"/>
  <c r="E1880" i="6" s="1" a="1"/>
  <c r="E1880" i="6" s="1"/>
  <c r="C1880" i="6" a="1"/>
  <c r="C1880" i="6" s="1"/>
  <c r="D1879" i="6" a="1"/>
  <c r="D1879" i="6" s="1"/>
  <c r="E1879" i="6" s="1" a="1"/>
  <c r="E1879" i="6" s="1"/>
  <c r="C1879" i="6" a="1"/>
  <c r="C1879" i="6" s="1"/>
  <c r="D1878" i="6" a="1"/>
  <c r="D1878" i="6" s="1"/>
  <c r="E1878" i="6" s="1" a="1"/>
  <c r="E1878" i="6" s="1"/>
  <c r="C1878" i="6" a="1"/>
  <c r="C1878" i="6" s="1"/>
  <c r="D1877" i="6" a="1"/>
  <c r="D1877" i="6" s="1"/>
  <c r="E1877" i="6" s="1" a="1"/>
  <c r="E1877" i="6" s="1"/>
  <c r="C1877" i="6" a="1"/>
  <c r="C1877" i="6" s="1"/>
  <c r="D1876" i="6" a="1"/>
  <c r="D1876" i="6" s="1"/>
  <c r="E1876" i="6" s="1" a="1"/>
  <c r="E1876" i="6" s="1"/>
  <c r="C1876" i="6" a="1"/>
  <c r="C1876" i="6" s="1"/>
  <c r="D1875" i="6" a="1"/>
  <c r="D1875" i="6" s="1"/>
  <c r="E1875" i="6" s="1" a="1"/>
  <c r="E1875" i="6" s="1"/>
  <c r="C1875" i="6" a="1"/>
  <c r="C1875" i="6" s="1"/>
  <c r="D1874" i="6" a="1"/>
  <c r="D1874" i="6" s="1"/>
  <c r="E1874" i="6" s="1" a="1"/>
  <c r="E1874" i="6" s="1"/>
  <c r="C1874" i="6" a="1"/>
  <c r="C1874" i="6" s="1"/>
  <c r="D1873" i="6" a="1"/>
  <c r="D1873" i="6" s="1"/>
  <c r="E1873" i="6" s="1" a="1"/>
  <c r="E1873" i="6" s="1"/>
  <c r="C1873" i="6" a="1"/>
  <c r="C1873" i="6" s="1"/>
  <c r="D1872" i="6" a="1"/>
  <c r="D1872" i="6" s="1"/>
  <c r="E1872" i="6" s="1" a="1"/>
  <c r="E1872" i="6" s="1"/>
  <c r="C1872" i="6" a="1"/>
  <c r="C1872" i="6" s="1"/>
  <c r="D1871" i="6" a="1"/>
  <c r="D1871" i="6" s="1"/>
  <c r="E1871" i="6" s="1" a="1"/>
  <c r="E1871" i="6" s="1"/>
  <c r="C1871" i="6" a="1"/>
  <c r="C1871" i="6" s="1"/>
  <c r="D1870" i="6" a="1"/>
  <c r="D1870" i="6" s="1"/>
  <c r="E1870" i="6" s="1" a="1"/>
  <c r="E1870" i="6" s="1"/>
  <c r="C1870" i="6" a="1"/>
  <c r="C1870" i="6" s="1"/>
  <c r="D1869" i="6" a="1"/>
  <c r="D1869" i="6" s="1"/>
  <c r="E1869" i="6" s="1" a="1"/>
  <c r="E1869" i="6" s="1"/>
  <c r="C1869" i="6" a="1"/>
  <c r="C1869" i="6" s="1"/>
  <c r="D1868" i="6" a="1"/>
  <c r="D1868" i="6" s="1"/>
  <c r="E1868" i="6" s="1" a="1"/>
  <c r="E1868" i="6" s="1"/>
  <c r="C1868" i="6" a="1"/>
  <c r="C1868" i="6" s="1"/>
  <c r="D1867" i="6" a="1"/>
  <c r="D1867" i="6" s="1"/>
  <c r="E1867" i="6" s="1" a="1"/>
  <c r="E1867" i="6" s="1"/>
  <c r="C1867" i="6" a="1"/>
  <c r="C1867" i="6" s="1"/>
  <c r="D1866" i="6" a="1"/>
  <c r="D1866" i="6" s="1"/>
  <c r="E1866" i="6" s="1" a="1"/>
  <c r="E1866" i="6" s="1"/>
  <c r="C1866" i="6" a="1"/>
  <c r="C1866" i="6" s="1"/>
  <c r="D1865" i="6" a="1"/>
  <c r="D1865" i="6" s="1"/>
  <c r="E1865" i="6" s="1" a="1"/>
  <c r="E1865" i="6" s="1"/>
  <c r="C1865" i="6" a="1"/>
  <c r="C1865" i="6" s="1"/>
  <c r="D1864" i="6" a="1"/>
  <c r="D1864" i="6" s="1"/>
  <c r="E1864" i="6" s="1" a="1"/>
  <c r="E1864" i="6" s="1"/>
  <c r="C1864" i="6" a="1"/>
  <c r="C1864" i="6" s="1"/>
  <c r="D1863" i="6" a="1"/>
  <c r="D1863" i="6" s="1"/>
  <c r="E1863" i="6" s="1" a="1"/>
  <c r="E1863" i="6" s="1"/>
  <c r="C1863" i="6" a="1"/>
  <c r="C1863" i="6" s="1"/>
  <c r="D1862" i="6" a="1"/>
  <c r="D1862" i="6" s="1"/>
  <c r="E1862" i="6" s="1" a="1"/>
  <c r="E1862" i="6" s="1"/>
  <c r="C1862" i="6" a="1"/>
  <c r="C1862" i="6" s="1"/>
  <c r="D1861" i="6" a="1"/>
  <c r="D1861" i="6" s="1"/>
  <c r="E1861" i="6" s="1" a="1"/>
  <c r="E1861" i="6" s="1"/>
  <c r="C1861" i="6" a="1"/>
  <c r="C1861" i="6" s="1"/>
  <c r="D1860" i="6" a="1"/>
  <c r="D1860" i="6" s="1"/>
  <c r="E1860" i="6" s="1" a="1"/>
  <c r="E1860" i="6" s="1"/>
  <c r="C1860" i="6" a="1"/>
  <c r="C1860" i="6" s="1"/>
  <c r="D1859" i="6" a="1"/>
  <c r="D1859" i="6" s="1"/>
  <c r="E1859" i="6" s="1" a="1"/>
  <c r="E1859" i="6" s="1"/>
  <c r="C1859" i="6" a="1"/>
  <c r="C1859" i="6" s="1"/>
  <c r="D1858" i="6" a="1"/>
  <c r="D1858" i="6" s="1"/>
  <c r="E1858" i="6" s="1" a="1"/>
  <c r="E1858" i="6" s="1"/>
  <c r="C1858" i="6" a="1"/>
  <c r="C1858" i="6" s="1"/>
  <c r="D1857" i="6" a="1"/>
  <c r="D1857" i="6" s="1"/>
  <c r="E1857" i="6" s="1" a="1"/>
  <c r="E1857" i="6" s="1"/>
  <c r="C1857" i="6" a="1"/>
  <c r="C1857" i="6" s="1"/>
  <c r="D1856" i="6" a="1"/>
  <c r="D1856" i="6" s="1"/>
  <c r="E1856" i="6" s="1" a="1"/>
  <c r="E1856" i="6" s="1"/>
  <c r="C1856" i="6" a="1"/>
  <c r="C1856" i="6" s="1"/>
  <c r="D1855" i="6" a="1"/>
  <c r="D1855" i="6" s="1"/>
  <c r="E1855" i="6" s="1" a="1"/>
  <c r="E1855" i="6" s="1"/>
  <c r="C1855" i="6" a="1"/>
  <c r="C1855" i="6" s="1"/>
  <c r="D1854" i="6" a="1"/>
  <c r="D1854" i="6" s="1"/>
  <c r="E1854" i="6" s="1" a="1"/>
  <c r="E1854" i="6" s="1"/>
  <c r="C1854" i="6" a="1"/>
  <c r="C1854" i="6" s="1"/>
  <c r="D1853" i="6" a="1"/>
  <c r="D1853" i="6" s="1"/>
  <c r="E1853" i="6" s="1" a="1"/>
  <c r="E1853" i="6" s="1"/>
  <c r="C1853" i="6" a="1"/>
  <c r="C1853" i="6" s="1"/>
  <c r="D1852" i="6" a="1"/>
  <c r="D1852" i="6" s="1"/>
  <c r="E1852" i="6" s="1" a="1"/>
  <c r="E1852" i="6" s="1"/>
  <c r="C1852" i="6" a="1"/>
  <c r="C1852" i="6" s="1"/>
  <c r="D1851" i="6" a="1"/>
  <c r="D1851" i="6" s="1"/>
  <c r="E1851" i="6" s="1" a="1"/>
  <c r="E1851" i="6" s="1"/>
  <c r="C1851" i="6" a="1"/>
  <c r="C1851" i="6" s="1"/>
  <c r="D1850" i="6" a="1"/>
  <c r="D1850" i="6" s="1"/>
  <c r="E1850" i="6" s="1" a="1"/>
  <c r="E1850" i="6" s="1"/>
  <c r="C1850" i="6" a="1"/>
  <c r="C1850" i="6" s="1"/>
  <c r="D1849" i="6" a="1"/>
  <c r="D1849" i="6" s="1"/>
  <c r="E1849" i="6" s="1" a="1"/>
  <c r="E1849" i="6" s="1"/>
  <c r="C1849" i="6" a="1"/>
  <c r="C1849" i="6" s="1"/>
  <c r="D1848" i="6" a="1"/>
  <c r="D1848" i="6" s="1"/>
  <c r="E1848" i="6" s="1" a="1"/>
  <c r="E1848" i="6" s="1"/>
  <c r="C1848" i="6" a="1"/>
  <c r="C1848" i="6" s="1"/>
  <c r="D1847" i="6" a="1"/>
  <c r="D1847" i="6" s="1"/>
  <c r="E1847" i="6" s="1" a="1"/>
  <c r="E1847" i="6" s="1"/>
  <c r="C1847" i="6" a="1"/>
  <c r="C1847" i="6" s="1"/>
  <c r="D1846" i="6" a="1"/>
  <c r="D1846" i="6" s="1"/>
  <c r="E1846" i="6" s="1" a="1"/>
  <c r="E1846" i="6" s="1"/>
  <c r="C1846" i="6" a="1"/>
  <c r="C1846" i="6" s="1"/>
  <c r="D1845" i="6" a="1"/>
  <c r="D1845" i="6" s="1"/>
  <c r="E1845" i="6" s="1" a="1"/>
  <c r="E1845" i="6" s="1"/>
  <c r="C1845" i="6" a="1"/>
  <c r="C1845" i="6" s="1"/>
  <c r="D1844" i="6" a="1"/>
  <c r="D1844" i="6" s="1"/>
  <c r="E1844" i="6" s="1" a="1"/>
  <c r="E1844" i="6" s="1"/>
  <c r="C1844" i="6" a="1"/>
  <c r="C1844" i="6" s="1"/>
  <c r="D1843" i="6" a="1"/>
  <c r="D1843" i="6" s="1"/>
  <c r="E1843" i="6" s="1" a="1"/>
  <c r="E1843" i="6" s="1"/>
  <c r="C1843" i="6" a="1"/>
  <c r="C1843" i="6" s="1"/>
  <c r="D1842" i="6" a="1"/>
  <c r="D1842" i="6" s="1"/>
  <c r="E1842" i="6" s="1" a="1"/>
  <c r="E1842" i="6" s="1"/>
  <c r="C1842" i="6" a="1"/>
  <c r="C1842" i="6" s="1"/>
  <c r="D1841" i="6" a="1"/>
  <c r="D1841" i="6" s="1"/>
  <c r="E1841" i="6" s="1" a="1"/>
  <c r="E1841" i="6" s="1"/>
  <c r="C1841" i="6" a="1"/>
  <c r="C1841" i="6" s="1"/>
  <c r="D1840" i="6" a="1"/>
  <c r="D1840" i="6" s="1"/>
  <c r="E1840" i="6" s="1" a="1"/>
  <c r="E1840" i="6" s="1"/>
  <c r="C1840" i="6" a="1"/>
  <c r="C1840" i="6" s="1"/>
  <c r="D1839" i="6" a="1"/>
  <c r="D1839" i="6" s="1"/>
  <c r="E1839" i="6" s="1" a="1"/>
  <c r="E1839" i="6" s="1"/>
  <c r="C1839" i="6" a="1"/>
  <c r="C1839" i="6" s="1"/>
  <c r="D1838" i="6" a="1"/>
  <c r="D1838" i="6" s="1"/>
  <c r="E1838" i="6" s="1" a="1"/>
  <c r="E1838" i="6" s="1"/>
  <c r="C1838" i="6" a="1"/>
  <c r="C1838" i="6" s="1"/>
  <c r="D1837" i="6" a="1"/>
  <c r="D1837" i="6" s="1"/>
  <c r="E1837" i="6" s="1" a="1"/>
  <c r="E1837" i="6" s="1"/>
  <c r="C1837" i="6" a="1"/>
  <c r="C1837" i="6" s="1"/>
  <c r="D1836" i="6" a="1"/>
  <c r="D1836" i="6" s="1"/>
  <c r="E1836" i="6" s="1" a="1"/>
  <c r="E1836" i="6" s="1"/>
  <c r="C1836" i="6" a="1"/>
  <c r="C1836" i="6" s="1"/>
  <c r="D1835" i="6" a="1"/>
  <c r="D1835" i="6" s="1"/>
  <c r="E1835" i="6" s="1" a="1"/>
  <c r="E1835" i="6" s="1"/>
  <c r="C1835" i="6" a="1"/>
  <c r="C1835" i="6" s="1"/>
  <c r="D1834" i="6" a="1"/>
  <c r="D1834" i="6" s="1"/>
  <c r="E1834" i="6" s="1" a="1"/>
  <c r="E1834" i="6" s="1"/>
  <c r="C1834" i="6" a="1"/>
  <c r="C1834" i="6" s="1"/>
  <c r="D1833" i="6" a="1"/>
  <c r="D1833" i="6" s="1"/>
  <c r="E1833" i="6" s="1" a="1"/>
  <c r="E1833" i="6" s="1"/>
  <c r="C1833" i="6" a="1"/>
  <c r="C1833" i="6" s="1"/>
  <c r="D1832" i="6" a="1"/>
  <c r="D1832" i="6" s="1"/>
  <c r="E1832" i="6" s="1" a="1"/>
  <c r="E1832" i="6" s="1"/>
  <c r="C1832" i="6" a="1"/>
  <c r="C1832" i="6" s="1"/>
  <c r="D1831" i="6" a="1"/>
  <c r="D1831" i="6" s="1"/>
  <c r="E1831" i="6" s="1" a="1"/>
  <c r="E1831" i="6" s="1"/>
  <c r="C1831" i="6" a="1"/>
  <c r="C1831" i="6" s="1"/>
  <c r="D1830" i="6" a="1"/>
  <c r="D1830" i="6" s="1"/>
  <c r="E1830" i="6" s="1" a="1"/>
  <c r="E1830" i="6" s="1"/>
  <c r="C1830" i="6" a="1"/>
  <c r="C1830" i="6" s="1"/>
  <c r="D1829" i="6" a="1"/>
  <c r="D1829" i="6" s="1"/>
  <c r="E1829" i="6" s="1" a="1"/>
  <c r="E1829" i="6" s="1"/>
  <c r="C1829" i="6" a="1"/>
  <c r="C1829" i="6" s="1"/>
  <c r="D1828" i="6" a="1"/>
  <c r="D1828" i="6" s="1"/>
  <c r="E1828" i="6" s="1" a="1"/>
  <c r="E1828" i="6" s="1"/>
  <c r="C1828" i="6" a="1"/>
  <c r="C1828" i="6" s="1"/>
  <c r="D1827" i="6" a="1"/>
  <c r="D1827" i="6" s="1"/>
  <c r="E1827" i="6" s="1" a="1"/>
  <c r="E1827" i="6" s="1"/>
  <c r="C1827" i="6" a="1"/>
  <c r="C1827" i="6" s="1"/>
  <c r="D1826" i="6" a="1"/>
  <c r="D1826" i="6" s="1"/>
  <c r="E1826" i="6" s="1" a="1"/>
  <c r="E1826" i="6" s="1"/>
  <c r="C1826" i="6" a="1"/>
  <c r="C1826" i="6" s="1"/>
  <c r="D1825" i="6" a="1"/>
  <c r="D1825" i="6" s="1"/>
  <c r="E1825" i="6" s="1" a="1"/>
  <c r="E1825" i="6" s="1"/>
  <c r="C1825" i="6" a="1"/>
  <c r="C1825" i="6" s="1"/>
  <c r="D1824" i="6" a="1"/>
  <c r="D1824" i="6" s="1"/>
  <c r="E1824" i="6" s="1" a="1"/>
  <c r="E1824" i="6" s="1"/>
  <c r="C1824" i="6" a="1"/>
  <c r="C1824" i="6" s="1"/>
  <c r="D1823" i="6" a="1"/>
  <c r="D1823" i="6" s="1"/>
  <c r="E1823" i="6" s="1" a="1"/>
  <c r="E1823" i="6" s="1"/>
  <c r="C1823" i="6" a="1"/>
  <c r="C1823" i="6" s="1"/>
  <c r="D1822" i="6" a="1"/>
  <c r="D1822" i="6" s="1"/>
  <c r="E1822" i="6" s="1" a="1"/>
  <c r="E1822" i="6" s="1"/>
  <c r="C1822" i="6" a="1"/>
  <c r="C1822" i="6" s="1"/>
  <c r="D1821" i="6" a="1"/>
  <c r="D1821" i="6" s="1"/>
  <c r="E1821" i="6" s="1" a="1"/>
  <c r="E1821" i="6" s="1"/>
  <c r="C1821" i="6" a="1"/>
  <c r="C1821" i="6" s="1"/>
  <c r="D1820" i="6" a="1"/>
  <c r="D1820" i="6" s="1"/>
  <c r="E1820" i="6" s="1" a="1"/>
  <c r="E1820" i="6" s="1"/>
  <c r="C1820" i="6" a="1"/>
  <c r="C1820" i="6" s="1"/>
  <c r="D1819" i="6" a="1"/>
  <c r="D1819" i="6" s="1"/>
  <c r="E1819" i="6" s="1" a="1"/>
  <c r="E1819" i="6" s="1"/>
  <c r="C1819" i="6" a="1"/>
  <c r="C1819" i="6" s="1"/>
  <c r="D1818" i="6" a="1"/>
  <c r="D1818" i="6" s="1"/>
  <c r="E1818" i="6" s="1" a="1"/>
  <c r="E1818" i="6" s="1"/>
  <c r="C1818" i="6" a="1"/>
  <c r="C1818" i="6" s="1"/>
  <c r="D1817" i="6" a="1"/>
  <c r="D1817" i="6" s="1"/>
  <c r="E1817" i="6" s="1" a="1"/>
  <c r="E1817" i="6" s="1"/>
  <c r="C1817" i="6" a="1"/>
  <c r="C1817" i="6" s="1"/>
  <c r="D1816" i="6" a="1"/>
  <c r="D1816" i="6" s="1"/>
  <c r="E1816" i="6" s="1" a="1"/>
  <c r="E1816" i="6" s="1"/>
  <c r="C1816" i="6" a="1"/>
  <c r="C1816" i="6" s="1"/>
  <c r="D1815" i="6" a="1"/>
  <c r="D1815" i="6" s="1"/>
  <c r="E1815" i="6" s="1" a="1"/>
  <c r="E1815" i="6" s="1"/>
  <c r="C1815" i="6" a="1"/>
  <c r="C1815" i="6" s="1"/>
  <c r="D1814" i="6" a="1"/>
  <c r="D1814" i="6" s="1"/>
  <c r="E1814" i="6" s="1" a="1"/>
  <c r="E1814" i="6" s="1"/>
  <c r="C1814" i="6" a="1"/>
  <c r="C1814" i="6" s="1"/>
  <c r="D1813" i="6" a="1"/>
  <c r="D1813" i="6" s="1"/>
  <c r="E1813" i="6" s="1" a="1"/>
  <c r="E1813" i="6" s="1"/>
  <c r="C1813" i="6" a="1"/>
  <c r="C1813" i="6" s="1"/>
  <c r="D1812" i="6" a="1"/>
  <c r="D1812" i="6" s="1"/>
  <c r="E1812" i="6" s="1" a="1"/>
  <c r="E1812" i="6" s="1"/>
  <c r="C1812" i="6" a="1"/>
  <c r="C1812" i="6" s="1"/>
  <c r="D1811" i="6" a="1"/>
  <c r="D1811" i="6" s="1"/>
  <c r="E1811" i="6" s="1" a="1"/>
  <c r="E1811" i="6" s="1"/>
  <c r="C1811" i="6" a="1"/>
  <c r="C1811" i="6" s="1"/>
  <c r="D1810" i="6" a="1"/>
  <c r="D1810" i="6" s="1"/>
  <c r="E1810" i="6" s="1" a="1"/>
  <c r="E1810" i="6" s="1"/>
  <c r="C1810" i="6" a="1"/>
  <c r="C1810" i="6" s="1"/>
  <c r="D1809" i="6" a="1"/>
  <c r="D1809" i="6" s="1"/>
  <c r="E1809" i="6" s="1" a="1"/>
  <c r="E1809" i="6" s="1"/>
  <c r="C1809" i="6" a="1"/>
  <c r="C1809" i="6" s="1"/>
  <c r="D1808" i="6" a="1"/>
  <c r="D1808" i="6" s="1"/>
  <c r="E1808" i="6" s="1" a="1"/>
  <c r="E1808" i="6" s="1"/>
  <c r="C1808" i="6" a="1"/>
  <c r="C1808" i="6" s="1"/>
  <c r="D1807" i="6" a="1"/>
  <c r="D1807" i="6" s="1"/>
  <c r="E1807" i="6" s="1" a="1"/>
  <c r="E1807" i="6" s="1"/>
  <c r="C1807" i="6" a="1"/>
  <c r="C1807" i="6" s="1"/>
  <c r="D1806" i="6" a="1"/>
  <c r="D1806" i="6" s="1"/>
  <c r="E1806" i="6" s="1" a="1"/>
  <c r="E1806" i="6" s="1"/>
  <c r="C1806" i="6" a="1"/>
  <c r="C1806" i="6" s="1"/>
  <c r="D1805" i="6" a="1"/>
  <c r="D1805" i="6" s="1"/>
  <c r="E1805" i="6" s="1" a="1"/>
  <c r="E1805" i="6" s="1"/>
  <c r="C1805" i="6" a="1"/>
  <c r="C1805" i="6" s="1"/>
  <c r="D1804" i="6" a="1"/>
  <c r="D1804" i="6" s="1"/>
  <c r="E1804" i="6" s="1" a="1"/>
  <c r="E1804" i="6" s="1"/>
  <c r="C1804" i="6" a="1"/>
  <c r="C1804" i="6" s="1"/>
  <c r="D1803" i="6" a="1"/>
  <c r="D1803" i="6" s="1"/>
  <c r="E1803" i="6" s="1" a="1"/>
  <c r="E1803" i="6" s="1"/>
  <c r="C1803" i="6" a="1"/>
  <c r="C1803" i="6" s="1"/>
  <c r="D1802" i="6" a="1"/>
  <c r="D1802" i="6" s="1"/>
  <c r="E1802" i="6" s="1" a="1"/>
  <c r="E1802" i="6" s="1"/>
  <c r="C1802" i="6" a="1"/>
  <c r="C1802" i="6" s="1"/>
  <c r="D1801" i="6" a="1"/>
  <c r="D1801" i="6" s="1"/>
  <c r="E1801" i="6" s="1" a="1"/>
  <c r="E1801" i="6" s="1"/>
  <c r="C1801" i="6" a="1"/>
  <c r="C1801" i="6" s="1"/>
  <c r="D1800" i="6" a="1"/>
  <c r="D1800" i="6" s="1"/>
  <c r="E1800" i="6" s="1" a="1"/>
  <c r="E1800" i="6" s="1"/>
  <c r="C1800" i="6" a="1"/>
  <c r="C1800" i="6" s="1"/>
  <c r="D1799" i="6" a="1"/>
  <c r="D1799" i="6" s="1"/>
  <c r="E1799" i="6" s="1" a="1"/>
  <c r="E1799" i="6" s="1"/>
  <c r="C1799" i="6" a="1"/>
  <c r="C1799" i="6" s="1"/>
  <c r="D1798" i="6" a="1"/>
  <c r="D1798" i="6" s="1"/>
  <c r="E1798" i="6" s="1" a="1"/>
  <c r="E1798" i="6" s="1"/>
  <c r="C1798" i="6" a="1"/>
  <c r="C1798" i="6" s="1"/>
  <c r="D1797" i="6" a="1"/>
  <c r="D1797" i="6" s="1"/>
  <c r="E1797" i="6" s="1" a="1"/>
  <c r="E1797" i="6" s="1"/>
  <c r="C1797" i="6" a="1"/>
  <c r="C1797" i="6" s="1"/>
  <c r="D1796" i="6" a="1"/>
  <c r="D1796" i="6" s="1"/>
  <c r="E1796" i="6" s="1" a="1"/>
  <c r="E1796" i="6" s="1"/>
  <c r="C1796" i="6" a="1"/>
  <c r="C1796" i="6" s="1"/>
  <c r="D1795" i="6" a="1"/>
  <c r="D1795" i="6" s="1"/>
  <c r="E1795" i="6" s="1" a="1"/>
  <c r="E1795" i="6" s="1"/>
  <c r="C1795" i="6" a="1"/>
  <c r="C1795" i="6" s="1"/>
  <c r="D1794" i="6" a="1"/>
  <c r="D1794" i="6" s="1"/>
  <c r="E1794" i="6" s="1" a="1"/>
  <c r="E1794" i="6" s="1"/>
  <c r="C1794" i="6" a="1"/>
  <c r="C1794" i="6" s="1"/>
  <c r="D1793" i="6" a="1"/>
  <c r="D1793" i="6" s="1"/>
  <c r="E1793" i="6" s="1" a="1"/>
  <c r="E1793" i="6" s="1"/>
  <c r="C1793" i="6" a="1"/>
  <c r="C1793" i="6" s="1"/>
  <c r="D1792" i="6" a="1"/>
  <c r="D1792" i="6" s="1"/>
  <c r="E1792" i="6" s="1" a="1"/>
  <c r="E1792" i="6" s="1"/>
  <c r="C1792" i="6" a="1"/>
  <c r="C1792" i="6" s="1"/>
  <c r="D1791" i="6" a="1"/>
  <c r="D1791" i="6" s="1"/>
  <c r="E1791" i="6" s="1" a="1"/>
  <c r="E1791" i="6" s="1"/>
  <c r="C1791" i="6" a="1"/>
  <c r="C1791" i="6" s="1"/>
  <c r="D1790" i="6" a="1"/>
  <c r="D1790" i="6" s="1"/>
  <c r="E1790" i="6" s="1" a="1"/>
  <c r="E1790" i="6" s="1"/>
  <c r="C1790" i="6" a="1"/>
  <c r="C1790" i="6" s="1"/>
  <c r="D1789" i="6" a="1"/>
  <c r="D1789" i="6" s="1"/>
  <c r="E1789" i="6" s="1" a="1"/>
  <c r="E1789" i="6" s="1"/>
  <c r="C1789" i="6" a="1"/>
  <c r="C1789" i="6" s="1"/>
  <c r="D1788" i="6" a="1"/>
  <c r="D1788" i="6" s="1"/>
  <c r="E1788" i="6" s="1" a="1"/>
  <c r="E1788" i="6" s="1"/>
  <c r="C1788" i="6" a="1"/>
  <c r="C1788" i="6" s="1"/>
  <c r="D1787" i="6" a="1"/>
  <c r="D1787" i="6" s="1"/>
  <c r="E1787" i="6" s="1" a="1"/>
  <c r="E1787" i="6" s="1"/>
  <c r="C1787" i="6" a="1"/>
  <c r="C1787" i="6" s="1"/>
  <c r="D1786" i="6" a="1"/>
  <c r="D1786" i="6" s="1"/>
  <c r="E1786" i="6" s="1" a="1"/>
  <c r="E1786" i="6" s="1"/>
  <c r="C1786" i="6" a="1"/>
  <c r="C1786" i="6" s="1"/>
  <c r="D1785" i="6" a="1"/>
  <c r="D1785" i="6" s="1"/>
  <c r="E1785" i="6" s="1" a="1"/>
  <c r="E1785" i="6" s="1"/>
  <c r="C1785" i="6" a="1"/>
  <c r="C1785" i="6" s="1"/>
  <c r="D1784" i="6" a="1"/>
  <c r="D1784" i="6" s="1"/>
  <c r="E1784" i="6" s="1" a="1"/>
  <c r="E1784" i="6" s="1"/>
  <c r="C1784" i="6" a="1"/>
  <c r="C1784" i="6" s="1"/>
  <c r="D1783" i="6" a="1"/>
  <c r="D1783" i="6" s="1"/>
  <c r="E1783" i="6" s="1" a="1"/>
  <c r="E1783" i="6" s="1"/>
  <c r="C1783" i="6" a="1"/>
  <c r="C1783" i="6" s="1"/>
  <c r="D1782" i="6" a="1"/>
  <c r="D1782" i="6" s="1"/>
  <c r="E1782" i="6" s="1" a="1"/>
  <c r="E1782" i="6" s="1"/>
  <c r="C1782" i="6" a="1"/>
  <c r="C1782" i="6" s="1"/>
  <c r="D1781" i="6" a="1"/>
  <c r="D1781" i="6" s="1"/>
  <c r="E1781" i="6" s="1" a="1"/>
  <c r="E1781" i="6" s="1"/>
  <c r="C1781" i="6" a="1"/>
  <c r="C1781" i="6" s="1"/>
  <c r="D1780" i="6" a="1"/>
  <c r="D1780" i="6" s="1"/>
  <c r="E1780" i="6" s="1" a="1"/>
  <c r="E1780" i="6" s="1"/>
  <c r="C1780" i="6" a="1"/>
  <c r="C1780" i="6" s="1"/>
  <c r="D1779" i="6" a="1"/>
  <c r="D1779" i="6" s="1"/>
  <c r="E1779" i="6" s="1" a="1"/>
  <c r="E1779" i="6" s="1"/>
  <c r="C1779" i="6" a="1"/>
  <c r="C1779" i="6" s="1"/>
  <c r="D1778" i="6" a="1"/>
  <c r="D1778" i="6" s="1"/>
  <c r="E1778" i="6" s="1" a="1"/>
  <c r="E1778" i="6" s="1"/>
  <c r="C1778" i="6" a="1"/>
  <c r="C1778" i="6" s="1"/>
  <c r="D1777" i="6" a="1"/>
  <c r="D1777" i="6" s="1"/>
  <c r="E1777" i="6" s="1" a="1"/>
  <c r="E1777" i="6" s="1"/>
  <c r="C1777" i="6" a="1"/>
  <c r="C1777" i="6" s="1"/>
  <c r="D1776" i="6" a="1"/>
  <c r="D1776" i="6" s="1"/>
  <c r="E1776" i="6" s="1" a="1"/>
  <c r="E1776" i="6" s="1"/>
  <c r="C1776" i="6" a="1"/>
  <c r="C1776" i="6" s="1"/>
  <c r="D1775" i="6" a="1"/>
  <c r="D1775" i="6" s="1"/>
  <c r="E1775" i="6" s="1" a="1"/>
  <c r="E1775" i="6" s="1"/>
  <c r="C1775" i="6" a="1"/>
  <c r="C1775" i="6" s="1"/>
  <c r="D1774" i="6" a="1"/>
  <c r="D1774" i="6" s="1"/>
  <c r="E1774" i="6" s="1" a="1"/>
  <c r="E1774" i="6" s="1"/>
  <c r="C1774" i="6" a="1"/>
  <c r="C1774" i="6" s="1"/>
  <c r="D1773" i="6" a="1"/>
  <c r="D1773" i="6" s="1"/>
  <c r="E1773" i="6" s="1" a="1"/>
  <c r="E1773" i="6" s="1"/>
  <c r="C1773" i="6" a="1"/>
  <c r="C1773" i="6" s="1"/>
  <c r="D1772" i="6" a="1"/>
  <c r="D1772" i="6" s="1"/>
  <c r="E1772" i="6" s="1" a="1"/>
  <c r="E1772" i="6" s="1"/>
  <c r="C1772" i="6" a="1"/>
  <c r="C1772" i="6" s="1"/>
  <c r="D1771" i="6" a="1"/>
  <c r="D1771" i="6" s="1"/>
  <c r="E1771" i="6" s="1" a="1"/>
  <c r="E1771" i="6" s="1"/>
  <c r="C1771" i="6" a="1"/>
  <c r="C1771" i="6" s="1"/>
  <c r="D1770" i="6" a="1"/>
  <c r="D1770" i="6" s="1"/>
  <c r="E1770" i="6" s="1" a="1"/>
  <c r="E1770" i="6" s="1"/>
  <c r="C1770" i="6" a="1"/>
  <c r="C1770" i="6" s="1"/>
  <c r="D1769" i="6" a="1"/>
  <c r="D1769" i="6" s="1"/>
  <c r="E1769" i="6" s="1" a="1"/>
  <c r="E1769" i="6" s="1"/>
  <c r="C1769" i="6" a="1"/>
  <c r="C1769" i="6" s="1"/>
  <c r="D1768" i="6" a="1"/>
  <c r="D1768" i="6" s="1"/>
  <c r="E1768" i="6" s="1" a="1"/>
  <c r="E1768" i="6" s="1"/>
  <c r="C1768" i="6" a="1"/>
  <c r="C1768" i="6" s="1"/>
  <c r="D1767" i="6" a="1"/>
  <c r="D1767" i="6" s="1"/>
  <c r="E1767" i="6" s="1" a="1"/>
  <c r="E1767" i="6" s="1"/>
  <c r="C1767" i="6" a="1"/>
  <c r="C1767" i="6" s="1"/>
  <c r="D1766" i="6" a="1"/>
  <c r="D1766" i="6" s="1"/>
  <c r="E1766" i="6" s="1" a="1"/>
  <c r="E1766" i="6" s="1"/>
  <c r="C1766" i="6" a="1"/>
  <c r="C1766" i="6" s="1"/>
  <c r="D1765" i="6" a="1"/>
  <c r="D1765" i="6" s="1"/>
  <c r="E1765" i="6" s="1" a="1"/>
  <c r="E1765" i="6" s="1"/>
  <c r="C1765" i="6" a="1"/>
  <c r="C1765" i="6" s="1"/>
  <c r="D1764" i="6" a="1"/>
  <c r="D1764" i="6" s="1"/>
  <c r="E1764" i="6" s="1" a="1"/>
  <c r="E1764" i="6" s="1"/>
  <c r="C1764" i="6" a="1"/>
  <c r="C1764" i="6" s="1"/>
  <c r="D1763" i="6" a="1"/>
  <c r="D1763" i="6" s="1"/>
  <c r="E1763" i="6" s="1" a="1"/>
  <c r="E1763" i="6" s="1"/>
  <c r="C1763" i="6" a="1"/>
  <c r="C1763" i="6" s="1"/>
  <c r="D1762" i="6" a="1"/>
  <c r="D1762" i="6" s="1"/>
  <c r="E1762" i="6" s="1" a="1"/>
  <c r="E1762" i="6" s="1"/>
  <c r="C1762" i="6" a="1"/>
  <c r="C1762" i="6" s="1"/>
  <c r="D1761" i="6" a="1"/>
  <c r="D1761" i="6" s="1"/>
  <c r="E1761" i="6" s="1" a="1"/>
  <c r="E1761" i="6" s="1"/>
  <c r="C1761" i="6" a="1"/>
  <c r="C1761" i="6" s="1"/>
  <c r="D1760" i="6" a="1"/>
  <c r="D1760" i="6" s="1"/>
  <c r="E1760" i="6" s="1" a="1"/>
  <c r="E1760" i="6" s="1"/>
  <c r="C1760" i="6" a="1"/>
  <c r="C1760" i="6" s="1"/>
  <c r="D1759" i="6" a="1"/>
  <c r="D1759" i="6" s="1"/>
  <c r="E1759" i="6" s="1" a="1"/>
  <c r="E1759" i="6" s="1"/>
  <c r="C1759" i="6" a="1"/>
  <c r="C1759" i="6" s="1"/>
  <c r="D1758" i="6" a="1"/>
  <c r="D1758" i="6" s="1"/>
  <c r="E1758" i="6" s="1" a="1"/>
  <c r="E1758" i="6" s="1"/>
  <c r="C1758" i="6" a="1"/>
  <c r="C1758" i="6" s="1"/>
  <c r="D1757" i="6" a="1"/>
  <c r="D1757" i="6" s="1"/>
  <c r="E1757" i="6" s="1" a="1"/>
  <c r="E1757" i="6" s="1"/>
  <c r="C1757" i="6" a="1"/>
  <c r="C1757" i="6" s="1"/>
  <c r="D1756" i="6" a="1"/>
  <c r="D1756" i="6" s="1"/>
  <c r="E1756" i="6" s="1" a="1"/>
  <c r="E1756" i="6" s="1"/>
  <c r="C1756" i="6" a="1"/>
  <c r="C1756" i="6" s="1"/>
  <c r="D1755" i="6" a="1"/>
  <c r="D1755" i="6" s="1"/>
  <c r="E1755" i="6" s="1" a="1"/>
  <c r="E1755" i="6" s="1"/>
  <c r="C1755" i="6" a="1"/>
  <c r="C1755" i="6" s="1"/>
  <c r="D1754" i="6" a="1"/>
  <c r="D1754" i="6" s="1"/>
  <c r="E1754" i="6" s="1" a="1"/>
  <c r="E1754" i="6" s="1"/>
  <c r="C1754" i="6" a="1"/>
  <c r="C1754" i="6" s="1"/>
  <c r="D1753" i="6" a="1"/>
  <c r="D1753" i="6" s="1"/>
  <c r="E1753" i="6" s="1" a="1"/>
  <c r="E1753" i="6" s="1"/>
  <c r="C1753" i="6" a="1"/>
  <c r="C1753" i="6" s="1"/>
  <c r="D1752" i="6" a="1"/>
  <c r="D1752" i="6" s="1"/>
  <c r="E1752" i="6" s="1" a="1"/>
  <c r="E1752" i="6" s="1"/>
  <c r="C1752" i="6" a="1"/>
  <c r="C1752" i="6" s="1"/>
  <c r="D1751" i="6" a="1"/>
  <c r="D1751" i="6" s="1"/>
  <c r="E1751" i="6" s="1" a="1"/>
  <c r="E1751" i="6" s="1"/>
  <c r="C1751" i="6" a="1"/>
  <c r="C1751" i="6" s="1"/>
  <c r="D1750" i="6" a="1"/>
  <c r="D1750" i="6" s="1"/>
  <c r="E1750" i="6" s="1" a="1"/>
  <c r="E1750" i="6" s="1"/>
  <c r="C1750" i="6" a="1"/>
  <c r="C1750" i="6" s="1"/>
  <c r="D1749" i="6" a="1"/>
  <c r="D1749" i="6" s="1"/>
  <c r="E1749" i="6" s="1" a="1"/>
  <c r="E1749" i="6" s="1"/>
  <c r="C1749" i="6" a="1"/>
  <c r="C1749" i="6" s="1"/>
  <c r="D1748" i="6" a="1"/>
  <c r="D1748" i="6" s="1"/>
  <c r="E1748" i="6" s="1" a="1"/>
  <c r="E1748" i="6" s="1"/>
  <c r="C1748" i="6" a="1"/>
  <c r="C1748" i="6" s="1"/>
  <c r="D1747" i="6" a="1"/>
  <c r="D1747" i="6" s="1"/>
  <c r="E1747" i="6" s="1" a="1"/>
  <c r="E1747" i="6" s="1"/>
  <c r="C1747" i="6" a="1"/>
  <c r="C1747" i="6" s="1"/>
  <c r="D1746" i="6" a="1"/>
  <c r="D1746" i="6" s="1"/>
  <c r="E1746" i="6" s="1" a="1"/>
  <c r="E1746" i="6" s="1"/>
  <c r="C1746" i="6" a="1"/>
  <c r="C1746" i="6" s="1"/>
  <c r="D1745" i="6" a="1"/>
  <c r="D1745" i="6" s="1"/>
  <c r="E1745" i="6" s="1" a="1"/>
  <c r="E1745" i="6" s="1"/>
  <c r="C1745" i="6" a="1"/>
  <c r="C1745" i="6" s="1"/>
  <c r="D1744" i="6" a="1"/>
  <c r="D1744" i="6" s="1"/>
  <c r="E1744" i="6" s="1" a="1"/>
  <c r="E1744" i="6" s="1"/>
  <c r="C1744" i="6" a="1"/>
  <c r="C1744" i="6" s="1"/>
  <c r="D1743" i="6" a="1"/>
  <c r="D1743" i="6" s="1"/>
  <c r="E1743" i="6" s="1" a="1"/>
  <c r="E1743" i="6" s="1"/>
  <c r="C1743" i="6" a="1"/>
  <c r="C1743" i="6" s="1"/>
  <c r="D1742" i="6" a="1"/>
  <c r="D1742" i="6" s="1"/>
  <c r="E1742" i="6" s="1" a="1"/>
  <c r="E1742" i="6" s="1"/>
  <c r="C1742" i="6" a="1"/>
  <c r="C1742" i="6" s="1"/>
  <c r="D1741" i="6" a="1"/>
  <c r="D1741" i="6" s="1"/>
  <c r="E1741" i="6" s="1" a="1"/>
  <c r="E1741" i="6" s="1"/>
  <c r="C1741" i="6" a="1"/>
  <c r="C1741" i="6" s="1"/>
  <c r="D1740" i="6" a="1"/>
  <c r="D1740" i="6" s="1"/>
  <c r="E1740" i="6" s="1" a="1"/>
  <c r="E1740" i="6" s="1"/>
  <c r="C1740" i="6" a="1"/>
  <c r="C1740" i="6" s="1"/>
  <c r="D1739" i="6" a="1"/>
  <c r="D1739" i="6" s="1"/>
  <c r="E1739" i="6" s="1" a="1"/>
  <c r="E1739" i="6" s="1"/>
  <c r="C1739" i="6" a="1"/>
  <c r="C1739" i="6" s="1"/>
  <c r="D1738" i="6" a="1"/>
  <c r="D1738" i="6" s="1"/>
  <c r="E1738" i="6" s="1" a="1"/>
  <c r="E1738" i="6" s="1"/>
  <c r="C1738" i="6" a="1"/>
  <c r="C1738" i="6" s="1"/>
  <c r="D1737" i="6" a="1"/>
  <c r="D1737" i="6" s="1"/>
  <c r="E1737" i="6" s="1" a="1"/>
  <c r="E1737" i="6" s="1"/>
  <c r="C1737" i="6" a="1"/>
  <c r="C1737" i="6" s="1"/>
  <c r="D1736" i="6" a="1"/>
  <c r="D1736" i="6" s="1"/>
  <c r="E1736" i="6" s="1" a="1"/>
  <c r="E1736" i="6" s="1"/>
  <c r="C1736" i="6" a="1"/>
  <c r="C1736" i="6" s="1"/>
  <c r="D1735" i="6" a="1"/>
  <c r="D1735" i="6" s="1"/>
  <c r="E1735" i="6" s="1" a="1"/>
  <c r="E1735" i="6" s="1"/>
  <c r="C1735" i="6" a="1"/>
  <c r="C1735" i="6" s="1"/>
  <c r="D1734" i="6" a="1"/>
  <c r="D1734" i="6" s="1"/>
  <c r="E1734" i="6" s="1" a="1"/>
  <c r="E1734" i="6" s="1"/>
  <c r="C1734" i="6" a="1"/>
  <c r="C1734" i="6" s="1"/>
  <c r="D1733" i="6" a="1"/>
  <c r="D1733" i="6" s="1"/>
  <c r="E1733" i="6" s="1" a="1"/>
  <c r="E1733" i="6" s="1"/>
  <c r="C1733" i="6" a="1"/>
  <c r="C1733" i="6" s="1"/>
  <c r="D1732" i="6" a="1"/>
  <c r="D1732" i="6" s="1"/>
  <c r="E1732" i="6" s="1" a="1"/>
  <c r="E1732" i="6" s="1"/>
  <c r="C1732" i="6" a="1"/>
  <c r="C1732" i="6" s="1"/>
  <c r="D1731" i="6" a="1"/>
  <c r="D1731" i="6" s="1"/>
  <c r="E1731" i="6" s="1" a="1"/>
  <c r="E1731" i="6" s="1"/>
  <c r="C1731" i="6" a="1"/>
  <c r="C1731" i="6" s="1"/>
  <c r="D1730" i="6" a="1"/>
  <c r="D1730" i="6" s="1"/>
  <c r="E1730" i="6" s="1" a="1"/>
  <c r="E1730" i="6" s="1"/>
  <c r="C1730" i="6" a="1"/>
  <c r="C1730" i="6" s="1"/>
  <c r="D1729" i="6" a="1"/>
  <c r="D1729" i="6" s="1"/>
  <c r="E1729" i="6" s="1" a="1"/>
  <c r="E1729" i="6" s="1"/>
  <c r="C1729" i="6" a="1"/>
  <c r="C1729" i="6" s="1"/>
  <c r="D1728" i="6" a="1"/>
  <c r="D1728" i="6" s="1"/>
  <c r="E1728" i="6" s="1" a="1"/>
  <c r="E1728" i="6" s="1"/>
  <c r="C1728" i="6" a="1"/>
  <c r="C1728" i="6" s="1"/>
  <c r="D1727" i="6" a="1"/>
  <c r="D1727" i="6" s="1"/>
  <c r="E1727" i="6" s="1" a="1"/>
  <c r="E1727" i="6" s="1"/>
  <c r="C1727" i="6" a="1"/>
  <c r="C1727" i="6" s="1"/>
  <c r="D1726" i="6" a="1"/>
  <c r="D1726" i="6" s="1"/>
  <c r="E1726" i="6" s="1" a="1"/>
  <c r="E1726" i="6" s="1"/>
  <c r="C1726" i="6" a="1"/>
  <c r="C1726" i="6" s="1"/>
  <c r="D1725" i="6" a="1"/>
  <c r="D1725" i="6" s="1"/>
  <c r="E1725" i="6" s="1" a="1"/>
  <c r="E1725" i="6" s="1"/>
  <c r="C1725" i="6" a="1"/>
  <c r="C1725" i="6" s="1"/>
  <c r="D1724" i="6" a="1"/>
  <c r="D1724" i="6" s="1"/>
  <c r="E1724" i="6" s="1" a="1"/>
  <c r="E1724" i="6" s="1"/>
  <c r="C1724" i="6" a="1"/>
  <c r="C1724" i="6" s="1"/>
  <c r="D1723" i="6" a="1"/>
  <c r="D1723" i="6" s="1"/>
  <c r="E1723" i="6" s="1" a="1"/>
  <c r="E1723" i="6" s="1"/>
  <c r="C1723" i="6" a="1"/>
  <c r="C1723" i="6" s="1"/>
  <c r="D1722" i="6" a="1"/>
  <c r="D1722" i="6" s="1"/>
  <c r="E1722" i="6" s="1" a="1"/>
  <c r="E1722" i="6" s="1"/>
  <c r="C1722" i="6" a="1"/>
  <c r="C1722" i="6" s="1"/>
  <c r="D1721" i="6" a="1"/>
  <c r="D1721" i="6" s="1"/>
  <c r="E1721" i="6" s="1" a="1"/>
  <c r="E1721" i="6" s="1"/>
  <c r="C1721" i="6" a="1"/>
  <c r="C1721" i="6" s="1"/>
  <c r="D1720" i="6" a="1"/>
  <c r="D1720" i="6" s="1"/>
  <c r="E1720" i="6" s="1" a="1"/>
  <c r="E1720" i="6" s="1"/>
  <c r="C1720" i="6" a="1"/>
  <c r="C1720" i="6" s="1"/>
  <c r="D1719" i="6" a="1"/>
  <c r="D1719" i="6" s="1"/>
  <c r="E1719" i="6" s="1" a="1"/>
  <c r="E1719" i="6" s="1"/>
  <c r="C1719" i="6" a="1"/>
  <c r="C1719" i="6" s="1"/>
  <c r="D1718" i="6" a="1"/>
  <c r="D1718" i="6" s="1"/>
  <c r="E1718" i="6" s="1" a="1"/>
  <c r="E1718" i="6" s="1"/>
  <c r="C1718" i="6" a="1"/>
  <c r="C1718" i="6" s="1"/>
  <c r="D1717" i="6" a="1"/>
  <c r="D1717" i="6" s="1"/>
  <c r="E1717" i="6" s="1" a="1"/>
  <c r="E1717" i="6" s="1"/>
  <c r="C1717" i="6" a="1"/>
  <c r="C1717" i="6" s="1"/>
  <c r="D1716" i="6" a="1"/>
  <c r="D1716" i="6" s="1"/>
  <c r="E1716" i="6" s="1" a="1"/>
  <c r="E1716" i="6" s="1"/>
  <c r="C1716" i="6" a="1"/>
  <c r="C1716" i="6" s="1"/>
  <c r="D1715" i="6" a="1"/>
  <c r="D1715" i="6" s="1"/>
  <c r="E1715" i="6" s="1" a="1"/>
  <c r="E1715" i="6" s="1"/>
  <c r="C1715" i="6" a="1"/>
  <c r="C1715" i="6" s="1"/>
  <c r="D1714" i="6" a="1"/>
  <c r="D1714" i="6" s="1"/>
  <c r="E1714" i="6" s="1" a="1"/>
  <c r="E1714" i="6" s="1"/>
  <c r="C1714" i="6" a="1"/>
  <c r="C1714" i="6" s="1"/>
  <c r="D1713" i="6" a="1"/>
  <c r="D1713" i="6" s="1"/>
  <c r="E1713" i="6" s="1" a="1"/>
  <c r="E1713" i="6" s="1"/>
  <c r="C1713" i="6" a="1"/>
  <c r="C1713" i="6" s="1"/>
  <c r="D1712" i="6" a="1"/>
  <c r="D1712" i="6" s="1"/>
  <c r="E1712" i="6" s="1" a="1"/>
  <c r="E1712" i="6" s="1"/>
  <c r="C1712" i="6" a="1"/>
  <c r="C1712" i="6" s="1"/>
  <c r="D1711" i="6" a="1"/>
  <c r="D1711" i="6" s="1"/>
  <c r="E1711" i="6" s="1" a="1"/>
  <c r="E1711" i="6" s="1"/>
  <c r="C1711" i="6" a="1"/>
  <c r="C1711" i="6" s="1"/>
  <c r="D1710" i="6" a="1"/>
  <c r="D1710" i="6" s="1"/>
  <c r="E1710" i="6" s="1" a="1"/>
  <c r="E1710" i="6" s="1"/>
  <c r="C1710" i="6" a="1"/>
  <c r="C1710" i="6" s="1"/>
  <c r="D1709" i="6" a="1"/>
  <c r="D1709" i="6" s="1"/>
  <c r="E1709" i="6" s="1" a="1"/>
  <c r="E1709" i="6" s="1"/>
  <c r="C1709" i="6" a="1"/>
  <c r="C1709" i="6" s="1"/>
  <c r="D1708" i="6" a="1"/>
  <c r="D1708" i="6" s="1"/>
  <c r="E1708" i="6" s="1" a="1"/>
  <c r="E1708" i="6" s="1"/>
  <c r="C1708" i="6" a="1"/>
  <c r="C1708" i="6" s="1"/>
  <c r="D1707" i="6" a="1"/>
  <c r="D1707" i="6" s="1"/>
  <c r="E1707" i="6" s="1" a="1"/>
  <c r="E1707" i="6" s="1"/>
  <c r="C1707" i="6" a="1"/>
  <c r="C1707" i="6" s="1"/>
  <c r="D1706" i="6" a="1"/>
  <c r="D1706" i="6" s="1"/>
  <c r="E1706" i="6" s="1" a="1"/>
  <c r="E1706" i="6" s="1"/>
  <c r="C1706" i="6" a="1"/>
  <c r="C1706" i="6" s="1"/>
  <c r="D1705" i="6" a="1"/>
  <c r="D1705" i="6" s="1"/>
  <c r="E1705" i="6" s="1" a="1"/>
  <c r="E1705" i="6" s="1"/>
  <c r="C1705" i="6" a="1"/>
  <c r="C1705" i="6" s="1"/>
  <c r="D1704" i="6" a="1"/>
  <c r="D1704" i="6" s="1"/>
  <c r="E1704" i="6" s="1" a="1"/>
  <c r="E1704" i="6" s="1"/>
  <c r="C1704" i="6" a="1"/>
  <c r="C1704" i="6" s="1"/>
  <c r="D1703" i="6" a="1"/>
  <c r="D1703" i="6" s="1"/>
  <c r="E1703" i="6" s="1" a="1"/>
  <c r="E1703" i="6" s="1"/>
  <c r="C1703" i="6" a="1"/>
  <c r="C1703" i="6" s="1"/>
  <c r="D1702" i="6" a="1"/>
  <c r="D1702" i="6" s="1"/>
  <c r="E1702" i="6" s="1" a="1"/>
  <c r="E1702" i="6" s="1"/>
  <c r="C1702" i="6" a="1"/>
  <c r="C1702" i="6" s="1"/>
  <c r="D1701" i="6" a="1"/>
  <c r="D1701" i="6" s="1"/>
  <c r="E1701" i="6" s="1" a="1"/>
  <c r="E1701" i="6" s="1"/>
  <c r="C1701" i="6" a="1"/>
  <c r="C1701" i="6" s="1"/>
  <c r="D1700" i="6" a="1"/>
  <c r="D1700" i="6" s="1"/>
  <c r="E1700" i="6" s="1" a="1"/>
  <c r="E1700" i="6" s="1"/>
  <c r="C1700" i="6" a="1"/>
  <c r="C1700" i="6" s="1"/>
  <c r="D1699" i="6" a="1"/>
  <c r="D1699" i="6" s="1"/>
  <c r="E1699" i="6" s="1" a="1"/>
  <c r="E1699" i="6" s="1"/>
  <c r="C1699" i="6" a="1"/>
  <c r="C1699" i="6" s="1"/>
  <c r="D1698" i="6" a="1"/>
  <c r="D1698" i="6" s="1"/>
  <c r="E1698" i="6" s="1" a="1"/>
  <c r="E1698" i="6" s="1"/>
  <c r="C1698" i="6" a="1"/>
  <c r="C1698" i="6" s="1"/>
  <c r="D1697" i="6" a="1"/>
  <c r="D1697" i="6" s="1"/>
  <c r="E1697" i="6" s="1" a="1"/>
  <c r="E1697" i="6" s="1"/>
  <c r="C1697" i="6" a="1"/>
  <c r="C1697" i="6" s="1"/>
  <c r="D1696" i="6" a="1"/>
  <c r="D1696" i="6" s="1"/>
  <c r="E1696" i="6" s="1" a="1"/>
  <c r="E1696" i="6" s="1"/>
  <c r="C1696" i="6" a="1"/>
  <c r="C1696" i="6" s="1"/>
  <c r="D1695" i="6" a="1"/>
  <c r="D1695" i="6" s="1"/>
  <c r="E1695" i="6" s="1" a="1"/>
  <c r="E1695" i="6" s="1"/>
  <c r="C1695" i="6" a="1"/>
  <c r="C1695" i="6" s="1"/>
  <c r="D1694" i="6" a="1"/>
  <c r="D1694" i="6" s="1"/>
  <c r="E1694" i="6" s="1" a="1"/>
  <c r="E1694" i="6" s="1"/>
  <c r="C1694" i="6" a="1"/>
  <c r="C1694" i="6" s="1"/>
  <c r="D1693" i="6" a="1"/>
  <c r="D1693" i="6" s="1"/>
  <c r="E1693" i="6" s="1" a="1"/>
  <c r="E1693" i="6" s="1"/>
  <c r="C1693" i="6" a="1"/>
  <c r="C1693" i="6" s="1"/>
  <c r="D1692" i="6" a="1"/>
  <c r="D1692" i="6" s="1"/>
  <c r="E1692" i="6" s="1" a="1"/>
  <c r="E1692" i="6" s="1"/>
  <c r="C1692" i="6" a="1"/>
  <c r="C1692" i="6" s="1"/>
  <c r="D1691" i="6" a="1"/>
  <c r="D1691" i="6" s="1"/>
  <c r="E1691" i="6" s="1" a="1"/>
  <c r="E1691" i="6" s="1"/>
  <c r="C1691" i="6" a="1"/>
  <c r="C1691" i="6" s="1"/>
  <c r="D1690" i="6" a="1"/>
  <c r="D1690" i="6" s="1"/>
  <c r="E1690" i="6" s="1" a="1"/>
  <c r="E1690" i="6" s="1"/>
  <c r="C1690" i="6" a="1"/>
  <c r="C1690" i="6" s="1"/>
  <c r="D1689" i="6" a="1"/>
  <c r="D1689" i="6" s="1"/>
  <c r="E1689" i="6" s="1" a="1"/>
  <c r="E1689" i="6" s="1"/>
  <c r="C1689" i="6" a="1"/>
  <c r="C1689" i="6" s="1"/>
  <c r="D1688" i="6" a="1"/>
  <c r="D1688" i="6" s="1"/>
  <c r="E1688" i="6" s="1" a="1"/>
  <c r="E1688" i="6" s="1"/>
  <c r="C1688" i="6" a="1"/>
  <c r="C1688" i="6" s="1"/>
  <c r="D1687" i="6" a="1"/>
  <c r="D1687" i="6" s="1"/>
  <c r="E1687" i="6" s="1" a="1"/>
  <c r="E1687" i="6" s="1"/>
  <c r="C1687" i="6" a="1"/>
  <c r="C1687" i="6" s="1"/>
  <c r="D1686" i="6" a="1"/>
  <c r="D1686" i="6" s="1"/>
  <c r="E1686" i="6" s="1" a="1"/>
  <c r="E1686" i="6" s="1"/>
  <c r="C1686" i="6" a="1"/>
  <c r="C1686" i="6" s="1"/>
  <c r="D1685" i="6" a="1"/>
  <c r="D1685" i="6" s="1"/>
  <c r="E1685" i="6" s="1" a="1"/>
  <c r="E1685" i="6" s="1"/>
  <c r="C1685" i="6" a="1"/>
  <c r="C1685" i="6" s="1"/>
  <c r="D1684" i="6" a="1"/>
  <c r="D1684" i="6" s="1"/>
  <c r="E1684" i="6" s="1" a="1"/>
  <c r="E1684" i="6" s="1"/>
  <c r="C1684" i="6" a="1"/>
  <c r="C1684" i="6" s="1"/>
  <c r="D1683" i="6" a="1"/>
  <c r="D1683" i="6" s="1"/>
  <c r="E1683" i="6" s="1" a="1"/>
  <c r="E1683" i="6" s="1"/>
  <c r="C1683" i="6" a="1"/>
  <c r="C1683" i="6" s="1"/>
  <c r="D1682" i="6" a="1"/>
  <c r="D1682" i="6" s="1"/>
  <c r="E1682" i="6" s="1" a="1"/>
  <c r="E1682" i="6" s="1"/>
  <c r="C1682" i="6" a="1"/>
  <c r="C1682" i="6" s="1"/>
  <c r="D1681" i="6" a="1"/>
  <c r="D1681" i="6" s="1"/>
  <c r="E1681" i="6" s="1" a="1"/>
  <c r="E1681" i="6" s="1"/>
  <c r="C1681" i="6" a="1"/>
  <c r="C1681" i="6" s="1"/>
  <c r="D1680" i="6" a="1"/>
  <c r="D1680" i="6" s="1"/>
  <c r="E1680" i="6" s="1" a="1"/>
  <c r="E1680" i="6" s="1"/>
  <c r="C1680" i="6" a="1"/>
  <c r="C1680" i="6" s="1"/>
  <c r="D1679" i="6" a="1"/>
  <c r="D1679" i="6" s="1"/>
  <c r="E1679" i="6" s="1" a="1"/>
  <c r="E1679" i="6" s="1"/>
  <c r="C1679" i="6" a="1"/>
  <c r="C1679" i="6" s="1"/>
  <c r="D1678" i="6" a="1"/>
  <c r="D1678" i="6" s="1"/>
  <c r="E1678" i="6" s="1" a="1"/>
  <c r="E1678" i="6" s="1"/>
  <c r="C1678" i="6" a="1"/>
  <c r="C1678" i="6" s="1"/>
  <c r="D1677" i="6" a="1"/>
  <c r="D1677" i="6" s="1"/>
  <c r="E1677" i="6" s="1" a="1"/>
  <c r="E1677" i="6" s="1"/>
  <c r="C1677" i="6" a="1"/>
  <c r="C1677" i="6" s="1"/>
  <c r="D1676" i="6" a="1"/>
  <c r="D1676" i="6" s="1"/>
  <c r="E1676" i="6" s="1" a="1"/>
  <c r="E1676" i="6" s="1"/>
  <c r="C1676" i="6" a="1"/>
  <c r="C1676" i="6" s="1"/>
  <c r="D1675" i="6" a="1"/>
  <c r="D1675" i="6" s="1"/>
  <c r="E1675" i="6" s="1" a="1"/>
  <c r="E1675" i="6" s="1"/>
  <c r="C1675" i="6" a="1"/>
  <c r="C1675" i="6" s="1"/>
  <c r="D1674" i="6" a="1"/>
  <c r="D1674" i="6" s="1"/>
  <c r="E1674" i="6" s="1" a="1"/>
  <c r="E1674" i="6" s="1"/>
  <c r="C1674" i="6" a="1"/>
  <c r="C1674" i="6" s="1"/>
  <c r="D1673" i="6" a="1"/>
  <c r="D1673" i="6" s="1"/>
  <c r="E1673" i="6" s="1" a="1"/>
  <c r="E1673" i="6" s="1"/>
  <c r="C1673" i="6" a="1"/>
  <c r="C1673" i="6" s="1"/>
  <c r="D1672" i="6" a="1"/>
  <c r="D1672" i="6" s="1"/>
  <c r="E1672" i="6" s="1" a="1"/>
  <c r="E1672" i="6" s="1"/>
  <c r="C1672" i="6" a="1"/>
  <c r="C1672" i="6" s="1"/>
  <c r="D1671" i="6" a="1"/>
  <c r="D1671" i="6" s="1"/>
  <c r="E1671" i="6" s="1" a="1"/>
  <c r="E1671" i="6" s="1"/>
  <c r="C1671" i="6" a="1"/>
  <c r="C1671" i="6" s="1"/>
  <c r="D1670" i="6" a="1"/>
  <c r="D1670" i="6" s="1"/>
  <c r="E1670" i="6" s="1" a="1"/>
  <c r="E1670" i="6" s="1"/>
  <c r="C1670" i="6" a="1"/>
  <c r="C1670" i="6" s="1"/>
  <c r="D1669" i="6" a="1"/>
  <c r="D1669" i="6" s="1"/>
  <c r="E1669" i="6" s="1" a="1"/>
  <c r="E1669" i="6" s="1"/>
  <c r="C1669" i="6" a="1"/>
  <c r="C1669" i="6" s="1"/>
  <c r="D1668" i="6" a="1"/>
  <c r="D1668" i="6" s="1"/>
  <c r="E1668" i="6" s="1" a="1"/>
  <c r="E1668" i="6" s="1"/>
  <c r="C1668" i="6" a="1"/>
  <c r="C1668" i="6" s="1"/>
  <c r="D1667" i="6" a="1"/>
  <c r="D1667" i="6" s="1"/>
  <c r="E1667" i="6" s="1" a="1"/>
  <c r="E1667" i="6" s="1"/>
  <c r="C1667" i="6" a="1"/>
  <c r="C1667" i="6" s="1"/>
  <c r="D1666" i="6" a="1"/>
  <c r="D1666" i="6" s="1"/>
  <c r="E1666" i="6" s="1" a="1"/>
  <c r="E1666" i="6" s="1"/>
  <c r="C1666" i="6" a="1"/>
  <c r="C1666" i="6" s="1"/>
  <c r="D1665" i="6" a="1"/>
  <c r="D1665" i="6" s="1"/>
  <c r="E1665" i="6" s="1" a="1"/>
  <c r="E1665" i="6" s="1"/>
  <c r="C1665" i="6" a="1"/>
  <c r="C1665" i="6" s="1"/>
  <c r="D1664" i="6" a="1"/>
  <c r="D1664" i="6" s="1"/>
  <c r="E1664" i="6" s="1" a="1"/>
  <c r="E1664" i="6" s="1"/>
  <c r="C1664" i="6" a="1"/>
  <c r="C1664" i="6" s="1"/>
  <c r="D1663" i="6" a="1"/>
  <c r="D1663" i="6" s="1"/>
  <c r="E1663" i="6" s="1" a="1"/>
  <c r="E1663" i="6" s="1"/>
  <c r="C1663" i="6" a="1"/>
  <c r="C1663" i="6" s="1"/>
  <c r="D1662" i="6" a="1"/>
  <c r="D1662" i="6" s="1"/>
  <c r="E1662" i="6" s="1" a="1"/>
  <c r="E1662" i="6" s="1"/>
  <c r="C1662" i="6" a="1"/>
  <c r="C1662" i="6" s="1"/>
  <c r="D1661" i="6" a="1"/>
  <c r="D1661" i="6" s="1"/>
  <c r="E1661" i="6" s="1" a="1"/>
  <c r="E1661" i="6" s="1"/>
  <c r="C1661" i="6" a="1"/>
  <c r="C1661" i="6" s="1"/>
  <c r="D1660" i="6" a="1"/>
  <c r="D1660" i="6" s="1"/>
  <c r="E1660" i="6" s="1" a="1"/>
  <c r="E1660" i="6" s="1"/>
  <c r="C1660" i="6" a="1"/>
  <c r="C1660" i="6" s="1"/>
  <c r="D1659" i="6" a="1"/>
  <c r="D1659" i="6" s="1"/>
  <c r="E1659" i="6" s="1" a="1"/>
  <c r="E1659" i="6" s="1"/>
  <c r="C1659" i="6" a="1"/>
  <c r="C1659" i="6" s="1"/>
  <c r="D1658" i="6" a="1"/>
  <c r="D1658" i="6" s="1"/>
  <c r="E1658" i="6" s="1" a="1"/>
  <c r="E1658" i="6" s="1"/>
  <c r="C1658" i="6" a="1"/>
  <c r="C1658" i="6" s="1"/>
  <c r="D1657" i="6" a="1"/>
  <c r="D1657" i="6" s="1"/>
  <c r="E1657" i="6" s="1" a="1"/>
  <c r="E1657" i="6" s="1"/>
  <c r="C1657" i="6" a="1"/>
  <c r="C1657" i="6" s="1"/>
  <c r="D1656" i="6" a="1"/>
  <c r="D1656" i="6" s="1"/>
  <c r="E1656" i="6" s="1" a="1"/>
  <c r="E1656" i="6" s="1"/>
  <c r="C1656" i="6" a="1"/>
  <c r="C1656" i="6" s="1"/>
  <c r="D1655" i="6" a="1"/>
  <c r="D1655" i="6" s="1"/>
  <c r="E1655" i="6" s="1" a="1"/>
  <c r="E1655" i="6" s="1"/>
  <c r="C1655" i="6" a="1"/>
  <c r="C1655" i="6" s="1"/>
  <c r="D1654" i="6" a="1"/>
  <c r="D1654" i="6" s="1"/>
  <c r="E1654" i="6" s="1" a="1"/>
  <c r="E1654" i="6" s="1"/>
  <c r="C1654" i="6" a="1"/>
  <c r="C1654" i="6" s="1"/>
  <c r="D1653" i="6" a="1"/>
  <c r="D1653" i="6" s="1"/>
  <c r="E1653" i="6" s="1" a="1"/>
  <c r="E1653" i="6" s="1"/>
  <c r="C1653" i="6" a="1"/>
  <c r="C1653" i="6" s="1"/>
  <c r="D1652" i="6" a="1"/>
  <c r="D1652" i="6" s="1"/>
  <c r="E1652" i="6" s="1" a="1"/>
  <c r="E1652" i="6" s="1"/>
  <c r="C1652" i="6" a="1"/>
  <c r="C1652" i="6" s="1"/>
  <c r="D1651" i="6" a="1"/>
  <c r="D1651" i="6" s="1"/>
  <c r="E1651" i="6" s="1" a="1"/>
  <c r="E1651" i="6" s="1"/>
  <c r="C1651" i="6" a="1"/>
  <c r="C1651" i="6" s="1"/>
  <c r="D1650" i="6" a="1"/>
  <c r="D1650" i="6" s="1"/>
  <c r="E1650" i="6" s="1" a="1"/>
  <c r="E1650" i="6" s="1"/>
  <c r="C1650" i="6" a="1"/>
  <c r="C1650" i="6" s="1"/>
  <c r="D1649" i="6" a="1"/>
  <c r="D1649" i="6" s="1"/>
  <c r="E1649" i="6" s="1" a="1"/>
  <c r="E1649" i="6" s="1"/>
  <c r="C1649" i="6" a="1"/>
  <c r="C1649" i="6" s="1"/>
  <c r="D1648" i="6" a="1"/>
  <c r="D1648" i="6" s="1"/>
  <c r="E1648" i="6" s="1" a="1"/>
  <c r="E1648" i="6" s="1"/>
  <c r="C1648" i="6" a="1"/>
  <c r="C1648" i="6" s="1"/>
  <c r="D1647" i="6" a="1"/>
  <c r="D1647" i="6" s="1"/>
  <c r="E1647" i="6" s="1" a="1"/>
  <c r="E1647" i="6" s="1"/>
  <c r="C1647" i="6" a="1"/>
  <c r="C1647" i="6" s="1"/>
  <c r="D1646" i="6" a="1"/>
  <c r="D1646" i="6" s="1"/>
  <c r="E1646" i="6" s="1" a="1"/>
  <c r="E1646" i="6" s="1"/>
  <c r="C1646" i="6" a="1"/>
  <c r="C1646" i="6" s="1"/>
  <c r="D1645" i="6" a="1"/>
  <c r="D1645" i="6" s="1"/>
  <c r="E1645" i="6" s="1" a="1"/>
  <c r="E1645" i="6" s="1"/>
  <c r="C1645" i="6" a="1"/>
  <c r="C1645" i="6" s="1"/>
  <c r="D1644" i="6" a="1"/>
  <c r="D1644" i="6" s="1"/>
  <c r="E1644" i="6" s="1" a="1"/>
  <c r="E1644" i="6" s="1"/>
  <c r="C1644" i="6" a="1"/>
  <c r="C1644" i="6" s="1"/>
  <c r="D1643" i="6" a="1"/>
  <c r="D1643" i="6" s="1"/>
  <c r="E1643" i="6" s="1" a="1"/>
  <c r="E1643" i="6" s="1"/>
  <c r="C1643" i="6" a="1"/>
  <c r="C1643" i="6" s="1"/>
  <c r="D1642" i="6" a="1"/>
  <c r="D1642" i="6" s="1"/>
  <c r="E1642" i="6" s="1" a="1"/>
  <c r="E1642" i="6" s="1"/>
  <c r="C1642" i="6" a="1"/>
  <c r="C1642" i="6" s="1"/>
  <c r="D1641" i="6" a="1"/>
  <c r="D1641" i="6" s="1"/>
  <c r="E1641" i="6" s="1" a="1"/>
  <c r="E1641" i="6" s="1"/>
  <c r="C1641" i="6" a="1"/>
  <c r="C1641" i="6" s="1"/>
  <c r="D1640" i="6" a="1"/>
  <c r="D1640" i="6" s="1"/>
  <c r="E1640" i="6" s="1" a="1"/>
  <c r="E1640" i="6" s="1"/>
  <c r="C1640" i="6" a="1"/>
  <c r="C1640" i="6" s="1"/>
  <c r="D1639" i="6" a="1"/>
  <c r="D1639" i="6" s="1"/>
  <c r="E1639" i="6" s="1" a="1"/>
  <c r="E1639" i="6" s="1"/>
  <c r="C1639" i="6" a="1"/>
  <c r="C1639" i="6" s="1"/>
  <c r="D1638" i="6" a="1"/>
  <c r="D1638" i="6" s="1"/>
  <c r="E1638" i="6" s="1" a="1"/>
  <c r="E1638" i="6" s="1"/>
  <c r="C1638" i="6" a="1"/>
  <c r="C1638" i="6" s="1"/>
  <c r="D1637" i="6" a="1"/>
  <c r="D1637" i="6" s="1"/>
  <c r="E1637" i="6" s="1" a="1"/>
  <c r="E1637" i="6" s="1"/>
  <c r="C1637" i="6" a="1"/>
  <c r="C1637" i="6" s="1"/>
  <c r="D1636" i="6" a="1"/>
  <c r="D1636" i="6" s="1"/>
  <c r="E1636" i="6" s="1" a="1"/>
  <c r="E1636" i="6" s="1"/>
  <c r="C1636" i="6" a="1"/>
  <c r="C1636" i="6" s="1"/>
  <c r="D1635" i="6" a="1"/>
  <c r="D1635" i="6" s="1"/>
  <c r="E1635" i="6" s="1" a="1"/>
  <c r="E1635" i="6" s="1"/>
  <c r="C1635" i="6" a="1"/>
  <c r="C1635" i="6" s="1"/>
  <c r="D1634" i="6" a="1"/>
  <c r="D1634" i="6" s="1"/>
  <c r="E1634" i="6" s="1" a="1"/>
  <c r="E1634" i="6" s="1"/>
  <c r="C1634" i="6" a="1"/>
  <c r="C1634" i="6" s="1"/>
  <c r="D1633" i="6" a="1"/>
  <c r="D1633" i="6" s="1"/>
  <c r="E1633" i="6" s="1" a="1"/>
  <c r="E1633" i="6" s="1"/>
  <c r="C1633" i="6" a="1"/>
  <c r="C1633" i="6" s="1"/>
  <c r="D1632" i="6" a="1"/>
  <c r="D1632" i="6" s="1"/>
  <c r="E1632" i="6" s="1" a="1"/>
  <c r="E1632" i="6" s="1"/>
  <c r="C1632" i="6" a="1"/>
  <c r="C1632" i="6" s="1"/>
  <c r="D1631" i="6" a="1"/>
  <c r="D1631" i="6" s="1"/>
  <c r="E1631" i="6" s="1" a="1"/>
  <c r="E1631" i="6" s="1"/>
  <c r="C1631" i="6" a="1"/>
  <c r="C1631" i="6" s="1"/>
  <c r="D1630" i="6" a="1"/>
  <c r="D1630" i="6" s="1"/>
  <c r="E1630" i="6" s="1" a="1"/>
  <c r="E1630" i="6" s="1"/>
  <c r="C1630" i="6" a="1"/>
  <c r="C1630" i="6" s="1"/>
  <c r="D1629" i="6" a="1"/>
  <c r="D1629" i="6" s="1"/>
  <c r="E1629" i="6" s="1" a="1"/>
  <c r="E1629" i="6" s="1"/>
  <c r="C1629" i="6" a="1"/>
  <c r="C1629" i="6" s="1"/>
  <c r="D1628" i="6" a="1"/>
  <c r="D1628" i="6" s="1"/>
  <c r="E1628" i="6" s="1" a="1"/>
  <c r="E1628" i="6" s="1"/>
  <c r="C1628" i="6" a="1"/>
  <c r="C1628" i="6" s="1"/>
  <c r="D1627" i="6" a="1"/>
  <c r="D1627" i="6" s="1"/>
  <c r="E1627" i="6" s="1" a="1"/>
  <c r="E1627" i="6" s="1"/>
  <c r="C1627" i="6" a="1"/>
  <c r="C1627" i="6" s="1"/>
  <c r="D1626" i="6" a="1"/>
  <c r="D1626" i="6" s="1"/>
  <c r="E1626" i="6" s="1" a="1"/>
  <c r="E1626" i="6" s="1"/>
  <c r="C1626" i="6" a="1"/>
  <c r="C1626" i="6" s="1"/>
  <c r="D1625" i="6" a="1"/>
  <c r="D1625" i="6" s="1"/>
  <c r="E1625" i="6" s="1" a="1"/>
  <c r="E1625" i="6" s="1"/>
  <c r="C1625" i="6" a="1"/>
  <c r="C1625" i="6" s="1"/>
  <c r="D1624" i="6" a="1"/>
  <c r="D1624" i="6" s="1"/>
  <c r="E1624" i="6" s="1" a="1"/>
  <c r="E1624" i="6" s="1"/>
  <c r="C1624" i="6" a="1"/>
  <c r="C1624" i="6" s="1"/>
  <c r="D1623" i="6" a="1"/>
  <c r="D1623" i="6" s="1"/>
  <c r="E1623" i="6" s="1" a="1"/>
  <c r="E1623" i="6" s="1"/>
  <c r="C1623" i="6" a="1"/>
  <c r="C1623" i="6" s="1"/>
  <c r="D1622" i="6" a="1"/>
  <c r="D1622" i="6" s="1"/>
  <c r="E1622" i="6" s="1" a="1"/>
  <c r="E1622" i="6" s="1"/>
  <c r="C1622" i="6" a="1"/>
  <c r="C1622" i="6" s="1"/>
  <c r="D1621" i="6" a="1"/>
  <c r="D1621" i="6" s="1"/>
  <c r="E1621" i="6" s="1" a="1"/>
  <c r="E1621" i="6" s="1"/>
  <c r="C1621" i="6" a="1"/>
  <c r="C1621" i="6" s="1"/>
  <c r="D1620" i="6" a="1"/>
  <c r="D1620" i="6" s="1"/>
  <c r="E1620" i="6" s="1" a="1"/>
  <c r="E1620" i="6" s="1"/>
  <c r="C1620" i="6" a="1"/>
  <c r="C1620" i="6" s="1"/>
  <c r="D1619" i="6" a="1"/>
  <c r="D1619" i="6" s="1"/>
  <c r="E1619" i="6" s="1" a="1"/>
  <c r="E1619" i="6" s="1"/>
  <c r="C1619" i="6" a="1"/>
  <c r="C1619" i="6" s="1"/>
  <c r="D1618" i="6" a="1"/>
  <c r="D1618" i="6" s="1"/>
  <c r="E1618" i="6" s="1" a="1"/>
  <c r="E1618" i="6" s="1"/>
  <c r="C1618" i="6" a="1"/>
  <c r="C1618" i="6" s="1"/>
  <c r="D1617" i="6" a="1"/>
  <c r="D1617" i="6" s="1"/>
  <c r="E1617" i="6" s="1" a="1"/>
  <c r="E1617" i="6" s="1"/>
  <c r="C1617" i="6" a="1"/>
  <c r="C1617" i="6" s="1"/>
  <c r="D1616" i="6" a="1"/>
  <c r="D1616" i="6" s="1"/>
  <c r="E1616" i="6" s="1" a="1"/>
  <c r="E1616" i="6" s="1"/>
  <c r="C1616" i="6" a="1"/>
  <c r="C1616" i="6" s="1"/>
  <c r="D1615" i="6" a="1"/>
  <c r="D1615" i="6" s="1"/>
  <c r="E1615" i="6" s="1" a="1"/>
  <c r="E1615" i="6" s="1"/>
  <c r="C1615" i="6" a="1"/>
  <c r="C1615" i="6" s="1"/>
  <c r="D1614" i="6" a="1"/>
  <c r="D1614" i="6" s="1"/>
  <c r="E1614" i="6" s="1" a="1"/>
  <c r="E1614" i="6" s="1"/>
  <c r="C1614" i="6" a="1"/>
  <c r="C1614" i="6" s="1"/>
  <c r="D1613" i="6" a="1"/>
  <c r="D1613" i="6" s="1"/>
  <c r="E1613" i="6" s="1" a="1"/>
  <c r="E1613" i="6" s="1"/>
  <c r="C1613" i="6" a="1"/>
  <c r="C1613" i="6" s="1"/>
  <c r="D1612" i="6" a="1"/>
  <c r="D1612" i="6" s="1"/>
  <c r="E1612" i="6" s="1" a="1"/>
  <c r="E1612" i="6" s="1"/>
  <c r="C1612" i="6" a="1"/>
  <c r="C1612" i="6" s="1"/>
  <c r="D1611" i="6" a="1"/>
  <c r="D1611" i="6" s="1"/>
  <c r="E1611" i="6" s="1" a="1"/>
  <c r="E1611" i="6" s="1"/>
  <c r="C1611" i="6" a="1"/>
  <c r="C1611" i="6" s="1"/>
  <c r="D1610" i="6" a="1"/>
  <c r="D1610" i="6" s="1"/>
  <c r="E1610" i="6" s="1" a="1"/>
  <c r="E1610" i="6" s="1"/>
  <c r="C1610" i="6" a="1"/>
  <c r="C1610" i="6" s="1"/>
  <c r="D1609" i="6" a="1"/>
  <c r="D1609" i="6" s="1"/>
  <c r="E1609" i="6" s="1" a="1"/>
  <c r="E1609" i="6" s="1"/>
  <c r="C1609" i="6" a="1"/>
  <c r="C1609" i="6" s="1"/>
  <c r="D1608" i="6" a="1"/>
  <c r="D1608" i="6" s="1"/>
  <c r="E1608" i="6" s="1" a="1"/>
  <c r="E1608" i="6" s="1"/>
  <c r="C1608" i="6" a="1"/>
  <c r="C1608" i="6" s="1"/>
  <c r="D1607" i="6" a="1"/>
  <c r="D1607" i="6" s="1"/>
  <c r="E1607" i="6" s="1" a="1"/>
  <c r="E1607" i="6" s="1"/>
  <c r="C1607" i="6" a="1"/>
  <c r="C1607" i="6" s="1"/>
  <c r="D1606" i="6" a="1"/>
  <c r="D1606" i="6" s="1"/>
  <c r="E1606" i="6" s="1" a="1"/>
  <c r="E1606" i="6" s="1"/>
  <c r="C1606" i="6" a="1"/>
  <c r="C1606" i="6" s="1"/>
  <c r="D1605" i="6" a="1"/>
  <c r="D1605" i="6" s="1"/>
  <c r="E1605" i="6" s="1" a="1"/>
  <c r="E1605" i="6" s="1"/>
  <c r="C1605" i="6" a="1"/>
  <c r="C1605" i="6" s="1"/>
  <c r="D1604" i="6" a="1"/>
  <c r="D1604" i="6" s="1"/>
  <c r="E1604" i="6" s="1" a="1"/>
  <c r="E1604" i="6" s="1"/>
  <c r="C1604" i="6" a="1"/>
  <c r="C1604" i="6" s="1"/>
  <c r="D1603" i="6" a="1"/>
  <c r="D1603" i="6" s="1"/>
  <c r="E1603" i="6" s="1" a="1"/>
  <c r="E1603" i="6" s="1"/>
  <c r="C1603" i="6" a="1"/>
  <c r="C1603" i="6" s="1"/>
  <c r="D1602" i="6" a="1"/>
  <c r="D1602" i="6" s="1"/>
  <c r="E1602" i="6" s="1" a="1"/>
  <c r="E1602" i="6" s="1"/>
  <c r="C1602" i="6" a="1"/>
  <c r="C1602" i="6" s="1"/>
  <c r="D1601" i="6" a="1"/>
  <c r="D1601" i="6" s="1"/>
  <c r="E1601" i="6" s="1" a="1"/>
  <c r="E1601" i="6" s="1"/>
  <c r="C1601" i="6" a="1"/>
  <c r="C1601" i="6" s="1"/>
  <c r="D1600" i="6" a="1"/>
  <c r="D1600" i="6" s="1"/>
  <c r="E1600" i="6" s="1" a="1"/>
  <c r="E1600" i="6" s="1"/>
  <c r="C1600" i="6" a="1"/>
  <c r="C1600" i="6" s="1"/>
  <c r="D1599" i="6" a="1"/>
  <c r="D1599" i="6" s="1"/>
  <c r="E1599" i="6" s="1" a="1"/>
  <c r="E1599" i="6" s="1"/>
  <c r="C1599" i="6" a="1"/>
  <c r="C1599" i="6" s="1"/>
  <c r="D1598" i="6" a="1"/>
  <c r="D1598" i="6" s="1"/>
  <c r="E1598" i="6" s="1" a="1"/>
  <c r="E1598" i="6" s="1"/>
  <c r="C1598" i="6" a="1"/>
  <c r="C1598" i="6" s="1"/>
  <c r="D1597" i="6" a="1"/>
  <c r="D1597" i="6" s="1"/>
  <c r="E1597" i="6" s="1" a="1"/>
  <c r="E1597" i="6" s="1"/>
  <c r="C1597" i="6" a="1"/>
  <c r="C1597" i="6" s="1"/>
  <c r="D1596" i="6" a="1"/>
  <c r="D1596" i="6" s="1"/>
  <c r="E1596" i="6" s="1" a="1"/>
  <c r="E1596" i="6" s="1"/>
  <c r="C1596" i="6" a="1"/>
  <c r="C1596" i="6" s="1"/>
  <c r="D1595" i="6" a="1"/>
  <c r="D1595" i="6" s="1"/>
  <c r="E1595" i="6" s="1" a="1"/>
  <c r="E1595" i="6" s="1"/>
  <c r="C1595" i="6" a="1"/>
  <c r="C1595" i="6" s="1"/>
  <c r="D1594" i="6" a="1"/>
  <c r="D1594" i="6" s="1"/>
  <c r="E1594" i="6" s="1" a="1"/>
  <c r="E1594" i="6" s="1"/>
  <c r="C1594" i="6" a="1"/>
  <c r="C1594" i="6" s="1"/>
  <c r="D1593" i="6" a="1"/>
  <c r="D1593" i="6" s="1"/>
  <c r="E1593" i="6" s="1" a="1"/>
  <c r="E1593" i="6" s="1"/>
  <c r="C1593" i="6" a="1"/>
  <c r="C1593" i="6" s="1"/>
  <c r="D1592" i="6" a="1"/>
  <c r="D1592" i="6" s="1"/>
  <c r="E1592" i="6" s="1" a="1"/>
  <c r="E1592" i="6" s="1"/>
  <c r="C1592" i="6" a="1"/>
  <c r="C1592" i="6" s="1"/>
  <c r="D1591" i="6" a="1"/>
  <c r="D1591" i="6" s="1"/>
  <c r="E1591" i="6" s="1" a="1"/>
  <c r="E1591" i="6" s="1"/>
  <c r="C1591" i="6" a="1"/>
  <c r="C1591" i="6" s="1"/>
  <c r="D1590" i="6" a="1"/>
  <c r="D1590" i="6" s="1"/>
  <c r="E1590" i="6" s="1" a="1"/>
  <c r="E1590" i="6" s="1"/>
  <c r="C1590" i="6" a="1"/>
  <c r="C1590" i="6" s="1"/>
  <c r="D1589" i="6" a="1"/>
  <c r="D1589" i="6" s="1"/>
  <c r="E1589" i="6" s="1" a="1"/>
  <c r="E1589" i="6" s="1"/>
  <c r="C1589" i="6" a="1"/>
  <c r="C1589" i="6" s="1"/>
  <c r="D1588" i="6" a="1"/>
  <c r="D1588" i="6" s="1"/>
  <c r="E1588" i="6" s="1" a="1"/>
  <c r="E1588" i="6" s="1"/>
  <c r="C1588" i="6" a="1"/>
  <c r="C1588" i="6" s="1"/>
  <c r="D1587" i="6" a="1"/>
  <c r="D1587" i="6" s="1"/>
  <c r="E1587" i="6" s="1" a="1"/>
  <c r="E1587" i="6" s="1"/>
  <c r="C1587" i="6" a="1"/>
  <c r="C1587" i="6" s="1"/>
  <c r="D1586" i="6" a="1"/>
  <c r="D1586" i="6" s="1"/>
  <c r="E1586" i="6" s="1" a="1"/>
  <c r="E1586" i="6" s="1"/>
  <c r="C1586" i="6" a="1"/>
  <c r="C1586" i="6" s="1"/>
  <c r="D1585" i="6" a="1"/>
  <c r="D1585" i="6" s="1"/>
  <c r="E1585" i="6" s="1" a="1"/>
  <c r="E1585" i="6" s="1"/>
  <c r="C1585" i="6" a="1"/>
  <c r="C1585" i="6" s="1"/>
  <c r="D1584" i="6" a="1"/>
  <c r="D1584" i="6" s="1"/>
  <c r="E1584" i="6" s="1" a="1"/>
  <c r="E1584" i="6" s="1"/>
  <c r="C1584" i="6" a="1"/>
  <c r="C1584" i="6" s="1"/>
  <c r="D1583" i="6" a="1"/>
  <c r="D1583" i="6" s="1"/>
  <c r="E1583" i="6" s="1" a="1"/>
  <c r="E1583" i="6" s="1"/>
  <c r="C1583" i="6" a="1"/>
  <c r="C1583" i="6" s="1"/>
  <c r="D1582" i="6" a="1"/>
  <c r="D1582" i="6" s="1"/>
  <c r="E1582" i="6" s="1" a="1"/>
  <c r="E1582" i="6" s="1"/>
  <c r="C1582" i="6" a="1"/>
  <c r="C1582" i="6" s="1"/>
  <c r="D1581" i="6" a="1"/>
  <c r="D1581" i="6" s="1"/>
  <c r="E1581" i="6" s="1" a="1"/>
  <c r="E1581" i="6" s="1"/>
  <c r="C1581" i="6" a="1"/>
  <c r="C1581" i="6" s="1"/>
  <c r="D1580" i="6" a="1"/>
  <c r="D1580" i="6" s="1"/>
  <c r="E1580" i="6" s="1" a="1"/>
  <c r="E1580" i="6" s="1"/>
  <c r="C1580" i="6" a="1"/>
  <c r="C1580" i="6" s="1"/>
  <c r="D1579" i="6" a="1"/>
  <c r="D1579" i="6" s="1"/>
  <c r="E1579" i="6" s="1" a="1"/>
  <c r="E1579" i="6" s="1"/>
  <c r="C1579" i="6" a="1"/>
  <c r="C1579" i="6" s="1"/>
  <c r="D1578" i="6" a="1"/>
  <c r="D1578" i="6" s="1"/>
  <c r="E1578" i="6" s="1" a="1"/>
  <c r="E1578" i="6" s="1"/>
  <c r="C1578" i="6" a="1"/>
  <c r="C1578" i="6" s="1"/>
  <c r="D1577" i="6" a="1"/>
  <c r="D1577" i="6" s="1"/>
  <c r="E1577" i="6" s="1" a="1"/>
  <c r="E1577" i="6" s="1"/>
  <c r="C1577" i="6" a="1"/>
  <c r="C1577" i="6" s="1"/>
  <c r="D1576" i="6" a="1"/>
  <c r="D1576" i="6" s="1"/>
  <c r="E1576" i="6" s="1" a="1"/>
  <c r="E1576" i="6" s="1"/>
  <c r="C1576" i="6" a="1"/>
  <c r="C1576" i="6" s="1"/>
  <c r="D1575" i="6" a="1"/>
  <c r="D1575" i="6" s="1"/>
  <c r="E1575" i="6" s="1" a="1"/>
  <c r="E1575" i="6" s="1"/>
  <c r="C1575" i="6" a="1"/>
  <c r="C1575" i="6" s="1"/>
  <c r="D1574" i="6" a="1"/>
  <c r="D1574" i="6" s="1"/>
  <c r="E1574" i="6" s="1" a="1"/>
  <c r="E1574" i="6" s="1"/>
  <c r="C1574" i="6" a="1"/>
  <c r="C1574" i="6" s="1"/>
  <c r="D1573" i="6" a="1"/>
  <c r="D1573" i="6" s="1"/>
  <c r="E1573" i="6" s="1" a="1"/>
  <c r="E1573" i="6" s="1"/>
  <c r="C1573" i="6" a="1"/>
  <c r="C1573" i="6" s="1"/>
  <c r="D1572" i="6" a="1"/>
  <c r="D1572" i="6" s="1"/>
  <c r="E1572" i="6" s="1" a="1"/>
  <c r="E1572" i="6" s="1"/>
  <c r="C1572" i="6" a="1"/>
  <c r="C1572" i="6" s="1"/>
  <c r="D1571" i="6" a="1"/>
  <c r="D1571" i="6" s="1"/>
  <c r="E1571" i="6" s="1" a="1"/>
  <c r="E1571" i="6" s="1"/>
  <c r="C1571" i="6" a="1"/>
  <c r="C1571" i="6" s="1"/>
  <c r="D1570" i="6" a="1"/>
  <c r="D1570" i="6" s="1"/>
  <c r="E1570" i="6" s="1" a="1"/>
  <c r="E1570" i="6" s="1"/>
  <c r="C1570" i="6" a="1"/>
  <c r="C1570" i="6" s="1"/>
  <c r="D1569" i="6" a="1"/>
  <c r="D1569" i="6" s="1"/>
  <c r="E1569" i="6" s="1" a="1"/>
  <c r="E1569" i="6" s="1"/>
  <c r="C1569" i="6" a="1"/>
  <c r="C1569" i="6" s="1"/>
  <c r="D1568" i="6" a="1"/>
  <c r="D1568" i="6" s="1"/>
  <c r="E1568" i="6" s="1" a="1"/>
  <c r="E1568" i="6" s="1"/>
  <c r="C1568" i="6" a="1"/>
  <c r="C1568" i="6" s="1"/>
  <c r="D1567" i="6" a="1"/>
  <c r="D1567" i="6" s="1"/>
  <c r="E1567" i="6" s="1" a="1"/>
  <c r="E1567" i="6" s="1"/>
  <c r="C1567" i="6" a="1"/>
  <c r="C1567" i="6" s="1"/>
  <c r="D1566" i="6" a="1"/>
  <c r="D1566" i="6" s="1"/>
  <c r="E1566" i="6" s="1" a="1"/>
  <c r="E1566" i="6" s="1"/>
  <c r="C1566" i="6" a="1"/>
  <c r="C1566" i="6" s="1"/>
  <c r="D1565" i="6" a="1"/>
  <c r="D1565" i="6" s="1"/>
  <c r="E1565" i="6" s="1" a="1"/>
  <c r="E1565" i="6" s="1"/>
  <c r="C1565" i="6" a="1"/>
  <c r="C1565" i="6" s="1"/>
  <c r="D1564" i="6" a="1"/>
  <c r="D1564" i="6" s="1"/>
  <c r="E1564" i="6" s="1" a="1"/>
  <c r="E1564" i="6" s="1"/>
  <c r="C1564" i="6" a="1"/>
  <c r="C1564" i="6" s="1"/>
  <c r="D1563" i="6" a="1"/>
  <c r="D1563" i="6" s="1"/>
  <c r="E1563" i="6" s="1" a="1"/>
  <c r="E1563" i="6" s="1"/>
  <c r="C1563" i="6" a="1"/>
  <c r="C1563" i="6" s="1"/>
  <c r="D1562" i="6" a="1"/>
  <c r="D1562" i="6" s="1"/>
  <c r="E1562" i="6" s="1" a="1"/>
  <c r="E1562" i="6" s="1"/>
  <c r="C1562" i="6" a="1"/>
  <c r="C1562" i="6" s="1"/>
  <c r="D1561" i="6" a="1"/>
  <c r="D1561" i="6" s="1"/>
  <c r="E1561" i="6" s="1" a="1"/>
  <c r="E1561" i="6" s="1"/>
  <c r="C1561" i="6" a="1"/>
  <c r="C1561" i="6" s="1"/>
  <c r="D1560" i="6" a="1"/>
  <c r="D1560" i="6" s="1"/>
  <c r="E1560" i="6" s="1" a="1"/>
  <c r="E1560" i="6" s="1"/>
  <c r="C1560" i="6" a="1"/>
  <c r="C1560" i="6" s="1"/>
  <c r="D1559" i="6" a="1"/>
  <c r="D1559" i="6" s="1"/>
  <c r="E1559" i="6" s="1" a="1"/>
  <c r="E1559" i="6" s="1"/>
  <c r="C1559" i="6" a="1"/>
  <c r="C1559" i="6" s="1"/>
  <c r="D1558" i="6" a="1"/>
  <c r="D1558" i="6" s="1"/>
  <c r="E1558" i="6" s="1" a="1"/>
  <c r="E1558" i="6" s="1"/>
  <c r="C1558" i="6" a="1"/>
  <c r="C1558" i="6" s="1"/>
  <c r="D1557" i="6" a="1"/>
  <c r="D1557" i="6" s="1"/>
  <c r="E1557" i="6" s="1" a="1"/>
  <c r="E1557" i="6" s="1"/>
  <c r="C1557" i="6" a="1"/>
  <c r="C1557" i="6" s="1"/>
  <c r="D1556" i="6" a="1"/>
  <c r="D1556" i="6" s="1"/>
  <c r="E1556" i="6" s="1" a="1"/>
  <c r="E1556" i="6" s="1"/>
  <c r="C1556" i="6" a="1"/>
  <c r="C1556" i="6" s="1"/>
  <c r="D1555" i="6" a="1"/>
  <c r="D1555" i="6" s="1"/>
  <c r="E1555" i="6" s="1" a="1"/>
  <c r="E1555" i="6" s="1"/>
  <c r="C1555" i="6" a="1"/>
  <c r="C1555" i="6" s="1"/>
  <c r="D1554" i="6" a="1"/>
  <c r="D1554" i="6" s="1"/>
  <c r="E1554" i="6" s="1" a="1"/>
  <c r="E1554" i="6" s="1"/>
  <c r="C1554" i="6" a="1"/>
  <c r="C1554" i="6" s="1"/>
  <c r="D1553" i="6" a="1"/>
  <c r="D1553" i="6" s="1"/>
  <c r="E1553" i="6" s="1" a="1"/>
  <c r="E1553" i="6" s="1"/>
  <c r="C1553" i="6" a="1"/>
  <c r="C1553" i="6" s="1"/>
  <c r="D1552" i="6" a="1"/>
  <c r="D1552" i="6" s="1"/>
  <c r="E1552" i="6" s="1" a="1"/>
  <c r="E1552" i="6" s="1"/>
  <c r="C1552" i="6" a="1"/>
  <c r="C1552" i="6" s="1"/>
  <c r="D1551" i="6" a="1"/>
  <c r="D1551" i="6" s="1"/>
  <c r="E1551" i="6" s="1" a="1"/>
  <c r="E1551" i="6" s="1"/>
  <c r="C1551" i="6" a="1"/>
  <c r="C1551" i="6" s="1"/>
  <c r="D1550" i="6" a="1"/>
  <c r="D1550" i="6" s="1"/>
  <c r="E1550" i="6" s="1" a="1"/>
  <c r="E1550" i="6" s="1"/>
  <c r="C1550" i="6" a="1"/>
  <c r="C1550" i="6" s="1"/>
  <c r="D1549" i="6" a="1"/>
  <c r="D1549" i="6" s="1"/>
  <c r="E1549" i="6" s="1" a="1"/>
  <c r="E1549" i="6" s="1"/>
  <c r="C1549" i="6" a="1"/>
  <c r="C1549" i="6" s="1"/>
  <c r="D1548" i="6" a="1"/>
  <c r="D1548" i="6" s="1"/>
  <c r="E1548" i="6" s="1" a="1"/>
  <c r="E1548" i="6" s="1"/>
  <c r="C1548" i="6" a="1"/>
  <c r="C1548" i="6" s="1"/>
  <c r="D1547" i="6" a="1"/>
  <c r="D1547" i="6" s="1"/>
  <c r="E1547" i="6" s="1" a="1"/>
  <c r="E1547" i="6" s="1"/>
  <c r="C1547" i="6" a="1"/>
  <c r="C1547" i="6" s="1"/>
  <c r="D1546" i="6" a="1"/>
  <c r="D1546" i="6" s="1"/>
  <c r="E1546" i="6" s="1" a="1"/>
  <c r="E1546" i="6" s="1"/>
  <c r="C1546" i="6" a="1"/>
  <c r="C1546" i="6" s="1"/>
  <c r="D1545" i="6" a="1"/>
  <c r="D1545" i="6" s="1"/>
  <c r="E1545" i="6" s="1" a="1"/>
  <c r="E1545" i="6" s="1"/>
  <c r="C1545" i="6" a="1"/>
  <c r="C1545" i="6" s="1"/>
  <c r="D1544" i="6" a="1"/>
  <c r="D1544" i="6" s="1"/>
  <c r="E1544" i="6" s="1" a="1"/>
  <c r="E1544" i="6" s="1"/>
  <c r="C1544" i="6" a="1"/>
  <c r="C1544" i="6" s="1"/>
  <c r="D1543" i="6" a="1"/>
  <c r="D1543" i="6" s="1"/>
  <c r="E1543" i="6" s="1" a="1"/>
  <c r="E1543" i="6" s="1"/>
  <c r="C1543" i="6" a="1"/>
  <c r="C1543" i="6" s="1"/>
  <c r="D1542" i="6" a="1"/>
  <c r="D1542" i="6" s="1"/>
  <c r="E1542" i="6" s="1" a="1"/>
  <c r="E1542" i="6" s="1"/>
  <c r="C1542" i="6" a="1"/>
  <c r="C1542" i="6" s="1"/>
  <c r="D1541" i="6" a="1"/>
  <c r="D1541" i="6" s="1"/>
  <c r="E1541" i="6" s="1" a="1"/>
  <c r="E1541" i="6" s="1"/>
  <c r="C1541" i="6" a="1"/>
  <c r="C1541" i="6" s="1"/>
  <c r="D1540" i="6" a="1"/>
  <c r="D1540" i="6" s="1"/>
  <c r="E1540" i="6" s="1" a="1"/>
  <c r="E1540" i="6" s="1"/>
  <c r="C1540" i="6" a="1"/>
  <c r="C1540" i="6" s="1"/>
  <c r="D1539" i="6" a="1"/>
  <c r="D1539" i="6" s="1"/>
  <c r="E1539" i="6" s="1" a="1"/>
  <c r="E1539" i="6" s="1"/>
  <c r="C1539" i="6" a="1"/>
  <c r="C1539" i="6" s="1"/>
  <c r="D1538" i="6" a="1"/>
  <c r="D1538" i="6" s="1"/>
  <c r="E1538" i="6" s="1" a="1"/>
  <c r="E1538" i="6" s="1"/>
  <c r="C1538" i="6" a="1"/>
  <c r="C1538" i="6" s="1"/>
  <c r="D1537" i="6" a="1"/>
  <c r="D1537" i="6" s="1"/>
  <c r="E1537" i="6" s="1" a="1"/>
  <c r="E1537" i="6" s="1"/>
  <c r="C1537" i="6" a="1"/>
  <c r="C1537" i="6" s="1"/>
  <c r="D1536" i="6" a="1"/>
  <c r="D1536" i="6" s="1"/>
  <c r="E1536" i="6" s="1" a="1"/>
  <c r="E1536" i="6" s="1"/>
  <c r="C1536" i="6" a="1"/>
  <c r="C1536" i="6" s="1"/>
  <c r="D1535" i="6" a="1"/>
  <c r="D1535" i="6" s="1"/>
  <c r="E1535" i="6" s="1" a="1"/>
  <c r="E1535" i="6" s="1"/>
  <c r="C1535" i="6" a="1"/>
  <c r="C1535" i="6" s="1"/>
  <c r="D1534" i="6" a="1"/>
  <c r="D1534" i="6" s="1"/>
  <c r="E1534" i="6" s="1" a="1"/>
  <c r="E1534" i="6" s="1"/>
  <c r="C1534" i="6" a="1"/>
  <c r="C1534" i="6" s="1"/>
  <c r="D1533" i="6" a="1"/>
  <c r="D1533" i="6" s="1"/>
  <c r="E1533" i="6" s="1" a="1"/>
  <c r="E1533" i="6" s="1"/>
  <c r="C1533" i="6" a="1"/>
  <c r="C1533" i="6" s="1"/>
  <c r="D1532" i="6" a="1"/>
  <c r="D1532" i="6" s="1"/>
  <c r="E1532" i="6" s="1" a="1"/>
  <c r="E1532" i="6" s="1"/>
  <c r="C1532" i="6" a="1"/>
  <c r="C1532" i="6" s="1"/>
  <c r="D1531" i="6" a="1"/>
  <c r="D1531" i="6" s="1"/>
  <c r="E1531" i="6" s="1" a="1"/>
  <c r="E1531" i="6" s="1"/>
  <c r="C1531" i="6" a="1"/>
  <c r="C1531" i="6" s="1"/>
  <c r="D1530" i="6" a="1"/>
  <c r="D1530" i="6" s="1"/>
  <c r="E1530" i="6" s="1" a="1"/>
  <c r="E1530" i="6" s="1"/>
  <c r="C1530" i="6" a="1"/>
  <c r="C1530" i="6" s="1"/>
  <c r="D1529" i="6" a="1"/>
  <c r="D1529" i="6" s="1"/>
  <c r="E1529" i="6" s="1" a="1"/>
  <c r="E1529" i="6" s="1"/>
  <c r="C1529" i="6" a="1"/>
  <c r="C1529" i="6" s="1"/>
  <c r="D1528" i="6" a="1"/>
  <c r="D1528" i="6" s="1"/>
  <c r="E1528" i="6" s="1" a="1"/>
  <c r="E1528" i="6" s="1"/>
  <c r="C1528" i="6" a="1"/>
  <c r="C1528" i="6" s="1"/>
  <c r="D1527" i="6" a="1"/>
  <c r="D1527" i="6" s="1"/>
  <c r="E1527" i="6" s="1" a="1"/>
  <c r="E1527" i="6" s="1"/>
  <c r="C1527" i="6" a="1"/>
  <c r="C1527" i="6" s="1"/>
  <c r="D1526" i="6" a="1"/>
  <c r="D1526" i="6" s="1"/>
  <c r="E1526" i="6" s="1" a="1"/>
  <c r="E1526" i="6" s="1"/>
  <c r="C1526" i="6" a="1"/>
  <c r="C1526" i="6" s="1"/>
  <c r="D1525" i="6" a="1"/>
  <c r="D1525" i="6" s="1"/>
  <c r="E1525" i="6" s="1" a="1"/>
  <c r="E1525" i="6" s="1"/>
  <c r="C1525" i="6" a="1"/>
  <c r="C1525" i="6" s="1"/>
  <c r="D1524" i="6" a="1"/>
  <c r="D1524" i="6" s="1"/>
  <c r="E1524" i="6" s="1" a="1"/>
  <c r="E1524" i="6" s="1"/>
  <c r="C1524" i="6" a="1"/>
  <c r="C1524" i="6" s="1"/>
  <c r="D1523" i="6" a="1"/>
  <c r="D1523" i="6" s="1"/>
  <c r="E1523" i="6" s="1" a="1"/>
  <c r="E1523" i="6" s="1"/>
  <c r="C1523" i="6" a="1"/>
  <c r="C1523" i="6" s="1"/>
  <c r="D1522" i="6" a="1"/>
  <c r="D1522" i="6" s="1"/>
  <c r="E1522" i="6" s="1" a="1"/>
  <c r="E1522" i="6" s="1"/>
  <c r="C1522" i="6" a="1"/>
  <c r="C1522" i="6" s="1"/>
  <c r="D1521" i="6" a="1"/>
  <c r="D1521" i="6" s="1"/>
  <c r="E1521" i="6" s="1" a="1"/>
  <c r="E1521" i="6" s="1"/>
  <c r="C1521" i="6" a="1"/>
  <c r="C1521" i="6" s="1"/>
  <c r="D1520" i="6" a="1"/>
  <c r="D1520" i="6" s="1"/>
  <c r="E1520" i="6" s="1" a="1"/>
  <c r="E1520" i="6" s="1"/>
  <c r="C1520" i="6" a="1"/>
  <c r="C1520" i="6" s="1"/>
  <c r="D1519" i="6" a="1"/>
  <c r="D1519" i="6" s="1"/>
  <c r="E1519" i="6" s="1" a="1"/>
  <c r="E1519" i="6" s="1"/>
  <c r="C1519" i="6" a="1"/>
  <c r="C1519" i="6" s="1"/>
  <c r="D1518" i="6" a="1"/>
  <c r="D1518" i="6" s="1"/>
  <c r="E1518" i="6" s="1" a="1"/>
  <c r="E1518" i="6" s="1"/>
  <c r="C1518" i="6" a="1"/>
  <c r="C1518" i="6" s="1"/>
  <c r="D1517" i="6" a="1"/>
  <c r="D1517" i="6" s="1"/>
  <c r="E1517" i="6" s="1" a="1"/>
  <c r="E1517" i="6" s="1"/>
  <c r="C1517" i="6" a="1"/>
  <c r="C1517" i="6" s="1"/>
  <c r="D1516" i="6" a="1"/>
  <c r="D1516" i="6" s="1"/>
  <c r="E1516" i="6" s="1" a="1"/>
  <c r="E1516" i="6" s="1"/>
  <c r="C1516" i="6" a="1"/>
  <c r="C1516" i="6" s="1"/>
  <c r="D1515" i="6" a="1"/>
  <c r="D1515" i="6" s="1"/>
  <c r="E1515" i="6" s="1" a="1"/>
  <c r="E1515" i="6" s="1"/>
  <c r="C1515" i="6" a="1"/>
  <c r="C1515" i="6" s="1"/>
  <c r="D1514" i="6" a="1"/>
  <c r="D1514" i="6" s="1"/>
  <c r="E1514" i="6" s="1" a="1"/>
  <c r="E1514" i="6" s="1"/>
  <c r="C1514" i="6" a="1"/>
  <c r="C1514" i="6" s="1"/>
  <c r="D1513" i="6" a="1"/>
  <c r="D1513" i="6" s="1"/>
  <c r="E1513" i="6" s="1" a="1"/>
  <c r="E1513" i="6" s="1"/>
  <c r="C1513" i="6" a="1"/>
  <c r="C1513" i="6" s="1"/>
  <c r="D1512" i="6" a="1"/>
  <c r="D1512" i="6" s="1"/>
  <c r="E1512" i="6" s="1" a="1"/>
  <c r="E1512" i="6" s="1"/>
  <c r="C1512" i="6" a="1"/>
  <c r="C1512" i="6" s="1"/>
  <c r="D1511" i="6" a="1"/>
  <c r="D1511" i="6" s="1"/>
  <c r="E1511" i="6" s="1" a="1"/>
  <c r="E1511" i="6" s="1"/>
  <c r="C1511" i="6" a="1"/>
  <c r="C1511" i="6" s="1"/>
  <c r="D1510" i="6" a="1"/>
  <c r="D1510" i="6" s="1"/>
  <c r="E1510" i="6" s="1" a="1"/>
  <c r="E1510" i="6" s="1"/>
  <c r="C1510" i="6" a="1"/>
  <c r="C1510" i="6" s="1"/>
  <c r="D1509" i="6" a="1"/>
  <c r="D1509" i="6" s="1"/>
  <c r="E1509" i="6" s="1" a="1"/>
  <c r="E1509" i="6" s="1"/>
  <c r="C1509" i="6" a="1"/>
  <c r="C1509" i="6" s="1"/>
  <c r="D1508" i="6" a="1"/>
  <c r="D1508" i="6" s="1"/>
  <c r="E1508" i="6" s="1" a="1"/>
  <c r="E1508" i="6" s="1"/>
  <c r="C1508" i="6" a="1"/>
  <c r="C1508" i="6" s="1"/>
  <c r="D1507" i="6" a="1"/>
  <c r="D1507" i="6" s="1"/>
  <c r="E1507" i="6" s="1" a="1"/>
  <c r="E1507" i="6" s="1"/>
  <c r="C1507" i="6" a="1"/>
  <c r="C1507" i="6" s="1"/>
  <c r="D1506" i="6" a="1"/>
  <c r="D1506" i="6" s="1"/>
  <c r="E1506" i="6" s="1" a="1"/>
  <c r="E1506" i="6" s="1"/>
  <c r="C1506" i="6" a="1"/>
  <c r="C1506" i="6" s="1"/>
  <c r="D1505" i="6" a="1"/>
  <c r="D1505" i="6" s="1"/>
  <c r="E1505" i="6" s="1" a="1"/>
  <c r="E1505" i="6" s="1"/>
  <c r="C1505" i="6" a="1"/>
  <c r="C1505" i="6" s="1"/>
  <c r="D1504" i="6" a="1"/>
  <c r="D1504" i="6" s="1"/>
  <c r="E1504" i="6" s="1" a="1"/>
  <c r="E1504" i="6" s="1"/>
  <c r="C1504" i="6" a="1"/>
  <c r="C1504" i="6" s="1"/>
  <c r="D1503" i="6" a="1"/>
  <c r="D1503" i="6" s="1"/>
  <c r="E1503" i="6" s="1" a="1"/>
  <c r="E1503" i="6" s="1"/>
  <c r="C1503" i="6" a="1"/>
  <c r="C1503" i="6" s="1"/>
  <c r="D1502" i="6" a="1"/>
  <c r="D1502" i="6" s="1"/>
  <c r="E1502" i="6" s="1" a="1"/>
  <c r="E1502" i="6" s="1"/>
  <c r="C1502" i="6" a="1"/>
  <c r="C1502" i="6" s="1"/>
  <c r="D1501" i="6" a="1"/>
  <c r="D1501" i="6" s="1"/>
  <c r="E1501" i="6" s="1" a="1"/>
  <c r="E1501" i="6" s="1"/>
  <c r="C1501" i="6" a="1"/>
  <c r="C1501" i="6" s="1"/>
  <c r="D1500" i="6" a="1"/>
  <c r="D1500" i="6" s="1"/>
  <c r="E1500" i="6" s="1" a="1"/>
  <c r="E1500" i="6" s="1"/>
  <c r="C1500" i="6" a="1"/>
  <c r="C1500" i="6" s="1"/>
  <c r="D1499" i="6" a="1"/>
  <c r="D1499" i="6" s="1"/>
  <c r="E1499" i="6" s="1" a="1"/>
  <c r="E1499" i="6" s="1"/>
  <c r="C1499" i="6" a="1"/>
  <c r="C1499" i="6" s="1"/>
  <c r="D1498" i="6" a="1"/>
  <c r="D1498" i="6" s="1"/>
  <c r="E1498" i="6" s="1" a="1"/>
  <c r="E1498" i="6" s="1"/>
  <c r="C1498" i="6" a="1"/>
  <c r="C1498" i="6" s="1"/>
  <c r="D1497" i="6" a="1"/>
  <c r="D1497" i="6" s="1"/>
  <c r="E1497" i="6" s="1" a="1"/>
  <c r="E1497" i="6" s="1"/>
  <c r="C1497" i="6" a="1"/>
  <c r="C1497" i="6" s="1"/>
  <c r="D1496" i="6" a="1"/>
  <c r="D1496" i="6" s="1"/>
  <c r="E1496" i="6" s="1" a="1"/>
  <c r="E1496" i="6" s="1"/>
  <c r="C1496" i="6" a="1"/>
  <c r="C1496" i="6" s="1"/>
  <c r="D1495" i="6" a="1"/>
  <c r="D1495" i="6" s="1"/>
  <c r="E1495" i="6" s="1" a="1"/>
  <c r="E1495" i="6" s="1"/>
  <c r="C1495" i="6" a="1"/>
  <c r="C1495" i="6" s="1"/>
  <c r="D1494" i="6" a="1"/>
  <c r="D1494" i="6" s="1"/>
  <c r="E1494" i="6" s="1" a="1"/>
  <c r="E1494" i="6" s="1"/>
  <c r="C1494" i="6" a="1"/>
  <c r="C1494" i="6" s="1"/>
  <c r="D1493" i="6" a="1"/>
  <c r="D1493" i="6" s="1"/>
  <c r="E1493" i="6" s="1" a="1"/>
  <c r="E1493" i="6" s="1"/>
  <c r="C1493" i="6" a="1"/>
  <c r="C1493" i="6" s="1"/>
  <c r="D1492" i="6" a="1"/>
  <c r="D1492" i="6" s="1"/>
  <c r="E1492" i="6" s="1" a="1"/>
  <c r="E1492" i="6" s="1"/>
  <c r="C1492" i="6" a="1"/>
  <c r="C1492" i="6" s="1"/>
  <c r="D1491" i="6" a="1"/>
  <c r="D1491" i="6" s="1"/>
  <c r="E1491" i="6" s="1" a="1"/>
  <c r="E1491" i="6" s="1"/>
  <c r="C1491" i="6" a="1"/>
  <c r="C1491" i="6" s="1"/>
  <c r="D1490" i="6" a="1"/>
  <c r="D1490" i="6" s="1"/>
  <c r="E1490" i="6" s="1" a="1"/>
  <c r="E1490" i="6" s="1"/>
  <c r="C1490" i="6" a="1"/>
  <c r="C1490" i="6" s="1"/>
  <c r="D1489" i="6" a="1"/>
  <c r="D1489" i="6" s="1"/>
  <c r="E1489" i="6" s="1" a="1"/>
  <c r="E1489" i="6" s="1"/>
  <c r="C1489" i="6" a="1"/>
  <c r="C1489" i="6" s="1"/>
  <c r="D1488" i="6" a="1"/>
  <c r="D1488" i="6" s="1"/>
  <c r="E1488" i="6" s="1" a="1"/>
  <c r="E1488" i="6" s="1"/>
  <c r="C1488" i="6" a="1"/>
  <c r="C1488" i="6" s="1"/>
  <c r="D1487" i="6" a="1"/>
  <c r="D1487" i="6" s="1"/>
  <c r="E1487" i="6" s="1" a="1"/>
  <c r="E1487" i="6" s="1"/>
  <c r="C1487" i="6" a="1"/>
  <c r="C1487" i="6" s="1"/>
  <c r="D1486" i="6" a="1"/>
  <c r="D1486" i="6" s="1"/>
  <c r="E1486" i="6" s="1" a="1"/>
  <c r="E1486" i="6" s="1"/>
  <c r="C1486" i="6" a="1"/>
  <c r="C1486" i="6" s="1"/>
  <c r="D1485" i="6" a="1"/>
  <c r="D1485" i="6" s="1"/>
  <c r="E1485" i="6" s="1" a="1"/>
  <c r="E1485" i="6" s="1"/>
  <c r="C1485" i="6" a="1"/>
  <c r="C1485" i="6" s="1"/>
  <c r="D1484" i="6" a="1"/>
  <c r="D1484" i="6" s="1"/>
  <c r="E1484" i="6" s="1" a="1"/>
  <c r="E1484" i="6" s="1"/>
  <c r="C1484" i="6" a="1"/>
  <c r="C1484" i="6" s="1"/>
  <c r="D1483" i="6" a="1"/>
  <c r="D1483" i="6" s="1"/>
  <c r="E1483" i="6" s="1" a="1"/>
  <c r="E1483" i="6" s="1"/>
  <c r="C1483" i="6" a="1"/>
  <c r="C1483" i="6" s="1"/>
  <c r="D1482" i="6" a="1"/>
  <c r="D1482" i="6" s="1"/>
  <c r="E1482" i="6" s="1" a="1"/>
  <c r="E1482" i="6" s="1"/>
  <c r="C1482" i="6" a="1"/>
  <c r="C1482" i="6" s="1"/>
  <c r="D1481" i="6" a="1"/>
  <c r="D1481" i="6" s="1"/>
  <c r="E1481" i="6" s="1" a="1"/>
  <c r="E1481" i="6" s="1"/>
  <c r="C1481" i="6" a="1"/>
  <c r="C1481" i="6" s="1"/>
  <c r="D1480" i="6" a="1"/>
  <c r="D1480" i="6" s="1"/>
  <c r="E1480" i="6" s="1" a="1"/>
  <c r="E1480" i="6" s="1"/>
  <c r="C1480" i="6" a="1"/>
  <c r="C1480" i="6" s="1"/>
  <c r="D1479" i="6" a="1"/>
  <c r="D1479" i="6" s="1"/>
  <c r="E1479" i="6" s="1" a="1"/>
  <c r="E1479" i="6" s="1"/>
  <c r="C1479" i="6" a="1"/>
  <c r="C1479" i="6" s="1"/>
  <c r="D1478" i="6" a="1"/>
  <c r="D1478" i="6" s="1"/>
  <c r="E1478" i="6" s="1" a="1"/>
  <c r="E1478" i="6" s="1"/>
  <c r="C1478" i="6" a="1"/>
  <c r="C1478" i="6" s="1"/>
  <c r="D1477" i="6" a="1"/>
  <c r="D1477" i="6" s="1"/>
  <c r="E1477" i="6" s="1" a="1"/>
  <c r="E1477" i="6" s="1"/>
  <c r="C1477" i="6" a="1"/>
  <c r="C1477" i="6" s="1"/>
  <c r="D1476" i="6" a="1"/>
  <c r="D1476" i="6" s="1"/>
  <c r="E1476" i="6" s="1" a="1"/>
  <c r="E1476" i="6" s="1"/>
  <c r="C1476" i="6" a="1"/>
  <c r="C1476" i="6" s="1"/>
  <c r="D1475" i="6" a="1"/>
  <c r="D1475" i="6" s="1"/>
  <c r="E1475" i="6" s="1" a="1"/>
  <c r="E1475" i="6" s="1"/>
  <c r="C1475" i="6" a="1"/>
  <c r="C1475" i="6" s="1"/>
  <c r="D1474" i="6" a="1"/>
  <c r="D1474" i="6" s="1"/>
  <c r="E1474" i="6" s="1" a="1"/>
  <c r="E1474" i="6" s="1"/>
  <c r="C1474" i="6" a="1"/>
  <c r="C1474" i="6" s="1"/>
  <c r="C2" i="5" a="1"/>
  <c r="C2" i="5" s="1"/>
  <c r="G1023" i="4"/>
  <c r="G1022" i="4"/>
  <c r="G1021" i="4"/>
  <c r="G1020" i="4"/>
  <c r="G1019" i="4"/>
  <c r="G1018" i="4"/>
  <c r="G1017" i="4"/>
  <c r="G1016" i="4"/>
  <c r="G1015" i="4"/>
  <c r="G1014" i="4"/>
  <c r="G1013" i="4"/>
  <c r="G1012" i="4"/>
  <c r="G1011" i="4"/>
  <c r="G1010" i="4"/>
  <c r="G1009" i="4"/>
  <c r="G1008" i="4"/>
  <c r="G1007" i="4"/>
  <c r="G1006" i="4"/>
  <c r="G1005" i="4"/>
  <c r="G1004" i="4"/>
  <c r="G1003" i="4"/>
  <c r="G1002" i="4"/>
  <c r="G1001" i="4"/>
  <c r="G1000" i="4"/>
  <c r="G999" i="4"/>
  <c r="G998" i="4"/>
  <c r="G997" i="4"/>
  <c r="G996" i="4"/>
  <c r="G995" i="4"/>
  <c r="G994" i="4"/>
  <c r="G993" i="4"/>
  <c r="G992" i="4"/>
  <c r="G991" i="4"/>
  <c r="G990" i="4"/>
  <c r="G989" i="4"/>
  <c r="G988" i="4"/>
  <c r="G987" i="4"/>
  <c r="G986" i="4"/>
  <c r="G985" i="4"/>
  <c r="G984" i="4"/>
  <c r="G983" i="4"/>
  <c r="G982" i="4"/>
  <c r="G981" i="4"/>
  <c r="G980" i="4"/>
  <c r="G979" i="4"/>
  <c r="G978" i="4"/>
  <c r="G977" i="4"/>
  <c r="G976" i="4"/>
  <c r="G975" i="4"/>
  <c r="G974" i="4"/>
  <c r="G973" i="4"/>
  <c r="G972" i="4"/>
  <c r="G971" i="4"/>
  <c r="G970" i="4"/>
  <c r="G969" i="4"/>
  <c r="G968" i="4"/>
  <c r="G967" i="4"/>
  <c r="G966" i="4"/>
  <c r="G965" i="4"/>
  <c r="G964" i="4"/>
  <c r="G963" i="4"/>
  <c r="G962" i="4"/>
  <c r="G961" i="4"/>
  <c r="G960" i="4"/>
  <c r="G959" i="4"/>
  <c r="G958" i="4"/>
  <c r="G957" i="4"/>
  <c r="G956" i="4"/>
  <c r="G955" i="4"/>
  <c r="G954" i="4"/>
  <c r="G953" i="4"/>
  <c r="G952" i="4"/>
  <c r="G951" i="4"/>
  <c r="G950" i="4"/>
  <c r="G949" i="4"/>
  <c r="G948" i="4"/>
  <c r="G947" i="4"/>
  <c r="G946" i="4"/>
  <c r="G945" i="4"/>
  <c r="G944" i="4"/>
  <c r="G943" i="4"/>
  <c r="G942" i="4"/>
  <c r="G941" i="4"/>
  <c r="G940" i="4"/>
  <c r="G939" i="4"/>
  <c r="G938" i="4"/>
  <c r="G937" i="4"/>
  <c r="G936" i="4"/>
  <c r="G935" i="4"/>
  <c r="G934" i="4"/>
  <c r="G933" i="4"/>
  <c r="G932" i="4"/>
  <c r="G931" i="4"/>
  <c r="G930" i="4"/>
  <c r="G929" i="4"/>
  <c r="G928" i="4"/>
  <c r="G927" i="4"/>
  <c r="G926" i="4"/>
  <c r="G925" i="4"/>
  <c r="G924" i="4"/>
  <c r="G923" i="4"/>
  <c r="G922" i="4"/>
  <c r="G921" i="4"/>
  <c r="G920" i="4"/>
  <c r="G919" i="4"/>
  <c r="G918" i="4"/>
  <c r="G917" i="4"/>
  <c r="G916" i="4"/>
  <c r="G915" i="4"/>
  <c r="G914" i="4"/>
  <c r="G913" i="4"/>
  <c r="G912" i="4"/>
  <c r="G911" i="4"/>
  <c r="G910" i="4"/>
  <c r="G909" i="4"/>
  <c r="G908" i="4"/>
  <c r="G907" i="4"/>
  <c r="G906" i="4"/>
  <c r="G905" i="4"/>
  <c r="G904" i="4"/>
  <c r="G903" i="4"/>
  <c r="G902" i="4"/>
  <c r="G901" i="4"/>
  <c r="G900" i="4"/>
  <c r="G899" i="4"/>
  <c r="G898" i="4"/>
  <c r="G897" i="4"/>
  <c r="G896" i="4"/>
  <c r="G895" i="4"/>
  <c r="G894" i="4"/>
  <c r="G893" i="4"/>
  <c r="G892" i="4"/>
  <c r="G891" i="4"/>
  <c r="G890" i="4"/>
  <c r="G889" i="4"/>
  <c r="G888" i="4"/>
  <c r="G887" i="4"/>
  <c r="G886" i="4"/>
  <c r="G885" i="4"/>
  <c r="G884" i="4"/>
  <c r="G883" i="4"/>
  <c r="G882" i="4"/>
  <c r="G881" i="4"/>
  <c r="G880" i="4"/>
  <c r="G879" i="4"/>
  <c r="G878" i="4"/>
  <c r="G877" i="4"/>
  <c r="G876" i="4"/>
  <c r="G875" i="4"/>
  <c r="G874" i="4"/>
  <c r="G873" i="4"/>
  <c r="G872" i="4"/>
  <c r="G871" i="4"/>
  <c r="G870" i="4"/>
  <c r="G869" i="4"/>
  <c r="G868" i="4"/>
  <c r="G867" i="4"/>
  <c r="G866" i="4"/>
  <c r="G865" i="4"/>
  <c r="G864" i="4"/>
  <c r="G863" i="4"/>
  <c r="G862" i="4"/>
  <c r="G861" i="4"/>
  <c r="G860" i="4"/>
  <c r="G859" i="4"/>
  <c r="G858" i="4"/>
  <c r="G857" i="4"/>
  <c r="G856" i="4"/>
  <c r="G855" i="4"/>
  <c r="G854" i="4"/>
  <c r="G853" i="4"/>
  <c r="G852" i="4"/>
  <c r="G851" i="4"/>
  <c r="G850" i="4"/>
  <c r="G849" i="4"/>
  <c r="G848" i="4"/>
  <c r="G847" i="4"/>
  <c r="G846" i="4"/>
  <c r="G845" i="4"/>
  <c r="G844" i="4"/>
  <c r="G843" i="4"/>
  <c r="G842" i="4"/>
  <c r="G841" i="4"/>
  <c r="G840" i="4"/>
  <c r="G839" i="4"/>
  <c r="G838" i="4"/>
  <c r="G837" i="4"/>
  <c r="G836" i="4"/>
  <c r="G835" i="4"/>
  <c r="G834" i="4"/>
  <c r="G833" i="4"/>
  <c r="G832" i="4"/>
  <c r="G831" i="4"/>
  <c r="G830" i="4"/>
  <c r="G829" i="4"/>
  <c r="G828" i="4"/>
  <c r="G827" i="4"/>
  <c r="G826" i="4"/>
  <c r="G825" i="4"/>
  <c r="G824" i="4"/>
  <c r="G823" i="4"/>
  <c r="G822" i="4"/>
  <c r="G821" i="4"/>
  <c r="G820" i="4"/>
  <c r="G819" i="4"/>
  <c r="G818" i="4"/>
  <c r="G817" i="4"/>
  <c r="G816" i="4"/>
  <c r="G815" i="4"/>
  <c r="G814" i="4"/>
  <c r="G813" i="4"/>
  <c r="G812" i="4"/>
  <c r="G811" i="4"/>
  <c r="G810" i="4"/>
  <c r="G809" i="4"/>
  <c r="G808" i="4"/>
  <c r="G807" i="4"/>
  <c r="G806" i="4"/>
  <c r="G805" i="4"/>
  <c r="G804" i="4"/>
  <c r="G803" i="4"/>
  <c r="G802" i="4"/>
  <c r="G801" i="4"/>
  <c r="G800" i="4"/>
  <c r="G799" i="4"/>
  <c r="G798" i="4"/>
  <c r="G797" i="4"/>
  <c r="G796" i="4"/>
  <c r="G795" i="4"/>
  <c r="G794" i="4"/>
  <c r="G793" i="4"/>
  <c r="G792" i="4"/>
  <c r="G791" i="4"/>
  <c r="G790" i="4"/>
  <c r="G789" i="4"/>
  <c r="G788" i="4"/>
  <c r="G787" i="4"/>
  <c r="G786" i="4"/>
  <c r="G785" i="4"/>
  <c r="G784" i="4"/>
  <c r="G783" i="4"/>
  <c r="G782" i="4"/>
  <c r="G781" i="4"/>
  <c r="G780" i="4"/>
  <c r="G779" i="4"/>
  <c r="G778" i="4"/>
  <c r="G777" i="4"/>
  <c r="G776" i="4"/>
  <c r="G775" i="4"/>
  <c r="G774" i="4"/>
  <c r="G773" i="4"/>
  <c r="G772" i="4"/>
  <c r="G771" i="4"/>
  <c r="G770" i="4"/>
  <c r="G769" i="4"/>
  <c r="G768" i="4"/>
  <c r="G767" i="4"/>
  <c r="G766" i="4"/>
  <c r="G765" i="4"/>
  <c r="G764" i="4"/>
  <c r="G763" i="4"/>
  <c r="G762" i="4"/>
  <c r="G761" i="4"/>
  <c r="G760" i="4"/>
  <c r="G759" i="4"/>
  <c r="G758" i="4"/>
  <c r="G757" i="4"/>
  <c r="G756" i="4"/>
  <c r="G755" i="4"/>
  <c r="G754" i="4"/>
  <c r="G753" i="4"/>
  <c r="G752" i="4"/>
  <c r="G751" i="4"/>
  <c r="G750" i="4"/>
  <c r="G749" i="4"/>
  <c r="G748" i="4"/>
  <c r="G747" i="4"/>
  <c r="G746" i="4"/>
  <c r="G745" i="4"/>
  <c r="G744" i="4"/>
  <c r="G743" i="4"/>
  <c r="G742" i="4"/>
  <c r="G741" i="4"/>
  <c r="G740" i="4"/>
  <c r="G739" i="4"/>
  <c r="G738" i="4"/>
  <c r="G737" i="4"/>
  <c r="G736" i="4"/>
  <c r="G735" i="4"/>
  <c r="G734" i="4"/>
  <c r="G733" i="4"/>
  <c r="G732" i="4"/>
  <c r="G731" i="4"/>
  <c r="G730" i="4"/>
  <c r="G729" i="4"/>
  <c r="G728" i="4"/>
  <c r="G727" i="4"/>
  <c r="G726" i="4"/>
  <c r="G725" i="4"/>
  <c r="G724" i="4"/>
  <c r="G723" i="4"/>
  <c r="G722" i="4"/>
  <c r="G721" i="4"/>
  <c r="G720" i="4"/>
  <c r="G719" i="4"/>
  <c r="G718" i="4"/>
  <c r="G717" i="4"/>
  <c r="G716" i="4"/>
  <c r="G715" i="4"/>
  <c r="G714" i="4"/>
  <c r="G713" i="4"/>
  <c r="G712" i="4"/>
  <c r="G711" i="4"/>
  <c r="G710" i="4"/>
  <c r="G709" i="4"/>
  <c r="G708" i="4"/>
  <c r="G707" i="4"/>
  <c r="G706" i="4"/>
  <c r="G705" i="4"/>
  <c r="G704" i="4"/>
  <c r="G703" i="4"/>
  <c r="G702" i="4"/>
  <c r="G701" i="4"/>
  <c r="G700" i="4"/>
  <c r="G699" i="4"/>
  <c r="G698" i="4"/>
  <c r="G697" i="4"/>
  <c r="G696" i="4"/>
  <c r="G695" i="4"/>
  <c r="G694" i="4"/>
  <c r="G693" i="4"/>
  <c r="G692" i="4"/>
  <c r="G691" i="4"/>
  <c r="G690" i="4"/>
  <c r="G689" i="4"/>
  <c r="G688" i="4"/>
  <c r="G687" i="4"/>
  <c r="G686" i="4"/>
  <c r="G685" i="4"/>
  <c r="G684" i="4"/>
  <c r="G683" i="4"/>
  <c r="G682" i="4"/>
  <c r="G681" i="4"/>
  <c r="G680" i="4"/>
  <c r="G679" i="4"/>
  <c r="G678" i="4"/>
  <c r="G677" i="4"/>
  <c r="G676" i="4"/>
  <c r="G675" i="4"/>
  <c r="G674" i="4"/>
  <c r="G673" i="4"/>
  <c r="G672" i="4"/>
  <c r="G671" i="4"/>
  <c r="G670" i="4"/>
  <c r="G669" i="4"/>
  <c r="G668" i="4"/>
  <c r="G667" i="4"/>
  <c r="G666" i="4"/>
  <c r="G665" i="4"/>
  <c r="G664" i="4"/>
  <c r="G663" i="4"/>
  <c r="G662" i="4"/>
  <c r="G661" i="4"/>
  <c r="G660" i="4"/>
  <c r="G659" i="4"/>
  <c r="G658" i="4"/>
  <c r="G657" i="4"/>
  <c r="G656" i="4"/>
  <c r="G655" i="4"/>
  <c r="G654" i="4"/>
  <c r="G653" i="4"/>
  <c r="G652" i="4"/>
  <c r="G651" i="4"/>
  <c r="G650" i="4"/>
  <c r="G649" i="4"/>
  <c r="G648" i="4"/>
  <c r="G647" i="4"/>
  <c r="G646" i="4"/>
  <c r="G645" i="4"/>
  <c r="G644" i="4"/>
  <c r="G643" i="4"/>
  <c r="G642" i="4"/>
  <c r="G641" i="4"/>
  <c r="G640" i="4"/>
  <c r="G639" i="4"/>
  <c r="G638" i="4"/>
  <c r="G637" i="4"/>
  <c r="G636" i="4"/>
  <c r="G635" i="4"/>
  <c r="G634" i="4"/>
  <c r="G633" i="4"/>
  <c r="G632" i="4"/>
  <c r="G631" i="4"/>
  <c r="G630" i="4"/>
  <c r="G629" i="4"/>
  <c r="G628" i="4"/>
  <c r="G627" i="4"/>
  <c r="G626" i="4"/>
  <c r="G625" i="4"/>
  <c r="G624" i="4"/>
  <c r="G623" i="4"/>
  <c r="G622" i="4"/>
  <c r="G621" i="4"/>
  <c r="G620" i="4"/>
  <c r="G619" i="4"/>
  <c r="G618" i="4"/>
  <c r="G617" i="4"/>
  <c r="G616" i="4"/>
  <c r="G615" i="4"/>
  <c r="G614" i="4"/>
  <c r="G613" i="4"/>
  <c r="G612" i="4"/>
  <c r="G611" i="4"/>
  <c r="G610" i="4"/>
  <c r="G609" i="4"/>
  <c r="G608" i="4"/>
  <c r="G607" i="4"/>
  <c r="G606" i="4"/>
  <c r="G605" i="4"/>
  <c r="G604" i="4"/>
  <c r="G603" i="4"/>
  <c r="G602" i="4"/>
  <c r="G601" i="4"/>
  <c r="G600" i="4"/>
  <c r="G599" i="4"/>
  <c r="G598" i="4"/>
  <c r="G597" i="4"/>
  <c r="G596" i="4"/>
  <c r="G595" i="4"/>
  <c r="G594" i="4"/>
  <c r="G593" i="4"/>
  <c r="G592" i="4"/>
  <c r="G591" i="4"/>
  <c r="G590" i="4"/>
  <c r="G589" i="4"/>
  <c r="G588" i="4"/>
  <c r="G587" i="4"/>
  <c r="G586" i="4"/>
  <c r="G585" i="4"/>
  <c r="G584" i="4"/>
  <c r="G583" i="4"/>
  <c r="G582" i="4"/>
  <c r="G581" i="4"/>
  <c r="G580" i="4"/>
  <c r="G579" i="4"/>
  <c r="G578" i="4"/>
  <c r="G577" i="4"/>
  <c r="G576" i="4"/>
  <c r="G575" i="4"/>
  <c r="G574" i="4"/>
  <c r="G573" i="4"/>
  <c r="G572" i="4"/>
  <c r="G571" i="4"/>
  <c r="G570" i="4"/>
  <c r="G569" i="4"/>
  <c r="G568" i="4"/>
  <c r="G567" i="4"/>
  <c r="G566" i="4"/>
  <c r="G565" i="4"/>
  <c r="G564" i="4"/>
  <c r="G563" i="4"/>
  <c r="G562" i="4"/>
  <c r="G561" i="4"/>
  <c r="G560" i="4"/>
  <c r="G559" i="4"/>
  <c r="G558" i="4"/>
  <c r="G557" i="4"/>
  <c r="G556" i="4"/>
  <c r="G555" i="4"/>
  <c r="G554" i="4"/>
  <c r="G553" i="4"/>
  <c r="G552" i="4"/>
  <c r="G551" i="4"/>
  <c r="G550" i="4"/>
  <c r="G549" i="4"/>
  <c r="G548" i="4"/>
  <c r="G547" i="4"/>
  <c r="G546" i="4"/>
  <c r="G545" i="4"/>
  <c r="G544" i="4"/>
  <c r="G543" i="4"/>
  <c r="G542" i="4"/>
  <c r="G541" i="4"/>
  <c r="G540" i="4"/>
  <c r="G539" i="4"/>
  <c r="G538" i="4"/>
  <c r="G537" i="4"/>
  <c r="G536" i="4"/>
  <c r="G535" i="4"/>
  <c r="G534" i="4"/>
  <c r="G533" i="4"/>
  <c r="G532" i="4"/>
  <c r="G531" i="4"/>
  <c r="G530" i="4"/>
  <c r="G529" i="4"/>
  <c r="G528" i="4"/>
  <c r="G527" i="4"/>
  <c r="G526" i="4"/>
  <c r="G525" i="4"/>
  <c r="G524" i="4"/>
  <c r="G523" i="4"/>
  <c r="G522" i="4"/>
  <c r="G521" i="4"/>
  <c r="G520" i="4"/>
  <c r="G519" i="4"/>
  <c r="G518" i="4"/>
  <c r="G517" i="4"/>
  <c r="G516" i="4"/>
  <c r="G515" i="4"/>
  <c r="G514" i="4"/>
  <c r="G513" i="4"/>
  <c r="G512" i="4"/>
  <c r="G511" i="4"/>
  <c r="G510" i="4"/>
  <c r="G509" i="4"/>
  <c r="G508" i="4"/>
  <c r="G507" i="4"/>
  <c r="G506" i="4"/>
  <c r="G505" i="4"/>
  <c r="G504" i="4"/>
  <c r="G503" i="4"/>
  <c r="G502" i="4"/>
  <c r="G501" i="4"/>
  <c r="G500" i="4"/>
  <c r="G499" i="4"/>
  <c r="G498" i="4"/>
  <c r="G497" i="4"/>
  <c r="G496" i="4"/>
  <c r="G495" i="4"/>
  <c r="G494" i="4"/>
  <c r="G493" i="4"/>
  <c r="G492" i="4"/>
  <c r="G491" i="4"/>
  <c r="G490" i="4"/>
  <c r="G489" i="4"/>
  <c r="G488" i="4"/>
  <c r="G487" i="4"/>
  <c r="G486" i="4"/>
  <c r="G485" i="4"/>
  <c r="G484" i="4"/>
  <c r="G483" i="4"/>
  <c r="G482" i="4"/>
  <c r="G481" i="4"/>
  <c r="G480" i="4"/>
  <c r="G479" i="4"/>
  <c r="G478" i="4"/>
  <c r="G477" i="4"/>
  <c r="G476" i="4"/>
  <c r="G475" i="4"/>
  <c r="G474" i="4"/>
  <c r="G473" i="4"/>
  <c r="G472" i="4"/>
  <c r="G471" i="4"/>
  <c r="G470" i="4"/>
  <c r="G469" i="4"/>
  <c r="G468" i="4"/>
  <c r="G467" i="4"/>
  <c r="G466" i="4"/>
  <c r="G465" i="4"/>
  <c r="G464" i="4"/>
  <c r="G463" i="4"/>
  <c r="G462" i="4"/>
  <c r="G461" i="4"/>
  <c r="G460" i="4"/>
  <c r="G459" i="4"/>
  <c r="G458" i="4"/>
  <c r="G457" i="4"/>
  <c r="G456" i="4"/>
  <c r="G455" i="4"/>
  <c r="G454" i="4"/>
  <c r="G453" i="4"/>
  <c r="G452" i="4"/>
  <c r="G451" i="4"/>
  <c r="G450" i="4"/>
  <c r="G449" i="4"/>
  <c r="G448" i="4"/>
  <c r="G447" i="4"/>
  <c r="G446" i="4"/>
  <c r="G445" i="4"/>
  <c r="G444" i="4"/>
  <c r="G443" i="4"/>
  <c r="G442" i="4"/>
  <c r="G441" i="4"/>
  <c r="G440" i="4"/>
  <c r="G439" i="4"/>
  <c r="G438" i="4"/>
  <c r="G437" i="4"/>
  <c r="G436" i="4"/>
  <c r="G435" i="4"/>
  <c r="G434" i="4"/>
  <c r="G433" i="4"/>
  <c r="G432" i="4"/>
  <c r="G431" i="4"/>
  <c r="G430" i="4"/>
  <c r="G429" i="4"/>
  <c r="G428" i="4"/>
  <c r="G427" i="4"/>
  <c r="G426" i="4"/>
  <c r="G425" i="4"/>
  <c r="G424" i="4"/>
  <c r="G423" i="4"/>
  <c r="G422" i="4"/>
  <c r="G421" i="4"/>
  <c r="G420" i="4"/>
  <c r="G419" i="4"/>
  <c r="G418" i="4"/>
  <c r="G417" i="4"/>
  <c r="G416" i="4"/>
  <c r="G415" i="4"/>
  <c r="G414" i="4"/>
  <c r="G413" i="4"/>
  <c r="G412" i="4"/>
  <c r="G411" i="4"/>
  <c r="G410" i="4"/>
  <c r="G409" i="4"/>
  <c r="G408" i="4"/>
  <c r="G407" i="4"/>
  <c r="G406" i="4"/>
  <c r="G405" i="4"/>
  <c r="G404" i="4"/>
  <c r="G403" i="4"/>
  <c r="G402" i="4"/>
  <c r="G401" i="4"/>
  <c r="G400" i="4"/>
  <c r="G399" i="4"/>
  <c r="G398" i="4"/>
  <c r="G397" i="4"/>
  <c r="G396" i="4"/>
  <c r="G395" i="4"/>
  <c r="G394" i="4"/>
  <c r="G393" i="4"/>
  <c r="G392" i="4"/>
  <c r="G391" i="4"/>
  <c r="G390" i="4"/>
  <c r="G389" i="4"/>
  <c r="G388" i="4"/>
  <c r="G387" i="4"/>
  <c r="G386" i="4"/>
  <c r="G385" i="4"/>
  <c r="G384" i="4"/>
  <c r="G383" i="4"/>
  <c r="G382" i="4"/>
  <c r="G381" i="4"/>
  <c r="G380" i="4"/>
  <c r="G379" i="4"/>
  <c r="G378" i="4"/>
  <c r="G377" i="4"/>
  <c r="G376" i="4"/>
  <c r="G375" i="4"/>
  <c r="G374" i="4"/>
  <c r="G373" i="4"/>
  <c r="G372" i="4"/>
  <c r="G371" i="4"/>
  <c r="G370" i="4"/>
  <c r="G369" i="4"/>
  <c r="G368" i="4"/>
  <c r="G367" i="4"/>
  <c r="G366" i="4"/>
  <c r="G365" i="4"/>
  <c r="G364" i="4"/>
  <c r="G363" i="4"/>
  <c r="G362" i="4"/>
  <c r="G361" i="4"/>
  <c r="G360" i="4"/>
  <c r="G359" i="4"/>
  <c r="G358" i="4"/>
  <c r="G357" i="4"/>
  <c r="G356" i="4"/>
  <c r="G355" i="4"/>
  <c r="G354" i="4"/>
  <c r="G353" i="4"/>
  <c r="G352" i="4"/>
  <c r="G351" i="4"/>
  <c r="G350" i="4"/>
  <c r="G349" i="4"/>
  <c r="G348" i="4"/>
  <c r="G347" i="4"/>
  <c r="G346" i="4"/>
  <c r="G345" i="4"/>
  <c r="G344" i="4"/>
  <c r="G343" i="4"/>
  <c r="G342" i="4"/>
  <c r="G341" i="4"/>
  <c r="G340" i="4"/>
  <c r="G339" i="4"/>
  <c r="G338" i="4"/>
  <c r="G337" i="4"/>
  <c r="G336" i="4"/>
  <c r="G335" i="4"/>
  <c r="G334" i="4"/>
  <c r="G333" i="4"/>
  <c r="G332" i="4"/>
  <c r="G331" i="4"/>
  <c r="G330" i="4"/>
  <c r="G329" i="4"/>
  <c r="G328" i="4"/>
  <c r="G327" i="4"/>
  <c r="G326" i="4"/>
  <c r="G325" i="4"/>
  <c r="G324" i="4"/>
  <c r="G323" i="4"/>
  <c r="G322" i="4"/>
  <c r="G321" i="4"/>
  <c r="G320" i="4"/>
  <c r="G319" i="4"/>
  <c r="G318" i="4"/>
  <c r="G317" i="4"/>
  <c r="G316" i="4"/>
  <c r="G315" i="4"/>
  <c r="G314" i="4"/>
  <c r="G313" i="4"/>
  <c r="G312" i="4"/>
  <c r="G311" i="4"/>
  <c r="G310" i="4"/>
  <c r="G309" i="4"/>
  <c r="G308" i="4"/>
  <c r="G307" i="4"/>
  <c r="G306" i="4"/>
  <c r="G305" i="4"/>
  <c r="G304" i="4"/>
  <c r="G303" i="4"/>
  <c r="G302" i="4"/>
  <c r="G301" i="4"/>
  <c r="G300" i="4"/>
  <c r="G299" i="4"/>
  <c r="G298" i="4"/>
  <c r="G297" i="4"/>
  <c r="G296" i="4"/>
  <c r="G295" i="4"/>
  <c r="G294" i="4"/>
  <c r="G293" i="4"/>
  <c r="G292" i="4"/>
  <c r="G291" i="4"/>
  <c r="G290" i="4"/>
  <c r="G289" i="4"/>
  <c r="G288" i="4"/>
  <c r="G287" i="4"/>
  <c r="G286" i="4"/>
  <c r="G285" i="4"/>
  <c r="G284" i="4"/>
  <c r="G283" i="4"/>
  <c r="G282" i="4"/>
  <c r="G281" i="4"/>
  <c r="G280" i="4"/>
  <c r="G279" i="4"/>
  <c r="G278" i="4"/>
  <c r="G277" i="4"/>
  <c r="G276" i="4"/>
  <c r="G275" i="4"/>
  <c r="G274" i="4"/>
  <c r="G273" i="4"/>
  <c r="G272" i="4"/>
  <c r="G271" i="4"/>
  <c r="G270" i="4"/>
  <c r="G269" i="4"/>
  <c r="G268" i="4"/>
  <c r="G267" i="4"/>
  <c r="G266" i="4"/>
  <c r="G265" i="4"/>
  <c r="G264" i="4"/>
  <c r="G263" i="4"/>
  <c r="G262" i="4"/>
  <c r="G261" i="4"/>
  <c r="G260" i="4"/>
  <c r="G259" i="4"/>
  <c r="G258" i="4"/>
  <c r="G257" i="4"/>
  <c r="G256" i="4"/>
  <c r="G255" i="4"/>
  <c r="G254" i="4"/>
  <c r="G253" i="4"/>
  <c r="G252" i="4"/>
  <c r="G251" i="4"/>
  <c r="G250" i="4"/>
  <c r="G249" i="4"/>
  <c r="G248" i="4"/>
  <c r="G247" i="4"/>
  <c r="G246" i="4"/>
  <c r="G245" i="4"/>
  <c r="G244" i="4"/>
  <c r="G243" i="4"/>
  <c r="G242" i="4"/>
  <c r="G241" i="4"/>
  <c r="G240" i="4"/>
  <c r="G239" i="4"/>
  <c r="G238" i="4"/>
  <c r="G237" i="4"/>
  <c r="G236" i="4"/>
  <c r="G235" i="4"/>
  <c r="G234" i="4"/>
  <c r="G233" i="4"/>
  <c r="G232" i="4"/>
  <c r="G231" i="4"/>
  <c r="G230" i="4"/>
  <c r="G229" i="4"/>
  <c r="G228" i="4"/>
  <c r="G227" i="4"/>
  <c r="G226" i="4"/>
  <c r="G225" i="4"/>
  <c r="G224" i="4"/>
  <c r="G223" i="4"/>
  <c r="G222" i="4"/>
  <c r="G221" i="4"/>
  <c r="G220" i="4"/>
  <c r="G219" i="4"/>
  <c r="G218" i="4"/>
  <c r="G217" i="4"/>
  <c r="G216" i="4"/>
  <c r="G215" i="4"/>
  <c r="G214" i="4"/>
  <c r="G213" i="4"/>
  <c r="G212" i="4"/>
  <c r="G211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I1073" i="6" s="1" a="1"/>
  <c r="I1073" i="6" s="1"/>
  <c r="K1073" i="6" s="1"/>
  <c r="O212" i="6" l="1"/>
  <c r="F213" i="6" a="1"/>
  <c r="F213" i="6" s="1"/>
  <c r="N213" i="6" s="1"/>
  <c r="F214" i="6" a="1"/>
  <c r="F214" i="6" s="1"/>
  <c r="N214" i="6" s="1"/>
  <c r="F210" i="6" a="1"/>
  <c r="F210" i="6" s="1"/>
  <c r="N210" i="6" s="1"/>
  <c r="F211" i="6" a="1"/>
  <c r="F211" i="6" s="1"/>
  <c r="N211" i="6" s="1"/>
  <c r="I280" i="6" a="1"/>
  <c r="I280" i="6" s="1"/>
  <c r="K280" i="6" s="1"/>
  <c r="I1185" i="6" a="1"/>
  <c r="I1185" i="6" s="1"/>
  <c r="K1185" i="6" s="1"/>
  <c r="I931" i="6" a="1"/>
  <c r="I931" i="6" s="1"/>
  <c r="K931" i="6" s="1"/>
  <c r="I1415" i="6" a="1"/>
  <c r="I1415" i="6" s="1"/>
  <c r="K1415" i="6" s="1"/>
  <c r="I835" i="6" a="1"/>
  <c r="I835" i="6" s="1"/>
  <c r="K835" i="6" s="1"/>
  <c r="I1218" i="6" a="1"/>
  <c r="I1218" i="6" s="1"/>
  <c r="K1218" i="6" s="1"/>
  <c r="I1078" i="6" a="1"/>
  <c r="I1078" i="6" s="1"/>
  <c r="K1078" i="6" s="1"/>
  <c r="I619" i="6" a="1"/>
  <c r="I619" i="6" s="1"/>
  <c r="K619" i="6" s="1"/>
  <c r="I368" i="6" a="1"/>
  <c r="I368" i="6" s="1"/>
  <c r="K368" i="6" s="1"/>
  <c r="I1231" i="6" a="1"/>
  <c r="I1231" i="6" s="1"/>
  <c r="K1231" i="6" s="1"/>
  <c r="I258" i="6" a="1"/>
  <c r="I258" i="6" s="1"/>
  <c r="K258" i="6" s="1"/>
  <c r="I259" i="6" a="1"/>
  <c r="I259" i="6" s="1"/>
  <c r="K259" i="6" s="1"/>
  <c r="I247" i="6" a="1"/>
  <c r="I247" i="6" s="1"/>
  <c r="K247" i="6" s="1"/>
  <c r="I409" i="6" a="1"/>
  <c r="I409" i="6" s="1"/>
  <c r="K409" i="6" s="1"/>
  <c r="I433" i="6" a="1"/>
  <c r="I433" i="6" s="1"/>
  <c r="K433" i="6" s="1"/>
  <c r="I427" i="6" a="1"/>
  <c r="I427" i="6" s="1"/>
  <c r="K427" i="6" s="1"/>
  <c r="I434" i="6" a="1"/>
  <c r="I434" i="6" s="1"/>
  <c r="K434" i="6" s="1"/>
  <c r="I840" i="6" a="1"/>
  <c r="I840" i="6" s="1"/>
  <c r="K840" i="6" s="1"/>
  <c r="I942" i="6" a="1"/>
  <c r="I942" i="6" s="1"/>
  <c r="K942" i="6" s="1"/>
  <c r="I902" i="6" a="1"/>
  <c r="I902" i="6" s="1"/>
  <c r="K902" i="6" s="1"/>
  <c r="I933" i="6" a="1"/>
  <c r="I933" i="6" s="1"/>
  <c r="K933" i="6" s="1"/>
  <c r="I906" i="6" a="1"/>
  <c r="I906" i="6" s="1"/>
  <c r="K906" i="6" s="1"/>
  <c r="I1266" i="6" a="1"/>
  <c r="I1266" i="6" s="1"/>
  <c r="K1266" i="6" s="1"/>
  <c r="I1334" i="6" a="1"/>
  <c r="I1334" i="6" s="1"/>
  <c r="K1334" i="6" s="1"/>
  <c r="I1204" i="6" a="1"/>
  <c r="I1204" i="6" s="1"/>
  <c r="K1204" i="6" s="1"/>
  <c r="I1253" i="6" a="1"/>
  <c r="I1253" i="6" s="1"/>
  <c r="K1253" i="6" s="1"/>
  <c r="I1263" i="6" a="1"/>
  <c r="I1263" i="6" s="1"/>
  <c r="K1263" i="6" s="1"/>
  <c r="I1337" i="6" a="1"/>
  <c r="I1337" i="6" s="1"/>
  <c r="K1337" i="6" s="1"/>
  <c r="I1364" i="6" a="1"/>
  <c r="I1364" i="6" s="1"/>
  <c r="K1364" i="6" s="1"/>
  <c r="I1466" i="6" a="1"/>
  <c r="I1466" i="6" s="1"/>
  <c r="K1466" i="6" s="1"/>
  <c r="I237" i="6" a="1"/>
  <c r="I237" i="6" s="1"/>
  <c r="K237" i="6" s="1"/>
  <c r="I828" i="6" a="1"/>
  <c r="I828" i="6" s="1"/>
  <c r="K828" i="6" s="1"/>
  <c r="I246" i="6" a="1"/>
  <c r="I246" i="6" s="1"/>
  <c r="K246" i="6" s="1"/>
  <c r="I856" i="6" a="1"/>
  <c r="I856" i="6" s="1"/>
  <c r="K856" i="6" s="1"/>
  <c r="I874" i="6" a="1"/>
  <c r="I874" i="6" s="1"/>
  <c r="K874" i="6" s="1"/>
  <c r="I687" i="6" a="1"/>
  <c r="I687" i="6" s="1"/>
  <c r="K687" i="6" s="1"/>
  <c r="I442" i="6" a="1"/>
  <c r="I442" i="6" s="1"/>
  <c r="K442" i="6" s="1"/>
  <c r="I537" i="6" a="1"/>
  <c r="I537" i="6" s="1"/>
  <c r="K537" i="6" s="1"/>
  <c r="I1016" i="6" a="1"/>
  <c r="I1016" i="6" s="1"/>
  <c r="K1016" i="6" s="1"/>
  <c r="I564" i="6" a="1"/>
  <c r="I564" i="6" s="1"/>
  <c r="K564" i="6" s="1"/>
  <c r="I1093" i="6" a="1"/>
  <c r="I1093" i="6" s="1"/>
  <c r="K1093" i="6" s="1"/>
  <c r="I296" i="6" a="1"/>
  <c r="I296" i="6" s="1"/>
  <c r="K296" i="6" s="1"/>
  <c r="I697" i="6" a="1"/>
  <c r="I697" i="6" s="1"/>
  <c r="K697" i="6" s="1"/>
  <c r="I698" i="6" a="1"/>
  <c r="I698" i="6" s="1"/>
  <c r="K698" i="6" s="1"/>
  <c r="I624" i="6" a="1"/>
  <c r="I624" i="6" s="1"/>
  <c r="K624" i="6" s="1"/>
  <c r="I1360" i="6" a="1"/>
  <c r="I1360" i="6" s="1"/>
  <c r="K1360" i="6" s="1"/>
  <c r="I1245" i="6" a="1"/>
  <c r="I1245" i="6" s="1"/>
  <c r="K1245" i="6" s="1"/>
  <c r="I855" i="6" a="1"/>
  <c r="I855" i="6" s="1"/>
  <c r="K855" i="6" s="1"/>
  <c r="I1167" i="6" a="1"/>
  <c r="I1167" i="6" s="1"/>
  <c r="K1167" i="6" s="1"/>
  <c r="I947" i="6" a="1"/>
  <c r="I947" i="6" s="1"/>
  <c r="K947" i="6" s="1"/>
  <c r="I636" i="6" a="1"/>
  <c r="I636" i="6" s="1"/>
  <c r="K636" i="6" s="1"/>
  <c r="I1459" i="6" a="1"/>
  <c r="I1459" i="6" s="1"/>
  <c r="K1459" i="6" s="1"/>
  <c r="I1033" i="6" a="1"/>
  <c r="I1033" i="6" s="1"/>
  <c r="K1033" i="6" s="1"/>
  <c r="I1238" i="6" a="1"/>
  <c r="I1238" i="6" s="1"/>
  <c r="K1238" i="6" s="1"/>
  <c r="I1177" i="6" a="1"/>
  <c r="I1177" i="6" s="1"/>
  <c r="K1177" i="6" s="1"/>
  <c r="I905" i="6" a="1"/>
  <c r="I905" i="6" s="1"/>
  <c r="K905" i="6" s="1"/>
  <c r="I1295" i="6" a="1"/>
  <c r="I1295" i="6" s="1"/>
  <c r="K1295" i="6" s="1"/>
  <c r="I587" i="6" a="1"/>
  <c r="I587" i="6" s="1"/>
  <c r="K587" i="6" s="1"/>
  <c r="I644" i="6" a="1"/>
  <c r="I644" i="6" s="1"/>
  <c r="K644" i="6" s="1"/>
  <c r="I1273" i="6" a="1"/>
  <c r="I1273" i="6" s="1"/>
  <c r="K1273" i="6" s="1"/>
  <c r="I548" i="6" a="1"/>
  <c r="I548" i="6" s="1"/>
  <c r="K548" i="6" s="1"/>
  <c r="I1292" i="6" a="1"/>
  <c r="I1292" i="6" s="1"/>
  <c r="K1292" i="6" s="1"/>
  <c r="I671" i="6" a="1"/>
  <c r="I671" i="6" s="1"/>
  <c r="K671" i="6" s="1"/>
  <c r="I1301" i="6" a="1"/>
  <c r="I1301" i="6" s="1"/>
  <c r="K1301" i="6" s="1"/>
  <c r="I1290" i="6" a="1"/>
  <c r="I1290" i="6" s="1"/>
  <c r="K1290" i="6" s="1"/>
  <c r="I652" i="6" a="1"/>
  <c r="I652" i="6" s="1"/>
  <c r="K652" i="6" s="1"/>
  <c r="I968" i="6" a="1"/>
  <c r="I968" i="6" s="1"/>
  <c r="K968" i="6" s="1"/>
  <c r="I533" i="6" a="1"/>
  <c r="I533" i="6" s="1"/>
  <c r="K533" i="6" s="1"/>
  <c r="I1241" i="6" a="1"/>
  <c r="I1241" i="6" s="1"/>
  <c r="K1241" i="6" s="1"/>
  <c r="I742" i="6" a="1"/>
  <c r="I742" i="6" s="1"/>
  <c r="K742" i="6" s="1"/>
  <c r="I507" i="6" a="1"/>
  <c r="I507" i="6" s="1"/>
  <c r="K507" i="6" s="1"/>
  <c r="I572" i="6" a="1"/>
  <c r="I572" i="6" s="1"/>
  <c r="K572" i="6" s="1"/>
  <c r="I316" i="6" a="1"/>
  <c r="I316" i="6" s="1"/>
  <c r="K316" i="6" s="1"/>
  <c r="I708" i="6" a="1"/>
  <c r="I708" i="6" s="1"/>
  <c r="K708" i="6" s="1"/>
  <c r="I929" i="6" a="1"/>
  <c r="I929" i="6" s="1"/>
  <c r="K929" i="6" s="1"/>
  <c r="I1190" i="6" a="1"/>
  <c r="I1190" i="6" s="1"/>
  <c r="K1190" i="6" s="1"/>
  <c r="I389" i="6" a="1"/>
  <c r="I389" i="6" s="1"/>
  <c r="K389" i="6" s="1"/>
  <c r="I919" i="6" a="1"/>
  <c r="I919" i="6" s="1"/>
  <c r="K919" i="6" s="1"/>
  <c r="I959" i="6" a="1"/>
  <c r="I959" i="6" s="1"/>
  <c r="K959" i="6" s="1"/>
  <c r="I250" i="6" a="1"/>
  <c r="I250" i="6" s="1"/>
  <c r="K250" i="6" s="1"/>
  <c r="I477" i="6" a="1"/>
  <c r="I477" i="6" s="1"/>
  <c r="K477" i="6" s="1"/>
  <c r="I764" i="6" a="1"/>
  <c r="I764" i="6" s="1"/>
  <c r="K764" i="6" s="1"/>
  <c r="I920" i="6" a="1"/>
  <c r="I920" i="6" s="1"/>
  <c r="K920" i="6" s="1"/>
  <c r="I1327" i="6" a="1"/>
  <c r="I1327" i="6" s="1"/>
  <c r="K1327" i="6" s="1"/>
  <c r="I282" i="6" a="1"/>
  <c r="I282" i="6" s="1"/>
  <c r="K282" i="6" s="1"/>
  <c r="I357" i="6" a="1"/>
  <c r="I357" i="6" s="1"/>
  <c r="K357" i="6" s="1"/>
  <c r="I530" i="6" a="1"/>
  <c r="I530" i="6" s="1"/>
  <c r="K530" i="6" s="1"/>
  <c r="I713" i="6" a="1"/>
  <c r="I713" i="6" s="1"/>
  <c r="K713" i="6" s="1"/>
  <c r="I692" i="6" a="1"/>
  <c r="I692" i="6" s="1"/>
  <c r="K692" i="6" s="1"/>
  <c r="I954" i="6" a="1"/>
  <c r="I954" i="6" s="1"/>
  <c r="K954" i="6" s="1"/>
  <c r="I1330" i="6" a="1"/>
  <c r="I1330" i="6" s="1"/>
  <c r="K1330" i="6" s="1"/>
  <c r="I1179" i="6" a="1"/>
  <c r="I1179" i="6" s="1"/>
  <c r="K1179" i="6" s="1"/>
  <c r="I1199" i="6" a="1"/>
  <c r="I1199" i="6" s="1"/>
  <c r="K1199" i="6" s="1"/>
  <c r="I1348" i="6" a="1"/>
  <c r="I1348" i="6" s="1"/>
  <c r="K1348" i="6" s="1"/>
  <c r="I1361" i="6" a="1"/>
  <c r="I1361" i="6" s="1"/>
  <c r="K1361" i="6" s="1"/>
  <c r="I712" i="6" a="1"/>
  <c r="I712" i="6" s="1"/>
  <c r="K712" i="6" s="1"/>
  <c r="I206" i="6" a="1"/>
  <c r="I206" i="6" s="1"/>
  <c r="K206" i="6" s="1"/>
  <c r="I864" i="6" a="1"/>
  <c r="I864" i="6" s="1"/>
  <c r="K864" i="6" s="1"/>
  <c r="I627" i="6" a="1"/>
  <c r="I627" i="6" s="1"/>
  <c r="K627" i="6" s="1"/>
  <c r="I524" i="6" a="1"/>
  <c r="I524" i="6" s="1"/>
  <c r="K524" i="6" s="1"/>
  <c r="I987" i="6" a="1"/>
  <c r="I987" i="6" s="1"/>
  <c r="K987" i="6" s="1"/>
  <c r="I897" i="6" a="1"/>
  <c r="I897" i="6" s="1"/>
  <c r="K897" i="6" s="1"/>
  <c r="I672" i="6" a="1"/>
  <c r="I672" i="6" s="1"/>
  <c r="K672" i="6" s="1"/>
  <c r="I690" i="6" a="1"/>
  <c r="I690" i="6" s="1"/>
  <c r="K690" i="6" s="1"/>
  <c r="I610" i="6" a="1"/>
  <c r="I610" i="6" s="1"/>
  <c r="K610" i="6" s="1"/>
  <c r="I1201" i="6" a="1"/>
  <c r="I1201" i="6" s="1"/>
  <c r="K1201" i="6" s="1"/>
  <c r="I438" i="6" a="1"/>
  <c r="I438" i="6" s="1"/>
  <c r="K438" i="6" s="1"/>
  <c r="I466" i="6" a="1"/>
  <c r="I466" i="6" s="1"/>
  <c r="K466" i="6" s="1"/>
  <c r="I823" i="6" a="1"/>
  <c r="I823" i="6" s="1"/>
  <c r="K823" i="6" s="1"/>
  <c r="I201" i="6" a="1"/>
  <c r="I201" i="6" s="1"/>
  <c r="K201" i="6" s="1"/>
  <c r="I277" i="6" a="1"/>
  <c r="I277" i="6" s="1"/>
  <c r="K277" i="6" s="1"/>
  <c r="I495" i="6" a="1"/>
  <c r="I495" i="6" s="1"/>
  <c r="K495" i="6" s="1"/>
  <c r="I560" i="6" a="1"/>
  <c r="I560" i="6" s="1"/>
  <c r="K560" i="6" s="1"/>
  <c r="I658" i="6" a="1"/>
  <c r="I658" i="6" s="1"/>
  <c r="K658" i="6" s="1"/>
  <c r="I875" i="6" a="1"/>
  <c r="I875" i="6" s="1"/>
  <c r="K875" i="6" s="1"/>
  <c r="I1014" i="6" a="1"/>
  <c r="I1014" i="6" s="1"/>
  <c r="K1014" i="6" s="1"/>
  <c r="I1298" i="6" a="1"/>
  <c r="I1298" i="6" s="1"/>
  <c r="K1298" i="6" s="1"/>
  <c r="I1354" i="6" a="1"/>
  <c r="I1354" i="6" s="1"/>
  <c r="K1354" i="6" s="1"/>
  <c r="I1418" i="6" a="1"/>
  <c r="I1418" i="6" s="1"/>
  <c r="K1418" i="6" s="1"/>
  <c r="I1015" i="6" a="1"/>
  <c r="I1015" i="6" s="1"/>
  <c r="K1015" i="6" s="1"/>
  <c r="I257" i="6" a="1"/>
  <c r="I257" i="6" s="1"/>
  <c r="K257" i="6" s="1"/>
  <c r="I492" i="6" a="1"/>
  <c r="I492" i="6" s="1"/>
  <c r="K492" i="6" s="1"/>
  <c r="I1028" i="6" a="1"/>
  <c r="I1028" i="6" s="1"/>
  <c r="K1028" i="6" s="1"/>
  <c r="I556" i="6" a="1"/>
  <c r="I556" i="6" s="1"/>
  <c r="K556" i="6" s="1"/>
  <c r="I691" i="6" a="1"/>
  <c r="I691" i="6" s="1"/>
  <c r="K691" i="6" s="1"/>
  <c r="I654" i="6" a="1"/>
  <c r="I654" i="6" s="1"/>
  <c r="K654" i="6" s="1"/>
  <c r="I923" i="6" a="1"/>
  <c r="I923" i="6" s="1"/>
  <c r="K923" i="6" s="1"/>
  <c r="I1452" i="6" a="1"/>
  <c r="I1452" i="6" s="1"/>
  <c r="K1452" i="6" s="1"/>
  <c r="I679" i="6" a="1"/>
  <c r="I679" i="6" s="1"/>
  <c r="K679" i="6" s="1"/>
  <c r="I1193" i="6" a="1"/>
  <c r="I1193" i="6" s="1"/>
  <c r="K1193" i="6" s="1"/>
  <c r="I414" i="6" a="1"/>
  <c r="I414" i="6" s="1"/>
  <c r="K414" i="6" s="1"/>
  <c r="I888" i="6" a="1"/>
  <c r="I888" i="6" s="1"/>
  <c r="K888" i="6" s="1"/>
  <c r="I1235" i="6" a="1"/>
  <c r="I1235" i="6" s="1"/>
  <c r="K1235" i="6" s="1"/>
  <c r="I1258" i="6" a="1"/>
  <c r="I1258" i="6" s="1"/>
  <c r="K1258" i="6" s="1"/>
  <c r="I847" i="6" a="1"/>
  <c r="I847" i="6" s="1"/>
  <c r="K847" i="6" s="1"/>
  <c r="I421" i="6" a="1"/>
  <c r="I421" i="6" s="1"/>
  <c r="K421" i="6" s="1"/>
  <c r="I394" i="6" a="1"/>
  <c r="I394" i="6" s="1"/>
  <c r="K394" i="6" s="1"/>
  <c r="I1228" i="6" a="1"/>
  <c r="I1228" i="6" s="1"/>
  <c r="K1228" i="6" s="1"/>
  <c r="I481" i="6" a="1"/>
  <c r="I481" i="6" s="1"/>
  <c r="K481" i="6" s="1"/>
  <c r="I639" i="6" a="1"/>
  <c r="I639" i="6" s="1"/>
  <c r="K639" i="6" s="1"/>
  <c r="I822" i="6" a="1"/>
  <c r="I822" i="6" s="1"/>
  <c r="K822" i="6" s="1"/>
  <c r="I917" i="6" a="1"/>
  <c r="I917" i="6" s="1"/>
  <c r="K917" i="6" s="1"/>
  <c r="I1137" i="6" a="1"/>
  <c r="I1137" i="6" s="1"/>
  <c r="K1137" i="6" s="1"/>
  <c r="I1328" i="6" a="1"/>
  <c r="I1328" i="6" s="1"/>
  <c r="K1328" i="6" s="1"/>
  <c r="I1335" i="6" a="1"/>
  <c r="I1335" i="6" s="1"/>
  <c r="K1335" i="6" s="1"/>
  <c r="I248" i="6" a="1"/>
  <c r="I248" i="6" s="1"/>
  <c r="K248" i="6" s="1"/>
  <c r="I241" i="6" a="1"/>
  <c r="I241" i="6" s="1"/>
  <c r="K241" i="6" s="1"/>
  <c r="I383" i="6" a="1"/>
  <c r="I383" i="6" s="1"/>
  <c r="K383" i="6" s="1"/>
  <c r="I975" i="6" a="1"/>
  <c r="I975" i="6" s="1"/>
  <c r="K975" i="6" s="1"/>
  <c r="I240" i="6" a="1"/>
  <c r="I240" i="6" s="1"/>
  <c r="K240" i="6" s="1"/>
  <c r="I446" i="6" a="1"/>
  <c r="I446" i="6" s="1"/>
  <c r="K446" i="6" s="1"/>
  <c r="I991" i="6" a="1"/>
  <c r="I991" i="6" s="1"/>
  <c r="K991" i="6" s="1"/>
  <c r="I936" i="6" a="1"/>
  <c r="I936" i="6" s="1"/>
  <c r="K936" i="6" s="1"/>
  <c r="I726" i="6" a="1"/>
  <c r="I726" i="6" s="1"/>
  <c r="K726" i="6" s="1"/>
  <c r="I633" i="6" a="1"/>
  <c r="I633" i="6" s="1"/>
  <c r="K633" i="6" s="1"/>
  <c r="I351" i="6" a="1"/>
  <c r="I351" i="6" s="1"/>
  <c r="K351" i="6" s="1"/>
  <c r="I957" i="6" a="1"/>
  <c r="I957" i="6" s="1"/>
  <c r="K957" i="6" s="1"/>
  <c r="I786" i="6" a="1"/>
  <c r="I786" i="6" s="1"/>
  <c r="K786" i="6" s="1"/>
  <c r="I1084" i="6" a="1"/>
  <c r="I1084" i="6" s="1"/>
  <c r="K1084" i="6" s="1"/>
  <c r="I582" i="6" a="1"/>
  <c r="I582" i="6" s="1"/>
  <c r="K582" i="6" s="1"/>
  <c r="I1299" i="6" a="1"/>
  <c r="I1299" i="6" s="1"/>
  <c r="K1299" i="6" s="1"/>
  <c r="I1422" i="6" a="1"/>
  <c r="I1422" i="6" s="1"/>
  <c r="K1422" i="6" s="1"/>
  <c r="I1402" i="6" a="1"/>
  <c r="I1402" i="6" s="1"/>
  <c r="K1402" i="6" s="1"/>
  <c r="I463" i="6" a="1"/>
  <c r="I463" i="6" s="1"/>
  <c r="K463" i="6" s="1"/>
  <c r="I1107" i="6" a="1"/>
  <c r="I1107" i="6" s="1"/>
  <c r="K1107" i="6" s="1"/>
  <c r="I230" i="6" a="1"/>
  <c r="I230" i="6" s="1"/>
  <c r="K230" i="6" s="1"/>
  <c r="I271" i="6" a="1"/>
  <c r="I271" i="6" s="1"/>
  <c r="K271" i="6" s="1"/>
  <c r="I578" i="6" a="1"/>
  <c r="I578" i="6" s="1"/>
  <c r="K578" i="6" s="1"/>
  <c r="I256" i="6" a="1"/>
  <c r="I256" i="6" s="1"/>
  <c r="K256" i="6" s="1"/>
  <c r="I1202" i="6" a="1"/>
  <c r="I1202" i="6" s="1"/>
  <c r="K1202" i="6" s="1"/>
  <c r="I486" i="6" a="1"/>
  <c r="I486" i="6" s="1"/>
  <c r="K486" i="6" s="1"/>
  <c r="I496" i="6" a="1"/>
  <c r="I496" i="6" s="1"/>
  <c r="K496" i="6" s="1"/>
  <c r="I518" i="6" a="1"/>
  <c r="I518" i="6" s="1"/>
  <c r="K518" i="6" s="1"/>
  <c r="I341" i="6" a="1"/>
  <c r="I341" i="6" s="1"/>
  <c r="K341" i="6" s="1"/>
  <c r="I762" i="6" a="1"/>
  <c r="I762" i="6" s="1"/>
  <c r="K762" i="6" s="1"/>
  <c r="I632" i="6" a="1"/>
  <c r="I632" i="6" s="1"/>
  <c r="K632" i="6" s="1"/>
  <c r="I196" i="6" a="1"/>
  <c r="I196" i="6" s="1"/>
  <c r="K196" i="6" s="1"/>
  <c r="I566" i="6" a="1"/>
  <c r="I566" i="6" s="1"/>
  <c r="K566" i="6" s="1"/>
  <c r="I999" i="6" a="1"/>
  <c r="I999" i="6" s="1"/>
  <c r="K999" i="6" s="1"/>
  <c r="I1002" i="6" a="1"/>
  <c r="I1002" i="6" s="1"/>
  <c r="K1002" i="6" s="1"/>
  <c r="I1196" i="6" a="1"/>
  <c r="I1196" i="6" s="1"/>
  <c r="K1196" i="6" s="1"/>
  <c r="I1412" i="6" a="1"/>
  <c r="I1412" i="6" s="1"/>
  <c r="K1412" i="6" s="1"/>
  <c r="I254" i="6" a="1"/>
  <c r="I254" i="6" s="1"/>
  <c r="K254" i="6" s="1"/>
  <c r="I508" i="6" a="1"/>
  <c r="I508" i="6" s="1"/>
  <c r="K508" i="6" s="1"/>
  <c r="I585" i="6" a="1"/>
  <c r="I585" i="6" s="1"/>
  <c r="K585" i="6" s="1"/>
  <c r="I730" i="6" a="1"/>
  <c r="I730" i="6" s="1"/>
  <c r="K730" i="6" s="1"/>
  <c r="I1059" i="6" a="1"/>
  <c r="I1059" i="6" s="1"/>
  <c r="K1059" i="6" s="1"/>
  <c r="I666" i="6" a="1"/>
  <c r="I666" i="6" s="1"/>
  <c r="K666" i="6" s="1"/>
  <c r="I517" i="6" a="1"/>
  <c r="I517" i="6" s="1"/>
  <c r="K517" i="6" s="1"/>
  <c r="I1325" i="6" a="1"/>
  <c r="I1325" i="6" s="1"/>
  <c r="K1325" i="6" s="1"/>
  <c r="I471" i="6" a="1"/>
  <c r="I471" i="6" s="1"/>
  <c r="K471" i="6" s="1"/>
  <c r="I997" i="6" a="1"/>
  <c r="I997" i="6" s="1"/>
  <c r="K997" i="6" s="1"/>
  <c r="I354" i="6" a="1"/>
  <c r="I354" i="6" s="1"/>
  <c r="K354" i="6" s="1"/>
  <c r="I609" i="6" a="1"/>
  <c r="I609" i="6" s="1"/>
  <c r="K609" i="6" s="1"/>
  <c r="I513" i="6" a="1"/>
  <c r="I513" i="6" s="1"/>
  <c r="K513" i="6" s="1"/>
  <c r="I1029" i="6" a="1"/>
  <c r="I1029" i="6" s="1"/>
  <c r="K1029" i="6" s="1"/>
  <c r="I699" i="6" a="1"/>
  <c r="I699" i="6" s="1"/>
  <c r="K699" i="6" s="1"/>
  <c r="I791" i="6" a="1"/>
  <c r="I791" i="6" s="1"/>
  <c r="K791" i="6" s="1"/>
  <c r="I1046" i="6" a="1"/>
  <c r="I1046" i="6" s="1"/>
  <c r="K1046" i="6" s="1"/>
  <c r="I723" i="6" a="1"/>
  <c r="I723" i="6" s="1"/>
  <c r="K723" i="6" s="1"/>
  <c r="I827" i="6" a="1"/>
  <c r="I827" i="6" s="1"/>
  <c r="K827" i="6" s="1"/>
  <c r="I1110" i="6" a="1"/>
  <c r="I1110" i="6" s="1"/>
  <c r="K1110" i="6" s="1"/>
  <c r="I210" i="6" a="1"/>
  <c r="I210" i="6" s="1"/>
  <c r="K210" i="6" s="1"/>
  <c r="I453" i="6" a="1"/>
  <c r="I453" i="6" s="1"/>
  <c r="K453" i="6" s="1"/>
  <c r="I807" i="6" a="1"/>
  <c r="I807" i="6" s="1"/>
  <c r="K807" i="6" s="1"/>
  <c r="I938" i="6" a="1"/>
  <c r="I938" i="6" s="1"/>
  <c r="K938" i="6" s="1"/>
  <c r="I1362" i="6" a="1"/>
  <c r="I1362" i="6" s="1"/>
  <c r="K1362" i="6" s="1"/>
  <c r="I1460" i="6" a="1"/>
  <c r="I1460" i="6" s="1"/>
  <c r="K1460" i="6" s="1"/>
  <c r="I419" i="6" a="1"/>
  <c r="I419" i="6" s="1"/>
  <c r="K419" i="6" s="1"/>
  <c r="I555" i="6" a="1"/>
  <c r="I555" i="6" s="1"/>
  <c r="K555" i="6" s="1"/>
  <c r="I725" i="6" a="1"/>
  <c r="I725" i="6" s="1"/>
  <c r="K725" i="6" s="1"/>
  <c r="I643" i="6" a="1"/>
  <c r="I643" i="6" s="1"/>
  <c r="K643" i="6" s="1"/>
  <c r="I814" i="6" a="1"/>
  <c r="I814" i="6" s="1"/>
  <c r="K814" i="6" s="1"/>
  <c r="I1034" i="6" a="1"/>
  <c r="I1034" i="6" s="1"/>
  <c r="K1034" i="6" s="1"/>
  <c r="I1164" i="6" a="1"/>
  <c r="I1164" i="6" s="1"/>
  <c r="K1164" i="6" s="1"/>
  <c r="I1344" i="6" a="1"/>
  <c r="I1344" i="6" s="1"/>
  <c r="K1344" i="6" s="1"/>
  <c r="I1203" i="6" a="1"/>
  <c r="I1203" i="6" s="1"/>
  <c r="K1203" i="6" s="1"/>
  <c r="I1438" i="6" a="1"/>
  <c r="I1438" i="6" s="1"/>
  <c r="K1438" i="6" s="1"/>
  <c r="I538" i="6" a="1"/>
  <c r="I538" i="6" s="1"/>
  <c r="K538" i="6" s="1"/>
  <c r="I1217" i="6" a="1"/>
  <c r="I1217" i="6" s="1"/>
  <c r="K1217" i="6" s="1"/>
  <c r="I568" i="6" a="1"/>
  <c r="I568" i="6" s="1"/>
  <c r="K568" i="6" s="1"/>
  <c r="I251" i="6" a="1"/>
  <c r="I251" i="6" s="1"/>
  <c r="K251" i="6" s="1"/>
  <c r="I1027" i="6" a="1"/>
  <c r="I1027" i="6" s="1"/>
  <c r="K1027" i="6" s="1"/>
  <c r="I1472" i="6" a="1"/>
  <c r="I1472" i="6" s="1"/>
  <c r="K1472" i="6" s="1"/>
  <c r="I769" i="6" a="1"/>
  <c r="I769" i="6" s="1"/>
  <c r="K769" i="6" s="1"/>
  <c r="I405" i="6" a="1"/>
  <c r="I405" i="6" s="1"/>
  <c r="K405" i="6" s="1"/>
  <c r="I984" i="6" a="1"/>
  <c r="I984" i="6" s="1"/>
  <c r="K984" i="6" s="1"/>
  <c r="I1411" i="6" a="1"/>
  <c r="I1411" i="6" s="1"/>
  <c r="K1411" i="6" s="1"/>
  <c r="I775" i="6" a="1"/>
  <c r="I775" i="6" s="1"/>
  <c r="K775" i="6" s="1"/>
  <c r="I326" i="6" a="1"/>
  <c r="I326" i="6" s="1"/>
  <c r="K326" i="6" s="1"/>
  <c r="I311" i="6" a="1"/>
  <c r="I311" i="6" s="1"/>
  <c r="K311" i="6" s="1"/>
  <c r="I443" i="6" a="1"/>
  <c r="I443" i="6" s="1"/>
  <c r="K443" i="6" s="1"/>
  <c r="I617" i="6" a="1"/>
  <c r="I617" i="6" s="1"/>
  <c r="K617" i="6" s="1"/>
  <c r="I750" i="6" a="1"/>
  <c r="I750" i="6" s="1"/>
  <c r="K750" i="6" s="1"/>
  <c r="I896" i="6" a="1"/>
  <c r="I896" i="6" s="1"/>
  <c r="K896" i="6" s="1"/>
  <c r="I770" i="6" a="1"/>
  <c r="I770" i="6" s="1"/>
  <c r="K770" i="6" s="1"/>
  <c r="I567" i="6" a="1"/>
  <c r="I567" i="6" s="1"/>
  <c r="K567" i="6" s="1"/>
  <c r="I811" i="6" a="1"/>
  <c r="I811" i="6" s="1"/>
  <c r="K811" i="6" s="1"/>
  <c r="I1340" i="6" a="1"/>
  <c r="I1340" i="6" s="1"/>
  <c r="K1340" i="6" s="1"/>
  <c r="I808" i="6" a="1"/>
  <c r="I808" i="6" s="1"/>
  <c r="K808" i="6" s="1"/>
  <c r="I1051" i="6" a="1"/>
  <c r="I1051" i="6" s="1"/>
  <c r="K1051" i="6" s="1"/>
  <c r="I1389" i="6" a="1"/>
  <c r="I1389" i="6" s="1"/>
  <c r="K1389" i="6" s="1"/>
  <c r="I618" i="6" a="1"/>
  <c r="I618" i="6" s="1"/>
  <c r="K618" i="6" s="1"/>
  <c r="I759" i="6" a="1"/>
  <c r="I759" i="6" s="1"/>
  <c r="K759" i="6" s="1"/>
  <c r="I1471" i="6" a="1"/>
  <c r="I1471" i="6" s="1"/>
  <c r="K1471" i="6" s="1"/>
  <c r="I711" i="6" a="1"/>
  <c r="I711" i="6" s="1"/>
  <c r="K711" i="6" s="1"/>
  <c r="I815" i="6" a="1"/>
  <c r="I815" i="6" s="1"/>
  <c r="K815" i="6" s="1"/>
  <c r="I233" i="6" a="1"/>
  <c r="I233" i="6" s="1"/>
  <c r="K233" i="6" s="1"/>
  <c r="I515" i="6" a="1"/>
  <c r="I515" i="6" s="1"/>
  <c r="K515" i="6" s="1"/>
  <c r="I1188" i="6" a="1"/>
  <c r="I1188" i="6" s="1"/>
  <c r="K1188" i="6" s="1"/>
  <c r="I601" i="6" a="1"/>
  <c r="I601" i="6" s="1"/>
  <c r="K601" i="6" s="1"/>
  <c r="I1429" i="6" a="1"/>
  <c r="I1429" i="6" s="1"/>
  <c r="K1429" i="6" s="1"/>
  <c r="I854" i="6" a="1"/>
  <c r="I854" i="6" s="1"/>
  <c r="K854" i="6" s="1"/>
  <c r="I465" i="6" a="1"/>
  <c r="I465" i="6" s="1"/>
  <c r="K465" i="6" s="1"/>
  <c r="I1008" i="6" a="1"/>
  <c r="I1008" i="6" s="1"/>
  <c r="K1008" i="6" s="1"/>
  <c r="I638" i="6" a="1"/>
  <c r="I638" i="6" s="1"/>
  <c r="K638" i="6" s="1"/>
  <c r="I545" i="6" a="1"/>
  <c r="I545" i="6" s="1"/>
  <c r="K545" i="6" s="1"/>
  <c r="I937" i="6" a="1"/>
  <c r="I937" i="6" s="1"/>
  <c r="K937" i="6" s="1"/>
  <c r="I605" i="6" a="1"/>
  <c r="I605" i="6" s="1"/>
  <c r="K605" i="6" s="1"/>
  <c r="I1431" i="6" a="1"/>
  <c r="I1431" i="6" s="1"/>
  <c r="K1431" i="6" s="1"/>
  <c r="I1011" i="6" a="1"/>
  <c r="I1011" i="6" s="1"/>
  <c r="K1011" i="6" s="1"/>
  <c r="I273" i="6" a="1"/>
  <c r="I273" i="6" s="1"/>
  <c r="K273" i="6" s="1"/>
  <c r="I701" i="6" a="1"/>
  <c r="I701" i="6" s="1"/>
  <c r="K701" i="6" s="1"/>
  <c r="I853" i="6" a="1"/>
  <c r="I853" i="6" s="1"/>
  <c r="K853" i="6" s="1"/>
  <c r="I1088" i="6" a="1"/>
  <c r="I1088" i="6" s="1"/>
  <c r="K1088" i="6" s="1"/>
  <c r="I1434" i="6" a="1"/>
  <c r="I1434" i="6" s="1"/>
  <c r="K1434" i="6" s="1"/>
  <c r="I1351" i="6" a="1"/>
  <c r="I1351" i="6" s="1"/>
  <c r="K1351" i="6" s="1"/>
  <c r="I302" i="6" a="1"/>
  <c r="I302" i="6" s="1"/>
  <c r="K302" i="6" s="1"/>
  <c r="I1053" i="6" a="1"/>
  <c r="I1053" i="6" s="1"/>
  <c r="K1053" i="6" s="1"/>
  <c r="I705" i="6" a="1"/>
  <c r="I705" i="6" s="1"/>
  <c r="K705" i="6" s="1"/>
  <c r="I584" i="6" a="1"/>
  <c r="I584" i="6" s="1"/>
  <c r="K584" i="6" s="1"/>
  <c r="I781" i="6" a="1"/>
  <c r="I781" i="6" s="1"/>
  <c r="K781" i="6" s="1"/>
  <c r="I1017" i="6" a="1"/>
  <c r="I1017" i="6" s="1"/>
  <c r="K1017" i="6" s="1"/>
  <c r="I592" i="6" a="1"/>
  <c r="I592" i="6" s="1"/>
  <c r="K592" i="6" s="1"/>
  <c r="I1435" i="6" a="1"/>
  <c r="I1435" i="6" s="1"/>
  <c r="K1435" i="6" s="1"/>
  <c r="I223" i="6" a="1"/>
  <c r="I223" i="6" s="1"/>
  <c r="K223" i="6" s="1"/>
  <c r="I734" i="6" a="1"/>
  <c r="I734" i="6" s="1"/>
  <c r="K734" i="6" s="1"/>
  <c r="I1407" i="6" a="1"/>
  <c r="I1407" i="6" s="1"/>
  <c r="K1407" i="6" s="1"/>
  <c r="I267" i="6" a="1"/>
  <c r="I267" i="6" s="1"/>
  <c r="K267" i="6" s="1"/>
  <c r="I1391" i="6" a="1"/>
  <c r="I1391" i="6" s="1"/>
  <c r="K1391" i="6" s="1"/>
  <c r="I757" i="6" a="1"/>
  <c r="I757" i="6" s="1"/>
  <c r="K757" i="6" s="1"/>
  <c r="I1305" i="6" a="1"/>
  <c r="I1305" i="6" s="1"/>
  <c r="K1305" i="6" s="1"/>
  <c r="I1288" i="6" a="1"/>
  <c r="I1288" i="6" s="1"/>
  <c r="K1288" i="6" s="1"/>
  <c r="I1321" i="6" a="1"/>
  <c r="I1321" i="6" s="1"/>
  <c r="K1321" i="6" s="1"/>
  <c r="I321" i="6" a="1"/>
  <c r="I321" i="6" s="1"/>
  <c r="K321" i="6" s="1"/>
  <c r="I642" i="6" a="1"/>
  <c r="I642" i="6" s="1"/>
  <c r="K642" i="6" s="1"/>
  <c r="I213" i="6" a="1"/>
  <c r="I213" i="6" s="1"/>
  <c r="K213" i="6" s="1"/>
  <c r="I738" i="6" a="1"/>
  <c r="I738" i="6" s="1"/>
  <c r="K738" i="6" s="1"/>
  <c r="I883" i="6" a="1"/>
  <c r="I883" i="6" s="1"/>
  <c r="K883" i="6" s="1"/>
  <c r="I1233" i="6" a="1"/>
  <c r="I1233" i="6" s="1"/>
  <c r="K1233" i="6" s="1"/>
  <c r="I1099" i="6" a="1"/>
  <c r="I1099" i="6" s="1"/>
  <c r="K1099" i="6" s="1"/>
  <c r="I1377" i="6" a="1"/>
  <c r="I1377" i="6" s="1"/>
  <c r="K1377" i="6" s="1"/>
  <c r="I358" i="6" a="1"/>
  <c r="I358" i="6" s="1"/>
  <c r="K358" i="6" s="1"/>
  <c r="I1061" i="6" a="1"/>
  <c r="I1061" i="6" s="1"/>
  <c r="K1061" i="6" s="1"/>
  <c r="I597" i="6" a="1"/>
  <c r="I597" i="6" s="1"/>
  <c r="K597" i="6" s="1"/>
  <c r="I784" i="6" a="1"/>
  <c r="I784" i="6" s="1"/>
  <c r="K784" i="6" s="1"/>
  <c r="I1044" i="6" a="1"/>
  <c r="I1044" i="6" s="1"/>
  <c r="K1044" i="6" s="1"/>
  <c r="I648" i="6" a="1"/>
  <c r="I648" i="6" s="1"/>
  <c r="K648" i="6" s="1"/>
  <c r="I1085" i="6" a="1"/>
  <c r="I1085" i="6" s="1"/>
  <c r="K1085" i="6" s="1"/>
  <c r="I395" i="6" a="1"/>
  <c r="I395" i="6" s="1"/>
  <c r="K395" i="6" s="1"/>
  <c r="I264" i="6" a="1"/>
  <c r="I264" i="6" s="1"/>
  <c r="K264" i="6" s="1"/>
  <c r="I1264" i="6" a="1"/>
  <c r="I1264" i="6" s="1"/>
  <c r="K1264" i="6" s="1"/>
  <c r="I235" i="6" a="1"/>
  <c r="I235" i="6" s="1"/>
  <c r="K235" i="6" s="1"/>
  <c r="I703" i="6" a="1"/>
  <c r="I703" i="6" s="1"/>
  <c r="K703" i="6" s="1"/>
  <c r="I1390" i="6" a="1"/>
  <c r="I1390" i="6" s="1"/>
  <c r="K1390" i="6" s="1"/>
  <c r="I956" i="6" a="1"/>
  <c r="I956" i="6" s="1"/>
  <c r="K956" i="6" s="1"/>
  <c r="I329" i="6" a="1"/>
  <c r="I329" i="6" s="1"/>
  <c r="K329" i="6" s="1"/>
  <c r="I1375" i="6" a="1"/>
  <c r="I1375" i="6" s="1"/>
  <c r="K1375" i="6" s="1"/>
  <c r="I1427" i="6" a="1"/>
  <c r="I1427" i="6" s="1"/>
  <c r="K1427" i="6" s="1"/>
  <c r="I1132" i="6" a="1"/>
  <c r="I1132" i="6" s="1"/>
  <c r="K1132" i="6" s="1"/>
  <c r="I1272" i="6" a="1"/>
  <c r="I1272" i="6" s="1"/>
  <c r="K1272" i="6" s="1"/>
  <c r="I1048" i="6" a="1"/>
  <c r="I1048" i="6" s="1"/>
  <c r="K1048" i="6" s="1"/>
  <c r="I792" i="6" a="1"/>
  <c r="I792" i="6" s="1"/>
  <c r="K792" i="6" s="1"/>
  <c r="I1186" i="6" a="1"/>
  <c r="I1186" i="6" s="1"/>
  <c r="K1186" i="6" s="1"/>
  <c r="I348" i="6" a="1"/>
  <c r="I348" i="6" s="1"/>
  <c r="K348" i="6" s="1"/>
  <c r="I287" i="6" a="1"/>
  <c r="I287" i="6" s="1"/>
  <c r="K287" i="6" s="1"/>
  <c r="I736" i="6" a="1"/>
  <c r="I736" i="6" s="1"/>
  <c r="K736" i="6" s="1"/>
  <c r="I898" i="6" a="1"/>
  <c r="I898" i="6" s="1"/>
  <c r="K898" i="6" s="1"/>
  <c r="I1358" i="6" a="1"/>
  <c r="I1358" i="6" s="1"/>
  <c r="K1358" i="6" s="1"/>
  <c r="I1126" i="6" a="1"/>
  <c r="I1126" i="6" s="1"/>
  <c r="K1126" i="6" s="1"/>
  <c r="I325" i="6" a="1"/>
  <c r="I325" i="6" s="1"/>
  <c r="K325" i="6" s="1"/>
  <c r="I441" i="6" a="1"/>
  <c r="I441" i="6" s="1"/>
  <c r="K441" i="6" s="1"/>
  <c r="I979" i="6" a="1"/>
  <c r="I979" i="6" s="1"/>
  <c r="K979" i="6" s="1"/>
  <c r="I263" i="6" a="1"/>
  <c r="I263" i="6" s="1"/>
  <c r="K263" i="6" s="1"/>
  <c r="I1075" i="6" a="1"/>
  <c r="I1075" i="6" s="1"/>
  <c r="K1075" i="6" s="1"/>
  <c r="I976" i="6" a="1"/>
  <c r="I976" i="6" s="1"/>
  <c r="K976" i="6" s="1"/>
  <c r="I429" i="6" a="1"/>
  <c r="I429" i="6" s="1"/>
  <c r="K429" i="6" s="1"/>
  <c r="I1144" i="6" a="1"/>
  <c r="I1144" i="6" s="1"/>
  <c r="K1144" i="6" s="1"/>
  <c r="I1470" i="6" a="1"/>
  <c r="I1470" i="6" s="1"/>
  <c r="K1470" i="6" s="1"/>
  <c r="I289" i="6" a="1"/>
  <c r="I289" i="6" s="1"/>
  <c r="K289" i="6" s="1"/>
  <c r="I1437" i="6" a="1"/>
  <c r="I1437" i="6" s="1"/>
  <c r="K1437" i="6" s="1"/>
  <c r="I911" i="6" a="1"/>
  <c r="I911" i="6" s="1"/>
  <c r="K911" i="6" s="1"/>
  <c r="I985" i="6" a="1"/>
  <c r="I985" i="6" s="1"/>
  <c r="K985" i="6" s="1"/>
  <c r="I360" i="6" a="1"/>
  <c r="I360" i="6" s="1"/>
  <c r="K360" i="6" s="1"/>
  <c r="I1224" i="6" a="1"/>
  <c r="I1224" i="6" s="1"/>
  <c r="K1224" i="6" s="1"/>
  <c r="I860" i="6" a="1"/>
  <c r="I860" i="6" s="1"/>
  <c r="K860" i="6" s="1"/>
  <c r="I554" i="6" a="1"/>
  <c r="I554" i="6" s="1"/>
  <c r="K554" i="6" s="1"/>
  <c r="I551" i="6" a="1"/>
  <c r="I551" i="6" s="1"/>
  <c r="K551" i="6" s="1"/>
  <c r="I384" i="6" a="1"/>
  <c r="I384" i="6" s="1"/>
  <c r="K384" i="6" s="1"/>
  <c r="I1467" i="6" a="1"/>
  <c r="I1467" i="6" s="1"/>
  <c r="K1467" i="6" s="1"/>
  <c r="I506" i="6" a="1"/>
  <c r="I506" i="6" s="1"/>
  <c r="K506" i="6" s="1"/>
  <c r="I312" i="6" a="1"/>
  <c r="I312" i="6" s="1"/>
  <c r="K312" i="6" s="1"/>
  <c r="I382" i="6" a="1"/>
  <c r="I382" i="6" s="1"/>
  <c r="K382" i="6" s="1"/>
  <c r="I665" i="6" a="1"/>
  <c r="I665" i="6" s="1"/>
  <c r="K665" i="6" s="1"/>
  <c r="I795" i="6" a="1"/>
  <c r="I795" i="6" s="1"/>
  <c r="K795" i="6" s="1"/>
  <c r="I990" i="6" a="1"/>
  <c r="I990" i="6" s="1"/>
  <c r="K990" i="6" s="1"/>
  <c r="I1386" i="6" a="1"/>
  <c r="I1386" i="6" s="1"/>
  <c r="K1386" i="6" s="1"/>
  <c r="I1451" i="6" a="1"/>
  <c r="I1451" i="6" s="1"/>
  <c r="K1451" i="6" s="1"/>
  <c r="I292" i="6" a="1"/>
  <c r="I292" i="6" s="1"/>
  <c r="K292" i="6" s="1"/>
  <c r="I488" i="6" a="1"/>
  <c r="I488" i="6" s="1"/>
  <c r="K488" i="6" s="1"/>
  <c r="I983" i="6" a="1"/>
  <c r="I983" i="6" s="1"/>
  <c r="K983" i="6" s="1"/>
  <c r="I387" i="6" a="1"/>
  <c r="I387" i="6" s="1"/>
  <c r="K387" i="6" s="1"/>
  <c r="I1114" i="6" a="1"/>
  <c r="I1114" i="6" s="1"/>
  <c r="K1114" i="6" s="1"/>
  <c r="I707" i="6" a="1"/>
  <c r="I707" i="6" s="1"/>
  <c r="K707" i="6" s="1"/>
  <c r="I951" i="6" a="1"/>
  <c r="I951" i="6" s="1"/>
  <c r="K951" i="6" s="1"/>
  <c r="I1047" i="6" a="1"/>
  <c r="I1047" i="6" s="1"/>
  <c r="K1047" i="6" s="1"/>
  <c r="I521" i="6" a="1"/>
  <c r="I521" i="6" s="1"/>
  <c r="K521" i="6" s="1"/>
  <c r="I372" i="6" a="1"/>
  <c r="I372" i="6" s="1"/>
  <c r="K372" i="6" s="1"/>
  <c r="I871" i="6" a="1"/>
  <c r="I871" i="6" s="1"/>
  <c r="K871" i="6" s="1"/>
  <c r="I878" i="6" a="1"/>
  <c r="I878" i="6" s="1"/>
  <c r="K878" i="6" s="1"/>
  <c r="I1031" i="6" a="1"/>
  <c r="I1031" i="6" s="1"/>
  <c r="K1031" i="6" s="1"/>
  <c r="I1302" i="6" a="1"/>
  <c r="I1302" i="6" s="1"/>
  <c r="K1302" i="6" s="1"/>
  <c r="I1366" i="6" a="1"/>
  <c r="I1366" i="6" s="1"/>
  <c r="K1366" i="6" s="1"/>
  <c r="I1413" i="6" a="1"/>
  <c r="I1413" i="6" s="1"/>
  <c r="K1413" i="6" s="1"/>
  <c r="I1458" i="6" a="1"/>
  <c r="I1458" i="6" s="1"/>
  <c r="K1458" i="6" s="1"/>
  <c r="I366" i="6" a="1"/>
  <c r="I366" i="6" s="1"/>
  <c r="K366" i="6" s="1"/>
  <c r="I498" i="6" a="1"/>
  <c r="I498" i="6" s="1"/>
  <c r="K498" i="6" s="1"/>
  <c r="I998" i="6" a="1"/>
  <c r="I998" i="6" s="1"/>
  <c r="K998" i="6" s="1"/>
  <c r="I735" i="6" a="1"/>
  <c r="I735" i="6" s="1"/>
  <c r="K735" i="6" s="1"/>
  <c r="I821" i="6" a="1"/>
  <c r="I821" i="6" s="1"/>
  <c r="K821" i="6" s="1"/>
  <c r="I1007" i="6" a="1"/>
  <c r="I1007" i="6" s="1"/>
  <c r="K1007" i="6" s="1"/>
  <c r="I1060" i="6" a="1"/>
  <c r="I1060" i="6" s="1"/>
  <c r="K1060" i="6" s="1"/>
  <c r="I865" i="6" a="1"/>
  <c r="I865" i="6" s="1"/>
  <c r="K865" i="6" s="1"/>
  <c r="I1038" i="6" a="1"/>
  <c r="I1038" i="6" s="1"/>
  <c r="K1038" i="6" s="1"/>
  <c r="I1127" i="6" a="1"/>
  <c r="I1127" i="6" s="1"/>
  <c r="K1127" i="6" s="1"/>
  <c r="I1098" i="6" a="1"/>
  <c r="I1098" i="6" s="1"/>
  <c r="K1098" i="6" s="1"/>
  <c r="I653" i="6" a="1"/>
  <c r="I653" i="6" s="1"/>
  <c r="K653" i="6" s="1"/>
  <c r="I1443" i="6" a="1"/>
  <c r="I1443" i="6" s="1"/>
  <c r="K1443" i="6" s="1"/>
  <c r="I647" i="6" a="1"/>
  <c r="I647" i="6" s="1"/>
  <c r="K647" i="6" s="1"/>
  <c r="I279" i="6" a="1"/>
  <c r="I279" i="6" s="1"/>
  <c r="K279" i="6" s="1"/>
  <c r="I202" i="6" a="1"/>
  <c r="I202" i="6" s="1"/>
  <c r="K202" i="6" s="1"/>
  <c r="I798" i="6" a="1"/>
  <c r="I798" i="6" s="1"/>
  <c r="K798" i="6" s="1"/>
  <c r="I1441" i="6" a="1"/>
  <c r="I1441" i="6" s="1"/>
  <c r="K1441" i="6" s="1"/>
  <c r="I943" i="6" a="1"/>
  <c r="I943" i="6" s="1"/>
  <c r="K943" i="6" s="1"/>
  <c r="I850" i="6" a="1"/>
  <c r="I850" i="6" s="1"/>
  <c r="K850" i="6" s="1"/>
  <c r="I497" i="6" a="1"/>
  <c r="I497" i="6" s="1"/>
  <c r="K497" i="6" s="1"/>
  <c r="I696" i="6" a="1"/>
  <c r="I696" i="6" s="1"/>
  <c r="K696" i="6" s="1"/>
  <c r="I458" i="6" a="1"/>
  <c r="I458" i="6" s="1"/>
  <c r="K458" i="6" s="1"/>
  <c r="I474" i="6" a="1"/>
  <c r="I474" i="6" s="1"/>
  <c r="K474" i="6" s="1"/>
  <c r="I451" i="6" a="1"/>
  <c r="I451" i="6" s="1"/>
  <c r="K451" i="6" s="1"/>
  <c r="I281" i="6" a="1"/>
  <c r="I281" i="6" s="1"/>
  <c r="K281" i="6" s="1"/>
  <c r="I958" i="6" a="1"/>
  <c r="I958" i="6" s="1"/>
  <c r="K958" i="6" s="1"/>
  <c r="I1379" i="6" a="1"/>
  <c r="I1379" i="6" s="1"/>
  <c r="K1379" i="6" s="1"/>
  <c r="I945" i="6" a="1"/>
  <c r="I945" i="6" s="1"/>
  <c r="K945" i="6" s="1"/>
  <c r="I1097" i="6" a="1"/>
  <c r="I1097" i="6" s="1"/>
  <c r="K1097" i="6" s="1"/>
  <c r="I625" i="6" a="1"/>
  <c r="I625" i="6" s="1"/>
  <c r="K625" i="6" s="1"/>
  <c r="I641" i="6" a="1"/>
  <c r="I641" i="6" s="1"/>
  <c r="K641" i="6" s="1"/>
  <c r="I787" i="6" a="1"/>
  <c r="I787" i="6" s="1"/>
  <c r="K787" i="6" s="1"/>
  <c r="I948" i="6" a="1"/>
  <c r="I948" i="6" s="1"/>
  <c r="K948" i="6" s="1"/>
  <c r="I1392" i="6" a="1"/>
  <c r="I1392" i="6" s="1"/>
  <c r="K1392" i="6" s="1"/>
  <c r="I191" i="6" a="1"/>
  <c r="I191" i="6" s="1"/>
  <c r="K191" i="6" s="1"/>
  <c r="I680" i="6" a="1"/>
  <c r="I680" i="6" s="1"/>
  <c r="K680" i="6" s="1"/>
  <c r="I745" i="6" a="1"/>
  <c r="I745" i="6" s="1"/>
  <c r="K745" i="6" s="1"/>
  <c r="I1195" i="6" a="1"/>
  <c r="I1195" i="6" s="1"/>
  <c r="K1195" i="6" s="1"/>
  <c r="I771" i="6" a="1"/>
  <c r="I771" i="6" s="1"/>
  <c r="K771" i="6" s="1"/>
  <c r="I1220" i="6" a="1"/>
  <c r="I1220" i="6" s="1"/>
  <c r="K1220" i="6" s="1"/>
  <c r="I575" i="6" a="1"/>
  <c r="I575" i="6" s="1"/>
  <c r="K575" i="6" s="1"/>
  <c r="I1135" i="6" a="1"/>
  <c r="I1135" i="6" s="1"/>
  <c r="K1135" i="6" s="1"/>
  <c r="I1069" i="6" a="1"/>
  <c r="I1069" i="6" s="1"/>
  <c r="K1069" i="6" s="1"/>
  <c r="I334" i="6" a="1"/>
  <c r="I334" i="6" s="1"/>
  <c r="K334" i="6" s="1"/>
  <c r="I1265" i="6" a="1"/>
  <c r="I1265" i="6" s="1"/>
  <c r="K1265" i="6" s="1"/>
  <c r="I598" i="6" a="1"/>
  <c r="I598" i="6" s="1"/>
  <c r="K598" i="6" s="1"/>
  <c r="I1252" i="6" a="1"/>
  <c r="I1252" i="6" s="1"/>
  <c r="K1252" i="6" s="1"/>
  <c r="I1138" i="6" a="1"/>
  <c r="I1138" i="6" s="1"/>
  <c r="K1138" i="6" s="1"/>
  <c r="I1087" i="6" a="1"/>
  <c r="I1087" i="6" s="1"/>
  <c r="K1087" i="6" s="1"/>
  <c r="I239" i="6" a="1"/>
  <c r="I239" i="6" s="1"/>
  <c r="K239" i="6" s="1"/>
  <c r="I733" i="6" a="1"/>
  <c r="I733" i="6" s="1"/>
  <c r="K733" i="6" s="1"/>
  <c r="I717" i="6" a="1"/>
  <c r="I717" i="6" s="1"/>
  <c r="K717" i="6" s="1"/>
  <c r="I1155" i="6" a="1"/>
  <c r="I1155" i="6" s="1"/>
  <c r="K1155" i="6" s="1"/>
  <c r="I359" i="6" a="1"/>
  <c r="I359" i="6" s="1"/>
  <c r="K359" i="6" s="1"/>
  <c r="I314" i="6" a="1"/>
  <c r="I314" i="6" s="1"/>
  <c r="K314" i="6" s="1"/>
  <c r="I426" i="6" a="1"/>
  <c r="I426" i="6" s="1"/>
  <c r="K426" i="6" s="1"/>
  <c r="I1121" i="6" a="1"/>
  <c r="I1121" i="6" s="1"/>
  <c r="K1121" i="6" s="1"/>
  <c r="I1077" i="6" a="1"/>
  <c r="I1077" i="6" s="1"/>
  <c r="K1077" i="6" s="1"/>
  <c r="I1404" i="6" a="1"/>
  <c r="I1404" i="6" s="1"/>
  <c r="K1404" i="6" s="1"/>
  <c r="I1268" i="6" a="1"/>
  <c r="I1268" i="6" s="1"/>
  <c r="K1268" i="6" s="1"/>
  <c r="I413" i="6" a="1"/>
  <c r="I413" i="6" s="1"/>
  <c r="K413" i="6" s="1"/>
  <c r="I595" i="6" a="1"/>
  <c r="I595" i="6" s="1"/>
  <c r="K595" i="6" s="1"/>
  <c r="I192" i="6" a="1"/>
  <c r="I192" i="6" s="1"/>
  <c r="K192" i="6" s="1"/>
  <c r="I252" i="6" a="1"/>
  <c r="I252" i="6" s="1"/>
  <c r="K252" i="6" s="1"/>
  <c r="I532" i="6" a="1"/>
  <c r="I532" i="6" s="1"/>
  <c r="K532" i="6" s="1"/>
  <c r="I440" i="6" a="1"/>
  <c r="I440" i="6" s="1"/>
  <c r="K440" i="6" s="1"/>
  <c r="I491" i="6" a="1"/>
  <c r="I491" i="6" s="1"/>
  <c r="K491" i="6" s="1"/>
  <c r="I546" i="6" a="1"/>
  <c r="I546" i="6" s="1"/>
  <c r="K546" i="6" s="1"/>
  <c r="I846" i="6" a="1"/>
  <c r="I846" i="6" s="1"/>
  <c r="K846" i="6" s="1"/>
  <c r="I721" i="6" a="1"/>
  <c r="I721" i="6" s="1"/>
  <c r="K721" i="6" s="1"/>
  <c r="I700" i="6" a="1"/>
  <c r="I700" i="6" s="1"/>
  <c r="K700" i="6" s="1"/>
  <c r="I965" i="6" a="1"/>
  <c r="I965" i="6" s="1"/>
  <c r="K965" i="6" s="1"/>
  <c r="I960" i="6" a="1"/>
  <c r="I960" i="6" s="1"/>
  <c r="K960" i="6" s="1"/>
  <c r="I1296" i="6" a="1"/>
  <c r="I1296" i="6" s="1"/>
  <c r="K1296" i="6" s="1"/>
  <c r="I1338" i="6" a="1"/>
  <c r="I1338" i="6" s="1"/>
  <c r="K1338" i="6" s="1"/>
  <c r="I1214" i="6" a="1"/>
  <c r="I1214" i="6" s="1"/>
  <c r="K1214" i="6" s="1"/>
  <c r="I1291" i="6" a="1"/>
  <c r="I1291" i="6" s="1"/>
  <c r="K1291" i="6" s="1"/>
  <c r="I1146" i="6" a="1"/>
  <c r="I1146" i="6" s="1"/>
  <c r="K1146" i="6" s="1"/>
  <c r="I1353" i="6" a="1"/>
  <c r="I1353" i="6" s="1"/>
  <c r="K1353" i="6" s="1"/>
  <c r="I1448" i="6" a="1"/>
  <c r="I1448" i="6" s="1"/>
  <c r="K1448" i="6" s="1"/>
  <c r="I504" i="6" a="1"/>
  <c r="I504" i="6" s="1"/>
  <c r="K504" i="6" s="1"/>
  <c r="I195" i="6" a="1"/>
  <c r="I195" i="6" s="1"/>
  <c r="K195" i="6" s="1"/>
  <c r="I894" i="6" a="1"/>
  <c r="I894" i="6" s="1"/>
  <c r="K894" i="6" s="1"/>
  <c r="I272" i="6" a="1"/>
  <c r="I272" i="6" s="1"/>
  <c r="K272" i="6" s="1"/>
  <c r="I204" i="6" a="1"/>
  <c r="I204" i="6" s="1"/>
  <c r="K204" i="6" s="1"/>
  <c r="I887" i="6" a="1"/>
  <c r="I887" i="6" s="1"/>
  <c r="K887" i="6" s="1"/>
  <c r="I728" i="6" a="1"/>
  <c r="I728" i="6" s="1"/>
  <c r="K728" i="6" s="1"/>
  <c r="I489" i="6" a="1"/>
  <c r="I489" i="6" s="1"/>
  <c r="K489" i="6" s="1"/>
  <c r="I559" i="6" a="1"/>
  <c r="I559" i="6" s="1"/>
  <c r="K559" i="6" s="1"/>
  <c r="I1042" i="6" a="1"/>
  <c r="I1042" i="6" s="1"/>
  <c r="K1042" i="6" s="1"/>
  <c r="I571" i="6" a="1"/>
  <c r="I571" i="6" s="1"/>
  <c r="K571" i="6" s="1"/>
  <c r="I1113" i="6" a="1"/>
  <c r="I1113" i="6" s="1"/>
  <c r="K1113" i="6" s="1"/>
  <c r="I435" i="6" a="1"/>
  <c r="I435" i="6" s="1"/>
  <c r="K435" i="6" s="1"/>
  <c r="I729" i="6" a="1"/>
  <c r="I729" i="6" s="1"/>
  <c r="K729" i="6" s="1"/>
  <c r="I710" i="6" a="1"/>
  <c r="I710" i="6" s="1"/>
  <c r="K710" i="6" s="1"/>
  <c r="I673" i="6" a="1"/>
  <c r="I673" i="6" s="1"/>
  <c r="K673" i="6" s="1"/>
  <c r="I1387" i="6" a="1"/>
  <c r="I1387" i="6" s="1"/>
  <c r="K1387" i="6" s="1"/>
  <c r="I1304" i="6" a="1"/>
  <c r="I1304" i="6" s="1"/>
  <c r="K1304" i="6" s="1"/>
  <c r="I859" i="6" a="1"/>
  <c r="I859" i="6" s="1"/>
  <c r="K859" i="6" s="1"/>
  <c r="I1283" i="6" a="1"/>
  <c r="I1283" i="6" s="1"/>
  <c r="K1283" i="6" s="1"/>
  <c r="I970" i="6" a="1"/>
  <c r="I970" i="6" s="1"/>
  <c r="K970" i="6" s="1"/>
  <c r="I1080" i="6" a="1"/>
  <c r="I1080" i="6" s="1"/>
  <c r="K1080" i="6" s="1"/>
  <c r="I534" i="6" a="1"/>
  <c r="I534" i="6" s="1"/>
  <c r="K534" i="6" s="1"/>
  <c r="I1117" i="6" a="1"/>
  <c r="I1117" i="6" s="1"/>
  <c r="K1117" i="6" s="1"/>
  <c r="I1256" i="6" a="1"/>
  <c r="I1256" i="6" s="1"/>
  <c r="K1256" i="6" s="1"/>
  <c r="I1200" i="6" a="1"/>
  <c r="I1200" i="6" s="1"/>
  <c r="K1200" i="6" s="1"/>
  <c r="I1013" i="6" a="1"/>
  <c r="I1013" i="6" s="1"/>
  <c r="K1013" i="6" s="1"/>
  <c r="I1384" i="6" a="1"/>
  <c r="I1384" i="6" s="1"/>
  <c r="K1384" i="6" s="1"/>
  <c r="I651" i="6" a="1"/>
  <c r="I651" i="6" s="1"/>
  <c r="K651" i="6" s="1"/>
  <c r="I716" i="6" a="1"/>
  <c r="I716" i="6" s="1"/>
  <c r="K716" i="6" s="1"/>
  <c r="I1309" i="6" a="1"/>
  <c r="I1309" i="6" s="1"/>
  <c r="K1309" i="6" s="1"/>
  <c r="I552" i="6" a="1"/>
  <c r="I552" i="6" s="1"/>
  <c r="K552" i="6" s="1"/>
  <c r="I1355" i="6" a="1"/>
  <c r="I1355" i="6" s="1"/>
  <c r="K1355" i="6" s="1"/>
  <c r="I749" i="6" a="1"/>
  <c r="I749" i="6" s="1"/>
  <c r="K749" i="6" s="1"/>
  <c r="I1339" i="6" a="1"/>
  <c r="I1339" i="6" s="1"/>
  <c r="K1339" i="6" s="1"/>
  <c r="I903" i="6" a="1"/>
  <c r="I903" i="6" s="1"/>
  <c r="K903" i="6" s="1"/>
  <c r="I284" i="6" a="1"/>
  <c r="I284" i="6" s="1"/>
  <c r="K284" i="6" s="1"/>
  <c r="I1181" i="6" a="1"/>
  <c r="I1181" i="6" s="1"/>
  <c r="K1181" i="6" s="1"/>
  <c r="I649" i="6" a="1"/>
  <c r="I649" i="6" s="1"/>
  <c r="K649" i="6" s="1"/>
  <c r="I907" i="6" a="1"/>
  <c r="I907" i="6" s="1"/>
  <c r="K907" i="6" s="1"/>
  <c r="I962" i="6" a="1"/>
  <c r="I962" i="6" s="1"/>
  <c r="K962" i="6" s="1"/>
  <c r="I371" i="6" a="1"/>
  <c r="I371" i="6" s="1"/>
  <c r="K371" i="6" s="1"/>
  <c r="I406" i="6" a="1"/>
  <c r="I406" i="6" s="1"/>
  <c r="K406" i="6" s="1"/>
  <c r="I612" i="6" a="1"/>
  <c r="I612" i="6" s="1"/>
  <c r="K612" i="6" s="1"/>
  <c r="I444" i="6" a="1"/>
  <c r="I444" i="6" s="1"/>
  <c r="K444" i="6" s="1"/>
  <c r="I767" i="6" a="1"/>
  <c r="I767" i="6" s="1"/>
  <c r="K767" i="6" s="1"/>
  <c r="I346" i="6" a="1"/>
  <c r="I346" i="6" s="1"/>
  <c r="K346" i="6" s="1"/>
  <c r="I793" i="6" a="1"/>
  <c r="I793" i="6" s="1"/>
  <c r="K793" i="6" s="1"/>
  <c r="I845" i="6" a="1"/>
  <c r="I845" i="6" s="1"/>
  <c r="K845" i="6" s="1"/>
  <c r="I797" i="6" a="1"/>
  <c r="I797" i="6" s="1"/>
  <c r="K797" i="6" s="1"/>
  <c r="I613" i="6" a="1"/>
  <c r="I613" i="6" s="1"/>
  <c r="K613" i="6" s="1"/>
  <c r="I268" i="6" a="1"/>
  <c r="I268" i="6" s="1"/>
  <c r="K268" i="6" s="1"/>
  <c r="I275" i="6" a="1"/>
  <c r="I275" i="6" s="1"/>
  <c r="K275" i="6" s="1"/>
  <c r="I380" i="6" a="1"/>
  <c r="I380" i="6" s="1"/>
  <c r="K380" i="6" s="1"/>
  <c r="I355" i="6" a="1"/>
  <c r="I355" i="6" s="1"/>
  <c r="K355" i="6" s="1"/>
  <c r="I313" i="6" a="1"/>
  <c r="I313" i="6" s="1"/>
  <c r="K313" i="6" s="1"/>
  <c r="I573" i="6" a="1"/>
  <c r="I573" i="6" s="1"/>
  <c r="K573" i="6" s="1"/>
  <c r="I682" i="6" a="1"/>
  <c r="I682" i="6" s="1"/>
  <c r="K682" i="6" s="1"/>
  <c r="I918" i="6" a="1"/>
  <c r="I918" i="6" s="1"/>
  <c r="K918" i="6" s="1"/>
  <c r="I737" i="6" a="1"/>
  <c r="I737" i="6" s="1"/>
  <c r="K737" i="6" s="1"/>
  <c r="I963" i="6" a="1"/>
  <c r="I963" i="6" s="1"/>
  <c r="K963" i="6" s="1"/>
  <c r="I1120" i="6" a="1"/>
  <c r="I1120" i="6" s="1"/>
  <c r="K1120" i="6" s="1"/>
  <c r="I1306" i="6" a="1"/>
  <c r="I1306" i="6" s="1"/>
  <c r="K1306" i="6" s="1"/>
  <c r="I1370" i="6" a="1"/>
  <c r="I1370" i="6" s="1"/>
  <c r="K1370" i="6" s="1"/>
  <c r="I1446" i="6" a="1"/>
  <c r="I1446" i="6" s="1"/>
  <c r="K1446" i="6" s="1"/>
  <c r="I1169" i="6" a="1"/>
  <c r="I1169" i="6" s="1"/>
  <c r="K1169" i="6" s="1"/>
  <c r="I1308" i="6" a="1"/>
  <c r="I1308" i="6" s="1"/>
  <c r="K1308" i="6" s="1"/>
  <c r="I1293" i="6" a="1"/>
  <c r="I1293" i="6" s="1"/>
  <c r="K1293" i="6" s="1"/>
  <c r="I1225" i="6" a="1"/>
  <c r="I1225" i="6" s="1"/>
  <c r="K1225" i="6" s="1"/>
  <c r="I219" i="6" a="1"/>
  <c r="I219" i="6" s="1"/>
  <c r="K219" i="6" s="1"/>
  <c r="I411" i="6" a="1"/>
  <c r="I411" i="6" s="1"/>
  <c r="K411" i="6" s="1"/>
  <c r="I386" i="6" a="1"/>
  <c r="I386" i="6" s="1"/>
  <c r="K386" i="6" s="1"/>
  <c r="I509" i="6" a="1"/>
  <c r="I509" i="6" s="1"/>
  <c r="K509" i="6" s="1"/>
  <c r="I832" i="6" a="1"/>
  <c r="I832" i="6" s="1"/>
  <c r="K832" i="6" s="1"/>
  <c r="I375" i="6" a="1"/>
  <c r="I375" i="6" s="1"/>
  <c r="K375" i="6" s="1"/>
  <c r="I1035" i="6" a="1"/>
  <c r="I1035" i="6" s="1"/>
  <c r="K1035" i="6" s="1"/>
  <c r="I810" i="6" a="1"/>
  <c r="I810" i="6" s="1"/>
  <c r="K810" i="6" s="1"/>
  <c r="I774" i="6" a="1"/>
  <c r="I774" i="6" s="1"/>
  <c r="K774" i="6" s="1"/>
  <c r="I450" i="6" a="1"/>
  <c r="I450" i="6" s="1"/>
  <c r="K450" i="6" s="1"/>
  <c r="I873" i="6" a="1"/>
  <c r="I873" i="6" s="1"/>
  <c r="K873" i="6" s="1"/>
  <c r="I1055" i="6" a="1"/>
  <c r="I1055" i="6" s="1"/>
  <c r="K1055" i="6" s="1"/>
  <c r="I1234" i="6" a="1"/>
  <c r="I1234" i="6" s="1"/>
  <c r="K1234" i="6" s="1"/>
  <c r="I1124" i="6" a="1"/>
  <c r="I1124" i="6" s="1"/>
  <c r="K1124" i="6" s="1"/>
  <c r="I1068" i="6" a="1"/>
  <c r="I1068" i="6" s="1"/>
  <c r="K1068" i="6" s="1"/>
  <c r="I872" i="6" a="1"/>
  <c r="I872" i="6" s="1"/>
  <c r="K872" i="6" s="1"/>
  <c r="I952" i="6" a="1"/>
  <c r="I952" i="6" s="1"/>
  <c r="K952" i="6" s="1"/>
  <c r="I221" i="6" a="1"/>
  <c r="I221" i="6" s="1"/>
  <c r="K221" i="6" s="1"/>
  <c r="I1081" i="6" a="1"/>
  <c r="I1081" i="6" s="1"/>
  <c r="K1081" i="6" s="1"/>
  <c r="I1269" i="6" a="1"/>
  <c r="I1269" i="6" s="1"/>
  <c r="K1269" i="6" s="1"/>
  <c r="I1368" i="6" a="1"/>
  <c r="I1368" i="6" s="1"/>
  <c r="K1368" i="6" s="1"/>
  <c r="I1194" i="6" a="1"/>
  <c r="I1194" i="6" s="1"/>
  <c r="K1194" i="6" s="1"/>
  <c r="I1416" i="6" a="1"/>
  <c r="I1416" i="6" s="1"/>
  <c r="K1416" i="6" s="1"/>
  <c r="I621" i="6" a="1"/>
  <c r="I621" i="6" s="1"/>
  <c r="K621" i="6" s="1"/>
  <c r="I1464" i="6" a="1"/>
  <c r="I1464" i="6" s="1"/>
  <c r="K1464" i="6" s="1"/>
  <c r="I630" i="6" a="1"/>
  <c r="I630" i="6" s="1"/>
  <c r="K630" i="6" s="1"/>
  <c r="I1333" i="6" a="1"/>
  <c r="I1333" i="6" s="1"/>
  <c r="K1333" i="6" s="1"/>
  <c r="I659" i="6" a="1"/>
  <c r="I659" i="6" s="1"/>
  <c r="K659" i="6" s="1"/>
  <c r="I293" i="6" a="1"/>
  <c r="I293" i="6" s="1"/>
  <c r="K293" i="6" s="1"/>
  <c r="I1160" i="6" a="1"/>
  <c r="I1160" i="6" s="1"/>
  <c r="K1160" i="6" s="1"/>
  <c r="I829" i="6" a="1"/>
  <c r="I829" i="6" s="1"/>
  <c r="K829" i="6" s="1"/>
  <c r="I417" i="6" a="1"/>
  <c r="I417" i="6" s="1"/>
  <c r="K417" i="6" s="1"/>
  <c r="I1091" i="6" a="1"/>
  <c r="I1091" i="6" s="1"/>
  <c r="K1091" i="6" s="1"/>
  <c r="I899" i="6" a="1"/>
  <c r="I899" i="6" s="1"/>
  <c r="K899" i="6" s="1"/>
  <c r="I980" i="6" a="1"/>
  <c r="I980" i="6" s="1"/>
  <c r="K980" i="6" s="1"/>
  <c r="I1067" i="6" a="1"/>
  <c r="I1067" i="6" s="1"/>
  <c r="K1067" i="6" s="1"/>
  <c r="I1473" i="6" a="1"/>
  <c r="I1473" i="6" s="1"/>
  <c r="K1473" i="6" s="1"/>
  <c r="I501" i="6" a="1"/>
  <c r="I501" i="6" s="1"/>
  <c r="K501" i="6" s="1"/>
  <c r="I1083" i="6" a="1"/>
  <c r="I1083" i="6" s="1"/>
  <c r="K1083" i="6" s="1"/>
  <c r="I1278" i="6" a="1"/>
  <c r="I1278" i="6" s="1"/>
  <c r="K1278" i="6" s="1"/>
  <c r="I628" i="6" a="1"/>
  <c r="I628" i="6" s="1"/>
  <c r="K628" i="6" s="1"/>
  <c r="I505" i="6" a="1"/>
  <c r="I505" i="6" s="1"/>
  <c r="K505" i="6" s="1"/>
  <c r="I300" i="6" a="1"/>
  <c r="I300" i="6" s="1"/>
  <c r="K300" i="6" s="1"/>
  <c r="I753" i="6" a="1"/>
  <c r="I753" i="6" s="1"/>
  <c r="K753" i="6" s="1"/>
  <c r="I646" i="6" a="1"/>
  <c r="I646" i="6" s="1"/>
  <c r="K646" i="6" s="1"/>
  <c r="I606" i="6" a="1"/>
  <c r="I606" i="6" s="1"/>
  <c r="K606" i="6" s="1"/>
  <c r="I1022" i="6" a="1"/>
  <c r="I1022" i="6" s="1"/>
  <c r="K1022" i="6" s="1"/>
  <c r="I1417" i="6" a="1"/>
  <c r="I1417" i="6" s="1"/>
  <c r="K1417" i="6" s="1"/>
  <c r="I1041" i="6" a="1"/>
  <c r="I1041" i="6" s="1"/>
  <c r="K1041" i="6" s="1"/>
  <c r="I1380" i="6" a="1"/>
  <c r="I1380" i="6" s="1"/>
  <c r="K1380" i="6" s="1"/>
  <c r="I352" i="6" a="1"/>
  <c r="I352" i="6" s="1"/>
  <c r="K352" i="6" s="1"/>
  <c r="I718" i="6" a="1"/>
  <c r="I718" i="6" s="1"/>
  <c r="K718" i="6" s="1"/>
  <c r="I785" i="6" a="1"/>
  <c r="I785" i="6" s="1"/>
  <c r="K785" i="6" s="1"/>
  <c r="I715" i="6" a="1"/>
  <c r="I715" i="6" s="1"/>
  <c r="K715" i="6" s="1"/>
  <c r="I953" i="6" a="1"/>
  <c r="I953" i="6" s="1"/>
  <c r="K953" i="6" s="1"/>
  <c r="I265" i="6" a="1"/>
  <c r="I265" i="6" s="1"/>
  <c r="K265" i="6" s="1"/>
  <c r="I1423" i="6" a="1"/>
  <c r="I1423" i="6" s="1"/>
  <c r="K1423" i="6" s="1"/>
  <c r="I777" i="6" a="1"/>
  <c r="I777" i="6" s="1"/>
  <c r="K777" i="6" s="1"/>
  <c r="I1056" i="6" a="1"/>
  <c r="I1056" i="6" s="1"/>
  <c r="K1056" i="6" s="1"/>
  <c r="I529" i="6" a="1"/>
  <c r="I529" i="6" s="1"/>
  <c r="K529" i="6" s="1"/>
  <c r="I298" i="6" a="1"/>
  <c r="I298" i="6" s="1"/>
  <c r="K298" i="6" s="1"/>
  <c r="I1365" i="6" a="1"/>
  <c r="I1365" i="6" s="1"/>
  <c r="K1365" i="6" s="1"/>
  <c r="I685" i="6" a="1"/>
  <c r="I685" i="6" s="1"/>
  <c r="K685" i="6" s="1"/>
  <c r="I1092" i="6" a="1"/>
  <c r="I1092" i="6" s="1"/>
  <c r="K1092" i="6" s="1"/>
  <c r="I420" i="6" a="1"/>
  <c r="I420" i="6" s="1"/>
  <c r="K420" i="6" s="1"/>
  <c r="I788" i="6" a="1"/>
  <c r="I788" i="6" s="1"/>
  <c r="K788" i="6" s="1"/>
  <c r="I1020" i="6" a="1"/>
  <c r="I1020" i="6" s="1"/>
  <c r="K1020" i="6" s="1"/>
  <c r="I1254" i="6" a="1"/>
  <c r="I1254" i="6" s="1"/>
  <c r="K1254" i="6" s="1"/>
  <c r="I589" i="6" a="1"/>
  <c r="I589" i="6" s="1"/>
  <c r="K589" i="6" s="1"/>
  <c r="I198" i="6" a="1"/>
  <c r="I198" i="6" s="1"/>
  <c r="K198" i="6" s="1"/>
  <c r="I974" i="6" a="1"/>
  <c r="I974" i="6" s="1"/>
  <c r="K974" i="6" s="1"/>
  <c r="I1208" i="6" a="1"/>
  <c r="I1208" i="6" s="1"/>
  <c r="K1208" i="6" s="1"/>
  <c r="I485" i="6" a="1"/>
  <c r="I485" i="6" s="1"/>
  <c r="K485" i="6" s="1"/>
  <c r="I379" i="6" a="1"/>
  <c r="I379" i="6" s="1"/>
  <c r="K379" i="6" s="1"/>
  <c r="I751" i="6" a="1"/>
  <c r="I751" i="6" s="1"/>
  <c r="K751" i="6" s="1"/>
  <c r="I1089" i="6" a="1"/>
  <c r="I1089" i="6" s="1"/>
  <c r="K1089" i="6" s="1"/>
  <c r="I416" i="6" a="1"/>
  <c r="I416" i="6" s="1"/>
  <c r="K416" i="6" s="1"/>
  <c r="I199" i="6" a="1"/>
  <c r="I199" i="6" s="1"/>
  <c r="K199" i="6" s="1"/>
  <c r="I393" i="6" a="1"/>
  <c r="I393" i="6" s="1"/>
  <c r="K393" i="6" s="1"/>
  <c r="I562" i="6" a="1"/>
  <c r="I562" i="6" s="1"/>
  <c r="K562" i="6" s="1"/>
  <c r="I468" i="6" a="1"/>
  <c r="I468" i="6" s="1"/>
  <c r="K468" i="6" s="1"/>
  <c r="I574" i="6" a="1"/>
  <c r="I574" i="6" s="1"/>
  <c r="K574" i="6" s="1"/>
  <c r="I615" i="6" a="1"/>
  <c r="I615" i="6" s="1"/>
  <c r="K615" i="6" s="1"/>
  <c r="I744" i="6" a="1"/>
  <c r="I744" i="6" s="1"/>
  <c r="K744" i="6" s="1"/>
  <c r="I964" i="6" a="1"/>
  <c r="I964" i="6" s="1"/>
  <c r="K964" i="6" s="1"/>
  <c r="I967" i="6" a="1"/>
  <c r="I967" i="6" s="1"/>
  <c r="K967" i="6" s="1"/>
  <c r="I926" i="6" a="1"/>
  <c r="I926" i="6" s="1"/>
  <c r="K926" i="6" s="1"/>
  <c r="I977" i="6" a="1"/>
  <c r="I977" i="6" s="1"/>
  <c r="K977" i="6" s="1"/>
  <c r="I1071" i="6" a="1"/>
  <c r="I1071" i="6" s="1"/>
  <c r="K1071" i="6" s="1"/>
  <c r="I1342" i="6" a="1"/>
  <c r="I1342" i="6" s="1"/>
  <c r="K1342" i="6" s="1"/>
  <c r="I1382" i="6" a="1"/>
  <c r="I1382" i="6" s="1"/>
  <c r="K1382" i="6" s="1"/>
  <c r="I1037" i="6" a="1"/>
  <c r="I1037" i="6" s="1"/>
  <c r="K1037" i="6" s="1"/>
  <c r="I1239" i="6" a="1"/>
  <c r="I1239" i="6" s="1"/>
  <c r="K1239" i="6" s="1"/>
  <c r="I1369" i="6" a="1"/>
  <c r="I1369" i="6" s="1"/>
  <c r="K1369" i="6" s="1"/>
  <c r="I1300" i="6" a="1"/>
  <c r="I1300" i="6" s="1"/>
  <c r="K1300" i="6" s="1"/>
  <c r="I226" i="6" a="1"/>
  <c r="I226" i="6" s="1"/>
  <c r="K226" i="6" s="1"/>
  <c r="I338" i="6" a="1"/>
  <c r="I338" i="6" s="1"/>
  <c r="K338" i="6" s="1"/>
  <c r="I924" i="6" a="1"/>
  <c r="I924" i="6" s="1"/>
  <c r="K924" i="6" s="1"/>
  <c r="I323" i="6" a="1"/>
  <c r="I323" i="6" s="1"/>
  <c r="K323" i="6" s="1"/>
  <c r="I294" i="6" a="1"/>
  <c r="I294" i="6" s="1"/>
  <c r="K294" i="6" s="1"/>
  <c r="I356" i="6" a="1"/>
  <c r="I356" i="6" s="1"/>
  <c r="K356" i="6" s="1"/>
  <c r="I741" i="6" a="1"/>
  <c r="I741" i="6" s="1"/>
  <c r="K741" i="6" s="1"/>
  <c r="I527" i="6" a="1"/>
  <c r="I527" i="6" s="1"/>
  <c r="K527" i="6" s="1"/>
  <c r="I604" i="6" a="1"/>
  <c r="I604" i="6" s="1"/>
  <c r="K604" i="6" s="1"/>
  <c r="I211" i="6" a="1"/>
  <c r="I211" i="6" s="1"/>
  <c r="K211" i="6" s="1"/>
  <c r="I602" i="6" a="1"/>
  <c r="I602" i="6" s="1"/>
  <c r="K602" i="6" s="1"/>
  <c r="I1184" i="6" a="1"/>
  <c r="I1184" i="6" s="1"/>
  <c r="K1184" i="6" s="1"/>
  <c r="I472" i="6" a="1"/>
  <c r="I472" i="6" s="1"/>
  <c r="K472" i="6" s="1"/>
  <c r="I841" i="6" a="1"/>
  <c r="I841" i="6" s="1"/>
  <c r="K841" i="6" s="1"/>
  <c r="I758" i="6" a="1"/>
  <c r="I758" i="6" s="1"/>
  <c r="K758" i="6" s="1"/>
  <c r="I676" i="6" a="1"/>
  <c r="I676" i="6" s="1"/>
  <c r="K676" i="6" s="1"/>
  <c r="I400" i="6" a="1"/>
  <c r="I400" i="6" s="1"/>
  <c r="K400" i="6" s="1"/>
  <c r="I1374" i="6" a="1"/>
  <c r="I1374" i="6" s="1"/>
  <c r="K1374" i="6" s="1"/>
  <c r="I900" i="6" a="1"/>
  <c r="I900" i="6" s="1"/>
  <c r="K900" i="6" s="1"/>
  <c r="I1356" i="6" a="1"/>
  <c r="I1356" i="6" s="1"/>
  <c r="K1356" i="6" s="1"/>
  <c r="I988" i="6" a="1"/>
  <c r="I988" i="6" s="1"/>
  <c r="K988" i="6" s="1"/>
  <c r="I783" i="6" a="1"/>
  <c r="I783" i="6" s="1"/>
  <c r="K783" i="6" s="1"/>
  <c r="I1454" i="6" a="1"/>
  <c r="I1454" i="6" s="1"/>
  <c r="K1454" i="6" s="1"/>
  <c r="I1248" i="6" a="1"/>
  <c r="I1248" i="6" s="1"/>
  <c r="K1248" i="6" s="1"/>
  <c r="I1432" i="6" a="1"/>
  <c r="I1432" i="6" s="1"/>
  <c r="K1432" i="6" s="1"/>
  <c r="I1215" i="6" a="1"/>
  <c r="I1215" i="6" s="1"/>
  <c r="K1215" i="6" s="1"/>
  <c r="I1063" i="6" a="1"/>
  <c r="I1063" i="6" s="1"/>
  <c r="K1063" i="6" s="1"/>
  <c r="I209" i="6" a="1"/>
  <c r="I209" i="6" s="1"/>
  <c r="K209" i="6" s="1"/>
  <c r="I773" i="6" a="1"/>
  <c r="I773" i="6" s="1"/>
  <c r="K773" i="6" s="1"/>
  <c r="I760" i="6" a="1"/>
  <c r="I760" i="6" s="1"/>
  <c r="K760" i="6" s="1"/>
  <c r="I1343" i="6" a="1"/>
  <c r="I1343" i="6" s="1"/>
  <c r="K1343" i="6" s="1"/>
  <c r="I599" i="6" a="1"/>
  <c r="I599" i="6" s="1"/>
  <c r="K599" i="6" s="1"/>
  <c r="I1373" i="6" a="1"/>
  <c r="I1373" i="6" s="1"/>
  <c r="K1373" i="6" s="1"/>
  <c r="I790" i="6" a="1"/>
  <c r="I790" i="6" s="1"/>
  <c r="K790" i="6" s="1"/>
  <c r="I1347" i="6" a="1"/>
  <c r="I1347" i="6" s="1"/>
  <c r="K1347" i="6" s="1"/>
  <c r="I422" i="6" a="1"/>
  <c r="I422" i="6" s="1"/>
  <c r="K422" i="6" s="1"/>
  <c r="I986" i="6" a="1"/>
  <c r="I986" i="6" s="1"/>
  <c r="K986" i="6" s="1"/>
  <c r="I315" i="6" a="1"/>
  <c r="I315" i="6" s="1"/>
  <c r="K315" i="6" s="1"/>
  <c r="I1275" i="6" a="1"/>
  <c r="I1275" i="6" s="1"/>
  <c r="K1275" i="6" s="1"/>
  <c r="I203" i="6" a="1"/>
  <c r="I203" i="6" s="1"/>
  <c r="K203" i="6" s="1"/>
  <c r="I921" i="6" a="1"/>
  <c r="I921" i="6" s="1"/>
  <c r="K921" i="6" s="1"/>
  <c r="I1043" i="6" a="1"/>
  <c r="I1043" i="6" s="1"/>
  <c r="K1043" i="6" s="1"/>
  <c r="I802" i="6" a="1"/>
  <c r="I802" i="6" s="1"/>
  <c r="K802" i="6" s="1"/>
  <c r="I1153" i="6" a="1"/>
  <c r="I1153" i="6" s="1"/>
  <c r="K1153" i="6" s="1"/>
  <c r="I851" i="6" a="1"/>
  <c r="I851" i="6" s="1"/>
  <c r="K851" i="6" s="1"/>
  <c r="I852" i="6" a="1"/>
  <c r="I852" i="6" s="1"/>
  <c r="K852" i="6" s="1"/>
  <c r="I456" i="6" a="1"/>
  <c r="I456" i="6" s="1"/>
  <c r="K456" i="6" s="1"/>
  <c r="I1409" i="6" a="1"/>
  <c r="I1409" i="6" s="1"/>
  <c r="K1409" i="6" s="1"/>
  <c r="I1082" i="6" a="1"/>
  <c r="I1082" i="6" s="1"/>
  <c r="K1082" i="6" s="1"/>
  <c r="I1101" i="6" a="1"/>
  <c r="I1101" i="6" s="1"/>
  <c r="K1101" i="6" s="1"/>
  <c r="I423" i="6" a="1"/>
  <c r="I423" i="6" s="1"/>
  <c r="K423" i="6" s="1"/>
  <c r="I989" i="6" a="1"/>
  <c r="I989" i="6" s="1"/>
  <c r="K989" i="6" s="1"/>
  <c r="I1052" i="6" a="1"/>
  <c r="I1052" i="6" s="1"/>
  <c r="K1052" i="6" s="1"/>
  <c r="I1307" i="6" a="1"/>
  <c r="I1307" i="6" s="1"/>
  <c r="K1307" i="6" s="1"/>
  <c r="I626" i="6" a="1"/>
  <c r="I626" i="6" s="1"/>
  <c r="K626" i="6" s="1"/>
  <c r="I1005" i="6" a="1"/>
  <c r="I1005" i="6" s="1"/>
  <c r="K1005" i="6" s="1"/>
  <c r="I1395" i="6" a="1"/>
  <c r="I1395" i="6" s="1"/>
  <c r="K1395" i="6" s="1"/>
  <c r="I1455" i="6" a="1"/>
  <c r="I1455" i="6" s="1"/>
  <c r="K1455" i="6" s="1"/>
  <c r="I1000" i="6" a="1"/>
  <c r="I1000" i="6" s="1"/>
  <c r="K1000" i="6" s="1"/>
  <c r="I255" i="6" a="1"/>
  <c r="I255" i="6" s="1"/>
  <c r="K255" i="6" s="1"/>
  <c r="I880" i="6" a="1"/>
  <c r="I880" i="6" s="1"/>
  <c r="K880" i="6" s="1"/>
  <c r="I569" i="6" a="1"/>
  <c r="I569" i="6" s="1"/>
  <c r="K569" i="6" s="1"/>
  <c r="I645" i="6" a="1"/>
  <c r="I645" i="6" s="1"/>
  <c r="K645" i="6" s="1"/>
  <c r="I285" i="6" a="1"/>
  <c r="I285" i="6" s="1"/>
  <c r="K285" i="6" s="1"/>
  <c r="I502" i="6" a="1"/>
  <c r="I502" i="6" s="1"/>
  <c r="K502" i="6" s="1"/>
  <c r="I304" i="6" a="1"/>
  <c r="I304" i="6" s="1"/>
  <c r="K304" i="6" s="1"/>
  <c r="I479" i="6" a="1"/>
  <c r="I479" i="6" s="1"/>
  <c r="K479" i="6" s="1"/>
  <c r="I593" i="6" a="1"/>
  <c r="I593" i="6" s="1"/>
  <c r="K593" i="6" s="1"/>
  <c r="I634" i="6" a="1"/>
  <c r="I634" i="6" s="1"/>
  <c r="K634" i="6" s="1"/>
  <c r="I756" i="6" a="1"/>
  <c r="I756" i="6" s="1"/>
  <c r="K756" i="6" s="1"/>
  <c r="I1019" i="6" a="1"/>
  <c r="I1019" i="6" s="1"/>
  <c r="K1019" i="6" s="1"/>
  <c r="I796" i="6" a="1"/>
  <c r="I796" i="6" s="1"/>
  <c r="K796" i="6" s="1"/>
  <c r="I1009" i="6" a="1"/>
  <c r="I1009" i="6" s="1"/>
  <c r="K1009" i="6" s="1"/>
  <c r="I1111" i="6" a="1"/>
  <c r="I1111" i="6" s="1"/>
  <c r="K1111" i="6" s="1"/>
  <c r="I1104" i="6" a="1"/>
  <c r="I1104" i="6" s="1"/>
  <c r="K1104" i="6" s="1"/>
  <c r="I1346" i="6" a="1"/>
  <c r="I1346" i="6" s="1"/>
  <c r="K1346" i="6" s="1"/>
  <c r="I1456" i="6" a="1"/>
  <c r="I1456" i="6" s="1"/>
  <c r="K1456" i="6" s="1"/>
  <c r="I1394" i="6" a="1"/>
  <c r="I1394" i="6" s="1"/>
  <c r="K1394" i="6" s="1"/>
  <c r="I1284" i="6" a="1"/>
  <c r="I1284" i="6" s="1"/>
  <c r="K1284" i="6" s="1"/>
  <c r="I1371" i="6" a="1"/>
  <c r="I1371" i="6" s="1"/>
  <c r="K1371" i="6" s="1"/>
  <c r="I1316" i="6" a="1"/>
  <c r="I1316" i="6" s="1"/>
  <c r="K1316" i="6" s="1"/>
  <c r="I231" i="6" a="1"/>
  <c r="I231" i="6" s="1"/>
  <c r="K231" i="6" s="1"/>
  <c r="I447" i="6" a="1"/>
  <c r="I447" i="6" s="1"/>
  <c r="K447" i="6" s="1"/>
  <c r="I222" i="6" a="1"/>
  <c r="I222" i="6" s="1"/>
  <c r="K222" i="6" s="1"/>
  <c r="I327" i="6" a="1"/>
  <c r="I327" i="6" s="1"/>
  <c r="K327" i="6" s="1"/>
  <c r="I388" i="6" a="1"/>
  <c r="I388" i="6" s="1"/>
  <c r="K388" i="6" s="1"/>
  <c r="I616" i="6" a="1"/>
  <c r="I616" i="6" s="1"/>
  <c r="K616" i="6" s="1"/>
  <c r="I813" i="6" a="1"/>
  <c r="I813" i="6" s="1"/>
  <c r="K813" i="6" s="1"/>
  <c r="I540" i="6" a="1"/>
  <c r="I540" i="6" s="1"/>
  <c r="K540" i="6" s="1"/>
  <c r="I635" i="6" a="1"/>
  <c r="I635" i="6" s="1"/>
  <c r="K635" i="6" s="1"/>
  <c r="I232" i="6" a="1"/>
  <c r="I232" i="6" s="1"/>
  <c r="K232" i="6" s="1"/>
  <c r="I614" i="6" a="1"/>
  <c r="I614" i="6" s="1"/>
  <c r="K614" i="6" s="1"/>
  <c r="I1372" i="6" a="1"/>
  <c r="I1372" i="6" s="1"/>
  <c r="K1372" i="6" s="1"/>
  <c r="I547" i="6" a="1"/>
  <c r="I547" i="6" s="1"/>
  <c r="K547" i="6" s="1"/>
  <c r="I886" i="6" a="1"/>
  <c r="I886" i="6" s="1"/>
  <c r="K886" i="6" s="1"/>
  <c r="I817" i="6" a="1"/>
  <c r="I817" i="6" s="1"/>
  <c r="K817" i="6" s="1"/>
  <c r="I683" i="6" a="1"/>
  <c r="I683" i="6" s="1"/>
  <c r="K683" i="6" s="1"/>
  <c r="I404" i="6" a="1"/>
  <c r="I404" i="6" s="1"/>
  <c r="K404" i="6" s="1"/>
  <c r="I336" i="6" a="1"/>
  <c r="I336" i="6" s="1"/>
  <c r="K336" i="6" s="1"/>
  <c r="I908" i="6" a="1"/>
  <c r="I908" i="6" s="1"/>
  <c r="K908" i="6" s="1"/>
  <c r="I1426" i="6" a="1"/>
  <c r="I1426" i="6" s="1"/>
  <c r="K1426" i="6" s="1"/>
  <c r="I1023" i="6" a="1"/>
  <c r="I1023" i="6" s="1"/>
  <c r="K1023" i="6" s="1"/>
  <c r="I799" i="6" a="1"/>
  <c r="I799" i="6" s="1"/>
  <c r="K799" i="6" s="1"/>
  <c r="I1150" i="6" a="1"/>
  <c r="I1150" i="6" s="1"/>
  <c r="K1150" i="6" s="1"/>
  <c r="I1255" i="6" a="1"/>
  <c r="I1255" i="6" s="1"/>
  <c r="K1255" i="6" s="1"/>
  <c r="I1279" i="6" a="1"/>
  <c r="I1279" i="6" s="1"/>
  <c r="K1279" i="6" s="1"/>
  <c r="I1094" i="6" a="1"/>
  <c r="I1094" i="6" s="1"/>
  <c r="K1094" i="6" s="1"/>
  <c r="I243" i="6" a="1"/>
  <c r="I243" i="6" s="1"/>
  <c r="K243" i="6" s="1"/>
  <c r="I1139" i="6" a="1"/>
  <c r="I1139" i="6" s="1"/>
  <c r="K1139" i="6" s="1"/>
  <c r="I809" i="6" a="1"/>
  <c r="I809" i="6" s="1"/>
  <c r="K809" i="6" s="1"/>
  <c r="I1414" i="6" a="1"/>
  <c r="I1414" i="6" s="1"/>
  <c r="K1414" i="6" s="1"/>
  <c r="I607" i="6" a="1"/>
  <c r="I607" i="6" s="1"/>
  <c r="K607" i="6" s="1"/>
  <c r="I1381" i="6" a="1"/>
  <c r="I1381" i="6" s="1"/>
  <c r="K1381" i="6" s="1"/>
  <c r="I825" i="6" a="1"/>
  <c r="I825" i="6" s="1"/>
  <c r="K825" i="6" s="1"/>
  <c r="I1378" i="6" a="1"/>
  <c r="I1378" i="6" s="1"/>
  <c r="K1378" i="6" s="1"/>
  <c r="I536" i="6" a="1"/>
  <c r="I536" i="6" s="1"/>
  <c r="K536" i="6" s="1"/>
  <c r="I1449" i="6" a="1"/>
  <c r="I1449" i="6" s="1"/>
  <c r="K1449" i="6" s="1"/>
  <c r="I322" i="6" a="1"/>
  <c r="I322" i="6" s="1"/>
  <c r="K322" i="6" s="1"/>
  <c r="I1445" i="6" a="1"/>
  <c r="I1445" i="6" s="1"/>
  <c r="K1445" i="6" s="1"/>
  <c r="I935" i="6" a="1"/>
  <c r="I935" i="6" s="1"/>
  <c r="K935" i="6" s="1"/>
  <c r="I1210" i="6" a="1"/>
  <c r="I1210" i="6" s="1"/>
  <c r="K1210" i="6" s="1"/>
  <c r="I1212" i="6" a="1"/>
  <c r="I1212" i="6" s="1"/>
  <c r="K1212" i="6" s="1"/>
  <c r="I600" i="6" a="1"/>
  <c r="I600" i="6" s="1"/>
  <c r="K600" i="6" s="1"/>
  <c r="I891" i="6" a="1"/>
  <c r="I891" i="6" s="1"/>
  <c r="K891" i="6" s="1"/>
  <c r="I870" i="6" a="1"/>
  <c r="I870" i="6" s="1"/>
  <c r="K870" i="6" s="1"/>
  <c r="I464" i="6" a="1"/>
  <c r="I464" i="6" s="1"/>
  <c r="K464" i="6" s="1"/>
  <c r="I1420" i="6" a="1"/>
  <c r="I1420" i="6" s="1"/>
  <c r="K1420" i="6" s="1"/>
  <c r="I1105" i="6" a="1"/>
  <c r="I1105" i="6" s="1"/>
  <c r="K1105" i="6" s="1"/>
  <c r="I1180" i="6" a="1"/>
  <c r="I1180" i="6" s="1"/>
  <c r="K1180" i="6" s="1"/>
  <c r="I430" i="6" a="1"/>
  <c r="I430" i="6" s="1"/>
  <c r="K430" i="6" s="1"/>
  <c r="I994" i="6" a="1"/>
  <c r="I994" i="6" s="1"/>
  <c r="K994" i="6" s="1"/>
  <c r="I1134" i="6" a="1"/>
  <c r="I1134" i="6" s="1"/>
  <c r="K1134" i="6" s="1"/>
  <c r="I392" i="6" a="1"/>
  <c r="I392" i="6" s="1"/>
  <c r="K392" i="6" s="1"/>
  <c r="I862" i="6" a="1"/>
  <c r="I862" i="6" s="1"/>
  <c r="K862" i="6" s="1"/>
  <c r="I1182" i="6" a="1"/>
  <c r="I1182" i="6" s="1"/>
  <c r="K1182" i="6" s="1"/>
  <c r="I339" i="6" a="1"/>
  <c r="I339" i="6" s="1"/>
  <c r="K339" i="6" s="1"/>
  <c r="I1447" i="6" a="1"/>
  <c r="I1447" i="6" s="1"/>
  <c r="K1447" i="6" s="1"/>
  <c r="I1236" i="6" a="1"/>
  <c r="I1236" i="6" s="1"/>
  <c r="K1236" i="6" s="1"/>
  <c r="I449" i="6" a="1"/>
  <c r="I449" i="6" s="1"/>
  <c r="K449" i="6" s="1"/>
  <c r="I1095" i="6" a="1"/>
  <c r="I1095" i="6" s="1"/>
  <c r="K1095" i="6" s="1"/>
  <c r="I535" i="6" a="1"/>
  <c r="I535" i="6" s="1"/>
  <c r="K535" i="6" s="1"/>
  <c r="I197" i="6" a="1"/>
  <c r="I197" i="6" s="1"/>
  <c r="K197" i="6" s="1"/>
  <c r="I269" i="6" a="1"/>
  <c r="I269" i="6" s="1"/>
  <c r="K269" i="6" s="1"/>
  <c r="I512" i="6" a="1"/>
  <c r="I512" i="6" s="1"/>
  <c r="K512" i="6" s="1"/>
  <c r="I487" i="6" a="1"/>
  <c r="I487" i="6" s="1"/>
  <c r="K487" i="6" s="1"/>
  <c r="I369" i="6" a="1"/>
  <c r="I369" i="6" s="1"/>
  <c r="K369" i="6" s="1"/>
  <c r="I830" i="6" a="1"/>
  <c r="I830" i="6" s="1"/>
  <c r="K830" i="6" s="1"/>
  <c r="I765" i="6" a="1"/>
  <c r="I765" i="6" s="1"/>
  <c r="K765" i="6" s="1"/>
  <c r="I779" i="6" a="1"/>
  <c r="I779" i="6" s="1"/>
  <c r="K779" i="6" s="1"/>
  <c r="I876" i="6" a="1"/>
  <c r="I876" i="6" s="1"/>
  <c r="K876" i="6" s="1"/>
  <c r="I930" i="6" a="1"/>
  <c r="I930" i="6" s="1"/>
  <c r="K930" i="6" s="1"/>
  <c r="I1157" i="6" a="1"/>
  <c r="I1157" i="6" s="1"/>
  <c r="K1157" i="6" s="1"/>
  <c r="I1136" i="6" a="1"/>
  <c r="I1136" i="6" s="1"/>
  <c r="K1136" i="6" s="1"/>
  <c r="I1350" i="6" a="1"/>
  <c r="I1350" i="6" s="1"/>
  <c r="K1350" i="6" s="1"/>
  <c r="I1058" i="6" a="1"/>
  <c r="I1058" i="6" s="1"/>
  <c r="K1058" i="6" s="1"/>
  <c r="I1396" i="6" a="1"/>
  <c r="I1396" i="6" s="1"/>
  <c r="K1396" i="6" s="1"/>
  <c r="I1286" i="6" a="1"/>
  <c r="I1286" i="6" s="1"/>
  <c r="K1286" i="6" s="1"/>
  <c r="I1312" i="6" a="1"/>
  <c r="I1312" i="6" s="1"/>
  <c r="K1312" i="6" s="1"/>
  <c r="I1332" i="6" a="1"/>
  <c r="I1332" i="6" s="1"/>
  <c r="K1332" i="6" s="1"/>
  <c r="I194" i="6" a="1"/>
  <c r="I194" i="6" s="1"/>
  <c r="K194" i="6" s="1"/>
  <c r="I424" i="6" a="1"/>
  <c r="I424" i="6" s="1"/>
  <c r="K424" i="6" s="1"/>
  <c r="I238" i="6" a="1"/>
  <c r="I238" i="6" s="1"/>
  <c r="K238" i="6" s="1"/>
  <c r="I376" i="6" a="1"/>
  <c r="I376" i="6" s="1"/>
  <c r="K376" i="6" s="1"/>
  <c r="I391" i="6" a="1"/>
  <c r="I391" i="6" s="1"/>
  <c r="K391" i="6" s="1"/>
  <c r="I794" i="6" a="1"/>
  <c r="I794" i="6" s="1"/>
  <c r="K794" i="6" s="1"/>
  <c r="I914" i="6" a="1"/>
  <c r="I914" i="6" s="1"/>
  <c r="K914" i="6" s="1"/>
  <c r="I550" i="6" a="1"/>
  <c r="I550" i="6" s="1"/>
  <c r="K550" i="6" s="1"/>
  <c r="I684" i="6" a="1"/>
  <c r="I684" i="6" s="1"/>
  <c r="K684" i="6" s="1"/>
  <c r="I236" i="6" a="1"/>
  <c r="I236" i="6" s="1"/>
  <c r="K236" i="6" s="1"/>
  <c r="I620" i="6" a="1"/>
  <c r="I620" i="6" s="1"/>
  <c r="K620" i="6" s="1"/>
  <c r="I345" i="6" a="1"/>
  <c r="I345" i="6" s="1"/>
  <c r="K345" i="6" s="1"/>
  <c r="I740" i="6" a="1"/>
  <c r="I740" i="6" s="1"/>
  <c r="K740" i="6" s="1"/>
  <c r="I890" i="6" a="1"/>
  <c r="I890" i="6" s="1"/>
  <c r="K890" i="6" s="1"/>
  <c r="I857" i="6" a="1"/>
  <c r="I857" i="6" s="1"/>
  <c r="K857" i="6" s="1"/>
  <c r="I719" i="6" a="1"/>
  <c r="I719" i="6" s="1"/>
  <c r="K719" i="6" s="1"/>
  <c r="I510" i="6" a="1"/>
  <c r="I510" i="6" s="1"/>
  <c r="K510" i="6" s="1"/>
  <c r="I344" i="6" a="1"/>
  <c r="I344" i="6" s="1"/>
  <c r="K344" i="6" s="1"/>
  <c r="I912" i="6" a="1"/>
  <c r="I912" i="6" s="1"/>
  <c r="K912" i="6" s="1"/>
  <c r="I1388" i="6" a="1"/>
  <c r="I1388" i="6" s="1"/>
  <c r="K1388" i="6" s="1"/>
  <c r="I1040" i="6" a="1"/>
  <c r="I1040" i="6" s="1"/>
  <c r="K1040" i="6" s="1"/>
  <c r="I940" i="6" a="1"/>
  <c r="I940" i="6" s="1"/>
  <c r="K940" i="6" s="1"/>
  <c r="I1285" i="6" a="1"/>
  <c r="I1285" i="6" s="1"/>
  <c r="K1285" i="6" s="1"/>
  <c r="I1410" i="6" a="1"/>
  <c r="I1410" i="6" s="1"/>
  <c r="K1410" i="6" s="1"/>
  <c r="I1352" i="6" a="1"/>
  <c r="I1352" i="6" s="1"/>
  <c r="K1352" i="6" s="1"/>
  <c r="I361" i="6" a="1"/>
  <c r="I361" i="6" s="1"/>
  <c r="K361" i="6" s="1"/>
  <c r="I1103" i="6" a="1"/>
  <c r="I1103" i="6" s="1"/>
  <c r="K1103" i="6" s="1"/>
  <c r="I270" i="6" a="1"/>
  <c r="I270" i="6" s="1"/>
  <c r="K270" i="6" s="1"/>
  <c r="I1156" i="6" a="1"/>
  <c r="I1156" i="6" s="1"/>
  <c r="K1156" i="6" s="1"/>
  <c r="I837" i="6" a="1"/>
  <c r="I837" i="6" s="1"/>
  <c r="K837" i="6" s="1"/>
  <c r="I1421" i="6" a="1"/>
  <c r="I1421" i="6" s="1"/>
  <c r="K1421" i="6" s="1"/>
  <c r="I667" i="6" a="1"/>
  <c r="I667" i="6" s="1"/>
  <c r="K667" i="6" s="1"/>
  <c r="I244" i="6" a="1"/>
  <c r="I244" i="6" s="1"/>
  <c r="K244" i="6" s="1"/>
  <c r="I833" i="6" a="1"/>
  <c r="I833" i="6" s="1"/>
  <c r="K833" i="6" s="1"/>
  <c r="I1385" i="6" a="1"/>
  <c r="I1385" i="6" s="1"/>
  <c r="K1385" i="6" s="1"/>
  <c r="I553" i="6" a="1"/>
  <c r="I553" i="6" s="1"/>
  <c r="K553" i="6" s="1"/>
  <c r="I1465" i="6" a="1"/>
  <c r="I1465" i="6" s="1"/>
  <c r="K1465" i="6" s="1"/>
  <c r="I342" i="6" a="1"/>
  <c r="I342" i="6" s="1"/>
  <c r="K342" i="6" s="1"/>
  <c r="I1453" i="6" a="1"/>
  <c r="I1453" i="6" s="1"/>
  <c r="K1453" i="6" s="1"/>
  <c r="I229" i="6" a="1"/>
  <c r="I229" i="6" s="1"/>
  <c r="K229" i="6" s="1"/>
  <c r="I1003" i="6" a="1"/>
  <c r="I1003" i="6" s="1"/>
  <c r="K1003" i="6" s="1"/>
  <c r="I349" i="6" a="1"/>
  <c r="I349" i="6" s="1"/>
  <c r="K349" i="6" s="1"/>
  <c r="I1226" i="6" a="1"/>
  <c r="I1226" i="6" s="1"/>
  <c r="K1226" i="6" s="1"/>
  <c r="I1109" i="6" a="1"/>
  <c r="I1109" i="6" s="1"/>
  <c r="K1109" i="6" s="1"/>
  <c r="I941" i="6" a="1"/>
  <c r="I941" i="6" s="1"/>
  <c r="K941" i="6" s="1"/>
  <c r="I1403" i="6" a="1"/>
  <c r="I1403" i="6" s="1"/>
  <c r="K1403" i="6" s="1"/>
  <c r="I476" i="6" a="1"/>
  <c r="I476" i="6" s="1"/>
  <c r="K476" i="6" s="1"/>
  <c r="I224" i="6" a="1"/>
  <c r="I224" i="6" s="1"/>
  <c r="K224" i="6" s="1"/>
  <c r="I1128" i="6" a="1"/>
  <c r="I1128" i="6" s="1"/>
  <c r="K1128" i="6" s="1"/>
  <c r="I1287" i="6" a="1"/>
  <c r="I1287" i="6" s="1"/>
  <c r="K1287" i="6" s="1"/>
  <c r="I678" i="6" a="1"/>
  <c r="I678" i="6" s="1"/>
  <c r="K678" i="6" s="1"/>
  <c r="I1070" i="6" a="1"/>
  <c r="I1070" i="6" s="1"/>
  <c r="K1070" i="6" s="1"/>
  <c r="I1277" i="6" a="1"/>
  <c r="I1277" i="6" s="1"/>
  <c r="K1277" i="6" s="1"/>
  <c r="I557" i="6" a="1"/>
  <c r="I557" i="6" s="1"/>
  <c r="K557" i="6" s="1"/>
  <c r="I879" i="6" a="1"/>
  <c r="I879" i="6" s="1"/>
  <c r="K879" i="6" s="1"/>
  <c r="I1222" i="6" a="1"/>
  <c r="I1222" i="6" s="1"/>
  <c r="K1222" i="6" s="1"/>
  <c r="I558" i="6" a="1"/>
  <c r="I558" i="6" s="1"/>
  <c r="K558" i="6" s="1"/>
  <c r="I1419" i="6" a="1"/>
  <c r="I1419" i="6" s="1"/>
  <c r="K1419" i="6" s="1"/>
  <c r="I193" i="6" a="1"/>
  <c r="I193" i="6" s="1"/>
  <c r="K193" i="6" s="1"/>
  <c r="I1119" i="6" a="1"/>
  <c r="I1119" i="6" s="1"/>
  <c r="K1119" i="6" s="1"/>
  <c r="I1129" i="6" a="1"/>
  <c r="I1129" i="6" s="1"/>
  <c r="K1129" i="6" s="1"/>
  <c r="I1049" i="6" a="1"/>
  <c r="I1049" i="6" s="1"/>
  <c r="K1049" i="6" s="1"/>
  <c r="I722" i="6" a="1"/>
  <c r="I722" i="6" s="1"/>
  <c r="K722" i="6" s="1"/>
  <c r="I295" i="6" a="1"/>
  <c r="I295" i="6" s="1"/>
  <c r="K295" i="6" s="1"/>
  <c r="I291" i="6" a="1"/>
  <c r="I291" i="6" s="1"/>
  <c r="K291" i="6" s="1"/>
  <c r="I401" i="6" a="1"/>
  <c r="I401" i="6" s="1"/>
  <c r="K401" i="6" s="1"/>
  <c r="I482" i="6" a="1"/>
  <c r="I482" i="6" s="1"/>
  <c r="K482" i="6" s="1"/>
  <c r="I528" i="6" a="1"/>
  <c r="I528" i="6" s="1"/>
  <c r="K528" i="6" s="1"/>
  <c r="I694" i="6" a="1"/>
  <c r="I694" i="6" s="1"/>
  <c r="K694" i="6" s="1"/>
  <c r="I629" i="6" a="1"/>
  <c r="I629" i="6" s="1"/>
  <c r="K629" i="6" s="1"/>
  <c r="I934" i="6" a="1"/>
  <c r="I934" i="6" s="1"/>
  <c r="K934" i="6" s="1"/>
  <c r="I805" i="6" a="1"/>
  <c r="I805" i="6" s="1"/>
  <c r="K805" i="6" s="1"/>
  <c r="I992" i="6" a="1"/>
  <c r="I992" i="6" s="1"/>
  <c r="K992" i="6" s="1"/>
  <c r="I1175" i="6" a="1"/>
  <c r="I1175" i="6" s="1"/>
  <c r="K1175" i="6" s="1"/>
  <c r="I1310" i="6" a="1"/>
  <c r="I1310" i="6" s="1"/>
  <c r="K1310" i="6" s="1"/>
  <c r="I1442" i="6" a="1"/>
  <c r="I1442" i="6" s="1"/>
  <c r="K1442" i="6" s="1"/>
  <c r="I1065" i="6" a="1"/>
  <c r="I1065" i="6" s="1"/>
  <c r="K1065" i="6" s="1"/>
  <c r="I1398" i="6" a="1"/>
  <c r="I1398" i="6" s="1"/>
  <c r="K1398" i="6" s="1"/>
  <c r="I1324" i="6" a="1"/>
  <c r="I1324" i="6" s="1"/>
  <c r="K1324" i="6" s="1"/>
  <c r="I1315" i="6" a="1"/>
  <c r="I1315" i="6" s="1"/>
  <c r="K1315" i="6" s="1"/>
  <c r="I1242" i="6" a="1"/>
  <c r="I1242" i="6" s="1"/>
  <c r="K1242" i="6" s="1"/>
  <c r="I290" i="6" a="1"/>
  <c r="I290" i="6" s="1"/>
  <c r="K290" i="6" s="1"/>
  <c r="I234" i="6" a="1"/>
  <c r="I234" i="6" s="1"/>
  <c r="K234" i="6" s="1"/>
  <c r="I475" i="6" a="1"/>
  <c r="I475" i="6" s="1"/>
  <c r="K475" i="6" s="1"/>
  <c r="I516" i="6" a="1"/>
  <c r="I516" i="6" s="1"/>
  <c r="K516" i="6" s="1"/>
  <c r="I867" i="6" a="1"/>
  <c r="I867" i="6" s="1"/>
  <c r="K867" i="6" s="1"/>
  <c r="I378" i="6" a="1"/>
  <c r="I378" i="6" s="1"/>
  <c r="K378" i="6" s="1"/>
  <c r="I288" i="6" a="1"/>
  <c r="I288" i="6" s="1"/>
  <c r="K288" i="6" s="1"/>
  <c r="I216" i="6" a="1"/>
  <c r="I216" i="6" s="1"/>
  <c r="K216" i="6" s="1"/>
  <c r="I892" i="6" a="1"/>
  <c r="I892" i="6" s="1"/>
  <c r="K892" i="6" s="1"/>
  <c r="I478" i="6" a="1"/>
  <c r="I478" i="6" s="1"/>
  <c r="K478" i="6" s="1"/>
  <c r="I511" i="6" a="1"/>
  <c r="I511" i="6" s="1"/>
  <c r="K511" i="6" s="1"/>
  <c r="I1162" i="6" a="1"/>
  <c r="I1162" i="6" s="1"/>
  <c r="K1162" i="6" s="1"/>
  <c r="I262" i="6" a="1"/>
  <c r="I262" i="6" s="1"/>
  <c r="K262" i="6" s="1"/>
  <c r="I1227" i="6" a="1"/>
  <c r="I1227" i="6" s="1"/>
  <c r="K1227" i="6" s="1"/>
  <c r="I1076" i="6" a="1"/>
  <c r="I1076" i="6" s="1"/>
  <c r="K1076" i="6" s="1"/>
  <c r="I895" i="6" a="1"/>
  <c r="I895" i="6" s="1"/>
  <c r="K895" i="6" s="1"/>
  <c r="I973" i="6" a="1"/>
  <c r="I973" i="6" s="1"/>
  <c r="K973" i="6" s="1"/>
  <c r="I367" i="6" a="1"/>
  <c r="I367" i="6" s="1"/>
  <c r="K367" i="6" s="1"/>
  <c r="I1108" i="6" a="1"/>
  <c r="I1108" i="6" s="1"/>
  <c r="K1108" i="6" s="1"/>
  <c r="I1468" i="6" a="1"/>
  <c r="I1468" i="6" s="1"/>
  <c r="K1468" i="6" s="1"/>
  <c r="I1406" i="6" a="1"/>
  <c r="I1406" i="6" s="1"/>
  <c r="K1406" i="6" s="1"/>
  <c r="I1198" i="6" a="1"/>
  <c r="I1198" i="6" s="1"/>
  <c r="K1198" i="6" s="1"/>
  <c r="I1428" i="6" a="1"/>
  <c r="I1428" i="6" s="1"/>
  <c r="K1428" i="6" s="1"/>
  <c r="I661" i="6" a="1"/>
  <c r="I661" i="6" s="1"/>
  <c r="K661" i="6" s="1"/>
  <c r="I500" i="6" a="1"/>
  <c r="I500" i="6" s="1"/>
  <c r="K500" i="6" s="1"/>
  <c r="I677" i="6" a="1"/>
  <c r="I677" i="6" s="1"/>
  <c r="K677" i="6" s="1"/>
  <c r="I1363" i="6" a="1"/>
  <c r="I1363" i="6" s="1"/>
  <c r="K1363" i="6" s="1"/>
  <c r="I820" i="6" a="1"/>
  <c r="I820" i="6" s="1"/>
  <c r="K820" i="6" s="1"/>
  <c r="I324" i="6" a="1"/>
  <c r="I324" i="6" s="1"/>
  <c r="K324" i="6" s="1"/>
  <c r="I1168" i="6" a="1"/>
  <c r="I1168" i="6" s="1"/>
  <c r="K1168" i="6" s="1"/>
  <c r="I309" i="6" a="1"/>
  <c r="I309" i="6" s="1"/>
  <c r="K309" i="6" s="1"/>
  <c r="I884" i="6" a="1"/>
  <c r="I884" i="6" s="1"/>
  <c r="K884" i="6" s="1"/>
  <c r="I461" i="6" a="1"/>
  <c r="I461" i="6" s="1"/>
  <c r="K461" i="6" s="1"/>
  <c r="I1148" i="6" a="1"/>
  <c r="I1148" i="6" s="1"/>
  <c r="K1148" i="6" s="1"/>
  <c r="I922" i="6" a="1"/>
  <c r="I922" i="6" s="1"/>
  <c r="K922" i="6" s="1"/>
  <c r="I1024" i="6" a="1"/>
  <c r="I1024" i="6" s="1"/>
  <c r="K1024" i="6" s="1"/>
  <c r="I1270" i="6" a="1"/>
  <c r="I1270" i="6" s="1"/>
  <c r="K1270" i="6" s="1"/>
  <c r="I276" i="6" a="1"/>
  <c r="I276" i="6" s="1"/>
  <c r="K276" i="6" s="1"/>
  <c r="I669" i="6" a="1"/>
  <c r="I669" i="6" s="1"/>
  <c r="K669" i="6" s="1"/>
  <c r="I1133" i="6" a="1"/>
  <c r="I1133" i="6" s="1"/>
  <c r="K1133" i="6" s="1"/>
  <c r="I1249" i="6" a="1"/>
  <c r="I1249" i="6" s="1"/>
  <c r="K1249" i="6" s="1"/>
  <c r="I565" i="6" a="1"/>
  <c r="I565" i="6" s="1"/>
  <c r="K565" i="6" s="1"/>
  <c r="I778" i="6" a="1"/>
  <c r="I778" i="6" s="1"/>
  <c r="K778" i="6" s="1"/>
  <c r="I1118" i="6" a="1"/>
  <c r="I1118" i="6" s="1"/>
  <c r="K1118" i="6" s="1"/>
  <c r="I261" i="6" a="1"/>
  <c r="I261" i="6" s="1"/>
  <c r="K261" i="6" s="1"/>
  <c r="I706" i="6" a="1"/>
  <c r="I706" i="6" s="1"/>
  <c r="K706" i="6" s="1"/>
  <c r="I1064" i="6" a="1"/>
  <c r="I1064" i="6" s="1"/>
  <c r="K1064" i="6" s="1"/>
  <c r="I1425" i="6" a="1"/>
  <c r="I1425" i="6" s="1"/>
  <c r="K1425" i="6" s="1"/>
  <c r="I1142" i="6" a="1"/>
  <c r="I1142" i="6" s="1"/>
  <c r="K1142" i="6" s="1"/>
  <c r="I1393" i="6" a="1"/>
  <c r="I1393" i="6" s="1"/>
  <c r="K1393" i="6" s="1"/>
  <c r="I364" i="6" a="1"/>
  <c r="I364" i="6" s="1"/>
  <c r="K364" i="6" s="1"/>
  <c r="I776" i="6" a="1"/>
  <c r="I776" i="6" s="1"/>
  <c r="K776" i="6" s="1"/>
  <c r="I789" i="6" a="1"/>
  <c r="I789" i="6" s="1"/>
  <c r="K789" i="6" s="1"/>
  <c r="I549" i="6" a="1"/>
  <c r="I549" i="6" s="1"/>
  <c r="K549" i="6" s="1"/>
  <c r="I978" i="6" a="1"/>
  <c r="I978" i="6" s="1"/>
  <c r="K978" i="6" s="1"/>
  <c r="I819" i="6" a="1"/>
  <c r="I819" i="6" s="1"/>
  <c r="K819" i="6" s="1"/>
  <c r="I337" i="6" a="1"/>
  <c r="I337" i="6" s="1"/>
  <c r="K337" i="6" s="1"/>
  <c r="I816" i="6" a="1"/>
  <c r="I816" i="6" s="1"/>
  <c r="K816" i="6" s="1"/>
  <c r="I1147" i="6" a="1"/>
  <c r="I1147" i="6" s="1"/>
  <c r="K1147" i="6" s="1"/>
  <c r="I761" i="6" a="1"/>
  <c r="I761" i="6" s="1"/>
  <c r="K761" i="6" s="1"/>
  <c r="I675" i="6" a="1"/>
  <c r="I675" i="6" s="1"/>
  <c r="K675" i="6" s="1"/>
  <c r="I242" i="6" a="1"/>
  <c r="I242" i="6" s="1"/>
  <c r="K242" i="6" s="1"/>
  <c r="I330" i="6" a="1"/>
  <c r="I330" i="6" s="1"/>
  <c r="K330" i="6" s="1"/>
  <c r="I459" i="6" a="1"/>
  <c r="I459" i="6" s="1"/>
  <c r="K459" i="6" s="1"/>
  <c r="I317" i="6" a="1"/>
  <c r="I317" i="6" s="1"/>
  <c r="K317" i="6" s="1"/>
  <c r="I655" i="6" a="1"/>
  <c r="I655" i="6" s="1"/>
  <c r="K655" i="6" s="1"/>
  <c r="I704" i="6" a="1"/>
  <c r="I704" i="6" s="1"/>
  <c r="K704" i="6" s="1"/>
  <c r="I732" i="6" a="1"/>
  <c r="I732" i="6" s="1"/>
  <c r="K732" i="6" s="1"/>
  <c r="I754" i="6" a="1"/>
  <c r="I754" i="6" s="1"/>
  <c r="K754" i="6" s="1"/>
  <c r="I950" i="6" a="1"/>
  <c r="I950" i="6" s="1"/>
  <c r="K950" i="6" s="1"/>
  <c r="I996" i="6" a="1"/>
  <c r="I996" i="6" s="1"/>
  <c r="K996" i="6" s="1"/>
  <c r="I1100" i="6" a="1"/>
  <c r="I1100" i="6" s="1"/>
  <c r="K1100" i="6" s="1"/>
  <c r="I1314" i="6" a="1"/>
  <c r="I1314" i="6" s="1"/>
  <c r="K1314" i="6" s="1"/>
  <c r="I1462" i="6" a="1"/>
  <c r="I1462" i="6" s="1"/>
  <c r="K1462" i="6" s="1"/>
  <c r="I1079" i="6" a="1"/>
  <c r="I1079" i="6" s="1"/>
  <c r="K1079" i="6" s="1"/>
  <c r="I1143" i="6" a="1"/>
  <c r="I1143" i="6" s="1"/>
  <c r="K1143" i="6" s="1"/>
  <c r="I1276" i="6" a="1"/>
  <c r="I1276" i="6" s="1"/>
  <c r="K1276" i="6" s="1"/>
  <c r="I1331" i="6" a="1"/>
  <c r="I1331" i="6" s="1"/>
  <c r="K1331" i="6" s="1"/>
  <c r="I1282" i="6" a="1"/>
  <c r="I1282" i="6" s="1"/>
  <c r="K1282" i="6" s="1"/>
  <c r="I307" i="6" a="1"/>
  <c r="I307" i="6" s="1"/>
  <c r="K307" i="6" s="1"/>
  <c r="I249" i="6" a="1"/>
  <c r="I249" i="6" s="1"/>
  <c r="K249" i="6" s="1"/>
  <c r="I583" i="6" a="1"/>
  <c r="I583" i="6" s="1"/>
  <c r="K583" i="6" s="1"/>
  <c r="I586" i="6" a="1"/>
  <c r="I586" i="6" s="1"/>
  <c r="K586" i="6" s="1"/>
  <c r="I901" i="6" a="1"/>
  <c r="I901" i="6" s="1"/>
  <c r="K901" i="6" s="1"/>
  <c r="I445" i="6" a="1"/>
  <c r="I445" i="6" s="1"/>
  <c r="K445" i="6" s="1"/>
  <c r="I318" i="6" a="1"/>
  <c r="I318" i="6" s="1"/>
  <c r="K318" i="6" s="1"/>
  <c r="I343" i="6" a="1"/>
  <c r="I343" i="6" s="1"/>
  <c r="K343" i="6" s="1"/>
  <c r="I927" i="6" a="1"/>
  <c r="I927" i="6" s="1"/>
  <c r="K927" i="6" s="1"/>
  <c r="I743" i="6" a="1"/>
  <c r="I743" i="6" s="1"/>
  <c r="K743" i="6" s="1"/>
  <c r="I542" i="6" a="1"/>
  <c r="I542" i="6" s="1"/>
  <c r="K542" i="6" s="1"/>
  <c r="I1165" i="6" a="1"/>
  <c r="I1165" i="6" s="1"/>
  <c r="K1165" i="6" s="1"/>
  <c r="I278" i="6" a="1"/>
  <c r="I278" i="6" s="1"/>
  <c r="K278" i="6" s="1"/>
  <c r="I1237" i="6" a="1"/>
  <c r="I1237" i="6" s="1"/>
  <c r="K1237" i="6" s="1"/>
  <c r="I1102" i="6" a="1"/>
  <c r="I1102" i="6" s="1"/>
  <c r="K1102" i="6" s="1"/>
  <c r="I1004" i="6" a="1"/>
  <c r="I1004" i="6" s="1"/>
  <c r="K1004" i="6" s="1"/>
  <c r="I1045" i="6" a="1"/>
  <c r="I1045" i="6" s="1"/>
  <c r="K1045" i="6" s="1"/>
  <c r="I514" i="6" a="1"/>
  <c r="I514" i="6" s="1"/>
  <c r="K514" i="6" s="1"/>
  <c r="I739" i="6" a="1"/>
  <c r="I739" i="6" s="1"/>
  <c r="K739" i="6" s="1"/>
  <c r="I1400" i="6" a="1"/>
  <c r="I1400" i="6" s="1"/>
  <c r="K1400" i="6" s="1"/>
  <c r="I1430" i="6" a="1"/>
  <c r="I1430" i="6" s="1"/>
  <c r="K1430" i="6" s="1"/>
  <c r="I1469" i="6" a="1"/>
  <c r="I1469" i="6" s="1"/>
  <c r="K1469" i="6" s="1"/>
  <c r="I1463" i="6" a="1"/>
  <c r="I1463" i="6" s="1"/>
  <c r="K1463" i="6" s="1"/>
  <c r="I915" i="6" a="1"/>
  <c r="I915" i="6" s="1"/>
  <c r="K915" i="6" s="1"/>
  <c r="I885" i="6" a="1"/>
  <c r="I885" i="6" s="1"/>
  <c r="K885" i="6" s="1"/>
  <c r="I681" i="6" a="1"/>
  <c r="I681" i="6" s="1"/>
  <c r="K681" i="6" s="1"/>
  <c r="I1440" i="6" a="1"/>
  <c r="I1440" i="6" s="1"/>
  <c r="K1440" i="6" s="1"/>
  <c r="I910" i="6" a="1"/>
  <c r="I910" i="6" s="1"/>
  <c r="K910" i="6" s="1"/>
  <c r="I347" i="6" a="1"/>
  <c r="I347" i="6" s="1"/>
  <c r="K347" i="6" s="1"/>
  <c r="I1205" i="6" a="1"/>
  <c r="I1205" i="6" s="1"/>
  <c r="K1205" i="6" s="1"/>
  <c r="I328" i="6" a="1"/>
  <c r="I328" i="6" s="1"/>
  <c r="K328" i="6" s="1"/>
  <c r="I889" i="6" a="1"/>
  <c r="I889" i="6" s="1"/>
  <c r="K889" i="6" s="1"/>
  <c r="I469" i="6" a="1"/>
  <c r="I469" i="6" s="1"/>
  <c r="K469" i="6" s="1"/>
  <c r="I1152" i="6" a="1"/>
  <c r="I1152" i="6" s="1"/>
  <c r="K1152" i="6" s="1"/>
  <c r="I1021" i="6" a="1"/>
  <c r="I1021" i="6" s="1"/>
  <c r="K1021" i="6" s="1"/>
  <c r="I1123" i="6" a="1"/>
  <c r="I1123" i="6" s="1"/>
  <c r="K1123" i="6" s="1"/>
  <c r="I1294" i="6" a="1"/>
  <c r="I1294" i="6" s="1"/>
  <c r="K1294" i="6" s="1"/>
  <c r="I454" i="6" a="1"/>
  <c r="I454" i="6" s="1"/>
  <c r="K454" i="6" s="1"/>
  <c r="I838" i="6" a="1"/>
  <c r="I838" i="6" s="1"/>
  <c r="K838" i="6" s="1"/>
  <c r="I1274" i="6" a="1"/>
  <c r="I1274" i="6" s="1"/>
  <c r="K1274" i="6" s="1"/>
  <c r="I310" i="6" a="1"/>
  <c r="I310" i="6" s="1"/>
  <c r="K310" i="6" s="1"/>
  <c r="I1257" i="6" a="1"/>
  <c r="I1257" i="6" s="1"/>
  <c r="K1257" i="6" s="1"/>
  <c r="I596" i="6" a="1"/>
  <c r="I596" i="6" s="1"/>
  <c r="K596" i="6" s="1"/>
  <c r="I1131" i="6" a="1"/>
  <c r="I1131" i="6" s="1"/>
  <c r="K1131" i="6" s="1"/>
  <c r="I608" i="6" a="1"/>
  <c r="I608" i="6" s="1"/>
  <c r="K608" i="6" s="1"/>
  <c r="I577" i="6" a="1"/>
  <c r="I577" i="6" s="1"/>
  <c r="K577" i="6" s="1"/>
  <c r="I748" i="6" a="1"/>
  <c r="I748" i="6" s="1"/>
  <c r="K748" i="6" s="1"/>
  <c r="I1158" i="6" a="1"/>
  <c r="I1158" i="6" s="1"/>
  <c r="K1158" i="6" s="1"/>
  <c r="I1433" i="6" a="1"/>
  <c r="I1433" i="6" s="1"/>
  <c r="K1433" i="6" s="1"/>
  <c r="I1262" i="6" a="1"/>
  <c r="I1262" i="6" s="1"/>
  <c r="K1262" i="6" s="1"/>
  <c r="I320" i="6" a="1"/>
  <c r="I320" i="6" s="1"/>
  <c r="K320" i="6" s="1"/>
  <c r="I519" i="6" a="1"/>
  <c r="I519" i="6" s="1"/>
  <c r="K519" i="6" s="1"/>
  <c r="I780" i="6" a="1"/>
  <c r="I780" i="6" s="1"/>
  <c r="K780" i="6" s="1"/>
  <c r="I844" i="6" a="1"/>
  <c r="I844" i="6" s="1"/>
  <c r="K844" i="6" s="1"/>
  <c r="I849" i="6" a="1"/>
  <c r="I849" i="6" s="1"/>
  <c r="K849" i="6" s="1"/>
  <c r="I1399" i="6" a="1"/>
  <c r="I1399" i="6" s="1"/>
  <c r="K1399" i="6" s="1"/>
  <c r="I563" i="6" a="1"/>
  <c r="I563" i="6" s="1"/>
  <c r="K563" i="6" s="1"/>
  <c r="I782" i="6" a="1"/>
  <c r="I782" i="6" s="1"/>
  <c r="K782" i="6" s="1"/>
  <c r="I418" i="6" a="1"/>
  <c r="I418" i="6" s="1"/>
  <c r="K418" i="6" s="1"/>
  <c r="I428" i="6" a="1"/>
  <c r="I428" i="6" s="1"/>
  <c r="K428" i="6" s="1"/>
  <c r="I1001" i="6" a="1"/>
  <c r="I1001" i="6" s="1"/>
  <c r="K1001" i="6" s="1"/>
  <c r="I689" i="6" a="1"/>
  <c r="I689" i="6" s="1"/>
  <c r="K689" i="6" s="1"/>
  <c r="I266" i="6" a="1"/>
  <c r="I266" i="6" s="1"/>
  <c r="K266" i="6" s="1"/>
  <c r="I340" i="6" a="1"/>
  <c r="I340" i="6" s="1"/>
  <c r="K340" i="6" s="1"/>
  <c r="I470" i="6" a="1"/>
  <c r="I470" i="6" s="1"/>
  <c r="K470" i="6" s="1"/>
  <c r="I522" i="6" a="1"/>
  <c r="I522" i="6" s="1"/>
  <c r="K522" i="6" s="1"/>
  <c r="I720" i="6" a="1"/>
  <c r="I720" i="6" s="1"/>
  <c r="K720" i="6" s="1"/>
  <c r="I709" i="6" a="1"/>
  <c r="I709" i="6" s="1"/>
  <c r="K709" i="6" s="1"/>
  <c r="I747" i="6" a="1"/>
  <c r="I747" i="6" s="1"/>
  <c r="K747" i="6" s="1"/>
  <c r="I909" i="6" a="1"/>
  <c r="I909" i="6" s="1"/>
  <c r="K909" i="6" s="1"/>
  <c r="I858" i="6" a="1"/>
  <c r="I858" i="6" s="1"/>
  <c r="K858" i="6" s="1"/>
  <c r="I939" i="6" a="1"/>
  <c r="I939" i="6" s="1"/>
  <c r="K939" i="6" s="1"/>
  <c r="I1183" i="6" a="1"/>
  <c r="I1183" i="6" s="1"/>
  <c r="K1183" i="6" s="1"/>
  <c r="I1318" i="6" a="1"/>
  <c r="I1318" i="6" s="1"/>
  <c r="K1318" i="6" s="1"/>
  <c r="I1376" i="6" a="1"/>
  <c r="I1376" i="6" s="1"/>
  <c r="K1376" i="6" s="1"/>
  <c r="I1086" i="6" a="1"/>
  <c r="I1086" i="6" s="1"/>
  <c r="K1086" i="6" s="1"/>
  <c r="I1172" i="6" a="1"/>
  <c r="I1172" i="6" s="1"/>
  <c r="K1172" i="6" s="1"/>
  <c r="I1461" i="6" a="1"/>
  <c r="I1461" i="6" s="1"/>
  <c r="K1461" i="6" s="1"/>
  <c r="I1341" i="6" a="1"/>
  <c r="I1341" i="6" s="1"/>
  <c r="K1341" i="6" s="1"/>
  <c r="I1303" i="6" a="1"/>
  <c r="I1303" i="6" s="1"/>
  <c r="K1303" i="6" s="1"/>
  <c r="I437" i="6" a="1"/>
  <c r="I437" i="6" s="1"/>
  <c r="K437" i="6" s="1"/>
  <c r="I396" i="6" a="1"/>
  <c r="I396" i="6" s="1"/>
  <c r="K396" i="6" s="1"/>
  <c r="I588" i="6" a="1"/>
  <c r="I588" i="6" s="1"/>
  <c r="K588" i="6" s="1"/>
  <c r="I656" i="6" a="1"/>
  <c r="I656" i="6" s="1"/>
  <c r="K656" i="6" s="1"/>
  <c r="I982" i="6" a="1"/>
  <c r="I982" i="6" s="1"/>
  <c r="K982" i="6" s="1"/>
  <c r="I493" i="6" a="1"/>
  <c r="I493" i="6" s="1"/>
  <c r="K493" i="6" s="1"/>
  <c r="I332" i="6" a="1"/>
  <c r="I332" i="6" s="1"/>
  <c r="K332" i="6" s="1"/>
  <c r="I353" i="6" a="1"/>
  <c r="I353" i="6" s="1"/>
  <c r="K353" i="6" s="1"/>
  <c r="I946" i="6" a="1"/>
  <c r="I946" i="6" s="1"/>
  <c r="K946" i="6" s="1"/>
  <c r="I283" i="6" a="1"/>
  <c r="I283" i="6" s="1"/>
  <c r="K283" i="6" s="1"/>
  <c r="I590" i="6" a="1"/>
  <c r="I590" i="6" s="1"/>
  <c r="K590" i="6" s="1"/>
  <c r="I1206" i="6" a="1"/>
  <c r="I1206" i="6" s="1"/>
  <c r="K1206" i="6" s="1"/>
  <c r="I490" i="6" a="1"/>
  <c r="I490" i="6" s="1"/>
  <c r="K490" i="6" s="1"/>
  <c r="I373" i="6" a="1"/>
  <c r="I373" i="6" s="1"/>
  <c r="K373" i="6" s="1"/>
  <c r="I350" i="6" a="1"/>
  <c r="I350" i="6" s="1"/>
  <c r="K350" i="6" s="1"/>
  <c r="I1026" i="6" a="1"/>
  <c r="I1026" i="6" s="1"/>
  <c r="K1026" i="6" s="1"/>
  <c r="I1057" i="6" a="1"/>
  <c r="I1057" i="6" s="1"/>
  <c r="K1057" i="6" s="1"/>
  <c r="I526" i="6" a="1"/>
  <c r="I526" i="6" s="1"/>
  <c r="K526" i="6" s="1"/>
  <c r="I746" i="6" a="1"/>
  <c r="I746" i="6" s="1"/>
  <c r="K746" i="6" s="1"/>
  <c r="I377" i="6" a="1"/>
  <c r="I377" i="6" s="1"/>
  <c r="K377" i="6" s="1"/>
  <c r="I1444" i="6" a="1"/>
  <c r="I1444" i="6" s="1"/>
  <c r="K1444" i="6" s="1"/>
  <c r="I755" i="6" a="1"/>
  <c r="I755" i="6" s="1"/>
  <c r="K755" i="6" s="1"/>
  <c r="I1271" i="6" a="1"/>
  <c r="I1271" i="6" s="1"/>
  <c r="K1271" i="6" s="1"/>
  <c r="I1074" i="6" a="1"/>
  <c r="I1074" i="6" s="1"/>
  <c r="K1074" i="6" s="1"/>
  <c r="I969" i="6" a="1"/>
  <c r="I969" i="6" s="1"/>
  <c r="K969" i="6" s="1"/>
  <c r="I693" i="6" a="1"/>
  <c r="I693" i="6" s="1"/>
  <c r="K693" i="6" s="1"/>
  <c r="I205" i="6" a="1"/>
  <c r="I205" i="6" s="1"/>
  <c r="K205" i="6" s="1"/>
  <c r="I227" i="6" a="1"/>
  <c r="I227" i="6" s="1"/>
  <c r="K227" i="6" s="1"/>
  <c r="I480" i="6" a="1"/>
  <c r="I480" i="6" s="1"/>
  <c r="K480" i="6" s="1"/>
  <c r="I1232" i="6" a="1"/>
  <c r="I1232" i="6" s="1"/>
  <c r="K1232" i="6" s="1"/>
  <c r="I374" i="6" a="1"/>
  <c r="I374" i="6" s="1"/>
  <c r="K374" i="6" s="1"/>
  <c r="I955" i="6" a="1"/>
  <c r="I955" i="6" s="1"/>
  <c r="K955" i="6" s="1"/>
  <c r="I484" i="6" a="1"/>
  <c r="I484" i="6" s="1"/>
  <c r="K484" i="6" s="1"/>
  <c r="I1173" i="6" a="1"/>
  <c r="I1173" i="6" s="1"/>
  <c r="K1173" i="6" s="1"/>
  <c r="I1025" i="6" a="1"/>
  <c r="I1025" i="6" s="1"/>
  <c r="K1025" i="6" s="1"/>
  <c r="I1141" i="6" a="1"/>
  <c r="I1141" i="6" s="1"/>
  <c r="K1141" i="6" s="1"/>
  <c r="I1457" i="6" a="1"/>
  <c r="I1457" i="6" s="1"/>
  <c r="K1457" i="6" s="1"/>
  <c r="I637" i="6" a="1"/>
  <c r="I637" i="6" s="1"/>
  <c r="K637" i="6" s="1"/>
  <c r="I877" i="6" a="1"/>
  <c r="I877" i="6" s="1"/>
  <c r="K877" i="6" s="1"/>
  <c r="I1320" i="6" a="1"/>
  <c r="I1320" i="6" s="1"/>
  <c r="K1320" i="6" s="1"/>
  <c r="I660" i="6" a="1"/>
  <c r="I660" i="6" s="1"/>
  <c r="K660" i="6" s="1"/>
  <c r="I1267" i="6" a="1"/>
  <c r="I1267" i="6" s="1"/>
  <c r="K1267" i="6" s="1"/>
  <c r="I834" i="6" a="1"/>
  <c r="I834" i="6" s="1"/>
  <c r="K834" i="6" s="1"/>
  <c r="I1140" i="6" a="1"/>
  <c r="I1140" i="6" s="1"/>
  <c r="K1140" i="6" s="1"/>
  <c r="I253" i="6" a="1"/>
  <c r="I253" i="6" s="1"/>
  <c r="K253" i="6" s="1"/>
  <c r="I928" i="6" a="1"/>
  <c r="I928" i="6" s="1"/>
  <c r="K928" i="6" s="1"/>
  <c r="I1145" i="6" a="1"/>
  <c r="I1145" i="6" s="1"/>
  <c r="K1145" i="6" s="1"/>
  <c r="I1171" i="6" a="1"/>
  <c r="I1171" i="6" s="1"/>
  <c r="K1171" i="6" s="1"/>
  <c r="I217" i="6" a="1"/>
  <c r="I217" i="6" s="1"/>
  <c r="K217" i="6" s="1"/>
  <c r="I1323" i="6" a="1"/>
  <c r="I1323" i="6" s="1"/>
  <c r="K1323" i="6" s="1"/>
  <c r="I399" i="6" a="1"/>
  <c r="I399" i="6" s="1"/>
  <c r="K399" i="6" s="1"/>
  <c r="I523" i="6" a="1"/>
  <c r="I523" i="6" s="1"/>
  <c r="K523" i="6" s="1"/>
  <c r="I818" i="6" a="1"/>
  <c r="I818" i="6" s="1"/>
  <c r="K818" i="6" s="1"/>
  <c r="I893" i="6" a="1"/>
  <c r="I893" i="6" s="1"/>
  <c r="K893" i="6" s="1"/>
  <c r="I1329" i="6" a="1"/>
  <c r="I1329" i="6" s="1"/>
  <c r="K1329" i="6" s="1"/>
  <c r="I305" i="6" a="1"/>
  <c r="I305" i="6" s="1"/>
  <c r="K305" i="6" s="1"/>
  <c r="I650" i="6" a="1"/>
  <c r="I650" i="6" s="1"/>
  <c r="K650" i="6" s="1"/>
  <c r="I724" i="6" a="1"/>
  <c r="I724" i="6" s="1"/>
  <c r="K724" i="6" s="1"/>
  <c r="I1401" i="6" a="1"/>
  <c r="I1401" i="6" s="1"/>
  <c r="K1401" i="6" s="1"/>
  <c r="I462" i="6" a="1"/>
  <c r="I462" i="6" s="1"/>
  <c r="K462" i="6" s="1"/>
  <c r="I439" i="6" a="1"/>
  <c r="I439" i="6" s="1"/>
  <c r="K439" i="6" s="1"/>
  <c r="I803" i="6" a="1"/>
  <c r="I803" i="6" s="1"/>
  <c r="K803" i="6" s="1"/>
  <c r="I228" i="6" a="1"/>
  <c r="I228" i="6" s="1"/>
  <c r="K228" i="6" s="1"/>
  <c r="I297" i="6" a="1"/>
  <c r="I297" i="6" s="1"/>
  <c r="K297" i="6" s="1"/>
  <c r="I483" i="6" a="1"/>
  <c r="I483" i="6" s="1"/>
  <c r="K483" i="6" s="1"/>
  <c r="I436" i="6" a="1"/>
  <c r="I436" i="6" s="1"/>
  <c r="K436" i="6" s="1"/>
  <c r="I561" i="6" a="1"/>
  <c r="I561" i="6" s="1"/>
  <c r="K561" i="6" s="1"/>
  <c r="I714" i="6" a="1"/>
  <c r="I714" i="6" s="1"/>
  <c r="K714" i="6" s="1"/>
  <c r="I812" i="6" a="1"/>
  <c r="I812" i="6" s="1"/>
  <c r="K812" i="6" s="1"/>
  <c r="I925" i="6" a="1"/>
  <c r="I925" i="6" s="1"/>
  <c r="K925" i="6" s="1"/>
  <c r="I1090" i="6" a="1"/>
  <c r="I1090" i="6" s="1"/>
  <c r="K1090" i="6" s="1"/>
  <c r="I1010" i="6" a="1"/>
  <c r="I1010" i="6" s="1"/>
  <c r="K1010" i="6" s="1"/>
  <c r="I1189" i="6" a="1"/>
  <c r="I1189" i="6" s="1"/>
  <c r="K1189" i="6" s="1"/>
  <c r="I1322" i="6" a="1"/>
  <c r="I1322" i="6" s="1"/>
  <c r="K1322" i="6" s="1"/>
  <c r="I1032" i="6" a="1"/>
  <c r="I1032" i="6" s="1"/>
  <c r="K1032" i="6" s="1"/>
  <c r="I1112" i="6" a="1"/>
  <c r="I1112" i="6" s="1"/>
  <c r="K1112" i="6" s="1"/>
  <c r="I1207" i="6" a="1"/>
  <c r="I1207" i="6" s="1"/>
  <c r="K1207" i="6" s="1"/>
  <c r="I1250" i="6" a="1"/>
  <c r="I1250" i="6" s="1"/>
  <c r="K1250" i="6" s="1"/>
  <c r="I1357" i="6" a="1"/>
  <c r="I1357" i="6" s="1"/>
  <c r="K1357" i="6" s="1"/>
  <c r="I1319" i="6" a="1"/>
  <c r="I1319" i="6" s="1"/>
  <c r="K1319" i="6" s="1"/>
  <c r="I452" i="6" a="1"/>
  <c r="I452" i="6" s="1"/>
  <c r="K452" i="6" s="1"/>
  <c r="I611" i="6" a="1"/>
  <c r="I611" i="6" s="1"/>
  <c r="K611" i="6" s="1"/>
  <c r="I622" i="6" a="1"/>
  <c r="I622" i="6" s="1"/>
  <c r="K622" i="6" s="1"/>
  <c r="I662" i="6" a="1"/>
  <c r="I662" i="6" s="1"/>
  <c r="K662" i="6" s="1"/>
  <c r="I1072" i="6" a="1"/>
  <c r="I1072" i="6" s="1"/>
  <c r="K1072" i="6" s="1"/>
  <c r="I543" i="6" a="1"/>
  <c r="I543" i="6" s="1"/>
  <c r="K543" i="6" s="1"/>
  <c r="I365" i="6" a="1"/>
  <c r="I365" i="6" s="1"/>
  <c r="K365" i="6" s="1"/>
  <c r="I431" i="6" a="1"/>
  <c r="I431" i="6" s="1"/>
  <c r="K431" i="6" s="1"/>
  <c r="I961" i="6" a="1"/>
  <c r="I961" i="6" s="1"/>
  <c r="K961" i="6" s="1"/>
  <c r="I308" i="6" a="1"/>
  <c r="I308" i="6" s="1"/>
  <c r="K308" i="6" s="1"/>
  <c r="I772" i="6" a="1"/>
  <c r="I772" i="6" s="1"/>
  <c r="K772" i="6" s="1"/>
  <c r="I1230" i="6" a="1"/>
  <c r="I1230" i="6" s="1"/>
  <c r="K1230" i="6" s="1"/>
  <c r="I494" i="6" a="1"/>
  <c r="I494" i="6" s="1"/>
  <c r="K494" i="6" s="1"/>
  <c r="I581" i="6" a="1"/>
  <c r="I581" i="6" s="1"/>
  <c r="K581" i="6" s="1"/>
  <c r="I370" i="6" a="1"/>
  <c r="I370" i="6" s="1"/>
  <c r="K370" i="6" s="1"/>
  <c r="I1176" i="6" a="1"/>
  <c r="I1176" i="6" s="1"/>
  <c r="K1176" i="6" s="1"/>
  <c r="I1174" i="6" a="1"/>
  <c r="I1174" i="6" s="1"/>
  <c r="K1174" i="6" s="1"/>
  <c r="I541" i="6" a="1"/>
  <c r="I541" i="6" s="1"/>
  <c r="K541" i="6" s="1"/>
  <c r="I916" i="6" a="1"/>
  <c r="I916" i="6" s="1"/>
  <c r="K916" i="6" s="1"/>
  <c r="I640" i="6" a="1"/>
  <c r="I640" i="6" s="1"/>
  <c r="K640" i="6" s="1"/>
  <c r="I1450" i="6" a="1"/>
  <c r="I1450" i="6" s="1"/>
  <c r="K1450" i="6" s="1"/>
  <c r="I1221" i="6" a="1"/>
  <c r="I1221" i="6" s="1"/>
  <c r="K1221" i="6" s="1"/>
  <c r="I752" i="6" a="1"/>
  <c r="I752" i="6" s="1"/>
  <c r="K752" i="6" s="1"/>
  <c r="I1151" i="6" a="1"/>
  <c r="I1151" i="6" s="1"/>
  <c r="K1151" i="6" s="1"/>
  <c r="I1096" i="6" a="1"/>
  <c r="I1096" i="6" s="1"/>
  <c r="K1096" i="6" s="1"/>
  <c r="I763" i="6" a="1"/>
  <c r="I763" i="6" s="1"/>
  <c r="K763" i="6" s="1"/>
  <c r="I301" i="6" a="1"/>
  <c r="I301" i="6" s="1"/>
  <c r="K301" i="6" s="1"/>
  <c r="I274" i="6" a="1"/>
  <c r="I274" i="6" s="1"/>
  <c r="K274" i="6" s="1"/>
  <c r="I499" i="6" a="1"/>
  <c r="I499" i="6" s="1"/>
  <c r="K499" i="6" s="1"/>
  <c r="I1247" i="6" a="1"/>
  <c r="I1247" i="6" s="1"/>
  <c r="K1247" i="6" s="1"/>
  <c r="I381" i="6" a="1"/>
  <c r="I381" i="6" s="1"/>
  <c r="K381" i="6" s="1"/>
  <c r="I1006" i="6" a="1"/>
  <c r="I1006" i="6" s="1"/>
  <c r="K1006" i="6" s="1"/>
  <c r="I503" i="6" a="1"/>
  <c r="I503" i="6" s="1"/>
  <c r="K503" i="6" s="1"/>
  <c r="I1219" i="6" a="1"/>
  <c r="I1219" i="6" s="1"/>
  <c r="K1219" i="6" s="1"/>
  <c r="I1039" i="6" a="1"/>
  <c r="I1039" i="6" s="1"/>
  <c r="K1039" i="6" s="1"/>
  <c r="I1297" i="6" a="1"/>
  <c r="I1297" i="6" s="1"/>
  <c r="K1297" i="6" s="1"/>
  <c r="I657" i="6" a="1"/>
  <c r="I657" i="6" s="1"/>
  <c r="K657" i="6" s="1"/>
  <c r="I913" i="6" a="1"/>
  <c r="I913" i="6" s="1"/>
  <c r="K913" i="6" s="1"/>
  <c r="I664" i="6" a="1"/>
  <c r="I664" i="6" s="1"/>
  <c r="K664" i="6" s="1"/>
  <c r="I390" i="6" a="1"/>
  <c r="I390" i="6" s="1"/>
  <c r="K390" i="6" s="1"/>
  <c r="I869" i="6" a="1"/>
  <c r="I869" i="6" s="1"/>
  <c r="K869" i="6" s="1"/>
  <c r="I1149" i="6" a="1"/>
  <c r="I1149" i="6" s="1"/>
  <c r="K1149" i="6" s="1"/>
  <c r="I245" i="6" a="1"/>
  <c r="I245" i="6" s="1"/>
  <c r="K245" i="6" s="1"/>
  <c r="I843" i="6" a="1"/>
  <c r="I843" i="6" s="1"/>
  <c r="K843" i="6" s="1"/>
  <c r="I1154" i="6" a="1"/>
  <c r="I1154" i="6" s="1"/>
  <c r="K1154" i="6" s="1"/>
  <c r="I1405" i="6" a="1"/>
  <c r="I1405" i="6" s="1"/>
  <c r="K1405" i="6" s="1"/>
  <c r="I331" i="6" a="1"/>
  <c r="I331" i="6" s="1"/>
  <c r="K331" i="6" s="1"/>
  <c r="I1336" i="6" a="1"/>
  <c r="I1336" i="6" s="1"/>
  <c r="K1336" i="6" s="1"/>
  <c r="I408" i="6" a="1"/>
  <c r="I408" i="6" s="1"/>
  <c r="K408" i="6" s="1"/>
  <c r="I531" i="6" a="1"/>
  <c r="I531" i="6" s="1"/>
  <c r="K531" i="6" s="1"/>
  <c r="I848" i="6" a="1"/>
  <c r="I848" i="6" s="1"/>
  <c r="K848" i="6" s="1"/>
  <c r="I971" i="6" a="1"/>
  <c r="I971" i="6" s="1"/>
  <c r="K971" i="6" s="1"/>
  <c r="I432" i="6" a="1"/>
  <c r="I432" i="6" s="1"/>
  <c r="K432" i="6" s="1"/>
  <c r="I570" i="6" a="1"/>
  <c r="I570" i="6" s="1"/>
  <c r="K570" i="6" s="1"/>
  <c r="I1317" i="6" a="1"/>
  <c r="I1317" i="6" s="1"/>
  <c r="K1317" i="6" s="1"/>
  <c r="I1439" i="6" a="1"/>
  <c r="I1439" i="6" s="1"/>
  <c r="K1439" i="6" s="1"/>
  <c r="I303" i="6" a="1"/>
  <c r="I303" i="6" s="1"/>
  <c r="K303" i="6" s="1"/>
  <c r="I425" i="6" a="1"/>
  <c r="I425" i="6" s="1"/>
  <c r="K425" i="6" s="1"/>
  <c r="I686" i="6" a="1"/>
  <c r="I686" i="6" s="1"/>
  <c r="K686" i="6" s="1"/>
  <c r="I1066" i="6" a="1"/>
  <c r="I1066" i="6" s="1"/>
  <c r="K1066" i="6" s="1"/>
  <c r="I218" i="6" a="1"/>
  <c r="I218" i="6" s="1"/>
  <c r="K218" i="6" s="1"/>
  <c r="I333" i="6" a="1"/>
  <c r="I333" i="6" s="1"/>
  <c r="K333" i="6" s="1"/>
  <c r="I319" i="6" a="1"/>
  <c r="I319" i="6" s="1"/>
  <c r="K319" i="6" s="1"/>
  <c r="I525" i="6" a="1"/>
  <c r="I525" i="6" s="1"/>
  <c r="K525" i="6" s="1"/>
  <c r="I623" i="6" a="1"/>
  <c r="I623" i="6" s="1"/>
  <c r="K623" i="6" s="1"/>
  <c r="I539" i="6" a="1"/>
  <c r="I539" i="6" s="1"/>
  <c r="K539" i="6" s="1"/>
  <c r="I670" i="6" a="1"/>
  <c r="I670" i="6" s="1"/>
  <c r="K670" i="6" s="1"/>
  <c r="I839" i="6" a="1"/>
  <c r="I839" i="6" s="1"/>
  <c r="K839" i="6" s="1"/>
  <c r="I944" i="6" a="1"/>
  <c r="I944" i="6" s="1"/>
  <c r="K944" i="6" s="1"/>
  <c r="I1191" i="6" a="1"/>
  <c r="I1191" i="6" s="1"/>
  <c r="K1191" i="6" s="1"/>
  <c r="I1216" i="6" a="1"/>
  <c r="I1216" i="6" s="1"/>
  <c r="K1216" i="6" s="1"/>
  <c r="I1326" i="6" a="1"/>
  <c r="I1326" i="6" s="1"/>
  <c r="K1326" i="6" s="1"/>
  <c r="I1115" i="6" a="1"/>
  <c r="I1115" i="6" s="1"/>
  <c r="K1115" i="6" s="1"/>
  <c r="I1116" i="6" a="1"/>
  <c r="I1116" i="6" s="1"/>
  <c r="K1116" i="6" s="1"/>
  <c r="I1246" i="6" a="1"/>
  <c r="I1246" i="6" s="1"/>
  <c r="K1246" i="6" s="1"/>
  <c r="I1311" i="6" a="1"/>
  <c r="I1311" i="6" s="1"/>
  <c r="K1311" i="6" s="1"/>
  <c r="I1261" i="6" a="1"/>
  <c r="I1261" i="6" s="1"/>
  <c r="K1261" i="6" s="1"/>
  <c r="I1345" i="6" a="1"/>
  <c r="I1345" i="6" s="1"/>
  <c r="K1345" i="6" s="1"/>
  <c r="I467" i="6" a="1"/>
  <c r="I467" i="6" s="1"/>
  <c r="K467" i="6" s="1"/>
  <c r="I702" i="6" a="1"/>
  <c r="I702" i="6" s="1"/>
  <c r="K702" i="6" s="1"/>
  <c r="I674" i="6" a="1"/>
  <c r="I674" i="6" s="1"/>
  <c r="K674" i="6" s="1"/>
  <c r="I766" i="6" a="1"/>
  <c r="I766" i="6" s="1"/>
  <c r="K766" i="6" s="1"/>
  <c r="I306" i="6" a="1"/>
  <c r="I306" i="6" s="1"/>
  <c r="K306" i="6" s="1"/>
  <c r="I579" i="6" a="1"/>
  <c r="I579" i="6" s="1"/>
  <c r="K579" i="6" s="1"/>
  <c r="I403" i="6" a="1"/>
  <c r="I403" i="6" s="1"/>
  <c r="K403" i="6" s="1"/>
  <c r="I473" i="6" a="1"/>
  <c r="I473" i="6" s="1"/>
  <c r="K473" i="6" s="1"/>
  <c r="I972" i="6" a="1"/>
  <c r="I972" i="6" s="1"/>
  <c r="K972" i="6" s="1"/>
  <c r="I363" i="6" a="1"/>
  <c r="I363" i="6" s="1"/>
  <c r="K363" i="6" s="1"/>
  <c r="I863" i="6" a="1"/>
  <c r="I863" i="6" s="1"/>
  <c r="K863" i="6" s="1"/>
  <c r="I1240" i="6" a="1"/>
  <c r="I1240" i="6" s="1"/>
  <c r="K1240" i="6" s="1"/>
  <c r="I631" i="6" a="1"/>
  <c r="I631" i="6" s="1"/>
  <c r="K631" i="6" s="1"/>
  <c r="I603" i="6" a="1"/>
  <c r="I603" i="6" s="1"/>
  <c r="K603" i="6" s="1"/>
  <c r="I415" i="6" a="1"/>
  <c r="I415" i="6" s="1"/>
  <c r="K415" i="6" s="1"/>
  <c r="I1223" i="6" a="1"/>
  <c r="I1223" i="6" s="1"/>
  <c r="K1223" i="6" s="1"/>
  <c r="I1197" i="6" a="1"/>
  <c r="I1197" i="6" s="1"/>
  <c r="K1197" i="6" s="1"/>
  <c r="I663" i="6" a="1"/>
  <c r="I663" i="6" s="1"/>
  <c r="K663" i="6" s="1"/>
  <c r="I1018" i="6" a="1"/>
  <c r="I1018" i="6" s="1"/>
  <c r="K1018" i="6" s="1"/>
  <c r="I866" i="6" a="1"/>
  <c r="I866" i="6" s="1"/>
  <c r="K866" i="6" s="1"/>
  <c r="I1424" i="6" a="1"/>
  <c r="I1424" i="6" s="1"/>
  <c r="K1424" i="6" s="1"/>
  <c r="I1281" i="6" a="1"/>
  <c r="I1281" i="6" s="1"/>
  <c r="K1281" i="6" s="1"/>
  <c r="I949" i="6" a="1"/>
  <c r="I949" i="6" s="1"/>
  <c r="K949" i="6" s="1"/>
  <c r="I1192" i="6" a="1"/>
  <c r="I1192" i="6" s="1"/>
  <c r="K1192" i="6" s="1"/>
  <c r="I1130" i="6" a="1"/>
  <c r="I1130" i="6" s="1"/>
  <c r="K1130" i="6" s="1"/>
  <c r="I800" i="6" a="1"/>
  <c r="I800" i="6" s="1"/>
  <c r="K800" i="6" s="1"/>
  <c r="I824" i="6" a="1"/>
  <c r="I824" i="6" s="1"/>
  <c r="K824" i="6" s="1"/>
  <c r="I286" i="6" a="1"/>
  <c r="I286" i="6" s="1"/>
  <c r="K286" i="6" s="1"/>
  <c r="I576" i="6" a="1"/>
  <c r="I576" i="6" s="1"/>
  <c r="K576" i="6" s="1"/>
  <c r="I1251" i="6" a="1"/>
  <c r="I1251" i="6" s="1"/>
  <c r="K1251" i="6" s="1"/>
  <c r="I397" i="6" a="1"/>
  <c r="I397" i="6" s="1"/>
  <c r="K397" i="6" s="1"/>
  <c r="I1050" i="6" a="1"/>
  <c r="I1050" i="6" s="1"/>
  <c r="K1050" i="6" s="1"/>
  <c r="I520" i="6" a="1"/>
  <c r="I520" i="6" s="1"/>
  <c r="K520" i="6" s="1"/>
  <c r="I1243" i="6" a="1"/>
  <c r="I1243" i="6" s="1"/>
  <c r="K1243" i="6" s="1"/>
  <c r="I1229" i="6" a="1"/>
  <c r="I1229" i="6" s="1"/>
  <c r="K1229" i="6" s="1"/>
  <c r="I1367" i="6" a="1"/>
  <c r="I1367" i="6" s="1"/>
  <c r="K1367" i="6" s="1"/>
  <c r="I200" i="6" a="1"/>
  <c r="I200" i="6" s="1"/>
  <c r="K200" i="6" s="1"/>
  <c r="I842" i="6" a="1"/>
  <c r="I842" i="6" s="1"/>
  <c r="K842" i="6" s="1"/>
  <c r="I932" i="6" a="1"/>
  <c r="I932" i="6" s="1"/>
  <c r="K932" i="6" s="1"/>
  <c r="I207" i="6" a="1"/>
  <c r="I207" i="6" s="1"/>
  <c r="K207" i="6" s="1"/>
  <c r="I668" i="6" a="1"/>
  <c r="I668" i="6" s="1"/>
  <c r="K668" i="6" s="1"/>
  <c r="I806" i="6" a="1"/>
  <c r="I806" i="6" s="1"/>
  <c r="K806" i="6" s="1"/>
  <c r="I220" i="6" a="1"/>
  <c r="I220" i="6" s="1"/>
  <c r="K220" i="6" s="1"/>
  <c r="I1166" i="6" a="1"/>
  <c r="I1166" i="6" s="1"/>
  <c r="K1166" i="6" s="1"/>
  <c r="I882" i="6" a="1"/>
  <c r="I882" i="6" s="1"/>
  <c r="K882" i="6" s="1"/>
  <c r="I826" i="6" a="1"/>
  <c r="I826" i="6" s="1"/>
  <c r="K826" i="6" s="1"/>
  <c r="I1209" i="6" a="1"/>
  <c r="I1209" i="6" s="1"/>
  <c r="K1209" i="6" s="1"/>
  <c r="I398" i="6" a="1"/>
  <c r="I398" i="6" s="1"/>
  <c r="K398" i="6" s="1"/>
  <c r="I335" i="6" a="1"/>
  <c r="I335" i="6" s="1"/>
  <c r="K335" i="6" s="1"/>
  <c r="I1349" i="6" a="1"/>
  <c r="I1349" i="6" s="1"/>
  <c r="K1349" i="6" s="1"/>
  <c r="I412" i="6" a="1"/>
  <c r="I412" i="6" s="1"/>
  <c r="K412" i="6" s="1"/>
  <c r="I731" i="6" a="1"/>
  <c r="I731" i="6" s="1"/>
  <c r="K731" i="6" s="1"/>
  <c r="I861" i="6" a="1"/>
  <c r="I861" i="6" s="1"/>
  <c r="K861" i="6" s="1"/>
  <c r="I1359" i="6" a="1"/>
  <c r="I1359" i="6" s="1"/>
  <c r="K1359" i="6" s="1"/>
  <c r="I460" i="6" a="1"/>
  <c r="I460" i="6" s="1"/>
  <c r="K460" i="6" s="1"/>
  <c r="I1187" i="6" a="1"/>
  <c r="I1187" i="6" s="1"/>
  <c r="K1187" i="6" s="1"/>
  <c r="I1030" i="6" a="1"/>
  <c r="I1030" i="6" s="1"/>
  <c r="K1030" i="6" s="1"/>
  <c r="I214" i="6" a="1"/>
  <c r="I214" i="6" s="1"/>
  <c r="K214" i="6" s="1"/>
  <c r="I385" i="6" a="1"/>
  <c r="I385" i="6" s="1"/>
  <c r="K385" i="6" s="1"/>
  <c r="I410" i="6" a="1"/>
  <c r="I410" i="6" s="1"/>
  <c r="K410" i="6" s="1"/>
  <c r="I831" i="6" a="1"/>
  <c r="I831" i="6" s="1"/>
  <c r="K831" i="6" s="1"/>
  <c r="I868" i="6" a="1"/>
  <c r="I868" i="6" s="1"/>
  <c r="K868" i="6" s="1"/>
  <c r="I688" i="6" a="1"/>
  <c r="I688" i="6" s="1"/>
  <c r="K688" i="6" s="1"/>
  <c r="I1062" i="6" a="1"/>
  <c r="I1062" i="6" s="1"/>
  <c r="K1062" i="6" s="1"/>
  <c r="I904" i="6" a="1"/>
  <c r="I904" i="6" s="1"/>
  <c r="K904" i="6" s="1"/>
  <c r="I1436" i="6" a="1"/>
  <c r="I1436" i="6" s="1"/>
  <c r="K1436" i="6" s="1"/>
  <c r="I1313" i="6" a="1"/>
  <c r="I1313" i="6" s="1"/>
  <c r="K1313" i="6" s="1"/>
  <c r="I981" i="6" a="1"/>
  <c r="I981" i="6" s="1"/>
  <c r="K981" i="6" s="1"/>
  <c r="I1211" i="6" a="1"/>
  <c r="I1211" i="6" s="1"/>
  <c r="K1211" i="6" s="1"/>
  <c r="I1163" i="6" a="1"/>
  <c r="I1163" i="6" s="1"/>
  <c r="K1163" i="6" s="1"/>
  <c r="I804" i="6" a="1"/>
  <c r="I804" i="6" s="1"/>
  <c r="K804" i="6" s="1"/>
  <c r="I1125" i="6" a="1"/>
  <c r="I1125" i="6" s="1"/>
  <c r="K1125" i="6" s="1"/>
  <c r="I362" i="6" a="1"/>
  <c r="I362" i="6" s="1"/>
  <c r="K362" i="6" s="1"/>
  <c r="I580" i="6" a="1"/>
  <c r="I580" i="6" s="1"/>
  <c r="K580" i="6" s="1"/>
  <c r="I1259" i="6" a="1"/>
  <c r="I1259" i="6" s="1"/>
  <c r="K1259" i="6" s="1"/>
  <c r="I544" i="6" a="1"/>
  <c r="I544" i="6" s="1"/>
  <c r="K544" i="6" s="1"/>
  <c r="I1122" i="6" a="1"/>
  <c r="I1122" i="6" s="1"/>
  <c r="K1122" i="6" s="1"/>
  <c r="I591" i="6" a="1"/>
  <c r="I591" i="6" s="1"/>
  <c r="K591" i="6" s="1"/>
  <c r="I1289" i="6" a="1"/>
  <c r="I1289" i="6" s="1"/>
  <c r="K1289" i="6" s="1"/>
  <c r="I1244" i="6" a="1"/>
  <c r="I1244" i="6" s="1"/>
  <c r="K1244" i="6" s="1"/>
  <c r="I1383" i="6" a="1"/>
  <c r="I1383" i="6" s="1"/>
  <c r="K1383" i="6" s="1"/>
  <c r="I208" i="6" a="1"/>
  <c r="I208" i="6" s="1"/>
  <c r="K208" i="6" s="1"/>
  <c r="I881" i="6" a="1"/>
  <c r="I881" i="6" s="1"/>
  <c r="K881" i="6" s="1"/>
  <c r="I1178" i="6" a="1"/>
  <c r="I1178" i="6" s="1"/>
  <c r="K1178" i="6" s="1"/>
  <c r="I225" i="6" a="1"/>
  <c r="I225" i="6" s="1"/>
  <c r="K225" i="6" s="1"/>
  <c r="I727" i="6" a="1"/>
  <c r="I727" i="6" s="1"/>
  <c r="K727" i="6" s="1"/>
  <c r="I1161" i="6" a="1"/>
  <c r="I1161" i="6" s="1"/>
  <c r="K1161" i="6" s="1"/>
  <c r="I448" i="6" a="1"/>
  <c r="I448" i="6" s="1"/>
  <c r="K448" i="6" s="1"/>
  <c r="I1170" i="6" a="1"/>
  <c r="I1170" i="6" s="1"/>
  <c r="K1170" i="6" s="1"/>
  <c r="I455" i="6" a="1"/>
  <c r="I455" i="6" s="1"/>
  <c r="K455" i="6" s="1"/>
  <c r="I260" i="6" a="1"/>
  <c r="I260" i="6" s="1"/>
  <c r="K260" i="6" s="1"/>
  <c r="I1213" i="6" a="1"/>
  <c r="I1213" i="6" s="1"/>
  <c r="K1213" i="6" s="1"/>
  <c r="I402" i="6" a="1"/>
  <c r="I402" i="6" s="1"/>
  <c r="K402" i="6" s="1"/>
  <c r="I407" i="6" a="1"/>
  <c r="I407" i="6" s="1"/>
  <c r="K407" i="6" s="1"/>
  <c r="I1397" i="6" a="1"/>
  <c r="I1397" i="6" s="1"/>
  <c r="K1397" i="6" s="1"/>
  <c r="I695" i="6" a="1"/>
  <c r="I695" i="6" s="1"/>
  <c r="K695" i="6" s="1"/>
  <c r="I801" i="6" a="1"/>
  <c r="I801" i="6" s="1"/>
  <c r="K801" i="6" s="1"/>
  <c r="I966" i="6" a="1"/>
  <c r="I966" i="6" s="1"/>
  <c r="K966" i="6" s="1"/>
  <c r="I1408" i="6" a="1"/>
  <c r="I1408" i="6" s="1"/>
  <c r="K1408" i="6" s="1"/>
  <c r="I768" i="6" a="1"/>
  <c r="I768" i="6" s="1"/>
  <c r="K768" i="6" s="1"/>
  <c r="I1280" i="6" a="1"/>
  <c r="I1280" i="6" s="1"/>
  <c r="K1280" i="6" s="1"/>
  <c r="I1054" i="6" a="1"/>
  <c r="I1054" i="6" s="1"/>
  <c r="K1054" i="6" s="1"/>
  <c r="I457" i="6" a="1"/>
  <c r="I457" i="6" s="1"/>
  <c r="K457" i="6" s="1"/>
  <c r="I299" i="6" a="1"/>
  <c r="I299" i="6" s="1"/>
  <c r="K299" i="6" s="1"/>
  <c r="I594" i="6" a="1"/>
  <c r="I594" i="6" s="1"/>
  <c r="K594" i="6" s="1"/>
  <c r="I993" i="6" a="1"/>
  <c r="I993" i="6" s="1"/>
  <c r="K993" i="6" s="1"/>
  <c r="I1036" i="6" a="1"/>
  <c r="I1036" i="6" s="1"/>
  <c r="K1036" i="6" s="1"/>
  <c r="F181" i="6" a="1"/>
  <c r="F181" i="6" s="1"/>
  <c r="N181" i="6" s="1"/>
  <c r="I181" i="6" s="1" a="1"/>
  <c r="I181" i="6" s="1"/>
  <c r="K181" i="6" s="1"/>
  <c r="F182" i="6" a="1"/>
  <c r="F182" i="6" s="1"/>
  <c r="N182" i="6" s="1"/>
  <c r="I182" i="6" s="1" a="1"/>
  <c r="I182" i="6" s="1"/>
  <c r="K182" i="6" s="1"/>
  <c r="F180" i="6" a="1"/>
  <c r="F180" i="6" s="1"/>
  <c r="N180" i="6" s="1"/>
  <c r="I180" i="6" s="1" a="1"/>
  <c r="I180" i="6" s="1"/>
  <c r="K180" i="6" s="1"/>
  <c r="F183" i="6" a="1"/>
  <c r="F183" i="6" s="1"/>
  <c r="N183" i="6" s="1"/>
  <c r="I183" i="6" s="1" a="1"/>
  <c r="I183" i="6" s="1"/>
  <c r="K183" i="6" s="1"/>
  <c r="F184" i="6" a="1"/>
  <c r="F184" i="6" s="1"/>
  <c r="N184" i="6" s="1"/>
  <c r="I184" i="6" s="1" a="1"/>
  <c r="I184" i="6" s="1"/>
  <c r="K184" i="6" s="1"/>
  <c r="F185" i="6" a="1"/>
  <c r="F185" i="6" s="1"/>
  <c r="N185" i="6" s="1"/>
  <c r="I185" i="6" s="1" a="1"/>
  <c r="I185" i="6" s="1"/>
  <c r="K185" i="6" s="1"/>
  <c r="F187" i="6" a="1"/>
  <c r="F187" i="6" s="1"/>
  <c r="N187" i="6" s="1"/>
  <c r="I187" i="6" s="1" a="1"/>
  <c r="I187" i="6" s="1"/>
  <c r="K187" i="6" s="1"/>
  <c r="F188" i="6" a="1"/>
  <c r="F188" i="6" s="1"/>
  <c r="N188" i="6" s="1"/>
  <c r="I188" i="6" s="1" a="1"/>
  <c r="I188" i="6" s="1"/>
  <c r="K188" i="6" s="1"/>
  <c r="F189" i="6" a="1"/>
  <c r="F189" i="6" s="1"/>
  <c r="N189" i="6" s="1"/>
  <c r="I189" i="6" s="1" a="1"/>
  <c r="I189" i="6" s="1"/>
  <c r="K189" i="6" s="1"/>
  <c r="F190" i="6" a="1"/>
  <c r="F190" i="6" s="1"/>
  <c r="N190" i="6" s="1"/>
  <c r="I190" i="6" s="1" a="1"/>
  <c r="I190" i="6" s="1"/>
  <c r="K190" i="6" s="1"/>
  <c r="F186" i="6" a="1"/>
  <c r="F186" i="6" s="1"/>
  <c r="N186" i="6" s="1"/>
  <c r="I186" i="6" s="1" a="1"/>
  <c r="I186" i="6" s="1"/>
  <c r="K186" i="6" s="1"/>
  <c r="F136" i="6" a="1"/>
  <c r="F136" i="6" s="1"/>
  <c r="N136" i="6" s="1"/>
  <c r="I136" i="6" s="1" a="1"/>
  <c r="I136" i="6" s="1"/>
  <c r="K136" i="6" s="1"/>
  <c r="F137" i="6" a="1"/>
  <c r="F137" i="6" s="1"/>
  <c r="N137" i="6" s="1"/>
  <c r="F118" i="6" a="1"/>
  <c r="F118" i="6" s="1"/>
  <c r="N118" i="6" s="1"/>
  <c r="F117" i="6" a="1"/>
  <c r="F117" i="6" s="1"/>
  <c r="N117" i="6" s="1"/>
  <c r="I117" i="6" s="1" a="1"/>
  <c r="I117" i="6" s="1"/>
  <c r="K117" i="6" s="1"/>
  <c r="F167" i="6" a="1"/>
  <c r="F167" i="6" s="1"/>
  <c r="N167" i="6" s="1"/>
  <c r="I167" i="6" s="1" a="1"/>
  <c r="I167" i="6" s="1"/>
  <c r="K167" i="6" s="1"/>
  <c r="F168" i="6" a="1"/>
  <c r="F168" i="6" s="1"/>
  <c r="N168" i="6" s="1"/>
  <c r="F169" i="6" a="1"/>
  <c r="F169" i="6" s="1"/>
  <c r="N169" i="6" s="1"/>
  <c r="F99" i="6" a="1"/>
  <c r="F99" i="6" s="1"/>
  <c r="N99" i="6" s="1"/>
  <c r="O99" i="6" s="1"/>
  <c r="F100" i="6" a="1"/>
  <c r="F100" i="6" s="1"/>
  <c r="N100" i="6" s="1"/>
  <c r="I100" i="6" s="1" a="1"/>
  <c r="I100" i="6" s="1"/>
  <c r="K100" i="6" s="1"/>
  <c r="F101" i="6" a="1"/>
  <c r="F101" i="6" s="1"/>
  <c r="N101" i="6" s="1"/>
  <c r="I101" i="6" s="1" a="1"/>
  <c r="I101" i="6" s="1"/>
  <c r="K101" i="6" s="1"/>
  <c r="F173" i="6" a="1"/>
  <c r="F173" i="6" s="1"/>
  <c r="N173" i="6" s="1"/>
  <c r="I173" i="6" s="1" a="1"/>
  <c r="I173" i="6" s="1"/>
  <c r="K173" i="6" s="1"/>
  <c r="F174" i="6" a="1"/>
  <c r="F174" i="6" s="1"/>
  <c r="N174" i="6" s="1"/>
  <c r="I174" i="6" s="1" a="1"/>
  <c r="I174" i="6" s="1"/>
  <c r="K174" i="6" s="1"/>
  <c r="F175" i="6" a="1"/>
  <c r="F175" i="6" s="1"/>
  <c r="N175" i="6" s="1"/>
  <c r="I175" i="6" s="1" a="1"/>
  <c r="I175" i="6" s="1"/>
  <c r="K175" i="6" s="1"/>
  <c r="F166" i="6" a="1"/>
  <c r="F166" i="6" s="1"/>
  <c r="N166" i="6" s="1"/>
  <c r="I166" i="6" s="1" a="1"/>
  <c r="I166" i="6" s="1"/>
  <c r="K166" i="6" s="1"/>
  <c r="F162" i="6" a="1"/>
  <c r="F162" i="6" s="1"/>
  <c r="N162" i="6" s="1"/>
  <c r="O162" i="6" s="1"/>
  <c r="F163" i="6" a="1"/>
  <c r="F163" i="6" s="1"/>
  <c r="N163" i="6" s="1"/>
  <c r="I163" i="6" s="1" a="1"/>
  <c r="I163" i="6" s="1"/>
  <c r="K163" i="6" s="1"/>
  <c r="F164" i="6" a="1"/>
  <c r="F164" i="6" s="1"/>
  <c r="N164" i="6" s="1"/>
  <c r="I164" i="6" s="1" a="1"/>
  <c r="I164" i="6" s="1"/>
  <c r="K164" i="6" s="1"/>
  <c r="F165" i="6" a="1"/>
  <c r="F165" i="6" s="1"/>
  <c r="N165" i="6" s="1"/>
  <c r="I165" i="6" s="1" a="1"/>
  <c r="I165" i="6" s="1"/>
  <c r="K165" i="6" s="1"/>
  <c r="F160" i="6" a="1"/>
  <c r="F160" i="6" s="1"/>
  <c r="N160" i="6" s="1"/>
  <c r="F161" i="6" a="1"/>
  <c r="F161" i="6" s="1"/>
  <c r="N161" i="6" s="1"/>
  <c r="O161" i="6" s="1"/>
  <c r="F157" i="6" a="1"/>
  <c r="F157" i="6" s="1"/>
  <c r="N157" i="6" s="1"/>
  <c r="I157" i="6" s="1" a="1"/>
  <c r="I157" i="6" s="1"/>
  <c r="K157" i="6" s="1"/>
  <c r="F158" i="6" a="1"/>
  <c r="F158" i="6" s="1"/>
  <c r="N158" i="6" s="1"/>
  <c r="F159" i="6" a="1"/>
  <c r="F159" i="6" s="1"/>
  <c r="N159" i="6" s="1"/>
  <c r="F139" i="6" a="1"/>
  <c r="F139" i="6" s="1"/>
  <c r="N139" i="6" s="1"/>
  <c r="I139" i="6" s="1" a="1"/>
  <c r="I139" i="6" s="1"/>
  <c r="K139" i="6" s="1"/>
  <c r="F138" i="6" a="1"/>
  <c r="F138" i="6" s="1"/>
  <c r="N138" i="6" s="1"/>
  <c r="O138" i="6" s="1"/>
  <c r="F134" i="6" a="1"/>
  <c r="F134" i="6" s="1"/>
  <c r="N134" i="6" s="1"/>
  <c r="I134" i="6" s="1" a="1"/>
  <c r="I134" i="6" s="1"/>
  <c r="K134" i="6" s="1"/>
  <c r="F135" i="6" a="1"/>
  <c r="F135" i="6" s="1"/>
  <c r="N135" i="6" s="1"/>
  <c r="I135" i="6" s="1" a="1"/>
  <c r="I135" i="6" s="1"/>
  <c r="K135" i="6" s="1"/>
  <c r="F133" i="6" a="1"/>
  <c r="F133" i="6" s="1"/>
  <c r="N133" i="6" s="1"/>
  <c r="I133" i="6" s="1" a="1"/>
  <c r="I133" i="6" s="1"/>
  <c r="K133" i="6" s="1"/>
  <c r="F107" i="6" a="1"/>
  <c r="F107" i="6" s="1"/>
  <c r="N107" i="6" s="1"/>
  <c r="I107" i="6" s="1" a="1"/>
  <c r="I107" i="6" s="1"/>
  <c r="K107" i="6" s="1"/>
  <c r="F108" i="6" a="1"/>
  <c r="F108" i="6" s="1"/>
  <c r="N108" i="6" s="1"/>
  <c r="O108" i="6" s="1"/>
  <c r="F109" i="6" a="1"/>
  <c r="F109" i="6" s="1"/>
  <c r="N109" i="6" s="1"/>
  <c r="I109" i="6" s="1" a="1"/>
  <c r="I109" i="6" s="1"/>
  <c r="K109" i="6" s="1"/>
  <c r="F110" i="6" a="1"/>
  <c r="F110" i="6" s="1"/>
  <c r="N110" i="6" s="1"/>
  <c r="I110" i="6" s="1" a="1"/>
  <c r="I110" i="6" s="1"/>
  <c r="K110" i="6" s="1"/>
  <c r="F111" i="6" a="1"/>
  <c r="F111" i="6" s="1"/>
  <c r="N111" i="6" s="1"/>
  <c r="O111" i="6" s="1"/>
  <c r="F123" i="6" a="1"/>
  <c r="F123" i="6" s="1"/>
  <c r="N123" i="6" s="1"/>
  <c r="O123" i="6" s="1"/>
  <c r="F124" i="6" a="1"/>
  <c r="F124" i="6" s="1"/>
  <c r="N124" i="6" s="1"/>
  <c r="O124" i="6" s="1"/>
  <c r="F125" i="6" a="1"/>
  <c r="F125" i="6" s="1"/>
  <c r="N125" i="6" s="1"/>
  <c r="I125" i="6" s="1" a="1"/>
  <c r="I125" i="6" s="1"/>
  <c r="K125" i="6" s="1"/>
  <c r="F126" i="6" a="1"/>
  <c r="F126" i="6" s="1"/>
  <c r="N126" i="6" s="1"/>
  <c r="I126" i="6" s="1" a="1"/>
  <c r="I126" i="6" s="1"/>
  <c r="K126" i="6" s="1"/>
  <c r="F127" i="6" a="1"/>
  <c r="F127" i="6" s="1"/>
  <c r="N127" i="6" s="1"/>
  <c r="F171" i="6" a="1"/>
  <c r="F171" i="6" s="1"/>
  <c r="N171" i="6" s="1"/>
  <c r="F172" i="6" a="1"/>
  <c r="F172" i="6" s="1"/>
  <c r="N172" i="6" s="1"/>
  <c r="I172" i="6" s="1" a="1"/>
  <c r="I172" i="6" s="1"/>
  <c r="K172" i="6" s="1"/>
  <c r="F170" i="6" a="1"/>
  <c r="F170" i="6" s="1"/>
  <c r="N170" i="6" s="1"/>
  <c r="O170" i="6" s="1"/>
  <c r="F150" i="6" a="1"/>
  <c r="F150" i="6" s="1"/>
  <c r="N150" i="6" s="1"/>
  <c r="I150" i="6" s="1" a="1"/>
  <c r="I150" i="6" s="1"/>
  <c r="K150" i="6" s="1"/>
  <c r="F151" i="6" a="1"/>
  <c r="F151" i="6" s="1"/>
  <c r="N151" i="6" s="1"/>
  <c r="O151" i="6" s="1"/>
  <c r="F147" i="6" a="1"/>
  <c r="F147" i="6" s="1"/>
  <c r="N147" i="6" s="1"/>
  <c r="I147" i="6" s="1" a="1"/>
  <c r="I147" i="6" s="1"/>
  <c r="K147" i="6" s="1"/>
  <c r="F148" i="6" a="1"/>
  <c r="F148" i="6" s="1"/>
  <c r="N148" i="6" s="1"/>
  <c r="O148" i="6" s="1"/>
  <c r="F149" i="6" a="1"/>
  <c r="F149" i="6" s="1"/>
  <c r="N149" i="6" s="1"/>
  <c r="I149" i="6" s="1" a="1"/>
  <c r="I149" i="6" s="1"/>
  <c r="K149" i="6" s="1"/>
  <c r="F97" i="6" a="1"/>
  <c r="F97" i="6" s="1"/>
  <c r="N97" i="6" s="1"/>
  <c r="O97" i="6" s="1"/>
  <c r="F98" i="6" a="1"/>
  <c r="F98" i="6" s="1"/>
  <c r="N98" i="6" s="1"/>
  <c r="I98" i="6" s="1" a="1"/>
  <c r="I98" i="6" s="1"/>
  <c r="K98" i="6" s="1"/>
  <c r="F140" i="6" a="1"/>
  <c r="F140" i="6" s="1"/>
  <c r="N140" i="6" s="1"/>
  <c r="O140" i="6" s="1"/>
  <c r="F141" i="6" a="1"/>
  <c r="F141" i="6" s="1"/>
  <c r="N141" i="6" s="1"/>
  <c r="I141" i="6" s="1" a="1"/>
  <c r="I141" i="6" s="1"/>
  <c r="K141" i="6" s="1"/>
  <c r="F120" i="6" a="1"/>
  <c r="F120" i="6" s="1"/>
  <c r="N120" i="6" s="1"/>
  <c r="I120" i="6" s="1" a="1"/>
  <c r="I120" i="6" s="1"/>
  <c r="K120" i="6" s="1"/>
  <c r="F121" i="6" a="1"/>
  <c r="F121" i="6" s="1"/>
  <c r="N121" i="6" s="1"/>
  <c r="I121" i="6" s="1" a="1"/>
  <c r="I121" i="6" s="1"/>
  <c r="K121" i="6" s="1"/>
  <c r="F122" i="6" a="1"/>
  <c r="F122" i="6" s="1"/>
  <c r="N122" i="6" s="1"/>
  <c r="O122" i="6" s="1"/>
  <c r="F144" i="6" a="1"/>
  <c r="F144" i="6" s="1"/>
  <c r="N144" i="6" s="1"/>
  <c r="O144" i="6" s="1"/>
  <c r="F145" i="6" a="1"/>
  <c r="F145" i="6" s="1"/>
  <c r="N145" i="6" s="1"/>
  <c r="O145" i="6" s="1"/>
  <c r="F146" i="6" a="1"/>
  <c r="F146" i="6" s="1"/>
  <c r="N146" i="6" s="1"/>
  <c r="O146" i="6" s="1"/>
  <c r="F142" i="6" a="1"/>
  <c r="F142" i="6" s="1"/>
  <c r="N142" i="6" s="1"/>
  <c r="I142" i="6" s="1" a="1"/>
  <c r="I142" i="6" s="1"/>
  <c r="K142" i="6" s="1"/>
  <c r="F143" i="6" a="1"/>
  <c r="F143" i="6" s="1"/>
  <c r="N143" i="6" s="1"/>
  <c r="I143" i="6" s="1" a="1"/>
  <c r="I143" i="6" s="1"/>
  <c r="K143" i="6" s="1"/>
  <c r="F155" i="6" a="1"/>
  <c r="F155" i="6" s="1"/>
  <c r="N155" i="6" s="1"/>
  <c r="I155" i="6" s="1" a="1"/>
  <c r="I155" i="6" s="1"/>
  <c r="K155" i="6" s="1"/>
  <c r="F156" i="6" a="1"/>
  <c r="F156" i="6" s="1"/>
  <c r="N156" i="6" s="1"/>
  <c r="I156" i="6" s="1" a="1"/>
  <c r="I156" i="6" s="1"/>
  <c r="K156" i="6" s="1"/>
  <c r="F152" i="6" a="1"/>
  <c r="F152" i="6" s="1"/>
  <c r="N152" i="6" s="1"/>
  <c r="I152" i="6" s="1" a="1"/>
  <c r="I152" i="6" s="1"/>
  <c r="K152" i="6" s="1"/>
  <c r="F153" i="6" a="1"/>
  <c r="F153" i="6" s="1"/>
  <c r="N153" i="6" s="1"/>
  <c r="I153" i="6" s="1" a="1"/>
  <c r="I153" i="6" s="1"/>
  <c r="K153" i="6" s="1"/>
  <c r="F154" i="6" a="1"/>
  <c r="F154" i="6" s="1"/>
  <c r="N154" i="6" s="1"/>
  <c r="I154" i="6" s="1" a="1"/>
  <c r="I154" i="6" s="1"/>
  <c r="K154" i="6" s="1"/>
  <c r="F112" i="6" a="1"/>
  <c r="F112" i="6" s="1"/>
  <c r="N112" i="6" s="1"/>
  <c r="O112" i="6" s="1"/>
  <c r="F113" i="6" a="1"/>
  <c r="F113" i="6" s="1"/>
  <c r="N113" i="6" s="1"/>
  <c r="I113" i="6" s="1" a="1"/>
  <c r="I113" i="6" s="1"/>
  <c r="K113" i="6" s="1"/>
  <c r="F114" i="6" a="1"/>
  <c r="F114" i="6" s="1"/>
  <c r="N114" i="6" s="1"/>
  <c r="I114" i="6" s="1" a="1"/>
  <c r="I114" i="6" s="1"/>
  <c r="K114" i="6" s="1"/>
  <c r="F115" i="6" a="1"/>
  <c r="F115" i="6" s="1"/>
  <c r="N115" i="6" s="1"/>
  <c r="I115" i="6" s="1" a="1"/>
  <c r="I115" i="6" s="1"/>
  <c r="K115" i="6" s="1"/>
  <c r="F116" i="6" a="1"/>
  <c r="F116" i="6" s="1"/>
  <c r="N116" i="6" s="1"/>
  <c r="I116" i="6" s="1" a="1"/>
  <c r="I116" i="6" s="1"/>
  <c r="K116" i="6" s="1"/>
  <c r="F102" i="6" a="1"/>
  <c r="F102" i="6" s="1"/>
  <c r="N102" i="6" s="1"/>
  <c r="I102" i="6" s="1" a="1"/>
  <c r="I102" i="6" s="1"/>
  <c r="K102" i="6" s="1"/>
  <c r="F103" i="6" a="1"/>
  <c r="F103" i="6" s="1"/>
  <c r="N103" i="6" s="1"/>
  <c r="O103" i="6" s="1"/>
  <c r="F104" i="6" a="1"/>
  <c r="F104" i="6" s="1"/>
  <c r="N104" i="6" s="1"/>
  <c r="I104" i="6" s="1" a="1"/>
  <c r="I104" i="6" s="1"/>
  <c r="K104" i="6" s="1"/>
  <c r="F105" i="6" a="1"/>
  <c r="F105" i="6" s="1"/>
  <c r="N105" i="6" s="1"/>
  <c r="I105" i="6" s="1" a="1"/>
  <c r="I105" i="6" s="1"/>
  <c r="K105" i="6" s="1"/>
  <c r="F106" i="6" a="1"/>
  <c r="F106" i="6" s="1"/>
  <c r="N106" i="6" s="1"/>
  <c r="I106" i="6" s="1" a="1"/>
  <c r="I106" i="6" s="1"/>
  <c r="K106" i="6" s="1"/>
  <c r="F128" i="6" a="1"/>
  <c r="F128" i="6" s="1"/>
  <c r="N128" i="6" s="1"/>
  <c r="I128" i="6" s="1" a="1"/>
  <c r="I128" i="6" s="1"/>
  <c r="K128" i="6" s="1"/>
  <c r="F129" i="6" a="1"/>
  <c r="F129" i="6" s="1"/>
  <c r="N129" i="6" s="1"/>
  <c r="I129" i="6" s="1" a="1"/>
  <c r="I129" i="6" s="1"/>
  <c r="K129" i="6" s="1"/>
  <c r="F130" i="6" a="1"/>
  <c r="F130" i="6" s="1"/>
  <c r="N130" i="6" s="1"/>
  <c r="I130" i="6" s="1" a="1"/>
  <c r="I130" i="6" s="1"/>
  <c r="K130" i="6" s="1"/>
  <c r="F131" i="6" a="1"/>
  <c r="F131" i="6" s="1"/>
  <c r="N131" i="6" s="1"/>
  <c r="O131" i="6" s="1"/>
  <c r="F132" i="6" a="1"/>
  <c r="F132" i="6" s="1"/>
  <c r="N132" i="6" s="1"/>
  <c r="I132" i="6" s="1" a="1"/>
  <c r="I132" i="6" s="1"/>
  <c r="K132" i="6" s="1"/>
  <c r="O176" i="6"/>
  <c r="F29" i="6" a="1"/>
  <c r="F29" i="6" s="1"/>
  <c r="N29" i="6" s="1"/>
  <c r="I29" i="6" s="1" a="1"/>
  <c r="I29" i="6" s="1"/>
  <c r="K29" i="6" s="1"/>
  <c r="F30" i="6" a="1"/>
  <c r="F30" i="6" s="1"/>
  <c r="N30" i="6" s="1"/>
  <c r="I30" i="6" s="1" a="1"/>
  <c r="I30" i="6" s="1"/>
  <c r="K30" i="6" s="1"/>
  <c r="F26" i="6" a="1"/>
  <c r="F26" i="6" s="1"/>
  <c r="N26" i="6" s="1"/>
  <c r="I26" i="6" s="1" a="1"/>
  <c r="I26" i="6" s="1"/>
  <c r="K26" i="6" s="1"/>
  <c r="F27" i="6" a="1"/>
  <c r="F27" i="6" s="1"/>
  <c r="N27" i="6" s="1"/>
  <c r="I27" i="6" s="1" a="1"/>
  <c r="I27" i="6" s="1"/>
  <c r="K27" i="6" s="1"/>
  <c r="F28" i="6" a="1"/>
  <c r="F28" i="6" s="1"/>
  <c r="N28" i="6" s="1"/>
  <c r="I28" i="6" s="1" a="1"/>
  <c r="I28" i="6" s="1"/>
  <c r="K28" i="6" s="1"/>
  <c r="F45" i="6" a="1"/>
  <c r="F45" i="6" s="1"/>
  <c r="N45" i="6" s="1"/>
  <c r="I45" i="6" s="1" a="1"/>
  <c r="I45" i="6" s="1"/>
  <c r="K45" i="6" s="1"/>
  <c r="F46" i="6" a="1"/>
  <c r="F46" i="6" s="1"/>
  <c r="N46" i="6" s="1"/>
  <c r="O46" i="6" s="1"/>
  <c r="F47" i="6" a="1"/>
  <c r="F47" i="6" s="1"/>
  <c r="N47" i="6" s="1"/>
  <c r="I47" i="6" s="1" a="1"/>
  <c r="I47" i="6" s="1"/>
  <c r="K47" i="6" s="1"/>
  <c r="F58" i="6" a="1"/>
  <c r="F58" i="6" s="1"/>
  <c r="N58" i="6" s="1"/>
  <c r="I58" i="6" s="1" a="1"/>
  <c r="I58" i="6" s="1"/>
  <c r="K58" i="6" s="1"/>
  <c r="F59" i="6" a="1"/>
  <c r="F59" i="6" s="1"/>
  <c r="N59" i="6" s="1"/>
  <c r="O59" i="6" s="1"/>
  <c r="F55" i="6" a="1"/>
  <c r="F55" i="6" s="1"/>
  <c r="N55" i="6" s="1"/>
  <c r="I55" i="6" s="1" a="1"/>
  <c r="I55" i="6" s="1"/>
  <c r="K55" i="6" s="1"/>
  <c r="F56" i="6" a="1"/>
  <c r="F56" i="6" s="1"/>
  <c r="N56" i="6" s="1"/>
  <c r="I56" i="6" s="1" a="1"/>
  <c r="I56" i="6" s="1"/>
  <c r="K56" i="6" s="1"/>
  <c r="F57" i="6" a="1"/>
  <c r="F57" i="6" s="1"/>
  <c r="N57" i="6" s="1"/>
  <c r="O57" i="6" s="1"/>
  <c r="F88" i="6" a="1"/>
  <c r="F88" i="6" s="1"/>
  <c r="N88" i="6" s="1"/>
  <c r="I88" i="6" s="1" a="1"/>
  <c r="I88" i="6" s="1"/>
  <c r="K88" i="6" s="1"/>
  <c r="F86" i="6" a="1"/>
  <c r="F86" i="6" s="1"/>
  <c r="N86" i="6" s="1"/>
  <c r="I86" i="6" s="1" a="1"/>
  <c r="I86" i="6" s="1"/>
  <c r="K86" i="6" s="1"/>
  <c r="F87" i="6" a="1"/>
  <c r="F87" i="6" s="1"/>
  <c r="N87" i="6" s="1"/>
  <c r="O87" i="6" s="1"/>
  <c r="F19" i="6" a="1"/>
  <c r="F19" i="6" s="1"/>
  <c r="N19" i="6" s="1"/>
  <c r="I19" i="6" s="1" a="1"/>
  <c r="I19" i="6" s="1"/>
  <c r="K19" i="6" s="1"/>
  <c r="F20" i="6" a="1"/>
  <c r="F20" i="6" s="1"/>
  <c r="N20" i="6" s="1"/>
  <c r="I20" i="6" s="1" a="1"/>
  <c r="I20" i="6" s="1"/>
  <c r="K20" i="6" s="1"/>
  <c r="F16" i="6" a="1"/>
  <c r="F16" i="6" s="1"/>
  <c r="N16" i="6" s="1"/>
  <c r="I16" i="6" s="1" a="1"/>
  <c r="I16" i="6" s="1"/>
  <c r="K16" i="6" s="1"/>
  <c r="F17" i="6" a="1"/>
  <c r="F17" i="6" s="1"/>
  <c r="N17" i="6" s="1"/>
  <c r="I17" i="6" s="1" a="1"/>
  <c r="I17" i="6" s="1"/>
  <c r="K17" i="6" s="1"/>
  <c r="F18" i="6" a="1"/>
  <c r="F18" i="6" s="1"/>
  <c r="N18" i="6" s="1"/>
  <c r="O18" i="6" s="1"/>
  <c r="F69" i="6" a="1"/>
  <c r="F69" i="6" s="1"/>
  <c r="N69" i="6" s="1"/>
  <c r="I69" i="6" s="1" a="1"/>
  <c r="I69" i="6" s="1"/>
  <c r="K69" i="6" s="1"/>
  <c r="F65" i="6" a="1"/>
  <c r="F65" i="6" s="1"/>
  <c r="N65" i="6" s="1"/>
  <c r="I65" i="6" s="1" a="1"/>
  <c r="I65" i="6" s="1"/>
  <c r="K65" i="6" s="1"/>
  <c r="F66" i="6" a="1"/>
  <c r="F66" i="6" s="1"/>
  <c r="N66" i="6" s="1"/>
  <c r="O66" i="6" s="1"/>
  <c r="F67" i="6" a="1"/>
  <c r="F67" i="6" s="1"/>
  <c r="N67" i="6" s="1"/>
  <c r="I67" i="6" s="1" a="1"/>
  <c r="I67" i="6" s="1"/>
  <c r="K67" i="6" s="1"/>
  <c r="F68" i="6" a="1"/>
  <c r="F68" i="6" s="1"/>
  <c r="N68" i="6" s="1"/>
  <c r="O68" i="6" s="1"/>
  <c r="F42" i="6" a="1"/>
  <c r="F42" i="6" s="1"/>
  <c r="N42" i="6" s="1"/>
  <c r="O42" i="6" s="1"/>
  <c r="F43" i="6" a="1"/>
  <c r="F43" i="6" s="1"/>
  <c r="N43" i="6" s="1"/>
  <c r="I43" i="6" s="1" a="1"/>
  <c r="I43" i="6" s="1"/>
  <c r="K43" i="6" s="1"/>
  <c r="F44" i="6" a="1"/>
  <c r="F44" i="6" s="1"/>
  <c r="N44" i="6" s="1"/>
  <c r="I44" i="6" s="1" a="1"/>
  <c r="I44" i="6" s="1"/>
  <c r="K44" i="6" s="1"/>
  <c r="F15" i="6" a="1"/>
  <c r="F15" i="6" s="1"/>
  <c r="N15" i="6" s="1"/>
  <c r="O15" i="6" s="1"/>
  <c r="F11" i="6" a="1"/>
  <c r="F11" i="6" s="1"/>
  <c r="N11" i="6" s="1"/>
  <c r="I11" i="6" s="1" a="1"/>
  <c r="I11" i="6" s="1"/>
  <c r="K11" i="6" s="1"/>
  <c r="F12" i="6" a="1"/>
  <c r="F12" i="6" s="1"/>
  <c r="N12" i="6" s="1"/>
  <c r="O12" i="6" s="1"/>
  <c r="F13" i="6" a="1"/>
  <c r="F13" i="6" s="1"/>
  <c r="N13" i="6" s="1"/>
  <c r="I13" i="6" s="1" a="1"/>
  <c r="I13" i="6" s="1"/>
  <c r="K13" i="6" s="1"/>
  <c r="F14" i="6" a="1"/>
  <c r="F14" i="6" s="1"/>
  <c r="N14" i="6" s="1"/>
  <c r="I14" i="6" s="1" a="1"/>
  <c r="I14" i="6" s="1"/>
  <c r="K14" i="6" s="1"/>
  <c r="F78" i="6" a="1"/>
  <c r="F78" i="6" s="1"/>
  <c r="N78" i="6" s="1"/>
  <c r="I78" i="6" s="1" a="1"/>
  <c r="I78" i="6" s="1"/>
  <c r="K78" i="6" s="1"/>
  <c r="F79" i="6" a="1"/>
  <c r="F79" i="6" s="1"/>
  <c r="N79" i="6" s="1"/>
  <c r="I79" i="6" s="1" a="1"/>
  <c r="I79" i="6" s="1"/>
  <c r="K79" i="6" s="1"/>
  <c r="F75" i="6" a="1"/>
  <c r="F75" i="6" s="1"/>
  <c r="N75" i="6" s="1"/>
  <c r="I75" i="6" s="1" a="1"/>
  <c r="I75" i="6" s="1"/>
  <c r="K75" i="6" s="1"/>
  <c r="F76" i="6" a="1"/>
  <c r="F76" i="6" s="1"/>
  <c r="N76" i="6" s="1"/>
  <c r="I76" i="6" s="1" a="1"/>
  <c r="I76" i="6" s="1"/>
  <c r="K76" i="6" s="1"/>
  <c r="F77" i="6" a="1"/>
  <c r="F77" i="6" s="1"/>
  <c r="N77" i="6" s="1"/>
  <c r="I77" i="6" s="1" a="1"/>
  <c r="I77" i="6" s="1"/>
  <c r="K77" i="6" s="1"/>
  <c r="F73" i="6" a="1"/>
  <c r="F73" i="6" s="1"/>
  <c r="N73" i="6" s="1"/>
  <c r="O73" i="6" s="1"/>
  <c r="F74" i="6" a="1"/>
  <c r="F74" i="6" s="1"/>
  <c r="N74" i="6" s="1"/>
  <c r="I74" i="6" s="1" a="1"/>
  <c r="I74" i="6" s="1"/>
  <c r="K74" i="6" s="1"/>
  <c r="F70" i="6" a="1"/>
  <c r="F70" i="6" s="1"/>
  <c r="N70" i="6" s="1"/>
  <c r="O70" i="6" s="1"/>
  <c r="F71" i="6" a="1"/>
  <c r="F71" i="6" s="1"/>
  <c r="N71" i="6" s="1"/>
  <c r="O71" i="6" s="1"/>
  <c r="F72" i="6" a="1"/>
  <c r="F72" i="6" s="1"/>
  <c r="N72" i="6" s="1"/>
  <c r="O72" i="6" s="1"/>
  <c r="F34" i="6" a="1"/>
  <c r="F34" i="6" s="1"/>
  <c r="N34" i="6" s="1"/>
  <c r="I34" i="6" s="1" a="1"/>
  <c r="I34" i="6" s="1"/>
  <c r="K34" i="6" s="1"/>
  <c r="F35" i="6" a="1"/>
  <c r="F35" i="6" s="1"/>
  <c r="N35" i="6" s="1"/>
  <c r="I35" i="6" s="1" a="1"/>
  <c r="I35" i="6" s="1"/>
  <c r="K35" i="6" s="1"/>
  <c r="F31" i="6" a="1"/>
  <c r="F31" i="6" s="1"/>
  <c r="N31" i="6" s="1"/>
  <c r="O31" i="6" s="1"/>
  <c r="F32" i="6" a="1"/>
  <c r="F32" i="6" s="1"/>
  <c r="N32" i="6" s="1"/>
  <c r="I32" i="6" s="1" a="1"/>
  <c r="I32" i="6" s="1"/>
  <c r="K32" i="6" s="1"/>
  <c r="F33" i="6" a="1"/>
  <c r="F33" i="6" s="1"/>
  <c r="N33" i="6" s="1"/>
  <c r="O33" i="6" s="1"/>
  <c r="F83" i="6" a="1"/>
  <c r="F83" i="6" s="1"/>
  <c r="N83" i="6" s="1"/>
  <c r="I83" i="6" s="1" a="1"/>
  <c r="I83" i="6" s="1"/>
  <c r="K83" i="6" s="1"/>
  <c r="F84" i="6" a="1"/>
  <c r="F84" i="6" s="1"/>
  <c r="N84" i="6" s="1"/>
  <c r="O84" i="6" s="1"/>
  <c r="F80" i="6" a="1"/>
  <c r="F80" i="6" s="1"/>
  <c r="N80" i="6" s="1"/>
  <c r="O80" i="6" s="1"/>
  <c r="F81" i="6" a="1"/>
  <c r="F81" i="6" s="1"/>
  <c r="N81" i="6" s="1"/>
  <c r="I81" i="6" s="1" a="1"/>
  <c r="I81" i="6" s="1"/>
  <c r="K81" i="6" s="1"/>
  <c r="F82" i="6" a="1"/>
  <c r="F82" i="6" s="1"/>
  <c r="N82" i="6" s="1"/>
  <c r="I82" i="6" s="1" a="1"/>
  <c r="I82" i="6" s="1"/>
  <c r="K82" i="6" s="1"/>
  <c r="F63" i="6" a="1"/>
  <c r="F63" i="6" s="1"/>
  <c r="N63" i="6" s="1"/>
  <c r="I63" i="6" s="1" a="1"/>
  <c r="I63" i="6" s="1"/>
  <c r="K63" i="6" s="1"/>
  <c r="F64" i="6" a="1"/>
  <c r="F64" i="6" s="1"/>
  <c r="N64" i="6" s="1"/>
  <c r="I64" i="6" s="1" a="1"/>
  <c r="I64" i="6" s="1"/>
  <c r="K64" i="6" s="1"/>
  <c r="F60" i="6" a="1"/>
  <c r="F60" i="6" s="1"/>
  <c r="N60" i="6" s="1"/>
  <c r="O60" i="6" s="1"/>
  <c r="F61" i="6" a="1"/>
  <c r="F61" i="6" s="1"/>
  <c r="N61" i="6" s="1"/>
  <c r="I61" i="6" s="1" a="1"/>
  <c r="I61" i="6" s="1"/>
  <c r="K61" i="6" s="1"/>
  <c r="F62" i="6" a="1"/>
  <c r="F62" i="6" s="1"/>
  <c r="N62" i="6" s="1"/>
  <c r="O62" i="6" s="1"/>
  <c r="F40" i="6" a="1"/>
  <c r="F40" i="6" s="1"/>
  <c r="N40" i="6" s="1"/>
  <c r="I40" i="6" s="1" a="1"/>
  <c r="I40" i="6" s="1"/>
  <c r="K40" i="6" s="1"/>
  <c r="F41" i="6" a="1"/>
  <c r="F41" i="6" s="1"/>
  <c r="N41" i="6" s="1"/>
  <c r="I41" i="6" s="1" a="1"/>
  <c r="I41" i="6" s="1"/>
  <c r="K41" i="6" s="1"/>
  <c r="F39" i="6" a="1"/>
  <c r="F39" i="6" s="1"/>
  <c r="N39" i="6" s="1"/>
  <c r="I39" i="6" s="1" a="1"/>
  <c r="I39" i="6" s="1"/>
  <c r="K39" i="6" s="1"/>
  <c r="F6" i="6" a="1"/>
  <c r="F6" i="6" s="1"/>
  <c r="N6" i="6" s="1"/>
  <c r="I6" i="6" s="1" a="1"/>
  <c r="I6" i="6" s="1"/>
  <c r="K6" i="6" s="1"/>
  <c r="F9" i="6" a="1"/>
  <c r="F9" i="6" s="1"/>
  <c r="N9" i="6" s="1"/>
  <c r="I9" i="6" s="1" a="1"/>
  <c r="I9" i="6" s="1"/>
  <c r="K9" i="6" s="1"/>
  <c r="F10" i="6" a="1"/>
  <c r="F10" i="6" s="1"/>
  <c r="N10" i="6" s="1"/>
  <c r="I10" i="6" s="1" a="1"/>
  <c r="I10" i="6" s="1"/>
  <c r="K10" i="6" s="1"/>
  <c r="F7" i="6" a="1"/>
  <c r="F7" i="6" s="1"/>
  <c r="N7" i="6" s="1"/>
  <c r="I7" i="6" s="1" a="1"/>
  <c r="I7" i="6" s="1"/>
  <c r="K7" i="6" s="1"/>
  <c r="F8" i="6" a="1"/>
  <c r="F8" i="6" s="1"/>
  <c r="N8" i="6" s="1"/>
  <c r="O8" i="6" s="1"/>
  <c r="F48" i="6" a="1"/>
  <c r="F48" i="6" s="1"/>
  <c r="N48" i="6" s="1"/>
  <c r="I48" i="6" s="1" a="1"/>
  <c r="I48" i="6" s="1"/>
  <c r="K48" i="6" s="1"/>
  <c r="F49" i="6" a="1"/>
  <c r="F49" i="6" s="1"/>
  <c r="N49" i="6" s="1"/>
  <c r="I49" i="6" s="1" a="1"/>
  <c r="I49" i="6" s="1"/>
  <c r="K49" i="6" s="1"/>
  <c r="F37" i="6" a="1"/>
  <c r="F37" i="6" s="1"/>
  <c r="N37" i="6" s="1"/>
  <c r="I37" i="6" s="1" a="1"/>
  <c r="I37" i="6" s="1"/>
  <c r="K37" i="6" s="1"/>
  <c r="F38" i="6" a="1"/>
  <c r="F38" i="6" s="1"/>
  <c r="N38" i="6" s="1"/>
  <c r="I38" i="6" s="1" a="1"/>
  <c r="I38" i="6" s="1"/>
  <c r="K38" i="6" s="1"/>
  <c r="F25" i="6" a="1"/>
  <c r="F25" i="6" s="1"/>
  <c r="N25" i="6" s="1"/>
  <c r="O25" i="6" s="1"/>
  <c r="F21" i="6" a="1"/>
  <c r="F21" i="6" s="1"/>
  <c r="N21" i="6" s="1"/>
  <c r="I21" i="6" s="1" a="1"/>
  <c r="I21" i="6" s="1"/>
  <c r="K21" i="6" s="1"/>
  <c r="F22" i="6" a="1"/>
  <c r="F22" i="6" s="1"/>
  <c r="N22" i="6" s="1"/>
  <c r="I22" i="6" s="1" a="1"/>
  <c r="I22" i="6" s="1"/>
  <c r="K22" i="6" s="1"/>
  <c r="F23" i="6" a="1"/>
  <c r="F23" i="6" s="1"/>
  <c r="N23" i="6" s="1"/>
  <c r="I23" i="6" s="1" a="1"/>
  <c r="I23" i="6" s="1"/>
  <c r="K23" i="6" s="1"/>
  <c r="F24" i="6" a="1"/>
  <c r="F24" i="6" s="1"/>
  <c r="N24" i="6" s="1"/>
  <c r="I24" i="6" s="1" a="1"/>
  <c r="I24" i="6" s="1"/>
  <c r="K24" i="6" s="1"/>
  <c r="F54" i="6" a="1"/>
  <c r="F54" i="6" s="1"/>
  <c r="N54" i="6" s="1"/>
  <c r="O54" i="6" s="1"/>
  <c r="F50" i="6" a="1"/>
  <c r="F50" i="6" s="1"/>
  <c r="N50" i="6" s="1"/>
  <c r="F51" i="6" a="1"/>
  <c r="F51" i="6" s="1"/>
  <c r="N51" i="6" s="1"/>
  <c r="O51" i="6" s="1"/>
  <c r="F52" i="6" a="1"/>
  <c r="F52" i="6" s="1"/>
  <c r="N52" i="6" s="1"/>
  <c r="I52" i="6" s="1" a="1"/>
  <c r="I52" i="6" s="1"/>
  <c r="K52" i="6" s="1"/>
  <c r="F53" i="6" a="1"/>
  <c r="F53" i="6" s="1"/>
  <c r="N53" i="6" s="1"/>
  <c r="I53" i="6" s="1" a="1"/>
  <c r="I53" i="6" s="1"/>
  <c r="K53" i="6" s="1"/>
  <c r="O20" i="6"/>
  <c r="I177" i="6" a="1"/>
  <c r="I177" i="6" s="1"/>
  <c r="K177" i="6" s="1"/>
  <c r="O177" i="6"/>
  <c r="O85" i="6"/>
  <c r="O91" i="6"/>
  <c r="I169" i="6" a="1"/>
  <c r="I169" i="6" s="1"/>
  <c r="K169" i="6" s="1"/>
  <c r="O169" i="6"/>
  <c r="I2" i="6" a="1"/>
  <c r="I2" i="6" s="1"/>
  <c r="K2" i="6" s="1"/>
  <c r="O2" i="6"/>
  <c r="I4" i="6" a="1"/>
  <c r="I4" i="6" s="1"/>
  <c r="K4" i="6" s="1"/>
  <c r="O4" i="6"/>
  <c r="I137" i="6" a="1"/>
  <c r="I137" i="6" s="1"/>
  <c r="K137" i="6" s="1"/>
  <c r="O137" i="6"/>
  <c r="I168" i="6" a="1"/>
  <c r="I168" i="6" s="1"/>
  <c r="K168" i="6" s="1"/>
  <c r="O168" i="6"/>
  <c r="I95" i="6" a="1"/>
  <c r="I95" i="6" s="1"/>
  <c r="K95" i="6" s="1"/>
  <c r="O95" i="6"/>
  <c r="I140" i="6" a="1"/>
  <c r="I140" i="6" s="1"/>
  <c r="K140" i="6" s="1"/>
  <c r="I159" i="6" a="1"/>
  <c r="I159" i="6" s="1"/>
  <c r="K159" i="6" s="1"/>
  <c r="O159" i="6"/>
  <c r="I96" i="6" a="1"/>
  <c r="I96" i="6" s="1"/>
  <c r="K96" i="6" s="1"/>
  <c r="O96" i="6"/>
  <c r="I92" i="6" a="1"/>
  <c r="I92" i="6" s="1"/>
  <c r="K92" i="6" s="1"/>
  <c r="O92" i="6"/>
  <c r="I144" i="6" a="1"/>
  <c r="I144" i="6" s="1"/>
  <c r="K144" i="6" s="1"/>
  <c r="I178" i="6" a="1"/>
  <c r="I178" i="6" s="1"/>
  <c r="K178" i="6" s="1"/>
  <c r="O178" i="6"/>
  <c r="I171" i="6" a="1"/>
  <c r="I171" i="6" s="1"/>
  <c r="K171" i="6" s="1"/>
  <c r="O171" i="6"/>
  <c r="I127" i="6" a="1"/>
  <c r="I127" i="6" s="1"/>
  <c r="K127" i="6" s="1"/>
  <c r="O127" i="6"/>
  <c r="O83" i="6"/>
  <c r="I118" i="6" a="1"/>
  <c r="I118" i="6" s="1"/>
  <c r="K118" i="6" s="1"/>
  <c r="O118" i="6"/>
  <c r="I158" i="6" a="1"/>
  <c r="I158" i="6" s="1"/>
  <c r="K158" i="6" s="1"/>
  <c r="O158" i="6"/>
  <c r="I103" i="6" a="1"/>
  <c r="I103" i="6" s="1"/>
  <c r="K103" i="6" s="1"/>
  <c r="I145" i="6" a="1"/>
  <c r="I145" i="6" s="1"/>
  <c r="K145" i="6" s="1"/>
  <c r="I111" i="6" a="1"/>
  <c r="I111" i="6" s="1"/>
  <c r="K111" i="6" s="1"/>
  <c r="I119" i="6" a="1"/>
  <c r="I119" i="6" s="1"/>
  <c r="K119" i="6" s="1"/>
  <c r="O119" i="6"/>
  <c r="I3" i="6" a="1"/>
  <c r="I3" i="6" s="1"/>
  <c r="K3" i="6" s="1"/>
  <c r="O3" i="6"/>
  <c r="I90" i="6" a="1"/>
  <c r="I90" i="6" s="1"/>
  <c r="K90" i="6" s="1"/>
  <c r="O90" i="6"/>
  <c r="I89" i="6" a="1"/>
  <c r="I89" i="6" s="1"/>
  <c r="K89" i="6" s="1"/>
  <c r="O89" i="6"/>
  <c r="I36" i="6" a="1"/>
  <c r="I36" i="6" s="1"/>
  <c r="K36" i="6" s="1"/>
  <c r="O36" i="6"/>
  <c r="I94" i="6" a="1"/>
  <c r="I94" i="6" s="1"/>
  <c r="K94" i="6" s="1"/>
  <c r="O94" i="6"/>
  <c r="I161" i="6" a="1"/>
  <c r="I161" i="6" s="1"/>
  <c r="K161" i="6" s="1"/>
  <c r="I160" i="6" a="1"/>
  <c r="I160" i="6" s="1"/>
  <c r="K160" i="6" s="1"/>
  <c r="O160" i="6"/>
  <c r="I93" i="6" a="1"/>
  <c r="I93" i="6" s="1"/>
  <c r="K93" i="6" s="1"/>
  <c r="O93" i="6"/>
  <c r="I5" i="6" a="1"/>
  <c r="I5" i="6" s="1"/>
  <c r="K5" i="6" s="1"/>
  <c r="O5" i="6"/>
  <c r="F3229" i="6" a="1"/>
  <c r="F3229" i="6" s="1"/>
  <c r="F3226" i="6" a="1"/>
  <c r="F3226" i="6" s="1"/>
  <c r="N3226" i="6" s="1"/>
  <c r="O3226" i="6" s="1"/>
  <c r="F3223" i="6" a="1"/>
  <c r="F3223" i="6" s="1"/>
  <c r="N3223" i="6" s="1"/>
  <c r="O3223" i="6" s="1"/>
  <c r="F3224" i="6" a="1"/>
  <c r="F3224" i="6" s="1"/>
  <c r="N3224" i="6" s="1"/>
  <c r="O3224" i="6" s="1"/>
  <c r="F3228" i="6" a="1"/>
  <c r="F3228" i="6" s="1"/>
  <c r="N3228" i="6" s="1"/>
  <c r="O3228" i="6" s="1"/>
  <c r="F3205" i="6" a="1"/>
  <c r="F3205" i="6" s="1"/>
  <c r="N3205" i="6" s="1"/>
  <c r="O3205" i="6" s="1"/>
  <c r="F3189" i="6" a="1"/>
  <c r="F3189" i="6" s="1"/>
  <c r="N3189" i="6" s="1"/>
  <c r="O3189" i="6" s="1"/>
  <c r="F3173" i="6" a="1"/>
  <c r="F3173" i="6" s="1"/>
  <c r="N3173" i="6" s="1"/>
  <c r="O3173" i="6" s="1"/>
  <c r="F3157" i="6" a="1"/>
  <c r="F3157" i="6" s="1"/>
  <c r="F3141" i="6" a="1"/>
  <c r="F3141" i="6" s="1"/>
  <c r="N3141" i="6" s="1"/>
  <c r="O3141" i="6" s="1"/>
  <c r="F3125" i="6" a="1"/>
  <c r="F3125" i="6" s="1"/>
  <c r="F3109" i="6" a="1"/>
  <c r="F3109" i="6" s="1"/>
  <c r="N3109" i="6" s="1"/>
  <c r="O3109" i="6" s="1"/>
  <c r="F3093" i="6" a="1"/>
  <c r="F3093" i="6" s="1"/>
  <c r="N3093" i="6" s="1"/>
  <c r="O3093" i="6" s="1"/>
  <c r="F3077" i="6" a="1"/>
  <c r="F3077" i="6" s="1"/>
  <c r="F3061" i="6" a="1"/>
  <c r="F3061" i="6" s="1"/>
  <c r="N3061" i="6" s="1"/>
  <c r="O3061" i="6" s="1"/>
  <c r="F3045" i="6" a="1"/>
  <c r="F3045" i="6" s="1"/>
  <c r="N3045" i="6" s="1"/>
  <c r="O3045" i="6" s="1"/>
  <c r="F3029" i="6" a="1"/>
  <c r="F3029" i="6" s="1"/>
  <c r="N3029" i="6" s="1"/>
  <c r="O3029" i="6" s="1"/>
  <c r="F3013" i="6" a="1"/>
  <c r="F3013" i="6" s="1"/>
  <c r="N3013" i="6" s="1"/>
  <c r="O3013" i="6" s="1"/>
  <c r="F2997" i="6" a="1"/>
  <c r="F2997" i="6" s="1"/>
  <c r="N2997" i="6" s="1"/>
  <c r="O2997" i="6" s="1"/>
  <c r="F2981" i="6" a="1"/>
  <c r="F2981" i="6" s="1"/>
  <c r="N2981" i="6" s="1"/>
  <c r="O2981" i="6" s="1"/>
  <c r="F2965" i="6" a="1"/>
  <c r="F2965" i="6" s="1"/>
  <c r="N2965" i="6" s="1"/>
  <c r="O2965" i="6" s="1"/>
  <c r="F2949" i="6" a="1"/>
  <c r="F2949" i="6" s="1"/>
  <c r="N2949" i="6" s="1"/>
  <c r="O2949" i="6" s="1"/>
  <c r="F2933" i="6" a="1"/>
  <c r="F2933" i="6" s="1"/>
  <c r="N2933" i="6" s="1"/>
  <c r="O2933" i="6" s="1"/>
  <c r="F3218" i="6" a="1"/>
  <c r="F3218" i="6" s="1"/>
  <c r="N3218" i="6" s="1"/>
  <c r="O3218" i="6" s="1"/>
  <c r="F3202" i="6" a="1"/>
  <c r="F3202" i="6" s="1"/>
  <c r="N3202" i="6" s="1"/>
  <c r="O3202" i="6" s="1"/>
  <c r="F3186" i="6" a="1"/>
  <c r="F3186" i="6" s="1"/>
  <c r="N3186" i="6" s="1"/>
  <c r="O3186" i="6" s="1"/>
  <c r="F3170" i="6" a="1"/>
  <c r="F3170" i="6" s="1"/>
  <c r="F3154" i="6" a="1"/>
  <c r="F3154" i="6" s="1"/>
  <c r="F3138" i="6" a="1"/>
  <c r="F3138" i="6" s="1"/>
  <c r="N3138" i="6" s="1"/>
  <c r="O3138" i="6" s="1"/>
  <c r="F3122" i="6" a="1"/>
  <c r="F3122" i="6" s="1"/>
  <c r="N3122" i="6" s="1"/>
  <c r="O3122" i="6" s="1"/>
  <c r="F3106" i="6" a="1"/>
  <c r="F3106" i="6" s="1"/>
  <c r="N3106" i="6" s="1"/>
  <c r="O3106" i="6" s="1"/>
  <c r="F3090" i="6" a="1"/>
  <c r="F3090" i="6" s="1"/>
  <c r="F3074" i="6" a="1"/>
  <c r="F3074" i="6" s="1"/>
  <c r="N3074" i="6" s="1"/>
  <c r="O3074" i="6" s="1"/>
  <c r="F3058" i="6" a="1"/>
  <c r="F3058" i="6" s="1"/>
  <c r="N3058" i="6" s="1"/>
  <c r="O3058" i="6" s="1"/>
  <c r="F3042" i="6" a="1"/>
  <c r="F3042" i="6" s="1"/>
  <c r="N3042" i="6" s="1"/>
  <c r="O3042" i="6" s="1"/>
  <c r="F3026" i="6" a="1"/>
  <c r="F3026" i="6" s="1"/>
  <c r="N3026" i="6" s="1"/>
  <c r="O3026" i="6" s="1"/>
  <c r="F3010" i="6" a="1"/>
  <c r="F3010" i="6" s="1"/>
  <c r="N3010" i="6" s="1"/>
  <c r="O3010" i="6" s="1"/>
  <c r="F2994" i="6" a="1"/>
  <c r="F2994" i="6" s="1"/>
  <c r="N2994" i="6" s="1"/>
  <c r="O2994" i="6" s="1"/>
  <c r="F2978" i="6" a="1"/>
  <c r="F2978" i="6" s="1"/>
  <c r="N2978" i="6" s="1"/>
  <c r="O2978" i="6" s="1"/>
  <c r="F2962" i="6" a="1"/>
  <c r="F2962" i="6" s="1"/>
  <c r="N2962" i="6" s="1"/>
  <c r="O2962" i="6" s="1"/>
  <c r="F2946" i="6" a="1"/>
  <c r="F2946" i="6" s="1"/>
  <c r="N2946" i="6" s="1"/>
  <c r="O2946" i="6" s="1"/>
  <c r="F2930" i="6" a="1"/>
  <c r="F2930" i="6" s="1"/>
  <c r="N2930" i="6" s="1"/>
  <c r="O2930" i="6" s="1"/>
  <c r="F3227" i="6" a="1"/>
  <c r="F3227" i="6" s="1"/>
  <c r="N3227" i="6" s="1"/>
  <c r="O3227" i="6" s="1"/>
  <c r="F3216" i="6" a="1"/>
  <c r="F3216" i="6" s="1"/>
  <c r="N3216" i="6" s="1"/>
  <c r="O3216" i="6" s="1"/>
  <c r="F3203" i="6" a="1"/>
  <c r="F3203" i="6" s="1"/>
  <c r="F3195" i="6" a="1"/>
  <c r="F3195" i="6" s="1"/>
  <c r="F3190" i="6" a="1"/>
  <c r="F3190" i="6" s="1"/>
  <c r="N3190" i="6" s="1"/>
  <c r="O3190" i="6" s="1"/>
  <c r="F3182" i="6" a="1"/>
  <c r="F3182" i="6" s="1"/>
  <c r="N3182" i="6" s="1"/>
  <c r="O3182" i="6" s="1"/>
  <c r="F3177" i="6" a="1"/>
  <c r="F3177" i="6" s="1"/>
  <c r="F3169" i="6" a="1"/>
  <c r="F3169" i="6" s="1"/>
  <c r="F3156" i="6" a="1"/>
  <c r="F3156" i="6" s="1"/>
  <c r="N3156" i="6" s="1"/>
  <c r="O3156" i="6" s="1"/>
  <c r="F3143" i="6" a="1"/>
  <c r="F3143" i="6" s="1"/>
  <c r="N3143" i="6" s="1"/>
  <c r="O3143" i="6" s="1"/>
  <c r="F3114" i="6" a="1"/>
  <c r="F3114" i="6" s="1"/>
  <c r="N3114" i="6" s="1"/>
  <c r="O3114" i="6" s="1"/>
  <c r="F3080" i="6" a="1"/>
  <c r="F3080" i="6" s="1"/>
  <c r="F3020" i="6" a="1"/>
  <c r="F3020" i="6" s="1"/>
  <c r="N3020" i="6" s="1"/>
  <c r="O3020" i="6" s="1"/>
  <c r="F3007" i="6" a="1"/>
  <c r="F3007" i="6" s="1"/>
  <c r="N3007" i="6" s="1"/>
  <c r="O3007" i="6" s="1"/>
  <c r="F2986" i="6" a="1"/>
  <c r="F2986" i="6" s="1"/>
  <c r="N2986" i="6" s="1"/>
  <c r="O2986" i="6" s="1"/>
  <c r="F2952" i="6" a="1"/>
  <c r="F2952" i="6" s="1"/>
  <c r="N2952" i="6" s="1"/>
  <c r="O2952" i="6" s="1"/>
  <c r="F2905" i="6" a="1"/>
  <c r="F2905" i="6" s="1"/>
  <c r="N2905" i="6" s="1"/>
  <c r="O2905" i="6" s="1"/>
  <c r="F2889" i="6" a="1"/>
  <c r="F2889" i="6" s="1"/>
  <c r="N2889" i="6" s="1"/>
  <c r="O2889" i="6" s="1"/>
  <c r="F3221" i="6" a="1"/>
  <c r="F3221" i="6" s="1"/>
  <c r="N3221" i="6" s="1"/>
  <c r="O3221" i="6" s="1"/>
  <c r="F3164" i="6" a="1"/>
  <c r="F3164" i="6" s="1"/>
  <c r="N3164" i="6" s="1"/>
  <c r="O3164" i="6" s="1"/>
  <c r="F3151" i="6" a="1"/>
  <c r="F3151" i="6" s="1"/>
  <c r="N3151" i="6" s="1"/>
  <c r="O3151" i="6" s="1"/>
  <c r="F3130" i="6" a="1"/>
  <c r="F3130" i="6" s="1"/>
  <c r="N3130" i="6" s="1"/>
  <c r="O3130" i="6" s="1"/>
  <c r="F3101" i="6" a="1"/>
  <c r="F3101" i="6" s="1"/>
  <c r="N3101" i="6" s="1"/>
  <c r="O3101" i="6" s="1"/>
  <c r="F3088" i="6" a="1"/>
  <c r="F3088" i="6" s="1"/>
  <c r="N3088" i="6" s="1"/>
  <c r="O3088" i="6" s="1"/>
  <c r="F3075" i="6" a="1"/>
  <c r="F3075" i="6" s="1"/>
  <c r="N3075" i="6" s="1"/>
  <c r="O3075" i="6" s="1"/>
  <c r="F3067" i="6" a="1"/>
  <c r="F3067" i="6" s="1"/>
  <c r="N3067" i="6" s="1"/>
  <c r="O3067" i="6" s="1"/>
  <c r="F3062" i="6" a="1"/>
  <c r="F3062" i="6" s="1"/>
  <c r="N3062" i="6" s="1"/>
  <c r="O3062" i="6" s="1"/>
  <c r="F3054" i="6" a="1"/>
  <c r="F3054" i="6" s="1"/>
  <c r="N3054" i="6" s="1"/>
  <c r="O3054" i="6" s="1"/>
  <c r="F3049" i="6" a="1"/>
  <c r="F3049" i="6" s="1"/>
  <c r="N3049" i="6" s="1"/>
  <c r="O3049" i="6" s="1"/>
  <c r="F3041" i="6" a="1"/>
  <c r="F3041" i="6" s="1"/>
  <c r="N3041" i="6" s="1"/>
  <c r="O3041" i="6" s="1"/>
  <c r="F3219" i="6" a="1"/>
  <c r="F3219" i="6" s="1"/>
  <c r="N3219" i="6" s="1"/>
  <c r="O3219" i="6" s="1"/>
  <c r="F3180" i="6" a="1"/>
  <c r="F3180" i="6" s="1"/>
  <c r="N3180" i="6" s="1"/>
  <c r="O3180" i="6" s="1"/>
  <c r="F3167" i="6" a="1"/>
  <c r="F3167" i="6" s="1"/>
  <c r="N3167" i="6" s="1"/>
  <c r="O3167" i="6" s="1"/>
  <c r="F3146" i="6" a="1"/>
  <c r="F3146" i="6" s="1"/>
  <c r="F3117" i="6" a="1"/>
  <c r="F3117" i="6" s="1"/>
  <c r="N3117" i="6" s="1"/>
  <c r="O3117" i="6" s="1"/>
  <c r="F3104" i="6" a="1"/>
  <c r="F3104" i="6" s="1"/>
  <c r="N3104" i="6" s="1"/>
  <c r="O3104" i="6" s="1"/>
  <c r="F3091" i="6" a="1"/>
  <c r="F3091" i="6" s="1"/>
  <c r="N3091" i="6" s="1"/>
  <c r="O3091" i="6" s="1"/>
  <c r="F3083" i="6" a="1"/>
  <c r="F3083" i="6" s="1"/>
  <c r="N3083" i="6" s="1"/>
  <c r="O3083" i="6" s="1"/>
  <c r="F3078" i="6" a="1"/>
  <c r="F3078" i="6" s="1"/>
  <c r="N3078" i="6" s="1"/>
  <c r="O3078" i="6" s="1"/>
  <c r="F3070" i="6" a="1"/>
  <c r="F3070" i="6" s="1"/>
  <c r="N3070" i="6" s="1"/>
  <c r="O3070" i="6" s="1"/>
  <c r="F3065" i="6" a="1"/>
  <c r="F3065" i="6" s="1"/>
  <c r="N3065" i="6" s="1"/>
  <c r="O3065" i="6" s="1"/>
  <c r="F3057" i="6" a="1"/>
  <c r="F3057" i="6" s="1"/>
  <c r="N3057" i="6" s="1"/>
  <c r="O3057" i="6" s="1"/>
  <c r="F3044" i="6" a="1"/>
  <c r="F3044" i="6" s="1"/>
  <c r="N3044" i="6" s="1"/>
  <c r="O3044" i="6" s="1"/>
  <c r="F3031" i="6" a="1"/>
  <c r="F3031" i="6" s="1"/>
  <c r="N3031" i="6" s="1"/>
  <c r="O3031" i="6" s="1"/>
  <c r="F2989" i="6" a="1"/>
  <c r="F2989" i="6" s="1"/>
  <c r="N2989" i="6" s="1"/>
  <c r="O2989" i="6" s="1"/>
  <c r="F2976" i="6" a="1"/>
  <c r="F2976" i="6" s="1"/>
  <c r="N2976" i="6" s="1"/>
  <c r="O2976" i="6" s="1"/>
  <c r="F2963" i="6" a="1"/>
  <c r="F2963" i="6" s="1"/>
  <c r="N2963" i="6" s="1"/>
  <c r="O2963" i="6" s="1"/>
  <c r="F2955" i="6" a="1"/>
  <c r="F2955" i="6" s="1"/>
  <c r="N2955" i="6" s="1"/>
  <c r="O2955" i="6" s="1"/>
  <c r="F2950" i="6" a="1"/>
  <c r="F2950" i="6" s="1"/>
  <c r="N2950" i="6" s="1"/>
  <c r="O2950" i="6" s="1"/>
  <c r="F2942" i="6" a="1"/>
  <c r="F2942" i="6" s="1"/>
  <c r="N2942" i="6" s="1"/>
  <c r="O2942" i="6" s="1"/>
  <c r="F2937" i="6" a="1"/>
  <c r="F2937" i="6" s="1"/>
  <c r="N2937" i="6" s="1"/>
  <c r="O2937" i="6" s="1"/>
  <c r="F2929" i="6" a="1"/>
  <c r="F2929" i="6" s="1"/>
  <c r="N2929" i="6" s="1"/>
  <c r="O2929" i="6" s="1"/>
  <c r="F2912" i="6" a="1"/>
  <c r="F2912" i="6" s="1"/>
  <c r="N2912" i="6" s="1"/>
  <c r="O2912" i="6" s="1"/>
  <c r="F2896" i="6" a="1"/>
  <c r="F2896" i="6" s="1"/>
  <c r="N2896" i="6" s="1"/>
  <c r="O2896" i="6" s="1"/>
  <c r="F3214" i="6" a="1"/>
  <c r="F3214" i="6" s="1"/>
  <c r="N3214" i="6" s="1"/>
  <c r="O3214" i="6" s="1"/>
  <c r="F3209" i="6" a="1"/>
  <c r="F3209" i="6" s="1"/>
  <c r="N3209" i="6" s="1"/>
  <c r="O3209" i="6" s="1"/>
  <c r="F3201" i="6" a="1"/>
  <c r="F3201" i="6" s="1"/>
  <c r="N3201" i="6" s="1"/>
  <c r="O3201" i="6" s="1"/>
  <c r="F3188" i="6" a="1"/>
  <c r="F3188" i="6" s="1"/>
  <c r="N3188" i="6" s="1"/>
  <c r="O3188" i="6" s="1"/>
  <c r="F3175" i="6" a="1"/>
  <c r="F3175" i="6" s="1"/>
  <c r="N3175" i="6" s="1"/>
  <c r="O3175" i="6" s="1"/>
  <c r="F3133" i="6" a="1"/>
  <c r="F3133" i="6" s="1"/>
  <c r="N3133" i="6" s="1"/>
  <c r="O3133" i="6" s="1"/>
  <c r="F3112" i="6" a="1"/>
  <c r="F3112" i="6" s="1"/>
  <c r="N3112" i="6" s="1"/>
  <c r="O3112" i="6" s="1"/>
  <c r="F3220" i="6" a="1"/>
  <c r="F3220" i="6" s="1"/>
  <c r="N3220" i="6" s="1"/>
  <c r="O3220" i="6" s="1"/>
  <c r="F3183" i="6" a="1"/>
  <c r="F3183" i="6" s="1"/>
  <c r="N3183" i="6" s="1"/>
  <c r="O3183" i="6" s="1"/>
  <c r="F3191" i="6" a="1"/>
  <c r="F3191" i="6" s="1"/>
  <c r="F3185" i="6" a="1"/>
  <c r="F3185" i="6" s="1"/>
  <c r="N3185" i="6" s="1"/>
  <c r="O3185" i="6" s="1"/>
  <c r="F3171" i="6" a="1"/>
  <c r="F3171" i="6" s="1"/>
  <c r="F3159" i="6" a="1"/>
  <c r="F3159" i="6" s="1"/>
  <c r="F3155" i="6" a="1"/>
  <c r="F3155" i="6" s="1"/>
  <c r="N3155" i="6" s="1"/>
  <c r="O3155" i="6" s="1"/>
  <c r="F3073" i="6" a="1"/>
  <c r="F3073" i="6" s="1"/>
  <c r="N3073" i="6" s="1"/>
  <c r="O3073" i="6" s="1"/>
  <c r="F3199" i="6" a="1"/>
  <c r="F3199" i="6" s="1"/>
  <c r="N3199" i="6" s="1"/>
  <c r="O3199" i="6" s="1"/>
  <c r="F3193" i="6" a="1"/>
  <c r="F3193" i="6" s="1"/>
  <c r="N3193" i="6" s="1"/>
  <c r="O3193" i="6" s="1"/>
  <c r="F3187" i="6" a="1"/>
  <c r="F3187" i="6" s="1"/>
  <c r="N3187" i="6" s="1"/>
  <c r="O3187" i="6" s="1"/>
  <c r="F3161" i="6" a="1"/>
  <c r="F3161" i="6" s="1"/>
  <c r="N3161" i="6" s="1"/>
  <c r="O3161" i="6" s="1"/>
  <c r="F3153" i="6" a="1"/>
  <c r="F3153" i="6" s="1"/>
  <c r="F3149" i="6" a="1"/>
  <c r="F3149" i="6" s="1"/>
  <c r="N3149" i="6" s="1"/>
  <c r="O3149" i="6" s="1"/>
  <c r="F3145" i="6" a="1"/>
  <c r="F3145" i="6" s="1"/>
  <c r="N3145" i="6" s="1"/>
  <c r="O3145" i="6" s="1"/>
  <c r="F3081" i="6" a="1"/>
  <c r="F3081" i="6" s="1"/>
  <c r="N3081" i="6" s="1"/>
  <c r="O3081" i="6" s="1"/>
  <c r="F3071" i="6" a="1"/>
  <c r="F3071" i="6" s="1"/>
  <c r="F3056" i="6" a="1"/>
  <c r="F3056" i="6" s="1"/>
  <c r="N3056" i="6" s="1"/>
  <c r="O3056" i="6" s="1"/>
  <c r="F3039" i="6" a="1"/>
  <c r="F3039" i="6" s="1"/>
  <c r="N3039" i="6" s="1"/>
  <c r="O3039" i="6" s="1"/>
  <c r="F3032" i="6" a="1"/>
  <c r="F3032" i="6" s="1"/>
  <c r="N3032" i="6" s="1"/>
  <c r="O3032" i="6" s="1"/>
  <c r="F3211" i="6" a="1"/>
  <c r="F3211" i="6" s="1"/>
  <c r="N3211" i="6" s="1"/>
  <c r="O3211" i="6" s="1"/>
  <c r="F3197" i="6" a="1"/>
  <c r="F3197" i="6" s="1"/>
  <c r="N3197" i="6" s="1"/>
  <c r="O3197" i="6" s="1"/>
  <c r="F3181" i="6" a="1"/>
  <c r="F3181" i="6" s="1"/>
  <c r="N3181" i="6" s="1"/>
  <c r="O3181" i="6" s="1"/>
  <c r="F3165" i="6" a="1"/>
  <c r="F3165" i="6" s="1"/>
  <c r="N3165" i="6" s="1"/>
  <c r="O3165" i="6" s="1"/>
  <c r="F3163" i="6" a="1"/>
  <c r="F3163" i="6" s="1"/>
  <c r="N3163" i="6" s="1"/>
  <c r="O3163" i="6" s="1"/>
  <c r="F3139" i="6" a="1"/>
  <c r="F3139" i="6" s="1"/>
  <c r="N3139" i="6" s="1"/>
  <c r="O3139" i="6" s="1"/>
  <c r="F3137" i="6" a="1"/>
  <c r="F3137" i="6" s="1"/>
  <c r="N3137" i="6" s="1"/>
  <c r="O3137" i="6" s="1"/>
  <c r="F3087" i="6" a="1"/>
  <c r="F3087" i="6" s="1"/>
  <c r="N3087" i="6" s="1"/>
  <c r="O3087" i="6" s="1"/>
  <c r="F3079" i="6" a="1"/>
  <c r="F3079" i="6" s="1"/>
  <c r="F3069" i="6" a="1"/>
  <c r="F3069" i="6" s="1"/>
  <c r="F3052" i="6" a="1"/>
  <c r="F3052" i="6" s="1"/>
  <c r="N3052" i="6" s="1"/>
  <c r="O3052" i="6" s="1"/>
  <c r="F3030" i="6" a="1"/>
  <c r="F3030" i="6" s="1"/>
  <c r="N3030" i="6" s="1"/>
  <c r="O3030" i="6" s="1"/>
  <c r="F3012" i="6" a="1"/>
  <c r="F3012" i="6" s="1"/>
  <c r="N3012" i="6" s="1"/>
  <c r="O3012" i="6" s="1"/>
  <c r="F3003" i="6" a="1"/>
  <c r="F3003" i="6" s="1"/>
  <c r="N3003" i="6" s="1"/>
  <c r="O3003" i="6" s="1"/>
  <c r="F3001" i="6" a="1"/>
  <c r="F3001" i="6" s="1"/>
  <c r="N3001" i="6" s="1"/>
  <c r="O3001" i="6" s="1"/>
  <c r="F2983" i="6" a="1"/>
  <c r="F2983" i="6" s="1"/>
  <c r="N2983" i="6" s="1"/>
  <c r="O2983" i="6" s="1"/>
  <c r="F2956" i="6" a="1"/>
  <c r="F2956" i="6" s="1"/>
  <c r="F2947" i="6" a="1"/>
  <c r="F2947" i="6" s="1"/>
  <c r="N2947" i="6" s="1"/>
  <c r="O2947" i="6" s="1"/>
  <c r="F2917" i="6" a="1"/>
  <c r="F2917" i="6" s="1"/>
  <c r="N2917" i="6" s="1"/>
  <c r="O2917" i="6" s="1"/>
  <c r="F2882" i="6" a="1"/>
  <c r="F2882" i="6" s="1"/>
  <c r="N2882" i="6" s="1"/>
  <c r="O2882" i="6" s="1"/>
  <c r="F2866" i="6" a="1"/>
  <c r="F2866" i="6" s="1"/>
  <c r="N2866" i="6" s="1"/>
  <c r="O2866" i="6" s="1"/>
  <c r="F2850" i="6" a="1"/>
  <c r="F2850" i="6" s="1"/>
  <c r="N2850" i="6" s="1"/>
  <c r="O2850" i="6" s="1"/>
  <c r="F2834" i="6" a="1"/>
  <c r="F2834" i="6" s="1"/>
  <c r="N2834" i="6" s="1"/>
  <c r="O2834" i="6" s="1"/>
  <c r="F3222" i="6" a="1"/>
  <c r="F3222" i="6" s="1"/>
  <c r="N3222" i="6" s="1"/>
  <c r="O3222" i="6" s="1"/>
  <c r="F3217" i="6" a="1"/>
  <c r="F3217" i="6" s="1"/>
  <c r="N3217" i="6" s="1"/>
  <c r="O3217" i="6" s="1"/>
  <c r="F3215" i="6" a="1"/>
  <c r="F3215" i="6" s="1"/>
  <c r="N3215" i="6" s="1"/>
  <c r="O3215" i="6" s="1"/>
  <c r="F3213" i="6" a="1"/>
  <c r="F3213" i="6" s="1"/>
  <c r="N3213" i="6" s="1"/>
  <c r="O3213" i="6" s="1"/>
  <c r="F3207" i="6" a="1"/>
  <c r="F3207" i="6" s="1"/>
  <c r="N3207" i="6" s="1"/>
  <c r="O3207" i="6" s="1"/>
  <c r="F3179" i="6" a="1"/>
  <c r="F3179" i="6" s="1"/>
  <c r="F3225" i="6" a="1"/>
  <c r="F3225" i="6" s="1"/>
  <c r="N3225" i="6" s="1"/>
  <c r="O3225" i="6" s="1"/>
  <c r="F3119" i="6" a="1"/>
  <c r="F3119" i="6" s="1"/>
  <c r="N3119" i="6" s="1"/>
  <c r="O3119" i="6" s="1"/>
  <c r="F3105" i="6" a="1"/>
  <c r="F3105" i="6" s="1"/>
  <c r="N3105" i="6" s="1"/>
  <c r="O3105" i="6" s="1"/>
  <c r="F3046" i="6" a="1"/>
  <c r="F3046" i="6" s="1"/>
  <c r="F3035" i="6" a="1"/>
  <c r="F3035" i="6" s="1"/>
  <c r="N3035" i="6" s="1"/>
  <c r="O3035" i="6" s="1"/>
  <c r="F3033" i="6" a="1"/>
  <c r="F3033" i="6" s="1"/>
  <c r="N3033" i="6" s="1"/>
  <c r="O3033" i="6" s="1"/>
  <c r="F3184" i="6" a="1"/>
  <c r="F3184" i="6" s="1"/>
  <c r="N3184" i="6" s="1"/>
  <c r="O3184" i="6" s="1"/>
  <c r="F3172" i="6" a="1"/>
  <c r="F3172" i="6" s="1"/>
  <c r="N3172" i="6" s="1"/>
  <c r="O3172" i="6" s="1"/>
  <c r="F3168" i="6" a="1"/>
  <c r="F3168" i="6" s="1"/>
  <c r="N3168" i="6" s="1"/>
  <c r="O3168" i="6" s="1"/>
  <c r="F3162" i="6" a="1"/>
  <c r="F3162" i="6" s="1"/>
  <c r="N3162" i="6" s="1"/>
  <c r="O3162" i="6" s="1"/>
  <c r="F3158" i="6" a="1"/>
  <c r="F3158" i="6" s="1"/>
  <c r="N3158" i="6" s="1"/>
  <c r="O3158" i="6" s="1"/>
  <c r="F3212" i="6" a="1"/>
  <c r="F3212" i="6" s="1"/>
  <c r="F3196" i="6" a="1"/>
  <c r="F3196" i="6" s="1"/>
  <c r="N3196" i="6" s="1"/>
  <c r="O3196" i="6" s="1"/>
  <c r="F3210" i="6" a="1"/>
  <c r="F3210" i="6" s="1"/>
  <c r="N3210" i="6" s="1"/>
  <c r="O3210" i="6" s="1"/>
  <c r="F3204" i="6" a="1"/>
  <c r="F3204" i="6" s="1"/>
  <c r="N3204" i="6" s="1"/>
  <c r="O3204" i="6" s="1"/>
  <c r="F3198" i="6" a="1"/>
  <c r="F3198" i="6" s="1"/>
  <c r="N3198" i="6" s="1"/>
  <c r="O3198" i="6" s="1"/>
  <c r="F3194" i="6" a="1"/>
  <c r="F3194" i="6" s="1"/>
  <c r="N3194" i="6" s="1"/>
  <c r="O3194" i="6" s="1"/>
  <c r="F3192" i="6" a="1"/>
  <c r="F3192" i="6" s="1"/>
  <c r="N3192" i="6" s="1"/>
  <c r="O3192" i="6" s="1"/>
  <c r="F3208" i="6" a="1"/>
  <c r="F3208" i="6" s="1"/>
  <c r="F3206" i="6" a="1"/>
  <c r="F3206" i="6" s="1"/>
  <c r="F3200" i="6" a="1"/>
  <c r="F3200" i="6" s="1"/>
  <c r="N3200" i="6" s="1"/>
  <c r="O3200" i="6" s="1"/>
  <c r="F3132" i="6" a="1"/>
  <c r="F3132" i="6" s="1"/>
  <c r="N3132" i="6" s="1"/>
  <c r="O3132" i="6" s="1"/>
  <c r="F3128" i="6" a="1"/>
  <c r="F3128" i="6" s="1"/>
  <c r="F3126" i="6" a="1"/>
  <c r="F3126" i="6" s="1"/>
  <c r="N3126" i="6" s="1"/>
  <c r="O3126" i="6" s="1"/>
  <c r="F3124" i="6" a="1"/>
  <c r="F3124" i="6" s="1"/>
  <c r="N3124" i="6" s="1"/>
  <c r="O3124" i="6" s="1"/>
  <c r="F3094" i="6" a="1"/>
  <c r="F3094" i="6" s="1"/>
  <c r="N3094" i="6" s="1"/>
  <c r="O3094" i="6" s="1"/>
  <c r="F3084" i="6" a="1"/>
  <c r="F3084" i="6" s="1"/>
  <c r="N3084" i="6" s="1"/>
  <c r="O3084" i="6" s="1"/>
  <c r="F3082" i="6" a="1"/>
  <c r="F3082" i="6" s="1"/>
  <c r="F3176" i="6" a="1"/>
  <c r="F3176" i="6" s="1"/>
  <c r="N3176" i="6" s="1"/>
  <c r="O3176" i="6" s="1"/>
  <c r="F3134" i="6" a="1"/>
  <c r="F3134" i="6" s="1"/>
  <c r="N3134" i="6" s="1"/>
  <c r="O3134" i="6" s="1"/>
  <c r="F3121" i="6" a="1"/>
  <c r="F3121" i="6" s="1"/>
  <c r="N3121" i="6" s="1"/>
  <c r="O3121" i="6" s="1"/>
  <c r="F3160" i="6" a="1"/>
  <c r="F3160" i="6" s="1"/>
  <c r="N3160" i="6" s="1"/>
  <c r="O3160" i="6" s="1"/>
  <c r="F3136" i="6" a="1"/>
  <c r="F3136" i="6" s="1"/>
  <c r="N3136" i="6" s="1"/>
  <c r="O3136" i="6" s="1"/>
  <c r="F3123" i="6" a="1"/>
  <c r="F3123" i="6" s="1"/>
  <c r="N3123" i="6" s="1"/>
  <c r="O3123" i="6" s="1"/>
  <c r="F3027" i="6" a="1"/>
  <c r="F3027" i="6" s="1"/>
  <c r="N3027" i="6" s="1"/>
  <c r="O3027" i="6" s="1"/>
  <c r="F3017" i="6" a="1"/>
  <c r="F3017" i="6" s="1"/>
  <c r="N3017" i="6" s="1"/>
  <c r="O3017" i="6" s="1"/>
  <c r="F2980" i="6" a="1"/>
  <c r="F2980" i="6" s="1"/>
  <c r="F2967" i="6" a="1"/>
  <c r="F2967" i="6" s="1"/>
  <c r="N2967" i="6" s="1"/>
  <c r="O2967" i="6" s="1"/>
  <c r="F2948" i="6" a="1"/>
  <c r="F2948" i="6" s="1"/>
  <c r="F2924" i="6" a="1"/>
  <c r="F2924" i="6" s="1"/>
  <c r="N2924" i="6" s="1"/>
  <c r="O2924" i="6" s="1"/>
  <c r="F2910" i="6" a="1"/>
  <c r="F2910" i="6" s="1"/>
  <c r="N2910" i="6" s="1"/>
  <c r="O2910" i="6" s="1"/>
  <c r="F3152" i="6" a="1"/>
  <c r="F3152" i="6" s="1"/>
  <c r="N3152" i="6" s="1"/>
  <c r="O3152" i="6" s="1"/>
  <c r="F3142" i="6" a="1"/>
  <c r="F3142" i="6" s="1"/>
  <c r="N3142" i="6" s="1"/>
  <c r="O3142" i="6" s="1"/>
  <c r="F3118" i="6" a="1"/>
  <c r="F3118" i="6" s="1"/>
  <c r="N3118" i="6" s="1"/>
  <c r="O3118" i="6" s="1"/>
  <c r="F3115" i="6" a="1"/>
  <c r="F3115" i="6" s="1"/>
  <c r="N3115" i="6" s="1"/>
  <c r="O3115" i="6" s="1"/>
  <c r="F3102" i="6" a="1"/>
  <c r="F3102" i="6" s="1"/>
  <c r="N3102" i="6" s="1"/>
  <c r="O3102" i="6" s="1"/>
  <c r="F3086" i="6" a="1"/>
  <c r="F3086" i="6" s="1"/>
  <c r="N3086" i="6" s="1"/>
  <c r="O3086" i="6" s="1"/>
  <c r="F3021" i="6" a="1"/>
  <c r="F3021" i="6" s="1"/>
  <c r="N3021" i="6" s="1"/>
  <c r="O3021" i="6" s="1"/>
  <c r="F3019" i="6" a="1"/>
  <c r="F3019" i="6" s="1"/>
  <c r="N3019" i="6" s="1"/>
  <c r="O3019" i="6" s="1"/>
  <c r="F3015" i="6" a="1"/>
  <c r="F3015" i="6" s="1"/>
  <c r="N3015" i="6" s="1"/>
  <c r="O3015" i="6" s="1"/>
  <c r="F3011" i="6" a="1"/>
  <c r="F3011" i="6" s="1"/>
  <c r="N3011" i="6" s="1"/>
  <c r="O3011" i="6" s="1"/>
  <c r="F3107" i="6" a="1"/>
  <c r="F3107" i="6" s="1"/>
  <c r="N3107" i="6" s="1"/>
  <c r="O3107" i="6" s="1"/>
  <c r="F3131" i="6" a="1"/>
  <c r="F3131" i="6" s="1"/>
  <c r="N3131" i="6" s="1"/>
  <c r="O3131" i="6" s="1"/>
  <c r="F3174" i="6" a="1"/>
  <c r="F3174" i="6" s="1"/>
  <c r="N3174" i="6" s="1"/>
  <c r="O3174" i="6" s="1"/>
  <c r="F3166" i="6" a="1"/>
  <c r="F3166" i="6" s="1"/>
  <c r="N3166" i="6" s="1"/>
  <c r="O3166" i="6" s="1"/>
  <c r="F3059" i="6" a="1"/>
  <c r="F3059" i="6" s="1"/>
  <c r="N3059" i="6" s="1"/>
  <c r="O3059" i="6" s="1"/>
  <c r="F3050" i="6" a="1"/>
  <c r="F3050" i="6" s="1"/>
  <c r="N3050" i="6" s="1"/>
  <c r="O3050" i="6" s="1"/>
  <c r="F2901" i="6" a="1"/>
  <c r="F2901" i="6" s="1"/>
  <c r="F2894" i="6" a="1"/>
  <c r="F2894" i="6" s="1"/>
  <c r="N2894" i="6" s="1"/>
  <c r="O2894" i="6" s="1"/>
  <c r="F3178" i="6" a="1"/>
  <c r="F3178" i="6" s="1"/>
  <c r="N3178" i="6" s="1"/>
  <c r="O3178" i="6" s="1"/>
  <c r="F3135" i="6" a="1"/>
  <c r="F3135" i="6" s="1"/>
  <c r="N3135" i="6" s="1"/>
  <c r="O3135" i="6" s="1"/>
  <c r="F3148" i="6" a="1"/>
  <c r="F3148" i="6" s="1"/>
  <c r="N3148" i="6" s="1"/>
  <c r="O3148" i="6" s="1"/>
  <c r="F3111" i="6" a="1"/>
  <c r="F3111" i="6" s="1"/>
  <c r="N3111" i="6" s="1"/>
  <c r="O3111" i="6" s="1"/>
  <c r="F3085" i="6" a="1"/>
  <c r="F3085" i="6" s="1"/>
  <c r="N3085" i="6" s="1"/>
  <c r="O3085" i="6" s="1"/>
  <c r="F3144" i="6" a="1"/>
  <c r="F3144" i="6" s="1"/>
  <c r="N3144" i="6" s="1"/>
  <c r="O3144" i="6" s="1"/>
  <c r="F3127" i="6" a="1"/>
  <c r="F3127" i="6" s="1"/>
  <c r="N3127" i="6" s="1"/>
  <c r="O3127" i="6" s="1"/>
  <c r="F3076" i="6" a="1"/>
  <c r="F3076" i="6" s="1"/>
  <c r="N3076" i="6" s="1"/>
  <c r="O3076" i="6" s="1"/>
  <c r="F3063" i="6" a="1"/>
  <c r="F3063" i="6" s="1"/>
  <c r="N3063" i="6" s="1"/>
  <c r="O3063" i="6" s="1"/>
  <c r="F3150" i="6" a="1"/>
  <c r="F3150" i="6" s="1"/>
  <c r="N3150" i="6" s="1"/>
  <c r="O3150" i="6" s="1"/>
  <c r="F3140" i="6" a="1"/>
  <c r="F3140" i="6" s="1"/>
  <c r="N3140" i="6" s="1"/>
  <c r="O3140" i="6" s="1"/>
  <c r="F3129" i="6" a="1"/>
  <c r="F3129" i="6" s="1"/>
  <c r="N3129" i="6" s="1"/>
  <c r="O3129" i="6" s="1"/>
  <c r="F3108" i="6" a="1"/>
  <c r="F3108" i="6" s="1"/>
  <c r="N3108" i="6" s="1"/>
  <c r="O3108" i="6" s="1"/>
  <c r="F3103" i="6" a="1"/>
  <c r="F3103" i="6" s="1"/>
  <c r="N3103" i="6" s="1"/>
  <c r="O3103" i="6" s="1"/>
  <c r="F3113" i="6" a="1"/>
  <c r="F3113" i="6" s="1"/>
  <c r="N3113" i="6" s="1"/>
  <c r="O3113" i="6" s="1"/>
  <c r="F3110" i="6" a="1"/>
  <c r="F3110" i="6" s="1"/>
  <c r="N3110" i="6" s="1"/>
  <c r="O3110" i="6" s="1"/>
  <c r="F3100" i="6" a="1"/>
  <c r="F3100" i="6" s="1"/>
  <c r="N3100" i="6" s="1"/>
  <c r="O3100" i="6" s="1"/>
  <c r="F3089" i="6" a="1"/>
  <c r="F3089" i="6" s="1"/>
  <c r="N3089" i="6" s="1"/>
  <c r="O3089" i="6" s="1"/>
  <c r="F3116" i="6" a="1"/>
  <c r="F3116" i="6" s="1"/>
  <c r="N3116" i="6" s="1"/>
  <c r="O3116" i="6" s="1"/>
  <c r="F3096" i="6" a="1"/>
  <c r="F3096" i="6" s="1"/>
  <c r="N3096" i="6" s="1"/>
  <c r="O3096" i="6" s="1"/>
  <c r="F3092" i="6" a="1"/>
  <c r="F3092" i="6" s="1"/>
  <c r="N3092" i="6" s="1"/>
  <c r="O3092" i="6" s="1"/>
  <c r="F3023" i="6" a="1"/>
  <c r="F3023" i="6" s="1"/>
  <c r="N3023" i="6" s="1"/>
  <c r="O3023" i="6" s="1"/>
  <c r="F2972" i="6" a="1"/>
  <c r="F2972" i="6" s="1"/>
  <c r="F2968" i="6" a="1"/>
  <c r="F2968" i="6" s="1"/>
  <c r="F2941" i="6" a="1"/>
  <c r="F2941" i="6" s="1"/>
  <c r="N2941" i="6" s="1"/>
  <c r="O2941" i="6" s="1"/>
  <c r="F2915" i="6" a="1"/>
  <c r="F2915" i="6" s="1"/>
  <c r="N2915" i="6" s="1"/>
  <c r="O2915" i="6" s="1"/>
  <c r="F2864" i="6" a="1"/>
  <c r="F2864" i="6" s="1"/>
  <c r="N2864" i="6" s="1"/>
  <c r="O2864" i="6" s="1"/>
  <c r="F2861" i="6" a="1"/>
  <c r="F2861" i="6" s="1"/>
  <c r="N2861" i="6" s="1"/>
  <c r="O2861" i="6" s="1"/>
  <c r="F2841" i="6" a="1"/>
  <c r="F2841" i="6" s="1"/>
  <c r="N2841" i="6" s="1"/>
  <c r="O2841" i="6" s="1"/>
  <c r="F2814" i="6" a="1"/>
  <c r="F2814" i="6" s="1"/>
  <c r="N2814" i="6" s="1"/>
  <c r="O2814" i="6" s="1"/>
  <c r="F2798" i="6" a="1"/>
  <c r="F2798" i="6" s="1"/>
  <c r="F2782" i="6" a="1"/>
  <c r="F2782" i="6" s="1"/>
  <c r="N2782" i="6" s="1"/>
  <c r="O2782" i="6" s="1"/>
  <c r="F2766" i="6" a="1"/>
  <c r="F2766" i="6" s="1"/>
  <c r="N2766" i="6" s="1"/>
  <c r="O2766" i="6" s="1"/>
  <c r="F2750" i="6" a="1"/>
  <c r="F2750" i="6" s="1"/>
  <c r="N2750" i="6" s="1"/>
  <c r="O2750" i="6" s="1"/>
  <c r="F2734" i="6" a="1"/>
  <c r="F2734" i="6" s="1"/>
  <c r="N2734" i="6" s="1"/>
  <c r="O2734" i="6" s="1"/>
  <c r="F2718" i="6" a="1"/>
  <c r="F2718" i="6" s="1"/>
  <c r="N2718" i="6" s="1"/>
  <c r="O2718" i="6" s="1"/>
  <c r="F2702" i="6" a="1"/>
  <c r="F2702" i="6" s="1"/>
  <c r="N2702" i="6" s="1"/>
  <c r="O2702" i="6" s="1"/>
  <c r="F2686" i="6" a="1"/>
  <c r="F2686" i="6" s="1"/>
  <c r="F2670" i="6" a="1"/>
  <c r="F2670" i="6" s="1"/>
  <c r="F2654" i="6" a="1"/>
  <c r="F2654" i="6" s="1"/>
  <c r="N2654" i="6" s="1"/>
  <c r="O2654" i="6" s="1"/>
  <c r="F2638" i="6" a="1"/>
  <c r="F2638" i="6" s="1"/>
  <c r="N2638" i="6" s="1"/>
  <c r="O2638" i="6" s="1"/>
  <c r="F2622" i="6" a="1"/>
  <c r="F2622" i="6" s="1"/>
  <c r="F2606" i="6" a="1"/>
  <c r="F2606" i="6" s="1"/>
  <c r="N2606" i="6" s="1"/>
  <c r="O2606" i="6" s="1"/>
  <c r="F2590" i="6" a="1"/>
  <c r="F2590" i="6" s="1"/>
  <c r="F2574" i="6" a="1"/>
  <c r="F2574" i="6" s="1"/>
  <c r="N2574" i="6" s="1"/>
  <c r="O2574" i="6" s="1"/>
  <c r="F2558" i="6" a="1"/>
  <c r="F2558" i="6" s="1"/>
  <c r="N2558" i="6" s="1"/>
  <c r="O2558" i="6" s="1"/>
  <c r="F2542" i="6" a="1"/>
  <c r="F2542" i="6" s="1"/>
  <c r="N2542" i="6" s="1"/>
  <c r="O2542" i="6" s="1"/>
  <c r="F2526" i="6" a="1"/>
  <c r="F2526" i="6" s="1"/>
  <c r="N2526" i="6" s="1"/>
  <c r="O2526" i="6" s="1"/>
  <c r="F2510" i="6" a="1"/>
  <c r="F2510" i="6" s="1"/>
  <c r="F2494" i="6" a="1"/>
  <c r="F2494" i="6" s="1"/>
  <c r="F2478" i="6" a="1"/>
  <c r="F2478" i="6" s="1"/>
  <c r="N2478" i="6" s="1"/>
  <c r="O2478" i="6" s="1"/>
  <c r="F2462" i="6" a="1"/>
  <c r="F2462" i="6" s="1"/>
  <c r="N2462" i="6" s="1"/>
  <c r="O2462" i="6" s="1"/>
  <c r="F2446" i="6" a="1"/>
  <c r="F2446" i="6" s="1"/>
  <c r="F2430" i="6" a="1"/>
  <c r="F2430" i="6" s="1"/>
  <c r="F2414" i="6" a="1"/>
  <c r="F2414" i="6" s="1"/>
  <c r="F2398" i="6" a="1"/>
  <c r="F2398" i="6" s="1"/>
  <c r="N2398" i="6" s="1"/>
  <c r="O2398" i="6" s="1"/>
  <c r="F3025" i="6" a="1"/>
  <c r="F3025" i="6" s="1"/>
  <c r="N3025" i="6" s="1"/>
  <c r="O3025" i="6" s="1"/>
  <c r="F3120" i="6" a="1"/>
  <c r="F3120" i="6" s="1"/>
  <c r="N3120" i="6" s="1"/>
  <c r="O3120" i="6" s="1"/>
  <c r="F3147" i="6" a="1"/>
  <c r="F3147" i="6" s="1"/>
  <c r="N3147" i="6" s="1"/>
  <c r="O3147" i="6" s="1"/>
  <c r="F3034" i="6" a="1"/>
  <c r="F3034" i="6" s="1"/>
  <c r="N3034" i="6" s="1"/>
  <c r="O3034" i="6" s="1"/>
  <c r="F3099" i="6" a="1"/>
  <c r="F3099" i="6" s="1"/>
  <c r="N3099" i="6" s="1"/>
  <c r="O3099" i="6" s="1"/>
  <c r="F3051" i="6" a="1"/>
  <c r="F3051" i="6" s="1"/>
  <c r="N3051" i="6" s="1"/>
  <c r="O3051" i="6" s="1"/>
  <c r="F3095" i="6" a="1"/>
  <c r="F3095" i="6" s="1"/>
  <c r="N3095" i="6" s="1"/>
  <c r="O3095" i="6" s="1"/>
  <c r="F3072" i="6" a="1"/>
  <c r="F3072" i="6" s="1"/>
  <c r="N3072" i="6" s="1"/>
  <c r="O3072" i="6" s="1"/>
  <c r="F3004" i="6" a="1"/>
  <c r="F3004" i="6" s="1"/>
  <c r="N3004" i="6" s="1"/>
  <c r="O3004" i="6" s="1"/>
  <c r="F2999" i="6" a="1"/>
  <c r="F2999" i="6" s="1"/>
  <c r="F2992" i="6" a="1"/>
  <c r="F2992" i="6" s="1"/>
  <c r="F2940" i="6" a="1"/>
  <c r="F2940" i="6" s="1"/>
  <c r="N2940" i="6" s="1"/>
  <c r="O2940" i="6" s="1"/>
  <c r="F2934" i="6" a="1"/>
  <c r="F2934" i="6" s="1"/>
  <c r="N2934" i="6" s="1"/>
  <c r="O2934" i="6" s="1"/>
  <c r="F2932" i="6" a="1"/>
  <c r="F2932" i="6" s="1"/>
  <c r="F3055" i="6" a="1"/>
  <c r="F3055" i="6" s="1"/>
  <c r="N3055" i="6" s="1"/>
  <c r="O3055" i="6" s="1"/>
  <c r="F3048" i="6" a="1"/>
  <c r="F3048" i="6" s="1"/>
  <c r="N3048" i="6" s="1"/>
  <c r="O3048" i="6" s="1"/>
  <c r="F3038" i="6" a="1"/>
  <c r="F3038" i="6" s="1"/>
  <c r="N3038" i="6" s="1"/>
  <c r="O3038" i="6" s="1"/>
  <c r="F3022" i="6" a="1"/>
  <c r="F3022" i="6" s="1"/>
  <c r="N3022" i="6" s="1"/>
  <c r="O3022" i="6" s="1"/>
  <c r="F3008" i="6" a="1"/>
  <c r="F3008" i="6" s="1"/>
  <c r="N3008" i="6" s="1"/>
  <c r="O3008" i="6" s="1"/>
  <c r="F3098" i="6" a="1"/>
  <c r="F3098" i="6" s="1"/>
  <c r="F3097" i="6" a="1"/>
  <c r="F3097" i="6" s="1"/>
  <c r="N3097" i="6" s="1"/>
  <c r="O3097" i="6" s="1"/>
  <c r="F3064" i="6" a="1"/>
  <c r="F3064" i="6" s="1"/>
  <c r="N3064" i="6" s="1"/>
  <c r="O3064" i="6" s="1"/>
  <c r="F3060" i="6" a="1"/>
  <c r="F3060" i="6" s="1"/>
  <c r="N3060" i="6" s="1"/>
  <c r="O3060" i="6" s="1"/>
  <c r="F3066" i="6" a="1"/>
  <c r="F3066" i="6" s="1"/>
  <c r="N3066" i="6" s="1"/>
  <c r="O3066" i="6" s="1"/>
  <c r="F3053" i="6" a="1"/>
  <c r="F3053" i="6" s="1"/>
  <c r="F2987" i="6" a="1"/>
  <c r="F2987" i="6" s="1"/>
  <c r="N2987" i="6" s="1"/>
  <c r="O2987" i="6" s="1"/>
  <c r="F3043" i="6" a="1"/>
  <c r="F3043" i="6" s="1"/>
  <c r="N3043" i="6" s="1"/>
  <c r="O3043" i="6" s="1"/>
  <c r="F2998" i="6" a="1"/>
  <c r="F2998" i="6" s="1"/>
  <c r="N2998" i="6" s="1"/>
  <c r="O2998" i="6" s="1"/>
  <c r="F2975" i="6" a="1"/>
  <c r="F2975" i="6" s="1"/>
  <c r="N2975" i="6" s="1"/>
  <c r="O2975" i="6" s="1"/>
  <c r="F2959" i="6" a="1"/>
  <c r="F2959" i="6" s="1"/>
  <c r="N2959" i="6" s="1"/>
  <c r="O2959" i="6" s="1"/>
  <c r="F2884" i="6" a="1"/>
  <c r="F2884" i="6" s="1"/>
  <c r="N2884" i="6" s="1"/>
  <c r="O2884" i="6" s="1"/>
  <c r="F2855" i="6" a="1"/>
  <c r="F2855" i="6" s="1"/>
  <c r="N2855" i="6" s="1"/>
  <c r="O2855" i="6" s="1"/>
  <c r="F2842" i="6" a="1"/>
  <c r="F2842" i="6" s="1"/>
  <c r="N2842" i="6" s="1"/>
  <c r="O2842" i="6" s="1"/>
  <c r="F2821" i="6" a="1"/>
  <c r="F2821" i="6" s="1"/>
  <c r="N2821" i="6" s="1"/>
  <c r="O2821" i="6" s="1"/>
  <c r="F3037" i="6" a="1"/>
  <c r="F3037" i="6" s="1"/>
  <c r="N3037" i="6" s="1"/>
  <c r="O3037" i="6" s="1"/>
  <c r="F3028" i="6" a="1"/>
  <c r="F3028" i="6" s="1"/>
  <c r="F3014" i="6" a="1"/>
  <c r="F3014" i="6" s="1"/>
  <c r="N3014" i="6" s="1"/>
  <c r="O3014" i="6" s="1"/>
  <c r="F3006" i="6" a="1"/>
  <c r="F3006" i="6" s="1"/>
  <c r="N3006" i="6" s="1"/>
  <c r="O3006" i="6" s="1"/>
  <c r="F3068" i="6" a="1"/>
  <c r="F3068" i="6" s="1"/>
  <c r="N3068" i="6" s="1"/>
  <c r="O3068" i="6" s="1"/>
  <c r="F3005" i="6" a="1"/>
  <c r="F3005" i="6" s="1"/>
  <c r="N3005" i="6" s="1"/>
  <c r="O3005" i="6" s="1"/>
  <c r="F3002" i="6" a="1"/>
  <c r="F3002" i="6" s="1"/>
  <c r="N3002" i="6" s="1"/>
  <c r="O3002" i="6" s="1"/>
  <c r="F2996" i="6" a="1"/>
  <c r="F2996" i="6" s="1"/>
  <c r="N2996" i="6" s="1"/>
  <c r="O2996" i="6" s="1"/>
  <c r="F2961" i="6" a="1"/>
  <c r="F2961" i="6" s="1"/>
  <c r="N2961" i="6" s="1"/>
  <c r="O2961" i="6" s="1"/>
  <c r="F2883" i="6" a="1"/>
  <c r="F2883" i="6" s="1"/>
  <c r="N2883" i="6" s="1"/>
  <c r="O2883" i="6" s="1"/>
  <c r="F2878" i="6" a="1"/>
  <c r="F2878" i="6" s="1"/>
  <c r="N2878" i="6" s="1"/>
  <c r="O2878" i="6" s="1"/>
  <c r="F2801" i="6" a="1"/>
  <c r="F2801" i="6" s="1"/>
  <c r="N2801" i="6" s="1"/>
  <c r="O2801" i="6" s="1"/>
  <c r="F2784" i="6" a="1"/>
  <c r="F2784" i="6" s="1"/>
  <c r="N2784" i="6" s="1"/>
  <c r="O2784" i="6" s="1"/>
  <c r="F2781" i="6" a="1"/>
  <c r="F2781" i="6" s="1"/>
  <c r="N2781" i="6" s="1"/>
  <c r="O2781" i="6" s="1"/>
  <c r="F2758" i="6" a="1"/>
  <c r="F2758" i="6" s="1"/>
  <c r="N2758" i="6" s="1"/>
  <c r="O2758" i="6" s="1"/>
  <c r="F2738" i="6" a="1"/>
  <c r="F2738" i="6" s="1"/>
  <c r="N2738" i="6" s="1"/>
  <c r="O2738" i="6" s="1"/>
  <c r="F2735" i="6" a="1"/>
  <c r="F2735" i="6" s="1"/>
  <c r="N2735" i="6" s="1"/>
  <c r="O2735" i="6" s="1"/>
  <c r="F2715" i="6" a="1"/>
  <c r="F2715" i="6" s="1"/>
  <c r="N2715" i="6" s="1"/>
  <c r="O2715" i="6" s="1"/>
  <c r="F2712" i="6" a="1"/>
  <c r="F2712" i="6" s="1"/>
  <c r="N2712" i="6" s="1"/>
  <c r="O2712" i="6" s="1"/>
  <c r="F2689" i="6" a="1"/>
  <c r="F2689" i="6" s="1"/>
  <c r="N2689" i="6" s="1"/>
  <c r="O2689" i="6" s="1"/>
  <c r="F3047" i="6" a="1"/>
  <c r="F3047" i="6" s="1"/>
  <c r="F3040" i="6" a="1"/>
  <c r="F3040" i="6" s="1"/>
  <c r="N3040" i="6" s="1"/>
  <c r="O3040" i="6" s="1"/>
  <c r="F2993" i="6" a="1"/>
  <c r="F2993" i="6" s="1"/>
  <c r="N2993" i="6" s="1"/>
  <c r="O2993" i="6" s="1"/>
  <c r="F2921" i="6" a="1"/>
  <c r="F2921" i="6" s="1"/>
  <c r="N2921" i="6" s="1"/>
  <c r="O2921" i="6" s="1"/>
  <c r="F2900" i="6" a="1"/>
  <c r="F2900" i="6" s="1"/>
  <c r="F2892" i="6" a="1"/>
  <c r="F2892" i="6" s="1"/>
  <c r="N2892" i="6" s="1"/>
  <c r="O2892" i="6" s="1"/>
  <c r="F2876" i="6" a="1"/>
  <c r="F2876" i="6" s="1"/>
  <c r="N2876" i="6" s="1"/>
  <c r="O2876" i="6" s="1"/>
  <c r="F2817" i="6" a="1"/>
  <c r="F2817" i="6" s="1"/>
  <c r="F2796" i="6" a="1"/>
  <c r="F2796" i="6" s="1"/>
  <c r="N2796" i="6" s="1"/>
  <c r="O2796" i="6" s="1"/>
  <c r="F2793" i="6" a="1"/>
  <c r="F2793" i="6" s="1"/>
  <c r="N2793" i="6" s="1"/>
  <c r="O2793" i="6" s="1"/>
  <c r="F2773" i="6" a="1"/>
  <c r="F2773" i="6" s="1"/>
  <c r="N2773" i="6" s="1"/>
  <c r="O2773" i="6" s="1"/>
  <c r="F2724" i="6" a="1"/>
  <c r="F2724" i="6" s="1"/>
  <c r="N2724" i="6" s="1"/>
  <c r="O2724" i="6" s="1"/>
  <c r="F2704" i="6" a="1"/>
  <c r="F2704" i="6" s="1"/>
  <c r="N2704" i="6" s="1"/>
  <c r="O2704" i="6" s="1"/>
  <c r="F2701" i="6" a="1"/>
  <c r="F2701" i="6" s="1"/>
  <c r="N2701" i="6" s="1"/>
  <c r="O2701" i="6" s="1"/>
  <c r="F2678" i="6" a="1"/>
  <c r="F2678" i="6" s="1"/>
  <c r="N2678" i="6" s="1"/>
  <c r="O2678" i="6" s="1"/>
  <c r="F2658" i="6" a="1"/>
  <c r="F2658" i="6" s="1"/>
  <c r="N2658" i="6" s="1"/>
  <c r="O2658" i="6" s="1"/>
  <c r="F2655" i="6" a="1"/>
  <c r="F2655" i="6" s="1"/>
  <c r="N2655" i="6" s="1"/>
  <c r="O2655" i="6" s="1"/>
  <c r="F2635" i="6" a="1"/>
  <c r="F2635" i="6" s="1"/>
  <c r="N2635" i="6" s="1"/>
  <c r="O2635" i="6" s="1"/>
  <c r="F2632" i="6" a="1"/>
  <c r="F2632" i="6" s="1"/>
  <c r="N2632" i="6" s="1"/>
  <c r="O2632" i="6" s="1"/>
  <c r="F2609" i="6" a="1"/>
  <c r="F2609" i="6" s="1"/>
  <c r="N2609" i="6" s="1"/>
  <c r="O2609" i="6" s="1"/>
  <c r="F2990" i="6" a="1"/>
  <c r="F2990" i="6" s="1"/>
  <c r="N2990" i="6" s="1"/>
  <c r="O2990" i="6" s="1"/>
  <c r="F2985" i="6" a="1"/>
  <c r="F2985" i="6" s="1"/>
  <c r="N2985" i="6" s="1"/>
  <c r="O2985" i="6" s="1"/>
  <c r="F2944" i="6" a="1"/>
  <c r="F2944" i="6" s="1"/>
  <c r="N2944" i="6" s="1"/>
  <c r="O2944" i="6" s="1"/>
  <c r="F2928" i="6" a="1"/>
  <c r="F2928" i="6" s="1"/>
  <c r="N2928" i="6" s="1"/>
  <c r="O2928" i="6" s="1"/>
  <c r="F2908" i="6" a="1"/>
  <c r="F2908" i="6" s="1"/>
  <c r="N2908" i="6" s="1"/>
  <c r="O2908" i="6" s="1"/>
  <c r="F2906" i="6" a="1"/>
  <c r="F2906" i="6" s="1"/>
  <c r="N2906" i="6" s="1"/>
  <c r="O2906" i="6" s="1"/>
  <c r="F2888" i="6" a="1"/>
  <c r="F2888" i="6" s="1"/>
  <c r="N2888" i="6" s="1"/>
  <c r="O2888" i="6" s="1"/>
  <c r="F2881" i="6" a="1"/>
  <c r="F2881" i="6" s="1"/>
  <c r="N2881" i="6" s="1"/>
  <c r="O2881" i="6" s="1"/>
  <c r="F2879" i="6" a="1"/>
  <c r="F2879" i="6" s="1"/>
  <c r="N2879" i="6" s="1"/>
  <c r="O2879" i="6" s="1"/>
  <c r="F2874" i="6" a="1"/>
  <c r="F2874" i="6" s="1"/>
  <c r="N2874" i="6" s="1"/>
  <c r="O2874" i="6" s="1"/>
  <c r="F2847" i="6" a="1"/>
  <c r="F2847" i="6" s="1"/>
  <c r="N2847" i="6" s="1"/>
  <c r="O2847" i="6" s="1"/>
  <c r="F2830" i="6" a="1"/>
  <c r="F2830" i="6" s="1"/>
  <c r="N2830" i="6" s="1"/>
  <c r="O2830" i="6" s="1"/>
  <c r="F2820" i="6" a="1"/>
  <c r="F2820" i="6" s="1"/>
  <c r="N2820" i="6" s="1"/>
  <c r="O2820" i="6" s="1"/>
  <c r="F2807" i="6" a="1"/>
  <c r="F2807" i="6" s="1"/>
  <c r="N2807" i="6" s="1"/>
  <c r="O2807" i="6" s="1"/>
  <c r="F2756" i="6" a="1"/>
  <c r="F2756" i="6" s="1"/>
  <c r="N2756" i="6" s="1"/>
  <c r="O2756" i="6" s="1"/>
  <c r="F2736" i="6" a="1"/>
  <c r="F2736" i="6" s="1"/>
  <c r="N2736" i="6" s="1"/>
  <c r="O2736" i="6" s="1"/>
  <c r="F2733" i="6" a="1"/>
  <c r="F2733" i="6" s="1"/>
  <c r="N2733" i="6" s="1"/>
  <c r="O2733" i="6" s="1"/>
  <c r="F2710" i="6" a="1"/>
  <c r="F2710" i="6" s="1"/>
  <c r="N2710" i="6" s="1"/>
  <c r="O2710" i="6" s="1"/>
  <c r="F2690" i="6" a="1"/>
  <c r="F2690" i="6" s="1"/>
  <c r="N2690" i="6" s="1"/>
  <c r="O2690" i="6" s="1"/>
  <c r="F2687" i="6" a="1"/>
  <c r="F2687" i="6" s="1"/>
  <c r="F2667" i="6" a="1"/>
  <c r="F2667" i="6" s="1"/>
  <c r="N2667" i="6" s="1"/>
  <c r="O2667" i="6" s="1"/>
  <c r="F2664" i="6" a="1"/>
  <c r="F2664" i="6" s="1"/>
  <c r="N2664" i="6" s="1"/>
  <c r="O2664" i="6" s="1"/>
  <c r="F2641" i="6" a="1"/>
  <c r="F2641" i="6" s="1"/>
  <c r="N2641" i="6" s="1"/>
  <c r="O2641" i="6" s="1"/>
  <c r="F2618" i="6" a="1"/>
  <c r="F2618" i="6" s="1"/>
  <c r="N2618" i="6" s="1"/>
  <c r="O2618" i="6" s="1"/>
  <c r="F2615" i="6" a="1"/>
  <c r="F2615" i="6" s="1"/>
  <c r="N2615" i="6" s="1"/>
  <c r="O2615" i="6" s="1"/>
  <c r="F3016" i="6" a="1"/>
  <c r="F3016" i="6" s="1"/>
  <c r="N3016" i="6" s="1"/>
  <c r="O3016" i="6" s="1"/>
  <c r="F2958" i="6" a="1"/>
  <c r="F2958" i="6" s="1"/>
  <c r="N2958" i="6" s="1"/>
  <c r="O2958" i="6" s="1"/>
  <c r="F2939" i="6" a="1"/>
  <c r="F2939" i="6" s="1"/>
  <c r="N2939" i="6" s="1"/>
  <c r="O2939" i="6" s="1"/>
  <c r="F2982" i="6" a="1"/>
  <c r="F2982" i="6" s="1"/>
  <c r="N2982" i="6" s="1"/>
  <c r="O2982" i="6" s="1"/>
  <c r="F2977" i="6" a="1"/>
  <c r="F2977" i="6" s="1"/>
  <c r="N2977" i="6" s="1"/>
  <c r="O2977" i="6" s="1"/>
  <c r="F3009" i="6" a="1"/>
  <c r="F3009" i="6" s="1"/>
  <c r="N3009" i="6" s="1"/>
  <c r="O3009" i="6" s="1"/>
  <c r="F2966" i="6" a="1"/>
  <c r="F2966" i="6" s="1"/>
  <c r="N2966" i="6" s="1"/>
  <c r="O2966" i="6" s="1"/>
  <c r="F3018" i="6" a="1"/>
  <c r="F3018" i="6" s="1"/>
  <c r="N3018" i="6" s="1"/>
  <c r="O3018" i="6" s="1"/>
  <c r="F2991" i="6" a="1"/>
  <c r="F2991" i="6" s="1"/>
  <c r="N2991" i="6" s="1"/>
  <c r="O2991" i="6" s="1"/>
  <c r="F2971" i="6" a="1"/>
  <c r="F2971" i="6" s="1"/>
  <c r="N2971" i="6" s="1"/>
  <c r="O2971" i="6" s="1"/>
  <c r="F2995" i="6" a="1"/>
  <c r="F2995" i="6" s="1"/>
  <c r="N2995" i="6" s="1"/>
  <c r="O2995" i="6" s="1"/>
  <c r="F2954" i="6" a="1"/>
  <c r="F2954" i="6" s="1"/>
  <c r="N2954" i="6" s="1"/>
  <c r="O2954" i="6" s="1"/>
  <c r="F2925" i="6" a="1"/>
  <c r="F2925" i="6" s="1"/>
  <c r="N2925" i="6" s="1"/>
  <c r="O2925" i="6" s="1"/>
  <c r="F2898" i="6" a="1"/>
  <c r="F2898" i="6" s="1"/>
  <c r="N2898" i="6" s="1"/>
  <c r="O2898" i="6" s="1"/>
  <c r="F2873" i="6" a="1"/>
  <c r="F2873" i="6" s="1"/>
  <c r="N2873" i="6" s="1"/>
  <c r="O2873" i="6" s="1"/>
  <c r="F2826" i="6" a="1"/>
  <c r="F2826" i="6" s="1"/>
  <c r="N2826" i="6" s="1"/>
  <c r="O2826" i="6" s="1"/>
  <c r="F2822" i="6" a="1"/>
  <c r="F2822" i="6" s="1"/>
  <c r="N2822" i="6" s="1"/>
  <c r="O2822" i="6" s="1"/>
  <c r="F2809" i="6" a="1"/>
  <c r="F2809" i="6" s="1"/>
  <c r="N2809" i="6" s="1"/>
  <c r="O2809" i="6" s="1"/>
  <c r="F2794" i="6" a="1"/>
  <c r="F2794" i="6" s="1"/>
  <c r="N2794" i="6" s="1"/>
  <c r="O2794" i="6" s="1"/>
  <c r="F2767" i="6" a="1"/>
  <c r="F2767" i="6" s="1"/>
  <c r="N2767" i="6" s="1"/>
  <c r="O2767" i="6" s="1"/>
  <c r="F2749" i="6" a="1"/>
  <c r="F2749" i="6" s="1"/>
  <c r="N2749" i="6" s="1"/>
  <c r="O2749" i="6" s="1"/>
  <c r="F2740" i="6" a="1"/>
  <c r="F2740" i="6" s="1"/>
  <c r="N2740" i="6" s="1"/>
  <c r="O2740" i="6" s="1"/>
  <c r="F2893" i="6" a="1"/>
  <c r="F2893" i="6" s="1"/>
  <c r="N2893" i="6" s="1"/>
  <c r="O2893" i="6" s="1"/>
  <c r="F2891" i="6" a="1"/>
  <c r="F2891" i="6" s="1"/>
  <c r="N2891" i="6" s="1"/>
  <c r="O2891" i="6" s="1"/>
  <c r="F2863" i="6" a="1"/>
  <c r="F2863" i="6" s="1"/>
  <c r="N2863" i="6" s="1"/>
  <c r="O2863" i="6" s="1"/>
  <c r="F2945" i="6" a="1"/>
  <c r="F2945" i="6" s="1"/>
  <c r="N2945" i="6" s="1"/>
  <c r="O2945" i="6" s="1"/>
  <c r="F2851" i="6" a="1"/>
  <c r="F2851" i="6" s="1"/>
  <c r="N2851" i="6" s="1"/>
  <c r="O2851" i="6" s="1"/>
  <c r="F2849" i="6" a="1"/>
  <c r="F2849" i="6" s="1"/>
  <c r="N2849" i="6" s="1"/>
  <c r="O2849" i="6" s="1"/>
  <c r="F2818" i="6" a="1"/>
  <c r="F2818" i="6" s="1"/>
  <c r="N2818" i="6" s="1"/>
  <c r="O2818" i="6" s="1"/>
  <c r="F2816" i="6" a="1"/>
  <c r="F2816" i="6" s="1"/>
  <c r="N2816" i="6" s="1"/>
  <c r="O2816" i="6" s="1"/>
  <c r="F2790" i="6" a="1"/>
  <c r="F2790" i="6" s="1"/>
  <c r="N2790" i="6" s="1"/>
  <c r="O2790" i="6" s="1"/>
  <c r="F2779" i="6" a="1"/>
  <c r="F2779" i="6" s="1"/>
  <c r="N2779" i="6" s="1"/>
  <c r="O2779" i="6" s="1"/>
  <c r="F2772" i="6" a="1"/>
  <c r="F2772" i="6" s="1"/>
  <c r="N2772" i="6" s="1"/>
  <c r="O2772" i="6" s="1"/>
  <c r="F3024" i="6" a="1"/>
  <c r="F3024" i="6" s="1"/>
  <c r="N3024" i="6" s="1"/>
  <c r="O3024" i="6" s="1"/>
  <c r="F2964" i="6" a="1"/>
  <c r="F2964" i="6" s="1"/>
  <c r="N2964" i="6" s="1"/>
  <c r="O2964" i="6" s="1"/>
  <c r="F2914" i="6" a="1"/>
  <c r="F2914" i="6" s="1"/>
  <c r="N2914" i="6" s="1"/>
  <c r="O2914" i="6" s="1"/>
  <c r="F2907" i="6" a="1"/>
  <c r="F2907" i="6" s="1"/>
  <c r="N2907" i="6" s="1"/>
  <c r="O2907" i="6" s="1"/>
  <c r="F3036" i="6" a="1"/>
  <c r="F3036" i="6" s="1"/>
  <c r="N3036" i="6" s="1"/>
  <c r="O3036" i="6" s="1"/>
  <c r="F2974" i="6" a="1"/>
  <c r="F2974" i="6" s="1"/>
  <c r="N2974" i="6" s="1"/>
  <c r="O2974" i="6" s="1"/>
  <c r="F2953" i="6" a="1"/>
  <c r="F2953" i="6" s="1"/>
  <c r="N2953" i="6" s="1"/>
  <c r="O2953" i="6" s="1"/>
  <c r="F2919" i="6" a="1"/>
  <c r="F2919" i="6" s="1"/>
  <c r="N2919" i="6" s="1"/>
  <c r="O2919" i="6" s="1"/>
  <c r="F2895" i="6" a="1"/>
  <c r="F2895" i="6" s="1"/>
  <c r="N2895" i="6" s="1"/>
  <c r="O2895" i="6" s="1"/>
  <c r="F2843" i="6" a="1"/>
  <c r="F2843" i="6" s="1"/>
  <c r="N2843" i="6" s="1"/>
  <c r="O2843" i="6" s="1"/>
  <c r="F2833" i="6" a="1"/>
  <c r="F2833" i="6" s="1"/>
  <c r="N2833" i="6" s="1"/>
  <c r="O2833" i="6" s="1"/>
  <c r="F2831" i="6" a="1"/>
  <c r="F2831" i="6" s="1"/>
  <c r="N2831" i="6" s="1"/>
  <c r="O2831" i="6" s="1"/>
  <c r="F2812" i="6" a="1"/>
  <c r="F2812" i="6" s="1"/>
  <c r="N2812" i="6" s="1"/>
  <c r="O2812" i="6" s="1"/>
  <c r="F2810" i="6" a="1"/>
  <c r="F2810" i="6" s="1"/>
  <c r="N2810" i="6" s="1"/>
  <c r="O2810" i="6" s="1"/>
  <c r="F2797" i="6" a="1"/>
  <c r="F2797" i="6" s="1"/>
  <c r="N2797" i="6" s="1"/>
  <c r="O2797" i="6" s="1"/>
  <c r="F2768" i="6" a="1"/>
  <c r="F2768" i="6" s="1"/>
  <c r="N2768" i="6" s="1"/>
  <c r="O2768" i="6" s="1"/>
  <c r="F2759" i="6" a="1"/>
  <c r="F2759" i="6" s="1"/>
  <c r="N2759" i="6" s="1"/>
  <c r="O2759" i="6" s="1"/>
  <c r="F2741" i="6" a="1"/>
  <c r="F2741" i="6" s="1"/>
  <c r="N2741" i="6" s="1"/>
  <c r="O2741" i="6" s="1"/>
  <c r="F2732" i="6" a="1"/>
  <c r="F2732" i="6" s="1"/>
  <c r="N2732" i="6" s="1"/>
  <c r="O2732" i="6" s="1"/>
  <c r="F2984" i="6" a="1"/>
  <c r="F2984" i="6" s="1"/>
  <c r="N2984" i="6" s="1"/>
  <c r="O2984" i="6" s="1"/>
  <c r="F2909" i="6" a="1"/>
  <c r="F2909" i="6" s="1"/>
  <c r="N2909" i="6" s="1"/>
  <c r="O2909" i="6" s="1"/>
  <c r="F2902" i="6" a="1"/>
  <c r="F2902" i="6" s="1"/>
  <c r="N2902" i="6" s="1"/>
  <c r="O2902" i="6" s="1"/>
  <c r="F2886" i="6" a="1"/>
  <c r="F2886" i="6" s="1"/>
  <c r="N2886" i="6" s="1"/>
  <c r="O2886" i="6" s="1"/>
  <c r="F2880" i="6" a="1"/>
  <c r="F2880" i="6" s="1"/>
  <c r="N2880" i="6" s="1"/>
  <c r="O2880" i="6" s="1"/>
  <c r="F2827" i="6" a="1"/>
  <c r="F2827" i="6" s="1"/>
  <c r="N2827" i="6" s="1"/>
  <c r="O2827" i="6" s="1"/>
  <c r="F2825" i="6" a="1"/>
  <c r="F2825" i="6" s="1"/>
  <c r="N2825" i="6" s="1"/>
  <c r="O2825" i="6" s="1"/>
  <c r="F2795" i="6" a="1"/>
  <c r="F2795" i="6" s="1"/>
  <c r="N2795" i="6" s="1"/>
  <c r="O2795" i="6" s="1"/>
  <c r="F2786" i="6" a="1"/>
  <c r="F2786" i="6" s="1"/>
  <c r="N2786" i="6" s="1"/>
  <c r="O2786" i="6" s="1"/>
  <c r="F2757" i="6" a="1"/>
  <c r="F2757" i="6" s="1"/>
  <c r="N2757" i="6" s="1"/>
  <c r="O2757" i="6" s="1"/>
  <c r="F2739" i="6" a="1"/>
  <c r="F2739" i="6" s="1"/>
  <c r="N2739" i="6" s="1"/>
  <c r="O2739" i="6" s="1"/>
  <c r="F2707" i="6" a="1"/>
  <c r="F2707" i="6" s="1"/>
  <c r="N2707" i="6" s="1"/>
  <c r="O2707" i="6" s="1"/>
  <c r="F2916" i="6" a="1"/>
  <c r="F2916" i="6" s="1"/>
  <c r="N2916" i="6" s="1"/>
  <c r="O2916" i="6" s="1"/>
  <c r="F2897" i="6" a="1"/>
  <c r="F2897" i="6" s="1"/>
  <c r="N2897" i="6" s="1"/>
  <c r="O2897" i="6" s="1"/>
  <c r="F2926" i="6" a="1"/>
  <c r="F2926" i="6" s="1"/>
  <c r="N2926" i="6" s="1"/>
  <c r="O2926" i="6" s="1"/>
  <c r="F2911" i="6" a="1"/>
  <c r="F2911" i="6" s="1"/>
  <c r="N2911" i="6" s="1"/>
  <c r="O2911" i="6" s="1"/>
  <c r="F2904" i="6" a="1"/>
  <c r="F2904" i="6" s="1"/>
  <c r="N2904" i="6" s="1"/>
  <c r="O2904" i="6" s="1"/>
  <c r="F2870" i="6" a="1"/>
  <c r="F2870" i="6" s="1"/>
  <c r="N2870" i="6" s="1"/>
  <c r="O2870" i="6" s="1"/>
  <c r="F2806" i="6" a="1"/>
  <c r="F2806" i="6" s="1"/>
  <c r="N2806" i="6" s="1"/>
  <c r="O2806" i="6" s="1"/>
  <c r="F2802" i="6" a="1"/>
  <c r="F2802" i="6" s="1"/>
  <c r="N2802" i="6" s="1"/>
  <c r="O2802" i="6" s="1"/>
  <c r="F2737" i="6" a="1"/>
  <c r="F2737" i="6" s="1"/>
  <c r="N2737" i="6" s="1"/>
  <c r="O2737" i="6" s="1"/>
  <c r="F2973" i="6" a="1"/>
  <c r="F2973" i="6" s="1"/>
  <c r="N2973" i="6" s="1"/>
  <c r="O2973" i="6" s="1"/>
  <c r="F2931" i="6" a="1"/>
  <c r="F2931" i="6" s="1"/>
  <c r="N2931" i="6" s="1"/>
  <c r="O2931" i="6" s="1"/>
  <c r="F2857" i="6" a="1"/>
  <c r="F2857" i="6" s="1"/>
  <c r="N2857" i="6" s="1"/>
  <c r="O2857" i="6" s="1"/>
  <c r="F2811" i="6" a="1"/>
  <c r="F2811" i="6" s="1"/>
  <c r="N2811" i="6" s="1"/>
  <c r="O2811" i="6" s="1"/>
  <c r="F2775" i="6" a="1"/>
  <c r="F2775" i="6" s="1"/>
  <c r="N2775" i="6" s="1"/>
  <c r="O2775" i="6" s="1"/>
  <c r="F2716" i="6" a="1"/>
  <c r="F2716" i="6" s="1"/>
  <c r="N2716" i="6" s="1"/>
  <c r="O2716" i="6" s="1"/>
  <c r="F2714" i="6" a="1"/>
  <c r="F2714" i="6" s="1"/>
  <c r="N2714" i="6" s="1"/>
  <c r="O2714" i="6" s="1"/>
  <c r="F2699" i="6" a="1"/>
  <c r="F2699" i="6" s="1"/>
  <c r="N2699" i="6" s="1"/>
  <c r="O2699" i="6" s="1"/>
  <c r="F2943" i="6" a="1"/>
  <c r="F2943" i="6" s="1"/>
  <c r="N2943" i="6" s="1"/>
  <c r="O2943" i="6" s="1"/>
  <c r="F2867" i="6" a="1"/>
  <c r="F2867" i="6" s="1"/>
  <c r="N2867" i="6" s="1"/>
  <c r="O2867" i="6" s="1"/>
  <c r="F2852" i="6" a="1"/>
  <c r="F2852" i="6" s="1"/>
  <c r="N2852" i="6" s="1"/>
  <c r="O2852" i="6" s="1"/>
  <c r="F2840" i="6" a="1"/>
  <c r="F2840" i="6" s="1"/>
  <c r="N2840" i="6" s="1"/>
  <c r="O2840" i="6" s="1"/>
  <c r="F2803" i="6" a="1"/>
  <c r="F2803" i="6" s="1"/>
  <c r="N2803" i="6" s="1"/>
  <c r="O2803" i="6" s="1"/>
  <c r="F2791" i="6" a="1"/>
  <c r="F2791" i="6" s="1"/>
  <c r="N2791" i="6" s="1"/>
  <c r="O2791" i="6" s="1"/>
  <c r="F2777" i="6" a="1"/>
  <c r="F2777" i="6" s="1"/>
  <c r="N2777" i="6" s="1"/>
  <c r="O2777" i="6" s="1"/>
  <c r="F2763" i="6" a="1"/>
  <c r="F2763" i="6" s="1"/>
  <c r="N2763" i="6" s="1"/>
  <c r="O2763" i="6" s="1"/>
  <c r="F2742" i="6" a="1"/>
  <c r="F2742" i="6" s="1"/>
  <c r="N2742" i="6" s="1"/>
  <c r="O2742" i="6" s="1"/>
  <c r="F2726" i="6" a="1"/>
  <c r="F2726" i="6" s="1"/>
  <c r="N2726" i="6" s="1"/>
  <c r="O2726" i="6" s="1"/>
  <c r="F2988" i="6" a="1"/>
  <c r="F2988" i="6" s="1"/>
  <c r="N2988" i="6" s="1"/>
  <c r="O2988" i="6" s="1"/>
  <c r="F2969" i="6" a="1"/>
  <c r="F2969" i="6" s="1"/>
  <c r="N2969" i="6" s="1"/>
  <c r="O2969" i="6" s="1"/>
  <c r="F2918" i="6" a="1"/>
  <c r="F2918" i="6" s="1"/>
  <c r="N2918" i="6" s="1"/>
  <c r="O2918" i="6" s="1"/>
  <c r="F2854" i="6" a="1"/>
  <c r="F2854" i="6" s="1"/>
  <c r="N2854" i="6" s="1"/>
  <c r="O2854" i="6" s="1"/>
  <c r="F2808" i="6" a="1"/>
  <c r="F2808" i="6" s="1"/>
  <c r="N2808" i="6" s="1"/>
  <c r="O2808" i="6" s="1"/>
  <c r="F2765" i="6" a="1"/>
  <c r="F2765" i="6" s="1"/>
  <c r="N2765" i="6" s="1"/>
  <c r="O2765" i="6" s="1"/>
  <c r="F2751" i="6" a="1"/>
  <c r="F2751" i="6" s="1"/>
  <c r="N2751" i="6" s="1"/>
  <c r="O2751" i="6" s="1"/>
  <c r="F2746" i="6" a="1"/>
  <c r="F2746" i="6" s="1"/>
  <c r="N2746" i="6" s="1"/>
  <c r="O2746" i="6" s="1"/>
  <c r="F2744" i="6" a="1"/>
  <c r="F2744" i="6" s="1"/>
  <c r="N2744" i="6" s="1"/>
  <c r="O2744" i="6" s="1"/>
  <c r="F2730" i="6" a="1"/>
  <c r="F2730" i="6" s="1"/>
  <c r="N2730" i="6" s="1"/>
  <c r="O2730" i="6" s="1"/>
  <c r="F2957" i="6" a="1"/>
  <c r="F2957" i="6" s="1"/>
  <c r="N2957" i="6" s="1"/>
  <c r="O2957" i="6" s="1"/>
  <c r="F2927" i="6" a="1"/>
  <c r="F2927" i="6" s="1"/>
  <c r="N2927" i="6" s="1"/>
  <c r="O2927" i="6" s="1"/>
  <c r="F2885" i="6" a="1"/>
  <c r="F2885" i="6" s="1"/>
  <c r="N2885" i="6" s="1"/>
  <c r="O2885" i="6" s="1"/>
  <c r="F2835" i="6" a="1"/>
  <c r="F2835" i="6" s="1"/>
  <c r="N2835" i="6" s="1"/>
  <c r="O2835" i="6" s="1"/>
  <c r="F2753" i="6" a="1"/>
  <c r="F2753" i="6" s="1"/>
  <c r="N2753" i="6" s="1"/>
  <c r="O2753" i="6" s="1"/>
  <c r="F2677" i="6" a="1"/>
  <c r="F2677" i="6" s="1"/>
  <c r="N2677" i="6" s="1"/>
  <c r="O2677" i="6" s="1"/>
  <c r="F3000" i="6" a="1"/>
  <c r="F3000" i="6" s="1"/>
  <c r="N3000" i="6" s="1"/>
  <c r="O3000" i="6" s="1"/>
  <c r="F2875" i="6" a="1"/>
  <c r="F2875" i="6" s="1"/>
  <c r="N2875" i="6" s="1"/>
  <c r="O2875" i="6" s="1"/>
  <c r="F2837" i="6" a="1"/>
  <c r="F2837" i="6" s="1"/>
  <c r="N2837" i="6" s="1"/>
  <c r="O2837" i="6" s="1"/>
  <c r="F2832" i="6" a="1"/>
  <c r="F2832" i="6" s="1"/>
  <c r="N2832" i="6" s="1"/>
  <c r="O2832" i="6" s="1"/>
  <c r="F2783" i="6" a="1"/>
  <c r="F2783" i="6" s="1"/>
  <c r="N2783" i="6" s="1"/>
  <c r="O2783" i="6" s="1"/>
  <c r="F2774" i="6" a="1"/>
  <c r="F2774" i="6" s="1"/>
  <c r="N2774" i="6" s="1"/>
  <c r="O2774" i="6" s="1"/>
  <c r="F2762" i="6" a="1"/>
  <c r="F2762" i="6" s="1"/>
  <c r="N2762" i="6" s="1"/>
  <c r="O2762" i="6" s="1"/>
  <c r="F2721" i="6" a="1"/>
  <c r="F2721" i="6" s="1"/>
  <c r="N2721" i="6" s="1"/>
  <c r="O2721" i="6" s="1"/>
  <c r="F2719" i="6" a="1"/>
  <c r="F2719" i="6" s="1"/>
  <c r="N2719" i="6" s="1"/>
  <c r="O2719" i="6" s="1"/>
  <c r="F2693" i="6" a="1"/>
  <c r="F2693" i="6" s="1"/>
  <c r="N2693" i="6" s="1"/>
  <c r="O2693" i="6" s="1"/>
  <c r="F2960" i="6" a="1"/>
  <c r="F2960" i="6" s="1"/>
  <c r="F2923" i="6" a="1"/>
  <c r="F2923" i="6" s="1"/>
  <c r="N2923" i="6" s="1"/>
  <c r="O2923" i="6" s="1"/>
  <c r="F2920" i="6" a="1"/>
  <c r="F2920" i="6" s="1"/>
  <c r="N2920" i="6" s="1"/>
  <c r="O2920" i="6" s="1"/>
  <c r="F2936" i="6" a="1"/>
  <c r="F2936" i="6" s="1"/>
  <c r="N2936" i="6" s="1"/>
  <c r="O2936" i="6" s="1"/>
  <c r="F2903" i="6" a="1"/>
  <c r="F2903" i="6" s="1"/>
  <c r="N2903" i="6" s="1"/>
  <c r="O2903" i="6" s="1"/>
  <c r="F2887" i="6" a="1"/>
  <c r="F2887" i="6" s="1"/>
  <c r="F2844" i="6" a="1"/>
  <c r="F2844" i="6" s="1"/>
  <c r="N2844" i="6" s="1"/>
  <c r="O2844" i="6" s="1"/>
  <c r="F2839" i="6" a="1"/>
  <c r="F2839" i="6" s="1"/>
  <c r="N2839" i="6" s="1"/>
  <c r="O2839" i="6" s="1"/>
  <c r="F2824" i="6" a="1"/>
  <c r="F2824" i="6" s="1"/>
  <c r="N2824" i="6" s="1"/>
  <c r="O2824" i="6" s="1"/>
  <c r="F2776" i="6" a="1"/>
  <c r="F2776" i="6" s="1"/>
  <c r="N2776" i="6" s="1"/>
  <c r="O2776" i="6" s="1"/>
  <c r="F2725" i="6" a="1"/>
  <c r="F2725" i="6" s="1"/>
  <c r="N2725" i="6" s="1"/>
  <c r="O2725" i="6" s="1"/>
  <c r="F2913" i="6" a="1"/>
  <c r="F2913" i="6" s="1"/>
  <c r="N2913" i="6" s="1"/>
  <c r="O2913" i="6" s="1"/>
  <c r="F2829" i="6" a="1"/>
  <c r="F2829" i="6" s="1"/>
  <c r="N2829" i="6" s="1"/>
  <c r="O2829" i="6" s="1"/>
  <c r="F2815" i="6" a="1"/>
  <c r="F2815" i="6" s="1"/>
  <c r="N2815" i="6" s="1"/>
  <c r="O2815" i="6" s="1"/>
  <c r="F2785" i="6" a="1"/>
  <c r="F2785" i="6" s="1"/>
  <c r="N2785" i="6" s="1"/>
  <c r="O2785" i="6" s="1"/>
  <c r="F2764" i="6" a="1"/>
  <c r="F2764" i="6" s="1"/>
  <c r="N2764" i="6" s="1"/>
  <c r="O2764" i="6" s="1"/>
  <c r="F2713" i="6" a="1"/>
  <c r="F2713" i="6" s="1"/>
  <c r="N2713" i="6" s="1"/>
  <c r="O2713" i="6" s="1"/>
  <c r="F2682" i="6" a="1"/>
  <c r="F2682" i="6" s="1"/>
  <c r="N2682" i="6" s="1"/>
  <c r="O2682" i="6" s="1"/>
  <c r="F2979" i="6" a="1"/>
  <c r="F2979" i="6" s="1"/>
  <c r="N2979" i="6" s="1"/>
  <c r="O2979" i="6" s="1"/>
  <c r="F2938" i="6" a="1"/>
  <c r="F2938" i="6" s="1"/>
  <c r="N2938" i="6" s="1"/>
  <c r="O2938" i="6" s="1"/>
  <c r="F2846" i="6" a="1"/>
  <c r="F2846" i="6" s="1"/>
  <c r="N2846" i="6" s="1"/>
  <c r="O2846" i="6" s="1"/>
  <c r="F2819" i="6" a="1"/>
  <c r="F2819" i="6" s="1"/>
  <c r="N2819" i="6" s="1"/>
  <c r="O2819" i="6" s="1"/>
  <c r="F2804" i="6" a="1"/>
  <c r="F2804" i="6" s="1"/>
  <c r="N2804" i="6" s="1"/>
  <c r="O2804" i="6" s="1"/>
  <c r="F2780" i="6" a="1"/>
  <c r="F2780" i="6" s="1"/>
  <c r="N2780" i="6" s="1"/>
  <c r="O2780" i="6" s="1"/>
  <c r="F2778" i="6" a="1"/>
  <c r="F2778" i="6" s="1"/>
  <c r="N2778" i="6" s="1"/>
  <c r="O2778" i="6" s="1"/>
  <c r="F2771" i="6" a="1"/>
  <c r="F2771" i="6" s="1"/>
  <c r="N2771" i="6" s="1"/>
  <c r="O2771" i="6" s="1"/>
  <c r="F2769" i="6" a="1"/>
  <c r="F2769" i="6" s="1"/>
  <c r="N2769" i="6" s="1"/>
  <c r="O2769" i="6" s="1"/>
  <c r="F2727" i="6" a="1"/>
  <c r="F2727" i="6" s="1"/>
  <c r="N2727" i="6" s="1"/>
  <c r="O2727" i="6" s="1"/>
  <c r="F2698" i="6" a="1"/>
  <c r="F2698" i="6" s="1"/>
  <c r="N2698" i="6" s="1"/>
  <c r="O2698" i="6" s="1"/>
  <c r="F2666" i="6" a="1"/>
  <c r="F2666" i="6" s="1"/>
  <c r="N2666" i="6" s="1"/>
  <c r="O2666" i="6" s="1"/>
  <c r="F2661" i="6" a="1"/>
  <c r="F2661" i="6" s="1"/>
  <c r="N2661" i="6" s="1"/>
  <c r="O2661" i="6" s="1"/>
  <c r="F2970" i="6" a="1"/>
  <c r="F2970" i="6" s="1"/>
  <c r="N2970" i="6" s="1"/>
  <c r="O2970" i="6" s="1"/>
  <c r="F2951" i="6" a="1"/>
  <c r="F2951" i="6" s="1"/>
  <c r="N2951" i="6" s="1"/>
  <c r="O2951" i="6" s="1"/>
  <c r="F2862" i="6" a="1"/>
  <c r="F2862" i="6" s="1"/>
  <c r="N2862" i="6" s="1"/>
  <c r="O2862" i="6" s="1"/>
  <c r="F2838" i="6" a="1"/>
  <c r="F2838" i="6" s="1"/>
  <c r="N2838" i="6" s="1"/>
  <c r="O2838" i="6" s="1"/>
  <c r="F2705" i="6" a="1"/>
  <c r="F2705" i="6" s="1"/>
  <c r="N2705" i="6" s="1"/>
  <c r="O2705" i="6" s="1"/>
  <c r="F2691" i="6" a="1"/>
  <c r="F2691" i="6" s="1"/>
  <c r="N2691" i="6" s="1"/>
  <c r="O2691" i="6" s="1"/>
  <c r="F2653" i="6" a="1"/>
  <c r="F2653" i="6" s="1"/>
  <c r="F2640" i="6" a="1"/>
  <c r="F2640" i="6" s="1"/>
  <c r="N2640" i="6" s="1"/>
  <c r="O2640" i="6" s="1"/>
  <c r="F2588" i="6" a="1"/>
  <c r="F2588" i="6" s="1"/>
  <c r="N2588" i="6" s="1"/>
  <c r="O2588" i="6" s="1"/>
  <c r="F2890" i="6" a="1"/>
  <c r="F2890" i="6" s="1"/>
  <c r="N2890" i="6" s="1"/>
  <c r="O2890" i="6" s="1"/>
  <c r="F2752" i="6" a="1"/>
  <c r="F2752" i="6" s="1"/>
  <c r="N2752" i="6" s="1"/>
  <c r="O2752" i="6" s="1"/>
  <c r="F2723" i="6" a="1"/>
  <c r="F2723" i="6" s="1"/>
  <c r="N2723" i="6" s="1"/>
  <c r="O2723" i="6" s="1"/>
  <c r="F2668" i="6" a="1"/>
  <c r="F2668" i="6" s="1"/>
  <c r="N2668" i="6" s="1"/>
  <c r="O2668" i="6" s="1"/>
  <c r="F2623" i="6" a="1"/>
  <c r="F2623" i="6" s="1"/>
  <c r="N2623" i="6" s="1"/>
  <c r="O2623" i="6" s="1"/>
  <c r="F2616" i="6" a="1"/>
  <c r="F2616" i="6" s="1"/>
  <c r="N2616" i="6" s="1"/>
  <c r="O2616" i="6" s="1"/>
  <c r="F2594" i="6" a="1"/>
  <c r="F2594" i="6" s="1"/>
  <c r="N2594" i="6" s="1"/>
  <c r="O2594" i="6" s="1"/>
  <c r="F2591" i="6" a="1"/>
  <c r="F2591" i="6" s="1"/>
  <c r="N2591" i="6" s="1"/>
  <c r="O2591" i="6" s="1"/>
  <c r="F2695" i="6" a="1"/>
  <c r="F2695" i="6" s="1"/>
  <c r="N2695" i="6" s="1"/>
  <c r="O2695" i="6" s="1"/>
  <c r="F2651" i="6" a="1"/>
  <c r="F2651" i="6" s="1"/>
  <c r="N2651" i="6" s="1"/>
  <c r="O2651" i="6" s="1"/>
  <c r="F2649" i="6" a="1"/>
  <c r="F2649" i="6" s="1"/>
  <c r="N2649" i="6" s="1"/>
  <c r="O2649" i="6" s="1"/>
  <c r="F2647" i="6" a="1"/>
  <c r="F2647" i="6" s="1"/>
  <c r="N2647" i="6" s="1"/>
  <c r="O2647" i="6" s="1"/>
  <c r="F2628" i="6" a="1"/>
  <c r="F2628" i="6" s="1"/>
  <c r="N2628" i="6" s="1"/>
  <c r="O2628" i="6" s="1"/>
  <c r="F2611" i="6" a="1"/>
  <c r="F2611" i="6" s="1"/>
  <c r="F2597" i="6" a="1"/>
  <c r="F2597" i="6" s="1"/>
  <c r="N2597" i="6" s="1"/>
  <c r="O2597" i="6" s="1"/>
  <c r="F2922" i="6" a="1"/>
  <c r="F2922" i="6" s="1"/>
  <c r="N2922" i="6" s="1"/>
  <c r="O2922" i="6" s="1"/>
  <c r="F2787" i="6" a="1"/>
  <c r="F2787" i="6" s="1"/>
  <c r="N2787" i="6" s="1"/>
  <c r="O2787" i="6" s="1"/>
  <c r="F2748" i="6" a="1"/>
  <c r="F2748" i="6" s="1"/>
  <c r="N2748" i="6" s="1"/>
  <c r="O2748" i="6" s="1"/>
  <c r="F2800" i="6" a="1"/>
  <c r="F2800" i="6" s="1"/>
  <c r="N2800" i="6" s="1"/>
  <c r="O2800" i="6" s="1"/>
  <c r="F2761" i="6" a="1"/>
  <c r="F2761" i="6" s="1"/>
  <c r="N2761" i="6" s="1"/>
  <c r="O2761" i="6" s="1"/>
  <c r="F2729" i="6" a="1"/>
  <c r="F2729" i="6" s="1"/>
  <c r="N2729" i="6" s="1"/>
  <c r="O2729" i="6" s="1"/>
  <c r="F2720" i="6" a="1"/>
  <c r="F2720" i="6" s="1"/>
  <c r="N2720" i="6" s="1"/>
  <c r="O2720" i="6" s="1"/>
  <c r="F2675" i="6" a="1"/>
  <c r="F2675" i="6" s="1"/>
  <c r="N2675" i="6" s="1"/>
  <c r="O2675" i="6" s="1"/>
  <c r="F2673" i="6" a="1"/>
  <c r="F2673" i="6" s="1"/>
  <c r="N2673" i="6" s="1"/>
  <c r="O2673" i="6" s="1"/>
  <c r="F2856" i="6" a="1"/>
  <c r="F2856" i="6" s="1"/>
  <c r="N2856" i="6" s="1"/>
  <c r="O2856" i="6" s="1"/>
  <c r="F2853" i="6" a="1"/>
  <c r="F2853" i="6" s="1"/>
  <c r="N2853" i="6" s="1"/>
  <c r="O2853" i="6" s="1"/>
  <c r="F2836" i="6" a="1"/>
  <c r="F2836" i="6" s="1"/>
  <c r="N2836" i="6" s="1"/>
  <c r="O2836" i="6" s="1"/>
  <c r="F2823" i="6" a="1"/>
  <c r="F2823" i="6" s="1"/>
  <c r="N2823" i="6" s="1"/>
  <c r="O2823" i="6" s="1"/>
  <c r="F2877" i="6" a="1"/>
  <c r="F2877" i="6" s="1"/>
  <c r="N2877" i="6" s="1"/>
  <c r="O2877" i="6" s="1"/>
  <c r="F2860" i="6" a="1"/>
  <c r="F2860" i="6" s="1"/>
  <c r="F2770" i="6" a="1"/>
  <c r="F2770" i="6" s="1"/>
  <c r="N2770" i="6" s="1"/>
  <c r="O2770" i="6" s="1"/>
  <c r="F2813" i="6" a="1"/>
  <c r="F2813" i="6" s="1"/>
  <c r="N2813" i="6" s="1"/>
  <c r="O2813" i="6" s="1"/>
  <c r="F2789" i="6" a="1"/>
  <c r="F2789" i="6" s="1"/>
  <c r="N2789" i="6" s="1"/>
  <c r="O2789" i="6" s="1"/>
  <c r="F2679" i="6" a="1"/>
  <c r="F2679" i="6" s="1"/>
  <c r="N2679" i="6" s="1"/>
  <c r="O2679" i="6" s="1"/>
  <c r="F2656" i="6" a="1"/>
  <c r="F2656" i="6" s="1"/>
  <c r="N2656" i="6" s="1"/>
  <c r="O2656" i="6" s="1"/>
  <c r="F2643" i="6" a="1"/>
  <c r="F2643" i="6" s="1"/>
  <c r="N2643" i="6" s="1"/>
  <c r="O2643" i="6" s="1"/>
  <c r="F2869" i="6" a="1"/>
  <c r="F2869" i="6" s="1"/>
  <c r="N2869" i="6" s="1"/>
  <c r="O2869" i="6" s="1"/>
  <c r="F2747" i="6" a="1"/>
  <c r="F2747" i="6" s="1"/>
  <c r="N2747" i="6" s="1"/>
  <c r="O2747" i="6" s="1"/>
  <c r="F2722" i="6" a="1"/>
  <c r="F2722" i="6" s="1"/>
  <c r="N2722" i="6" s="1"/>
  <c r="O2722" i="6" s="1"/>
  <c r="F2709" i="6" a="1"/>
  <c r="F2709" i="6" s="1"/>
  <c r="N2709" i="6" s="1"/>
  <c r="O2709" i="6" s="1"/>
  <c r="F2669" i="6" a="1"/>
  <c r="F2669" i="6" s="1"/>
  <c r="N2669" i="6" s="1"/>
  <c r="O2669" i="6" s="1"/>
  <c r="F2612" i="6" a="1"/>
  <c r="F2612" i="6" s="1"/>
  <c r="N2612" i="6" s="1"/>
  <c r="O2612" i="6" s="1"/>
  <c r="F2598" i="6" a="1"/>
  <c r="F2598" i="6" s="1"/>
  <c r="N2598" i="6" s="1"/>
  <c r="O2598" i="6" s="1"/>
  <c r="F2578" i="6" a="1"/>
  <c r="F2578" i="6" s="1"/>
  <c r="N2578" i="6" s="1"/>
  <c r="O2578" i="6" s="1"/>
  <c r="F2575" i="6" a="1"/>
  <c r="F2575" i="6" s="1"/>
  <c r="N2575" i="6" s="1"/>
  <c r="O2575" i="6" s="1"/>
  <c r="F2872" i="6" a="1"/>
  <c r="F2872" i="6" s="1"/>
  <c r="F2792" i="6" a="1"/>
  <c r="F2792" i="6" s="1"/>
  <c r="N2792" i="6" s="1"/>
  <c r="O2792" i="6" s="1"/>
  <c r="F2696" i="6" a="1"/>
  <c r="F2696" i="6" s="1"/>
  <c r="N2696" i="6" s="1"/>
  <c r="O2696" i="6" s="1"/>
  <c r="F2650" i="6" a="1"/>
  <c r="F2650" i="6" s="1"/>
  <c r="N2650" i="6" s="1"/>
  <c r="O2650" i="6" s="1"/>
  <c r="F2634" i="6" a="1"/>
  <c r="F2634" i="6" s="1"/>
  <c r="N2634" i="6" s="1"/>
  <c r="O2634" i="6" s="1"/>
  <c r="F2629" i="6" a="1"/>
  <c r="F2629" i="6" s="1"/>
  <c r="N2629" i="6" s="1"/>
  <c r="O2629" i="6" s="1"/>
  <c r="F2617" i="6" a="1"/>
  <c r="F2617" i="6" s="1"/>
  <c r="N2617" i="6" s="1"/>
  <c r="O2617" i="6" s="1"/>
  <c r="F2604" i="6" a="1"/>
  <c r="F2604" i="6" s="1"/>
  <c r="N2604" i="6" s="1"/>
  <c r="O2604" i="6" s="1"/>
  <c r="F2601" i="6" a="1"/>
  <c r="F2601" i="6" s="1"/>
  <c r="N2601" i="6" s="1"/>
  <c r="O2601" i="6" s="1"/>
  <c r="F2581" i="6" a="1"/>
  <c r="F2581" i="6" s="1"/>
  <c r="N2581" i="6" s="1"/>
  <c r="O2581" i="6" s="1"/>
  <c r="F2899" i="6" a="1"/>
  <c r="F2899" i="6" s="1"/>
  <c r="N2899" i="6" s="1"/>
  <c r="O2899" i="6" s="1"/>
  <c r="F2865" i="6" a="1"/>
  <c r="F2865" i="6" s="1"/>
  <c r="N2865" i="6" s="1"/>
  <c r="O2865" i="6" s="1"/>
  <c r="F2868" i="6" a="1"/>
  <c r="F2868" i="6" s="1"/>
  <c r="N2868" i="6" s="1"/>
  <c r="O2868" i="6" s="1"/>
  <c r="F2828" i="6" a="1"/>
  <c r="F2828" i="6" s="1"/>
  <c r="N2828" i="6" s="1"/>
  <c r="O2828" i="6" s="1"/>
  <c r="F2858" i="6" a="1"/>
  <c r="F2858" i="6" s="1"/>
  <c r="N2858" i="6" s="1"/>
  <c r="O2858" i="6" s="1"/>
  <c r="F2755" i="6" a="1"/>
  <c r="F2755" i="6" s="1"/>
  <c r="N2755" i="6" s="1"/>
  <c r="O2755" i="6" s="1"/>
  <c r="F2685" i="6" a="1"/>
  <c r="F2685" i="6" s="1"/>
  <c r="N2685" i="6" s="1"/>
  <c r="O2685" i="6" s="1"/>
  <c r="F2657" i="6" a="1"/>
  <c r="F2657" i="6" s="1"/>
  <c r="N2657" i="6" s="1"/>
  <c r="O2657" i="6" s="1"/>
  <c r="F2935" i="6" a="1"/>
  <c r="F2935" i="6" s="1"/>
  <c r="N2935" i="6" s="1"/>
  <c r="O2935" i="6" s="1"/>
  <c r="F2706" i="6" a="1"/>
  <c r="F2706" i="6" s="1"/>
  <c r="N2706" i="6" s="1"/>
  <c r="O2706" i="6" s="1"/>
  <c r="F2703" i="6" a="1"/>
  <c r="F2703" i="6" s="1"/>
  <c r="N2703" i="6" s="1"/>
  <c r="O2703" i="6" s="1"/>
  <c r="F2684" i="6" a="1"/>
  <c r="F2684" i="6" s="1"/>
  <c r="N2684" i="6" s="1"/>
  <c r="O2684" i="6" s="1"/>
  <c r="F2674" i="6" a="1"/>
  <c r="F2674" i="6" s="1"/>
  <c r="N2674" i="6" s="1"/>
  <c r="O2674" i="6" s="1"/>
  <c r="F2636" i="6" a="1"/>
  <c r="F2636" i="6" s="1"/>
  <c r="N2636" i="6" s="1"/>
  <c r="O2636" i="6" s="1"/>
  <c r="F2607" i="6" a="1"/>
  <c r="F2607" i="6" s="1"/>
  <c r="N2607" i="6" s="1"/>
  <c r="O2607" i="6" s="1"/>
  <c r="F2603" i="6" a="1"/>
  <c r="F2603" i="6" s="1"/>
  <c r="N2603" i="6" s="1"/>
  <c r="O2603" i="6" s="1"/>
  <c r="F2565" i="6" a="1"/>
  <c r="F2565" i="6" s="1"/>
  <c r="N2565" i="6" s="1"/>
  <c r="O2565" i="6" s="1"/>
  <c r="F2516" i="6" a="1"/>
  <c r="F2516" i="6" s="1"/>
  <c r="N2516" i="6" s="1"/>
  <c r="O2516" i="6" s="1"/>
  <c r="F2496" i="6" a="1"/>
  <c r="F2496" i="6" s="1"/>
  <c r="N2496" i="6" s="1"/>
  <c r="O2496" i="6" s="1"/>
  <c r="F2493" i="6" a="1"/>
  <c r="F2493" i="6" s="1"/>
  <c r="N2493" i="6" s="1"/>
  <c r="O2493" i="6" s="1"/>
  <c r="F2470" i="6" a="1"/>
  <c r="F2470" i="6" s="1"/>
  <c r="N2470" i="6" s="1"/>
  <c r="O2470" i="6" s="1"/>
  <c r="F2450" i="6" a="1"/>
  <c r="F2450" i="6" s="1"/>
  <c r="N2450" i="6" s="1"/>
  <c r="O2450" i="6" s="1"/>
  <c r="F2447" i="6" a="1"/>
  <c r="F2447" i="6" s="1"/>
  <c r="N2447" i="6" s="1"/>
  <c r="O2447" i="6" s="1"/>
  <c r="F2427" i="6" a="1"/>
  <c r="F2427" i="6" s="1"/>
  <c r="N2427" i="6" s="1"/>
  <c r="O2427" i="6" s="1"/>
  <c r="F2424" i="6" a="1"/>
  <c r="F2424" i="6" s="1"/>
  <c r="N2424" i="6" s="1"/>
  <c r="O2424" i="6" s="1"/>
  <c r="F2401" i="6" a="1"/>
  <c r="F2401" i="6" s="1"/>
  <c r="N2401" i="6" s="1"/>
  <c r="O2401" i="6" s="1"/>
  <c r="F2389" i="6" a="1"/>
  <c r="F2389" i="6" s="1"/>
  <c r="N2389" i="6" s="1"/>
  <c r="O2389" i="6" s="1"/>
  <c r="F2373" i="6" a="1"/>
  <c r="F2373" i="6" s="1"/>
  <c r="N2373" i="6" s="1"/>
  <c r="O2373" i="6" s="1"/>
  <c r="F2357" i="6" a="1"/>
  <c r="F2357" i="6" s="1"/>
  <c r="N2357" i="6" s="1"/>
  <c r="O2357" i="6" s="1"/>
  <c r="F2799" i="6" a="1"/>
  <c r="F2799" i="6" s="1"/>
  <c r="N2799" i="6" s="1"/>
  <c r="O2799" i="6" s="1"/>
  <c r="F2728" i="6" a="1"/>
  <c r="F2728" i="6" s="1"/>
  <c r="N2728" i="6" s="1"/>
  <c r="O2728" i="6" s="1"/>
  <c r="F2589" i="6" a="1"/>
  <c r="F2589" i="6" s="1"/>
  <c r="N2589" i="6" s="1"/>
  <c r="O2589" i="6" s="1"/>
  <c r="F2568" i="6" a="1"/>
  <c r="F2568" i="6" s="1"/>
  <c r="N2568" i="6" s="1"/>
  <c r="O2568" i="6" s="1"/>
  <c r="F2545" i="6" a="1"/>
  <c r="F2545" i="6" s="1"/>
  <c r="N2545" i="6" s="1"/>
  <c r="O2545" i="6" s="1"/>
  <c r="F2522" i="6" a="1"/>
  <c r="F2522" i="6" s="1"/>
  <c r="N2522" i="6" s="1"/>
  <c r="O2522" i="6" s="1"/>
  <c r="F2519" i="6" a="1"/>
  <c r="F2519" i="6" s="1"/>
  <c r="N2519" i="6" s="1"/>
  <c r="O2519" i="6" s="1"/>
  <c r="F2499" i="6" a="1"/>
  <c r="F2499" i="6" s="1"/>
  <c r="N2499" i="6" s="1"/>
  <c r="O2499" i="6" s="1"/>
  <c r="F2476" i="6" a="1"/>
  <c r="F2476" i="6" s="1"/>
  <c r="N2476" i="6" s="1"/>
  <c r="O2476" i="6" s="1"/>
  <c r="F2473" i="6" a="1"/>
  <c r="F2473" i="6" s="1"/>
  <c r="N2473" i="6" s="1"/>
  <c r="O2473" i="6" s="1"/>
  <c r="F2453" i="6" a="1"/>
  <c r="F2453" i="6" s="1"/>
  <c r="N2453" i="6" s="1"/>
  <c r="O2453" i="6" s="1"/>
  <c r="F2404" i="6" a="1"/>
  <c r="F2404" i="6" s="1"/>
  <c r="N2404" i="6" s="1"/>
  <c r="O2404" i="6" s="1"/>
  <c r="F2386" i="6" a="1"/>
  <c r="F2386" i="6" s="1"/>
  <c r="N2386" i="6" s="1"/>
  <c r="O2386" i="6" s="1"/>
  <c r="F2731" i="6" a="1"/>
  <c r="F2731" i="6" s="1"/>
  <c r="N2731" i="6" s="1"/>
  <c r="O2731" i="6" s="1"/>
  <c r="F2717" i="6" a="1"/>
  <c r="F2717" i="6" s="1"/>
  <c r="N2717" i="6" s="1"/>
  <c r="O2717" i="6" s="1"/>
  <c r="F2680" i="6" a="1"/>
  <c r="F2680" i="6" s="1"/>
  <c r="N2680" i="6" s="1"/>
  <c r="O2680" i="6" s="1"/>
  <c r="F2633" i="6" a="1"/>
  <c r="F2633" i="6" s="1"/>
  <c r="N2633" i="6" s="1"/>
  <c r="O2633" i="6" s="1"/>
  <c r="F2626" i="6" a="1"/>
  <c r="F2626" i="6" s="1"/>
  <c r="N2626" i="6" s="1"/>
  <c r="O2626" i="6" s="1"/>
  <c r="F2599" i="6" a="1"/>
  <c r="F2599" i="6" s="1"/>
  <c r="N2599" i="6" s="1"/>
  <c r="O2599" i="6" s="1"/>
  <c r="F2593" i="6" a="1"/>
  <c r="F2593" i="6" s="1"/>
  <c r="N2593" i="6" s="1"/>
  <c r="O2593" i="6" s="1"/>
  <c r="F2692" i="6" a="1"/>
  <c r="F2692" i="6" s="1"/>
  <c r="N2692" i="6" s="1"/>
  <c r="O2692" i="6" s="1"/>
  <c r="F2663" i="6" a="1"/>
  <c r="F2663" i="6" s="1"/>
  <c r="N2663" i="6" s="1"/>
  <c r="O2663" i="6" s="1"/>
  <c r="F2645" i="6" a="1"/>
  <c r="F2645" i="6" s="1"/>
  <c r="N2645" i="6" s="1"/>
  <c r="O2645" i="6" s="1"/>
  <c r="F2631" i="6" a="1"/>
  <c r="F2631" i="6" s="1"/>
  <c r="N2631" i="6" s="1"/>
  <c r="O2631" i="6" s="1"/>
  <c r="F2624" i="6" a="1"/>
  <c r="F2624" i="6" s="1"/>
  <c r="N2624" i="6" s="1"/>
  <c r="O2624" i="6" s="1"/>
  <c r="F2613" i="6" a="1"/>
  <c r="F2613" i="6" s="1"/>
  <c r="N2613" i="6" s="1"/>
  <c r="O2613" i="6" s="1"/>
  <c r="F2585" i="6" a="1"/>
  <c r="F2585" i="6" s="1"/>
  <c r="N2585" i="6" s="1"/>
  <c r="O2585" i="6" s="1"/>
  <c r="F2554" i="6" a="1"/>
  <c r="F2554" i="6" s="1"/>
  <c r="N2554" i="6" s="1"/>
  <c r="O2554" i="6" s="1"/>
  <c r="F2551" i="6" a="1"/>
  <c r="F2551" i="6" s="1"/>
  <c r="N2551" i="6" s="1"/>
  <c r="O2551" i="6" s="1"/>
  <c r="F2605" i="6" a="1"/>
  <c r="F2605" i="6" s="1"/>
  <c r="N2605" i="6" s="1"/>
  <c r="O2605" i="6" s="1"/>
  <c r="F2595" i="6" a="1"/>
  <c r="F2595" i="6" s="1"/>
  <c r="N2595" i="6" s="1"/>
  <c r="O2595" i="6" s="1"/>
  <c r="F2583" i="6" a="1"/>
  <c r="F2583" i="6" s="1"/>
  <c r="N2583" i="6" s="1"/>
  <c r="O2583" i="6" s="1"/>
  <c r="F2571" i="6" a="1"/>
  <c r="F2571" i="6" s="1"/>
  <c r="N2571" i="6" s="1"/>
  <c r="O2571" i="6" s="1"/>
  <c r="F2560" i="6" a="1"/>
  <c r="F2560" i="6" s="1"/>
  <c r="N2560" i="6" s="1"/>
  <c r="O2560" i="6" s="1"/>
  <c r="F2557" i="6" a="1"/>
  <c r="F2557" i="6" s="1"/>
  <c r="N2557" i="6" s="1"/>
  <c r="O2557" i="6" s="1"/>
  <c r="F2534" i="6" a="1"/>
  <c r="F2534" i="6" s="1"/>
  <c r="N2534" i="6" s="1"/>
  <c r="O2534" i="6" s="1"/>
  <c r="F2514" i="6" a="1"/>
  <c r="F2514" i="6" s="1"/>
  <c r="N2514" i="6" s="1"/>
  <c r="O2514" i="6" s="1"/>
  <c r="F2511" i="6" a="1"/>
  <c r="F2511" i="6" s="1"/>
  <c r="N2511" i="6" s="1"/>
  <c r="O2511" i="6" s="1"/>
  <c r="F2491" i="6" a="1"/>
  <c r="F2491" i="6" s="1"/>
  <c r="N2491" i="6" s="1"/>
  <c r="O2491" i="6" s="1"/>
  <c r="F2488" i="6" a="1"/>
  <c r="F2488" i="6" s="1"/>
  <c r="N2488" i="6" s="1"/>
  <c r="O2488" i="6" s="1"/>
  <c r="F2465" i="6" a="1"/>
  <c r="F2465" i="6" s="1"/>
  <c r="N2465" i="6" s="1"/>
  <c r="O2465" i="6" s="1"/>
  <c r="F2442" i="6" a="1"/>
  <c r="F2442" i="6" s="1"/>
  <c r="N2442" i="6" s="1"/>
  <c r="O2442" i="6" s="1"/>
  <c r="F2439" i="6" a="1"/>
  <c r="F2439" i="6" s="1"/>
  <c r="N2439" i="6" s="1"/>
  <c r="O2439" i="6" s="1"/>
  <c r="F2419" i="6" a="1"/>
  <c r="F2419" i="6" s="1"/>
  <c r="N2419" i="6" s="1"/>
  <c r="O2419" i="6" s="1"/>
  <c r="F2871" i="6" a="1"/>
  <c r="F2871" i="6" s="1"/>
  <c r="N2871" i="6" s="1"/>
  <c r="O2871" i="6" s="1"/>
  <c r="F2859" i="6" a="1"/>
  <c r="F2859" i="6" s="1"/>
  <c r="N2859" i="6" s="1"/>
  <c r="O2859" i="6" s="1"/>
  <c r="F2683" i="6" a="1"/>
  <c r="F2683" i="6" s="1"/>
  <c r="N2683" i="6" s="1"/>
  <c r="O2683" i="6" s="1"/>
  <c r="F2671" i="6" a="1"/>
  <c r="F2671" i="6" s="1"/>
  <c r="N2671" i="6" s="1"/>
  <c r="O2671" i="6" s="1"/>
  <c r="F2665" i="6" a="1"/>
  <c r="F2665" i="6" s="1"/>
  <c r="N2665" i="6" s="1"/>
  <c r="O2665" i="6" s="1"/>
  <c r="F2745" i="6" a="1"/>
  <c r="F2745" i="6" s="1"/>
  <c r="N2745" i="6" s="1"/>
  <c r="O2745" i="6" s="1"/>
  <c r="F2676" i="6" a="1"/>
  <c r="F2676" i="6" s="1"/>
  <c r="N2676" i="6" s="1"/>
  <c r="O2676" i="6" s="1"/>
  <c r="F2642" i="6" a="1"/>
  <c r="F2642" i="6" s="1"/>
  <c r="N2642" i="6" s="1"/>
  <c r="O2642" i="6" s="1"/>
  <c r="F2566" i="6" a="1"/>
  <c r="F2566" i="6" s="1"/>
  <c r="N2566" i="6" s="1"/>
  <c r="O2566" i="6" s="1"/>
  <c r="F2546" i="6" a="1"/>
  <c r="F2546" i="6" s="1"/>
  <c r="N2546" i="6" s="1"/>
  <c r="O2546" i="6" s="1"/>
  <c r="F2543" i="6" a="1"/>
  <c r="F2543" i="6" s="1"/>
  <c r="N2543" i="6" s="1"/>
  <c r="O2543" i="6" s="1"/>
  <c r="F2523" i="6" a="1"/>
  <c r="F2523" i="6" s="1"/>
  <c r="N2523" i="6" s="1"/>
  <c r="O2523" i="6" s="1"/>
  <c r="F2520" i="6" a="1"/>
  <c r="F2520" i="6" s="1"/>
  <c r="N2520" i="6" s="1"/>
  <c r="O2520" i="6" s="1"/>
  <c r="F2497" i="6" a="1"/>
  <c r="F2497" i="6" s="1"/>
  <c r="N2497" i="6" s="1"/>
  <c r="O2497" i="6" s="1"/>
  <c r="F2474" i="6" a="1"/>
  <c r="F2474" i="6" s="1"/>
  <c r="N2474" i="6" s="1"/>
  <c r="O2474" i="6" s="1"/>
  <c r="F2471" i="6" a="1"/>
  <c r="F2471" i="6" s="1"/>
  <c r="N2471" i="6" s="1"/>
  <c r="O2471" i="6" s="1"/>
  <c r="F2451" i="6" a="1"/>
  <c r="F2451" i="6" s="1"/>
  <c r="N2451" i="6" s="1"/>
  <c r="O2451" i="6" s="1"/>
  <c r="F2428" i="6" a="1"/>
  <c r="F2428" i="6" s="1"/>
  <c r="N2428" i="6" s="1"/>
  <c r="O2428" i="6" s="1"/>
  <c r="F2425" i="6" a="1"/>
  <c r="F2425" i="6" s="1"/>
  <c r="N2425" i="6" s="1"/>
  <c r="O2425" i="6" s="1"/>
  <c r="F2405" i="6" a="1"/>
  <c r="F2405" i="6" s="1"/>
  <c r="N2405" i="6" s="1"/>
  <c r="O2405" i="6" s="1"/>
  <c r="F2387" i="6" a="1"/>
  <c r="F2387" i="6" s="1"/>
  <c r="N2387" i="6" s="1"/>
  <c r="O2387" i="6" s="1"/>
  <c r="F2371" i="6" a="1"/>
  <c r="F2371" i="6" s="1"/>
  <c r="N2371" i="6" s="1"/>
  <c r="O2371" i="6" s="1"/>
  <c r="F2805" i="6" a="1"/>
  <c r="F2805" i="6" s="1"/>
  <c r="N2805" i="6" s="1"/>
  <c r="O2805" i="6" s="1"/>
  <c r="F2708" i="6" a="1"/>
  <c r="F2708" i="6" s="1"/>
  <c r="N2708" i="6" s="1"/>
  <c r="O2708" i="6" s="1"/>
  <c r="F2688" i="6" a="1"/>
  <c r="F2688" i="6" s="1"/>
  <c r="N2688" i="6" s="1"/>
  <c r="O2688" i="6" s="1"/>
  <c r="F2660" i="6" a="1"/>
  <c r="F2660" i="6" s="1"/>
  <c r="N2660" i="6" s="1"/>
  <c r="O2660" i="6" s="1"/>
  <c r="F2619" i="6" a="1"/>
  <c r="F2619" i="6" s="1"/>
  <c r="N2619" i="6" s="1"/>
  <c r="O2619" i="6" s="1"/>
  <c r="F2610" i="6" a="1"/>
  <c r="F2610" i="6" s="1"/>
  <c r="N2610" i="6" s="1"/>
  <c r="O2610" i="6" s="1"/>
  <c r="F2549" i="6" a="1"/>
  <c r="F2549" i="6" s="1"/>
  <c r="N2549" i="6" s="1"/>
  <c r="O2549" i="6" s="1"/>
  <c r="F2694" i="6" a="1"/>
  <c r="F2694" i="6" s="1"/>
  <c r="N2694" i="6" s="1"/>
  <c r="O2694" i="6" s="1"/>
  <c r="F2788" i="6" a="1"/>
  <c r="F2788" i="6" s="1"/>
  <c r="N2788" i="6" s="1"/>
  <c r="O2788" i="6" s="1"/>
  <c r="F2760" i="6" a="1"/>
  <c r="F2760" i="6" s="1"/>
  <c r="N2760" i="6" s="1"/>
  <c r="O2760" i="6" s="1"/>
  <c r="F2639" i="6" a="1"/>
  <c r="F2639" i="6" s="1"/>
  <c r="N2639" i="6" s="1"/>
  <c r="O2639" i="6" s="1"/>
  <c r="F2614" i="6" a="1"/>
  <c r="F2614" i="6" s="1"/>
  <c r="N2614" i="6" s="1"/>
  <c r="O2614" i="6" s="1"/>
  <c r="F2586" i="6" a="1"/>
  <c r="F2586" i="6" s="1"/>
  <c r="N2586" i="6" s="1"/>
  <c r="O2586" i="6" s="1"/>
  <c r="F2532" i="6" a="1"/>
  <c r="F2532" i="6" s="1"/>
  <c r="N2532" i="6" s="1"/>
  <c r="O2532" i="6" s="1"/>
  <c r="F2512" i="6" a="1"/>
  <c r="F2512" i="6" s="1"/>
  <c r="N2512" i="6" s="1"/>
  <c r="O2512" i="6" s="1"/>
  <c r="F2509" i="6" a="1"/>
  <c r="F2509" i="6" s="1"/>
  <c r="N2509" i="6" s="1"/>
  <c r="O2509" i="6" s="1"/>
  <c r="F2486" i="6" a="1"/>
  <c r="F2486" i="6" s="1"/>
  <c r="N2486" i="6" s="1"/>
  <c r="O2486" i="6" s="1"/>
  <c r="F2466" i="6" a="1"/>
  <c r="F2466" i="6" s="1"/>
  <c r="N2466" i="6" s="1"/>
  <c r="O2466" i="6" s="1"/>
  <c r="F2711" i="6" a="1"/>
  <c r="F2711" i="6" s="1"/>
  <c r="N2711" i="6" s="1"/>
  <c r="O2711" i="6" s="1"/>
  <c r="F2697" i="6" a="1"/>
  <c r="F2697" i="6" s="1"/>
  <c r="N2697" i="6" s="1"/>
  <c r="O2697" i="6" s="1"/>
  <c r="F2646" i="6" a="1"/>
  <c r="F2646" i="6" s="1"/>
  <c r="N2646" i="6" s="1"/>
  <c r="O2646" i="6" s="1"/>
  <c r="F2644" i="6" a="1"/>
  <c r="F2644" i="6" s="1"/>
  <c r="N2644" i="6" s="1"/>
  <c r="O2644" i="6" s="1"/>
  <c r="F2630" i="6" a="1"/>
  <c r="F2630" i="6" s="1"/>
  <c r="N2630" i="6" s="1"/>
  <c r="O2630" i="6" s="1"/>
  <c r="F2627" i="6" a="1"/>
  <c r="F2627" i="6" s="1"/>
  <c r="N2627" i="6" s="1"/>
  <c r="O2627" i="6" s="1"/>
  <c r="F2608" i="6" a="1"/>
  <c r="F2608" i="6" s="1"/>
  <c r="N2608" i="6" s="1"/>
  <c r="O2608" i="6" s="1"/>
  <c r="F2602" i="6" a="1"/>
  <c r="F2602" i="6" s="1"/>
  <c r="N2602" i="6" s="1"/>
  <c r="O2602" i="6" s="1"/>
  <c r="F2596" i="6" a="1"/>
  <c r="F2596" i="6" s="1"/>
  <c r="N2596" i="6" s="1"/>
  <c r="O2596" i="6" s="1"/>
  <c r="F2592" i="6" a="1"/>
  <c r="F2592" i="6" s="1"/>
  <c r="N2592" i="6" s="1"/>
  <c r="O2592" i="6" s="1"/>
  <c r="F2584" i="6" a="1"/>
  <c r="F2584" i="6" s="1"/>
  <c r="N2584" i="6" s="1"/>
  <c r="O2584" i="6" s="1"/>
  <c r="F2561" i="6" a="1"/>
  <c r="F2561" i="6" s="1"/>
  <c r="N2561" i="6" s="1"/>
  <c r="O2561" i="6" s="1"/>
  <c r="F2538" i="6" a="1"/>
  <c r="F2538" i="6" s="1"/>
  <c r="N2538" i="6" s="1"/>
  <c r="O2538" i="6" s="1"/>
  <c r="F2535" i="6" a="1"/>
  <c r="F2535" i="6" s="1"/>
  <c r="N2535" i="6" s="1"/>
  <c r="O2535" i="6" s="1"/>
  <c r="F2515" i="6" a="1"/>
  <c r="F2515" i="6" s="1"/>
  <c r="N2515" i="6" s="1"/>
  <c r="O2515" i="6" s="1"/>
  <c r="F2492" i="6" a="1"/>
  <c r="F2492" i="6" s="1"/>
  <c r="N2492" i="6" s="1"/>
  <c r="O2492" i="6" s="1"/>
  <c r="F2489" i="6" a="1"/>
  <c r="F2489" i="6" s="1"/>
  <c r="N2489" i="6" s="1"/>
  <c r="O2489" i="6" s="1"/>
  <c r="F2469" i="6" a="1"/>
  <c r="F2469" i="6" s="1"/>
  <c r="N2469" i="6" s="1"/>
  <c r="O2469" i="6" s="1"/>
  <c r="F2420" i="6" a="1"/>
  <c r="F2420" i="6" s="1"/>
  <c r="N2420" i="6" s="1"/>
  <c r="O2420" i="6" s="1"/>
  <c r="F2400" i="6" a="1"/>
  <c r="F2400" i="6" s="1"/>
  <c r="N2400" i="6" s="1"/>
  <c r="O2400" i="6" s="1"/>
  <c r="F2397" i="6" a="1"/>
  <c r="F2397" i="6" s="1"/>
  <c r="N2397" i="6" s="1"/>
  <c r="O2397" i="6" s="1"/>
  <c r="F2700" i="6" a="1"/>
  <c r="F2700" i="6" s="1"/>
  <c r="N2700" i="6" s="1"/>
  <c r="O2700" i="6" s="1"/>
  <c r="F2662" i="6" a="1"/>
  <c r="F2662" i="6" s="1"/>
  <c r="N2662" i="6" s="1"/>
  <c r="O2662" i="6" s="1"/>
  <c r="F2659" i="6" a="1"/>
  <c r="F2659" i="6" s="1"/>
  <c r="N2659" i="6" s="1"/>
  <c r="O2659" i="6" s="1"/>
  <c r="F2577" i="6" a="1"/>
  <c r="F2577" i="6" s="1"/>
  <c r="N2577" i="6" s="1"/>
  <c r="O2577" i="6" s="1"/>
  <c r="F2564" i="6" a="1"/>
  <c r="F2564" i="6" s="1"/>
  <c r="N2564" i="6" s="1"/>
  <c r="O2564" i="6" s="1"/>
  <c r="F2544" i="6" a="1"/>
  <c r="F2544" i="6" s="1"/>
  <c r="N2544" i="6" s="1"/>
  <c r="O2544" i="6" s="1"/>
  <c r="F2541" i="6" a="1"/>
  <c r="F2541" i="6" s="1"/>
  <c r="N2541" i="6" s="1"/>
  <c r="O2541" i="6" s="1"/>
  <c r="F2518" i="6" a="1"/>
  <c r="F2518" i="6" s="1"/>
  <c r="N2518" i="6" s="1"/>
  <c r="O2518" i="6" s="1"/>
  <c r="F2498" i="6" a="1"/>
  <c r="F2498" i="6" s="1"/>
  <c r="N2498" i="6" s="1"/>
  <c r="O2498" i="6" s="1"/>
  <c r="F2495" i="6" a="1"/>
  <c r="F2495" i="6" s="1"/>
  <c r="N2495" i="6" s="1"/>
  <c r="O2495" i="6" s="1"/>
  <c r="F2845" i="6" a="1"/>
  <c r="F2845" i="6" s="1"/>
  <c r="N2845" i="6" s="1"/>
  <c r="O2845" i="6" s="1"/>
  <c r="F2648" i="6" a="1"/>
  <c r="F2648" i="6" s="1"/>
  <c r="N2648" i="6" s="1"/>
  <c r="O2648" i="6" s="1"/>
  <c r="F2625" i="6" a="1"/>
  <c r="F2625" i="6" s="1"/>
  <c r="N2625" i="6" s="1"/>
  <c r="O2625" i="6" s="1"/>
  <c r="F2572" i="6" a="1"/>
  <c r="F2572" i="6" s="1"/>
  <c r="N2572" i="6" s="1"/>
  <c r="O2572" i="6" s="1"/>
  <c r="F2567" i="6" a="1"/>
  <c r="F2567" i="6" s="1"/>
  <c r="N2567" i="6" s="1"/>
  <c r="O2567" i="6" s="1"/>
  <c r="F2547" i="6" a="1"/>
  <c r="F2547" i="6" s="1"/>
  <c r="N2547" i="6" s="1"/>
  <c r="O2547" i="6" s="1"/>
  <c r="F2524" i="6" a="1"/>
  <c r="F2524" i="6" s="1"/>
  <c r="N2524" i="6" s="1"/>
  <c r="O2524" i="6" s="1"/>
  <c r="F2521" i="6" a="1"/>
  <c r="F2521" i="6" s="1"/>
  <c r="N2521" i="6" s="1"/>
  <c r="O2521" i="6" s="1"/>
  <c r="F2501" i="6" a="1"/>
  <c r="F2501" i="6" s="1"/>
  <c r="N2501" i="6" s="1"/>
  <c r="O2501" i="6" s="1"/>
  <c r="F2848" i="6" a="1"/>
  <c r="F2848" i="6" s="1"/>
  <c r="N2848" i="6" s="1"/>
  <c r="O2848" i="6" s="1"/>
  <c r="F2743" i="6" a="1"/>
  <c r="F2743" i="6" s="1"/>
  <c r="N2743" i="6" s="1"/>
  <c r="O2743" i="6" s="1"/>
  <c r="F2681" i="6" a="1"/>
  <c r="F2681" i="6" s="1"/>
  <c r="N2681" i="6" s="1"/>
  <c r="O2681" i="6" s="1"/>
  <c r="F2672" i="6" a="1"/>
  <c r="F2672" i="6" s="1"/>
  <c r="N2672" i="6" s="1"/>
  <c r="O2672" i="6" s="1"/>
  <c r="F2754" i="6" a="1"/>
  <c r="F2754" i="6" s="1"/>
  <c r="N2754" i="6" s="1"/>
  <c r="O2754" i="6" s="1"/>
  <c r="F2620" i="6" a="1"/>
  <c r="F2620" i="6" s="1"/>
  <c r="N2620" i="6" s="1"/>
  <c r="O2620" i="6" s="1"/>
  <c r="F2587" i="6" a="1"/>
  <c r="F2587" i="6" s="1"/>
  <c r="N2587" i="6" s="1"/>
  <c r="O2587" i="6" s="1"/>
  <c r="F2580" i="6" a="1"/>
  <c r="F2580" i="6" s="1"/>
  <c r="N2580" i="6" s="1"/>
  <c r="O2580" i="6" s="1"/>
  <c r="F2562" i="6" a="1"/>
  <c r="F2562" i="6" s="1"/>
  <c r="N2562" i="6" s="1"/>
  <c r="O2562" i="6" s="1"/>
  <c r="F2579" i="6" a="1"/>
  <c r="F2579" i="6" s="1"/>
  <c r="N2579" i="6" s="1"/>
  <c r="O2579" i="6" s="1"/>
  <c r="F2536" i="6" a="1"/>
  <c r="F2536" i="6" s="1"/>
  <c r="N2536" i="6" s="1"/>
  <c r="O2536" i="6" s="1"/>
  <c r="F2517" i="6" a="1"/>
  <c r="F2517" i="6" s="1"/>
  <c r="N2517" i="6" s="1"/>
  <c r="O2517" i="6" s="1"/>
  <c r="F2502" i="6" a="1"/>
  <c r="F2502" i="6" s="1"/>
  <c r="N2502" i="6" s="1"/>
  <c r="O2502" i="6" s="1"/>
  <c r="F2457" i="6" a="1"/>
  <c r="F2457" i="6" s="1"/>
  <c r="N2457" i="6" s="1"/>
  <c r="O2457" i="6" s="1"/>
  <c r="F2455" i="6" a="1"/>
  <c r="F2455" i="6" s="1"/>
  <c r="N2455" i="6" s="1"/>
  <c r="O2455" i="6" s="1"/>
  <c r="F2449" i="6" a="1"/>
  <c r="F2449" i="6" s="1"/>
  <c r="N2449" i="6" s="1"/>
  <c r="O2449" i="6" s="1"/>
  <c r="F2396" i="6" a="1"/>
  <c r="F2396" i="6" s="1"/>
  <c r="N2396" i="6" s="1"/>
  <c r="O2396" i="6" s="1"/>
  <c r="F2377" i="6" a="1"/>
  <c r="F2377" i="6" s="1"/>
  <c r="N2377" i="6" s="1"/>
  <c r="O2377" i="6" s="1"/>
  <c r="F2372" i="6" a="1"/>
  <c r="F2372" i="6" s="1"/>
  <c r="N2372" i="6" s="1"/>
  <c r="O2372" i="6" s="1"/>
  <c r="F2364" i="6" a="1"/>
  <c r="F2364" i="6" s="1"/>
  <c r="N2364" i="6" s="1"/>
  <c r="O2364" i="6" s="1"/>
  <c r="F2343" i="6" a="1"/>
  <c r="F2343" i="6" s="1"/>
  <c r="N2343" i="6" s="1"/>
  <c r="O2343" i="6" s="1"/>
  <c r="F2327" i="6" a="1"/>
  <c r="F2327" i="6" s="1"/>
  <c r="N2327" i="6" s="1"/>
  <c r="O2327" i="6" s="1"/>
  <c r="F2311" i="6" a="1"/>
  <c r="F2311" i="6" s="1"/>
  <c r="N2311" i="6" s="1"/>
  <c r="O2311" i="6" s="1"/>
  <c r="F2295" i="6" a="1"/>
  <c r="F2295" i="6" s="1"/>
  <c r="N2295" i="6" s="1"/>
  <c r="O2295" i="6" s="1"/>
  <c r="F2279" i="6" a="1"/>
  <c r="F2279" i="6" s="1"/>
  <c r="N2279" i="6" s="1"/>
  <c r="O2279" i="6" s="1"/>
  <c r="F2582" i="6" a="1"/>
  <c r="F2582" i="6" s="1"/>
  <c r="N2582" i="6" s="1"/>
  <c r="O2582" i="6" s="1"/>
  <c r="F2569" i="6" a="1"/>
  <c r="F2569" i="6" s="1"/>
  <c r="N2569" i="6" s="1"/>
  <c r="O2569" i="6" s="1"/>
  <c r="F2563" i="6" a="1"/>
  <c r="F2563" i="6" s="1"/>
  <c r="N2563" i="6" s="1"/>
  <c r="O2563" i="6" s="1"/>
  <c r="F2550" i="6" a="1"/>
  <c r="F2550" i="6" s="1"/>
  <c r="N2550" i="6" s="1"/>
  <c r="O2550" i="6" s="1"/>
  <c r="F2533" i="6" a="1"/>
  <c r="F2533" i="6" s="1"/>
  <c r="N2533" i="6" s="1"/>
  <c r="O2533" i="6" s="1"/>
  <c r="F2528" i="6" a="1"/>
  <c r="F2528" i="6" s="1"/>
  <c r="N2528" i="6" s="1"/>
  <c r="O2528" i="6" s="1"/>
  <c r="F2483" i="6" a="1"/>
  <c r="F2483" i="6" s="1"/>
  <c r="N2483" i="6" s="1"/>
  <c r="O2483" i="6" s="1"/>
  <c r="F2417" i="6" a="1"/>
  <c r="F2417" i="6" s="1"/>
  <c r="N2417" i="6" s="1"/>
  <c r="O2417" i="6" s="1"/>
  <c r="F2413" i="6" a="1"/>
  <c r="F2413" i="6" s="1"/>
  <c r="N2413" i="6" s="1"/>
  <c r="O2413" i="6" s="1"/>
  <c r="F2411" i="6" a="1"/>
  <c r="F2411" i="6" s="1"/>
  <c r="N2411" i="6" s="1"/>
  <c r="O2411" i="6" s="1"/>
  <c r="F2394" i="6" a="1"/>
  <c r="F2394" i="6" s="1"/>
  <c r="N2394" i="6" s="1"/>
  <c r="O2394" i="6" s="1"/>
  <c r="F2367" i="6" a="1"/>
  <c r="F2367" i="6" s="1"/>
  <c r="N2367" i="6" s="1"/>
  <c r="O2367" i="6" s="1"/>
  <c r="F2340" i="6" a="1"/>
  <c r="F2340" i="6" s="1"/>
  <c r="N2340" i="6" s="1"/>
  <c r="O2340" i="6" s="1"/>
  <c r="F2324" i="6" a="1"/>
  <c r="F2324" i="6" s="1"/>
  <c r="N2324" i="6" s="1"/>
  <c r="O2324" i="6" s="1"/>
  <c r="F2308" i="6" a="1"/>
  <c r="F2308" i="6" s="1"/>
  <c r="N2308" i="6" s="1"/>
  <c r="O2308" i="6" s="1"/>
  <c r="F2292" i="6" a="1"/>
  <c r="F2292" i="6" s="1"/>
  <c r="N2292" i="6" s="1"/>
  <c r="O2292" i="6" s="1"/>
  <c r="F2276" i="6" a="1"/>
  <c r="F2276" i="6" s="1"/>
  <c r="N2276" i="6" s="1"/>
  <c r="O2276" i="6" s="1"/>
  <c r="F2260" i="6" a="1"/>
  <c r="F2260" i="6" s="1"/>
  <c r="N2260" i="6" s="1"/>
  <c r="O2260" i="6" s="1"/>
  <c r="F2244" i="6" a="1"/>
  <c r="F2244" i="6" s="1"/>
  <c r="N2244" i="6" s="1"/>
  <c r="O2244" i="6" s="1"/>
  <c r="F2228" i="6" a="1"/>
  <c r="F2228" i="6" s="1"/>
  <c r="N2228" i="6" s="1"/>
  <c r="O2228" i="6" s="1"/>
  <c r="F2556" i="6" a="1"/>
  <c r="F2556" i="6" s="1"/>
  <c r="N2556" i="6" s="1"/>
  <c r="O2556" i="6" s="1"/>
  <c r="F2553" i="6" a="1"/>
  <c r="F2553" i="6" s="1"/>
  <c r="N2553" i="6" s="1"/>
  <c r="O2553" i="6" s="1"/>
  <c r="F2504" i="6" a="1"/>
  <c r="F2504" i="6" s="1"/>
  <c r="N2504" i="6" s="1"/>
  <c r="O2504" i="6" s="1"/>
  <c r="F2461" i="6" a="1"/>
  <c r="F2461" i="6" s="1"/>
  <c r="N2461" i="6" s="1"/>
  <c r="O2461" i="6" s="1"/>
  <c r="F2443" i="6" a="1"/>
  <c r="F2443" i="6" s="1"/>
  <c r="N2443" i="6" s="1"/>
  <c r="O2443" i="6" s="1"/>
  <c r="F2423" i="6" a="1"/>
  <c r="F2423" i="6" s="1"/>
  <c r="N2423" i="6" s="1"/>
  <c r="O2423" i="6" s="1"/>
  <c r="F2415" i="6" a="1"/>
  <c r="F2415" i="6" s="1"/>
  <c r="N2415" i="6" s="1"/>
  <c r="O2415" i="6" s="1"/>
  <c r="F2375" i="6" a="1"/>
  <c r="F2375" i="6" s="1"/>
  <c r="N2375" i="6" s="1"/>
  <c r="O2375" i="6" s="1"/>
  <c r="F2337" i="6" a="1"/>
  <c r="F2337" i="6" s="1"/>
  <c r="N2337" i="6" s="1"/>
  <c r="O2337" i="6" s="1"/>
  <c r="F2321" i="6" a="1"/>
  <c r="F2321" i="6" s="1"/>
  <c r="N2321" i="6" s="1"/>
  <c r="O2321" i="6" s="1"/>
  <c r="F2305" i="6" a="1"/>
  <c r="F2305" i="6" s="1"/>
  <c r="N2305" i="6" s="1"/>
  <c r="O2305" i="6" s="1"/>
  <c r="F2289" i="6" a="1"/>
  <c r="F2289" i="6" s="1"/>
  <c r="N2289" i="6" s="1"/>
  <c r="O2289" i="6" s="1"/>
  <c r="F2273" i="6" a="1"/>
  <c r="F2273" i="6" s="1"/>
  <c r="N2273" i="6" s="1"/>
  <c r="O2273" i="6" s="1"/>
  <c r="F2257" i="6" a="1"/>
  <c r="F2257" i="6" s="1"/>
  <c r="N2257" i="6" s="1"/>
  <c r="O2257" i="6" s="1"/>
  <c r="F2241" i="6" a="1"/>
  <c r="F2241" i="6" s="1"/>
  <c r="N2241" i="6" s="1"/>
  <c r="O2241" i="6" s="1"/>
  <c r="F2530" i="6" a="1"/>
  <c r="F2530" i="6" s="1"/>
  <c r="N2530" i="6" s="1"/>
  <c r="O2530" i="6" s="1"/>
  <c r="F2621" i="6" a="1"/>
  <c r="F2621" i="6" s="1"/>
  <c r="N2621" i="6" s="1"/>
  <c r="O2621" i="6" s="1"/>
  <c r="F2490" i="6" a="1"/>
  <c r="F2490" i="6" s="1"/>
  <c r="N2490" i="6" s="1"/>
  <c r="O2490" i="6" s="1"/>
  <c r="F2485" i="6" a="1"/>
  <c r="F2485" i="6" s="1"/>
  <c r="N2485" i="6" s="1"/>
  <c r="O2485" i="6" s="1"/>
  <c r="F2359" i="6" a="1"/>
  <c r="F2359" i="6" s="1"/>
  <c r="N2359" i="6" s="1"/>
  <c r="O2359" i="6" s="1"/>
  <c r="F2559" i="6" a="1"/>
  <c r="F2559" i="6" s="1"/>
  <c r="N2559" i="6" s="1"/>
  <c r="O2559" i="6" s="1"/>
  <c r="F2540" i="6" a="1"/>
  <c r="F2540" i="6" s="1"/>
  <c r="N2540" i="6" s="1"/>
  <c r="O2540" i="6" s="1"/>
  <c r="F2480" i="6" a="1"/>
  <c r="F2480" i="6" s="1"/>
  <c r="N2480" i="6" s="1"/>
  <c r="O2480" i="6" s="1"/>
  <c r="F2432" i="6" a="1"/>
  <c r="F2432" i="6" s="1"/>
  <c r="N2432" i="6" s="1"/>
  <c r="O2432" i="6" s="1"/>
  <c r="F2637" i="6" a="1"/>
  <c r="F2637" i="6" s="1"/>
  <c r="N2637" i="6" s="1"/>
  <c r="O2637" i="6" s="1"/>
  <c r="F2555" i="6" a="1"/>
  <c r="F2555" i="6" s="1"/>
  <c r="N2555" i="6" s="1"/>
  <c r="O2555" i="6" s="1"/>
  <c r="F2552" i="6" a="1"/>
  <c r="F2552" i="6" s="1"/>
  <c r="N2552" i="6" s="1"/>
  <c r="O2552" i="6" s="1"/>
  <c r="F2506" i="6" a="1"/>
  <c r="F2506" i="6" s="1"/>
  <c r="N2506" i="6" s="1"/>
  <c r="O2506" i="6" s="1"/>
  <c r="F2467" i="6" a="1"/>
  <c r="F2467" i="6" s="1"/>
  <c r="N2467" i="6" s="1"/>
  <c r="O2467" i="6" s="1"/>
  <c r="F2456" i="6" a="1"/>
  <c r="F2456" i="6" s="1"/>
  <c r="N2456" i="6" s="1"/>
  <c r="O2456" i="6" s="1"/>
  <c r="F2452" i="6" a="1"/>
  <c r="F2452" i="6" s="1"/>
  <c r="N2452" i="6" s="1"/>
  <c r="O2452" i="6" s="1"/>
  <c r="F2436" i="6" a="1"/>
  <c r="F2436" i="6" s="1"/>
  <c r="N2436" i="6" s="1"/>
  <c r="O2436" i="6" s="1"/>
  <c r="F2426" i="6" a="1"/>
  <c r="F2426" i="6" s="1"/>
  <c r="N2426" i="6" s="1"/>
  <c r="O2426" i="6" s="1"/>
  <c r="F2378" i="6" a="1"/>
  <c r="F2378" i="6" s="1"/>
  <c r="N2378" i="6" s="1"/>
  <c r="O2378" i="6" s="1"/>
  <c r="F2368" i="6" a="1"/>
  <c r="F2368" i="6" s="1"/>
  <c r="N2368" i="6" s="1"/>
  <c r="O2368" i="6" s="1"/>
  <c r="F2338" i="6" a="1"/>
  <c r="F2338" i="6" s="1"/>
  <c r="N2338" i="6" s="1"/>
  <c r="O2338" i="6" s="1"/>
  <c r="F2322" i="6" a="1"/>
  <c r="F2322" i="6" s="1"/>
  <c r="N2322" i="6" s="1"/>
  <c r="O2322" i="6" s="1"/>
  <c r="F2306" i="6" a="1"/>
  <c r="F2306" i="6" s="1"/>
  <c r="N2306" i="6" s="1"/>
  <c r="O2306" i="6" s="1"/>
  <c r="F2537" i="6" a="1"/>
  <c r="F2537" i="6" s="1"/>
  <c r="N2537" i="6" s="1"/>
  <c r="O2537" i="6" s="1"/>
  <c r="F2527" i="6" a="1"/>
  <c r="F2527" i="6" s="1"/>
  <c r="N2527" i="6" s="1"/>
  <c r="O2527" i="6" s="1"/>
  <c r="F2475" i="6" a="1"/>
  <c r="F2475" i="6" s="1"/>
  <c r="N2475" i="6" s="1"/>
  <c r="O2475" i="6" s="1"/>
  <c r="F2460" i="6" a="1"/>
  <c r="F2460" i="6" s="1"/>
  <c r="N2460" i="6" s="1"/>
  <c r="O2460" i="6" s="1"/>
  <c r="F2458" i="6" a="1"/>
  <c r="F2458" i="6" s="1"/>
  <c r="N2458" i="6" s="1"/>
  <c r="O2458" i="6" s="1"/>
  <c r="F2454" i="6" a="1"/>
  <c r="F2454" i="6" s="1"/>
  <c r="N2454" i="6" s="1"/>
  <c r="O2454" i="6" s="1"/>
  <c r="F2438" i="6" a="1"/>
  <c r="F2438" i="6" s="1"/>
  <c r="N2438" i="6" s="1"/>
  <c r="O2438" i="6" s="1"/>
  <c r="F2416" i="6" a="1"/>
  <c r="F2416" i="6" s="1"/>
  <c r="N2416" i="6" s="1"/>
  <c r="O2416" i="6" s="1"/>
  <c r="F2383" i="6" a="1"/>
  <c r="F2383" i="6" s="1"/>
  <c r="N2383" i="6" s="1"/>
  <c r="O2383" i="6" s="1"/>
  <c r="F2354" i="6" a="1"/>
  <c r="F2354" i="6" s="1"/>
  <c r="N2354" i="6" s="1"/>
  <c r="O2354" i="6" s="1"/>
  <c r="F2351" i="6" a="1"/>
  <c r="F2351" i="6" s="1"/>
  <c r="N2351" i="6" s="1"/>
  <c r="O2351" i="6" s="1"/>
  <c r="F2335" i="6" a="1"/>
  <c r="F2335" i="6" s="1"/>
  <c r="N2335" i="6" s="1"/>
  <c r="O2335" i="6" s="1"/>
  <c r="F2319" i="6" a="1"/>
  <c r="F2319" i="6" s="1"/>
  <c r="N2319" i="6" s="1"/>
  <c r="O2319" i="6" s="1"/>
  <c r="F2303" i="6" a="1"/>
  <c r="F2303" i="6" s="1"/>
  <c r="N2303" i="6" s="1"/>
  <c r="O2303" i="6" s="1"/>
  <c r="F2287" i="6" a="1"/>
  <c r="F2287" i="6" s="1"/>
  <c r="N2287" i="6" s="1"/>
  <c r="O2287" i="6" s="1"/>
  <c r="F2271" i="6" a="1"/>
  <c r="F2271" i="6" s="1"/>
  <c r="N2271" i="6" s="1"/>
  <c r="O2271" i="6" s="1"/>
  <c r="F2255" i="6" a="1"/>
  <c r="F2255" i="6" s="1"/>
  <c r="N2255" i="6" s="1"/>
  <c r="O2255" i="6" s="1"/>
  <c r="F2487" i="6" a="1"/>
  <c r="F2487" i="6" s="1"/>
  <c r="N2487" i="6" s="1"/>
  <c r="O2487" i="6" s="1"/>
  <c r="F2448" i="6" a="1"/>
  <c r="F2448" i="6" s="1"/>
  <c r="N2448" i="6" s="1"/>
  <c r="O2448" i="6" s="1"/>
  <c r="F2440" i="6" a="1"/>
  <c r="F2440" i="6" s="1"/>
  <c r="N2440" i="6" s="1"/>
  <c r="O2440" i="6" s="1"/>
  <c r="F2418" i="6" a="1"/>
  <c r="F2418" i="6" s="1"/>
  <c r="N2418" i="6" s="1"/>
  <c r="O2418" i="6" s="1"/>
  <c r="F2412" i="6" a="1"/>
  <c r="F2412" i="6" s="1"/>
  <c r="N2412" i="6" s="1"/>
  <c r="O2412" i="6" s="1"/>
  <c r="F2410" i="6" a="1"/>
  <c r="F2410" i="6" s="1"/>
  <c r="N2410" i="6" s="1"/>
  <c r="O2410" i="6" s="1"/>
  <c r="F2399" i="6" a="1"/>
  <c r="F2399" i="6" s="1"/>
  <c r="N2399" i="6" s="1"/>
  <c r="O2399" i="6" s="1"/>
  <c r="F2395" i="6" a="1"/>
  <c r="F2395" i="6" s="1"/>
  <c r="N2395" i="6" s="1"/>
  <c r="O2395" i="6" s="1"/>
  <c r="F2393" i="6" a="1"/>
  <c r="F2393" i="6" s="1"/>
  <c r="N2393" i="6" s="1"/>
  <c r="O2393" i="6" s="1"/>
  <c r="F2388" i="6" a="1"/>
  <c r="F2388" i="6" s="1"/>
  <c r="N2388" i="6" s="1"/>
  <c r="O2388" i="6" s="1"/>
  <c r="F2348" i="6" a="1"/>
  <c r="F2348" i="6" s="1"/>
  <c r="N2348" i="6" s="1"/>
  <c r="O2348" i="6" s="1"/>
  <c r="F2332" i="6" a="1"/>
  <c r="F2332" i="6" s="1"/>
  <c r="N2332" i="6" s="1"/>
  <c r="O2332" i="6" s="1"/>
  <c r="F2316" i="6" a="1"/>
  <c r="F2316" i="6" s="1"/>
  <c r="N2316" i="6" s="1"/>
  <c r="O2316" i="6" s="1"/>
  <c r="F2300" i="6" a="1"/>
  <c r="F2300" i="6" s="1"/>
  <c r="N2300" i="6" s="1"/>
  <c r="O2300" i="6" s="1"/>
  <c r="F2284" i="6" a="1"/>
  <c r="F2284" i="6" s="1"/>
  <c r="N2284" i="6" s="1"/>
  <c r="O2284" i="6" s="1"/>
  <c r="F2268" i="6" a="1"/>
  <c r="F2268" i="6" s="1"/>
  <c r="N2268" i="6" s="1"/>
  <c r="O2268" i="6" s="1"/>
  <c r="F2252" i="6" a="1"/>
  <c r="F2252" i="6" s="1"/>
  <c r="N2252" i="6" s="1"/>
  <c r="O2252" i="6" s="1"/>
  <c r="F2236" i="6" a="1"/>
  <c r="F2236" i="6" s="1"/>
  <c r="N2236" i="6" s="1"/>
  <c r="O2236" i="6" s="1"/>
  <c r="F2220" i="6" a="1"/>
  <c r="F2220" i="6" s="1"/>
  <c r="N2220" i="6" s="1"/>
  <c r="O2220" i="6" s="1"/>
  <c r="F2204" i="6" a="1"/>
  <c r="F2204" i="6" s="1"/>
  <c r="N2204" i="6" s="1"/>
  <c r="O2204" i="6" s="1"/>
  <c r="F2188" i="6" a="1"/>
  <c r="F2188" i="6" s="1"/>
  <c r="N2188" i="6" s="1"/>
  <c r="O2188" i="6" s="1"/>
  <c r="F2508" i="6" a="1"/>
  <c r="F2508" i="6" s="1"/>
  <c r="N2508" i="6" s="1"/>
  <c r="O2508" i="6" s="1"/>
  <c r="F2503" i="6" a="1"/>
  <c r="F2503" i="6" s="1"/>
  <c r="N2503" i="6" s="1"/>
  <c r="O2503" i="6" s="1"/>
  <c r="F2484" i="6" a="1"/>
  <c r="F2484" i="6" s="1"/>
  <c r="N2484" i="6" s="1"/>
  <c r="O2484" i="6" s="1"/>
  <c r="F2376" i="6" a="1"/>
  <c r="F2376" i="6" s="1"/>
  <c r="N2376" i="6" s="1"/>
  <c r="O2376" i="6" s="1"/>
  <c r="F2360" i="6" a="1"/>
  <c r="F2360" i="6" s="1"/>
  <c r="N2360" i="6" s="1"/>
  <c r="O2360" i="6" s="1"/>
  <c r="F2345" i="6" a="1"/>
  <c r="F2345" i="6" s="1"/>
  <c r="N2345" i="6" s="1"/>
  <c r="O2345" i="6" s="1"/>
  <c r="F2329" i="6" a="1"/>
  <c r="F2329" i="6" s="1"/>
  <c r="N2329" i="6" s="1"/>
  <c r="O2329" i="6" s="1"/>
  <c r="F2570" i="6" a="1"/>
  <c r="F2570" i="6" s="1"/>
  <c r="N2570" i="6" s="1"/>
  <c r="O2570" i="6" s="1"/>
  <c r="F2529" i="6" a="1"/>
  <c r="F2529" i="6" s="1"/>
  <c r="N2529" i="6" s="1"/>
  <c r="O2529" i="6" s="1"/>
  <c r="F2513" i="6" a="1"/>
  <c r="F2513" i="6" s="1"/>
  <c r="N2513" i="6" s="1"/>
  <c r="O2513" i="6" s="1"/>
  <c r="F2464" i="6" a="1"/>
  <c r="F2464" i="6" s="1"/>
  <c r="N2464" i="6" s="1"/>
  <c r="O2464" i="6" s="1"/>
  <c r="F2422" i="6" a="1"/>
  <c r="F2422" i="6" s="1"/>
  <c r="N2422" i="6" s="1"/>
  <c r="O2422" i="6" s="1"/>
  <c r="F2408" i="6" a="1"/>
  <c r="F2408" i="6" s="1"/>
  <c r="N2408" i="6" s="1"/>
  <c r="O2408" i="6" s="1"/>
  <c r="F2539" i="6" a="1"/>
  <c r="F2539" i="6" s="1"/>
  <c r="N2539" i="6" s="1"/>
  <c r="O2539" i="6" s="1"/>
  <c r="F2479" i="6" a="1"/>
  <c r="F2479" i="6" s="1"/>
  <c r="N2479" i="6" s="1"/>
  <c r="O2479" i="6" s="1"/>
  <c r="F2477" i="6" a="1"/>
  <c r="F2477" i="6" s="1"/>
  <c r="N2477" i="6" s="1"/>
  <c r="O2477" i="6" s="1"/>
  <c r="F2444" i="6" a="1"/>
  <c r="F2444" i="6" s="1"/>
  <c r="N2444" i="6" s="1"/>
  <c r="O2444" i="6" s="1"/>
  <c r="F2381" i="6" a="1"/>
  <c r="F2381" i="6" s="1"/>
  <c r="N2381" i="6" s="1"/>
  <c r="O2381" i="6" s="1"/>
  <c r="F2366" i="6" a="1"/>
  <c r="F2366" i="6" s="1"/>
  <c r="N2366" i="6" s="1"/>
  <c r="O2366" i="6" s="1"/>
  <c r="F2600" i="6" a="1"/>
  <c r="F2600" i="6" s="1"/>
  <c r="N2600" i="6" s="1"/>
  <c r="O2600" i="6" s="1"/>
  <c r="F2573" i="6" a="1"/>
  <c r="F2573" i="6" s="1"/>
  <c r="N2573" i="6" s="1"/>
  <c r="O2573" i="6" s="1"/>
  <c r="F2505" i="6" a="1"/>
  <c r="F2505" i="6" s="1"/>
  <c r="N2505" i="6" s="1"/>
  <c r="O2505" i="6" s="1"/>
  <c r="F2481" i="6" a="1"/>
  <c r="F2481" i="6" s="1"/>
  <c r="N2481" i="6" s="1"/>
  <c r="O2481" i="6" s="1"/>
  <c r="F2429" i="6" a="1"/>
  <c r="F2429" i="6" s="1"/>
  <c r="N2429" i="6" s="1"/>
  <c r="O2429" i="6" s="1"/>
  <c r="F2374" i="6" a="1"/>
  <c r="F2374" i="6" s="1"/>
  <c r="N2374" i="6" s="1"/>
  <c r="O2374" i="6" s="1"/>
  <c r="F2369" i="6" a="1"/>
  <c r="F2369" i="6" s="1"/>
  <c r="N2369" i="6" s="1"/>
  <c r="O2369" i="6" s="1"/>
  <c r="F2336" i="6" a="1"/>
  <c r="F2336" i="6" s="1"/>
  <c r="N2336" i="6" s="1"/>
  <c r="O2336" i="6" s="1"/>
  <c r="F2320" i="6" a="1"/>
  <c r="F2320" i="6" s="1"/>
  <c r="N2320" i="6" s="1"/>
  <c r="O2320" i="6" s="1"/>
  <c r="F2304" i="6" a="1"/>
  <c r="F2304" i="6" s="1"/>
  <c r="N2304" i="6" s="1"/>
  <c r="O2304" i="6" s="1"/>
  <c r="F2548" i="6" a="1"/>
  <c r="F2548" i="6" s="1"/>
  <c r="N2548" i="6" s="1"/>
  <c r="O2548" i="6" s="1"/>
  <c r="F2531" i="6" a="1"/>
  <c r="F2531" i="6" s="1"/>
  <c r="N2531" i="6" s="1"/>
  <c r="O2531" i="6" s="1"/>
  <c r="F2500" i="6" a="1"/>
  <c r="F2500" i="6" s="1"/>
  <c r="N2500" i="6" s="1"/>
  <c r="O2500" i="6" s="1"/>
  <c r="F2472" i="6" a="1"/>
  <c r="F2472" i="6" s="1"/>
  <c r="N2472" i="6" s="1"/>
  <c r="O2472" i="6" s="1"/>
  <c r="F2433" i="6" a="1"/>
  <c r="F2433" i="6" s="1"/>
  <c r="N2433" i="6" s="1"/>
  <c r="O2433" i="6" s="1"/>
  <c r="F2431" i="6" a="1"/>
  <c r="F2431" i="6" s="1"/>
  <c r="N2431" i="6" s="1"/>
  <c r="O2431" i="6" s="1"/>
  <c r="F2652" i="6" a="1"/>
  <c r="F2652" i="6" s="1"/>
  <c r="N2652" i="6" s="1"/>
  <c r="O2652" i="6" s="1"/>
  <c r="F2576" i="6" a="1"/>
  <c r="F2576" i="6" s="1"/>
  <c r="N2576" i="6" s="1"/>
  <c r="O2576" i="6" s="1"/>
  <c r="F2507" i="6" a="1"/>
  <c r="F2507" i="6" s="1"/>
  <c r="N2507" i="6" s="1"/>
  <c r="O2507" i="6" s="1"/>
  <c r="F2468" i="6" a="1"/>
  <c r="F2468" i="6" s="1"/>
  <c r="N2468" i="6" s="1"/>
  <c r="O2468" i="6" s="1"/>
  <c r="F2459" i="6" a="1"/>
  <c r="F2459" i="6" s="1"/>
  <c r="N2459" i="6" s="1"/>
  <c r="O2459" i="6" s="1"/>
  <c r="F2437" i="6" a="1"/>
  <c r="F2437" i="6" s="1"/>
  <c r="N2437" i="6" s="1"/>
  <c r="O2437" i="6" s="1"/>
  <c r="F2435" i="6" a="1"/>
  <c r="F2435" i="6" s="1"/>
  <c r="N2435" i="6" s="1"/>
  <c r="O2435" i="6" s="1"/>
  <c r="F2402" i="6" a="1"/>
  <c r="F2402" i="6" s="1"/>
  <c r="N2402" i="6" s="1"/>
  <c r="O2402" i="6" s="1"/>
  <c r="F2384" i="6" a="1"/>
  <c r="F2384" i="6" s="1"/>
  <c r="N2384" i="6" s="1"/>
  <c r="O2384" i="6" s="1"/>
  <c r="F2379" i="6" a="1"/>
  <c r="F2379" i="6" s="1"/>
  <c r="N2379" i="6" s="1"/>
  <c r="O2379" i="6" s="1"/>
  <c r="F2361" i="6" a="1"/>
  <c r="F2361" i="6" s="1"/>
  <c r="N2361" i="6" s="1"/>
  <c r="O2361" i="6" s="1"/>
  <c r="F2358" i="6" a="1"/>
  <c r="F2358" i="6" s="1"/>
  <c r="N2358" i="6" s="1"/>
  <c r="O2358" i="6" s="1"/>
  <c r="F2441" i="6" a="1"/>
  <c r="F2441" i="6" s="1"/>
  <c r="N2441" i="6" s="1"/>
  <c r="O2441" i="6" s="1"/>
  <c r="F2392" i="6" a="1"/>
  <c r="F2392" i="6" s="1"/>
  <c r="N2392" i="6" s="1"/>
  <c r="O2392" i="6" s="1"/>
  <c r="F2362" i="6" a="1"/>
  <c r="F2362" i="6" s="1"/>
  <c r="N2362" i="6" s="1"/>
  <c r="O2362" i="6" s="1"/>
  <c r="F2331" i="6" a="1"/>
  <c r="F2331" i="6" s="1"/>
  <c r="N2331" i="6" s="1"/>
  <c r="O2331" i="6" s="1"/>
  <c r="F2240" i="6" a="1"/>
  <c r="F2240" i="6" s="1"/>
  <c r="N2240" i="6" s="1"/>
  <c r="O2240" i="6" s="1"/>
  <c r="F2235" i="6" a="1"/>
  <c r="F2235" i="6" s="1"/>
  <c r="N2235" i="6" s="1"/>
  <c r="O2235" i="6" s="1"/>
  <c r="F2212" i="6" a="1"/>
  <c r="F2212" i="6" s="1"/>
  <c r="N2212" i="6" s="1"/>
  <c r="O2212" i="6" s="1"/>
  <c r="F2445" i="6" a="1"/>
  <c r="F2445" i="6" s="1"/>
  <c r="N2445" i="6" s="1"/>
  <c r="O2445" i="6" s="1"/>
  <c r="F2407" i="6" a="1"/>
  <c r="F2407" i="6" s="1"/>
  <c r="N2407" i="6" s="1"/>
  <c r="O2407" i="6" s="1"/>
  <c r="F2382" i="6" a="1"/>
  <c r="F2382" i="6" s="1"/>
  <c r="N2382" i="6" s="1"/>
  <c r="O2382" i="6" s="1"/>
  <c r="F2326" i="6" a="1"/>
  <c r="F2326" i="6" s="1"/>
  <c r="N2326" i="6" s="1"/>
  <c r="O2326" i="6" s="1"/>
  <c r="F2274" i="6" a="1"/>
  <c r="F2274" i="6" s="1"/>
  <c r="N2274" i="6" s="1"/>
  <c r="O2274" i="6" s="1"/>
  <c r="F2272" i="6" a="1"/>
  <c r="F2272" i="6" s="1"/>
  <c r="N2272" i="6" s="1"/>
  <c r="O2272" i="6" s="1"/>
  <c r="F2270" i="6" a="1"/>
  <c r="F2270" i="6" s="1"/>
  <c r="N2270" i="6" s="1"/>
  <c r="O2270" i="6" s="1"/>
  <c r="F2195" i="6" a="1"/>
  <c r="F2195" i="6" s="1"/>
  <c r="N2195" i="6" s="1"/>
  <c r="O2195" i="6" s="1"/>
  <c r="F2168" i="6" a="1"/>
  <c r="F2168" i="6" s="1"/>
  <c r="N2168" i="6" s="1"/>
  <c r="O2168" i="6" s="1"/>
  <c r="F2152" i="6" a="1"/>
  <c r="F2152" i="6" s="1"/>
  <c r="N2152" i="6" s="1"/>
  <c r="O2152" i="6" s="1"/>
  <c r="F2385" i="6" a="1"/>
  <c r="F2385" i="6" s="1"/>
  <c r="N2385" i="6" s="1"/>
  <c r="O2385" i="6" s="1"/>
  <c r="F2315" i="6" a="1"/>
  <c r="F2315" i="6" s="1"/>
  <c r="N2315" i="6" s="1"/>
  <c r="O2315" i="6" s="1"/>
  <c r="F2245" i="6" a="1"/>
  <c r="F2245" i="6" s="1"/>
  <c r="N2245" i="6" s="1"/>
  <c r="O2245" i="6" s="1"/>
  <c r="F2233" i="6" a="1"/>
  <c r="F2233" i="6" s="1"/>
  <c r="N2233" i="6" s="1"/>
  <c r="O2233" i="6" s="1"/>
  <c r="F2215" i="6" a="1"/>
  <c r="F2215" i="6" s="1"/>
  <c r="N2215" i="6" s="1"/>
  <c r="O2215" i="6" s="1"/>
  <c r="F2463" i="6" a="1"/>
  <c r="F2463" i="6" s="1"/>
  <c r="N2463" i="6" s="1"/>
  <c r="O2463" i="6" s="1"/>
  <c r="F2365" i="6" a="1"/>
  <c r="F2365" i="6" s="1"/>
  <c r="N2365" i="6" s="1"/>
  <c r="O2365" i="6" s="1"/>
  <c r="F2525" i="6" a="1"/>
  <c r="F2525" i="6" s="1"/>
  <c r="N2525" i="6" s="1"/>
  <c r="O2525" i="6" s="1"/>
  <c r="F2406" i="6" a="1"/>
  <c r="F2406" i="6" s="1"/>
  <c r="N2406" i="6" s="1"/>
  <c r="O2406" i="6" s="1"/>
  <c r="F2391" i="6" a="1"/>
  <c r="F2391" i="6" s="1"/>
  <c r="N2391" i="6" s="1"/>
  <c r="O2391" i="6" s="1"/>
  <c r="F2421" i="6" a="1"/>
  <c r="F2421" i="6" s="1"/>
  <c r="N2421" i="6" s="1"/>
  <c r="O2421" i="6" s="1"/>
  <c r="F2403" i="6" a="1"/>
  <c r="F2403" i="6" s="1"/>
  <c r="N2403" i="6" s="1"/>
  <c r="O2403" i="6" s="1"/>
  <c r="F2297" i="6" a="1"/>
  <c r="F2297" i="6" s="1"/>
  <c r="N2297" i="6" s="1"/>
  <c r="O2297" i="6" s="1"/>
  <c r="F2293" i="6" a="1"/>
  <c r="F2293" i="6" s="1"/>
  <c r="N2293" i="6" s="1"/>
  <c r="O2293" i="6" s="1"/>
  <c r="F2283" i="6" a="1"/>
  <c r="F2283" i="6" s="1"/>
  <c r="N2283" i="6" s="1"/>
  <c r="O2283" i="6" s="1"/>
  <c r="F2281" i="6" a="1"/>
  <c r="F2281" i="6" s="1"/>
  <c r="N2281" i="6" s="1"/>
  <c r="O2281" i="6" s="1"/>
  <c r="F2226" i="6" a="1"/>
  <c r="F2226" i="6" s="1"/>
  <c r="N2226" i="6" s="1"/>
  <c r="O2226" i="6" s="1"/>
  <c r="F2482" i="6" a="1"/>
  <c r="F2482" i="6" s="1"/>
  <c r="N2482" i="6" s="1"/>
  <c r="O2482" i="6" s="1"/>
  <c r="F2434" i="6" a="1"/>
  <c r="F2434" i="6" s="1"/>
  <c r="N2434" i="6" s="1"/>
  <c r="O2434" i="6" s="1"/>
  <c r="F2370" i="6" a="1"/>
  <c r="F2370" i="6" s="1"/>
  <c r="N2370" i="6" s="1"/>
  <c r="O2370" i="6" s="1"/>
  <c r="F2349" i="6" a="1"/>
  <c r="F2349" i="6" s="1"/>
  <c r="N2349" i="6" s="1"/>
  <c r="O2349" i="6" s="1"/>
  <c r="F2344" i="6" a="1"/>
  <c r="F2344" i="6" s="1"/>
  <c r="N2344" i="6" s="1"/>
  <c r="O2344" i="6" s="1"/>
  <c r="F2339" i="6" a="1"/>
  <c r="F2339" i="6" s="1"/>
  <c r="N2339" i="6" s="1"/>
  <c r="O2339" i="6" s="1"/>
  <c r="F2258" i="6" a="1"/>
  <c r="F2258" i="6" s="1"/>
  <c r="N2258" i="6" s="1"/>
  <c r="O2258" i="6" s="1"/>
  <c r="F2251" i="6" a="1"/>
  <c r="F2251" i="6" s="1"/>
  <c r="N2251" i="6" s="1"/>
  <c r="O2251" i="6" s="1"/>
  <c r="F2229" i="6" a="1"/>
  <c r="F2229" i="6" s="1"/>
  <c r="N2229" i="6" s="1"/>
  <c r="O2229" i="6" s="1"/>
  <c r="F2208" i="6" a="1"/>
  <c r="F2208" i="6" s="1"/>
  <c r="N2208" i="6" s="1"/>
  <c r="O2208" i="6" s="1"/>
  <c r="F2205" i="6" a="1"/>
  <c r="F2205" i="6" s="1"/>
  <c r="N2205" i="6" s="1"/>
  <c r="O2205" i="6" s="1"/>
  <c r="F2185" i="6" a="1"/>
  <c r="F2185" i="6" s="1"/>
  <c r="N2185" i="6" s="1"/>
  <c r="O2185" i="6" s="1"/>
  <c r="F2182" i="6" a="1"/>
  <c r="F2182" i="6" s="1"/>
  <c r="N2182" i="6" s="1"/>
  <c r="O2182" i="6" s="1"/>
  <c r="F2176" i="6" a="1"/>
  <c r="F2176" i="6" s="1"/>
  <c r="N2176" i="6" s="1"/>
  <c r="O2176" i="6" s="1"/>
  <c r="F2160" i="6" a="1"/>
  <c r="F2160" i="6" s="1"/>
  <c r="N2160" i="6" s="1"/>
  <c r="O2160" i="6" s="1"/>
  <c r="F2409" i="6" a="1"/>
  <c r="F2409" i="6" s="1"/>
  <c r="N2409" i="6" s="1"/>
  <c r="O2409" i="6" s="1"/>
  <c r="F2334" i="6" a="1"/>
  <c r="F2334" i="6" s="1"/>
  <c r="N2334" i="6" s="1"/>
  <c r="O2334" i="6" s="1"/>
  <c r="F2325" i="6" a="1"/>
  <c r="F2325" i="6" s="1"/>
  <c r="N2325" i="6" s="1"/>
  <c r="O2325" i="6" s="1"/>
  <c r="F2314" i="6" a="1"/>
  <c r="F2314" i="6" s="1"/>
  <c r="N2314" i="6" s="1"/>
  <c r="O2314" i="6" s="1"/>
  <c r="F2307" i="6" a="1"/>
  <c r="F2307" i="6" s="1"/>
  <c r="N2307" i="6" s="1"/>
  <c r="O2307" i="6" s="1"/>
  <c r="F2267" i="6" a="1"/>
  <c r="F2267" i="6" s="1"/>
  <c r="N2267" i="6" s="1"/>
  <c r="O2267" i="6" s="1"/>
  <c r="F2265" i="6" a="1"/>
  <c r="F2265" i="6" s="1"/>
  <c r="N2265" i="6" s="1"/>
  <c r="O2265" i="6" s="1"/>
  <c r="F2256" i="6" a="1"/>
  <c r="F2256" i="6" s="1"/>
  <c r="N2256" i="6" s="1"/>
  <c r="O2256" i="6" s="1"/>
  <c r="F2234" i="6" a="1"/>
  <c r="F2234" i="6" s="1"/>
  <c r="N2234" i="6" s="1"/>
  <c r="O2234" i="6" s="1"/>
  <c r="F2219" i="6" a="1"/>
  <c r="F2219" i="6" s="1"/>
  <c r="N2219" i="6" s="1"/>
  <c r="O2219" i="6" s="1"/>
  <c r="F2211" i="6" a="1"/>
  <c r="F2211" i="6" s="1"/>
  <c r="N2211" i="6" s="1"/>
  <c r="O2211" i="6" s="1"/>
  <c r="F2173" i="6" a="1"/>
  <c r="F2173" i="6" s="1"/>
  <c r="N2173" i="6" s="1"/>
  <c r="O2173" i="6" s="1"/>
  <c r="F2157" i="6" a="1"/>
  <c r="F2157" i="6" s="1"/>
  <c r="N2157" i="6" s="1"/>
  <c r="O2157" i="6" s="1"/>
  <c r="F2390" i="6" a="1"/>
  <c r="F2390" i="6" s="1"/>
  <c r="N2390" i="6" s="1"/>
  <c r="O2390" i="6" s="1"/>
  <c r="F2380" i="6" a="1"/>
  <c r="F2380" i="6" s="1"/>
  <c r="N2380" i="6" s="1"/>
  <c r="O2380" i="6" s="1"/>
  <c r="F2318" i="6" a="1"/>
  <c r="F2318" i="6" s="1"/>
  <c r="N2318" i="6" s="1"/>
  <c r="O2318" i="6" s="1"/>
  <c r="F2269" i="6" a="1"/>
  <c r="F2269" i="6" s="1"/>
  <c r="N2269" i="6" s="1"/>
  <c r="O2269" i="6" s="1"/>
  <c r="F2249" i="6" a="1"/>
  <c r="F2249" i="6" s="1"/>
  <c r="N2249" i="6" s="1"/>
  <c r="O2249" i="6" s="1"/>
  <c r="F2239" i="6" a="1"/>
  <c r="F2239" i="6" s="1"/>
  <c r="N2239" i="6" s="1"/>
  <c r="O2239" i="6" s="1"/>
  <c r="F2232" i="6" a="1"/>
  <c r="F2232" i="6" s="1"/>
  <c r="N2232" i="6" s="1"/>
  <c r="O2232" i="6" s="1"/>
  <c r="F2227" i="6" a="1"/>
  <c r="F2227" i="6" s="1"/>
  <c r="N2227" i="6" s="1"/>
  <c r="O2227" i="6" s="1"/>
  <c r="F2214" i="6" a="1"/>
  <c r="F2214" i="6" s="1"/>
  <c r="N2214" i="6" s="1"/>
  <c r="O2214" i="6" s="1"/>
  <c r="F2191" i="6" a="1"/>
  <c r="F2191" i="6" s="1"/>
  <c r="N2191" i="6" s="1"/>
  <c r="O2191" i="6" s="1"/>
  <c r="F2170" i="6" a="1"/>
  <c r="F2170" i="6" s="1"/>
  <c r="N2170" i="6" s="1"/>
  <c r="O2170" i="6" s="1"/>
  <c r="F2363" i="6" a="1"/>
  <c r="F2363" i="6" s="1"/>
  <c r="N2363" i="6" s="1"/>
  <c r="O2363" i="6" s="1"/>
  <c r="F2346" i="6" a="1"/>
  <c r="F2346" i="6" s="1"/>
  <c r="N2346" i="6" s="1"/>
  <c r="O2346" i="6" s="1"/>
  <c r="F2294" i="6" a="1"/>
  <c r="F2294" i="6" s="1"/>
  <c r="N2294" i="6" s="1"/>
  <c r="O2294" i="6" s="1"/>
  <c r="F2290" i="6" a="1"/>
  <c r="F2290" i="6" s="1"/>
  <c r="N2290" i="6" s="1"/>
  <c r="O2290" i="6" s="1"/>
  <c r="F2356" i="6" a="1"/>
  <c r="F2356" i="6" s="1"/>
  <c r="N2356" i="6" s="1"/>
  <c r="O2356" i="6" s="1"/>
  <c r="F2353" i="6" a="1"/>
  <c r="F2353" i="6" s="1"/>
  <c r="N2353" i="6" s="1"/>
  <c r="O2353" i="6" s="1"/>
  <c r="F2341" i="6" a="1"/>
  <c r="F2341" i="6" s="1"/>
  <c r="N2341" i="6" s="1"/>
  <c r="O2341" i="6" s="1"/>
  <c r="F2309" i="6" a="1"/>
  <c r="F2309" i="6" s="1"/>
  <c r="N2309" i="6" s="1"/>
  <c r="O2309" i="6" s="1"/>
  <c r="F2296" i="6" a="1"/>
  <c r="F2296" i="6" s="1"/>
  <c r="N2296" i="6" s="1"/>
  <c r="O2296" i="6" s="1"/>
  <c r="F2263" i="6" a="1"/>
  <c r="F2263" i="6" s="1"/>
  <c r="N2263" i="6" s="1"/>
  <c r="O2263" i="6" s="1"/>
  <c r="F2217" i="6" a="1"/>
  <c r="F2217" i="6" s="1"/>
  <c r="N2217" i="6" s="1"/>
  <c r="O2217" i="6" s="1"/>
  <c r="F2200" i="6" a="1"/>
  <c r="F2200" i="6" s="1"/>
  <c r="N2200" i="6" s="1"/>
  <c r="O2200" i="6" s="1"/>
  <c r="F2197" i="6" a="1"/>
  <c r="F2197" i="6" s="1"/>
  <c r="N2197" i="6" s="1"/>
  <c r="O2197" i="6" s="1"/>
  <c r="F2302" i="6" a="1"/>
  <c r="F2302" i="6" s="1"/>
  <c r="N2302" i="6" s="1"/>
  <c r="O2302" i="6" s="1"/>
  <c r="F2280" i="6" a="1"/>
  <c r="F2280" i="6" s="1"/>
  <c r="N2280" i="6" s="1"/>
  <c r="O2280" i="6" s="1"/>
  <c r="F2278" i="6" a="1"/>
  <c r="F2278" i="6" s="1"/>
  <c r="N2278" i="6" s="1"/>
  <c r="O2278" i="6" s="1"/>
  <c r="F2242" i="6" a="1"/>
  <c r="F2242" i="6" s="1"/>
  <c r="N2242" i="6" s="1"/>
  <c r="O2242" i="6" s="1"/>
  <c r="F2237" i="6" a="1"/>
  <c r="F2237" i="6" s="1"/>
  <c r="N2237" i="6" s="1"/>
  <c r="O2237" i="6" s="1"/>
  <c r="F2230" i="6" a="1"/>
  <c r="F2230" i="6" s="1"/>
  <c r="N2230" i="6" s="1"/>
  <c r="O2230" i="6" s="1"/>
  <c r="F2225" i="6" a="1"/>
  <c r="F2225" i="6" s="1"/>
  <c r="N2225" i="6" s="1"/>
  <c r="O2225" i="6" s="1"/>
  <c r="F2206" i="6" a="1"/>
  <c r="F2206" i="6" s="1"/>
  <c r="N2206" i="6" s="1"/>
  <c r="O2206" i="6" s="1"/>
  <c r="F2203" i="6" a="1"/>
  <c r="F2203" i="6" s="1"/>
  <c r="N2203" i="6" s="1"/>
  <c r="O2203" i="6" s="1"/>
  <c r="F2350" i="6" a="1"/>
  <c r="F2350" i="6" s="1"/>
  <c r="N2350" i="6" s="1"/>
  <c r="O2350" i="6" s="1"/>
  <c r="F2221" i="6" a="1"/>
  <c r="F2221" i="6" s="1"/>
  <c r="N2221" i="6" s="1"/>
  <c r="O2221" i="6" s="1"/>
  <c r="F2213" i="6" a="1"/>
  <c r="F2213" i="6" s="1"/>
  <c r="N2213" i="6" s="1"/>
  <c r="O2213" i="6" s="1"/>
  <c r="F2198" i="6" a="1"/>
  <c r="F2198" i="6" s="1"/>
  <c r="N2198" i="6" s="1"/>
  <c r="O2198" i="6" s="1"/>
  <c r="F2174" i="6" a="1"/>
  <c r="F2174" i="6" s="1"/>
  <c r="N2174" i="6" s="1"/>
  <c r="O2174" i="6" s="1"/>
  <c r="F2165" i="6" a="1"/>
  <c r="F2165" i="6" s="1"/>
  <c r="N2165" i="6" s="1"/>
  <c r="O2165" i="6" s="1"/>
  <c r="F2139" i="6" a="1"/>
  <c r="F2139" i="6" s="1"/>
  <c r="N2139" i="6" s="1"/>
  <c r="O2139" i="6" s="1"/>
  <c r="F2123" i="6" a="1"/>
  <c r="F2123" i="6" s="1"/>
  <c r="N2123" i="6" s="1"/>
  <c r="O2123" i="6" s="1"/>
  <c r="F2107" i="6" a="1"/>
  <c r="F2107" i="6" s="1"/>
  <c r="N2107" i="6" s="1"/>
  <c r="O2107" i="6" s="1"/>
  <c r="F2091" i="6" a="1"/>
  <c r="F2091" i="6" s="1"/>
  <c r="N2091" i="6" s="1"/>
  <c r="O2091" i="6" s="1"/>
  <c r="F2075" i="6" a="1"/>
  <c r="F2075" i="6" s="1"/>
  <c r="N2075" i="6" s="1"/>
  <c r="O2075" i="6" s="1"/>
  <c r="F2059" i="6" a="1"/>
  <c r="F2059" i="6" s="1"/>
  <c r="N2059" i="6" s="1"/>
  <c r="O2059" i="6" s="1"/>
  <c r="F2043" i="6" a="1"/>
  <c r="F2043" i="6" s="1"/>
  <c r="N2043" i="6" s="1"/>
  <c r="O2043" i="6" s="1"/>
  <c r="F2027" i="6" a="1"/>
  <c r="F2027" i="6" s="1"/>
  <c r="N2027" i="6" s="1"/>
  <c r="O2027" i="6" s="1"/>
  <c r="F2172" i="6" a="1"/>
  <c r="F2172" i="6" s="1"/>
  <c r="N2172" i="6" s="1"/>
  <c r="O2172" i="6" s="1"/>
  <c r="F2154" i="6" a="1"/>
  <c r="F2154" i="6" s="1"/>
  <c r="N2154" i="6" s="1"/>
  <c r="O2154" i="6" s="1"/>
  <c r="F2136" i="6" a="1"/>
  <c r="F2136" i="6" s="1"/>
  <c r="N2136" i="6" s="1"/>
  <c r="O2136" i="6" s="1"/>
  <c r="F2120" i="6" a="1"/>
  <c r="F2120" i="6" s="1"/>
  <c r="N2120" i="6" s="1"/>
  <c r="O2120" i="6" s="1"/>
  <c r="F2104" i="6" a="1"/>
  <c r="F2104" i="6" s="1"/>
  <c r="N2104" i="6" s="1"/>
  <c r="O2104" i="6" s="1"/>
  <c r="F2088" i="6" a="1"/>
  <c r="F2088" i="6" s="1"/>
  <c r="N2088" i="6" s="1"/>
  <c r="O2088" i="6" s="1"/>
  <c r="F2072" i="6" a="1"/>
  <c r="F2072" i="6" s="1"/>
  <c r="N2072" i="6" s="1"/>
  <c r="O2072" i="6" s="1"/>
  <c r="F2056" i="6" a="1"/>
  <c r="F2056" i="6" s="1"/>
  <c r="N2056" i="6" s="1"/>
  <c r="O2056" i="6" s="1"/>
  <c r="F2040" i="6" a="1"/>
  <c r="F2040" i="6" s="1"/>
  <c r="N2040" i="6" s="1"/>
  <c r="O2040" i="6" s="1"/>
  <c r="F2024" i="6" a="1"/>
  <c r="F2024" i="6" s="1"/>
  <c r="N2024" i="6" s="1"/>
  <c r="O2024" i="6" s="1"/>
  <c r="F2352" i="6" a="1"/>
  <c r="F2352" i="6" s="1"/>
  <c r="N2352" i="6" s="1"/>
  <c r="O2352" i="6" s="1"/>
  <c r="F2310" i="6" a="1"/>
  <c r="F2310" i="6" s="1"/>
  <c r="N2310" i="6" s="1"/>
  <c r="O2310" i="6" s="1"/>
  <c r="F2286" i="6" a="1"/>
  <c r="F2286" i="6" s="1"/>
  <c r="N2286" i="6" s="1"/>
  <c r="O2286" i="6" s="1"/>
  <c r="F2262" i="6" a="1"/>
  <c r="F2262" i="6" s="1"/>
  <c r="N2262" i="6" s="1"/>
  <c r="O2262" i="6" s="1"/>
  <c r="F2149" i="6" a="1"/>
  <c r="F2149" i="6" s="1"/>
  <c r="N2149" i="6" s="1"/>
  <c r="O2149" i="6" s="1"/>
  <c r="F2133" i="6" a="1"/>
  <c r="F2133" i="6" s="1"/>
  <c r="N2133" i="6" s="1"/>
  <c r="O2133" i="6" s="1"/>
  <c r="F2117" i="6" a="1"/>
  <c r="F2117" i="6" s="1"/>
  <c r="N2117" i="6" s="1"/>
  <c r="O2117" i="6" s="1"/>
  <c r="F2101" i="6" a="1"/>
  <c r="F2101" i="6" s="1"/>
  <c r="N2101" i="6" s="1"/>
  <c r="O2101" i="6" s="1"/>
  <c r="F2085" i="6" a="1"/>
  <c r="F2085" i="6" s="1"/>
  <c r="N2085" i="6" s="1"/>
  <c r="O2085" i="6" s="1"/>
  <c r="F2069" i="6" a="1"/>
  <c r="F2069" i="6" s="1"/>
  <c r="N2069" i="6" s="1"/>
  <c r="O2069" i="6" s="1"/>
  <c r="F2053" i="6" a="1"/>
  <c r="F2053" i="6" s="1"/>
  <c r="N2053" i="6" s="1"/>
  <c r="O2053" i="6" s="1"/>
  <c r="F2037" i="6" a="1"/>
  <c r="F2037" i="6" s="1"/>
  <c r="N2037" i="6" s="1"/>
  <c r="O2037" i="6" s="1"/>
  <c r="F2021" i="6" a="1"/>
  <c r="F2021" i="6" s="1"/>
  <c r="N2021" i="6" s="1"/>
  <c r="O2021" i="6" s="1"/>
  <c r="F2313" i="6" a="1"/>
  <c r="F2313" i="6" s="1"/>
  <c r="N2313" i="6" s="1"/>
  <c r="O2313" i="6" s="1"/>
  <c r="F2299" i="6" a="1"/>
  <c r="F2299" i="6" s="1"/>
  <c r="N2299" i="6" s="1"/>
  <c r="O2299" i="6" s="1"/>
  <c r="F2275" i="6" a="1"/>
  <c r="F2275" i="6" s="1"/>
  <c r="N2275" i="6" s="1"/>
  <c r="O2275" i="6" s="1"/>
  <c r="F2163" i="6" a="1"/>
  <c r="F2163" i="6" s="1"/>
  <c r="N2163" i="6" s="1"/>
  <c r="O2163" i="6" s="1"/>
  <c r="F2161" i="6" a="1"/>
  <c r="F2161" i="6" s="1"/>
  <c r="N2161" i="6" s="1"/>
  <c r="O2161" i="6" s="1"/>
  <c r="F2328" i="6" a="1"/>
  <c r="F2328" i="6" s="1"/>
  <c r="N2328" i="6" s="1"/>
  <c r="O2328" i="6" s="1"/>
  <c r="F2317" i="6" a="1"/>
  <c r="F2317" i="6" s="1"/>
  <c r="N2317" i="6" s="1"/>
  <c r="O2317" i="6" s="1"/>
  <c r="F2259" i="6" a="1"/>
  <c r="F2259" i="6" s="1"/>
  <c r="N2259" i="6" s="1"/>
  <c r="O2259" i="6" s="1"/>
  <c r="F2250" i="6" a="1"/>
  <c r="F2250" i="6" s="1"/>
  <c r="N2250" i="6" s="1"/>
  <c r="O2250" i="6" s="1"/>
  <c r="F2223" i="6" a="1"/>
  <c r="F2223" i="6" s="1"/>
  <c r="N2223" i="6" s="1"/>
  <c r="O2223" i="6" s="1"/>
  <c r="F2347" i="6" a="1"/>
  <c r="F2347" i="6" s="1"/>
  <c r="N2347" i="6" s="1"/>
  <c r="O2347" i="6" s="1"/>
  <c r="F2288" i="6" a="1"/>
  <c r="F2288" i="6" s="1"/>
  <c r="N2288" i="6" s="1"/>
  <c r="O2288" i="6" s="1"/>
  <c r="F2247" i="6" a="1"/>
  <c r="F2247" i="6" s="1"/>
  <c r="N2247" i="6" s="1"/>
  <c r="O2247" i="6" s="1"/>
  <c r="F2231" i="6" a="1"/>
  <c r="F2231" i="6" s="1"/>
  <c r="N2231" i="6" s="1"/>
  <c r="O2231" i="6" s="1"/>
  <c r="F2355" i="6" a="1"/>
  <c r="F2355" i="6" s="1"/>
  <c r="N2355" i="6" s="1"/>
  <c r="O2355" i="6" s="1"/>
  <c r="F2323" i="6" a="1"/>
  <c r="F2323" i="6" s="1"/>
  <c r="N2323" i="6" s="1"/>
  <c r="O2323" i="6" s="1"/>
  <c r="F2291" i="6" a="1"/>
  <c r="F2291" i="6" s="1"/>
  <c r="N2291" i="6" s="1"/>
  <c r="O2291" i="6" s="1"/>
  <c r="F2175" i="6" a="1"/>
  <c r="F2175" i="6" s="1"/>
  <c r="N2175" i="6" s="1"/>
  <c r="O2175" i="6" s="1"/>
  <c r="F2342" i="6" a="1"/>
  <c r="F2342" i="6" s="1"/>
  <c r="N2342" i="6" s="1"/>
  <c r="O2342" i="6" s="1"/>
  <c r="F2285" i="6" a="1"/>
  <c r="F2285" i="6" s="1"/>
  <c r="N2285" i="6" s="1"/>
  <c r="O2285" i="6" s="1"/>
  <c r="F2261" i="6" a="1"/>
  <c r="F2261" i="6" s="1"/>
  <c r="N2261" i="6" s="1"/>
  <c r="O2261" i="6" s="1"/>
  <c r="F2222" i="6" a="1"/>
  <c r="F2222" i="6" s="1"/>
  <c r="N2222" i="6" s="1"/>
  <c r="O2222" i="6" s="1"/>
  <c r="F2301" i="6" a="1"/>
  <c r="F2301" i="6" s="1"/>
  <c r="N2301" i="6" s="1"/>
  <c r="O2301" i="6" s="1"/>
  <c r="F2277" i="6" a="1"/>
  <c r="F2277" i="6" s="1"/>
  <c r="N2277" i="6" s="1"/>
  <c r="O2277" i="6" s="1"/>
  <c r="F2201" i="6" a="1"/>
  <c r="F2201" i="6" s="1"/>
  <c r="N2201" i="6" s="1"/>
  <c r="O2201" i="6" s="1"/>
  <c r="F2162" i="6" a="1"/>
  <c r="F2162" i="6" s="1"/>
  <c r="N2162" i="6" s="1"/>
  <c r="O2162" i="6" s="1"/>
  <c r="F2141" i="6" a="1"/>
  <c r="F2141" i="6" s="1"/>
  <c r="N2141" i="6" s="1"/>
  <c r="O2141" i="6" s="1"/>
  <c r="F2125" i="6" a="1"/>
  <c r="F2125" i="6" s="1"/>
  <c r="N2125" i="6" s="1"/>
  <c r="O2125" i="6" s="1"/>
  <c r="F2109" i="6" a="1"/>
  <c r="F2109" i="6" s="1"/>
  <c r="N2109" i="6" s="1"/>
  <c r="O2109" i="6" s="1"/>
  <c r="F2093" i="6" a="1"/>
  <c r="F2093" i="6" s="1"/>
  <c r="N2093" i="6" s="1"/>
  <c r="O2093" i="6" s="1"/>
  <c r="F2077" i="6" a="1"/>
  <c r="F2077" i="6" s="1"/>
  <c r="N2077" i="6" s="1"/>
  <c r="O2077" i="6" s="1"/>
  <c r="F2199" i="6" a="1"/>
  <c r="F2199" i="6" s="1"/>
  <c r="N2199" i="6" s="1"/>
  <c r="O2199" i="6" s="1"/>
  <c r="F2171" i="6" a="1"/>
  <c r="F2171" i="6" s="1"/>
  <c r="N2171" i="6" s="1"/>
  <c r="O2171" i="6" s="1"/>
  <c r="F2282" i="6" a="1"/>
  <c r="F2282" i="6" s="1"/>
  <c r="N2282" i="6" s="1"/>
  <c r="O2282" i="6" s="1"/>
  <c r="F2216" i="6" a="1"/>
  <c r="F2216" i="6" s="1"/>
  <c r="N2216" i="6" s="1"/>
  <c r="O2216" i="6" s="1"/>
  <c r="F2190" i="6" a="1"/>
  <c r="F2190" i="6" s="1"/>
  <c r="N2190" i="6" s="1"/>
  <c r="O2190" i="6" s="1"/>
  <c r="F2153" i="6" a="1"/>
  <c r="F2153" i="6" s="1"/>
  <c r="N2153" i="6" s="1"/>
  <c r="O2153" i="6" s="1"/>
  <c r="F2135" i="6" a="1"/>
  <c r="F2135" i="6" s="1"/>
  <c r="N2135" i="6" s="1"/>
  <c r="O2135" i="6" s="1"/>
  <c r="F2119" i="6" a="1"/>
  <c r="F2119" i="6" s="1"/>
  <c r="N2119" i="6" s="1"/>
  <c r="O2119" i="6" s="1"/>
  <c r="F2103" i="6" a="1"/>
  <c r="F2103" i="6" s="1"/>
  <c r="N2103" i="6" s="1"/>
  <c r="O2103" i="6" s="1"/>
  <c r="F2087" i="6" a="1"/>
  <c r="F2087" i="6" s="1"/>
  <c r="N2087" i="6" s="1"/>
  <c r="O2087" i="6" s="1"/>
  <c r="F2071" i="6" a="1"/>
  <c r="F2071" i="6" s="1"/>
  <c r="N2071" i="6" s="1"/>
  <c r="O2071" i="6" s="1"/>
  <c r="F2330" i="6" a="1"/>
  <c r="F2330" i="6" s="1"/>
  <c r="N2330" i="6" s="1"/>
  <c r="O2330" i="6" s="1"/>
  <c r="F2254" i="6" a="1"/>
  <c r="F2254" i="6" s="1"/>
  <c r="N2254" i="6" s="1"/>
  <c r="O2254" i="6" s="1"/>
  <c r="F2248" i="6" a="1"/>
  <c r="F2248" i="6" s="1"/>
  <c r="N2248" i="6" s="1"/>
  <c r="O2248" i="6" s="1"/>
  <c r="F2194" i="6" a="1"/>
  <c r="F2194" i="6" s="1"/>
  <c r="N2194" i="6" s="1"/>
  <c r="O2194" i="6" s="1"/>
  <c r="F2186" i="6" a="1"/>
  <c r="F2186" i="6" s="1"/>
  <c r="N2186" i="6" s="1"/>
  <c r="O2186" i="6" s="1"/>
  <c r="F2184" i="6" a="1"/>
  <c r="F2184" i="6" s="1"/>
  <c r="N2184" i="6" s="1"/>
  <c r="O2184" i="6" s="1"/>
  <c r="F2178" i="6" a="1"/>
  <c r="F2178" i="6" s="1"/>
  <c r="N2178" i="6" s="1"/>
  <c r="O2178" i="6" s="1"/>
  <c r="F2167" i="6" a="1"/>
  <c r="F2167" i="6" s="1"/>
  <c r="N2167" i="6" s="1"/>
  <c r="O2167" i="6" s="1"/>
  <c r="F2158" i="6" a="1"/>
  <c r="F2158" i="6" s="1"/>
  <c r="N2158" i="6" s="1"/>
  <c r="O2158" i="6" s="1"/>
  <c r="F2224" i="6" a="1"/>
  <c r="F2224" i="6" s="1"/>
  <c r="N2224" i="6" s="1"/>
  <c r="O2224" i="6" s="1"/>
  <c r="F2177" i="6" a="1"/>
  <c r="F2177" i="6" s="1"/>
  <c r="N2177" i="6" s="1"/>
  <c r="O2177" i="6" s="1"/>
  <c r="F2086" i="6" a="1"/>
  <c r="F2086" i="6" s="1"/>
  <c r="N2086" i="6" s="1"/>
  <c r="O2086" i="6" s="1"/>
  <c r="F2067" i="6" a="1"/>
  <c r="F2067" i="6" s="1"/>
  <c r="N2067" i="6" s="1"/>
  <c r="O2067" i="6" s="1"/>
  <c r="F2048" i="6" a="1"/>
  <c r="F2048" i="6" s="1"/>
  <c r="N2048" i="6" s="1"/>
  <c r="O2048" i="6" s="1"/>
  <c r="F2011" i="6" a="1"/>
  <c r="F2011" i="6" s="1"/>
  <c r="N2011" i="6" s="1"/>
  <c r="O2011" i="6" s="1"/>
  <c r="F1995" i="6" a="1"/>
  <c r="F1995" i="6" s="1"/>
  <c r="N1995" i="6" s="1"/>
  <c r="O1995" i="6" s="1"/>
  <c r="F1979" i="6" a="1"/>
  <c r="F1979" i="6" s="1"/>
  <c r="N1979" i="6" s="1"/>
  <c r="O1979" i="6" s="1"/>
  <c r="F1963" i="6" a="1"/>
  <c r="F1963" i="6" s="1"/>
  <c r="N1963" i="6" s="1"/>
  <c r="O1963" i="6" s="1"/>
  <c r="F1947" i="6" a="1"/>
  <c r="F1947" i="6" s="1"/>
  <c r="N1947" i="6" s="1"/>
  <c r="O1947" i="6" s="1"/>
  <c r="F1931" i="6" a="1"/>
  <c r="F1931" i="6" s="1"/>
  <c r="N1931" i="6" s="1"/>
  <c r="O1931" i="6" s="1"/>
  <c r="F1915" i="6" a="1"/>
  <c r="F1915" i="6" s="1"/>
  <c r="N1915" i="6" s="1"/>
  <c r="O1915" i="6" s="1"/>
  <c r="F1899" i="6" a="1"/>
  <c r="F1899" i="6" s="1"/>
  <c r="N1899" i="6" s="1"/>
  <c r="O1899" i="6" s="1"/>
  <c r="F1883" i="6" a="1"/>
  <c r="F1883" i="6" s="1"/>
  <c r="N1883" i="6" s="1"/>
  <c r="O1883" i="6" s="1"/>
  <c r="F1867" i="6" a="1"/>
  <c r="F1867" i="6" s="1"/>
  <c r="N1867" i="6" s="1"/>
  <c r="O1867" i="6" s="1"/>
  <c r="F1851" i="6" a="1"/>
  <c r="F1851" i="6" s="1"/>
  <c r="N1851" i="6" s="1"/>
  <c r="O1851" i="6" s="1"/>
  <c r="F1835" i="6" a="1"/>
  <c r="F1835" i="6" s="1"/>
  <c r="N1835" i="6" s="1"/>
  <c r="O1835" i="6" s="1"/>
  <c r="F1819" i="6" a="1"/>
  <c r="F1819" i="6" s="1"/>
  <c r="N1819" i="6" s="1"/>
  <c r="O1819" i="6" s="1"/>
  <c r="F1803" i="6" a="1"/>
  <c r="F1803" i="6" s="1"/>
  <c r="N1803" i="6" s="1"/>
  <c r="O1803" i="6" s="1"/>
  <c r="F1787" i="6" a="1"/>
  <c r="F1787" i="6" s="1"/>
  <c r="N1787" i="6" s="1"/>
  <c r="O1787" i="6" s="1"/>
  <c r="F2243" i="6" a="1"/>
  <c r="F2243" i="6" s="1"/>
  <c r="N2243" i="6" s="1"/>
  <c r="O2243" i="6" s="1"/>
  <c r="F2209" i="6" a="1"/>
  <c r="F2209" i="6" s="1"/>
  <c r="N2209" i="6" s="1"/>
  <c r="O2209" i="6" s="1"/>
  <c r="F2180" i="6" a="1"/>
  <c r="F2180" i="6" s="1"/>
  <c r="N2180" i="6" s="1"/>
  <c r="O2180" i="6" s="1"/>
  <c r="F2151" i="6" a="1"/>
  <c r="F2151" i="6" s="1"/>
  <c r="N2151" i="6" s="1"/>
  <c r="O2151" i="6" s="1"/>
  <c r="F2137" i="6" a="1"/>
  <c r="F2137" i="6" s="1"/>
  <c r="N2137" i="6" s="1"/>
  <c r="O2137" i="6" s="1"/>
  <c r="F2095" i="6" a="1"/>
  <c r="F2095" i="6" s="1"/>
  <c r="N2095" i="6" s="1"/>
  <c r="O2095" i="6" s="1"/>
  <c r="F2080" i="6" a="1"/>
  <c r="F2080" i="6" s="1"/>
  <c r="N2080" i="6" s="1"/>
  <c r="O2080" i="6" s="1"/>
  <c r="F2078" i="6" a="1"/>
  <c r="F2078" i="6" s="1"/>
  <c r="N2078" i="6" s="1"/>
  <c r="O2078" i="6" s="1"/>
  <c r="F2076" i="6" a="1"/>
  <c r="F2076" i="6" s="1"/>
  <c r="N2076" i="6" s="1"/>
  <c r="O2076" i="6" s="1"/>
  <c r="F2074" i="6" a="1"/>
  <c r="F2074" i="6" s="1"/>
  <c r="N2074" i="6" s="1"/>
  <c r="O2074" i="6" s="1"/>
  <c r="F2058" i="6" a="1"/>
  <c r="F2058" i="6" s="1"/>
  <c r="N2058" i="6" s="1"/>
  <c r="O2058" i="6" s="1"/>
  <c r="F2041" i="6" a="1"/>
  <c r="F2041" i="6" s="1"/>
  <c r="N2041" i="6" s="1"/>
  <c r="O2041" i="6" s="1"/>
  <c r="F2019" i="6" a="1"/>
  <c r="F2019" i="6" s="1"/>
  <c r="N2019" i="6" s="1"/>
  <c r="O2019" i="6" s="1"/>
  <c r="F2014" i="6" a="1"/>
  <c r="F2014" i="6" s="1"/>
  <c r="N2014" i="6" s="1"/>
  <c r="O2014" i="6" s="1"/>
  <c r="F2008" i="6" a="1"/>
  <c r="F2008" i="6" s="1"/>
  <c r="N2008" i="6" s="1"/>
  <c r="O2008" i="6" s="1"/>
  <c r="F1992" i="6" a="1"/>
  <c r="F1992" i="6" s="1"/>
  <c r="N1992" i="6" s="1"/>
  <c r="O1992" i="6" s="1"/>
  <c r="F1976" i="6" a="1"/>
  <c r="F1976" i="6" s="1"/>
  <c r="N1976" i="6" s="1"/>
  <c r="O1976" i="6" s="1"/>
  <c r="F1960" i="6" a="1"/>
  <c r="F1960" i="6" s="1"/>
  <c r="N1960" i="6" s="1"/>
  <c r="O1960" i="6" s="1"/>
  <c r="F1944" i="6" a="1"/>
  <c r="F1944" i="6" s="1"/>
  <c r="N1944" i="6" s="1"/>
  <c r="O1944" i="6" s="1"/>
  <c r="F2116" i="6" a="1"/>
  <c r="F2116" i="6" s="1"/>
  <c r="N2116" i="6" s="1"/>
  <c r="O2116" i="6" s="1"/>
  <c r="F2099" i="6" a="1"/>
  <c r="F2099" i="6" s="1"/>
  <c r="N2099" i="6" s="1"/>
  <c r="O2099" i="6" s="1"/>
  <c r="F2097" i="6" a="1"/>
  <c r="F2097" i="6" s="1"/>
  <c r="N2097" i="6" s="1"/>
  <c r="O2097" i="6" s="1"/>
  <c r="F2065" i="6" a="1"/>
  <c r="F2065" i="6" s="1"/>
  <c r="N2065" i="6" s="1"/>
  <c r="O2065" i="6" s="1"/>
  <c r="F2063" i="6" a="1"/>
  <c r="F2063" i="6" s="1"/>
  <c r="N2063" i="6" s="1"/>
  <c r="O2063" i="6" s="1"/>
  <c r="F2036" i="6" a="1"/>
  <c r="F2036" i="6" s="1"/>
  <c r="N2036" i="6" s="1"/>
  <c r="O2036" i="6" s="1"/>
  <c r="F2029" i="6" a="1"/>
  <c r="F2029" i="6" s="1"/>
  <c r="N2029" i="6" s="1"/>
  <c r="O2029" i="6" s="1"/>
  <c r="F2005" i="6" a="1"/>
  <c r="F2005" i="6" s="1"/>
  <c r="N2005" i="6" s="1"/>
  <c r="O2005" i="6" s="1"/>
  <c r="F1989" i="6" a="1"/>
  <c r="F1989" i="6" s="1"/>
  <c r="N1989" i="6" s="1"/>
  <c r="O1989" i="6" s="1"/>
  <c r="F1973" i="6" a="1"/>
  <c r="F1973" i="6" s="1"/>
  <c r="N1973" i="6" s="1"/>
  <c r="O1973" i="6" s="1"/>
  <c r="F1957" i="6" a="1"/>
  <c r="F1957" i="6" s="1"/>
  <c r="N1957" i="6" s="1"/>
  <c r="O1957" i="6" s="1"/>
  <c r="F1941" i="6" a="1"/>
  <c r="F1941" i="6" s="1"/>
  <c r="N1941" i="6" s="1"/>
  <c r="O1941" i="6" s="1"/>
  <c r="F1925" i="6" a="1"/>
  <c r="F1925" i="6" s="1"/>
  <c r="N1925" i="6" s="1"/>
  <c r="O1925" i="6" s="1"/>
  <c r="F1909" i="6" a="1"/>
  <c r="F1909" i="6" s="1"/>
  <c r="N1909" i="6" s="1"/>
  <c r="O1909" i="6" s="1"/>
  <c r="F1893" i="6" a="1"/>
  <c r="F1893" i="6" s="1"/>
  <c r="N1893" i="6" s="1"/>
  <c r="O1893" i="6" s="1"/>
  <c r="F1877" i="6" a="1"/>
  <c r="F1877" i="6" s="1"/>
  <c r="N1877" i="6" s="1"/>
  <c r="O1877" i="6" s="1"/>
  <c r="F1861" i="6" a="1"/>
  <c r="F1861" i="6" s="1"/>
  <c r="N1861" i="6" s="1"/>
  <c r="O1861" i="6" s="1"/>
  <c r="F2202" i="6" a="1"/>
  <c r="F2202" i="6" s="1"/>
  <c r="N2202" i="6" s="1"/>
  <c r="O2202" i="6" s="1"/>
  <c r="F2183" i="6" a="1"/>
  <c r="F2183" i="6" s="1"/>
  <c r="N2183" i="6" s="1"/>
  <c r="O2183" i="6" s="1"/>
  <c r="F2166" i="6" a="1"/>
  <c r="F2166" i="6" s="1"/>
  <c r="N2166" i="6" s="1"/>
  <c r="O2166" i="6" s="1"/>
  <c r="F2266" i="6" a="1"/>
  <c r="F2266" i="6" s="1"/>
  <c r="N2266" i="6" s="1"/>
  <c r="O2266" i="6" s="1"/>
  <c r="F2155" i="6" a="1"/>
  <c r="F2155" i="6" s="1"/>
  <c r="N2155" i="6" s="1"/>
  <c r="O2155" i="6" s="1"/>
  <c r="F2089" i="6" a="1"/>
  <c r="F2089" i="6" s="1"/>
  <c r="N2089" i="6" s="1"/>
  <c r="O2089" i="6" s="1"/>
  <c r="F2061" i="6" a="1"/>
  <c r="F2061" i="6" s="1"/>
  <c r="N2061" i="6" s="1"/>
  <c r="O2061" i="6" s="1"/>
  <c r="F2051" i="6" a="1"/>
  <c r="F2051" i="6" s="1"/>
  <c r="N2051" i="6" s="1"/>
  <c r="O2051" i="6" s="1"/>
  <c r="F2039" i="6" a="1"/>
  <c r="F2039" i="6" s="1"/>
  <c r="N2039" i="6" s="1"/>
  <c r="O2039" i="6" s="1"/>
  <c r="F2246" i="6" a="1"/>
  <c r="F2246" i="6" s="1"/>
  <c r="N2246" i="6" s="1"/>
  <c r="O2246" i="6" s="1"/>
  <c r="F2127" i="6" a="1"/>
  <c r="F2127" i="6" s="1"/>
  <c r="N2127" i="6" s="1"/>
  <c r="O2127" i="6" s="1"/>
  <c r="F2112" i="6" a="1"/>
  <c r="F2112" i="6" s="1"/>
  <c r="N2112" i="6" s="1"/>
  <c r="O2112" i="6" s="1"/>
  <c r="F2110" i="6" a="1"/>
  <c r="F2110" i="6" s="1"/>
  <c r="N2110" i="6" s="1"/>
  <c r="O2110" i="6" s="1"/>
  <c r="F2218" i="6" a="1"/>
  <c r="F2218" i="6" s="1"/>
  <c r="N2218" i="6" s="1"/>
  <c r="O2218" i="6" s="1"/>
  <c r="F2148" i="6" a="1"/>
  <c r="F2148" i="6" s="1"/>
  <c r="N2148" i="6" s="1"/>
  <c r="O2148" i="6" s="1"/>
  <c r="F2146" i="6" a="1"/>
  <c r="F2146" i="6" s="1"/>
  <c r="N2146" i="6" s="1"/>
  <c r="O2146" i="6" s="1"/>
  <c r="F2131" i="6" a="1"/>
  <c r="F2131" i="6" s="1"/>
  <c r="N2131" i="6" s="1"/>
  <c r="O2131" i="6" s="1"/>
  <c r="F2129" i="6" a="1"/>
  <c r="F2129" i="6" s="1"/>
  <c r="N2129" i="6" s="1"/>
  <c r="O2129" i="6" s="1"/>
  <c r="F2179" i="6" a="1"/>
  <c r="F2179" i="6" s="1"/>
  <c r="N2179" i="6" s="1"/>
  <c r="O2179" i="6" s="1"/>
  <c r="F2079" i="6" a="1"/>
  <c r="F2079" i="6" s="1"/>
  <c r="N2079" i="6" s="1"/>
  <c r="O2079" i="6" s="1"/>
  <c r="F2068" i="6" a="1"/>
  <c r="F2068" i="6" s="1"/>
  <c r="N2068" i="6" s="1"/>
  <c r="O2068" i="6" s="1"/>
  <c r="F2049" i="6" a="1"/>
  <c r="F2049" i="6" s="1"/>
  <c r="N2049" i="6" s="1"/>
  <c r="O2049" i="6" s="1"/>
  <c r="F2032" i="6" a="1"/>
  <c r="F2032" i="6" s="1"/>
  <c r="N2032" i="6" s="1"/>
  <c r="O2032" i="6" s="1"/>
  <c r="F2253" i="6" a="1"/>
  <c r="F2253" i="6" s="1"/>
  <c r="N2253" i="6" s="1"/>
  <c r="O2253" i="6" s="1"/>
  <c r="F2238" i="6" a="1"/>
  <c r="F2238" i="6" s="1"/>
  <c r="N2238" i="6" s="1"/>
  <c r="O2238" i="6" s="1"/>
  <c r="F2187" i="6" a="1"/>
  <c r="F2187" i="6" s="1"/>
  <c r="N2187" i="6" s="1"/>
  <c r="O2187" i="6" s="1"/>
  <c r="F2150" i="6" a="1"/>
  <c r="F2150" i="6" s="1"/>
  <c r="N2150" i="6" s="1"/>
  <c r="O2150" i="6" s="1"/>
  <c r="F2144" i="6" a="1"/>
  <c r="F2144" i="6" s="1"/>
  <c r="N2144" i="6" s="1"/>
  <c r="O2144" i="6" s="1"/>
  <c r="F2142" i="6" a="1"/>
  <c r="F2142" i="6" s="1"/>
  <c r="N2142" i="6" s="1"/>
  <c r="O2142" i="6" s="1"/>
  <c r="F2140" i="6" a="1"/>
  <c r="F2140" i="6" s="1"/>
  <c r="N2140" i="6" s="1"/>
  <c r="O2140" i="6" s="1"/>
  <c r="F2138" i="6" a="1"/>
  <c r="F2138" i="6" s="1"/>
  <c r="N2138" i="6" s="1"/>
  <c r="O2138" i="6" s="1"/>
  <c r="F2121" i="6" a="1"/>
  <c r="F2121" i="6" s="1"/>
  <c r="N2121" i="6" s="1"/>
  <c r="O2121" i="6" s="1"/>
  <c r="F2193" i="6" a="1"/>
  <c r="F2193" i="6" s="1"/>
  <c r="N2193" i="6" s="1"/>
  <c r="O2193" i="6" s="1"/>
  <c r="F2159" i="6" a="1"/>
  <c r="F2159" i="6" s="1"/>
  <c r="N2159" i="6" s="1"/>
  <c r="O2159" i="6" s="1"/>
  <c r="F2102" i="6" a="1"/>
  <c r="F2102" i="6" s="1"/>
  <c r="N2102" i="6" s="1"/>
  <c r="O2102" i="6" s="1"/>
  <c r="F2098" i="6" a="1"/>
  <c r="F2098" i="6" s="1"/>
  <c r="N2098" i="6" s="1"/>
  <c r="O2098" i="6" s="1"/>
  <c r="F2073" i="6" a="1"/>
  <c r="F2073" i="6" s="1"/>
  <c r="N2073" i="6" s="1"/>
  <c r="O2073" i="6" s="1"/>
  <c r="F2018" i="6" a="1"/>
  <c r="F2018" i="6" s="1"/>
  <c r="N2018" i="6" s="1"/>
  <c r="O2018" i="6" s="1"/>
  <c r="F2000" i="6" a="1"/>
  <c r="F2000" i="6" s="1"/>
  <c r="N2000" i="6" s="1"/>
  <c r="O2000" i="6" s="1"/>
  <c r="F1984" i="6" a="1"/>
  <c r="F1984" i="6" s="1"/>
  <c r="N1984" i="6" s="1"/>
  <c r="O1984" i="6" s="1"/>
  <c r="F1968" i="6" a="1"/>
  <c r="F1968" i="6" s="1"/>
  <c r="N1968" i="6" s="1"/>
  <c r="O1968" i="6" s="1"/>
  <c r="F1952" i="6" a="1"/>
  <c r="F1952" i="6" s="1"/>
  <c r="N1952" i="6" s="1"/>
  <c r="O1952" i="6" s="1"/>
  <c r="F1936" i="6" a="1"/>
  <c r="F1936" i="6" s="1"/>
  <c r="N1936" i="6" s="1"/>
  <c r="O1936" i="6" s="1"/>
  <c r="F1920" i="6" a="1"/>
  <c r="F1920" i="6" s="1"/>
  <c r="N1920" i="6" s="1"/>
  <c r="O1920" i="6" s="1"/>
  <c r="F2207" i="6" a="1"/>
  <c r="F2207" i="6" s="1"/>
  <c r="N2207" i="6" s="1"/>
  <c r="O2207" i="6" s="1"/>
  <c r="F2196" i="6" a="1"/>
  <c r="F2196" i="6" s="1"/>
  <c r="N2196" i="6" s="1"/>
  <c r="O2196" i="6" s="1"/>
  <c r="F2057" i="6" a="1"/>
  <c r="F2057" i="6" s="1"/>
  <c r="N2057" i="6" s="1"/>
  <c r="O2057" i="6" s="1"/>
  <c r="F2030" i="6" a="1"/>
  <c r="F2030" i="6" s="1"/>
  <c r="N2030" i="6" s="1"/>
  <c r="O2030" i="6" s="1"/>
  <c r="F2013" i="6" a="1"/>
  <c r="F2013" i="6" s="1"/>
  <c r="N2013" i="6" s="1"/>
  <c r="O2013" i="6" s="1"/>
  <c r="F1997" i="6" a="1"/>
  <c r="F1997" i="6" s="1"/>
  <c r="N1997" i="6" s="1"/>
  <c r="O1997" i="6" s="1"/>
  <c r="F1981" i="6" a="1"/>
  <c r="F1981" i="6" s="1"/>
  <c r="N1981" i="6" s="1"/>
  <c r="O1981" i="6" s="1"/>
  <c r="F1965" i="6" a="1"/>
  <c r="F1965" i="6" s="1"/>
  <c r="N1965" i="6" s="1"/>
  <c r="O1965" i="6" s="1"/>
  <c r="F1949" i="6" a="1"/>
  <c r="F1949" i="6" s="1"/>
  <c r="N1949" i="6" s="1"/>
  <c r="O1949" i="6" s="1"/>
  <c r="F1933" i="6" a="1"/>
  <c r="F1933" i="6" s="1"/>
  <c r="N1933" i="6" s="1"/>
  <c r="O1933" i="6" s="1"/>
  <c r="F2333" i="6" a="1"/>
  <c r="F2333" i="6" s="1"/>
  <c r="N2333" i="6" s="1"/>
  <c r="O2333" i="6" s="1"/>
  <c r="F2111" i="6" a="1"/>
  <c r="F2111" i="6" s="1"/>
  <c r="N2111" i="6" s="1"/>
  <c r="O2111" i="6" s="1"/>
  <c r="F2096" i="6" a="1"/>
  <c r="F2096" i="6" s="1"/>
  <c r="N2096" i="6" s="1"/>
  <c r="O2096" i="6" s="1"/>
  <c r="F2094" i="6" a="1"/>
  <c r="F2094" i="6" s="1"/>
  <c r="N2094" i="6" s="1"/>
  <c r="O2094" i="6" s="1"/>
  <c r="F2092" i="6" a="1"/>
  <c r="F2092" i="6" s="1"/>
  <c r="N2092" i="6" s="1"/>
  <c r="O2092" i="6" s="1"/>
  <c r="F2090" i="6" a="1"/>
  <c r="F2090" i="6" s="1"/>
  <c r="N2090" i="6" s="1"/>
  <c r="O2090" i="6" s="1"/>
  <c r="F2064" i="6" a="1"/>
  <c r="F2064" i="6" s="1"/>
  <c r="N2064" i="6" s="1"/>
  <c r="O2064" i="6" s="1"/>
  <c r="F2052" i="6" a="1"/>
  <c r="F2052" i="6" s="1"/>
  <c r="N2052" i="6" s="1"/>
  <c r="O2052" i="6" s="1"/>
  <c r="F2045" i="6" a="1"/>
  <c r="F2045" i="6" s="1"/>
  <c r="N2045" i="6" s="1"/>
  <c r="O2045" i="6" s="1"/>
  <c r="F2035" i="6" a="1"/>
  <c r="F2035" i="6" s="1"/>
  <c r="N2035" i="6" s="1"/>
  <c r="O2035" i="6" s="1"/>
  <c r="F2023" i="6" a="1"/>
  <c r="F2023" i="6" s="1"/>
  <c r="N2023" i="6" s="1"/>
  <c r="O2023" i="6" s="1"/>
  <c r="F2010" i="6" a="1"/>
  <c r="F2010" i="6" s="1"/>
  <c r="N2010" i="6" s="1"/>
  <c r="O2010" i="6" s="1"/>
  <c r="F1994" i="6" a="1"/>
  <c r="F1994" i="6" s="1"/>
  <c r="N1994" i="6" s="1"/>
  <c r="O1994" i="6" s="1"/>
  <c r="F1978" i="6" a="1"/>
  <c r="F1978" i="6" s="1"/>
  <c r="N1978" i="6" s="1"/>
  <c r="O1978" i="6" s="1"/>
  <c r="F1962" i="6" a="1"/>
  <c r="F1962" i="6" s="1"/>
  <c r="N1962" i="6" s="1"/>
  <c r="O1962" i="6" s="1"/>
  <c r="F1946" i="6" a="1"/>
  <c r="F1946" i="6" s="1"/>
  <c r="N1946" i="6" s="1"/>
  <c r="O1946" i="6" s="1"/>
  <c r="F1930" i="6" a="1"/>
  <c r="F1930" i="6" s="1"/>
  <c r="N1930" i="6" s="1"/>
  <c r="O1930" i="6" s="1"/>
  <c r="F2210" i="6" a="1"/>
  <c r="F2210" i="6" s="1"/>
  <c r="N2210" i="6" s="1"/>
  <c r="O2210" i="6" s="1"/>
  <c r="F2169" i="6" a="1"/>
  <c r="F2169" i="6" s="1"/>
  <c r="N2169" i="6" s="1"/>
  <c r="O2169" i="6" s="1"/>
  <c r="F2132" i="6" a="1"/>
  <c r="F2132" i="6" s="1"/>
  <c r="N2132" i="6" s="1"/>
  <c r="O2132" i="6" s="1"/>
  <c r="F2115" i="6" a="1"/>
  <c r="F2115" i="6" s="1"/>
  <c r="N2115" i="6" s="1"/>
  <c r="O2115" i="6" s="1"/>
  <c r="F2113" i="6" a="1"/>
  <c r="F2113" i="6" s="1"/>
  <c r="N2113" i="6" s="1"/>
  <c r="O2113" i="6" s="1"/>
  <c r="F2298" i="6" a="1"/>
  <c r="F2298" i="6" s="1"/>
  <c r="N2298" i="6" s="1"/>
  <c r="O2298" i="6" s="1"/>
  <c r="F2264" i="6" a="1"/>
  <c r="F2264" i="6" s="1"/>
  <c r="N2264" i="6" s="1"/>
  <c r="O2264" i="6" s="1"/>
  <c r="F2181" i="6" a="1"/>
  <c r="F2181" i="6" s="1"/>
  <c r="N2181" i="6" s="1"/>
  <c r="O2181" i="6" s="1"/>
  <c r="F2156" i="6" a="1"/>
  <c r="F2156" i="6" s="1"/>
  <c r="N2156" i="6" s="1"/>
  <c r="O2156" i="6" s="1"/>
  <c r="F2312" i="6" a="1"/>
  <c r="F2312" i="6" s="1"/>
  <c r="N2312" i="6" s="1"/>
  <c r="O2312" i="6" s="1"/>
  <c r="F2192" i="6" a="1"/>
  <c r="F2192" i="6" s="1"/>
  <c r="N2192" i="6" s="1"/>
  <c r="O2192" i="6" s="1"/>
  <c r="F2189" i="6" a="1"/>
  <c r="F2189" i="6" s="1"/>
  <c r="N2189" i="6" s="1"/>
  <c r="O2189" i="6" s="1"/>
  <c r="F2164" i="6" a="1"/>
  <c r="F2164" i="6" s="1"/>
  <c r="N2164" i="6" s="1"/>
  <c r="O2164" i="6" s="1"/>
  <c r="F2143" i="6" a="1"/>
  <c r="F2143" i="6" s="1"/>
  <c r="N2143" i="6" s="1"/>
  <c r="O2143" i="6" s="1"/>
  <c r="F2105" i="6" a="1"/>
  <c r="F2105" i="6" s="1"/>
  <c r="N2105" i="6" s="1"/>
  <c r="O2105" i="6" s="1"/>
  <c r="F2060" i="6" a="1"/>
  <c r="F2060" i="6" s="1"/>
  <c r="N2060" i="6" s="1"/>
  <c r="O2060" i="6" s="1"/>
  <c r="F2033" i="6" a="1"/>
  <c r="F2033" i="6" s="1"/>
  <c r="N2033" i="6" s="1"/>
  <c r="O2033" i="6" s="1"/>
  <c r="F2001" i="6" a="1"/>
  <c r="F2001" i="6" s="1"/>
  <c r="N2001" i="6" s="1"/>
  <c r="O2001" i="6" s="1"/>
  <c r="F1985" i="6" a="1"/>
  <c r="F1985" i="6" s="1"/>
  <c r="N1985" i="6" s="1"/>
  <c r="O1985" i="6" s="1"/>
  <c r="F2147" i="6" a="1"/>
  <c r="F2147" i="6" s="1"/>
  <c r="N2147" i="6" s="1"/>
  <c r="O2147" i="6" s="1"/>
  <c r="F2145" i="6" a="1"/>
  <c r="F2145" i="6" s="1"/>
  <c r="N2145" i="6" s="1"/>
  <c r="O2145" i="6" s="1"/>
  <c r="F2124" i="6" a="1"/>
  <c r="F2124" i="6" s="1"/>
  <c r="N2124" i="6" s="1"/>
  <c r="O2124" i="6" s="1"/>
  <c r="F2070" i="6" a="1"/>
  <c r="F2070" i="6" s="1"/>
  <c r="N2070" i="6" s="1"/>
  <c r="O2070" i="6" s="1"/>
  <c r="F2055" i="6" a="1"/>
  <c r="F2055" i="6" s="1"/>
  <c r="N2055" i="6" s="1"/>
  <c r="O2055" i="6" s="1"/>
  <c r="F2007" i="6" a="1"/>
  <c r="F2007" i="6" s="1"/>
  <c r="N2007" i="6" s="1"/>
  <c r="O2007" i="6" s="1"/>
  <c r="F1988" i="6" a="1"/>
  <c r="F1988" i="6" s="1"/>
  <c r="N1988" i="6" s="1"/>
  <c r="O1988" i="6" s="1"/>
  <c r="F1969" i="6" a="1"/>
  <c r="F1969" i="6" s="1"/>
  <c r="N1969" i="6" s="1"/>
  <c r="O1969" i="6" s="1"/>
  <c r="F1955" i="6" a="1"/>
  <c r="F1955" i="6" s="1"/>
  <c r="N1955" i="6" s="1"/>
  <c r="O1955" i="6" s="1"/>
  <c r="F1900" i="6" a="1"/>
  <c r="F1900" i="6" s="1"/>
  <c r="N1900" i="6" s="1"/>
  <c r="O1900" i="6" s="1"/>
  <c r="F1892" i="6" a="1"/>
  <c r="F1892" i="6" s="1"/>
  <c r="N1892" i="6" s="1"/>
  <c r="O1892" i="6" s="1"/>
  <c r="F1887" i="6" a="1"/>
  <c r="F1887" i="6" s="1"/>
  <c r="N1887" i="6" s="1"/>
  <c r="O1887" i="6" s="1"/>
  <c r="F1874" i="6" a="1"/>
  <c r="F1874" i="6" s="1"/>
  <c r="N1874" i="6" s="1"/>
  <c r="O1874" i="6" s="1"/>
  <c r="F1866" i="6" a="1"/>
  <c r="F1866" i="6" s="1"/>
  <c r="N1866" i="6" s="1"/>
  <c r="O1866" i="6" s="1"/>
  <c r="F1853" i="6" a="1"/>
  <c r="F1853" i="6" s="1"/>
  <c r="N1853" i="6" s="1"/>
  <c r="O1853" i="6" s="1"/>
  <c r="F1850" i="6" a="1"/>
  <c r="F1850" i="6" s="1"/>
  <c r="N1850" i="6" s="1"/>
  <c r="O1850" i="6" s="1"/>
  <c r="F1827" i="6" a="1"/>
  <c r="F1827" i="6" s="1"/>
  <c r="N1827" i="6" s="1"/>
  <c r="O1827" i="6" s="1"/>
  <c r="F1807" i="6" a="1"/>
  <c r="F1807" i="6" s="1"/>
  <c r="N1807" i="6" s="1"/>
  <c r="O1807" i="6" s="1"/>
  <c r="F1804" i="6" a="1"/>
  <c r="F1804" i="6" s="1"/>
  <c r="N1804" i="6" s="1"/>
  <c r="O1804" i="6" s="1"/>
  <c r="F1784" i="6" a="1"/>
  <c r="F1784" i="6" s="1"/>
  <c r="N1784" i="6" s="1"/>
  <c r="O1784" i="6" s="1"/>
  <c r="F1781" i="6" a="1"/>
  <c r="F1781" i="6" s="1"/>
  <c r="N1781" i="6" s="1"/>
  <c r="O1781" i="6" s="1"/>
  <c r="F1775" i="6" a="1"/>
  <c r="F1775" i="6" s="1"/>
  <c r="N1775" i="6" s="1"/>
  <c r="O1775" i="6" s="1"/>
  <c r="F1759" i="6" a="1"/>
  <c r="F1759" i="6" s="1"/>
  <c r="N1759" i="6" s="1"/>
  <c r="O1759" i="6" s="1"/>
  <c r="F1743" i="6" a="1"/>
  <c r="F1743" i="6" s="1"/>
  <c r="N1743" i="6" s="1"/>
  <c r="O1743" i="6" s="1"/>
  <c r="F1727" i="6" a="1"/>
  <c r="F1727" i="6" s="1"/>
  <c r="N1727" i="6" s="1"/>
  <c r="O1727" i="6" s="1"/>
  <c r="F1711" i="6" a="1"/>
  <c r="F1711" i="6" s="1"/>
  <c r="N1711" i="6" s="1"/>
  <c r="O1711" i="6" s="1"/>
  <c r="F1695" i="6" a="1"/>
  <c r="F1695" i="6" s="1"/>
  <c r="N1695" i="6" s="1"/>
  <c r="O1695" i="6" s="1"/>
  <c r="F1679" i="6" a="1"/>
  <c r="F1679" i="6" s="1"/>
  <c r="N1679" i="6" s="1"/>
  <c r="O1679" i="6" s="1"/>
  <c r="F1663" i="6" a="1"/>
  <c r="F1663" i="6" s="1"/>
  <c r="N1663" i="6" s="1"/>
  <c r="O1663" i="6" s="1"/>
  <c r="F1647" i="6" a="1"/>
  <c r="F1647" i="6" s="1"/>
  <c r="N1647" i="6" s="1"/>
  <c r="O1647" i="6" s="1"/>
  <c r="F1631" i="6" a="1"/>
  <c r="F1631" i="6" s="1"/>
  <c r="N1631" i="6" s="1"/>
  <c r="O1631" i="6" s="1"/>
  <c r="F1615" i="6" a="1"/>
  <c r="F1615" i="6" s="1"/>
  <c r="N1615" i="6" s="1"/>
  <c r="O1615" i="6" s="1"/>
  <c r="F2047" i="6" a="1"/>
  <c r="F2047" i="6" s="1"/>
  <c r="N2047" i="6" s="1"/>
  <c r="O2047" i="6" s="1"/>
  <c r="F2044" i="6" a="1"/>
  <c r="F2044" i="6" s="1"/>
  <c r="N2044" i="6" s="1"/>
  <c r="O2044" i="6" s="1"/>
  <c r="F2003" i="6" a="1"/>
  <c r="F2003" i="6" s="1"/>
  <c r="N2003" i="6" s="1"/>
  <c r="O2003" i="6" s="1"/>
  <c r="F1975" i="6" a="1"/>
  <c r="F1975" i="6" s="1"/>
  <c r="N1975" i="6" s="1"/>
  <c r="O1975" i="6" s="1"/>
  <c r="F1923" i="6" a="1"/>
  <c r="F1923" i="6" s="1"/>
  <c r="N1923" i="6" s="1"/>
  <c r="O1923" i="6" s="1"/>
  <c r="F1895" i="6" a="1"/>
  <c r="F1895" i="6" s="1"/>
  <c r="N1895" i="6" s="1"/>
  <c r="O1895" i="6" s="1"/>
  <c r="F1833" i="6" a="1"/>
  <c r="F1833" i="6" s="1"/>
  <c r="N1833" i="6" s="1"/>
  <c r="O1833" i="6" s="1"/>
  <c r="F1830" i="6" a="1"/>
  <c r="F1830" i="6" s="1"/>
  <c r="N1830" i="6" s="1"/>
  <c r="O1830" i="6" s="1"/>
  <c r="F1810" i="6" a="1"/>
  <c r="F1810" i="6" s="1"/>
  <c r="N1810" i="6" s="1"/>
  <c r="O1810" i="6" s="1"/>
  <c r="F1772" i="6" a="1"/>
  <c r="F1772" i="6" s="1"/>
  <c r="N1772" i="6" s="1"/>
  <c r="O1772" i="6" s="1"/>
  <c r="F1756" i="6" a="1"/>
  <c r="F1756" i="6" s="1"/>
  <c r="N1756" i="6" s="1"/>
  <c r="O1756" i="6" s="1"/>
  <c r="F1740" i="6" a="1"/>
  <c r="F1740" i="6" s="1"/>
  <c r="N1740" i="6" s="1"/>
  <c r="O1740" i="6" s="1"/>
  <c r="F1724" i="6" a="1"/>
  <c r="F1724" i="6" s="1"/>
  <c r="N1724" i="6" s="1"/>
  <c r="O1724" i="6" s="1"/>
  <c r="F1708" i="6" a="1"/>
  <c r="F1708" i="6" s="1"/>
  <c r="N1708" i="6" s="1"/>
  <c r="O1708" i="6" s="1"/>
  <c r="F2082" i="6" a="1"/>
  <c r="F2082" i="6" s="1"/>
  <c r="N2082" i="6" s="1"/>
  <c r="O2082" i="6" s="1"/>
  <c r="F2009" i="6" a="1"/>
  <c r="F2009" i="6" s="1"/>
  <c r="N2009" i="6" s="1"/>
  <c r="O2009" i="6" s="1"/>
  <c r="F1971" i="6" a="1"/>
  <c r="F1971" i="6" s="1"/>
  <c r="N1971" i="6" s="1"/>
  <c r="O1971" i="6" s="1"/>
  <c r="F1916" i="6" a="1"/>
  <c r="F1916" i="6" s="1"/>
  <c r="N1916" i="6" s="1"/>
  <c r="O1916" i="6" s="1"/>
  <c r="F1908" i="6" a="1"/>
  <c r="F1908" i="6" s="1"/>
  <c r="N1908" i="6" s="1"/>
  <c r="O1908" i="6" s="1"/>
  <c r="F1903" i="6" a="1"/>
  <c r="F1903" i="6" s="1"/>
  <c r="N1903" i="6" s="1"/>
  <c r="O1903" i="6" s="1"/>
  <c r="F1890" i="6" a="1"/>
  <c r="F1890" i="6" s="1"/>
  <c r="N1890" i="6" s="1"/>
  <c r="O1890" i="6" s="1"/>
  <c r="F1882" i="6" a="1"/>
  <c r="F1882" i="6" s="1"/>
  <c r="N1882" i="6" s="1"/>
  <c r="O1882" i="6" s="1"/>
  <c r="F1869" i="6" a="1"/>
  <c r="F1869" i="6" s="1"/>
  <c r="N1869" i="6" s="1"/>
  <c r="O1869" i="6" s="1"/>
  <c r="F1839" i="6" a="1"/>
  <c r="F1839" i="6" s="1"/>
  <c r="N1839" i="6" s="1"/>
  <c r="O1839" i="6" s="1"/>
  <c r="F1836" i="6" a="1"/>
  <c r="F1836" i="6" s="1"/>
  <c r="N1836" i="6" s="1"/>
  <c r="O1836" i="6" s="1"/>
  <c r="F1816" i="6" a="1"/>
  <c r="F1816" i="6" s="1"/>
  <c r="N1816" i="6" s="1"/>
  <c r="O1816" i="6" s="1"/>
  <c r="F1813" i="6" a="1"/>
  <c r="F1813" i="6" s="1"/>
  <c r="N1813" i="6" s="1"/>
  <c r="O1813" i="6" s="1"/>
  <c r="F1790" i="6" a="1"/>
  <c r="F1790" i="6" s="1"/>
  <c r="N1790" i="6" s="1"/>
  <c r="O1790" i="6" s="1"/>
  <c r="F1769" i="6" a="1"/>
  <c r="F1769" i="6" s="1"/>
  <c r="N1769" i="6" s="1"/>
  <c r="O1769" i="6" s="1"/>
  <c r="F2130" i="6" a="1"/>
  <c r="F2130" i="6" s="1"/>
  <c r="N2130" i="6" s="1"/>
  <c r="O2130" i="6" s="1"/>
  <c r="F2108" i="6" a="1"/>
  <c r="F2108" i="6" s="1"/>
  <c r="N2108" i="6" s="1"/>
  <c r="O2108" i="6" s="1"/>
  <c r="F2038" i="6" a="1"/>
  <c r="F2038" i="6" s="1"/>
  <c r="N2038" i="6" s="1"/>
  <c r="O2038" i="6" s="1"/>
  <c r="F1996" i="6" a="1"/>
  <c r="F1996" i="6" s="1"/>
  <c r="N1996" i="6" s="1"/>
  <c r="O1996" i="6" s="1"/>
  <c r="F1990" i="6" a="1"/>
  <c r="F1990" i="6" s="1"/>
  <c r="N1990" i="6" s="1"/>
  <c r="O1990" i="6" s="1"/>
  <c r="F1983" i="6" a="1"/>
  <c r="F1983" i="6" s="1"/>
  <c r="N1983" i="6" s="1"/>
  <c r="O1983" i="6" s="1"/>
  <c r="F1977" i="6" a="1"/>
  <c r="F1977" i="6" s="1"/>
  <c r="N1977" i="6" s="1"/>
  <c r="O1977" i="6" s="1"/>
  <c r="F1938" i="6" a="1"/>
  <c r="F1938" i="6" s="1"/>
  <c r="N1938" i="6" s="1"/>
  <c r="O1938" i="6" s="1"/>
  <c r="F1932" i="6" a="1"/>
  <c r="F1932" i="6" s="1"/>
  <c r="N1932" i="6" s="1"/>
  <c r="O1932" i="6" s="1"/>
  <c r="F1921" i="6" a="1"/>
  <c r="F1921" i="6" s="1"/>
  <c r="N1921" i="6" s="1"/>
  <c r="O1921" i="6" s="1"/>
  <c r="F1998" i="6" a="1"/>
  <c r="F1998" i="6" s="1"/>
  <c r="N1998" i="6" s="1"/>
  <c r="O1998" i="6" s="1"/>
  <c r="F2034" i="6" a="1"/>
  <c r="F2034" i="6" s="1"/>
  <c r="N2034" i="6" s="1"/>
  <c r="O2034" i="6" s="1"/>
  <c r="F2026" i="6" a="1"/>
  <c r="F2026" i="6" s="1"/>
  <c r="N2026" i="6" s="1"/>
  <c r="O2026" i="6" s="1"/>
  <c r="F2118" i="6" a="1"/>
  <c r="F2118" i="6" s="1"/>
  <c r="N2118" i="6" s="1"/>
  <c r="O2118" i="6" s="1"/>
  <c r="F2081" i="6" a="1"/>
  <c r="F2081" i="6" s="1"/>
  <c r="N2081" i="6" s="1"/>
  <c r="O2081" i="6" s="1"/>
  <c r="F2046" i="6" a="1"/>
  <c r="F2046" i="6" s="1"/>
  <c r="N2046" i="6" s="1"/>
  <c r="O2046" i="6" s="1"/>
  <c r="F2028" i="6" a="1"/>
  <c r="F2028" i="6" s="1"/>
  <c r="N2028" i="6" s="1"/>
  <c r="O2028" i="6" s="1"/>
  <c r="F2002" i="6" a="1"/>
  <c r="F2002" i="6" s="1"/>
  <c r="N2002" i="6" s="1"/>
  <c r="O2002" i="6" s="1"/>
  <c r="F1950" i="6" a="1"/>
  <c r="F1950" i="6" s="1"/>
  <c r="N1950" i="6" s="1"/>
  <c r="O1950" i="6" s="1"/>
  <c r="F1914" i="6" a="1"/>
  <c r="F1914" i="6" s="1"/>
  <c r="N1914" i="6" s="1"/>
  <c r="O1914" i="6" s="1"/>
  <c r="F1901" i="6" a="1"/>
  <c r="F1901" i="6" s="1"/>
  <c r="N1901" i="6" s="1"/>
  <c r="O1901" i="6" s="1"/>
  <c r="F2126" i="6" a="1"/>
  <c r="F2126" i="6" s="1"/>
  <c r="N2126" i="6" s="1"/>
  <c r="O2126" i="6" s="1"/>
  <c r="F2122" i="6" a="1"/>
  <c r="F2122" i="6" s="1"/>
  <c r="N2122" i="6" s="1"/>
  <c r="O2122" i="6" s="1"/>
  <c r="F2066" i="6" a="1"/>
  <c r="F2066" i="6" s="1"/>
  <c r="N2066" i="6" s="1"/>
  <c r="O2066" i="6" s="1"/>
  <c r="F1970" i="6" a="1"/>
  <c r="F1970" i="6" s="1"/>
  <c r="N1970" i="6" s="1"/>
  <c r="O1970" i="6" s="1"/>
  <c r="F1964" i="6" a="1"/>
  <c r="F1964" i="6" s="1"/>
  <c r="N1964" i="6" s="1"/>
  <c r="O1964" i="6" s="1"/>
  <c r="F2114" i="6" a="1"/>
  <c r="F2114" i="6" s="1"/>
  <c r="N2114" i="6" s="1"/>
  <c r="O2114" i="6" s="1"/>
  <c r="F2054" i="6" a="1"/>
  <c r="F2054" i="6" s="1"/>
  <c r="N2054" i="6" s="1"/>
  <c r="O2054" i="6" s="1"/>
  <c r="F2031" i="6" a="1"/>
  <c r="F2031" i="6" s="1"/>
  <c r="N2031" i="6" s="1"/>
  <c r="O2031" i="6" s="1"/>
  <c r="F2017" i="6" a="1"/>
  <c r="F2017" i="6" s="1"/>
  <c r="N2017" i="6" s="1"/>
  <c r="O2017" i="6" s="1"/>
  <c r="F2004" i="6" a="1"/>
  <c r="F2004" i="6" s="1"/>
  <c r="N2004" i="6" s="1"/>
  <c r="O2004" i="6" s="1"/>
  <c r="F1991" i="6" a="1"/>
  <c r="F1991" i="6" s="1"/>
  <c r="N1991" i="6" s="1"/>
  <c r="O1991" i="6" s="1"/>
  <c r="F1966" i="6" a="1"/>
  <c r="F1966" i="6" s="1"/>
  <c r="N1966" i="6" s="1"/>
  <c r="O1966" i="6" s="1"/>
  <c r="F1926" i="6" a="1"/>
  <c r="F1926" i="6" s="1"/>
  <c r="N1926" i="6" s="1"/>
  <c r="O1926" i="6" s="1"/>
  <c r="F1924" i="6" a="1"/>
  <c r="F1924" i="6" s="1"/>
  <c r="N1924" i="6" s="1"/>
  <c r="O1924" i="6" s="1"/>
  <c r="F1922" i="6" a="1"/>
  <c r="F1922" i="6" s="1"/>
  <c r="N1922" i="6" s="1"/>
  <c r="O1922" i="6" s="1"/>
  <c r="F1917" i="6" a="1"/>
  <c r="F1917" i="6" s="1"/>
  <c r="N1917" i="6" s="1"/>
  <c r="O1917" i="6" s="1"/>
  <c r="F1862" i="6" a="1"/>
  <c r="F1862" i="6" s="1"/>
  <c r="N1862" i="6" s="1"/>
  <c r="O1862" i="6" s="1"/>
  <c r="F1840" i="6" a="1"/>
  <c r="F1840" i="6" s="1"/>
  <c r="N1840" i="6" s="1"/>
  <c r="O1840" i="6" s="1"/>
  <c r="F2084" i="6" a="1"/>
  <c r="F2084" i="6" s="1"/>
  <c r="N2084" i="6" s="1"/>
  <c r="O2084" i="6" s="1"/>
  <c r="F2020" i="6" a="1"/>
  <c r="F2020" i="6" s="1"/>
  <c r="N2020" i="6" s="1"/>
  <c r="O2020" i="6" s="1"/>
  <c r="F1987" i="6" a="1"/>
  <c r="F1987" i="6" s="1"/>
  <c r="N1987" i="6" s="1"/>
  <c r="O1987" i="6" s="1"/>
  <c r="F1972" i="6" a="1"/>
  <c r="F1972" i="6" s="1"/>
  <c r="N1972" i="6" s="1"/>
  <c r="O1972" i="6" s="1"/>
  <c r="F1958" i="6" a="1"/>
  <c r="F1958" i="6" s="1"/>
  <c r="N1958" i="6" s="1"/>
  <c r="O1958" i="6" s="1"/>
  <c r="F1912" i="6" a="1"/>
  <c r="F1912" i="6" s="1"/>
  <c r="N1912" i="6" s="1"/>
  <c r="O1912" i="6" s="1"/>
  <c r="F1904" i="6" a="1"/>
  <c r="F1904" i="6" s="1"/>
  <c r="N1904" i="6" s="1"/>
  <c r="O1904" i="6" s="1"/>
  <c r="F1891" i="6" a="1"/>
  <c r="F1891" i="6" s="1"/>
  <c r="N1891" i="6" s="1"/>
  <c r="O1891" i="6" s="1"/>
  <c r="F1870" i="6" a="1"/>
  <c r="F1870" i="6" s="1"/>
  <c r="N1870" i="6" s="1"/>
  <c r="O1870" i="6" s="1"/>
  <c r="F1865" i="6" a="1"/>
  <c r="F1865" i="6" s="1"/>
  <c r="N1865" i="6" s="1"/>
  <c r="O1865" i="6" s="1"/>
  <c r="F1857" i="6" a="1"/>
  <c r="F1857" i="6" s="1"/>
  <c r="N1857" i="6" s="1"/>
  <c r="O1857" i="6" s="1"/>
  <c r="F1843" i="6" a="1"/>
  <c r="F1843" i="6" s="1"/>
  <c r="N1843" i="6" s="1"/>
  <c r="O1843" i="6" s="1"/>
  <c r="F1823" i="6" a="1"/>
  <c r="F1823" i="6" s="1"/>
  <c r="N1823" i="6" s="1"/>
  <c r="O1823" i="6" s="1"/>
  <c r="F1820" i="6" a="1"/>
  <c r="F1820" i="6" s="1"/>
  <c r="N1820" i="6" s="1"/>
  <c r="O1820" i="6" s="1"/>
  <c r="F1800" i="6" a="1"/>
  <c r="F1800" i="6" s="1"/>
  <c r="N1800" i="6" s="1"/>
  <c r="O1800" i="6" s="1"/>
  <c r="F1797" i="6" a="1"/>
  <c r="F1797" i="6" s="1"/>
  <c r="N1797" i="6" s="1"/>
  <c r="O1797" i="6" s="1"/>
  <c r="F1764" i="6" a="1"/>
  <c r="F1764" i="6" s="1"/>
  <c r="N1764" i="6" s="1"/>
  <c r="O1764" i="6" s="1"/>
  <c r="F1748" i="6" a="1"/>
  <c r="F1748" i="6" s="1"/>
  <c r="N1748" i="6" s="1"/>
  <c r="O1748" i="6" s="1"/>
  <c r="F1732" i="6" a="1"/>
  <c r="F1732" i="6" s="1"/>
  <c r="N1732" i="6" s="1"/>
  <c r="O1732" i="6" s="1"/>
  <c r="F1716" i="6" a="1"/>
  <c r="F1716" i="6" s="1"/>
  <c r="N1716" i="6" s="1"/>
  <c r="O1716" i="6" s="1"/>
  <c r="F1700" i="6" a="1"/>
  <c r="F1700" i="6" s="1"/>
  <c r="N1700" i="6" s="1"/>
  <c r="O1700" i="6" s="1"/>
  <c r="F1684" i="6" a="1"/>
  <c r="F1684" i="6" s="1"/>
  <c r="N1684" i="6" s="1"/>
  <c r="O1684" i="6" s="1"/>
  <c r="F1668" i="6" a="1"/>
  <c r="F1668" i="6" s="1"/>
  <c r="N1668" i="6" s="1"/>
  <c r="O1668" i="6" s="1"/>
  <c r="F1652" i="6" a="1"/>
  <c r="F1652" i="6" s="1"/>
  <c r="N1652" i="6" s="1"/>
  <c r="O1652" i="6" s="1"/>
  <c r="F1636" i="6" a="1"/>
  <c r="F1636" i="6" s="1"/>
  <c r="N1636" i="6" s="1"/>
  <c r="O1636" i="6" s="1"/>
  <c r="F2100" i="6" a="1"/>
  <c r="F2100" i="6" s="1"/>
  <c r="N2100" i="6" s="1"/>
  <c r="O2100" i="6" s="1"/>
  <c r="F2062" i="6" a="1"/>
  <c r="F2062" i="6" s="1"/>
  <c r="N2062" i="6" s="1"/>
  <c r="O2062" i="6" s="1"/>
  <c r="F2025" i="6" a="1"/>
  <c r="F2025" i="6" s="1"/>
  <c r="N2025" i="6" s="1"/>
  <c r="O2025" i="6" s="1"/>
  <c r="F1993" i="6" a="1"/>
  <c r="F1993" i="6" s="1"/>
  <c r="N1993" i="6" s="1"/>
  <c r="O1993" i="6" s="1"/>
  <c r="F1935" i="6" a="1"/>
  <c r="F1935" i="6" s="1"/>
  <c r="N1935" i="6" s="1"/>
  <c r="O1935" i="6" s="1"/>
  <c r="F1878" i="6" a="1"/>
  <c r="F1878" i="6" s="1"/>
  <c r="N1878" i="6" s="1"/>
  <c r="O1878" i="6" s="1"/>
  <c r="F1849" i="6" a="1"/>
  <c r="F1849" i="6" s="1"/>
  <c r="N1849" i="6" s="1"/>
  <c r="O1849" i="6" s="1"/>
  <c r="F1846" i="6" a="1"/>
  <c r="F1846" i="6" s="1"/>
  <c r="N1846" i="6" s="1"/>
  <c r="O1846" i="6" s="1"/>
  <c r="F1826" i="6" a="1"/>
  <c r="F1826" i="6" s="1"/>
  <c r="N1826" i="6" s="1"/>
  <c r="O1826" i="6" s="1"/>
  <c r="F1777" i="6" a="1"/>
  <c r="F1777" i="6" s="1"/>
  <c r="N1777" i="6" s="1"/>
  <c r="O1777" i="6" s="1"/>
  <c r="F1761" i="6" a="1"/>
  <c r="F1761" i="6" s="1"/>
  <c r="N1761" i="6" s="1"/>
  <c r="O1761" i="6" s="1"/>
  <c r="F1745" i="6" a="1"/>
  <c r="F1745" i="6" s="1"/>
  <c r="N1745" i="6" s="1"/>
  <c r="O1745" i="6" s="1"/>
  <c r="F2022" i="6" a="1"/>
  <c r="F2022" i="6" s="1"/>
  <c r="N2022" i="6" s="1"/>
  <c r="O2022" i="6" s="1"/>
  <c r="F2012" i="6" a="1"/>
  <c r="F2012" i="6" s="1"/>
  <c r="N2012" i="6" s="1"/>
  <c r="O2012" i="6" s="1"/>
  <c r="F2006" i="6" a="1"/>
  <c r="F2006" i="6" s="1"/>
  <c r="N2006" i="6" s="1"/>
  <c r="O2006" i="6" s="1"/>
  <c r="F1999" i="6" a="1"/>
  <c r="F1999" i="6" s="1"/>
  <c r="N1999" i="6" s="1"/>
  <c r="O1999" i="6" s="1"/>
  <c r="F1980" i="6" a="1"/>
  <c r="F1980" i="6" s="1"/>
  <c r="N1980" i="6" s="1"/>
  <c r="O1980" i="6" s="1"/>
  <c r="F1907" i="6" a="1"/>
  <c r="F1907" i="6" s="1"/>
  <c r="N1907" i="6" s="1"/>
  <c r="O1907" i="6" s="1"/>
  <c r="F1886" i="6" a="1"/>
  <c r="F1886" i="6" s="1"/>
  <c r="N1886" i="6" s="1"/>
  <c r="O1886" i="6" s="1"/>
  <c r="F1881" i="6" a="1"/>
  <c r="F1881" i="6" s="1"/>
  <c r="N1881" i="6" s="1"/>
  <c r="O1881" i="6" s="1"/>
  <c r="F1873" i="6" a="1"/>
  <c r="F1873" i="6" s="1"/>
  <c r="N1873" i="6" s="1"/>
  <c r="O1873" i="6" s="1"/>
  <c r="F1852" i="6" a="1"/>
  <c r="F1852" i="6" s="1"/>
  <c r="N1852" i="6" s="1"/>
  <c r="O1852" i="6" s="1"/>
  <c r="F1832" i="6" a="1"/>
  <c r="F1832" i="6" s="1"/>
  <c r="N1832" i="6" s="1"/>
  <c r="O1832" i="6" s="1"/>
  <c r="F1829" i="6" a="1"/>
  <c r="F1829" i="6" s="1"/>
  <c r="N1829" i="6" s="1"/>
  <c r="O1829" i="6" s="1"/>
  <c r="F1806" i="6" a="1"/>
  <c r="F1806" i="6" s="1"/>
  <c r="N1806" i="6" s="1"/>
  <c r="O1806" i="6" s="1"/>
  <c r="F1783" i="6" a="1"/>
  <c r="F1783" i="6" s="1"/>
  <c r="N1783" i="6" s="1"/>
  <c r="O1783" i="6" s="1"/>
  <c r="F1780" i="6" a="1"/>
  <c r="F1780" i="6" s="1"/>
  <c r="N1780" i="6" s="1"/>
  <c r="O1780" i="6" s="1"/>
  <c r="F1774" i="6" a="1"/>
  <c r="F1774" i="6" s="1"/>
  <c r="N1774" i="6" s="1"/>
  <c r="O1774" i="6" s="1"/>
  <c r="F1758" i="6" a="1"/>
  <c r="F1758" i="6" s="1"/>
  <c r="N1758" i="6" s="1"/>
  <c r="O1758" i="6" s="1"/>
  <c r="F1742" i="6" a="1"/>
  <c r="F1742" i="6" s="1"/>
  <c r="N1742" i="6" s="1"/>
  <c r="O1742" i="6" s="1"/>
  <c r="F1726" i="6" a="1"/>
  <c r="F1726" i="6" s="1"/>
  <c r="N1726" i="6" s="1"/>
  <c r="O1726" i="6" s="1"/>
  <c r="F1710" i="6" a="1"/>
  <c r="F1710" i="6" s="1"/>
  <c r="N1710" i="6" s="1"/>
  <c r="O1710" i="6" s="1"/>
  <c r="F2128" i="6" a="1"/>
  <c r="F2128" i="6" s="1"/>
  <c r="N2128" i="6" s="1"/>
  <c r="O2128" i="6" s="1"/>
  <c r="F2050" i="6" a="1"/>
  <c r="F2050" i="6" s="1"/>
  <c r="N2050" i="6" s="1"/>
  <c r="O2050" i="6" s="1"/>
  <c r="F2134" i="6" a="1"/>
  <c r="F2134" i="6" s="1"/>
  <c r="N2134" i="6" s="1"/>
  <c r="O2134" i="6" s="1"/>
  <c r="F1945" i="6" a="1"/>
  <c r="F1945" i="6" s="1"/>
  <c r="N1945" i="6" s="1"/>
  <c r="O1945" i="6" s="1"/>
  <c r="F1927" i="6" a="1"/>
  <c r="F1927" i="6" s="1"/>
  <c r="N1927" i="6" s="1"/>
  <c r="O1927" i="6" s="1"/>
  <c r="F2106" i="6" a="1"/>
  <c r="F2106" i="6" s="1"/>
  <c r="N2106" i="6" s="1"/>
  <c r="O2106" i="6" s="1"/>
  <c r="F2083" i="6" a="1"/>
  <c r="F2083" i="6" s="1"/>
  <c r="N2083" i="6" s="1"/>
  <c r="O2083" i="6" s="1"/>
  <c r="F2042" i="6" a="1"/>
  <c r="F2042" i="6" s="1"/>
  <c r="N2042" i="6" s="1"/>
  <c r="O2042" i="6" s="1"/>
  <c r="F2016" i="6" a="1"/>
  <c r="F2016" i="6" s="1"/>
  <c r="N2016" i="6" s="1"/>
  <c r="O2016" i="6" s="1"/>
  <c r="F1986" i="6" a="1"/>
  <c r="F1986" i="6" s="1"/>
  <c r="N1986" i="6" s="1"/>
  <c r="O1986" i="6" s="1"/>
  <c r="F1967" i="6" a="1"/>
  <c r="F1967" i="6" s="1"/>
  <c r="N1967" i="6" s="1"/>
  <c r="O1967" i="6" s="1"/>
  <c r="F1959" i="6" a="1"/>
  <c r="F1959" i="6" s="1"/>
  <c r="N1959" i="6" s="1"/>
  <c r="O1959" i="6" s="1"/>
  <c r="F1953" i="6" a="1"/>
  <c r="F1953" i="6" s="1"/>
  <c r="N1953" i="6" s="1"/>
  <c r="O1953" i="6" s="1"/>
  <c r="F1939" i="6" a="1"/>
  <c r="F1939" i="6" s="1"/>
  <c r="N1939" i="6" s="1"/>
  <c r="O1939" i="6" s="1"/>
  <c r="F1910" i="6" a="1"/>
  <c r="F1910" i="6" s="1"/>
  <c r="N1910" i="6" s="1"/>
  <c r="O1910" i="6" s="1"/>
  <c r="F1884" i="6" a="1"/>
  <c r="F1884" i="6" s="1"/>
  <c r="N1884" i="6" s="1"/>
  <c r="O1884" i="6" s="1"/>
  <c r="F1876" i="6" a="1"/>
  <c r="F1876" i="6" s="1"/>
  <c r="N1876" i="6" s="1"/>
  <c r="O1876" i="6" s="1"/>
  <c r="F1871" i="6" a="1"/>
  <c r="F1871" i="6" s="1"/>
  <c r="N1871" i="6" s="1"/>
  <c r="O1871" i="6" s="1"/>
  <c r="F1858" i="6" a="1"/>
  <c r="F1858" i="6" s="1"/>
  <c r="N1858" i="6" s="1"/>
  <c r="O1858" i="6" s="1"/>
  <c r="F1841" i="6" a="1"/>
  <c r="F1841" i="6" s="1"/>
  <c r="N1841" i="6" s="1"/>
  <c r="O1841" i="6" s="1"/>
  <c r="F1821" i="6" a="1"/>
  <c r="F1821" i="6" s="1"/>
  <c r="N1821" i="6" s="1"/>
  <c r="O1821" i="6" s="1"/>
  <c r="F1818" i="6" a="1"/>
  <c r="F1818" i="6" s="1"/>
  <c r="N1818" i="6" s="1"/>
  <c r="O1818" i="6" s="1"/>
  <c r="F1795" i="6" a="1"/>
  <c r="F1795" i="6" s="1"/>
  <c r="N1795" i="6" s="1"/>
  <c r="O1795" i="6" s="1"/>
  <c r="F1765" i="6" a="1"/>
  <c r="F1765" i="6" s="1"/>
  <c r="N1765" i="6" s="1"/>
  <c r="O1765" i="6" s="1"/>
  <c r="F1749" i="6" a="1"/>
  <c r="F1749" i="6" s="1"/>
  <c r="N1749" i="6" s="1"/>
  <c r="O1749" i="6" s="1"/>
  <c r="F1733" i="6" a="1"/>
  <c r="F1733" i="6" s="1"/>
  <c r="N1733" i="6" s="1"/>
  <c r="O1733" i="6" s="1"/>
  <c r="F1717" i="6" a="1"/>
  <c r="F1717" i="6" s="1"/>
  <c r="N1717" i="6" s="1"/>
  <c r="O1717" i="6" s="1"/>
  <c r="F1701" i="6" a="1"/>
  <c r="F1701" i="6" s="1"/>
  <c r="N1701" i="6" s="1"/>
  <c r="O1701" i="6" s="1"/>
  <c r="F1961" i="6" a="1"/>
  <c r="F1961" i="6" s="1"/>
  <c r="N1961" i="6" s="1"/>
  <c r="O1961" i="6" s="1"/>
  <c r="F1940" i="6" a="1"/>
  <c r="F1940" i="6" s="1"/>
  <c r="N1940" i="6" s="1"/>
  <c r="O1940" i="6" s="1"/>
  <c r="F1918" i="6" a="1"/>
  <c r="F1918" i="6" s="1"/>
  <c r="N1918" i="6" s="1"/>
  <c r="O1918" i="6" s="1"/>
  <c r="F1894" i="6" a="1"/>
  <c r="F1894" i="6" s="1"/>
  <c r="N1894" i="6" s="1"/>
  <c r="O1894" i="6" s="1"/>
  <c r="F1824" i="6" a="1"/>
  <c r="F1824" i="6" s="1"/>
  <c r="N1824" i="6" s="1"/>
  <c r="O1824" i="6" s="1"/>
  <c r="F1817" i="6" a="1"/>
  <c r="F1817" i="6" s="1"/>
  <c r="N1817" i="6" s="1"/>
  <c r="O1817" i="6" s="1"/>
  <c r="F1801" i="6" a="1"/>
  <c r="F1801" i="6" s="1"/>
  <c r="N1801" i="6" s="1"/>
  <c r="O1801" i="6" s="1"/>
  <c r="F1750" i="6" a="1"/>
  <c r="F1750" i="6" s="1"/>
  <c r="N1750" i="6" s="1"/>
  <c r="O1750" i="6" s="1"/>
  <c r="F1703" i="6" a="1"/>
  <c r="F1703" i="6" s="1"/>
  <c r="N1703" i="6" s="1"/>
  <c r="O1703" i="6" s="1"/>
  <c r="F1675" i="6" a="1"/>
  <c r="F1675" i="6" s="1"/>
  <c r="N1675" i="6" s="1"/>
  <c r="O1675" i="6" s="1"/>
  <c r="F1649" i="6" a="1"/>
  <c r="F1649" i="6" s="1"/>
  <c r="N1649" i="6" s="1"/>
  <c r="O1649" i="6" s="1"/>
  <c r="F1641" i="6" a="1"/>
  <c r="F1641" i="6" s="1"/>
  <c r="N1641" i="6" s="1"/>
  <c r="O1641" i="6" s="1"/>
  <c r="F1633" i="6" a="1"/>
  <c r="F1633" i="6" s="1"/>
  <c r="N1633" i="6" s="1"/>
  <c r="O1633" i="6" s="1"/>
  <c r="F1630" i="6" a="1"/>
  <c r="F1630" i="6" s="1"/>
  <c r="N1630" i="6" s="1"/>
  <c r="O1630" i="6" s="1"/>
  <c r="F1607" i="6" a="1"/>
  <c r="F1607" i="6" s="1"/>
  <c r="N1607" i="6" s="1"/>
  <c r="O1607" i="6" s="1"/>
  <c r="F1595" i="6" a="1"/>
  <c r="F1595" i="6" s="1"/>
  <c r="N1595" i="6" s="1"/>
  <c r="O1595" i="6" s="1"/>
  <c r="F1911" i="6" a="1"/>
  <c r="F1911" i="6" s="1"/>
  <c r="N1911" i="6" s="1"/>
  <c r="O1911" i="6" s="1"/>
  <c r="F1868" i="6" a="1"/>
  <c r="F1868" i="6" s="1"/>
  <c r="N1868" i="6" s="1"/>
  <c r="O1868" i="6" s="1"/>
  <c r="F1812" i="6" a="1"/>
  <c r="F1812" i="6" s="1"/>
  <c r="N1812" i="6" s="1"/>
  <c r="O1812" i="6" s="1"/>
  <c r="F1805" i="6" a="1"/>
  <c r="F1805" i="6" s="1"/>
  <c r="N1805" i="6" s="1"/>
  <c r="O1805" i="6" s="1"/>
  <c r="F1778" i="6" a="1"/>
  <c r="F1778" i="6" s="1"/>
  <c r="N1778" i="6" s="1"/>
  <c r="O1778" i="6" s="1"/>
  <c r="F1752" i="6" a="1"/>
  <c r="F1752" i="6" s="1"/>
  <c r="N1752" i="6" s="1"/>
  <c r="O1752" i="6" s="1"/>
  <c r="F1738" i="6" a="1"/>
  <c r="F1738" i="6" s="1"/>
  <c r="N1738" i="6" s="1"/>
  <c r="O1738" i="6" s="1"/>
  <c r="F1736" i="6" a="1"/>
  <c r="F1736" i="6" s="1"/>
  <c r="N1736" i="6" s="1"/>
  <c r="O1736" i="6" s="1"/>
  <c r="F1734" i="6" a="1"/>
  <c r="F1734" i="6" s="1"/>
  <c r="N1734" i="6" s="1"/>
  <c r="O1734" i="6" s="1"/>
  <c r="F1730" i="6" a="1"/>
  <c r="F1730" i="6" s="1"/>
  <c r="N1730" i="6" s="1"/>
  <c r="O1730" i="6" s="1"/>
  <c r="F1688" i="6" a="1"/>
  <c r="F1688" i="6" s="1"/>
  <c r="N1688" i="6" s="1"/>
  <c r="O1688" i="6" s="1"/>
  <c r="F1683" i="6" a="1"/>
  <c r="F1683" i="6" s="1"/>
  <c r="N1683" i="6" s="1"/>
  <c r="O1683" i="6" s="1"/>
  <c r="F1670" i="6" a="1"/>
  <c r="F1670" i="6" s="1"/>
  <c r="N1670" i="6" s="1"/>
  <c r="O1670" i="6" s="1"/>
  <c r="F1662" i="6" a="1"/>
  <c r="F1662" i="6" s="1"/>
  <c r="N1662" i="6" s="1"/>
  <c r="O1662" i="6" s="1"/>
  <c r="F1880" i="6" a="1"/>
  <c r="F1880" i="6" s="1"/>
  <c r="N1880" i="6" s="1"/>
  <c r="O1880" i="6" s="1"/>
  <c r="F1863" i="6" a="1"/>
  <c r="F1863" i="6" s="1"/>
  <c r="N1863" i="6" s="1"/>
  <c r="O1863" i="6" s="1"/>
  <c r="F1837" i="6" a="1"/>
  <c r="F1837" i="6" s="1"/>
  <c r="N1837" i="6" s="1"/>
  <c r="O1837" i="6" s="1"/>
  <c r="F1728" i="6" a="1"/>
  <c r="F1728" i="6" s="1"/>
  <c r="N1728" i="6" s="1"/>
  <c r="O1728" i="6" s="1"/>
  <c r="F1665" i="6" a="1"/>
  <c r="F1665" i="6" s="1"/>
  <c r="N1665" i="6" s="1"/>
  <c r="O1665" i="6" s="1"/>
  <c r="F1657" i="6" a="1"/>
  <c r="F1657" i="6" s="1"/>
  <c r="N1657" i="6" s="1"/>
  <c r="O1657" i="6" s="1"/>
  <c r="F1644" i="6" a="1"/>
  <c r="F1644" i="6" s="1"/>
  <c r="N1644" i="6" s="1"/>
  <c r="O1644" i="6" s="1"/>
  <c r="F1619" i="6" a="1"/>
  <c r="F1619" i="6" s="1"/>
  <c r="N1619" i="6" s="1"/>
  <c r="O1619" i="6" s="1"/>
  <c r="F1951" i="6" a="1"/>
  <c r="F1951" i="6" s="1"/>
  <c r="N1951" i="6" s="1"/>
  <c r="O1951" i="6" s="1"/>
  <c r="F1948" i="6" a="1"/>
  <c r="F1948" i="6" s="1"/>
  <c r="N1948" i="6" s="1"/>
  <c r="O1948" i="6" s="1"/>
  <c r="F1954" i="6" a="1"/>
  <c r="F1954" i="6" s="1"/>
  <c r="N1954" i="6" s="1"/>
  <c r="O1954" i="6" s="1"/>
  <c r="F1928" i="6" a="1"/>
  <c r="F1928" i="6" s="1"/>
  <c r="N1928" i="6" s="1"/>
  <c r="O1928" i="6" s="1"/>
  <c r="F1905" i="6" a="1"/>
  <c r="F1905" i="6" s="1"/>
  <c r="N1905" i="6" s="1"/>
  <c r="O1905" i="6" s="1"/>
  <c r="F1902" i="6" a="1"/>
  <c r="F1902" i="6" s="1"/>
  <c r="N1902" i="6" s="1"/>
  <c r="O1902" i="6" s="1"/>
  <c r="F1860" i="6" a="1"/>
  <c r="F1860" i="6" s="1"/>
  <c r="N1860" i="6" s="1"/>
  <c r="O1860" i="6" s="1"/>
  <c r="F1855" i="6" a="1"/>
  <c r="F1855" i="6" s="1"/>
  <c r="N1855" i="6" s="1"/>
  <c r="O1855" i="6" s="1"/>
  <c r="F1844" i="6" a="1"/>
  <c r="F1844" i="6" s="1"/>
  <c r="N1844" i="6" s="1"/>
  <c r="O1844" i="6" s="1"/>
  <c r="F1896" i="6" a="1"/>
  <c r="F1896" i="6" s="1"/>
  <c r="N1896" i="6" s="1"/>
  <c r="O1896" i="6" s="1"/>
  <c r="F1885" i="6" a="1"/>
  <c r="F1885" i="6" s="1"/>
  <c r="N1885" i="6" s="1"/>
  <c r="O1885" i="6" s="1"/>
  <c r="F1875" i="6" a="1"/>
  <c r="F1875" i="6" s="1"/>
  <c r="N1875" i="6" s="1"/>
  <c r="O1875" i="6" s="1"/>
  <c r="F1888" i="6" a="1"/>
  <c r="F1888" i="6" s="1"/>
  <c r="N1888" i="6" s="1"/>
  <c r="O1888" i="6" s="1"/>
  <c r="F1872" i="6" a="1"/>
  <c r="F1872" i="6" s="1"/>
  <c r="N1872" i="6" s="1"/>
  <c r="O1872" i="6" s="1"/>
  <c r="F1848" i="6" a="1"/>
  <c r="F1848" i="6" s="1"/>
  <c r="N1848" i="6" s="1"/>
  <c r="O1848" i="6" s="1"/>
  <c r="F1834" i="6" a="1"/>
  <c r="F1834" i="6" s="1"/>
  <c r="N1834" i="6" s="1"/>
  <c r="O1834" i="6" s="1"/>
  <c r="F1942" i="6" a="1"/>
  <c r="F1942" i="6" s="1"/>
  <c r="N1942" i="6" s="1"/>
  <c r="O1942" i="6" s="1"/>
  <c r="F1898" i="6" a="1"/>
  <c r="F1898" i="6" s="1"/>
  <c r="N1898" i="6" s="1"/>
  <c r="O1898" i="6" s="1"/>
  <c r="F1802" i="6" a="1"/>
  <c r="F1802" i="6" s="1"/>
  <c r="N1802" i="6" s="1"/>
  <c r="O1802" i="6" s="1"/>
  <c r="F1788" i="6" a="1"/>
  <c r="F1788" i="6" s="1"/>
  <c r="N1788" i="6" s="1"/>
  <c r="O1788" i="6" s="1"/>
  <c r="F1779" i="6" a="1"/>
  <c r="F1779" i="6" s="1"/>
  <c r="N1779" i="6" s="1"/>
  <c r="O1779" i="6" s="1"/>
  <c r="F1766" i="6" a="1"/>
  <c r="F1766" i="6" s="1"/>
  <c r="N1766" i="6" s="1"/>
  <c r="O1766" i="6" s="1"/>
  <c r="F1739" i="6" a="1"/>
  <c r="F1739" i="6" s="1"/>
  <c r="N1739" i="6" s="1"/>
  <c r="O1739" i="6" s="1"/>
  <c r="F1737" i="6" a="1"/>
  <c r="F1737" i="6" s="1"/>
  <c r="N1737" i="6" s="1"/>
  <c r="O1737" i="6" s="1"/>
  <c r="F1919" i="6" a="1"/>
  <c r="F1919" i="6" s="1"/>
  <c r="N1919" i="6" s="1"/>
  <c r="O1919" i="6" s="1"/>
  <c r="F1913" i="6" a="1"/>
  <c r="F1913" i="6" s="1"/>
  <c r="N1913" i="6" s="1"/>
  <c r="O1913" i="6" s="1"/>
  <c r="F1879" i="6" a="1"/>
  <c r="F1879" i="6" s="1"/>
  <c r="N1879" i="6" s="1"/>
  <c r="O1879" i="6" s="1"/>
  <c r="F1825" i="6" a="1"/>
  <c r="F1825" i="6" s="1"/>
  <c r="N1825" i="6" s="1"/>
  <c r="O1825" i="6" s="1"/>
  <c r="F1811" i="6" a="1"/>
  <c r="F1811" i="6" s="1"/>
  <c r="N1811" i="6" s="1"/>
  <c r="O1811" i="6" s="1"/>
  <c r="F1753" i="6" a="1"/>
  <c r="F1753" i="6" s="1"/>
  <c r="N1753" i="6" s="1"/>
  <c r="O1753" i="6" s="1"/>
  <c r="F1741" i="6" a="1"/>
  <c r="F1741" i="6" s="1"/>
  <c r="N1741" i="6" s="1"/>
  <c r="O1741" i="6" s="1"/>
  <c r="F1731" i="6" a="1"/>
  <c r="F1731" i="6" s="1"/>
  <c r="N1731" i="6" s="1"/>
  <c r="O1731" i="6" s="1"/>
  <c r="F1729" i="6" a="1"/>
  <c r="F1729" i="6" s="1"/>
  <c r="N1729" i="6" s="1"/>
  <c r="O1729" i="6" s="1"/>
  <c r="F1666" i="6" a="1"/>
  <c r="F1666" i="6" s="1"/>
  <c r="N1666" i="6" s="1"/>
  <c r="O1666" i="6" s="1"/>
  <c r="F1658" i="6" a="1"/>
  <c r="F1658" i="6" s="1"/>
  <c r="N1658" i="6" s="1"/>
  <c r="O1658" i="6" s="1"/>
  <c r="F1645" i="6" a="1"/>
  <c r="F1645" i="6" s="1"/>
  <c r="N1645" i="6" s="1"/>
  <c r="O1645" i="6" s="1"/>
  <c r="F1982" i="6" a="1"/>
  <c r="F1982" i="6" s="1"/>
  <c r="N1982" i="6" s="1"/>
  <c r="O1982" i="6" s="1"/>
  <c r="F1934" i="6" a="1"/>
  <c r="F1934" i="6" s="1"/>
  <c r="N1934" i="6" s="1"/>
  <c r="O1934" i="6" s="1"/>
  <c r="F1838" i="6" a="1"/>
  <c r="F1838" i="6" s="1"/>
  <c r="N1838" i="6" s="1"/>
  <c r="O1838" i="6" s="1"/>
  <c r="F1768" i="6" a="1"/>
  <c r="F1768" i="6" s="1"/>
  <c r="N1768" i="6" s="1"/>
  <c r="O1768" i="6" s="1"/>
  <c r="F1755" i="6" a="1"/>
  <c r="F1755" i="6" s="1"/>
  <c r="N1755" i="6" s="1"/>
  <c r="O1755" i="6" s="1"/>
  <c r="F1751" i="6" a="1"/>
  <c r="F1751" i="6" s="1"/>
  <c r="N1751" i="6" s="1"/>
  <c r="O1751" i="6" s="1"/>
  <c r="F1735" i="6" a="1"/>
  <c r="F1735" i="6" s="1"/>
  <c r="N1735" i="6" s="1"/>
  <c r="O1735" i="6" s="1"/>
  <c r="F1694" i="6" a="1"/>
  <c r="F1694" i="6" s="1"/>
  <c r="N1694" i="6" s="1"/>
  <c r="O1694" i="6" s="1"/>
  <c r="F1687" i="6" a="1"/>
  <c r="F1687" i="6" s="1"/>
  <c r="N1687" i="6" s="1"/>
  <c r="O1687" i="6" s="1"/>
  <c r="F1653" i="6" a="1"/>
  <c r="F1653" i="6" s="1"/>
  <c r="N1653" i="6" s="1"/>
  <c r="O1653" i="6" s="1"/>
  <c r="F1640" i="6" a="1"/>
  <c r="F1640" i="6" s="1"/>
  <c r="N1640" i="6" s="1"/>
  <c r="O1640" i="6" s="1"/>
  <c r="F1629" i="6" a="1"/>
  <c r="F1629" i="6" s="1"/>
  <c r="N1629" i="6" s="1"/>
  <c r="O1629" i="6" s="1"/>
  <c r="F1626" i="6" a="1"/>
  <c r="F1626" i="6" s="1"/>
  <c r="N1626" i="6" s="1"/>
  <c r="O1626" i="6" s="1"/>
  <c r="F1606" i="6" a="1"/>
  <c r="F1606" i="6" s="1"/>
  <c r="N1606" i="6" s="1"/>
  <c r="O1606" i="6" s="1"/>
  <c r="F1597" i="6" a="1"/>
  <c r="F1597" i="6" s="1"/>
  <c r="N1597" i="6" s="1"/>
  <c r="O1597" i="6" s="1"/>
  <c r="F1581" i="6" a="1"/>
  <c r="F1581" i="6" s="1"/>
  <c r="N1581" i="6" s="1"/>
  <c r="O1581" i="6" s="1"/>
  <c r="F1565" i="6" a="1"/>
  <c r="F1565" i="6" s="1"/>
  <c r="N1565" i="6" s="1"/>
  <c r="O1565" i="6" s="1"/>
  <c r="F1549" i="6" a="1"/>
  <c r="F1549" i="6" s="1"/>
  <c r="N1549" i="6" s="1"/>
  <c r="O1549" i="6" s="1"/>
  <c r="F1533" i="6" a="1"/>
  <c r="F1533" i="6" s="1"/>
  <c r="N1533" i="6" s="1"/>
  <c r="O1533" i="6" s="1"/>
  <c r="F1517" i="6" a="1"/>
  <c r="F1517" i="6" s="1"/>
  <c r="N1517" i="6" s="1"/>
  <c r="O1517" i="6" s="1"/>
  <c r="F1864" i="6" a="1"/>
  <c r="F1864" i="6" s="1"/>
  <c r="N1864" i="6" s="1"/>
  <c r="O1864" i="6" s="1"/>
  <c r="F1859" i="6" a="1"/>
  <c r="F1859" i="6" s="1"/>
  <c r="N1859" i="6" s="1"/>
  <c r="O1859" i="6" s="1"/>
  <c r="F1822" i="6" a="1"/>
  <c r="F1822" i="6" s="1"/>
  <c r="N1822" i="6" s="1"/>
  <c r="O1822" i="6" s="1"/>
  <c r="F1799" i="6" a="1"/>
  <c r="F1799" i="6" s="1"/>
  <c r="N1799" i="6" s="1"/>
  <c r="O1799" i="6" s="1"/>
  <c r="F1792" i="6" a="1"/>
  <c r="F1792" i="6" s="1"/>
  <c r="N1792" i="6" s="1"/>
  <c r="O1792" i="6" s="1"/>
  <c r="F1723" i="6" a="1"/>
  <c r="F1723" i="6" s="1"/>
  <c r="N1723" i="6" s="1"/>
  <c r="O1723" i="6" s="1"/>
  <c r="F1974" i="6" a="1"/>
  <c r="F1974" i="6" s="1"/>
  <c r="N1974" i="6" s="1"/>
  <c r="O1974" i="6" s="1"/>
  <c r="F1937" i="6" a="1"/>
  <c r="F1937" i="6" s="1"/>
  <c r="N1937" i="6" s="1"/>
  <c r="O1937" i="6" s="1"/>
  <c r="F1845" i="6" a="1"/>
  <c r="F1845" i="6" s="1"/>
  <c r="N1845" i="6" s="1"/>
  <c r="O1845" i="6" s="1"/>
  <c r="F1815" i="6" a="1"/>
  <c r="F1815" i="6" s="1"/>
  <c r="N1815" i="6" s="1"/>
  <c r="O1815" i="6" s="1"/>
  <c r="F2015" i="6" a="1"/>
  <c r="F2015" i="6" s="1"/>
  <c r="N2015" i="6" s="1"/>
  <c r="O2015" i="6" s="1"/>
  <c r="F1956" i="6" a="1"/>
  <c r="F1956" i="6" s="1"/>
  <c r="N1956" i="6" s="1"/>
  <c r="O1956" i="6" s="1"/>
  <c r="F1906" i="6" a="1"/>
  <c r="F1906" i="6" s="1"/>
  <c r="N1906" i="6" s="1"/>
  <c r="O1906" i="6" s="1"/>
  <c r="F1929" i="6" a="1"/>
  <c r="F1929" i="6" s="1"/>
  <c r="N1929" i="6" s="1"/>
  <c r="O1929" i="6" s="1"/>
  <c r="F1856" i="6" a="1"/>
  <c r="F1856" i="6" s="1"/>
  <c r="N1856" i="6" s="1"/>
  <c r="O1856" i="6" s="1"/>
  <c r="F1842" i="6" a="1"/>
  <c r="F1842" i="6" s="1"/>
  <c r="N1842" i="6" s="1"/>
  <c r="O1842" i="6" s="1"/>
  <c r="F1785" i="6" a="1"/>
  <c r="F1785" i="6" s="1"/>
  <c r="N1785" i="6" s="1"/>
  <c r="O1785" i="6" s="1"/>
  <c r="F1763" i="6" a="1"/>
  <c r="F1763" i="6" s="1"/>
  <c r="N1763" i="6" s="1"/>
  <c r="O1763" i="6" s="1"/>
  <c r="F1707" i="6" a="1"/>
  <c r="F1707" i="6" s="1"/>
  <c r="N1707" i="6" s="1"/>
  <c r="O1707" i="6" s="1"/>
  <c r="F1705" i="6" a="1"/>
  <c r="F1705" i="6" s="1"/>
  <c r="N1705" i="6" s="1"/>
  <c r="O1705" i="6" s="1"/>
  <c r="F1685" i="6" a="1"/>
  <c r="F1685" i="6" s="1"/>
  <c r="N1685" i="6" s="1"/>
  <c r="O1685" i="6" s="1"/>
  <c r="F1672" i="6" a="1"/>
  <c r="F1672" i="6" s="1"/>
  <c r="N1672" i="6" s="1"/>
  <c r="O1672" i="6" s="1"/>
  <c r="F1659" i="6" a="1"/>
  <c r="F1659" i="6" s="1"/>
  <c r="N1659" i="6" s="1"/>
  <c r="O1659" i="6" s="1"/>
  <c r="F1621" i="6" a="1"/>
  <c r="F1621" i="6" s="1"/>
  <c r="N1621" i="6" s="1"/>
  <c r="O1621" i="6" s="1"/>
  <c r="F1601" i="6" a="1"/>
  <c r="F1601" i="6" s="1"/>
  <c r="N1601" i="6" s="1"/>
  <c r="O1601" i="6" s="1"/>
  <c r="F1585" i="6" a="1"/>
  <c r="F1585" i="6" s="1"/>
  <c r="N1585" i="6" s="1"/>
  <c r="O1585" i="6" s="1"/>
  <c r="F1943" i="6" a="1"/>
  <c r="F1943" i="6" s="1"/>
  <c r="N1943" i="6" s="1"/>
  <c r="O1943" i="6" s="1"/>
  <c r="F1847" i="6" a="1"/>
  <c r="F1847" i="6" s="1"/>
  <c r="N1847" i="6" s="1"/>
  <c r="O1847" i="6" s="1"/>
  <c r="F1798" i="6" a="1"/>
  <c r="F1798" i="6" s="1"/>
  <c r="N1798" i="6" s="1"/>
  <c r="O1798" i="6" s="1"/>
  <c r="F1791" i="6" a="1"/>
  <c r="F1791" i="6" s="1"/>
  <c r="N1791" i="6" s="1"/>
  <c r="O1791" i="6" s="1"/>
  <c r="F1682" i="6" a="1"/>
  <c r="F1682" i="6" s="1"/>
  <c r="N1682" i="6" s="1"/>
  <c r="O1682" i="6" s="1"/>
  <c r="F1635" i="6" a="1"/>
  <c r="F1635" i="6" s="1"/>
  <c r="N1635" i="6" s="1"/>
  <c r="O1635" i="6" s="1"/>
  <c r="F1627" i="6" a="1"/>
  <c r="F1627" i="6" s="1"/>
  <c r="N1627" i="6" s="1"/>
  <c r="O1627" i="6" s="1"/>
  <c r="F1605" i="6" a="1"/>
  <c r="F1605" i="6" s="1"/>
  <c r="N1605" i="6" s="1"/>
  <c r="O1605" i="6" s="1"/>
  <c r="F1583" i="6" a="1"/>
  <c r="F1583" i="6" s="1"/>
  <c r="N1583" i="6" s="1"/>
  <c r="O1583" i="6" s="1"/>
  <c r="F1575" i="6" a="1"/>
  <c r="F1575" i="6" s="1"/>
  <c r="N1575" i="6" s="1"/>
  <c r="O1575" i="6" s="1"/>
  <c r="F1567" i="6" a="1"/>
  <c r="F1567" i="6" s="1"/>
  <c r="N1567" i="6" s="1"/>
  <c r="O1567" i="6" s="1"/>
  <c r="F1564" i="6" a="1"/>
  <c r="F1564" i="6" s="1"/>
  <c r="N1564" i="6" s="1"/>
  <c r="O1564" i="6" s="1"/>
  <c r="F1541" i="6" a="1"/>
  <c r="F1541" i="6" s="1"/>
  <c r="N1541" i="6" s="1"/>
  <c r="O1541" i="6" s="1"/>
  <c r="F1521" i="6" a="1"/>
  <c r="F1521" i="6" s="1"/>
  <c r="N1521" i="6" s="1"/>
  <c r="O1521" i="6" s="1"/>
  <c r="F1518" i="6" a="1"/>
  <c r="F1518" i="6" s="1"/>
  <c r="N1518" i="6" s="1"/>
  <c r="O1518" i="6" s="1"/>
  <c r="F1503" i="6" a="1"/>
  <c r="F1503" i="6" s="1"/>
  <c r="N1503" i="6" s="1"/>
  <c r="O1503" i="6" s="1"/>
  <c r="F1808" i="6" a="1"/>
  <c r="F1808" i="6" s="1"/>
  <c r="N1808" i="6" s="1"/>
  <c r="O1808" i="6" s="1"/>
  <c r="F1773" i="6" a="1"/>
  <c r="F1773" i="6" s="1"/>
  <c r="N1773" i="6" s="1"/>
  <c r="O1773" i="6" s="1"/>
  <c r="F1760" i="6" a="1"/>
  <c r="F1760" i="6" s="1"/>
  <c r="N1760" i="6" s="1"/>
  <c r="O1760" i="6" s="1"/>
  <c r="F1714" i="6" a="1"/>
  <c r="F1714" i="6" s="1"/>
  <c r="N1714" i="6" s="1"/>
  <c r="O1714" i="6" s="1"/>
  <c r="F1702" i="6" a="1"/>
  <c r="F1702" i="6" s="1"/>
  <c r="N1702" i="6" s="1"/>
  <c r="O1702" i="6" s="1"/>
  <c r="F1680" i="6" a="1"/>
  <c r="F1680" i="6" s="1"/>
  <c r="N1680" i="6" s="1"/>
  <c r="O1680" i="6" s="1"/>
  <c r="F1625" i="6" a="1"/>
  <c r="F1625" i="6" s="1"/>
  <c r="N1625" i="6" s="1"/>
  <c r="O1625" i="6" s="1"/>
  <c r="F1614" i="6" a="1"/>
  <c r="F1614" i="6" s="1"/>
  <c r="N1614" i="6" s="1"/>
  <c r="O1614" i="6" s="1"/>
  <c r="F1612" i="6" a="1"/>
  <c r="F1612" i="6" s="1"/>
  <c r="N1612" i="6" s="1"/>
  <c r="O1612" i="6" s="1"/>
  <c r="F1570" i="6" a="1"/>
  <c r="F1570" i="6" s="1"/>
  <c r="N1570" i="6" s="1"/>
  <c r="O1570" i="6" s="1"/>
  <c r="F1547" i="6" a="1"/>
  <c r="F1547" i="6" s="1"/>
  <c r="N1547" i="6" s="1"/>
  <c r="O1547" i="6" s="1"/>
  <c r="F1544" i="6" a="1"/>
  <c r="F1544" i="6" s="1"/>
  <c r="N1544" i="6" s="1"/>
  <c r="O1544" i="6" s="1"/>
  <c r="F1524" i="6" a="1"/>
  <c r="F1524" i="6" s="1"/>
  <c r="N1524" i="6" s="1"/>
  <c r="O1524" i="6" s="1"/>
  <c r="F1500" i="6" a="1"/>
  <c r="F1500" i="6" s="1"/>
  <c r="N1500" i="6" s="1"/>
  <c r="O1500" i="6" s="1"/>
  <c r="F1484" i="6" a="1"/>
  <c r="F1484" i="6" s="1"/>
  <c r="N1484" i="6" s="1"/>
  <c r="O1484" i="6" s="1"/>
  <c r="O1468" i="6"/>
  <c r="O1452" i="6"/>
  <c r="O1436" i="6"/>
  <c r="O1420" i="6"/>
  <c r="O1404" i="6"/>
  <c r="F1794" i="6" a="1"/>
  <c r="F1794" i="6" s="1"/>
  <c r="N1794" i="6" s="1"/>
  <c r="O1794" i="6" s="1"/>
  <c r="F1767" i="6" a="1"/>
  <c r="F1767" i="6" s="1"/>
  <c r="N1767" i="6" s="1"/>
  <c r="O1767" i="6" s="1"/>
  <c r="F1747" i="6" a="1"/>
  <c r="F1747" i="6" s="1"/>
  <c r="N1747" i="6" s="1"/>
  <c r="O1747" i="6" s="1"/>
  <c r="F1719" i="6" a="1"/>
  <c r="F1719" i="6" s="1"/>
  <c r="N1719" i="6" s="1"/>
  <c r="O1719" i="6" s="1"/>
  <c r="F1699" i="6" a="1"/>
  <c r="F1699" i="6" s="1"/>
  <c r="N1699" i="6" s="1"/>
  <c r="O1699" i="6" s="1"/>
  <c r="F1689" i="6" a="1"/>
  <c r="F1689" i="6" s="1"/>
  <c r="N1689" i="6" s="1"/>
  <c r="O1689" i="6" s="1"/>
  <c r="F1686" i="6" a="1"/>
  <c r="F1686" i="6" s="1"/>
  <c r="N1686" i="6" s="1"/>
  <c r="O1686" i="6" s="1"/>
  <c r="F1673" i="6" a="1"/>
  <c r="F1673" i="6" s="1"/>
  <c r="N1673" i="6" s="1"/>
  <c r="O1673" i="6" s="1"/>
  <c r="F1642" i="6" a="1"/>
  <c r="F1642" i="6" s="1"/>
  <c r="N1642" i="6" s="1"/>
  <c r="O1642" i="6" s="1"/>
  <c r="F1603" i="6" a="1"/>
  <c r="F1603" i="6" s="1"/>
  <c r="N1603" i="6" s="1"/>
  <c r="O1603" i="6" s="1"/>
  <c r="F1596" i="6" a="1"/>
  <c r="F1596" i="6" s="1"/>
  <c r="N1596" i="6" s="1"/>
  <c r="O1596" i="6" s="1"/>
  <c r="F1591" i="6" a="1"/>
  <c r="F1591" i="6" s="1"/>
  <c r="N1591" i="6" s="1"/>
  <c r="O1591" i="6" s="1"/>
  <c r="F1578" i="6" a="1"/>
  <c r="F1578" i="6" s="1"/>
  <c r="N1578" i="6" s="1"/>
  <c r="O1578" i="6" s="1"/>
  <c r="F1553" i="6" a="1"/>
  <c r="F1553" i="6" s="1"/>
  <c r="N1553" i="6" s="1"/>
  <c r="O1553" i="6" s="1"/>
  <c r="F1550" i="6" a="1"/>
  <c r="F1550" i="6" s="1"/>
  <c r="N1550" i="6" s="1"/>
  <c r="O1550" i="6" s="1"/>
  <c r="F1530" i="6" a="1"/>
  <c r="F1530" i="6" s="1"/>
  <c r="N1530" i="6" s="1"/>
  <c r="O1530" i="6" s="1"/>
  <c r="F1527" i="6" a="1"/>
  <c r="F1527" i="6" s="1"/>
  <c r="N1527" i="6" s="1"/>
  <c r="O1527" i="6" s="1"/>
  <c r="F1497" i="6" a="1"/>
  <c r="F1497" i="6" s="1"/>
  <c r="N1497" i="6" s="1"/>
  <c r="O1497" i="6" s="1"/>
  <c r="F1481" i="6" a="1"/>
  <c r="F1481" i="6" s="1"/>
  <c r="N1481" i="6" s="1"/>
  <c r="O1481" i="6" s="1"/>
  <c r="O1465" i="6"/>
  <c r="O1449" i="6"/>
  <c r="O1433" i="6"/>
  <c r="O1417" i="6"/>
  <c r="O1401" i="6"/>
  <c r="O1385" i="6"/>
  <c r="O1369" i="6"/>
  <c r="O1353" i="6"/>
  <c r="O1337" i="6"/>
  <c r="F1854" i="6" a="1"/>
  <c r="F1854" i="6" s="1"/>
  <c r="N1854" i="6" s="1"/>
  <c r="O1854" i="6" s="1"/>
  <c r="F1770" i="6" a="1"/>
  <c r="F1770" i="6" s="1"/>
  <c r="N1770" i="6" s="1"/>
  <c r="O1770" i="6" s="1"/>
  <c r="F1754" i="6" a="1"/>
  <c r="F1754" i="6" s="1"/>
  <c r="N1754" i="6" s="1"/>
  <c r="O1754" i="6" s="1"/>
  <c r="F1744" i="6" a="1"/>
  <c r="F1744" i="6" s="1"/>
  <c r="N1744" i="6" s="1"/>
  <c r="O1744" i="6" s="1"/>
  <c r="F1757" i="6" a="1"/>
  <c r="F1757" i="6" s="1"/>
  <c r="N1757" i="6" s="1"/>
  <c r="O1757" i="6" s="1"/>
  <c r="F1709" i="6" a="1"/>
  <c r="F1709" i="6" s="1"/>
  <c r="N1709" i="6" s="1"/>
  <c r="O1709" i="6" s="1"/>
  <c r="F1704" i="6" a="1"/>
  <c r="F1704" i="6" s="1"/>
  <c r="N1704" i="6" s="1"/>
  <c r="O1704" i="6" s="1"/>
  <c r="F1696" i="6" a="1"/>
  <c r="F1696" i="6" s="1"/>
  <c r="N1696" i="6" s="1"/>
  <c r="O1696" i="6" s="1"/>
  <c r="F1677" i="6" a="1"/>
  <c r="F1677" i="6" s="1"/>
  <c r="N1677" i="6" s="1"/>
  <c r="O1677" i="6" s="1"/>
  <c r="F1655" i="6" a="1"/>
  <c r="F1655" i="6" s="1"/>
  <c r="N1655" i="6" s="1"/>
  <c r="O1655" i="6" s="1"/>
  <c r="F1648" i="6" a="1"/>
  <c r="F1648" i="6" s="1"/>
  <c r="N1648" i="6" s="1"/>
  <c r="O1648" i="6" s="1"/>
  <c r="F1721" i="6" a="1"/>
  <c r="F1721" i="6" s="1"/>
  <c r="N1721" i="6" s="1"/>
  <c r="O1721" i="6" s="1"/>
  <c r="F1693" i="6" a="1"/>
  <c r="F1693" i="6" s="1"/>
  <c r="N1693" i="6" s="1"/>
  <c r="O1693" i="6" s="1"/>
  <c r="F1646" i="6" a="1"/>
  <c r="F1646" i="6" s="1"/>
  <c r="N1646" i="6" s="1"/>
  <c r="O1646" i="6" s="1"/>
  <c r="F1828" i="6" a="1"/>
  <c r="F1828" i="6" s="1"/>
  <c r="N1828" i="6" s="1"/>
  <c r="O1828" i="6" s="1"/>
  <c r="F1796" i="6" a="1"/>
  <c r="F1796" i="6" s="1"/>
  <c r="N1796" i="6" s="1"/>
  <c r="O1796" i="6" s="1"/>
  <c r="F1746" i="6" a="1"/>
  <c r="F1746" i="6" s="1"/>
  <c r="N1746" i="6" s="1"/>
  <c r="O1746" i="6" s="1"/>
  <c r="F1897" i="6" a="1"/>
  <c r="F1897" i="6" s="1"/>
  <c r="N1897" i="6" s="1"/>
  <c r="O1897" i="6" s="1"/>
  <c r="F1793" i="6" a="1"/>
  <c r="F1793" i="6" s="1"/>
  <c r="N1793" i="6" s="1"/>
  <c r="O1793" i="6" s="1"/>
  <c r="F1718" i="6" a="1"/>
  <c r="F1718" i="6" s="1"/>
  <c r="N1718" i="6" s="1"/>
  <c r="O1718" i="6" s="1"/>
  <c r="F1713" i="6" a="1"/>
  <c r="F1713" i="6" s="1"/>
  <c r="N1713" i="6" s="1"/>
  <c r="O1713" i="6" s="1"/>
  <c r="F1698" i="6" a="1"/>
  <c r="F1698" i="6" s="1"/>
  <c r="N1698" i="6" s="1"/>
  <c r="O1698" i="6" s="1"/>
  <c r="F1661" i="6" a="1"/>
  <c r="F1661" i="6" s="1"/>
  <c r="N1661" i="6" s="1"/>
  <c r="O1661" i="6" s="1"/>
  <c r="F1650" i="6" a="1"/>
  <c r="F1650" i="6" s="1"/>
  <c r="N1650" i="6" s="1"/>
  <c r="O1650" i="6" s="1"/>
  <c r="F1889" i="6" a="1"/>
  <c r="F1889" i="6" s="1"/>
  <c r="N1889" i="6" s="1"/>
  <c r="O1889" i="6" s="1"/>
  <c r="F1831" i="6" a="1"/>
  <c r="F1831" i="6" s="1"/>
  <c r="N1831" i="6" s="1"/>
  <c r="O1831" i="6" s="1"/>
  <c r="F1814" i="6" a="1"/>
  <c r="F1814" i="6" s="1"/>
  <c r="N1814" i="6" s="1"/>
  <c r="O1814" i="6" s="1"/>
  <c r="F1789" i="6" a="1"/>
  <c r="F1789" i="6" s="1"/>
  <c r="N1789" i="6" s="1"/>
  <c r="O1789" i="6" s="1"/>
  <c r="F1786" i="6" a="1"/>
  <c r="F1786" i="6" s="1"/>
  <c r="N1786" i="6" s="1"/>
  <c r="O1786" i="6" s="1"/>
  <c r="F1762" i="6" a="1"/>
  <c r="F1762" i="6" s="1"/>
  <c r="N1762" i="6" s="1"/>
  <c r="O1762" i="6" s="1"/>
  <c r="F1706" i="6" a="1"/>
  <c r="F1706" i="6" s="1"/>
  <c r="N1706" i="6" s="1"/>
  <c r="O1706" i="6" s="1"/>
  <c r="F1681" i="6" a="1"/>
  <c r="F1681" i="6" s="1"/>
  <c r="N1681" i="6" s="1"/>
  <c r="O1681" i="6" s="1"/>
  <c r="F1604" i="6" a="1"/>
  <c r="F1604" i="6" s="1"/>
  <c r="N1604" i="6" s="1"/>
  <c r="O1604" i="6" s="1"/>
  <c r="F1587" i="6" a="1"/>
  <c r="F1587" i="6" s="1"/>
  <c r="N1587" i="6" s="1"/>
  <c r="O1587" i="6" s="1"/>
  <c r="F1557" i="6" a="1"/>
  <c r="F1557" i="6" s="1"/>
  <c r="N1557" i="6" s="1"/>
  <c r="O1557" i="6" s="1"/>
  <c r="F1537" i="6" a="1"/>
  <c r="F1537" i="6" s="1"/>
  <c r="N1537" i="6" s="1"/>
  <c r="O1537" i="6" s="1"/>
  <c r="F1534" i="6" a="1"/>
  <c r="F1534" i="6" s="1"/>
  <c r="N1534" i="6" s="1"/>
  <c r="O1534" i="6" s="1"/>
  <c r="F1514" i="6" a="1"/>
  <c r="F1514" i="6" s="1"/>
  <c r="N1514" i="6" s="1"/>
  <c r="O1514" i="6" s="1"/>
  <c r="F1511" i="6" a="1"/>
  <c r="F1511" i="6" s="1"/>
  <c r="N1511" i="6" s="1"/>
  <c r="O1511" i="6" s="1"/>
  <c r="F1508" i="6" a="1"/>
  <c r="F1508" i="6" s="1"/>
  <c r="N1508" i="6" s="1"/>
  <c r="O1508" i="6" s="1"/>
  <c r="F1492" i="6" a="1"/>
  <c r="F1492" i="6" s="1"/>
  <c r="N1492" i="6" s="1"/>
  <c r="O1492" i="6" s="1"/>
  <c r="F1476" i="6" a="1"/>
  <c r="F1476" i="6" s="1"/>
  <c r="N1476" i="6" s="1"/>
  <c r="O1476" i="6" s="1"/>
  <c r="O1460" i="6"/>
  <c r="O1444" i="6"/>
  <c r="F1715" i="6" a="1"/>
  <c r="F1715" i="6" s="1"/>
  <c r="N1715" i="6" s="1"/>
  <c r="O1715" i="6" s="1"/>
  <c r="F1674" i="6" a="1"/>
  <c r="F1674" i="6" s="1"/>
  <c r="N1674" i="6" s="1"/>
  <c r="O1674" i="6" s="1"/>
  <c r="F1622" i="6" a="1"/>
  <c r="F1622" i="6" s="1"/>
  <c r="N1622" i="6" s="1"/>
  <c r="O1622" i="6" s="1"/>
  <c r="F1611" i="6" a="1"/>
  <c r="F1611" i="6" s="1"/>
  <c r="N1611" i="6" s="1"/>
  <c r="O1611" i="6" s="1"/>
  <c r="F1602" i="6" a="1"/>
  <c r="F1602" i="6" s="1"/>
  <c r="N1602" i="6" s="1"/>
  <c r="O1602" i="6" s="1"/>
  <c r="F1582" i="6" a="1"/>
  <c r="F1582" i="6" s="1"/>
  <c r="N1582" i="6" s="1"/>
  <c r="O1582" i="6" s="1"/>
  <c r="F1574" i="6" a="1"/>
  <c r="F1574" i="6" s="1"/>
  <c r="N1574" i="6" s="1"/>
  <c r="O1574" i="6" s="1"/>
  <c r="F1563" i="6" a="1"/>
  <c r="F1563" i="6" s="1"/>
  <c r="N1563" i="6" s="1"/>
  <c r="O1563" i="6" s="1"/>
  <c r="F1560" i="6" a="1"/>
  <c r="F1560" i="6" s="1"/>
  <c r="N1560" i="6" s="1"/>
  <c r="O1560" i="6" s="1"/>
  <c r="F1540" i="6" a="1"/>
  <c r="F1540" i="6" s="1"/>
  <c r="N1540" i="6" s="1"/>
  <c r="O1540" i="6" s="1"/>
  <c r="F1505" i="6" a="1"/>
  <c r="F1505" i="6" s="1"/>
  <c r="N1505" i="6" s="1"/>
  <c r="O1505" i="6" s="1"/>
  <c r="F1489" i="6" a="1"/>
  <c r="F1489" i="6" s="1"/>
  <c r="N1489" i="6" s="1"/>
  <c r="O1489" i="6" s="1"/>
  <c r="O1473" i="6"/>
  <c r="O1457" i="6"/>
  <c r="O1441" i="6"/>
  <c r="O1425" i="6"/>
  <c r="O1409" i="6"/>
  <c r="O1393" i="6"/>
  <c r="O1377" i="6"/>
  <c r="O1361" i="6"/>
  <c r="O1345" i="6"/>
  <c r="O1329" i="6"/>
  <c r="O1313" i="6"/>
  <c r="O1297" i="6"/>
  <c r="F1720" i="6" a="1"/>
  <c r="F1720" i="6" s="1"/>
  <c r="N1720" i="6" s="1"/>
  <c r="O1720" i="6" s="1"/>
  <c r="F1692" i="6" a="1"/>
  <c r="F1692" i="6" s="1"/>
  <c r="N1692" i="6" s="1"/>
  <c r="O1692" i="6" s="1"/>
  <c r="F1654" i="6" a="1"/>
  <c r="F1654" i="6" s="1"/>
  <c r="N1654" i="6" s="1"/>
  <c r="O1654" i="6" s="1"/>
  <c r="F1624" i="6" a="1"/>
  <c r="F1624" i="6" s="1"/>
  <c r="N1624" i="6" s="1"/>
  <c r="O1624" i="6" s="1"/>
  <c r="F1620" i="6" a="1"/>
  <c r="F1620" i="6" s="1"/>
  <c r="N1620" i="6" s="1"/>
  <c r="O1620" i="6" s="1"/>
  <c r="F1569" i="6" a="1"/>
  <c r="F1569" i="6" s="1"/>
  <c r="N1569" i="6" s="1"/>
  <c r="O1569" i="6" s="1"/>
  <c r="F1566" i="6" a="1"/>
  <c r="F1566" i="6" s="1"/>
  <c r="N1566" i="6" s="1"/>
  <c r="O1566" i="6" s="1"/>
  <c r="F1546" i="6" a="1"/>
  <c r="F1546" i="6" s="1"/>
  <c r="N1546" i="6" s="1"/>
  <c r="O1546" i="6" s="1"/>
  <c r="F1543" i="6" a="1"/>
  <c r="F1543" i="6" s="1"/>
  <c r="N1543" i="6" s="1"/>
  <c r="O1543" i="6" s="1"/>
  <c r="F1520" i="6" a="1"/>
  <c r="F1520" i="6" s="1"/>
  <c r="N1520" i="6" s="1"/>
  <c r="O1520" i="6" s="1"/>
  <c r="F1502" i="6" a="1"/>
  <c r="F1502" i="6" s="1"/>
  <c r="N1502" i="6" s="1"/>
  <c r="O1502" i="6" s="1"/>
  <c r="F1486" i="6" a="1"/>
  <c r="F1486" i="6" s="1"/>
  <c r="N1486" i="6" s="1"/>
  <c r="O1486" i="6" s="1"/>
  <c r="O1470" i="6"/>
  <c r="O1454" i="6"/>
  <c r="O1438" i="6"/>
  <c r="O1422" i="6"/>
  <c r="O1406" i="6"/>
  <c r="O1390" i="6"/>
  <c r="O1374" i="6"/>
  <c r="F1809" i="6" a="1"/>
  <c r="F1809" i="6" s="1"/>
  <c r="N1809" i="6" s="1"/>
  <c r="O1809" i="6" s="1"/>
  <c r="F1771" i="6" a="1"/>
  <c r="F1771" i="6" s="1"/>
  <c r="N1771" i="6" s="1"/>
  <c r="O1771" i="6" s="1"/>
  <c r="F1690" i="6" a="1"/>
  <c r="F1690" i="6" s="1"/>
  <c r="N1690" i="6" s="1"/>
  <c r="O1690" i="6" s="1"/>
  <c r="F1678" i="6" a="1"/>
  <c r="F1678" i="6" s="1"/>
  <c r="N1678" i="6" s="1"/>
  <c r="O1678" i="6" s="1"/>
  <c r="F1676" i="6" a="1"/>
  <c r="F1676" i="6" s="1"/>
  <c r="N1676" i="6" s="1"/>
  <c r="O1676" i="6" s="1"/>
  <c r="F1656" i="6" a="1"/>
  <c r="F1656" i="6" s="1"/>
  <c r="N1656" i="6" s="1"/>
  <c r="O1656" i="6" s="1"/>
  <c r="F1638" i="6" a="1"/>
  <c r="F1638" i="6" s="1"/>
  <c r="N1638" i="6" s="1"/>
  <c r="O1638" i="6" s="1"/>
  <c r="F1618" i="6" a="1"/>
  <c r="F1618" i="6" s="1"/>
  <c r="N1618" i="6" s="1"/>
  <c r="O1618" i="6" s="1"/>
  <c r="F1609" i="6" a="1"/>
  <c r="F1609" i="6" s="1"/>
  <c r="N1609" i="6" s="1"/>
  <c r="O1609" i="6" s="1"/>
  <c r="F1600" i="6" a="1"/>
  <c r="F1600" i="6" s="1"/>
  <c r="N1600" i="6" s="1"/>
  <c r="O1600" i="6" s="1"/>
  <c r="F1590" i="6" a="1"/>
  <c r="F1590" i="6" s="1"/>
  <c r="N1590" i="6" s="1"/>
  <c r="O1590" i="6" s="1"/>
  <c r="F1577" i="6" a="1"/>
  <c r="F1577" i="6" s="1"/>
  <c r="N1577" i="6" s="1"/>
  <c r="O1577" i="6" s="1"/>
  <c r="F1523" i="6" a="1"/>
  <c r="F1523" i="6" s="1"/>
  <c r="N1523" i="6" s="1"/>
  <c r="O1523" i="6" s="1"/>
  <c r="F1499" i="6" a="1"/>
  <c r="F1499" i="6" s="1"/>
  <c r="N1499" i="6" s="1"/>
  <c r="O1499" i="6" s="1"/>
  <c r="F1483" i="6" a="1"/>
  <c r="F1483" i="6" s="1"/>
  <c r="N1483" i="6" s="1"/>
  <c r="O1483" i="6" s="1"/>
  <c r="O1467" i="6"/>
  <c r="O1451" i="6"/>
  <c r="O1435" i="6"/>
  <c r="O1419" i="6"/>
  <c r="O1403" i="6"/>
  <c r="O1387" i="6"/>
  <c r="O1371" i="6"/>
  <c r="F1776" i="6" a="1"/>
  <c r="F1776" i="6" s="1"/>
  <c r="N1776" i="6" s="1"/>
  <c r="O1776" i="6" s="1"/>
  <c r="F1712" i="6" a="1"/>
  <c r="F1712" i="6" s="1"/>
  <c r="N1712" i="6" s="1"/>
  <c r="O1712" i="6" s="1"/>
  <c r="F1667" i="6" a="1"/>
  <c r="F1667" i="6" s="1"/>
  <c r="N1667" i="6" s="1"/>
  <c r="O1667" i="6" s="1"/>
  <c r="F1616" i="6" a="1"/>
  <c r="F1616" i="6" s="1"/>
  <c r="N1616" i="6" s="1"/>
  <c r="O1616" i="6" s="1"/>
  <c r="F1598" i="6" a="1"/>
  <c r="F1598" i="6" s="1"/>
  <c r="N1598" i="6" s="1"/>
  <c r="O1598" i="6" s="1"/>
  <c r="F1593" i="6" a="1"/>
  <c r="F1593" i="6" s="1"/>
  <c r="N1593" i="6" s="1"/>
  <c r="O1593" i="6" s="1"/>
  <c r="F1555" i="6" a="1"/>
  <c r="F1555" i="6" s="1"/>
  <c r="N1555" i="6" s="1"/>
  <c r="O1555" i="6" s="1"/>
  <c r="F1535" i="6" a="1"/>
  <c r="F1535" i="6" s="1"/>
  <c r="N1535" i="6" s="1"/>
  <c r="O1535" i="6" s="1"/>
  <c r="F1532" i="6" a="1"/>
  <c r="F1532" i="6" s="1"/>
  <c r="N1532" i="6" s="1"/>
  <c r="O1532" i="6" s="1"/>
  <c r="F1509" i="6" a="1"/>
  <c r="F1509" i="6" s="1"/>
  <c r="N1509" i="6" s="1"/>
  <c r="O1509" i="6" s="1"/>
  <c r="F1493" i="6" a="1"/>
  <c r="F1493" i="6" s="1"/>
  <c r="N1493" i="6" s="1"/>
  <c r="O1493" i="6" s="1"/>
  <c r="F1477" i="6" a="1"/>
  <c r="F1477" i="6" s="1"/>
  <c r="N1477" i="6" s="1"/>
  <c r="O1477" i="6" s="1"/>
  <c r="O1461" i="6"/>
  <c r="O1445" i="6"/>
  <c r="F1782" i="6" a="1"/>
  <c r="F1782" i="6" s="1"/>
  <c r="N1782" i="6" s="1"/>
  <c r="O1782" i="6" s="1"/>
  <c r="F1725" i="6" a="1"/>
  <c r="F1725" i="6" s="1"/>
  <c r="N1725" i="6" s="1"/>
  <c r="O1725" i="6" s="1"/>
  <c r="F1722" i="6" a="1"/>
  <c r="F1722" i="6" s="1"/>
  <c r="N1722" i="6" s="1"/>
  <c r="O1722" i="6" s="1"/>
  <c r="F1639" i="6" a="1"/>
  <c r="F1639" i="6" s="1"/>
  <c r="N1639" i="6" s="1"/>
  <c r="O1639" i="6" s="1"/>
  <c r="F1584" i="6" a="1"/>
  <c r="F1584" i="6" s="1"/>
  <c r="N1584" i="6" s="1"/>
  <c r="O1584" i="6" s="1"/>
  <c r="F1525" i="6" a="1"/>
  <c r="F1525" i="6" s="1"/>
  <c r="N1525" i="6" s="1"/>
  <c r="O1525" i="6" s="1"/>
  <c r="O1455" i="6"/>
  <c r="O1446" i="6"/>
  <c r="O1418" i="6"/>
  <c r="O1416" i="6"/>
  <c r="O1397" i="6"/>
  <c r="O1395" i="6"/>
  <c r="O1388" i="6"/>
  <c r="O1372" i="6"/>
  <c r="O1365" i="6"/>
  <c r="O1344" i="6"/>
  <c r="O1325" i="6"/>
  <c r="O1322" i="6"/>
  <c r="O1302" i="6"/>
  <c r="O1269" i="6"/>
  <c r="O1253" i="6"/>
  <c r="F1660" i="6" a="1"/>
  <c r="F1660" i="6" s="1"/>
  <c r="N1660" i="6" s="1"/>
  <c r="O1660" i="6" s="1"/>
  <c r="F1617" i="6" a="1"/>
  <c r="F1617" i="6" s="1"/>
  <c r="N1617" i="6" s="1"/>
  <c r="O1617" i="6" s="1"/>
  <c r="F1599" i="6" a="1"/>
  <c r="F1599" i="6" s="1"/>
  <c r="N1599" i="6" s="1"/>
  <c r="O1599" i="6" s="1"/>
  <c r="F1586" i="6" a="1"/>
  <c r="F1586" i="6" s="1"/>
  <c r="N1586" i="6" s="1"/>
  <c r="O1586" i="6" s="1"/>
  <c r="F1579" i="6" a="1"/>
  <c r="F1579" i="6" s="1"/>
  <c r="N1579" i="6" s="1"/>
  <c r="O1579" i="6" s="1"/>
  <c r="F1510" i="6" a="1"/>
  <c r="F1510" i="6" s="1"/>
  <c r="N1510" i="6" s="1"/>
  <c r="O1510" i="6" s="1"/>
  <c r="O1466" i="6"/>
  <c r="O1459" i="6"/>
  <c r="O1448" i="6"/>
  <c r="O1414" i="6"/>
  <c r="O1399" i="6"/>
  <c r="O1352" i="6"/>
  <c r="O1339" i="6"/>
  <c r="O1331" i="6"/>
  <c r="O1328" i="6"/>
  <c r="O1305" i="6"/>
  <c r="O1285" i="6"/>
  <c r="O1282" i="6"/>
  <c r="O1266" i="6"/>
  <c r="O1250" i="6"/>
  <c r="F1632" i="6" a="1"/>
  <c r="F1632" i="6" s="1"/>
  <c r="N1632" i="6" s="1"/>
  <c r="O1632" i="6" s="1"/>
  <c r="F1494" i="6" a="1"/>
  <c r="F1494" i="6" s="1"/>
  <c r="N1494" i="6" s="1"/>
  <c r="O1494" i="6" s="1"/>
  <c r="F1479" i="6" a="1"/>
  <c r="F1479" i="6" s="1"/>
  <c r="N1479" i="6" s="1"/>
  <c r="O1479" i="6" s="1"/>
  <c r="O1437" i="6"/>
  <c r="O1429" i="6"/>
  <c r="O1427" i="6"/>
  <c r="O1408" i="6"/>
  <c r="O1386" i="6"/>
  <c r="O1370" i="6"/>
  <c r="O1360" i="6"/>
  <c r="O1347" i="6"/>
  <c r="O1334" i="6"/>
  <c r="O1311" i="6"/>
  <c r="O1308" i="6"/>
  <c r="O1288" i="6"/>
  <c r="F1671" i="6" a="1"/>
  <c r="F1671" i="6" s="1"/>
  <c r="N1671" i="6" s="1"/>
  <c r="O1671" i="6" s="1"/>
  <c r="F1623" i="6" a="1"/>
  <c r="F1623" i="6" s="1"/>
  <c r="N1623" i="6" s="1"/>
  <c r="O1623" i="6" s="1"/>
  <c r="F1697" i="6" a="1"/>
  <c r="F1697" i="6" s="1"/>
  <c r="N1697" i="6" s="1"/>
  <c r="O1697" i="6" s="1"/>
  <c r="F1571" i="6" a="1"/>
  <c r="F1571" i="6" s="1"/>
  <c r="N1571" i="6" s="1"/>
  <c r="O1571" i="6" s="1"/>
  <c r="F1554" i="6" a="1"/>
  <c r="F1554" i="6" s="1"/>
  <c r="N1554" i="6" s="1"/>
  <c r="O1554" i="6" s="1"/>
  <c r="F1529" i="6" a="1"/>
  <c r="F1529" i="6" s="1"/>
  <c r="N1529" i="6" s="1"/>
  <c r="O1529" i="6" s="1"/>
  <c r="F1515" i="6" a="1"/>
  <c r="F1515" i="6" s="1"/>
  <c r="N1515" i="6" s="1"/>
  <c r="O1515" i="6" s="1"/>
  <c r="F1588" i="6" a="1"/>
  <c r="F1588" i="6" s="1"/>
  <c r="N1588" i="6" s="1"/>
  <c r="O1588" i="6" s="1"/>
  <c r="F1576" i="6" a="1"/>
  <c r="F1576" i="6" s="1"/>
  <c r="N1576" i="6" s="1"/>
  <c r="O1576" i="6" s="1"/>
  <c r="F1573" i="6" a="1"/>
  <c r="F1573" i="6" s="1"/>
  <c r="N1573" i="6" s="1"/>
  <c r="O1573" i="6" s="1"/>
  <c r="F1556" i="6" a="1"/>
  <c r="F1556" i="6" s="1"/>
  <c r="N1556" i="6" s="1"/>
  <c r="O1556" i="6" s="1"/>
  <c r="F1628" i="6" a="1"/>
  <c r="F1628" i="6" s="1"/>
  <c r="N1628" i="6" s="1"/>
  <c r="O1628" i="6" s="1"/>
  <c r="F1610" i="6" a="1"/>
  <c r="F1610" i="6" s="1"/>
  <c r="N1610" i="6" s="1"/>
  <c r="O1610" i="6" s="1"/>
  <c r="F1561" i="6" a="1"/>
  <c r="F1561" i="6" s="1"/>
  <c r="N1561" i="6" s="1"/>
  <c r="O1561" i="6" s="1"/>
  <c r="F1551" i="6" a="1"/>
  <c r="F1551" i="6" s="1"/>
  <c r="N1551" i="6" s="1"/>
  <c r="O1551" i="6" s="1"/>
  <c r="F1539" i="6" a="1"/>
  <c r="F1539" i="6" s="1"/>
  <c r="N1539" i="6" s="1"/>
  <c r="O1539" i="6" s="1"/>
  <c r="F1651" i="6" a="1"/>
  <c r="F1651" i="6" s="1"/>
  <c r="N1651" i="6" s="1"/>
  <c r="O1651" i="6" s="1"/>
  <c r="F1634" i="6" a="1"/>
  <c r="F1634" i="6" s="1"/>
  <c r="N1634" i="6" s="1"/>
  <c r="O1634" i="6" s="1"/>
  <c r="F1613" i="6" a="1"/>
  <c r="F1613" i="6" s="1"/>
  <c r="N1613" i="6" s="1"/>
  <c r="O1613" i="6" s="1"/>
  <c r="F1568" i="6" a="1"/>
  <c r="F1568" i="6" s="1"/>
  <c r="N1568" i="6" s="1"/>
  <c r="O1568" i="6" s="1"/>
  <c r="F1536" i="6" a="1"/>
  <c r="F1536" i="6" s="1"/>
  <c r="N1536" i="6" s="1"/>
  <c r="O1536" i="6" s="1"/>
  <c r="F1526" i="6" a="1"/>
  <c r="F1526" i="6" s="1"/>
  <c r="N1526" i="6" s="1"/>
  <c r="O1526" i="6" s="1"/>
  <c r="F1504" i="6" a="1"/>
  <c r="F1504" i="6" s="1"/>
  <c r="N1504" i="6" s="1"/>
  <c r="O1504" i="6" s="1"/>
  <c r="F1478" i="6" a="1"/>
  <c r="F1478" i="6" s="1"/>
  <c r="N1478" i="6" s="1"/>
  <c r="O1478" i="6" s="1"/>
  <c r="O1398" i="6"/>
  <c r="O1380" i="6"/>
  <c r="O1340" i="6"/>
  <c r="F1531" i="6" a="1"/>
  <c r="F1531" i="6" s="1"/>
  <c r="N1531" i="6" s="1"/>
  <c r="O1531" i="6" s="1"/>
  <c r="F1480" i="6" a="1"/>
  <c r="F1480" i="6" s="1"/>
  <c r="N1480" i="6" s="1"/>
  <c r="O1480" i="6" s="1"/>
  <c r="O1458" i="6"/>
  <c r="O1413" i="6"/>
  <c r="O1411" i="6"/>
  <c r="O1378" i="6"/>
  <c r="O1348" i="6"/>
  <c r="O1335" i="6"/>
  <c r="O1318" i="6"/>
  <c r="O1295" i="6"/>
  <c r="O1292" i="6"/>
  <c r="O1274" i="6"/>
  <c r="O1258" i="6"/>
  <c r="O1242" i="6"/>
  <c r="O1226" i="6"/>
  <c r="O1469" i="6"/>
  <c r="O1447" i="6"/>
  <c r="O1432" i="6"/>
  <c r="O1430" i="6"/>
  <c r="O1415" i="6"/>
  <c r="O1396" i="6"/>
  <c r="O1394" i="6"/>
  <c r="O1392" i="6"/>
  <c r="O1376" i="6"/>
  <c r="O1356" i="6"/>
  <c r="O1343" i="6"/>
  <c r="O1321" i="6"/>
  <c r="F1691" i="6" a="1"/>
  <c r="F1691" i="6" s="1"/>
  <c r="N1691" i="6" s="1"/>
  <c r="O1691" i="6" s="1"/>
  <c r="F1580" i="6" a="1"/>
  <c r="F1580" i="6" s="1"/>
  <c r="N1580" i="6" s="1"/>
  <c r="O1580" i="6" s="1"/>
  <c r="F1558" i="6" a="1"/>
  <c r="F1558" i="6" s="1"/>
  <c r="N1558" i="6" s="1"/>
  <c r="O1558" i="6" s="1"/>
  <c r="F1506" i="6" a="1"/>
  <c r="F1506" i="6" s="1"/>
  <c r="N1506" i="6" s="1"/>
  <c r="O1506" i="6" s="1"/>
  <c r="F1482" i="6" a="1"/>
  <c r="F1482" i="6" s="1"/>
  <c r="N1482" i="6" s="1"/>
  <c r="O1482" i="6" s="1"/>
  <c r="O1440" i="6"/>
  <c r="O1434" i="6"/>
  <c r="O1424" i="6"/>
  <c r="O1364" i="6"/>
  <c r="O1351" i="6"/>
  <c r="O1327" i="6"/>
  <c r="O1324" i="6"/>
  <c r="O1304" i="6"/>
  <c r="O1268" i="6"/>
  <c r="O1252" i="6"/>
  <c r="O1236" i="6"/>
  <c r="O1220" i="6"/>
  <c r="O1204" i="6"/>
  <c r="F1669" i="6" a="1"/>
  <c r="F1669" i="6" s="1"/>
  <c r="N1669" i="6" s="1"/>
  <c r="O1669" i="6" s="1"/>
  <c r="F1643" i="6" a="1"/>
  <c r="F1643" i="6" s="1"/>
  <c r="N1643" i="6" s="1"/>
  <c r="O1643" i="6" s="1"/>
  <c r="F1572" i="6" a="1"/>
  <c r="F1572" i="6" s="1"/>
  <c r="N1572" i="6" s="1"/>
  <c r="O1572" i="6" s="1"/>
  <c r="F1548" i="6" a="1"/>
  <c r="F1548" i="6" s="1"/>
  <c r="N1548" i="6" s="1"/>
  <c r="O1548" i="6" s="1"/>
  <c r="F1516" i="6" a="1"/>
  <c r="F1516" i="6" s="1"/>
  <c r="N1516" i="6" s="1"/>
  <c r="O1516" i="6" s="1"/>
  <c r="F1637" i="6" a="1"/>
  <c r="F1637" i="6" s="1"/>
  <c r="N1637" i="6" s="1"/>
  <c r="O1637" i="6" s="1"/>
  <c r="F1592" i="6" a="1"/>
  <c r="F1592" i="6" s="1"/>
  <c r="N1592" i="6" s="1"/>
  <c r="O1592" i="6" s="1"/>
  <c r="F1589" i="6" a="1"/>
  <c r="F1589" i="6" s="1"/>
  <c r="N1589" i="6" s="1"/>
  <c r="O1589" i="6" s="1"/>
  <c r="F1528" i="6" a="1"/>
  <c r="F1528" i="6" s="1"/>
  <c r="N1528" i="6" s="1"/>
  <c r="O1528" i="6" s="1"/>
  <c r="F1488" i="6" a="1"/>
  <c r="F1488" i="6" s="1"/>
  <c r="N1488" i="6" s="1"/>
  <c r="O1488" i="6" s="1"/>
  <c r="F1475" i="6" a="1"/>
  <c r="F1475" i="6" s="1"/>
  <c r="N1475" i="6" s="1"/>
  <c r="O1475" i="6" s="1"/>
  <c r="O1464" i="6"/>
  <c r="O1442" i="6"/>
  <c r="F1538" i="6" a="1"/>
  <c r="F1538" i="6" s="1"/>
  <c r="N1538" i="6" s="1"/>
  <c r="O1538" i="6" s="1"/>
  <c r="F1513" i="6" a="1"/>
  <c r="F1513" i="6" s="1"/>
  <c r="N1513" i="6" s="1"/>
  <c r="O1513" i="6" s="1"/>
  <c r="O1453" i="6"/>
  <c r="O1367" i="6"/>
  <c r="O1354" i="6"/>
  <c r="O1349" i="6"/>
  <c r="F1664" i="6" a="1"/>
  <c r="F1664" i="6" s="1"/>
  <c r="N1664" i="6" s="1"/>
  <c r="O1664" i="6" s="1"/>
  <c r="F1519" i="6" a="1"/>
  <c r="F1519" i="6" s="1"/>
  <c r="N1519" i="6" s="1"/>
  <c r="O1519" i="6" s="1"/>
  <c r="O1471" i="6"/>
  <c r="O1316" i="6"/>
  <c r="O1293" i="6"/>
  <c r="O1272" i="6"/>
  <c r="O1229" i="6"/>
  <c r="O1218" i="6"/>
  <c r="O1215" i="6"/>
  <c r="O1191" i="6"/>
  <c r="O1175" i="6"/>
  <c r="O1159" i="6"/>
  <c r="O1143" i="6"/>
  <c r="O1127" i="6"/>
  <c r="O1111" i="6"/>
  <c r="O1095" i="6"/>
  <c r="O1079" i="6"/>
  <c r="O1063" i="6"/>
  <c r="O1047" i="6"/>
  <c r="O1031" i="6"/>
  <c r="O1015" i="6"/>
  <c r="O999" i="6"/>
  <c r="O983" i="6"/>
  <c r="O967" i="6"/>
  <c r="O951" i="6"/>
  <c r="F1507" i="6" a="1"/>
  <c r="F1507" i="6" s="1"/>
  <c r="N1507" i="6" s="1"/>
  <c r="O1507" i="6" s="1"/>
  <c r="F1474" i="6" a="1"/>
  <c r="F1474" i="6" s="1"/>
  <c r="N1474" i="6" s="1"/>
  <c r="O1474" i="6" s="1"/>
  <c r="O1431" i="6"/>
  <c r="O1428" i="6"/>
  <c r="O1410" i="6"/>
  <c r="O1402" i="6"/>
  <c r="O1320" i="6"/>
  <c r="O1312" i="6"/>
  <c r="O1289" i="6"/>
  <c r="O1283" i="6"/>
  <c r="O1281" i="6"/>
  <c r="O1270" i="6"/>
  <c r="O1237" i="6"/>
  <c r="O1224" i="6"/>
  <c r="O1221" i="6"/>
  <c r="O1188" i="6"/>
  <c r="O1172" i="6"/>
  <c r="O1156" i="6"/>
  <c r="O1140" i="6"/>
  <c r="O1124" i="6"/>
  <c r="O1108" i="6"/>
  <c r="O1092" i="6"/>
  <c r="O1076" i="6"/>
  <c r="O1060" i="6"/>
  <c r="O1044" i="6"/>
  <c r="O1028" i="6"/>
  <c r="O1012" i="6"/>
  <c r="O996" i="6"/>
  <c r="O980" i="6"/>
  <c r="O964" i="6"/>
  <c r="O948" i="6"/>
  <c r="F1552" i="6" a="1"/>
  <c r="F1552" i="6" s="1"/>
  <c r="N1552" i="6" s="1"/>
  <c r="O1552" i="6" s="1"/>
  <c r="O1381" i="6"/>
  <c r="O1357" i="6"/>
  <c r="O1261" i="6"/>
  <c r="O1245" i="6"/>
  <c r="O1240" i="6"/>
  <c r="O1232" i="6"/>
  <c r="O1201" i="6"/>
  <c r="O1185" i="6"/>
  <c r="O1169" i="6"/>
  <c r="F1522" i="6" a="1"/>
  <c r="F1522" i="6" s="1"/>
  <c r="N1522" i="6" s="1"/>
  <c r="O1522" i="6" s="1"/>
  <c r="O1389" i="6"/>
  <c r="O1330" i="6"/>
  <c r="O1326" i="6"/>
  <c r="O1307" i="6"/>
  <c r="O1303" i="6"/>
  <c r="O1301" i="6"/>
  <c r="O1299" i="6"/>
  <c r="O1279" i="6"/>
  <c r="F1490" i="6" a="1"/>
  <c r="F1490" i="6" s="1"/>
  <c r="N1490" i="6" s="1"/>
  <c r="O1490" i="6" s="1"/>
  <c r="O1375" i="6"/>
  <c r="O1362" i="6"/>
  <c r="O1359" i="6"/>
  <c r="O1255" i="6"/>
  <c r="O1248" i="6"/>
  <c r="O1210" i="6"/>
  <c r="O1195" i="6"/>
  <c r="F1487" i="6" a="1"/>
  <c r="F1487" i="6" s="1"/>
  <c r="N1487" i="6" s="1"/>
  <c r="O1487" i="6" s="1"/>
  <c r="O1341" i="6"/>
  <c r="O1332" i="6"/>
  <c r="O1463" i="6"/>
  <c r="O1383" i="6"/>
  <c r="O1346" i="6"/>
  <c r="F1496" i="6" a="1"/>
  <c r="F1496" i="6" s="1"/>
  <c r="N1496" i="6" s="1"/>
  <c r="O1496" i="6" s="1"/>
  <c r="O1456" i="6"/>
  <c r="O1421" i="6"/>
  <c r="O1275" i="6"/>
  <c r="O1273" i="6"/>
  <c r="O1264" i="6"/>
  <c r="O1450" i="6"/>
  <c r="O1443" i="6"/>
  <c r="O1412" i="6"/>
  <c r="O1391" i="6"/>
  <c r="O1290" i="6"/>
  <c r="O1286" i="6"/>
  <c r="O1284" i="6"/>
  <c r="F1608" i="6" a="1"/>
  <c r="F1608" i="6" s="1"/>
  <c r="N1608" i="6" s="1"/>
  <c r="O1608" i="6" s="1"/>
  <c r="O1472" i="6"/>
  <c r="O1315" i="6"/>
  <c r="O1260" i="6"/>
  <c r="O1251" i="6"/>
  <c r="O1249" i="6"/>
  <c r="O1241" i="6"/>
  <c r="O1228" i="6"/>
  <c r="O1211" i="6"/>
  <c r="O1196" i="6"/>
  <c r="O1180" i="6"/>
  <c r="O1164" i="6"/>
  <c r="O1148" i="6"/>
  <c r="O1132" i="6"/>
  <c r="O1116" i="6"/>
  <c r="O1100" i="6"/>
  <c r="O1084" i="6"/>
  <c r="O1068" i="6"/>
  <c r="O1052" i="6"/>
  <c r="O1036" i="6"/>
  <c r="O1020" i="6"/>
  <c r="O1004" i="6"/>
  <c r="O988" i="6"/>
  <c r="O972" i="6"/>
  <c r="O956" i="6"/>
  <c r="O940" i="6"/>
  <c r="O924" i="6"/>
  <c r="O908" i="6"/>
  <c r="O892" i="6"/>
  <c r="F1594" i="6" a="1"/>
  <c r="F1594" i="6" s="1"/>
  <c r="N1594" i="6" s="1"/>
  <c r="O1594" i="6" s="1"/>
  <c r="F1542" i="6" a="1"/>
  <c r="F1542" i="6" s="1"/>
  <c r="N1542" i="6" s="1"/>
  <c r="O1542" i="6" s="1"/>
  <c r="O1439" i="6"/>
  <c r="O1405" i="6"/>
  <c r="O1366" i="6"/>
  <c r="O1338" i="6"/>
  <c r="O1336" i="6"/>
  <c r="O1333" i="6"/>
  <c r="O1319" i="6"/>
  <c r="O1298" i="6"/>
  <c r="O1296" i="6"/>
  <c r="O1217" i="6"/>
  <c r="O1214" i="6"/>
  <c r="O1193" i="6"/>
  <c r="O1177" i="6"/>
  <c r="O1161" i="6"/>
  <c r="O1145" i="6"/>
  <c r="O1129" i="6"/>
  <c r="O1113" i="6"/>
  <c r="O1097" i="6"/>
  <c r="O1081" i="6"/>
  <c r="O1065" i="6"/>
  <c r="O1049" i="6"/>
  <c r="O1033" i="6"/>
  <c r="O1017" i="6"/>
  <c r="O1001" i="6"/>
  <c r="O985" i="6"/>
  <c r="O969" i="6"/>
  <c r="O953" i="6"/>
  <c r="O937" i="6"/>
  <c r="O921" i="6"/>
  <c r="O905" i="6"/>
  <c r="O889" i="6"/>
  <c r="O873" i="6"/>
  <c r="O857" i="6"/>
  <c r="F1559" i="6" a="1"/>
  <c r="F1559" i="6" s="1"/>
  <c r="N1559" i="6" s="1"/>
  <c r="O1559" i="6" s="1"/>
  <c r="O1462" i="6"/>
  <c r="O1426" i="6"/>
  <c r="O1363" i="6"/>
  <c r="O1358" i="6"/>
  <c r="O1355" i="6"/>
  <c r="O1350" i="6"/>
  <c r="O1323" i="6"/>
  <c r="O1300" i="6"/>
  <c r="O1280" i="6"/>
  <c r="O1244" i="6"/>
  <c r="O1190" i="6"/>
  <c r="O1174" i="6"/>
  <c r="O1158" i="6"/>
  <c r="O1142" i="6"/>
  <c r="O1126" i="6"/>
  <c r="O1110" i="6"/>
  <c r="O1094" i="6"/>
  <c r="O1078" i="6"/>
  <c r="O1062" i="6"/>
  <c r="O1046" i="6"/>
  <c r="O1030" i="6"/>
  <c r="F1495" i="6" a="1"/>
  <c r="F1495" i="6" s="1"/>
  <c r="N1495" i="6" s="1"/>
  <c r="O1495" i="6" s="1"/>
  <c r="O1400" i="6"/>
  <c r="O1382" i="6"/>
  <c r="O1368" i="6"/>
  <c r="O1310" i="6"/>
  <c r="O1278" i="6"/>
  <c r="O1256" i="6"/>
  <c r="O1239" i="6"/>
  <c r="O1231" i="6"/>
  <c r="O1223" i="6"/>
  <c r="O1187" i="6"/>
  <c r="O1171" i="6"/>
  <c r="O1155" i="6"/>
  <c r="O1139" i="6"/>
  <c r="O1123" i="6"/>
  <c r="O1107" i="6"/>
  <c r="O1091" i="6"/>
  <c r="O1075" i="6"/>
  <c r="O1059" i="6"/>
  <c r="O1043" i="6"/>
  <c r="O1027" i="6"/>
  <c r="O1011" i="6"/>
  <c r="F1545" i="6" a="1"/>
  <c r="F1545" i="6" s="1"/>
  <c r="N1545" i="6" s="1"/>
  <c r="O1545" i="6" s="1"/>
  <c r="F1501" i="6" a="1"/>
  <c r="F1501" i="6" s="1"/>
  <c r="N1501" i="6" s="1"/>
  <c r="O1501" i="6" s="1"/>
  <c r="O1423" i="6"/>
  <c r="O1306" i="6"/>
  <c r="O1276" i="6"/>
  <c r="O1267" i="6"/>
  <c r="O1265" i="6"/>
  <c r="O1254" i="6"/>
  <c r="F1498" i="6" a="1"/>
  <c r="F1498" i="6" s="1"/>
  <c r="N1498" i="6" s="1"/>
  <c r="O1498" i="6" s="1"/>
  <c r="F1485" i="6" a="1"/>
  <c r="F1485" i="6" s="1"/>
  <c r="N1485" i="6" s="1"/>
  <c r="O1485" i="6" s="1"/>
  <c r="O1342" i="6"/>
  <c r="O1314" i="6"/>
  <c r="O1291" i="6"/>
  <c r="O1247" i="6"/>
  <c r="O1234" i="6"/>
  <c r="O1209" i="6"/>
  <c r="O1197" i="6"/>
  <c r="O1181" i="6"/>
  <c r="O1165" i="6"/>
  <c r="O1149" i="6"/>
  <c r="O1133" i="6"/>
  <c r="O1117" i="6"/>
  <c r="O1101" i="6"/>
  <c r="O1085" i="6"/>
  <c r="O1069" i="6"/>
  <c r="O1053" i="6"/>
  <c r="O1037" i="6"/>
  <c r="O1021" i="6"/>
  <c r="F1562" i="6" a="1"/>
  <c r="F1562" i="6" s="1"/>
  <c r="N1562" i="6" s="1"/>
  <c r="O1562" i="6" s="1"/>
  <c r="F1512" i="6" a="1"/>
  <c r="F1512" i="6" s="1"/>
  <c r="N1512" i="6" s="1"/>
  <c r="O1512" i="6" s="1"/>
  <c r="F1491" i="6" a="1"/>
  <c r="F1491" i="6" s="1"/>
  <c r="N1491" i="6" s="1"/>
  <c r="O1491" i="6" s="1"/>
  <c r="O1407" i="6"/>
  <c r="O1384" i="6"/>
  <c r="O1263" i="6"/>
  <c r="O1233" i="6"/>
  <c r="O1230" i="6"/>
  <c r="O1225" i="6"/>
  <c r="O1199" i="6"/>
  <c r="O1157" i="6"/>
  <c r="O1096" i="6"/>
  <c r="O1083" i="6"/>
  <c r="O1042" i="6"/>
  <c r="O1035" i="6"/>
  <c r="O1016" i="6"/>
  <c r="O995" i="6"/>
  <c r="O986" i="6"/>
  <c r="O957" i="6"/>
  <c r="O955" i="6"/>
  <c r="O932" i="6"/>
  <c r="O919" i="6"/>
  <c r="O906" i="6"/>
  <c r="O898" i="6"/>
  <c r="O893" i="6"/>
  <c r="O885" i="6"/>
  <c r="O880" i="6"/>
  <c r="O860" i="6"/>
  <c r="O830" i="6"/>
  <c r="O814" i="6"/>
  <c r="O798" i="6"/>
  <c r="O782" i="6"/>
  <c r="O766" i="6"/>
  <c r="O750" i="6"/>
  <c r="O734" i="6"/>
  <c r="O718" i="6"/>
  <c r="O702" i="6"/>
  <c r="O686" i="6"/>
  <c r="O670" i="6"/>
  <c r="O1259" i="6"/>
  <c r="O1222" i="6"/>
  <c r="O1184" i="6"/>
  <c r="O1163" i="6"/>
  <c r="O1122" i="6"/>
  <c r="O1109" i="6"/>
  <c r="O1098" i="6"/>
  <c r="O1070" i="6"/>
  <c r="O1057" i="6"/>
  <c r="O1055" i="6"/>
  <c r="O1018" i="6"/>
  <c r="O1014" i="6"/>
  <c r="O927" i="6"/>
  <c r="O863" i="6"/>
  <c r="O843" i="6"/>
  <c r="O827" i="6"/>
  <c r="O811" i="6"/>
  <c r="O795" i="6"/>
  <c r="O779" i="6"/>
  <c r="O763" i="6"/>
  <c r="O747" i="6"/>
  <c r="O731" i="6"/>
  <c r="O715" i="6"/>
  <c r="O699" i="6"/>
  <c r="O683" i="6"/>
  <c r="O667" i="6"/>
  <c r="O651" i="6"/>
  <c r="O635" i="6"/>
  <c r="O619" i="6"/>
  <c r="O603" i="6"/>
  <c r="O587" i="6"/>
  <c r="O571" i="6"/>
  <c r="O555" i="6"/>
  <c r="O539" i="6"/>
  <c r="O1238" i="6"/>
  <c r="O1179" i="6"/>
  <c r="O1137" i="6"/>
  <c r="O1135" i="6"/>
  <c r="O1115" i="6"/>
  <c r="O1072" i="6"/>
  <c r="O1048" i="6"/>
  <c r="O1022" i="6"/>
  <c r="O1008" i="6"/>
  <c r="O993" i="6"/>
  <c r="O984" i="6"/>
  <c r="O975" i="6"/>
  <c r="O922" i="6"/>
  <c r="O914" i="6"/>
  <c r="O909" i="6"/>
  <c r="O901" i="6"/>
  <c r="O896" i="6"/>
  <c r="O888" i="6"/>
  <c r="O869" i="6"/>
  <c r="O866" i="6"/>
  <c r="O846" i="6"/>
  <c r="O840" i="6"/>
  <c r="O824" i="6"/>
  <c r="O808" i="6"/>
  <c r="O792" i="6"/>
  <c r="O776" i="6"/>
  <c r="O760" i="6"/>
  <c r="O744" i="6"/>
  <c r="O728" i="6"/>
  <c r="O712" i="6"/>
  <c r="O696" i="6"/>
  <c r="O680" i="6"/>
  <c r="O664" i="6"/>
  <c r="O1373" i="6"/>
  <c r="O1246" i="6"/>
  <c r="O1227" i="6"/>
  <c r="O1212" i="6"/>
  <c r="O1206" i="6"/>
  <c r="O1170" i="6"/>
  <c r="O1150" i="6"/>
  <c r="O1128" i="6"/>
  <c r="O1050" i="6"/>
  <c r="O1294" i="6"/>
  <c r="O1262" i="6"/>
  <c r="O1243" i="6"/>
  <c r="O1235" i="6"/>
  <c r="O1219" i="6"/>
  <c r="O1152" i="6"/>
  <c r="O1130" i="6"/>
  <c r="O1102" i="6"/>
  <c r="O1061" i="6"/>
  <c r="O1309" i="6"/>
  <c r="O1287" i="6"/>
  <c r="O1198" i="6"/>
  <c r="O1186" i="6"/>
  <c r="O1141" i="6"/>
  <c r="O1104" i="6"/>
  <c r="O1089" i="6"/>
  <c r="O1087" i="6"/>
  <c r="O1074" i="6"/>
  <c r="O1203" i="6"/>
  <c r="O1067" i="6"/>
  <c r="O1216" i="6"/>
  <c r="O1176" i="6"/>
  <c r="O1154" i="6"/>
  <c r="O1147" i="6"/>
  <c r="O1121" i="6"/>
  <c r="O1119" i="6"/>
  <c r="O1080" i="6"/>
  <c r="O1054" i="6"/>
  <c r="O1032" i="6"/>
  <c r="O949" i="6"/>
  <c r="O915" i="6"/>
  <c r="O902" i="6"/>
  <c r="O881" i="6"/>
  <c r="O870" i="6"/>
  <c r="O867" i="6"/>
  <c r="O1200" i="6"/>
  <c r="O1167" i="6"/>
  <c r="O1160" i="6"/>
  <c r="O1134" i="6"/>
  <c r="O1106" i="6"/>
  <c r="O1093" i="6"/>
  <c r="O1082" i="6"/>
  <c r="O1056" i="6"/>
  <c r="O1034" i="6"/>
  <c r="O1019" i="6"/>
  <c r="O978" i="6"/>
  <c r="O976" i="6"/>
  <c r="O947" i="6"/>
  <c r="O938" i="6"/>
  <c r="O923" i="6"/>
  <c r="O910" i="6"/>
  <c r="O847" i="6"/>
  <c r="O838" i="6"/>
  <c r="O1257" i="6"/>
  <c r="O1208" i="6"/>
  <c r="O1192" i="6"/>
  <c r="O1162" i="6"/>
  <c r="O1136" i="6"/>
  <c r="O1112" i="6"/>
  <c r="O1099" i="6"/>
  <c r="O1045" i="6"/>
  <c r="O974" i="6"/>
  <c r="O965" i="6"/>
  <c r="O936" i="6"/>
  <c r="O931" i="6"/>
  <c r="O918" i="6"/>
  <c r="O897" i="6"/>
  <c r="O876" i="6"/>
  <c r="O853" i="6"/>
  <c r="O850" i="6"/>
  <c r="O835" i="6"/>
  <c r="O819" i="6"/>
  <c r="O803" i="6"/>
  <c r="O787" i="6"/>
  <c r="O771" i="6"/>
  <c r="O755" i="6"/>
  <c r="O739" i="6"/>
  <c r="O723" i="6"/>
  <c r="O707" i="6"/>
  <c r="O691" i="6"/>
  <c r="O675" i="6"/>
  <c r="O659" i="6"/>
  <c r="O643" i="6"/>
  <c r="O627" i="6"/>
  <c r="O611" i="6"/>
  <c r="O595" i="6"/>
  <c r="O579" i="6"/>
  <c r="O1183" i="6"/>
  <c r="O1178" i="6"/>
  <c r="O1125" i="6"/>
  <c r="O1114" i="6"/>
  <c r="O1013" i="6"/>
  <c r="O1009" i="6"/>
  <c r="O963" i="6"/>
  <c r="O954" i="6"/>
  <c r="O945" i="6"/>
  <c r="O926" i="6"/>
  <c r="O884" i="6"/>
  <c r="O859" i="6"/>
  <c r="O856" i="6"/>
  <c r="O832" i="6"/>
  <c r="O816" i="6"/>
  <c r="O800" i="6"/>
  <c r="O784" i="6"/>
  <c r="O768" i="6"/>
  <c r="O752" i="6"/>
  <c r="O736" i="6"/>
  <c r="O720" i="6"/>
  <c r="O704" i="6"/>
  <c r="O688" i="6"/>
  <c r="O672" i="6"/>
  <c r="O656" i="6"/>
  <c r="O640" i="6"/>
  <c r="O624" i="6"/>
  <c r="O608" i="6"/>
  <c r="O592" i="6"/>
  <c r="O576" i="6"/>
  <c r="O560" i="6"/>
  <c r="O544" i="6"/>
  <c r="O528" i="6"/>
  <c r="O1271" i="6"/>
  <c r="O1086" i="6"/>
  <c r="O1073" i="6"/>
  <c r="O1071" i="6"/>
  <c r="O1058" i="6"/>
  <c r="O1051" i="6"/>
  <c r="O994" i="6"/>
  <c r="O992" i="6"/>
  <c r="O934" i="6"/>
  <c r="O913" i="6"/>
  <c r="O879" i="6"/>
  <c r="O862" i="6"/>
  <c r="O829" i="6"/>
  <c r="O813" i="6"/>
  <c r="O797" i="6"/>
  <c r="O781" i="6"/>
  <c r="O765" i="6"/>
  <c r="O749" i="6"/>
  <c r="O733" i="6"/>
  <c r="O717" i="6"/>
  <c r="O701" i="6"/>
  <c r="O685" i="6"/>
  <c r="O669" i="6"/>
  <c r="O653" i="6"/>
  <c r="O637" i="6"/>
  <c r="O621" i="6"/>
  <c r="O605" i="6"/>
  <c r="O589" i="6"/>
  <c r="O573" i="6"/>
  <c r="O1213" i="6"/>
  <c r="O1205" i="6"/>
  <c r="O1138" i="6"/>
  <c r="O1131" i="6"/>
  <c r="O1088" i="6"/>
  <c r="O1064" i="6"/>
  <c r="O1038" i="6"/>
  <c r="O1025" i="6"/>
  <c r="O1023" i="6"/>
  <c r="O1007" i="6"/>
  <c r="O1003" i="6"/>
  <c r="O990" i="6"/>
  <c r="O961" i="6"/>
  <c r="O952" i="6"/>
  <c r="O900" i="6"/>
  <c r="O887" i="6"/>
  <c r="O865" i="6"/>
  <c r="O845" i="6"/>
  <c r="O842" i="6"/>
  <c r="O826" i="6"/>
  <c r="O810" i="6"/>
  <c r="O794" i="6"/>
  <c r="O778" i="6"/>
  <c r="O762" i="6"/>
  <c r="O746" i="6"/>
  <c r="O730" i="6"/>
  <c r="O714" i="6"/>
  <c r="O698" i="6"/>
  <c r="O682" i="6"/>
  <c r="O666" i="6"/>
  <c r="O650" i="6"/>
  <c r="O634" i="6"/>
  <c r="O618" i="6"/>
  <c r="O602" i="6"/>
  <c r="O586" i="6"/>
  <c r="O570" i="6"/>
  <c r="O554" i="6"/>
  <c r="O538" i="6"/>
  <c r="O1379" i="6"/>
  <c r="O1317" i="6"/>
  <c r="O1277" i="6"/>
  <c r="O1202" i="6"/>
  <c r="O1173" i="6"/>
  <c r="O1166" i="6"/>
  <c r="O1153" i="6"/>
  <c r="O1151" i="6"/>
  <c r="O1118" i="6"/>
  <c r="O1066" i="6"/>
  <c r="O1040" i="6"/>
  <c r="O1005" i="6"/>
  <c r="O981" i="6"/>
  <c r="O970" i="6"/>
  <c r="O950" i="6"/>
  <c r="O943" i="6"/>
  <c r="O929" i="6"/>
  <c r="O895" i="6"/>
  <c r="O871" i="6"/>
  <c r="O868" i="6"/>
  <c r="O848" i="6"/>
  <c r="O839" i="6"/>
  <c r="O823" i="6"/>
  <c r="O807" i="6"/>
  <c r="O791" i="6"/>
  <c r="O775" i="6"/>
  <c r="O759" i="6"/>
  <c r="O1207" i="6"/>
  <c r="O1194" i="6"/>
  <c r="O1144" i="6"/>
  <c r="O1120" i="6"/>
  <c r="O1105" i="6"/>
  <c r="O1103" i="6"/>
  <c r="O979" i="6"/>
  <c r="O968" i="6"/>
  <c r="O941" i="6"/>
  <c r="O939" i="6"/>
  <c r="O1189" i="6"/>
  <c r="O1182" i="6"/>
  <c r="O1168" i="6"/>
  <c r="O1146" i="6"/>
  <c r="O1090" i="6"/>
  <c r="O1077" i="6"/>
  <c r="O997" i="6"/>
  <c r="O960" i="6"/>
  <c r="O942" i="6"/>
  <c r="O935" i="6"/>
  <c r="O883" i="6"/>
  <c r="O828" i="6"/>
  <c r="O812" i="6"/>
  <c r="O721" i="6"/>
  <c r="O622" i="6"/>
  <c r="O601" i="6"/>
  <c r="O1026" i="6"/>
  <c r="O891" i="6"/>
  <c r="O886" i="6"/>
  <c r="O872" i="6"/>
  <c r="O805" i="6"/>
  <c r="O770" i="6"/>
  <c r="O761" i="6"/>
  <c r="O697" i="6"/>
  <c r="O690" i="6"/>
  <c r="O677" i="6"/>
  <c r="O649" i="6"/>
  <c r="O645" i="6"/>
  <c r="O620" i="6"/>
  <c r="O593" i="6"/>
  <c r="O591" i="6"/>
  <c r="O574" i="6"/>
  <c r="O567" i="6"/>
  <c r="O550" i="6"/>
  <c r="O543" i="6"/>
  <c r="O511" i="6"/>
  <c r="O495" i="6"/>
  <c r="O479" i="6"/>
  <c r="O463" i="6"/>
  <c r="O447" i="6"/>
  <c r="O431" i="6"/>
  <c r="O415" i="6"/>
  <c r="O1039" i="6"/>
  <c r="O971" i="6"/>
  <c r="O894" i="6"/>
  <c r="O849" i="6"/>
  <c r="O821" i="6"/>
  <c r="O756" i="6"/>
  <c r="O745" i="6"/>
  <c r="O738" i="6"/>
  <c r="O725" i="6"/>
  <c r="O710" i="6"/>
  <c r="O703" i="6"/>
  <c r="O679" i="6"/>
  <c r="O641" i="6"/>
  <c r="O639" i="6"/>
  <c r="O616" i="6"/>
  <c r="O536" i="6"/>
  <c r="O531" i="6"/>
  <c r="O524" i="6"/>
  <c r="O508" i="6"/>
  <c r="O492" i="6"/>
  <c r="O476" i="6"/>
  <c r="O460" i="6"/>
  <c r="O444" i="6"/>
  <c r="O428" i="6"/>
  <c r="O412" i="6"/>
  <c r="O396" i="6"/>
  <c r="O380" i="6"/>
  <c r="O364" i="6"/>
  <c r="O348" i="6"/>
  <c r="O332" i="6"/>
  <c r="O316" i="6"/>
  <c r="O300" i="6"/>
  <c r="O284" i="6"/>
  <c r="O268" i="6"/>
  <c r="O252" i="6"/>
  <c r="O236" i="6"/>
  <c r="O220" i="6"/>
  <c r="O206" i="6"/>
  <c r="O987" i="6"/>
  <c r="O917" i="6"/>
  <c r="O877" i="6"/>
  <c r="O854" i="6"/>
  <c r="O786" i="6"/>
  <c r="O777" i="6"/>
  <c r="O751" i="6"/>
  <c r="O727" i="6"/>
  <c r="O612" i="6"/>
  <c r="O610" i="6"/>
  <c r="O583" i="6"/>
  <c r="O572" i="6"/>
  <c r="O548" i="6"/>
  <c r="O541" i="6"/>
  <c r="O521" i="6"/>
  <c r="O505" i="6"/>
  <c r="O489" i="6"/>
  <c r="O473" i="6"/>
  <c r="O457" i="6"/>
  <c r="O1002" i="6"/>
  <c r="O962" i="6"/>
  <c r="O920" i="6"/>
  <c r="O911" i="6"/>
  <c r="O837" i="6"/>
  <c r="O772" i="6"/>
  <c r="O716" i="6"/>
  <c r="O844" i="6"/>
  <c r="O802" i="6"/>
  <c r="O793" i="6"/>
  <c r="O767" i="6"/>
  <c r="O740" i="6"/>
  <c r="O705" i="6"/>
  <c r="O662" i="6"/>
  <c r="O606" i="6"/>
  <c r="O585" i="6"/>
  <c r="O581" i="6"/>
  <c r="O565" i="6"/>
  <c r="O558" i="6"/>
  <c r="O553" i="6"/>
  <c r="O546" i="6"/>
  <c r="O515" i="6"/>
  <c r="O944" i="6"/>
  <c r="O874" i="6"/>
  <c r="O864" i="6"/>
  <c r="O851" i="6"/>
  <c r="O834" i="6"/>
  <c r="O818" i="6"/>
  <c r="O788" i="6"/>
  <c r="O758" i="6"/>
  <c r="O681" i="6"/>
  <c r="O674" i="6"/>
  <c r="O654" i="6"/>
  <c r="O633" i="6"/>
  <c r="O629" i="6"/>
  <c r="O604" i="6"/>
  <c r="O959" i="6"/>
  <c r="O928" i="6"/>
  <c r="O925" i="6"/>
  <c r="O899" i="6"/>
  <c r="O890" i="6"/>
  <c r="O882" i="6"/>
  <c r="O825" i="6"/>
  <c r="O809" i="6"/>
  <c r="O783" i="6"/>
  <c r="O753" i="6"/>
  <c r="O729" i="6"/>
  <c r="O722" i="6"/>
  <c r="O709" i="6"/>
  <c r="O694" i="6"/>
  <c r="O687" i="6"/>
  <c r="O804" i="6"/>
  <c r="O774" i="6"/>
  <c r="O742" i="6"/>
  <c r="O735" i="6"/>
  <c r="O711" i="6"/>
  <c r="O648" i="6"/>
  <c r="O596" i="6"/>
  <c r="O594" i="6"/>
  <c r="O575" i="6"/>
  <c r="O568" i="6"/>
  <c r="O563" i="6"/>
  <c r="O556" i="6"/>
  <c r="O532" i="6"/>
  <c r="O1041" i="6"/>
  <c r="O1024" i="6"/>
  <c r="O989" i="6"/>
  <c r="O973" i="6"/>
  <c r="O916" i="6"/>
  <c r="O904" i="6"/>
  <c r="O861" i="6"/>
  <c r="O820" i="6"/>
  <c r="O799" i="6"/>
  <c r="O769" i="6"/>
  <c r="O700" i="6"/>
  <c r="O676" i="6"/>
  <c r="O644" i="6"/>
  <c r="O642" i="6"/>
  <c r="O615" i="6"/>
  <c r="O598" i="6"/>
  <c r="O519" i="6"/>
  <c r="O1010" i="6"/>
  <c r="O998" i="6"/>
  <c r="O977" i="6"/>
  <c r="O907" i="6"/>
  <c r="O836" i="6"/>
  <c r="O831" i="6"/>
  <c r="O815" i="6"/>
  <c r="O790" i="6"/>
  <c r="O764" i="6"/>
  <c r="O748" i="6"/>
  <c r="O724" i="6"/>
  <c r="O689" i="6"/>
  <c r="O663" i="6"/>
  <c r="O646" i="6"/>
  <c r="O590" i="6"/>
  <c r="O561" i="6"/>
  <c r="O549" i="6"/>
  <c r="O542" i="6"/>
  <c r="O537" i="6"/>
  <c r="O530" i="6"/>
  <c r="O516" i="6"/>
  <c r="O500" i="6"/>
  <c r="O484" i="6"/>
  <c r="O468" i="6"/>
  <c r="O452" i="6"/>
  <c r="O436" i="6"/>
  <c r="O420" i="6"/>
  <c r="O404" i="6"/>
  <c r="O388" i="6"/>
  <c r="O372" i="6"/>
  <c r="O356" i="6"/>
  <c r="O340" i="6"/>
  <c r="O324" i="6"/>
  <c r="O308" i="6"/>
  <c r="O292" i="6"/>
  <c r="O276" i="6"/>
  <c r="O260" i="6"/>
  <c r="O244" i="6"/>
  <c r="O228" i="6"/>
  <c r="O214" i="6"/>
  <c r="O198" i="6"/>
  <c r="O841" i="6"/>
  <c r="O785" i="6"/>
  <c r="O757" i="6"/>
  <c r="O737" i="6"/>
  <c r="O638" i="6"/>
  <c r="O617" i="6"/>
  <c r="O613" i="6"/>
  <c r="O588" i="6"/>
  <c r="O535" i="6"/>
  <c r="O513" i="6"/>
  <c r="O497" i="6"/>
  <c r="O1006" i="6"/>
  <c r="O933" i="6"/>
  <c r="O930" i="6"/>
  <c r="O858" i="6"/>
  <c r="O855" i="6"/>
  <c r="O806" i="6"/>
  <c r="O780" i="6"/>
  <c r="O713" i="6"/>
  <c r="O706" i="6"/>
  <c r="O693" i="6"/>
  <c r="O678" i="6"/>
  <c r="O671" i="6"/>
  <c r="O661" i="6"/>
  <c r="O636" i="6"/>
  <c r="O609" i="6"/>
  <c r="O607" i="6"/>
  <c r="O584" i="6"/>
  <c r="O566" i="6"/>
  <c r="O559" i="6"/>
  <c r="O510" i="6"/>
  <c r="O494" i="6"/>
  <c r="O478" i="6"/>
  <c r="O462" i="6"/>
  <c r="O446" i="6"/>
  <c r="O430" i="6"/>
  <c r="O1000" i="6"/>
  <c r="O991" i="6"/>
  <c r="O966" i="6"/>
  <c r="O958" i="6"/>
  <c r="O946" i="6"/>
  <c r="O912" i="6"/>
  <c r="O822" i="6"/>
  <c r="O801" i="6"/>
  <c r="O773" i="6"/>
  <c r="O741" i="6"/>
  <c r="O726" i="6"/>
  <c r="O719" i="6"/>
  <c r="O695" i="6"/>
  <c r="O665" i="6"/>
  <c r="O657" i="6"/>
  <c r="O655" i="6"/>
  <c r="O632" i="6"/>
  <c r="O580" i="6"/>
  <c r="O578" i="6"/>
  <c r="O552" i="6"/>
  <c r="O547" i="6"/>
  <c r="O540" i="6"/>
  <c r="O523" i="6"/>
  <c r="O982" i="6"/>
  <c r="O903" i="6"/>
  <c r="O878" i="6"/>
  <c r="O875" i="6"/>
  <c r="O833" i="6"/>
  <c r="O817" i="6"/>
  <c r="O796" i="6"/>
  <c r="O743" i="6"/>
  <c r="O684" i="6"/>
  <c r="O628" i="6"/>
  <c r="O626" i="6"/>
  <c r="O599" i="6"/>
  <c r="O582" i="6"/>
  <c r="O564" i="6"/>
  <c r="O557" i="6"/>
  <c r="O520" i="6"/>
  <c r="O504" i="6"/>
  <c r="O488" i="6"/>
  <c r="O472" i="6"/>
  <c r="O456" i="6"/>
  <c r="O440" i="6"/>
  <c r="O424" i="6"/>
  <c r="O408" i="6"/>
  <c r="O392" i="6"/>
  <c r="O376" i="6"/>
  <c r="O360" i="6"/>
  <c r="O344" i="6"/>
  <c r="O328" i="6"/>
  <c r="O312" i="6"/>
  <c r="O296" i="6"/>
  <c r="O280" i="6"/>
  <c r="O264" i="6"/>
  <c r="O248" i="6"/>
  <c r="O232" i="6"/>
  <c r="O216" i="6"/>
  <c r="O202" i="6"/>
  <c r="O1029" i="6"/>
  <c r="O852" i="6"/>
  <c r="O789" i="6"/>
  <c r="O754" i="6"/>
  <c r="O732" i="6"/>
  <c r="O527" i="6"/>
  <c r="O501" i="6"/>
  <c r="O486" i="6"/>
  <c r="O482" i="6"/>
  <c r="O405" i="6"/>
  <c r="O398" i="6"/>
  <c r="O386" i="6"/>
  <c r="O331" i="6"/>
  <c r="O319" i="6"/>
  <c r="O307" i="6"/>
  <c r="O295" i="6"/>
  <c r="O288" i="6"/>
  <c r="O233" i="6"/>
  <c r="O210" i="6"/>
  <c r="O199" i="6"/>
  <c r="O459" i="6"/>
  <c r="O453" i="6"/>
  <c r="O451" i="6"/>
  <c r="O449" i="6"/>
  <c r="O414" i="6"/>
  <c r="O379" i="6"/>
  <c r="O367" i="6"/>
  <c r="O355" i="6"/>
  <c r="O343" i="6"/>
  <c r="O336" i="6"/>
  <c r="O281" i="6"/>
  <c r="O257" i="6"/>
  <c r="O245" i="6"/>
  <c r="O221" i="6"/>
  <c r="O204" i="6"/>
  <c r="O192" i="6"/>
  <c r="O647" i="6"/>
  <c r="O625" i="6"/>
  <c r="O490" i="6"/>
  <c r="O443" i="6"/>
  <c r="O403" i="6"/>
  <c r="O391" i="6"/>
  <c r="O384" i="6"/>
  <c r="O329" i="6"/>
  <c r="O305" i="6"/>
  <c r="O293" i="6"/>
  <c r="O269" i="6"/>
  <c r="O262" i="6"/>
  <c r="O250" i="6"/>
  <c r="O238" i="6"/>
  <c r="O226" i="6"/>
  <c r="O631" i="6"/>
  <c r="O569" i="6"/>
  <c r="O503" i="6"/>
  <c r="O496" i="6"/>
  <c r="O465" i="6"/>
  <c r="O461" i="6"/>
  <c r="O455" i="6"/>
  <c r="O445" i="6"/>
  <c r="O441" i="6"/>
  <c r="O377" i="6"/>
  <c r="O353" i="6"/>
  <c r="O341" i="6"/>
  <c r="O317" i="6"/>
  <c r="O310" i="6"/>
  <c r="O298" i="6"/>
  <c r="O658" i="6"/>
  <c r="O614" i="6"/>
  <c r="O533" i="6"/>
  <c r="O518" i="6"/>
  <c r="O507" i="6"/>
  <c r="O467" i="6"/>
  <c r="O437" i="6"/>
  <c r="O526" i="6"/>
  <c r="O512" i="6"/>
  <c r="O475" i="6"/>
  <c r="O469" i="6"/>
  <c r="O439" i="6"/>
  <c r="O427" i="6"/>
  <c r="O394" i="6"/>
  <c r="O382" i="6"/>
  <c r="O370" i="6"/>
  <c r="O315" i="6"/>
  <c r="O303" i="6"/>
  <c r="O291" i="6"/>
  <c r="O562" i="6"/>
  <c r="O498" i="6"/>
  <c r="O429" i="6"/>
  <c r="O425" i="6"/>
  <c r="O406" i="6"/>
  <c r="O363" i="6"/>
  <c r="O351" i="6"/>
  <c r="O339" i="6"/>
  <c r="O327" i="6"/>
  <c r="O320" i="6"/>
  <c r="O265" i="6"/>
  <c r="O241" i="6"/>
  <c r="O229" i="6"/>
  <c r="O545" i="6"/>
  <c r="O529" i="6"/>
  <c r="O502" i="6"/>
  <c r="O481" i="6"/>
  <c r="O477" i="6"/>
  <c r="O471" i="6"/>
  <c r="O421" i="6"/>
  <c r="O419" i="6"/>
  <c r="O417" i="6"/>
  <c r="O692" i="6"/>
  <c r="O551" i="6"/>
  <c r="O483" i="6"/>
  <c r="O454" i="6"/>
  <c r="O423" i="6"/>
  <c r="O577" i="6"/>
  <c r="O509" i="6"/>
  <c r="O491" i="6"/>
  <c r="O485" i="6"/>
  <c r="O450" i="6"/>
  <c r="O448" i="6"/>
  <c r="O385" i="6"/>
  <c r="O373" i="6"/>
  <c r="O349" i="6"/>
  <c r="O342" i="6"/>
  <c r="O330" i="6"/>
  <c r="O318" i="6"/>
  <c r="O306" i="6"/>
  <c r="O630" i="6"/>
  <c r="O600" i="6"/>
  <c r="O597" i="6"/>
  <c r="O517" i="6"/>
  <c r="O464" i="6"/>
  <c r="O458" i="6"/>
  <c r="O413" i="6"/>
  <c r="O397" i="6"/>
  <c r="O390" i="6"/>
  <c r="O378" i="6"/>
  <c r="O366" i="6"/>
  <c r="O354" i="6"/>
  <c r="O299" i="6"/>
  <c r="O287" i="6"/>
  <c r="O275" i="6"/>
  <c r="O263" i="6"/>
  <c r="O256" i="6"/>
  <c r="O203" i="6"/>
  <c r="O673" i="6"/>
  <c r="O493" i="6"/>
  <c r="O487" i="6"/>
  <c r="O442" i="6"/>
  <c r="O438" i="6"/>
  <c r="O411" i="6"/>
  <c r="O402" i="6"/>
  <c r="O347" i="6"/>
  <c r="O335" i="6"/>
  <c r="O323" i="6"/>
  <c r="O311" i="6"/>
  <c r="O304" i="6"/>
  <c r="O249" i="6"/>
  <c r="O225" i="6"/>
  <c r="O623" i="6"/>
  <c r="O525" i="6"/>
  <c r="O514" i="6"/>
  <c r="O470" i="6"/>
  <c r="O466" i="6"/>
  <c r="O434" i="6"/>
  <c r="O432" i="6"/>
  <c r="O409" i="6"/>
  <c r="O395" i="6"/>
  <c r="O383" i="6"/>
  <c r="O371" i="6"/>
  <c r="O359" i="6"/>
  <c r="O352" i="6"/>
  <c r="O297" i="6"/>
  <c r="O273" i="6"/>
  <c r="O261" i="6"/>
  <c r="O237" i="6"/>
  <c r="O230" i="6"/>
  <c r="O218" i="6"/>
  <c r="O208" i="6"/>
  <c r="O196" i="6"/>
  <c r="O708" i="6"/>
  <c r="O668" i="6"/>
  <c r="O652" i="6"/>
  <c r="O506" i="6"/>
  <c r="O660" i="6"/>
  <c r="O534" i="6"/>
  <c r="O522" i="6"/>
  <c r="O499" i="6"/>
  <c r="O480" i="6"/>
  <c r="O474" i="6"/>
  <c r="O426" i="6"/>
  <c r="O422" i="6"/>
  <c r="O393" i="6"/>
  <c r="O369" i="6"/>
  <c r="O357" i="6"/>
  <c r="O333" i="6"/>
  <c r="O326" i="6"/>
  <c r="O314" i="6"/>
  <c r="O302" i="6"/>
  <c r="O290" i="6"/>
  <c r="O235" i="6"/>
  <c r="O223" i="6"/>
  <c r="O213" i="6"/>
  <c r="O201" i="6"/>
  <c r="O194" i="6"/>
  <c r="O418" i="6"/>
  <c r="O416" i="6"/>
  <c r="O407" i="6"/>
  <c r="O381" i="6"/>
  <c r="O374" i="6"/>
  <c r="O410" i="6"/>
  <c r="O322" i="6"/>
  <c r="O285" i="6"/>
  <c r="O272" i="6"/>
  <c r="O219" i="6"/>
  <c r="O277" i="6"/>
  <c r="O259" i="6"/>
  <c r="O243" i="6"/>
  <c r="O187" i="6"/>
  <c r="O375" i="6"/>
  <c r="O350" i="6"/>
  <c r="O334" i="6"/>
  <c r="O325" i="6"/>
  <c r="O251" i="6"/>
  <c r="O224" i="6"/>
  <c r="O389" i="6"/>
  <c r="O365" i="6"/>
  <c r="O337" i="6"/>
  <c r="O282" i="6"/>
  <c r="O240" i="6"/>
  <c r="O227" i="6"/>
  <c r="O362" i="6"/>
  <c r="O321" i="6"/>
  <c r="O274" i="6"/>
  <c r="O266" i="6"/>
  <c r="O182" i="6"/>
  <c r="O399" i="6"/>
  <c r="O368" i="6"/>
  <c r="O346" i="6"/>
  <c r="O253" i="6"/>
  <c r="O191" i="6"/>
  <c r="O184" i="6"/>
  <c r="O433" i="6"/>
  <c r="O279" i="6"/>
  <c r="O258" i="6"/>
  <c r="O242" i="6"/>
  <c r="O234" i="6"/>
  <c r="O271" i="6"/>
  <c r="O179" i="6"/>
  <c r="O289" i="6"/>
  <c r="O255" i="6"/>
  <c r="O247" i="6"/>
  <c r="O358" i="6"/>
  <c r="O286" i="6"/>
  <c r="O239" i="6"/>
  <c r="O200" i="6"/>
  <c r="O193" i="6"/>
  <c r="O361" i="6"/>
  <c r="O345" i="6"/>
  <c r="O301" i="6"/>
  <c r="O278" i="6"/>
  <c r="O205" i="6"/>
  <c r="O195" i="6"/>
  <c r="O401" i="6"/>
  <c r="O294" i="6"/>
  <c r="O231" i="6"/>
  <c r="O181" i="6"/>
  <c r="O313" i="6"/>
  <c r="O211" i="6"/>
  <c r="O183" i="6"/>
  <c r="O387" i="6"/>
  <c r="O283" i="6"/>
  <c r="O270" i="6"/>
  <c r="O254" i="6"/>
  <c r="O246" i="6"/>
  <c r="O217" i="6"/>
  <c r="O207" i="6"/>
  <c r="O197" i="6"/>
  <c r="O435" i="6"/>
  <c r="O338" i="6"/>
  <c r="O185" i="6"/>
  <c r="O400" i="6"/>
  <c r="O309" i="6"/>
  <c r="O267" i="6"/>
  <c r="O222" i="6"/>
  <c r="O209" i="6"/>
  <c r="O180" i="6"/>
  <c r="I33" i="6" l="1" a="1"/>
  <c r="I33" i="6" s="1"/>
  <c r="K33" i="6" s="1"/>
  <c r="O16" i="6"/>
  <c r="O136" i="6"/>
  <c r="O30" i="6"/>
  <c r="O113" i="6"/>
  <c r="O27" i="6"/>
  <c r="O7" i="6"/>
  <c r="I123" i="6" a="1"/>
  <c r="I123" i="6" s="1"/>
  <c r="K123" i="6" s="1"/>
  <c r="O14" i="6"/>
  <c r="O164" i="6"/>
  <c r="O120" i="6"/>
  <c r="I124" i="6" a="1"/>
  <c r="I124" i="6" s="1"/>
  <c r="K124" i="6" s="1"/>
  <c r="O115" i="6"/>
  <c r="O165" i="6"/>
  <c r="O26" i="6"/>
  <c r="O141" i="6"/>
  <c r="O114" i="6"/>
  <c r="O188" i="6"/>
  <c r="O19" i="6"/>
  <c r="O189" i="6"/>
  <c r="O186" i="6"/>
  <c r="O190" i="6"/>
  <c r="O29" i="6"/>
  <c r="O121" i="6"/>
  <c r="O117" i="6"/>
  <c r="O13" i="6"/>
  <c r="O125" i="6"/>
  <c r="O10" i="6"/>
  <c r="I80" i="6" a="1"/>
  <c r="I80" i="6" s="1"/>
  <c r="K80" i="6" s="1"/>
  <c r="O53" i="6"/>
  <c r="I122" i="6" a="1"/>
  <c r="I122" i="6" s="1"/>
  <c r="K122" i="6" s="1"/>
  <c r="I131" i="6" a="1"/>
  <c r="I131" i="6" s="1"/>
  <c r="K131" i="6" s="1"/>
  <c r="O126" i="6"/>
  <c r="O167" i="6"/>
  <c r="O157" i="6"/>
  <c r="O102" i="6"/>
  <c r="I146" i="6" a="1"/>
  <c r="I146" i="6" s="1"/>
  <c r="K146" i="6" s="1"/>
  <c r="O104" i="6"/>
  <c r="I99" i="6" a="1"/>
  <c r="I99" i="6" s="1"/>
  <c r="K99" i="6" s="1"/>
  <c r="O105" i="6"/>
  <c r="O172" i="6"/>
  <c r="O139" i="6"/>
  <c r="O106" i="6"/>
  <c r="I170" i="6" a="1"/>
  <c r="I170" i="6" s="1"/>
  <c r="K170" i="6" s="1"/>
  <c r="I138" i="6" a="1"/>
  <c r="I138" i="6" s="1"/>
  <c r="K138" i="6" s="1"/>
  <c r="O100" i="6"/>
  <c r="O116" i="6"/>
  <c r="O135" i="6"/>
  <c r="O129" i="6"/>
  <c r="O153" i="6"/>
  <c r="I108" i="6" a="1"/>
  <c r="I108" i="6" s="1"/>
  <c r="K108" i="6" s="1"/>
  <c r="I87" i="6" a="1"/>
  <c r="I87" i="6" s="1"/>
  <c r="K87" i="6" s="1"/>
  <c r="O166" i="6"/>
  <c r="I112" i="6" a="1"/>
  <c r="I112" i="6" s="1"/>
  <c r="K112" i="6" s="1"/>
  <c r="O150" i="6"/>
  <c r="O155" i="6"/>
  <c r="O9" i="6"/>
  <c r="O134" i="6"/>
  <c r="O52" i="6"/>
  <c r="O143" i="6"/>
  <c r="O130" i="6"/>
  <c r="O173" i="6"/>
  <c r="O128" i="6"/>
  <c r="O147" i="6"/>
  <c r="O101" i="6"/>
  <c r="O142" i="6"/>
  <c r="O156" i="6"/>
  <c r="O110" i="6"/>
  <c r="O98" i="6"/>
  <c r="I162" i="6" a="1"/>
  <c r="I162" i="6" s="1"/>
  <c r="K162" i="6" s="1"/>
  <c r="O152" i="6"/>
  <c r="I148" i="6" a="1"/>
  <c r="I148" i="6" s="1"/>
  <c r="K148" i="6" s="1"/>
  <c r="O107" i="6"/>
  <c r="O174" i="6"/>
  <c r="O149" i="6"/>
  <c r="O132" i="6"/>
  <c r="O154" i="6"/>
  <c r="I97" i="6" a="1"/>
  <c r="I97" i="6" s="1"/>
  <c r="K97" i="6" s="1"/>
  <c r="O109" i="6"/>
  <c r="O163" i="6"/>
  <c r="O175" i="6"/>
  <c r="O133" i="6"/>
  <c r="I151" i="6" a="1"/>
  <c r="I151" i="6" s="1"/>
  <c r="K151" i="6" s="1"/>
  <c r="O81" i="6"/>
  <c r="O45" i="6"/>
  <c r="O28" i="6"/>
  <c r="I18" i="6" a="1"/>
  <c r="I18" i="6" s="1"/>
  <c r="K18" i="6" s="1"/>
  <c r="O82" i="6"/>
  <c r="O75" i="6"/>
  <c r="O69" i="6"/>
  <c r="O37" i="6"/>
  <c r="O49" i="6"/>
  <c r="O76" i="6"/>
  <c r="O17" i="6"/>
  <c r="I12" i="6" a="1"/>
  <c r="I12" i="6" s="1"/>
  <c r="K12" i="6" s="1"/>
  <c r="I66" i="6" a="1"/>
  <c r="I66" i="6" s="1"/>
  <c r="K66" i="6" s="1"/>
  <c r="O32" i="6"/>
  <c r="O47" i="6"/>
  <c r="I68" i="6" a="1"/>
  <c r="I68" i="6" s="1"/>
  <c r="K68" i="6" s="1"/>
  <c r="O58" i="6"/>
  <c r="I42" i="6" a="1"/>
  <c r="I42" i="6" s="1"/>
  <c r="K42" i="6" s="1"/>
  <c r="O65" i="6"/>
  <c r="O64" i="6"/>
  <c r="I54" i="6" a="1"/>
  <c r="I54" i="6" s="1"/>
  <c r="K54" i="6" s="1"/>
  <c r="I25" i="6" a="1"/>
  <c r="I25" i="6" s="1"/>
  <c r="K25" i="6" s="1"/>
  <c r="I73" i="6" a="1"/>
  <c r="I73" i="6" s="1"/>
  <c r="K73" i="6" s="1"/>
  <c r="O67" i="6"/>
  <c r="O56" i="6"/>
  <c r="I15" i="6" a="1"/>
  <c r="I15" i="6" s="1"/>
  <c r="K15" i="6" s="1"/>
  <c r="I51" i="6" a="1"/>
  <c r="I51" i="6" s="1"/>
  <c r="K51" i="6" s="1"/>
  <c r="I59" i="6" a="1"/>
  <c r="I59" i="6" s="1"/>
  <c r="K59" i="6" s="1"/>
  <c r="I57" i="6" a="1"/>
  <c r="I57" i="6" s="1"/>
  <c r="K57" i="6" s="1"/>
  <c r="I60" i="6" a="1"/>
  <c r="I60" i="6" s="1"/>
  <c r="K60" i="6" s="1"/>
  <c r="O40" i="6"/>
  <c r="O86" i="6"/>
  <c r="O11" i="6"/>
  <c r="I72" i="6" a="1"/>
  <c r="I72" i="6" s="1"/>
  <c r="K72" i="6" s="1"/>
  <c r="O41" i="6"/>
  <c r="O43" i="6"/>
  <c r="O6" i="6"/>
  <c r="I70" i="6" a="1"/>
  <c r="I70" i="6" s="1"/>
  <c r="K70" i="6" s="1"/>
  <c r="O55" i="6"/>
  <c r="I62" i="6" a="1"/>
  <c r="I62" i="6" s="1"/>
  <c r="K62" i="6" s="1"/>
  <c r="O23" i="6"/>
  <c r="I71" i="6" a="1"/>
  <c r="I71" i="6" s="1"/>
  <c r="K71" i="6" s="1"/>
  <c r="O88" i="6"/>
  <c r="O74" i="6"/>
  <c r="O24" i="6"/>
  <c r="O44" i="6"/>
  <c r="O35" i="6"/>
  <c r="O34" i="6"/>
  <c r="O77" i="6"/>
  <c r="I31" i="6" a="1"/>
  <c r="I31" i="6" s="1"/>
  <c r="K31" i="6" s="1"/>
  <c r="I84" i="6" a="1"/>
  <c r="I84" i="6" s="1"/>
  <c r="K84" i="6" s="1"/>
  <c r="O39" i="6"/>
  <c r="I46" i="6" a="1"/>
  <c r="I46" i="6" s="1"/>
  <c r="K46" i="6" s="1"/>
  <c r="I8" i="6" a="1"/>
  <c r="I8" i="6" s="1"/>
  <c r="K8" i="6" s="1"/>
  <c r="O78" i="6"/>
  <c r="O79" i="6"/>
  <c r="O63" i="6"/>
  <c r="O48" i="6"/>
  <c r="O38" i="6"/>
  <c r="O61" i="6"/>
  <c r="I50" i="6" a="1"/>
  <c r="I50" i="6" s="1"/>
  <c r="K50" i="6" s="1"/>
  <c r="O50" i="6"/>
  <c r="O21" i="6"/>
  <c r="O22" i="6"/>
  <c r="N2900" i="6"/>
  <c r="N2960" i="6"/>
  <c r="N2798" i="6"/>
  <c r="N2901" i="6"/>
  <c r="I3226" i="6" a="1"/>
  <c r="I3226" i="6" s="1"/>
  <c r="K3226" i="6" s="1"/>
  <c r="N3047" i="6"/>
  <c r="N3177" i="6"/>
  <c r="N3090" i="6"/>
  <c r="N3229" i="6"/>
  <c r="N3169" i="6"/>
  <c r="N3028" i="6"/>
  <c r="N3098" i="6"/>
  <c r="N2590" i="6"/>
  <c r="N2948" i="6"/>
  <c r="N3128" i="6"/>
  <c r="I3184" i="6" a="1"/>
  <c r="I3184" i="6" s="1"/>
  <c r="K3184" i="6" s="1"/>
  <c r="I3165" i="6" a="1"/>
  <c r="I3165" i="6" s="1"/>
  <c r="K3165" i="6" s="1"/>
  <c r="I3073" i="6" a="1"/>
  <c r="I3073" i="6" s="1"/>
  <c r="K3073" i="6" s="1"/>
  <c r="I3061" i="6" a="1"/>
  <c r="I3061" i="6" s="1"/>
  <c r="K3061" i="6" s="1"/>
  <c r="N3195" i="6"/>
  <c r="N2622" i="6"/>
  <c r="N2980" i="6"/>
  <c r="I3200" i="6" a="1"/>
  <c r="I3200" i="6" s="1"/>
  <c r="K3200" i="6" s="1"/>
  <c r="N3159" i="6"/>
  <c r="I3221" i="6" a="1"/>
  <c r="I3221" i="6" s="1"/>
  <c r="K3221" i="6" s="1"/>
  <c r="N3203" i="6"/>
  <c r="N2992" i="6"/>
  <c r="N3206" i="6"/>
  <c r="N2956" i="6"/>
  <c r="N3171" i="6"/>
  <c r="N3146" i="6"/>
  <c r="N3154" i="6"/>
  <c r="N3046" i="6"/>
  <c r="N2968" i="6"/>
  <c r="I3076" i="6" a="1"/>
  <c r="I3076" i="6" s="1"/>
  <c r="K3076" i="6" s="1"/>
  <c r="N3208" i="6"/>
  <c r="I3185" i="6" a="1"/>
  <c r="I3185" i="6" s="1"/>
  <c r="K3185" i="6" s="1"/>
  <c r="I3167" i="6" a="1"/>
  <c r="I3167" i="6" s="1"/>
  <c r="K3167" i="6" s="1"/>
  <c r="N3170" i="6"/>
  <c r="N3125" i="6"/>
  <c r="N2872" i="6"/>
  <c r="N2860" i="6"/>
  <c r="N2611" i="6"/>
  <c r="N2653" i="6"/>
  <c r="N2887" i="6"/>
  <c r="I2677" i="6" a="1"/>
  <c r="I2677" i="6" s="1"/>
  <c r="K2677" i="6" s="1"/>
  <c r="N2687" i="6"/>
  <c r="N2817" i="6"/>
  <c r="N2932" i="6"/>
  <c r="N2430" i="6"/>
  <c r="N2686" i="6"/>
  <c r="I3023" i="6" a="1"/>
  <c r="I3023" i="6" s="1"/>
  <c r="K3023" i="6" s="1"/>
  <c r="I3194" i="6" a="1"/>
  <c r="I3194" i="6" s="1"/>
  <c r="K3194" i="6" s="1"/>
  <c r="I3183" i="6" a="1"/>
  <c r="I3183" i="6" s="1"/>
  <c r="K3183" i="6" s="1"/>
  <c r="N3157" i="6"/>
  <c r="N2446" i="6"/>
  <c r="N3179" i="6"/>
  <c r="N3071" i="6"/>
  <c r="I3220" i="6" a="1"/>
  <c r="I3220" i="6" s="1"/>
  <c r="K3220" i="6" s="1"/>
  <c r="I2884" i="6" a="1"/>
  <c r="I2884" i="6" s="1"/>
  <c r="K2884" i="6" s="1"/>
  <c r="N2670" i="6"/>
  <c r="I3015" i="6" a="1"/>
  <c r="I3015" i="6" s="1"/>
  <c r="K3015" i="6" s="1"/>
  <c r="I3039" i="6" a="1"/>
  <c r="I3039" i="6" s="1"/>
  <c r="K3039" i="6" s="1"/>
  <c r="I3180" i="6" a="1"/>
  <c r="I3180" i="6" s="1"/>
  <c r="K3180" i="6" s="1"/>
  <c r="I2952" i="6" a="1"/>
  <c r="I2952" i="6" s="1"/>
  <c r="K2952" i="6" s="1"/>
  <c r="I3186" i="6" a="1"/>
  <c r="I3186" i="6" s="1"/>
  <c r="K3186" i="6" s="1"/>
  <c r="I3141" i="6" a="1"/>
  <c r="I3141" i="6" s="1"/>
  <c r="K3141" i="6" s="1"/>
  <c r="N3191" i="6"/>
  <c r="I3189" i="6" a="1"/>
  <c r="I3189" i="6" s="1"/>
  <c r="K3189" i="6" s="1"/>
  <c r="I3213" i="6" a="1"/>
  <c r="I3213" i="6" s="1"/>
  <c r="K3213" i="6" s="1"/>
  <c r="I3054" i="6" a="1"/>
  <c r="I3054" i="6" s="1"/>
  <c r="K3054" i="6" s="1"/>
  <c r="I2949" i="6" a="1"/>
  <c r="I2949" i="6" s="1"/>
  <c r="K2949" i="6" s="1"/>
  <c r="I3205" i="6" a="1"/>
  <c r="I3205" i="6" s="1"/>
  <c r="K3205" i="6" s="1"/>
  <c r="N2972" i="6"/>
  <c r="N2999" i="6"/>
  <c r="N2494" i="6"/>
  <c r="I3196" i="6" a="1"/>
  <c r="I3196" i="6" s="1"/>
  <c r="K3196" i="6" s="1"/>
  <c r="I3149" i="6" a="1"/>
  <c r="I3149" i="6" s="1"/>
  <c r="K3149" i="6" s="1"/>
  <c r="I3044" i="6" a="1"/>
  <c r="I3044" i="6" s="1"/>
  <c r="K3044" i="6" s="1"/>
  <c r="I3114" i="6" a="1"/>
  <c r="I3114" i="6" s="1"/>
  <c r="K3114" i="6" s="1"/>
  <c r="I2965" i="6" a="1"/>
  <c r="I2965" i="6" s="1"/>
  <c r="K2965" i="6" s="1"/>
  <c r="N3069" i="6"/>
  <c r="I2909" i="6" a="1"/>
  <c r="I2909" i="6" s="1"/>
  <c r="K2909" i="6" s="1"/>
  <c r="I3004" i="6" a="1"/>
  <c r="I3004" i="6" s="1"/>
  <c r="K3004" i="6" s="1"/>
  <c r="N2510" i="6"/>
  <c r="I3100" i="6" a="1"/>
  <c r="I3100" i="6" s="1"/>
  <c r="K3100" i="6" s="1"/>
  <c r="I3178" i="6" a="1"/>
  <c r="I3178" i="6" s="1"/>
  <c r="K3178" i="6" s="1"/>
  <c r="I3118" i="6" a="1"/>
  <c r="I3118" i="6" s="1"/>
  <c r="K3118" i="6" s="1"/>
  <c r="I3057" i="6" a="1"/>
  <c r="I3057" i="6" s="1"/>
  <c r="K3057" i="6" s="1"/>
  <c r="I3067" i="6" a="1"/>
  <c r="I3067" i="6" s="1"/>
  <c r="K3067" i="6" s="1"/>
  <c r="I3143" i="6" a="1"/>
  <c r="I3143" i="6" s="1"/>
  <c r="K3143" i="6" s="1"/>
  <c r="I3224" i="6" a="1"/>
  <c r="I3224" i="6" s="1"/>
  <c r="K3224" i="6" s="1"/>
  <c r="N3053" i="6"/>
  <c r="N3212" i="6"/>
  <c r="N3153" i="6"/>
  <c r="N2414" i="6"/>
  <c r="I3066" i="6" a="1"/>
  <c r="I3066" i="6" s="1"/>
  <c r="K3066" i="6" s="1"/>
  <c r="I3084" i="6" a="1"/>
  <c r="I3084" i="6" s="1"/>
  <c r="K3084" i="6" s="1"/>
  <c r="I3222" i="6" a="1"/>
  <c r="I3222" i="6" s="1"/>
  <c r="K3222" i="6" s="1"/>
  <c r="I3075" i="6" a="1"/>
  <c r="I3075" i="6" s="1"/>
  <c r="K3075" i="6" s="1"/>
  <c r="N3082" i="6"/>
  <c r="N3080" i="6"/>
  <c r="N3079" i="6"/>
  <c r="N3077" i="6"/>
  <c r="I1491" i="6" a="1"/>
  <c r="I1491" i="6" s="1"/>
  <c r="K1491" i="6" s="1"/>
  <c r="I1664" i="6" a="1"/>
  <c r="I1664" i="6" s="1"/>
  <c r="K1664" i="6" s="1"/>
  <c r="I1548" i="6" a="1"/>
  <c r="I1548" i="6" s="1"/>
  <c r="K1548" i="6" s="1"/>
  <c r="I1531" i="6" a="1"/>
  <c r="I1531" i="6" s="1"/>
  <c r="K1531" i="6" s="1"/>
  <c r="I1628" i="6" a="1"/>
  <c r="I1628" i="6" s="1"/>
  <c r="K1628" i="6" s="1"/>
  <c r="I1639" i="6" a="1"/>
  <c r="I1639" i="6" s="1"/>
  <c r="K1639" i="6" s="1"/>
  <c r="I1712" i="6" a="1"/>
  <c r="I1712" i="6" s="1"/>
  <c r="K1712" i="6" s="1"/>
  <c r="I1618" i="6" a="1"/>
  <c r="I1618" i="6" s="1"/>
  <c r="K1618" i="6" s="1"/>
  <c r="I1502" i="6" a="1"/>
  <c r="I1502" i="6" s="1"/>
  <c r="K1502" i="6" s="1"/>
  <c r="I1622" i="6" a="1"/>
  <c r="I1622" i="6" s="1"/>
  <c r="K1622" i="6" s="1"/>
  <c r="I1706" i="6" a="1"/>
  <c r="I1706" i="6" s="1"/>
  <c r="K1706" i="6" s="1"/>
  <c r="I1828" i="6" a="1"/>
  <c r="I1828" i="6" s="1"/>
  <c r="K1828" i="6" s="1"/>
  <c r="I1596" i="6" a="1"/>
  <c r="I1596" i="6" s="1"/>
  <c r="K1596" i="6" s="1"/>
  <c r="I1484" i="6" a="1"/>
  <c r="I1484" i="6" s="1"/>
  <c r="K1484" i="6" s="1"/>
  <c r="I1518" i="6" a="1"/>
  <c r="I1518" i="6" s="1"/>
  <c r="K1518" i="6" s="1"/>
  <c r="I1601" i="6" a="1"/>
  <c r="I1601" i="6" s="1"/>
  <c r="K1601" i="6" s="1"/>
  <c r="I1845" i="6" a="1"/>
  <c r="I1845" i="6" s="1"/>
  <c r="K1845" i="6" s="1"/>
  <c r="I1626" i="6" a="1"/>
  <c r="I1626" i="6" s="1"/>
  <c r="K1626" i="6" s="1"/>
  <c r="I1729" i="6" a="1"/>
  <c r="I1729" i="6" s="1"/>
  <c r="K1729" i="6" s="1"/>
  <c r="I1942" i="6" a="1"/>
  <c r="I1942" i="6" s="1"/>
  <c r="K1942" i="6" s="1"/>
  <c r="I1951" i="6" a="1"/>
  <c r="I1951" i="6" s="1"/>
  <c r="K1951" i="6" s="1"/>
  <c r="I1738" i="6" a="1"/>
  <c r="I1738" i="6" s="1"/>
  <c r="K1738" i="6" s="1"/>
  <c r="I1801" i="6" a="1"/>
  <c r="I1801" i="6" s="1"/>
  <c r="K1801" i="6" s="1"/>
  <c r="I1858" i="6" a="1"/>
  <c r="I1858" i="6" s="1"/>
  <c r="K1858" i="6" s="1"/>
  <c r="I2134" i="6" a="1"/>
  <c r="I2134" i="6" s="1"/>
  <c r="K2134" i="6" s="1"/>
  <c r="I1886" i="6" a="1"/>
  <c r="I1886" i="6" s="1"/>
  <c r="K1886" i="6" s="1"/>
  <c r="I2025" i="6" a="1"/>
  <c r="I2025" i="6" s="1"/>
  <c r="K2025" i="6" s="1"/>
  <c r="I1843" i="6" a="1"/>
  <c r="I1843" i="6" s="1"/>
  <c r="K1843" i="6" s="1"/>
  <c r="I1924" i="6" a="1"/>
  <c r="I1924" i="6" s="1"/>
  <c r="K1924" i="6" s="1"/>
  <c r="I1950" i="6" a="1"/>
  <c r="I1950" i="6" s="1"/>
  <c r="K1950" i="6" s="1"/>
  <c r="I2038" i="6" a="1"/>
  <c r="I2038" i="6" s="1"/>
  <c r="K2038" i="6" s="1"/>
  <c r="I2009" i="6" a="1"/>
  <c r="I2009" i="6" s="1"/>
  <c r="K2009" i="6" s="1"/>
  <c r="I1615" i="6" a="1"/>
  <c r="I1615" i="6" s="1"/>
  <c r="K1615" i="6" s="1"/>
  <c r="I1850" i="6" a="1"/>
  <c r="I1850" i="6" s="1"/>
  <c r="K1850" i="6" s="1"/>
  <c r="I1985" i="6" a="1"/>
  <c r="I1985" i="6" s="1"/>
  <c r="K1985" i="6" s="1"/>
  <c r="I2132" i="6" a="1"/>
  <c r="I2132" i="6" s="1"/>
  <c r="K2132" i="6" s="1"/>
  <c r="I2094" i="6" a="1"/>
  <c r="I2094" i="6" s="1"/>
  <c r="K2094" i="6" s="1"/>
  <c r="I1952" i="6" a="1"/>
  <c r="I1952" i="6" s="1"/>
  <c r="K1952" i="6" s="1"/>
  <c r="I2187" i="6" a="1"/>
  <c r="I2187" i="6" s="1"/>
  <c r="K2187" i="6" s="1"/>
  <c r="I2246" i="6" a="1"/>
  <c r="I2246" i="6" s="1"/>
  <c r="K2246" i="6" s="1"/>
  <c r="I1957" i="6" a="1"/>
  <c r="I1957" i="6" s="1"/>
  <c r="K1957" i="6" s="1"/>
  <c r="I2014" i="6" a="1"/>
  <c r="I2014" i="6" s="1"/>
  <c r="K2014" i="6" s="1"/>
  <c r="I1819" i="6" a="1"/>
  <c r="I1819" i="6" s="1"/>
  <c r="K1819" i="6" s="1"/>
  <c r="I2177" i="6" a="1"/>
  <c r="I2177" i="6" s="1"/>
  <c r="K2177" i="6" s="1"/>
  <c r="I2153" i="6" a="1"/>
  <c r="I2153" i="6" s="1"/>
  <c r="K2153" i="6" s="1"/>
  <c r="I2261" i="6" a="1"/>
  <c r="I2261" i="6" s="1"/>
  <c r="K2261" i="6" s="1"/>
  <c r="I2161" i="6" a="1"/>
  <c r="I2161" i="6" s="1"/>
  <c r="K2161" i="6" s="1"/>
  <c r="I2310" i="6" a="1"/>
  <c r="I2310" i="6" s="1"/>
  <c r="K2310" i="6" s="1"/>
  <c r="I2091" i="6" a="1"/>
  <c r="I2091" i="6" s="1"/>
  <c r="K2091" i="6" s="1"/>
  <c r="I2278" i="6" a="1"/>
  <c r="I2278" i="6" s="1"/>
  <c r="K2278" i="6" s="1"/>
  <c r="I2170" i="6" a="1"/>
  <c r="I2170" i="6" s="1"/>
  <c r="K2170" i="6" s="1"/>
  <c r="I2256" i="6" a="1"/>
  <c r="I2256" i="6" s="1"/>
  <c r="K2256" i="6" s="1"/>
  <c r="I2258" i="6" a="1"/>
  <c r="I2258" i="6" s="1"/>
  <c r="K2258" i="6" s="1"/>
  <c r="I2525" i="6" a="1"/>
  <c r="I2525" i="6" s="1"/>
  <c r="K2525" i="6" s="1"/>
  <c r="I2407" i="6" a="1"/>
  <c r="I2407" i="6" s="1"/>
  <c r="K2407" i="6" s="1"/>
  <c r="I2459" i="6" a="1"/>
  <c r="I2459" i="6" s="1"/>
  <c r="K2459" i="6" s="1"/>
  <c r="I2429" i="6" a="1"/>
  <c r="I2429" i="6" s="1"/>
  <c r="K2429" i="6" s="1"/>
  <c r="I2570" i="6" a="1"/>
  <c r="I2570" i="6" s="1"/>
  <c r="K2570" i="6" s="1"/>
  <c r="I2316" i="6" a="1"/>
  <c r="I2316" i="6" s="1"/>
  <c r="K2316" i="6" s="1"/>
  <c r="I2303" i="6" a="1"/>
  <c r="I2303" i="6" s="1"/>
  <c r="K2303" i="6" s="1"/>
  <c r="I2338" i="6" a="1"/>
  <c r="I2338" i="6" s="1"/>
  <c r="K2338" i="6" s="1"/>
  <c r="I2359" i="6" a="1"/>
  <c r="I2359" i="6" s="1"/>
  <c r="K2359" i="6" s="1"/>
  <c r="I2461" i="6" a="1"/>
  <c r="I2461" i="6" s="1"/>
  <c r="K2461" i="6" s="1"/>
  <c r="I2417" i="6" a="1"/>
  <c r="I2417" i="6" s="1"/>
  <c r="K2417" i="6" s="1"/>
  <c r="I2396" i="6" a="1"/>
  <c r="I2396" i="6" s="1"/>
  <c r="K2396" i="6" s="1"/>
  <c r="I2848" i="6" a="1"/>
  <c r="I2848" i="6" s="1"/>
  <c r="K2848" i="6" s="1"/>
  <c r="I2577" i="6" a="1"/>
  <c r="I2577" i="6" s="1"/>
  <c r="K2577" i="6" s="1"/>
  <c r="I2596" i="6" a="1"/>
  <c r="I2596" i="6" s="1"/>
  <c r="K2596" i="6" s="1"/>
  <c r="I2639" i="6" a="1"/>
  <c r="I2639" i="6" s="1"/>
  <c r="K2639" i="6" s="1"/>
  <c r="I2451" i="6" a="1"/>
  <c r="I2451" i="6" s="1"/>
  <c r="K2451" i="6" s="1"/>
  <c r="I2871" i="6" a="1"/>
  <c r="I2871" i="6" s="1"/>
  <c r="K2871" i="6" s="1"/>
  <c r="I2551" i="6" a="1"/>
  <c r="I2551" i="6" s="1"/>
  <c r="K2551" i="6" s="1"/>
  <c r="I2386" i="6" a="1"/>
  <c r="I2386" i="6" s="1"/>
  <c r="K2386" i="6" s="1"/>
  <c r="I2401" i="6" a="1"/>
  <c r="I2401" i="6" s="1"/>
  <c r="K2401" i="6" s="1"/>
  <c r="I2706" i="6" a="1"/>
  <c r="I2706" i="6" s="1"/>
  <c r="K2706" i="6" s="1"/>
  <c r="I2650" i="6" a="1"/>
  <c r="I2650" i="6" s="1"/>
  <c r="K2650" i="6" s="1"/>
  <c r="I2789" i="6" a="1"/>
  <c r="I2789" i="6" s="1"/>
  <c r="K2789" i="6" s="1"/>
  <c r="I2787" i="6" a="1"/>
  <c r="I2787" i="6" s="1"/>
  <c r="K2787" i="6" s="1"/>
  <c r="I2890" i="6" a="1"/>
  <c r="I2890" i="6" s="1"/>
  <c r="K2890" i="6" s="1"/>
  <c r="I2778" i="6" a="1"/>
  <c r="I2778" i="6" s="1"/>
  <c r="K2778" i="6" s="1"/>
  <c r="I2824" i="6" a="1"/>
  <c r="I2824" i="6" s="1"/>
  <c r="K2824" i="6" s="1"/>
  <c r="I2837" i="6" a="1"/>
  <c r="I2837" i="6" s="1"/>
  <c r="K2837" i="6" s="1"/>
  <c r="I2918" i="6" a="1"/>
  <c r="I2918" i="6" s="1"/>
  <c r="K2918" i="6" s="1"/>
  <c r="I2775" i="6" a="1"/>
  <c r="I2775" i="6" s="1"/>
  <c r="K2775" i="6" s="1"/>
  <c r="I2757" i="6" a="1"/>
  <c r="I2757" i="6" s="1"/>
  <c r="K2757" i="6" s="1"/>
  <c r="I2812" i="6" a="1"/>
  <c r="I2812" i="6" s="1"/>
  <c r="K2812" i="6" s="1"/>
  <c r="I2816" i="6" a="1"/>
  <c r="I2816" i="6" s="1"/>
  <c r="K2816" i="6" s="1"/>
  <c r="I2898" i="6" a="1"/>
  <c r="I2898" i="6" s="1"/>
  <c r="K2898" i="6" s="1"/>
  <c r="I2641" i="6" a="1"/>
  <c r="I2641" i="6" s="1"/>
  <c r="K2641" i="6" s="1"/>
  <c r="I2888" i="6" a="1"/>
  <c r="I2888" i="6" s="1"/>
  <c r="K2888" i="6" s="1"/>
  <c r="I2773" i="6" a="1"/>
  <c r="I2773" i="6" s="1"/>
  <c r="K2773" i="6" s="1"/>
  <c r="I2758" i="6" a="1"/>
  <c r="I2758" i="6" s="1"/>
  <c r="K2758" i="6" s="1"/>
  <c r="I2842" i="6" a="1"/>
  <c r="I2842" i="6" s="1"/>
  <c r="K2842" i="6" s="1"/>
  <c r="I3038" i="6" a="1"/>
  <c r="I3038" i="6" s="1"/>
  <c r="K3038" i="6" s="1"/>
  <c r="I3025" i="6" a="1"/>
  <c r="I3025" i="6" s="1"/>
  <c r="K3025" i="6" s="1"/>
  <c r="I2638" i="6" a="1"/>
  <c r="I2638" i="6" s="1"/>
  <c r="K2638" i="6" s="1"/>
  <c r="I1512" i="6" a="1"/>
  <c r="I1512" i="6" s="1"/>
  <c r="K1512" i="6" s="1"/>
  <c r="I1572" i="6" a="1"/>
  <c r="I1572" i="6" s="1"/>
  <c r="K1572" i="6" s="1"/>
  <c r="I1482" i="6" a="1"/>
  <c r="I1482" i="6" s="1"/>
  <c r="K1482" i="6" s="1"/>
  <c r="I1556" i="6" a="1"/>
  <c r="I1556" i="6" s="1"/>
  <c r="K1556" i="6" s="1"/>
  <c r="I1722" i="6" a="1"/>
  <c r="I1722" i="6" s="1"/>
  <c r="K1722" i="6" s="1"/>
  <c r="I1776" i="6" a="1"/>
  <c r="I1776" i="6" s="1"/>
  <c r="K1776" i="6" s="1"/>
  <c r="I1638" i="6" a="1"/>
  <c r="I1638" i="6" s="1"/>
  <c r="K1638" i="6" s="1"/>
  <c r="I1520" i="6" a="1"/>
  <c r="I1520" i="6" s="1"/>
  <c r="K1520" i="6" s="1"/>
  <c r="I1674" i="6" a="1"/>
  <c r="I1674" i="6" s="1"/>
  <c r="K1674" i="6" s="1"/>
  <c r="I1762" i="6" a="1"/>
  <c r="I1762" i="6" s="1"/>
  <c r="K1762" i="6" s="1"/>
  <c r="I1646" i="6" a="1"/>
  <c r="I1646" i="6" s="1"/>
  <c r="K1646" i="6" s="1"/>
  <c r="I1603" i="6" a="1"/>
  <c r="I1603" i="6" s="1"/>
  <c r="K1603" i="6" s="1"/>
  <c r="I1500" i="6" a="1"/>
  <c r="I1500" i="6" s="1"/>
  <c r="K1500" i="6" s="1"/>
  <c r="I1521" i="6" a="1"/>
  <c r="I1521" i="6" s="1"/>
  <c r="K1521" i="6" s="1"/>
  <c r="I1621" i="6" a="1"/>
  <c r="I1621" i="6" s="1"/>
  <c r="K1621" i="6" s="1"/>
  <c r="I1937" i="6" a="1"/>
  <c r="I1937" i="6" s="1"/>
  <c r="K1937" i="6" s="1"/>
  <c r="I1629" i="6" a="1"/>
  <c r="I1629" i="6" s="1"/>
  <c r="K1629" i="6" s="1"/>
  <c r="I1731" i="6" a="1"/>
  <c r="I1731" i="6" s="1"/>
  <c r="K1731" i="6" s="1"/>
  <c r="I1834" i="6" a="1"/>
  <c r="I1834" i="6" s="1"/>
  <c r="K1834" i="6" s="1"/>
  <c r="I1619" i="6" a="1"/>
  <c r="I1619" i="6" s="1"/>
  <c r="K1619" i="6" s="1"/>
  <c r="I1752" i="6" a="1"/>
  <c r="I1752" i="6" s="1"/>
  <c r="K1752" i="6" s="1"/>
  <c r="I1817" i="6" a="1"/>
  <c r="I1817" i="6" s="1"/>
  <c r="K1817" i="6" s="1"/>
  <c r="I1871" i="6" a="1"/>
  <c r="I1871" i="6" s="1"/>
  <c r="K1871" i="6" s="1"/>
  <c r="I2050" i="6" a="1"/>
  <c r="I2050" i="6" s="1"/>
  <c r="K2050" i="6" s="1"/>
  <c r="I1907" i="6" a="1"/>
  <c r="I1907" i="6" s="1"/>
  <c r="K1907" i="6" s="1"/>
  <c r="I2062" i="6" a="1"/>
  <c r="I2062" i="6" s="1"/>
  <c r="K2062" i="6" s="1"/>
  <c r="I1857" i="6" a="1"/>
  <c r="I1857" i="6" s="1"/>
  <c r="K1857" i="6" s="1"/>
  <c r="I1926" i="6" a="1"/>
  <c r="I1926" i="6" s="1"/>
  <c r="K1926" i="6" s="1"/>
  <c r="I2002" i="6" a="1"/>
  <c r="I2002" i="6" s="1"/>
  <c r="K2002" i="6" s="1"/>
  <c r="I2108" i="6" a="1"/>
  <c r="I2108" i="6" s="1"/>
  <c r="K2108" i="6" s="1"/>
  <c r="I2082" i="6" a="1"/>
  <c r="I2082" i="6" s="1"/>
  <c r="K2082" i="6" s="1"/>
  <c r="I1631" i="6" a="1"/>
  <c r="I1631" i="6" s="1"/>
  <c r="K1631" i="6" s="1"/>
  <c r="I1853" i="6" a="1"/>
  <c r="I1853" i="6" s="1"/>
  <c r="K1853" i="6" s="1"/>
  <c r="I2001" i="6" a="1"/>
  <c r="I2001" i="6" s="1"/>
  <c r="K2001" i="6" s="1"/>
  <c r="I2169" i="6" a="1"/>
  <c r="I2169" i="6" s="1"/>
  <c r="K2169" i="6" s="1"/>
  <c r="I2096" i="6" a="1"/>
  <c r="I2096" i="6" s="1"/>
  <c r="K2096" i="6" s="1"/>
  <c r="I1968" i="6" a="1"/>
  <c r="I1968" i="6" s="1"/>
  <c r="K1968" i="6" s="1"/>
  <c r="I2238" i="6" a="1"/>
  <c r="I2238" i="6" s="1"/>
  <c r="K2238" i="6" s="1"/>
  <c r="I2039" i="6" a="1"/>
  <c r="I2039" i="6" s="1"/>
  <c r="K2039" i="6" s="1"/>
  <c r="I1973" i="6" a="1"/>
  <c r="I1973" i="6" s="1"/>
  <c r="K1973" i="6" s="1"/>
  <c r="I2019" i="6" a="1"/>
  <c r="I2019" i="6" s="1"/>
  <c r="K2019" i="6" s="1"/>
  <c r="I1835" i="6" a="1"/>
  <c r="I1835" i="6" s="1"/>
  <c r="K1835" i="6" s="1"/>
  <c r="I2224" i="6" a="1"/>
  <c r="I2224" i="6" s="1"/>
  <c r="K2224" i="6" s="1"/>
  <c r="I2190" i="6" a="1"/>
  <c r="I2190" i="6" s="1"/>
  <c r="K2190" i="6" s="1"/>
  <c r="I2285" i="6" a="1"/>
  <c r="I2285" i="6" s="1"/>
  <c r="K2285" i="6" s="1"/>
  <c r="I2163" i="6" a="1"/>
  <c r="I2163" i="6" s="1"/>
  <c r="K2163" i="6" s="1"/>
  <c r="I2352" i="6" a="1"/>
  <c r="I2352" i="6" s="1"/>
  <c r="K2352" i="6" s="1"/>
  <c r="I2107" i="6" a="1"/>
  <c r="I2107" i="6" s="1"/>
  <c r="K2107" i="6" s="1"/>
  <c r="I2280" i="6" a="1"/>
  <c r="I2280" i="6" s="1"/>
  <c r="K2280" i="6" s="1"/>
  <c r="I2191" i="6" a="1"/>
  <c r="I2191" i="6" s="1"/>
  <c r="K2191" i="6" s="1"/>
  <c r="I2265" i="6" a="1"/>
  <c r="I2265" i="6" s="1"/>
  <c r="K2265" i="6" s="1"/>
  <c r="I2339" i="6" a="1"/>
  <c r="I2339" i="6" s="1"/>
  <c r="K2339" i="6" s="1"/>
  <c r="I2365" i="6" a="1"/>
  <c r="I2365" i="6" s="1"/>
  <c r="K2365" i="6" s="1"/>
  <c r="I2445" i="6" a="1"/>
  <c r="I2445" i="6" s="1"/>
  <c r="K2445" i="6" s="1"/>
  <c r="I2468" i="6" a="1"/>
  <c r="I2468" i="6" s="1"/>
  <c r="K2468" i="6" s="1"/>
  <c r="I2481" i="6" a="1"/>
  <c r="I2481" i="6" s="1"/>
  <c r="K2481" i="6" s="1"/>
  <c r="I2329" i="6" a="1"/>
  <c r="I2329" i="6" s="1"/>
  <c r="K2329" i="6" s="1"/>
  <c r="I2332" i="6" a="1"/>
  <c r="I2332" i="6" s="1"/>
  <c r="K2332" i="6" s="1"/>
  <c r="I2319" i="6" a="1"/>
  <c r="I2319" i="6" s="1"/>
  <c r="K2319" i="6" s="1"/>
  <c r="I2368" i="6" a="1"/>
  <c r="I2368" i="6" s="1"/>
  <c r="K2368" i="6" s="1"/>
  <c r="I2485" i="6" a="1"/>
  <c r="I2485" i="6" s="1"/>
  <c r="K2485" i="6" s="1"/>
  <c r="I2504" i="6" a="1"/>
  <c r="I2504" i="6" s="1"/>
  <c r="K2504" i="6" s="1"/>
  <c r="I2483" i="6" a="1"/>
  <c r="I2483" i="6" s="1"/>
  <c r="K2483" i="6" s="1"/>
  <c r="I2449" i="6" a="1"/>
  <c r="I2449" i="6" s="1"/>
  <c r="K2449" i="6" s="1"/>
  <c r="I2501" i="6" a="1"/>
  <c r="I2501" i="6" s="1"/>
  <c r="K2501" i="6" s="1"/>
  <c r="I2659" i="6" a="1"/>
  <c r="I2659" i="6" s="1"/>
  <c r="K2659" i="6" s="1"/>
  <c r="I2602" i="6" a="1"/>
  <c r="I2602" i="6" s="1"/>
  <c r="K2602" i="6" s="1"/>
  <c r="I2760" i="6" a="1"/>
  <c r="I2760" i="6" s="1"/>
  <c r="K2760" i="6" s="1"/>
  <c r="I2471" i="6" a="1"/>
  <c r="I2471" i="6" s="1"/>
  <c r="K2471" i="6" s="1"/>
  <c r="I2419" i="6" a="1"/>
  <c r="I2419" i="6" s="1"/>
  <c r="K2419" i="6" s="1"/>
  <c r="I2554" i="6" a="1"/>
  <c r="I2554" i="6" s="1"/>
  <c r="K2554" i="6" s="1"/>
  <c r="I2404" i="6" a="1"/>
  <c r="I2404" i="6" s="1"/>
  <c r="K2404" i="6" s="1"/>
  <c r="I2424" i="6" a="1"/>
  <c r="I2424" i="6" s="1"/>
  <c r="K2424" i="6" s="1"/>
  <c r="I2935" i="6" a="1"/>
  <c r="I2935" i="6" s="1"/>
  <c r="K2935" i="6" s="1"/>
  <c r="I2696" i="6" a="1"/>
  <c r="I2696" i="6" s="1"/>
  <c r="K2696" i="6" s="1"/>
  <c r="I2813" i="6" a="1"/>
  <c r="I2813" i="6" s="1"/>
  <c r="K2813" i="6" s="1"/>
  <c r="I2922" i="6" a="1"/>
  <c r="I2922" i="6" s="1"/>
  <c r="K2922" i="6" s="1"/>
  <c r="I2588" i="6" a="1"/>
  <c r="I2588" i="6" s="1"/>
  <c r="K2588" i="6" s="1"/>
  <c r="I2780" i="6" a="1"/>
  <c r="I2780" i="6" s="1"/>
  <c r="K2780" i="6" s="1"/>
  <c r="I2839" i="6" a="1"/>
  <c r="I2839" i="6" s="1"/>
  <c r="K2839" i="6" s="1"/>
  <c r="I2875" i="6" a="1"/>
  <c r="I2875" i="6" s="1"/>
  <c r="K2875" i="6" s="1"/>
  <c r="I2969" i="6" a="1"/>
  <c r="I2969" i="6" s="1"/>
  <c r="K2969" i="6" s="1"/>
  <c r="I2811" i="6" a="1"/>
  <c r="I2811" i="6" s="1"/>
  <c r="K2811" i="6" s="1"/>
  <c r="I2786" i="6" a="1"/>
  <c r="I2786" i="6" s="1"/>
  <c r="K2786" i="6" s="1"/>
  <c r="I2831" i="6" a="1"/>
  <c r="I2831" i="6" s="1"/>
  <c r="K2831" i="6" s="1"/>
  <c r="I2818" i="6" a="1"/>
  <c r="I2818" i="6" s="1"/>
  <c r="K2818" i="6" s="1"/>
  <c r="I2925" i="6" a="1"/>
  <c r="I2925" i="6" s="1"/>
  <c r="K2925" i="6" s="1"/>
  <c r="I2664" i="6" a="1"/>
  <c r="I2664" i="6" s="1"/>
  <c r="K2664" i="6" s="1"/>
  <c r="I2906" i="6" a="1"/>
  <c r="I2906" i="6" s="1"/>
  <c r="K2906" i="6" s="1"/>
  <c r="I2793" i="6" a="1"/>
  <c r="I2793" i="6" s="1"/>
  <c r="K2793" i="6" s="1"/>
  <c r="I2781" i="6" a="1"/>
  <c r="I2781" i="6" s="1"/>
  <c r="K2781" i="6" s="1"/>
  <c r="I2855" i="6" a="1"/>
  <c r="I2855" i="6" s="1"/>
  <c r="K2855" i="6" s="1"/>
  <c r="I3048" i="6" a="1"/>
  <c r="I3048" i="6" s="1"/>
  <c r="K3048" i="6" s="1"/>
  <c r="I2398" i="6" a="1"/>
  <c r="I2398" i="6" s="1"/>
  <c r="K2398" i="6" s="1"/>
  <c r="I1562" i="6" a="1"/>
  <c r="I1562" i="6" s="1"/>
  <c r="K1562" i="6" s="1"/>
  <c r="I1643" i="6" a="1"/>
  <c r="I1643" i="6" s="1"/>
  <c r="K1643" i="6" s="1"/>
  <c r="I1506" i="6" a="1"/>
  <c r="I1506" i="6" s="1"/>
  <c r="K1506" i="6" s="1"/>
  <c r="I1573" i="6" a="1"/>
  <c r="I1573" i="6" s="1"/>
  <c r="K1573" i="6" s="1"/>
  <c r="I1725" i="6" a="1"/>
  <c r="I1725" i="6" s="1"/>
  <c r="K1725" i="6" s="1"/>
  <c r="I1656" i="6" a="1"/>
  <c r="I1656" i="6" s="1"/>
  <c r="K1656" i="6" s="1"/>
  <c r="I1543" i="6" a="1"/>
  <c r="I1543" i="6" s="1"/>
  <c r="K1543" i="6" s="1"/>
  <c r="I1715" i="6" a="1"/>
  <c r="I1715" i="6" s="1"/>
  <c r="K1715" i="6" s="1"/>
  <c r="I1786" i="6" a="1"/>
  <c r="I1786" i="6" s="1"/>
  <c r="K1786" i="6" s="1"/>
  <c r="I1693" i="6" a="1"/>
  <c r="I1693" i="6" s="1"/>
  <c r="K1693" i="6" s="1"/>
  <c r="I1642" i="6" a="1"/>
  <c r="I1642" i="6" s="1"/>
  <c r="K1642" i="6" s="1"/>
  <c r="I1524" i="6" a="1"/>
  <c r="I1524" i="6" s="1"/>
  <c r="K1524" i="6" s="1"/>
  <c r="I1541" i="6" a="1"/>
  <c r="I1541" i="6" s="1"/>
  <c r="K1541" i="6" s="1"/>
  <c r="I1659" i="6" a="1"/>
  <c r="I1659" i="6" s="1"/>
  <c r="K1659" i="6" s="1"/>
  <c r="I1974" i="6" a="1"/>
  <c r="I1974" i="6" s="1"/>
  <c r="K1974" i="6" s="1"/>
  <c r="I1640" i="6" a="1"/>
  <c r="I1640" i="6" s="1"/>
  <c r="K1640" i="6" s="1"/>
  <c r="I1741" i="6" a="1"/>
  <c r="I1741" i="6" s="1"/>
  <c r="K1741" i="6" s="1"/>
  <c r="I1848" i="6" a="1"/>
  <c r="I1848" i="6" s="1"/>
  <c r="K1848" i="6" s="1"/>
  <c r="I1644" i="6" a="1"/>
  <c r="I1644" i="6" s="1"/>
  <c r="K1644" i="6" s="1"/>
  <c r="I1778" i="6" a="1"/>
  <c r="I1778" i="6" s="1"/>
  <c r="K1778" i="6" s="1"/>
  <c r="I1824" i="6" a="1"/>
  <c r="I1824" i="6" s="1"/>
  <c r="K1824" i="6" s="1"/>
  <c r="I1876" i="6" a="1"/>
  <c r="I1876" i="6" s="1"/>
  <c r="K1876" i="6" s="1"/>
  <c r="I2128" i="6" a="1"/>
  <c r="I2128" i="6" s="1"/>
  <c r="K2128" i="6" s="1"/>
  <c r="I1980" i="6" a="1"/>
  <c r="I1980" i="6" s="1"/>
  <c r="K1980" i="6" s="1"/>
  <c r="I2100" i="6" a="1"/>
  <c r="I2100" i="6" s="1"/>
  <c r="K2100" i="6" s="1"/>
  <c r="I1865" i="6" a="1"/>
  <c r="I1865" i="6" s="1"/>
  <c r="K1865" i="6" s="1"/>
  <c r="I1966" i="6" a="1"/>
  <c r="I1966" i="6" s="1"/>
  <c r="K1966" i="6" s="1"/>
  <c r="I2028" i="6" a="1"/>
  <c r="I2028" i="6" s="1"/>
  <c r="K2028" i="6" s="1"/>
  <c r="I2130" i="6" a="1"/>
  <c r="I2130" i="6" s="1"/>
  <c r="K2130" i="6" s="1"/>
  <c r="I1708" i="6" a="1"/>
  <c r="I1708" i="6" s="1"/>
  <c r="K1708" i="6" s="1"/>
  <c r="I1647" i="6" a="1"/>
  <c r="I1647" i="6" s="1"/>
  <c r="K1647" i="6" s="1"/>
  <c r="I1866" i="6" a="1"/>
  <c r="I1866" i="6" s="1"/>
  <c r="K1866" i="6" s="1"/>
  <c r="I2033" i="6" a="1"/>
  <c r="I2033" i="6" s="1"/>
  <c r="K2033" i="6" s="1"/>
  <c r="I2210" i="6" a="1"/>
  <c r="I2210" i="6" s="1"/>
  <c r="K2210" i="6" s="1"/>
  <c r="I2111" i="6" a="1"/>
  <c r="I2111" i="6" s="1"/>
  <c r="K2111" i="6" s="1"/>
  <c r="I1984" i="6" a="1"/>
  <c r="I1984" i="6" s="1"/>
  <c r="K1984" i="6" s="1"/>
  <c r="I2253" i="6" a="1"/>
  <c r="I2253" i="6" s="1"/>
  <c r="K2253" i="6" s="1"/>
  <c r="I2051" i="6" a="1"/>
  <c r="I2051" i="6" s="1"/>
  <c r="K2051" i="6" s="1"/>
  <c r="I1989" i="6" a="1"/>
  <c r="I1989" i="6" s="1"/>
  <c r="K1989" i="6" s="1"/>
  <c r="I2041" i="6" a="1"/>
  <c r="I2041" i="6" s="1"/>
  <c r="K2041" i="6" s="1"/>
  <c r="I1851" i="6" a="1"/>
  <c r="I1851" i="6" s="1"/>
  <c r="K1851" i="6" s="1"/>
  <c r="I2158" i="6" a="1"/>
  <c r="I2158" i="6" s="1"/>
  <c r="K2158" i="6" s="1"/>
  <c r="I2216" i="6" a="1"/>
  <c r="I2216" i="6" s="1"/>
  <c r="K2216" i="6" s="1"/>
  <c r="I2342" i="6" a="1"/>
  <c r="I2342" i="6" s="1"/>
  <c r="K2342" i="6" s="1"/>
  <c r="I2275" i="6" a="1"/>
  <c r="I2275" i="6" s="1"/>
  <c r="K2275" i="6" s="1"/>
  <c r="I2024" i="6" a="1"/>
  <c r="I2024" i="6" s="1"/>
  <c r="K2024" i="6" s="1"/>
  <c r="I2123" i="6" a="1"/>
  <c r="I2123" i="6" s="1"/>
  <c r="K2123" i="6" s="1"/>
  <c r="I2302" i="6" a="1"/>
  <c r="I2302" i="6" s="1"/>
  <c r="K2302" i="6" s="1"/>
  <c r="I2214" i="6" a="1"/>
  <c r="I2214" i="6" s="1"/>
  <c r="K2214" i="6" s="1"/>
  <c r="I2267" i="6" a="1"/>
  <c r="I2267" i="6" s="1"/>
  <c r="K2267" i="6" s="1"/>
  <c r="I2344" i="6" a="1"/>
  <c r="I2344" i="6" s="1"/>
  <c r="K2344" i="6" s="1"/>
  <c r="I2463" i="6" a="1"/>
  <c r="I2463" i="6" s="1"/>
  <c r="K2463" i="6" s="1"/>
  <c r="I2212" i="6" a="1"/>
  <c r="I2212" i="6" s="1"/>
  <c r="K2212" i="6" s="1"/>
  <c r="I2507" i="6" a="1"/>
  <c r="I2507" i="6" s="1"/>
  <c r="K2507" i="6" s="1"/>
  <c r="I2505" i="6" a="1"/>
  <c r="I2505" i="6" s="1"/>
  <c r="K2505" i="6" s="1"/>
  <c r="I2345" i="6" a="1"/>
  <c r="I2345" i="6" s="1"/>
  <c r="K2345" i="6" s="1"/>
  <c r="I2348" i="6" a="1"/>
  <c r="I2348" i="6" s="1"/>
  <c r="K2348" i="6" s="1"/>
  <c r="I2335" i="6" a="1"/>
  <c r="I2335" i="6" s="1"/>
  <c r="K2335" i="6" s="1"/>
  <c r="I2378" i="6" a="1"/>
  <c r="I2378" i="6" s="1"/>
  <c r="K2378" i="6" s="1"/>
  <c r="I2490" i="6" a="1"/>
  <c r="I2490" i="6" s="1"/>
  <c r="K2490" i="6" s="1"/>
  <c r="I2553" i="6" a="1"/>
  <c r="I2553" i="6" s="1"/>
  <c r="K2553" i="6" s="1"/>
  <c r="I2528" i="6" a="1"/>
  <c r="I2528" i="6" s="1"/>
  <c r="K2528" i="6" s="1"/>
  <c r="I2455" i="6" a="1"/>
  <c r="I2455" i="6" s="1"/>
  <c r="K2455" i="6" s="1"/>
  <c r="I2521" i="6" a="1"/>
  <c r="I2521" i="6" s="1"/>
  <c r="K2521" i="6" s="1"/>
  <c r="I2662" i="6" a="1"/>
  <c r="I2662" i="6" s="1"/>
  <c r="K2662" i="6" s="1"/>
  <c r="I2608" i="6" a="1"/>
  <c r="I2608" i="6" s="1"/>
  <c r="K2608" i="6" s="1"/>
  <c r="I2788" i="6" a="1"/>
  <c r="I2788" i="6" s="1"/>
  <c r="K2788" i="6" s="1"/>
  <c r="I2474" i="6" a="1"/>
  <c r="I2474" i="6" s="1"/>
  <c r="K2474" i="6" s="1"/>
  <c r="I2439" i="6" a="1"/>
  <c r="I2439" i="6" s="1"/>
  <c r="K2439" i="6" s="1"/>
  <c r="I2585" i="6" a="1"/>
  <c r="I2585" i="6" s="1"/>
  <c r="K2585" i="6" s="1"/>
  <c r="I2453" i="6" a="1"/>
  <c r="I2453" i="6" s="1"/>
  <c r="K2453" i="6" s="1"/>
  <c r="I2427" i="6" a="1"/>
  <c r="I2427" i="6" s="1"/>
  <c r="K2427" i="6" s="1"/>
  <c r="I2657" i="6" a="1"/>
  <c r="I2657" i="6" s="1"/>
  <c r="K2657" i="6" s="1"/>
  <c r="I2792" i="6" a="1"/>
  <c r="I2792" i="6" s="1"/>
  <c r="K2792" i="6" s="1"/>
  <c r="I2770" i="6" a="1"/>
  <c r="I2770" i="6" s="1"/>
  <c r="K2770" i="6" s="1"/>
  <c r="I2597" i="6" a="1"/>
  <c r="I2597" i="6" s="1"/>
  <c r="K2597" i="6" s="1"/>
  <c r="I2640" i="6" a="1"/>
  <c r="I2640" i="6" s="1"/>
  <c r="K2640" i="6" s="1"/>
  <c r="I2804" i="6" a="1"/>
  <c r="I2804" i="6" s="1"/>
  <c r="K2804" i="6" s="1"/>
  <c r="I2844" i="6" a="1"/>
  <c r="I2844" i="6" s="1"/>
  <c r="K2844" i="6" s="1"/>
  <c r="I3000" i="6" a="1"/>
  <c r="I3000" i="6" s="1"/>
  <c r="K3000" i="6" s="1"/>
  <c r="I2988" i="6" a="1"/>
  <c r="I2988" i="6" s="1"/>
  <c r="K2988" i="6" s="1"/>
  <c r="I2857" i="6" a="1"/>
  <c r="I2857" i="6" s="1"/>
  <c r="K2857" i="6" s="1"/>
  <c r="I2795" i="6" a="1"/>
  <c r="I2795" i="6" s="1"/>
  <c r="K2795" i="6" s="1"/>
  <c r="I2833" i="6" a="1"/>
  <c r="I2833" i="6" s="1"/>
  <c r="K2833" i="6" s="1"/>
  <c r="I2849" i="6" a="1"/>
  <c r="I2849" i="6" s="1"/>
  <c r="K2849" i="6" s="1"/>
  <c r="I2954" i="6" a="1"/>
  <c r="I2954" i="6" s="1"/>
  <c r="K2954" i="6" s="1"/>
  <c r="I1669" i="6" a="1"/>
  <c r="I1669" i="6" s="1"/>
  <c r="K1669" i="6" s="1"/>
  <c r="I1558" i="6" a="1"/>
  <c r="I1558" i="6" s="1"/>
  <c r="K1558" i="6" s="1"/>
  <c r="I1576" i="6" a="1"/>
  <c r="I1576" i="6" s="1"/>
  <c r="K1576" i="6" s="1"/>
  <c r="I1782" i="6" a="1"/>
  <c r="I1782" i="6" s="1"/>
  <c r="K1782" i="6" s="1"/>
  <c r="I1676" i="6" a="1"/>
  <c r="I1676" i="6" s="1"/>
  <c r="K1676" i="6" s="1"/>
  <c r="I1546" i="6" a="1"/>
  <c r="I1546" i="6" s="1"/>
  <c r="K1546" i="6" s="1"/>
  <c r="I1789" i="6" a="1"/>
  <c r="I1789" i="6" s="1"/>
  <c r="K1789" i="6" s="1"/>
  <c r="I1721" i="6" a="1"/>
  <c r="I1721" i="6" s="1"/>
  <c r="K1721" i="6" s="1"/>
  <c r="I1673" i="6" a="1"/>
  <c r="I1673" i="6" s="1"/>
  <c r="K1673" i="6" s="1"/>
  <c r="I1544" i="6" a="1"/>
  <c r="I1544" i="6" s="1"/>
  <c r="K1544" i="6" s="1"/>
  <c r="I1564" i="6" a="1"/>
  <c r="I1564" i="6" s="1"/>
  <c r="K1564" i="6" s="1"/>
  <c r="I1672" i="6" a="1"/>
  <c r="I1672" i="6" s="1"/>
  <c r="K1672" i="6" s="1"/>
  <c r="I1723" i="6" a="1"/>
  <c r="I1723" i="6" s="1"/>
  <c r="K1723" i="6" s="1"/>
  <c r="I1653" i="6" a="1"/>
  <c r="I1653" i="6" s="1"/>
  <c r="K1653" i="6" s="1"/>
  <c r="I1753" i="6" a="1"/>
  <c r="I1753" i="6" s="1"/>
  <c r="K1753" i="6" s="1"/>
  <c r="I1872" i="6" a="1"/>
  <c r="I1872" i="6" s="1"/>
  <c r="K1872" i="6" s="1"/>
  <c r="I1657" i="6" a="1"/>
  <c r="I1657" i="6" s="1"/>
  <c r="K1657" i="6" s="1"/>
  <c r="I1805" i="6" a="1"/>
  <c r="I1805" i="6" s="1"/>
  <c r="K1805" i="6" s="1"/>
  <c r="I1894" i="6" a="1"/>
  <c r="I1894" i="6" s="1"/>
  <c r="K1894" i="6" s="1"/>
  <c r="I1884" i="6" a="1"/>
  <c r="I1884" i="6" s="1"/>
  <c r="K1884" i="6" s="1"/>
  <c r="I1710" i="6" a="1"/>
  <c r="I1710" i="6" s="1"/>
  <c r="K1710" i="6" s="1"/>
  <c r="I1999" i="6" a="1"/>
  <c r="I1999" i="6" s="1"/>
  <c r="K1999" i="6" s="1"/>
  <c r="I1636" i="6" a="1"/>
  <c r="I1636" i="6" s="1"/>
  <c r="K1636" i="6" s="1"/>
  <c r="I1870" i="6" a="1"/>
  <c r="I1870" i="6" s="1"/>
  <c r="K1870" i="6" s="1"/>
  <c r="I1991" i="6" a="1"/>
  <c r="I1991" i="6" s="1"/>
  <c r="K1991" i="6" s="1"/>
  <c r="I2046" i="6" a="1"/>
  <c r="I2046" i="6" s="1"/>
  <c r="K2046" i="6" s="1"/>
  <c r="I1769" i="6" a="1"/>
  <c r="I1769" i="6" s="1"/>
  <c r="K1769" i="6" s="1"/>
  <c r="I1724" i="6" a="1"/>
  <c r="I1724" i="6" s="1"/>
  <c r="K1724" i="6" s="1"/>
  <c r="I1663" i="6" a="1"/>
  <c r="I1663" i="6" s="1"/>
  <c r="K1663" i="6" s="1"/>
  <c r="I1874" i="6" a="1"/>
  <c r="I1874" i="6" s="1"/>
  <c r="K1874" i="6" s="1"/>
  <c r="I2060" i="6" a="1"/>
  <c r="I2060" i="6" s="1"/>
  <c r="K2060" i="6" s="1"/>
  <c r="I1930" i="6" a="1"/>
  <c r="I1930" i="6" s="1"/>
  <c r="K1930" i="6" s="1"/>
  <c r="I2333" i="6" a="1"/>
  <c r="I2333" i="6" s="1"/>
  <c r="K2333" i="6" s="1"/>
  <c r="I2000" i="6" a="1"/>
  <c r="I2000" i="6" s="1"/>
  <c r="K2000" i="6" s="1"/>
  <c r="I2032" i="6" a="1"/>
  <c r="I2032" i="6" s="1"/>
  <c r="K2032" i="6" s="1"/>
  <c r="I2061" i="6" a="1"/>
  <c r="I2061" i="6" s="1"/>
  <c r="K2061" i="6" s="1"/>
  <c r="I2005" i="6" a="1"/>
  <c r="I2005" i="6" s="1"/>
  <c r="K2005" i="6" s="1"/>
  <c r="I2058" i="6" a="1"/>
  <c r="I2058" i="6" s="1"/>
  <c r="K2058" i="6" s="1"/>
  <c r="I1867" i="6" a="1"/>
  <c r="I1867" i="6" s="1"/>
  <c r="K1867" i="6" s="1"/>
  <c r="I2167" i="6" a="1"/>
  <c r="I2167" i="6" s="1"/>
  <c r="K2167" i="6" s="1"/>
  <c r="I2282" i="6" a="1"/>
  <c r="I2282" i="6" s="1"/>
  <c r="K2282" i="6" s="1"/>
  <c r="I2175" i="6" a="1"/>
  <c r="I2175" i="6" s="1"/>
  <c r="K2175" i="6" s="1"/>
  <c r="I2299" i="6" a="1"/>
  <c r="I2299" i="6" s="1"/>
  <c r="K2299" i="6" s="1"/>
  <c r="I2040" i="6" a="1"/>
  <c r="I2040" i="6" s="1"/>
  <c r="K2040" i="6" s="1"/>
  <c r="I2139" i="6" a="1"/>
  <c r="I2139" i="6" s="1"/>
  <c r="K2139" i="6" s="1"/>
  <c r="I2197" i="6" a="1"/>
  <c r="I2197" i="6" s="1"/>
  <c r="K2197" i="6" s="1"/>
  <c r="I2227" i="6" a="1"/>
  <c r="I2227" i="6" s="1"/>
  <c r="K2227" i="6" s="1"/>
  <c r="I2307" i="6" a="1"/>
  <c r="I2307" i="6" s="1"/>
  <c r="K2307" i="6" s="1"/>
  <c r="I2349" i="6" a="1"/>
  <c r="I2349" i="6" s="1"/>
  <c r="K2349" i="6" s="1"/>
  <c r="I2215" i="6" a="1"/>
  <c r="I2215" i="6" s="1"/>
  <c r="K2215" i="6" s="1"/>
  <c r="I2235" i="6" a="1"/>
  <c r="I2235" i="6" s="1"/>
  <c r="K2235" i="6" s="1"/>
  <c r="I2576" i="6" a="1"/>
  <c r="I2576" i="6" s="1"/>
  <c r="K2576" i="6" s="1"/>
  <c r="I2573" i="6" a="1"/>
  <c r="I2573" i="6" s="1"/>
  <c r="K2573" i="6" s="1"/>
  <c r="I2360" i="6" a="1"/>
  <c r="I2360" i="6" s="1"/>
  <c r="K2360" i="6" s="1"/>
  <c r="I2388" i="6" a="1"/>
  <c r="I2388" i="6" s="1"/>
  <c r="K2388" i="6" s="1"/>
  <c r="I2351" i="6" a="1"/>
  <c r="I2351" i="6" s="1"/>
  <c r="K2351" i="6" s="1"/>
  <c r="I2426" i="6" a="1"/>
  <c r="I2426" i="6" s="1"/>
  <c r="K2426" i="6" s="1"/>
  <c r="I2621" i="6" a="1"/>
  <c r="I2621" i="6" s="1"/>
  <c r="K2621" i="6" s="1"/>
  <c r="I2556" i="6" a="1"/>
  <c r="I2556" i="6" s="1"/>
  <c r="K2556" i="6" s="1"/>
  <c r="I2533" i="6" a="1"/>
  <c r="I2533" i="6" s="1"/>
  <c r="K2533" i="6" s="1"/>
  <c r="I2457" i="6" a="1"/>
  <c r="I2457" i="6" s="1"/>
  <c r="K2457" i="6" s="1"/>
  <c r="I2524" i="6" a="1"/>
  <c r="I2524" i="6" s="1"/>
  <c r="K2524" i="6" s="1"/>
  <c r="I2700" i="6" a="1"/>
  <c r="I2700" i="6" s="1"/>
  <c r="K2700" i="6" s="1"/>
  <c r="I2627" i="6" a="1"/>
  <c r="I2627" i="6" s="1"/>
  <c r="K2627" i="6" s="1"/>
  <c r="I2694" i="6" a="1"/>
  <c r="I2694" i="6" s="1"/>
  <c r="K2694" i="6" s="1"/>
  <c r="I2497" i="6" a="1"/>
  <c r="I2497" i="6" s="1"/>
  <c r="K2497" i="6" s="1"/>
  <c r="I2442" i="6" a="1"/>
  <c r="I2442" i="6" s="1"/>
  <c r="K2442" i="6" s="1"/>
  <c r="I2613" i="6" a="1"/>
  <c r="I2613" i="6" s="1"/>
  <c r="K2613" i="6" s="1"/>
  <c r="I2473" i="6" a="1"/>
  <c r="I2473" i="6" s="1"/>
  <c r="K2473" i="6" s="1"/>
  <c r="I2447" i="6" a="1"/>
  <c r="I2447" i="6" s="1"/>
  <c r="K2447" i="6" s="1"/>
  <c r="I1495" i="6" a="1"/>
  <c r="I1495" i="6" s="1"/>
  <c r="K1495" i="6" s="1"/>
  <c r="I1580" i="6" a="1"/>
  <c r="I1580" i="6" s="1"/>
  <c r="K1580" i="6" s="1"/>
  <c r="I1478" i="6" a="1"/>
  <c r="I1478" i="6" s="1"/>
  <c r="K1478" i="6" s="1"/>
  <c r="I1588" i="6" a="1"/>
  <c r="I1588" i="6" s="1"/>
  <c r="K1588" i="6" s="1"/>
  <c r="I1678" i="6" a="1"/>
  <c r="I1678" i="6" s="1"/>
  <c r="K1678" i="6" s="1"/>
  <c r="I1566" i="6" a="1"/>
  <c r="I1566" i="6" s="1"/>
  <c r="K1566" i="6" s="1"/>
  <c r="I1814" i="6" a="1"/>
  <c r="I1814" i="6" s="1"/>
  <c r="K1814" i="6" s="1"/>
  <c r="I1648" i="6" a="1"/>
  <c r="I1648" i="6" s="1"/>
  <c r="K1648" i="6" s="1"/>
  <c r="I1686" i="6" a="1"/>
  <c r="I1686" i="6" s="1"/>
  <c r="K1686" i="6" s="1"/>
  <c r="I1547" i="6" a="1"/>
  <c r="I1547" i="6" s="1"/>
  <c r="K1547" i="6" s="1"/>
  <c r="I1567" i="6" a="1"/>
  <c r="I1567" i="6" s="1"/>
  <c r="K1567" i="6" s="1"/>
  <c r="I1685" i="6" a="1"/>
  <c r="I1685" i="6" s="1"/>
  <c r="K1685" i="6" s="1"/>
  <c r="I1792" i="6" a="1"/>
  <c r="I1792" i="6" s="1"/>
  <c r="K1792" i="6" s="1"/>
  <c r="I1687" i="6" a="1"/>
  <c r="I1687" i="6" s="1"/>
  <c r="K1687" i="6" s="1"/>
  <c r="I1811" i="6" a="1"/>
  <c r="I1811" i="6" s="1"/>
  <c r="K1811" i="6" s="1"/>
  <c r="I1888" i="6" a="1"/>
  <c r="I1888" i="6" s="1"/>
  <c r="K1888" i="6" s="1"/>
  <c r="I1665" i="6" a="1"/>
  <c r="I1665" i="6" s="1"/>
  <c r="K1665" i="6" s="1"/>
  <c r="I1812" i="6" a="1"/>
  <c r="I1812" i="6" s="1"/>
  <c r="K1812" i="6" s="1"/>
  <c r="I1918" i="6" a="1"/>
  <c r="I1918" i="6" s="1"/>
  <c r="K1918" i="6" s="1"/>
  <c r="I1910" i="6" a="1"/>
  <c r="I1910" i="6" s="1"/>
  <c r="K1910" i="6" s="1"/>
  <c r="I1726" i="6" a="1"/>
  <c r="I1726" i="6" s="1"/>
  <c r="K1726" i="6" s="1"/>
  <c r="I2006" i="6" a="1"/>
  <c r="I2006" i="6" s="1"/>
  <c r="K2006" i="6" s="1"/>
  <c r="I1652" i="6" a="1"/>
  <c r="I1652" i="6" s="1"/>
  <c r="K1652" i="6" s="1"/>
  <c r="I1891" i="6" a="1"/>
  <c r="I1891" i="6" s="1"/>
  <c r="K1891" i="6" s="1"/>
  <c r="I2004" i="6" a="1"/>
  <c r="I2004" i="6" s="1"/>
  <c r="K2004" i="6" s="1"/>
  <c r="I2081" i="6" a="1"/>
  <c r="I2081" i="6" s="1"/>
  <c r="K2081" i="6" s="1"/>
  <c r="I1790" i="6" a="1"/>
  <c r="I1790" i="6" s="1"/>
  <c r="K1790" i="6" s="1"/>
  <c r="I1740" i="6" a="1"/>
  <c r="I1740" i="6" s="1"/>
  <c r="K1740" i="6" s="1"/>
  <c r="I1679" i="6" a="1"/>
  <c r="I1679" i="6" s="1"/>
  <c r="K1679" i="6" s="1"/>
  <c r="I1887" i="6" a="1"/>
  <c r="I1887" i="6" s="1"/>
  <c r="K1887" i="6" s="1"/>
  <c r="I2105" i="6" a="1"/>
  <c r="I2105" i="6" s="1"/>
  <c r="K2105" i="6" s="1"/>
  <c r="I1946" i="6" a="1"/>
  <c r="I1946" i="6" s="1"/>
  <c r="K1946" i="6" s="1"/>
  <c r="I1933" i="6" a="1"/>
  <c r="I1933" i="6" s="1"/>
  <c r="K1933" i="6" s="1"/>
  <c r="I2018" i="6" a="1"/>
  <c r="I2018" i="6" s="1"/>
  <c r="K2018" i="6" s="1"/>
  <c r="I2049" i="6" a="1"/>
  <c r="I2049" i="6" s="1"/>
  <c r="K2049" i="6" s="1"/>
  <c r="I2089" i="6" a="1"/>
  <c r="I2089" i="6" s="1"/>
  <c r="K2089" i="6" s="1"/>
  <c r="I2029" i="6" a="1"/>
  <c r="I2029" i="6" s="1"/>
  <c r="K2029" i="6" s="1"/>
  <c r="I2074" i="6" a="1"/>
  <c r="I2074" i="6" s="1"/>
  <c r="K2074" i="6" s="1"/>
  <c r="I1883" i="6" a="1"/>
  <c r="I1883" i="6" s="1"/>
  <c r="K1883" i="6" s="1"/>
  <c r="I2178" i="6" a="1"/>
  <c r="I2178" i="6" s="1"/>
  <c r="K2178" i="6" s="1"/>
  <c r="I2171" i="6" a="1"/>
  <c r="I2171" i="6" s="1"/>
  <c r="K2171" i="6" s="1"/>
  <c r="I2291" i="6" a="1"/>
  <c r="I2291" i="6" s="1"/>
  <c r="K2291" i="6" s="1"/>
  <c r="I2313" i="6" a="1"/>
  <c r="I2313" i="6" s="1"/>
  <c r="K2313" i="6" s="1"/>
  <c r="I2056" i="6" a="1"/>
  <c r="I2056" i="6" s="1"/>
  <c r="K2056" i="6" s="1"/>
  <c r="I2165" i="6" a="1"/>
  <c r="I2165" i="6" s="1"/>
  <c r="K2165" i="6" s="1"/>
  <c r="I2200" i="6" a="1"/>
  <c r="I2200" i="6" s="1"/>
  <c r="K2200" i="6" s="1"/>
  <c r="I2232" i="6" a="1"/>
  <c r="I2232" i="6" s="1"/>
  <c r="K2232" i="6" s="1"/>
  <c r="I2314" i="6" a="1"/>
  <c r="I2314" i="6" s="1"/>
  <c r="K2314" i="6" s="1"/>
  <c r="I2370" i="6" a="1"/>
  <c r="I2370" i="6" s="1"/>
  <c r="K2370" i="6" s="1"/>
  <c r="I2233" i="6" a="1"/>
  <c r="I2233" i="6" s="1"/>
  <c r="K2233" i="6" s="1"/>
  <c r="I2240" i="6" a="1"/>
  <c r="I2240" i="6" s="1"/>
  <c r="K2240" i="6" s="1"/>
  <c r="I2652" i="6" a="1"/>
  <c r="I2652" i="6" s="1"/>
  <c r="K2652" i="6" s="1"/>
  <c r="I2600" i="6" a="1"/>
  <c r="I2600" i="6" s="1"/>
  <c r="K2600" i="6" s="1"/>
  <c r="I2376" i="6" a="1"/>
  <c r="I2376" i="6" s="1"/>
  <c r="K2376" i="6" s="1"/>
  <c r="I2393" i="6" a="1"/>
  <c r="I2393" i="6" s="1"/>
  <c r="K2393" i="6" s="1"/>
  <c r="I2354" i="6" a="1"/>
  <c r="I2354" i="6" s="1"/>
  <c r="K2354" i="6" s="1"/>
  <c r="I2436" i="6" a="1"/>
  <c r="I2436" i="6" s="1"/>
  <c r="K2436" i="6" s="1"/>
  <c r="I2530" i="6" a="1"/>
  <c r="I2530" i="6" s="1"/>
  <c r="K2530" i="6" s="1"/>
  <c r="I2228" i="6" a="1"/>
  <c r="I2228" i="6" s="1"/>
  <c r="K2228" i="6" s="1"/>
  <c r="I2550" i="6" a="1"/>
  <c r="I2550" i="6" s="1"/>
  <c r="K2550" i="6" s="1"/>
  <c r="I2502" i="6" a="1"/>
  <c r="I2502" i="6" s="1"/>
  <c r="K2502" i="6" s="1"/>
  <c r="I2547" i="6" a="1"/>
  <c r="I2547" i="6" s="1"/>
  <c r="K2547" i="6" s="1"/>
  <c r="I2397" i="6" a="1"/>
  <c r="I2397" i="6" s="1"/>
  <c r="K2397" i="6" s="1"/>
  <c r="I2630" i="6" a="1"/>
  <c r="I2630" i="6" s="1"/>
  <c r="K2630" i="6" s="1"/>
  <c r="I2549" i="6" a="1"/>
  <c r="I2549" i="6" s="1"/>
  <c r="K2549" i="6" s="1"/>
  <c r="I2520" i="6" a="1"/>
  <c r="I2520" i="6" s="1"/>
  <c r="K2520" i="6" s="1"/>
  <c r="I2465" i="6" a="1"/>
  <c r="I2465" i="6" s="1"/>
  <c r="K2465" i="6" s="1"/>
  <c r="I2624" i="6" a="1"/>
  <c r="I2624" i="6" s="1"/>
  <c r="K2624" i="6" s="1"/>
  <c r="I2476" i="6" a="1"/>
  <c r="I2476" i="6" s="1"/>
  <c r="K2476" i="6" s="1"/>
  <c r="I2450" i="6" a="1"/>
  <c r="I2450" i="6" s="1"/>
  <c r="K2450" i="6" s="1"/>
  <c r="I2755" i="6" a="1"/>
  <c r="I2755" i="6" s="1"/>
  <c r="K2755" i="6" s="1"/>
  <c r="I1485" i="6" a="1"/>
  <c r="I1485" i="6" s="1"/>
  <c r="K1485" i="6" s="1"/>
  <c r="I1490" i="6" a="1"/>
  <c r="I1490" i="6" s="1"/>
  <c r="K1490" i="6" s="1"/>
  <c r="I1513" i="6" a="1"/>
  <c r="I1513" i="6" s="1"/>
  <c r="K1513" i="6" s="1"/>
  <c r="I1691" i="6" a="1"/>
  <c r="I1691" i="6" s="1"/>
  <c r="K1691" i="6" s="1"/>
  <c r="I1504" i="6" a="1"/>
  <c r="I1504" i="6" s="1"/>
  <c r="K1504" i="6" s="1"/>
  <c r="I1515" i="6" a="1"/>
  <c r="I1515" i="6" s="1"/>
  <c r="K1515" i="6" s="1"/>
  <c r="I1690" i="6" a="1"/>
  <c r="I1690" i="6" s="1"/>
  <c r="K1690" i="6" s="1"/>
  <c r="I1569" i="6" a="1"/>
  <c r="I1569" i="6" s="1"/>
  <c r="K1569" i="6" s="1"/>
  <c r="I1476" i="6" a="1"/>
  <c r="I1476" i="6" s="1"/>
  <c r="K1476" i="6" s="1"/>
  <c r="I1831" i="6" a="1"/>
  <c r="I1831" i="6" s="1"/>
  <c r="K1831" i="6" s="1"/>
  <c r="I1655" i="6" a="1"/>
  <c r="I1655" i="6" s="1"/>
  <c r="K1655" i="6" s="1"/>
  <c r="I1689" i="6" a="1"/>
  <c r="I1689" i="6" s="1"/>
  <c r="K1689" i="6" s="1"/>
  <c r="I1570" i="6" a="1"/>
  <c r="I1570" i="6" s="1"/>
  <c r="K1570" i="6" s="1"/>
  <c r="I1575" i="6" a="1"/>
  <c r="I1575" i="6" s="1"/>
  <c r="K1575" i="6" s="1"/>
  <c r="I1705" i="6" a="1"/>
  <c r="I1705" i="6" s="1"/>
  <c r="K1705" i="6" s="1"/>
  <c r="I1799" i="6" a="1"/>
  <c r="I1799" i="6" s="1"/>
  <c r="K1799" i="6" s="1"/>
  <c r="I1694" i="6" a="1"/>
  <c r="I1694" i="6" s="1"/>
  <c r="K1694" i="6" s="1"/>
  <c r="I1825" i="6" a="1"/>
  <c r="I1825" i="6" s="1"/>
  <c r="K1825" i="6" s="1"/>
  <c r="I1875" i="6" a="1"/>
  <c r="I1875" i="6" s="1"/>
  <c r="K1875" i="6" s="1"/>
  <c r="I1728" i="6" a="1"/>
  <c r="I1728" i="6" s="1"/>
  <c r="K1728" i="6" s="1"/>
  <c r="I1868" i="6" a="1"/>
  <c r="I1868" i="6" s="1"/>
  <c r="K1868" i="6" s="1"/>
  <c r="I1940" i="6" a="1"/>
  <c r="I1940" i="6" s="1"/>
  <c r="K1940" i="6" s="1"/>
  <c r="I1939" i="6" a="1"/>
  <c r="I1939" i="6" s="1"/>
  <c r="K1939" i="6" s="1"/>
  <c r="I1742" i="6" a="1"/>
  <c r="I1742" i="6" s="1"/>
  <c r="K1742" i="6" s="1"/>
  <c r="I2012" i="6" a="1"/>
  <c r="I2012" i="6" s="1"/>
  <c r="K2012" i="6" s="1"/>
  <c r="I1668" i="6" a="1"/>
  <c r="I1668" i="6" s="1"/>
  <c r="K1668" i="6" s="1"/>
  <c r="I1904" i="6" a="1"/>
  <c r="I1904" i="6" s="1"/>
  <c r="K1904" i="6" s="1"/>
  <c r="I2017" i="6" a="1"/>
  <c r="I2017" i="6" s="1"/>
  <c r="K2017" i="6" s="1"/>
  <c r="I2118" i="6" a="1"/>
  <c r="I2118" i="6" s="1"/>
  <c r="K2118" i="6" s="1"/>
  <c r="I1813" i="6" a="1"/>
  <c r="I1813" i="6" s="1"/>
  <c r="K1813" i="6" s="1"/>
  <c r="I1756" i="6" a="1"/>
  <c r="I1756" i="6" s="1"/>
  <c r="K1756" i="6" s="1"/>
  <c r="I1695" i="6" a="1"/>
  <c r="I1695" i="6" s="1"/>
  <c r="K1695" i="6" s="1"/>
  <c r="I1892" i="6" a="1"/>
  <c r="I1892" i="6" s="1"/>
  <c r="K1892" i="6" s="1"/>
  <c r="I2143" i="6" a="1"/>
  <c r="I2143" i="6" s="1"/>
  <c r="K2143" i="6" s="1"/>
  <c r="I1962" i="6" a="1"/>
  <c r="I1962" i="6" s="1"/>
  <c r="K1962" i="6" s="1"/>
  <c r="I1949" i="6" a="1"/>
  <c r="I1949" i="6" s="1"/>
  <c r="K1949" i="6" s="1"/>
  <c r="I2073" i="6" a="1"/>
  <c r="I2073" i="6" s="1"/>
  <c r="K2073" i="6" s="1"/>
  <c r="I2068" i="6" a="1"/>
  <c r="I2068" i="6" s="1"/>
  <c r="K2068" i="6" s="1"/>
  <c r="I2155" i="6" a="1"/>
  <c r="I2155" i="6" s="1"/>
  <c r="K2155" i="6" s="1"/>
  <c r="I2036" i="6" a="1"/>
  <c r="I2036" i="6" s="1"/>
  <c r="K2036" i="6" s="1"/>
  <c r="I2076" i="6" a="1"/>
  <c r="I2076" i="6" s="1"/>
  <c r="K2076" i="6" s="1"/>
  <c r="I1899" i="6" a="1"/>
  <c r="I1899" i="6" s="1"/>
  <c r="K1899" i="6" s="1"/>
  <c r="I2184" i="6" a="1"/>
  <c r="I2184" i="6" s="1"/>
  <c r="K2184" i="6" s="1"/>
  <c r="I2199" i="6" a="1"/>
  <c r="I2199" i="6" s="1"/>
  <c r="K2199" i="6" s="1"/>
  <c r="I2323" i="6" a="1"/>
  <c r="I2323" i="6" s="1"/>
  <c r="K2323" i="6" s="1"/>
  <c r="I2021" i="6" a="1"/>
  <c r="I2021" i="6" s="1"/>
  <c r="K2021" i="6" s="1"/>
  <c r="I2072" i="6" a="1"/>
  <c r="I2072" i="6" s="1"/>
  <c r="K2072" i="6" s="1"/>
  <c r="I2174" i="6" a="1"/>
  <c r="I2174" i="6" s="1"/>
  <c r="K2174" i="6" s="1"/>
  <c r="I2217" i="6" a="1"/>
  <c r="I2217" i="6" s="1"/>
  <c r="K2217" i="6" s="1"/>
  <c r="I2239" i="6" a="1"/>
  <c r="I2239" i="6" s="1"/>
  <c r="K2239" i="6" s="1"/>
  <c r="I2325" i="6" a="1"/>
  <c r="I2325" i="6" s="1"/>
  <c r="K2325" i="6" s="1"/>
  <c r="I2434" i="6" a="1"/>
  <c r="I2434" i="6" s="1"/>
  <c r="K2434" i="6" s="1"/>
  <c r="I2245" i="6" a="1"/>
  <c r="I2245" i="6" s="1"/>
  <c r="K2245" i="6" s="1"/>
  <c r="I2331" i="6" a="1"/>
  <c r="I2331" i="6" s="1"/>
  <c r="K2331" i="6" s="1"/>
  <c r="I2431" i="6" a="1"/>
  <c r="I2431" i="6" s="1"/>
  <c r="K2431" i="6" s="1"/>
  <c r="I2366" i="6" a="1"/>
  <c r="I2366" i="6" s="1"/>
  <c r="K2366" i="6" s="1"/>
  <c r="I2484" i="6" a="1"/>
  <c r="I2484" i="6" s="1"/>
  <c r="K2484" i="6" s="1"/>
  <c r="I2395" i="6" a="1"/>
  <c r="I2395" i="6" s="1"/>
  <c r="K2395" i="6" s="1"/>
  <c r="I2383" i="6" a="1"/>
  <c r="I2383" i="6" s="1"/>
  <c r="K2383" i="6" s="1"/>
  <c r="I2452" i="6" a="1"/>
  <c r="I2452" i="6" s="1"/>
  <c r="K2452" i="6" s="1"/>
  <c r="I2241" i="6" a="1"/>
  <c r="I2241" i="6" s="1"/>
  <c r="K2241" i="6" s="1"/>
  <c r="I2244" i="6" a="1"/>
  <c r="I2244" i="6" s="1"/>
  <c r="K2244" i="6" s="1"/>
  <c r="I2563" i="6" a="1"/>
  <c r="I2563" i="6" s="1"/>
  <c r="K2563" i="6" s="1"/>
  <c r="I2517" i="6" a="1"/>
  <c r="I2517" i="6" s="1"/>
  <c r="K2517" i="6" s="1"/>
  <c r="I2567" i="6" a="1"/>
  <c r="I2567" i="6" s="1"/>
  <c r="K2567" i="6" s="1"/>
  <c r="I2400" i="6" a="1"/>
  <c r="I2400" i="6" s="1"/>
  <c r="K2400" i="6" s="1"/>
  <c r="I2644" i="6" a="1"/>
  <c r="I2644" i="6" s="1"/>
  <c r="K2644" i="6" s="1"/>
  <c r="I2610" i="6" a="1"/>
  <c r="I2610" i="6" s="1"/>
  <c r="K2610" i="6" s="1"/>
  <c r="I2523" i="6" a="1"/>
  <c r="I2523" i="6" s="1"/>
  <c r="K2523" i="6" s="1"/>
  <c r="I2488" i="6" a="1"/>
  <c r="I2488" i="6" s="1"/>
  <c r="K2488" i="6" s="1"/>
  <c r="I2631" i="6" a="1"/>
  <c r="I2631" i="6" s="1"/>
  <c r="K2631" i="6" s="1"/>
  <c r="I2499" i="6" a="1"/>
  <c r="I2499" i="6" s="1"/>
  <c r="K2499" i="6" s="1"/>
  <c r="I2470" i="6" a="1"/>
  <c r="I2470" i="6" s="1"/>
  <c r="K2470" i="6" s="1"/>
  <c r="I2858" i="6" a="1"/>
  <c r="I2858" i="6" s="1"/>
  <c r="K2858" i="6" s="1"/>
  <c r="I2578" i="6" a="1"/>
  <c r="I2578" i="6" s="1"/>
  <c r="K2578" i="6" s="1"/>
  <c r="I2823" i="6" a="1"/>
  <c r="I2823" i="6" s="1"/>
  <c r="K2823" i="6" s="1"/>
  <c r="I2647" i="6" a="1"/>
  <c r="I2647" i="6" s="1"/>
  <c r="K2647" i="6" s="1"/>
  <c r="I2705" i="6" a="1"/>
  <c r="I2705" i="6" s="1"/>
  <c r="K2705" i="6" s="1"/>
  <c r="I2938" i="6" a="1"/>
  <c r="I2938" i="6" s="1"/>
  <c r="K2938" i="6" s="1"/>
  <c r="I2936" i="6" a="1"/>
  <c r="I2936" i="6" s="1"/>
  <c r="K2936" i="6" s="1"/>
  <c r="I2835" i="6" a="1"/>
  <c r="I2835" i="6" s="1"/>
  <c r="K2835" i="6" s="1"/>
  <c r="I2763" i="6" a="1"/>
  <c r="I2763" i="6" s="1"/>
  <c r="K2763" i="6" s="1"/>
  <c r="I2737" i="6" a="1"/>
  <c r="I2737" i="6" s="1"/>
  <c r="K2737" i="6" s="1"/>
  <c r="I2880" i="6" a="1"/>
  <c r="I2880" i="6" s="1"/>
  <c r="K2880" i="6" s="1"/>
  <c r="I2919" i="6" a="1"/>
  <c r="I2919" i="6" s="1"/>
  <c r="K2919" i="6" s="1"/>
  <c r="I2863" i="6" a="1"/>
  <c r="I2863" i="6" s="1"/>
  <c r="K2863" i="6" s="1"/>
  <c r="I2991" i="6" a="1"/>
  <c r="I2991" i="6" s="1"/>
  <c r="K2991" i="6" s="1"/>
  <c r="I2710" i="6" a="1"/>
  <c r="I2710" i="6" s="1"/>
  <c r="K2710" i="6" s="1"/>
  <c r="I2985" i="6" a="1"/>
  <c r="I2985" i="6" s="1"/>
  <c r="K2985" i="6" s="1"/>
  <c r="I2892" i="6" a="1"/>
  <c r="I2892" i="6" s="1"/>
  <c r="K2892" i="6" s="1"/>
  <c r="I2883" i="6" a="1"/>
  <c r="I2883" i="6" s="1"/>
  <c r="K2883" i="6" s="1"/>
  <c r="I2998" i="6" a="1"/>
  <c r="I2998" i="6" s="1"/>
  <c r="K2998" i="6" s="1"/>
  <c r="I2940" i="6" a="1"/>
  <c r="I2940" i="6" s="1"/>
  <c r="K2940" i="6" s="1"/>
  <c r="I2462" i="6" a="1"/>
  <c r="I2462" i="6" s="1"/>
  <c r="K2462" i="6" s="1"/>
  <c r="I2718" i="6" a="1"/>
  <c r="I2718" i="6" s="1"/>
  <c r="K2718" i="6" s="1"/>
  <c r="I3096" i="6" a="1"/>
  <c r="I3096" i="6" s="1"/>
  <c r="K3096" i="6" s="1"/>
  <c r="I3111" i="6" a="1"/>
  <c r="I3111" i="6" s="1"/>
  <c r="K3111" i="6" s="1"/>
  <c r="I3086" i="6" a="1"/>
  <c r="I3086" i="6" s="1"/>
  <c r="K3086" i="6" s="1"/>
  <c r="I3121" i="6" a="1"/>
  <c r="I3121" i="6" s="1"/>
  <c r="K3121" i="6" s="1"/>
  <c r="I1498" i="6" a="1"/>
  <c r="I1498" i="6" s="1"/>
  <c r="K1498" i="6" s="1"/>
  <c r="I1474" i="6" a="1"/>
  <c r="I1474" i="6" s="1"/>
  <c r="K1474" i="6" s="1"/>
  <c r="I1538" i="6" a="1"/>
  <c r="I1538" i="6" s="1"/>
  <c r="K1538" i="6" s="1"/>
  <c r="I1526" i="6" a="1"/>
  <c r="I1526" i="6" s="1"/>
  <c r="K1526" i="6" s="1"/>
  <c r="I1529" i="6" a="1"/>
  <c r="I1529" i="6" s="1"/>
  <c r="K1529" i="6" s="1"/>
  <c r="I1477" i="6" a="1"/>
  <c r="I1477" i="6" s="1"/>
  <c r="K1477" i="6" s="1"/>
  <c r="I1771" i="6" a="1"/>
  <c r="I1771" i="6" s="1"/>
  <c r="K1771" i="6" s="1"/>
  <c r="I1620" i="6" a="1"/>
  <c r="I1620" i="6" s="1"/>
  <c r="K1620" i="6" s="1"/>
  <c r="I1492" i="6" a="1"/>
  <c r="I1492" i="6" s="1"/>
  <c r="K1492" i="6" s="1"/>
  <c r="I1889" i="6" a="1"/>
  <c r="I1889" i="6" s="1"/>
  <c r="K1889" i="6" s="1"/>
  <c r="I1677" i="6" a="1"/>
  <c r="I1677" i="6" s="1"/>
  <c r="K1677" i="6" s="1"/>
  <c r="I1699" i="6" a="1"/>
  <c r="I1699" i="6" s="1"/>
  <c r="K1699" i="6" s="1"/>
  <c r="I1612" i="6" a="1"/>
  <c r="I1612" i="6" s="1"/>
  <c r="K1612" i="6" s="1"/>
  <c r="I1583" i="6" a="1"/>
  <c r="I1583" i="6" s="1"/>
  <c r="K1583" i="6" s="1"/>
  <c r="I1707" i="6" a="1"/>
  <c r="I1707" i="6" s="1"/>
  <c r="K1707" i="6" s="1"/>
  <c r="I1822" i="6" a="1"/>
  <c r="I1822" i="6" s="1"/>
  <c r="K1822" i="6" s="1"/>
  <c r="I1735" i="6" a="1"/>
  <c r="I1735" i="6" s="1"/>
  <c r="K1735" i="6" s="1"/>
  <c r="I1879" i="6" a="1"/>
  <c r="I1879" i="6" s="1"/>
  <c r="K1879" i="6" s="1"/>
  <c r="I1885" i="6" a="1"/>
  <c r="I1885" i="6" s="1"/>
  <c r="K1885" i="6" s="1"/>
  <c r="I1837" i="6" a="1"/>
  <c r="I1837" i="6" s="1"/>
  <c r="K1837" i="6" s="1"/>
  <c r="I1911" i="6" a="1"/>
  <c r="I1911" i="6" s="1"/>
  <c r="K1911" i="6" s="1"/>
  <c r="I1961" i="6" a="1"/>
  <c r="I1961" i="6" s="1"/>
  <c r="K1961" i="6" s="1"/>
  <c r="I1953" i="6" a="1"/>
  <c r="I1953" i="6" s="1"/>
  <c r="K1953" i="6" s="1"/>
  <c r="I1758" i="6" a="1"/>
  <c r="I1758" i="6" s="1"/>
  <c r="K1758" i="6" s="1"/>
  <c r="I2022" i="6" a="1"/>
  <c r="I2022" i="6" s="1"/>
  <c r="K2022" i="6" s="1"/>
  <c r="I1684" i="6" a="1"/>
  <c r="I1684" i="6" s="1"/>
  <c r="K1684" i="6" s="1"/>
  <c r="I1912" i="6" a="1"/>
  <c r="I1912" i="6" s="1"/>
  <c r="K1912" i="6" s="1"/>
  <c r="I2031" i="6" a="1"/>
  <c r="I2031" i="6" s="1"/>
  <c r="K2031" i="6" s="1"/>
  <c r="I2026" i="6" a="1"/>
  <c r="I2026" i="6" s="1"/>
  <c r="K2026" i="6" s="1"/>
  <c r="I1816" i="6" a="1"/>
  <c r="I1816" i="6" s="1"/>
  <c r="K1816" i="6" s="1"/>
  <c r="I1772" i="6" a="1"/>
  <c r="I1772" i="6" s="1"/>
  <c r="K1772" i="6" s="1"/>
  <c r="I1711" i="6" a="1"/>
  <c r="I1711" i="6" s="1"/>
  <c r="K1711" i="6" s="1"/>
  <c r="I1900" i="6" a="1"/>
  <c r="I1900" i="6" s="1"/>
  <c r="K1900" i="6" s="1"/>
  <c r="I2164" i="6" a="1"/>
  <c r="I2164" i="6" s="1"/>
  <c r="K2164" i="6" s="1"/>
  <c r="I1978" i="6" a="1"/>
  <c r="I1978" i="6" s="1"/>
  <c r="K1978" i="6" s="1"/>
  <c r="I1965" i="6" a="1"/>
  <c r="I1965" i="6" s="1"/>
  <c r="K1965" i="6" s="1"/>
  <c r="I2098" i="6" a="1"/>
  <c r="I2098" i="6" s="1"/>
  <c r="K2098" i="6" s="1"/>
  <c r="I2079" i="6" a="1"/>
  <c r="I2079" i="6" s="1"/>
  <c r="K2079" i="6" s="1"/>
  <c r="I2266" i="6" a="1"/>
  <c r="I2266" i="6" s="1"/>
  <c r="K2266" i="6" s="1"/>
  <c r="I2063" i="6" a="1"/>
  <c r="I2063" i="6" s="1"/>
  <c r="K2063" i="6" s="1"/>
  <c r="I2078" i="6" a="1"/>
  <c r="I2078" i="6" s="1"/>
  <c r="K2078" i="6" s="1"/>
  <c r="I1915" i="6" a="1"/>
  <c r="I1915" i="6" s="1"/>
  <c r="K1915" i="6" s="1"/>
  <c r="I2186" i="6" a="1"/>
  <c r="I2186" i="6" s="1"/>
  <c r="K2186" i="6" s="1"/>
  <c r="I2077" i="6" a="1"/>
  <c r="I2077" i="6" s="1"/>
  <c r="K2077" i="6" s="1"/>
  <c r="I2355" i="6" a="1"/>
  <c r="I2355" i="6" s="1"/>
  <c r="K2355" i="6" s="1"/>
  <c r="I2037" i="6" a="1"/>
  <c r="I2037" i="6" s="1"/>
  <c r="K2037" i="6" s="1"/>
  <c r="I2088" i="6" a="1"/>
  <c r="I2088" i="6" s="1"/>
  <c r="K2088" i="6" s="1"/>
  <c r="I2198" i="6" a="1"/>
  <c r="I2198" i="6" s="1"/>
  <c r="K2198" i="6" s="1"/>
  <c r="I2263" i="6" a="1"/>
  <c r="I2263" i="6" s="1"/>
  <c r="K2263" i="6" s="1"/>
  <c r="I2249" i="6" a="1"/>
  <c r="I2249" i="6" s="1"/>
  <c r="K2249" i="6" s="1"/>
  <c r="I2334" i="6" a="1"/>
  <c r="I2334" i="6" s="1"/>
  <c r="K2334" i="6" s="1"/>
  <c r="I2482" i="6" a="1"/>
  <c r="I2482" i="6" s="1"/>
  <c r="K2482" i="6" s="1"/>
  <c r="I2315" i="6" a="1"/>
  <c r="I2315" i="6" s="1"/>
  <c r="K2315" i="6" s="1"/>
  <c r="I2362" i="6" a="1"/>
  <c r="I2362" i="6" s="1"/>
  <c r="K2362" i="6" s="1"/>
  <c r="I2433" i="6" a="1"/>
  <c r="I2433" i="6" s="1"/>
  <c r="K2433" i="6" s="1"/>
  <c r="I2381" i="6" a="1"/>
  <c r="I2381" i="6" s="1"/>
  <c r="K2381" i="6" s="1"/>
  <c r="I2503" i="6" a="1"/>
  <c r="I2503" i="6" s="1"/>
  <c r="K2503" i="6" s="1"/>
  <c r="I2399" i="6" a="1"/>
  <c r="I2399" i="6" s="1"/>
  <c r="K2399" i="6" s="1"/>
  <c r="I2416" i="6" a="1"/>
  <c r="I2416" i="6" s="1"/>
  <c r="K2416" i="6" s="1"/>
  <c r="I2456" i="6" a="1"/>
  <c r="I2456" i="6" s="1"/>
  <c r="K2456" i="6" s="1"/>
  <c r="I2257" i="6" a="1"/>
  <c r="I2257" i="6" s="1"/>
  <c r="K2257" i="6" s="1"/>
  <c r="I2260" i="6" a="1"/>
  <c r="I2260" i="6" s="1"/>
  <c r="K2260" i="6" s="1"/>
  <c r="I2569" i="6" a="1"/>
  <c r="I2569" i="6" s="1"/>
  <c r="K2569" i="6" s="1"/>
  <c r="I2536" i="6" a="1"/>
  <c r="I2536" i="6" s="1"/>
  <c r="K2536" i="6" s="1"/>
  <c r="I2572" i="6" a="1"/>
  <c r="I2572" i="6" s="1"/>
  <c r="K2572" i="6" s="1"/>
  <c r="I2420" i="6" a="1"/>
  <c r="I2420" i="6" s="1"/>
  <c r="K2420" i="6" s="1"/>
  <c r="I2646" i="6" a="1"/>
  <c r="I2646" i="6" s="1"/>
  <c r="K2646" i="6" s="1"/>
  <c r="I2619" i="6" a="1"/>
  <c r="I2619" i="6" s="1"/>
  <c r="K2619" i="6" s="1"/>
  <c r="I2543" i="6" a="1"/>
  <c r="I2543" i="6" s="1"/>
  <c r="K2543" i="6" s="1"/>
  <c r="I2491" i="6" a="1"/>
  <c r="I2491" i="6" s="1"/>
  <c r="K2491" i="6" s="1"/>
  <c r="I2645" i="6" a="1"/>
  <c r="I2645" i="6" s="1"/>
  <c r="K2645" i="6" s="1"/>
  <c r="I2519" i="6" a="1"/>
  <c r="I2519" i="6" s="1"/>
  <c r="K2519" i="6" s="1"/>
  <c r="I2493" i="6" a="1"/>
  <c r="I2493" i="6" s="1"/>
  <c r="K2493" i="6" s="1"/>
  <c r="I2828" i="6" a="1"/>
  <c r="I2828" i="6" s="1"/>
  <c r="K2828" i="6" s="1"/>
  <c r="I2598" i="6" a="1"/>
  <c r="I2598" i="6" s="1"/>
  <c r="K2598" i="6" s="1"/>
  <c r="I2836" i="6" a="1"/>
  <c r="I2836" i="6" s="1"/>
  <c r="K2836" i="6" s="1"/>
  <c r="I2649" i="6" a="1"/>
  <c r="I2649" i="6" s="1"/>
  <c r="K2649" i="6" s="1"/>
  <c r="I1496" i="6" a="1"/>
  <c r="I1496" i="6" s="1"/>
  <c r="K1496" i="6" s="1"/>
  <c r="I1507" i="6" a="1"/>
  <c r="I1507" i="6" s="1"/>
  <c r="K1507" i="6" s="1"/>
  <c r="I1536" i="6" a="1"/>
  <c r="I1536" i="6" s="1"/>
  <c r="K1536" i="6" s="1"/>
  <c r="I1554" i="6" a="1"/>
  <c r="I1554" i="6" s="1"/>
  <c r="K1554" i="6" s="1"/>
  <c r="I1493" i="6" a="1"/>
  <c r="I1493" i="6" s="1"/>
  <c r="K1493" i="6" s="1"/>
  <c r="I1809" i="6" a="1"/>
  <c r="I1809" i="6" s="1"/>
  <c r="K1809" i="6" s="1"/>
  <c r="I1624" i="6" a="1"/>
  <c r="I1624" i="6" s="1"/>
  <c r="K1624" i="6" s="1"/>
  <c r="I1489" i="6" a="1"/>
  <c r="I1489" i="6" s="1"/>
  <c r="K1489" i="6" s="1"/>
  <c r="I1508" i="6" a="1"/>
  <c r="I1508" i="6" s="1"/>
  <c r="K1508" i="6" s="1"/>
  <c r="I1650" i="6" a="1"/>
  <c r="I1650" i="6" s="1"/>
  <c r="K1650" i="6" s="1"/>
  <c r="I1696" i="6" a="1"/>
  <c r="I1696" i="6" s="1"/>
  <c r="K1696" i="6" s="1"/>
  <c r="I1719" i="6" a="1"/>
  <c r="I1719" i="6" s="1"/>
  <c r="K1719" i="6" s="1"/>
  <c r="I1614" i="6" a="1"/>
  <c r="I1614" i="6" s="1"/>
  <c r="K1614" i="6" s="1"/>
  <c r="I1605" i="6" a="1"/>
  <c r="I1605" i="6" s="1"/>
  <c r="K1605" i="6" s="1"/>
  <c r="I1763" i="6" a="1"/>
  <c r="I1763" i="6" s="1"/>
  <c r="K1763" i="6" s="1"/>
  <c r="I1859" i="6" a="1"/>
  <c r="I1859" i="6" s="1"/>
  <c r="K1859" i="6" s="1"/>
  <c r="I1751" i="6" a="1"/>
  <c r="I1751" i="6" s="1"/>
  <c r="K1751" i="6" s="1"/>
  <c r="I1913" i="6" a="1"/>
  <c r="I1913" i="6" s="1"/>
  <c r="K1913" i="6" s="1"/>
  <c r="I1896" i="6" a="1"/>
  <c r="I1896" i="6" s="1"/>
  <c r="K1896" i="6" s="1"/>
  <c r="I1863" i="6" a="1"/>
  <c r="I1863" i="6" s="1"/>
  <c r="K1863" i="6" s="1"/>
  <c r="I1595" i="6" a="1"/>
  <c r="I1595" i="6" s="1"/>
  <c r="K1595" i="6" s="1"/>
  <c r="I1701" i="6" a="1"/>
  <c r="I1701" i="6" s="1"/>
  <c r="K1701" i="6" s="1"/>
  <c r="I1959" i="6" a="1"/>
  <c r="I1959" i="6" s="1"/>
  <c r="K1959" i="6" s="1"/>
  <c r="I1774" i="6" a="1"/>
  <c r="I1774" i="6" s="1"/>
  <c r="K1774" i="6" s="1"/>
  <c r="I1745" i="6" a="1"/>
  <c r="I1745" i="6" s="1"/>
  <c r="K1745" i="6" s="1"/>
  <c r="I1700" i="6" a="1"/>
  <c r="I1700" i="6" s="1"/>
  <c r="K1700" i="6" s="1"/>
  <c r="I1958" i="6" a="1"/>
  <c r="I1958" i="6" s="1"/>
  <c r="K1958" i="6" s="1"/>
  <c r="I2054" i="6" a="1"/>
  <c r="I2054" i="6" s="1"/>
  <c r="K2054" i="6" s="1"/>
  <c r="I2034" i="6" a="1"/>
  <c r="I2034" i="6" s="1"/>
  <c r="K2034" i="6" s="1"/>
  <c r="I1836" i="6" a="1"/>
  <c r="I1836" i="6" s="1"/>
  <c r="K1836" i="6" s="1"/>
  <c r="I1810" i="6" a="1"/>
  <c r="I1810" i="6" s="1"/>
  <c r="K1810" i="6" s="1"/>
  <c r="I1727" i="6" a="1"/>
  <c r="I1727" i="6" s="1"/>
  <c r="K1727" i="6" s="1"/>
  <c r="I1955" i="6" a="1"/>
  <c r="I1955" i="6" s="1"/>
  <c r="K1955" i="6" s="1"/>
  <c r="I2189" i="6" a="1"/>
  <c r="I2189" i="6" s="1"/>
  <c r="K2189" i="6" s="1"/>
  <c r="I1994" i="6" a="1"/>
  <c r="I1994" i="6" s="1"/>
  <c r="K1994" i="6" s="1"/>
  <c r="I1981" i="6" a="1"/>
  <c r="I1981" i="6" s="1"/>
  <c r="K1981" i="6" s="1"/>
  <c r="I2102" i="6" a="1"/>
  <c r="I2102" i="6" s="1"/>
  <c r="K2102" i="6" s="1"/>
  <c r="I2179" i="6" a="1"/>
  <c r="I2179" i="6" s="1"/>
  <c r="K2179" i="6" s="1"/>
  <c r="I2166" i="6" a="1"/>
  <c r="I2166" i="6" s="1"/>
  <c r="K2166" i="6" s="1"/>
  <c r="I2065" i="6" a="1"/>
  <c r="I2065" i="6" s="1"/>
  <c r="K2065" i="6" s="1"/>
  <c r="I2080" i="6" a="1"/>
  <c r="I2080" i="6" s="1"/>
  <c r="K2080" i="6" s="1"/>
  <c r="I1931" i="6" a="1"/>
  <c r="I1931" i="6" s="1"/>
  <c r="K1931" i="6" s="1"/>
  <c r="I2194" i="6" a="1"/>
  <c r="I2194" i="6" s="1"/>
  <c r="K2194" i="6" s="1"/>
  <c r="I2093" i="6" a="1"/>
  <c r="I2093" i="6" s="1"/>
  <c r="K2093" i="6" s="1"/>
  <c r="I2231" i="6" a="1"/>
  <c r="I2231" i="6" s="1"/>
  <c r="K2231" i="6" s="1"/>
  <c r="I2053" i="6" a="1"/>
  <c r="I2053" i="6" s="1"/>
  <c r="K2053" i="6" s="1"/>
  <c r="I2104" i="6" a="1"/>
  <c r="I2104" i="6" s="1"/>
  <c r="K2104" i="6" s="1"/>
  <c r="I2213" i="6" a="1"/>
  <c r="I2213" i="6" s="1"/>
  <c r="K2213" i="6" s="1"/>
  <c r="I2296" i="6" a="1"/>
  <c r="I2296" i="6" s="1"/>
  <c r="K2296" i="6" s="1"/>
  <c r="I2269" i="6" a="1"/>
  <c r="I2269" i="6" s="1"/>
  <c r="K2269" i="6" s="1"/>
  <c r="I2409" i="6" a="1"/>
  <c r="I2409" i="6" s="1"/>
  <c r="K2409" i="6" s="1"/>
  <c r="I2226" i="6" a="1"/>
  <c r="I2226" i="6" s="1"/>
  <c r="K2226" i="6" s="1"/>
  <c r="I2385" i="6" a="1"/>
  <c r="I2385" i="6" s="1"/>
  <c r="K2385" i="6" s="1"/>
  <c r="I2392" i="6" a="1"/>
  <c r="I2392" i="6" s="1"/>
  <c r="K2392" i="6" s="1"/>
  <c r="I2472" i="6" a="1"/>
  <c r="I2472" i="6" s="1"/>
  <c r="K2472" i="6" s="1"/>
  <c r="I2444" i="6" a="1"/>
  <c r="I2444" i="6" s="1"/>
  <c r="K2444" i="6" s="1"/>
  <c r="I2508" i="6" a="1"/>
  <c r="I2508" i="6" s="1"/>
  <c r="K2508" i="6" s="1"/>
  <c r="I2410" i="6" a="1"/>
  <c r="I2410" i="6" s="1"/>
  <c r="K2410" i="6" s="1"/>
  <c r="I2438" i="6" a="1"/>
  <c r="I2438" i="6" s="1"/>
  <c r="K2438" i="6" s="1"/>
  <c r="I2467" i="6" a="1"/>
  <c r="I2467" i="6" s="1"/>
  <c r="K2467" i="6" s="1"/>
  <c r="I2273" i="6" a="1"/>
  <c r="I2273" i="6" s="1"/>
  <c r="K2273" i="6" s="1"/>
  <c r="I2276" i="6" a="1"/>
  <c r="I2276" i="6" s="1"/>
  <c r="K2276" i="6" s="1"/>
  <c r="I2582" i="6" a="1"/>
  <c r="I2582" i="6" s="1"/>
  <c r="K2582" i="6" s="1"/>
  <c r="I2579" i="6" a="1"/>
  <c r="I2579" i="6" s="1"/>
  <c r="K2579" i="6" s="1"/>
  <c r="I2625" i="6" a="1"/>
  <c r="I2625" i="6" s="1"/>
  <c r="K2625" i="6" s="1"/>
  <c r="I1552" i="6" a="1"/>
  <c r="I1552" i="6" s="1"/>
  <c r="K1552" i="6" s="1"/>
  <c r="I1568" i="6" a="1"/>
  <c r="I1568" i="6" s="1"/>
  <c r="K1568" i="6" s="1"/>
  <c r="I1571" i="6" a="1"/>
  <c r="I1571" i="6" s="1"/>
  <c r="K1571" i="6" s="1"/>
  <c r="I1479" i="6" a="1"/>
  <c r="I1479" i="6" s="1"/>
  <c r="K1479" i="6" s="1"/>
  <c r="I1509" i="6" a="1"/>
  <c r="I1509" i="6" s="1"/>
  <c r="K1509" i="6" s="1"/>
  <c r="I1654" i="6" a="1"/>
  <c r="I1654" i="6" s="1"/>
  <c r="K1654" i="6" s="1"/>
  <c r="I1505" i="6" a="1"/>
  <c r="I1505" i="6" s="1"/>
  <c r="K1505" i="6" s="1"/>
  <c r="I1511" i="6" a="1"/>
  <c r="I1511" i="6" s="1"/>
  <c r="K1511" i="6" s="1"/>
  <c r="I1661" i="6" a="1"/>
  <c r="I1661" i="6" s="1"/>
  <c r="K1661" i="6" s="1"/>
  <c r="I1704" i="6" a="1"/>
  <c r="I1704" i="6" s="1"/>
  <c r="K1704" i="6" s="1"/>
  <c r="I1481" i="6" a="1"/>
  <c r="I1481" i="6" s="1"/>
  <c r="K1481" i="6" s="1"/>
  <c r="I1747" i="6" a="1"/>
  <c r="I1747" i="6" s="1"/>
  <c r="K1747" i="6" s="1"/>
  <c r="I1625" i="6" a="1"/>
  <c r="I1625" i="6" s="1"/>
  <c r="K1625" i="6" s="1"/>
  <c r="I1627" i="6" a="1"/>
  <c r="I1627" i="6" s="1"/>
  <c r="K1627" i="6" s="1"/>
  <c r="I1785" i="6" a="1"/>
  <c r="I1785" i="6" s="1"/>
  <c r="K1785" i="6" s="1"/>
  <c r="I1864" i="6" a="1"/>
  <c r="I1864" i="6" s="1"/>
  <c r="K1864" i="6" s="1"/>
  <c r="I1755" i="6" a="1"/>
  <c r="I1755" i="6" s="1"/>
  <c r="K1755" i="6" s="1"/>
  <c r="I1919" i="6" a="1"/>
  <c r="I1919" i="6" s="1"/>
  <c r="K1919" i="6" s="1"/>
  <c r="I1844" i="6" a="1"/>
  <c r="I1844" i="6" s="1"/>
  <c r="K1844" i="6" s="1"/>
  <c r="I1880" i="6" a="1"/>
  <c r="I1880" i="6" s="1"/>
  <c r="K1880" i="6" s="1"/>
  <c r="I1607" i="6" a="1"/>
  <c r="I1607" i="6" s="1"/>
  <c r="K1607" i="6" s="1"/>
  <c r="I1717" i="6" a="1"/>
  <c r="I1717" i="6" s="1"/>
  <c r="K1717" i="6" s="1"/>
  <c r="I1967" i="6" a="1"/>
  <c r="I1967" i="6" s="1"/>
  <c r="K1967" i="6" s="1"/>
  <c r="I1780" i="6" a="1"/>
  <c r="I1780" i="6" s="1"/>
  <c r="K1780" i="6" s="1"/>
  <c r="I1761" i="6" a="1"/>
  <c r="I1761" i="6" s="1"/>
  <c r="K1761" i="6" s="1"/>
  <c r="I1716" i="6" a="1"/>
  <c r="I1716" i="6" s="1"/>
  <c r="K1716" i="6" s="1"/>
  <c r="I1972" i="6" a="1"/>
  <c r="I1972" i="6" s="1"/>
  <c r="K1972" i="6" s="1"/>
  <c r="I2114" i="6" a="1"/>
  <c r="I2114" i="6" s="1"/>
  <c r="K2114" i="6" s="1"/>
  <c r="I1998" i="6" a="1"/>
  <c r="I1998" i="6" s="1"/>
  <c r="K1998" i="6" s="1"/>
  <c r="I1839" i="6" a="1"/>
  <c r="I1839" i="6" s="1"/>
  <c r="K1839" i="6" s="1"/>
  <c r="I1830" i="6" a="1"/>
  <c r="I1830" i="6" s="1"/>
  <c r="K1830" i="6" s="1"/>
  <c r="I1743" i="6" a="1"/>
  <c r="I1743" i="6" s="1"/>
  <c r="K1743" i="6" s="1"/>
  <c r="I1969" i="6" a="1"/>
  <c r="I1969" i="6" s="1"/>
  <c r="K1969" i="6" s="1"/>
  <c r="I2192" i="6" a="1"/>
  <c r="I2192" i="6" s="1"/>
  <c r="K2192" i="6" s="1"/>
  <c r="I2010" i="6" a="1"/>
  <c r="I2010" i="6" s="1"/>
  <c r="K2010" i="6" s="1"/>
  <c r="I1997" i="6" a="1"/>
  <c r="I1997" i="6" s="1"/>
  <c r="K1997" i="6" s="1"/>
  <c r="I2159" i="6" a="1"/>
  <c r="I2159" i="6" s="1"/>
  <c r="K2159" i="6" s="1"/>
  <c r="I2129" i="6" a="1"/>
  <c r="I2129" i="6" s="1"/>
  <c r="K2129" i="6" s="1"/>
  <c r="I2183" i="6" a="1"/>
  <c r="I2183" i="6" s="1"/>
  <c r="K2183" i="6" s="1"/>
  <c r="I2097" i="6" a="1"/>
  <c r="I2097" i="6" s="1"/>
  <c r="K2097" i="6" s="1"/>
  <c r="I2095" i="6" a="1"/>
  <c r="I2095" i="6" s="1"/>
  <c r="K2095" i="6" s="1"/>
  <c r="I1947" i="6" a="1"/>
  <c r="I1947" i="6" s="1"/>
  <c r="K1947" i="6" s="1"/>
  <c r="I2248" i="6" a="1"/>
  <c r="I2248" i="6" s="1"/>
  <c r="K2248" i="6" s="1"/>
  <c r="I2109" i="6" a="1"/>
  <c r="I2109" i="6" s="1"/>
  <c r="K2109" i="6" s="1"/>
  <c r="I2247" i="6" a="1"/>
  <c r="I2247" i="6" s="1"/>
  <c r="K2247" i="6" s="1"/>
  <c r="I2069" i="6" a="1"/>
  <c r="I2069" i="6" s="1"/>
  <c r="K2069" i="6" s="1"/>
  <c r="I2120" i="6" a="1"/>
  <c r="I2120" i="6" s="1"/>
  <c r="K2120" i="6" s="1"/>
  <c r="I2221" i="6" a="1"/>
  <c r="I2221" i="6" s="1"/>
  <c r="K2221" i="6" s="1"/>
  <c r="I2309" i="6" a="1"/>
  <c r="I2309" i="6" s="1"/>
  <c r="K2309" i="6" s="1"/>
  <c r="I2318" i="6" a="1"/>
  <c r="I2318" i="6" s="1"/>
  <c r="K2318" i="6" s="1"/>
  <c r="I2160" i="6" a="1"/>
  <c r="I2160" i="6" s="1"/>
  <c r="K2160" i="6" s="1"/>
  <c r="I2281" i="6" a="1"/>
  <c r="I2281" i="6" s="1"/>
  <c r="K2281" i="6" s="1"/>
  <c r="I2152" i="6" a="1"/>
  <c r="I2152" i="6" s="1"/>
  <c r="K2152" i="6" s="1"/>
  <c r="I2441" i="6" a="1"/>
  <c r="I2441" i="6" s="1"/>
  <c r="K2441" i="6" s="1"/>
  <c r="I2500" i="6" a="1"/>
  <c r="I2500" i="6" s="1"/>
  <c r="K2500" i="6" s="1"/>
  <c r="I2477" i="6" a="1"/>
  <c r="I2477" i="6" s="1"/>
  <c r="K2477" i="6" s="1"/>
  <c r="I2188" i="6" a="1"/>
  <c r="I2188" i="6" s="1"/>
  <c r="K2188" i="6" s="1"/>
  <c r="I2412" i="6" a="1"/>
  <c r="I2412" i="6" s="1"/>
  <c r="K2412" i="6" s="1"/>
  <c r="I2454" i="6" a="1"/>
  <c r="I2454" i="6" s="1"/>
  <c r="K2454" i="6" s="1"/>
  <c r="I2506" i="6" a="1"/>
  <c r="I2506" i="6" s="1"/>
  <c r="K2506" i="6" s="1"/>
  <c r="I2289" i="6" a="1"/>
  <c r="I2289" i="6" s="1"/>
  <c r="K2289" i="6" s="1"/>
  <c r="I2292" i="6" a="1"/>
  <c r="I2292" i="6" s="1"/>
  <c r="K2292" i="6" s="1"/>
  <c r="I2279" i="6" a="1"/>
  <c r="I2279" i="6" s="1"/>
  <c r="K2279" i="6" s="1"/>
  <c r="I2562" i="6" a="1"/>
  <c r="I2562" i="6" s="1"/>
  <c r="K2562" i="6" s="1"/>
  <c r="I2648" i="6" a="1"/>
  <c r="I2648" i="6" s="1"/>
  <c r="K2648" i="6" s="1"/>
  <c r="I2489" i="6" a="1"/>
  <c r="I2489" i="6" s="1"/>
  <c r="K2489" i="6" s="1"/>
  <c r="I2711" i="6" a="1"/>
  <c r="I2711" i="6" s="1"/>
  <c r="K2711" i="6" s="1"/>
  <c r="I2688" i="6" a="1"/>
  <c r="I2688" i="6" s="1"/>
  <c r="K2688" i="6" s="1"/>
  <c r="I2566" i="6" a="1"/>
  <c r="I2566" i="6" s="1"/>
  <c r="K2566" i="6" s="1"/>
  <c r="I2514" i="6" a="1"/>
  <c r="I2514" i="6" s="1"/>
  <c r="K2514" i="6" s="1"/>
  <c r="I2692" i="6" a="1"/>
  <c r="I2692" i="6" s="1"/>
  <c r="K2692" i="6" s="1"/>
  <c r="I2545" i="6" a="1"/>
  <c r="I2545" i="6" s="1"/>
  <c r="K2545" i="6" s="1"/>
  <c r="I1475" i="6" a="1"/>
  <c r="I1475" i="6" s="1"/>
  <c r="K1475" i="6" s="1"/>
  <c r="I1613" i="6" a="1"/>
  <c r="I1613" i="6" s="1"/>
  <c r="K1613" i="6" s="1"/>
  <c r="I1697" i="6" a="1"/>
  <c r="I1697" i="6" s="1"/>
  <c r="K1697" i="6" s="1"/>
  <c r="I1494" i="6" a="1"/>
  <c r="I1494" i="6" s="1"/>
  <c r="K1494" i="6" s="1"/>
  <c r="I1510" i="6" a="1"/>
  <c r="I1510" i="6" s="1"/>
  <c r="K1510" i="6" s="1"/>
  <c r="I1532" i="6" a="1"/>
  <c r="I1532" i="6" s="1"/>
  <c r="K1532" i="6" s="1"/>
  <c r="I1483" i="6" a="1"/>
  <c r="I1483" i="6" s="1"/>
  <c r="K1483" i="6" s="1"/>
  <c r="I1692" i="6" a="1"/>
  <c r="I1692" i="6" s="1"/>
  <c r="K1692" i="6" s="1"/>
  <c r="I1540" i="6" a="1"/>
  <c r="I1540" i="6" s="1"/>
  <c r="K1540" i="6" s="1"/>
  <c r="I1514" i="6" a="1"/>
  <c r="I1514" i="6" s="1"/>
  <c r="K1514" i="6" s="1"/>
  <c r="I1698" i="6" a="1"/>
  <c r="I1698" i="6" s="1"/>
  <c r="K1698" i="6" s="1"/>
  <c r="I1709" i="6" a="1"/>
  <c r="I1709" i="6" s="1"/>
  <c r="K1709" i="6" s="1"/>
  <c r="I1497" i="6" a="1"/>
  <c r="I1497" i="6" s="1"/>
  <c r="K1497" i="6" s="1"/>
  <c r="I1767" i="6" a="1"/>
  <c r="I1767" i="6" s="1"/>
  <c r="K1767" i="6" s="1"/>
  <c r="I1680" i="6" a="1"/>
  <c r="I1680" i="6" s="1"/>
  <c r="K1680" i="6" s="1"/>
  <c r="I1635" i="6" a="1"/>
  <c r="I1635" i="6" s="1"/>
  <c r="K1635" i="6" s="1"/>
  <c r="I1842" i="6" a="1"/>
  <c r="I1842" i="6" s="1"/>
  <c r="K1842" i="6" s="1"/>
  <c r="I1517" i="6" a="1"/>
  <c r="I1517" i="6" s="1"/>
  <c r="K1517" i="6" s="1"/>
  <c r="I1768" i="6" a="1"/>
  <c r="I1768" i="6" s="1"/>
  <c r="K1768" i="6" s="1"/>
  <c r="I1737" i="6" a="1"/>
  <c r="I1737" i="6" s="1"/>
  <c r="K1737" i="6" s="1"/>
  <c r="I1855" i="6" a="1"/>
  <c r="I1855" i="6" s="1"/>
  <c r="K1855" i="6" s="1"/>
  <c r="I1662" i="6" a="1"/>
  <c r="I1662" i="6" s="1"/>
  <c r="K1662" i="6" s="1"/>
  <c r="I1630" i="6" a="1"/>
  <c r="I1630" i="6" s="1"/>
  <c r="K1630" i="6" s="1"/>
  <c r="I1733" i="6" a="1"/>
  <c r="I1733" i="6" s="1"/>
  <c r="K1733" i="6" s="1"/>
  <c r="I1986" i="6" a="1"/>
  <c r="I1986" i="6" s="1"/>
  <c r="K1986" i="6" s="1"/>
  <c r="I1783" i="6" a="1"/>
  <c r="I1783" i="6" s="1"/>
  <c r="K1783" i="6" s="1"/>
  <c r="I1777" i="6" a="1"/>
  <c r="I1777" i="6" s="1"/>
  <c r="K1777" i="6" s="1"/>
  <c r="I1732" i="6" a="1"/>
  <c r="I1732" i="6" s="1"/>
  <c r="K1732" i="6" s="1"/>
  <c r="I1987" i="6" a="1"/>
  <c r="I1987" i="6" s="1"/>
  <c r="K1987" i="6" s="1"/>
  <c r="I1964" i="6" a="1"/>
  <c r="I1964" i="6" s="1"/>
  <c r="K1964" i="6" s="1"/>
  <c r="I1921" i="6" a="1"/>
  <c r="I1921" i="6" s="1"/>
  <c r="K1921" i="6" s="1"/>
  <c r="I1869" i="6" a="1"/>
  <c r="I1869" i="6" s="1"/>
  <c r="K1869" i="6" s="1"/>
  <c r="I1833" i="6" a="1"/>
  <c r="I1833" i="6" s="1"/>
  <c r="K1833" i="6" s="1"/>
  <c r="I1759" i="6" a="1"/>
  <c r="I1759" i="6" s="1"/>
  <c r="K1759" i="6" s="1"/>
  <c r="I1988" i="6" a="1"/>
  <c r="I1988" i="6" s="1"/>
  <c r="K1988" i="6" s="1"/>
  <c r="I2312" i="6" a="1"/>
  <c r="I2312" i="6" s="1"/>
  <c r="K2312" i="6" s="1"/>
  <c r="I2023" i="6" a="1"/>
  <c r="I2023" i="6" s="1"/>
  <c r="K2023" i="6" s="1"/>
  <c r="I2013" i="6" a="1"/>
  <c r="I2013" i="6" s="1"/>
  <c r="K2013" i="6" s="1"/>
  <c r="I2193" i="6" a="1"/>
  <c r="I2193" i="6" s="1"/>
  <c r="K2193" i="6" s="1"/>
  <c r="I2131" i="6" a="1"/>
  <c r="I2131" i="6" s="1"/>
  <c r="K2131" i="6" s="1"/>
  <c r="I2202" i="6" a="1"/>
  <c r="I2202" i="6" s="1"/>
  <c r="K2202" i="6" s="1"/>
  <c r="I2099" i="6" a="1"/>
  <c r="I2099" i="6" s="1"/>
  <c r="K2099" i="6" s="1"/>
  <c r="I2137" i="6" a="1"/>
  <c r="I2137" i="6" s="1"/>
  <c r="K2137" i="6" s="1"/>
  <c r="I1963" i="6" a="1"/>
  <c r="I1963" i="6" s="1"/>
  <c r="K1963" i="6" s="1"/>
  <c r="I2254" i="6" a="1"/>
  <c r="I2254" i="6" s="1"/>
  <c r="K2254" i="6" s="1"/>
  <c r="I2125" i="6" a="1"/>
  <c r="I2125" i="6" s="1"/>
  <c r="K2125" i="6" s="1"/>
  <c r="I2288" i="6" a="1"/>
  <c r="I2288" i="6" s="1"/>
  <c r="K2288" i="6" s="1"/>
  <c r="I2085" i="6" a="1"/>
  <c r="I2085" i="6" s="1"/>
  <c r="K2085" i="6" s="1"/>
  <c r="I2136" i="6" a="1"/>
  <c r="I2136" i="6" s="1"/>
  <c r="K2136" i="6" s="1"/>
  <c r="I2350" i="6" a="1"/>
  <c r="I2350" i="6" s="1"/>
  <c r="K2350" i="6" s="1"/>
  <c r="I2341" i="6" a="1"/>
  <c r="I2341" i="6" s="1"/>
  <c r="K2341" i="6" s="1"/>
  <c r="I2380" i="6" a="1"/>
  <c r="I2380" i="6" s="1"/>
  <c r="K2380" i="6" s="1"/>
  <c r="I2176" i="6" a="1"/>
  <c r="I2176" i="6" s="1"/>
  <c r="K2176" i="6" s="1"/>
  <c r="I2283" i="6" a="1"/>
  <c r="I2283" i="6" s="1"/>
  <c r="K2283" i="6" s="1"/>
  <c r="I2168" i="6" a="1"/>
  <c r="I2168" i="6" s="1"/>
  <c r="K2168" i="6" s="1"/>
  <c r="I2358" i="6" a="1"/>
  <c r="I2358" i="6" s="1"/>
  <c r="K2358" i="6" s="1"/>
  <c r="I2531" i="6" a="1"/>
  <c r="I2531" i="6" s="1"/>
  <c r="K2531" i="6" s="1"/>
  <c r="I2479" i="6" a="1"/>
  <c r="I2479" i="6" s="1"/>
  <c r="K2479" i="6" s="1"/>
  <c r="I2204" i="6" a="1"/>
  <c r="I2204" i="6" s="1"/>
  <c r="K2204" i="6" s="1"/>
  <c r="I2418" i="6" a="1"/>
  <c r="I2418" i="6" s="1"/>
  <c r="K2418" i="6" s="1"/>
  <c r="I2458" i="6" a="1"/>
  <c r="I2458" i="6" s="1"/>
  <c r="K2458" i="6" s="1"/>
  <c r="I2552" i="6" a="1"/>
  <c r="I2552" i="6" s="1"/>
  <c r="K2552" i="6" s="1"/>
  <c r="I2305" i="6" a="1"/>
  <c r="I2305" i="6" s="1"/>
  <c r="K2305" i="6" s="1"/>
  <c r="I2308" i="6" a="1"/>
  <c r="I2308" i="6" s="1"/>
  <c r="K2308" i="6" s="1"/>
  <c r="I2295" i="6" a="1"/>
  <c r="I2295" i="6" s="1"/>
  <c r="K2295" i="6" s="1"/>
  <c r="I2580" i="6" a="1"/>
  <c r="I2580" i="6" s="1"/>
  <c r="K2580" i="6" s="1"/>
  <c r="I2845" i="6" a="1"/>
  <c r="I2845" i="6" s="1"/>
  <c r="K2845" i="6" s="1"/>
  <c r="I2492" i="6" a="1"/>
  <c r="I2492" i="6" s="1"/>
  <c r="K2492" i="6" s="1"/>
  <c r="I2466" i="6" a="1"/>
  <c r="I2466" i="6" s="1"/>
  <c r="K2466" i="6" s="1"/>
  <c r="I2708" i="6" a="1"/>
  <c r="I2708" i="6" s="1"/>
  <c r="K2708" i="6" s="1"/>
  <c r="I2642" i="6" a="1"/>
  <c r="I2642" i="6" s="1"/>
  <c r="K2642" i="6" s="1"/>
  <c r="I2534" i="6" a="1"/>
  <c r="I2534" i="6" s="1"/>
  <c r="K2534" i="6" s="1"/>
  <c r="I2593" i="6" a="1"/>
  <c r="I2593" i="6" s="1"/>
  <c r="K2593" i="6" s="1"/>
  <c r="I2568" i="6" a="1"/>
  <c r="I2568" i="6" s="1"/>
  <c r="K2568" i="6" s="1"/>
  <c r="I2565" i="6" a="1"/>
  <c r="I2565" i="6" s="1"/>
  <c r="K2565" i="6" s="1"/>
  <c r="I2899" i="6" a="1"/>
  <c r="I2899" i="6" s="1"/>
  <c r="K2899" i="6" s="1"/>
  <c r="I2709" i="6" a="1"/>
  <c r="I2709" i="6" s="1"/>
  <c r="K2709" i="6" s="1"/>
  <c r="I2673" i="6" a="1"/>
  <c r="I2673" i="6" s="1"/>
  <c r="K2673" i="6" s="1"/>
  <c r="I2591" i="6" a="1"/>
  <c r="I2591" i="6" s="1"/>
  <c r="K2591" i="6" s="1"/>
  <c r="I2970" i="6" a="1"/>
  <c r="I2970" i="6" s="1"/>
  <c r="K2970" i="6" s="1"/>
  <c r="I2764" i="6" a="1"/>
  <c r="I2764" i="6" s="1"/>
  <c r="K2764" i="6" s="1"/>
  <c r="I2693" i="6" a="1"/>
  <c r="I2693" i="6" s="1"/>
  <c r="K2693" i="6" s="1"/>
  <c r="I2730" i="6" a="1"/>
  <c r="I2730" i="6" s="1"/>
  <c r="K2730" i="6" s="1"/>
  <c r="I2840" i="6" a="1"/>
  <c r="I2840" i="6" s="1"/>
  <c r="K2840" i="6" s="1"/>
  <c r="I2904" i="6" a="1"/>
  <c r="I2904" i="6" s="1"/>
  <c r="K2904" i="6" s="1"/>
  <c r="I2984" i="6" a="1"/>
  <c r="I2984" i="6" s="1"/>
  <c r="K2984" i="6" s="1"/>
  <c r="I2907" i="6" a="1"/>
  <c r="I2907" i="6" s="1"/>
  <c r="K2907" i="6" s="1"/>
  <c r="I2749" i="6" a="1"/>
  <c r="I2749" i="6" s="1"/>
  <c r="K2749" i="6" s="1"/>
  <c r="I2977" i="6" a="1"/>
  <c r="I2977" i="6" s="1"/>
  <c r="K2977" i="6" s="1"/>
  <c r="I2807" i="6" a="1"/>
  <c r="I2807" i="6" s="1"/>
  <c r="K2807" i="6" s="1"/>
  <c r="I2635" i="6" a="1"/>
  <c r="I2635" i="6" s="1"/>
  <c r="K2635" i="6" s="1"/>
  <c r="I3040" i="6" a="1"/>
  <c r="I3040" i="6" s="1"/>
  <c r="K3040" i="6" s="1"/>
  <c r="I3005" i="6" a="1"/>
  <c r="I3005" i="6" s="1"/>
  <c r="K3005" i="6" s="1"/>
  <c r="I1559" i="6" a="1"/>
  <c r="I1559" i="6" s="1"/>
  <c r="K1559" i="6" s="1"/>
  <c r="I1608" i="6" a="1"/>
  <c r="I1608" i="6" s="1"/>
  <c r="K1608" i="6" s="1"/>
  <c r="I1488" i="6" a="1"/>
  <c r="I1488" i="6" s="1"/>
  <c r="K1488" i="6" s="1"/>
  <c r="I1634" i="6" a="1"/>
  <c r="I1634" i="6" s="1"/>
  <c r="K1634" i="6" s="1"/>
  <c r="I1623" i="6" a="1"/>
  <c r="I1623" i="6" s="1"/>
  <c r="K1623" i="6" s="1"/>
  <c r="I1632" i="6" a="1"/>
  <c r="I1632" i="6" s="1"/>
  <c r="K1632" i="6" s="1"/>
  <c r="I1579" i="6" a="1"/>
  <c r="I1579" i="6" s="1"/>
  <c r="K1579" i="6" s="1"/>
  <c r="I1535" i="6" a="1"/>
  <c r="I1535" i="6" s="1"/>
  <c r="K1535" i="6" s="1"/>
  <c r="I1499" i="6" a="1"/>
  <c r="I1499" i="6" s="1"/>
  <c r="K1499" i="6" s="1"/>
  <c r="I1720" i="6" a="1"/>
  <c r="I1720" i="6" s="1"/>
  <c r="K1720" i="6" s="1"/>
  <c r="I1560" i="6" a="1"/>
  <c r="I1560" i="6" s="1"/>
  <c r="K1560" i="6" s="1"/>
  <c r="I1534" i="6" a="1"/>
  <c r="I1534" i="6" s="1"/>
  <c r="K1534" i="6" s="1"/>
  <c r="I1713" i="6" a="1"/>
  <c r="I1713" i="6" s="1"/>
  <c r="K1713" i="6" s="1"/>
  <c r="I1757" i="6" a="1"/>
  <c r="I1757" i="6" s="1"/>
  <c r="K1757" i="6" s="1"/>
  <c r="I1527" i="6" a="1"/>
  <c r="I1527" i="6" s="1"/>
  <c r="K1527" i="6" s="1"/>
  <c r="I1794" i="6" a="1"/>
  <c r="I1794" i="6" s="1"/>
  <c r="K1794" i="6" s="1"/>
  <c r="I1702" i="6" a="1"/>
  <c r="I1702" i="6" s="1"/>
  <c r="K1702" i="6" s="1"/>
  <c r="I1682" i="6" a="1"/>
  <c r="I1682" i="6" s="1"/>
  <c r="K1682" i="6" s="1"/>
  <c r="I1856" i="6" a="1"/>
  <c r="I1856" i="6" s="1"/>
  <c r="K1856" i="6" s="1"/>
  <c r="I1533" i="6" a="1"/>
  <c r="I1533" i="6" s="1"/>
  <c r="K1533" i="6" s="1"/>
  <c r="I1838" i="6" a="1"/>
  <c r="I1838" i="6" s="1"/>
  <c r="K1838" i="6" s="1"/>
  <c r="I1739" i="6" a="1"/>
  <c r="I1739" i="6" s="1"/>
  <c r="K1739" i="6" s="1"/>
  <c r="I1860" i="6" a="1"/>
  <c r="I1860" i="6" s="1"/>
  <c r="K1860" i="6" s="1"/>
  <c r="I1670" i="6" a="1"/>
  <c r="I1670" i="6" s="1"/>
  <c r="K1670" i="6" s="1"/>
  <c r="I1633" i="6" a="1"/>
  <c r="I1633" i="6" s="1"/>
  <c r="K1633" i="6" s="1"/>
  <c r="I1749" i="6" a="1"/>
  <c r="I1749" i="6" s="1"/>
  <c r="K1749" i="6" s="1"/>
  <c r="I2016" i="6" a="1"/>
  <c r="I2016" i="6" s="1"/>
  <c r="K2016" i="6" s="1"/>
  <c r="I1806" i="6" a="1"/>
  <c r="I1806" i="6" s="1"/>
  <c r="K1806" i="6" s="1"/>
  <c r="I1826" i="6" a="1"/>
  <c r="I1826" i="6" s="1"/>
  <c r="K1826" i="6" s="1"/>
  <c r="I1748" i="6" a="1"/>
  <c r="I1748" i="6" s="1"/>
  <c r="K1748" i="6" s="1"/>
  <c r="I2020" i="6" a="1"/>
  <c r="I2020" i="6" s="1"/>
  <c r="K2020" i="6" s="1"/>
  <c r="I1970" i="6" a="1"/>
  <c r="I1970" i="6" s="1"/>
  <c r="K1970" i="6" s="1"/>
  <c r="I1932" i="6" a="1"/>
  <c r="I1932" i="6" s="1"/>
  <c r="K1932" i="6" s="1"/>
  <c r="I1882" i="6" a="1"/>
  <c r="I1882" i="6" s="1"/>
  <c r="K1882" i="6" s="1"/>
  <c r="I1895" i="6" a="1"/>
  <c r="I1895" i="6" s="1"/>
  <c r="K1895" i="6" s="1"/>
  <c r="I1775" i="6" a="1"/>
  <c r="I1775" i="6" s="1"/>
  <c r="K1775" i="6" s="1"/>
  <c r="I2007" i="6" a="1"/>
  <c r="I2007" i="6" s="1"/>
  <c r="K2007" i="6" s="1"/>
  <c r="I2156" i="6" a="1"/>
  <c r="I2156" i="6" s="1"/>
  <c r="K2156" i="6" s="1"/>
  <c r="I2035" i="6" a="1"/>
  <c r="I2035" i="6" s="1"/>
  <c r="K2035" i="6" s="1"/>
  <c r="I2030" i="6" a="1"/>
  <c r="I2030" i="6" s="1"/>
  <c r="K2030" i="6" s="1"/>
  <c r="I2121" i="6" a="1"/>
  <c r="I2121" i="6" s="1"/>
  <c r="K2121" i="6" s="1"/>
  <c r="I2146" i="6" a="1"/>
  <c r="I2146" i="6" s="1"/>
  <c r="K2146" i="6" s="1"/>
  <c r="I1861" i="6" a="1"/>
  <c r="I1861" i="6" s="1"/>
  <c r="K1861" i="6" s="1"/>
  <c r="I2116" i="6" a="1"/>
  <c r="I2116" i="6" s="1"/>
  <c r="K2116" i="6" s="1"/>
  <c r="I2151" i="6" a="1"/>
  <c r="I2151" i="6" s="1"/>
  <c r="K2151" i="6" s="1"/>
  <c r="I1979" i="6" a="1"/>
  <c r="I1979" i="6" s="1"/>
  <c r="K1979" i="6" s="1"/>
  <c r="I2330" i="6" a="1"/>
  <c r="I2330" i="6" s="1"/>
  <c r="K2330" i="6" s="1"/>
  <c r="I2141" i="6" a="1"/>
  <c r="I2141" i="6" s="1"/>
  <c r="K2141" i="6" s="1"/>
  <c r="I2347" i="6" a="1"/>
  <c r="I2347" i="6" s="1"/>
  <c r="K2347" i="6" s="1"/>
  <c r="I2101" i="6" a="1"/>
  <c r="I2101" i="6" s="1"/>
  <c r="K2101" i="6" s="1"/>
  <c r="I2154" i="6" a="1"/>
  <c r="I2154" i="6" s="1"/>
  <c r="K2154" i="6" s="1"/>
  <c r="I2203" i="6" a="1"/>
  <c r="I2203" i="6" s="1"/>
  <c r="K2203" i="6" s="1"/>
  <c r="I2353" i="6" a="1"/>
  <c r="I2353" i="6" s="1"/>
  <c r="K2353" i="6" s="1"/>
  <c r="I2390" i="6" a="1"/>
  <c r="I2390" i="6" s="1"/>
  <c r="K2390" i="6" s="1"/>
  <c r="I2182" i="6" a="1"/>
  <c r="I2182" i="6" s="1"/>
  <c r="K2182" i="6" s="1"/>
  <c r="I2293" i="6" a="1"/>
  <c r="I2293" i="6" s="1"/>
  <c r="K2293" i="6" s="1"/>
  <c r="I2195" i="6" a="1"/>
  <c r="I2195" i="6" s="1"/>
  <c r="K2195" i="6" s="1"/>
  <c r="I2361" i="6" a="1"/>
  <c r="I2361" i="6" s="1"/>
  <c r="K2361" i="6" s="1"/>
  <c r="I2548" i="6" a="1"/>
  <c r="I2548" i="6" s="1"/>
  <c r="K2548" i="6" s="1"/>
  <c r="I2539" i="6" a="1"/>
  <c r="I2539" i="6" s="1"/>
  <c r="K2539" i="6" s="1"/>
  <c r="I2220" i="6" a="1"/>
  <c r="I2220" i="6" s="1"/>
  <c r="K2220" i="6" s="1"/>
  <c r="I2440" i="6" a="1"/>
  <c r="I2440" i="6" s="1"/>
  <c r="K2440" i="6" s="1"/>
  <c r="I2460" i="6" a="1"/>
  <c r="I2460" i="6" s="1"/>
  <c r="K2460" i="6" s="1"/>
  <c r="I2555" i="6" a="1"/>
  <c r="I2555" i="6" s="1"/>
  <c r="K2555" i="6" s="1"/>
  <c r="I2321" i="6" a="1"/>
  <c r="I2321" i="6" s="1"/>
  <c r="K2321" i="6" s="1"/>
  <c r="I2324" i="6" a="1"/>
  <c r="I2324" i="6" s="1"/>
  <c r="K2324" i="6" s="1"/>
  <c r="I2311" i="6" a="1"/>
  <c r="I2311" i="6" s="1"/>
  <c r="K2311" i="6" s="1"/>
  <c r="I2587" i="6" a="1"/>
  <c r="I2587" i="6" s="1"/>
  <c r="K2587" i="6" s="1"/>
  <c r="I2495" i="6" a="1"/>
  <c r="I2495" i="6" s="1"/>
  <c r="K2495" i="6" s="1"/>
  <c r="I2515" i="6" a="1"/>
  <c r="I2515" i="6" s="1"/>
  <c r="K2515" i="6" s="1"/>
  <c r="I2486" i="6" a="1"/>
  <c r="I2486" i="6" s="1"/>
  <c r="K2486" i="6" s="1"/>
  <c r="I2805" i="6" a="1"/>
  <c r="I2805" i="6" s="1"/>
  <c r="K2805" i="6" s="1"/>
  <c r="I2676" i="6" a="1"/>
  <c r="I2676" i="6" s="1"/>
  <c r="K2676" i="6" s="1"/>
  <c r="I2557" i="6" a="1"/>
  <c r="I2557" i="6" s="1"/>
  <c r="K2557" i="6" s="1"/>
  <c r="I2599" i="6" a="1"/>
  <c r="I2599" i="6" s="1"/>
  <c r="K2599" i="6" s="1"/>
  <c r="I2589" i="6" a="1"/>
  <c r="I2589" i="6" s="1"/>
  <c r="K2589" i="6" s="1"/>
  <c r="I2603" i="6" a="1"/>
  <c r="I2603" i="6" s="1"/>
  <c r="K2603" i="6" s="1"/>
  <c r="I2581" i="6" a="1"/>
  <c r="I2581" i="6" s="1"/>
  <c r="K2581" i="6" s="1"/>
  <c r="I2722" i="6" a="1"/>
  <c r="I2722" i="6" s="1"/>
  <c r="K2722" i="6" s="1"/>
  <c r="I2675" i="6" a="1"/>
  <c r="I2675" i="6" s="1"/>
  <c r="K2675" i="6" s="1"/>
  <c r="I2594" i="6" a="1"/>
  <c r="I2594" i="6" s="1"/>
  <c r="K2594" i="6" s="1"/>
  <c r="I2661" i="6" a="1"/>
  <c r="I2661" i="6" s="1"/>
  <c r="K2661" i="6" s="1"/>
  <c r="I2785" i="6" a="1"/>
  <c r="I2785" i="6" s="1"/>
  <c r="K2785" i="6" s="1"/>
  <c r="I2719" i="6" a="1"/>
  <c r="I2719" i="6" s="1"/>
  <c r="K2719" i="6" s="1"/>
  <c r="I2744" i="6" a="1"/>
  <c r="I2744" i="6" s="1"/>
  <c r="K2744" i="6" s="1"/>
  <c r="I2852" i="6" a="1"/>
  <c r="I2852" i="6" s="1"/>
  <c r="K2852" i="6" s="1"/>
  <c r="I2911" i="6" a="1"/>
  <c r="I2911" i="6" s="1"/>
  <c r="K2911" i="6" s="1"/>
  <c r="I2732" i="6" a="1"/>
  <c r="I2732" i="6" s="1"/>
  <c r="K2732" i="6" s="1"/>
  <c r="I2914" i="6" a="1"/>
  <c r="I2914" i="6" s="1"/>
  <c r="K2914" i="6" s="1"/>
  <c r="I2767" i="6" a="1"/>
  <c r="I2767" i="6" s="1"/>
  <c r="K2767" i="6" s="1"/>
  <c r="I2982" i="6" a="1"/>
  <c r="I2982" i="6" s="1"/>
  <c r="K2982" i="6" s="1"/>
  <c r="I2820" i="6" a="1"/>
  <c r="I2820" i="6" s="1"/>
  <c r="K2820" i="6" s="1"/>
  <c r="I2655" i="6" a="1"/>
  <c r="I2655" i="6" s="1"/>
  <c r="K2655" i="6" s="1"/>
  <c r="I1528" i="6" a="1"/>
  <c r="I1528" i="6" s="1"/>
  <c r="K1528" i="6" s="1"/>
  <c r="I1651" i="6" a="1"/>
  <c r="I1651" i="6" s="1"/>
  <c r="K1651" i="6" s="1"/>
  <c r="I1671" i="6" a="1"/>
  <c r="I1671" i="6" s="1"/>
  <c r="K1671" i="6" s="1"/>
  <c r="I1586" i="6" a="1"/>
  <c r="I1586" i="6" s="1"/>
  <c r="K1586" i="6" s="1"/>
  <c r="I1555" i="6" a="1"/>
  <c r="I1555" i="6" s="1"/>
  <c r="K1555" i="6" s="1"/>
  <c r="I1523" i="6" a="1"/>
  <c r="I1523" i="6" s="1"/>
  <c r="K1523" i="6" s="1"/>
  <c r="I1563" i="6" a="1"/>
  <c r="I1563" i="6" s="1"/>
  <c r="K1563" i="6" s="1"/>
  <c r="I1537" i="6" a="1"/>
  <c r="I1537" i="6" s="1"/>
  <c r="K1537" i="6" s="1"/>
  <c r="I1718" i="6" a="1"/>
  <c r="I1718" i="6" s="1"/>
  <c r="K1718" i="6" s="1"/>
  <c r="I1744" i="6" a="1"/>
  <c r="I1744" i="6" s="1"/>
  <c r="K1744" i="6" s="1"/>
  <c r="I1530" i="6" a="1"/>
  <c r="I1530" i="6" s="1"/>
  <c r="K1530" i="6" s="1"/>
  <c r="I1714" i="6" a="1"/>
  <c r="I1714" i="6" s="1"/>
  <c r="K1714" i="6" s="1"/>
  <c r="I1791" i="6" a="1"/>
  <c r="I1791" i="6" s="1"/>
  <c r="K1791" i="6" s="1"/>
  <c r="I1929" i="6" a="1"/>
  <c r="I1929" i="6" s="1"/>
  <c r="K1929" i="6" s="1"/>
  <c r="I1549" i="6" a="1"/>
  <c r="I1549" i="6" s="1"/>
  <c r="K1549" i="6" s="1"/>
  <c r="I1934" i="6" a="1"/>
  <c r="I1934" i="6" s="1"/>
  <c r="K1934" i="6" s="1"/>
  <c r="I1766" i="6" a="1"/>
  <c r="I1766" i="6" s="1"/>
  <c r="K1766" i="6" s="1"/>
  <c r="I1902" i="6" a="1"/>
  <c r="I1902" i="6" s="1"/>
  <c r="K1902" i="6" s="1"/>
  <c r="I1683" i="6" a="1"/>
  <c r="I1683" i="6" s="1"/>
  <c r="K1683" i="6" s="1"/>
  <c r="I1641" i="6" a="1"/>
  <c r="I1641" i="6" s="1"/>
  <c r="K1641" i="6" s="1"/>
  <c r="I1765" i="6" a="1"/>
  <c r="I1765" i="6" s="1"/>
  <c r="K1765" i="6" s="1"/>
  <c r="I2042" i="6" a="1"/>
  <c r="I2042" i="6" s="1"/>
  <c r="K2042" i="6" s="1"/>
  <c r="I1829" i="6" a="1"/>
  <c r="I1829" i="6" s="1"/>
  <c r="K1829" i="6" s="1"/>
  <c r="I1846" i="6" a="1"/>
  <c r="I1846" i="6" s="1"/>
  <c r="K1846" i="6" s="1"/>
  <c r="I1764" i="6" a="1"/>
  <c r="I1764" i="6" s="1"/>
  <c r="K1764" i="6" s="1"/>
  <c r="I2084" i="6" a="1"/>
  <c r="I2084" i="6" s="1"/>
  <c r="K2084" i="6" s="1"/>
  <c r="I2066" i="6" a="1"/>
  <c r="I2066" i="6" s="1"/>
  <c r="K2066" i="6" s="1"/>
  <c r="I1938" i="6" a="1"/>
  <c r="I1938" i="6" s="1"/>
  <c r="K1938" i="6" s="1"/>
  <c r="I1890" i="6" a="1"/>
  <c r="I1890" i="6" s="1"/>
  <c r="K1890" i="6" s="1"/>
  <c r="I1923" i="6" a="1"/>
  <c r="I1923" i="6" s="1"/>
  <c r="K1923" i="6" s="1"/>
  <c r="I1781" i="6" a="1"/>
  <c r="I1781" i="6" s="1"/>
  <c r="K1781" i="6" s="1"/>
  <c r="I2055" i="6" a="1"/>
  <c r="I2055" i="6" s="1"/>
  <c r="K2055" i="6" s="1"/>
  <c r="I2181" i="6" a="1"/>
  <c r="I2181" i="6" s="1"/>
  <c r="K2181" i="6" s="1"/>
  <c r="I2045" i="6" a="1"/>
  <c r="I2045" i="6" s="1"/>
  <c r="K2045" i="6" s="1"/>
  <c r="I2057" i="6" a="1"/>
  <c r="I2057" i="6" s="1"/>
  <c r="K2057" i="6" s="1"/>
  <c r="I2138" i="6" a="1"/>
  <c r="I2138" i="6" s="1"/>
  <c r="K2138" i="6" s="1"/>
  <c r="I2148" i="6" a="1"/>
  <c r="I2148" i="6" s="1"/>
  <c r="K2148" i="6" s="1"/>
  <c r="I1877" i="6" a="1"/>
  <c r="I1877" i="6" s="1"/>
  <c r="K1877" i="6" s="1"/>
  <c r="I1944" i="6" a="1"/>
  <c r="I1944" i="6" s="1"/>
  <c r="K1944" i="6" s="1"/>
  <c r="I2180" i="6" a="1"/>
  <c r="I2180" i="6" s="1"/>
  <c r="K2180" i="6" s="1"/>
  <c r="I1995" i="6" a="1"/>
  <c r="I1995" i="6" s="1"/>
  <c r="K1995" i="6" s="1"/>
  <c r="I2071" i="6" a="1"/>
  <c r="I2071" i="6" s="1"/>
  <c r="K2071" i="6" s="1"/>
  <c r="I2162" i="6" a="1"/>
  <c r="I2162" i="6" s="1"/>
  <c r="K2162" i="6" s="1"/>
  <c r="I2223" i="6" a="1"/>
  <c r="I2223" i="6" s="1"/>
  <c r="K2223" i="6" s="1"/>
  <c r="I2117" i="6" a="1"/>
  <c r="I2117" i="6" s="1"/>
  <c r="K2117" i="6" s="1"/>
  <c r="I2172" i="6" a="1"/>
  <c r="I2172" i="6" s="1"/>
  <c r="K2172" i="6" s="1"/>
  <c r="I2206" i="6" a="1"/>
  <c r="I2206" i="6" s="1"/>
  <c r="K2206" i="6" s="1"/>
  <c r="I2356" i="6" a="1"/>
  <c r="I2356" i="6" s="1"/>
  <c r="K2356" i="6" s="1"/>
  <c r="I2157" i="6" a="1"/>
  <c r="I2157" i="6" s="1"/>
  <c r="K2157" i="6" s="1"/>
  <c r="I2185" i="6" a="1"/>
  <c r="I2185" i="6" s="1"/>
  <c r="K2185" i="6" s="1"/>
  <c r="I2297" i="6" a="1"/>
  <c r="I2297" i="6" s="1"/>
  <c r="K2297" i="6" s="1"/>
  <c r="I2270" i="6" a="1"/>
  <c r="I2270" i="6" s="1"/>
  <c r="K2270" i="6" s="1"/>
  <c r="I2379" i="6" a="1"/>
  <c r="I2379" i="6" s="1"/>
  <c r="K2379" i="6" s="1"/>
  <c r="I2304" i="6" a="1"/>
  <c r="I2304" i="6" s="1"/>
  <c r="K2304" i="6" s="1"/>
  <c r="I2408" i="6" a="1"/>
  <c r="I2408" i="6" s="1"/>
  <c r="K2408" i="6" s="1"/>
  <c r="I2236" i="6" a="1"/>
  <c r="I2236" i="6" s="1"/>
  <c r="K2236" i="6" s="1"/>
  <c r="I2448" i="6" a="1"/>
  <c r="I2448" i="6" s="1"/>
  <c r="K2448" i="6" s="1"/>
  <c r="I2475" i="6" a="1"/>
  <c r="I2475" i="6" s="1"/>
  <c r="K2475" i="6" s="1"/>
  <c r="I2637" i="6" a="1"/>
  <c r="I2637" i="6" s="1"/>
  <c r="K2637" i="6" s="1"/>
  <c r="I2337" i="6" a="1"/>
  <c r="I2337" i="6" s="1"/>
  <c r="K2337" i="6" s="1"/>
  <c r="I2340" i="6" a="1"/>
  <c r="I2340" i="6" s="1"/>
  <c r="K2340" i="6" s="1"/>
  <c r="I2327" i="6" a="1"/>
  <c r="I2327" i="6" s="1"/>
  <c r="K2327" i="6" s="1"/>
  <c r="I2620" i="6" a="1"/>
  <c r="I2620" i="6" s="1"/>
  <c r="K2620" i="6" s="1"/>
  <c r="I2498" i="6" a="1"/>
  <c r="I2498" i="6" s="1"/>
  <c r="K2498" i="6" s="1"/>
  <c r="I2535" i="6" a="1"/>
  <c r="I2535" i="6" s="1"/>
  <c r="K2535" i="6" s="1"/>
  <c r="I2509" i="6" a="1"/>
  <c r="I2509" i="6" s="1"/>
  <c r="K2509" i="6" s="1"/>
  <c r="I2371" i="6" a="1"/>
  <c r="I2371" i="6" s="1"/>
  <c r="K2371" i="6" s="1"/>
  <c r="I2745" i="6" a="1"/>
  <c r="I2745" i="6" s="1"/>
  <c r="K2745" i="6" s="1"/>
  <c r="I2560" i="6" a="1"/>
  <c r="I2560" i="6" s="1"/>
  <c r="K2560" i="6" s="1"/>
  <c r="I2626" i="6" a="1"/>
  <c r="I2626" i="6" s="1"/>
  <c r="K2626" i="6" s="1"/>
  <c r="I2728" i="6" a="1"/>
  <c r="I2728" i="6" s="1"/>
  <c r="K2728" i="6" s="1"/>
  <c r="I2607" i="6" a="1"/>
  <c r="I2607" i="6" s="1"/>
  <c r="K2607" i="6" s="1"/>
  <c r="I2601" i="6" a="1"/>
  <c r="I2601" i="6" s="1"/>
  <c r="K2601" i="6" s="1"/>
  <c r="I2747" i="6" a="1"/>
  <c r="I2747" i="6" s="1"/>
  <c r="K2747" i="6" s="1"/>
  <c r="I2720" i="6" a="1"/>
  <c r="I2720" i="6" s="1"/>
  <c r="K2720" i="6" s="1"/>
  <c r="I2616" i="6" a="1"/>
  <c r="I2616" i="6" s="1"/>
  <c r="K2616" i="6" s="1"/>
  <c r="I2666" i="6" a="1"/>
  <c r="I2666" i="6" s="1"/>
  <c r="K2666" i="6" s="1"/>
  <c r="I2815" i="6" a="1"/>
  <c r="I2815" i="6" s="1"/>
  <c r="K2815" i="6" s="1"/>
  <c r="I2721" i="6" a="1"/>
  <c r="I2721" i="6" s="1"/>
  <c r="K2721" i="6" s="1"/>
  <c r="I2746" i="6" a="1"/>
  <c r="I2746" i="6" s="1"/>
  <c r="K2746" i="6" s="1"/>
  <c r="I2867" i="6" a="1"/>
  <c r="I2867" i="6" s="1"/>
  <c r="K2867" i="6" s="1"/>
  <c r="I2926" i="6" a="1"/>
  <c r="I2926" i="6" s="1"/>
  <c r="K2926" i="6" s="1"/>
  <c r="I2741" i="6" a="1"/>
  <c r="I2741" i="6" s="1"/>
  <c r="K2741" i="6" s="1"/>
  <c r="I2964" i="6" a="1"/>
  <c r="I2964" i="6" s="1"/>
  <c r="K2964" i="6" s="1"/>
  <c r="I2794" i="6" a="1"/>
  <c r="I2794" i="6" s="1"/>
  <c r="K2794" i="6" s="1"/>
  <c r="I2939" i="6" a="1"/>
  <c r="I2939" i="6" s="1"/>
  <c r="K2939" i="6" s="1"/>
  <c r="I2830" i="6" a="1"/>
  <c r="I2830" i="6" s="1"/>
  <c r="K2830" i="6" s="1"/>
  <c r="I2658" i="6" a="1"/>
  <c r="I2658" i="6" s="1"/>
  <c r="K2658" i="6" s="1"/>
  <c r="I2689" i="6" a="1"/>
  <c r="I2689" i="6" s="1"/>
  <c r="K2689" i="6" s="1"/>
  <c r="I3006" i="6" a="1"/>
  <c r="I3006" i="6" s="1"/>
  <c r="K3006" i="6" s="1"/>
  <c r="I3064" i="6" a="1"/>
  <c r="I3064" i="6" s="1"/>
  <c r="K3064" i="6" s="1"/>
  <c r="I3051" i="6" a="1"/>
  <c r="I3051" i="6" s="1"/>
  <c r="K3051" i="6" s="1"/>
  <c r="I2558" i="6" a="1"/>
  <c r="I2558" i="6" s="1"/>
  <c r="K2558" i="6" s="1"/>
  <c r="I2814" i="6" a="1"/>
  <c r="I2814" i="6" s="1"/>
  <c r="K2814" i="6" s="1"/>
  <c r="I3103" i="6" a="1"/>
  <c r="I3103" i="6" s="1"/>
  <c r="K3103" i="6" s="1"/>
  <c r="I3050" i="6" a="1"/>
  <c r="I3050" i="6" s="1"/>
  <c r="K3050" i="6" s="1"/>
  <c r="I2910" i="6" a="1"/>
  <c r="I2910" i="6" s="1"/>
  <c r="K2910" i="6" s="1"/>
  <c r="I3124" i="6" a="1"/>
  <c r="I3124" i="6" s="1"/>
  <c r="K3124" i="6" s="1"/>
  <c r="I3168" i="6" a="1"/>
  <c r="I3168" i="6" s="1"/>
  <c r="K3168" i="6" s="1"/>
  <c r="I2850" i="6" a="1"/>
  <c r="I2850" i="6" s="1"/>
  <c r="K2850" i="6" s="1"/>
  <c r="I3139" i="6" a="1"/>
  <c r="I3139" i="6" s="1"/>
  <c r="K3139" i="6" s="1"/>
  <c r="I3193" i="6" a="1"/>
  <c r="I3193" i="6" s="1"/>
  <c r="K3193" i="6" s="1"/>
  <c r="I3214" i="6" a="1"/>
  <c r="I3214" i="6" s="1"/>
  <c r="K3214" i="6" s="1"/>
  <c r="I3078" i="6" a="1"/>
  <c r="I3078" i="6" s="1"/>
  <c r="K3078" i="6" s="1"/>
  <c r="I1542" i="6" a="1"/>
  <c r="I1542" i="6" s="1"/>
  <c r="K1542" i="6" s="1"/>
  <c r="I1589" i="6" a="1"/>
  <c r="I1589" i="6" s="1"/>
  <c r="K1589" i="6" s="1"/>
  <c r="I1539" i="6" a="1"/>
  <c r="I1539" i="6" s="1"/>
  <c r="K1539" i="6" s="1"/>
  <c r="I1599" i="6" a="1"/>
  <c r="I1599" i="6" s="1"/>
  <c r="K1599" i="6" s="1"/>
  <c r="I1593" i="6" a="1"/>
  <c r="I1593" i="6" s="1"/>
  <c r="K1593" i="6" s="1"/>
  <c r="I1577" i="6" a="1"/>
  <c r="I1577" i="6" s="1"/>
  <c r="K1577" i="6" s="1"/>
  <c r="I1574" i="6" a="1"/>
  <c r="I1574" i="6" s="1"/>
  <c r="K1574" i="6" s="1"/>
  <c r="I1557" i="6" a="1"/>
  <c r="I1557" i="6" s="1"/>
  <c r="K1557" i="6" s="1"/>
  <c r="I1793" i="6" a="1"/>
  <c r="I1793" i="6" s="1"/>
  <c r="K1793" i="6" s="1"/>
  <c r="I1754" i="6" a="1"/>
  <c r="I1754" i="6" s="1"/>
  <c r="K1754" i="6" s="1"/>
  <c r="I1550" i="6" a="1"/>
  <c r="I1550" i="6" s="1"/>
  <c r="K1550" i="6" s="1"/>
  <c r="I1760" i="6" a="1"/>
  <c r="I1760" i="6" s="1"/>
  <c r="K1760" i="6" s="1"/>
  <c r="I1798" i="6" a="1"/>
  <c r="I1798" i="6" s="1"/>
  <c r="K1798" i="6" s="1"/>
  <c r="I1906" i="6" a="1"/>
  <c r="I1906" i="6" s="1"/>
  <c r="K1906" i="6" s="1"/>
  <c r="I1565" i="6" a="1"/>
  <c r="I1565" i="6" s="1"/>
  <c r="K1565" i="6" s="1"/>
  <c r="I1982" i="6" a="1"/>
  <c r="I1982" i="6" s="1"/>
  <c r="K1982" i="6" s="1"/>
  <c r="I1779" i="6" a="1"/>
  <c r="I1779" i="6" s="1"/>
  <c r="K1779" i="6" s="1"/>
  <c r="I1905" i="6" a="1"/>
  <c r="I1905" i="6" s="1"/>
  <c r="K1905" i="6" s="1"/>
  <c r="I1688" i="6" a="1"/>
  <c r="I1688" i="6" s="1"/>
  <c r="K1688" i="6" s="1"/>
  <c r="I1649" i="6" a="1"/>
  <c r="I1649" i="6" s="1"/>
  <c r="K1649" i="6" s="1"/>
  <c r="I1795" i="6" a="1"/>
  <c r="I1795" i="6" s="1"/>
  <c r="K1795" i="6" s="1"/>
  <c r="I2083" i="6" a="1"/>
  <c r="I2083" i="6" s="1"/>
  <c r="K2083" i="6" s="1"/>
  <c r="I1832" i="6" a="1"/>
  <c r="I1832" i="6" s="1"/>
  <c r="K1832" i="6" s="1"/>
  <c r="I1849" i="6" a="1"/>
  <c r="I1849" i="6" s="1"/>
  <c r="K1849" i="6" s="1"/>
  <c r="I1797" i="6" a="1"/>
  <c r="I1797" i="6" s="1"/>
  <c r="K1797" i="6" s="1"/>
  <c r="I1840" i="6" a="1"/>
  <c r="I1840" i="6" s="1"/>
  <c r="K1840" i="6" s="1"/>
  <c r="I2122" i="6" a="1"/>
  <c r="I2122" i="6" s="1"/>
  <c r="K2122" i="6" s="1"/>
  <c r="I1977" i="6" a="1"/>
  <c r="I1977" i="6" s="1"/>
  <c r="K1977" i="6" s="1"/>
  <c r="I1903" i="6" a="1"/>
  <c r="I1903" i="6" s="1"/>
  <c r="K1903" i="6" s="1"/>
  <c r="I1975" i="6" a="1"/>
  <c r="I1975" i="6" s="1"/>
  <c r="K1975" i="6" s="1"/>
  <c r="I1784" i="6" a="1"/>
  <c r="I1784" i="6" s="1"/>
  <c r="K1784" i="6" s="1"/>
  <c r="I2070" i="6" a="1"/>
  <c r="I2070" i="6" s="1"/>
  <c r="K2070" i="6" s="1"/>
  <c r="I2264" i="6" a="1"/>
  <c r="I2264" i="6" s="1"/>
  <c r="K2264" i="6" s="1"/>
  <c r="I2052" i="6" a="1"/>
  <c r="I2052" i="6" s="1"/>
  <c r="K2052" i="6" s="1"/>
  <c r="I2196" i="6" a="1"/>
  <c r="I2196" i="6" s="1"/>
  <c r="K2196" i="6" s="1"/>
  <c r="I2140" i="6" a="1"/>
  <c r="I2140" i="6" s="1"/>
  <c r="K2140" i="6" s="1"/>
  <c r="I2218" i="6" a="1"/>
  <c r="I2218" i="6" s="1"/>
  <c r="K2218" i="6" s="1"/>
  <c r="I1893" i="6" a="1"/>
  <c r="I1893" i="6" s="1"/>
  <c r="K1893" i="6" s="1"/>
  <c r="I1960" i="6" a="1"/>
  <c r="I1960" i="6" s="1"/>
  <c r="K1960" i="6" s="1"/>
  <c r="I2209" i="6" a="1"/>
  <c r="I2209" i="6" s="1"/>
  <c r="K2209" i="6" s="1"/>
  <c r="I2011" i="6" a="1"/>
  <c r="I2011" i="6" s="1"/>
  <c r="K2011" i="6" s="1"/>
  <c r="I2087" i="6" a="1"/>
  <c r="I2087" i="6" s="1"/>
  <c r="K2087" i="6" s="1"/>
  <c r="I2201" i="6" a="1"/>
  <c r="I2201" i="6" s="1"/>
  <c r="K2201" i="6" s="1"/>
  <c r="I2250" i="6" a="1"/>
  <c r="I2250" i="6" s="1"/>
  <c r="K2250" i="6" s="1"/>
  <c r="I2133" i="6" a="1"/>
  <c r="I2133" i="6" s="1"/>
  <c r="K2133" i="6" s="1"/>
  <c r="I2027" i="6" a="1"/>
  <c r="I2027" i="6" s="1"/>
  <c r="K2027" i="6" s="1"/>
  <c r="I2225" i="6" a="1"/>
  <c r="I2225" i="6" s="1"/>
  <c r="K2225" i="6" s="1"/>
  <c r="I2290" i="6" a="1"/>
  <c r="I2290" i="6" s="1"/>
  <c r="K2290" i="6" s="1"/>
  <c r="I2173" i="6" a="1"/>
  <c r="I2173" i="6" s="1"/>
  <c r="K2173" i="6" s="1"/>
  <c r="I2205" i="6" a="1"/>
  <c r="I2205" i="6" s="1"/>
  <c r="K2205" i="6" s="1"/>
  <c r="I2403" i="6" a="1"/>
  <c r="I2403" i="6" s="1"/>
  <c r="K2403" i="6" s="1"/>
  <c r="I2272" i="6" a="1"/>
  <c r="I2272" i="6" s="1"/>
  <c r="K2272" i="6" s="1"/>
  <c r="I2384" i="6" a="1"/>
  <c r="I2384" i="6" s="1"/>
  <c r="K2384" i="6" s="1"/>
  <c r="I2320" i="6" a="1"/>
  <c r="I2320" i="6" s="1"/>
  <c r="K2320" i="6" s="1"/>
  <c r="I2422" i="6" a="1"/>
  <c r="I2422" i="6" s="1"/>
  <c r="K2422" i="6" s="1"/>
  <c r="I2252" i="6" a="1"/>
  <c r="I2252" i="6" s="1"/>
  <c r="K2252" i="6" s="1"/>
  <c r="I2487" i="6" a="1"/>
  <c r="I2487" i="6" s="1"/>
  <c r="K2487" i="6" s="1"/>
  <c r="I2527" i="6" a="1"/>
  <c r="I2527" i="6" s="1"/>
  <c r="K2527" i="6" s="1"/>
  <c r="I2432" i="6" a="1"/>
  <c r="I2432" i="6" s="1"/>
  <c r="K2432" i="6" s="1"/>
  <c r="I2375" i="6" a="1"/>
  <c r="I2375" i="6" s="1"/>
  <c r="K2375" i="6" s="1"/>
  <c r="I2367" i="6" a="1"/>
  <c r="I2367" i="6" s="1"/>
  <c r="K2367" i="6" s="1"/>
  <c r="I2343" i="6" a="1"/>
  <c r="I2343" i="6" s="1"/>
  <c r="K2343" i="6" s="1"/>
  <c r="I2754" i="6" a="1"/>
  <c r="I2754" i="6" s="1"/>
  <c r="K2754" i="6" s="1"/>
  <c r="I2518" i="6" a="1"/>
  <c r="I2518" i="6" s="1"/>
  <c r="K2518" i="6" s="1"/>
  <c r="I2538" i="6" a="1"/>
  <c r="I2538" i="6" s="1"/>
  <c r="K2538" i="6" s="1"/>
  <c r="I2512" i="6" a="1"/>
  <c r="I2512" i="6" s="1"/>
  <c r="K2512" i="6" s="1"/>
  <c r="I2387" i="6" a="1"/>
  <c r="I2387" i="6" s="1"/>
  <c r="K2387" i="6" s="1"/>
  <c r="I2665" i="6" a="1"/>
  <c r="I2665" i="6" s="1"/>
  <c r="K2665" i="6" s="1"/>
  <c r="I2571" i="6" a="1"/>
  <c r="I2571" i="6" s="1"/>
  <c r="K2571" i="6" s="1"/>
  <c r="I2633" i="6" a="1"/>
  <c r="I2633" i="6" s="1"/>
  <c r="K2633" i="6" s="1"/>
  <c r="I2799" i="6" a="1"/>
  <c r="I2799" i="6" s="1"/>
  <c r="K2799" i="6" s="1"/>
  <c r="I2636" i="6" a="1"/>
  <c r="I2636" i="6" s="1"/>
  <c r="K2636" i="6" s="1"/>
  <c r="I2604" i="6" a="1"/>
  <c r="I2604" i="6" s="1"/>
  <c r="K2604" i="6" s="1"/>
  <c r="I2869" i="6" a="1"/>
  <c r="I2869" i="6" s="1"/>
  <c r="K2869" i="6" s="1"/>
  <c r="I2729" i="6" a="1"/>
  <c r="I2729" i="6" s="1"/>
  <c r="K2729" i="6" s="1"/>
  <c r="I2623" i="6" a="1"/>
  <c r="I2623" i="6" s="1"/>
  <c r="K2623" i="6" s="1"/>
  <c r="I2698" i="6" a="1"/>
  <c r="I2698" i="6" s="1"/>
  <c r="K2698" i="6" s="1"/>
  <c r="I2829" i="6" a="1"/>
  <c r="I2829" i="6" s="1"/>
  <c r="K2829" i="6" s="1"/>
  <c r="I2762" i="6" a="1"/>
  <c r="I2762" i="6" s="1"/>
  <c r="K2762" i="6" s="1"/>
  <c r="I2751" i="6" a="1"/>
  <c r="I2751" i="6" s="1"/>
  <c r="K2751" i="6" s="1"/>
  <c r="I2943" i="6" a="1"/>
  <c r="I2943" i="6" s="1"/>
  <c r="K2943" i="6" s="1"/>
  <c r="I2897" i="6" a="1"/>
  <c r="I2897" i="6" s="1"/>
  <c r="K2897" i="6" s="1"/>
  <c r="I2759" i="6" a="1"/>
  <c r="I2759" i="6" s="1"/>
  <c r="K2759" i="6" s="1"/>
  <c r="I3024" i="6" a="1"/>
  <c r="I3024" i="6" s="1"/>
  <c r="K3024" i="6" s="1"/>
  <c r="I2809" i="6" a="1"/>
  <c r="I2809" i="6" s="1"/>
  <c r="K2809" i="6" s="1"/>
  <c r="I2958" i="6" a="1"/>
  <c r="I2958" i="6" s="1"/>
  <c r="K2958" i="6" s="1"/>
  <c r="I2847" i="6" a="1"/>
  <c r="I2847" i="6" s="1"/>
  <c r="K2847" i="6" s="1"/>
  <c r="I2678" i="6" a="1"/>
  <c r="I2678" i="6" s="1"/>
  <c r="K2678" i="6" s="1"/>
  <c r="I2712" i="6" a="1"/>
  <c r="I2712" i="6" s="1"/>
  <c r="K2712" i="6" s="1"/>
  <c r="I3014" i="6" a="1"/>
  <c r="I3014" i="6" s="1"/>
  <c r="K3014" i="6" s="1"/>
  <c r="I3097" i="6" a="1"/>
  <c r="I3097" i="6" s="1"/>
  <c r="K3097" i="6" s="1"/>
  <c r="I3099" i="6" a="1"/>
  <c r="I3099" i="6" s="1"/>
  <c r="K3099" i="6" s="1"/>
  <c r="I2574" i="6" a="1"/>
  <c r="I2574" i="6" s="1"/>
  <c r="K2574" i="6" s="1"/>
  <c r="I2841" i="6" a="1"/>
  <c r="I2841" i="6" s="1"/>
  <c r="K2841" i="6" s="1"/>
  <c r="I3108" i="6" a="1"/>
  <c r="I3108" i="6" s="1"/>
  <c r="K3108" i="6" s="1"/>
  <c r="I3059" i="6" a="1"/>
  <c r="I3059" i="6" s="1"/>
  <c r="K3059" i="6" s="1"/>
  <c r="I2924" i="6" a="1"/>
  <c r="I2924" i="6" s="1"/>
  <c r="K2924" i="6" s="1"/>
  <c r="I3126" i="6" a="1"/>
  <c r="I3126" i="6" s="1"/>
  <c r="K3126" i="6" s="1"/>
  <c r="I1501" i="6" a="1"/>
  <c r="I1501" i="6" s="1"/>
  <c r="K1501" i="6" s="1"/>
  <c r="I1594" i="6" a="1"/>
  <c r="I1594" i="6" s="1"/>
  <c r="K1594" i="6" s="1"/>
  <c r="I1487" i="6" a="1"/>
  <c r="I1487" i="6" s="1"/>
  <c r="K1487" i="6" s="1"/>
  <c r="I1592" i="6" a="1"/>
  <c r="I1592" i="6" s="1"/>
  <c r="K1592" i="6" s="1"/>
  <c r="I1551" i="6" a="1"/>
  <c r="I1551" i="6" s="1"/>
  <c r="K1551" i="6" s="1"/>
  <c r="I1617" i="6" a="1"/>
  <c r="I1617" i="6" s="1"/>
  <c r="K1617" i="6" s="1"/>
  <c r="I1598" i="6" a="1"/>
  <c r="I1598" i="6" s="1"/>
  <c r="K1598" i="6" s="1"/>
  <c r="I1590" i="6" a="1"/>
  <c r="I1590" i="6" s="1"/>
  <c r="K1590" i="6" s="1"/>
  <c r="I1582" i="6" a="1"/>
  <c r="I1582" i="6" s="1"/>
  <c r="K1582" i="6" s="1"/>
  <c r="I1587" i="6" a="1"/>
  <c r="I1587" i="6" s="1"/>
  <c r="K1587" i="6" s="1"/>
  <c r="I1897" i="6" a="1"/>
  <c r="I1897" i="6" s="1"/>
  <c r="K1897" i="6" s="1"/>
  <c r="I1770" i="6" a="1"/>
  <c r="I1770" i="6" s="1"/>
  <c r="K1770" i="6" s="1"/>
  <c r="I1553" i="6" a="1"/>
  <c r="I1553" i="6" s="1"/>
  <c r="K1553" i="6" s="1"/>
  <c r="I1773" i="6" a="1"/>
  <c r="I1773" i="6" s="1"/>
  <c r="K1773" i="6" s="1"/>
  <c r="I1847" i="6" a="1"/>
  <c r="I1847" i="6" s="1"/>
  <c r="K1847" i="6" s="1"/>
  <c r="I1956" i="6" a="1"/>
  <c r="I1956" i="6" s="1"/>
  <c r="K1956" i="6" s="1"/>
  <c r="I1581" i="6" a="1"/>
  <c r="I1581" i="6" s="1"/>
  <c r="K1581" i="6" s="1"/>
  <c r="I1645" i="6" a="1"/>
  <c r="I1645" i="6" s="1"/>
  <c r="K1645" i="6" s="1"/>
  <c r="I1788" i="6" a="1"/>
  <c r="I1788" i="6" s="1"/>
  <c r="K1788" i="6" s="1"/>
  <c r="I1928" i="6" a="1"/>
  <c r="I1928" i="6" s="1"/>
  <c r="K1928" i="6" s="1"/>
  <c r="I1730" i="6" a="1"/>
  <c r="I1730" i="6" s="1"/>
  <c r="K1730" i="6" s="1"/>
  <c r="I1675" i="6" a="1"/>
  <c r="I1675" i="6" s="1"/>
  <c r="K1675" i="6" s="1"/>
  <c r="I1818" i="6" a="1"/>
  <c r="I1818" i="6" s="1"/>
  <c r="K1818" i="6" s="1"/>
  <c r="I2106" i="6" a="1"/>
  <c r="I2106" i="6" s="1"/>
  <c r="K2106" i="6" s="1"/>
  <c r="I1852" i="6" a="1"/>
  <c r="I1852" i="6" s="1"/>
  <c r="K1852" i="6" s="1"/>
  <c r="I1878" i="6" a="1"/>
  <c r="I1878" i="6" s="1"/>
  <c r="K1878" i="6" s="1"/>
  <c r="I1800" i="6" a="1"/>
  <c r="I1800" i="6" s="1"/>
  <c r="K1800" i="6" s="1"/>
  <c r="I1862" i="6" a="1"/>
  <c r="I1862" i="6" s="1"/>
  <c r="K1862" i="6" s="1"/>
  <c r="I2126" i="6" a="1"/>
  <c r="I2126" i="6" s="1"/>
  <c r="K2126" i="6" s="1"/>
  <c r="I1983" i="6" a="1"/>
  <c r="I1983" i="6" s="1"/>
  <c r="K1983" i="6" s="1"/>
  <c r="I1908" i="6" a="1"/>
  <c r="I1908" i="6" s="1"/>
  <c r="K1908" i="6" s="1"/>
  <c r="I2003" i="6" a="1"/>
  <c r="I2003" i="6" s="1"/>
  <c r="K2003" i="6" s="1"/>
  <c r="I1804" i="6" a="1"/>
  <c r="I1804" i="6" s="1"/>
  <c r="K1804" i="6" s="1"/>
  <c r="I2124" i="6" a="1"/>
  <c r="I2124" i="6" s="1"/>
  <c r="K2124" i="6" s="1"/>
  <c r="I2298" i="6" a="1"/>
  <c r="I2298" i="6" s="1"/>
  <c r="K2298" i="6" s="1"/>
  <c r="I2064" i="6" a="1"/>
  <c r="I2064" i="6" s="1"/>
  <c r="K2064" i="6" s="1"/>
  <c r="I2207" i="6" a="1"/>
  <c r="I2207" i="6" s="1"/>
  <c r="K2207" i="6" s="1"/>
  <c r="I2142" i="6" a="1"/>
  <c r="I2142" i="6" s="1"/>
  <c r="K2142" i="6" s="1"/>
  <c r="I2110" i="6" a="1"/>
  <c r="I2110" i="6" s="1"/>
  <c r="K2110" i="6" s="1"/>
  <c r="I1909" i="6" a="1"/>
  <c r="I1909" i="6" s="1"/>
  <c r="K1909" i="6" s="1"/>
  <c r="I1976" i="6" a="1"/>
  <c r="I1976" i="6" s="1"/>
  <c r="K1976" i="6" s="1"/>
  <c r="I2243" i="6" a="1"/>
  <c r="I2243" i="6" s="1"/>
  <c r="K2243" i="6" s="1"/>
  <c r="I2048" i="6" a="1"/>
  <c r="I2048" i="6" s="1"/>
  <c r="K2048" i="6" s="1"/>
  <c r="I2103" i="6" a="1"/>
  <c r="I2103" i="6" s="1"/>
  <c r="K2103" i="6" s="1"/>
  <c r="I2277" i="6" a="1"/>
  <c r="I2277" i="6" s="1"/>
  <c r="K2277" i="6" s="1"/>
  <c r="I2259" i="6" a="1"/>
  <c r="I2259" i="6" s="1"/>
  <c r="K2259" i="6" s="1"/>
  <c r="I2149" i="6" a="1"/>
  <c r="I2149" i="6" s="1"/>
  <c r="K2149" i="6" s="1"/>
  <c r="I2043" i="6" a="1"/>
  <c r="I2043" i="6" s="1"/>
  <c r="K2043" i="6" s="1"/>
  <c r="I2230" i="6" a="1"/>
  <c r="I2230" i="6" s="1"/>
  <c r="K2230" i="6" s="1"/>
  <c r="I2294" i="6" a="1"/>
  <c r="I2294" i="6" s="1"/>
  <c r="K2294" i="6" s="1"/>
  <c r="I2211" i="6" a="1"/>
  <c r="I2211" i="6" s="1"/>
  <c r="K2211" i="6" s="1"/>
  <c r="I2208" i="6" a="1"/>
  <c r="I2208" i="6" s="1"/>
  <c r="K2208" i="6" s="1"/>
  <c r="I2421" i="6" a="1"/>
  <c r="I2421" i="6" s="1"/>
  <c r="K2421" i="6" s="1"/>
  <c r="I2274" i="6" a="1"/>
  <c r="I2274" i="6" s="1"/>
  <c r="K2274" i="6" s="1"/>
  <c r="I2402" i="6" a="1"/>
  <c r="I2402" i="6" s="1"/>
  <c r="K2402" i="6" s="1"/>
  <c r="I2336" i="6" a="1"/>
  <c r="I2336" i="6" s="1"/>
  <c r="K2336" i="6" s="1"/>
  <c r="I2464" i="6" a="1"/>
  <c r="I2464" i="6" s="1"/>
  <c r="K2464" i="6" s="1"/>
  <c r="I2268" i="6" a="1"/>
  <c r="I2268" i="6" s="1"/>
  <c r="K2268" i="6" s="1"/>
  <c r="I2255" i="6" a="1"/>
  <c r="I2255" i="6" s="1"/>
  <c r="K2255" i="6" s="1"/>
  <c r="I2537" i="6" a="1"/>
  <c r="I2537" i="6" s="1"/>
  <c r="K2537" i="6" s="1"/>
  <c r="I2480" i="6" a="1"/>
  <c r="I2480" i="6" s="1"/>
  <c r="K2480" i="6" s="1"/>
  <c r="I2415" i="6" a="1"/>
  <c r="I2415" i="6" s="1"/>
  <c r="K2415" i="6" s="1"/>
  <c r="I2394" i="6" a="1"/>
  <c r="I2394" i="6" s="1"/>
  <c r="K2394" i="6" s="1"/>
  <c r="I2364" i="6" a="1"/>
  <c r="I2364" i="6" s="1"/>
  <c r="K2364" i="6" s="1"/>
  <c r="I2672" i="6" a="1"/>
  <c r="I2672" i="6" s="1"/>
  <c r="K2672" i="6" s="1"/>
  <c r="I2541" i="6" a="1"/>
  <c r="I2541" i="6" s="1"/>
  <c r="K2541" i="6" s="1"/>
  <c r="I2561" i="6" a="1"/>
  <c r="I2561" i="6" s="1"/>
  <c r="K2561" i="6" s="1"/>
  <c r="I2532" i="6" a="1"/>
  <c r="I2532" i="6" s="1"/>
  <c r="K2532" i="6" s="1"/>
  <c r="I2405" i="6" a="1"/>
  <c r="I2405" i="6" s="1"/>
  <c r="K2405" i="6" s="1"/>
  <c r="I2671" i="6" a="1"/>
  <c r="I2671" i="6" s="1"/>
  <c r="K2671" i="6" s="1"/>
  <c r="I2583" i="6" a="1"/>
  <c r="I2583" i="6" s="1"/>
  <c r="K2583" i="6" s="1"/>
  <c r="I2680" i="6" a="1"/>
  <c r="I2680" i="6" s="1"/>
  <c r="K2680" i="6" s="1"/>
  <c r="I2357" i="6" a="1"/>
  <c r="I2357" i="6" s="1"/>
  <c r="K2357" i="6" s="1"/>
  <c r="I2674" i="6" a="1"/>
  <c r="I2674" i="6" s="1"/>
  <c r="K2674" i="6" s="1"/>
  <c r="I2617" i="6" a="1"/>
  <c r="I2617" i="6" s="1"/>
  <c r="K2617" i="6" s="1"/>
  <c r="I2643" i="6" a="1"/>
  <c r="I2643" i="6" s="1"/>
  <c r="K2643" i="6" s="1"/>
  <c r="I2761" i="6" a="1"/>
  <c r="I2761" i="6" s="1"/>
  <c r="K2761" i="6" s="1"/>
  <c r="I2668" i="6" a="1"/>
  <c r="I2668" i="6" s="1"/>
  <c r="K2668" i="6" s="1"/>
  <c r="I2727" i="6" a="1"/>
  <c r="I2727" i="6" s="1"/>
  <c r="K2727" i="6" s="1"/>
  <c r="I2913" i="6" a="1"/>
  <c r="I2913" i="6" s="1"/>
  <c r="K2913" i="6" s="1"/>
  <c r="I2774" i="6" a="1"/>
  <c r="I2774" i="6" s="1"/>
  <c r="K2774" i="6" s="1"/>
  <c r="I2765" i="6" a="1"/>
  <c r="I2765" i="6" s="1"/>
  <c r="K2765" i="6" s="1"/>
  <c r="I2699" i="6" a="1"/>
  <c r="I2699" i="6" s="1"/>
  <c r="K2699" i="6" s="1"/>
  <c r="I2916" i="6" a="1"/>
  <c r="I2916" i="6" s="1"/>
  <c r="K2916" i="6" s="1"/>
  <c r="I2768" i="6" a="1"/>
  <c r="I2768" i="6" s="1"/>
  <c r="K2768" i="6" s="1"/>
  <c r="I2772" i="6" a="1"/>
  <c r="I2772" i="6" s="1"/>
  <c r="K2772" i="6" s="1"/>
  <c r="I1545" i="6" a="1"/>
  <c r="I1545" i="6" s="1"/>
  <c r="K1545" i="6" s="1"/>
  <c r="I1522" i="6" a="1"/>
  <c r="I1522" i="6" s="1"/>
  <c r="K1522" i="6" s="1"/>
  <c r="I1637" i="6" a="1"/>
  <c r="I1637" i="6" s="1"/>
  <c r="K1637" i="6" s="1"/>
  <c r="I1561" i="6" a="1"/>
  <c r="I1561" i="6" s="1"/>
  <c r="K1561" i="6" s="1"/>
  <c r="I1660" i="6" a="1"/>
  <c r="I1660" i="6" s="1"/>
  <c r="K1660" i="6" s="1"/>
  <c r="I1525" i="6" a="1"/>
  <c r="I1525" i="6" s="1"/>
  <c r="K1525" i="6" s="1"/>
  <c r="I1616" i="6" a="1"/>
  <c r="I1616" i="6" s="1"/>
  <c r="K1616" i="6" s="1"/>
  <c r="I1600" i="6" a="1"/>
  <c r="I1600" i="6" s="1"/>
  <c r="K1600" i="6" s="1"/>
  <c r="I1602" i="6" a="1"/>
  <c r="I1602" i="6" s="1"/>
  <c r="K1602" i="6" s="1"/>
  <c r="I1604" i="6" a="1"/>
  <c r="I1604" i="6" s="1"/>
  <c r="K1604" i="6" s="1"/>
  <c r="I1746" i="6" a="1"/>
  <c r="I1746" i="6" s="1"/>
  <c r="K1746" i="6" s="1"/>
  <c r="I1854" i="6" a="1"/>
  <c r="I1854" i="6" s="1"/>
  <c r="K1854" i="6" s="1"/>
  <c r="I1578" i="6" a="1"/>
  <c r="I1578" i="6" s="1"/>
  <c r="K1578" i="6" s="1"/>
  <c r="I1808" i="6" a="1"/>
  <c r="I1808" i="6" s="1"/>
  <c r="K1808" i="6" s="1"/>
  <c r="I1943" i="6" a="1"/>
  <c r="I1943" i="6" s="1"/>
  <c r="K1943" i="6" s="1"/>
  <c r="I2015" i="6" a="1"/>
  <c r="I2015" i="6" s="1"/>
  <c r="K2015" i="6" s="1"/>
  <c r="I1597" i="6" a="1"/>
  <c r="I1597" i="6" s="1"/>
  <c r="K1597" i="6" s="1"/>
  <c r="I1658" i="6" a="1"/>
  <c r="I1658" i="6" s="1"/>
  <c r="K1658" i="6" s="1"/>
  <c r="I1802" i="6" a="1"/>
  <c r="I1802" i="6" s="1"/>
  <c r="K1802" i="6" s="1"/>
  <c r="I1954" i="6" a="1"/>
  <c r="I1954" i="6" s="1"/>
  <c r="K1954" i="6" s="1"/>
  <c r="I1734" i="6" a="1"/>
  <c r="I1734" i="6" s="1"/>
  <c r="K1734" i="6" s="1"/>
  <c r="I1703" i="6" a="1"/>
  <c r="I1703" i="6" s="1"/>
  <c r="K1703" i="6" s="1"/>
  <c r="I1821" i="6" a="1"/>
  <c r="I1821" i="6" s="1"/>
  <c r="K1821" i="6" s="1"/>
  <c r="I1927" i="6" a="1"/>
  <c r="I1927" i="6" s="1"/>
  <c r="K1927" i="6" s="1"/>
  <c r="I1873" i="6" a="1"/>
  <c r="I1873" i="6" s="1"/>
  <c r="K1873" i="6" s="1"/>
  <c r="I1935" i="6" a="1"/>
  <c r="I1935" i="6" s="1"/>
  <c r="K1935" i="6" s="1"/>
  <c r="I1820" i="6" a="1"/>
  <c r="I1820" i="6" s="1"/>
  <c r="K1820" i="6" s="1"/>
  <c r="I1917" i="6" a="1"/>
  <c r="I1917" i="6" s="1"/>
  <c r="K1917" i="6" s="1"/>
  <c r="I1901" i="6" a="1"/>
  <c r="I1901" i="6" s="1"/>
  <c r="K1901" i="6" s="1"/>
  <c r="I1990" i="6" a="1"/>
  <c r="I1990" i="6" s="1"/>
  <c r="K1990" i="6" s="1"/>
  <c r="I1916" i="6" a="1"/>
  <c r="I1916" i="6" s="1"/>
  <c r="K1916" i="6" s="1"/>
  <c r="I2044" i="6" a="1"/>
  <c r="I2044" i="6" s="1"/>
  <c r="K2044" i="6" s="1"/>
  <c r="I1807" i="6" a="1"/>
  <c r="I1807" i="6" s="1"/>
  <c r="K1807" i="6" s="1"/>
  <c r="I2145" i="6" a="1"/>
  <c r="I2145" i="6" s="1"/>
  <c r="K2145" i="6" s="1"/>
  <c r="I2113" i="6" a="1"/>
  <c r="I2113" i="6" s="1"/>
  <c r="K2113" i="6" s="1"/>
  <c r="I2090" i="6" a="1"/>
  <c r="I2090" i="6" s="1"/>
  <c r="K2090" i="6" s="1"/>
  <c r="I1920" i="6" a="1"/>
  <c r="I1920" i="6" s="1"/>
  <c r="K1920" i="6" s="1"/>
  <c r="I2144" i="6" a="1"/>
  <c r="I2144" i="6" s="1"/>
  <c r="K2144" i="6" s="1"/>
  <c r="I2112" i="6" a="1"/>
  <c r="I2112" i="6" s="1"/>
  <c r="K2112" i="6" s="1"/>
  <c r="I1925" i="6" a="1"/>
  <c r="I1925" i="6" s="1"/>
  <c r="K1925" i="6" s="1"/>
  <c r="I1992" i="6" a="1"/>
  <c r="I1992" i="6" s="1"/>
  <c r="K1992" i="6" s="1"/>
  <c r="I1787" i="6" a="1"/>
  <c r="I1787" i="6" s="1"/>
  <c r="K1787" i="6" s="1"/>
  <c r="I2067" i="6" a="1"/>
  <c r="I2067" i="6" s="1"/>
  <c r="K2067" i="6" s="1"/>
  <c r="I2119" i="6" a="1"/>
  <c r="I2119" i="6" s="1"/>
  <c r="K2119" i="6" s="1"/>
  <c r="I2301" i="6" a="1"/>
  <c r="I2301" i="6" s="1"/>
  <c r="K2301" i="6" s="1"/>
  <c r="I2317" i="6" a="1"/>
  <c r="I2317" i="6" s="1"/>
  <c r="K2317" i="6" s="1"/>
  <c r="I2262" i="6" a="1"/>
  <c r="I2262" i="6" s="1"/>
  <c r="K2262" i="6" s="1"/>
  <c r="I2059" i="6" a="1"/>
  <c r="I2059" i="6" s="1"/>
  <c r="K2059" i="6" s="1"/>
  <c r="I2237" i="6" a="1"/>
  <c r="I2237" i="6" s="1"/>
  <c r="K2237" i="6" s="1"/>
  <c r="I2346" i="6" a="1"/>
  <c r="I2346" i="6" s="1"/>
  <c r="K2346" i="6" s="1"/>
  <c r="I2219" i="6" a="1"/>
  <c r="I2219" i="6" s="1"/>
  <c r="K2219" i="6" s="1"/>
  <c r="I2229" i="6" a="1"/>
  <c r="I2229" i="6" s="1"/>
  <c r="K2229" i="6" s="1"/>
  <c r="I2391" i="6" a="1"/>
  <c r="I2391" i="6" s="1"/>
  <c r="K2391" i="6" s="1"/>
  <c r="I2326" i="6" a="1"/>
  <c r="I2326" i="6" s="1"/>
  <c r="K2326" i="6" s="1"/>
  <c r="I2435" i="6" a="1"/>
  <c r="I2435" i="6" s="1"/>
  <c r="K2435" i="6" s="1"/>
  <c r="I2369" i="6" a="1"/>
  <c r="I2369" i="6" s="1"/>
  <c r="K2369" i="6" s="1"/>
  <c r="I2513" i="6" a="1"/>
  <c r="I2513" i="6" s="1"/>
  <c r="K2513" i="6" s="1"/>
  <c r="I2284" i="6" a="1"/>
  <c r="I2284" i="6" s="1"/>
  <c r="K2284" i="6" s="1"/>
  <c r="I2271" i="6" a="1"/>
  <c r="I2271" i="6" s="1"/>
  <c r="K2271" i="6" s="1"/>
  <c r="I2306" i="6" a="1"/>
  <c r="I2306" i="6" s="1"/>
  <c r="K2306" i="6" s="1"/>
  <c r="I2540" i="6" a="1"/>
  <c r="I2540" i="6" s="1"/>
  <c r="K2540" i="6" s="1"/>
  <c r="I2423" i="6" a="1"/>
  <c r="I2423" i="6" s="1"/>
  <c r="K2423" i="6" s="1"/>
  <c r="I2411" i="6" a="1"/>
  <c r="I2411" i="6" s="1"/>
  <c r="K2411" i="6" s="1"/>
  <c r="I2372" i="6" a="1"/>
  <c r="I2372" i="6" s="1"/>
  <c r="K2372" i="6" s="1"/>
  <c r="I2681" i="6" a="1"/>
  <c r="I2681" i="6" s="1"/>
  <c r="K2681" i="6" s="1"/>
  <c r="I2544" i="6" a="1"/>
  <c r="I2544" i="6" s="1"/>
  <c r="K2544" i="6" s="1"/>
  <c r="I2584" i="6" a="1"/>
  <c r="I2584" i="6" s="1"/>
  <c r="K2584" i="6" s="1"/>
  <c r="I2586" i="6" a="1"/>
  <c r="I2586" i="6" s="1"/>
  <c r="K2586" i="6" s="1"/>
  <c r="I2425" i="6" a="1"/>
  <c r="I2425" i="6" s="1"/>
  <c r="K2425" i="6" s="1"/>
  <c r="I2683" i="6" a="1"/>
  <c r="I2683" i="6" s="1"/>
  <c r="K2683" i="6" s="1"/>
  <c r="I2595" i="6" a="1"/>
  <c r="I2595" i="6" s="1"/>
  <c r="K2595" i="6" s="1"/>
  <c r="I2717" i="6" a="1"/>
  <c r="I2717" i="6" s="1"/>
  <c r="K2717" i="6" s="1"/>
  <c r="I2373" i="6" a="1"/>
  <c r="I2373" i="6" s="1"/>
  <c r="K2373" i="6" s="1"/>
  <c r="I2684" i="6" a="1"/>
  <c r="I2684" i="6" s="1"/>
  <c r="K2684" i="6" s="1"/>
  <c r="I2629" i="6" a="1"/>
  <c r="I2629" i="6" s="1"/>
  <c r="K2629" i="6" s="1"/>
  <c r="I2656" i="6" a="1"/>
  <c r="I2656" i="6" s="1"/>
  <c r="K2656" i="6" s="1"/>
  <c r="I2800" i="6" a="1"/>
  <c r="I2800" i="6" s="1"/>
  <c r="K2800" i="6" s="1"/>
  <c r="I2723" i="6" a="1"/>
  <c r="I2723" i="6" s="1"/>
  <c r="K2723" i="6" s="1"/>
  <c r="I2769" i="6" a="1"/>
  <c r="I2769" i="6" s="1"/>
  <c r="K2769" i="6" s="1"/>
  <c r="I2725" i="6" a="1"/>
  <c r="I2725" i="6" s="1"/>
  <c r="K2725" i="6" s="1"/>
  <c r="I2783" i="6" a="1"/>
  <c r="I2783" i="6" s="1"/>
  <c r="K2783" i="6" s="1"/>
  <c r="I2808" i="6" a="1"/>
  <c r="I2808" i="6" s="1"/>
  <c r="K2808" i="6" s="1"/>
  <c r="I2714" i="6" a="1"/>
  <c r="I2714" i="6" s="1"/>
  <c r="K2714" i="6" s="1"/>
  <c r="I2707" i="6" a="1"/>
  <c r="I2707" i="6" s="1"/>
  <c r="K2707" i="6" s="1"/>
  <c r="I2797" i="6" a="1"/>
  <c r="I2797" i="6" s="1"/>
  <c r="K2797" i="6" s="1"/>
  <c r="I2779" i="6" a="1"/>
  <c r="I2779" i="6" s="1"/>
  <c r="K2779" i="6" s="1"/>
  <c r="I2826" i="6" a="1"/>
  <c r="I2826" i="6" s="1"/>
  <c r="K2826" i="6" s="1"/>
  <c r="I2615" i="6" a="1"/>
  <c r="I2615" i="6" s="1"/>
  <c r="K2615" i="6" s="1"/>
  <c r="I2879" i="6" a="1"/>
  <c r="I2879" i="6" s="1"/>
  <c r="K2879" i="6" s="1"/>
  <c r="I2704" i="6" a="1"/>
  <c r="I2704" i="6" s="1"/>
  <c r="K2704" i="6" s="1"/>
  <c r="I2735" i="6" a="1"/>
  <c r="I2735" i="6" s="1"/>
  <c r="K2735" i="6" s="1"/>
  <c r="I3037" i="6" a="1"/>
  <c r="I3037" i="6" s="1"/>
  <c r="K3037" i="6" s="1"/>
  <c r="I3008" i="6" a="1"/>
  <c r="I3008" i="6" s="1"/>
  <c r="K3008" i="6" s="1"/>
  <c r="I3147" i="6" a="1"/>
  <c r="I3147" i="6" s="1"/>
  <c r="K3147" i="6" s="1"/>
  <c r="I2606" i="6" a="1"/>
  <c r="I2606" i="6" s="1"/>
  <c r="K2606" i="6" s="1"/>
  <c r="I2864" i="6" a="1"/>
  <c r="I2864" i="6" s="1"/>
  <c r="K2864" i="6" s="1"/>
  <c r="I3140" i="6" a="1"/>
  <c r="I3140" i="6" s="1"/>
  <c r="K3140" i="6" s="1"/>
  <c r="I3174" i="6" a="1"/>
  <c r="I3174" i="6" s="1"/>
  <c r="K3174" i="6" s="1"/>
  <c r="I2967" i="6" a="1"/>
  <c r="I2967" i="6" s="1"/>
  <c r="K2967" i="6" s="1"/>
  <c r="I3132" i="6" a="1"/>
  <c r="I3132" i="6" s="1"/>
  <c r="K3132" i="6" s="1"/>
  <c r="I3033" i="6" a="1"/>
  <c r="I3033" i="6" s="1"/>
  <c r="K3033" i="6" s="1"/>
  <c r="I2917" i="6" a="1"/>
  <c r="I2917" i="6" s="1"/>
  <c r="K2917" i="6" s="1"/>
  <c r="I3181" i="6" a="1"/>
  <c r="I3181" i="6" s="1"/>
  <c r="K3181" i="6" s="1"/>
  <c r="I1519" i="6" a="1"/>
  <c r="I1519" i="6" s="1"/>
  <c r="K1519" i="6" s="1"/>
  <c r="I1516" i="6" a="1"/>
  <c r="I1516" i="6" s="1"/>
  <c r="K1516" i="6" s="1"/>
  <c r="I1480" i="6" a="1"/>
  <c r="I1480" i="6" s="1"/>
  <c r="K1480" i="6" s="1"/>
  <c r="I1610" i="6" a="1"/>
  <c r="I1610" i="6" s="1"/>
  <c r="K1610" i="6" s="1"/>
  <c r="I1584" i="6" a="1"/>
  <c r="I1584" i="6" s="1"/>
  <c r="K1584" i="6" s="1"/>
  <c r="I1667" i="6" a="1"/>
  <c r="I1667" i="6" s="1"/>
  <c r="K1667" i="6" s="1"/>
  <c r="I1609" i="6" a="1"/>
  <c r="I1609" i="6" s="1"/>
  <c r="K1609" i="6" s="1"/>
  <c r="I1486" i="6" a="1"/>
  <c r="I1486" i="6" s="1"/>
  <c r="K1486" i="6" s="1"/>
  <c r="I1611" i="6" a="1"/>
  <c r="I1611" i="6" s="1"/>
  <c r="K1611" i="6" s="1"/>
  <c r="I1681" i="6" a="1"/>
  <c r="I1681" i="6" s="1"/>
  <c r="K1681" i="6" s="1"/>
  <c r="I1796" i="6" a="1"/>
  <c r="I1796" i="6" s="1"/>
  <c r="K1796" i="6" s="1"/>
  <c r="I1591" i="6" a="1"/>
  <c r="I1591" i="6" s="1"/>
  <c r="K1591" i="6" s="1"/>
  <c r="I1503" i="6" a="1"/>
  <c r="I1503" i="6" s="1"/>
  <c r="K1503" i="6" s="1"/>
  <c r="I1585" i="6" a="1"/>
  <c r="I1585" i="6" s="1"/>
  <c r="K1585" i="6" s="1"/>
  <c r="I1815" i="6" a="1"/>
  <c r="I1815" i="6" s="1"/>
  <c r="K1815" i="6" s="1"/>
  <c r="I1606" i="6" a="1"/>
  <c r="I1606" i="6" s="1"/>
  <c r="K1606" i="6" s="1"/>
  <c r="I1666" i="6" a="1"/>
  <c r="I1666" i="6" s="1"/>
  <c r="K1666" i="6" s="1"/>
  <c r="I1898" i="6" a="1"/>
  <c r="I1898" i="6" s="1"/>
  <c r="K1898" i="6" s="1"/>
  <c r="I1948" i="6" a="1"/>
  <c r="I1948" i="6" s="1"/>
  <c r="K1948" i="6" s="1"/>
  <c r="I1736" i="6" a="1"/>
  <c r="I1736" i="6" s="1"/>
  <c r="K1736" i="6" s="1"/>
  <c r="I1750" i="6" a="1"/>
  <c r="I1750" i="6" s="1"/>
  <c r="K1750" i="6" s="1"/>
  <c r="I1841" i="6" a="1"/>
  <c r="I1841" i="6" s="1"/>
  <c r="K1841" i="6" s="1"/>
  <c r="I1945" i="6" a="1"/>
  <c r="I1945" i="6" s="1"/>
  <c r="K1945" i="6" s="1"/>
  <c r="I1881" i="6" a="1"/>
  <c r="I1881" i="6" s="1"/>
  <c r="K1881" i="6" s="1"/>
  <c r="I1993" i="6" a="1"/>
  <c r="I1993" i="6" s="1"/>
  <c r="K1993" i="6" s="1"/>
  <c r="I1823" i="6" a="1"/>
  <c r="I1823" i="6" s="1"/>
  <c r="K1823" i="6" s="1"/>
  <c r="I1922" i="6" a="1"/>
  <c r="I1922" i="6" s="1"/>
  <c r="K1922" i="6" s="1"/>
  <c r="I1914" i="6" a="1"/>
  <c r="I1914" i="6" s="1"/>
  <c r="K1914" i="6" s="1"/>
  <c r="I1996" i="6" a="1"/>
  <c r="I1996" i="6" s="1"/>
  <c r="K1996" i="6" s="1"/>
  <c r="I1971" i="6" a="1"/>
  <c r="I1971" i="6" s="1"/>
  <c r="K1971" i="6" s="1"/>
  <c r="I2047" i="6" a="1"/>
  <c r="I2047" i="6" s="1"/>
  <c r="K2047" i="6" s="1"/>
  <c r="I1827" i="6" a="1"/>
  <c r="I1827" i="6" s="1"/>
  <c r="K1827" i="6" s="1"/>
  <c r="I2147" i="6" a="1"/>
  <c r="I2147" i="6" s="1"/>
  <c r="K2147" i="6" s="1"/>
  <c r="I2115" i="6" a="1"/>
  <c r="I2115" i="6" s="1"/>
  <c r="K2115" i="6" s="1"/>
  <c r="I2092" i="6" a="1"/>
  <c r="I2092" i="6" s="1"/>
  <c r="K2092" i="6" s="1"/>
  <c r="I1936" i="6" a="1"/>
  <c r="I1936" i="6" s="1"/>
  <c r="K1936" i="6" s="1"/>
  <c r="I2150" i="6" a="1"/>
  <c r="I2150" i="6" s="1"/>
  <c r="K2150" i="6" s="1"/>
  <c r="I2127" i="6" a="1"/>
  <c r="I2127" i="6" s="1"/>
  <c r="K2127" i="6" s="1"/>
  <c r="I1941" i="6" a="1"/>
  <c r="I1941" i="6" s="1"/>
  <c r="K1941" i="6" s="1"/>
  <c r="I2008" i="6" a="1"/>
  <c r="I2008" i="6" s="1"/>
  <c r="K2008" i="6" s="1"/>
  <c r="I1803" i="6" a="1"/>
  <c r="I1803" i="6" s="1"/>
  <c r="K1803" i="6" s="1"/>
  <c r="I2086" i="6" a="1"/>
  <c r="I2086" i="6" s="1"/>
  <c r="K2086" i="6" s="1"/>
  <c r="I2135" i="6" a="1"/>
  <c r="I2135" i="6" s="1"/>
  <c r="K2135" i="6" s="1"/>
  <c r="I2222" i="6" a="1"/>
  <c r="I2222" i="6" s="1"/>
  <c r="K2222" i="6" s="1"/>
  <c r="I2328" i="6" a="1"/>
  <c r="I2328" i="6" s="1"/>
  <c r="K2328" i="6" s="1"/>
  <c r="I2286" i="6" a="1"/>
  <c r="I2286" i="6" s="1"/>
  <c r="K2286" i="6" s="1"/>
  <c r="I2075" i="6" a="1"/>
  <c r="I2075" i="6" s="1"/>
  <c r="K2075" i="6" s="1"/>
  <c r="I2242" i="6" a="1"/>
  <c r="I2242" i="6" s="1"/>
  <c r="K2242" i="6" s="1"/>
  <c r="I2363" i="6" a="1"/>
  <c r="I2363" i="6" s="1"/>
  <c r="K2363" i="6" s="1"/>
  <c r="I2234" i="6" a="1"/>
  <c r="I2234" i="6" s="1"/>
  <c r="K2234" i="6" s="1"/>
  <c r="I2251" i="6" a="1"/>
  <c r="I2251" i="6" s="1"/>
  <c r="K2251" i="6" s="1"/>
  <c r="I2406" i="6" a="1"/>
  <c r="I2406" i="6" s="1"/>
  <c r="K2406" i="6" s="1"/>
  <c r="I2382" i="6" a="1"/>
  <c r="I2382" i="6" s="1"/>
  <c r="K2382" i="6" s="1"/>
  <c r="I2437" i="6" a="1"/>
  <c r="I2437" i="6" s="1"/>
  <c r="K2437" i="6" s="1"/>
  <c r="I2374" i="6" a="1"/>
  <c r="I2374" i="6" s="1"/>
  <c r="K2374" i="6" s="1"/>
  <c r="I2529" i="6" a="1"/>
  <c r="I2529" i="6" s="1"/>
  <c r="K2529" i="6" s="1"/>
  <c r="I2300" i="6" a="1"/>
  <c r="I2300" i="6" s="1"/>
  <c r="K2300" i="6" s="1"/>
  <c r="I2287" i="6" a="1"/>
  <c r="I2287" i="6" s="1"/>
  <c r="K2287" i="6" s="1"/>
  <c r="I2322" i="6" a="1"/>
  <c r="I2322" i="6" s="1"/>
  <c r="K2322" i="6" s="1"/>
  <c r="I2559" i="6" a="1"/>
  <c r="I2559" i="6" s="1"/>
  <c r="K2559" i="6" s="1"/>
  <c r="I2443" i="6" a="1"/>
  <c r="I2443" i="6" s="1"/>
  <c r="K2443" i="6" s="1"/>
  <c r="I2413" i="6" a="1"/>
  <c r="I2413" i="6" s="1"/>
  <c r="K2413" i="6" s="1"/>
  <c r="I2377" i="6" a="1"/>
  <c r="I2377" i="6" s="1"/>
  <c r="K2377" i="6" s="1"/>
  <c r="I2743" i="6" a="1"/>
  <c r="I2743" i="6" s="1"/>
  <c r="K2743" i="6" s="1"/>
  <c r="I2564" i="6" a="1"/>
  <c r="I2564" i="6" s="1"/>
  <c r="K2564" i="6" s="1"/>
  <c r="I2592" i="6" a="1"/>
  <c r="I2592" i="6" s="1"/>
  <c r="K2592" i="6" s="1"/>
  <c r="I2614" i="6" a="1"/>
  <c r="I2614" i="6" s="1"/>
  <c r="K2614" i="6" s="1"/>
  <c r="I2428" i="6" a="1"/>
  <c r="I2428" i="6" s="1"/>
  <c r="K2428" i="6" s="1"/>
  <c r="I2859" i="6" a="1"/>
  <c r="I2859" i="6" s="1"/>
  <c r="K2859" i="6" s="1"/>
  <c r="I2605" i="6" a="1"/>
  <c r="I2605" i="6" s="1"/>
  <c r="K2605" i="6" s="1"/>
  <c r="I2731" i="6" a="1"/>
  <c r="I2731" i="6" s="1"/>
  <c r="K2731" i="6" s="1"/>
  <c r="I2389" i="6" a="1"/>
  <c r="I2389" i="6" s="1"/>
  <c r="K2389" i="6" s="1"/>
  <c r="I2703" i="6" a="1"/>
  <c r="I2703" i="6" s="1"/>
  <c r="K2703" i="6" s="1"/>
  <c r="I2634" i="6" a="1"/>
  <c r="I2634" i="6" s="1"/>
  <c r="K2634" i="6" s="1"/>
  <c r="I2679" i="6" a="1"/>
  <c r="I2679" i="6" s="1"/>
  <c r="K2679" i="6" s="1"/>
  <c r="I2748" i="6" a="1"/>
  <c r="I2748" i="6" s="1"/>
  <c r="K2748" i="6" s="1"/>
  <c r="I2752" i="6" a="1"/>
  <c r="I2752" i="6" s="1"/>
  <c r="K2752" i="6" s="1"/>
  <c r="I2771" i="6" a="1"/>
  <c r="I2771" i="6" s="1"/>
  <c r="K2771" i="6" s="1"/>
  <c r="I2776" i="6" a="1"/>
  <c r="I2776" i="6" s="1"/>
  <c r="K2776" i="6" s="1"/>
  <c r="I2832" i="6" a="1"/>
  <c r="I2832" i="6" s="1"/>
  <c r="K2832" i="6" s="1"/>
  <c r="I2854" i="6" a="1"/>
  <c r="I2854" i="6" s="1"/>
  <c r="K2854" i="6" s="1"/>
  <c r="I2716" i="6" a="1"/>
  <c r="I2716" i="6" s="1"/>
  <c r="K2716" i="6" s="1"/>
  <c r="I2739" i="6" a="1"/>
  <c r="I2739" i="6" s="1"/>
  <c r="K2739" i="6" s="1"/>
  <c r="I2810" i="6" a="1"/>
  <c r="I2810" i="6" s="1"/>
  <c r="K2810" i="6" s="1"/>
  <c r="I2790" i="6" a="1"/>
  <c r="I2790" i="6" s="1"/>
  <c r="K2790" i="6" s="1"/>
  <c r="I2873" i="6" a="1"/>
  <c r="I2873" i="6" s="1"/>
  <c r="K2873" i="6" s="1"/>
  <c r="I2618" i="6" a="1"/>
  <c r="I2618" i="6" s="1"/>
  <c r="K2618" i="6" s="1"/>
  <c r="I2881" i="6" a="1"/>
  <c r="I2881" i="6" s="1"/>
  <c r="K2881" i="6" s="1"/>
  <c r="I2724" i="6" a="1"/>
  <c r="I2724" i="6" s="1"/>
  <c r="K2724" i="6" s="1"/>
  <c r="I2738" i="6" a="1"/>
  <c r="I2738" i="6" s="1"/>
  <c r="K2738" i="6" s="1"/>
  <c r="I2821" i="6" a="1"/>
  <c r="I2821" i="6" s="1"/>
  <c r="K2821" i="6" s="1"/>
  <c r="I3022" i="6" a="1"/>
  <c r="I3022" i="6" s="1"/>
  <c r="K3022" i="6" s="1"/>
  <c r="I3120" i="6" a="1"/>
  <c r="I3120" i="6" s="1"/>
  <c r="K3120" i="6" s="1"/>
  <c r="I2575" i="6" a="1"/>
  <c r="I2575" i="6" s="1"/>
  <c r="K2575" i="6" s="1"/>
  <c r="I2877" i="6" a="1"/>
  <c r="I2877" i="6" s="1"/>
  <c r="K2877" i="6" s="1"/>
  <c r="I2628" i="6" a="1"/>
  <c r="I2628" i="6" s="1"/>
  <c r="K2628" i="6" s="1"/>
  <c r="I2846" i="6" a="1"/>
  <c r="I2846" i="6" s="1"/>
  <c r="K2846" i="6" s="1"/>
  <c r="I2753" i="6" a="1"/>
  <c r="I2753" i="6" s="1"/>
  <c r="K2753" i="6" s="1"/>
  <c r="I2827" i="6" a="1"/>
  <c r="I2827" i="6" s="1"/>
  <c r="K2827" i="6" s="1"/>
  <c r="I2945" i="6" a="1"/>
  <c r="I2945" i="6" s="1"/>
  <c r="K2945" i="6" s="1"/>
  <c r="I2971" i="6" a="1"/>
  <c r="I2971" i="6" s="1"/>
  <c r="K2971" i="6" s="1"/>
  <c r="I2690" i="6" a="1"/>
  <c r="I2690" i="6" s="1"/>
  <c r="K2690" i="6" s="1"/>
  <c r="I2975" i="6" a="1"/>
  <c r="I2975" i="6" s="1"/>
  <c r="K2975" i="6" s="1"/>
  <c r="I2976" i="6" a="1"/>
  <c r="I2976" i="6" s="1"/>
  <c r="K2976" i="6" s="1"/>
  <c r="I3041" i="6" a="1"/>
  <c r="I3041" i="6" s="1"/>
  <c r="K3041" i="6" s="1"/>
  <c r="I2962" i="6" a="1"/>
  <c r="I2962" i="6" s="1"/>
  <c r="K2962" i="6" s="1"/>
  <c r="I2903" i="6" a="1"/>
  <c r="I2903" i="6" s="1"/>
  <c r="K2903" i="6" s="1"/>
  <c r="I3207" i="6" a="1"/>
  <c r="I3207" i="6" s="1"/>
  <c r="K3207" i="6" s="1"/>
  <c r="I3081" i="6" a="1"/>
  <c r="I3081" i="6" s="1"/>
  <c r="K3081" i="6" s="1"/>
  <c r="I2989" i="6" a="1"/>
  <c r="I2989" i="6" s="1"/>
  <c r="K2989" i="6" s="1"/>
  <c r="I2978" i="6" a="1"/>
  <c r="I2978" i="6" s="1"/>
  <c r="K2978" i="6" s="1"/>
  <c r="I2933" i="6" a="1"/>
  <c r="I2933" i="6" s="1"/>
  <c r="K2933" i="6" s="1"/>
  <c r="I3020" i="6" a="1"/>
  <c r="I3020" i="6" s="1"/>
  <c r="K3020" i="6" s="1"/>
  <c r="I2895" i="6" a="1"/>
  <c r="I2895" i="6" s="1"/>
  <c r="K2895" i="6" s="1"/>
  <c r="I2838" i="6" a="1"/>
  <c r="I2838" i="6" s="1"/>
  <c r="K2838" i="6" s="1"/>
  <c r="I2979" i="6" a="1"/>
  <c r="I2979" i="6" s="1"/>
  <c r="K2979" i="6" s="1"/>
  <c r="I2920" i="6" a="1"/>
  <c r="I2920" i="6" s="1"/>
  <c r="K2920" i="6" s="1"/>
  <c r="I2777" i="6" a="1"/>
  <c r="I2777" i="6" s="1"/>
  <c r="K2777" i="6" s="1"/>
  <c r="I2802" i="6" a="1"/>
  <c r="I2802" i="6" s="1"/>
  <c r="K2802" i="6" s="1"/>
  <c r="I2953" i="6" a="1"/>
  <c r="I2953" i="6" s="1"/>
  <c r="K2953" i="6" s="1"/>
  <c r="I2891" i="6" a="1"/>
  <c r="I2891" i="6" s="1"/>
  <c r="K2891" i="6" s="1"/>
  <c r="I3018" i="6" a="1"/>
  <c r="I3018" i="6" s="1"/>
  <c r="K3018" i="6" s="1"/>
  <c r="I2990" i="6" a="1"/>
  <c r="I2990" i="6" s="1"/>
  <c r="K2990" i="6" s="1"/>
  <c r="I2961" i="6" a="1"/>
  <c r="I2961" i="6" s="1"/>
  <c r="K2961" i="6" s="1"/>
  <c r="I3043" i="6" a="1"/>
  <c r="I3043" i="6" s="1"/>
  <c r="K3043" i="6" s="1"/>
  <c r="I3116" i="6" a="1"/>
  <c r="I3116" i="6" s="1"/>
  <c r="K3116" i="6" s="1"/>
  <c r="I3102" i="6" a="1"/>
  <c r="I3102" i="6" s="1"/>
  <c r="K3102" i="6" s="1"/>
  <c r="I2994" i="6" a="1"/>
  <c r="I2994" i="6" s="1"/>
  <c r="K2994" i="6" s="1"/>
  <c r="I3012" i="6" a="1"/>
  <c r="I3012" i="6" s="1"/>
  <c r="K3012" i="6" s="1"/>
  <c r="I3092" i="6" a="1"/>
  <c r="I3092" i="6" s="1"/>
  <c r="K3092" i="6" s="1"/>
  <c r="I3218" i="6" a="1"/>
  <c r="I3218" i="6" s="1"/>
  <c r="K3218" i="6" s="1"/>
  <c r="I2702" i="6" a="1"/>
  <c r="I2702" i="6" s="1"/>
  <c r="K2702" i="6" s="1"/>
  <c r="I2885" i="6" a="1"/>
  <c r="I2885" i="6" s="1"/>
  <c r="K2885" i="6" s="1"/>
  <c r="I3049" i="6" a="1"/>
  <c r="I3049" i="6" s="1"/>
  <c r="K3049" i="6" s="1"/>
  <c r="I2660" i="6" a="1"/>
  <c r="I2660" i="6" s="1"/>
  <c r="K2660" i="6" s="1"/>
  <c r="I2546" i="6" a="1"/>
  <c r="I2546" i="6" s="1"/>
  <c r="K2546" i="6" s="1"/>
  <c r="I2522" i="6" a="1"/>
  <c r="I2522" i="6" s="1"/>
  <c r="K2522" i="6" s="1"/>
  <c r="I2612" i="6" a="1"/>
  <c r="I2612" i="6" s="1"/>
  <c r="K2612" i="6" s="1"/>
  <c r="I2853" i="6" a="1"/>
  <c r="I2853" i="6" s="1"/>
  <c r="K2853" i="6" s="1"/>
  <c r="I2651" i="6" a="1"/>
  <c r="I2651" i="6" s="1"/>
  <c r="K2651" i="6" s="1"/>
  <c r="I2862" i="6" a="1"/>
  <c r="I2862" i="6" s="1"/>
  <c r="K2862" i="6" s="1"/>
  <c r="I2682" i="6" a="1"/>
  <c r="I2682" i="6" s="1"/>
  <c r="K2682" i="6" s="1"/>
  <c r="I2923" i="6" a="1"/>
  <c r="I2923" i="6" s="1"/>
  <c r="K2923" i="6" s="1"/>
  <c r="I2974" i="6" a="1"/>
  <c r="I2974" i="6" s="1"/>
  <c r="K2974" i="6" s="1"/>
  <c r="I2966" i="6" a="1"/>
  <c r="I2966" i="6" s="1"/>
  <c r="K2966" i="6" s="1"/>
  <c r="I2736" i="6" a="1"/>
  <c r="I2736" i="6" s="1"/>
  <c r="K2736" i="6" s="1"/>
  <c r="I2921" i="6" a="1"/>
  <c r="I2921" i="6" s="1"/>
  <c r="K2921" i="6" s="1"/>
  <c r="I2987" i="6" a="1"/>
  <c r="I2987" i="6" s="1"/>
  <c r="K2987" i="6" s="1"/>
  <c r="I3089" i="6" a="1"/>
  <c r="I3089" i="6" s="1"/>
  <c r="K3089" i="6" s="1"/>
  <c r="I3135" i="6" a="1"/>
  <c r="I3135" i="6" s="1"/>
  <c r="K3135" i="6" s="1"/>
  <c r="I3115" i="6" a="1"/>
  <c r="I3115" i="6" s="1"/>
  <c r="K3115" i="6" s="1"/>
  <c r="I3215" i="6" a="1"/>
  <c r="I3215" i="6" s="1"/>
  <c r="K3215" i="6" s="1"/>
  <c r="I3010" i="6" a="1"/>
  <c r="I3010" i="6" s="1"/>
  <c r="K3010" i="6" s="1"/>
  <c r="I2806" i="6" a="1"/>
  <c r="I2806" i="6" s="1"/>
  <c r="K2806" i="6" s="1"/>
  <c r="I2876" i="6" a="1"/>
  <c r="I2876" i="6" s="1"/>
  <c r="K2876" i="6" s="1"/>
  <c r="I3210" i="6" a="1"/>
  <c r="I3210" i="6" s="1"/>
  <c r="K3210" i="6" s="1"/>
  <c r="I3176" i="6" a="1"/>
  <c r="I3176" i="6" s="1"/>
  <c r="K3176" i="6" s="1"/>
  <c r="I3175" i="6" a="1"/>
  <c r="I3175" i="6" s="1"/>
  <c r="K3175" i="6" s="1"/>
  <c r="I2697" i="6" a="1"/>
  <c r="I2697" i="6" s="1"/>
  <c r="K2697" i="6" s="1"/>
  <c r="I2934" i="6" a="1"/>
  <c r="I2934" i="6" s="1"/>
  <c r="K2934" i="6" s="1"/>
  <c r="I2516" i="6" a="1"/>
  <c r="I2516" i="6" s="1"/>
  <c r="K2516" i="6" s="1"/>
  <c r="I2865" i="6" a="1"/>
  <c r="I2865" i="6" s="1"/>
  <c r="K2865" i="6" s="1"/>
  <c r="I2695" i="6" a="1"/>
  <c r="I2695" i="6" s="1"/>
  <c r="K2695" i="6" s="1"/>
  <c r="I2713" i="6" a="1"/>
  <c r="I2713" i="6" s="1"/>
  <c r="K2713" i="6" s="1"/>
  <c r="I2803" i="6" a="1"/>
  <c r="I2803" i="6" s="1"/>
  <c r="K2803" i="6" s="1"/>
  <c r="I2740" i="6" a="1"/>
  <c r="I2740" i="6" s="1"/>
  <c r="K2740" i="6" s="1"/>
  <c r="I3009" i="6" a="1"/>
  <c r="I3009" i="6" s="1"/>
  <c r="K3009" i="6" s="1"/>
  <c r="I2632" i="6" a="1"/>
  <c r="I2632" i="6" s="1"/>
  <c r="K2632" i="6" s="1"/>
  <c r="I2993" i="6" a="1"/>
  <c r="I2993" i="6" s="1"/>
  <c r="K2993" i="6" s="1"/>
  <c r="I3002" i="6" a="1"/>
  <c r="I3002" i="6" s="1"/>
  <c r="K3002" i="6" s="1"/>
  <c r="I3217" i="6" a="1"/>
  <c r="I3217" i="6" s="1"/>
  <c r="K3217" i="6" s="1"/>
  <c r="I3026" i="6" a="1"/>
  <c r="I3026" i="6" s="1"/>
  <c r="K3026" i="6" s="1"/>
  <c r="I2981" i="6" a="1"/>
  <c r="I2981" i="6" s="1"/>
  <c r="K2981" i="6" s="1"/>
  <c r="I3228" i="6" a="1"/>
  <c r="I3228" i="6" s="1"/>
  <c r="K3228" i="6" s="1"/>
  <c r="I2996" i="6" a="1"/>
  <c r="I2996" i="6" s="1"/>
  <c r="K2996" i="6" s="1"/>
  <c r="I2868" i="6" a="1"/>
  <c r="I2868" i="6" s="1"/>
  <c r="K2868" i="6" s="1"/>
  <c r="I2478" i="6" a="1"/>
  <c r="I2478" i="6" s="1"/>
  <c r="K2478" i="6" s="1"/>
  <c r="I3198" i="6" a="1"/>
  <c r="I3198" i="6" s="1"/>
  <c r="K3198" i="6" s="1"/>
  <c r="I2894" i="6" a="1"/>
  <c r="I2894" i="6" s="1"/>
  <c r="K2894" i="6" s="1"/>
  <c r="I3158" i="6" a="1"/>
  <c r="I3158" i="6" s="1"/>
  <c r="K3158" i="6" s="1"/>
  <c r="I3201" i="6" a="1"/>
  <c r="I3201" i="6" s="1"/>
  <c r="K3201" i="6" s="1"/>
  <c r="I3065" i="6" a="1"/>
  <c r="I3065" i="6" s="1"/>
  <c r="K3065" i="6" s="1"/>
  <c r="I3042" i="6" a="1"/>
  <c r="I3042" i="6" s="1"/>
  <c r="K3042" i="6" s="1"/>
  <c r="I2997" i="6" a="1"/>
  <c r="I2997" i="6" s="1"/>
  <c r="K2997" i="6" s="1"/>
  <c r="I3223" i="6" a="1"/>
  <c r="I3223" i="6" s="1"/>
  <c r="K3223" i="6" s="1"/>
  <c r="I3160" i="6" a="1"/>
  <c r="I3160" i="6" s="1"/>
  <c r="K3160" i="6" s="1"/>
  <c r="I3052" i="6" a="1"/>
  <c r="I3052" i="6" s="1"/>
  <c r="K3052" i="6" s="1"/>
  <c r="I2944" i="6" a="1"/>
  <c r="I2944" i="6" s="1"/>
  <c r="K2944" i="6" s="1"/>
  <c r="I2893" i="6" a="1"/>
  <c r="I2893" i="6" s="1"/>
  <c r="K2893" i="6" s="1"/>
  <c r="I2756" i="6" a="1"/>
  <c r="I2756" i="6" s="1"/>
  <c r="K2756" i="6" s="1"/>
  <c r="I3068" i="6" a="1"/>
  <c r="I3068" i="6" s="1"/>
  <c r="K3068" i="6" s="1"/>
  <c r="I3060" i="6" a="1"/>
  <c r="I3060" i="6" s="1"/>
  <c r="K3060" i="6" s="1"/>
  <c r="I3113" i="6" a="1"/>
  <c r="I3113" i="6" s="1"/>
  <c r="K3113" i="6" s="1"/>
  <c r="I3152" i="6" a="1"/>
  <c r="I3152" i="6" s="1"/>
  <c r="K3152" i="6" s="1"/>
  <c r="I3094" i="6" a="1"/>
  <c r="I3094" i="6" s="1"/>
  <c r="K3094" i="6" s="1"/>
  <c r="I2834" i="6" a="1"/>
  <c r="I2834" i="6" s="1"/>
  <c r="K2834" i="6" s="1"/>
  <c r="I3209" i="6" a="1"/>
  <c r="I3209" i="6" s="1"/>
  <c r="K3209" i="6" s="1"/>
  <c r="I3070" i="6" a="1"/>
  <c r="I3070" i="6" s="1"/>
  <c r="K3070" i="6" s="1"/>
  <c r="I3088" i="6" a="1"/>
  <c r="I3088" i="6" s="1"/>
  <c r="K3088" i="6" s="1"/>
  <c r="I3058" i="6" a="1"/>
  <c r="I3058" i="6" s="1"/>
  <c r="K3058" i="6" s="1"/>
  <c r="I3013" i="6" a="1"/>
  <c r="I3013" i="6" s="1"/>
  <c r="K3013" i="6" s="1"/>
  <c r="I2782" i="6" a="1"/>
  <c r="I2782" i="6" s="1"/>
  <c r="K2782" i="6" s="1"/>
  <c r="I3161" i="6" a="1"/>
  <c r="I3161" i="6" s="1"/>
  <c r="K3161" i="6" s="1"/>
  <c r="I3031" i="6" a="1"/>
  <c r="I3031" i="6" s="1"/>
  <c r="K3031" i="6" s="1"/>
  <c r="I2902" i="6" a="1"/>
  <c r="I2902" i="6" s="1"/>
  <c r="K2902" i="6" s="1"/>
  <c r="I3074" i="6" a="1"/>
  <c r="I3074" i="6" s="1"/>
  <c r="K3074" i="6" s="1"/>
  <c r="I3204" i="6" a="1"/>
  <c r="I3204" i="6" s="1"/>
  <c r="K3204" i="6" s="1"/>
  <c r="I3187" i="6" a="1"/>
  <c r="I3187" i="6" s="1"/>
  <c r="K3187" i="6" s="1"/>
  <c r="I3029" i="6" a="1"/>
  <c r="I3029" i="6" s="1"/>
  <c r="K3029" i="6" s="1"/>
  <c r="I2886" i="6" a="1"/>
  <c r="I2886" i="6" s="1"/>
  <c r="K2886" i="6" s="1"/>
  <c r="I2866" i="6" a="1"/>
  <c r="I2866" i="6" s="1"/>
  <c r="K2866" i="6" s="1"/>
  <c r="I3163" i="6" a="1"/>
  <c r="I3163" i="6" s="1"/>
  <c r="K3163" i="6" s="1"/>
  <c r="I3199" i="6" a="1"/>
  <c r="I3199" i="6" s="1"/>
  <c r="K3199" i="6" s="1"/>
  <c r="I2896" i="6" a="1"/>
  <c r="I2896" i="6" s="1"/>
  <c r="K2896" i="6" s="1"/>
  <c r="I3182" i="6" a="1"/>
  <c r="I3182" i="6" s="1"/>
  <c r="K3182" i="6" s="1"/>
  <c r="I2733" i="6" a="1"/>
  <c r="I2733" i="6" s="1"/>
  <c r="K2733" i="6" s="1"/>
  <c r="I3162" i="6" a="1"/>
  <c r="I3162" i="6" s="1"/>
  <c r="K3162" i="6" s="1"/>
  <c r="I2791" i="6" a="1"/>
  <c r="I2791" i="6" s="1"/>
  <c r="K2791" i="6" s="1"/>
  <c r="I3021" i="6" a="1"/>
  <c r="I3021" i="6" s="1"/>
  <c r="K3021" i="6" s="1"/>
  <c r="I2878" i="6" a="1"/>
  <c r="I2878" i="6" s="1"/>
  <c r="K2878" i="6" s="1"/>
  <c r="I2822" i="6" a="1"/>
  <c r="I2822" i="6" s="1"/>
  <c r="K2822" i="6" s="1"/>
  <c r="I2874" i="6" a="1"/>
  <c r="I2874" i="6" s="1"/>
  <c r="K2874" i="6" s="1"/>
  <c r="I2715" i="6" a="1"/>
  <c r="I2715" i="6" s="1"/>
  <c r="K2715" i="6" s="1"/>
  <c r="I3034" i="6" a="1"/>
  <c r="I3034" i="6" s="1"/>
  <c r="K3034" i="6" s="1"/>
  <c r="I2861" i="6" a="1"/>
  <c r="I2861" i="6" s="1"/>
  <c r="K2861" i="6" s="1"/>
  <c r="I3166" i="6" a="1"/>
  <c r="I3166" i="6" s="1"/>
  <c r="K3166" i="6" s="1"/>
  <c r="I2882" i="6" a="1"/>
  <c r="I2882" i="6" s="1"/>
  <c r="K2882" i="6" s="1"/>
  <c r="I2912" i="6" a="1"/>
  <c r="I2912" i="6" s="1"/>
  <c r="K2912" i="6" s="1"/>
  <c r="I3091" i="6" a="1"/>
  <c r="I3091" i="6" s="1"/>
  <c r="K3091" i="6" s="1"/>
  <c r="I3190" i="6" a="1"/>
  <c r="I3190" i="6" s="1"/>
  <c r="K3190" i="6" s="1"/>
  <c r="I3133" i="6" a="1"/>
  <c r="I3133" i="6" s="1"/>
  <c r="K3133" i="6" s="1"/>
  <c r="I3188" i="6" a="1"/>
  <c r="I3188" i="6" s="1"/>
  <c r="K3188" i="6" s="1"/>
  <c r="I3145" i="6" a="1"/>
  <c r="I3145" i="6" s="1"/>
  <c r="K3145" i="6" s="1"/>
  <c r="I3112" i="6" a="1"/>
  <c r="I3112" i="6" s="1"/>
  <c r="K3112" i="6" s="1"/>
  <c r="I3151" i="6" a="1"/>
  <c r="I3151" i="6" s="1"/>
  <c r="K3151" i="6" s="1"/>
  <c r="I2691" i="6" a="1"/>
  <c r="I2691" i="6" s="1"/>
  <c r="K2691" i="6" s="1"/>
  <c r="I3007" i="6" a="1"/>
  <c r="I3007" i="6" s="1"/>
  <c r="K3007" i="6" s="1"/>
  <c r="I2973" i="6" a="1"/>
  <c r="I2973" i="6" s="1"/>
  <c r="K2973" i="6" s="1"/>
  <c r="I2511" i="6" a="1"/>
  <c r="I2511" i="6" s="1"/>
  <c r="K2511" i="6" s="1"/>
  <c r="I2870" i="6" a="1"/>
  <c r="I2870" i="6" s="1"/>
  <c r="K2870" i="6" s="1"/>
  <c r="I2929" i="6" a="1"/>
  <c r="I2929" i="6" s="1"/>
  <c r="K2929" i="6" s="1"/>
  <c r="I3122" i="6" a="1"/>
  <c r="I3122" i="6" s="1"/>
  <c r="K3122" i="6" s="1"/>
  <c r="I3137" i="6" a="1"/>
  <c r="I3137" i="6" s="1"/>
  <c r="K3137" i="6" s="1"/>
  <c r="I3104" i="6" a="1"/>
  <c r="I3104" i="6" s="1"/>
  <c r="K3104" i="6" s="1"/>
  <c r="I3142" i="6" a="1"/>
  <c r="I3142" i="6" s="1"/>
  <c r="K3142" i="6" s="1"/>
  <c r="I2766" i="6" a="1"/>
  <c r="I2766" i="6" s="1"/>
  <c r="K2766" i="6" s="1"/>
  <c r="I2609" i="6" a="1"/>
  <c r="I2609" i="6" s="1"/>
  <c r="K2609" i="6" s="1"/>
  <c r="I2915" i="6" a="1"/>
  <c r="I2915" i="6" s="1"/>
  <c r="K2915" i="6" s="1"/>
  <c r="I3150" i="6" a="1"/>
  <c r="I3150" i="6" s="1"/>
  <c r="K3150" i="6" s="1"/>
  <c r="I3035" i="6" a="1"/>
  <c r="I3035" i="6" s="1"/>
  <c r="K3035" i="6" s="1"/>
  <c r="I2947" i="6" a="1"/>
  <c r="I2947" i="6" s="1"/>
  <c r="K2947" i="6" s="1"/>
  <c r="I2937" i="6" a="1"/>
  <c r="I2937" i="6" s="1"/>
  <c r="K2937" i="6" s="1"/>
  <c r="I3117" i="6" a="1"/>
  <c r="I3117" i="6" s="1"/>
  <c r="K3117" i="6" s="1"/>
  <c r="I3172" i="6" a="1"/>
  <c r="I3172" i="6" s="1"/>
  <c r="K3172" i="6" s="1"/>
  <c r="I3155" i="6" a="1"/>
  <c r="I3155" i="6" s="1"/>
  <c r="K3155" i="6" s="1"/>
  <c r="I3129" i="6" a="1"/>
  <c r="I3129" i="6" s="1"/>
  <c r="K3129" i="6" s="1"/>
  <c r="I3095" i="6" a="1"/>
  <c r="I3095" i="6" s="1"/>
  <c r="K3095" i="6" s="1"/>
  <c r="I3134" i="6" a="1"/>
  <c r="I3134" i="6" s="1"/>
  <c r="K3134" i="6" s="1"/>
  <c r="I3045" i="6" a="1"/>
  <c r="I3045" i="6" s="1"/>
  <c r="K3045" i="6" s="1"/>
  <c r="I2856" i="6" a="1"/>
  <c r="I2856" i="6" s="1"/>
  <c r="K2856" i="6" s="1"/>
  <c r="I2951" i="6" a="1"/>
  <c r="I2951" i="6" s="1"/>
  <c r="K2951" i="6" s="1"/>
  <c r="I2957" i="6" a="1"/>
  <c r="I2957" i="6" s="1"/>
  <c r="K2957" i="6" s="1"/>
  <c r="I2750" i="6" a="1"/>
  <c r="I2750" i="6" s="1"/>
  <c r="K2750" i="6" s="1"/>
  <c r="I3107" i="6" a="1"/>
  <c r="I3107" i="6" s="1"/>
  <c r="K3107" i="6" s="1"/>
  <c r="I3017" i="6" a="1"/>
  <c r="I3017" i="6" s="1"/>
  <c r="K3017" i="6" s="1"/>
  <c r="I3211" i="6" a="1"/>
  <c r="I3211" i="6" s="1"/>
  <c r="K3211" i="6" s="1"/>
  <c r="I2942" i="6" a="1"/>
  <c r="I2942" i="6" s="1"/>
  <c r="K2942" i="6" s="1"/>
  <c r="I2889" i="6" a="1"/>
  <c r="I2889" i="6" s="1"/>
  <c r="K2889" i="6" s="1"/>
  <c r="I3197" i="6" a="1"/>
  <c r="I3197" i="6" s="1"/>
  <c r="K3197" i="6" s="1"/>
  <c r="I3109" i="6" a="1"/>
  <c r="I3109" i="6" s="1"/>
  <c r="K3109" i="6" s="1"/>
  <c r="I3164" i="6" a="1"/>
  <c r="I3164" i="6" s="1"/>
  <c r="K3164" i="6" s="1"/>
  <c r="I2542" i="6" a="1"/>
  <c r="I2542" i="6" s="1"/>
  <c r="K2542" i="6" s="1"/>
  <c r="I3148" i="6" a="1"/>
  <c r="I3148" i="6" s="1"/>
  <c r="K3148" i="6" s="1"/>
  <c r="I3138" i="6" a="1"/>
  <c r="I3138" i="6" s="1"/>
  <c r="K3138" i="6" s="1"/>
  <c r="I3087" i="6" a="1"/>
  <c r="I3087" i="6" s="1"/>
  <c r="K3087" i="6" s="1"/>
  <c r="I2701" i="6" a="1"/>
  <c r="I2701" i="6" s="1"/>
  <c r="K2701" i="6" s="1"/>
  <c r="I2742" i="6" a="1"/>
  <c r="I2742" i="6" s="1"/>
  <c r="K2742" i="6" s="1"/>
  <c r="I3011" i="6" a="1"/>
  <c r="I3011" i="6" s="1"/>
  <c r="K3011" i="6" s="1"/>
  <c r="I3027" i="6" a="1"/>
  <c r="I3027" i="6" s="1"/>
  <c r="K3027" i="6" s="1"/>
  <c r="I3105" i="6" a="1"/>
  <c r="I3105" i="6" s="1"/>
  <c r="K3105" i="6" s="1"/>
  <c r="I2983" i="6" a="1"/>
  <c r="I2983" i="6" s="1"/>
  <c r="K2983" i="6" s="1"/>
  <c r="I3032" i="6" a="1"/>
  <c r="I3032" i="6" s="1"/>
  <c r="K3032" i="6" s="1"/>
  <c r="I2950" i="6" a="1"/>
  <c r="I2950" i="6" s="1"/>
  <c r="K2950" i="6" s="1"/>
  <c r="I2905" i="6" a="1"/>
  <c r="I2905" i="6" s="1"/>
  <c r="K2905" i="6" s="1"/>
  <c r="I3227" i="6" a="1"/>
  <c r="I3227" i="6" s="1"/>
  <c r="K3227" i="6" s="1"/>
  <c r="I3101" i="6" a="1"/>
  <c r="I3101" i="6" s="1"/>
  <c r="K3101" i="6" s="1"/>
  <c r="I3156" i="6" a="1"/>
  <c r="I3156" i="6" s="1"/>
  <c r="K3156" i="6" s="1"/>
  <c r="I3130" i="6" a="1"/>
  <c r="I3130" i="6" s="1"/>
  <c r="K3130" i="6" s="1"/>
  <c r="I3072" i="6" a="1"/>
  <c r="I3072" i="6" s="1"/>
  <c r="K3072" i="6" s="1"/>
  <c r="I2469" i="6" a="1"/>
  <c r="I2469" i="6" s="1"/>
  <c r="K2469" i="6" s="1"/>
  <c r="I3016" i="6" a="1"/>
  <c r="I3016" i="6" s="1"/>
  <c r="K3016" i="6" s="1"/>
  <c r="I2941" i="6" a="1"/>
  <c r="I2941" i="6" s="1"/>
  <c r="K2941" i="6" s="1"/>
  <c r="I2734" i="6" a="1"/>
  <c r="I2734" i="6" s="1"/>
  <c r="K2734" i="6" s="1"/>
  <c r="I2667" i="6" a="1"/>
  <c r="I2667" i="6" s="1"/>
  <c r="K2667" i="6" s="1"/>
  <c r="I2796" i="6" a="1"/>
  <c r="I2796" i="6" s="1"/>
  <c r="K2796" i="6" s="1"/>
  <c r="I3055" i="6" a="1"/>
  <c r="I3055" i="6" s="1"/>
  <c r="K3055" i="6" s="1"/>
  <c r="I3127" i="6" a="1"/>
  <c r="I3127" i="6" s="1"/>
  <c r="K3127" i="6" s="1"/>
  <c r="I3123" i="6" a="1"/>
  <c r="I3123" i="6" s="1"/>
  <c r="K3123" i="6" s="1"/>
  <c r="I3192" i="6" a="1"/>
  <c r="I3192" i="6" s="1"/>
  <c r="K3192" i="6" s="1"/>
  <c r="I3119" i="6" a="1"/>
  <c r="I3119" i="6" s="1"/>
  <c r="K3119" i="6" s="1"/>
  <c r="I3001" i="6" a="1"/>
  <c r="I3001" i="6" s="1"/>
  <c r="K3001" i="6" s="1"/>
  <c r="I2955" i="6" a="1"/>
  <c r="I2955" i="6" s="1"/>
  <c r="K2955" i="6" s="1"/>
  <c r="I2930" i="6" a="1"/>
  <c r="I2930" i="6" s="1"/>
  <c r="K2930" i="6" s="1"/>
  <c r="I3093" i="6" a="1"/>
  <c r="I3093" i="6" s="1"/>
  <c r="K3093" i="6" s="1"/>
  <c r="I2654" i="6" a="1"/>
  <c r="I2654" i="6" s="1"/>
  <c r="K2654" i="6" s="1"/>
  <c r="I2526" i="6" a="1"/>
  <c r="I2526" i="6" s="1"/>
  <c r="K2526" i="6" s="1"/>
  <c r="I3131" i="6" a="1"/>
  <c r="I3131" i="6" s="1"/>
  <c r="K3131" i="6" s="1"/>
  <c r="I3110" i="6" a="1"/>
  <c r="I3110" i="6" s="1"/>
  <c r="K3110" i="6" s="1"/>
  <c r="I2927" i="6" a="1"/>
  <c r="I2927" i="6" s="1"/>
  <c r="K2927" i="6" s="1"/>
  <c r="I2496" i="6" a="1"/>
  <c r="I2496" i="6" s="1"/>
  <c r="K2496" i="6" s="1"/>
  <c r="I2685" i="6" a="1"/>
  <c r="I2685" i="6" s="1"/>
  <c r="K2685" i="6" s="1"/>
  <c r="I2819" i="6" a="1"/>
  <c r="I2819" i="6" s="1"/>
  <c r="K2819" i="6" s="1"/>
  <c r="I2726" i="6" a="1"/>
  <c r="I2726" i="6" s="1"/>
  <c r="K2726" i="6" s="1"/>
  <c r="I2931" i="6" a="1"/>
  <c r="I2931" i="6" s="1"/>
  <c r="K2931" i="6" s="1"/>
  <c r="I2825" i="6" a="1"/>
  <c r="I2825" i="6" s="1"/>
  <c r="K2825" i="6" s="1"/>
  <c r="I2843" i="6" a="1"/>
  <c r="I2843" i="6" s="1"/>
  <c r="K2843" i="6" s="1"/>
  <c r="I2851" i="6" a="1"/>
  <c r="I2851" i="6" s="1"/>
  <c r="K2851" i="6" s="1"/>
  <c r="I2995" i="6" a="1"/>
  <c r="I2995" i="6" s="1"/>
  <c r="K2995" i="6" s="1"/>
  <c r="I2928" i="6" a="1"/>
  <c r="I2928" i="6" s="1"/>
  <c r="K2928" i="6" s="1"/>
  <c r="I2801" i="6" a="1"/>
  <c r="I2801" i="6" s="1"/>
  <c r="K2801" i="6" s="1"/>
  <c r="I2959" i="6" a="1"/>
  <c r="I2959" i="6" s="1"/>
  <c r="K2959" i="6" s="1"/>
  <c r="I3144" i="6" a="1"/>
  <c r="I3144" i="6" s="1"/>
  <c r="K3144" i="6" s="1"/>
  <c r="I3019" i="6" a="1"/>
  <c r="I3019" i="6" s="1"/>
  <c r="K3019" i="6" s="1"/>
  <c r="I3136" i="6" a="1"/>
  <c r="I3136" i="6" s="1"/>
  <c r="K3136" i="6" s="1"/>
  <c r="I3225" i="6" a="1"/>
  <c r="I3225" i="6" s="1"/>
  <c r="K3225" i="6" s="1"/>
  <c r="I3003" i="6" a="1"/>
  <c r="I3003" i="6" s="1"/>
  <c r="K3003" i="6" s="1"/>
  <c r="I2963" i="6" a="1"/>
  <c r="I2963" i="6" s="1"/>
  <c r="K2963" i="6" s="1"/>
  <c r="I3219" i="6" a="1"/>
  <c r="I3219" i="6" s="1"/>
  <c r="K3219" i="6" s="1"/>
  <c r="I2986" i="6" a="1"/>
  <c r="I2986" i="6" s="1"/>
  <c r="K2986" i="6" s="1"/>
  <c r="I2946" i="6" a="1"/>
  <c r="I2946" i="6" s="1"/>
  <c r="K2946" i="6" s="1"/>
  <c r="I3202" i="6" a="1"/>
  <c r="I3202" i="6" s="1"/>
  <c r="K3202" i="6" s="1"/>
  <c r="I3173" i="6" a="1"/>
  <c r="I3173" i="6" s="1"/>
  <c r="K3173" i="6" s="1"/>
  <c r="I3085" i="6" a="1"/>
  <c r="I3085" i="6" s="1"/>
  <c r="K3085" i="6" s="1"/>
  <c r="I3036" i="6" a="1"/>
  <c r="I3036" i="6" s="1"/>
  <c r="K3036" i="6" s="1"/>
  <c r="I2908" i="6" a="1"/>
  <c r="I2908" i="6" s="1"/>
  <c r="K2908" i="6" s="1"/>
  <c r="I3083" i="6" a="1"/>
  <c r="I3083" i="6" s="1"/>
  <c r="K3083" i="6" s="1"/>
  <c r="I3106" i="6" a="1"/>
  <c r="I3106" i="6" s="1"/>
  <c r="K3106" i="6" s="1"/>
  <c r="I3216" i="6" a="1"/>
  <c r="I3216" i="6" s="1"/>
  <c r="K3216" i="6" s="1"/>
  <c r="I3056" i="6" a="1"/>
  <c r="I3056" i="6" s="1"/>
  <c r="K3056" i="6" s="1"/>
  <c r="I3063" i="6" a="1"/>
  <c r="I3063" i="6" s="1"/>
  <c r="K3063" i="6" s="1"/>
  <c r="I3062" i="6" a="1"/>
  <c r="I3062" i="6" s="1"/>
  <c r="K3062" i="6" s="1"/>
  <c r="I2669" i="6" a="1"/>
  <c r="I2669" i="6" s="1"/>
  <c r="K2669" i="6" s="1"/>
  <c r="I2784" i="6" a="1"/>
  <c r="I2784" i="6" s="1"/>
  <c r="K2784" i="6" s="1"/>
  <c r="I2663" i="6" a="1"/>
  <c r="I2663" i="6" s="1"/>
  <c r="K2663" i="6" s="1"/>
  <c r="I3030" i="6" a="1"/>
  <c r="I3030" i="6" s="1"/>
  <c r="K3030" i="6" s="1"/>
  <c r="I3153" i="6" l="1" a="1"/>
  <c r="I3153" i="6" s="1"/>
  <c r="K3153" i="6" s="1"/>
  <c r="O3153" i="6"/>
  <c r="I2687" i="6" a="1"/>
  <c r="I2687" i="6" s="1"/>
  <c r="K2687" i="6" s="1"/>
  <c r="O2687" i="6"/>
  <c r="I3212" i="6" a="1"/>
  <c r="I3212" i="6" s="1"/>
  <c r="K3212" i="6" s="1"/>
  <c r="O3212" i="6"/>
  <c r="I3146" i="6" a="1"/>
  <c r="I3146" i="6" s="1"/>
  <c r="K3146" i="6" s="1"/>
  <c r="O3146" i="6"/>
  <c r="I3128" i="6" a="1"/>
  <c r="I3128" i="6" s="1"/>
  <c r="K3128" i="6" s="1"/>
  <c r="O3128" i="6"/>
  <c r="I3154" i="6" a="1"/>
  <c r="I3154" i="6" s="1"/>
  <c r="K3154" i="6" s="1"/>
  <c r="O3154" i="6"/>
  <c r="I3053" i="6" a="1"/>
  <c r="I3053" i="6" s="1"/>
  <c r="K3053" i="6" s="1"/>
  <c r="O3053" i="6"/>
  <c r="I2670" i="6" a="1"/>
  <c r="I2670" i="6" s="1"/>
  <c r="K2670" i="6" s="1"/>
  <c r="O2670" i="6"/>
  <c r="I2887" i="6" a="1"/>
  <c r="I2887" i="6" s="1"/>
  <c r="K2887" i="6" s="1"/>
  <c r="O2887" i="6"/>
  <c r="I3171" i="6" a="1"/>
  <c r="I3171" i="6" s="1"/>
  <c r="K3171" i="6" s="1"/>
  <c r="O3171" i="6"/>
  <c r="I2948" i="6" a="1"/>
  <c r="I2948" i="6" s="1"/>
  <c r="K2948" i="6" s="1"/>
  <c r="O2948" i="6"/>
  <c r="I2494" i="6" a="1"/>
  <c r="I2494" i="6" s="1"/>
  <c r="K2494" i="6" s="1"/>
  <c r="O2494" i="6"/>
  <c r="I2653" i="6" a="1"/>
  <c r="I2653" i="6" s="1"/>
  <c r="K2653" i="6" s="1"/>
  <c r="O2653" i="6"/>
  <c r="I2956" i="6" a="1"/>
  <c r="I2956" i="6" s="1"/>
  <c r="K2956" i="6" s="1"/>
  <c r="O2956" i="6"/>
  <c r="I2590" i="6" a="1"/>
  <c r="I2590" i="6" s="1"/>
  <c r="K2590" i="6" s="1"/>
  <c r="O2590" i="6"/>
  <c r="I2999" i="6" a="1"/>
  <c r="I2999" i="6" s="1"/>
  <c r="K2999" i="6" s="1"/>
  <c r="O2999" i="6"/>
  <c r="I2611" i="6" a="1"/>
  <c r="I2611" i="6" s="1"/>
  <c r="K2611" i="6" s="1"/>
  <c r="O2611" i="6"/>
  <c r="I3206" i="6" a="1"/>
  <c r="I3206" i="6" s="1"/>
  <c r="K3206" i="6" s="1"/>
  <c r="O3206" i="6"/>
  <c r="I3098" i="6" a="1"/>
  <c r="I3098" i="6" s="1"/>
  <c r="K3098" i="6" s="1"/>
  <c r="O3098" i="6"/>
  <c r="I2972" i="6" a="1"/>
  <c r="I2972" i="6" s="1"/>
  <c r="K2972" i="6" s="1"/>
  <c r="O2972" i="6"/>
  <c r="I3071" i="6" a="1"/>
  <c r="I3071" i="6" s="1"/>
  <c r="K3071" i="6" s="1"/>
  <c r="O3071" i="6"/>
  <c r="I2860" i="6" a="1"/>
  <c r="I2860" i="6" s="1"/>
  <c r="K2860" i="6" s="1"/>
  <c r="O2860" i="6"/>
  <c r="I2992" i="6" a="1"/>
  <c r="I2992" i="6" s="1"/>
  <c r="K2992" i="6" s="1"/>
  <c r="O2992" i="6"/>
  <c r="I3028" i="6" a="1"/>
  <c r="I3028" i="6" s="1"/>
  <c r="K3028" i="6" s="1"/>
  <c r="O3028" i="6"/>
  <c r="I3179" i="6" a="1"/>
  <c r="I3179" i="6" s="1"/>
  <c r="K3179" i="6" s="1"/>
  <c r="O3179" i="6"/>
  <c r="I2872" i="6" a="1"/>
  <c r="I2872" i="6" s="1"/>
  <c r="K2872" i="6" s="1"/>
  <c r="O2872" i="6"/>
  <c r="I3203" i="6" a="1"/>
  <c r="I3203" i="6" s="1"/>
  <c r="K3203" i="6" s="1"/>
  <c r="O3203" i="6"/>
  <c r="I3169" i="6" a="1"/>
  <c r="I3169" i="6" s="1"/>
  <c r="K3169" i="6" s="1"/>
  <c r="O3169" i="6"/>
  <c r="I3077" i="6" a="1"/>
  <c r="I3077" i="6" s="1"/>
  <c r="K3077" i="6" s="1"/>
  <c r="O3077" i="6"/>
  <c r="I2446" i="6" a="1"/>
  <c r="I2446" i="6" s="1"/>
  <c r="K2446" i="6" s="1"/>
  <c r="O2446" i="6"/>
  <c r="I3125" i="6" a="1"/>
  <c r="I3125" i="6" s="1"/>
  <c r="K3125" i="6" s="1"/>
  <c r="O3125" i="6"/>
  <c r="I3229" i="6" a="1"/>
  <c r="I3229" i="6" s="1"/>
  <c r="K3229" i="6" s="1"/>
  <c r="O3229" i="6"/>
  <c r="I3079" i="6" a="1"/>
  <c r="I3079" i="6" s="1"/>
  <c r="K3079" i="6" s="1"/>
  <c r="O3079" i="6"/>
  <c r="I3157" i="6" a="1"/>
  <c r="I3157" i="6" s="1"/>
  <c r="K3157" i="6" s="1"/>
  <c r="O3157" i="6"/>
  <c r="I3170" i="6" a="1"/>
  <c r="I3170" i="6" s="1"/>
  <c r="K3170" i="6" s="1"/>
  <c r="O3170" i="6"/>
  <c r="I3159" i="6" a="1"/>
  <c r="I3159" i="6" s="1"/>
  <c r="K3159" i="6" s="1"/>
  <c r="O3159" i="6"/>
  <c r="I3090" i="6" a="1"/>
  <c r="I3090" i="6" s="1"/>
  <c r="K3090" i="6" s="1"/>
  <c r="O3090" i="6"/>
  <c r="I3080" i="6" a="1"/>
  <c r="I3080" i="6" s="1"/>
  <c r="K3080" i="6" s="1"/>
  <c r="O3080" i="6"/>
  <c r="I3177" i="6" a="1"/>
  <c r="I3177" i="6" s="1"/>
  <c r="K3177" i="6" s="1"/>
  <c r="O3177" i="6"/>
  <c r="I3082" i="6" a="1"/>
  <c r="I3082" i="6" s="1"/>
  <c r="K3082" i="6" s="1"/>
  <c r="O3082" i="6"/>
  <c r="I2510" i="6" a="1"/>
  <c r="I2510" i="6" s="1"/>
  <c r="K2510" i="6" s="1"/>
  <c r="O2510" i="6"/>
  <c r="I2980" i="6" a="1"/>
  <c r="I2980" i="6" s="1"/>
  <c r="K2980" i="6" s="1"/>
  <c r="O2980" i="6"/>
  <c r="I3047" i="6" a="1"/>
  <c r="I3047" i="6" s="1"/>
  <c r="K3047" i="6" s="1"/>
  <c r="O3047" i="6"/>
  <c r="I3191" i="6" a="1"/>
  <c r="I3191" i="6" s="1"/>
  <c r="K3191" i="6" s="1"/>
  <c r="O3191" i="6"/>
  <c r="I3208" i="6" a="1"/>
  <c r="I3208" i="6" s="1"/>
  <c r="K3208" i="6" s="1"/>
  <c r="O3208" i="6"/>
  <c r="I2622" i="6" a="1"/>
  <c r="I2622" i="6" s="1"/>
  <c r="K2622" i="6" s="1"/>
  <c r="O2622" i="6"/>
  <c r="I2686" i="6" a="1"/>
  <c r="I2686" i="6" s="1"/>
  <c r="K2686" i="6" s="1"/>
  <c r="O2686" i="6"/>
  <c r="I3195" i="6" a="1"/>
  <c r="I3195" i="6" s="1"/>
  <c r="K3195" i="6" s="1"/>
  <c r="O3195" i="6"/>
  <c r="I2901" i="6" a="1"/>
  <c r="I2901" i="6" s="1"/>
  <c r="K2901" i="6" s="1"/>
  <c r="O2901" i="6"/>
  <c r="I3069" i="6" a="1"/>
  <c r="I3069" i="6" s="1"/>
  <c r="K3069" i="6" s="1"/>
  <c r="O3069" i="6"/>
  <c r="I2430" i="6" a="1"/>
  <c r="I2430" i="6" s="1"/>
  <c r="K2430" i="6" s="1"/>
  <c r="O2430" i="6"/>
  <c r="I2968" i="6" a="1"/>
  <c r="I2968" i="6" s="1"/>
  <c r="K2968" i="6" s="1"/>
  <c r="O2968" i="6"/>
  <c r="I2798" i="6" a="1"/>
  <c r="I2798" i="6" s="1"/>
  <c r="K2798" i="6" s="1"/>
  <c r="O2798" i="6"/>
  <c r="I2932" i="6" a="1"/>
  <c r="I2932" i="6" s="1"/>
  <c r="K2932" i="6" s="1"/>
  <c r="O2932" i="6"/>
  <c r="I2960" i="6" a="1"/>
  <c r="I2960" i="6" s="1"/>
  <c r="K2960" i="6" s="1"/>
  <c r="O2960" i="6"/>
  <c r="I2414" i="6" a="1"/>
  <c r="I2414" i="6" s="1"/>
  <c r="K2414" i="6" s="1"/>
  <c r="O2414" i="6"/>
  <c r="I2817" i="6" a="1"/>
  <c r="I2817" i="6" s="1"/>
  <c r="K2817" i="6" s="1"/>
  <c r="O2817" i="6"/>
  <c r="I3046" i="6" a="1"/>
  <c r="I3046" i="6" s="1"/>
  <c r="K3046" i="6" s="1"/>
  <c r="O3046" i="6"/>
  <c r="I2900" i="6" a="1"/>
  <c r="I2900" i="6" s="1"/>
  <c r="K2900" i="6" s="1"/>
  <c r="O2900" i="6"/>
  <c r="B3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WinuE</author>
    <author>Janet</author>
  </authors>
  <commentList>
    <comment ref="G2035" authorId="0" shapeId="0" xr:uid="{19E4A74B-6131-473E-A7B4-CD87A58E894F}">
      <text>
        <r>
          <rPr>
            <b/>
            <sz val="11"/>
            <color indexed="81"/>
            <rFont val="Tahoma"/>
            <family val="2"/>
          </rPr>
          <t>se le liquidó hasta 24-08-09.</t>
        </r>
      </text>
    </comment>
    <comment ref="G2036" authorId="0" shapeId="0" xr:uid="{2F175B5F-EF11-43C3-AA8B-3ECB960BDFED}">
      <text>
        <r>
          <rPr>
            <b/>
            <sz val="11"/>
            <color indexed="81"/>
            <rFont val="Tahoma"/>
            <family val="2"/>
          </rPr>
          <t>se le liquidó hasta 24-08-09.</t>
        </r>
      </text>
    </comment>
    <comment ref="G2087" authorId="1" shapeId="0" xr:uid="{C2DC92AD-3A0F-42A3-AED5-CD081324EA33}">
      <text>
        <r>
          <rPr>
            <b/>
            <sz val="10"/>
            <color indexed="81"/>
            <rFont val="Tahoma"/>
            <family val="2"/>
          </rPr>
          <t>Janet:</t>
        </r>
        <r>
          <rPr>
            <sz val="10"/>
            <color indexed="81"/>
            <rFont val="Tahoma"/>
            <family val="2"/>
          </rPr>
          <t xml:space="preserve">
Se le liquido desde el 01/09/2005 hasta el 20/03/2012 fecha de ingreso el 21/03/2012 entra como nuevo.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<sst xmlns="http://schemas.openxmlformats.org/spreadsheetml/2006/main" count="14562" uniqueCount="4732">
  <si>
    <t>LOCAL</t>
  </si>
  <si>
    <t>GRUPO</t>
  </si>
  <si>
    <t>SAN BORJA</t>
  </si>
  <si>
    <t>LIMA E ICA PROVINCIA</t>
  </si>
  <si>
    <t>POLO</t>
  </si>
  <si>
    <t>JESUS MARIA</t>
  </si>
  <si>
    <t>DOÑA ROSA</t>
  </si>
  <si>
    <t>ICA PROVINCIA</t>
  </si>
  <si>
    <t>DOMINICANA</t>
  </si>
  <si>
    <t>LIMA HISTORICO</t>
  </si>
  <si>
    <t>FAUCETT</t>
  </si>
  <si>
    <t>ALAMEDA</t>
  </si>
  <si>
    <t>GUARDIA CIVIL</t>
  </si>
  <si>
    <t>LINCE</t>
  </si>
  <si>
    <t>SAN MIGUEL</t>
  </si>
  <si>
    <t>LOS OLIVOS</t>
  </si>
  <si>
    <t>RISSO</t>
  </si>
  <si>
    <t>MOLINA 2</t>
  </si>
  <si>
    <t>ZARATE</t>
  </si>
  <si>
    <t>MAGDALENA</t>
  </si>
  <si>
    <t>SUCRE</t>
  </si>
  <si>
    <t>MIRAFLORES</t>
  </si>
  <si>
    <t>TARAPOTO</t>
  </si>
  <si>
    <t>PURUCHUCO</t>
  </si>
  <si>
    <t>PATIO DE COMIDA</t>
  </si>
  <si>
    <t>LARCOMAR</t>
  </si>
  <si>
    <t>SAN ISIDRO</t>
  </si>
  <si>
    <t>CARGO ORIGINAL (del listado)</t>
  </si>
  <si>
    <t>CARGO ESTANDAR (para precio/uniforme)</t>
  </si>
  <si>
    <t>MOZO</t>
  </si>
  <si>
    <t>ADMINISTRADOR(A)</t>
  </si>
  <si>
    <t>ADMINISTRATIVO</t>
  </si>
  <si>
    <t>COUNTER (HOMBRE)</t>
  </si>
  <si>
    <t>COUNTER (MUJER)</t>
  </si>
  <si>
    <t>DNI</t>
  </si>
  <si>
    <t>RAZON SOCIAL</t>
  </si>
  <si>
    <t>APELLIDOS Y NOMBRES</t>
  </si>
  <si>
    <t>CARGO ORIGINAL</t>
  </si>
  <si>
    <t>CARGO ESTANDAR (auto)</t>
  </si>
  <si>
    <t>FECHA INGRESO</t>
  </si>
  <si>
    <t>CARGO ESTANDAR</t>
  </si>
  <si>
    <t>MATERIAL</t>
  </si>
  <si>
    <t>PRECIO (S,M,L)</t>
  </si>
  <si>
    <t>PRECIO (XL)</t>
  </si>
  <si>
    <t>PRECIO (XXL)</t>
  </si>
  <si>
    <t>CLAVE</t>
  </si>
  <si>
    <t>COCINA</t>
  </si>
  <si>
    <t>CHAQUETA DRILL BLANCO</t>
  </si>
  <si>
    <t>Fecha</t>
  </si>
  <si>
    <t>GRUPO (auto)</t>
  </si>
  <si>
    <t>TALLA</t>
  </si>
  <si>
    <t>CANTIDAD</t>
  </si>
  <si>
    <t>Doc/Ref</t>
  </si>
  <si>
    <t>Obs</t>
  </si>
  <si>
    <t>APELLIDOS Y NOMBRES (auto)</t>
  </si>
  <si>
    <t>LOCAL (auto)</t>
  </si>
  <si>
    <t>PRECIO (auto)</t>
  </si>
  <si>
    <t>SUBTOTAL</t>
  </si>
  <si>
    <t>ESTADO</t>
  </si>
  <si>
    <t>FECHA DE ENTREGA</t>
  </si>
  <si>
    <t>MONEDA</t>
  </si>
  <si>
    <t>DESCUENTO</t>
  </si>
  <si>
    <t>Tipo</t>
  </si>
  <si>
    <t>Entrada</t>
  </si>
  <si>
    <t>Salida</t>
  </si>
  <si>
    <t>Precio Unit</t>
  </si>
  <si>
    <t>Importe</t>
  </si>
  <si>
    <t>Saldo (calc)</t>
  </si>
  <si>
    <t>Entradas</t>
  </si>
  <si>
    <t>Ajuste</t>
  </si>
  <si>
    <t>Disponible</t>
  </si>
  <si>
    <t>Panel</t>
  </si>
  <si>
    <t>Total a descontar (S/)</t>
  </si>
  <si>
    <t>Filtra 'Solicitudes' por DNI para ver el histórico por persona. El stock se calcula por GRUPO+CARGO+MATERIAL+TALLA.</t>
  </si>
  <si>
    <t>VILLA STEAKHOUSE</t>
  </si>
  <si>
    <t>70343271</t>
  </si>
  <si>
    <t>CAO JINGHUI</t>
  </si>
  <si>
    <t>PARURO</t>
  </si>
  <si>
    <t>ORE RUIZ MARIA MAGDALENA</t>
  </si>
  <si>
    <t>48055071</t>
  </si>
  <si>
    <t>LEZAMA RODRIGUEZ OSWALDO</t>
  </si>
  <si>
    <t>48832834</t>
  </si>
  <si>
    <t>CALDERON DE LA CRUZ RICARDO MANUEL</t>
  </si>
  <si>
    <t>AYUDANTE DE COCINA</t>
  </si>
  <si>
    <t>002430871</t>
  </si>
  <si>
    <t>RODRIGUEZ GUTIERREZ FRANCISCO ANTONIO</t>
  </si>
  <si>
    <t>ASISTENTE ADM.</t>
  </si>
  <si>
    <t>42395704</t>
  </si>
  <si>
    <t>CHAGUA BLAS ALBERTO CESAR</t>
  </si>
  <si>
    <t>COCINERO(A)</t>
  </si>
  <si>
    <t>62992990</t>
  </si>
  <si>
    <t>LINARES PEREZ JOSE CARLOS</t>
  </si>
  <si>
    <t>78625896</t>
  </si>
  <si>
    <t>MAUTINO ACAPANA JERSON EFRAIN</t>
  </si>
  <si>
    <t>75329768</t>
  </si>
  <si>
    <t>CORNEJO MEJIA ELIAS DAVID</t>
  </si>
  <si>
    <t>VAJILLERO(A)</t>
  </si>
  <si>
    <t>47463587</t>
  </si>
  <si>
    <t>TOLENTINO AGUILAR OSCAR</t>
  </si>
  <si>
    <t>CHAUFERO</t>
  </si>
  <si>
    <t>61139042</t>
  </si>
  <si>
    <t>CHAGUA CARLOS JUAN JOSE</t>
  </si>
  <si>
    <t>47310181</t>
  </si>
  <si>
    <t>CHOU DING CHIOK KING</t>
  </si>
  <si>
    <t>KONG ICA</t>
  </si>
  <si>
    <t>ARONES GARAYAR YONHY WILLIAM</t>
  </si>
  <si>
    <t>70258850</t>
  </si>
  <si>
    <t>ARPI CACERES EMIIR FELIPE</t>
  </si>
  <si>
    <t>41057334</t>
  </si>
  <si>
    <t>BENAVIDES ORMEÑO VICTORIA LIZETTE</t>
  </si>
  <si>
    <t>COUNTER</t>
  </si>
  <si>
    <t>003139978</t>
  </si>
  <si>
    <t>BERRIOS CARVAJAL YERSON JOSE</t>
  </si>
  <si>
    <t>HABILITADOR</t>
  </si>
  <si>
    <t>21525694</t>
  </si>
  <si>
    <t>FLORES HUAMANI EDDY FERNANDO</t>
  </si>
  <si>
    <t>AUXILIAR DE MANTENIMIENTO</t>
  </si>
  <si>
    <t>07483158</t>
  </si>
  <si>
    <t>JUNCHAYA ORELLANA JANIR LUCIA</t>
  </si>
  <si>
    <t>TELEOPERADOR(A)</t>
  </si>
  <si>
    <t>004253510</t>
  </si>
  <si>
    <t>ROJAS YEDRA FRANCYS CAROLINA</t>
  </si>
  <si>
    <t>005042437</t>
  </si>
  <si>
    <t>SALAZAR MELEAN FRANCISCO JAVIER</t>
  </si>
  <si>
    <t>47381672</t>
  </si>
  <si>
    <t>PEÑA TORRES JULIO ALBERTO</t>
  </si>
  <si>
    <t>MOTORIZADO</t>
  </si>
  <si>
    <t>AZAFATA</t>
  </si>
  <si>
    <t>43567690</t>
  </si>
  <si>
    <t>GUEVARA MENDOZA SONIA</t>
  </si>
  <si>
    <t>BARMAN</t>
  </si>
  <si>
    <t>75783397</t>
  </si>
  <si>
    <t>QUISPE OLIVARES ISRAEL DAVID SILVER</t>
  </si>
  <si>
    <t>72961188</t>
  </si>
  <si>
    <t xml:space="preserve">VEGA HUAMAN JEAN PIER </t>
  </si>
  <si>
    <t>AYUDANTE DE COCINA (CHAUFERO)</t>
  </si>
  <si>
    <t>42120029</t>
  </si>
  <si>
    <t>HUANEY CABELLO DAVID ARNULFO</t>
  </si>
  <si>
    <t>43195561</t>
  </si>
  <si>
    <t>YATACO VEGA JUAN PABLO</t>
  </si>
  <si>
    <t>006005590</t>
  </si>
  <si>
    <t>GOMEZ TOVAR YORVANNY JOSE</t>
  </si>
  <si>
    <t>74067840</t>
  </si>
  <si>
    <t>MENA MAMANI MARCO ANTONIO</t>
  </si>
  <si>
    <t>73203755</t>
  </si>
  <si>
    <t>PEÑA CABEZAS MARCELO</t>
  </si>
  <si>
    <t xml:space="preserve">MOZO </t>
  </si>
  <si>
    <t>006429465</t>
  </si>
  <si>
    <t>TIMAURE LUZARDO ANDRES JAVIER</t>
  </si>
  <si>
    <t>44337162</t>
  </si>
  <si>
    <t>TORRES PARVINA KATHERINE FIORELLA</t>
  </si>
  <si>
    <t>CAJERO(A)</t>
  </si>
  <si>
    <t>44131328</t>
  </si>
  <si>
    <t>FUENTES  ATUNCAR SILVIA CRISTINA</t>
  </si>
  <si>
    <t>71062827</t>
  </si>
  <si>
    <t>40933664</t>
  </si>
  <si>
    <t>BARRIOS MUÑOZ DE ZARATE ELIZABETH JOBANA</t>
  </si>
  <si>
    <t>74807554</t>
  </si>
  <si>
    <t>GUTIERREZ PILAR SAMANTHA SOFIA</t>
  </si>
  <si>
    <t>77064941</t>
  </si>
  <si>
    <t>PACKER</t>
  </si>
  <si>
    <t>73824752</t>
  </si>
  <si>
    <t>SOTO RAMOS JHAMIL ENRRIQUE ABEL</t>
  </si>
  <si>
    <t>76594763</t>
  </si>
  <si>
    <t>CUSI CAMPOS YADHIRA CAROLINA</t>
  </si>
  <si>
    <t>PACKER P/T</t>
  </si>
  <si>
    <t>ANFITRION P/T</t>
  </si>
  <si>
    <t>ANFITRION(A)</t>
  </si>
  <si>
    <t>008475694</t>
  </si>
  <si>
    <t>ZAMBRANO TOVAR JHONNY JOSE</t>
  </si>
  <si>
    <t>78836181</t>
  </si>
  <si>
    <t>ALDANA BORJAS JOSUE ABEL</t>
  </si>
  <si>
    <t>70046408</t>
  </si>
  <si>
    <t>HUAMAN PIANTO KIARA KASSANDRA</t>
  </si>
  <si>
    <t>75959028</t>
  </si>
  <si>
    <t>GOMEZ ESCRIBA RANGEL MARCIAL</t>
  </si>
  <si>
    <t>72098009</t>
  </si>
  <si>
    <t>MISAICO PARDO RAAYNHER KENIDEE</t>
  </si>
  <si>
    <t>60813995</t>
  </si>
  <si>
    <t>ZARATE BARRIOS ANDERSON ENRIQUE</t>
  </si>
  <si>
    <t>MANTENIMIENTO</t>
  </si>
  <si>
    <t>72888118</t>
  </si>
  <si>
    <t>TUBILLAS FERIA GILBERTO ALONSO</t>
  </si>
  <si>
    <t>74447516</t>
  </si>
  <si>
    <t>ROMERO BAUTISTA LUIS ENRIQUE</t>
  </si>
  <si>
    <t>72160706</t>
  </si>
  <si>
    <t>MENDOZA AQUIJE VANESSA ALEXANDRA</t>
  </si>
  <si>
    <t>CAJERA P/T</t>
  </si>
  <si>
    <t>75495236</t>
  </si>
  <si>
    <t>FOOD &amp; BEVERAGE INVEST S.A.C.</t>
  </si>
  <si>
    <t>CANCHARI PRADO JAYO MANUEL</t>
  </si>
  <si>
    <t>43673726</t>
  </si>
  <si>
    <t>SANCHEZ PERALTA ELMER</t>
  </si>
  <si>
    <t>PARRILLERO (A)</t>
  </si>
  <si>
    <t>06095108</t>
  </si>
  <si>
    <t>F&amp;B-ADM</t>
  </si>
  <si>
    <t>AGUIRRE TRUJILLO CRISALDO</t>
  </si>
  <si>
    <t>ELECTRICISTA</t>
  </si>
  <si>
    <t>17430192</t>
  </si>
  <si>
    <t>JURUPE VELIZ SEGUNDO MARTIN</t>
  </si>
  <si>
    <t>SEGURIDAD</t>
  </si>
  <si>
    <t>72256809</t>
  </si>
  <si>
    <t>YANTAS AMARO EDGAR RAUL</t>
  </si>
  <si>
    <t>SUPERVISOR DE OPERACIONES</t>
  </si>
  <si>
    <t>41185109</t>
  </si>
  <si>
    <t>HACIENDA</t>
  </si>
  <si>
    <t>QUIROZ CAPCHA MAXIMO</t>
  </si>
  <si>
    <t>43191410</t>
  </si>
  <si>
    <t>CAJUSOL SANJINEZ WILLY FRANKLIN</t>
  </si>
  <si>
    <t>49097756</t>
  </si>
  <si>
    <t>SIMANCA REYES JOSE ALEJANDRO</t>
  </si>
  <si>
    <t>COORDINADOR DE MANTENIMIENTO</t>
  </si>
  <si>
    <t>49003395</t>
  </si>
  <si>
    <t>KONG BARRIOS DANIELA ROSA</t>
  </si>
  <si>
    <t>COMMUNITY MANAGER</t>
  </si>
  <si>
    <t>48757938</t>
  </si>
  <si>
    <t>CACERES GUERRA WALTHER FELICIANO</t>
  </si>
  <si>
    <t>JEFE DE DESARROLLO</t>
  </si>
  <si>
    <t>44208807</t>
  </si>
  <si>
    <t>SANCHEZ UCHOFEN MIGUEL ANGEL</t>
  </si>
  <si>
    <t>46281722</t>
  </si>
  <si>
    <t>NEIRA GUERRERO JORGE</t>
  </si>
  <si>
    <t>HORNERO (A)</t>
  </si>
  <si>
    <t>43776579</t>
  </si>
  <si>
    <t>ÑAHUI RODRIGO MICHAEL EDWIN</t>
  </si>
  <si>
    <t>71066762</t>
  </si>
  <si>
    <t>SUAREZ BECERRA MARCOS ELITER</t>
  </si>
  <si>
    <t>43075568</t>
  </si>
  <si>
    <t>MALLQUI OROPEZA ELIZABETH CATALINA</t>
  </si>
  <si>
    <t>75789518</t>
  </si>
  <si>
    <t>GALOC PILCO MARLID</t>
  </si>
  <si>
    <t>CAJERO (A)</t>
  </si>
  <si>
    <t>43232982</t>
  </si>
  <si>
    <t>RAMIREZ CACHIQUE WUALTER ENRIQUE</t>
  </si>
  <si>
    <t>001108687</t>
  </si>
  <si>
    <t>MARIN UCHIMA OSCAR ANDRES</t>
  </si>
  <si>
    <t>47188415</t>
  </si>
  <si>
    <t>AZURIN LUQUE RUDY JOSIAS</t>
  </si>
  <si>
    <t>003823424</t>
  </si>
  <si>
    <t>UMBRIA ROJAS CESAR AUGUSTO</t>
  </si>
  <si>
    <t>06672305</t>
  </si>
  <si>
    <t>COTERA YEPEZ CHRISTIAN FERNANDO</t>
  </si>
  <si>
    <t>43670187</t>
  </si>
  <si>
    <t>QUEVEDO ALTAMIRANO GINO PAOLO</t>
  </si>
  <si>
    <t>005486267</t>
  </si>
  <si>
    <t>ZERON SALAZAR ALBERTO JOSE</t>
  </si>
  <si>
    <t>10516218</t>
  </si>
  <si>
    <t>OVIEDO TORRES CELIA</t>
  </si>
  <si>
    <t>42730361</t>
  </si>
  <si>
    <t>MANSEN ARICA CARLOS JONATHAN</t>
  </si>
  <si>
    <t>10346560</t>
  </si>
  <si>
    <t>GUERRERO YUCRA MARIA SOLEDAD</t>
  </si>
  <si>
    <t>45852302</t>
  </si>
  <si>
    <t>PANDURO SOTELO KELLY BEATRIZ</t>
  </si>
  <si>
    <t>ASISTENTE ADMINISTRATIVO TI</t>
  </si>
  <si>
    <t>46921384</t>
  </si>
  <si>
    <t>SOLSOL CACHIQUE JHON LUIS</t>
  </si>
  <si>
    <t>49016847</t>
  </si>
  <si>
    <t>ALVAREZ AVILA WALTER GUILLERMO</t>
  </si>
  <si>
    <t>47648763</t>
  </si>
  <si>
    <t>HERMOZA NIEVES MARIA LUISA</t>
  </si>
  <si>
    <t>62061062</t>
  </si>
  <si>
    <t>MANUYAMA CORDOVA JAEN POOL</t>
  </si>
  <si>
    <t>47146766</t>
  </si>
  <si>
    <t>LATORRE ZAMORA LUIS ALBERTO</t>
  </si>
  <si>
    <t>72764467</t>
  </si>
  <si>
    <t>RIOS PINTADO ANDREA XIMENA</t>
  </si>
  <si>
    <t>COORDINADORA DE PLANILLA</t>
  </si>
  <si>
    <t>45063460</t>
  </si>
  <si>
    <t>RAMOS CABRERA AMPARO ROSARIO</t>
  </si>
  <si>
    <t>42884011</t>
  </si>
  <si>
    <t>MARQUINA ANDIA MARTHA MELISSA</t>
  </si>
  <si>
    <t>71593724</t>
  </si>
  <si>
    <t>BUENO MUNDACA ERMES</t>
  </si>
  <si>
    <t>77522843</t>
  </si>
  <si>
    <t>CHURATA NAVARRO YOSELIN LESLY</t>
  </si>
  <si>
    <t>44541526</t>
  </si>
  <si>
    <t>MACCHIAVELLO SALAZAR GIULIANA</t>
  </si>
  <si>
    <t>63123345</t>
  </si>
  <si>
    <t>ROJAS JULCA RIOL</t>
  </si>
  <si>
    <t>47858272</t>
  </si>
  <si>
    <t>KONG CHIN KAREN ALESSANDRA</t>
  </si>
  <si>
    <t>ASISTENTE DE GERENCIA</t>
  </si>
  <si>
    <t>48307305</t>
  </si>
  <si>
    <t>AMES ESPINOZA LUIS</t>
  </si>
  <si>
    <t>45303340</t>
  </si>
  <si>
    <t>FARFAN TAPULLIMA JESUS FERNANDO</t>
  </si>
  <si>
    <t>45580512</t>
  </si>
  <si>
    <t>ROJAS SANCHEZ JORGE BENJAMIN</t>
  </si>
  <si>
    <t>46645623</t>
  </si>
  <si>
    <t>F&amp;B-CALL</t>
  </si>
  <si>
    <t>CHING FLORES ANA SOFIA</t>
  </si>
  <si>
    <t>ATENCION AL CLIENTE</t>
  </si>
  <si>
    <t>46460311</t>
  </si>
  <si>
    <t>ARANA UMBO ANGEL MIGUEL</t>
  </si>
  <si>
    <t>43494782</t>
  </si>
  <si>
    <t>ARANDA CUICAPUSA ALAN AQUILES</t>
  </si>
  <si>
    <t>43933202</t>
  </si>
  <si>
    <t>RENGIFO LUNA SARELY</t>
  </si>
  <si>
    <t>45989682</t>
  </si>
  <si>
    <t>YENGLE LLERENA ALEJANDRA LISEF</t>
  </si>
  <si>
    <t>16629213</t>
  </si>
  <si>
    <t>JULCA COBA YANET</t>
  </si>
  <si>
    <t>002963966</t>
  </si>
  <si>
    <t xml:space="preserve">MENDOZA DE LARES MARIA INES </t>
  </si>
  <si>
    <t>AUXILIAR DE LIMPIEZA</t>
  </si>
  <si>
    <t>47431379</t>
  </si>
  <si>
    <t>GONZALES CASTAÑEDA LUIS ALBERTO</t>
  </si>
  <si>
    <t>42295076</t>
  </si>
  <si>
    <t>ALDAMA CABRERA JESUS ARMANDO</t>
  </si>
  <si>
    <t>46472922</t>
  </si>
  <si>
    <t>ZUBIAGA PORTURAS ANDREA VANESSA</t>
  </si>
  <si>
    <t>TELEOPERADOR (A) P/T</t>
  </si>
  <si>
    <t>47643745</t>
  </si>
  <si>
    <t>RAMOS AHUANARI DINA GABRIELA</t>
  </si>
  <si>
    <t>70632147</t>
  </si>
  <si>
    <t>VARA MEJIA ANGIE ESTHEFANIA</t>
  </si>
  <si>
    <t>42981901</t>
  </si>
  <si>
    <t>YACTAYO  RUESTA JOSE CECILIO</t>
  </si>
  <si>
    <t>47236200</t>
  </si>
  <si>
    <t>DIAZ CHUQUILLANQUI JHONNY ANDERSON</t>
  </si>
  <si>
    <t>45231163</t>
  </si>
  <si>
    <t>LUCIANI MELENDRES MARCO ANTONIO</t>
  </si>
  <si>
    <t>40369883</t>
  </si>
  <si>
    <t>TELLO REATEGUI JESSICA</t>
  </si>
  <si>
    <t xml:space="preserve">HUAMAN ARISTA MELISSA </t>
  </si>
  <si>
    <t>ASISTENTE DE FINANZAS</t>
  </si>
  <si>
    <t>VALLENILLA URBINA WILMER ALEXANDER</t>
  </si>
  <si>
    <t>10123576</t>
  </si>
  <si>
    <t>FERNANDEZ DAVILA YDELMO</t>
  </si>
  <si>
    <t>75287653</t>
  </si>
  <si>
    <t xml:space="preserve">MANSILLA GUERRERO LUIS SEBASTIAN </t>
  </si>
  <si>
    <t>70564467</t>
  </si>
  <si>
    <t>MAYHUIRE VALVERDE ALEXANDRA CECILIA</t>
  </si>
  <si>
    <t>48650342</t>
  </si>
  <si>
    <t>MUNDACA NAVARRO JOSE NEYSER</t>
  </si>
  <si>
    <t>71577389</t>
  </si>
  <si>
    <t>VALLEJOS LINARES YOANA</t>
  </si>
  <si>
    <t>10510992</t>
  </si>
  <si>
    <t>NUÑEZ CRUZADO JOSE JESUS</t>
  </si>
  <si>
    <t>07977300</t>
  </si>
  <si>
    <t>MONDRAGON AVALOS CARLOS RAFAEL</t>
  </si>
  <si>
    <t>RECEPCION</t>
  </si>
  <si>
    <t>005111395</t>
  </si>
  <si>
    <t>REGALADO CORDOVA SOLSIRE MARGARITA</t>
  </si>
  <si>
    <t>43227991</t>
  </si>
  <si>
    <t>JAHUANA QUISPE CESAR AUGUSTO</t>
  </si>
  <si>
    <t>77390107</t>
  </si>
  <si>
    <t>PEREZ FALCON ALEJANDRA BRIYIT</t>
  </si>
  <si>
    <t>ASISTENTE DE RECLUTAMIENTO Y SELECCION</t>
  </si>
  <si>
    <t>71066768</t>
  </si>
  <si>
    <t>SUAREZ BECERRA RONAN NILO</t>
  </si>
  <si>
    <t>72150847</t>
  </si>
  <si>
    <t>JAVIER BECERRA JUDITH LUZMILA</t>
  </si>
  <si>
    <t>48025538</t>
  </si>
  <si>
    <t>MANRIQUE  CONDORI EDSON RIJKARD</t>
  </si>
  <si>
    <t>73710481</t>
  </si>
  <si>
    <t>TORRES RAMOS NEYSSI MERCEDES</t>
  </si>
  <si>
    <t>42812640</t>
  </si>
  <si>
    <t>CANAZA  PACO ELSA</t>
  </si>
  <si>
    <t>SALTEADOR (A)</t>
  </si>
  <si>
    <t>71883896</t>
  </si>
  <si>
    <t>DIAZ OBLITAS DINA</t>
  </si>
  <si>
    <t>75922274</t>
  </si>
  <si>
    <t>JIMENEZ RODRIGUEZ ALEX JAVIER</t>
  </si>
  <si>
    <t xml:space="preserve">BARTENDER </t>
  </si>
  <si>
    <t>76282405</t>
  </si>
  <si>
    <t>ELORREAGA REVILLA MARCO ANTONIO</t>
  </si>
  <si>
    <t>44453736</t>
  </si>
  <si>
    <t>YAMUNAQUE PORRAS JOSE ALEJANDRO</t>
  </si>
  <si>
    <t>10402839</t>
  </si>
  <si>
    <t xml:space="preserve">CARRANZA QUEZADA OSCAR LUIS </t>
  </si>
  <si>
    <t>45949323</t>
  </si>
  <si>
    <t>TOVAR  BRAVO BIBIANA ROSA</t>
  </si>
  <si>
    <t>42639147</t>
  </si>
  <si>
    <t>RIVERA REYMUNDO LOURDES MARLENE</t>
  </si>
  <si>
    <t>73357061</t>
  </si>
  <si>
    <t xml:space="preserve">OSORIO ALCAHUA YOSELYN PATRICIA </t>
  </si>
  <si>
    <t>61053284</t>
  </si>
  <si>
    <t xml:space="preserve">GUERRERO NAVARRO  WEISSER MANUEL </t>
  </si>
  <si>
    <t>71588119</t>
  </si>
  <si>
    <t>MUNDACA ZABALETA WILDER</t>
  </si>
  <si>
    <t>005785381</t>
  </si>
  <si>
    <t>PACHECO GOMEZ ALEXANDER MIGUEL</t>
  </si>
  <si>
    <t>71273891</t>
  </si>
  <si>
    <t>BERLANGA QUISPE EDUARDO ANGEL</t>
  </si>
  <si>
    <t>PREVENCIONISTA DE RIESGOS</t>
  </si>
  <si>
    <t>43646894</t>
  </si>
  <si>
    <t>ALFARO CORDOVA MARIBEL</t>
  </si>
  <si>
    <t>40501578</t>
  </si>
  <si>
    <t>REYES SIFUENTES DANNY RUBEN</t>
  </si>
  <si>
    <t>45369092</t>
  </si>
  <si>
    <t>RAFAELE ROMAN RUBY AGUSTINA</t>
  </si>
  <si>
    <t>73128478</t>
  </si>
  <si>
    <t>CRISTOBAL COICO JORDAN ALONSO</t>
  </si>
  <si>
    <t>74713457</t>
  </si>
  <si>
    <t>ASIAN ÑAUPA MAYRA BELEN</t>
  </si>
  <si>
    <t>42500135</t>
  </si>
  <si>
    <t xml:space="preserve">GUTIERREZ  SALCEDO  NOELIA JAZMIN </t>
  </si>
  <si>
    <t>72021148</t>
  </si>
  <si>
    <t>HURTADO FALCON LENIN ROSSELL</t>
  </si>
  <si>
    <t xml:space="preserve">AUDITOR DE CALIDAD </t>
  </si>
  <si>
    <t>42131871</t>
  </si>
  <si>
    <t>SANDOVAL FREITAS JORGE CARLOS</t>
  </si>
  <si>
    <t>72196921</t>
  </si>
  <si>
    <t xml:space="preserve">FAUSTINO  ARIAS  SILVANA JUDITH </t>
  </si>
  <si>
    <t>DISEÑADOR GRAFICO  SENIOR</t>
  </si>
  <si>
    <t>003200680</t>
  </si>
  <si>
    <t>TORRES AVILA LILIBETH DEL VALLE</t>
  </si>
  <si>
    <t>40938874</t>
  </si>
  <si>
    <t>PENACHI FLORES  EDWIN ANTONIO</t>
  </si>
  <si>
    <t>46317888</t>
  </si>
  <si>
    <t>CHAUCA CHAVEZ ANA ROCIO</t>
  </si>
  <si>
    <t>47891210</t>
  </si>
  <si>
    <t xml:space="preserve">AREVALO  SANGAMA  CARLOS </t>
  </si>
  <si>
    <t>46018232</t>
  </si>
  <si>
    <t>GONZALES VASQUEZ  FRANK DOYLER</t>
  </si>
  <si>
    <t>80300848</t>
  </si>
  <si>
    <t>HERNANDEZ IZQUIERDO EFREN NORBERTO</t>
  </si>
  <si>
    <t>70453398</t>
  </si>
  <si>
    <t>MENDO APAZA VANESA ERIKA</t>
  </si>
  <si>
    <t>ASISTENTE SOCIAL</t>
  </si>
  <si>
    <t>43461367</t>
  </si>
  <si>
    <t>HUANUQUEÑO COCA CAMEN</t>
  </si>
  <si>
    <t>GUERRERO  FLORES VIA</t>
  </si>
  <si>
    <t>81699530</t>
  </si>
  <si>
    <t>WONDERLINDER RIOS MICHELLE ANDREA</t>
  </si>
  <si>
    <t>76328786</t>
  </si>
  <si>
    <t>ALANYA MEZA MARIAM ANGELA</t>
  </si>
  <si>
    <t>76334625</t>
  </si>
  <si>
    <t>ATAHUAMAN JARA CARMEN ROSA</t>
  </si>
  <si>
    <t>72229461</t>
  </si>
  <si>
    <t>BERNAL CANALES MAURICIO MIGUEL</t>
  </si>
  <si>
    <t>76470164</t>
  </si>
  <si>
    <t xml:space="preserve">PURIHUAMAN  CALDERON  CARLOS ENRIQUE </t>
  </si>
  <si>
    <t>COORDINADORA DE MARKETING</t>
  </si>
  <si>
    <t>71064896</t>
  </si>
  <si>
    <t>ALARCON GUEVARA JOSE NILTON</t>
  </si>
  <si>
    <t>44243838</t>
  </si>
  <si>
    <t>PEDRAZA CASTRO ERIKA CRISTINA</t>
  </si>
  <si>
    <t xml:space="preserve">AUXILIAR DE LIMPIEZA </t>
  </si>
  <si>
    <t>42946545</t>
  </si>
  <si>
    <t>CALDERON  HUAMAN EDUARDO</t>
  </si>
  <si>
    <t>73010303</t>
  </si>
  <si>
    <t>GURMENDI CALDERON ALDO STEVEN</t>
  </si>
  <si>
    <t>45481889</t>
  </si>
  <si>
    <t>ZEGARRA RAMIREZ CARLOS MIGUEL</t>
  </si>
  <si>
    <t>76056862</t>
  </si>
  <si>
    <t>PORRAS TARAZONA JUSTIN ZAMIR</t>
  </si>
  <si>
    <t>40234255</t>
  </si>
  <si>
    <t>LINARES HUAMAN MARNER</t>
  </si>
  <si>
    <t>47272441</t>
  </si>
  <si>
    <t>LOPEZ DOMINGUEZ LEYLI</t>
  </si>
  <si>
    <t>48738521</t>
  </si>
  <si>
    <t xml:space="preserve">PORTILLO CHAVARRY DAVID ALEXANDER </t>
  </si>
  <si>
    <t>75734727</t>
  </si>
  <si>
    <t>HUAMAN PARDO GIANPOOL HECTOR</t>
  </si>
  <si>
    <t>73935836</t>
  </si>
  <si>
    <t>ALIAGA VENTURA ANABEL XIOMARA</t>
  </si>
  <si>
    <t>78199553</t>
  </si>
  <si>
    <t>PELAEZ CHAVEZ JHONATAN JESUS</t>
  </si>
  <si>
    <t>74752684</t>
  </si>
  <si>
    <t>SILVA LATORRE JEFERSON</t>
  </si>
  <si>
    <t>76942417</t>
  </si>
  <si>
    <t xml:space="preserve">SANCHEZ  JACINTO  DEHINER HORET </t>
  </si>
  <si>
    <t>AYUDANTE DE HORNO</t>
  </si>
  <si>
    <t>45683270</t>
  </si>
  <si>
    <t>PADILLA GARAY JOSE MANUEL</t>
  </si>
  <si>
    <t>ANFITRION (A)</t>
  </si>
  <si>
    <t>09783678</t>
  </si>
  <si>
    <t>CAVERO ROMERO JESSICA DEL PILAR</t>
  </si>
  <si>
    <t>76773665</t>
  </si>
  <si>
    <t>AREVALO CONTRERAS CARLOS MANUEL</t>
  </si>
  <si>
    <t>46993153</t>
  </si>
  <si>
    <t>OJEDA URBINA  JEAN KARLO</t>
  </si>
  <si>
    <t>74039345</t>
  </si>
  <si>
    <t>HURTADO  FLORES  HUMBERTO</t>
  </si>
  <si>
    <t>07750014</t>
  </si>
  <si>
    <t xml:space="preserve">FUENTES  NOLLI  AMERICA LEONOR </t>
  </si>
  <si>
    <t xml:space="preserve">AYUDANTE DE COCINA </t>
  </si>
  <si>
    <t>46958052</t>
  </si>
  <si>
    <t>HUASASQUICHE LAGOS FANNY ZORAIDA</t>
  </si>
  <si>
    <t>AYUDANTE DE COCINA P/T</t>
  </si>
  <si>
    <t>77052349</t>
  </si>
  <si>
    <t>JAIMES  MARIN FERNANDO MARTIN</t>
  </si>
  <si>
    <t>CERNA LUNA BUENAVENTURA EMILIANO</t>
  </si>
  <si>
    <t>PARRILLERO P/T</t>
  </si>
  <si>
    <t>74379997</t>
  </si>
  <si>
    <t>CORDOVA CHUQUIHUANGA MIGUEL DONALD</t>
  </si>
  <si>
    <t>NEYRA RODRIGUEZ DANNY IVAN</t>
  </si>
  <si>
    <t>48656744</t>
  </si>
  <si>
    <t>ESPINOZA TUANAMA FERNANDO</t>
  </si>
  <si>
    <t>003270914</t>
  </si>
  <si>
    <t>CANCHICA PEREZ HECTOR ANDREI</t>
  </si>
  <si>
    <t>47905636</t>
  </si>
  <si>
    <t>CHANCAVILCA YACOLCA HILDA MERCEDES</t>
  </si>
  <si>
    <t>001839908</t>
  </si>
  <si>
    <t>ARCIA  CARIACO YANDER LUIS</t>
  </si>
  <si>
    <t>75420170</t>
  </si>
  <si>
    <t>GORDILLO PAREDES MICHAEL STEVENS</t>
  </si>
  <si>
    <t>72673645</t>
  </si>
  <si>
    <t xml:space="preserve">SALAZAR QUISPE VICTOR MANUEL </t>
  </si>
  <si>
    <t>48697550</t>
  </si>
  <si>
    <t xml:space="preserve">INGA  VALDIVIEZO  ANGYE BRIGYT </t>
  </si>
  <si>
    <t>41809623</t>
  </si>
  <si>
    <t>MATICORENA DELGADO LUISA CONSUELO</t>
  </si>
  <si>
    <t>47096241</t>
  </si>
  <si>
    <t>PINEDO CHUQUIPOMA  ANGELICA MARIA</t>
  </si>
  <si>
    <t>62596378</t>
  </si>
  <si>
    <t xml:space="preserve">CUSHIMARIANO  LINO  ANGELO ALDAIR </t>
  </si>
  <si>
    <t>76341728</t>
  </si>
  <si>
    <t>GARRIDO  RAMOS  DNILTON GILMAR</t>
  </si>
  <si>
    <t>71225001</t>
  </si>
  <si>
    <t xml:space="preserve">ADRIANZEN  HERRERA JUNIOR </t>
  </si>
  <si>
    <t>75913822</t>
  </si>
  <si>
    <t xml:space="preserve">FLORES VELASQUEZ ANGELES NICOLE </t>
  </si>
  <si>
    <t>46337872</t>
  </si>
  <si>
    <t xml:space="preserve">BERNAOLA  ROMERO  NORY </t>
  </si>
  <si>
    <t>DOS DE MAYO</t>
  </si>
  <si>
    <t>48644069</t>
  </si>
  <si>
    <t>HUERTAS  HERNANDEZ JESUS MARTY</t>
  </si>
  <si>
    <t>43137774</t>
  </si>
  <si>
    <t>CORNEJO ANAYA JOEL MARTIN</t>
  </si>
  <si>
    <t>30423893</t>
  </si>
  <si>
    <t>MENDOZA MORALES LILY ESMERALDA</t>
  </si>
  <si>
    <t>61728402</t>
  </si>
  <si>
    <t>TRUJILLO  REVILLA MARÍA NATIVIDAD</t>
  </si>
  <si>
    <t>75164024</t>
  </si>
  <si>
    <t xml:space="preserve"> CASTAÑEDA RODRIGUEZ ENZO SEBASTIAN</t>
  </si>
  <si>
    <t xml:space="preserve">MOTORIZADO </t>
  </si>
  <si>
    <t>71308708</t>
  </si>
  <si>
    <t>LUQUE VIZARRETA JUAN JOSE</t>
  </si>
  <si>
    <t>48158987</t>
  </si>
  <si>
    <t>MENESES OLIVARES KATHERINE LISBETH</t>
  </si>
  <si>
    <t>71588108</t>
  </si>
  <si>
    <t>BUENO RAMOS MARILU</t>
  </si>
  <si>
    <t>22288669</t>
  </si>
  <si>
    <t xml:space="preserve">MORA  AGUIRRE ALBERTO RAMIRO </t>
  </si>
  <si>
    <t xml:space="preserve">47774565 </t>
  </si>
  <si>
    <t xml:space="preserve">ANDIA  GARCIA ARNOLD ANDIA </t>
  </si>
  <si>
    <t>07864275</t>
  </si>
  <si>
    <t>MINAYA  MOSCOSO EDWARD FELIX</t>
  </si>
  <si>
    <t>74223417</t>
  </si>
  <si>
    <t>RAMOS BUCLES ANGEL GABRIEL</t>
  </si>
  <si>
    <t xml:space="preserve">AYUDANTE DE BAR </t>
  </si>
  <si>
    <t>44474701</t>
  </si>
  <si>
    <t>GUERRERO CELIZ SANDRA BELGICA</t>
  </si>
  <si>
    <t>00129175</t>
  </si>
  <si>
    <t>NAMIHAS VASQUEZ BLAKE</t>
  </si>
  <si>
    <t>75132513</t>
  </si>
  <si>
    <t xml:space="preserve">DELGADO GAMBINI  RODRIGO ADRIAN </t>
  </si>
  <si>
    <t>MOZO P/T</t>
  </si>
  <si>
    <t>74996120</t>
  </si>
  <si>
    <t>77499618</t>
  </si>
  <si>
    <t>GABINO PRESENTACION LISBETH</t>
  </si>
  <si>
    <t>62767091</t>
  </si>
  <si>
    <t>DAVILA LINARES JHOSELY MARITA</t>
  </si>
  <si>
    <t>76750330</t>
  </si>
  <si>
    <t>QUINO CALLO HARRY</t>
  </si>
  <si>
    <t>72363926</t>
  </si>
  <si>
    <t xml:space="preserve">MORALES SUTTA PAOLO SEBASTIAN </t>
  </si>
  <si>
    <t xml:space="preserve">00251999 </t>
  </si>
  <si>
    <t xml:space="preserve">GARCIA  SALAZAR JUANA VERONICA </t>
  </si>
  <si>
    <t>10625274</t>
  </si>
  <si>
    <t>MEGO TORO SEGUNDO ADELMO</t>
  </si>
  <si>
    <t>72059573</t>
  </si>
  <si>
    <t xml:space="preserve">CUBAS BARRENECHEA MATEO JESUS </t>
  </si>
  <si>
    <t>73012294</t>
  </si>
  <si>
    <t>ESCOBAR QUISPE RONY JENSON</t>
  </si>
  <si>
    <t>60161025</t>
  </si>
  <si>
    <t>HERRERA RAFAEL ALEX</t>
  </si>
  <si>
    <t>40908515</t>
  </si>
  <si>
    <t>CHUMPITAZ RIMAC MIRIAM MABEL</t>
  </si>
  <si>
    <t>40278551</t>
  </si>
  <si>
    <t>CASTILLO VILLANUEVA GAUDENCIA</t>
  </si>
  <si>
    <t>41062323</t>
  </si>
  <si>
    <t>CALDERON QUISPE MIGUEL ANGEL</t>
  </si>
  <si>
    <t xml:space="preserve">74626387 </t>
  </si>
  <si>
    <t>JUAREZ TORRES ADRIANA ANTONELA</t>
  </si>
  <si>
    <t>74178426</t>
  </si>
  <si>
    <t>MAMANI RUJEL  HUGO FLAVIO CESAR</t>
  </si>
  <si>
    <t>76739392</t>
  </si>
  <si>
    <t>RODRIGUEZ ZARATE GABRIEL ALESSANDERO</t>
  </si>
  <si>
    <t>BARTENDER P/T</t>
  </si>
  <si>
    <t>72547611</t>
  </si>
  <si>
    <t>MEGO ALVAREZ VICTOR ALBERTO</t>
  </si>
  <si>
    <t>76035081</t>
  </si>
  <si>
    <t>HUAROTO HUAMANI ANEL ARANZA</t>
  </si>
  <si>
    <t>77001037</t>
  </si>
  <si>
    <t>DELGADO ARREGUI JAVES JOSE</t>
  </si>
  <si>
    <t>43659172</t>
  </si>
  <si>
    <t>GONZALES RODRIGUEZ CRISTOPHER</t>
  </si>
  <si>
    <t>77462233</t>
  </si>
  <si>
    <t>HERRERA ROMERO RAFAEL VALENTIN</t>
  </si>
  <si>
    <t>70305521</t>
  </si>
  <si>
    <t>VELASQUEZ CHAMARRO ALEJANDRA VALERIA</t>
  </si>
  <si>
    <t>74635392</t>
  </si>
  <si>
    <t>TORO SALDAÑA DILMER ROGER</t>
  </si>
  <si>
    <t>75619207</t>
  </si>
  <si>
    <t>ROMANI BERNAOLA AARON VICENTE</t>
  </si>
  <si>
    <t>74594264</t>
  </si>
  <si>
    <t>CHUQUICONDOR YANGUA ANELISA</t>
  </si>
  <si>
    <t>09620001</t>
  </si>
  <si>
    <t>MURAYARI LAULATE LUCILDA</t>
  </si>
  <si>
    <t>46297174</t>
  </si>
  <si>
    <t>AYLAS TORRES JOSE LUIS</t>
  </si>
  <si>
    <t>BARTENDER</t>
  </si>
  <si>
    <t>60130521</t>
  </si>
  <si>
    <t>TAFUR TRUJILLO GRACIELA</t>
  </si>
  <si>
    <t>73760465</t>
  </si>
  <si>
    <t>MARTINEZ JORDAN JUAN CARLOS</t>
  </si>
  <si>
    <t>62747153</t>
  </si>
  <si>
    <t>ALDABE MEDINA NEISER DEIVIS</t>
  </si>
  <si>
    <t>75380355</t>
  </si>
  <si>
    <t>CALAPUJA QUISPE ANGELA LORENA</t>
  </si>
  <si>
    <t>71737041</t>
  </si>
  <si>
    <t>CONDORI TIPULA ELIAS ROBERTO</t>
  </si>
  <si>
    <t>48801693</t>
  </si>
  <si>
    <t>ARIAS VILLALOBOS KATHYA SOLANGE</t>
  </si>
  <si>
    <t>60930566</t>
  </si>
  <si>
    <t>MEZA CUCHULA JIMENA FIORELA</t>
  </si>
  <si>
    <t>ANFITRION (A) P/T</t>
  </si>
  <si>
    <t>77218550</t>
  </si>
  <si>
    <t>CRUZ ARONI LUIS JACOB</t>
  </si>
  <si>
    <t>MOTORIZADO P/T</t>
  </si>
  <si>
    <t>62817635</t>
  </si>
  <si>
    <t>EJERCITO</t>
  </si>
  <si>
    <t>DIAZ GUTIERREZ LOYDA REBECA</t>
  </si>
  <si>
    <t>77138195</t>
  </si>
  <si>
    <t>HUACHACA LORENZO JUAN DIEGO</t>
  </si>
  <si>
    <t>MENGONI TANTALEAN RICHARD ANYHELO</t>
  </si>
  <si>
    <t>48404167</t>
  </si>
  <si>
    <t>ALBAN VALDIVIEZO MARVIN HARLY</t>
  </si>
  <si>
    <t>74052206</t>
  </si>
  <si>
    <t>AGUIRRE MORI CAMILA ANTONELLA</t>
  </si>
  <si>
    <t>42555974</t>
  </si>
  <si>
    <t>CASTILLO VIRREYRA SANDRA JAQUELINE</t>
  </si>
  <si>
    <t>73247185</t>
  </si>
  <si>
    <t>CASTILLO GUEVARA GEAN ANTHONY</t>
  </si>
  <si>
    <t>AYUDANTE DE BAR</t>
  </si>
  <si>
    <t>75532498</t>
  </si>
  <si>
    <t>JULON JULCA DERIAN ARON</t>
  </si>
  <si>
    <t>61023257</t>
  </si>
  <si>
    <t>AQUINO PALMA RICARDO OMAR</t>
  </si>
  <si>
    <t>75066942</t>
  </si>
  <si>
    <t>MONTOYA CARDENAS AXEL STEVEN</t>
  </si>
  <si>
    <t>45563119</t>
  </si>
  <si>
    <t>AGUEDO COTRINA CRISTHIAN WILLIAN</t>
  </si>
  <si>
    <t>AZAFATA P/T</t>
  </si>
  <si>
    <t>09054505</t>
  </si>
  <si>
    <t>RIMAC  MALLQUI DE QUISPE  GLORIA TRINIDAD</t>
  </si>
  <si>
    <t>47614913</t>
  </si>
  <si>
    <t>GEDIKONG</t>
  </si>
  <si>
    <t>OFICINA MIRAFLORES</t>
  </si>
  <si>
    <t>GERENTE DE INFRAESTRUCTURA</t>
  </si>
  <si>
    <t>74871821</t>
  </si>
  <si>
    <t>ALDERETE CUBA RENATO ALONSO</t>
  </si>
  <si>
    <t>RESIDENTE DE OBRA</t>
  </si>
  <si>
    <t>70887848</t>
  </si>
  <si>
    <t>BERROCAL HUAMAN CARLA PAOLA</t>
  </si>
  <si>
    <t>ARQUITECTO (A) JUNIOR</t>
  </si>
  <si>
    <t>71784430</t>
  </si>
  <si>
    <t>DUEÑAS CEPEDA MELANNIE NICOLE VANESSA</t>
  </si>
  <si>
    <t>COORDINADOR (A) DE PROYECTOS</t>
  </si>
  <si>
    <t>74843841</t>
  </si>
  <si>
    <t>LANDEO HERRERA GABRIELA LISSETTE</t>
  </si>
  <si>
    <t>72789910</t>
  </si>
  <si>
    <t>MILLA ROMUALDO LISANDRO ANTONY</t>
  </si>
  <si>
    <t>DISEÑADOR (A) SENIOR</t>
  </si>
  <si>
    <t>70251025</t>
  </si>
  <si>
    <t>PADILLA SANDOVAL VALERIA GABRIELA</t>
  </si>
  <si>
    <t>71865669</t>
  </si>
  <si>
    <t>PAREDES PEREZ ALEXIS MARIO</t>
  </si>
  <si>
    <t>JEFE DE PROYECTOS Y MANTENIMIENTO</t>
  </si>
  <si>
    <t>71233703</t>
  </si>
  <si>
    <t>RIBEIRO ZUMAETA FATIMA MAY LIE</t>
  </si>
  <si>
    <t>ARQUITECTO (A) SENIOR</t>
  </si>
  <si>
    <t>72712031</t>
  </si>
  <si>
    <t>SEVILLA REVILLA SILVANA DEL CARMEN</t>
  </si>
  <si>
    <t>74846625</t>
  </si>
  <si>
    <t>TOLEDO COTRINA FIORELA ANGELA</t>
  </si>
  <si>
    <t>COORDINADOR DE PROYECTOS</t>
  </si>
  <si>
    <t>77331446</t>
  </si>
  <si>
    <t>ZEVALLOS ZEVALLOS DANIEL SIMON</t>
  </si>
  <si>
    <t>73617392</t>
  </si>
  <si>
    <t>ANCCO CASAVERDE ROYER FRANS</t>
  </si>
  <si>
    <t>71298116</t>
  </si>
  <si>
    <t>CALLAN RAMOS ALEX OMAR</t>
  </si>
  <si>
    <t>INGENIERO (A) JUNIOR</t>
  </si>
  <si>
    <t>77392366</t>
  </si>
  <si>
    <t>HIDALGO SERNA KRISTEL YULIANA</t>
  </si>
  <si>
    <t>47613412</t>
  </si>
  <si>
    <t>JEFE DE PROYECTOS</t>
  </si>
  <si>
    <t>47609448</t>
  </si>
  <si>
    <t>BERROSPI LACK RODRIGO ANDRE SEBASTIAN</t>
  </si>
  <si>
    <t>JEFE DE LOGISTICA</t>
  </si>
  <si>
    <t>44162640</t>
  </si>
  <si>
    <t>TAMBO - ADM</t>
  </si>
  <si>
    <t>VALVERDE PONCE MARCOS BLAS</t>
  </si>
  <si>
    <t>JEFE DE BEBIDAS</t>
  </si>
  <si>
    <t>44215681</t>
  </si>
  <si>
    <t>DE LA CRUZ RAMIREZ CHRISTIAN JEFFERSON</t>
  </si>
  <si>
    <t>JEFE DE PASTELERIA</t>
  </si>
  <si>
    <t>40132477</t>
  </si>
  <si>
    <t>COTRINA DEL CARPIO CHRISTIAN</t>
  </si>
  <si>
    <t>CHEF CORPORATIVO</t>
  </si>
  <si>
    <t>47354177</t>
  </si>
  <si>
    <t>TAMBO - PASTELERIA</t>
  </si>
  <si>
    <t>GONZALES INGA ROBERTO PAVEL LEONELOVICH</t>
  </si>
  <si>
    <t>JEFE DE PRODUCCION Y CONTROL A&amp;B,</t>
  </si>
  <si>
    <t>10453980</t>
  </si>
  <si>
    <t>RAMIREZ MEDINA SEGUNDO</t>
  </si>
  <si>
    <t>PANADERO</t>
  </si>
  <si>
    <t>70161280</t>
  </si>
  <si>
    <t>ROJAS MARTINEZ JEROME MACED</t>
  </si>
  <si>
    <t>PASTELERO(A)</t>
  </si>
  <si>
    <t>41111650</t>
  </si>
  <si>
    <t>TAMBO - BAR LIMA</t>
  </si>
  <si>
    <t>ESPINOZA CARRILLO FREDDY JERICHO</t>
  </si>
  <si>
    <t>75602376</t>
  </si>
  <si>
    <t>TAMBO - PLAZA MERCADO</t>
  </si>
  <si>
    <t>MALAVER TARAZONA ANDY PAOLO</t>
  </si>
  <si>
    <t>COORDINADOR(A) DE EVENTOS</t>
  </si>
  <si>
    <t>48348128</t>
  </si>
  <si>
    <t>ALARCON DE LA CRUZ WILBER</t>
  </si>
  <si>
    <t>JEFE PARRILLERO</t>
  </si>
  <si>
    <t>48766784</t>
  </si>
  <si>
    <t>HEREDIA CORTEZ GABRIEL ALEXANDER</t>
  </si>
  <si>
    <t>COORDINADOR(A) DE PASTELERIA</t>
  </si>
  <si>
    <t>43903099</t>
  </si>
  <si>
    <t>CARRILLO CHAVEZ LUIS ALBERTO</t>
  </si>
  <si>
    <t>COORDINADOR(A) DE BAR</t>
  </si>
  <si>
    <t>42612370</t>
  </si>
  <si>
    <t>RAMOS QUISPE RODOLFO</t>
  </si>
  <si>
    <t>SUBCHEF COORDINADOR</t>
  </si>
  <si>
    <t>46649857</t>
  </si>
  <si>
    <t>ESPINAL BAUTISTA YONATAN</t>
  </si>
  <si>
    <t>47164096</t>
  </si>
  <si>
    <t>YARINGAÑO LOZANO LUIS ALBERTO</t>
  </si>
  <si>
    <t>COORDINADOR(A) DE COCINA</t>
  </si>
  <si>
    <t>43105829</t>
  </si>
  <si>
    <t>SALCEDO VALENCIA JIMMY RICHARD</t>
  </si>
  <si>
    <t>ALMACENERO(A)</t>
  </si>
  <si>
    <t>74978202</t>
  </si>
  <si>
    <t>CAYO ILLESCA VICENTE ALVARO</t>
  </si>
  <si>
    <t>AYUDANTE DE PRODUCCION</t>
  </si>
  <si>
    <t>CORREDOR(A)</t>
  </si>
  <si>
    <t>46176078</t>
  </si>
  <si>
    <t>PALHUA GUEVARA JONATHAN JEMIS</t>
  </si>
  <si>
    <t>70564474</t>
  </si>
  <si>
    <t>MAYHUIRE VALVERDE RICHARD</t>
  </si>
  <si>
    <t>ASISTENTE CONTABLE</t>
  </si>
  <si>
    <t>45089042</t>
  </si>
  <si>
    <t>LA TAPADA</t>
  </si>
  <si>
    <t>CAMPOS TORRES SANDRA MILAGROS</t>
  </si>
  <si>
    <t>COORDINADOR(A) DE CUENTAS</t>
  </si>
  <si>
    <t>43417690</t>
  </si>
  <si>
    <t>SAAVEDRA CORTEZ SEGUNDO LUPO</t>
  </si>
  <si>
    <t>PARRILLERO(A)</t>
  </si>
  <si>
    <t>71256668</t>
  </si>
  <si>
    <t>SALINAS LEE DAYNA EILEEN</t>
  </si>
  <si>
    <t>COORDINADOR(A) DE MARKETING</t>
  </si>
  <si>
    <t>06251539</t>
  </si>
  <si>
    <t>CHECKLEY PINEDO LUIS ENRIQUE</t>
  </si>
  <si>
    <t>CAPITAN DE MOZOS</t>
  </si>
  <si>
    <t>75329132</t>
  </si>
  <si>
    <t>ARENAS VILLANUEVA ALVARO RENATO</t>
  </si>
  <si>
    <t>48002977</t>
  </si>
  <si>
    <t>LAZARES ZACARIAS JESUS ANTONIO</t>
  </si>
  <si>
    <t>80316999</t>
  </si>
  <si>
    <t>MORALES GONZAGA GUIDO STEVE</t>
  </si>
  <si>
    <t>GERENTE GENERAL ADJUNTO</t>
  </si>
  <si>
    <t>47071438</t>
  </si>
  <si>
    <t>SOTO CLEMENTE MARIA OLGA</t>
  </si>
  <si>
    <t>10325182</t>
  </si>
  <si>
    <t>HUAYLLAS MATUTTE ISMAEL ARTURO</t>
  </si>
  <si>
    <t>70443245</t>
  </si>
  <si>
    <t>SCHIAFFINO ABAD LUIGI GIUSEPPE</t>
  </si>
  <si>
    <t>EJECUTIVO(A) DE CUENTAS</t>
  </si>
  <si>
    <t>43716652</t>
  </si>
  <si>
    <t>MELGAREJO PANDO ALEXIS ROBERTO</t>
  </si>
  <si>
    <t>JEFE DE ALMACEN</t>
  </si>
  <si>
    <t>46210810</t>
  </si>
  <si>
    <t>MENDOZA IZQUIERDO KATHERINE ELIZABETH</t>
  </si>
  <si>
    <t>75431689</t>
  </si>
  <si>
    <t>RODRIGUEZ AGUIRRE JOSE ENRIQUE</t>
  </si>
  <si>
    <t>AYUDANTE PARRILLERO</t>
  </si>
  <si>
    <t>45506120</t>
  </si>
  <si>
    <t>CHACON RIMACHE KATTY MARIELENE</t>
  </si>
  <si>
    <t>43254369</t>
  </si>
  <si>
    <t>SILVESTRE URBANO ALVARO NORBERTO</t>
  </si>
  <si>
    <t>08874850</t>
  </si>
  <si>
    <t>RAMIREZ PANTOJA AMERICO</t>
  </si>
  <si>
    <t>46014542</t>
  </si>
  <si>
    <t>BUENO POMA KELLY</t>
  </si>
  <si>
    <t>41406328</t>
  </si>
  <si>
    <t>SAAVEDRA VILLALOBOS ALDO CHRISTIAN</t>
  </si>
  <si>
    <t>42319639</t>
  </si>
  <si>
    <t>SALAZAR TAPIA MARCOS ARTURO</t>
  </si>
  <si>
    <t>45513632</t>
  </si>
  <si>
    <t>DE ASIS MARRON PAUL</t>
  </si>
  <si>
    <t>000860151</t>
  </si>
  <si>
    <t>77051771</t>
  </si>
  <si>
    <t>AGUILAR CAMPOS DE ALEXZANDRO</t>
  </si>
  <si>
    <t>46835188</t>
  </si>
  <si>
    <t>TUANAMA SALAS JACOB</t>
  </si>
  <si>
    <t>48134866</t>
  </si>
  <si>
    <t>VILLON HUAMANI ANTHONY KEVIN</t>
  </si>
  <si>
    <t>10364561</t>
  </si>
  <si>
    <t>CUSTODIO PINO JOSE FELIX</t>
  </si>
  <si>
    <t>44120468</t>
  </si>
  <si>
    <t xml:space="preserve">GRANDEZ ANTAY CHRISTIAM </t>
  </si>
  <si>
    <t>43719968</t>
  </si>
  <si>
    <t>ROBLES SAENZ JUAN CARLOS</t>
  </si>
  <si>
    <t>48275246</t>
  </si>
  <si>
    <t>CHIONG GUARDAMINO SAMUEL SAMUEL</t>
  </si>
  <si>
    <t>43559012</t>
  </si>
  <si>
    <t>MELENDEZ OBREGON ALAN PETER</t>
  </si>
  <si>
    <t>10793103</t>
  </si>
  <si>
    <t>VALDIVIEZO RUIZ MONICA MIRELLA</t>
  </si>
  <si>
    <t>77330319</t>
  </si>
  <si>
    <t>QUINDE CARRION YESENIA DALMITH</t>
  </si>
  <si>
    <t>72017264</t>
  </si>
  <si>
    <t>GORDILLO MOORE VERA LUCIA</t>
  </si>
  <si>
    <t>75274681</t>
  </si>
  <si>
    <t>003786445</t>
  </si>
  <si>
    <t>ESCOBAR ARANDA JOSE RAMON</t>
  </si>
  <si>
    <t>74125537</t>
  </si>
  <si>
    <t>CHANCASANAMPA FALCONI CRISS PAMELA</t>
  </si>
  <si>
    <t>72391980</t>
  </si>
  <si>
    <t>OLANO ARRELUCEA HENRY BREYSSON</t>
  </si>
  <si>
    <t>46079829</t>
  </si>
  <si>
    <t>72970410</t>
  </si>
  <si>
    <t>JONDEC OLIVERA ANGEL EMERSON</t>
  </si>
  <si>
    <t>10162800</t>
  </si>
  <si>
    <t>MARTINEZ CAMPOS FELIX RAUL</t>
  </si>
  <si>
    <t>SOMMELIER</t>
  </si>
  <si>
    <t>09687766</t>
  </si>
  <si>
    <t>73956467</t>
  </si>
  <si>
    <t>SANDOVAL FAJARDO WIDMER JAMER</t>
  </si>
  <si>
    <t>PLANCHERO</t>
  </si>
  <si>
    <t>74927746</t>
  </si>
  <si>
    <t>YAURI QUISPE JEAN PIERRE</t>
  </si>
  <si>
    <t>71833731</t>
  </si>
  <si>
    <t>CAJERO(RA) DE TIENDA</t>
  </si>
  <si>
    <t>76057599</t>
  </si>
  <si>
    <t>CHAVEZ VALDEZ LUIS ALFREDO</t>
  </si>
  <si>
    <t>44779938</t>
  </si>
  <si>
    <t>09974197</t>
  </si>
  <si>
    <t>CAHUANA SUAREZ LILIANA ADELA</t>
  </si>
  <si>
    <t>46477274</t>
  </si>
  <si>
    <t>MOGOLLON HUAYTAN KATHERINE VICTORIA</t>
  </si>
  <si>
    <t>COORDINADOR(A) DE COSTOS Y COMPRAS</t>
  </si>
  <si>
    <t>76917308</t>
  </si>
  <si>
    <t>FARFAN ARAUJO CARLOS ALEXIS</t>
  </si>
  <si>
    <t>SUPERVISOR DE MANTENIMIENTO</t>
  </si>
  <si>
    <t>45592521</t>
  </si>
  <si>
    <t>CORDOVA VASQUEZ HANS EMIL</t>
  </si>
  <si>
    <t>76547666</t>
  </si>
  <si>
    <t>CARRION CORDOVA FELIX JUNIOR</t>
  </si>
  <si>
    <t>75073887</t>
  </si>
  <si>
    <t>DUEÑAS AYALA DANIEL AARON</t>
  </si>
  <si>
    <t>71108211</t>
  </si>
  <si>
    <t>SANTOS JIMENEZ THELMO</t>
  </si>
  <si>
    <t>002578866</t>
  </si>
  <si>
    <t>SILVA PEREZ YURLEYBIS ANAIS</t>
  </si>
  <si>
    <t>07529585</t>
  </si>
  <si>
    <t>DONAYRE JOLY STEVE MAX</t>
  </si>
  <si>
    <t>71167759</t>
  </si>
  <si>
    <t>TANTAPOMA RIVAS JEAN PAUL</t>
  </si>
  <si>
    <t>75188471</t>
  </si>
  <si>
    <t>TORVISCO QUIÑONEZ HENRY DAVID</t>
  </si>
  <si>
    <t>74952514</t>
  </si>
  <si>
    <t>HURTADO FERNANDEZ ROSA EMELINA</t>
  </si>
  <si>
    <t>48556911</t>
  </si>
  <si>
    <t>PAULINO RIMAC BEATRIZ</t>
  </si>
  <si>
    <t>41303276</t>
  </si>
  <si>
    <t>ORE DIONISIO NOE ADEMIR</t>
  </si>
  <si>
    <t>73066952</t>
  </si>
  <si>
    <t>FERNANDEZ PEREZ ELIAS ROBERTO</t>
  </si>
  <si>
    <t>09980689</t>
  </si>
  <si>
    <t>CUADRA PANDURO SARA ANTONIETA</t>
  </si>
  <si>
    <t>76210263</t>
  </si>
  <si>
    <t>CHACON ARANA MISAEL ABIU</t>
  </si>
  <si>
    <t>41345721</t>
  </si>
  <si>
    <t>CRISPIN ESTAY WILIAN ADAN</t>
  </si>
  <si>
    <t>44565333</t>
  </si>
  <si>
    <t>CORREA CAICAY JUAN RAUL</t>
  </si>
  <si>
    <t>AYUDANTE DE PASTELERIA</t>
  </si>
  <si>
    <t>77800101</t>
  </si>
  <si>
    <t>PASACHE TIZA LUIS ALFREDO</t>
  </si>
  <si>
    <t>77293542</t>
  </si>
  <si>
    <t>MELENDEZ RIVERA MAURICIO ALONSO</t>
  </si>
  <si>
    <t>76715413</t>
  </si>
  <si>
    <t>SAAVEDRA TORRE BRANDO YAIR</t>
  </si>
  <si>
    <t>75536406</t>
  </si>
  <si>
    <t>INDIGOYEN ALBERTO JANIRA STEPHANY</t>
  </si>
  <si>
    <t>ASISTENTE DE PRODUCCION Y CONTROL</t>
  </si>
  <si>
    <t>76436368</t>
  </si>
  <si>
    <t>ALCANTARA PURISACA LUIS GIANCARLO</t>
  </si>
  <si>
    <t>77921884</t>
  </si>
  <si>
    <t>COELLO LEON JOSE MIGUEL</t>
  </si>
  <si>
    <t>BARISTA</t>
  </si>
  <si>
    <t>73958527</t>
  </si>
  <si>
    <t>MARQUEZ VARGAS JOEL GONZALO</t>
  </si>
  <si>
    <t>71888668</t>
  </si>
  <si>
    <t>DIAZ ZAMUDIO KEVIN JOHN</t>
  </si>
  <si>
    <t>73205887</t>
  </si>
  <si>
    <t>MALLQUI CHAUCA JOSE FELIX</t>
  </si>
  <si>
    <t>48196087</t>
  </si>
  <si>
    <t>CARRASCAL MENDEZ JESUS ALFREDO</t>
  </si>
  <si>
    <t>44934727</t>
  </si>
  <si>
    <t>BOZA CARBAJAL JUAN CARLOS</t>
  </si>
  <si>
    <t>71267032</t>
  </si>
  <si>
    <t>VARGAS PACHECO ESTELA SILVANA</t>
  </si>
  <si>
    <t>AUDITOR(A)</t>
  </si>
  <si>
    <t>09766413</t>
  </si>
  <si>
    <t>SALAS ALBUJAR EDDY ABEL</t>
  </si>
  <si>
    <t>75819540</t>
  </si>
  <si>
    <t>PACHECO MAMANI KELLY KIM</t>
  </si>
  <si>
    <t>90427149</t>
  </si>
  <si>
    <t>CAHUANA SILVA JOHANNA MARLIT</t>
  </si>
  <si>
    <t>42390279</t>
  </si>
  <si>
    <t>LIMAYLLA SAYAN EDSON PAUL</t>
  </si>
  <si>
    <t>75914819</t>
  </si>
  <si>
    <t>SANCHEZ MERINO ANGELA DEBORA</t>
  </si>
  <si>
    <t>48057266</t>
  </si>
  <si>
    <t>MEGO GARBOZO ALEXANDER FRANCISCO</t>
  </si>
  <si>
    <t>75929978</t>
  </si>
  <si>
    <t>CERCEDO GONZALEZ EVITHAIS</t>
  </si>
  <si>
    <t>72403983</t>
  </si>
  <si>
    <t>MARCELO PAREDES ANGELO ALBERTO</t>
  </si>
  <si>
    <t>76268948</t>
  </si>
  <si>
    <t>INFANZON NILUPU JAIR BRANDON</t>
  </si>
  <si>
    <t>46076179</t>
  </si>
  <si>
    <t>CARBAJAL HERRERA NEMIAS</t>
  </si>
  <si>
    <t>73879966</t>
  </si>
  <si>
    <t>PONCE FARFAN EILEEN JANET</t>
  </si>
  <si>
    <t>COORDINADOR(A) DE ANFITRIONES</t>
  </si>
  <si>
    <t>47333066</t>
  </si>
  <si>
    <t>RODRIGUEZ HUAYTA DAVID RICARDO</t>
  </si>
  <si>
    <t>73238125</t>
  </si>
  <si>
    <t>SALAZAR CUELLO EDDER ANDRES</t>
  </si>
  <si>
    <t>72775531</t>
  </si>
  <si>
    <t>CHURANO MUÑOZ KEVIN ARNOL</t>
  </si>
  <si>
    <t>74793155</t>
  </si>
  <si>
    <t>SOSA FATAMA NICOLE ALESSANDRA</t>
  </si>
  <si>
    <t>CORREDOR(A) P/T</t>
  </si>
  <si>
    <t>75176635</t>
  </si>
  <si>
    <t>RENGIFO TRAUCO DANICA ANDREA</t>
  </si>
  <si>
    <t>75487694</t>
  </si>
  <si>
    <t>CAJO AVILA JOSE FRANCISCO MANUEL</t>
  </si>
  <si>
    <t>40844302</t>
  </si>
  <si>
    <t>ASCOY VELA HUGO NESTOR</t>
  </si>
  <si>
    <t>ENTRENADOR DE SERVICIO</t>
  </si>
  <si>
    <t>48541378</t>
  </si>
  <si>
    <t>SUAREZ HUAPAYA SOFIA BRENDA</t>
  </si>
  <si>
    <t>73755901</t>
  </si>
  <si>
    <t>BERROCAL GARCIA NAYELY ALMENDRA</t>
  </si>
  <si>
    <t>72694509</t>
  </si>
  <si>
    <t>MARTINEZ MORENO DIEGO PAOLO</t>
  </si>
  <si>
    <t>49028175</t>
  </si>
  <si>
    <t>RIOS QUISPE CARLOS VALENTIN</t>
  </si>
  <si>
    <t>75523611</t>
  </si>
  <si>
    <t>CALLAN CERRUDO PEDRO REYNALDO</t>
  </si>
  <si>
    <t>78873647</t>
  </si>
  <si>
    <t>SALAZAR DAVILA MARIO</t>
  </si>
  <si>
    <t>73994415</t>
  </si>
  <si>
    <t>MANRIQUE ROCHABRUN JESUS JOEL</t>
  </si>
  <si>
    <t>40826429</t>
  </si>
  <si>
    <t>FERRAND CASTILLO GONZALO</t>
  </si>
  <si>
    <t>CHEF EJECUTIVO</t>
  </si>
  <si>
    <t>75056912</t>
  </si>
  <si>
    <t>ESCALANTE ABAD VERONICA ANDREA</t>
  </si>
  <si>
    <t>75157591</t>
  </si>
  <si>
    <t>TORRES BOGGIANO DINA YHIARA ISABEL</t>
  </si>
  <si>
    <t>72472031</t>
  </si>
  <si>
    <t>GUTIERREZ ORE CHRISTOPHER ALEJANDRO</t>
  </si>
  <si>
    <t>71263611</t>
  </si>
  <si>
    <t>BENAVIDES DE LA CRUZ WILLIAM ENRIQUE</t>
  </si>
  <si>
    <t>41730175</t>
  </si>
  <si>
    <t>TORRES CAJACURI EDINSON RONALD</t>
  </si>
  <si>
    <t>72715408</t>
  </si>
  <si>
    <t>SAAVEDRA CONDORI ARIANA ANTUANET</t>
  </si>
  <si>
    <t>75517819</t>
  </si>
  <si>
    <t>ANTAYHUA LUJAN JUAN JESUS ANDRE</t>
  </si>
  <si>
    <t>ANFITRION TURISTICO</t>
  </si>
  <si>
    <t>72452395</t>
  </si>
  <si>
    <t>MACEDO AVALOS ARIANA NICOLE</t>
  </si>
  <si>
    <t>77676069</t>
  </si>
  <si>
    <t>ALBINO MAMANI OMAR ANTHONY</t>
  </si>
  <si>
    <t>46020665</t>
  </si>
  <si>
    <t>MORA PANIAGUA CRISTHIANS JESUS</t>
  </si>
  <si>
    <t>74903308</t>
  </si>
  <si>
    <t>DOMINGUEZ JARA KATHERINE DEBORA</t>
  </si>
  <si>
    <t>COORDINADOR (A) DE PASTELERIA</t>
  </si>
  <si>
    <t>AYUDANTE DE ALMACEN</t>
  </si>
  <si>
    <t>10815257</t>
  </si>
  <si>
    <t>SILVA MAMANI ROLANDO NINO</t>
  </si>
  <si>
    <t>47626127</t>
  </si>
  <si>
    <t>ISASI LUDEÑA JULIO RAFAEL</t>
  </si>
  <si>
    <t>75760518</t>
  </si>
  <si>
    <t>PAUCAR MAMANI LUCERO</t>
  </si>
  <si>
    <t>75466765</t>
  </si>
  <si>
    <t>SANTE ANICETO DIEGO ENRIQUE</t>
  </si>
  <si>
    <t>72194312</t>
  </si>
  <si>
    <t>ORTIZ LEVANO ALESSANDRO PAUL</t>
  </si>
  <si>
    <t>43892079</t>
  </si>
  <si>
    <t>CRISTOBAL CRUZ JUAN MALAQUIAS</t>
  </si>
  <si>
    <t>005352488</t>
  </si>
  <si>
    <t>SOSA OCHOA EDUARDO JOSE</t>
  </si>
  <si>
    <t>60995070</t>
  </si>
  <si>
    <t>VARGAS PASHANASE ROSA ALICIA</t>
  </si>
  <si>
    <t>MOLINVERT S.R.L.</t>
  </si>
  <si>
    <t>ADM</t>
  </si>
  <si>
    <t>COCINERO</t>
  </si>
  <si>
    <t>UCAYALI</t>
  </si>
  <si>
    <t>SUPERVISOR(A)</t>
  </si>
  <si>
    <t>GERENTE GENERAL</t>
  </si>
  <si>
    <t>PUENTE PIEDRA</t>
  </si>
  <si>
    <t>SALAVERRY</t>
  </si>
  <si>
    <t>CHICKEN BRASA</t>
  </si>
  <si>
    <t>CENTRO</t>
  </si>
  <si>
    <t>47366587</t>
  </si>
  <si>
    <t>TIBURCIO CASTRO ROSMIL</t>
  </si>
  <si>
    <t>42412711</t>
  </si>
  <si>
    <t>ZARATE ANTUNES FLAVIO</t>
  </si>
  <si>
    <t>HORNERO</t>
  </si>
  <si>
    <t>25772256</t>
  </si>
  <si>
    <t>PERICHE CHUNGA OSCAR  ENRIQUE</t>
  </si>
  <si>
    <t>75627567</t>
  </si>
  <si>
    <t>PINEDO LEON BEDER</t>
  </si>
  <si>
    <t>45100294</t>
  </si>
  <si>
    <t>VILCHEZ SAUCEDO MELVIN</t>
  </si>
  <si>
    <t>46150054</t>
  </si>
  <si>
    <t>BAUTISTA SANCHEZ LIZANDRO</t>
  </si>
  <si>
    <t>73330651</t>
  </si>
  <si>
    <t>TINEO PEREZ ALVA</t>
  </si>
  <si>
    <t>73490058</t>
  </si>
  <si>
    <t>PINGO SANTAMARIA LIZBETH ALEXANDRA</t>
  </si>
  <si>
    <t>42943148</t>
  </si>
  <si>
    <t>FALCON RIPAZ LUIS ALBERTO</t>
  </si>
  <si>
    <t>PRODUCC. BOCADITO</t>
  </si>
  <si>
    <t>41002416</t>
  </si>
  <si>
    <t>PARIATON MARCHENA LUZ ERNILDA</t>
  </si>
  <si>
    <t>43037751</t>
  </si>
  <si>
    <t>AGUSTIN INGA FERNANDO</t>
  </si>
  <si>
    <t>77036492</t>
  </si>
  <si>
    <t>GALVEZ CHANG ANGGELO PEDRO</t>
  </si>
  <si>
    <t>77235499</t>
  </si>
  <si>
    <t>GUEVARA COTRINA JOEL</t>
  </si>
  <si>
    <t>45398697</t>
  </si>
  <si>
    <t>JAUCHA BENDEZU LUCIO JOSE</t>
  </si>
  <si>
    <t>09936933</t>
  </si>
  <si>
    <t>AGUAYO CARRANZA HUGO LUIS</t>
  </si>
  <si>
    <t>25761973</t>
  </si>
  <si>
    <t>HUAZO ARIAS FELIPE SANTIAGO</t>
  </si>
  <si>
    <t>40245372</t>
  </si>
  <si>
    <t>CAQUI GARAY ILDEBRANDO SAMUEL</t>
  </si>
  <si>
    <t>32132463</t>
  </si>
  <si>
    <t>SANCHEZ LEON ELEAZAR RONALD</t>
  </si>
  <si>
    <t>PRODUCCION</t>
  </si>
  <si>
    <t>41357031</t>
  </si>
  <si>
    <t>BELTRAN PAREDES YADIRA YANETH</t>
  </si>
  <si>
    <t>75826904</t>
  </si>
  <si>
    <t>CARBAJAL TIMOTEO FERNANDO EDUER</t>
  </si>
  <si>
    <t>49033608</t>
  </si>
  <si>
    <t>PUMA PAREDES ALICIA</t>
  </si>
  <si>
    <t>46890369</t>
  </si>
  <si>
    <t>CHERO PAICO JORGE CARLIN</t>
  </si>
  <si>
    <t>JEFE DE MOZOS</t>
  </si>
  <si>
    <t>47305708</t>
  </si>
  <si>
    <t>CORREA SOLANO JOSE ABEL</t>
  </si>
  <si>
    <t>74482408</t>
  </si>
  <si>
    <t>LOMAS CHOTA CEYLI LISCETH</t>
  </si>
  <si>
    <t>77086914</t>
  </si>
  <si>
    <t>VEGA MEZA ERIKA JOSSELIN</t>
  </si>
  <si>
    <t>49032064</t>
  </si>
  <si>
    <t>LY ROJAS MOISES AARON</t>
  </si>
  <si>
    <t>72415930</t>
  </si>
  <si>
    <t>GARCIA CALLE CLEYDI ROSALI</t>
  </si>
  <si>
    <t>PIZZERA</t>
  </si>
  <si>
    <t>05410888</t>
  </si>
  <si>
    <t>MOZOMBITE VILLANUEVA JOEL</t>
  </si>
  <si>
    <t>42858819</t>
  </si>
  <si>
    <t>CHAHUA CHIPA FELIX</t>
  </si>
  <si>
    <t>61666355</t>
  </si>
  <si>
    <t>USCAMAYTA PASTRANA DENIS ANGEL</t>
  </si>
  <si>
    <t>SUPERVISOR(A) GENERAL</t>
  </si>
  <si>
    <t>46277000</t>
  </si>
  <si>
    <t>ORTIZ ARENAS ANYELA MERCEDES</t>
  </si>
  <si>
    <t>70263432</t>
  </si>
  <si>
    <t>RUIZ ANAPAN PAOLA MARGARITA</t>
  </si>
  <si>
    <t>10438681</t>
  </si>
  <si>
    <t>VENTURA ALBINO ROGELIO</t>
  </si>
  <si>
    <t>45085069</t>
  </si>
  <si>
    <t>HUAMANCAJA ORTIZ HELLEN JULIANA</t>
  </si>
  <si>
    <t>61094901</t>
  </si>
  <si>
    <t>IZQUIERDO DEL AGUILA JESSICA LUCERO</t>
  </si>
  <si>
    <t>71695117</t>
  </si>
  <si>
    <t>ROJAS DAZA LIZ</t>
  </si>
  <si>
    <t>72033074</t>
  </si>
  <si>
    <t>JIMENEZ TORRES SAIRA YUDITH</t>
  </si>
  <si>
    <t>48075514</t>
  </si>
  <si>
    <t>JACOBO RAMOS FELIPE</t>
  </si>
  <si>
    <t>46636837</t>
  </si>
  <si>
    <t>PARIONA HURTADO MARTIN ARTURO</t>
  </si>
  <si>
    <t>47829763</t>
  </si>
  <si>
    <t>PALOMINO IRIGOIN TATIANA LUZ</t>
  </si>
  <si>
    <t>76978623</t>
  </si>
  <si>
    <t>GUEVARA  DIAZ JHOANN</t>
  </si>
  <si>
    <t>73526131</t>
  </si>
  <si>
    <t>ORTIZ SANCHEZ ANHIELO MIRASLAU</t>
  </si>
  <si>
    <t>76918989</t>
  </si>
  <si>
    <t>SINACAY AGUSTIN JOSE LUIS</t>
  </si>
  <si>
    <t>ABASTECEDOR</t>
  </si>
  <si>
    <t>43892623</t>
  </si>
  <si>
    <t>CHANTA FLORES LUZ MARIBEL</t>
  </si>
  <si>
    <t>74063817</t>
  </si>
  <si>
    <t>MATIAS NAZARIO ELMER</t>
  </si>
  <si>
    <t>42462096</t>
  </si>
  <si>
    <t>RUIZ CARCAMO GABRIELA JULIANA</t>
  </si>
  <si>
    <t>74642410</t>
  </si>
  <si>
    <t>PIGUABE ANDRADE VICTORIA JULISSA</t>
  </si>
  <si>
    <t>VENTA DE BOCADITOS</t>
  </si>
  <si>
    <t>70512576</t>
  </si>
  <si>
    <t>SEGURA LOPEZ EFRAIN EMILIANO</t>
  </si>
  <si>
    <t>48062476</t>
  </si>
  <si>
    <t>SOTO RIVERA DORIS</t>
  </si>
  <si>
    <t>72374617</t>
  </si>
  <si>
    <t>ARMACANQUI  SANDON CARLOS FERMIN</t>
  </si>
  <si>
    <t>74413930</t>
  </si>
  <si>
    <t>TORRES TRUJILLO LUIYI RODRIGO</t>
  </si>
  <si>
    <t>77820542</t>
  </si>
  <si>
    <t>CHAVEZ ROJAS FREDY ANTONIO</t>
  </si>
  <si>
    <t>76206701</t>
  </si>
  <si>
    <t>RUIZ VASQUEZ ERIK MILER</t>
  </si>
  <si>
    <t>27291379</t>
  </si>
  <si>
    <t>QUINTANA DELGADO ISABEL</t>
  </si>
  <si>
    <t>LAVADOR</t>
  </si>
  <si>
    <t>71873841</t>
  </si>
  <si>
    <t>VASQUEZ BECERRA MARIA LUZBELI</t>
  </si>
  <si>
    <t>47602467</t>
  </si>
  <si>
    <t>VILCA MIRANDA NANCY</t>
  </si>
  <si>
    <t>77283229</t>
  </si>
  <si>
    <t>HUIDOBRO MORE MIRIAM DEL PILAR</t>
  </si>
  <si>
    <t>76975991</t>
  </si>
  <si>
    <t>JAAMANCH JAAMANCH LEONEL</t>
  </si>
  <si>
    <t>60154104</t>
  </si>
  <si>
    <t>FLORES CUSMA MARIA CELENI</t>
  </si>
  <si>
    <t>75149251</t>
  </si>
  <si>
    <t>GUILLEN VASQUEZ ZARAI ESTHER</t>
  </si>
  <si>
    <t>74416692</t>
  </si>
  <si>
    <t>SOLANO SUYON JAIR HAILTON</t>
  </si>
  <si>
    <t>76139843</t>
  </si>
  <si>
    <t>VARGAS HERNANDEZ ALEXANDER</t>
  </si>
  <si>
    <t>06658325</t>
  </si>
  <si>
    <t>ORTEGA HILARIO WALTER</t>
  </si>
  <si>
    <t>47728740</t>
  </si>
  <si>
    <t>PALOMARES ISIDRO NOE NOEL</t>
  </si>
  <si>
    <t>71766320</t>
  </si>
  <si>
    <t>SALDIVAR RIOS LUZ ARACELI</t>
  </si>
  <si>
    <t>73418548</t>
  </si>
  <si>
    <t>QUINTANA FERNANDEZ ELSER</t>
  </si>
  <si>
    <t>73514409</t>
  </si>
  <si>
    <t>ACOSTA FLORES ELVIA JULISSA</t>
  </si>
  <si>
    <t>71641635</t>
  </si>
  <si>
    <t>CHUQUE BURGA YANETH ROXANA</t>
  </si>
  <si>
    <t>76325370</t>
  </si>
  <si>
    <t>JAIMES INOCENTE RUBI MISHEL</t>
  </si>
  <si>
    <t>70067181</t>
  </si>
  <si>
    <t>SANDONAS AYALA VERONICA ASUCENA</t>
  </si>
  <si>
    <t>73046869</t>
  </si>
  <si>
    <t>HERRERA LANEGRA SUSANA ANGELA</t>
  </si>
  <si>
    <t>60435064</t>
  </si>
  <si>
    <t>QUITO SAAVEDRA JULIO CESAR</t>
  </si>
  <si>
    <t>81054422</t>
  </si>
  <si>
    <t>MACUYAMA AHUANARI ARIANA MARTHA</t>
  </si>
  <si>
    <t>76566922</t>
  </si>
  <si>
    <t>ALAYA LLANOS MARIA JANETH</t>
  </si>
  <si>
    <t>77686552</t>
  </si>
  <si>
    <t>ZUÑIGA URBANO ENZO EMMANUEL</t>
  </si>
  <si>
    <t>48920131</t>
  </si>
  <si>
    <t>YOVERA GUERRERO LEYDY LISSET</t>
  </si>
  <si>
    <t>45390183</t>
  </si>
  <si>
    <t>NIKEI FOOD INVESTMENTS S.A.C.</t>
  </si>
  <si>
    <t>INTERNACIONAL</t>
  </si>
  <si>
    <t>ALAMA VELASQUEZ RICARDO</t>
  </si>
  <si>
    <t>80137528</t>
  </si>
  <si>
    <t>ALANYA BULNES MIGUEL ANGEL</t>
  </si>
  <si>
    <t>10300536</t>
  </si>
  <si>
    <t>AMPUERO GUTIERREZ WILMER ALEXANDER</t>
  </si>
  <si>
    <t>CHOFER</t>
  </si>
  <si>
    <t>06996327</t>
  </si>
  <si>
    <t>BORDA GONZALES PASCUAL</t>
  </si>
  <si>
    <t>48069512</t>
  </si>
  <si>
    <t>CALIXTRO SEGURA FERNANDO HEITNER</t>
  </si>
  <si>
    <t>71239412</t>
  </si>
  <si>
    <t>CANCHIS MARTINEZ RAUL ANGELO</t>
  </si>
  <si>
    <t>40082761</t>
  </si>
  <si>
    <t>CANTEÑO RAMOS ALFREDO</t>
  </si>
  <si>
    <t>42986403</t>
  </si>
  <si>
    <t>CCAHUANA CEVALLOS JOSE LUIS</t>
  </si>
  <si>
    <t>47830754</t>
  </si>
  <si>
    <t>CHAPAY PONCE INKAITERY KITEBANTI</t>
  </si>
  <si>
    <t>000138315</t>
  </si>
  <si>
    <t>CHU  LORA</t>
  </si>
  <si>
    <t>CAJERA</t>
  </si>
  <si>
    <t>25725402</t>
  </si>
  <si>
    <t xml:space="preserve">CORDOVA RAMIREZ LUIS MIGUEL </t>
  </si>
  <si>
    <t>ADMINISTRADOR</t>
  </si>
  <si>
    <t>01703268</t>
  </si>
  <si>
    <t>GONZALES IQUICE CECILIO</t>
  </si>
  <si>
    <t>VAJILLERO</t>
  </si>
  <si>
    <t>09114810</t>
  </si>
  <si>
    <t>HUARANGA RAMOS EUCARIO</t>
  </si>
  <si>
    <t>45756862</t>
  </si>
  <si>
    <t>HUAYANA HUAMAN YURI NAZARIO</t>
  </si>
  <si>
    <t>002430867</t>
  </si>
  <si>
    <t>MENDOZA QUERALEZ ROIBER ALEXANDER</t>
  </si>
  <si>
    <t>44023668</t>
  </si>
  <si>
    <t>PEÑA LA TORRE NAYDALIN RUBI</t>
  </si>
  <si>
    <t>10652506</t>
  </si>
  <si>
    <t>PRADO NOA EDGAR CRISANTO</t>
  </si>
  <si>
    <t>71675688</t>
  </si>
  <si>
    <t>QUIÑONES CANTEÑO ALESSANDRO DEL PIERO</t>
  </si>
  <si>
    <t>25819901</t>
  </si>
  <si>
    <t>RAFAELO VASQUEZ WALTER DEMETRIO</t>
  </si>
  <si>
    <t>PICADOR</t>
  </si>
  <si>
    <t>09003391</t>
  </si>
  <si>
    <t>RAMOS TOLENTINO MARCELINO</t>
  </si>
  <si>
    <t>PORCIONADOR</t>
  </si>
  <si>
    <t>47908498</t>
  </si>
  <si>
    <t>VASQUEZ CORONEL SINECIO</t>
  </si>
  <si>
    <t>10808253</t>
  </si>
  <si>
    <t>AICHO ALLAUCA JOSE MANUEL</t>
  </si>
  <si>
    <t>43454025</t>
  </si>
  <si>
    <t>QUISPE SOTO EVA</t>
  </si>
  <si>
    <t>PROMOCIONES TURISTICAS IZAKAYA S.A.</t>
  </si>
  <si>
    <t>IZAKAYA</t>
  </si>
  <si>
    <t>71025292</t>
  </si>
  <si>
    <t xml:space="preserve">ANDIA CANDIA ALEX AARON </t>
  </si>
  <si>
    <t>44510384</t>
  </si>
  <si>
    <t>CARHUALLANQUI SANCHEZ JONATHAN STEVE</t>
  </si>
  <si>
    <t>ITAMAE</t>
  </si>
  <si>
    <t>41013301</t>
  </si>
  <si>
    <t>CCOTO MURIEL GREGORIO</t>
  </si>
  <si>
    <t>09997666</t>
  </si>
  <si>
    <t>CUTIRE MENDOZA TOMAS JOSE</t>
  </si>
  <si>
    <t>10524999</t>
  </si>
  <si>
    <t>LOPEZ MIRANDA WILBER JAVIER</t>
  </si>
  <si>
    <t>10660382</t>
  </si>
  <si>
    <t>MAURTUA FERNANDEZ JONNY NICOLAS</t>
  </si>
  <si>
    <t>08973594</t>
  </si>
  <si>
    <t>MEZA MOROCHO HIGIDIO</t>
  </si>
  <si>
    <t>72394118</t>
  </si>
  <si>
    <t>OROÑA FASABI CHRISTOPHER JOEL</t>
  </si>
  <si>
    <t>09993572</t>
  </si>
  <si>
    <t>RIOS CCANAHUIRE EDGAR</t>
  </si>
  <si>
    <t>73653418</t>
  </si>
  <si>
    <t>SOSA VALDIVIEZO JUANA NATALI</t>
  </si>
  <si>
    <t>CAJERA - ASISTENTE</t>
  </si>
  <si>
    <t>17636978</t>
  </si>
  <si>
    <t xml:space="preserve">TEJADA AQUINO JOSE MERCEDES </t>
  </si>
  <si>
    <t>74589173</t>
  </si>
  <si>
    <t>VELA SALINAS RODRIGO ERNESTO</t>
  </si>
  <si>
    <t>73266488</t>
  </si>
  <si>
    <t>SALCEDO MARQUEZ VALENTINA LIA</t>
  </si>
  <si>
    <t>75877596</t>
  </si>
  <si>
    <t>LA CHIRA MARQUEZ ANGEL JERICO</t>
  </si>
  <si>
    <t>VAJILLERO (A)</t>
  </si>
  <si>
    <t>70827723</t>
  </si>
  <si>
    <t>SNACKPARK PERU S.A.C.</t>
  </si>
  <si>
    <t>KONG SUCRE</t>
  </si>
  <si>
    <t>BOTTON OLIVA KEVIN FRANCISCO</t>
  </si>
  <si>
    <t>10690988</t>
  </si>
  <si>
    <t>MOSCOL CABRERA PEDRO PABLO</t>
  </si>
  <si>
    <t>43247229</t>
  </si>
  <si>
    <t>ALMEYDA GARCIA MIGUEL ANGEL</t>
  </si>
  <si>
    <t>COCINERO(A) SALTEADOR</t>
  </si>
  <si>
    <t>70270818</t>
  </si>
  <si>
    <t>ARAUJO UTRILLA GIANMARCO JOEL</t>
  </si>
  <si>
    <t>71701784</t>
  </si>
  <si>
    <t>KONG PRIMAVERA</t>
  </si>
  <si>
    <t>CALDAS REGAL FRANZ DAVID</t>
  </si>
  <si>
    <t>ADMINISTRADOR(A) JUNIOR</t>
  </si>
  <si>
    <t>71730159</t>
  </si>
  <si>
    <t>ASISTENTE DE SERVICIO</t>
  </si>
  <si>
    <t>44044897</t>
  </si>
  <si>
    <t>MORENO CHARRE NILER EDGAR</t>
  </si>
  <si>
    <t>JEFE DE ASADOS</t>
  </si>
  <si>
    <t>44340372</t>
  </si>
  <si>
    <t>ORTIZ ALCEDO WILINTON MODESTO</t>
  </si>
  <si>
    <t>48377928</t>
  </si>
  <si>
    <t>KONG LARCOMAR</t>
  </si>
  <si>
    <t>VEGA ATIRO PERCY ALEJANDRO</t>
  </si>
  <si>
    <t>45467181</t>
  </si>
  <si>
    <t>KONG MOLINA</t>
  </si>
  <si>
    <t>HUAPAYA BUSTOS ITALO KERLY</t>
  </si>
  <si>
    <t>40664867</t>
  </si>
  <si>
    <t>ROJAS BRAVO DONAL NELSON</t>
  </si>
  <si>
    <t>JEFE DE PRODUCCIÓN</t>
  </si>
  <si>
    <t>10576291</t>
  </si>
  <si>
    <t>SOTO GARAY KENEDY</t>
  </si>
  <si>
    <t>77397194</t>
  </si>
  <si>
    <t>LOPEZ RAMOS ALVARO SEBASTIAN</t>
  </si>
  <si>
    <t>44534950</t>
  </si>
  <si>
    <t>RUIZ CASTAÑEDA EDUAR RICARDO</t>
  </si>
  <si>
    <t>76617694</t>
  </si>
  <si>
    <t>CAMPOS PALOMINO JOSE LUIS</t>
  </si>
  <si>
    <t>COCINERO VAPOR</t>
  </si>
  <si>
    <t>COCINA - PRODUCCIÓN</t>
  </si>
  <si>
    <t>JEFE DE SERVICIO</t>
  </si>
  <si>
    <t>77664374</t>
  </si>
  <si>
    <t>AMANTE ZAPAILLE JAQUELINE FRANCISCA</t>
  </si>
  <si>
    <t>40224972</t>
  </si>
  <si>
    <t>CALL CENTER</t>
  </si>
  <si>
    <t>SILVA SALDARRIAGA KARINA PAULA</t>
  </si>
  <si>
    <t>75298574</t>
  </si>
  <si>
    <t>ULFFE CHISQUIPAMA DAVID</t>
  </si>
  <si>
    <t>43172010</t>
  </si>
  <si>
    <t>FIGUEROA MONTORO MICHELLE DEL ROSARIO</t>
  </si>
  <si>
    <t>75129316</t>
  </si>
  <si>
    <t>HUILLCA MINA ROCIO DEL PILAR</t>
  </si>
  <si>
    <t>CAPITÁN(A) DE SERVICIO</t>
  </si>
  <si>
    <t>72674392</t>
  </si>
  <si>
    <t>REYMUNDO LUNA JOSE JAIR</t>
  </si>
  <si>
    <t>72213604</t>
  </si>
  <si>
    <t>MIMBELA ROSALES KEISON JOSE</t>
  </si>
  <si>
    <t>43195867</t>
  </si>
  <si>
    <t>JARAMILLO SAAVEDRA EDGAR</t>
  </si>
  <si>
    <t>JEFE DE ALMACÉN</t>
  </si>
  <si>
    <t>48076436</t>
  </si>
  <si>
    <t>CARRASCO HUARCA ENRIQUE MELQUIADES</t>
  </si>
  <si>
    <t>007069561</t>
  </si>
  <si>
    <t>REYES OJEDA JESUS FRANCISCO</t>
  </si>
  <si>
    <t>02868520</t>
  </si>
  <si>
    <t>GALECIO ARRUNATEGUI MELANIA</t>
  </si>
  <si>
    <t>AUXILIAR DE LIMPIEZA - DISH</t>
  </si>
  <si>
    <t>05344338</t>
  </si>
  <si>
    <t>MEJIA GOMEZ SANDRA JULIANA</t>
  </si>
  <si>
    <t>74416007</t>
  </si>
  <si>
    <t>TELLO LUQUE ALEXIS JANETH</t>
  </si>
  <si>
    <t>72226828</t>
  </si>
  <si>
    <t>NINAMANGO VENANCINO MARTIN ANTONIO</t>
  </si>
  <si>
    <t>45823822</t>
  </si>
  <si>
    <t xml:space="preserve">PANCA LLASA EDISON RENSO  </t>
  </si>
  <si>
    <t>JEFE DE COSTOS</t>
  </si>
  <si>
    <t>75087471</t>
  </si>
  <si>
    <t xml:space="preserve">RAMOS LUNA ALEXANDRA   </t>
  </si>
  <si>
    <t>72534978</t>
  </si>
  <si>
    <t xml:space="preserve">CRUZ MELCHOR GEREMIAS </t>
  </si>
  <si>
    <t>COCINERO CHAUFERO</t>
  </si>
  <si>
    <t>44580042</t>
  </si>
  <si>
    <t>TELEOPERADOR(A) P/T</t>
  </si>
  <si>
    <t>72727725</t>
  </si>
  <si>
    <t>YAJAHUANCA TORRES DARWIN AEXIS</t>
  </si>
  <si>
    <t>45585429</t>
  </si>
  <si>
    <t>VELARDE VELARDE MELISSA ANTOINETTE</t>
  </si>
  <si>
    <t>76780794</t>
  </si>
  <si>
    <t>CARLOS MANAYAY JOSE FERNANDO</t>
  </si>
  <si>
    <t>44573152</t>
  </si>
  <si>
    <t>MAÑUECO BARAHONA ROSA JACKELINE</t>
  </si>
  <si>
    <t>75398175</t>
  </si>
  <si>
    <t>PEREZ SANGAMA RYAN FABRIZIO</t>
  </si>
  <si>
    <t>43053983</t>
  </si>
  <si>
    <t>JON LOO VICTOR JAVIER</t>
  </si>
  <si>
    <t>40632946</t>
  </si>
  <si>
    <t>VARGAS ARROYO HEIDI GENOVEVA</t>
  </si>
  <si>
    <t>AUDITOR(A) DE COSTOS</t>
  </si>
  <si>
    <t>46405397</t>
  </si>
  <si>
    <t>PAREDES ROJAS ALCIDES</t>
  </si>
  <si>
    <t>09970963</t>
  </si>
  <si>
    <t>BORDA MELENDEZ DE JUNCHAYA ROSARIO DEL PILAR</t>
  </si>
  <si>
    <t>48522870</t>
  </si>
  <si>
    <t>FERNANDEZ QUISPE LUIS ANTONIO</t>
  </si>
  <si>
    <t>45826077</t>
  </si>
  <si>
    <t>TORPOCO CAPARO GUSTAVO ADOLFO</t>
  </si>
  <si>
    <t>76174789</t>
  </si>
  <si>
    <t>NAKAMURA GRANDEZ SAKURA</t>
  </si>
  <si>
    <t>72629097</t>
  </si>
  <si>
    <t>SOBERON ROJAS JOAQUIN ANDRE</t>
  </si>
  <si>
    <t>41515441</t>
  </si>
  <si>
    <t>SALINAS LEE KATHERINN LIN</t>
  </si>
  <si>
    <t>GERENTE DE OPERACIONES</t>
  </si>
  <si>
    <t>74975069</t>
  </si>
  <si>
    <t>ORBEGOSO FARFAN MARCELO GABRIEL</t>
  </si>
  <si>
    <t>70063059</t>
  </si>
  <si>
    <t>VARGAS YUCA JHON TONY</t>
  </si>
  <si>
    <t>47731877</t>
  </si>
  <si>
    <t>CUEVA ALTAMIRANO JORDY ANTONY</t>
  </si>
  <si>
    <t>40426673</t>
  </si>
  <si>
    <t>MELGAREJO GAMES ELVIS PETER</t>
  </si>
  <si>
    <t>76970229</t>
  </si>
  <si>
    <t>ROSALES GOMEZ SERGIO ADRIAN</t>
  </si>
  <si>
    <t>70881101</t>
  </si>
  <si>
    <t>LOYOLA AREVALO JAIRO DAVID</t>
  </si>
  <si>
    <t>48108270</t>
  </si>
  <si>
    <t>LAY GOVEA BRUNO ALEJANDRO</t>
  </si>
  <si>
    <t>77926091</t>
  </si>
  <si>
    <t>VIDAL REYES JOSE LUIS</t>
  </si>
  <si>
    <t>25562552</t>
  </si>
  <si>
    <t>MINA QUISPE CRISTINA</t>
  </si>
  <si>
    <t>70474344</t>
  </si>
  <si>
    <t>PAZ CONTRERAS MICHAEL JHAMIRO</t>
  </si>
  <si>
    <t>74308785</t>
  </si>
  <si>
    <t>PANAIFO ROJAS JITLER</t>
  </si>
  <si>
    <t>75877668</t>
  </si>
  <si>
    <t>ULFFE CHISQUIPAMA LESLIE ISABEL</t>
  </si>
  <si>
    <t>75455973</t>
  </si>
  <si>
    <t>AREVALO BAZAN HARUMI YAMILE</t>
  </si>
  <si>
    <t>75388259</t>
  </si>
  <si>
    <t>PEREZ MEJIA JORGE FABRICIO</t>
  </si>
  <si>
    <t>61009112</t>
  </si>
  <si>
    <t>PINTADO TUPAYUPANQUI KEVIN ALONSO</t>
  </si>
  <si>
    <t>CORREDOR(A) DE SERVICIO</t>
  </si>
  <si>
    <t>74124388</t>
  </si>
  <si>
    <t>CORREDOR(A) DE SERVICIO P/T</t>
  </si>
  <si>
    <t>40545735</t>
  </si>
  <si>
    <t>MANRIQUE RAMIREZ ALDO GERALDY</t>
  </si>
  <si>
    <t>72000605</t>
  </si>
  <si>
    <t>NAPOLITANA</t>
  </si>
  <si>
    <t>DAVILA LEGUA FRANK ENRIQUE</t>
  </si>
  <si>
    <t>ASISTENTE DE SERVICIO P/T</t>
  </si>
  <si>
    <t>46518444</t>
  </si>
  <si>
    <t>BUENO OKUHAMA CRISTINA ALEXANDRA</t>
  </si>
  <si>
    <t>45534088</t>
  </si>
  <si>
    <t>RENGIFO ACHO LEWEY JIM</t>
  </si>
  <si>
    <t>73579622</t>
  </si>
  <si>
    <t>RIOFRIO CORTEZ HILMER</t>
  </si>
  <si>
    <t>45748312</t>
  </si>
  <si>
    <t>CRISOSTOMO GARIMENDI PERCY HERACLIO</t>
  </si>
  <si>
    <t>10622913</t>
  </si>
  <si>
    <t>BONILLA SAAVEDRA SANDRA DEL PILAR</t>
  </si>
  <si>
    <t>46282931</t>
  </si>
  <si>
    <t>RAMOS GONZALES JOHN ANTONY</t>
  </si>
  <si>
    <t>72454503</t>
  </si>
  <si>
    <t>PASACHE RUGEL JOSEPH JOEMAR</t>
  </si>
  <si>
    <t>61876487</t>
  </si>
  <si>
    <t xml:space="preserve">ZEVALLOS HERBOZO ISABEL </t>
  </si>
  <si>
    <t>47267197</t>
  </si>
  <si>
    <t>CUEVA YARLAQUE JULIO CESAR</t>
  </si>
  <si>
    <t>76048076</t>
  </si>
  <si>
    <t>SANDOVAL ARANDA KARINA LOURDES</t>
  </si>
  <si>
    <t>47376089</t>
  </si>
  <si>
    <t>DE LA CRUZ GONZALES GUSTAVO HOMAR</t>
  </si>
  <si>
    <t>43067773</t>
  </si>
  <si>
    <t>CRUZ OCLOCHO MARILU</t>
  </si>
  <si>
    <t>70919646</t>
  </si>
  <si>
    <t>CHURA CASTILLO PAUL EMMANUEL</t>
  </si>
  <si>
    <t>75372829</t>
  </si>
  <si>
    <t>DIAZ DONAYRE EDUARDO JESUS</t>
  </si>
  <si>
    <t>76154312</t>
  </si>
  <si>
    <t>CHIRIAP AHUANANCH JOEL</t>
  </si>
  <si>
    <t>74080232</t>
  </si>
  <si>
    <t>QUIROZ CARRILLO JOSE GUSTAVO</t>
  </si>
  <si>
    <t>75248101</t>
  </si>
  <si>
    <t>GUEVARA VALENZUELA BILL ANDERSON</t>
  </si>
  <si>
    <t>72761321</t>
  </si>
  <si>
    <t>RUBIÑOS CAMPOS HIROSHI FERNANDO</t>
  </si>
  <si>
    <t>71694484</t>
  </si>
  <si>
    <t>LEON PAZ DEYNER</t>
  </si>
  <si>
    <t>43670014</t>
  </si>
  <si>
    <t>TORRES CASTRILLON JHON DONNY</t>
  </si>
  <si>
    <t>47381376</t>
  </si>
  <si>
    <t>QUINECHE ALVAREZ JUAN ALEJANDRO</t>
  </si>
  <si>
    <t>72919346</t>
  </si>
  <si>
    <t>80594719</t>
  </si>
  <si>
    <t>005059350</t>
  </si>
  <si>
    <t>RAMIS RAMIREZ MIGUEL ALEJANDRO</t>
  </si>
  <si>
    <t>PIZZERO</t>
  </si>
  <si>
    <t>76780869</t>
  </si>
  <si>
    <t>75243373</t>
  </si>
  <si>
    <t>REVELO LEON PIERO MARTIN</t>
  </si>
  <si>
    <t>44279921</t>
  </si>
  <si>
    <t>WANG  YUANWEI</t>
  </si>
  <si>
    <t>74736642</t>
  </si>
  <si>
    <t>ZEVALLOS ADAMA KARINA AKEMI</t>
  </si>
  <si>
    <t>73197546</t>
  </si>
  <si>
    <t>BAZAN CORONADO MARIAN REGINA</t>
  </si>
  <si>
    <t>44410392</t>
  </si>
  <si>
    <t>CAPARO MONTAFUR LUIS ENRIQUE</t>
  </si>
  <si>
    <t>75504419</t>
  </si>
  <si>
    <t>UCULMANA RAMIREZ ANDREA DEL PILAR</t>
  </si>
  <si>
    <t>76570160</t>
  </si>
  <si>
    <t>VILLALOBOS HUAMAN SERGIO ARTURO</t>
  </si>
  <si>
    <t>46246257</t>
  </si>
  <si>
    <t>CORDOVA CORDOVA ANGELICA MARIBEL</t>
  </si>
  <si>
    <t>ASISTENTE ADMINISTRATIVO</t>
  </si>
  <si>
    <t>75911007</t>
  </si>
  <si>
    <t>BRIONES CARRANZA KEVIN SEBASTIAN</t>
  </si>
  <si>
    <t>10075367</t>
  </si>
  <si>
    <t>CRIOLLO LLOCLLA EDY</t>
  </si>
  <si>
    <t>73267556</t>
  </si>
  <si>
    <t>74214881</t>
  </si>
  <si>
    <t>AGUIRRE PEREZ RENATO SOCRATES</t>
  </si>
  <si>
    <t>71768625</t>
  </si>
  <si>
    <t>CENTENARIO CARRANZA JORGE OSMAR</t>
  </si>
  <si>
    <t>27859610</t>
  </si>
  <si>
    <t>DOMINGUEZ CASTILLO LUZVINDA</t>
  </si>
  <si>
    <t>43399755</t>
  </si>
  <si>
    <t>ESPINO MENDOZA ROSA VICTORIA</t>
  </si>
  <si>
    <t>73944465</t>
  </si>
  <si>
    <t>AHUITE ARAHUANAZA MARVIN</t>
  </si>
  <si>
    <t>74118020</t>
  </si>
  <si>
    <t>GARCIA CANALES JOSEPH MARTIN</t>
  </si>
  <si>
    <t>72899034</t>
  </si>
  <si>
    <t>HUANCA QUISPE MAYCOL YOCEBH</t>
  </si>
  <si>
    <t>77063396</t>
  </si>
  <si>
    <t>BERNEDO TRONCOSO ANDRES LEONARDO</t>
  </si>
  <si>
    <t>80302353</t>
  </si>
  <si>
    <t>SALOME PIZARRO GABRIEL ELISEO</t>
  </si>
  <si>
    <t>42321341</t>
  </si>
  <si>
    <t>HERNANDEZ CUBAS CARLOS</t>
  </si>
  <si>
    <t>74400031</t>
  </si>
  <si>
    <t>BAUTISTA MAMANI EDUARDO FRANCISCO</t>
  </si>
  <si>
    <t>70513614</t>
  </si>
  <si>
    <t>TICLLA BERNAL MERIDA ZORAIDA</t>
  </si>
  <si>
    <t>09732906</t>
  </si>
  <si>
    <t>CHAVEZ LORO ELIZABETH SOLEDAD</t>
  </si>
  <si>
    <t>10311892</t>
  </si>
  <si>
    <t>SHIMABUKURO VERGARA MARCO ANTONIO</t>
  </si>
  <si>
    <t>70908469</t>
  </si>
  <si>
    <t>DONAYRE OSCCO MARIANA ISABEL</t>
  </si>
  <si>
    <t>75324107</t>
  </si>
  <si>
    <t>ALDANA IZQUIERDO MIA NAHIL</t>
  </si>
  <si>
    <t>72255728</t>
  </si>
  <si>
    <t>GUZMAN COCA DANIEL ALEXIS</t>
  </si>
  <si>
    <t>60753546</t>
  </si>
  <si>
    <t>GUZMAN CALDERON MICHAEL ANGELO</t>
  </si>
  <si>
    <t>76628679</t>
  </si>
  <si>
    <t>TARAZONA JAIMES ROSALINDA</t>
  </si>
  <si>
    <t>72898625</t>
  </si>
  <si>
    <t>YAURI INGA GUSTAVO RENZO</t>
  </si>
  <si>
    <t>72947558</t>
  </si>
  <si>
    <t>TORRES SILVA JORGE ALBERTO</t>
  </si>
  <si>
    <t>71693793</t>
  </si>
  <si>
    <t>SANTIAGO SANCHEZ GUILLERMO ALONSO</t>
  </si>
  <si>
    <t>73951210</t>
  </si>
  <si>
    <t>PAUCAR VASQUEZ NOE</t>
  </si>
  <si>
    <t>70857920</t>
  </si>
  <si>
    <t>QUISPE NAVARRO CECILIA</t>
  </si>
  <si>
    <t>72251599</t>
  </si>
  <si>
    <t>MARQUEZ CARRION FRIDA XIMENA</t>
  </si>
  <si>
    <t>71554937</t>
  </si>
  <si>
    <t>DIAZ JARA NIVARDO NILTON</t>
  </si>
  <si>
    <t>61868668</t>
  </si>
  <si>
    <t>SOLORZANO MENDIOLA RICARDO FRANCISCO</t>
  </si>
  <si>
    <t>75731933</t>
  </si>
  <si>
    <t>MILLONES RAMON JOEL ALEJANDRO</t>
  </si>
  <si>
    <t>61028553</t>
  </si>
  <si>
    <t>NAVARRETE FLORES SEBASTIAN</t>
  </si>
  <si>
    <t>72393496</t>
  </si>
  <si>
    <t>CORNEJO VALENCIA SAMIR ESTEFANO</t>
  </si>
  <si>
    <t>77678207</t>
  </si>
  <si>
    <t>PAZ CONTRERAS ARIANO JOAQUIN</t>
  </si>
  <si>
    <t>46215870</t>
  </si>
  <si>
    <t>MANRIQUE PEREZ ANDREA PAOLA</t>
  </si>
  <si>
    <t>46000345</t>
  </si>
  <si>
    <t>CAMPOS HERRERA MANUEL JESUS</t>
  </si>
  <si>
    <t>72839868</t>
  </si>
  <si>
    <t>MEDINA HUAMANI MARIA LUCERO</t>
  </si>
  <si>
    <t>74569356</t>
  </si>
  <si>
    <t>CABRERA AYALA MARCO ANTONIO</t>
  </si>
  <si>
    <t>70870448</t>
  </si>
  <si>
    <t>HUARCAYA PUSARI LUZ CLARITA</t>
  </si>
  <si>
    <t>76733775</t>
  </si>
  <si>
    <t>MEDINA CRUZ CARLOS GUILLERMO</t>
  </si>
  <si>
    <t>76968301</t>
  </si>
  <si>
    <t>ZAVALA COCHACHI ROBERTO CARLOS</t>
  </si>
  <si>
    <t>74051019</t>
  </si>
  <si>
    <t>VALVERDE MORALES JOSUE</t>
  </si>
  <si>
    <t>JEFE DE CALIDAD</t>
  </si>
  <si>
    <t>75112945</t>
  </si>
  <si>
    <t>GAMEZ LOPEZ ERICK ANTONY</t>
  </si>
  <si>
    <t>74133725</t>
  </si>
  <si>
    <t>LOPEZ DE LA CRUZ JOSE FRANCISCO</t>
  </si>
  <si>
    <t>72750567</t>
  </si>
  <si>
    <t>CASTILLO ACCO LUIS ADRIANO DIDIER</t>
  </si>
  <si>
    <t>70884373</t>
  </si>
  <si>
    <t>SALINAS MATTA ALOMY ADRIANA</t>
  </si>
  <si>
    <t>70911982</t>
  </si>
  <si>
    <t>CANDELA RONDON ROLANDO ALFREDO</t>
  </si>
  <si>
    <t>75429559</t>
  </si>
  <si>
    <t>RIVERA SALAS JOSE ELVIS</t>
  </si>
  <si>
    <t>45358677</t>
  </si>
  <si>
    <t>TOLEDO FATAMA LUIS ROMAN</t>
  </si>
  <si>
    <t>44984116</t>
  </si>
  <si>
    <t>OROYA USURIN SHIRLEY CLARISA</t>
  </si>
  <si>
    <t>72541565</t>
  </si>
  <si>
    <t>REINOSO LAZO JEANPIER ALEXANDER</t>
  </si>
  <si>
    <t>77157451</t>
  </si>
  <si>
    <t>LOPEZ QUISPE JUSTO EMMANUEL</t>
  </si>
  <si>
    <t>74582119</t>
  </si>
  <si>
    <t>JAHUAR KUSMA TALITA KUMY</t>
  </si>
  <si>
    <t>40065690</t>
  </si>
  <si>
    <t>GAMEZ GRABIEL HILARIO</t>
  </si>
  <si>
    <t>10727128</t>
  </si>
  <si>
    <t>AGUIRRE CRUZ EDGAR JOSEPH</t>
  </si>
  <si>
    <t>46022334</t>
  </si>
  <si>
    <t>FIAFILIO MANUEL HELLYNDER</t>
  </si>
  <si>
    <t>73024664</t>
  </si>
  <si>
    <t>FERNANDEZ JARA FELIPE MATEO</t>
  </si>
  <si>
    <t>72749098</t>
  </si>
  <si>
    <t>VERA DIAZ ANTUNETTE KIMBERLY</t>
  </si>
  <si>
    <t>41147680</t>
  </si>
  <si>
    <t>FLORES MONGE JULIO MANUEL</t>
  </si>
  <si>
    <t>45917245</t>
  </si>
  <si>
    <t>HUAYTA SEGURA CARMEN LIZBETH</t>
  </si>
  <si>
    <t>71406241</t>
  </si>
  <si>
    <t>ARROYO AGUIRRE LUIS FERNANDO</t>
  </si>
  <si>
    <t>25606568</t>
  </si>
  <si>
    <t>PANTA CARRANZA SANTOS BETZABETH</t>
  </si>
  <si>
    <t>10553830</t>
  </si>
  <si>
    <t>BURGOS NEYRA BETHY ESTHER</t>
  </si>
  <si>
    <t>73604712</t>
  </si>
  <si>
    <t>MANAYAY RODRIGUEZ JEAN MARCO</t>
  </si>
  <si>
    <t>02849500</t>
  </si>
  <si>
    <t>SANCHEZ QUINDE ROSA AURORA</t>
  </si>
  <si>
    <t>45315666</t>
  </si>
  <si>
    <t>PAGADOR ROBLES DAVID JHONNATAN</t>
  </si>
  <si>
    <t>73221432</t>
  </si>
  <si>
    <t>ICHACCAYA ALVAREZ CHRISTOPHER</t>
  </si>
  <si>
    <t>008349037</t>
  </si>
  <si>
    <t>ZHANG  HUANBIN</t>
  </si>
  <si>
    <t>009100445</t>
  </si>
  <si>
    <t>MORENO FUENTES JOSUE GABRIEL</t>
  </si>
  <si>
    <t>72548758</t>
  </si>
  <si>
    <t>PATAZCA POMA XIOMARA MARISOL</t>
  </si>
  <si>
    <t>74217249</t>
  </si>
  <si>
    <t>SILVA ALVAREZ MIGUEL EDUARDO</t>
  </si>
  <si>
    <t>77297673</t>
  </si>
  <si>
    <t>FLORES CHUCHEN JUAN FLORES</t>
  </si>
  <si>
    <t>72182031</t>
  </si>
  <si>
    <t>LOPEZ VALLEJO STUWART LUVIS</t>
  </si>
  <si>
    <t>40289682</t>
  </si>
  <si>
    <t>TAIPE SARMIENTO AQUELINO ROBERTO</t>
  </si>
  <si>
    <t>72508811</t>
  </si>
  <si>
    <t>PAJARES POMA SILVIA CRISTINA</t>
  </si>
  <si>
    <t>74077381</t>
  </si>
  <si>
    <t>TORPOCO OBESO JOSUE RAFAEL</t>
  </si>
  <si>
    <t>75418248</t>
  </si>
  <si>
    <t>CCANTO CAMASCA EDUARDO ANDRE</t>
  </si>
  <si>
    <t>77216255</t>
  </si>
  <si>
    <t>LIZANA FIGUEROA JHADIRA MICHELLE</t>
  </si>
  <si>
    <t>60919430</t>
  </si>
  <si>
    <t>ESTRADA REATEGUI ELIAS</t>
  </si>
  <si>
    <t>73018549</t>
  </si>
  <si>
    <t>BUSTOS LOMAS BRAULIO ANTONIO</t>
  </si>
  <si>
    <t>77807255</t>
  </si>
  <si>
    <t>ROSALES GALLARDO DANIEL EMERSON</t>
  </si>
  <si>
    <t>76331846</t>
  </si>
  <si>
    <t>CANALES REINOSO TORRES JEAN MARIO</t>
  </si>
  <si>
    <t>KONG ANGAMOS</t>
  </si>
  <si>
    <t>46869409</t>
  </si>
  <si>
    <t>LOZADA OJEDA FREDDY ANGEL</t>
  </si>
  <si>
    <t>74155945</t>
  </si>
  <si>
    <t>ARGOMEDO ALCANTARA ROCIO MARIA ELENA</t>
  </si>
  <si>
    <t>75877436</t>
  </si>
  <si>
    <t>QUISPE AGUIRRE JOSE FERNANDO</t>
  </si>
  <si>
    <t>77392103</t>
  </si>
  <si>
    <t>PUMA LOPEZ DEYSI PILAR</t>
  </si>
  <si>
    <t>ANFITRION(A) P/T</t>
  </si>
  <si>
    <t>70473302</t>
  </si>
  <si>
    <t>CARHUAPOMA PAREDES DANIELA NICOLE</t>
  </si>
  <si>
    <t>COUNTER P/T</t>
  </si>
  <si>
    <t>42459138</t>
  </si>
  <si>
    <t>GAMEZ VALDIVIA EMILIANO</t>
  </si>
  <si>
    <t>77350375</t>
  </si>
  <si>
    <t>AGUINAGA VASQUEZ BARBARA JIMENA</t>
  </si>
  <si>
    <t>61033317</t>
  </si>
  <si>
    <t>MALDONADO ALMONTE ANDREW VALENTINO</t>
  </si>
  <si>
    <t>77928593</t>
  </si>
  <si>
    <t>CHUNGA ESCALANTE ROBIÑHO ROBERTO</t>
  </si>
  <si>
    <t>74086048</t>
  </si>
  <si>
    <t>MORVELY MORENO ROCIO ESMERALDA</t>
  </si>
  <si>
    <t>73983483</t>
  </si>
  <si>
    <t>ANCALLA QUISPE FELIPE DEALESSANDRO</t>
  </si>
  <si>
    <t>60336577</t>
  </si>
  <si>
    <t>POMA POMA FRANK JORDY</t>
  </si>
  <si>
    <t>75164257</t>
  </si>
  <si>
    <t>TOVAR ARIAS MERLINDA</t>
  </si>
  <si>
    <t>77218439</t>
  </si>
  <si>
    <t>CASTILLO RAMOS CARLOS MANUEL</t>
  </si>
  <si>
    <t>10021383</t>
  </si>
  <si>
    <t>FARFAN SALAZAR MIGUEL ANGEL</t>
  </si>
  <si>
    <t>71402677</t>
  </si>
  <si>
    <t>ALARCON ARONI ARIANA NICOLE</t>
  </si>
  <si>
    <t>72932759</t>
  </si>
  <si>
    <t>VIVAS FERNANDEZ MARIA DE LOS ANGELES</t>
  </si>
  <si>
    <t>70924279</t>
  </si>
  <si>
    <t>TALLA CHIGUALA ANGIE CRISTEL</t>
  </si>
  <si>
    <t>72950048</t>
  </si>
  <si>
    <t>ZORRILLA NARIO GEAN CARLOS</t>
  </si>
  <si>
    <t>71428305</t>
  </si>
  <si>
    <t>AGUIRRE PASCUAL RAFAEL FELICIANO</t>
  </si>
  <si>
    <t>73023131</t>
  </si>
  <si>
    <t>BARRETO TUESTA BRUNO ALEXANDER</t>
  </si>
  <si>
    <t>74694108</t>
  </si>
  <si>
    <t>ALARCON CHISCUL DORIS KATHERINE</t>
  </si>
  <si>
    <t>76639961</t>
  </si>
  <si>
    <t>TEJADA PINCHE ARACELY NICOLL</t>
  </si>
  <si>
    <t>74610191</t>
  </si>
  <si>
    <t>CHIRITO QUISPE SEBASTIAN GABRIEL</t>
  </si>
  <si>
    <t>77551570</t>
  </si>
  <si>
    <t>CHIRITO QUISPE MATIAS DAVID</t>
  </si>
  <si>
    <t>72902757</t>
  </si>
  <si>
    <t>ALMANDOZ VILLASANTE NICOLLE SHANTAL</t>
  </si>
  <si>
    <t>71324282</t>
  </si>
  <si>
    <t>KONG LA MOLINA</t>
  </si>
  <si>
    <t>JORGE CORONEL NASHLY NAILLITH</t>
  </si>
  <si>
    <t>75913596</t>
  </si>
  <si>
    <t>SANDOVAL VALDERA ELSA ELIZABETH</t>
  </si>
  <si>
    <t>74755390</t>
  </si>
  <si>
    <t>OSORIO GARCIA PABLO MANUEL</t>
  </si>
  <si>
    <t>41181680</t>
  </si>
  <si>
    <t>YAP REYNOSO CATHERINE ROXANA</t>
  </si>
  <si>
    <t>ANALISTA DE DATOS</t>
  </si>
  <si>
    <t>61911119</t>
  </si>
  <si>
    <t>AHUITE ARAHUANAZA EULOGIO</t>
  </si>
  <si>
    <t>72634288</t>
  </si>
  <si>
    <t>GUARDIA TENAZOA JACK MAYKEL</t>
  </si>
  <si>
    <t>70884019</t>
  </si>
  <si>
    <t>COSTILLA CARDENAS ANA MARIA</t>
  </si>
  <si>
    <t>71514937</t>
  </si>
  <si>
    <t>CORCUERA HERRERA ARACELY PRISCILIA</t>
  </si>
  <si>
    <t>74571195</t>
  </si>
  <si>
    <t>ARRIVASPLATA ÑOPO ALEJANDRO JESUS</t>
  </si>
  <si>
    <t>74628306</t>
  </si>
  <si>
    <t>ALARCON BARRERA MILAGROS ABIGAIL</t>
  </si>
  <si>
    <t>77572817</t>
  </si>
  <si>
    <t>CASTILLO BARTOLO JUAN CARLOS</t>
  </si>
  <si>
    <t>48465289</t>
  </si>
  <si>
    <t>VASQUEZ COLLANQUI CARLOS</t>
  </si>
  <si>
    <t>45531720</t>
  </si>
  <si>
    <t>GARCIA VENTO RONNY JAFFETH</t>
  </si>
  <si>
    <t>76177242</t>
  </si>
  <si>
    <t>LOPEZ VALDIVIA GERSON OSCAR</t>
  </si>
  <si>
    <t>61901344</t>
  </si>
  <si>
    <t>ARIAS YACTAYO MAYTE VALERY</t>
  </si>
  <si>
    <t>73298561</t>
  </si>
  <si>
    <t>MORALES DIOSES ANGEL DERIAN</t>
  </si>
  <si>
    <t>74126873</t>
  </si>
  <si>
    <t>CHAVEZ PINEDO STEVY PRINCENZ</t>
  </si>
  <si>
    <t>77232505</t>
  </si>
  <si>
    <t>SALAZAR JAUREGUI JORGE GEORDANO</t>
  </si>
  <si>
    <t>70990624</t>
  </si>
  <si>
    <t>STARCAFE PERU S.A.C</t>
  </si>
  <si>
    <t>PF - MOLINA</t>
  </si>
  <si>
    <t>BASURTO HUAMAN JOSE MARIA</t>
  </si>
  <si>
    <t>46371373</t>
  </si>
  <si>
    <t>VILLEGAS GAVILAN ERICK ALEXANDER</t>
  </si>
  <si>
    <t>10473003</t>
  </si>
  <si>
    <t>LUCKY SEVEN</t>
  </si>
  <si>
    <t>MAGUIÑO ORUNA ALICIA DEL ROSARIO</t>
  </si>
  <si>
    <t>47986639</t>
  </si>
  <si>
    <t>PENACHI FLORES WALDIR ROBERT</t>
  </si>
  <si>
    <t>DJ</t>
  </si>
  <si>
    <t>72846155</t>
  </si>
  <si>
    <t>PF - ADM</t>
  </si>
  <si>
    <t>VASQUEZ CARDENAS KEYLA ARASSELY</t>
  </si>
  <si>
    <t>DISEÑADOR(A)</t>
  </si>
  <si>
    <t>73663745</t>
  </si>
  <si>
    <t>RUIZ POZO FRANKLIN</t>
  </si>
  <si>
    <t>77909002</t>
  </si>
  <si>
    <t>PAZ CONTRERAS GISSELLE AVRIL GUADALUPE</t>
  </si>
  <si>
    <t>74891720</t>
  </si>
  <si>
    <t>VIGO CACHAY RAUL FABRIZIO</t>
  </si>
  <si>
    <t>ENTRENADOR DE BAR</t>
  </si>
  <si>
    <t>76127114</t>
  </si>
  <si>
    <t>PF - TAMBO</t>
  </si>
  <si>
    <t>CUSIHUALPA GARRO JULIAN MARCO</t>
  </si>
  <si>
    <t>ENTRENADOR DE COCINA</t>
  </si>
  <si>
    <t>44282407</t>
  </si>
  <si>
    <t>PF - HISTORICO</t>
  </si>
  <si>
    <t>HERRERA MORALES OMAR ALFREDO</t>
  </si>
  <si>
    <t>42701793</t>
  </si>
  <si>
    <t>HUANCACHOQUE ANICAMA MIGUEL ANGEL</t>
  </si>
  <si>
    <t>08031933</t>
  </si>
  <si>
    <t>REYNO FARRO MARIA DEL PILAR</t>
  </si>
  <si>
    <t>72480549</t>
  </si>
  <si>
    <t>GALLARDO ROSALES LUIS ENRIQUE</t>
  </si>
  <si>
    <t>72837719</t>
  </si>
  <si>
    <t>PF - DOMINICANA</t>
  </si>
  <si>
    <t>GALLO SANCHEZ JAMILE MAITE</t>
  </si>
  <si>
    <t>40244128</t>
  </si>
  <si>
    <t>ABAD AGUIRRE ZAMARA ZAIDA</t>
  </si>
  <si>
    <t>46215368</t>
  </si>
  <si>
    <t>QUISPE NAVARRO ROY RAUL</t>
  </si>
  <si>
    <t>46019253</t>
  </si>
  <si>
    <t>NAVARRO POSADAS SULESMI CAROL</t>
  </si>
  <si>
    <t>71288419</t>
  </si>
  <si>
    <t>PUMA LLICAHUA MICHAEL CESAR</t>
  </si>
  <si>
    <t>002743433</t>
  </si>
  <si>
    <t>RODRIGUEZ HERNANDEZ PEDRO ALEXANDER</t>
  </si>
  <si>
    <t>42987333</t>
  </si>
  <si>
    <t>MURRIETA LARA ANDERSON ADONAI</t>
  </si>
  <si>
    <t>002717172</t>
  </si>
  <si>
    <t>GARCIA LARA DAIMARYZ</t>
  </si>
  <si>
    <t>74706475</t>
  </si>
  <si>
    <t>LLAMCCAYA JULCA LEIDY YOHANA</t>
  </si>
  <si>
    <t>73062135</t>
  </si>
  <si>
    <t>SANGAMA YSMINIO ESDRAS</t>
  </si>
  <si>
    <t>73076868</t>
  </si>
  <si>
    <t>74310001</t>
  </si>
  <si>
    <t>DERTEANO YTUSACA BRENDA MELANIE</t>
  </si>
  <si>
    <t>43142403</t>
  </si>
  <si>
    <t>GONZALES GAMARRA ANGEL JHONATHAN</t>
  </si>
  <si>
    <t>ANALISTA DE COMPRAS</t>
  </si>
  <si>
    <t>41887073</t>
  </si>
  <si>
    <t>LOVON CARBAJAL ENRIQUE JOSE</t>
  </si>
  <si>
    <t>40384610</t>
  </si>
  <si>
    <t>70406270</t>
  </si>
  <si>
    <t>ARIZAGA GRAYSON CAROLINA DEL PILAR</t>
  </si>
  <si>
    <t>ASISTENTE DE SELECCION</t>
  </si>
  <si>
    <t>76808209</t>
  </si>
  <si>
    <t>POMA SULCA ANDREA JAQUELINE</t>
  </si>
  <si>
    <t>71274520</t>
  </si>
  <si>
    <t>BUSTAMANTE ROJAS JUAN MIGUEL</t>
  </si>
  <si>
    <t>72533805</t>
  </si>
  <si>
    <t>SANTILLAN ACOSTA JESUS ADRIAN</t>
  </si>
  <si>
    <t>75020761</t>
  </si>
  <si>
    <t>BRAVO YANGUA JOSE FERNANDO</t>
  </si>
  <si>
    <t>61392466</t>
  </si>
  <si>
    <t>GUZMAN CORDOVA DIANA KELLY</t>
  </si>
  <si>
    <t>71788330</t>
  </si>
  <si>
    <t>MALLQUI ENCISO CHRISTIAN ANTHONY</t>
  </si>
  <si>
    <t>77203214</t>
  </si>
  <si>
    <t>78375475</t>
  </si>
  <si>
    <t>SIADEN CONDEZO SELENA YADIRA</t>
  </si>
  <si>
    <t>74968198</t>
  </si>
  <si>
    <t>JUNGBLUTH LOCATELLI CARMINA ALEGNA</t>
  </si>
  <si>
    <t>75897628</t>
  </si>
  <si>
    <t>GUERRERO CURI JOSE CARLOS</t>
  </si>
  <si>
    <t>10255623</t>
  </si>
  <si>
    <t>72873712</t>
  </si>
  <si>
    <t>YAMASHIRO GONZALES MILAGROS EILEEN</t>
  </si>
  <si>
    <t xml:space="preserve">AZAFATA </t>
  </si>
  <si>
    <t>74877121</t>
  </si>
  <si>
    <t>72685454</t>
  </si>
  <si>
    <t>AVENDAÑO CABRERA RAUL ANTONIO</t>
  </si>
  <si>
    <t>44739811</t>
  </si>
  <si>
    <t>GARCIA SEGURA JUDITH ROSARIO</t>
  </si>
  <si>
    <t>73056265</t>
  </si>
  <si>
    <t>TORRES CHIRINOS FLAVIA</t>
  </si>
  <si>
    <t>09704142</t>
  </si>
  <si>
    <t>VARGAS LEON ANGEL MIGUEL</t>
  </si>
  <si>
    <t>30406841</t>
  </si>
  <si>
    <t>CHAVEZ RAMIREZ SEGUNDO ALEJANDRO</t>
  </si>
  <si>
    <t>47386485</t>
  </si>
  <si>
    <t>73025122</t>
  </si>
  <si>
    <t>RIOS HUANCHO BRAYAN GABRIEL</t>
  </si>
  <si>
    <t>ASISTENTE ADM</t>
  </si>
  <si>
    <t>77423362</t>
  </si>
  <si>
    <t>VEINTEMILLA ROJAS JUAN CARLOS</t>
  </si>
  <si>
    <t>40912502</t>
  </si>
  <si>
    <t>CESPEDES DE LA CRUZ ALEJANDRA FELICITA</t>
  </si>
  <si>
    <t>74951814</t>
  </si>
  <si>
    <t>MILLA CARCASI SAYURI BENITA</t>
  </si>
  <si>
    <t>40789992</t>
  </si>
  <si>
    <t>TORRES MIRANDA CRISTIAN ROOSEVELT</t>
  </si>
  <si>
    <t>74355987</t>
  </si>
  <si>
    <t>10436529</t>
  </si>
  <si>
    <t>CESPEDES DE LA CRUZ MONICA MILENA</t>
  </si>
  <si>
    <t>76241829</t>
  </si>
  <si>
    <t>ZAMORANO SANCHEZ TIAGO NAZARETH</t>
  </si>
  <si>
    <t>76272936</t>
  </si>
  <si>
    <t>CURIÑAUPA CALLE ALEXANDRA STHEPANIE</t>
  </si>
  <si>
    <t>71866979</t>
  </si>
  <si>
    <t>GUTIERREZ HUANACO MIGUEL ANGEL</t>
  </si>
  <si>
    <t>72098760</t>
  </si>
  <si>
    <t>CUADROS QUISPE CHRISTIAN ALBERTI</t>
  </si>
  <si>
    <t>41392267</t>
  </si>
  <si>
    <t>FARFAN VELARDE LUIS GUILLERMO</t>
  </si>
  <si>
    <t>70022169</t>
  </si>
  <si>
    <t>GOMEZ CARBAJAL JEAN CARLOS</t>
  </si>
  <si>
    <t>44203521</t>
  </si>
  <si>
    <t>PF - SUR</t>
  </si>
  <si>
    <t>APARICIO ARISMENDIZ EVELYN GUILLE</t>
  </si>
  <si>
    <t>76441629</t>
  </si>
  <si>
    <t>MEZARINA NEUMANN FRANCCESCA NATALIA</t>
  </si>
  <si>
    <t>70271226</t>
  </si>
  <si>
    <t>INGA CUADROS LAUDRUP RAI</t>
  </si>
  <si>
    <t>75131671</t>
  </si>
  <si>
    <t>LOPEZ AZAÑA CLAUDIA ALISON</t>
  </si>
  <si>
    <t>71404464</t>
  </si>
  <si>
    <t>AVALOS LOPEZ EDUARDO AARON</t>
  </si>
  <si>
    <t>76458536</t>
  </si>
  <si>
    <t>ZAVALETA CARRANZA BRAULIO ALESANDRO</t>
  </si>
  <si>
    <t>61318105</t>
  </si>
  <si>
    <t>LUQUE GOVEA ROSANGELA JOSE MARIA</t>
  </si>
  <si>
    <t>005509245</t>
  </si>
  <si>
    <t>RODRIGUEZ TORREALBA LAURIMAR FABIANA</t>
  </si>
  <si>
    <t>74866162</t>
  </si>
  <si>
    <t>HUAMAN LOPEZ YULISA TEODORA</t>
  </si>
  <si>
    <t>70994190</t>
  </si>
  <si>
    <t>VALLADOLID TORRES GIANELLA</t>
  </si>
  <si>
    <t>76120008</t>
  </si>
  <si>
    <t>POLO PARIA ALEXANDER SEBASTIAN</t>
  </si>
  <si>
    <t>75129165</t>
  </si>
  <si>
    <t>HUMAREDA PAREDES JHESEBELL LIZETH</t>
  </si>
  <si>
    <t>47613020</t>
  </si>
  <si>
    <t>76593836</t>
  </si>
  <si>
    <t>ALAMAS PAICO JEAN PAUL EMANUEL</t>
  </si>
  <si>
    <t>75859504</t>
  </si>
  <si>
    <t>BLAS CADILLO HEMA GABRIELA</t>
  </si>
  <si>
    <t>75343195</t>
  </si>
  <si>
    <t>SANCHEZ LEVANO JAMES EDSEL</t>
  </si>
  <si>
    <t>74779985</t>
  </si>
  <si>
    <t>ALVAREZ CHUMPEN JOSIAS</t>
  </si>
  <si>
    <t>72466432</t>
  </si>
  <si>
    <t>QUISPE GAMERO ISSABON SOLANGE</t>
  </si>
  <si>
    <t>74060935</t>
  </si>
  <si>
    <t>GUTIERREZ ZEVALLOS JOSE JOHAN</t>
  </si>
  <si>
    <t>48690806</t>
  </si>
  <si>
    <t>PISFIL CRUZ CRISTIAN JONATHAN</t>
  </si>
  <si>
    <t>75539714</t>
  </si>
  <si>
    <t>SOLDEVILLA GARCIA JUAN PIERO</t>
  </si>
  <si>
    <t>73438787</t>
  </si>
  <si>
    <t>APARCO GARCIA MISAEL ARMANDO</t>
  </si>
  <si>
    <t>72488506</t>
  </si>
  <si>
    <t>PUSARI PAUCA FATIMA IVETTE</t>
  </si>
  <si>
    <t>76160113</t>
  </si>
  <si>
    <t>HURTADO MEDRANO MAYLIN ANDREA</t>
  </si>
  <si>
    <t>75877748</t>
  </si>
  <si>
    <t>CRUZ ORENDO JERSON MANUEL</t>
  </si>
  <si>
    <t>74760196</t>
  </si>
  <si>
    <t>VIGO CACHAY ARLINE NICOLE</t>
  </si>
  <si>
    <t>47281641</t>
  </si>
  <si>
    <t>LEON COBEO HILDA</t>
  </si>
  <si>
    <t>73096925</t>
  </si>
  <si>
    <t>ARCE GUEVARA SANDRO XAVIER</t>
  </si>
  <si>
    <t>43820749</t>
  </si>
  <si>
    <t>VASQUEZ TUESTA JOSSELINE</t>
  </si>
  <si>
    <t>73976369</t>
  </si>
  <si>
    <t>MORALES MARTINEZ BARBRA FELIJOS</t>
  </si>
  <si>
    <t>73705602</t>
  </si>
  <si>
    <t>BARRIGA BANDINI RENATO LUCIANO</t>
  </si>
  <si>
    <t>76270213</t>
  </si>
  <si>
    <t>FRIAS CLEMENTE DANIELA SOFIA</t>
  </si>
  <si>
    <t>77624192</t>
  </si>
  <si>
    <t>GARAY LAZO JHORDAN ANDRE</t>
  </si>
  <si>
    <t>ATENCION AL CLIENTE P/T</t>
  </si>
  <si>
    <t>003488192</t>
  </si>
  <si>
    <t>FRANCO NIETO LUIS MANUEL</t>
  </si>
  <si>
    <t>ASISTENTE DE COMPRAS</t>
  </si>
  <si>
    <t>76612699</t>
  </si>
  <si>
    <t>PANDURO SILVA MONICA ALMENDRA</t>
  </si>
  <si>
    <t>74083114</t>
  </si>
  <si>
    <t>PAREJA CISNEROS JORGE LUIS ANTONIO</t>
  </si>
  <si>
    <t>73081071</t>
  </si>
  <si>
    <t>LAZARTE DAMIAN CARLOS ANDRES</t>
  </si>
  <si>
    <t>72682900</t>
  </si>
  <si>
    <t>SILVA PALACIOS CESAR AUGUSTO</t>
  </si>
  <si>
    <t>74333178</t>
  </si>
  <si>
    <t>FLORES MARTINEZ KIARA JIMENA</t>
  </si>
  <si>
    <t>72725467</t>
  </si>
  <si>
    <t>SALCEDO MORALES RODRIGO ISMAEL</t>
  </si>
  <si>
    <t>43745234</t>
  </si>
  <si>
    <t>RIVERA HUAYTA JESSICA JEYMI</t>
  </si>
  <si>
    <t>73203439</t>
  </si>
  <si>
    <t>CORONADO MENDOZA ANDERSON ARTURO</t>
  </si>
  <si>
    <t>70336053</t>
  </si>
  <si>
    <t>VALENZUELA ALARCON ALEXANDER EMILIO</t>
  </si>
  <si>
    <t>CHEF DE PRODUCCIÓN</t>
  </si>
  <si>
    <t>47395331</t>
  </si>
  <si>
    <t>BRAVO DESIGLIOLI STTEFANY NICOLL</t>
  </si>
  <si>
    <t>71423279</t>
  </si>
  <si>
    <t>ANDIA OSIS ANGELA</t>
  </si>
  <si>
    <t>74733940</t>
  </si>
  <si>
    <t>ALCARRAZ GUIZADO CARLO ANDRE</t>
  </si>
  <si>
    <t>75921145</t>
  </si>
  <si>
    <t>RAMIREZ SALVATIERRA DIEGO ALONSO</t>
  </si>
  <si>
    <t>75101062</t>
  </si>
  <si>
    <t>CHINCHAY JIMENEZ JULIO FERNANDO</t>
  </si>
  <si>
    <t>41926087</t>
  </si>
  <si>
    <t>GALVEZ BAZAN PATRICIA BEATRIZ</t>
  </si>
  <si>
    <t>77090319</t>
  </si>
  <si>
    <t>TORDECILLO SANTIAGO GLORIA MILAGROS</t>
  </si>
  <si>
    <t>75556531</t>
  </si>
  <si>
    <t>CASTILLO CHANG MARICIELO ALEJANDRA</t>
  </si>
  <si>
    <t>72895915</t>
  </si>
  <si>
    <t>ZEVALLOS GUERRERO CLAUDIA DENIS</t>
  </si>
  <si>
    <t>74233806</t>
  </si>
  <si>
    <t>MONTERO CAMACHO RENZO DANIEL</t>
  </si>
  <si>
    <t>76570103</t>
  </si>
  <si>
    <t>PAZ VALLE SEBASTIAN ALBERTO</t>
  </si>
  <si>
    <t>46142416</t>
  </si>
  <si>
    <t>REYES HERRERA SHIRLEY REBECCA</t>
  </si>
  <si>
    <t>77166926</t>
  </si>
  <si>
    <t>BARAZORDA CERNA MIDORY FRANSHESCA</t>
  </si>
  <si>
    <t>73390815</t>
  </si>
  <si>
    <t>FERNANDEZ BECERRA YARLYN YAHIR</t>
  </si>
  <si>
    <t>72701088</t>
  </si>
  <si>
    <t>RAMON ALVARADO GIANELLA MARYCIELO</t>
  </si>
  <si>
    <t>72025369</t>
  </si>
  <si>
    <t>DEL CASTILLO CCOICCA ARNOLD STEPHEN</t>
  </si>
  <si>
    <t>73759228</t>
  </si>
  <si>
    <t>BERROCAL VILLACORTA JULIO MIGUEL</t>
  </si>
  <si>
    <t>ASISTENTE DE ALMACEN</t>
  </si>
  <si>
    <t>75235055</t>
  </si>
  <si>
    <t>ASENCIOS LEAÑO ANDREA ISABEL</t>
  </si>
  <si>
    <t>72355391</t>
  </si>
  <si>
    <t>MORALES BROWN NICOLAS SEBASTIAN</t>
  </si>
  <si>
    <t>004330150</t>
  </si>
  <si>
    <t>RABAGO ALEMAN ARIADNIS ROXARIS</t>
  </si>
  <si>
    <t>42047497</t>
  </si>
  <si>
    <t>SALCEDO SOTO EDIN JACKIE</t>
  </si>
  <si>
    <t>46394734</t>
  </si>
  <si>
    <t>TUSAN FOOD INVESTMENTS S.A.C.</t>
  </si>
  <si>
    <t>TRUJILLO CHIHUA SOCRATES</t>
  </si>
  <si>
    <t>78011879</t>
  </si>
  <si>
    <t xml:space="preserve">VALENZUELA  SOTO JUAN LUIS </t>
  </si>
  <si>
    <t>46781585</t>
  </si>
  <si>
    <t>MEZA UQUICHE  ERICK ELOY</t>
  </si>
  <si>
    <t>47891645</t>
  </si>
  <si>
    <t>ALCANTARA CASTILLO RONAL BARONI</t>
  </si>
  <si>
    <t>70374438</t>
  </si>
  <si>
    <t>MONTALVO COAQUIRA CARLOS DANIEL</t>
  </si>
  <si>
    <t>75401497</t>
  </si>
  <si>
    <t>DE LA CRUZ RAMOS NAYELI BELEN</t>
  </si>
  <si>
    <t>48682518</t>
  </si>
  <si>
    <t>SOTO TINOCO ADRIANA</t>
  </si>
  <si>
    <t>41425099</t>
  </si>
  <si>
    <t>URQUIAGA TRIGOSO CARLOS MANUEL</t>
  </si>
  <si>
    <t>70691667</t>
  </si>
  <si>
    <t>BENITEZ CRISTOBAL JUAN ISAIAS</t>
  </si>
  <si>
    <t>48949166</t>
  </si>
  <si>
    <t>DE SOUSA SILVA LUIS FERNANDO</t>
  </si>
  <si>
    <t>ANALISTA DE OPERACIONES</t>
  </si>
  <si>
    <t>70304118</t>
  </si>
  <si>
    <t>CONDORI SOCA YHIMER ALEXZANDER</t>
  </si>
  <si>
    <t>10710746</t>
  </si>
  <si>
    <t>NAVARRO VARGAS ALVARO RENATO</t>
  </si>
  <si>
    <t>ASISTENTE DE ALMACÉN</t>
  </si>
  <si>
    <t>74032009</t>
  </si>
  <si>
    <t>CAMPOS BRICEÑO LUIS VICENTE</t>
  </si>
  <si>
    <t>74711532</t>
  </si>
  <si>
    <t>GONZALES GONZALES JORGE LUIS</t>
  </si>
  <si>
    <t>75676543</t>
  </si>
  <si>
    <t>ZEVALLOS LIMA LINFORD RAFAEL</t>
  </si>
  <si>
    <t>VALET PARKING</t>
  </si>
  <si>
    <t>73754594</t>
  </si>
  <si>
    <t>VILLALOBOS CHISQUIPAMA MARCOS WILIAN</t>
  </si>
  <si>
    <t>77158974</t>
  </si>
  <si>
    <t>ROCA VILLANUEVA IMANOL CARLOS</t>
  </si>
  <si>
    <t>73977376</t>
  </si>
  <si>
    <t>GOMEZ CARBAJAL JOSE LUIS</t>
  </si>
  <si>
    <t>72605836</t>
  </si>
  <si>
    <t>SILVA CAILLAUX SUSANA MADELAINE</t>
  </si>
  <si>
    <t>003289337</t>
  </si>
  <si>
    <t>BARRIOS PEÑA JACKSON ELIEZER</t>
  </si>
  <si>
    <t>48566811</t>
  </si>
  <si>
    <t>RABELO CAMACHO WALTER</t>
  </si>
  <si>
    <t>76482937</t>
  </si>
  <si>
    <t>ORDAYA CERVANTES JESUS ANDRES</t>
  </si>
  <si>
    <t>76007032</t>
  </si>
  <si>
    <t>MAYTA DIAZ MIREYA CARMEN</t>
  </si>
  <si>
    <t>46156475</t>
  </si>
  <si>
    <t>ABRIL LAGOS GEANMARCO</t>
  </si>
  <si>
    <t>70906525</t>
  </si>
  <si>
    <t>MORI GUERRERO RICHARD OSWALDO</t>
  </si>
  <si>
    <t>73943603</t>
  </si>
  <si>
    <t>LAZO TAPULLIMA LUIS DAVID</t>
  </si>
  <si>
    <t>71286571</t>
  </si>
  <si>
    <t>ESPICHAN MEDRANO ANGELO GERARDO</t>
  </si>
  <si>
    <t>70604619</t>
  </si>
  <si>
    <t>MANTARI CASTRO JOHS NICOLY</t>
  </si>
  <si>
    <t>73974872</t>
  </si>
  <si>
    <t>ROJAS BENDEZU PAOLO ALDAIR</t>
  </si>
  <si>
    <t>77663575</t>
  </si>
  <si>
    <t>PEREDA SIHUAS GIAMPIERRE JESUS</t>
  </si>
  <si>
    <t>73644749</t>
  </si>
  <si>
    <t>LOZANO CURAY RODRIGO ADRIAN</t>
  </si>
  <si>
    <t>60474846</t>
  </si>
  <si>
    <t>DAVILA ALVA BRAULIO DIOGO</t>
  </si>
  <si>
    <t>CORREDOR P/T</t>
  </si>
  <si>
    <t>09739137</t>
  </si>
  <si>
    <t>VILLA CHICKEN S.A.C.</t>
  </si>
  <si>
    <t>VCH-ADM</t>
  </si>
  <si>
    <t>MELGAREJO MEZA ZENOVIO</t>
  </si>
  <si>
    <t>28108075</t>
  </si>
  <si>
    <t>SURCO</t>
  </si>
  <si>
    <t>FLORES TUCTO SEGUNDO ANDRES</t>
  </si>
  <si>
    <t>27559471</t>
  </si>
  <si>
    <t>GUEVARA SILVA JUAN ANIBAL</t>
  </si>
  <si>
    <t>40564075</t>
  </si>
  <si>
    <t>LLAMO FERNANDEZ RAMIRO</t>
  </si>
  <si>
    <t>06819776</t>
  </si>
  <si>
    <t>CALDERON ROJAS LEODORO</t>
  </si>
  <si>
    <t>06446881</t>
  </si>
  <si>
    <t>GOMEZ RIOS ELENA</t>
  </si>
  <si>
    <t>JEFE DE RECURSOS HUMANOS 2</t>
  </si>
  <si>
    <t>40706652</t>
  </si>
  <si>
    <t>DIAZ CCALA HUGO</t>
  </si>
  <si>
    <t>07783723</t>
  </si>
  <si>
    <t>LAU PEREZ ALFREDO JOSE</t>
  </si>
  <si>
    <t>07708495</t>
  </si>
  <si>
    <t>LAMA KCOMT CECILIA</t>
  </si>
  <si>
    <t>21534311</t>
  </si>
  <si>
    <t>LEON CABELLO GLADYS MARLENE</t>
  </si>
  <si>
    <t>JEFE DE RECURSOS HUMANOS</t>
  </si>
  <si>
    <t>06118941</t>
  </si>
  <si>
    <t>CHONG TANG ROSA VICTORIA</t>
  </si>
  <si>
    <t>AUDITOR (A)</t>
  </si>
  <si>
    <t>42424318</t>
  </si>
  <si>
    <t>PEREZ SILVA DILMER</t>
  </si>
  <si>
    <t>44437635</t>
  </si>
  <si>
    <t>ALARCON PAREDES CRISTIAN LISVAN</t>
  </si>
  <si>
    <t>43446558</t>
  </si>
  <si>
    <t>FLORES ACEVEDO WILDER MANUEL</t>
  </si>
  <si>
    <t>42836275</t>
  </si>
  <si>
    <t>ARTIEDA VIDAL FREDDY ALEXANDER</t>
  </si>
  <si>
    <t>44365653</t>
  </si>
  <si>
    <t>HISTORICO</t>
  </si>
  <si>
    <t>GOMEZ ASENCIOS JOSE ALBERTO</t>
  </si>
  <si>
    <t>06771475</t>
  </si>
  <si>
    <t>MORY TERRAZAS FERNANDO CARLOS</t>
  </si>
  <si>
    <t>25748141</t>
  </si>
  <si>
    <t>WU WONG ALEJANDRO JAVIER</t>
  </si>
  <si>
    <t>GERENTE DE TI</t>
  </si>
  <si>
    <t>40983046</t>
  </si>
  <si>
    <t>ATAURIMA CERON RITA</t>
  </si>
  <si>
    <t>COORDINADORA DE RESERVAS</t>
  </si>
  <si>
    <t>44544269</t>
  </si>
  <si>
    <t>PACHECO GONZALES MIGUEL</t>
  </si>
  <si>
    <t>16433009</t>
  </si>
  <si>
    <t>CAM CHANG PAUL ANTONIO</t>
  </si>
  <si>
    <t>09608688</t>
  </si>
  <si>
    <t>SIFUENTES CHAVEZ MERCEDES DEL PILAR</t>
  </si>
  <si>
    <t>SUPERVISORA</t>
  </si>
  <si>
    <t>45961055</t>
  </si>
  <si>
    <t>FABABA MORI TEDY</t>
  </si>
  <si>
    <t>41102654</t>
  </si>
  <si>
    <t>PALACIOS CHAPILLIQUEN PEDRO ANTONIO</t>
  </si>
  <si>
    <t>JEFE DE PATRIMONIO</t>
  </si>
  <si>
    <t>43071544</t>
  </si>
  <si>
    <t>ECHEVARRIA VASQUEZ RODOLFO CRISTIAN</t>
  </si>
  <si>
    <t>40117878</t>
  </si>
  <si>
    <t>LONCONI TICONA FLOR DE MARIA</t>
  </si>
  <si>
    <t>SUPERVISOR(A) SST</t>
  </si>
  <si>
    <t>80654788</t>
  </si>
  <si>
    <t>HINOSTROZA AYALA REINA FLOR</t>
  </si>
  <si>
    <t>09295452</t>
  </si>
  <si>
    <t>CHONG CACERES JORGE FAUSTO</t>
  </si>
  <si>
    <t>GERENTE DE FINANZAS</t>
  </si>
  <si>
    <t>40747842</t>
  </si>
  <si>
    <t>CANDIA TORIBIO PABLO MANUEL</t>
  </si>
  <si>
    <t>TRADE MARKETING</t>
  </si>
  <si>
    <t>43944774</t>
  </si>
  <si>
    <t>DE LA CRUZ SOTO JOSE EDILBERTO</t>
  </si>
  <si>
    <t>10115492</t>
  </si>
  <si>
    <t>CHAVEZ ARBILDO HILDEFONSO</t>
  </si>
  <si>
    <t>ASISTENTE TECNICO</t>
  </si>
  <si>
    <t>45197877</t>
  </si>
  <si>
    <t>CONDE MUCHA JEAN FRANCO</t>
  </si>
  <si>
    <t>17632698</t>
  </si>
  <si>
    <t>TORRES COLLANTES SEGUNDO FELIPE</t>
  </si>
  <si>
    <t>06847416</t>
  </si>
  <si>
    <t>ESPINAL ROJAS HERMILIO ROBERTO</t>
  </si>
  <si>
    <t>42813234</t>
  </si>
  <si>
    <t>QUISPE POCO ANGEL SANTIAGO</t>
  </si>
  <si>
    <t>10705893</t>
  </si>
  <si>
    <t>RAMOS SALVADOR YOMER PELE</t>
  </si>
  <si>
    <t>32221269</t>
  </si>
  <si>
    <t>FLORES GAMBINI DAVID ALCIDES</t>
  </si>
  <si>
    <t>45242900</t>
  </si>
  <si>
    <t>TUANAMA TUANAMA RIGOBERTO</t>
  </si>
  <si>
    <t>41686670</t>
  </si>
  <si>
    <t>ROMERO YUPANQUI ROGER FRANK</t>
  </si>
  <si>
    <t>43861495</t>
  </si>
  <si>
    <t>GARAY DURAN MELANIO</t>
  </si>
  <si>
    <t>45728123</t>
  </si>
  <si>
    <t>DIAZ ESTELA ENRIQUE</t>
  </si>
  <si>
    <t>47247086</t>
  </si>
  <si>
    <t>PINEDO JULCA GEINER OMAR</t>
  </si>
  <si>
    <t>44449260</t>
  </si>
  <si>
    <t>ICA</t>
  </si>
  <si>
    <t>ARELLANO MUÑOZ GEORGE JOEL</t>
  </si>
  <si>
    <t>43965735</t>
  </si>
  <si>
    <t>LEVANO TASAYCO ROBERTO JAVIER</t>
  </si>
  <si>
    <t>09491742</t>
  </si>
  <si>
    <t>VILLAR RAMOS JOSE ANTONIO</t>
  </si>
  <si>
    <t>45038734</t>
  </si>
  <si>
    <t>PEZO LOPEZ SOFIA ISABEL</t>
  </si>
  <si>
    <t>07538742</t>
  </si>
  <si>
    <t>HUAMANI SACSI MARIA LUISA</t>
  </si>
  <si>
    <t>41855846</t>
  </si>
  <si>
    <t>VILCA ROJAS PEDRO YULIO</t>
  </si>
  <si>
    <t>41332126</t>
  </si>
  <si>
    <t>HUARANCCA LUNA KARINA ISABEL</t>
  </si>
  <si>
    <t>10414766</t>
  </si>
  <si>
    <t>10527342</t>
  </si>
  <si>
    <t>QUISPE SUAREZ MARCELINO</t>
  </si>
  <si>
    <t>46818137</t>
  </si>
  <si>
    <t>CORDOVA FATAMA SHEILI</t>
  </si>
  <si>
    <t>40020895</t>
  </si>
  <si>
    <t>FALCON PEZO SERGIO</t>
  </si>
  <si>
    <t>47115854</t>
  </si>
  <si>
    <t>JULCA DIAZ EDGAR</t>
  </si>
  <si>
    <t>08436148</t>
  </si>
  <si>
    <t>MOORE CASTRO JANET ELIZABETH</t>
  </si>
  <si>
    <t>75479696</t>
  </si>
  <si>
    <t>PINTADO CORDOVA ANGEL JOSUE</t>
  </si>
  <si>
    <t>70788709</t>
  </si>
  <si>
    <t>ROJAS AMASIFEN MARCO ANTONIO</t>
  </si>
  <si>
    <t>08666030</t>
  </si>
  <si>
    <t>SIFUENTES CHAVEZ OSCAR FIDEL</t>
  </si>
  <si>
    <t>08537876</t>
  </si>
  <si>
    <t>MUNAYCO TASAYCO DE CARBAJAL ALICIA</t>
  </si>
  <si>
    <t>73002818</t>
  </si>
  <si>
    <t>VCH-CALL</t>
  </si>
  <si>
    <t>CABRERA RODRIGUEZ DE RIOS JOSELYN ROSMERY</t>
  </si>
  <si>
    <t>41162591</t>
  </si>
  <si>
    <t>GARCIA BERNAL MIRIAM</t>
  </si>
  <si>
    <t>45417733</t>
  </si>
  <si>
    <t>MEZA MARIN CESAR</t>
  </si>
  <si>
    <t>20044981</t>
  </si>
  <si>
    <t>SAMANIEGO AQUINO DAGOBERTO</t>
  </si>
  <si>
    <t>70471032</t>
  </si>
  <si>
    <t>ROSARIO CRUZ EDGAR ELIAS</t>
  </si>
  <si>
    <t>09911126</t>
  </si>
  <si>
    <t>SILVA FERNANDEZ GILMA</t>
  </si>
  <si>
    <t>44865594</t>
  </si>
  <si>
    <t>FLORES ACEVEDO NEYLER EDMUNDO</t>
  </si>
  <si>
    <t>41234945</t>
  </si>
  <si>
    <t>CABRERA CASTILLO DELIA HAYDE</t>
  </si>
  <si>
    <t>45795379</t>
  </si>
  <si>
    <t>CUIZANO CORNELIO HUGO WILLIAM</t>
  </si>
  <si>
    <t>44396218</t>
  </si>
  <si>
    <t>SANCHEZ SANCHEZ WILDOR</t>
  </si>
  <si>
    <t>44017979</t>
  </si>
  <si>
    <t>VILCHEZ TENAZOA JULIO MANUEL</t>
  </si>
  <si>
    <t>80321657</t>
  </si>
  <si>
    <t>SUCLUPE SANDOVAL EDUARDO</t>
  </si>
  <si>
    <t>10025134</t>
  </si>
  <si>
    <t>ESTABRIDIS LARA ERICK IVAN</t>
  </si>
  <si>
    <t>002805508</t>
  </si>
  <si>
    <t>REYES FISNEDA EDGAR ALEXIS</t>
  </si>
  <si>
    <t>003748102</t>
  </si>
  <si>
    <t>PARICA CASTAÑEDA MAXICLEY JOSUE</t>
  </si>
  <si>
    <t>ASISTENTE DE RRHH</t>
  </si>
  <si>
    <t>003465248</t>
  </si>
  <si>
    <t>SILVA GUERRA EDUARDO JOSE</t>
  </si>
  <si>
    <t>08672211</t>
  </si>
  <si>
    <t>VILCHEZ RIEGA MANUEL GILBERTO</t>
  </si>
  <si>
    <t>48558554</t>
  </si>
  <si>
    <t>VILLACORTA PANAIFO EDITH</t>
  </si>
  <si>
    <t>48343039</t>
  </si>
  <si>
    <t>AYZANA SUAREZ TITO</t>
  </si>
  <si>
    <t>10696696</t>
  </si>
  <si>
    <t>SILVA CHUMPITAZ MOISES VIDAL</t>
  </si>
  <si>
    <t>00069644</t>
  </si>
  <si>
    <t>RAMOS BRUNO JOSE MERCEDES</t>
  </si>
  <si>
    <t>40434499</t>
  </si>
  <si>
    <t>HUAMAN CAHUAYA SANTA MARIA</t>
  </si>
  <si>
    <t>07104945</t>
  </si>
  <si>
    <t>QUISPE SANCHEZ LUIS</t>
  </si>
  <si>
    <t>44374882</t>
  </si>
  <si>
    <t>ARICA GALLO ABRAHAM BARTOLOME</t>
  </si>
  <si>
    <t>42256869</t>
  </si>
  <si>
    <t>CLEMENTE VALERIANO JIMMY EDUARDO</t>
  </si>
  <si>
    <t>09643581</t>
  </si>
  <si>
    <t>PRUDENCIO MAU JHONNY ALFREDO</t>
  </si>
  <si>
    <t>41290757</t>
  </si>
  <si>
    <t>SOLIS LAURA DIGNA LUZ</t>
  </si>
  <si>
    <t>73685886</t>
  </si>
  <si>
    <t>QUILLA BAYONA DANIEL ENRIQUE</t>
  </si>
  <si>
    <t>40092138</t>
  </si>
  <si>
    <t>OBREGON ZELAYA JESUS WILLIAM</t>
  </si>
  <si>
    <t>09987873</t>
  </si>
  <si>
    <t>GUTARRA LIPPA GABRIEL ALBERTO</t>
  </si>
  <si>
    <t>45749392</t>
  </si>
  <si>
    <t>RAMIREZ CACHIQUE JUAN JESUS</t>
  </si>
  <si>
    <t>41700717</t>
  </si>
  <si>
    <t>QUISPE TERRONES DANIEL</t>
  </si>
  <si>
    <t>COORDINADOR DE COMUNICACIÓN INTERNA, CLIMA Y CULTURA</t>
  </si>
  <si>
    <t>40365089</t>
  </si>
  <si>
    <t>CRUZ VALLES ROBERT SANTIAGO</t>
  </si>
  <si>
    <t>40393276</t>
  </si>
  <si>
    <t>VELA CANOCHERY JANETT SSUSAN</t>
  </si>
  <si>
    <t>47246362</t>
  </si>
  <si>
    <t>VILCHEZ SAAVEDRA DAVID ADRIEL</t>
  </si>
  <si>
    <t>44666282</t>
  </si>
  <si>
    <t>OBLITAS DIAZ NEYRE ARSENIO</t>
  </si>
  <si>
    <t>08695595</t>
  </si>
  <si>
    <t>BARRIENTE SAAVEDRA JOHN</t>
  </si>
  <si>
    <t>75106705</t>
  </si>
  <si>
    <t>OCHOA ESCALANTE JHOYS ANTONIO</t>
  </si>
  <si>
    <t>08859304</t>
  </si>
  <si>
    <t>ARDILES RAMOS JOSE MODESTO</t>
  </si>
  <si>
    <t>41726457</t>
  </si>
  <si>
    <t>VASQUEZ DOMINGUEZ WILTON BRAUN</t>
  </si>
  <si>
    <t>47327146</t>
  </si>
  <si>
    <t>CHAPARRO RUIZ FRESLY NAIDU</t>
  </si>
  <si>
    <t>43121150</t>
  </si>
  <si>
    <t>CCANCCE HUAMANI RAUL ANGEL</t>
  </si>
  <si>
    <t>71990666</t>
  </si>
  <si>
    <t>GOMEZ PEREZ WENDY ELIZABETH</t>
  </si>
  <si>
    <t>71595098</t>
  </si>
  <si>
    <t>JULCA DIAZ ILVER</t>
  </si>
  <si>
    <t>ENTRENADOR DE PRODUCCION</t>
  </si>
  <si>
    <t>77666218</t>
  </si>
  <si>
    <t>PORRAS QUINTANA MARIA DEL MAR</t>
  </si>
  <si>
    <t>10282354</t>
  </si>
  <si>
    <t>BURGA VASQUEZ ELDEN</t>
  </si>
  <si>
    <t>41683429</t>
  </si>
  <si>
    <t>RUIZ ROJAS JULISSA IRIS</t>
  </si>
  <si>
    <t>41700017</t>
  </si>
  <si>
    <t>DIAZ ARROYO MARIA LORENA</t>
  </si>
  <si>
    <t>71535952</t>
  </si>
  <si>
    <t>ARCE HUAMAN ROYER JHOSETH</t>
  </si>
  <si>
    <t>45491207</t>
  </si>
  <si>
    <t>ÑAHUE MORAN BEATRIZ ISABEL</t>
  </si>
  <si>
    <t>40806437</t>
  </si>
  <si>
    <t>QUISPE SUAREZ ALFREDO</t>
  </si>
  <si>
    <t>40072315</t>
  </si>
  <si>
    <t>10024623</t>
  </si>
  <si>
    <t>LOZANO PAREDES KETY JOVANE</t>
  </si>
  <si>
    <t>41214320</t>
  </si>
  <si>
    <t>DEL AGUILA ZUTA FERNANDO</t>
  </si>
  <si>
    <t>47778723</t>
  </si>
  <si>
    <t>CHANGANA  CALLAPIÑA CHRISTHIAN DAVI</t>
  </si>
  <si>
    <t>10526392</t>
  </si>
  <si>
    <t>RAMIREZ GUTIERREZ OSCAR</t>
  </si>
  <si>
    <t>41153385</t>
  </si>
  <si>
    <t>SEGURA VILLACORTA GRACE</t>
  </si>
  <si>
    <t>002958491</t>
  </si>
  <si>
    <t>LAM TANG MELISSA DE LOS ANGELES</t>
  </si>
  <si>
    <t>72807465</t>
  </si>
  <si>
    <t>ARAUJO FARJE JHONNY MARX</t>
  </si>
  <si>
    <t>43909129</t>
  </si>
  <si>
    <t>VILLA GOMEZ MAURTUA JUNIOR ALEXIS</t>
  </si>
  <si>
    <t>09677787</t>
  </si>
  <si>
    <t>DENEGRI FLORES RICARDO</t>
  </si>
  <si>
    <t>48349148</t>
  </si>
  <si>
    <t>FERNANDEZ PARDO ELFERES</t>
  </si>
  <si>
    <t>42153166</t>
  </si>
  <si>
    <t>HILARIO CARRASCO MARITZA</t>
  </si>
  <si>
    <t>47457981</t>
  </si>
  <si>
    <t>HUARCAYA  MEDINA JHONNY </t>
  </si>
  <si>
    <t>45330552</t>
  </si>
  <si>
    <t>SANTIVAÑEZ GAVINO YAHAYRA HARUMI</t>
  </si>
  <si>
    <t>73092434</t>
  </si>
  <si>
    <t>MALPARTIDA SAMANIEGO NAYELY MAYLIM</t>
  </si>
  <si>
    <t>75986511</t>
  </si>
  <si>
    <t>CUIZANO CORNELIO STALIM JHON</t>
  </si>
  <si>
    <t>76972988</t>
  </si>
  <si>
    <t>PEZO SALAS LLOVANITA</t>
  </si>
  <si>
    <t>47047553</t>
  </si>
  <si>
    <t>VEGA TRUJILLO EDDYNSON ROBERT</t>
  </si>
  <si>
    <t>43073362</t>
  </si>
  <si>
    <t>ALEGRIA QUISPE JOSE LUIS</t>
  </si>
  <si>
    <t>ARAUJO FARGE HERBERT SMITH</t>
  </si>
  <si>
    <t>40382826</t>
  </si>
  <si>
    <t>CHORRILLOS MEGA PLAZA</t>
  </si>
  <si>
    <t>FLORES PEREZ BETTY ROSSANA</t>
  </si>
  <si>
    <t>002661434</t>
  </si>
  <si>
    <t>HERNANDEZ  GAVIDIA JUAN LUIS</t>
  </si>
  <si>
    <t>70985455</t>
  </si>
  <si>
    <t>RUIZ ESTRELLA LUIGI ALEXANDER</t>
  </si>
  <si>
    <t>46062085</t>
  </si>
  <si>
    <t>MACEDO GONZALES CORNELIO</t>
  </si>
  <si>
    <t>43595291</t>
  </si>
  <si>
    <t>RIOS MARTINEZ AGUSTIN GABRIEL ELGHAZAR</t>
  </si>
  <si>
    <t>ASISTENTE DE RECURSOS HUMANOS</t>
  </si>
  <si>
    <t>46650819</t>
  </si>
  <si>
    <t>TICONA RUIZ MIGUEL</t>
  </si>
  <si>
    <t>41307529</t>
  </si>
  <si>
    <t>FLORES REYES EDUARDO</t>
  </si>
  <si>
    <t>42493004</t>
  </si>
  <si>
    <t>ALFARO CAJAMUNI ROBERT ALFONSO</t>
  </si>
  <si>
    <t>45003200</t>
  </si>
  <si>
    <t>TUANAMA INUMA ALBERTANO</t>
  </si>
  <si>
    <t>32933368</t>
  </si>
  <si>
    <t>MUÑOZ TORRES MARTHA YNES</t>
  </si>
  <si>
    <t>74379995</t>
  </si>
  <si>
    <t>CORDOVA CHUQUIHUANGA VICTOR SANTIAGO</t>
  </si>
  <si>
    <t>48798977</t>
  </si>
  <si>
    <t>PEREZ MEZA JESSICA ALMENDRA</t>
  </si>
  <si>
    <t>71565974</t>
  </si>
  <si>
    <t>ADRIANZEN HERRERA DIGNER YHONATAN</t>
  </si>
  <si>
    <t>45747872</t>
  </si>
  <si>
    <t>MAGILIANO VALVERDE ELIZABETH TEOFILA</t>
  </si>
  <si>
    <t>46314455</t>
  </si>
  <si>
    <t>DE LA CRUZ RAMOS DAISY DEL ROSARIO</t>
  </si>
  <si>
    <t>73145389</t>
  </si>
  <si>
    <t>CALIXTRO LINDO ANGELA PAOLA</t>
  </si>
  <si>
    <t>71495446</t>
  </si>
  <si>
    <t>LINARES CUSI MARIA SOLEDAD</t>
  </si>
  <si>
    <t>71020270</t>
  </si>
  <si>
    <t>LAGUNA GAMBOA ANGEL BRATZO</t>
  </si>
  <si>
    <t>72182172</t>
  </si>
  <si>
    <t>CARMELO FASANANDO DIEGO MARTIN</t>
  </si>
  <si>
    <t>19252541</t>
  </si>
  <si>
    <t xml:space="preserve"> RAMOS BRUNO CARMEN GRACIELA</t>
  </si>
  <si>
    <t>71977634</t>
  </si>
  <si>
    <t xml:space="preserve">CAMPOS FASANANDO SADDAM LADISLAO </t>
  </si>
  <si>
    <t>40645460</t>
  </si>
  <si>
    <t xml:space="preserve">CHAU LEUNG JENNY ALICE </t>
  </si>
  <si>
    <t>ADMINISTRADOR JUNIOR</t>
  </si>
  <si>
    <t>45001968</t>
  </si>
  <si>
    <t>CONTRERAS CANCHO LUIS EMERZON</t>
  </si>
  <si>
    <t>09450777</t>
  </si>
  <si>
    <t>REYES SILVA DEVORA ELENA</t>
  </si>
  <si>
    <t>71051623</t>
  </si>
  <si>
    <t>BALDEON  ALMORA STELLA MARIS</t>
  </si>
  <si>
    <t>77031789</t>
  </si>
  <si>
    <t>DAHORTA RAMIREZ JHOSSELYN CARMINA</t>
  </si>
  <si>
    <t>41650653</t>
  </si>
  <si>
    <t xml:space="preserve">VEGA INUMA FABIOLITA </t>
  </si>
  <si>
    <t>46206509</t>
  </si>
  <si>
    <t>TERRONES CONTRERAS VILMER</t>
  </si>
  <si>
    <t>40728049</t>
  </si>
  <si>
    <t xml:space="preserve">BERROCAL  MEZA LUIS ALBERTO </t>
  </si>
  <si>
    <t>40100224</t>
  </si>
  <si>
    <t>MEDIANERO GARCIA KATTYA</t>
  </si>
  <si>
    <t>43851579</t>
  </si>
  <si>
    <t>CAMIZAN ACEVEDO ROYER MIGUEL</t>
  </si>
  <si>
    <t>CHINCHAY CHAQUILA SAULO</t>
  </si>
  <si>
    <t>45035322</t>
  </si>
  <si>
    <t>SILVA PASCUAL DARWIN</t>
  </si>
  <si>
    <t>77435372</t>
  </si>
  <si>
    <t>PRETELL VEGAZO VERONICA JANETH </t>
  </si>
  <si>
    <t>72631387</t>
  </si>
  <si>
    <t>LA TORRE BERLANGA JEFERSON JESUS</t>
  </si>
  <si>
    <t>43403278</t>
  </si>
  <si>
    <t>CORDOVA RODRIGUEZ DE NEYRA JESSICA ALINA</t>
  </si>
  <si>
    <t>75704430</t>
  </si>
  <si>
    <t>HUAMAN PARDO MIGUEL ANGEL</t>
  </si>
  <si>
    <t>47438680</t>
  </si>
  <si>
    <t>TORRES MONDRAGON SANTOS NORVIL</t>
  </si>
  <si>
    <t>74751456</t>
  </si>
  <si>
    <t>SANDOVAL ROJAS DENILSON</t>
  </si>
  <si>
    <t>46071034</t>
  </si>
  <si>
    <t>MIRANDA SANCHEZ STEPHEN WOLTER</t>
  </si>
  <si>
    <t>76135839</t>
  </si>
  <si>
    <t>BOLAÑOS CANICELA CRISTHIAN EVER</t>
  </si>
  <si>
    <t>33332768</t>
  </si>
  <si>
    <t>MENDEZ TARAZONA MARIO FRANCISCO</t>
  </si>
  <si>
    <t>46216593</t>
  </si>
  <si>
    <t xml:space="preserve">BURGOS CHERO CARMEN DEL ROSARIO </t>
  </si>
  <si>
    <t>10882142</t>
  </si>
  <si>
    <t>GRANADOS MORA JENNY MERCEDES</t>
  </si>
  <si>
    <t>47726715</t>
  </si>
  <si>
    <t>LACHOS RIVERA JOSE MANUEL</t>
  </si>
  <si>
    <t>46007144</t>
  </si>
  <si>
    <t xml:space="preserve">CARPIO  FERREYRA  JERICO ANDRES </t>
  </si>
  <si>
    <t xml:space="preserve">GERENTE DE MARKETING </t>
  </si>
  <si>
    <t>44265083</t>
  </si>
  <si>
    <t>IZUISA PEREZ KERVIN</t>
  </si>
  <si>
    <t>47008833</t>
  </si>
  <si>
    <t xml:space="preserve">VARGAS FERNANDEZ JAHIR ALESSANDRO </t>
  </si>
  <si>
    <t>74530037</t>
  </si>
  <si>
    <t>REGALADO BELLIDO MICAL ZOE</t>
  </si>
  <si>
    <t>72196501</t>
  </si>
  <si>
    <t>MARTINEZ  OSORES LUIS ENRIQUE</t>
  </si>
  <si>
    <t>47135609</t>
  </si>
  <si>
    <t>OLIVOS</t>
  </si>
  <si>
    <t>SAAVEDRA  CORTEZ HILDEBRANDO</t>
  </si>
  <si>
    <t>75074396</t>
  </si>
  <si>
    <t>MORALES RIOJAS JUAN DAVID</t>
  </si>
  <si>
    <t>47703844</t>
  </si>
  <si>
    <t>SANTA CRUZ GIL AUDIN</t>
  </si>
  <si>
    <t>10835181</t>
  </si>
  <si>
    <t>GARCIA HUARAQUISPE MARCO ANTONIO</t>
  </si>
  <si>
    <t>CHEFF CORPORTATIVO</t>
  </si>
  <si>
    <t>003451550</t>
  </si>
  <si>
    <t>GUZMAN DUNO JAVIER ENRIQUE</t>
  </si>
  <si>
    <t>71099473</t>
  </si>
  <si>
    <t>MILLA  ROSAS  FRANCIS ALEXANDER</t>
  </si>
  <si>
    <t>70682997</t>
  </si>
  <si>
    <t>HERNANDEZ SIGUAS JOSE ANGEL</t>
  </si>
  <si>
    <t>72026700</t>
  </si>
  <si>
    <t>CHACON  PERALTA  ROYSON</t>
  </si>
  <si>
    <t>75524243</t>
  </si>
  <si>
    <t>VEGA VERAMENDI VISIR ANGEL</t>
  </si>
  <si>
    <t>75336136</t>
  </si>
  <si>
    <t xml:space="preserve">ASENCIOS  SOLARI  ERICK FRANCO </t>
  </si>
  <si>
    <t>77164237</t>
  </si>
  <si>
    <t>PALACIO CIFUENTES GALA ALONDRA</t>
  </si>
  <si>
    <t>71030369</t>
  </si>
  <si>
    <t xml:space="preserve">POLO BALBOA  SERGIO </t>
  </si>
  <si>
    <t>43711777</t>
  </si>
  <si>
    <t xml:space="preserve">AMASIFUEN  PINTO  EDWIN </t>
  </si>
  <si>
    <t>75337537</t>
  </si>
  <si>
    <t>SANTAMARIA  RIOJAS  MARJORIE LIZET</t>
  </si>
  <si>
    <t>75441185</t>
  </si>
  <si>
    <t>ESPINOZA CAMACHO  MONICA</t>
  </si>
  <si>
    <t>TELEOPERADOR (A)</t>
  </si>
  <si>
    <t>006718696</t>
  </si>
  <si>
    <t>RODRIGUEZ MARICHALES BRAYAN ALEJANDRO</t>
  </si>
  <si>
    <t>74745605</t>
  </si>
  <si>
    <t>REVOREDO COTERA ALICIA DAYANA</t>
  </si>
  <si>
    <t>70564584</t>
  </si>
  <si>
    <t>MONTEJO AGUILA JORGE ANGELO AARON</t>
  </si>
  <si>
    <t>47953125</t>
  </si>
  <si>
    <t>YUCRA COTRINA DIANA BEATRIZ</t>
  </si>
  <si>
    <t>CAJERO (A) P/T</t>
  </si>
  <si>
    <t>08763769</t>
  </si>
  <si>
    <t>CALDAS MINAYA ALBERT CIRILO</t>
  </si>
  <si>
    <t>48269383</t>
  </si>
  <si>
    <t>FLORES CAJUSOL KATTIA LISET</t>
  </si>
  <si>
    <t>74825800</t>
  </si>
  <si>
    <t xml:space="preserve">ESCOBAR SAN MARTIN MILAGROS ANDREINA </t>
  </si>
  <si>
    <t>45208303</t>
  </si>
  <si>
    <t xml:space="preserve">CALLE SALINAS  CARMEN VALERIA </t>
  </si>
  <si>
    <t>71752533</t>
  </si>
  <si>
    <t>VIZCARRA PALIZA YASHIRA BARBARELA</t>
  </si>
  <si>
    <t>46367015</t>
  </si>
  <si>
    <t>ESTEBAN ALVAREZ YEMER</t>
  </si>
  <si>
    <t>48668203</t>
  </si>
  <si>
    <t>TORRES CAMPOS SHEYLA ROXANA</t>
  </si>
  <si>
    <t>73047938</t>
  </si>
  <si>
    <t>PINCHI GONZALES DANNA FABIANA</t>
  </si>
  <si>
    <t>76680049</t>
  </si>
  <si>
    <t>GALA CARBAJAL JACKELINE NICOLL</t>
  </si>
  <si>
    <t>74647800</t>
  </si>
  <si>
    <t>GASTELO CABRERA DEXY THALIA</t>
  </si>
  <si>
    <t>42831688</t>
  </si>
  <si>
    <t>BACKUS  CRUZ OMAR ALEXIS</t>
  </si>
  <si>
    <t>70072072</t>
  </si>
  <si>
    <t>ORTIZ ROJAS BRANDO EVAIR</t>
  </si>
  <si>
    <t>47415755</t>
  </si>
  <si>
    <t>ROSALES PAITAN SHIRLEY MARIANA</t>
  </si>
  <si>
    <t>72618496</t>
  </si>
  <si>
    <t>SUAREZ VILLACRIZ MANUEL MOISES</t>
  </si>
  <si>
    <t>46509620</t>
  </si>
  <si>
    <t>CARRANZA FARRO  EVONIL</t>
  </si>
  <si>
    <t>72545969</t>
  </si>
  <si>
    <t>SALVERREDY MARIUS LYDIA ZASHENKA MARGARITA</t>
  </si>
  <si>
    <t>77513794</t>
  </si>
  <si>
    <t>PRADO SIFUENTES JOSE MARIA FLORENTINO</t>
  </si>
  <si>
    <t>10192704</t>
  </si>
  <si>
    <t xml:space="preserve">GUTIERREZ HUAMALI GUSTAVO ERICK </t>
  </si>
  <si>
    <t>46831171</t>
  </si>
  <si>
    <t>SANCHEZ LLOCLLA ROGER YAISON</t>
  </si>
  <si>
    <t>75372739</t>
  </si>
  <si>
    <t xml:space="preserve">CORTEZ CRISTOBAL KAREM NICOLL </t>
  </si>
  <si>
    <t>72164861</t>
  </si>
  <si>
    <t>ACUÑA LLIQUE JAIR MARCELO</t>
  </si>
  <si>
    <t>76058441</t>
  </si>
  <si>
    <t>CHUMBE RUIZ  MANUEL</t>
  </si>
  <si>
    <t>63372155</t>
  </si>
  <si>
    <t>LINARES LOPEZ JEAN CARLOS</t>
  </si>
  <si>
    <t>08700596</t>
  </si>
  <si>
    <t>RIVAS RIVAS  LUIS RICARDO</t>
  </si>
  <si>
    <t>21143132</t>
  </si>
  <si>
    <t>RAMIREZ SALAZAR HILDA</t>
  </si>
  <si>
    <t>48513909</t>
  </si>
  <si>
    <t xml:space="preserve">ACUÑA VELASQUEZ GABRIELA </t>
  </si>
  <si>
    <t>40326108</t>
  </si>
  <si>
    <t xml:space="preserve">MENDOZA RAMOS  MELANY MARY </t>
  </si>
  <si>
    <t>60969111</t>
  </si>
  <si>
    <t>CARRERO HERNANDEZ LUIS FERNANDO</t>
  </si>
  <si>
    <t>41256476</t>
  </si>
  <si>
    <t>NAPAN  QUIROZ EMILY GISSELL</t>
  </si>
  <si>
    <t>62602264</t>
  </si>
  <si>
    <t>FELIX ESCOVEDO XIOMARA WALESKA</t>
  </si>
  <si>
    <t>42813416</t>
  </si>
  <si>
    <t>TEJADA  RIBEIRO CARLOS ALBERTO</t>
  </si>
  <si>
    <t xml:space="preserve">SEGURIDAD </t>
  </si>
  <si>
    <t>43517605</t>
  </si>
  <si>
    <t>BERNUY CHERO JOSE MICHEEL</t>
  </si>
  <si>
    <t>003538507</t>
  </si>
  <si>
    <t xml:space="preserve">SANZ MOLAYA  SAMUEL ENRIQUE </t>
  </si>
  <si>
    <t>47549843</t>
  </si>
  <si>
    <t>MENESES PINTO CARLOS ENRIQUE</t>
  </si>
  <si>
    <t>SUB GERENTE DE FINANZAS</t>
  </si>
  <si>
    <t>74410006</t>
  </si>
  <si>
    <t>GARCIA CARHUAPOMA YONATAN</t>
  </si>
  <si>
    <t>47736969</t>
  </si>
  <si>
    <t>MORALES BOCANEGRA KIARA YESSENIA</t>
  </si>
  <si>
    <t>72868795</t>
  </si>
  <si>
    <t xml:space="preserve">VELAOCHAGA VARA  JUNIOR ALEJANDRO </t>
  </si>
  <si>
    <t>77167865</t>
  </si>
  <si>
    <t xml:space="preserve">CELESTINO ABAD JHONATAN </t>
  </si>
  <si>
    <t>002926324</t>
  </si>
  <si>
    <t>UZCATEGUI MORA ESTIVEN JOSE</t>
  </si>
  <si>
    <t>40554560</t>
  </si>
  <si>
    <t>HUERTA PEREZ JORGE LUIS</t>
  </si>
  <si>
    <t>76139146</t>
  </si>
  <si>
    <t>HUAYCANI PIMENTEL LUIS ALBERTO</t>
  </si>
  <si>
    <t>001893202</t>
  </si>
  <si>
    <t xml:space="preserve">LAYA RAMONES JOSE GERARDO </t>
  </si>
  <si>
    <t>41577889</t>
  </si>
  <si>
    <t>CUCHULA TEJEDA DEYSE</t>
  </si>
  <si>
    <t>74994933</t>
  </si>
  <si>
    <t>PEÑA GUTIERREZ ANGEL JUNIOR</t>
  </si>
  <si>
    <t>77141442</t>
  </si>
  <si>
    <t xml:space="preserve">ESCALANTE ARAUJO ROCIO DEL PILAR </t>
  </si>
  <si>
    <t>75549316</t>
  </si>
  <si>
    <t>TELLO MOSTACERO NICK FRANKLIN</t>
  </si>
  <si>
    <t>45070469</t>
  </si>
  <si>
    <t>MONZON TAPIA RUBEN</t>
  </si>
  <si>
    <t>48412240</t>
  </si>
  <si>
    <t>NUÑEZ LOPEZ JEAN PAUL BRANDON</t>
  </si>
  <si>
    <t>72670432</t>
  </si>
  <si>
    <t>PAREDES  MAGUIÑA  HUGO RAFAEL</t>
  </si>
  <si>
    <t>71719906</t>
  </si>
  <si>
    <t>MACEDO  AMASIFUEN  MOISES</t>
  </si>
  <si>
    <t>43630753</t>
  </si>
  <si>
    <t xml:space="preserve">INFANTE JARA CINTHIA LORENA </t>
  </si>
  <si>
    <t>47876191</t>
  </si>
  <si>
    <t xml:space="preserve">MEJIA  SEBASTIAN  MARTIN ALBERTO </t>
  </si>
  <si>
    <t>75381520</t>
  </si>
  <si>
    <t>RODRIGUEZ  URIARTE KEVIN</t>
  </si>
  <si>
    <t>70251343</t>
  </si>
  <si>
    <t xml:space="preserve">MANANITA SABOYA  FRANCK AUGUSTO </t>
  </si>
  <si>
    <t>74721711</t>
  </si>
  <si>
    <t xml:space="preserve">URIBE  OROZCO ARIANA RUTH </t>
  </si>
  <si>
    <t>75386445</t>
  </si>
  <si>
    <t>RODRIGUEZ  URIARTE ANTHONY RAUL</t>
  </si>
  <si>
    <t xml:space="preserve">PACKER </t>
  </si>
  <si>
    <t>71014456</t>
  </si>
  <si>
    <t>VELASQUEZ ZEA VENUS ERICKA</t>
  </si>
  <si>
    <t>10806471</t>
  </si>
  <si>
    <t xml:space="preserve">NOBLECILLA FULLER GUSTAVO EDUARDO </t>
  </si>
  <si>
    <t>73141256</t>
  </si>
  <si>
    <t>HUAMAN HUAROTE  JOHAO RONALDO</t>
  </si>
  <si>
    <t>76024139</t>
  </si>
  <si>
    <t>LEON FLORES JOSHUA GABRIEL</t>
  </si>
  <si>
    <t>46067821</t>
  </si>
  <si>
    <t>CARDENAS ECHEGARAY JULIO CARLOS</t>
  </si>
  <si>
    <t>70890678</t>
  </si>
  <si>
    <t>OSCCO ANYOSA CESAR ARTURO</t>
  </si>
  <si>
    <t>10364786</t>
  </si>
  <si>
    <t>DE LA CRUZ BARRIENTOS YENY YASELINE</t>
  </si>
  <si>
    <t xml:space="preserve">77087409 </t>
  </si>
  <si>
    <t xml:space="preserve">PUCA CAYETANO CRISTHIAN PAUL </t>
  </si>
  <si>
    <t>08159307</t>
  </si>
  <si>
    <t>SILVESTRE MENDOZA ANTOOYNETTE</t>
  </si>
  <si>
    <t>73003000</t>
  </si>
  <si>
    <t>MORENO TUESTA DIEGO STEFANO</t>
  </si>
  <si>
    <t>76011333</t>
  </si>
  <si>
    <t>DE LA CRUZ PALOMINO BEATRIZ LUPE</t>
  </si>
  <si>
    <t>71208637</t>
  </si>
  <si>
    <t>OROPEZA GALLEGOS DIANA LUCERO</t>
  </si>
  <si>
    <t>42593491</t>
  </si>
  <si>
    <t>AYALA HUAMANI DELIA</t>
  </si>
  <si>
    <t>003113878</t>
  </si>
  <si>
    <t>NATERA  GUERRERO KLIUVER ANELKA</t>
  </si>
  <si>
    <t>43337475</t>
  </si>
  <si>
    <t xml:space="preserve"> ESTEBAN  BENANCIO  JOSE MIGUEL </t>
  </si>
  <si>
    <t>42317372</t>
  </si>
  <si>
    <t>FILIPES HUAMAN PERCY JOEL</t>
  </si>
  <si>
    <t>72552685</t>
  </si>
  <si>
    <t>CABRERA OCHOA CLIDER LEON</t>
  </si>
  <si>
    <t>ASISTENTE DE SELECCIÓN</t>
  </si>
  <si>
    <t>71565060</t>
  </si>
  <si>
    <t>DIAZ PEREZ YSELA</t>
  </si>
  <si>
    <t>75078615</t>
  </si>
  <si>
    <t xml:space="preserve">ROJAS AVALOS OMAR JESUS </t>
  </si>
  <si>
    <t>02884758</t>
  </si>
  <si>
    <t xml:space="preserve">TEJERO REYES RAUL GUSTAVO </t>
  </si>
  <si>
    <t>78109139</t>
  </si>
  <si>
    <t>QUIROZ GALLARDO JOEL MARTIN</t>
  </si>
  <si>
    <t>72609693</t>
  </si>
  <si>
    <t>YAURI DURAND MARIA IRENE SELENE LILIANA</t>
  </si>
  <si>
    <t>70322859</t>
  </si>
  <si>
    <t>BARRIENTOS GAVELAN KEANU PIERO</t>
  </si>
  <si>
    <t>73029252</t>
  </si>
  <si>
    <t xml:space="preserve">HUARI SALHUANA MEN LE GOHAN </t>
  </si>
  <si>
    <t>75381497</t>
  </si>
  <si>
    <t>MARTINEZ  UGAZ RENZO MANUEL</t>
  </si>
  <si>
    <t>TECNICO DE MANTENIMIENTO</t>
  </si>
  <si>
    <t>41153586</t>
  </si>
  <si>
    <t>CUBA VARGAS MARIBEL</t>
  </si>
  <si>
    <t>32897862</t>
  </si>
  <si>
    <t>SORIA  LAZO  OSWALDO FREDY</t>
  </si>
  <si>
    <t>NAVARRETE</t>
  </si>
  <si>
    <t>73603272</t>
  </si>
  <si>
    <t>CHOLAN RAMOS  JHOSELIN ARIANA</t>
  </si>
  <si>
    <t>76194853</t>
  </si>
  <si>
    <t xml:space="preserve">SARRIA REYES CARLOS EDUARDO </t>
  </si>
  <si>
    <t>44802187</t>
  </si>
  <si>
    <t>RIOS  TELLO  BETTY INES</t>
  </si>
  <si>
    <t>70226224</t>
  </si>
  <si>
    <t>ARCE HUAMAN ESTELA LISBETH</t>
  </si>
  <si>
    <t>75249230</t>
  </si>
  <si>
    <t>APARCANA CACHIQUE  ROGER ELIAS</t>
  </si>
  <si>
    <t>76280384</t>
  </si>
  <si>
    <t>MINAYA  OLIVOS MARIA VICTORIA</t>
  </si>
  <si>
    <t>73134964</t>
  </si>
  <si>
    <t xml:space="preserve">MENESES CHANGA EROS JOSE </t>
  </si>
  <si>
    <t>47249400</t>
  </si>
  <si>
    <t xml:space="preserve">ONOFRE FERRUA FIORELA JULIETA </t>
  </si>
  <si>
    <t>75847077</t>
  </si>
  <si>
    <t>FRIAS BURGA MAIKOL</t>
  </si>
  <si>
    <t>71195371</t>
  </si>
  <si>
    <t>AGUILAR ARAGAKI KEIKO PAOLA</t>
  </si>
  <si>
    <t>PRACTICANTE FINANZAS</t>
  </si>
  <si>
    <t>41921277</t>
  </si>
  <si>
    <t>VASQUEZ OVIEDO KANHYSKAN SHEILA</t>
  </si>
  <si>
    <t>41643069</t>
  </si>
  <si>
    <t>CAHUA  QUISPE WILLY VICTOR</t>
  </si>
  <si>
    <t>44742881</t>
  </si>
  <si>
    <t>VIVANCO RAMOS CESAR AUGUSTO</t>
  </si>
  <si>
    <t>AUXILIAR DE SOPORTE TECNICO</t>
  </si>
  <si>
    <t>05370773</t>
  </si>
  <si>
    <t>RODRIGUEZ TUANAMA MARJORIE XIOMARA</t>
  </si>
  <si>
    <t>75362174</t>
  </si>
  <si>
    <t>ANGULO PALOMINO MARIA GUADALUPE</t>
  </si>
  <si>
    <t>72524529</t>
  </si>
  <si>
    <t>ROMERO YUZZELI CARLOS MANUEL</t>
  </si>
  <si>
    <t>05630284</t>
  </si>
  <si>
    <t>ALVAREZ RIOS LUCINDA BEBELU</t>
  </si>
  <si>
    <t>09499507</t>
  </si>
  <si>
    <t>DE LA CRUZ ACUÑA JAVIER</t>
  </si>
  <si>
    <t>76106844</t>
  </si>
  <si>
    <t>SALAS LOPEZ CARLITOS AUGUSTO</t>
  </si>
  <si>
    <t>72373849</t>
  </si>
  <si>
    <t>MORENO CASTRO VALERIA LISBETH</t>
  </si>
  <si>
    <t>71257008</t>
  </si>
  <si>
    <t>BAUTISTA CHASNAMOTO SASKIA BRIDGET</t>
  </si>
  <si>
    <t>42503693</t>
  </si>
  <si>
    <t>DEL RIO MIRANDA GRETA</t>
  </si>
  <si>
    <t>74026274</t>
  </si>
  <si>
    <t>VENTURA  DEZA OMAR PABLO</t>
  </si>
  <si>
    <t>46339510</t>
  </si>
  <si>
    <t>PEÑA REYNOSO MAYRA ALEJANDRA</t>
  </si>
  <si>
    <t>76188242</t>
  </si>
  <si>
    <t>VELARDE SALVADOR MARJORIE LISSET</t>
  </si>
  <si>
    <t>41690069</t>
  </si>
  <si>
    <t>SHERADER  RIOS DEYSI ELENA</t>
  </si>
  <si>
    <t>71101310</t>
  </si>
  <si>
    <t>MILLA PALMADERA FABICO CRISTIAN</t>
  </si>
  <si>
    <t>73363865</t>
  </si>
  <si>
    <t>LANDIVAR HIDALGO MARIA DE LOS ÁNGELES LUCERO</t>
  </si>
  <si>
    <t>70184908</t>
  </si>
  <si>
    <t>RAURAU HUAMANI ROSA FERNANDA</t>
  </si>
  <si>
    <t>72699288</t>
  </si>
  <si>
    <t>REYNA  FIGUEROA JUSTIN JOEL</t>
  </si>
  <si>
    <t>73890651</t>
  </si>
  <si>
    <t>CHIRINOS SALCEDO MILAGROS YOCASTA</t>
  </si>
  <si>
    <t>78260038</t>
  </si>
  <si>
    <t>CHAVEZ CHUMPITAZ FABIANA JAZMIN</t>
  </si>
  <si>
    <t>76604713</t>
  </si>
  <si>
    <t xml:space="preserve">HUABLOCHO LINO ANDERSON PAOLO </t>
  </si>
  <si>
    <t>77125822</t>
  </si>
  <si>
    <t xml:space="preserve">TECCSI  CURO  RAY MERLY </t>
  </si>
  <si>
    <t>70924256</t>
  </si>
  <si>
    <t>TOLEDO SILVA SHEYLA BRIGITTE</t>
  </si>
  <si>
    <t>46034088</t>
  </si>
  <si>
    <t>GARCIA ALVA LINETH</t>
  </si>
  <si>
    <t>42777483</t>
  </si>
  <si>
    <t>MEZA FLORES BETSAIDA</t>
  </si>
  <si>
    <t>74460498</t>
  </si>
  <si>
    <t>RONCEROS MEDINA NICOLE INES</t>
  </si>
  <si>
    <t>BANEO PAYACA FRANCO</t>
  </si>
  <si>
    <t>HORNERO (A) P/T</t>
  </si>
  <si>
    <t>42811605</t>
  </si>
  <si>
    <t>QUEZADA  VILA ROCIO MILAGROS</t>
  </si>
  <si>
    <t>70359300</t>
  </si>
  <si>
    <t>MARQUIÑO LAZO RONALD OSWALDO</t>
  </si>
  <si>
    <t xml:space="preserve">JAQUIMA SANTOS FRANY JENYFER </t>
  </si>
  <si>
    <t>60946549</t>
  </si>
  <si>
    <t>ESPINOZA  ANAYA  PERCY ALEXANDER</t>
  </si>
  <si>
    <t xml:space="preserve">ASISTENTE DE OPERACIONES </t>
  </si>
  <si>
    <t>70464031</t>
  </si>
  <si>
    <t>CORNEJO MORENO  JOSE JEAN PIERRE</t>
  </si>
  <si>
    <t>74580634</t>
  </si>
  <si>
    <t>VARGAS REYES DIEGO CKAYLL</t>
  </si>
  <si>
    <t>74868758</t>
  </si>
  <si>
    <t>JORDAN ARBURUA FABIAN MARTIN</t>
  </si>
  <si>
    <t>74698305</t>
  </si>
  <si>
    <t>BAUTISTA LICAS HUGO SEBASTIÁN</t>
  </si>
  <si>
    <t>73217261</t>
  </si>
  <si>
    <t>CAMPOS CACERES NICOLAS ARMANDO</t>
  </si>
  <si>
    <t>60917402</t>
  </si>
  <si>
    <t>FILIPES CAMPOS DIVANNY MURIEL BRITH</t>
  </si>
  <si>
    <t>73496979</t>
  </si>
  <si>
    <t>FERNANDEZ SANTIAGO FABRIZIO JOSUE</t>
  </si>
  <si>
    <t>002059085</t>
  </si>
  <si>
    <t>SOLORZANO SILVA RONALD ANTONIO</t>
  </si>
  <si>
    <t>77904633</t>
  </si>
  <si>
    <t>LANDA BOLAÑOS SANTIAGO MANUEL</t>
  </si>
  <si>
    <t>42202161</t>
  </si>
  <si>
    <t xml:space="preserve">CRUZADO GONZALES VILMER </t>
  </si>
  <si>
    <t>70650930</t>
  </si>
  <si>
    <t>RODRIGUEZ  CUMAPA  ROGER ROMARIO</t>
  </si>
  <si>
    <t>74899458</t>
  </si>
  <si>
    <t>TELLO  CUIPAL LISBET RUBI</t>
  </si>
  <si>
    <t>47036238</t>
  </si>
  <si>
    <t xml:space="preserve">SULCA  DIAZ  CYNTHIA </t>
  </si>
  <si>
    <t>43020375</t>
  </si>
  <si>
    <t xml:space="preserve">LIMON  FRANCO  ENRIQUE ANGELLO </t>
  </si>
  <si>
    <t>74402492</t>
  </si>
  <si>
    <t>CARBAJAL HERNANDEZ  YHOISY</t>
  </si>
  <si>
    <t>71586399</t>
  </si>
  <si>
    <t>VELA  RENGIFO  VIORICA LLOY</t>
  </si>
  <si>
    <t>71560359</t>
  </si>
  <si>
    <t xml:space="preserve">CHUMBERIZA LÓPEZ  MARÍA SOFÍA </t>
  </si>
  <si>
    <t>71084823</t>
  </si>
  <si>
    <t>SANTOS FRANCO CRISTIAN JAIR</t>
  </si>
  <si>
    <t>74076584</t>
  </si>
  <si>
    <t>MEDINA NUÑEZ ADRIAN MARTIN</t>
  </si>
  <si>
    <t>46596727</t>
  </si>
  <si>
    <t>ROMERO ROSALES CESAR CARLOS</t>
  </si>
  <si>
    <t>45945881</t>
  </si>
  <si>
    <t>VIGO MARTINEZ GINO JOSUE</t>
  </si>
  <si>
    <t>74409664</t>
  </si>
  <si>
    <t>CACHA ADVINCULA JUAN DANIEL</t>
  </si>
  <si>
    <t>75273216</t>
  </si>
  <si>
    <t>CASTAÑEDA ORMEÑO DAMARIS RUTH</t>
  </si>
  <si>
    <t>40703607</t>
  </si>
  <si>
    <t>RIVERA INUMA JOSE ANTONIO</t>
  </si>
  <si>
    <t>72407745</t>
  </si>
  <si>
    <t>PALACIOS YNGA ANGEL ZURIEL</t>
  </si>
  <si>
    <t>62622136</t>
  </si>
  <si>
    <t>RIOS TELLO ALEJANDRO</t>
  </si>
  <si>
    <t>007072393</t>
  </si>
  <si>
    <t>ALVAREZ TROSSEL RUBMARY ESTEFANIA</t>
  </si>
  <si>
    <t>72871944</t>
  </si>
  <si>
    <t>UNTIVEROS YANCAN GERSON JHONNY</t>
  </si>
  <si>
    <t>74292012</t>
  </si>
  <si>
    <t>GARCIA MELENDEZ LEIDY CAROLINA</t>
  </si>
  <si>
    <t>77212202</t>
  </si>
  <si>
    <t>FRACCHIA GONZALES MANUEL ANTONIO</t>
  </si>
  <si>
    <t>43797303</t>
  </si>
  <si>
    <t>CARRION GARCIA LUZ MARINA</t>
  </si>
  <si>
    <t>72208195</t>
  </si>
  <si>
    <t>CRUZ CASTELLANO MELISSA ANGELA</t>
  </si>
  <si>
    <t>40860503</t>
  </si>
  <si>
    <t>ARREDONDO MELGAR ARACELLI</t>
  </si>
  <si>
    <t>45398277</t>
  </si>
  <si>
    <t>MEDIANERO GARCIA JUDITH JANNETH</t>
  </si>
  <si>
    <t>75886809</t>
  </si>
  <si>
    <t xml:space="preserve">OLIVA ATOCCSA  LUIS ALBERTO </t>
  </si>
  <si>
    <t xml:space="preserve">MOTORIZADO P/T </t>
  </si>
  <si>
    <t>006725522</t>
  </si>
  <si>
    <t>SEQUERA RUDENKO JESUS ENRIQUE</t>
  </si>
  <si>
    <t>47070182</t>
  </si>
  <si>
    <t>MALDONADO ALVARADO ISENIA</t>
  </si>
  <si>
    <t>73429436</t>
  </si>
  <si>
    <t>GRIJALVA PASCO JOSUE AARON</t>
  </si>
  <si>
    <t>41394931</t>
  </si>
  <si>
    <t>ANTICONA DIAZ JORGE ALONZO</t>
  </si>
  <si>
    <t>73269196</t>
  </si>
  <si>
    <t>CCANTO YLLACONZA MAIRA JOCABET</t>
  </si>
  <si>
    <t>44279300</t>
  </si>
  <si>
    <t>ALFARO VENTURA ANGELICA ISABEL</t>
  </si>
  <si>
    <t>43568661</t>
  </si>
  <si>
    <t>LOAYZA CUBAS GASTON ADOLFO</t>
  </si>
  <si>
    <t>76416934</t>
  </si>
  <si>
    <t>PEÑA PEREZ ROBERTO CARLOS</t>
  </si>
  <si>
    <t>42178444</t>
  </si>
  <si>
    <t>45140273</t>
  </si>
  <si>
    <t>SANCHEZ UCHOFEN ALDO JAVIER</t>
  </si>
  <si>
    <t>41849334</t>
  </si>
  <si>
    <t>BRAVO TORRES GUILLERMO DANIEL</t>
  </si>
  <si>
    <t>75164327</t>
  </si>
  <si>
    <t>CHIRCCA   ASTOQUILCA ANGEL</t>
  </si>
  <si>
    <t>44478180</t>
  </si>
  <si>
    <t>CHAVEZ CORNEJO PATRICIA CRISTINA</t>
  </si>
  <si>
    <t>77356075</t>
  </si>
  <si>
    <t>CORDOVA FERNANDEZ LUIS ALEJANDRO</t>
  </si>
  <si>
    <t>74754416</t>
  </si>
  <si>
    <t>SOTO    SAIRITUPAC JUAN DANIEL</t>
  </si>
  <si>
    <t>47898214</t>
  </si>
  <si>
    <t>CASTILLO CARNERO VIVIANA OMAIRA</t>
  </si>
  <si>
    <t>41983477</t>
  </si>
  <si>
    <t>ZAPATA HERRERA FRANKLYN RICARDO</t>
  </si>
  <si>
    <t>46340982</t>
  </si>
  <si>
    <t>OYARZABAL LOZA GIANMARCO</t>
  </si>
  <si>
    <t>40450325</t>
  </si>
  <si>
    <t>GAZOLO SANGUINETTI PIERO RAFAEL</t>
  </si>
  <si>
    <t>GERENTE DE OPERACIONES SENIOR</t>
  </si>
  <si>
    <t>76824611</t>
  </si>
  <si>
    <t>STUCCHI DEL RIO BRUNO STEFANO</t>
  </si>
  <si>
    <t>78130857</t>
  </si>
  <si>
    <t>SOTO MEZA BRENDA PAMELA</t>
  </si>
  <si>
    <t>72909683</t>
  </si>
  <si>
    <t>FABABA MORI DIERICO MANUEL</t>
  </si>
  <si>
    <t>09495011</t>
  </si>
  <si>
    <t>GUEVARA VEGA MIRIAN ROSARIO</t>
  </si>
  <si>
    <t>92857610</t>
  </si>
  <si>
    <t>RUBIÑOS ROMERO ARIANA CAMILA</t>
  </si>
  <si>
    <t>75607930</t>
  </si>
  <si>
    <t>HERRERA PACHERRES ALDO PIERO</t>
  </si>
  <si>
    <t>44866450</t>
  </si>
  <si>
    <t>PEÑA REYNOSO JESSICA VANESA</t>
  </si>
  <si>
    <t>75074143</t>
  </si>
  <si>
    <t>MIRANDA DE LA CRUZ ARACELI ALONDRA</t>
  </si>
  <si>
    <t>73206334</t>
  </si>
  <si>
    <t>BANCES SANDOVAL JOSE JULIAN</t>
  </si>
  <si>
    <t>60939670</t>
  </si>
  <si>
    <t>TORRES CHOQUECAHUA MASSIEL MARIA HERMELINDA</t>
  </si>
  <si>
    <t>73179747</t>
  </si>
  <si>
    <t>YARLEQUE GOHRING DYLAN PATRICK</t>
  </si>
  <si>
    <t>76290710</t>
  </si>
  <si>
    <t>ARMAS ROQUE MANUEL UBALDO</t>
  </si>
  <si>
    <t>72319845</t>
  </si>
  <si>
    <t>MARTINEZ HURTADO JEFFREY ANDRE LUIS</t>
  </si>
  <si>
    <t>90485124</t>
  </si>
  <si>
    <t>CAMAT ZAPATA MARIEL YAMILEE</t>
  </si>
  <si>
    <t>72077646</t>
  </si>
  <si>
    <t>HUAMAN CARHUAPOMA NAHOMY KATHERINE</t>
  </si>
  <si>
    <t>70714600</t>
  </si>
  <si>
    <t>CUEVA ROJAS LEANDRO JAIR</t>
  </si>
  <si>
    <t>44743269</t>
  </si>
  <si>
    <t>VISAGA ROJAS LIZ MABEL</t>
  </si>
  <si>
    <t>76711676</t>
  </si>
  <si>
    <t>NUÑEZ ALAVA KAREN MILAGROS</t>
  </si>
  <si>
    <t>48332131</t>
  </si>
  <si>
    <t>MORALES BOCANEGRA JESUS ANTONIO</t>
  </si>
  <si>
    <t>25703738</t>
  </si>
  <si>
    <t>GAVELAN LOPEZ MIRIAN GIOVANA</t>
  </si>
  <si>
    <t>45831708</t>
  </si>
  <si>
    <t>MARQUEZ CARMEN PERCY JHONATAN</t>
  </si>
  <si>
    <t>76625105</t>
  </si>
  <si>
    <t>MANRIQUE YBARRA DANIELA REGINA</t>
  </si>
  <si>
    <t>71699795</t>
  </si>
  <si>
    <t>LAURA HANCCO YHON ROYER</t>
  </si>
  <si>
    <t>74695132</t>
  </si>
  <si>
    <t>RAMOS CONDOR ROGER SAMUEL</t>
  </si>
  <si>
    <t>70105400</t>
  </si>
  <si>
    <t>MARTINEZ ALACHE BRILLY ESMERALDA</t>
  </si>
  <si>
    <t>71983777</t>
  </si>
  <si>
    <t>CISNEROS JIMENEZ SMITH ADAMIR</t>
  </si>
  <si>
    <t>70171938</t>
  </si>
  <si>
    <t>GOMEZ SHAPIAMA PEDRO MIGUEL</t>
  </si>
  <si>
    <t>75312002</t>
  </si>
  <si>
    <t>OBREGON GUIZADO ROSITA JULISA</t>
  </si>
  <si>
    <t>48707572</t>
  </si>
  <si>
    <t>BERROCAL RODRIGUEZ KIRTHEL GASDELYTH</t>
  </si>
  <si>
    <t>80977918</t>
  </si>
  <si>
    <t>MATTOS ANDRADE SANDRA NICOL</t>
  </si>
  <si>
    <t>76237083</t>
  </si>
  <si>
    <t>RIOS SEGURA ITALO STEFANO</t>
  </si>
  <si>
    <t>44532102</t>
  </si>
  <si>
    <t>CANALES DELGADO NAVY MILAGROS</t>
  </si>
  <si>
    <t>73239877</t>
  </si>
  <si>
    <t>SANCHEZ OBREGON FLOR DANIELA</t>
  </si>
  <si>
    <t>SEGURIDAD P/T</t>
  </si>
  <si>
    <t>PINEDO AHUANARI LUDITH</t>
  </si>
  <si>
    <t>41238209</t>
  </si>
  <si>
    <t>RUIZ ROJAS INES</t>
  </si>
  <si>
    <t>72848255</t>
  </si>
  <si>
    <t>ACHA ENCISO ALEJANDRA BRIGITTE</t>
  </si>
  <si>
    <t>76213548</t>
  </si>
  <si>
    <t>ALIAGA PEREYRA JULIO ALEXANDER</t>
  </si>
  <si>
    <t>008297510</t>
  </si>
  <si>
    <t>DUN CARRASCO KARY CRISTAL</t>
  </si>
  <si>
    <t>41693972</t>
  </si>
  <si>
    <t>HURTADO ESPINOZA JAIME</t>
  </si>
  <si>
    <t>73824705</t>
  </si>
  <si>
    <t>CORTEZ YNTIMAYTA JESSICA ESTHER</t>
  </si>
  <si>
    <t>10753751</t>
  </si>
  <si>
    <t>CHAUCAS MELCHOR NINA ANGELA</t>
  </si>
  <si>
    <t>75122267</t>
  </si>
  <si>
    <t>SOTO TEPE JEFFERSON JEANPIERRE</t>
  </si>
  <si>
    <t>70702090</t>
  </si>
  <si>
    <t>QUISPE BRINGAS PERCY ZAMMER</t>
  </si>
  <si>
    <t>71886391</t>
  </si>
  <si>
    <t>HUARCAYA APARCANA LUIS DAVID</t>
  </si>
  <si>
    <t>72687836</t>
  </si>
  <si>
    <t>DONAYRE CONTRERAS GABRIELA MERCEDES</t>
  </si>
  <si>
    <t>45876441</t>
  </si>
  <si>
    <t>CHERVELINI ESPINOZA CINDY ANGELICA</t>
  </si>
  <si>
    <t>45299740</t>
  </si>
  <si>
    <t>CORDOVA AREVALO VANESSA DALILA</t>
  </si>
  <si>
    <t>ANALISTA DE OPERACIONES P/T</t>
  </si>
  <si>
    <t>75191149</t>
  </si>
  <si>
    <t>ORRILLO COBIAN ARLITA DEL PILAR</t>
  </si>
  <si>
    <t>74145929</t>
  </si>
  <si>
    <t>ALEJANDRO LLACCHUARIMAY ROGER MANUEL AXCEL</t>
  </si>
  <si>
    <t>62057528</t>
  </si>
  <si>
    <t>HUAYTA ROMAÑOLA ANTONY</t>
  </si>
  <si>
    <t>72126570</t>
  </si>
  <si>
    <t>CARRANZA CHINCHAY MARTHA VIRGINIA</t>
  </si>
  <si>
    <t>009230873</t>
  </si>
  <si>
    <t>RAMIREZ QUIÑONES LUIS ALBERTO</t>
  </si>
  <si>
    <t>74994184</t>
  </si>
  <si>
    <t>ARONI CONDOR HANS PAUL</t>
  </si>
  <si>
    <t>76278772</t>
  </si>
  <si>
    <t>JULCAMANYAN ÑACO YESSENIA</t>
  </si>
  <si>
    <t>45824919</t>
  </si>
  <si>
    <t>VILLEGAS LARA NATALY</t>
  </si>
  <si>
    <t>74702232</t>
  </si>
  <si>
    <t>RICOPA LEIVA EMMA KARINA</t>
  </si>
  <si>
    <t>77486799</t>
  </si>
  <si>
    <t>PUMACAYO OLIVOS HANS DAVID</t>
  </si>
  <si>
    <t>77810198</t>
  </si>
  <si>
    <t>DIAZ MELENDEZ LILIANA</t>
  </si>
  <si>
    <t>76186911</t>
  </si>
  <si>
    <t>PEREZ CALDERON CRISTIAN EDWIN</t>
  </si>
  <si>
    <t>MEGO TORO HECTOR</t>
  </si>
  <si>
    <t>71737423</t>
  </si>
  <si>
    <t>CASTRO DUEÑAS CRISTAL MELODY</t>
  </si>
  <si>
    <t>71286590</t>
  </si>
  <si>
    <t>MARTINEZ COTERA LESLIE JENNIFER CATHERINE</t>
  </si>
  <si>
    <t>19221387</t>
  </si>
  <si>
    <t>RAMOS BRUNO LUIS HERNAN</t>
  </si>
  <si>
    <t>72157201</t>
  </si>
  <si>
    <t>LUJAN CANICELA GIANCARLO</t>
  </si>
  <si>
    <t>60840492</t>
  </si>
  <si>
    <t>GUERRA RIOS ANDRIU</t>
  </si>
  <si>
    <t>47901003</t>
  </si>
  <si>
    <t>RIVERA ORIZANO PEDRO LUIS</t>
  </si>
  <si>
    <t>60396096</t>
  </si>
  <si>
    <t>MENA MORETO ESMERALDA</t>
  </si>
  <si>
    <t>45397858</t>
  </si>
  <si>
    <t>VALDIVIA ZAVALETA JORGE MANUEL</t>
  </si>
  <si>
    <t>ADMINISTRADOR (A)</t>
  </si>
  <si>
    <t>76317162</t>
  </si>
  <si>
    <t>VELASQUEZ GUERRERO MARISOL</t>
  </si>
  <si>
    <t>72088912</t>
  </si>
  <si>
    <t>HUARICALLO NARVAEZ MAXIMILIANA YOBANA</t>
  </si>
  <si>
    <t>70508566</t>
  </si>
  <si>
    <t>MOSQUEIRA SAMAN SERGIO DAVID</t>
  </si>
  <si>
    <t>61281073</t>
  </si>
  <si>
    <t>URIBE HUAMANI ALESSANDRO DEL CARLO</t>
  </si>
  <si>
    <t>73633313</t>
  </si>
  <si>
    <t>PEREZ ROLDAN CRISTHIAN FABRICIO</t>
  </si>
  <si>
    <t>42449588</t>
  </si>
  <si>
    <t>ESQUIVEL SANCHEZ ROBERTO ANTONIO</t>
  </si>
  <si>
    <t>75235066</t>
  </si>
  <si>
    <t>FLORES DIAZ ALESSANDRO ALBERTO</t>
  </si>
  <si>
    <t>DISEÑADOR (A) JUNIOR</t>
  </si>
  <si>
    <t>71869998</t>
  </si>
  <si>
    <t>SANCHEZ  MARTEL ARIANA NICOLE</t>
  </si>
  <si>
    <t>ASISTENTE DE MARKETING</t>
  </si>
  <si>
    <t>74531080</t>
  </si>
  <si>
    <t>RAMIREZ FERRO GERSON JOSUE</t>
  </si>
  <si>
    <t>CHORRILLOS REAL PLAZA</t>
  </si>
  <si>
    <t>60114057</t>
  </si>
  <si>
    <t>TUTUCIMA  RIOS FRANCK EMERSON</t>
  </si>
  <si>
    <t>46550930</t>
  </si>
  <si>
    <t>GRACEY PAREDES KARINA</t>
  </si>
  <si>
    <t>72428687</t>
  </si>
  <si>
    <t>PINEDO  JULCA FANI ESTHER</t>
  </si>
  <si>
    <t>43322040</t>
  </si>
  <si>
    <t>ALFARO CAJAMUNI CHRISTIAN EDER</t>
  </si>
  <si>
    <t>74732692</t>
  </si>
  <si>
    <t>HOSTIA MELGAR VIVIAN MABELL</t>
  </si>
  <si>
    <t>09282806</t>
  </si>
  <si>
    <t>VILLA INVEST S.A.C.</t>
  </si>
  <si>
    <t>VI-ADM</t>
  </si>
  <si>
    <t>PALIZA BAYLON VICENTE PAUL</t>
  </si>
  <si>
    <t>SUPERVISOR DE PRODUCCION</t>
  </si>
  <si>
    <t>42210873</t>
  </si>
  <si>
    <t>06102961</t>
  </si>
  <si>
    <t>CHIN CHAU ROSA</t>
  </si>
  <si>
    <t>48037304</t>
  </si>
  <si>
    <t>ROJAS BAYONA BERUSKA TAMARA</t>
  </si>
  <si>
    <t>09919521</t>
  </si>
  <si>
    <t>MEJIA SEMINO CESAR EDUARDO</t>
  </si>
  <si>
    <t>06770036</t>
  </si>
  <si>
    <t>CALDERON TORRES CESAR AUGUSTO</t>
  </si>
  <si>
    <t>10797021</t>
  </si>
  <si>
    <t>SIU WONG BEATRIZ</t>
  </si>
  <si>
    <t>06759636</t>
  </si>
  <si>
    <t>CENTENO AGUILAR RENE SANTOS</t>
  </si>
  <si>
    <t>71006951</t>
  </si>
  <si>
    <t>MITMA JAUREGUI ABEL</t>
  </si>
  <si>
    <t>42222069</t>
  </si>
  <si>
    <t>MULATILLO JABO MANUEL ALBERTO</t>
  </si>
  <si>
    <t>08648812</t>
  </si>
  <si>
    <t>TREVEJO VIDAL JUAN HOMERO</t>
  </si>
  <si>
    <t>001236577</t>
  </si>
  <si>
    <t>VIEIRA  HUMBERTO LUIZ</t>
  </si>
  <si>
    <t>ASISTENTE CONTRALORIA</t>
  </si>
  <si>
    <t>08597225</t>
  </si>
  <si>
    <t>VERASTEGUI PORRAS VICTOR HUGO</t>
  </si>
  <si>
    <t>47306875</t>
  </si>
  <si>
    <t>IZQUIERDO JORGE LEILE</t>
  </si>
  <si>
    <t>10050159</t>
  </si>
  <si>
    <t>SILVA PEREZ DIEGO</t>
  </si>
  <si>
    <t>74069367</t>
  </si>
  <si>
    <t>LUIS BERNUY YORMAN NICOLE</t>
  </si>
  <si>
    <t>AUXILIAR SISTEMAS</t>
  </si>
  <si>
    <t>45034440</t>
  </si>
  <si>
    <t>AGUIRRE ALVARADO GAIDER DUE</t>
  </si>
  <si>
    <t>44707597</t>
  </si>
  <si>
    <t>HUAMAN RAMIREZ JOEL HIGIDIO</t>
  </si>
  <si>
    <t>43855698</t>
  </si>
  <si>
    <t>GALLARDO ALVA KATYA LIZBETH</t>
  </si>
  <si>
    <t>45674472</t>
  </si>
  <si>
    <t>AGUILAR ESPINOZA DANIEL IDELSO</t>
  </si>
  <si>
    <t>71470529</t>
  </si>
  <si>
    <t>PALOMINO FLORES JILGAR</t>
  </si>
  <si>
    <t>07264494</t>
  </si>
  <si>
    <t>YAURI SALDIVAR MONICA MARGOT</t>
  </si>
  <si>
    <t>01172104</t>
  </si>
  <si>
    <t>ESTRELLA CARTAGENA SEYER</t>
  </si>
  <si>
    <t>JEFE DE SST</t>
  </si>
  <si>
    <t>80540477</t>
  </si>
  <si>
    <t>BARRANTES PARRA AMELIA</t>
  </si>
  <si>
    <t>45395745</t>
  </si>
  <si>
    <t>IZQUIERDO RODRIGUEZ JOSE ENRIQUE</t>
  </si>
  <si>
    <t>33250701</t>
  </si>
  <si>
    <t>ROQUE DIESTRA CASIMIRO</t>
  </si>
  <si>
    <t>47967370</t>
  </si>
  <si>
    <t>CUTIPA PALOMINO JOSUE ROBERTO</t>
  </si>
  <si>
    <t>09631563</t>
  </si>
  <si>
    <t>MATTOS ROSALES ROSAURA ISIDORA</t>
  </si>
  <si>
    <t>46645914</t>
  </si>
  <si>
    <t>FRANCISCO HARO KUENING VALDWING</t>
  </si>
  <si>
    <t>COORDINADOR DE CALIDAD</t>
  </si>
  <si>
    <t>40917128</t>
  </si>
  <si>
    <t>MOORE LOPEZ RAUL SAN MARTIN</t>
  </si>
  <si>
    <t>IQUITOS</t>
  </si>
  <si>
    <t>76078000</t>
  </si>
  <si>
    <t>PIZANGO INUMA WELMER WILLY</t>
  </si>
  <si>
    <t>48104346</t>
  </si>
  <si>
    <t>GONZALES ERAS GIAN MARCO</t>
  </si>
  <si>
    <t>45545428</t>
  </si>
  <si>
    <t>ROJAS CORDOVA WILLIAM LEODAN</t>
  </si>
  <si>
    <t>41322003</t>
  </si>
  <si>
    <t>SIFUENTES HIDALGO ENRIQUE</t>
  </si>
  <si>
    <t>44118799</t>
  </si>
  <si>
    <t>GARCIA FLORES ABEL</t>
  </si>
  <si>
    <t>40637260</t>
  </si>
  <si>
    <t>GUERRA VASQUEZ MAGALY JOAN</t>
  </si>
  <si>
    <t>09454884</t>
  </si>
  <si>
    <t>OSHIRO TAKUSHI HENRY</t>
  </si>
  <si>
    <t>77221040</t>
  </si>
  <si>
    <t>HUAYLLAQUISPE BRAVO ARIANA VALERY</t>
  </si>
  <si>
    <t>44066427</t>
  </si>
  <si>
    <t>SANCHEZ SANCHEZ ISABEL ANGELICA</t>
  </si>
  <si>
    <t>07251300</t>
  </si>
  <si>
    <t>TAMINCHI CURICO MARIA ANDREA</t>
  </si>
  <si>
    <t>09995401</t>
  </si>
  <si>
    <t>ESPINOZA LIMAY PEDRO FRANCISCO DOMINGO</t>
  </si>
  <si>
    <t>77514793</t>
  </si>
  <si>
    <t>YUPANQUI MAYTA ARMANDO RAUL</t>
  </si>
  <si>
    <t>44175023</t>
  </si>
  <si>
    <t>FERREYRA RIOS ROBINSON</t>
  </si>
  <si>
    <t>49022883</t>
  </si>
  <si>
    <t>LEON GUICH YEREMY JEZRAEL</t>
  </si>
  <si>
    <t>47535717</t>
  </si>
  <si>
    <t>BANEO PACAYA FRANCO</t>
  </si>
  <si>
    <t>62126221</t>
  </si>
  <si>
    <t>GARCIA YUPANQUI JEINER LUIS</t>
  </si>
  <si>
    <t>40772997</t>
  </si>
  <si>
    <t>QUISQUICHE CAJA FRANCISCA</t>
  </si>
  <si>
    <t>46710929</t>
  </si>
  <si>
    <t>MERINO AGUILAR JOSE LUIS</t>
  </si>
  <si>
    <t>47025849</t>
  </si>
  <si>
    <t>VI-CALL</t>
  </si>
  <si>
    <t>ARGUEDAS ESPINOZA DE DIAZ FIORELLA MELISSA</t>
  </si>
  <si>
    <t>47704132</t>
  </si>
  <si>
    <t>ASPAJO RUIZ NIXON EULER ROLDAN</t>
  </si>
  <si>
    <t>76094967</t>
  </si>
  <si>
    <t>CHUMBIAUCA HUAYTA MAEBA PAULA</t>
  </si>
  <si>
    <t>72133669</t>
  </si>
  <si>
    <t>HERNANDEZ ZULOETA ALEX ENRIQUE</t>
  </si>
  <si>
    <t>74483757</t>
  </si>
  <si>
    <t>DAZA ACHO RANDI ESCOBAR</t>
  </si>
  <si>
    <t>48615795</t>
  </si>
  <si>
    <t>TACILLA CIESA EDUIN</t>
  </si>
  <si>
    <t>06860097</t>
  </si>
  <si>
    <t>ESPINAL  ROJAS ANTONIO OSVINO</t>
  </si>
  <si>
    <t>45325652</t>
  </si>
  <si>
    <t>CASTRO HILARIO ROGELIO ERARDO</t>
  </si>
  <si>
    <t>72815355</t>
  </si>
  <si>
    <t>VILLENA ROLDAN DIANA</t>
  </si>
  <si>
    <t>70832898</t>
  </si>
  <si>
    <t>REYNO SANCHEZ SANDRA</t>
  </si>
  <si>
    <t>76373569</t>
  </si>
  <si>
    <t>PASTOR CARAZA JIMMY ALBERTO</t>
  </si>
  <si>
    <t>71835514</t>
  </si>
  <si>
    <t>SULCA MOLINA RUSSBELL MOISES</t>
  </si>
  <si>
    <t>25709936</t>
  </si>
  <si>
    <t>VALIENTE MARTINEZ PATTY ALEXANDRA</t>
  </si>
  <si>
    <t>003045915</t>
  </si>
  <si>
    <t>MONCADA JAIMES ALBERT ANDRES</t>
  </si>
  <si>
    <t>47892224</t>
  </si>
  <si>
    <t>ASIAN ÑAUPA SAMANTHA BRISETH</t>
  </si>
  <si>
    <t>46652374</t>
  </si>
  <si>
    <t>TAFUR ROMERO DAVID HENRY</t>
  </si>
  <si>
    <t>00128098</t>
  </si>
  <si>
    <t>PINEDO AHUANARI MANUEL</t>
  </si>
  <si>
    <t>44629005</t>
  </si>
  <si>
    <t>BANEO PACAYA PABLO IGOR</t>
  </si>
  <si>
    <t>70579514</t>
  </si>
  <si>
    <t>CRUZATT  CORONEL MARIA JESUS</t>
  </si>
  <si>
    <t>73117443</t>
  </si>
  <si>
    <t>MEDINA  MAYTA RENZO ALEXANDER</t>
  </si>
  <si>
    <t>10373072</t>
  </si>
  <si>
    <t>GONZALES HUAMANCHA MARTIN DENNIS</t>
  </si>
  <si>
    <t>15431712</t>
  </si>
  <si>
    <t>CARDENAS SULLUCHUCO SIDOLFO MELQUIADES</t>
  </si>
  <si>
    <t>25702247</t>
  </si>
  <si>
    <t>Parravicini Mendoza victoria isabel</t>
  </si>
  <si>
    <t>17617880</t>
  </si>
  <si>
    <t>AYALA SALAZAR ESTANISLAO PEDRO</t>
  </si>
  <si>
    <t>75769317</t>
  </si>
  <si>
    <t>SANDOVAL  FLORES  SIBIA BASTI</t>
  </si>
  <si>
    <t>42597946</t>
  </si>
  <si>
    <t>REYES ALVINO LITMAN</t>
  </si>
  <si>
    <t>007078277</t>
  </si>
  <si>
    <t>SANCHEZ GONZALEZ ADRIN JOSE</t>
  </si>
  <si>
    <t>40126636</t>
  </si>
  <si>
    <t>GARCIA RODRIGUEZ MARCO ANTONIO</t>
  </si>
  <si>
    <t>46783911</t>
  </si>
  <si>
    <t>FLORES RENGIFO JEYSSON POOL</t>
  </si>
  <si>
    <t>71102334</t>
  </si>
  <si>
    <t>CABREJO SILVA JUAN MELCHOR</t>
  </si>
  <si>
    <t>47560816</t>
  </si>
  <si>
    <t>BONETT SANTISTEBAN DIEGO ALBERTO</t>
  </si>
  <si>
    <t>40405815</t>
  </si>
  <si>
    <t>ULLILEN ZEVALLOS CESAR NOLASCO</t>
  </si>
  <si>
    <t>70350431</t>
  </si>
  <si>
    <t>CARRASCO CENEPO AYDELI</t>
  </si>
  <si>
    <t>09975327</t>
  </si>
  <si>
    <t>LATORRE FERNANDEZ NORA NELLY</t>
  </si>
  <si>
    <t>76666794</t>
  </si>
  <si>
    <t>TAFUR OCUMBE GERSON LEVI</t>
  </si>
  <si>
    <t>76250756</t>
  </si>
  <si>
    <t>MAGRO  CARDENAS RUTH GYSELA</t>
  </si>
  <si>
    <t>72005798</t>
  </si>
  <si>
    <t>FIGUEROA FRANCO AXEL STEFANO</t>
  </si>
  <si>
    <t>74654747</t>
  </si>
  <si>
    <t>VALCARCEL  DIAZ JUAN CARLOS</t>
  </si>
  <si>
    <t>72896261</t>
  </si>
  <si>
    <t>YUCRA SANTOS RENZO ARAMIZ</t>
  </si>
  <si>
    <t>005438587</t>
  </si>
  <si>
    <t>MORA  MARTINEZ ANA KARIM</t>
  </si>
  <si>
    <t>73883225</t>
  </si>
  <si>
    <t>CALIXTO MENDEZ DAVID ABRAHAM</t>
  </si>
  <si>
    <t>18827022</t>
  </si>
  <si>
    <t>VELASQUEZ  FERNANDEZ MILAGROS DEL PILAR</t>
  </si>
  <si>
    <t>003601355</t>
  </si>
  <si>
    <t>FIGUEREDO  SANCHEZ ANYELIT ANDREINA</t>
  </si>
  <si>
    <t>71351281</t>
  </si>
  <si>
    <t>ACUÑA HUANGAL ALISSON VALERY</t>
  </si>
  <si>
    <t>45149763</t>
  </si>
  <si>
    <t>CALDERON SUARES JULIO CESAR</t>
  </si>
  <si>
    <t>41250818</t>
  </si>
  <si>
    <t>VALDERA VALDERA MARIA ANGELA</t>
  </si>
  <si>
    <t>71747756</t>
  </si>
  <si>
    <t>BERROCAL GUERRA ALISSON BRIGITTE</t>
  </si>
  <si>
    <t>46687329</t>
  </si>
  <si>
    <t>PASCO MARTINEZ JANET DEL PILAR</t>
  </si>
  <si>
    <t>48538813</t>
  </si>
  <si>
    <t>TOVAR  TUIRIMA JHON FRAY</t>
  </si>
  <si>
    <t>71640097</t>
  </si>
  <si>
    <t>CHIPANA ESPEJO ANGEL LUIS</t>
  </si>
  <si>
    <t>40643711</t>
  </si>
  <si>
    <t>LOPEZ VIDAL GIANCARLO</t>
  </si>
  <si>
    <t>41721516</t>
  </si>
  <si>
    <t>CHOQUEHUANCA GUIZADO NINO AURELIO</t>
  </si>
  <si>
    <t>73352922</t>
  </si>
  <si>
    <t xml:space="preserve">GARCIA CAHUAZA ROSARIO DEL PILAR </t>
  </si>
  <si>
    <t>42347839</t>
  </si>
  <si>
    <t>SALINAS VERTIZ YDANIA JAZMIN</t>
  </si>
  <si>
    <t>46551036</t>
  </si>
  <si>
    <t>CATANIA ALEMAN FRANCESCO VINCENZO</t>
  </si>
  <si>
    <t>40528372</t>
  </si>
  <si>
    <t>MARIUS BUENAÑO MARJORIE MONICA</t>
  </si>
  <si>
    <t>47931393</t>
  </si>
  <si>
    <t>SANCHEZ MANCILLA LIZETH ROSARIO</t>
  </si>
  <si>
    <t>41224498</t>
  </si>
  <si>
    <t>AYALA TERRAZAS DANIEL ERIC</t>
  </si>
  <si>
    <t>74760283</t>
  </si>
  <si>
    <t>GUTIERREZ QUISPITONGO CHRISTOPHER SAUL</t>
  </si>
  <si>
    <t>71863631</t>
  </si>
  <si>
    <t>YARANGA ALFARO MARCIAL</t>
  </si>
  <si>
    <t>80365964</t>
  </si>
  <si>
    <t>COBIAN BARRERA JHOVANA DEL PILAR</t>
  </si>
  <si>
    <t>72896244</t>
  </si>
  <si>
    <t xml:space="preserve">YUCRA SANTOS  GABRIEL EDUARDO </t>
  </si>
  <si>
    <t>REYES RAMIREZ DIANA YOLI</t>
  </si>
  <si>
    <t>45983609</t>
  </si>
  <si>
    <t>ANICAMA PIÑA RUFFO ENRIQUE</t>
  </si>
  <si>
    <t>45669253</t>
  </si>
  <si>
    <t>MOLINA RODRIGUEZ JOHN BERNT</t>
  </si>
  <si>
    <t>46454192</t>
  </si>
  <si>
    <t>ATOCHE SEMINARIO FABIOLA MILAGROS</t>
  </si>
  <si>
    <t>09902689</t>
  </si>
  <si>
    <t>SILVA DIAZ SANTOS ONAHAN</t>
  </si>
  <si>
    <t>41223715</t>
  </si>
  <si>
    <t>VELASQUEZ FERNANDEZ VILMA DORIS</t>
  </si>
  <si>
    <t>72567271</t>
  </si>
  <si>
    <t xml:space="preserve">PEÑALOZA CONDEZO AMALIA SOFIA </t>
  </si>
  <si>
    <t>70453945</t>
  </si>
  <si>
    <t xml:space="preserve">GARCIA  MARQUEZ KAREN MARIA </t>
  </si>
  <si>
    <t>002037037</t>
  </si>
  <si>
    <t>VILLALOBOS LOPEZ PEDRO LUIS</t>
  </si>
  <si>
    <t>73669046</t>
  </si>
  <si>
    <t>OVALLE ESCOBAR BRYAN ALEJANDRO</t>
  </si>
  <si>
    <t>74079493</t>
  </si>
  <si>
    <t>RAMOS  SORIA  DAMY MARINA</t>
  </si>
  <si>
    <t>76310677</t>
  </si>
  <si>
    <t>YATACO HERNANDEZ MARIA KATTERINE</t>
  </si>
  <si>
    <t>005916533</t>
  </si>
  <si>
    <t>VIZCAYA  MORENO RAUL EDUARDO</t>
  </si>
  <si>
    <t>007027584</t>
  </si>
  <si>
    <t>ARTEAGA RODRIGUEZ  KELLY MICHELL</t>
  </si>
  <si>
    <t>74752682</t>
  </si>
  <si>
    <t>SILVA LATORRE MONICA</t>
  </si>
  <si>
    <t>48329746</t>
  </si>
  <si>
    <t xml:space="preserve">SHAHUANO  RAMIREZ JHAN CARLOS </t>
  </si>
  <si>
    <t>71649608</t>
  </si>
  <si>
    <t>CHAVEZ BOLAÑOS EDWIN</t>
  </si>
  <si>
    <t>62530207</t>
  </si>
  <si>
    <t>SALAS  SANTOS ASUNCION</t>
  </si>
  <si>
    <t>ANALISTA DE FINANZAS</t>
  </si>
  <si>
    <t>73468184</t>
  </si>
  <si>
    <t>ROJAS BAYONA CAROLA MARGARITA</t>
  </si>
  <si>
    <t>72635183</t>
  </si>
  <si>
    <t>KOU MANSILLA DANIEL FRANCISCO</t>
  </si>
  <si>
    <t>71265628</t>
  </si>
  <si>
    <t>ESPINOZA CHARA ARIANA HATSUMI</t>
  </si>
  <si>
    <t>76541099</t>
  </si>
  <si>
    <t>CARRION  AGUADO  GERALDIN YESBEL</t>
  </si>
  <si>
    <t>60790343</t>
  </si>
  <si>
    <t>BERROCAL GUERRA ANGEL FREDDY</t>
  </si>
  <si>
    <t>74739525</t>
  </si>
  <si>
    <t>ROJAS CORDOVA ALFREDO</t>
  </si>
  <si>
    <t>10484588</t>
  </si>
  <si>
    <t>BERMEO AREVALO ANA ROSA</t>
  </si>
  <si>
    <t>42792686</t>
  </si>
  <si>
    <t>BARDALES PASMIÑO DANNY AGUSTIN</t>
  </si>
  <si>
    <t>45240961</t>
  </si>
  <si>
    <t>DE LA CRUZ  RAMOS  ALICIA MARILU</t>
  </si>
  <si>
    <t>71235679</t>
  </si>
  <si>
    <t>HILARIO CHANAME CAMILA SOFIA</t>
  </si>
  <si>
    <t>73423804</t>
  </si>
  <si>
    <t xml:space="preserve">GONZALES BUSTINZA JOSUE SAMUEL </t>
  </si>
  <si>
    <t>78015923</t>
  </si>
  <si>
    <t>VEGA CHAUCAS PIERO FRANCIS</t>
  </si>
  <si>
    <t>45112544</t>
  </si>
  <si>
    <t>DIAZ PINTADO JEAN PAUL</t>
  </si>
  <si>
    <t>90726845</t>
  </si>
  <si>
    <t>GALARZA PAPUICO JAKELYN KARINA</t>
  </si>
  <si>
    <t>44165788</t>
  </si>
  <si>
    <t xml:space="preserve">CARBAJAL PILLACA  JOSE LUIS </t>
  </si>
  <si>
    <t>41645294</t>
  </si>
  <si>
    <t>QUISPE  PEREZ ROSE MARY JENNY</t>
  </si>
  <si>
    <t>73117444</t>
  </si>
  <si>
    <t>MEDINA MAYTA FRANCO DANIEL</t>
  </si>
  <si>
    <t>76299473</t>
  </si>
  <si>
    <t>CHINCHAY LOZANO LEILA MACLAINE</t>
  </si>
  <si>
    <t>70097590</t>
  </si>
  <si>
    <t xml:space="preserve">TORRES COTERA VICTOR ALONSO </t>
  </si>
  <si>
    <t>48747298</t>
  </si>
  <si>
    <t xml:space="preserve">VALENCIA  CLAUDIO  CRISTIAN JESUS </t>
  </si>
  <si>
    <t>77702834</t>
  </si>
  <si>
    <t xml:space="preserve">ANGELES BONILLA EVELIA KATHERINE </t>
  </si>
  <si>
    <t>70041037</t>
  </si>
  <si>
    <t>LOPEZ CORO EDINSON ALONSO</t>
  </si>
  <si>
    <t>73694010</t>
  </si>
  <si>
    <t>ADRIANO PEÑA FAUSTINO</t>
  </si>
  <si>
    <t>76535308</t>
  </si>
  <si>
    <t>MILOZZI JUANICO ANGELO HORACCIO</t>
  </si>
  <si>
    <t>72457004</t>
  </si>
  <si>
    <t>PEREZ  BARRANTES LUIS AARON</t>
  </si>
  <si>
    <t>60766917</t>
  </si>
  <si>
    <t>RIMARACHIN ORTIZ CRISSTELL NIKOL</t>
  </si>
  <si>
    <t>47301765</t>
  </si>
  <si>
    <t>MARCHENA VEGA SARITA MILAGROS</t>
  </si>
  <si>
    <t>73027242</t>
  </si>
  <si>
    <t>RAMIREZ SEMINARIO DAIANNE XIOMARA</t>
  </si>
  <si>
    <t>75406075</t>
  </si>
  <si>
    <t>CORNEJO  CASTILLO ERICK JOEL</t>
  </si>
  <si>
    <t>005703866</t>
  </si>
  <si>
    <t>TRUJILLO VARGAS MARIFLOR</t>
  </si>
  <si>
    <t>71315848</t>
  </si>
  <si>
    <t>ORTIZ  REYNOSO GABRIELA</t>
  </si>
  <si>
    <t>74752683</t>
  </si>
  <si>
    <t>SILVA LATORRE GRACE KELLY</t>
  </si>
  <si>
    <t>72656598</t>
  </si>
  <si>
    <t xml:space="preserve">NEGREIROS BERAUN  DIEGO ARMANDO </t>
  </si>
  <si>
    <t>60989731</t>
  </si>
  <si>
    <t xml:space="preserve">VALDERA ACOSTA  REYMAN JESUS </t>
  </si>
  <si>
    <t>75069157</t>
  </si>
  <si>
    <t>MONTALVAN FACHIN ANDRE EMANUEL</t>
  </si>
  <si>
    <t>60890562</t>
  </si>
  <si>
    <t>LOAYZA ASCENCIOS DIEGO STEFFANO</t>
  </si>
  <si>
    <t>61932533</t>
  </si>
  <si>
    <t>VENTURA  CAPCHA MARÍA DEL CARMEN SOLEDAD</t>
  </si>
  <si>
    <t>75624688</t>
  </si>
  <si>
    <t>NAVARRO MAGUIÑA LESLY ROSARIO</t>
  </si>
  <si>
    <t>72138521</t>
  </si>
  <si>
    <t>QUEZADA OCHOA FISHER JOSSEPH</t>
  </si>
  <si>
    <t>46899124</t>
  </si>
  <si>
    <t>CARDENAS RUIZ LEO  GEANCARLO</t>
  </si>
  <si>
    <t>008392225</t>
  </si>
  <si>
    <t>GOMEZ VILLAFRANCA JESUS EDUARDO</t>
  </si>
  <si>
    <t>74200870</t>
  </si>
  <si>
    <t xml:space="preserve">QUISPE CAMPOS PIERO ALEXANDER FARID </t>
  </si>
  <si>
    <t>60429595</t>
  </si>
  <si>
    <t>CALIXTRO QUISQUICHE VICTOR MANUEL</t>
  </si>
  <si>
    <t>40133783</t>
  </si>
  <si>
    <t xml:space="preserve">CACHIQUE PACAYA DIANA </t>
  </si>
  <si>
    <t>72604443</t>
  </si>
  <si>
    <t>RONDON  NAKANDAKARI MILAGROS GABRIELA</t>
  </si>
  <si>
    <t>72566971</t>
  </si>
  <si>
    <t>BALDEON VASQUEZ BENJAMIN</t>
  </si>
  <si>
    <t>40004734</t>
  </si>
  <si>
    <t xml:space="preserve">BLAS  MAGUIÑA LUCIA ELIZABETH </t>
  </si>
  <si>
    <t>70636668</t>
  </si>
  <si>
    <t>RUIZ SAMANIEGO  JOSELYN NICOLL</t>
  </si>
  <si>
    <t>46452894</t>
  </si>
  <si>
    <t>MENDIETA CARRASCO CLAUDIA MERCEDES</t>
  </si>
  <si>
    <t>43655584</t>
  </si>
  <si>
    <t>ALIAGA NORIEGA YRENE ADELIT</t>
  </si>
  <si>
    <t>10287961</t>
  </si>
  <si>
    <t>IGLESIAS MATOS ENRIQUE MANUEL</t>
  </si>
  <si>
    <t>76114867</t>
  </si>
  <si>
    <t>ISUISA PEREZ BILLY</t>
  </si>
  <si>
    <t>71844839</t>
  </si>
  <si>
    <t>FELIX PLASENCIA JOSE MIGUEL</t>
  </si>
  <si>
    <t>75165050</t>
  </si>
  <si>
    <t>BARTRA OTERO JHON BRYAN</t>
  </si>
  <si>
    <t>47919115</t>
  </si>
  <si>
    <t>WALDE SANTOYA VALENTINO ABEL</t>
  </si>
  <si>
    <t>46044922</t>
  </si>
  <si>
    <t>MANAYAY MANAYAY EDGAR YOVANI</t>
  </si>
  <si>
    <t>74038043</t>
  </si>
  <si>
    <t>LITANO DELGADO ALEXIS DAVID</t>
  </si>
  <si>
    <t>76061065</t>
  </si>
  <si>
    <t>HUARCAYA HUAMAN BRANCO ANTONIO</t>
  </si>
  <si>
    <t>48482123</t>
  </si>
  <si>
    <t>MOENA GARCIA GERSON</t>
  </si>
  <si>
    <t>62015881</t>
  </si>
  <si>
    <t>TAPULLIMA MURAYARI RAHIJIMAR</t>
  </si>
  <si>
    <t>75912094</t>
  </si>
  <si>
    <t>BECERRA ACUÑA EVELYN MILAGROS</t>
  </si>
  <si>
    <t>74739520</t>
  </si>
  <si>
    <t>CALLE ROJAS TEODULO</t>
  </si>
  <si>
    <t>46388101</t>
  </si>
  <si>
    <t>DURAND ESPINOZA ROSMERY MARIBEL</t>
  </si>
  <si>
    <t>74719171</t>
  </si>
  <si>
    <t>GUTIERREZ ZARATE CHRISTOFHER POOL</t>
  </si>
  <si>
    <t>48484772</t>
  </si>
  <si>
    <t>ROSALES SONO LENIN ANTONI</t>
  </si>
  <si>
    <t>76072686</t>
  </si>
  <si>
    <t>PANDURO NUÑEZ VIVIANA ALEXANDRA</t>
  </si>
  <si>
    <t>42765361</t>
  </si>
  <si>
    <t>ABASTECEDORA ALIMENTICIA S.A.C.</t>
  </si>
  <si>
    <t>ABASTECEDORA ALIMENTICIA</t>
  </si>
  <si>
    <t xml:space="preserve">RAMON YAJAHUANCA, LUCIANO    </t>
  </si>
  <si>
    <t>PRODUCCION DE CREMAS</t>
  </si>
  <si>
    <t>70975018</t>
  </si>
  <si>
    <t xml:space="preserve">SIAS ISUIZA, BRANDY                                          </t>
  </si>
  <si>
    <t>ALMACENERO</t>
  </si>
  <si>
    <t>44424145</t>
  </si>
  <si>
    <t>CRISTOBAL HUACHO, ROBERTO</t>
  </si>
  <si>
    <t>10279690</t>
  </si>
  <si>
    <t>PEREA DEL AGUILA, SILVIA LUZ</t>
  </si>
  <si>
    <t>AUDITORA</t>
  </si>
  <si>
    <t>C.EXT. N° 002328505</t>
  </si>
  <si>
    <t>RODRIGUEZ FIGUERA, HECTOR JOSE</t>
  </si>
  <si>
    <t xml:space="preserve">CONDUCTOR </t>
  </si>
  <si>
    <t>09692328</t>
  </si>
  <si>
    <t xml:space="preserve">AYALA TENORIO, MAXIMO    </t>
  </si>
  <si>
    <t>CONDUCTOR</t>
  </si>
  <si>
    <t>46482923</t>
  </si>
  <si>
    <t>MELO MUÑIZ, REVELINO</t>
  </si>
  <si>
    <t>46548840</t>
  </si>
  <si>
    <t>ISUIZA OJANAMA, CHARLES JHON</t>
  </si>
  <si>
    <t>LIMPIEZA/ AYUD. DE REPARTO</t>
  </si>
  <si>
    <t>76528091</t>
  </si>
  <si>
    <t>LAZARO SURICHAQUI, JOSE LUIS</t>
  </si>
  <si>
    <t>70975006</t>
  </si>
  <si>
    <t>SHAPIAMA ESCUDERO, MIGUEL ANGEL</t>
  </si>
  <si>
    <t>AYUDANTE DE REPARTO/ALMACENERO</t>
  </si>
  <si>
    <t>06677217</t>
  </si>
  <si>
    <t>VILLAR RUIZ, ROSSANA</t>
  </si>
  <si>
    <t>LIMPIEZA</t>
  </si>
  <si>
    <t>77079141</t>
  </si>
  <si>
    <t>QUISPE VILCHEZ, MIKI LUIS</t>
  </si>
  <si>
    <t>PRODUCCION DE ADEREZO</t>
  </si>
  <si>
    <t>71992705</t>
  </si>
  <si>
    <t>CRISTOBAL AYALA, RAUL ARTURO</t>
  </si>
  <si>
    <t>15580242</t>
  </si>
  <si>
    <t>YONG YI, JUAN GUILLERMO</t>
  </si>
  <si>
    <t>05856678</t>
  </si>
  <si>
    <t>SIAS MELENDEZ, WALTER</t>
  </si>
  <si>
    <t>22506607</t>
  </si>
  <si>
    <t>CRISTOBAL RAMIREZ, RAUL KLEBER</t>
  </si>
  <si>
    <t>MOROTE VICAÑA, WALTHER</t>
  </si>
  <si>
    <t>CONDUCTOR/ASIST. DE GERENCIA</t>
  </si>
  <si>
    <t>CRISTOBAL AYALA, ALVARO</t>
  </si>
  <si>
    <t>KONG CHIN, CARLOS ALFREDO</t>
  </si>
  <si>
    <t>VILLADEZA MOLINA, CRISTIAN FABIAN</t>
  </si>
  <si>
    <t>AYUDANTE DE REPARTO</t>
  </si>
  <si>
    <t>SANTIAGO AYALA, YERSON</t>
  </si>
  <si>
    <t>PRODUCCION DE VERDURAS</t>
  </si>
  <si>
    <t>VASQUEZ SHAPIAMA, DANY</t>
  </si>
  <si>
    <t>LEE CHUY, JHONNY GUILLERMO</t>
  </si>
  <si>
    <t>GERENTE DE IMPORTACIONES</t>
  </si>
  <si>
    <t>SALHUANA MENDOZA, KAROL ROMINA</t>
  </si>
  <si>
    <t>ASISTENTE DE LOGISTICA</t>
  </si>
  <si>
    <t>VERTIZ GARCIA, MAYUMI ALEJANDRA</t>
  </si>
  <si>
    <t>JEFE DE PRODUCCION Y CALIDAD</t>
  </si>
  <si>
    <t>SUPERVISORA DE CALIDAD</t>
  </si>
  <si>
    <t>LLANOS SILVA, LENER</t>
  </si>
  <si>
    <t>CRISOSTOMO DIAZ, ANTONIO</t>
  </si>
  <si>
    <t>ASISTENTE DE AUDITORIA</t>
  </si>
  <si>
    <t>TELLO TUANAMA, NEIDER AUGUSTO</t>
  </si>
  <si>
    <t>ASISTENTE COMERCIAL</t>
  </si>
  <si>
    <t>ROJAS TADEO, JOEL</t>
  </si>
  <si>
    <t>OPERARIO DE VERDURAS</t>
  </si>
  <si>
    <t>CALDAS UGAZ, JUAN MARTIN</t>
  </si>
  <si>
    <t>GERENTE COMERCIAL</t>
  </si>
  <si>
    <t>BIASCA MAURTUA, ROSARIO JHOANNE</t>
  </si>
  <si>
    <t>PRODUCCIÓN DE VERDURAS</t>
  </si>
  <si>
    <t>70266532</t>
  </si>
  <si>
    <t>TUBILLAS MOSQUEDA, ROBERTO CARLOS</t>
  </si>
  <si>
    <t>OPERARIO DE PRODUCCION</t>
  </si>
  <si>
    <t>74476077</t>
  </si>
  <si>
    <t>LAZARO SAPALLANAY, ROMER LUIS</t>
  </si>
  <si>
    <t>76448439</t>
  </si>
  <si>
    <t>YAÑEZ VALENZUELA, LIZETH IVONNE</t>
  </si>
  <si>
    <t>AUXILIAR DE RECURSOS HUMANOS</t>
  </si>
  <si>
    <t>44302104</t>
  </si>
  <si>
    <t>CASTRO GASTELO, RAYMUNDO</t>
  </si>
  <si>
    <t>TECNICO EN MANTENIMIENTO</t>
  </si>
  <si>
    <t>75181261</t>
  </si>
  <si>
    <t>INFANZON GARCIA, GERARDO DANIEL</t>
  </si>
  <si>
    <t>AUXILIAR DE ALMACEN</t>
  </si>
  <si>
    <t>70630508</t>
  </si>
  <si>
    <t>CADILLO DONOLLA, AARON JARECK</t>
  </si>
  <si>
    <t>76732747</t>
  </si>
  <si>
    <t>ORTIZ ABARCA, YAT SHENG SLAYDER</t>
  </si>
  <si>
    <t>AYUDANTE DE COMPRAS</t>
  </si>
  <si>
    <t>75466793</t>
  </si>
  <si>
    <t>GUZMAN HUAMAN, RUTH MIRELLA</t>
  </si>
  <si>
    <t>46394349</t>
  </si>
  <si>
    <t>HILARIO CANCHO, FELIPE JOHN</t>
  </si>
  <si>
    <t>74300677</t>
  </si>
  <si>
    <t>TULUMBA CASTILLO, TOMY LEE</t>
  </si>
  <si>
    <t>AUXILIAR DE REPARTO</t>
  </si>
  <si>
    <t>77665345</t>
  </si>
  <si>
    <t>SERNAQUE ADANAQUE, JUAN JAIRO</t>
  </si>
  <si>
    <t>42818912</t>
  </si>
  <si>
    <t>MORENO PRINCIPE, JULIA GLADYS</t>
  </si>
  <si>
    <t>OPERARIO DE LIMPIEZA</t>
  </si>
  <si>
    <t>42914807</t>
  </si>
  <si>
    <t>MOROCHO FLORES, PERCY</t>
  </si>
  <si>
    <t>60095314</t>
  </si>
  <si>
    <t>REYES ROMERO, YOSMEL RONALDO</t>
  </si>
  <si>
    <t>46756675</t>
  </si>
  <si>
    <t>VALENCIA ANCAJIMA, JESSICA</t>
  </si>
  <si>
    <t>75087521</t>
  </si>
  <si>
    <t>CORTEZ CABALLERO, JEAN PIERRE</t>
  </si>
  <si>
    <t>44620730</t>
  </si>
  <si>
    <t>LAYDES HUIÑAPI, LUCIA</t>
  </si>
  <si>
    <t>42599000</t>
  </si>
  <si>
    <t>BARSOLA LAURENTE, ORLANDO</t>
  </si>
  <si>
    <t>70057638</t>
  </si>
  <si>
    <t>ACHULLA PARCO, ELIZABETH RUTH</t>
  </si>
  <si>
    <t>SUPERVISORA DE PRODUCCIÓN</t>
  </si>
  <si>
    <t>43199319</t>
  </si>
  <si>
    <t>FLORES OLAYA, ROSITA FIORELLA</t>
  </si>
  <si>
    <t>75682937</t>
  </si>
  <si>
    <t>BRUNNER SHAHUANO, CHELCEA</t>
  </si>
  <si>
    <t>42913826</t>
  </si>
  <si>
    <t>CHAVEZ ALBIRENA, ALEXANDER MARTIN</t>
  </si>
  <si>
    <t>73975999</t>
  </si>
  <si>
    <t>MONTERO RENGIFO, LUIS SANTIAGO</t>
  </si>
  <si>
    <t>48075765</t>
  </si>
  <si>
    <t>MADALENGOITIA BARUA, DANIEL ELIAS</t>
  </si>
  <si>
    <t>ANALISTA COMERCIAL</t>
  </si>
  <si>
    <t>25464972</t>
  </si>
  <si>
    <t>GUEVARA MAMULADA, TEOFILO BENEDICTO</t>
  </si>
  <si>
    <t>60639796</t>
  </si>
  <si>
    <t>ALARCON ASASI, ADRIAN FERNANDO</t>
  </si>
  <si>
    <t>C.EXT. N° 003649477</t>
  </si>
  <si>
    <t>GIL CORREA, DAIMOND LEONAR</t>
  </si>
  <si>
    <t>07619997</t>
  </si>
  <si>
    <t>KIKO'S HABICH</t>
  </si>
  <si>
    <t>HERRERA IBAÑEZ, LUIS ANGEL</t>
  </si>
  <si>
    <t>CUZQUE GARCIA, UBALDO</t>
  </si>
  <si>
    <t>VELA CRISOSTOMO, JOB</t>
  </si>
  <si>
    <t xml:space="preserve">AYUD. CRIOLLO </t>
  </si>
  <si>
    <t>ZURITA CORDOVA, MERCEDES</t>
  </si>
  <si>
    <t>SAHUANGA JIVAJA, NOEMI</t>
  </si>
  <si>
    <t>AGREDA LIÑAN, ELMER WILFREDO</t>
  </si>
  <si>
    <t>CUEVA RODRIGUEZ, NILTON JENRY</t>
  </si>
  <si>
    <t>VELA LANDA, JUAN MARCOS</t>
  </si>
  <si>
    <t>AYUD. DE COCINA</t>
  </si>
  <si>
    <t>BAUTISTA BARTOLO, FERNANDO MIGUEL</t>
  </si>
  <si>
    <t>76778614</t>
  </si>
  <si>
    <t>MALAFAYA FLORES, MEHETABEL</t>
  </si>
  <si>
    <t>73755938</t>
  </si>
  <si>
    <t>MERMA HUAMAN, NANCY VALESKA JUDIT</t>
  </si>
  <si>
    <t>77135587</t>
  </si>
  <si>
    <t>DIAZ ESTELA, JILVER</t>
  </si>
  <si>
    <t>72652446</t>
  </si>
  <si>
    <t>RIVERA LOPEZ, LUCERO GABRIELA</t>
  </si>
  <si>
    <t>74973161</t>
  </si>
  <si>
    <t>FERNANDEZ CRUZ, JOSE ALEXIS</t>
  </si>
  <si>
    <t>46977572</t>
  </si>
  <si>
    <t>OBREGON ROCA, ADELAIDA ERIKA</t>
  </si>
  <si>
    <t>60433889</t>
  </si>
  <si>
    <t>MACALOPU PITA, MARTIN VICTOR MIGUEL</t>
  </si>
  <si>
    <t>48011261</t>
  </si>
  <si>
    <t>DE LA O MORALES, MARYNES</t>
  </si>
  <si>
    <t>48588583</t>
  </si>
  <si>
    <t>MEJIA MELGAREJO, ADELA LIDA</t>
  </si>
  <si>
    <t>ADMINISTRADORA</t>
  </si>
  <si>
    <t>KIKO'S VENTANILLA</t>
  </si>
  <si>
    <t>BURE MIJAHUANGA, AMERIDA</t>
  </si>
  <si>
    <t>CORDOVA CORDOVA, ALDO ALFREDO</t>
  </si>
  <si>
    <t>ORTIZ CADILLO, MACARIO FAUSTINO</t>
  </si>
  <si>
    <t>VILCABANA REYES, WILMER</t>
  </si>
  <si>
    <t>TARRILLO FUSTAMANTE, CESAR ABEL</t>
  </si>
  <si>
    <t>80978138</t>
  </si>
  <si>
    <t>GONZALES DEL AGUILA, FIORELLA NALLELY</t>
  </si>
  <si>
    <t>CONDOR CASTRO, LUIS MIGUEL</t>
  </si>
  <si>
    <t>PALOMINO AYALA, IRIS</t>
  </si>
  <si>
    <t>COCINERA</t>
  </si>
  <si>
    <t>KIKO'S SAN JUAN 1</t>
  </si>
  <si>
    <t>FLORES RODRIGUEZ, LIZ NERY</t>
  </si>
  <si>
    <t>ASIST. ADMINISTRATIVA</t>
  </si>
  <si>
    <t>GONZALES LLONTOP, MARCOS</t>
  </si>
  <si>
    <t>47346266</t>
  </si>
  <si>
    <t>ABANTO TOCAS, ELVIA</t>
  </si>
  <si>
    <t>PACAYA TUANAMA, CESAR AUGUSTO</t>
  </si>
  <si>
    <t>CHATE ESPICHAN, CAMILA VICTORIA</t>
  </si>
  <si>
    <t>SUELDO HUILCA, NANCI</t>
  </si>
  <si>
    <t>VICENCIO DEL CASTILLO, MARGORIT LESLY</t>
  </si>
  <si>
    <t>TUESTA VILLANUEVA, DANY ANABEL</t>
  </si>
  <si>
    <t>74324541</t>
  </si>
  <si>
    <t>GUERRERO UNTIVEROS, ROSA ANGELA</t>
  </si>
  <si>
    <t>JUAN GUILLERMO YONG YI</t>
  </si>
  <si>
    <t>KIKO'S PUENTE PIEDRA 1</t>
  </si>
  <si>
    <t>AGUILAR LOAYZA, YOLANDO</t>
  </si>
  <si>
    <t>43977509</t>
  </si>
  <si>
    <t>LOZANO VILLOSLADA, YSABEL MARINA</t>
  </si>
  <si>
    <t>44299920</t>
  </si>
  <si>
    <t>TENORIO DELGADO, ASUNCION</t>
  </si>
  <si>
    <t>CRUZ VERA, JEFFERSON SMITH</t>
  </si>
  <si>
    <t>40830480</t>
  </si>
  <si>
    <t>ZAMORA VARGAS, WILDER</t>
  </si>
  <si>
    <t>DE LA CRUZ RINZA, EMILIANO</t>
  </si>
  <si>
    <t>09143273</t>
  </si>
  <si>
    <t>DIONICIO BEINGOLEA DE ARO, ROSA ADOLFINA</t>
  </si>
  <si>
    <t>BURGA LEYVA, LEYNI</t>
  </si>
  <si>
    <t>AYUDANTE DE PIZZA</t>
  </si>
  <si>
    <t>FARCEQUE SANTOS, NOEMI</t>
  </si>
  <si>
    <t>CAPCHA PEREZ, AMADOR CRISTOFER</t>
  </si>
  <si>
    <t>PARRILLERO</t>
  </si>
  <si>
    <t>ESCOBAR MOU, KAREN AILEN</t>
  </si>
  <si>
    <t>PINEDO HERRERA, ABEL GENRRE</t>
  </si>
  <si>
    <t>MEZARINA BUIZA, NANCY</t>
  </si>
  <si>
    <t>CRUZ SULLÓN, MARICIELO</t>
  </si>
  <si>
    <t>ORTIZ CHACON, EMELINA</t>
  </si>
  <si>
    <t>CARDENAS ALLENDE, JUANA</t>
  </si>
  <si>
    <t>TAMAYO TAMANI, ANDY BRUNO</t>
  </si>
  <si>
    <t>RAMOS GOMEZ, JHOSTYN MANUEL</t>
  </si>
  <si>
    <t>75700083</t>
  </si>
  <si>
    <t>FERMIN BASILIO, CRUZ MERY</t>
  </si>
  <si>
    <t>60277367</t>
  </si>
  <si>
    <t>SENCIA HUACHACA, YUDIT ZONALY</t>
  </si>
  <si>
    <t>71276658</t>
  </si>
  <si>
    <t>HUAMAN PACOSH, RAISA PAHOLA</t>
  </si>
  <si>
    <t>QUIÑONES GUEVARA, YASMIN ISABEL</t>
  </si>
  <si>
    <t>73183068</t>
  </si>
  <si>
    <t>MONTEZA GUIVAR, DEYNER</t>
  </si>
  <si>
    <t>44922821</t>
  </si>
  <si>
    <t>BERAUN AGUILAR, JUAN CARLOS</t>
  </si>
  <si>
    <t>72915552</t>
  </si>
  <si>
    <t>CAMUS DEL AGUILA, SCARLITH AZUSENA</t>
  </si>
  <si>
    <t>KIKO'S VILLA 1</t>
  </si>
  <si>
    <t>COTRINA LIZANA, DEISY YANET</t>
  </si>
  <si>
    <t>VILLAVERDE MEZA, PAULINO ARTURO</t>
  </si>
  <si>
    <t>HUANUQUEÑO VILLANUEVA, SHEYLA</t>
  </si>
  <si>
    <t>PEÑA RUCOBA, JACK ARMANDO</t>
  </si>
  <si>
    <t>76614718</t>
  </si>
  <si>
    <t>ALCALA HUAPAYA, ANYI DANICSA</t>
  </si>
  <si>
    <t>63341679</t>
  </si>
  <si>
    <t>TAMANI PACAYA, GENESIS</t>
  </si>
  <si>
    <t>75638866</t>
  </si>
  <si>
    <t>VALLES FLORES, ANDY</t>
  </si>
  <si>
    <t>76327776</t>
  </si>
  <si>
    <t>ALVARADO HUANCAS, HENRRY LI</t>
  </si>
  <si>
    <t>22988215</t>
  </si>
  <si>
    <t>MELGAREJO &amp; LAU INVERSIONES S.A.C.</t>
  </si>
  <si>
    <t>MUÑOZ CESPEDES, ROSA LUZ</t>
  </si>
  <si>
    <t>74579246</t>
  </si>
  <si>
    <t>AGURTO BRAVO, LUIGGI PAOLO</t>
  </si>
  <si>
    <t>ASISTENTE DE RR. HH.</t>
  </si>
  <si>
    <t>ACEVEDO VILCHEZ, KEILA MERALI</t>
  </si>
  <si>
    <t>TELEOPERADORA</t>
  </si>
  <si>
    <t>BALAREZO SOLSOL, VERONICA VANESSA</t>
  </si>
  <si>
    <t>RONDAN SANTOS, ENRIQUE JESUS</t>
  </si>
  <si>
    <t>SUPERVISOR</t>
  </si>
  <si>
    <t>CISNEROS YUPANQUI, DIANA KAROLINA</t>
  </si>
  <si>
    <t>ASPILCUETA CAMA, ARLIN AGUSTA</t>
  </si>
  <si>
    <t>MASIAS CURI, ENCARNACION</t>
  </si>
  <si>
    <t>GARIBAY HUAMANI, PEDRO ALEXANDER</t>
  </si>
  <si>
    <t>AUDITOR</t>
  </si>
  <si>
    <t>KIKO'S LAS FLORES</t>
  </si>
  <si>
    <t>ABANTO TOCAS, EMELINA</t>
  </si>
  <si>
    <t>ASISTENTE ADMINISTRATIVA</t>
  </si>
  <si>
    <t>QUISPE CARDENAS, ANA MARGARITA</t>
  </si>
  <si>
    <t>ALEJANDRIA HEREDIA, ALEX</t>
  </si>
  <si>
    <t>BARTOLOME QUISPE, JESSICA MARLENI</t>
  </si>
  <si>
    <t>SHUPINGAHUA URACO, PEDRO</t>
  </si>
  <si>
    <t>BERNABE QUISPE, ANGEL</t>
  </si>
  <si>
    <t>77379165</t>
  </si>
  <si>
    <t>SOTO ROMUALDO, YAQUELIN MERCEDES</t>
  </si>
  <si>
    <t>71743360</t>
  </si>
  <si>
    <t>HUANCA PEREZ, JOSE NILVER</t>
  </si>
  <si>
    <t>74282348</t>
  </si>
  <si>
    <t>CRUZ PANTA, ALID CESIBEL</t>
  </si>
  <si>
    <t>KIKO'S SAN JUAN 3</t>
  </si>
  <si>
    <t>MONTALVAN BRUNO, DANNY DAVID</t>
  </si>
  <si>
    <t>TARRILLO RODRIGUEZ, PERCY WILLAN</t>
  </si>
  <si>
    <t>MOSQUEIRA RUDAS, ARASELI</t>
  </si>
  <si>
    <t>LLANOS HEREDIA, ALEJANDRO</t>
  </si>
  <si>
    <t>ALVAREZ CHOQUEHUANCA, FELIX FAUSTINO</t>
  </si>
  <si>
    <t>TELLO ARTEAGA, ANTHONY</t>
  </si>
  <si>
    <t>41184249</t>
  </si>
  <si>
    <t>VILLANUEVA MORALES, PETER</t>
  </si>
  <si>
    <t>44789980</t>
  </si>
  <si>
    <t>CRUZ ALVA, EBERALDO</t>
  </si>
  <si>
    <t>60143206</t>
  </si>
  <si>
    <t>OMONTE MEZARES, GRIZAIDA</t>
  </si>
  <si>
    <t>73754582</t>
  </si>
  <si>
    <t>TICLAHUANCA GUEVARA, INEBELTON</t>
  </si>
  <si>
    <t>09291323</t>
  </si>
  <si>
    <t>RAMOS MICALAY, NILDA TERESA</t>
  </si>
  <si>
    <t>76773957</t>
  </si>
  <si>
    <t>GUERRERO PAUCAR, HEYNER ALEJANDRO</t>
  </si>
  <si>
    <t>78895128</t>
  </si>
  <si>
    <t>CHERRES FUENTES, FABRICIO FARHIT</t>
  </si>
  <si>
    <t>06805945</t>
  </si>
  <si>
    <t>GARCIA VASQUEZ, MARIA LORENZA</t>
  </si>
  <si>
    <t>70026172</t>
  </si>
  <si>
    <t>CAMPOS CAMPOS, KAREN HERLINDA</t>
  </si>
  <si>
    <t>70832684</t>
  </si>
  <si>
    <t>PACHECO PARDO, ANGIELINA ALEXANDRA</t>
  </si>
  <si>
    <t>76472782</t>
  </si>
  <si>
    <t>CURI ROJAS, JUAN ALBERTO</t>
  </si>
  <si>
    <t>45494336</t>
  </si>
  <si>
    <t>KIKO'S VILLA 2</t>
  </si>
  <si>
    <t>QUISPE SILVA, MIRIAM JESSICA</t>
  </si>
  <si>
    <t>ZARE TORRES, JOSE LUIS</t>
  </si>
  <si>
    <t>CARRION ABAD, ANA</t>
  </si>
  <si>
    <t>CARBAJAL DURAN, ANGHELO LEONEL</t>
  </si>
  <si>
    <t>YAICATE PINEDO, MARGOTH FIORELA</t>
  </si>
  <si>
    <t>08871666</t>
  </si>
  <si>
    <t>PRIMO CESPEDES, MARIA LUZ</t>
  </si>
  <si>
    <t>75372634</t>
  </si>
  <si>
    <t>GAMONAL MUÑOZ, JUAN JHONY</t>
  </si>
  <si>
    <t>78801546</t>
  </si>
  <si>
    <t>FELIX REYES, NOE</t>
  </si>
  <si>
    <t>48673239</t>
  </si>
  <si>
    <t>SALAS SINARAHUA, ROMER AGUSTIN</t>
  </si>
  <si>
    <t>08400483</t>
  </si>
  <si>
    <t>LANEGRA MARIN, NORA ELIZABETH</t>
  </si>
  <si>
    <t>17840507</t>
  </si>
  <si>
    <t>ROSA LUZ MUÑOZ CESPEDES</t>
  </si>
  <si>
    <t>BARBA HUAMAN, SUSANA</t>
  </si>
  <si>
    <t>LIMPIEZA DEL HOGAR</t>
  </si>
  <si>
    <t>KIKO'S PRO</t>
  </si>
  <si>
    <t>ESCOBAL ESPINOZA, FLORESMILA</t>
  </si>
  <si>
    <t>ESCRIBA MORENO, JHONATAN WALTER</t>
  </si>
  <si>
    <t>NAVARRO OYARCE, JOSE LUIS</t>
  </si>
  <si>
    <t>URETA CASAS, MIRIAM KATERINE</t>
  </si>
  <si>
    <t>SILVA ODIAGA, SONIA MILY</t>
  </si>
  <si>
    <t>ZAVALU BAYONA, SHEYLLA ELIZABETH</t>
  </si>
  <si>
    <t>MEJIA HUAYMACARI, JEFFERSON MARTIN</t>
  </si>
  <si>
    <t>RIVERA PANTA, JULIO ALEXANDER</t>
  </si>
  <si>
    <t>SAAVEDRA FLORES, YALENY TATIANA</t>
  </si>
  <si>
    <t>CORDOVA CASTILLO, REINERIA</t>
  </si>
  <si>
    <t>MURAYARI RENGIFO, EDWARD</t>
  </si>
  <si>
    <t>CORREA DELGADO, JOSE DAVINSON</t>
  </si>
  <si>
    <t>CHOTA TUANAMA, NANCY LUCERO</t>
  </si>
  <si>
    <t>74855926</t>
  </si>
  <si>
    <t>ZUMAETA AGUILAR, KEYCO MILAGRITOS</t>
  </si>
  <si>
    <t>76922650</t>
  </si>
  <si>
    <t>HUAYLLAHUA DAVILA, JOSE LUIS</t>
  </si>
  <si>
    <t>42995764</t>
  </si>
  <si>
    <t>VASQUEZ LLONTOP, RICHARD RENZO</t>
  </si>
  <si>
    <t>75869494</t>
  </si>
  <si>
    <t>MENDOZA LLANOS, ESTEFANI VALERIA</t>
  </si>
  <si>
    <t>71096607</t>
  </si>
  <si>
    <t>MIRANO GOÑAS, LLERMIN</t>
  </si>
  <si>
    <t>46346605</t>
  </si>
  <si>
    <t>KIKO'S PUENTE PIEDRA 2</t>
  </si>
  <si>
    <t>TORRES JIMENEZ, YANET DEL SOCORRO</t>
  </si>
  <si>
    <t>44575286</t>
  </si>
  <si>
    <t>GONZALES CHOCAN, HERNAN</t>
  </si>
  <si>
    <t>45076741</t>
  </si>
  <si>
    <t>RAMOS CRUZ, JOSE HELI</t>
  </si>
  <si>
    <t>SANTILLAN MENDOZA, YANSELITH</t>
  </si>
  <si>
    <t>QUIROZ MEDINA, MELISSA NICOLE</t>
  </si>
  <si>
    <t>PEZO PEREZ, LAURA</t>
  </si>
  <si>
    <t>MENDOZA SILVA, YOVER FERNANDO</t>
  </si>
  <si>
    <t>77134259</t>
  </si>
  <si>
    <t>SUAREZ ZURITA, JHARETH ESTEY</t>
  </si>
  <si>
    <t>74594098</t>
  </si>
  <si>
    <t>CALDAS CRUZ, ALDAIR KENLY</t>
  </si>
  <si>
    <t>KIKO'S TRUJILLO</t>
  </si>
  <si>
    <t>SULCA FLORES, ADOLFO</t>
  </si>
  <si>
    <t>ALARCON MELENDEZ, LILIAN CARLOTA</t>
  </si>
  <si>
    <t>CRUZ LIZANA, EDUAR</t>
  </si>
  <si>
    <t>CAJERO</t>
  </si>
  <si>
    <t>08178305</t>
  </si>
  <si>
    <t>ALVA GARRO, FERNANDO</t>
  </si>
  <si>
    <t>75317607</t>
  </si>
  <si>
    <t>JIMENEZ PORRAS, JUAN CARLOS</t>
  </si>
  <si>
    <t>CHAVEZ GARCIA, VICTOR GUILLERMO</t>
  </si>
  <si>
    <t>60052370</t>
  </si>
  <si>
    <t>GOMES GUEVARA, QUEYLI YAQUELIT</t>
  </si>
  <si>
    <t>70543959</t>
  </si>
  <si>
    <t>ESCOBAL GARCIA, YERSON FRANKLIN</t>
  </si>
  <si>
    <t>75568632</t>
  </si>
  <si>
    <t>CARBAJAL AYBAR, CAMILA DIOMARA</t>
  </si>
  <si>
    <t>CARLOS ALFREDO KONG CHIN</t>
  </si>
  <si>
    <t>KATIA ALEJANDRA YAMAMOTO CHIBA</t>
  </si>
  <si>
    <t>00-4140302</t>
  </si>
  <si>
    <t>LUIS FERNANDO SANTANDER TORRES</t>
  </si>
  <si>
    <t>LEYSI VIVIANA CHARA CHANG</t>
  </si>
  <si>
    <t>JACK HILTON CHUNQUE SANTIAGO</t>
  </si>
  <si>
    <t>JEFE DE COCINA</t>
  </si>
  <si>
    <t>JOSE IGNACIO ARAUJO SANCHEZ</t>
  </si>
  <si>
    <t>ENCARGADO DE PIZZAS</t>
  </si>
  <si>
    <t>ALBERTO  VALENCIA CALIXTO</t>
  </si>
  <si>
    <t>RICARDO ANCER GALINDO GONZALES</t>
  </si>
  <si>
    <t>AYUDANTE DE PIZZERIA</t>
  </si>
  <si>
    <t>ANGEL RICARDO MAURTUA LUDEÑA</t>
  </si>
  <si>
    <t>ENCARGADO DE PIZZERIA</t>
  </si>
  <si>
    <t>MASSIEL DAYANA MAMANI CONDOR</t>
  </si>
  <si>
    <t>EDGAR MARTIN HUAMANTUPA SUAREZ</t>
  </si>
  <si>
    <t>AYUDANTE DE PANADERIA</t>
  </si>
  <si>
    <t>AYUDANTE DE PANADERIA Y PASTELERIA</t>
  </si>
  <si>
    <t>JOSE MARTIN INGA ACARO</t>
  </si>
  <si>
    <t>SEBASTIAN ALEJANDRO CARRASCO PABLO</t>
  </si>
  <si>
    <t>MARIEL LISBETH SOBERO SORA</t>
  </si>
  <si>
    <t>YERLI NAISHA MEDINA DE LA CRUZ</t>
  </si>
  <si>
    <t>JAVIER ISIDRO HUARCA HUANRI</t>
  </si>
  <si>
    <t>VANESSA EVA AYLLON VILLEGAS</t>
  </si>
  <si>
    <t>CLAUDIO ALEXANDER CHUNGA YAJAHUANCA</t>
  </si>
  <si>
    <t>NORMA  CCANTO HUAYTA</t>
  </si>
  <si>
    <t>ENCARGADA DE COUNTER</t>
  </si>
  <si>
    <t>SARITA NOEMY GERALDINE RUIZ PEREIRA</t>
  </si>
  <si>
    <t>MARIA DE JESUS YUMPE AGUIRRE</t>
  </si>
  <si>
    <t>ALEX JAVIER RUIZ RATACHI</t>
  </si>
  <si>
    <t>MICHELLE CLARA MERCEDES ARROYO LOAYZA</t>
  </si>
  <si>
    <t>NILTON AARON ALVARADO APAZA</t>
  </si>
  <si>
    <t>GABRIELA GUADALUPE CARDENAS RIOJAS</t>
  </si>
  <si>
    <t>NELLY  MERLO PRETEL</t>
  </si>
  <si>
    <t>VALERIA ELIZABETH CABRERA RONDOY</t>
  </si>
  <si>
    <t>MAILY MAGDYEL AVALOS PORRAS</t>
  </si>
  <si>
    <t>CORREDOR</t>
  </si>
  <si>
    <t>LIZ ELINA TUANAMA TUANAMA</t>
  </si>
  <si>
    <t>CAMISA OXFORD CELESTE</t>
  </si>
  <si>
    <t>CAMISA A RALLAS AZUL</t>
  </si>
  <si>
    <t>PANTALÓN AZUL NOCHE</t>
  </si>
  <si>
    <t>CHALECO AZUL NOCHE</t>
  </si>
  <si>
    <t>CAJA (MUJER)</t>
  </si>
  <si>
    <t>BLUSA A RALLAS AZUL</t>
  </si>
  <si>
    <t>CAMISA BLANCA (MANGA LARGA)</t>
  </si>
  <si>
    <t>MANDILON DRILL NEGRO</t>
  </si>
  <si>
    <t>ANDARIN GRANATE</t>
  </si>
  <si>
    <t>BLUSA BLANCA (MANGA LARGA)</t>
  </si>
  <si>
    <t>CAMISA CHARCOL MANGA LARGA</t>
  </si>
  <si>
    <t>CAMISA COLOR NEGRO MANGA LARGA</t>
  </si>
  <si>
    <t>BLUSA COLOR NEGRO MANGA LARGA</t>
  </si>
  <si>
    <t>LIMPIEZA / MANTENIMIENTO</t>
  </si>
  <si>
    <t>PANTALÓN CARGO AZUL NOCHE</t>
  </si>
  <si>
    <t>CHAQUETA AZUL NOCHE MANGA CORTA</t>
  </si>
  <si>
    <t>POLO 30/1 GRIS</t>
  </si>
  <si>
    <t>BAR</t>
  </si>
  <si>
    <t>CAMISA NEGRA MANGA CORTA</t>
  </si>
  <si>
    <t>PECHERA NEGRA CUERINA</t>
  </si>
  <si>
    <t>PRODUCCIÓN / COCINA</t>
  </si>
  <si>
    <t>PANTALÓN SAL Y PIMIENTA</t>
  </si>
  <si>
    <t>PECHERA GRIS EN DRILL</t>
  </si>
  <si>
    <t>GARIBALDI GRIS</t>
  </si>
  <si>
    <t>CAMISA BLANCA (MANGA CORTA)</t>
  </si>
  <si>
    <t>BLUSA BLANCA (MANGA CORTA)</t>
  </si>
  <si>
    <t>STAFF ADMINISTRATIVO</t>
  </si>
  <si>
    <t>ANDARIN NEGRO</t>
  </si>
  <si>
    <t>PECHERA GUINDA</t>
  </si>
  <si>
    <t xml:space="preserve">BLUSA OXFORD BLANCA CON RAYAS </t>
  </si>
  <si>
    <t>SML</t>
  </si>
  <si>
    <t>BLUSA OXFORD CELESTE</t>
  </si>
  <si>
    <t>74655731</t>
  </si>
  <si>
    <t>42811901</t>
  </si>
  <si>
    <t>74176372</t>
  </si>
  <si>
    <t>005349268</t>
  </si>
  <si>
    <t>73180086</t>
  </si>
  <si>
    <t>71467861</t>
  </si>
  <si>
    <t>75743236</t>
  </si>
  <si>
    <t>72667053</t>
  </si>
  <si>
    <t>44826364</t>
  </si>
  <si>
    <t>60759830</t>
  </si>
  <si>
    <t>75126798</t>
  </si>
  <si>
    <t>41920688</t>
  </si>
  <si>
    <t>44103023</t>
  </si>
  <si>
    <t>60962458</t>
  </si>
  <si>
    <t>47515957</t>
  </si>
  <si>
    <t>43517624</t>
  </si>
  <si>
    <t>62614583</t>
  </si>
  <si>
    <t>41207707</t>
  </si>
  <si>
    <t>77422646</t>
  </si>
  <si>
    <t>75599680</t>
  </si>
  <si>
    <t>70868570</t>
  </si>
  <si>
    <t>09521946</t>
  </si>
  <si>
    <t>25465687</t>
  </si>
  <si>
    <t>72686157</t>
  </si>
  <si>
    <t>25680351</t>
  </si>
  <si>
    <t>09520182</t>
  </si>
  <si>
    <t>75486560</t>
  </si>
  <si>
    <t>77056836</t>
  </si>
  <si>
    <t>62332957</t>
  </si>
  <si>
    <t>77918238</t>
  </si>
  <si>
    <t>70374768</t>
  </si>
  <si>
    <t>71110032</t>
  </si>
  <si>
    <t>76226354</t>
  </si>
  <si>
    <t>61107730</t>
  </si>
  <si>
    <t>70387004</t>
  </si>
  <si>
    <t>70714461</t>
  </si>
  <si>
    <t>007485397</t>
  </si>
  <si>
    <t>74496746</t>
  </si>
  <si>
    <t>70695830</t>
  </si>
  <si>
    <t>77471165</t>
  </si>
  <si>
    <t>44040141</t>
  </si>
  <si>
    <t>76195511</t>
  </si>
  <si>
    <t>73124912</t>
  </si>
  <si>
    <t>48453210</t>
  </si>
  <si>
    <t>71694497</t>
  </si>
  <si>
    <t>70588906</t>
  </si>
  <si>
    <t>76732832</t>
  </si>
  <si>
    <t>76142735</t>
  </si>
  <si>
    <t>72253350</t>
  </si>
  <si>
    <t>70591195</t>
  </si>
  <si>
    <t>48137432</t>
  </si>
  <si>
    <t>71878313</t>
  </si>
  <si>
    <t>74600602</t>
  </si>
  <si>
    <t>74842587</t>
  </si>
  <si>
    <t>76748854</t>
  </si>
  <si>
    <t>78021044</t>
  </si>
  <si>
    <t>002169101</t>
  </si>
  <si>
    <t>47832249</t>
  </si>
  <si>
    <t>10735639</t>
  </si>
  <si>
    <t>004335925</t>
  </si>
  <si>
    <t>75823106</t>
  </si>
  <si>
    <t>61464306</t>
  </si>
  <si>
    <t>45038713</t>
  </si>
  <si>
    <t>43347817</t>
  </si>
  <si>
    <t>43371769</t>
  </si>
  <si>
    <t>43861465</t>
  </si>
  <si>
    <t>45378383</t>
  </si>
  <si>
    <t>45987769</t>
  </si>
  <si>
    <t>45077500</t>
  </si>
  <si>
    <t>70980923</t>
  </si>
  <si>
    <t>47466129</t>
  </si>
  <si>
    <t>42760107</t>
  </si>
  <si>
    <t>45150398</t>
  </si>
  <si>
    <t>71503920</t>
  </si>
  <si>
    <t>60201195</t>
  </si>
  <si>
    <t>44820323</t>
  </si>
  <si>
    <t>70196437</t>
  </si>
  <si>
    <t>44486943</t>
  </si>
  <si>
    <t>70875584</t>
  </si>
  <si>
    <t>76905601</t>
  </si>
  <si>
    <t>47744986</t>
  </si>
  <si>
    <t>73326715</t>
  </si>
  <si>
    <t>77084441</t>
  </si>
  <si>
    <t>47251185</t>
  </si>
  <si>
    <t>42949350</t>
  </si>
  <si>
    <t>75935591</t>
  </si>
  <si>
    <t>62814712</t>
  </si>
  <si>
    <t>74415759</t>
  </si>
  <si>
    <t>43446883</t>
  </si>
  <si>
    <t>74415806</t>
  </si>
  <si>
    <t>73233227</t>
  </si>
  <si>
    <t>70850029</t>
  </si>
  <si>
    <t>60491822</t>
  </si>
  <si>
    <t>62694294</t>
  </si>
  <si>
    <t>46192476</t>
  </si>
  <si>
    <t>77100486</t>
  </si>
  <si>
    <t>62814713</t>
  </si>
  <si>
    <t>75351250</t>
  </si>
  <si>
    <t>76024513</t>
  </si>
  <si>
    <t>42056577</t>
  </si>
  <si>
    <t>46679437</t>
  </si>
  <si>
    <t>00102028</t>
  </si>
  <si>
    <t>80439801</t>
  </si>
  <si>
    <t>77299101</t>
  </si>
  <si>
    <t>71975610</t>
  </si>
  <si>
    <t>71897006</t>
  </si>
  <si>
    <t>61051799</t>
  </si>
  <si>
    <t>47547612</t>
  </si>
  <si>
    <t>40112983</t>
  </si>
  <si>
    <t>60338046</t>
  </si>
  <si>
    <t>76947470</t>
  </si>
  <si>
    <t>71840713</t>
  </si>
  <si>
    <t>09884383</t>
  </si>
  <si>
    <t>75432044</t>
  </si>
  <si>
    <t>60164553</t>
  </si>
  <si>
    <t>43368415</t>
  </si>
  <si>
    <t>47996037</t>
  </si>
  <si>
    <t>75007703</t>
  </si>
  <si>
    <t>60813935</t>
  </si>
  <si>
    <t>48949397</t>
  </si>
  <si>
    <t>62949095</t>
  </si>
  <si>
    <t>73629637</t>
  </si>
  <si>
    <t>72306989</t>
  </si>
  <si>
    <t>77817164</t>
  </si>
  <si>
    <t>71033861</t>
  </si>
  <si>
    <t>62026514</t>
  </si>
  <si>
    <t>73444466</t>
  </si>
  <si>
    <t>70619860</t>
  </si>
  <si>
    <t>76652607</t>
  </si>
  <si>
    <t>45974481</t>
  </si>
  <si>
    <t>76220440</t>
  </si>
  <si>
    <t>10611758</t>
  </si>
  <si>
    <t>77093998</t>
  </si>
  <si>
    <t>78462267</t>
  </si>
  <si>
    <t>73450408</t>
  </si>
  <si>
    <t>74834476</t>
  </si>
  <si>
    <t>73875994</t>
  </si>
  <si>
    <t>60250099</t>
  </si>
  <si>
    <t>GOLDEN TAMBO INVERSIONES S.A.C.</t>
  </si>
  <si>
    <t>STARCAFE PERU S.A.C.</t>
  </si>
  <si>
    <t xml:space="preserve">TREND BUSINES S.A.C. </t>
  </si>
  <si>
    <t>DE LA SOTA FARFAN CHRISTIAN ANDRIU</t>
  </si>
  <si>
    <t>VARGAS QUEA ROBERTINO TELE</t>
  </si>
  <si>
    <t>CASIANO HERNANDEZ BRAYAN JOAN</t>
  </si>
  <si>
    <t xml:space="preserve">HUACHUA RAMIREZ MILAGROS </t>
  </si>
  <si>
    <t>SUPERVISOR SOMA</t>
  </si>
  <si>
    <t>ANGELDONIS ORTIZ JOSE ANTONIO</t>
  </si>
  <si>
    <t>CALISAYA VALLES JOSE CARLOS</t>
  </si>
  <si>
    <t>REYES SOLAR KARLA</t>
  </si>
  <si>
    <t>RIOS AREVALO EFRAIN EDUARDO</t>
  </si>
  <si>
    <t>PAUCCARA POMASONGO HILARY CRISTINA</t>
  </si>
  <si>
    <t>CARDENAS RIVAS JOSUE DAVID</t>
  </si>
  <si>
    <t>NAVARRO SALAS CARLOS EDGARD</t>
  </si>
  <si>
    <t>LADEDA  CRISTIAN EDUARDO</t>
  </si>
  <si>
    <t>CAUCHO CHUQUILLANQUI LUIS ALBERTO</t>
  </si>
  <si>
    <t xml:space="preserve">QUISPE OROSCO CARLOS ALBERTO </t>
  </si>
  <si>
    <t>MAMANI CÁCERES ROSA MARCELA</t>
  </si>
  <si>
    <t>FRANCO LURITA XILENA  GRISEL</t>
  </si>
  <si>
    <t>SILVA SÁENZ JOHNATAN RICHARD</t>
  </si>
  <si>
    <t>ASISTENTE DE GESTION Y CONTROL ADMINISTRATIVO</t>
  </si>
  <si>
    <t>COCINERO (A)</t>
  </si>
  <si>
    <t>CORREDOR (A)</t>
  </si>
  <si>
    <t>PALACIOS QUINTANA LUIS ANTONIO</t>
  </si>
  <si>
    <t>ACUÑA ROJAS GABRIELA BETHZABE</t>
  </si>
  <si>
    <t>AGUILAR GOYCOCHEA KATHIA</t>
  </si>
  <si>
    <t>VILLARREAL PEREZ LUZ MERY</t>
  </si>
  <si>
    <t>NOVOA SEOPA CARLOS JUNIOR</t>
  </si>
  <si>
    <t>MATALLANA ITURRIOZ SILVIA PATRICIA</t>
  </si>
  <si>
    <t>COORDINADOR (A) DE EVENTOS</t>
  </si>
  <si>
    <t>TIPACTI CHUMPITAZ EMILY NICOLE</t>
  </si>
  <si>
    <t>VALDEZ HALIRE SONIA</t>
  </si>
  <si>
    <t>TELLO VILCHEZ ARIANA BELEN</t>
  </si>
  <si>
    <t>CONCHA GRADOS HECTOR ISIDORO</t>
  </si>
  <si>
    <t>ESPINOZA VERGARA RUBEN FELIX</t>
  </si>
  <si>
    <t>VARTUREN LOPEZ YONATAN ELIAS</t>
  </si>
  <si>
    <t>BENAVIDES VIZCARRA JAIME BRUNO</t>
  </si>
  <si>
    <t>ASIST. DE FINANZAS</t>
  </si>
  <si>
    <t>COQUIS  OCHOA  LUIS ANTHONY</t>
  </si>
  <si>
    <t>SALINAS  LEE JESSICA NOHELLIA</t>
  </si>
  <si>
    <t>YARAHUAMAN VRILLAS DANIELA</t>
  </si>
  <si>
    <t>PERALES  RAMOS MARIA FERNANDA</t>
  </si>
  <si>
    <t>ZAVALA RIOS  ALI ANGELICA</t>
  </si>
  <si>
    <t>CARRASCO  CARRASCO NERLIN JHORSY</t>
  </si>
  <si>
    <t>SOTOMAYOR  QUIROZ ANGEL MIGUEL</t>
  </si>
  <si>
    <t>ROA CALDERON NELLY MAXIMILIANA</t>
  </si>
  <si>
    <t>CUTIPA PRADO JEAN PIERRE ALEXANDER</t>
  </si>
  <si>
    <t>ZUAZO GUTIERREZ ELVIS ANDRES</t>
  </si>
  <si>
    <t>VALDEZ CHUQUIRUNA JHON ALEXANDER</t>
  </si>
  <si>
    <t>MEZA PACHECO ALFREDO ENRIQUE</t>
  </si>
  <si>
    <t>CHUQUIPUL BLASS BRUNO LEONARDO</t>
  </si>
  <si>
    <t>MENDEZ ORREAGA DARIANA SHANTAL</t>
  </si>
  <si>
    <t>SANCHEZ MECHAN JORDAN ALDO</t>
  </si>
  <si>
    <t>ESPINEL NARO ZALMA</t>
  </si>
  <si>
    <t>REQUEJO OLANO REIMER</t>
  </si>
  <si>
    <t>CALVAY ESPIRITU FAVIO JUNIOR</t>
  </si>
  <si>
    <t>LEZAMA ESPAÑOL HERACLIO JOSE</t>
  </si>
  <si>
    <t>GUERRERO MAMANI LEONARDO CARLOS</t>
  </si>
  <si>
    <t>ANGELES HILARIO JOSSELYN NICOLL</t>
  </si>
  <si>
    <t>OBANDO PILLACA EDSON MATIAS</t>
  </si>
  <si>
    <t>CAVENAGO KESOVIA MIRKO AGUSTO</t>
  </si>
  <si>
    <t>JEFE DE PROCESOS Y CAPACITACION</t>
  </si>
  <si>
    <t>VILLACREZ GUTIERREZ ANGELA ZALETT</t>
  </si>
  <si>
    <t>TORRES VARGAS GHORGET ALEXANDRA</t>
  </si>
  <si>
    <t>SANCHEZ VASQUEZ DORINA MELISSA</t>
  </si>
  <si>
    <t>COCINERO (A) CHAUFERO</t>
  </si>
  <si>
    <t>ZAQUINAULA QUENEMA YEYNER</t>
  </si>
  <si>
    <t>ZAVALA COCHACHI JUAN CARLOS</t>
  </si>
  <si>
    <t>PAREDES ELGUERA HEIDY LUZ</t>
  </si>
  <si>
    <t>QUISPE NAVARRO JEFFERSON ALEXANDER</t>
  </si>
  <si>
    <t>CLAUDIO JAUREGUI JOSSEPEE ALBERT</t>
  </si>
  <si>
    <t>MARTINEZ HUARCAYA VICTOR MANUEL</t>
  </si>
  <si>
    <t>JAIME PÉREZ JULIO JORGE MIGUEL</t>
  </si>
  <si>
    <t xml:space="preserve">FLORES ACEVEDO  CÉSAR RONALDO </t>
  </si>
  <si>
    <t xml:space="preserve">DIAZ  BARRUETO JAIRO DANIEL </t>
  </si>
  <si>
    <t>URIARTE GOMEZ ROSA FLOR</t>
  </si>
  <si>
    <t>VELASQUEZ CASTRO EDGAR ROLANDO</t>
  </si>
  <si>
    <t>CHOFER II</t>
  </si>
  <si>
    <t>CRUZ BENDEZU ROMINA ISABEL</t>
  </si>
  <si>
    <t>CANOVA VILA JEREMY ANDRES</t>
  </si>
  <si>
    <t>SALDAÑA MESIAS LEONARDO</t>
  </si>
  <si>
    <t>LINDAO PALOMINO WALTER ARON</t>
  </si>
  <si>
    <t>RUIZ JOSE OBDULIO</t>
  </si>
  <si>
    <t>CACERES VEGA EDISON FRANCISCO</t>
  </si>
  <si>
    <t>CHUMPITAZ SOLIS CARMEN ROSA</t>
  </si>
  <si>
    <t>VAJILLERO (A) P/T</t>
  </si>
  <si>
    <t>PESTANO BELLO ORLANDO MIGUEL</t>
  </si>
  <si>
    <t>VILCHEZ MONTEZA JUAN RAMON</t>
  </si>
  <si>
    <t>DEL CARMEN CABELLO DBRIANNE JAMYLEE</t>
  </si>
  <si>
    <t>ROJAS  ESPEJO FRANCISCO OMAR</t>
  </si>
  <si>
    <t xml:space="preserve">PACAYA MACUYAMA ROGER </t>
  </si>
  <si>
    <t>CARRETERO CASTILLA CÉSAR ABRAHAM</t>
  </si>
  <si>
    <t>VÁSQUEZ TENORIO GLORIA VIDALINA</t>
  </si>
  <si>
    <t xml:space="preserve">GONZALES CANO RAUL MANUEL </t>
  </si>
  <si>
    <t>COTRINA CARDENAS MARIO GERMAN</t>
  </si>
  <si>
    <t>SIAS MELENDEZ ROBIN</t>
  </si>
  <si>
    <t>SALTEADOR</t>
  </si>
  <si>
    <t>TUANAMA SHUPINGAHUA ROLBER</t>
  </si>
  <si>
    <t>TANTALEAN HEREDIA ISABEL DEL ROCIO</t>
  </si>
  <si>
    <t>RIVA RIOS WILDER</t>
  </si>
  <si>
    <t>SHUPINGAHUA PISCO DAVID</t>
  </si>
  <si>
    <t>ANGULO FASANANDO TEDDY</t>
  </si>
  <si>
    <t>VASQUEZ MURRIETA VERONICA</t>
  </si>
  <si>
    <t>RAMÍREZ PEÑA FAURY ARLENE</t>
  </si>
  <si>
    <t xml:space="preserve">CARRASCO DAVILA YOLI VANESSY </t>
  </si>
  <si>
    <t>BAUTISTA RAMIREZ LUZBALDINA</t>
  </si>
  <si>
    <t>MANRIQUE MORI MIRCO</t>
  </si>
  <si>
    <t xml:space="preserve">ACHO AMACIFEN LLENY MARGUITH </t>
  </si>
  <si>
    <t>PIRO TUANAMA  MAGDALENA</t>
  </si>
  <si>
    <t xml:space="preserve">AMASIFUEN ZUMBA ALEGRIA </t>
  </si>
  <si>
    <t>JERRY NILSON TAPULLIMA TUANAMA</t>
  </si>
  <si>
    <t>BANESA HUAMAN SATALAYA</t>
  </si>
  <si>
    <t>DILSON SHUPINGAHUA SALAS</t>
  </si>
  <si>
    <t>MAS SICCHA CHRISTOPHER HUGO</t>
  </si>
  <si>
    <t>BURGA MARRUFO ELIDA</t>
  </si>
  <si>
    <t>AUDITORIA</t>
  </si>
  <si>
    <t xml:space="preserve">RAMIREZ SOLANO CECI LEONOR </t>
  </si>
  <si>
    <t>AZAFATA FULL TIME</t>
  </si>
  <si>
    <t xml:space="preserve">TORRES  SALAS ANGEL MANUEL </t>
  </si>
  <si>
    <t>MOZO PART TIME</t>
  </si>
  <si>
    <t>RAMIREZ PINCHI SEGUNDO WINGERMAN</t>
  </si>
  <si>
    <t>PANDURO VELA MARCO ANTONIO</t>
  </si>
  <si>
    <t>RUIZ PEÑA ROMARIO</t>
  </si>
  <si>
    <t>PACAYA CHOTA MAYCOL</t>
  </si>
  <si>
    <t>GONZALES LOZANO JAIME JUNIOR</t>
  </si>
  <si>
    <t>TORRES REATEGUI RICHARD JACKSON</t>
  </si>
  <si>
    <t>FLORES SAQUIRAY MOISES</t>
  </si>
  <si>
    <t>DEL CASTILLO TELLO JULIA OTILIA</t>
  </si>
  <si>
    <t>HUAMAN GARCIA CESAR ENRIQUE</t>
  </si>
  <si>
    <t>CARBAJAL SAJAMI ALEX MARIANO</t>
  </si>
  <si>
    <t>ALDAZ GARCIA GUISELA</t>
  </si>
  <si>
    <t>BABILONIA VEGA LINDA EBONY</t>
  </si>
  <si>
    <t>ALVAN ESCOBEDO ROSA DEL CARMEN</t>
  </si>
  <si>
    <t>PACAYA CHOTA MARCIAL</t>
  </si>
  <si>
    <t>HUAMAN GARAMENDI RAFAEL DANIEL</t>
  </si>
  <si>
    <t>ARIAS HERMENEGILDO RICHARD JUNIOR</t>
  </si>
  <si>
    <t>ROJAS GERARDINI DE HURTADO CRISS VIVIAN</t>
  </si>
  <si>
    <t>SALAZAR SANTACRUZ JOSE JOSELITO</t>
  </si>
  <si>
    <t>GIRAO PEÑA LUIS DIEGO</t>
  </si>
  <si>
    <t>GARCIA ROJAS SERGIO KEVIN</t>
  </si>
  <si>
    <t>MORENO CASTRO PAOLA ALEXANDRA</t>
  </si>
  <si>
    <t>NICHO SAMANAMUD CARLOS</t>
  </si>
  <si>
    <t>ESPINOZA PACHECO ENRIQUE MARIO</t>
  </si>
  <si>
    <t>REGALADO ZAVALETA JHON ELVER</t>
  </si>
  <si>
    <t>JARA CHAVELON JEFFERSON ADRIAN</t>
  </si>
  <si>
    <t>ZAMORA APARCANA MARTIN ALEXANDER</t>
  </si>
  <si>
    <t>NOVOA ESPINOZA FERNANDO MARTIN</t>
  </si>
  <si>
    <t>TORRES ZEGARRA ALEX MAURICIO</t>
  </si>
  <si>
    <t>ADRIANZEN HERRERA ESTRELLITA</t>
  </si>
  <si>
    <t>NAUCAPOMA CAMPOS JUNIOR TITO</t>
  </si>
  <si>
    <t>DISEÑADOR (A) GRAFICO (A) SENIOR</t>
  </si>
  <si>
    <t>PORRAS CASTILLO MANUEL JUNIOR</t>
  </si>
  <si>
    <t>SOLIS CONISLLA SHAYDA JHANELY</t>
  </si>
  <si>
    <t>RAMOS MARQUEZ FABRIZIO JESUS</t>
  </si>
  <si>
    <t>DISEÑADOR MULTIMEDIA SENIOR</t>
  </si>
  <si>
    <t>ENCARGADO DE SOPORTE</t>
  </si>
  <si>
    <t>CONTENT MANAGER</t>
  </si>
  <si>
    <t>MURAYARI RICOPA FRANK ANTONY</t>
  </si>
  <si>
    <t>GUTIERREZ HERRERA RUDY ALEXANDER</t>
  </si>
  <si>
    <t>PONTE MONTAÑO MIJAEL KEN</t>
  </si>
  <si>
    <t>OCARES TARAZONA CAROLINA LIDIA</t>
  </si>
  <si>
    <t>GARCIA ARCE ESTEFANY GERALDINE</t>
  </si>
  <si>
    <t>BLAS DOMINGUEZ BRYAN</t>
  </si>
  <si>
    <t>DIAZ NUÑEZ SUEMY CRISTINA</t>
  </si>
  <si>
    <t>PADILLA AREVALO WILSER FRANKLIN</t>
  </si>
  <si>
    <t>BENAVIDES ALIAGA ANGIE CAMILA</t>
  </si>
  <si>
    <t>CONTRERAS CUEVA ABEL SILVESTRE</t>
  </si>
  <si>
    <t>GUERRA MAITA JUDITH TATIANA</t>
  </si>
  <si>
    <t>DIAZ MEJIA, EMILY NICOLE</t>
  </si>
  <si>
    <t>INSPECTORA DE CALIDAD</t>
  </si>
  <si>
    <t>MOTTA CHAVEZ, GIULIANO</t>
  </si>
  <si>
    <t>TAPIA ARENAS, TREVI DARLEY</t>
  </si>
  <si>
    <t>BONIFAZ GONZALES, JEAN PIERRE</t>
  </si>
  <si>
    <t>BENAVIDES HURTADO, JOSE NELBER</t>
  </si>
  <si>
    <t>JULCA ISUIZA, JUAN ENRIQUE</t>
  </si>
  <si>
    <t>MENDOZA GALLARDO, ISRAEL AARON</t>
  </si>
  <si>
    <t>CERRUTI MURRIETA, HARUMY JASMIN</t>
  </si>
  <si>
    <t>BAZAN ATAUCOSI, LISSETH MERCEDES</t>
  </si>
  <si>
    <t>TUESTA TAPULLIMA, DELITH ISAMAR</t>
  </si>
  <si>
    <t>DE LA CRUZ LEVANO, ALINA SUMMY</t>
  </si>
  <si>
    <t>MAMANI CRUZ, KEVIN FERNANDO</t>
  </si>
  <si>
    <t>AGUEDO BARRIOS, LESLY ELVIA</t>
  </si>
  <si>
    <t>CHRISTY  RAMOS JULCA</t>
  </si>
  <si>
    <t>MARYORIT EDITH FERNANDEZ  BERNA</t>
  </si>
  <si>
    <t xml:space="preserve">BOCANADA </t>
  </si>
  <si>
    <t>01/07/2025</t>
  </si>
  <si>
    <t xml:space="preserve">STAFF ADMINISTRATIVO </t>
  </si>
  <si>
    <t xml:space="preserve">CAJA </t>
  </si>
  <si>
    <t xml:space="preserve">ANFITRIONAJE </t>
  </si>
  <si>
    <t>ANFITRIONAJE</t>
  </si>
  <si>
    <t>CAJA</t>
  </si>
  <si>
    <t>LISTADO DE PERSONAL</t>
  </si>
  <si>
    <t>Salidas</t>
  </si>
  <si>
    <t>ENTREGADO</t>
  </si>
  <si>
    <t>XL</t>
  </si>
  <si>
    <t>SACO NEGRO ADM HOMBRE</t>
  </si>
  <si>
    <t>SACO NEGRO ADM MUJER</t>
  </si>
  <si>
    <t>SACO NEGRO CAJA HOMBRE</t>
  </si>
  <si>
    <t>SACO NEGRO CAJA MUJER</t>
  </si>
  <si>
    <t>POLO PIQUÉ PLOMO, MANGA LARGA PACKER</t>
  </si>
  <si>
    <t>POLO PIQUÉ PLOMO, MANGA LARGA MOTORIZADO</t>
  </si>
  <si>
    <t>POLO PIQUÉ PIZARRA RX, MANGA CORTA ADM</t>
  </si>
  <si>
    <t>GORRO NEGRO MOTORIZADO</t>
  </si>
  <si>
    <t>GORRO NEGRO PACKER</t>
  </si>
  <si>
    <t>GORRA NEGRA SEGURIDAD</t>
  </si>
  <si>
    <t>CASACA NEGRA SEGURIDAD</t>
  </si>
  <si>
    <t>SACO NEGRO ANFITRIONAJE HOMBRE</t>
  </si>
  <si>
    <t>SACO NEGRO ANFITRIONAJE MUJER</t>
  </si>
  <si>
    <t>POLO PIQUÉ CONCHE VINO, MANGA CORTA PACKER</t>
  </si>
  <si>
    <t>GORRO JOCKEY CONCHE VINO PACKER</t>
  </si>
  <si>
    <t>POLO PIQUÉ CONCHE VINO, MANGA CORTA MOTORIZADO</t>
  </si>
  <si>
    <t>GORRO JOCKEY CONCHE VINO MOTORIZADO</t>
  </si>
  <si>
    <t>CASACA NEGRA CON REFLECTIVOS MOTORIZADO</t>
  </si>
  <si>
    <t>POLO PIQUÉ CONCHE VINO, MANGA CORTA COUNTER</t>
  </si>
  <si>
    <t>GORRO JOCKEY CONCHE VINO COUNTER</t>
  </si>
  <si>
    <t>POLO PIQUÉ CONCHE VINO, MANGA CORTA CAJA</t>
  </si>
  <si>
    <t>GORRO JOCKEY CONCHE VINO CAJA</t>
  </si>
  <si>
    <t>CAMISA OXFORD BLANCA CON RAYAS MOZO</t>
  </si>
  <si>
    <t>CAMISA OXFORD BLANCA CON RAYAS CORREDOR</t>
  </si>
  <si>
    <t>CASACA ADM</t>
  </si>
  <si>
    <t>CASACA CAJA</t>
  </si>
  <si>
    <t>CASACA COUNTER</t>
  </si>
  <si>
    <t xml:space="preserve">POLO 31/1 GRIS </t>
  </si>
  <si>
    <t>48251043</t>
  </si>
  <si>
    <t>70245720</t>
  </si>
  <si>
    <t>73870740</t>
  </si>
  <si>
    <t>75025860</t>
  </si>
  <si>
    <t>75780895</t>
  </si>
  <si>
    <t>62214398</t>
  </si>
  <si>
    <t>70739410</t>
  </si>
  <si>
    <t>70488796</t>
  </si>
  <si>
    <t>74699479</t>
  </si>
  <si>
    <t>73322748</t>
  </si>
  <si>
    <t>75508207</t>
  </si>
  <si>
    <t>61297592</t>
  </si>
  <si>
    <t>73271072</t>
  </si>
  <si>
    <t>60054734</t>
  </si>
  <si>
    <t>72713626</t>
  </si>
  <si>
    <t>74642172</t>
  </si>
  <si>
    <t>73669868</t>
  </si>
  <si>
    <t>73213836</t>
  </si>
  <si>
    <t>71455290</t>
  </si>
  <si>
    <t>70470600</t>
  </si>
  <si>
    <t>75432796</t>
  </si>
  <si>
    <t>43112146</t>
  </si>
  <si>
    <t>62748664</t>
  </si>
  <si>
    <t>60762772</t>
  </si>
  <si>
    <t>76133426</t>
  </si>
  <si>
    <t>72869815</t>
  </si>
  <si>
    <t>42623735</t>
  </si>
  <si>
    <t>19667869</t>
  </si>
  <si>
    <t>71553274</t>
  </si>
  <si>
    <t>75940041</t>
  </si>
  <si>
    <t>74704407</t>
  </si>
  <si>
    <t>46314113</t>
  </si>
  <si>
    <t>76411894</t>
  </si>
  <si>
    <t>76460420</t>
  </si>
  <si>
    <t>74590414</t>
  </si>
  <si>
    <t>47899349</t>
  </si>
  <si>
    <t>05710071</t>
  </si>
  <si>
    <t>70471326</t>
  </si>
  <si>
    <t>74867370</t>
  </si>
  <si>
    <t>77473348</t>
  </si>
  <si>
    <t>73939026</t>
  </si>
  <si>
    <t>60766341</t>
  </si>
  <si>
    <t>75171136</t>
  </si>
  <si>
    <t>76338575</t>
  </si>
  <si>
    <t>48612255</t>
  </si>
  <si>
    <t>74742122</t>
  </si>
  <si>
    <t>73209820</t>
  </si>
  <si>
    <t>74874399</t>
  </si>
  <si>
    <t>08885216</t>
  </si>
  <si>
    <t>76755302</t>
  </si>
  <si>
    <t>71704847</t>
  </si>
  <si>
    <t>76856881</t>
  </si>
  <si>
    <t>48492273</t>
  </si>
  <si>
    <t>70841372</t>
  </si>
  <si>
    <t>46854589</t>
  </si>
  <si>
    <t>61911120</t>
  </si>
  <si>
    <t>77674685</t>
  </si>
  <si>
    <t>73035215</t>
  </si>
  <si>
    <t>75344968</t>
  </si>
  <si>
    <t>70635476</t>
  </si>
  <si>
    <t>71008922</t>
  </si>
  <si>
    <t>70699247</t>
  </si>
  <si>
    <t>47947456</t>
  </si>
  <si>
    <t>72575681</t>
  </si>
  <si>
    <t>72647764</t>
  </si>
  <si>
    <t>77082251</t>
  </si>
  <si>
    <t>73028481</t>
  </si>
  <si>
    <t>60046910</t>
  </si>
  <si>
    <t>72157151</t>
  </si>
  <si>
    <t>74080753</t>
  </si>
  <si>
    <t>70594788</t>
  </si>
  <si>
    <t>72208237</t>
  </si>
  <si>
    <t>73690159</t>
  </si>
  <si>
    <t>41456549</t>
  </si>
  <si>
    <t>72797374</t>
  </si>
  <si>
    <t>002045186</t>
  </si>
  <si>
    <t>25719687</t>
  </si>
  <si>
    <t>73119276</t>
  </si>
  <si>
    <t>41188700</t>
  </si>
  <si>
    <t>71831833</t>
  </si>
  <si>
    <t>76551522</t>
  </si>
  <si>
    <t>48646296</t>
  </si>
  <si>
    <t>73251489</t>
  </si>
  <si>
    <t>46410413</t>
  </si>
  <si>
    <t>72498064</t>
  </si>
  <si>
    <t>46624920</t>
  </si>
  <si>
    <t>46121860</t>
  </si>
  <si>
    <t>75414068</t>
  </si>
  <si>
    <t>44453921</t>
  </si>
  <si>
    <t>70554609</t>
  </si>
  <si>
    <t>46878563</t>
  </si>
  <si>
    <t>75615501</t>
  </si>
  <si>
    <t>73013377</t>
  </si>
  <si>
    <t>77303396</t>
  </si>
  <si>
    <t>46354926</t>
  </si>
  <si>
    <t>72941024</t>
  </si>
  <si>
    <t>72906282</t>
  </si>
  <si>
    <t>76799810</t>
  </si>
  <si>
    <t>73322688</t>
  </si>
  <si>
    <t>10142738</t>
  </si>
  <si>
    <t>71989558</t>
  </si>
  <si>
    <t>76765597</t>
  </si>
  <si>
    <t>22675931</t>
  </si>
  <si>
    <t>75201914</t>
  </si>
  <si>
    <t>75107751</t>
  </si>
  <si>
    <t>48654029</t>
  </si>
  <si>
    <t>76346371</t>
  </si>
  <si>
    <t>60881552</t>
  </si>
  <si>
    <t>46599269</t>
  </si>
  <si>
    <t>42326348</t>
  </si>
  <si>
    <t>70554485</t>
  </si>
  <si>
    <t>GERENTE DE RRHH</t>
  </si>
  <si>
    <t xml:space="preserve">VASQUEZ CANALES LUIS GIOVANNI </t>
  </si>
  <si>
    <t>HERRERA  MARQUEZ JOSE FABRISIO FARID</t>
  </si>
  <si>
    <t>GEREDA HIDALGO FLAVIO LUIS</t>
  </si>
  <si>
    <t>MOZO PT</t>
  </si>
  <si>
    <t>GALA ROCA YMELDA DAVIA</t>
  </si>
  <si>
    <t>PAREDES CAJACURI HEILIN MIRELLA</t>
  </si>
  <si>
    <t>ERRAZABAL FRETEL ROSELLA ESTEFANY</t>
  </si>
  <si>
    <t>MALLMA CAMANA MIRKO YOAO LENIN</t>
  </si>
  <si>
    <t>JARA ASTUPIÑA MICHAEL FABRZZIO</t>
  </si>
  <si>
    <t>CUBAS LAURA AXEL</t>
  </si>
  <si>
    <t>AMAYA CARDENAS KARINA LIZBETH</t>
  </si>
  <si>
    <t>CHAPOÑAN VALDERA DIANA HAYDEE</t>
  </si>
  <si>
    <t>REYES SOLANO ABDEL JORDAN</t>
  </si>
  <si>
    <t>BUENO MONDRAGON NOLBERTO</t>
  </si>
  <si>
    <t>RIVERO MARTINEZ RICARDO FERNANDO</t>
  </si>
  <si>
    <t>PURIZACA YOVERA JACKELINE GIANINA</t>
  </si>
  <si>
    <t>CUSIATADO PAICO JOSE ANTONIO</t>
  </si>
  <si>
    <t>CABRERA CHANGANO KELLY YESENIA</t>
  </si>
  <si>
    <t>BARSINA TORRES JULIO REYNALDO</t>
  </si>
  <si>
    <t>ISHUIZA TUANAMA ADIEL</t>
  </si>
  <si>
    <t>TRANCON VALDIVIA PAULO CESAR</t>
  </si>
  <si>
    <t>SANCHEZ RODAS ROSA MARIA</t>
  </si>
  <si>
    <t>CAICEDO DIAZ NAYELI JAZMIN</t>
  </si>
  <si>
    <t>BUSTAMANTE GARCIA JEREMY GUSTAVO</t>
  </si>
  <si>
    <t>MAURICIO FLORES CRISTIAN RENATO</t>
  </si>
  <si>
    <t>VERA LINDO ALEJANDRO DANIELA</t>
  </si>
  <si>
    <t>QUISPE ANAYA EDWIN</t>
  </si>
  <si>
    <t>MAESTRO CARPINTERO</t>
  </si>
  <si>
    <t>PEREZ ULLOA EUSEBIO CRISTIAN</t>
  </si>
  <si>
    <t>OFICIAL CARPINTERO</t>
  </si>
  <si>
    <t>CHICOMA CHICCHON JERRY LUIS</t>
  </si>
  <si>
    <t>SARMIENTO GOICOCHEA KAREN JOEL</t>
  </si>
  <si>
    <t>MORE VILCHEZ MARIA JULIA</t>
  </si>
  <si>
    <t>ROMAN GOMEZ DARWIN ESBEL</t>
  </si>
  <si>
    <t>SOTELO PACHACUTE MIGUEL ANGEL</t>
  </si>
  <si>
    <t>ECOS ROJAS ANDRE ALESSANDRO</t>
  </si>
  <si>
    <t>MOTORIZADO/DELIVERY</t>
  </si>
  <si>
    <t>MOZO/PARTIME</t>
  </si>
  <si>
    <t>USHIÑAHUA PAIMA WENINGER</t>
  </si>
  <si>
    <t>HORNERO-PARRILLERO</t>
  </si>
  <si>
    <t>ARIMUYA UPARI RUBEN</t>
  </si>
  <si>
    <t>SHAPIAMA CHUJUTALLI JUDITH EMERITA</t>
  </si>
  <si>
    <t>CASTRO USHIÑAHUA JHON PITER</t>
  </si>
  <si>
    <t>TANTALEAN MEDINA PAULZ ALEXANDER</t>
  </si>
  <si>
    <t>RAMIREZ CALLE CELMIRA</t>
  </si>
  <si>
    <t>SOTO CHAMPI LEANDRO ABEL</t>
  </si>
  <si>
    <t>AYLAS CHICHIPE LIZALING IRENE YADIRA</t>
  </si>
  <si>
    <t>AVALOS CASAÑA SAMIR ANTONIO</t>
  </si>
  <si>
    <t>ROJAS GUERRA BERTHA GRECIA</t>
  </si>
  <si>
    <t>ZEVALLOS COELLO ERNESTO ALONSO</t>
  </si>
  <si>
    <t>ALCARRAZ CURIÑAUPA ADRIAN DANIEL</t>
  </si>
  <si>
    <t>VILLALVA HEREDIA HAROLD SANTIAGO</t>
  </si>
  <si>
    <t>CAPANI MERCADO JOSEFART SABINO</t>
  </si>
  <si>
    <t>CHEF</t>
  </si>
  <si>
    <t>ORTIZ BERROCAL GIOVANNI AARON</t>
  </si>
  <si>
    <t>CONCEPCION VASSALLO NATALIA</t>
  </si>
  <si>
    <t>VILLALVA RAMIREZ MOISES RODRIGO SEBASTIAN</t>
  </si>
  <si>
    <t>MORALES CALERO HERNAN OMAR</t>
  </si>
  <si>
    <t>SALAS OBREGON JESUS RODOLFO</t>
  </si>
  <si>
    <t>PADILLA MANTILLA JAVIER EDMUNDO</t>
  </si>
  <si>
    <t>AHUITE ARAHUANAZA ESAU</t>
  </si>
  <si>
    <t>ESCOBEDO REATEGUI MARCO ANTONIO</t>
  </si>
  <si>
    <t>VILLEGAS ESPINOZA FRANK ANTHONY</t>
  </si>
  <si>
    <t>CASTRO ROJAS ANGELO STEFANO</t>
  </si>
  <si>
    <t>DIAZ AVILA BRENDA VANNIA LUISA</t>
  </si>
  <si>
    <t>SILVA ZAMORA LUIS ANTONIO</t>
  </si>
  <si>
    <t>SALAS SALGADO ADRIANO YANDEL</t>
  </si>
  <si>
    <t>BRAVO ARAÑA BEATRIZ EVA</t>
  </si>
  <si>
    <t>ROSILLO FARIAS MARTIN EDUARDO</t>
  </si>
  <si>
    <t>RUIZ CHANG JOSE CARLOS</t>
  </si>
  <si>
    <t>RIVAS YAIPEN JAIR EDUARDO</t>
  </si>
  <si>
    <t>CHIANG FRIAS MARIA JOSE</t>
  </si>
  <si>
    <t>WOK HEY</t>
  </si>
  <si>
    <t>RAMIREZ QUISPE JORGE LUIS</t>
  </si>
  <si>
    <t>IZQUIERDO RAMOS JOSHUA ESTEBAN</t>
  </si>
  <si>
    <t>CANCHACHI PINTADO ALISON NAYELI</t>
  </si>
  <si>
    <t>WRSUA GARCIA DIANA CAROLINA</t>
  </si>
  <si>
    <t>CUBAS DELGADILLO KATTY SARAI</t>
  </si>
  <si>
    <t>RICHTER GARRO MARIA DEL PILAR</t>
  </si>
  <si>
    <t>SERRANO LEON MAURICIO ANTONIO</t>
  </si>
  <si>
    <t>MAYURI NOLE CHRISTIAN ANDRES</t>
  </si>
  <si>
    <t>LA TAPADA - ADM</t>
  </si>
  <si>
    <t>TAMBO - CASA GRAÑA</t>
  </si>
  <si>
    <t>PUERTO SANTA ROSA</t>
  </si>
  <si>
    <t>LEAL ATENCIO JOSMELY YOSELIN</t>
  </si>
  <si>
    <t>SANCHEZ QUIÑONEZ PATRICIA PAOLA</t>
  </si>
  <si>
    <t>MALDONADO LLERENA JAIR ARAMIS</t>
  </si>
  <si>
    <t>CONQUISTADOR</t>
  </si>
  <si>
    <t>SANCHEZ BARRERA JOSE MIGUEL</t>
  </si>
  <si>
    <t>SUPERVISOR DE BAR</t>
  </si>
  <si>
    <t>VILLALVA SUAZO STEPHANY MILUSKA</t>
  </si>
  <si>
    <t>VENEGAS PAUCCARA STEFANO MICHAEL</t>
  </si>
  <si>
    <t>QUISPE MEDINA JULISSA NATALY</t>
  </si>
  <si>
    <t>PLAZA MERCADO</t>
  </si>
  <si>
    <t>GARCIA POMACHAGUA GIANPIER HIROSHI MOISES</t>
  </si>
  <si>
    <t>RODRIGUEZ SOTO YOVANI AARON</t>
  </si>
  <si>
    <t>PALACIOS SIPAN OSCAR NAHI</t>
  </si>
  <si>
    <t>CONTRERAS CARRANZA VICTOR ALBERTO</t>
  </si>
  <si>
    <t>FERNANDEZ VEGA NORKA BELEN</t>
  </si>
  <si>
    <t>BARRETO FARFAN DAVID JOSUE</t>
  </si>
  <si>
    <t>MONTES AYARZA WALTER DANIEL</t>
  </si>
  <si>
    <t>GONZALES VALLADARES JOSE MAURICIO</t>
  </si>
  <si>
    <t>USCAMAYTA GALLARETA MARIO ALEXANDER</t>
  </si>
  <si>
    <t>CASTAÑEDA BRAVO FRANKLIN EVARISTO</t>
  </si>
  <si>
    <t>OTOYA SANTIVAÑEZ RODOLFO ARIEL JORGE</t>
  </si>
  <si>
    <t>ISASI DE LA CRUZ LUIS ENRIQUE</t>
  </si>
  <si>
    <t>CONDE CANALES EDMILSON ELLIOT</t>
  </si>
  <si>
    <t>PALOMINO GARAY MIRSA ARACELLI</t>
  </si>
  <si>
    <t>VERGARAY CONISLLA ASHLY JENNIFER</t>
  </si>
  <si>
    <t>SOCIAL MEDIA MANAGER</t>
  </si>
  <si>
    <t>TORRES NAVEDA HECTOR FERNANDO</t>
  </si>
  <si>
    <t>ALCEDO SALGADO MAURICIO FARID</t>
  </si>
  <si>
    <t>ZEGARRA MORAN OSCAR JOHN</t>
  </si>
  <si>
    <t>EGOAVIL VIGO ENMANUEL VALENTINO</t>
  </si>
  <si>
    <t>RUEDA GUTIERREZ GIAN CARLOS</t>
  </si>
  <si>
    <t>TRUJILLO VALDIVIA, GENNER UBALDO</t>
  </si>
  <si>
    <t>CONTROLLER DE ALMACEN</t>
  </si>
  <si>
    <t>LOPEZ ROMERO, ALEJANDRO GABRIEL</t>
  </si>
  <si>
    <t>CONTROLLER DE PRODUCCION</t>
  </si>
  <si>
    <t>MANOTTUPA MASIAS, THIARA ANYELA</t>
  </si>
  <si>
    <t>AUXILIAR CONTABLE</t>
  </si>
  <si>
    <t>CANALES CARPIO, DEBORA DAIANA</t>
  </si>
  <si>
    <t>ANALISTA DE CALIDAD</t>
  </si>
  <si>
    <t>FERNANDEZ TIRADO, BETZABETH AMELIA</t>
  </si>
  <si>
    <t>CAMACHO BARTOLO, RICHARD MATEO</t>
  </si>
  <si>
    <t>RUIZ MARTINEZ, MARGARITA</t>
  </si>
  <si>
    <t>SUAREZ ORBEGOZO, KIARA ISABEL</t>
  </si>
  <si>
    <t>RUIZ ADANAQUE, ANYELLO ALEXANDER</t>
  </si>
  <si>
    <t>MIRELES QUISPE, JENNIFER FRANCISCO</t>
  </si>
  <si>
    <t>LLALLICO PAREDES, CIDIA GLADYS</t>
  </si>
  <si>
    <t>PALOMINO HUANCAHUARI, ELIZABETH</t>
  </si>
  <si>
    <t>ORTIZ ARENAS, GIULEANA LISSETH</t>
  </si>
  <si>
    <t>CHUQUIHUANGA MENDOZA, MARYURY DEL PILAR</t>
  </si>
  <si>
    <t>CUCHULA SORIANO, JEAN PIERE GUSTAVO</t>
  </si>
  <si>
    <t>YACOPAICO MAYTA, YAN CELESTINO</t>
  </si>
  <si>
    <t>PIMENTEL BASILIO, NEYLI</t>
  </si>
  <si>
    <t>JESUS GRIMALDO CARHUAVILCA PARCO</t>
  </si>
  <si>
    <t>PASTELERO</t>
  </si>
  <si>
    <t>POLO PIQUÉ PIZARRA RX, MANGA CORTA ADMI</t>
  </si>
  <si>
    <t>XXL</t>
  </si>
  <si>
    <t>CASACA NEGRA CON REFLECTIVOS PACKER</t>
  </si>
  <si>
    <t>GORRO NEGRO ADM</t>
  </si>
  <si>
    <t>PECHERA GUINDA CORREDOR</t>
  </si>
  <si>
    <t>CAMISA OXFORD CONCHE VINO</t>
  </si>
  <si>
    <t>PECHERA  NEGRA ENTRENADOR DE SERVICIO</t>
  </si>
  <si>
    <t>POLO 31/1 GRIS</t>
  </si>
  <si>
    <t>B47858272</t>
  </si>
  <si>
    <t>B10414766</t>
  </si>
  <si>
    <t>B42210873</t>
  </si>
  <si>
    <t>B47535717</t>
  </si>
  <si>
    <t>73617930</t>
  </si>
  <si>
    <t>09846440</t>
  </si>
  <si>
    <t>70303892</t>
  </si>
  <si>
    <t>60436376</t>
  </si>
  <si>
    <t>71455368</t>
  </si>
  <si>
    <t>61245443</t>
  </si>
  <si>
    <t>42275993</t>
  </si>
  <si>
    <t>76535213</t>
  </si>
  <si>
    <t>47113953</t>
  </si>
  <si>
    <t>76754332</t>
  </si>
  <si>
    <t>75801890</t>
  </si>
  <si>
    <t>75437843</t>
  </si>
  <si>
    <t>61058814</t>
  </si>
  <si>
    <t>42114869</t>
  </si>
  <si>
    <t>71595082</t>
  </si>
  <si>
    <t>77253671</t>
  </si>
  <si>
    <t>77323092</t>
  </si>
  <si>
    <t>47916744</t>
  </si>
  <si>
    <t>77268391</t>
  </si>
  <si>
    <t>70945157</t>
  </si>
  <si>
    <t>46532511</t>
  </si>
  <si>
    <t>74279049</t>
  </si>
  <si>
    <t>75916732</t>
  </si>
  <si>
    <t>43557289</t>
  </si>
  <si>
    <t>74381790</t>
  </si>
  <si>
    <t>75296671</t>
  </si>
  <si>
    <t>46520722</t>
  </si>
  <si>
    <t>60873409</t>
  </si>
  <si>
    <t>72397067</t>
  </si>
  <si>
    <t>60945377</t>
  </si>
  <si>
    <t>73178938</t>
  </si>
  <si>
    <t>77820673</t>
  </si>
  <si>
    <t>75576936</t>
  </si>
  <si>
    <t>76121282</t>
  </si>
  <si>
    <t>61487279</t>
  </si>
  <si>
    <t>76139532</t>
  </si>
  <si>
    <t>73735802</t>
  </si>
  <si>
    <t>75599570</t>
  </si>
  <si>
    <t>75424315</t>
  </si>
  <si>
    <t>76871368</t>
  </si>
  <si>
    <t>74931398</t>
  </si>
  <si>
    <t>74203854</t>
  </si>
  <si>
    <t>75667745</t>
  </si>
  <si>
    <t>09801776</t>
  </si>
  <si>
    <t>20072284</t>
  </si>
  <si>
    <t>27395443</t>
  </si>
  <si>
    <t>25672990</t>
  </si>
  <si>
    <t>10634288</t>
  </si>
  <si>
    <t>10138074</t>
  </si>
  <si>
    <t>40715911</t>
  </si>
  <si>
    <t>44011394</t>
  </si>
  <si>
    <t>10069349</t>
  </si>
  <si>
    <t>42222777</t>
  </si>
  <si>
    <t>41833040</t>
  </si>
  <si>
    <t>43158351</t>
  </si>
  <si>
    <t>09527469</t>
  </si>
  <si>
    <t>46458892</t>
  </si>
  <si>
    <t>09802733</t>
  </si>
  <si>
    <t>76001820</t>
  </si>
  <si>
    <t>000355286</t>
  </si>
  <si>
    <t>74980279</t>
  </si>
  <si>
    <t>72334053</t>
  </si>
  <si>
    <t>72188486</t>
  </si>
  <si>
    <t>72239398</t>
  </si>
  <si>
    <t>80405574</t>
  </si>
  <si>
    <t>77582773</t>
  </si>
  <si>
    <t>74157666</t>
  </si>
  <si>
    <t>75486511</t>
  </si>
  <si>
    <t>73654304</t>
  </si>
  <si>
    <t>60890872</t>
  </si>
  <si>
    <t>43888287</t>
  </si>
  <si>
    <t>77031999</t>
  </si>
  <si>
    <t>76020363</t>
  </si>
  <si>
    <t>48051845</t>
  </si>
  <si>
    <t>62177555</t>
  </si>
  <si>
    <t>72525519</t>
  </si>
  <si>
    <t>74694871</t>
  </si>
  <si>
    <t>46940804</t>
  </si>
  <si>
    <t>47160049</t>
  </si>
  <si>
    <t>47205251</t>
  </si>
  <si>
    <t>77751699</t>
  </si>
  <si>
    <t>72508837</t>
  </si>
  <si>
    <t>76928854</t>
  </si>
  <si>
    <t>77417658</t>
  </si>
  <si>
    <t>48860588</t>
  </si>
  <si>
    <t>73241184</t>
  </si>
  <si>
    <t>72169361</t>
  </si>
  <si>
    <t>45625200</t>
  </si>
  <si>
    <t>45145831</t>
  </si>
  <si>
    <t>48358293</t>
  </si>
  <si>
    <t>76663235</t>
  </si>
  <si>
    <t>46655721</t>
  </si>
  <si>
    <t>48723902</t>
  </si>
  <si>
    <t>74854016</t>
  </si>
  <si>
    <t>09980818</t>
  </si>
  <si>
    <t>71076947</t>
  </si>
  <si>
    <t>76304825</t>
  </si>
  <si>
    <t>GONZALES SULCA GIANPAUL LEANDRO</t>
  </si>
  <si>
    <t>ASPILLAGA TAVERA FAVIOLA CRISTINA</t>
  </si>
  <si>
    <t>GONZALES HUAYTALLA ANDRES ALBERTO</t>
  </si>
  <si>
    <t>BERROSPI QUISPE JOSE LUIS</t>
  </si>
  <si>
    <t>AZCARATE ALLAIN JORGE RICHARD</t>
  </si>
  <si>
    <t>PANDURO GARCIA JUAN ESTEBAN</t>
  </si>
  <si>
    <t>MEDRANO DIAZ FRANKLIN JESUS</t>
  </si>
  <si>
    <t>TORRES PINEDO GUISELA ROSARIO</t>
  </si>
  <si>
    <t>PALACIOS LEON KASSY NICOLE</t>
  </si>
  <si>
    <t>LARA RUPAY DANIELA</t>
  </si>
  <si>
    <t>COSO VEGA ANDERSON FREDDY</t>
  </si>
  <si>
    <t>BARRERA TANTA DAVID FERNANDO</t>
  </si>
  <si>
    <t>TORRES PEREZ MARIANO ALONSO DE JESUS</t>
  </si>
  <si>
    <t>MORALES FLORES CHRISTIAN JESUS</t>
  </si>
  <si>
    <t>COORDINADOR (A) DE RRHH</t>
  </si>
  <si>
    <t>PEREZ DAVILA MILAGRITOS</t>
  </si>
  <si>
    <t>LAURANTE PALPAN DIEGO ALEXIS</t>
  </si>
  <si>
    <t>QUISPE ABAD MEYLIN GABY</t>
  </si>
  <si>
    <t>DELGADO JUAREZ LEONARDO FABIO</t>
  </si>
  <si>
    <t xml:space="preserve">CORREDOR </t>
  </si>
  <si>
    <t>RICHTER FERREYROS DANIEL ANTONIO BERNARD</t>
  </si>
  <si>
    <t>CHUÑE FARRO CHRISTIAN FABIAN</t>
  </si>
  <si>
    <t>PUJAY REYES RAFAEL</t>
  </si>
  <si>
    <t>ISUIZA TUANAMA MARCELINO</t>
  </si>
  <si>
    <t>SALCEDO MENDOZA DANIEL JHANPIER</t>
  </si>
  <si>
    <t>TREVEJO VELIZ JUAN JOSE</t>
  </si>
  <si>
    <t>ASENJO ARMIJO JESUS JOSEPH</t>
  </si>
  <si>
    <t>LLIUYA ISUIZA DAHIANIRA YUDANI</t>
  </si>
  <si>
    <t>NANFUÑAY CHAFLOQUE JHON GERARDO</t>
  </si>
  <si>
    <t>IBAÑEZ CALIXTO JUSTIN DANNY</t>
  </si>
  <si>
    <t>MEJIA YACARINI JEREMY JOAQUIN</t>
  </si>
  <si>
    <t>CHOQUE VELAZCO ANDRE BORIS</t>
  </si>
  <si>
    <t>BOBADILLA VASQUEZ JHON ALEXANDER</t>
  </si>
  <si>
    <t>QUIROZ BERNAOLA CRISTHIAN JEAN PIERRE</t>
  </si>
  <si>
    <t>FLORES CASTILLO ENZO PAOLO</t>
  </si>
  <si>
    <t>HORNERO/PARRILLERO</t>
  </si>
  <si>
    <t>TREND BUSINESS S.A.C.</t>
  </si>
  <si>
    <t>VILLACORTA DEL CASTILLO CRISTOFER JAN</t>
  </si>
  <si>
    <t>SHUPINGAHUA BAUTISTA DANITZA</t>
  </si>
  <si>
    <t>ACUACHE CUSTODIO RONALDINHO JOSUE</t>
  </si>
  <si>
    <t>MARQUEZ PEREZ  NICOLE MARYOURY</t>
  </si>
  <si>
    <t>PAUCAR TRUCIOS MARIA FERNANDA</t>
  </si>
  <si>
    <t xml:space="preserve">SIMON HUANCA  ANDRE MANUEL </t>
  </si>
  <si>
    <t>SORIA SALVATIERRA ANGIE MARIA ALEJANDRA</t>
  </si>
  <si>
    <t>FLORES VALERA CARLA MARIA</t>
  </si>
  <si>
    <t>COTERA MOSCOSO XIOMARA XIMENA</t>
  </si>
  <si>
    <t>CALAPUJA MALLAOPOMA TEOFILO SANTIAGO</t>
  </si>
  <si>
    <t>SOSA DAHUA MIGUELANGEL MANUEL</t>
  </si>
  <si>
    <t>CHIN CHAU MARGARITA ELIZABETH</t>
  </si>
  <si>
    <t>SECRETARIA</t>
  </si>
  <si>
    <t>SANTOS GOMEZ ADAN VICTOR</t>
  </si>
  <si>
    <t>CLAVO ROJAS SANTIAGO</t>
  </si>
  <si>
    <t>COLLANTES MINAYA MARIO RODOLFO</t>
  </si>
  <si>
    <t>MONJA CORNEJO FRANCISCO ROMAN</t>
  </si>
  <si>
    <t>KONG TON KION ON</t>
  </si>
  <si>
    <t>MELGAREJO CANO ROLANDO ALBARO</t>
  </si>
  <si>
    <t>PALOMINO BURGOS RICHARD DAVID</t>
  </si>
  <si>
    <t>ESPINOZA CORTEZ JOSE ANANIAS</t>
  </si>
  <si>
    <t>ROJAS PALOMINO WILLINTON</t>
  </si>
  <si>
    <t>SUPERVISOR(A) DE CALIDAD</t>
  </si>
  <si>
    <t>TAIPE RAMIREZ VICTOR DANIEL</t>
  </si>
  <si>
    <t>PAJUELO BRONCANO RUBEN CARLOS</t>
  </si>
  <si>
    <t>ALVARADO DIAZ ISRRAEL</t>
  </si>
  <si>
    <t>MUDARRA RONDO ROGER</t>
  </si>
  <si>
    <t>CAMPOS CABRERA IVAN</t>
  </si>
  <si>
    <t>CAO 0 JINGHUI</t>
  </si>
  <si>
    <t>SUPERV. DE OPER</t>
  </si>
  <si>
    <t>FLORES SEMINARIO MOISES GABRIEL ENRIQUE</t>
  </si>
  <si>
    <t>MANSILLA ROJAS OSCAR ANTONIO</t>
  </si>
  <si>
    <t>MONTEVERDE SOSA GIANCARLO</t>
  </si>
  <si>
    <t>AUDITOR INTERNO JUNIOR</t>
  </si>
  <si>
    <t>COLLANTES PALOMARES ANDREA VALERIA JANETH</t>
  </si>
  <si>
    <t>RAMIREZ PALOMINO WALTHER JAVIER</t>
  </si>
  <si>
    <t>DIAZ VAN HEUSSEN HOFMAN JEREMY CHRIS SERGIO VANDERBILT</t>
  </si>
  <si>
    <t>PAREDES HERRERA ELI ANTONY</t>
  </si>
  <si>
    <t>NUÑEZ BALBIN FERNANDO JOSE</t>
  </si>
  <si>
    <t>NUÑEZ SOLIS DAVID ELIAS</t>
  </si>
  <si>
    <t>ZEVALLOS CASTILLO HAZEL MATHIAS</t>
  </si>
  <si>
    <t>VALDIVIA SALDAÑA SEBASTIAN ALONSO</t>
  </si>
  <si>
    <t>MORAN MACHACA CRISTINA NICOL</t>
  </si>
  <si>
    <t>CONDORI GAMBINI CAROLINA ARASELI</t>
  </si>
  <si>
    <t>ZETA LEAL JESUS JOEL</t>
  </si>
  <si>
    <t>ORTEGA SANCHEZ JHON ANGEL</t>
  </si>
  <si>
    <t>SALINAS ARIAS JOSEPH ESTEBAN</t>
  </si>
  <si>
    <t>PASCUAL RODRIGUEZ EIDAN WALTER MANUEL</t>
  </si>
  <si>
    <t>TTITO CONCHA DIEGO</t>
  </si>
  <si>
    <t>QUEREVALU RIVERA RICHARDSON JHON DANY</t>
  </si>
  <si>
    <t>SALAZAR GONZALES LUIS ENRIQUE</t>
  </si>
  <si>
    <t>CURIÑAUPA CALLE RODRIGO ANDRE</t>
  </si>
  <si>
    <t>PEÑA DAVILA HANS STEVEN</t>
  </si>
  <si>
    <t>ARMAS NUÑEZ ABEL ALEXANDER</t>
  </si>
  <si>
    <t>CHICCHE ROJAS SANDRO</t>
  </si>
  <si>
    <t>ZAPATER X GIANCARLO</t>
  </si>
  <si>
    <t>ASISTENTE ADMINISTRATIVO (A) JR</t>
  </si>
  <si>
    <t>CAJA PACHECO JORGE LUIS</t>
  </si>
  <si>
    <t>HUAMAN SOLORZANO ANDY DIOGO</t>
  </si>
  <si>
    <t>AGUERO BENITES JOHNNY MARVIN</t>
  </si>
  <si>
    <t>LEON CALLUPE JHONATAN RICARDO</t>
  </si>
  <si>
    <t>ROJAS ANCCO DAVIAN</t>
  </si>
  <si>
    <t>COORDINADOR (A) DE PERSONAL Y OBRAS</t>
  </si>
  <si>
    <t>LEVANO VARGAS, FIORELLA ESPERANZA</t>
  </si>
  <si>
    <t>LIVIA NAVARRETE, RODRIGO DELMY</t>
  </si>
  <si>
    <t>FACTURADOR</t>
  </si>
  <si>
    <t>DIONICIO CCOYO, JOSE ESTEBAN</t>
  </si>
  <si>
    <t>YUPANQUI MAÑUICO, WADI REYJOR</t>
  </si>
  <si>
    <t>PACAYA RODRÍGUEZ, LORENA</t>
  </si>
  <si>
    <t>OPERARIA DE PRODUCCION</t>
  </si>
  <si>
    <t>PAUCA FLORES, VICTOR MANUEL</t>
  </si>
  <si>
    <t>DELGADO MERINO, ALEJANDRO ENRIQUE</t>
  </si>
  <si>
    <t>HURTADO ARANGÜENA, HENRY ARTURO</t>
  </si>
  <si>
    <t>ABAD CCAHUANA, GUSTAVO ANDRE</t>
  </si>
  <si>
    <t>ALATA QUISPE, DANNA JASSIEL</t>
  </si>
  <si>
    <t>TORRES CHUQUIRUNA</t>
  </si>
  <si>
    <t>VILLACORTA CABALLERO, ALFREDO TOMAS</t>
  </si>
  <si>
    <t>MILLA RUIZ, CAMILA MABEL</t>
  </si>
  <si>
    <t>BOCANADA</t>
  </si>
  <si>
    <t>SATURNINO JOSEFRANCISCO PALOMINO PRADO</t>
  </si>
  <si>
    <t>MONICA ZUHEY LOPEZ GOMEZ</t>
  </si>
  <si>
    <t>AGREGADO DEL LISTADO DE PERSONAL DE NOVIEMBRE</t>
  </si>
  <si>
    <t>SALE COMO CAJERO EN EL LISTADO DE PERSONAL</t>
  </si>
  <si>
    <t>72511903</t>
  </si>
  <si>
    <t>PANANA NAJARRO LUIS ENRIQUE</t>
  </si>
  <si>
    <t>AGREGADO DEL LISTADO DE PERSONAL DE OCTUBRE</t>
  </si>
  <si>
    <t>POLO PIQUÉ NEGRO RX AUDITORIA</t>
  </si>
  <si>
    <t xml:space="preserve">CASACA GRIS </t>
  </si>
  <si>
    <t>SALIDA</t>
  </si>
  <si>
    <t>Entrega</t>
  </si>
  <si>
    <t>TREND BUSINES S.A.C.</t>
  </si>
  <si>
    <t>S/</t>
  </si>
  <si>
    <t>FUENTES  NOLLI  AMERICA LEONOR</t>
  </si>
  <si>
    <t>VARGAS FERNANDEZ JAHIR ALESSANDRO</t>
  </si>
  <si>
    <t>GUERRERO NAVARRO  WEISSER MANUEL</t>
  </si>
  <si>
    <t>HUARI SALHUANA MEN LE GOHAN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</si>
</sst>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S/&quot;\ * #,##0.00_-;\-&quot;S/&quot;\ * #,##0.00_-;_-&quot;S/&quot;\ * &quot;-&quot;??_-;_-@_-"/>
    <numFmt numFmtId="165" formatCode="&quot;S/ &quot;#,##0.00"/>
    <numFmt numFmtId="166" formatCode="dd/mm/yy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 Light"/>
      <family val="2"/>
    </font>
    <font>
      <b/>
      <sz val="11"/>
      <color indexed="81"/>
      <name val="Tahoma"/>
      <family val="2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5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0" xfId="0" applyAlignment="1">
      <alignment wrapText="1"/>
    </xf>
    <xf numFmtId="165" fontId="0" fillId="0" borderId="0" xfId="0" applyNumberFormat="1"/>
    <xf numFmtId="1" fontId="0" fillId="0" borderId="0" xfId="0" applyNumberFormat="1"/>
    <xf numFmtId="0" fontId="1" fillId="0" borderId="0" xfId="0" applyFont="1"/>
    <xf numFmtId="0" fontId="2" fillId="0" borderId="0" xfId="0" applyFont="1"/>
    <xf numFmtId="164" fontId="0" fillId="0" borderId="0" xfId="1" applyFon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14" fontId="0" fillId="0" borderId="0" xfId="0" applyNumberFormat="1"/>
    <xf numFmtId="2" fontId="1" fillId="2" borderId="1" xfId="0" applyNumberFormat="1" applyFont="1" applyFill="1" applyBorder="1" applyAlignment="1">
      <alignment horizontal="center"/>
    </xf>
    <xf numFmtId="2" fontId="0" fillId="0" borderId="0" xfId="0" applyNumberFormat="1"/>
    <xf numFmtId="0" fontId="0" fillId="9" borderId="0" xfId="0" applyFill="1"/>
    <xf numFmtId="0" fontId="4" fillId="9" borderId="2" xfId="0" applyFont="1" applyFill="1" applyBorder="1"/>
    <xf numFmtId="0" fontId="10" fillId="4" borderId="3" xfId="0" applyFont="1" applyFill="1" applyBorder="1" applyAlignment="1" applyProtection="1">
      <alignment horizontal="center" vertical="center" wrapText="1"/>
      <protection locked="0"/>
    </xf>
    <xf numFmtId="49" fontId="10" fillId="0" borderId="2" xfId="0" applyNumberFormat="1" applyFont="1" applyBorder="1" applyProtection="1">
      <protection locked="0"/>
    </xf>
    <xf numFmtId="0" fontId="10" fillId="4" borderId="3" xfId="0" applyFont="1" applyFill="1" applyBorder="1" applyAlignment="1">
      <alignment horizontal="left" vertical="center" wrapText="1" indent="1"/>
    </xf>
    <xf numFmtId="0" fontId="10" fillId="4" borderId="3" xfId="0" applyFont="1" applyFill="1" applyBorder="1" applyAlignment="1" applyProtection="1">
      <alignment vertical="center" wrapText="1"/>
      <protection locked="0"/>
    </xf>
    <xf numFmtId="0" fontId="10" fillId="4" borderId="3" xfId="0" applyFont="1" applyFill="1" applyBorder="1" applyAlignment="1" applyProtection="1">
      <alignment horizontal="left" vertical="center" wrapText="1" indent="1"/>
      <protection locked="0"/>
    </xf>
    <xf numFmtId="14" fontId="10" fillId="0" borderId="0" xfId="0" applyNumberFormat="1" applyFont="1"/>
    <xf numFmtId="164" fontId="0" fillId="0" borderId="0" xfId="0" applyNumberFormat="1"/>
    <xf numFmtId="0" fontId="0" fillId="0" borderId="1" xfId="0" applyBorder="1" applyAlignment="1">
      <alignment horizontal="right"/>
    </xf>
    <xf numFmtId="49" fontId="0" fillId="0" borderId="1" xfId="0" applyNumberFormat="1" applyBorder="1" applyAlignment="1">
      <alignment horizontal="right"/>
    </xf>
    <xf numFmtId="49" fontId="0" fillId="0" borderId="1" xfId="0" quotePrefix="1" applyNumberFormat="1" applyBorder="1" applyAlignment="1">
      <alignment horizontal="right"/>
    </xf>
    <xf numFmtId="0" fontId="0" fillId="0" borderId="1" xfId="0" quotePrefix="1" applyBorder="1" applyAlignment="1">
      <alignment horizontal="right"/>
    </xf>
    <xf numFmtId="49" fontId="0" fillId="0" borderId="1" xfId="0" applyNumberFormat="1" applyBorder="1" applyAlignment="1" applyProtection="1">
      <alignment horizontal="right"/>
      <protection locked="0"/>
    </xf>
    <xf numFmtId="0" fontId="0" fillId="4" borderId="1" xfId="0" applyFill="1" applyBorder="1" applyAlignment="1" applyProtection="1">
      <alignment horizontal="right" vertical="center" wrapText="1"/>
      <protection locked="0"/>
    </xf>
    <xf numFmtId="0" fontId="0" fillId="0" borderId="1" xfId="0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left"/>
    </xf>
    <xf numFmtId="0" fontId="0" fillId="0" borderId="1" xfId="0" applyBorder="1"/>
    <xf numFmtId="0" fontId="11" fillId="0" borderId="1" xfId="0" applyFont="1" applyBorder="1" applyAlignment="1">
      <alignment horizontal="left"/>
    </xf>
    <xf numFmtId="49" fontId="0" fillId="0" borderId="1" xfId="0" applyNumberFormat="1" applyBorder="1" applyAlignment="1" applyProtection="1">
      <alignment horizontal="left"/>
      <protection locked="0"/>
    </xf>
    <xf numFmtId="0" fontId="0" fillId="0" borderId="1" xfId="0" applyBorder="1" applyProtection="1">
      <protection locked="0"/>
    </xf>
    <xf numFmtId="49" fontId="0" fillId="0" borderId="1" xfId="0" applyNumberFormat="1" applyBorder="1" applyProtection="1">
      <protection locked="0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left" vertical="center" wrapText="1" indent="1"/>
    </xf>
    <xf numFmtId="0" fontId="0" fillId="4" borderId="1" xfId="0" applyFill="1" applyBorder="1" applyAlignment="1" applyProtection="1">
      <alignment vertical="center" wrapText="1"/>
      <protection locked="0"/>
    </xf>
    <xf numFmtId="0" fontId="0" fillId="4" borderId="1" xfId="0" applyFill="1" applyBorder="1" applyAlignment="1" applyProtection="1">
      <alignment horizontal="left" vertical="center" wrapText="1" indent="1"/>
      <protection locked="0"/>
    </xf>
    <xf numFmtId="14" fontId="0" fillId="0" borderId="1" xfId="0" applyNumberFormat="1" applyBorder="1" applyAlignment="1">
      <alignment vertical="center"/>
    </xf>
    <xf numFmtId="14" fontId="0" fillId="0" borderId="1" xfId="0" applyNumberFormat="1" applyBorder="1" applyAlignment="1">
      <alignment horizontal="right"/>
    </xf>
    <xf numFmtId="166" fontId="0" fillId="0" borderId="1" xfId="0" applyNumberFormat="1" applyBorder="1" applyAlignment="1">
      <alignment horizontal="right"/>
    </xf>
    <xf numFmtId="166" fontId="0" fillId="0" borderId="1" xfId="0" applyNumberFormat="1" applyBorder="1" applyAlignment="1" applyProtection="1">
      <alignment horizontal="right" vertical="center"/>
      <protection locked="0"/>
    </xf>
    <xf numFmtId="14" fontId="0" fillId="0" borderId="1" xfId="0" applyNumberFormat="1" applyBorder="1"/>
    <xf numFmtId="14" fontId="0" fillId="0" borderId="0" xfId="0" applyNumberFormat="1" applyAlignment="1">
      <alignment horizontal="center"/>
    </xf>
    <xf numFmtId="0" fontId="1" fillId="2" borderId="4" xfId="0" applyFont="1" applyFill="1" applyBorder="1" applyAlignment="1">
      <alignment horizontal="center"/>
    </xf>
    <xf numFmtId="49" fontId="0" fillId="0" borderId="0" xfId="0" applyNumberFormat="1" applyAlignment="1">
      <alignment horizontal="right"/>
    </xf>
    <xf numFmtId="0" fontId="0" fillId="9" borderId="1" xfId="0" applyFill="1" applyBorder="1" applyAlignment="1">
      <alignment horizontal="right"/>
    </xf>
    <xf numFmtId="0" fontId="0" fillId="9" borderId="1" xfId="0" applyFill="1" applyBorder="1" applyAlignment="1">
      <alignment horizontal="left"/>
    </xf>
    <xf numFmtId="0" fontId="0" fillId="9" borderId="1" xfId="0" applyFill="1" applyBorder="1"/>
    <xf numFmtId="14" fontId="0" fillId="9" borderId="1" xfId="0" applyNumberFormat="1" applyFill="1" applyBorder="1" applyAlignment="1">
      <alignment horizontal="right"/>
    </xf>
  </cellXfs>
  <cellStyles count="2">
    <cellStyle name="Currency" xfId="1" builtinId="4"/>
    <cellStyle name="Normal" xfId="0" builtinId="0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520700</xdr:colOff>
          <xdr:row>1</xdr:row>
          <xdr:rowOff>88900</xdr:rowOff>
        </xdr:from>
        <xdr:to>
          <xdr:col>12</xdr:col>
          <xdr:colOff>444500</xdr:colOff>
          <xdr:row>4</xdr:row>
          <xdr:rowOff>63500</xdr:rowOff>
        </xdr:to>
        <xdr:sp macro="" textlink="">
          <xdr:nvSpPr>
            <xdr:cNvPr id="8194" name="Button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4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Procesar entradas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38100</xdr:colOff>
          <xdr:row>1</xdr:row>
          <xdr:rowOff>152400</xdr:rowOff>
        </xdr:from>
        <xdr:to>
          <xdr:col>18</xdr:col>
          <xdr:colOff>127000</xdr:colOff>
          <xdr:row>4</xdr:row>
          <xdr:rowOff>76200</xdr:rowOff>
        </xdr:to>
        <xdr:sp macro="" textlink="">
          <xdr:nvSpPr>
            <xdr:cNvPr id="3077" name="Button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5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Procesar entregas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298450</xdr:colOff>
      <xdr:row>0</xdr:row>
      <xdr:rowOff>57150</xdr:rowOff>
    </xdr:from>
    <xdr:to>
      <xdr:col>9</xdr:col>
      <xdr:colOff>374650</xdr:colOff>
      <xdr:row>2</xdr:row>
      <xdr:rowOff>120650</xdr:rowOff>
    </xdr:to>
    <xdr:sp macro="ProcesarEntregasDeHoy" textlink="">
      <xdr:nvSpPr>
        <xdr:cNvPr id="2" name="btnProc2">
          <a:extLst>
            <a:ext uri="{FF2B5EF4-FFF2-40B4-BE49-F238E27FC236}">
              <a16:creationId xmlns:a16="http://schemas.microsoft.com/office/drawing/2014/main" id="{89B7BC01-68E8-D86C-9507-55E18872F1C9}"/>
            </a:ext>
          </a:extLst>
        </xdr:cNvPr>
        <xdr:cNvSpPr/>
      </xdr:nvSpPr>
      <xdr:spPr>
        <a:xfrm>
          <a:off x="8286750" y="57150"/>
          <a:ext cx="1905000" cy="431800"/>
        </a:xfrm>
        <a:prstGeom prst="roundRect">
          <a:avLst/>
        </a:prstGeom>
        <a:solidFill>
          <a:srgbClr val="2D8D49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100"/>
            <a:t>Procesar entregas</a:t>
          </a:r>
        </a:p>
      </xdr:txBody>
    </xdr:sp>
    <xdr:clientData/>
  </xdr:twoCellAnchor>
  <xdr:twoCellAnchor editAs="absolute">
    <xdr:from>
      <xdr:col>6</xdr:col>
      <xdr:colOff>196850</xdr:colOff>
      <xdr:row>3</xdr:row>
      <xdr:rowOff>120650</xdr:rowOff>
    </xdr:from>
    <xdr:to>
      <xdr:col>9</xdr:col>
      <xdr:colOff>527050</xdr:colOff>
      <xdr:row>6</xdr:row>
      <xdr:rowOff>0</xdr:rowOff>
    </xdr:to>
    <xdr:sp macro="SincronizarMovimientos" textlink="">
      <xdr:nvSpPr>
        <xdr:cNvPr id="3" name="btnKardex">
          <a:extLst>
            <a:ext uri="{FF2B5EF4-FFF2-40B4-BE49-F238E27FC236}">
              <a16:creationId xmlns:a16="http://schemas.microsoft.com/office/drawing/2014/main" id="{31868CC7-FDBB-F9F2-6879-236C5CECEFFE}"/>
            </a:ext>
          </a:extLst>
        </xdr:cNvPr>
        <xdr:cNvSpPr/>
      </xdr:nvSpPr>
      <xdr:spPr>
        <a:xfrm>
          <a:off x="8185150" y="673100"/>
          <a:ext cx="2159000" cy="431800"/>
        </a:xfrm>
        <a:prstGeom prst="roundRect">
          <a:avLst/>
        </a:prstGeom>
        <a:solidFill>
          <a:srgbClr val="2D8D49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100"/>
            <a:t>Reconstruir Kardex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B37"/>
  <sheetViews>
    <sheetView zoomScale="80" workbookViewId="0">
      <selection activeCell="B29" sqref="B29"/>
    </sheetView>
  </sheetViews>
  <sheetFormatPr baseColWidth="10" defaultColWidth="8.6640625" defaultRowHeight="15" x14ac:dyDescent="0.2"/>
  <cols>
    <col min="1" max="1" width="26.6640625" customWidth="1"/>
    <col min="2" max="2" width="22.6640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3</v>
      </c>
    </row>
    <row r="4" spans="1:2" x14ac:dyDescent="0.2">
      <c r="A4" t="s">
        <v>5</v>
      </c>
      <c r="B4" t="s">
        <v>3</v>
      </c>
    </row>
    <row r="5" spans="1:2" x14ac:dyDescent="0.2">
      <c r="A5" t="s">
        <v>6</v>
      </c>
      <c r="B5" t="s">
        <v>3</v>
      </c>
    </row>
    <row r="6" spans="1:2" x14ac:dyDescent="0.2">
      <c r="A6" t="s">
        <v>2082</v>
      </c>
      <c r="B6" t="s">
        <v>3</v>
      </c>
    </row>
    <row r="7" spans="1:2" x14ac:dyDescent="0.2">
      <c r="A7" t="s">
        <v>2177</v>
      </c>
      <c r="B7" t="s">
        <v>3</v>
      </c>
    </row>
    <row r="8" spans="1:2" x14ac:dyDescent="0.2">
      <c r="A8" t="s">
        <v>7</v>
      </c>
      <c r="B8" t="s">
        <v>3</v>
      </c>
    </row>
    <row r="9" spans="1:2" x14ac:dyDescent="0.2">
      <c r="A9" t="s">
        <v>8</v>
      </c>
      <c r="B9" t="s">
        <v>3</v>
      </c>
    </row>
    <row r="10" spans="1:2" x14ac:dyDescent="0.2">
      <c r="A10" t="s">
        <v>9</v>
      </c>
      <c r="B10" t="s">
        <v>3</v>
      </c>
    </row>
    <row r="11" spans="1:2" x14ac:dyDescent="0.2">
      <c r="A11" t="s">
        <v>10</v>
      </c>
      <c r="B11" t="s">
        <v>3</v>
      </c>
    </row>
    <row r="12" spans="1:2" x14ac:dyDescent="0.2">
      <c r="A12" t="s">
        <v>11</v>
      </c>
      <c r="B12" t="s">
        <v>3</v>
      </c>
    </row>
    <row r="13" spans="1:2" x14ac:dyDescent="0.2">
      <c r="A13" t="s">
        <v>12</v>
      </c>
      <c r="B13" t="s">
        <v>3</v>
      </c>
    </row>
    <row r="14" spans="1:2" x14ac:dyDescent="0.2">
      <c r="A14" t="s">
        <v>2670</v>
      </c>
      <c r="B14" t="s">
        <v>3</v>
      </c>
    </row>
    <row r="15" spans="1:2" x14ac:dyDescent="0.2">
      <c r="A15" t="s">
        <v>13</v>
      </c>
      <c r="B15" t="s">
        <v>3</v>
      </c>
    </row>
    <row r="16" spans="1:2" x14ac:dyDescent="0.2">
      <c r="A16" t="s">
        <v>14</v>
      </c>
      <c r="B16" t="s">
        <v>3</v>
      </c>
    </row>
    <row r="17" spans="1:2" x14ac:dyDescent="0.2">
      <c r="A17" t="s">
        <v>2458</v>
      </c>
      <c r="B17" t="s">
        <v>3</v>
      </c>
    </row>
    <row r="18" spans="1:2" x14ac:dyDescent="0.2">
      <c r="A18" t="s">
        <v>15</v>
      </c>
      <c r="B18" t="s">
        <v>3</v>
      </c>
    </row>
    <row r="19" spans="1:2" x14ac:dyDescent="0.2">
      <c r="A19" t="s">
        <v>16</v>
      </c>
      <c r="B19" t="s">
        <v>3</v>
      </c>
    </row>
    <row r="20" spans="1:2" x14ac:dyDescent="0.2">
      <c r="A20" t="s">
        <v>626</v>
      </c>
      <c r="B20" t="s">
        <v>3</v>
      </c>
    </row>
    <row r="21" spans="1:2" x14ac:dyDescent="0.2">
      <c r="A21" t="s">
        <v>17</v>
      </c>
      <c r="B21" t="s">
        <v>3</v>
      </c>
    </row>
    <row r="22" spans="1:2" x14ac:dyDescent="0.2">
      <c r="A22" t="s">
        <v>18</v>
      </c>
      <c r="B22" t="s">
        <v>3</v>
      </c>
    </row>
    <row r="23" spans="1:2" x14ac:dyDescent="0.2">
      <c r="A23" t="s">
        <v>19</v>
      </c>
      <c r="B23" t="s">
        <v>3</v>
      </c>
    </row>
    <row r="24" spans="1:2" x14ac:dyDescent="0.2">
      <c r="A24" t="s">
        <v>20</v>
      </c>
      <c r="B24" t="s">
        <v>3</v>
      </c>
    </row>
    <row r="25" spans="1:2" x14ac:dyDescent="0.2">
      <c r="A25" t="s">
        <v>21</v>
      </c>
      <c r="B25" t="s">
        <v>3</v>
      </c>
    </row>
    <row r="26" spans="1:2" x14ac:dyDescent="0.2">
      <c r="A26" t="s">
        <v>205</v>
      </c>
      <c r="B26" t="s">
        <v>3</v>
      </c>
    </row>
    <row r="27" spans="1:2" x14ac:dyDescent="0.2">
      <c r="A27" t="s">
        <v>3038</v>
      </c>
      <c r="B27" t="s">
        <v>3</v>
      </c>
    </row>
    <row r="28" spans="1:2" x14ac:dyDescent="0.2">
      <c r="A28" t="s">
        <v>2079</v>
      </c>
      <c r="B28" t="s">
        <v>3</v>
      </c>
    </row>
    <row r="29" spans="1:2" x14ac:dyDescent="0.2">
      <c r="A29" t="s">
        <v>195</v>
      </c>
      <c r="B29" t="s">
        <v>3</v>
      </c>
    </row>
    <row r="30" spans="1:2" x14ac:dyDescent="0.2">
      <c r="A30" t="s">
        <v>2355</v>
      </c>
      <c r="B30" t="s">
        <v>3</v>
      </c>
    </row>
    <row r="31" spans="1:2" x14ac:dyDescent="0.2">
      <c r="A31" t="s">
        <v>3025</v>
      </c>
      <c r="B31" t="s">
        <v>3</v>
      </c>
    </row>
    <row r="32" spans="1:2" x14ac:dyDescent="0.2">
      <c r="A32" t="s">
        <v>2114</v>
      </c>
      <c r="B32" t="s">
        <v>3</v>
      </c>
    </row>
    <row r="33" spans="1:2" x14ac:dyDescent="0.2">
      <c r="A33" t="s">
        <v>22</v>
      </c>
      <c r="B33" t="s">
        <v>22</v>
      </c>
    </row>
    <row r="34" spans="1:2" x14ac:dyDescent="0.2">
      <c r="A34" t="s">
        <v>23</v>
      </c>
      <c r="B34" t="s">
        <v>24</v>
      </c>
    </row>
    <row r="35" spans="1:2" x14ac:dyDescent="0.2">
      <c r="A35" t="s">
        <v>25</v>
      </c>
      <c r="B35" t="s">
        <v>24</v>
      </c>
    </row>
    <row r="36" spans="1:2" x14ac:dyDescent="0.2">
      <c r="A36" t="s">
        <v>3102</v>
      </c>
      <c r="B36" t="s">
        <v>24</v>
      </c>
    </row>
    <row r="37" spans="1:2" x14ac:dyDescent="0.2">
      <c r="A37" t="s">
        <v>26</v>
      </c>
      <c r="B37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B91"/>
  <sheetViews>
    <sheetView topLeftCell="A40" zoomScale="70" zoomScaleNormal="70" workbookViewId="0">
      <selection activeCell="B29" sqref="B29"/>
    </sheetView>
  </sheetViews>
  <sheetFormatPr baseColWidth="10" defaultColWidth="8.6640625" defaultRowHeight="15" x14ac:dyDescent="0.2"/>
  <cols>
    <col min="1" max="1" width="34.6640625" customWidth="1"/>
    <col min="2" max="2" width="36.6640625" customWidth="1"/>
  </cols>
  <sheetData>
    <row r="1" spans="1:2" x14ac:dyDescent="0.2">
      <c r="A1" s="1" t="s">
        <v>27</v>
      </c>
      <c r="B1" s="1" t="s">
        <v>28</v>
      </c>
    </row>
    <row r="2" spans="1:2" x14ac:dyDescent="0.2">
      <c r="A2" t="s">
        <v>29</v>
      </c>
      <c r="B2" t="s">
        <v>29</v>
      </c>
    </row>
    <row r="3" spans="1:2" x14ac:dyDescent="0.2">
      <c r="A3" t="s">
        <v>551</v>
      </c>
      <c r="B3" t="s">
        <v>29</v>
      </c>
    </row>
    <row r="4" spans="1:2" x14ac:dyDescent="0.2">
      <c r="A4" t="s">
        <v>954</v>
      </c>
      <c r="B4" t="s">
        <v>29</v>
      </c>
    </row>
    <row r="5" spans="1:2" x14ac:dyDescent="0.2">
      <c r="A5" t="s">
        <v>4136</v>
      </c>
      <c r="B5" t="s">
        <v>29</v>
      </c>
    </row>
    <row r="6" spans="1:2" x14ac:dyDescent="0.2">
      <c r="A6" t="s">
        <v>127</v>
      </c>
      <c r="B6" t="s">
        <v>127</v>
      </c>
    </row>
    <row r="7" spans="1:2" x14ac:dyDescent="0.2">
      <c r="A7" t="s">
        <v>648</v>
      </c>
      <c r="B7" t="s">
        <v>127</v>
      </c>
    </row>
    <row r="8" spans="1:2" x14ac:dyDescent="0.2">
      <c r="A8" t="s">
        <v>4134</v>
      </c>
      <c r="B8" t="s">
        <v>127</v>
      </c>
    </row>
    <row r="9" spans="1:2" x14ac:dyDescent="0.2">
      <c r="A9" t="s">
        <v>160</v>
      </c>
      <c r="B9" t="s">
        <v>160</v>
      </c>
    </row>
    <row r="10" spans="1:2" x14ac:dyDescent="0.2">
      <c r="A10" t="s">
        <v>165</v>
      </c>
      <c r="B10" t="s">
        <v>160</v>
      </c>
    </row>
    <row r="11" spans="1:2" x14ac:dyDescent="0.2">
      <c r="A11" t="s">
        <v>126</v>
      </c>
      <c r="B11" t="s">
        <v>126</v>
      </c>
    </row>
    <row r="12" spans="1:2" x14ac:dyDescent="0.2">
      <c r="A12" t="s">
        <v>624</v>
      </c>
      <c r="B12" t="s">
        <v>126</v>
      </c>
    </row>
    <row r="13" spans="1:2" x14ac:dyDescent="0.2">
      <c r="A13" t="s">
        <v>1210</v>
      </c>
      <c r="B13" t="s">
        <v>3872</v>
      </c>
    </row>
    <row r="14" spans="1:2" x14ac:dyDescent="0.2">
      <c r="A14" t="s">
        <v>3004</v>
      </c>
      <c r="B14" t="s">
        <v>3872</v>
      </c>
    </row>
    <row r="15" spans="1:2" x14ac:dyDescent="0.2">
      <c r="A15" t="s">
        <v>2400</v>
      </c>
      <c r="B15" t="s">
        <v>4203</v>
      </c>
    </row>
    <row r="16" spans="1:2" x14ac:dyDescent="0.2">
      <c r="A16" t="s">
        <v>30</v>
      </c>
      <c r="B16" t="s">
        <v>3872</v>
      </c>
    </row>
    <row r="17" spans="1:2" x14ac:dyDescent="0.2">
      <c r="A17" t="s">
        <v>1285</v>
      </c>
      <c r="B17" t="s">
        <v>4203</v>
      </c>
    </row>
    <row r="18" spans="1:2" x14ac:dyDescent="0.2">
      <c r="A18" t="s">
        <v>3596</v>
      </c>
      <c r="B18" t="s">
        <v>3872</v>
      </c>
    </row>
    <row r="19" spans="1:2" x14ac:dyDescent="0.2">
      <c r="A19" t="s">
        <v>32</v>
      </c>
      <c r="B19" t="s">
        <v>110</v>
      </c>
    </row>
    <row r="20" spans="1:2" x14ac:dyDescent="0.2">
      <c r="A20" t="s">
        <v>33</v>
      </c>
      <c r="B20" t="s">
        <v>110</v>
      </c>
    </row>
    <row r="21" spans="1:2" x14ac:dyDescent="0.2">
      <c r="A21" t="s">
        <v>110</v>
      </c>
      <c r="B21" t="s">
        <v>110</v>
      </c>
    </row>
    <row r="22" spans="1:2" x14ac:dyDescent="0.2">
      <c r="A22" t="s">
        <v>1665</v>
      </c>
      <c r="B22" t="s">
        <v>110</v>
      </c>
    </row>
    <row r="23" spans="1:2" x14ac:dyDescent="0.2">
      <c r="A23" t="s">
        <v>3796</v>
      </c>
      <c r="B23" t="s">
        <v>4204</v>
      </c>
    </row>
    <row r="24" spans="1:2" x14ac:dyDescent="0.2">
      <c r="A24" t="s">
        <v>231</v>
      </c>
      <c r="B24" t="s">
        <v>4204</v>
      </c>
    </row>
    <row r="25" spans="1:2" x14ac:dyDescent="0.2">
      <c r="A25" t="s">
        <v>2498</v>
      </c>
      <c r="B25" t="s">
        <v>4204</v>
      </c>
    </row>
    <row r="26" spans="1:2" x14ac:dyDescent="0.2">
      <c r="A26" t="s">
        <v>151</v>
      </c>
      <c r="B26" t="s">
        <v>4204</v>
      </c>
    </row>
    <row r="27" spans="1:2" x14ac:dyDescent="0.2">
      <c r="A27" t="s">
        <v>844</v>
      </c>
      <c r="B27" t="s">
        <v>4204</v>
      </c>
    </row>
    <row r="28" spans="1:2" x14ac:dyDescent="0.2">
      <c r="A28" t="s">
        <v>1207</v>
      </c>
      <c r="B28" t="s">
        <v>4204</v>
      </c>
    </row>
    <row r="29" spans="1:2" x14ac:dyDescent="0.2">
      <c r="A29" t="s">
        <v>1261</v>
      </c>
      <c r="B29" t="s">
        <v>4204</v>
      </c>
    </row>
    <row r="30" spans="1:2" x14ac:dyDescent="0.2">
      <c r="A30" t="s">
        <v>187</v>
      </c>
      <c r="B30" t="s">
        <v>4204</v>
      </c>
    </row>
    <row r="31" spans="1:2" x14ac:dyDescent="0.2">
      <c r="A31" t="s">
        <v>3850</v>
      </c>
      <c r="B31" t="s">
        <v>4204</v>
      </c>
    </row>
    <row r="32" spans="1:2" x14ac:dyDescent="0.2">
      <c r="A32" t="s">
        <v>200</v>
      </c>
      <c r="B32" t="s">
        <v>200</v>
      </c>
    </row>
    <row r="33" spans="1:2" x14ac:dyDescent="0.2">
      <c r="A33" t="s">
        <v>2934</v>
      </c>
      <c r="B33" t="s">
        <v>200</v>
      </c>
    </row>
    <row r="34" spans="1:2" x14ac:dyDescent="0.2">
      <c r="A34" t="s">
        <v>468</v>
      </c>
      <c r="B34" t="s">
        <v>4205</v>
      </c>
    </row>
    <row r="35" spans="1:2" x14ac:dyDescent="0.2">
      <c r="A35" t="s">
        <v>621</v>
      </c>
      <c r="B35" t="s">
        <v>4205</v>
      </c>
    </row>
    <row r="36" spans="1:2" x14ac:dyDescent="0.2">
      <c r="A36" t="s">
        <v>166</v>
      </c>
      <c r="B36" t="s">
        <v>4205</v>
      </c>
    </row>
    <row r="37" spans="1:2" x14ac:dyDescent="0.2">
      <c r="A37" t="s">
        <v>986</v>
      </c>
      <c r="B37" t="s">
        <v>4205</v>
      </c>
    </row>
    <row r="38" spans="1:2" x14ac:dyDescent="0.2">
      <c r="A38" t="s">
        <v>167</v>
      </c>
      <c r="B38" t="s">
        <v>4205</v>
      </c>
    </row>
    <row r="39" spans="1:2" x14ac:dyDescent="0.2">
      <c r="A39" t="s">
        <v>1662</v>
      </c>
      <c r="B39" t="s">
        <v>4205</v>
      </c>
    </row>
    <row r="40" spans="1:2" x14ac:dyDescent="0.2">
      <c r="A40" t="s">
        <v>468</v>
      </c>
      <c r="B40" t="s">
        <v>4205</v>
      </c>
    </row>
    <row r="41" spans="1:2" x14ac:dyDescent="0.2">
      <c r="A41" t="s">
        <v>621</v>
      </c>
      <c r="B41" t="s">
        <v>4205</v>
      </c>
    </row>
    <row r="42" spans="1:2" x14ac:dyDescent="0.2">
      <c r="A42" t="s">
        <v>166</v>
      </c>
      <c r="B42" t="s">
        <v>4205</v>
      </c>
    </row>
    <row r="43" spans="1:2" x14ac:dyDescent="0.2">
      <c r="A43" t="s">
        <v>986</v>
      </c>
      <c r="B43" t="s">
        <v>4205</v>
      </c>
    </row>
    <row r="44" spans="1:2" x14ac:dyDescent="0.2">
      <c r="A44" t="s">
        <v>167</v>
      </c>
      <c r="B44" t="s">
        <v>4205</v>
      </c>
    </row>
    <row r="45" spans="1:2" x14ac:dyDescent="0.2">
      <c r="A45" t="s">
        <v>1662</v>
      </c>
      <c r="B45" t="s">
        <v>4205</v>
      </c>
    </row>
    <row r="46" spans="1:2" x14ac:dyDescent="0.2">
      <c r="A46" t="s">
        <v>305</v>
      </c>
      <c r="B46" t="s">
        <v>3859</v>
      </c>
    </row>
    <row r="47" spans="1:2" x14ac:dyDescent="0.2">
      <c r="A47" t="s">
        <v>1338</v>
      </c>
      <c r="B47" t="s">
        <v>3859</v>
      </c>
    </row>
    <row r="48" spans="1:2" x14ac:dyDescent="0.2">
      <c r="A48" t="s">
        <v>3463</v>
      </c>
      <c r="B48" t="s">
        <v>3859</v>
      </c>
    </row>
    <row r="49" spans="1:2" x14ac:dyDescent="0.2">
      <c r="A49" t="s">
        <v>3752</v>
      </c>
      <c r="B49" t="s">
        <v>3859</v>
      </c>
    </row>
    <row r="50" spans="1:2" x14ac:dyDescent="0.2">
      <c r="A50" t="s">
        <v>3455</v>
      </c>
      <c r="B50" t="s">
        <v>3859</v>
      </c>
    </row>
    <row r="51" spans="1:2" x14ac:dyDescent="0.2">
      <c r="A51" t="s">
        <v>3532</v>
      </c>
      <c r="B51" t="s">
        <v>3859</v>
      </c>
    </row>
    <row r="52" spans="1:2" x14ac:dyDescent="0.2">
      <c r="A52" t="s">
        <v>3859</v>
      </c>
      <c r="B52" t="s">
        <v>3859</v>
      </c>
    </row>
    <row r="53" spans="1:2" x14ac:dyDescent="0.2">
      <c r="A53" t="s">
        <v>639</v>
      </c>
      <c r="B53" t="s">
        <v>3863</v>
      </c>
    </row>
    <row r="54" spans="1:2" x14ac:dyDescent="0.2">
      <c r="A54" t="s">
        <v>902</v>
      </c>
      <c r="B54" t="s">
        <v>3863</v>
      </c>
    </row>
    <row r="55" spans="1:2" x14ac:dyDescent="0.2">
      <c r="A55" t="s">
        <v>130</v>
      </c>
      <c r="B55" t="s">
        <v>3863</v>
      </c>
    </row>
    <row r="56" spans="1:2" x14ac:dyDescent="0.2">
      <c r="A56" t="s">
        <v>606</v>
      </c>
      <c r="B56" t="s">
        <v>3863</v>
      </c>
    </row>
    <row r="57" spans="1:2" x14ac:dyDescent="0.2">
      <c r="A57" t="s">
        <v>583</v>
      </c>
      <c r="B57" t="s">
        <v>3863</v>
      </c>
    </row>
    <row r="58" spans="1:2" x14ac:dyDescent="0.2">
      <c r="A58" t="s">
        <v>639</v>
      </c>
      <c r="B58" t="s">
        <v>3863</v>
      </c>
    </row>
    <row r="59" spans="1:2" x14ac:dyDescent="0.2">
      <c r="A59" t="s">
        <v>3844</v>
      </c>
      <c r="B59" t="s">
        <v>3844</v>
      </c>
    </row>
    <row r="60" spans="1:2" x14ac:dyDescent="0.2">
      <c r="A60" t="s">
        <v>2076</v>
      </c>
      <c r="B60" t="s">
        <v>3844</v>
      </c>
    </row>
    <row r="61" spans="1:2" x14ac:dyDescent="0.2">
      <c r="A61" t="s">
        <v>746</v>
      </c>
      <c r="B61" t="s">
        <v>3844</v>
      </c>
    </row>
    <row r="62" spans="1:2" x14ac:dyDescent="0.2">
      <c r="A62" t="s">
        <v>1415</v>
      </c>
      <c r="B62" t="s">
        <v>3844</v>
      </c>
    </row>
    <row r="63" spans="1:2" x14ac:dyDescent="0.2">
      <c r="A63" t="s">
        <v>1417</v>
      </c>
      <c r="B63" t="s">
        <v>3844</v>
      </c>
    </row>
    <row r="64" spans="1:2" x14ac:dyDescent="0.2">
      <c r="A64" t="s">
        <v>947</v>
      </c>
      <c r="B64" t="s">
        <v>3844</v>
      </c>
    </row>
    <row r="65" spans="1:2" x14ac:dyDescent="0.2">
      <c r="A65" t="s">
        <v>2104</v>
      </c>
      <c r="B65" t="s">
        <v>4132</v>
      </c>
    </row>
    <row r="66" spans="1:2" x14ac:dyDescent="0.2">
      <c r="A66" t="s">
        <v>1027</v>
      </c>
      <c r="B66" t="s">
        <v>3866</v>
      </c>
    </row>
    <row r="67" spans="1:2" x14ac:dyDescent="0.2">
      <c r="A67" t="s">
        <v>222</v>
      </c>
      <c r="B67" t="s">
        <v>3866</v>
      </c>
    </row>
    <row r="68" spans="1:2" x14ac:dyDescent="0.2">
      <c r="A68" t="s">
        <v>2750</v>
      </c>
      <c r="B68" t="s">
        <v>3866</v>
      </c>
    </row>
    <row r="69" spans="1:2" x14ac:dyDescent="0.2">
      <c r="A69" t="s">
        <v>786</v>
      </c>
      <c r="B69" t="s">
        <v>3866</v>
      </c>
    </row>
    <row r="70" spans="1:2" x14ac:dyDescent="0.2">
      <c r="A70" t="s">
        <v>725</v>
      </c>
      <c r="B70" t="s">
        <v>3866</v>
      </c>
    </row>
    <row r="71" spans="1:2" x14ac:dyDescent="0.2">
      <c r="A71" t="s">
        <v>3638</v>
      </c>
      <c r="B71" t="s">
        <v>3866</v>
      </c>
    </row>
    <row r="72" spans="1:2" x14ac:dyDescent="0.2">
      <c r="A72" t="s">
        <v>193</v>
      </c>
      <c r="B72" t="s">
        <v>3866</v>
      </c>
    </row>
    <row r="73" spans="1:2" x14ac:dyDescent="0.2">
      <c r="A73" t="s">
        <v>486</v>
      </c>
      <c r="B73" t="s">
        <v>3866</v>
      </c>
    </row>
    <row r="74" spans="1:2" x14ac:dyDescent="0.2">
      <c r="A74" t="s">
        <v>758</v>
      </c>
      <c r="B74" t="s">
        <v>3866</v>
      </c>
    </row>
    <row r="75" spans="1:2" x14ac:dyDescent="0.2">
      <c r="A75" t="s">
        <v>1279</v>
      </c>
      <c r="B75" t="s">
        <v>3866</v>
      </c>
    </row>
    <row r="76" spans="1:2" x14ac:dyDescent="0.2">
      <c r="A76" t="s">
        <v>360</v>
      </c>
      <c r="B76" t="s">
        <v>3866</v>
      </c>
    </row>
    <row r="77" spans="1:2" x14ac:dyDescent="0.2">
      <c r="A77" t="s">
        <v>3576</v>
      </c>
      <c r="B77" t="s">
        <v>3866</v>
      </c>
    </row>
    <row r="78" spans="1:2" x14ac:dyDescent="0.2">
      <c r="A78" t="s">
        <v>83</v>
      </c>
      <c r="B78" t="s">
        <v>3866</v>
      </c>
    </row>
    <row r="79" spans="1:2" x14ac:dyDescent="0.2">
      <c r="A79" t="s">
        <v>135</v>
      </c>
      <c r="B79" t="s">
        <v>3866</v>
      </c>
    </row>
    <row r="80" spans="1:2" x14ac:dyDescent="0.2">
      <c r="A80" t="s">
        <v>465</v>
      </c>
      <c r="B80" t="s">
        <v>3866</v>
      </c>
    </row>
    <row r="81" spans="1:2" x14ac:dyDescent="0.2">
      <c r="A81" t="s">
        <v>482</v>
      </c>
      <c r="B81" t="s">
        <v>3866</v>
      </c>
    </row>
    <row r="82" spans="1:2" x14ac:dyDescent="0.2">
      <c r="A82" t="s">
        <v>46</v>
      </c>
      <c r="B82" t="s">
        <v>3866</v>
      </c>
    </row>
    <row r="83" spans="1:2" x14ac:dyDescent="0.2">
      <c r="A83" t="s">
        <v>1311</v>
      </c>
      <c r="B83" t="s">
        <v>3866</v>
      </c>
    </row>
    <row r="84" spans="1:2" x14ac:dyDescent="0.2">
      <c r="A84" t="s">
        <v>3607</v>
      </c>
      <c r="B84" t="s">
        <v>3866</v>
      </c>
    </row>
    <row r="85" spans="1:2" x14ac:dyDescent="0.2">
      <c r="A85" t="s">
        <v>1015</v>
      </c>
      <c r="B85" t="s">
        <v>3866</v>
      </c>
    </row>
    <row r="86" spans="1:2" x14ac:dyDescent="0.2">
      <c r="A86" t="s">
        <v>1352</v>
      </c>
      <c r="B86" t="s">
        <v>3866</v>
      </c>
    </row>
    <row r="87" spans="1:2" x14ac:dyDescent="0.2">
      <c r="A87" t="s">
        <v>1310</v>
      </c>
      <c r="B87" t="s">
        <v>3866</v>
      </c>
    </row>
    <row r="88" spans="1:2" x14ac:dyDescent="0.2">
      <c r="A88" t="s">
        <v>89</v>
      </c>
      <c r="B88" t="s">
        <v>3866</v>
      </c>
    </row>
    <row r="89" spans="1:2" x14ac:dyDescent="0.2">
      <c r="A89" t="s">
        <v>4391</v>
      </c>
      <c r="B89" t="s">
        <v>3866</v>
      </c>
    </row>
    <row r="90" spans="1:2" x14ac:dyDescent="0.2">
      <c r="A90" t="s">
        <v>4113</v>
      </c>
      <c r="B90" t="s">
        <v>3866</v>
      </c>
    </row>
    <row r="91" spans="1:2" x14ac:dyDescent="0.2">
      <c r="A91" t="s">
        <v>1279</v>
      </c>
      <c r="B91" t="s">
        <v>3866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I2185"/>
  <sheetViews>
    <sheetView zoomScale="70" zoomScaleNormal="70" workbookViewId="0">
      <pane ySplit="1" topLeftCell="A446" activePane="bottomLeft" state="frozen"/>
      <selection activeCell="B29" sqref="B29"/>
      <selection pane="bottomLeft" activeCell="B29" sqref="B29"/>
    </sheetView>
  </sheetViews>
  <sheetFormatPr baseColWidth="10" defaultColWidth="8.6640625" defaultRowHeight="15" x14ac:dyDescent="0.2"/>
  <cols>
    <col min="1" max="1" width="14.6640625" customWidth="1"/>
    <col min="2" max="2" width="22.6640625" customWidth="1"/>
    <col min="3" max="3" width="24.6640625" customWidth="1"/>
    <col min="4" max="6" width="28.6640625" customWidth="1"/>
    <col min="7" max="7" width="14.6640625" customWidth="1"/>
    <col min="8" max="8" width="12.6640625" customWidth="1"/>
    <col min="9" max="9" width="48.6640625" customWidth="1"/>
  </cols>
  <sheetData>
    <row r="1" spans="1:9" ht="16" x14ac:dyDescent="0.2">
      <c r="A1" s="2" t="s">
        <v>34</v>
      </c>
      <c r="B1" s="2" t="s">
        <v>35</v>
      </c>
      <c r="C1" s="2" t="s">
        <v>0</v>
      </c>
      <c r="D1" s="2" t="s">
        <v>36</v>
      </c>
      <c r="E1" s="2" t="s">
        <v>37</v>
      </c>
      <c r="F1" s="2" t="s">
        <v>38</v>
      </c>
      <c r="G1" s="2" t="s">
        <v>39</v>
      </c>
      <c r="I1" s="3" t="s">
        <v>4208</v>
      </c>
    </row>
    <row r="2" spans="1:9" x14ac:dyDescent="0.2">
      <c r="A2" s="27" t="s">
        <v>2077</v>
      </c>
      <c r="B2" s="34" t="s">
        <v>2078</v>
      </c>
      <c r="C2" s="34" t="s">
        <v>2079</v>
      </c>
      <c r="D2" s="34" t="s">
        <v>2080</v>
      </c>
      <c r="E2" s="35" t="s">
        <v>1384</v>
      </c>
      <c r="F2" t="str" cm="1">
        <f t="array" ref="F2">IFERROR(_xlfn.XLOOKUP(E2,MapeoCargos!$A:$A,MapeoCargos!$B:$B,E2),E2)</f>
        <v>GERENTE DE OPERACIONES</v>
      </c>
      <c r="G2" s="45">
        <v>38842</v>
      </c>
    </row>
    <row r="3" spans="1:9" x14ac:dyDescent="0.2">
      <c r="A3" s="27" t="s">
        <v>2081</v>
      </c>
      <c r="B3" s="34" t="s">
        <v>2078</v>
      </c>
      <c r="C3" s="34" t="s">
        <v>2082</v>
      </c>
      <c r="D3" s="34" t="s">
        <v>2083</v>
      </c>
      <c r="E3" s="35" t="s">
        <v>83</v>
      </c>
      <c r="F3" t="str" cm="1">
        <f t="array" ref="F3">IFERROR(_xlfn.XLOOKUP(E3,MapeoCargos!$A:$A,MapeoCargos!$B:$B,E3),E3)</f>
        <v>PRODUCCIÓN / COCINA</v>
      </c>
      <c r="G3" s="45">
        <v>38930</v>
      </c>
    </row>
    <row r="4" spans="1:9" x14ac:dyDescent="0.2">
      <c r="A4" s="27" t="s">
        <v>2084</v>
      </c>
      <c r="B4" s="34" t="s">
        <v>2078</v>
      </c>
      <c r="C4" s="34" t="s">
        <v>2</v>
      </c>
      <c r="D4" s="34" t="s">
        <v>2085</v>
      </c>
      <c r="E4" s="35" t="s">
        <v>30</v>
      </c>
      <c r="F4" t="str" cm="1">
        <f t="array" ref="F4">IFERROR(_xlfn.XLOOKUP(E4,MapeoCargos!$A:$A,MapeoCargos!$B:$B,E4),E4)</f>
        <v>STAFF ADMINISTRATIVO</v>
      </c>
      <c r="G4" s="45">
        <v>40026</v>
      </c>
    </row>
    <row r="5" spans="1:9" x14ac:dyDescent="0.2">
      <c r="A5" s="27" t="s">
        <v>2086</v>
      </c>
      <c r="B5" s="34" t="s">
        <v>2078</v>
      </c>
      <c r="C5" s="34" t="s">
        <v>2</v>
      </c>
      <c r="D5" s="34" t="s">
        <v>2087</v>
      </c>
      <c r="E5" s="35" t="s">
        <v>29</v>
      </c>
      <c r="F5" t="str" cm="1">
        <f t="array" ref="F5">IFERROR(_xlfn.XLOOKUP(E5,MapeoCargos!$A:$A,MapeoCargos!$B:$B,E5),E5)</f>
        <v>MOZO</v>
      </c>
      <c r="G5" s="45">
        <v>40253</v>
      </c>
    </row>
    <row r="6" spans="1:9" x14ac:dyDescent="0.2">
      <c r="A6" s="27" t="s">
        <v>2088</v>
      </c>
      <c r="B6" s="34" t="s">
        <v>2078</v>
      </c>
      <c r="C6" s="34" t="s">
        <v>2</v>
      </c>
      <c r="D6" s="34" t="s">
        <v>2089</v>
      </c>
      <c r="E6" s="35" t="s">
        <v>29</v>
      </c>
      <c r="F6" t="str" cm="1">
        <f t="array" ref="F6">IFERROR(_xlfn.XLOOKUP(E6,MapeoCargos!$A:$A,MapeoCargos!$B:$B,E6),E6)</f>
        <v>MOZO</v>
      </c>
      <c r="G6" s="45">
        <v>40269</v>
      </c>
    </row>
    <row r="7" spans="1:9" x14ac:dyDescent="0.2">
      <c r="A7" s="27" t="s">
        <v>3036</v>
      </c>
      <c r="B7" s="34" t="s">
        <v>3037</v>
      </c>
      <c r="C7" s="34" t="s">
        <v>3038</v>
      </c>
      <c r="D7" s="34" t="s">
        <v>3039</v>
      </c>
      <c r="E7" s="35" t="s">
        <v>3040</v>
      </c>
      <c r="F7" t="str" cm="1">
        <f t="array" ref="F7">IFERROR(_xlfn.XLOOKUP(E7,MapeoCargos!$A:$A,MapeoCargos!$B:$B,E7),E7)</f>
        <v>SUPERVISOR DE PRODUCCION</v>
      </c>
      <c r="G7" s="45">
        <v>40422</v>
      </c>
    </row>
    <row r="8" spans="1:9" x14ac:dyDescent="0.2">
      <c r="A8" s="27" t="s">
        <v>3041</v>
      </c>
      <c r="B8" s="34" t="s">
        <v>3037</v>
      </c>
      <c r="C8" s="34" t="s">
        <v>626</v>
      </c>
      <c r="D8" s="34" t="s">
        <v>489</v>
      </c>
      <c r="E8" s="35" t="s">
        <v>222</v>
      </c>
      <c r="F8" t="str" cm="1">
        <f t="array" ref="F8">IFERROR(_xlfn.XLOOKUP(E8,MapeoCargos!$A:$A,MapeoCargos!$B:$B,E8),E8)</f>
        <v>PRODUCCIÓN / COCINA</v>
      </c>
      <c r="G8" s="45">
        <v>40749</v>
      </c>
    </row>
    <row r="9" spans="1:9" x14ac:dyDescent="0.2">
      <c r="A9" s="27" t="s">
        <v>2090</v>
      </c>
      <c r="B9" s="34" t="s">
        <v>2078</v>
      </c>
      <c r="C9" s="34" t="s">
        <v>2079</v>
      </c>
      <c r="D9" s="34" t="s">
        <v>2091</v>
      </c>
      <c r="E9" s="35" t="s">
        <v>2092</v>
      </c>
      <c r="F9" t="str" cm="1">
        <f t="array" ref="F9">IFERROR(_xlfn.XLOOKUP(E9,MapeoCargos!$A:$A,MapeoCargos!$B:$B,E9),E9)</f>
        <v>JEFE DE RECURSOS HUMANOS 2</v>
      </c>
      <c r="G9" s="45">
        <v>40756</v>
      </c>
    </row>
    <row r="10" spans="1:9" x14ac:dyDescent="0.2">
      <c r="A10" s="27" t="s">
        <v>2093</v>
      </c>
      <c r="B10" s="34" t="s">
        <v>2078</v>
      </c>
      <c r="C10" s="34" t="s">
        <v>2</v>
      </c>
      <c r="D10" s="34" t="s">
        <v>2094</v>
      </c>
      <c r="E10" s="35" t="s">
        <v>222</v>
      </c>
      <c r="F10" t="str" cm="1">
        <f t="array" ref="F10">IFERROR(_xlfn.XLOOKUP(E10,MapeoCargos!$A:$A,MapeoCargos!$B:$B,E10),E10)</f>
        <v>PRODUCCIÓN / COCINA</v>
      </c>
      <c r="G10" s="45">
        <v>40969</v>
      </c>
    </row>
    <row r="11" spans="1:9" x14ac:dyDescent="0.2">
      <c r="A11" s="27" t="s">
        <v>3042</v>
      </c>
      <c r="B11" s="34" t="s">
        <v>3037</v>
      </c>
      <c r="C11" s="34" t="s">
        <v>3038</v>
      </c>
      <c r="D11" s="34" t="s">
        <v>3043</v>
      </c>
      <c r="E11" s="35" t="s">
        <v>1018</v>
      </c>
      <c r="F11" t="str" cm="1">
        <f t="array" ref="F11">IFERROR(_xlfn.XLOOKUP(E11,MapeoCargos!$A:$A,MapeoCargos!$B:$B,E11),E11)</f>
        <v>GERENTE GENERAL</v>
      </c>
      <c r="G11" s="45">
        <v>41031</v>
      </c>
    </row>
    <row r="12" spans="1:9" x14ac:dyDescent="0.2">
      <c r="A12" s="27" t="s">
        <v>3044</v>
      </c>
      <c r="B12" s="34" t="s">
        <v>3037</v>
      </c>
      <c r="C12" s="34" t="s">
        <v>2458</v>
      </c>
      <c r="D12" s="34" t="s">
        <v>3045</v>
      </c>
      <c r="E12" s="35" t="s">
        <v>30</v>
      </c>
      <c r="F12" t="str" cm="1">
        <f t="array" ref="F12">IFERROR(_xlfn.XLOOKUP(E12,MapeoCargos!$A:$A,MapeoCargos!$B:$B,E12),E12)</f>
        <v>STAFF ADMINISTRATIVO</v>
      </c>
      <c r="G12" s="45">
        <v>41061</v>
      </c>
    </row>
    <row r="13" spans="1:9" x14ac:dyDescent="0.2">
      <c r="A13" s="27" t="s">
        <v>2095</v>
      </c>
      <c r="B13" s="34" t="s">
        <v>2078</v>
      </c>
      <c r="C13" s="34" t="s">
        <v>2079</v>
      </c>
      <c r="D13" s="34" t="s">
        <v>2096</v>
      </c>
      <c r="E13" s="35" t="s">
        <v>282</v>
      </c>
      <c r="F13" t="str" cm="1">
        <f t="array" ref="F13">IFERROR(_xlfn.XLOOKUP(E13,MapeoCargos!$A:$A,MapeoCargos!$B:$B,E13),E13)</f>
        <v>ASISTENTE DE GERENCIA</v>
      </c>
      <c r="G13" s="45">
        <v>41061</v>
      </c>
    </row>
    <row r="14" spans="1:9" x14ac:dyDescent="0.2">
      <c r="A14" s="27" t="s">
        <v>2097</v>
      </c>
      <c r="B14" s="34" t="s">
        <v>2078</v>
      </c>
      <c r="C14" s="34" t="s">
        <v>2079</v>
      </c>
      <c r="D14" s="34" t="s">
        <v>2098</v>
      </c>
      <c r="E14" s="35" t="s">
        <v>282</v>
      </c>
      <c r="F14" t="str" cm="1">
        <f t="array" ref="F14">IFERROR(_xlfn.XLOOKUP(E14,MapeoCargos!$A:$A,MapeoCargos!$B:$B,E14),E14)</f>
        <v>ASISTENTE DE GERENCIA</v>
      </c>
      <c r="G14" s="45">
        <v>41061</v>
      </c>
    </row>
    <row r="15" spans="1:9" x14ac:dyDescent="0.2">
      <c r="A15" s="27" t="s">
        <v>2099</v>
      </c>
      <c r="B15" s="34" t="s">
        <v>2078</v>
      </c>
      <c r="C15" s="34" t="s">
        <v>2079</v>
      </c>
      <c r="D15" s="34" t="s">
        <v>2100</v>
      </c>
      <c r="E15" s="35" t="s">
        <v>2101</v>
      </c>
      <c r="F15" t="str" cm="1">
        <f t="array" ref="F15">IFERROR(_xlfn.XLOOKUP(E15,MapeoCargos!$A:$A,MapeoCargos!$B:$B,E15),E15)</f>
        <v>JEFE DE RECURSOS HUMANOS</v>
      </c>
      <c r="G15" s="45">
        <v>41091</v>
      </c>
    </row>
    <row r="16" spans="1:9" x14ac:dyDescent="0.2">
      <c r="A16" s="27" t="s">
        <v>2102</v>
      </c>
      <c r="B16" s="34" t="s">
        <v>2078</v>
      </c>
      <c r="C16" s="34" t="s">
        <v>2079</v>
      </c>
      <c r="D16" s="34" t="s">
        <v>2103</v>
      </c>
      <c r="E16" s="35" t="s">
        <v>2104</v>
      </c>
      <c r="F16" t="str" cm="1">
        <f t="array" ref="F16">IFERROR(_xlfn.XLOOKUP(E16,MapeoCargos!$A:$A,MapeoCargos!$B:$B,E16),E16)</f>
        <v>AUDITORIA</v>
      </c>
      <c r="G16" s="45">
        <v>41185</v>
      </c>
    </row>
    <row r="17" spans="1:7" x14ac:dyDescent="0.2">
      <c r="A17" s="27" t="s">
        <v>3046</v>
      </c>
      <c r="B17" s="34" t="s">
        <v>3037</v>
      </c>
      <c r="C17" s="34" t="s">
        <v>3038</v>
      </c>
      <c r="D17" s="34" t="s">
        <v>3047</v>
      </c>
      <c r="E17" s="35" t="s">
        <v>855</v>
      </c>
      <c r="F17" t="str" cm="1">
        <f t="array" ref="F17">IFERROR(_xlfn.XLOOKUP(E17,MapeoCargos!$A:$A,MapeoCargos!$B:$B,E17),E17)</f>
        <v>SUPERVISOR DE MANTENIMIENTO</v>
      </c>
      <c r="G17" s="45">
        <v>41396</v>
      </c>
    </row>
    <row r="18" spans="1:7" x14ac:dyDescent="0.2">
      <c r="A18" s="27" t="s">
        <v>3048</v>
      </c>
      <c r="B18" s="34" t="s">
        <v>3037</v>
      </c>
      <c r="C18" s="34" t="s">
        <v>14</v>
      </c>
      <c r="D18" s="34" t="s">
        <v>3049</v>
      </c>
      <c r="E18" s="35" t="s">
        <v>126</v>
      </c>
      <c r="F18" t="str" cm="1">
        <f t="array" ref="F18">IFERROR(_xlfn.XLOOKUP(E18,MapeoCargos!$A:$A,MapeoCargos!$B:$B,E18),E18)</f>
        <v>MOTORIZADO</v>
      </c>
      <c r="G18" s="45">
        <v>41655</v>
      </c>
    </row>
    <row r="19" spans="1:7" x14ac:dyDescent="0.2">
      <c r="A19" s="27" t="s">
        <v>2105</v>
      </c>
      <c r="B19" s="34" t="s">
        <v>2078</v>
      </c>
      <c r="C19" s="34" t="s">
        <v>4</v>
      </c>
      <c r="D19" s="34" t="s">
        <v>2106</v>
      </c>
      <c r="E19" s="35" t="s">
        <v>29</v>
      </c>
      <c r="F19" t="str" cm="1">
        <f t="array" ref="F19">IFERROR(_xlfn.XLOOKUP(E19,MapeoCargos!$A:$A,MapeoCargos!$B:$B,E19),E19)</f>
        <v>MOZO</v>
      </c>
      <c r="G19" s="45">
        <v>41730</v>
      </c>
    </row>
    <row r="20" spans="1:7" x14ac:dyDescent="0.2">
      <c r="A20" s="27" t="s">
        <v>2107</v>
      </c>
      <c r="B20" s="34" t="s">
        <v>2078</v>
      </c>
      <c r="C20" s="34" t="s">
        <v>2</v>
      </c>
      <c r="D20" s="34" t="s">
        <v>2108</v>
      </c>
      <c r="E20" s="35" t="s">
        <v>29</v>
      </c>
      <c r="F20" t="str" cm="1">
        <f t="array" ref="F20">IFERROR(_xlfn.XLOOKUP(E20,MapeoCargos!$A:$A,MapeoCargos!$B:$B,E20),E20)</f>
        <v>MOZO</v>
      </c>
      <c r="G20" s="45">
        <v>41760</v>
      </c>
    </row>
    <row r="21" spans="1:7" x14ac:dyDescent="0.2">
      <c r="A21" s="27" t="s">
        <v>3050</v>
      </c>
      <c r="B21" s="34" t="s">
        <v>3037</v>
      </c>
      <c r="C21" s="34" t="s">
        <v>3038</v>
      </c>
      <c r="D21" s="34" t="s">
        <v>3051</v>
      </c>
      <c r="E21" s="35" t="s">
        <v>1488</v>
      </c>
      <c r="F21" t="str" cm="1">
        <f t="array" ref="F21">IFERROR(_xlfn.XLOOKUP(E21,MapeoCargos!$A:$A,MapeoCargos!$B:$B,E21),E21)</f>
        <v>ASISTENTE ADMINISTRATIVO</v>
      </c>
      <c r="G21" s="45">
        <v>41791</v>
      </c>
    </row>
    <row r="22" spans="1:7" x14ac:dyDescent="0.2">
      <c r="A22" s="27" t="s">
        <v>2109</v>
      </c>
      <c r="B22" s="34" t="s">
        <v>2078</v>
      </c>
      <c r="C22" s="34" t="s">
        <v>2079</v>
      </c>
      <c r="D22" s="34" t="s">
        <v>2110</v>
      </c>
      <c r="E22" s="35" t="s">
        <v>116</v>
      </c>
      <c r="F22" t="str" cm="1">
        <f t="array" ref="F22">IFERROR(_xlfn.XLOOKUP(E22,MapeoCargos!$A:$A,MapeoCargos!$B:$B,E22),E22)</f>
        <v>AUXILIAR DE MANTENIMIENTO</v>
      </c>
      <c r="G22" s="45">
        <v>41898</v>
      </c>
    </row>
    <row r="23" spans="1:7" x14ac:dyDescent="0.2">
      <c r="A23" s="27" t="s">
        <v>3052</v>
      </c>
      <c r="B23" s="34" t="s">
        <v>3037</v>
      </c>
      <c r="C23" s="34" t="s">
        <v>14</v>
      </c>
      <c r="D23" s="34" t="s">
        <v>3053</v>
      </c>
      <c r="E23" s="35" t="s">
        <v>126</v>
      </c>
      <c r="F23" t="str" cm="1">
        <f t="array" ref="F23">IFERROR(_xlfn.XLOOKUP(E23,MapeoCargos!$A:$A,MapeoCargos!$B:$B,E23),E23)</f>
        <v>MOTORIZADO</v>
      </c>
      <c r="G23" s="45">
        <v>41898</v>
      </c>
    </row>
    <row r="24" spans="1:7" x14ac:dyDescent="0.2">
      <c r="A24" s="27" t="s">
        <v>3054</v>
      </c>
      <c r="B24" s="34" t="s">
        <v>3037</v>
      </c>
      <c r="C24" s="34" t="s">
        <v>2458</v>
      </c>
      <c r="D24" s="34" t="s">
        <v>3055</v>
      </c>
      <c r="E24" s="35" t="s">
        <v>222</v>
      </c>
      <c r="F24" t="str" cm="1">
        <f t="array" ref="F24">IFERROR(_xlfn.XLOOKUP(E24,MapeoCargos!$A:$A,MapeoCargos!$B:$B,E24),E24)</f>
        <v>PRODUCCIÓN / COCINA</v>
      </c>
      <c r="G24" s="45">
        <v>41959</v>
      </c>
    </row>
    <row r="25" spans="1:7" x14ac:dyDescent="0.2">
      <c r="A25" s="27" t="s">
        <v>3056</v>
      </c>
      <c r="B25" s="34" t="s">
        <v>3037</v>
      </c>
      <c r="C25" s="34" t="s">
        <v>14</v>
      </c>
      <c r="D25" s="34" t="s">
        <v>3057</v>
      </c>
      <c r="E25" s="35" t="s">
        <v>126</v>
      </c>
      <c r="F25" t="str" cm="1">
        <f t="array" ref="F25">IFERROR(_xlfn.XLOOKUP(E25,MapeoCargos!$A:$A,MapeoCargos!$B:$B,E25),E25)</f>
        <v>MOTORIZADO</v>
      </c>
      <c r="G25" s="45">
        <v>42020</v>
      </c>
    </row>
    <row r="26" spans="1:7" x14ac:dyDescent="0.2">
      <c r="A26" s="27" t="s">
        <v>2111</v>
      </c>
      <c r="B26" s="34" t="s">
        <v>2078</v>
      </c>
      <c r="C26" s="34" t="s">
        <v>5</v>
      </c>
      <c r="D26" s="34" t="s">
        <v>2112</v>
      </c>
      <c r="E26" s="35" t="s">
        <v>222</v>
      </c>
      <c r="F26" t="str" cm="1">
        <f t="array" ref="F26">IFERROR(_xlfn.XLOOKUP(E26,MapeoCargos!$A:$A,MapeoCargos!$B:$B,E26),E26)</f>
        <v>PRODUCCIÓN / COCINA</v>
      </c>
      <c r="G26" s="45">
        <v>42036</v>
      </c>
    </row>
    <row r="27" spans="1:7" x14ac:dyDescent="0.2">
      <c r="A27" s="27" t="s">
        <v>2113</v>
      </c>
      <c r="B27" s="34" t="s">
        <v>2078</v>
      </c>
      <c r="C27" s="34" t="s">
        <v>2114</v>
      </c>
      <c r="D27" s="34" t="s">
        <v>2115</v>
      </c>
      <c r="E27" s="35" t="s">
        <v>30</v>
      </c>
      <c r="F27" t="str" cm="1">
        <f t="array" ref="F27">IFERROR(_xlfn.XLOOKUP(E27,MapeoCargos!$A:$A,MapeoCargos!$B:$B,E27),E27)</f>
        <v>STAFF ADMINISTRATIVO</v>
      </c>
      <c r="G27" s="45">
        <v>42064</v>
      </c>
    </row>
    <row r="28" spans="1:7" x14ac:dyDescent="0.2">
      <c r="A28" s="27" t="s">
        <v>2116</v>
      </c>
      <c r="B28" s="34" t="s">
        <v>2078</v>
      </c>
      <c r="C28" s="34" t="s">
        <v>2079</v>
      </c>
      <c r="D28" s="34" t="s">
        <v>2117</v>
      </c>
      <c r="E28" s="35" t="s">
        <v>200</v>
      </c>
      <c r="F28" t="str" cm="1">
        <f t="array" ref="F28">IFERROR(_xlfn.XLOOKUP(E28,MapeoCargos!$A:$A,MapeoCargos!$B:$B,E28),E28)</f>
        <v>SEGURIDAD</v>
      </c>
      <c r="G28" s="45">
        <v>42079</v>
      </c>
    </row>
    <row r="29" spans="1:7" x14ac:dyDescent="0.2">
      <c r="A29" s="27" t="s">
        <v>2118</v>
      </c>
      <c r="B29" s="34" t="s">
        <v>2078</v>
      </c>
      <c r="C29" s="34" t="s">
        <v>2079</v>
      </c>
      <c r="D29" s="34" t="s">
        <v>2119</v>
      </c>
      <c r="E29" s="35" t="s">
        <v>2120</v>
      </c>
      <c r="F29" t="str" cm="1">
        <f t="array" ref="F29">IFERROR(_xlfn.XLOOKUP(E29,MapeoCargos!$A:$A,MapeoCargos!$B:$B,E29),E29)</f>
        <v>GERENTE DE TI</v>
      </c>
      <c r="G29" s="45">
        <v>42110</v>
      </c>
    </row>
    <row r="30" spans="1:7" x14ac:dyDescent="0.2">
      <c r="A30" s="27" t="s">
        <v>2121</v>
      </c>
      <c r="B30" s="34" t="s">
        <v>2078</v>
      </c>
      <c r="C30" s="34" t="s">
        <v>2114</v>
      </c>
      <c r="D30" s="34" t="s">
        <v>2122</v>
      </c>
      <c r="E30" s="35" t="s">
        <v>2123</v>
      </c>
      <c r="F30" t="str" cm="1">
        <f t="array" ref="F30">IFERROR(_xlfn.XLOOKUP(E30,MapeoCargos!$A:$A,MapeoCargos!$B:$B,E30),E30)</f>
        <v>COORDINADORA DE RESERVAS</v>
      </c>
      <c r="G30" s="45">
        <v>42125</v>
      </c>
    </row>
    <row r="31" spans="1:7" x14ac:dyDescent="0.2">
      <c r="A31" s="27" t="s">
        <v>3058</v>
      </c>
      <c r="B31" s="34" t="s">
        <v>3037</v>
      </c>
      <c r="C31" s="34" t="s">
        <v>3038</v>
      </c>
      <c r="D31" s="34" t="s">
        <v>3059</v>
      </c>
      <c r="E31" s="35" t="s">
        <v>116</v>
      </c>
      <c r="F31" t="str" cm="1">
        <f t="array" ref="F31">IFERROR(_xlfn.XLOOKUP(E31,MapeoCargos!$A:$A,MapeoCargos!$B:$B,E31),E31)</f>
        <v>AUXILIAR DE MANTENIMIENTO</v>
      </c>
      <c r="G31" s="45">
        <v>42140</v>
      </c>
    </row>
    <row r="32" spans="1:7" x14ac:dyDescent="0.2">
      <c r="A32" s="27" t="s">
        <v>2124</v>
      </c>
      <c r="B32" s="34" t="s">
        <v>2078</v>
      </c>
      <c r="C32" s="34" t="s">
        <v>2082</v>
      </c>
      <c r="D32" s="34" t="s">
        <v>2125</v>
      </c>
      <c r="E32" s="35" t="s">
        <v>29</v>
      </c>
      <c r="F32" t="str" cm="1">
        <f t="array" ref="F32">IFERROR(_xlfn.XLOOKUP(E32,MapeoCargos!$A:$A,MapeoCargos!$B:$B,E32),E32)</f>
        <v>MOZO</v>
      </c>
      <c r="G32" s="45">
        <v>42140</v>
      </c>
    </row>
    <row r="33" spans="1:7" x14ac:dyDescent="0.2">
      <c r="A33" s="27" t="s">
        <v>3060</v>
      </c>
      <c r="B33" s="34" t="s">
        <v>3037</v>
      </c>
      <c r="C33" s="34" t="s">
        <v>3038</v>
      </c>
      <c r="D33" s="34" t="s">
        <v>3061</v>
      </c>
      <c r="E33" s="35" t="s">
        <v>3062</v>
      </c>
      <c r="F33" t="str" cm="1">
        <f t="array" ref="F33">IFERROR(_xlfn.XLOOKUP(E33,MapeoCargos!$A:$A,MapeoCargos!$B:$B,E33),E33)</f>
        <v>ASISTENTE CONTRALORIA</v>
      </c>
      <c r="G33" s="45">
        <v>42156</v>
      </c>
    </row>
    <row r="34" spans="1:7" x14ac:dyDescent="0.2">
      <c r="A34" s="27" t="s">
        <v>2126</v>
      </c>
      <c r="B34" s="34" t="s">
        <v>2078</v>
      </c>
      <c r="C34" s="34" t="s">
        <v>2079</v>
      </c>
      <c r="D34" s="34" t="s">
        <v>2127</v>
      </c>
      <c r="E34" s="35" t="s">
        <v>4351</v>
      </c>
      <c r="F34" t="str" cm="1">
        <f t="array" ref="F34">IFERROR(_xlfn.XLOOKUP(E34,MapeoCargos!$A:$A,MapeoCargos!$B:$B,E34),E34)</f>
        <v>GERENTE DE RRHH</v>
      </c>
      <c r="G34" s="45">
        <v>42156</v>
      </c>
    </row>
    <row r="35" spans="1:7" x14ac:dyDescent="0.2">
      <c r="A35" s="27" t="s">
        <v>3063</v>
      </c>
      <c r="B35" s="34" t="s">
        <v>3037</v>
      </c>
      <c r="C35" s="34" t="s">
        <v>3038</v>
      </c>
      <c r="D35" s="34" t="s">
        <v>3064</v>
      </c>
      <c r="E35" s="35" t="s">
        <v>116</v>
      </c>
      <c r="F35" t="str" cm="1">
        <f t="array" ref="F35">IFERROR(_xlfn.XLOOKUP(E35,MapeoCargos!$A:$A,MapeoCargos!$B:$B,E35),E35)</f>
        <v>AUXILIAR DE MANTENIMIENTO</v>
      </c>
      <c r="G35" s="45">
        <v>42217</v>
      </c>
    </row>
    <row r="36" spans="1:7" x14ac:dyDescent="0.2">
      <c r="A36" s="27" t="s">
        <v>2128</v>
      </c>
      <c r="B36" s="34" t="s">
        <v>2078</v>
      </c>
      <c r="C36" s="34" t="s">
        <v>2079</v>
      </c>
      <c r="D36" s="34" t="s">
        <v>2129</v>
      </c>
      <c r="E36" s="35" t="s">
        <v>2130</v>
      </c>
      <c r="F36" t="str" cm="1">
        <f t="array" ref="F36">IFERROR(_xlfn.XLOOKUP(E36,MapeoCargos!$A:$A,MapeoCargos!$B:$B,E36),E36)</f>
        <v>SUPERVISORA</v>
      </c>
      <c r="G36" s="45">
        <v>42217</v>
      </c>
    </row>
    <row r="37" spans="1:7" x14ac:dyDescent="0.2">
      <c r="A37" s="27" t="s">
        <v>2131</v>
      </c>
      <c r="B37" s="34" t="s">
        <v>2078</v>
      </c>
      <c r="C37" s="34" t="s">
        <v>2</v>
      </c>
      <c r="D37" s="34" t="s">
        <v>2132</v>
      </c>
      <c r="E37" s="35" t="s">
        <v>222</v>
      </c>
      <c r="F37" t="str" cm="1">
        <f t="array" ref="F37">IFERROR(_xlfn.XLOOKUP(E37,MapeoCargos!$A:$A,MapeoCargos!$B:$B,E37),E37)</f>
        <v>PRODUCCIÓN / COCINA</v>
      </c>
      <c r="G37" s="45">
        <v>42217</v>
      </c>
    </row>
    <row r="38" spans="1:7" x14ac:dyDescent="0.2">
      <c r="A38" s="27" t="s">
        <v>3065</v>
      </c>
      <c r="B38" s="34" t="s">
        <v>3037</v>
      </c>
      <c r="C38" s="34" t="s">
        <v>2670</v>
      </c>
      <c r="D38" s="34" t="s">
        <v>3066</v>
      </c>
      <c r="E38" s="35" t="s">
        <v>126</v>
      </c>
      <c r="F38" t="str" cm="1">
        <f t="array" ref="F38">IFERROR(_xlfn.XLOOKUP(E38,MapeoCargos!$A:$A,MapeoCargos!$B:$B,E38),E38)</f>
        <v>MOTORIZADO</v>
      </c>
      <c r="G38" s="45">
        <v>42248</v>
      </c>
    </row>
    <row r="39" spans="1:7" x14ac:dyDescent="0.2">
      <c r="A39" s="27" t="s">
        <v>3067</v>
      </c>
      <c r="B39" s="34" t="s">
        <v>3037</v>
      </c>
      <c r="C39" s="34" t="s">
        <v>2670</v>
      </c>
      <c r="D39" s="34" t="s">
        <v>3068</v>
      </c>
      <c r="E39" s="35" t="s">
        <v>83</v>
      </c>
      <c r="F39" t="str" cm="1">
        <f t="array" ref="F39">IFERROR(_xlfn.XLOOKUP(E39,MapeoCargos!$A:$A,MapeoCargos!$B:$B,E39),E39)</f>
        <v>PRODUCCIÓN / COCINA</v>
      </c>
      <c r="G39" s="45">
        <v>42278</v>
      </c>
    </row>
    <row r="40" spans="1:7" x14ac:dyDescent="0.2">
      <c r="A40" s="27" t="s">
        <v>3069</v>
      </c>
      <c r="B40" s="34" t="s">
        <v>3037</v>
      </c>
      <c r="C40" s="34" t="s">
        <v>3038</v>
      </c>
      <c r="D40" s="34" t="s">
        <v>3070</v>
      </c>
      <c r="E40" s="35" t="s">
        <v>3071</v>
      </c>
      <c r="F40" t="str" cm="1">
        <f t="array" ref="F40">IFERROR(_xlfn.XLOOKUP(E40,MapeoCargos!$A:$A,MapeoCargos!$B:$B,E40),E40)</f>
        <v>AUXILIAR SISTEMAS</v>
      </c>
      <c r="G40" s="45">
        <v>42278</v>
      </c>
    </row>
    <row r="41" spans="1:7" x14ac:dyDescent="0.2">
      <c r="A41" s="27" t="s">
        <v>2133</v>
      </c>
      <c r="B41" s="34" t="s">
        <v>2078</v>
      </c>
      <c r="C41" s="34" t="s">
        <v>2079</v>
      </c>
      <c r="D41" s="34" t="s">
        <v>2134</v>
      </c>
      <c r="E41" s="35" t="s">
        <v>2135</v>
      </c>
      <c r="F41" t="str" cm="1">
        <f t="array" ref="F41">IFERROR(_xlfn.XLOOKUP(E41,MapeoCargos!$A:$A,MapeoCargos!$B:$B,E41),E41)</f>
        <v>JEFE DE PATRIMONIO</v>
      </c>
      <c r="G41" s="45">
        <v>42339</v>
      </c>
    </row>
    <row r="42" spans="1:7" x14ac:dyDescent="0.2">
      <c r="A42" s="27" t="s">
        <v>3072</v>
      </c>
      <c r="B42" s="34" t="s">
        <v>3037</v>
      </c>
      <c r="C42" s="34" t="s">
        <v>2670</v>
      </c>
      <c r="D42" s="34" t="s">
        <v>3073</v>
      </c>
      <c r="E42" s="35" t="s">
        <v>126</v>
      </c>
      <c r="F42" t="str" cm="1">
        <f t="array" ref="F42">IFERROR(_xlfn.XLOOKUP(E42,MapeoCargos!$A:$A,MapeoCargos!$B:$B,E42),E42)</f>
        <v>MOTORIZADO</v>
      </c>
      <c r="G42" s="45">
        <v>42370</v>
      </c>
    </row>
    <row r="43" spans="1:7" x14ac:dyDescent="0.2">
      <c r="A43" s="27" t="s">
        <v>3074</v>
      </c>
      <c r="B43" s="34" t="s">
        <v>3037</v>
      </c>
      <c r="C43" s="34" t="s">
        <v>16</v>
      </c>
      <c r="D43" s="34" t="s">
        <v>3075</v>
      </c>
      <c r="E43" s="35" t="s">
        <v>193</v>
      </c>
      <c r="F43" t="str" cm="1">
        <f t="array" ref="F43">IFERROR(_xlfn.XLOOKUP(E43,MapeoCargos!$A:$A,MapeoCargos!$B:$B,E43),E43)</f>
        <v>PRODUCCIÓN / COCINA</v>
      </c>
      <c r="G43" s="45">
        <v>42401</v>
      </c>
    </row>
    <row r="44" spans="1:7" x14ac:dyDescent="0.2">
      <c r="A44" s="27" t="s">
        <v>2136</v>
      </c>
      <c r="B44" s="34" t="s">
        <v>2078</v>
      </c>
      <c r="C44" s="34" t="s">
        <v>2079</v>
      </c>
      <c r="D44" s="34" t="s">
        <v>2137</v>
      </c>
      <c r="E44" s="35" t="s">
        <v>116</v>
      </c>
      <c r="F44" t="str" cm="1">
        <f t="array" ref="F44">IFERROR(_xlfn.XLOOKUP(E44,MapeoCargos!$A:$A,MapeoCargos!$B:$B,E44),E44)</f>
        <v>AUXILIAR DE MANTENIMIENTO</v>
      </c>
      <c r="G44" s="45">
        <v>42430</v>
      </c>
    </row>
    <row r="45" spans="1:7" x14ac:dyDescent="0.2">
      <c r="A45" s="27" t="s">
        <v>3076</v>
      </c>
      <c r="B45" s="34" t="s">
        <v>3037</v>
      </c>
      <c r="C45" s="34" t="s">
        <v>3038</v>
      </c>
      <c r="D45" s="34" t="s">
        <v>3077</v>
      </c>
      <c r="E45" s="35" t="s">
        <v>2104</v>
      </c>
      <c r="F45" t="str" cm="1">
        <f t="array" ref="F45">IFERROR(_xlfn.XLOOKUP(E45,MapeoCargos!$A:$A,MapeoCargos!$B:$B,E45),E45)</f>
        <v>AUDITORIA</v>
      </c>
      <c r="G45" s="45">
        <v>42445</v>
      </c>
    </row>
    <row r="46" spans="1:7" x14ac:dyDescent="0.2">
      <c r="A46" s="27" t="s">
        <v>3078</v>
      </c>
      <c r="B46" s="34" t="s">
        <v>3037</v>
      </c>
      <c r="C46" s="34" t="s">
        <v>3038</v>
      </c>
      <c r="D46" s="34" t="s">
        <v>3079</v>
      </c>
      <c r="E46" s="35" t="s">
        <v>116</v>
      </c>
      <c r="F46" t="str" cm="1">
        <f t="array" ref="F46">IFERROR(_xlfn.XLOOKUP(E46,MapeoCargos!$A:$A,MapeoCargos!$B:$B,E46),E46)</f>
        <v>AUXILIAR DE MANTENIMIENTO</v>
      </c>
      <c r="G46" s="45">
        <v>42445</v>
      </c>
    </row>
    <row r="47" spans="1:7" x14ac:dyDescent="0.2">
      <c r="A47" s="27" t="s">
        <v>2138</v>
      </c>
      <c r="B47" s="34" t="s">
        <v>2078</v>
      </c>
      <c r="C47" s="34" t="s">
        <v>2079</v>
      </c>
      <c r="D47" s="34" t="s">
        <v>2139</v>
      </c>
      <c r="E47" s="35" t="s">
        <v>2140</v>
      </c>
      <c r="F47" t="str" cm="1">
        <f t="array" ref="F47">IFERROR(_xlfn.XLOOKUP(E47,MapeoCargos!$A:$A,MapeoCargos!$B:$B,E47),E47)</f>
        <v>SUPERVISOR(A) SST</v>
      </c>
      <c r="G47" s="45">
        <v>42491</v>
      </c>
    </row>
    <row r="48" spans="1:7" x14ac:dyDescent="0.2">
      <c r="A48" s="27" t="s">
        <v>2141</v>
      </c>
      <c r="B48" s="34" t="s">
        <v>2078</v>
      </c>
      <c r="C48" s="34" t="s">
        <v>2079</v>
      </c>
      <c r="D48" s="34" t="s">
        <v>2142</v>
      </c>
      <c r="E48" s="35" t="s">
        <v>2104</v>
      </c>
      <c r="F48" t="str" cm="1">
        <f t="array" ref="F48">IFERROR(_xlfn.XLOOKUP(E48,MapeoCargos!$A:$A,MapeoCargos!$B:$B,E48),E48)</f>
        <v>AUDITORIA</v>
      </c>
      <c r="G48" s="45">
        <v>42491</v>
      </c>
    </row>
    <row r="49" spans="1:7" x14ac:dyDescent="0.2">
      <c r="A49" s="27" t="s">
        <v>2143</v>
      </c>
      <c r="B49" s="34" t="s">
        <v>2078</v>
      </c>
      <c r="C49" s="34" t="s">
        <v>2079</v>
      </c>
      <c r="D49" s="34" t="s">
        <v>2144</v>
      </c>
      <c r="E49" s="35" t="s">
        <v>2145</v>
      </c>
      <c r="F49" t="str" cm="1">
        <f t="array" ref="F49">IFERROR(_xlfn.XLOOKUP(E49,MapeoCargos!$A:$A,MapeoCargos!$B:$B,E49),E49)</f>
        <v>GERENTE DE FINANZAS</v>
      </c>
      <c r="G49" s="45">
        <v>42491</v>
      </c>
    </row>
    <row r="50" spans="1:7" x14ac:dyDescent="0.2">
      <c r="A50" s="27" t="s">
        <v>2146</v>
      </c>
      <c r="B50" s="34" t="s">
        <v>2078</v>
      </c>
      <c r="C50" s="34" t="s">
        <v>2079</v>
      </c>
      <c r="D50" s="34" t="s">
        <v>2147</v>
      </c>
      <c r="E50" s="35" t="s">
        <v>2148</v>
      </c>
      <c r="F50" t="str" cm="1">
        <f t="array" ref="F50">IFERROR(_xlfn.XLOOKUP(E50,MapeoCargos!$A:$A,MapeoCargos!$B:$B,E50),E50)</f>
        <v>TRADE MARKETING</v>
      </c>
      <c r="G50" s="45">
        <v>42522</v>
      </c>
    </row>
    <row r="51" spans="1:7" x14ac:dyDescent="0.2">
      <c r="A51" s="27" t="s">
        <v>3080</v>
      </c>
      <c r="B51" s="34" t="s">
        <v>3037</v>
      </c>
      <c r="C51" s="34" t="s">
        <v>3038</v>
      </c>
      <c r="D51" s="34" t="s">
        <v>3081</v>
      </c>
      <c r="E51" s="35" t="s">
        <v>116</v>
      </c>
      <c r="F51" t="str" cm="1">
        <f t="array" ref="F51">IFERROR(_xlfn.XLOOKUP(E51,MapeoCargos!$A:$A,MapeoCargos!$B:$B,E51),E51)</f>
        <v>AUXILIAR DE MANTENIMIENTO</v>
      </c>
      <c r="G51" s="45">
        <v>42537</v>
      </c>
    </row>
    <row r="52" spans="1:7" x14ac:dyDescent="0.2">
      <c r="A52" s="27" t="s">
        <v>2149</v>
      </c>
      <c r="B52" s="34" t="s">
        <v>2078</v>
      </c>
      <c r="C52" s="34" t="s">
        <v>2</v>
      </c>
      <c r="D52" s="34" t="s">
        <v>2150</v>
      </c>
      <c r="E52" s="35" t="s">
        <v>126</v>
      </c>
      <c r="F52" t="str" cm="1">
        <f t="array" ref="F52">IFERROR(_xlfn.XLOOKUP(E52,MapeoCargos!$A:$A,MapeoCargos!$B:$B,E52),E52)</f>
        <v>MOTORIZADO</v>
      </c>
      <c r="G52" s="45">
        <v>42537</v>
      </c>
    </row>
    <row r="53" spans="1:7" x14ac:dyDescent="0.2">
      <c r="A53" s="27" t="s">
        <v>2151</v>
      </c>
      <c r="B53" s="34" t="s">
        <v>2078</v>
      </c>
      <c r="C53" s="34" t="s">
        <v>2079</v>
      </c>
      <c r="D53" s="34" t="s">
        <v>2152</v>
      </c>
      <c r="E53" s="35" t="s">
        <v>2153</v>
      </c>
      <c r="F53" t="str" cm="1">
        <f t="array" ref="F53">IFERROR(_xlfn.XLOOKUP(E53,MapeoCargos!$A:$A,MapeoCargos!$B:$B,E53),E53)</f>
        <v>ASISTENTE TECNICO</v>
      </c>
      <c r="G53" s="45">
        <v>42552</v>
      </c>
    </row>
    <row r="54" spans="1:7" x14ac:dyDescent="0.2">
      <c r="A54" s="27" t="s">
        <v>188</v>
      </c>
      <c r="B54" s="34" t="s">
        <v>189</v>
      </c>
      <c r="C54" s="34" t="s">
        <v>17</v>
      </c>
      <c r="D54" s="34" t="s">
        <v>190</v>
      </c>
      <c r="E54" s="35" t="s">
        <v>126</v>
      </c>
      <c r="F54" t="str" cm="1">
        <f t="array" ref="F54">IFERROR(_xlfn.XLOOKUP(E54,MapeoCargos!$A:$A,MapeoCargos!$B:$B,E54),E54)</f>
        <v>MOTORIZADO</v>
      </c>
      <c r="G54" s="45">
        <v>42552</v>
      </c>
    </row>
    <row r="55" spans="1:7" x14ac:dyDescent="0.2">
      <c r="A55" s="27" t="s">
        <v>3082</v>
      </c>
      <c r="B55" s="34" t="s">
        <v>3037</v>
      </c>
      <c r="C55" s="34" t="s">
        <v>14</v>
      </c>
      <c r="D55" s="34" t="s">
        <v>3083</v>
      </c>
      <c r="E55" s="35" t="s">
        <v>305</v>
      </c>
      <c r="F55" t="str" cm="1">
        <f t="array" ref="F55">IFERROR(_xlfn.XLOOKUP(E55,MapeoCargos!$A:$A,MapeoCargos!$B:$B,E55),E55)</f>
        <v>LIMPIEZA / MANTENIMIENTO</v>
      </c>
      <c r="G55" s="45">
        <v>42567</v>
      </c>
    </row>
    <row r="56" spans="1:7" x14ac:dyDescent="0.2">
      <c r="A56" s="27" t="s">
        <v>2154</v>
      </c>
      <c r="B56" s="34" t="s">
        <v>2078</v>
      </c>
      <c r="C56" s="34" t="s">
        <v>2114</v>
      </c>
      <c r="D56" s="34" t="s">
        <v>2155</v>
      </c>
      <c r="E56" s="35" t="s">
        <v>193</v>
      </c>
      <c r="F56" t="str" cm="1">
        <f t="array" ref="F56">IFERROR(_xlfn.XLOOKUP(E56,MapeoCargos!$A:$A,MapeoCargos!$B:$B,E56),E56)</f>
        <v>PRODUCCIÓN / COCINA</v>
      </c>
      <c r="G56" s="45">
        <v>42583</v>
      </c>
    </row>
    <row r="57" spans="1:7" x14ac:dyDescent="0.2">
      <c r="A57" s="27" t="s">
        <v>3084</v>
      </c>
      <c r="B57" s="34" t="s">
        <v>3037</v>
      </c>
      <c r="C57" s="34" t="s">
        <v>3038</v>
      </c>
      <c r="D57" s="34" t="s">
        <v>3085</v>
      </c>
      <c r="E57" s="35" t="s">
        <v>3086</v>
      </c>
      <c r="F57" t="str" cm="1">
        <f t="array" ref="F57">IFERROR(_xlfn.XLOOKUP(E57,MapeoCargos!$A:$A,MapeoCargos!$B:$B,E57),E57)</f>
        <v>JEFE DE SST</v>
      </c>
      <c r="G57" s="45">
        <v>42583</v>
      </c>
    </row>
    <row r="58" spans="1:7" x14ac:dyDescent="0.2">
      <c r="A58" s="27" t="s">
        <v>2156</v>
      </c>
      <c r="B58" s="34" t="s">
        <v>2078</v>
      </c>
      <c r="C58" s="34" t="s">
        <v>2082</v>
      </c>
      <c r="D58" s="34" t="s">
        <v>2157</v>
      </c>
      <c r="E58" s="35" t="s">
        <v>305</v>
      </c>
      <c r="F58" t="str" cm="1">
        <f t="array" ref="F58">IFERROR(_xlfn.XLOOKUP(E58,MapeoCargos!$A:$A,MapeoCargos!$B:$B,E58),E58)</f>
        <v>LIMPIEZA / MANTENIMIENTO</v>
      </c>
      <c r="G58" s="45">
        <v>42598</v>
      </c>
    </row>
    <row r="59" spans="1:7" x14ac:dyDescent="0.2">
      <c r="A59" s="27" t="s">
        <v>2158</v>
      </c>
      <c r="B59" s="34" t="s">
        <v>2078</v>
      </c>
      <c r="C59" s="34" t="s">
        <v>2114</v>
      </c>
      <c r="D59" s="34" t="s">
        <v>2159</v>
      </c>
      <c r="E59" s="35" t="s">
        <v>83</v>
      </c>
      <c r="F59" t="str" cm="1">
        <f t="array" ref="F59">IFERROR(_xlfn.XLOOKUP(E59,MapeoCargos!$A:$A,MapeoCargos!$B:$B,E59),E59)</f>
        <v>PRODUCCIÓN / COCINA</v>
      </c>
      <c r="G59" s="45">
        <v>42614</v>
      </c>
    </row>
    <row r="60" spans="1:7" x14ac:dyDescent="0.2">
      <c r="A60" s="27" t="s">
        <v>3087</v>
      </c>
      <c r="B60" s="34" t="s">
        <v>3037</v>
      </c>
      <c r="C60" s="34" t="s">
        <v>2458</v>
      </c>
      <c r="D60" s="34" t="s">
        <v>3088</v>
      </c>
      <c r="E60" s="35" t="s">
        <v>83</v>
      </c>
      <c r="F60" t="str" cm="1">
        <f t="array" ref="F60">IFERROR(_xlfn.XLOOKUP(E60,MapeoCargos!$A:$A,MapeoCargos!$B:$B,E60),E60)</f>
        <v>PRODUCCIÓN / COCINA</v>
      </c>
      <c r="G60" s="45">
        <v>42629</v>
      </c>
    </row>
    <row r="61" spans="1:7" x14ac:dyDescent="0.2">
      <c r="A61" s="27" t="s">
        <v>191</v>
      </c>
      <c r="B61" s="34" t="s">
        <v>189</v>
      </c>
      <c r="C61" s="34" t="s">
        <v>17</v>
      </c>
      <c r="D61" s="34" t="s">
        <v>192</v>
      </c>
      <c r="E61" s="35" t="s">
        <v>193</v>
      </c>
      <c r="F61" t="str" cm="1">
        <f t="array" ref="F61">IFERROR(_xlfn.XLOOKUP(E61,MapeoCargos!$A:$A,MapeoCargos!$B:$B,E61),E61)</f>
        <v>PRODUCCIÓN / COCINA</v>
      </c>
      <c r="G61" s="45">
        <v>42629</v>
      </c>
    </row>
    <row r="62" spans="1:7" x14ac:dyDescent="0.2">
      <c r="A62" s="27" t="s">
        <v>2160</v>
      </c>
      <c r="B62" s="34" t="s">
        <v>2078</v>
      </c>
      <c r="C62" s="34" t="s">
        <v>2082</v>
      </c>
      <c r="D62" s="34" t="s">
        <v>2161</v>
      </c>
      <c r="E62" s="35" t="s">
        <v>606</v>
      </c>
      <c r="F62" t="str" cm="1">
        <f t="array" ref="F62">IFERROR(_xlfn.XLOOKUP(E62,MapeoCargos!$A:$A,MapeoCargos!$B:$B,E62),E62)</f>
        <v>BAR</v>
      </c>
      <c r="G62" s="45">
        <v>42644</v>
      </c>
    </row>
    <row r="63" spans="1:7" x14ac:dyDescent="0.2">
      <c r="A63" s="27" t="s">
        <v>2162</v>
      </c>
      <c r="B63" s="34" t="s">
        <v>2078</v>
      </c>
      <c r="C63" s="34" t="s">
        <v>4</v>
      </c>
      <c r="D63" s="34" t="s">
        <v>2163</v>
      </c>
      <c r="E63" s="35" t="s">
        <v>126</v>
      </c>
      <c r="F63" t="str" cm="1">
        <f t="array" ref="F63">IFERROR(_xlfn.XLOOKUP(E63,MapeoCargos!$A:$A,MapeoCargos!$B:$B,E63),E63)</f>
        <v>MOTORIZADO</v>
      </c>
      <c r="G63" s="45">
        <v>42659</v>
      </c>
    </row>
    <row r="64" spans="1:7" x14ac:dyDescent="0.2">
      <c r="A64" s="27" t="s">
        <v>2164</v>
      </c>
      <c r="B64" s="34" t="s">
        <v>2078</v>
      </c>
      <c r="C64" s="34" t="s">
        <v>4</v>
      </c>
      <c r="D64" s="34" t="s">
        <v>2165</v>
      </c>
      <c r="E64" s="35" t="s">
        <v>193</v>
      </c>
      <c r="F64" t="str" cm="1">
        <f t="array" ref="F64">IFERROR(_xlfn.XLOOKUP(E64,MapeoCargos!$A:$A,MapeoCargos!$B:$B,E64),E64)</f>
        <v>PRODUCCIÓN / COCINA</v>
      </c>
      <c r="G64" s="45">
        <v>42675</v>
      </c>
    </row>
    <row r="65" spans="1:8" x14ac:dyDescent="0.2">
      <c r="A65" s="27" t="s">
        <v>194</v>
      </c>
      <c r="B65" s="34" t="s">
        <v>189</v>
      </c>
      <c r="C65" s="34" t="s">
        <v>195</v>
      </c>
      <c r="D65" s="34" t="s">
        <v>196</v>
      </c>
      <c r="E65" s="35" t="s">
        <v>197</v>
      </c>
      <c r="F65" t="str" cm="1">
        <f t="array" ref="F65">IFERROR(_xlfn.XLOOKUP(E65,MapeoCargos!$A:$A,MapeoCargos!$B:$B,E65),E65)</f>
        <v>ELECTRICISTA</v>
      </c>
      <c r="G65" s="45">
        <v>42675</v>
      </c>
    </row>
    <row r="66" spans="1:8" x14ac:dyDescent="0.2">
      <c r="A66" s="27" t="s">
        <v>198</v>
      </c>
      <c r="B66" s="34" t="s">
        <v>189</v>
      </c>
      <c r="C66" s="34" t="s">
        <v>195</v>
      </c>
      <c r="D66" s="34" t="s">
        <v>199</v>
      </c>
      <c r="E66" s="35" t="s">
        <v>200</v>
      </c>
      <c r="F66" t="str" cm="1">
        <f t="array" ref="F66">IFERROR(_xlfn.XLOOKUP(E66,MapeoCargos!$A:$A,MapeoCargos!$B:$B,E66),E66)</f>
        <v>SEGURIDAD</v>
      </c>
      <c r="G66" s="45">
        <v>42751</v>
      </c>
    </row>
    <row r="67" spans="1:8" x14ac:dyDescent="0.2">
      <c r="A67" s="27" t="s">
        <v>201</v>
      </c>
      <c r="B67" s="34" t="s">
        <v>189</v>
      </c>
      <c r="C67" s="34" t="s">
        <v>195</v>
      </c>
      <c r="D67" s="34" t="s">
        <v>202</v>
      </c>
      <c r="E67" s="35" t="s">
        <v>203</v>
      </c>
      <c r="F67" t="str" cm="1">
        <f t="array" ref="F67">IFERROR(_xlfn.XLOOKUP(E67,MapeoCargos!$A:$A,MapeoCargos!$B:$B,E67),E67)</f>
        <v>SUPERVISOR DE OPERACIONES</v>
      </c>
      <c r="G67" s="45">
        <v>42767</v>
      </c>
    </row>
    <row r="68" spans="1:8" x14ac:dyDescent="0.2">
      <c r="A68" s="27" t="s">
        <v>3089</v>
      </c>
      <c r="B68" s="34" t="s">
        <v>3037</v>
      </c>
      <c r="C68" s="34" t="s">
        <v>16</v>
      </c>
      <c r="D68" s="34" t="s">
        <v>3090</v>
      </c>
      <c r="E68" s="35" t="s">
        <v>126</v>
      </c>
      <c r="F68" t="str" cm="1">
        <f t="array" ref="F68">IFERROR(_xlfn.XLOOKUP(E68,MapeoCargos!$A:$A,MapeoCargos!$B:$B,E68),E68)</f>
        <v>MOTORIZADO</v>
      </c>
      <c r="G68" s="45">
        <v>42782</v>
      </c>
    </row>
    <row r="69" spans="1:8" x14ac:dyDescent="0.2">
      <c r="A69" s="27" t="s">
        <v>2166</v>
      </c>
      <c r="B69" s="34" t="s">
        <v>2078</v>
      </c>
      <c r="C69" s="34" t="s">
        <v>2082</v>
      </c>
      <c r="D69" s="34" t="s">
        <v>2167</v>
      </c>
      <c r="E69" s="35" t="s">
        <v>222</v>
      </c>
      <c r="F69" t="str" cm="1">
        <f t="array" ref="F69">IFERROR(_xlfn.XLOOKUP(E69,MapeoCargos!$A:$A,MapeoCargos!$B:$B,E69),E69)</f>
        <v>PRODUCCIÓN / COCINA</v>
      </c>
      <c r="G69" s="45">
        <v>42782</v>
      </c>
    </row>
    <row r="70" spans="1:8" x14ac:dyDescent="0.2">
      <c r="A70" s="27" t="s">
        <v>2168</v>
      </c>
      <c r="B70" s="34" t="s">
        <v>2078</v>
      </c>
      <c r="C70" s="34" t="s">
        <v>2114</v>
      </c>
      <c r="D70" s="34" t="s">
        <v>2169</v>
      </c>
      <c r="E70" s="35" t="s">
        <v>29</v>
      </c>
      <c r="F70" t="str" cm="1">
        <f t="array" ref="F70">IFERROR(_xlfn.XLOOKUP(E70,MapeoCargos!$A:$A,MapeoCargos!$B:$B,E70),E70)</f>
        <v>MOZO</v>
      </c>
      <c r="G70" s="45">
        <v>42810</v>
      </c>
    </row>
    <row r="71" spans="1:8" x14ac:dyDescent="0.2">
      <c r="A71" s="27" t="s">
        <v>2170</v>
      </c>
      <c r="B71" s="34" t="s">
        <v>2078</v>
      </c>
      <c r="C71" s="34" t="s">
        <v>2082</v>
      </c>
      <c r="D71" s="34" t="s">
        <v>2171</v>
      </c>
      <c r="E71" s="35" t="s">
        <v>126</v>
      </c>
      <c r="F71" t="str" cm="1">
        <f t="array" ref="F71">IFERROR(_xlfn.XLOOKUP(E71,MapeoCargos!$A:$A,MapeoCargos!$B:$B,E71),E71)</f>
        <v>MOTORIZADO</v>
      </c>
      <c r="G71" s="45">
        <v>42810</v>
      </c>
    </row>
    <row r="72" spans="1:8" x14ac:dyDescent="0.2">
      <c r="A72" s="27" t="s">
        <v>3091</v>
      </c>
      <c r="B72" s="34" t="s">
        <v>3037</v>
      </c>
      <c r="C72" s="34" t="s">
        <v>626</v>
      </c>
      <c r="D72" s="34" t="s">
        <v>3092</v>
      </c>
      <c r="E72" s="35" t="s">
        <v>29</v>
      </c>
      <c r="F72" t="str" cm="1">
        <f t="array" ref="F72">IFERROR(_xlfn.XLOOKUP(E72,MapeoCargos!$A:$A,MapeoCargos!$B:$B,E72),E72)</f>
        <v>MOZO</v>
      </c>
      <c r="G72" s="45">
        <v>42826</v>
      </c>
    </row>
    <row r="73" spans="1:8" x14ac:dyDescent="0.2">
      <c r="A73" s="27" t="s">
        <v>3093</v>
      </c>
      <c r="B73" s="34" t="s">
        <v>3037</v>
      </c>
      <c r="C73" s="34" t="s">
        <v>14</v>
      </c>
      <c r="D73" s="34" t="s">
        <v>3094</v>
      </c>
      <c r="E73" s="35" t="s">
        <v>126</v>
      </c>
      <c r="F73" t="str" cm="1">
        <f t="array" ref="F73">IFERROR(_xlfn.XLOOKUP(E73,MapeoCargos!$A:$A,MapeoCargos!$B:$B,E73),E73)</f>
        <v>MOTORIZADO</v>
      </c>
      <c r="G73" s="45">
        <v>42826</v>
      </c>
    </row>
    <row r="74" spans="1:8" x14ac:dyDescent="0.2">
      <c r="A74" s="52" t="s">
        <v>4719</v>
      </c>
      <c r="B74" s="53" t="s">
        <v>3037</v>
      </c>
      <c r="C74" s="53" t="s">
        <v>626</v>
      </c>
      <c r="D74" s="53" t="s">
        <v>4720</v>
      </c>
      <c r="E74" s="54" t="s">
        <v>126</v>
      </c>
      <c r="F74" s="18" t="str" cm="1">
        <f t="array" ref="F74">IFERROR(_xlfn.XLOOKUP(E74,MapeoCargos!$A:$A,MapeoCargos!$B:$B,E74),E74)</f>
        <v>MOTORIZADO</v>
      </c>
      <c r="G74" s="55">
        <v>45901</v>
      </c>
      <c r="H74" t="s">
        <v>4721</v>
      </c>
    </row>
    <row r="75" spans="1:8" x14ac:dyDescent="0.2">
      <c r="A75" s="27" t="s">
        <v>2172</v>
      </c>
      <c r="B75" s="34" t="s">
        <v>2078</v>
      </c>
      <c r="C75" s="34" t="s">
        <v>2</v>
      </c>
      <c r="D75" s="34" t="s">
        <v>2173</v>
      </c>
      <c r="E75" s="35" t="s">
        <v>126</v>
      </c>
      <c r="F75" t="str" cm="1">
        <f t="array" ref="F75">IFERROR(_xlfn.XLOOKUP(E75,MapeoCargos!$A:$A,MapeoCargos!$B:$B,E75),E75)</f>
        <v>MOTORIZADO</v>
      </c>
      <c r="G75" s="45">
        <v>42826</v>
      </c>
    </row>
    <row r="76" spans="1:8" x14ac:dyDescent="0.2">
      <c r="A76" s="27" t="s">
        <v>2174</v>
      </c>
      <c r="B76" s="34" t="s">
        <v>2078</v>
      </c>
      <c r="C76" s="34" t="s">
        <v>2079</v>
      </c>
      <c r="D76" s="34" t="s">
        <v>2175</v>
      </c>
      <c r="E76" s="35" t="s">
        <v>203</v>
      </c>
      <c r="F76" t="str" cm="1">
        <f t="array" ref="F76">IFERROR(_xlfn.XLOOKUP(E76,MapeoCargos!$A:$A,MapeoCargos!$B:$B,E76),E76)</f>
        <v>SUPERVISOR DE OPERACIONES</v>
      </c>
      <c r="G76" s="45">
        <v>42856</v>
      </c>
    </row>
    <row r="77" spans="1:8" x14ac:dyDescent="0.2">
      <c r="A77" s="27" t="s">
        <v>2176</v>
      </c>
      <c r="B77" s="34" t="s">
        <v>2078</v>
      </c>
      <c r="C77" s="34" t="s">
        <v>2177</v>
      </c>
      <c r="D77" s="34" t="s">
        <v>2178</v>
      </c>
      <c r="E77" s="35" t="s">
        <v>222</v>
      </c>
      <c r="F77" t="str" cm="1">
        <f t="array" ref="F77">IFERROR(_xlfn.XLOOKUP(E77,MapeoCargos!$A:$A,MapeoCargos!$B:$B,E77),E77)</f>
        <v>PRODUCCIÓN / COCINA</v>
      </c>
      <c r="G77" s="45">
        <v>42856</v>
      </c>
    </row>
    <row r="78" spans="1:8" x14ac:dyDescent="0.2">
      <c r="A78" s="27" t="s">
        <v>204</v>
      </c>
      <c r="B78" s="34" t="s">
        <v>189</v>
      </c>
      <c r="C78" s="34" t="s">
        <v>205</v>
      </c>
      <c r="D78" s="34" t="s">
        <v>206</v>
      </c>
      <c r="E78" s="35" t="s">
        <v>193</v>
      </c>
      <c r="F78" t="str" cm="1">
        <f t="array" ref="F78">IFERROR(_xlfn.XLOOKUP(E78,MapeoCargos!$A:$A,MapeoCargos!$B:$B,E78),E78)</f>
        <v>PRODUCCIÓN / COCINA</v>
      </c>
      <c r="G78" s="45">
        <v>42887</v>
      </c>
    </row>
    <row r="79" spans="1:8" x14ac:dyDescent="0.2">
      <c r="A79" s="27" t="s">
        <v>2179</v>
      </c>
      <c r="B79" s="34" t="s">
        <v>2078</v>
      </c>
      <c r="C79" s="34" t="s">
        <v>2177</v>
      </c>
      <c r="D79" s="34" t="s">
        <v>2180</v>
      </c>
      <c r="E79" s="35" t="s">
        <v>222</v>
      </c>
      <c r="F79" t="str" cm="1">
        <f t="array" ref="F79">IFERROR(_xlfn.XLOOKUP(E79,MapeoCargos!$A:$A,MapeoCargos!$B:$B,E79),E79)</f>
        <v>PRODUCCIÓN / COCINA</v>
      </c>
      <c r="G79" s="45">
        <v>42887</v>
      </c>
    </row>
    <row r="80" spans="1:8" x14ac:dyDescent="0.2">
      <c r="A80" s="27" t="s">
        <v>2181</v>
      </c>
      <c r="B80" s="34" t="s">
        <v>2078</v>
      </c>
      <c r="C80" s="34" t="s">
        <v>2082</v>
      </c>
      <c r="D80" s="34" t="s">
        <v>2182</v>
      </c>
      <c r="E80" s="35" t="s">
        <v>30</v>
      </c>
      <c r="F80" t="str" cm="1">
        <f t="array" ref="F80">IFERROR(_xlfn.XLOOKUP(E80,MapeoCargos!$A:$A,MapeoCargos!$B:$B,E80),E80)</f>
        <v>STAFF ADMINISTRATIVO</v>
      </c>
      <c r="G80" s="45">
        <v>42902</v>
      </c>
    </row>
    <row r="81" spans="1:7" x14ac:dyDescent="0.2">
      <c r="A81" s="27" t="s">
        <v>2183</v>
      </c>
      <c r="B81" s="34" t="s">
        <v>2078</v>
      </c>
      <c r="C81" s="34" t="s">
        <v>4</v>
      </c>
      <c r="D81" s="34" t="s">
        <v>2184</v>
      </c>
      <c r="E81" s="35" t="s">
        <v>231</v>
      </c>
      <c r="F81" t="str" cm="1">
        <f t="array" ref="F81">IFERROR(_xlfn.XLOOKUP(E81,MapeoCargos!$A:$A,MapeoCargos!$B:$B,E81),E81)</f>
        <v xml:space="preserve">CAJA </v>
      </c>
      <c r="G81" s="45">
        <v>42917</v>
      </c>
    </row>
    <row r="82" spans="1:7" x14ac:dyDescent="0.2">
      <c r="A82" s="27" t="s">
        <v>207</v>
      </c>
      <c r="B82" s="34" t="s">
        <v>189</v>
      </c>
      <c r="C82" s="34" t="s">
        <v>19</v>
      </c>
      <c r="D82" s="34" t="s">
        <v>208</v>
      </c>
      <c r="E82" s="35" t="s">
        <v>193</v>
      </c>
      <c r="F82" t="str" cm="1">
        <f t="array" ref="F82">IFERROR(_xlfn.XLOOKUP(E82,MapeoCargos!$A:$A,MapeoCargos!$B:$B,E82),E82)</f>
        <v>PRODUCCIÓN / COCINA</v>
      </c>
      <c r="G82" s="45">
        <v>42963</v>
      </c>
    </row>
    <row r="83" spans="1:7" x14ac:dyDescent="0.2">
      <c r="A83" s="27" t="s">
        <v>2185</v>
      </c>
      <c r="B83" s="34" t="s">
        <v>2078</v>
      </c>
      <c r="C83" s="34" t="s">
        <v>4</v>
      </c>
      <c r="D83" s="34" t="s">
        <v>2186</v>
      </c>
      <c r="E83" s="35" t="s">
        <v>305</v>
      </c>
      <c r="F83" t="str" cm="1">
        <f t="array" ref="F83">IFERROR(_xlfn.XLOOKUP(E83,MapeoCargos!$A:$A,MapeoCargos!$B:$B,E83),E83)</f>
        <v>LIMPIEZA / MANTENIMIENTO</v>
      </c>
      <c r="G83" s="45">
        <v>43009</v>
      </c>
    </row>
    <row r="84" spans="1:7" x14ac:dyDescent="0.2">
      <c r="A84" s="27" t="s">
        <v>209</v>
      </c>
      <c r="B84" s="34" t="s">
        <v>189</v>
      </c>
      <c r="C84" s="34" t="s">
        <v>195</v>
      </c>
      <c r="D84" s="34" t="s">
        <v>210</v>
      </c>
      <c r="E84" s="35" t="s">
        <v>211</v>
      </c>
      <c r="F84" t="str" cm="1">
        <f t="array" ref="F84">IFERROR(_xlfn.XLOOKUP(E84,MapeoCargos!$A:$A,MapeoCargos!$B:$B,E84),E84)</f>
        <v>COORDINADOR DE MANTENIMIENTO</v>
      </c>
      <c r="G84" s="45">
        <v>43032</v>
      </c>
    </row>
    <row r="85" spans="1:7" x14ac:dyDescent="0.2">
      <c r="A85" s="27" t="s">
        <v>212</v>
      </c>
      <c r="B85" s="34" t="s">
        <v>189</v>
      </c>
      <c r="C85" s="34" t="s">
        <v>195</v>
      </c>
      <c r="D85" s="34" t="s">
        <v>213</v>
      </c>
      <c r="E85" s="35" t="s">
        <v>214</v>
      </c>
      <c r="F85" t="str" cm="1">
        <f t="array" ref="F85">IFERROR(_xlfn.XLOOKUP(E85,MapeoCargos!$A:$A,MapeoCargos!$B:$B,E85),E85)</f>
        <v>COMMUNITY MANAGER</v>
      </c>
      <c r="G85" s="45">
        <v>43032</v>
      </c>
    </row>
    <row r="86" spans="1:7" x14ac:dyDescent="0.2">
      <c r="A86" s="27" t="s">
        <v>2187</v>
      </c>
      <c r="B86" s="34" t="s">
        <v>2078</v>
      </c>
      <c r="C86" s="34" t="s">
        <v>2</v>
      </c>
      <c r="D86" s="34" t="s">
        <v>2188</v>
      </c>
      <c r="E86" s="35" t="s">
        <v>126</v>
      </c>
      <c r="F86" t="str" cm="1">
        <f t="array" ref="F86">IFERROR(_xlfn.XLOOKUP(E86,MapeoCargos!$A:$A,MapeoCargos!$B:$B,E86),E86)</f>
        <v>MOTORIZADO</v>
      </c>
      <c r="G86" s="45">
        <v>43040</v>
      </c>
    </row>
    <row r="87" spans="1:7" x14ac:dyDescent="0.2">
      <c r="A87" s="27" t="s">
        <v>3095</v>
      </c>
      <c r="B87" s="34" t="s">
        <v>3037</v>
      </c>
      <c r="C87" s="34" t="s">
        <v>2458</v>
      </c>
      <c r="D87" s="34" t="s">
        <v>3096</v>
      </c>
      <c r="E87" s="35" t="s">
        <v>83</v>
      </c>
      <c r="F87" t="str" cm="1">
        <f t="array" ref="F87">IFERROR(_xlfn.XLOOKUP(E87,MapeoCargos!$A:$A,MapeoCargos!$B:$B,E87),E87)</f>
        <v>PRODUCCIÓN / COCINA</v>
      </c>
      <c r="G87" s="45">
        <v>43101</v>
      </c>
    </row>
    <row r="88" spans="1:7" x14ac:dyDescent="0.2">
      <c r="A88" s="27" t="s">
        <v>2189</v>
      </c>
      <c r="B88" s="34" t="s">
        <v>2078</v>
      </c>
      <c r="C88" s="34" t="s">
        <v>2177</v>
      </c>
      <c r="D88" s="34" t="s">
        <v>2190</v>
      </c>
      <c r="E88" s="35" t="s">
        <v>231</v>
      </c>
      <c r="F88" t="str" cm="1">
        <f t="array" ref="F88">IFERROR(_xlfn.XLOOKUP(E88,MapeoCargos!$A:$A,MapeoCargos!$B:$B,E88),E88)</f>
        <v xml:space="preserve">CAJA </v>
      </c>
      <c r="G88" s="45">
        <v>43101</v>
      </c>
    </row>
    <row r="89" spans="1:7" x14ac:dyDescent="0.2">
      <c r="A89" s="27" t="s">
        <v>2191</v>
      </c>
      <c r="B89" s="34" t="s">
        <v>2078</v>
      </c>
      <c r="C89" s="34" t="s">
        <v>5</v>
      </c>
      <c r="D89" s="34" t="s">
        <v>485</v>
      </c>
      <c r="E89" s="35" t="s">
        <v>193</v>
      </c>
      <c r="F89" t="str" cm="1">
        <f t="array" ref="F89">IFERROR(_xlfn.XLOOKUP(E89,MapeoCargos!$A:$A,MapeoCargos!$B:$B,E89),E89)</f>
        <v>PRODUCCIÓN / COCINA</v>
      </c>
      <c r="G89" s="45">
        <v>43132</v>
      </c>
    </row>
    <row r="90" spans="1:7" x14ac:dyDescent="0.2">
      <c r="A90" s="27" t="s">
        <v>215</v>
      </c>
      <c r="B90" s="34" t="s">
        <v>189</v>
      </c>
      <c r="C90" s="34" t="s">
        <v>195</v>
      </c>
      <c r="D90" s="34" t="s">
        <v>216</v>
      </c>
      <c r="E90" s="35" t="s">
        <v>217</v>
      </c>
      <c r="F90" t="str" cm="1">
        <f t="array" ref="F90">IFERROR(_xlfn.XLOOKUP(E90,MapeoCargos!$A:$A,MapeoCargos!$B:$B,E90),E90)</f>
        <v>JEFE DE DESARROLLO</v>
      </c>
      <c r="G90" s="45">
        <v>43132</v>
      </c>
    </row>
    <row r="91" spans="1:7" x14ac:dyDescent="0.2">
      <c r="A91" s="27" t="s">
        <v>2192</v>
      </c>
      <c r="B91" s="34" t="s">
        <v>2078</v>
      </c>
      <c r="C91" s="34" t="s">
        <v>2082</v>
      </c>
      <c r="D91" s="34" t="s">
        <v>2193</v>
      </c>
      <c r="E91" s="35" t="s">
        <v>29</v>
      </c>
      <c r="F91" t="str" cm="1">
        <f t="array" ref="F91">IFERROR(_xlfn.XLOOKUP(E91,MapeoCargos!$A:$A,MapeoCargos!$B:$B,E91),E91)</f>
        <v>MOZO</v>
      </c>
      <c r="G91" s="45">
        <v>43147</v>
      </c>
    </row>
    <row r="92" spans="1:7" x14ac:dyDescent="0.2">
      <c r="A92" s="27" t="s">
        <v>2194</v>
      </c>
      <c r="B92" s="34" t="s">
        <v>2078</v>
      </c>
      <c r="C92" s="34" t="s">
        <v>2082</v>
      </c>
      <c r="D92" s="34" t="s">
        <v>2195</v>
      </c>
      <c r="E92" s="35" t="s">
        <v>83</v>
      </c>
      <c r="F92" t="str" cm="1">
        <f t="array" ref="F92">IFERROR(_xlfn.XLOOKUP(E92,MapeoCargos!$A:$A,MapeoCargos!$B:$B,E92),E92)</f>
        <v>PRODUCCIÓN / COCINA</v>
      </c>
      <c r="G92" s="45">
        <v>43160</v>
      </c>
    </row>
    <row r="93" spans="1:7" x14ac:dyDescent="0.2">
      <c r="A93" s="27" t="s">
        <v>2196</v>
      </c>
      <c r="B93" s="34" t="s">
        <v>2078</v>
      </c>
      <c r="C93" s="34" t="s">
        <v>2082</v>
      </c>
      <c r="D93" s="34" t="s">
        <v>2197</v>
      </c>
      <c r="E93" s="35" t="s">
        <v>126</v>
      </c>
      <c r="F93" t="str" cm="1">
        <f t="array" ref="F93">IFERROR(_xlfn.XLOOKUP(E93,MapeoCargos!$A:$A,MapeoCargos!$B:$B,E93),E93)</f>
        <v>MOTORIZADO</v>
      </c>
      <c r="G93" s="45">
        <v>43160</v>
      </c>
    </row>
    <row r="94" spans="1:7" x14ac:dyDescent="0.2">
      <c r="A94" s="27" t="s">
        <v>2198</v>
      </c>
      <c r="B94" s="34" t="s">
        <v>2078</v>
      </c>
      <c r="C94" s="34" t="s">
        <v>5</v>
      </c>
      <c r="D94" s="34" t="s">
        <v>2199</v>
      </c>
      <c r="E94" s="35" t="s">
        <v>222</v>
      </c>
      <c r="F94" t="str" cm="1">
        <f t="array" ref="F94">IFERROR(_xlfn.XLOOKUP(E94,MapeoCargos!$A:$A,MapeoCargos!$B:$B,E94),E94)</f>
        <v>PRODUCCIÓN / COCINA</v>
      </c>
      <c r="G94" s="45">
        <v>43221</v>
      </c>
    </row>
    <row r="95" spans="1:7" x14ac:dyDescent="0.2">
      <c r="A95" s="27" t="s">
        <v>3097</v>
      </c>
      <c r="B95" s="34" t="s">
        <v>3037</v>
      </c>
      <c r="C95" s="34" t="s">
        <v>3038</v>
      </c>
      <c r="D95" s="34" t="s">
        <v>3098</v>
      </c>
      <c r="E95" s="35" t="s">
        <v>3099</v>
      </c>
      <c r="F95" t="str" cm="1">
        <f t="array" ref="F95">IFERROR(_xlfn.XLOOKUP(E95,MapeoCargos!$A:$A,MapeoCargos!$B:$B,E95),E95)</f>
        <v>COORDINADOR DE CALIDAD</v>
      </c>
      <c r="G95" s="45">
        <v>43282</v>
      </c>
    </row>
    <row r="96" spans="1:7" x14ac:dyDescent="0.2">
      <c r="A96" s="27" t="s">
        <v>2200</v>
      </c>
      <c r="B96" s="34" t="s">
        <v>2078</v>
      </c>
      <c r="C96" s="34" t="s">
        <v>2079</v>
      </c>
      <c r="D96" s="34" t="s">
        <v>2201</v>
      </c>
      <c r="E96" s="35" t="s">
        <v>282</v>
      </c>
      <c r="F96" t="str" cm="1">
        <f t="array" ref="F96">IFERROR(_xlfn.XLOOKUP(E96,MapeoCargos!$A:$A,MapeoCargos!$B:$B,E96),E96)</f>
        <v>ASISTENTE DE GERENCIA</v>
      </c>
      <c r="G96" s="45">
        <v>43282</v>
      </c>
    </row>
    <row r="97" spans="1:7" x14ac:dyDescent="0.2">
      <c r="A97" s="27" t="s">
        <v>2202</v>
      </c>
      <c r="B97" s="34" t="s">
        <v>2078</v>
      </c>
      <c r="C97" s="34" t="s">
        <v>2082</v>
      </c>
      <c r="D97" s="34" t="s">
        <v>2203</v>
      </c>
      <c r="E97" s="35" t="s">
        <v>193</v>
      </c>
      <c r="F97" t="str" cm="1">
        <f t="array" ref="F97">IFERROR(_xlfn.XLOOKUP(E97,MapeoCargos!$A:$A,MapeoCargos!$B:$B,E97),E97)</f>
        <v>PRODUCCIÓN / COCINA</v>
      </c>
      <c r="G97" s="45">
        <v>43282</v>
      </c>
    </row>
    <row r="98" spans="1:7" x14ac:dyDescent="0.2">
      <c r="A98" s="27" t="s">
        <v>218</v>
      </c>
      <c r="B98" s="34" t="s">
        <v>189</v>
      </c>
      <c r="C98" s="34" t="s">
        <v>20</v>
      </c>
      <c r="D98" s="34" t="s">
        <v>219</v>
      </c>
      <c r="E98" s="35" t="s">
        <v>193</v>
      </c>
      <c r="F98" t="str" cm="1">
        <f t="array" ref="F98">IFERROR(_xlfn.XLOOKUP(E98,MapeoCargos!$A:$A,MapeoCargos!$B:$B,E98),E98)</f>
        <v>PRODUCCIÓN / COCINA</v>
      </c>
      <c r="G98" s="45">
        <v>43282</v>
      </c>
    </row>
    <row r="99" spans="1:7" x14ac:dyDescent="0.2">
      <c r="A99" s="27" t="s">
        <v>2204</v>
      </c>
      <c r="B99" s="34" t="s">
        <v>2078</v>
      </c>
      <c r="C99" s="34" t="s">
        <v>2079</v>
      </c>
      <c r="D99" s="34" t="s">
        <v>2205</v>
      </c>
      <c r="E99" s="35" t="s">
        <v>954</v>
      </c>
      <c r="F99" t="str" cm="1">
        <f t="array" ref="F99">IFERROR(_xlfn.XLOOKUP(E99,MapeoCargos!$A:$A,MapeoCargos!$B:$B,E99),E99)</f>
        <v>MOZO</v>
      </c>
      <c r="G99" s="45">
        <v>43313</v>
      </c>
    </row>
    <row r="100" spans="1:7" x14ac:dyDescent="0.2">
      <c r="A100" s="27" t="s">
        <v>2206</v>
      </c>
      <c r="B100" s="34" t="s">
        <v>2078</v>
      </c>
      <c r="C100" s="34" t="s">
        <v>8</v>
      </c>
      <c r="D100" s="34" t="s">
        <v>2207</v>
      </c>
      <c r="E100" s="35" t="s">
        <v>200</v>
      </c>
      <c r="F100" t="str" cm="1">
        <f t="array" ref="F100">IFERROR(_xlfn.XLOOKUP(E100,MapeoCargos!$A:$A,MapeoCargos!$B:$B,E100),E100)</f>
        <v>SEGURIDAD</v>
      </c>
      <c r="G100" s="45">
        <v>43313</v>
      </c>
    </row>
    <row r="101" spans="1:7" x14ac:dyDescent="0.2">
      <c r="A101" s="27" t="s">
        <v>2208</v>
      </c>
      <c r="B101" s="34" t="s">
        <v>2078</v>
      </c>
      <c r="C101" s="34" t="s">
        <v>5</v>
      </c>
      <c r="D101" s="34" t="s">
        <v>2209</v>
      </c>
      <c r="E101" s="35" t="s">
        <v>83</v>
      </c>
      <c r="F101" t="str" cm="1">
        <f t="array" ref="F101">IFERROR(_xlfn.XLOOKUP(E101,MapeoCargos!$A:$A,MapeoCargos!$B:$B,E101),E101)</f>
        <v>PRODUCCIÓN / COCINA</v>
      </c>
      <c r="G101" s="45">
        <v>43344</v>
      </c>
    </row>
    <row r="102" spans="1:7" x14ac:dyDescent="0.2">
      <c r="A102" s="27" t="s">
        <v>3100</v>
      </c>
      <c r="B102" s="34" t="s">
        <v>3037</v>
      </c>
      <c r="C102" s="34" t="s">
        <v>2670</v>
      </c>
      <c r="D102" s="34" t="s">
        <v>3101</v>
      </c>
      <c r="E102" s="35" t="s">
        <v>193</v>
      </c>
      <c r="F102" t="str" cm="1">
        <f t="array" ref="F102">IFERROR(_xlfn.XLOOKUP(E102,MapeoCargos!$A:$A,MapeoCargos!$B:$B,E102),E102)</f>
        <v>PRODUCCIÓN / COCINA</v>
      </c>
      <c r="G102" s="45">
        <v>43344</v>
      </c>
    </row>
    <row r="103" spans="1:7" x14ac:dyDescent="0.2">
      <c r="A103" s="27" t="s">
        <v>220</v>
      </c>
      <c r="B103" s="34" t="s">
        <v>189</v>
      </c>
      <c r="C103" s="34" t="s">
        <v>21</v>
      </c>
      <c r="D103" s="34" t="s">
        <v>221</v>
      </c>
      <c r="E103" s="35" t="s">
        <v>222</v>
      </c>
      <c r="F103" t="str" cm="1">
        <f t="array" ref="F103">IFERROR(_xlfn.XLOOKUP(E103,MapeoCargos!$A:$A,MapeoCargos!$B:$B,E103),E103)</f>
        <v>PRODUCCIÓN / COCINA</v>
      </c>
      <c r="G103" s="45">
        <v>43344</v>
      </c>
    </row>
    <row r="104" spans="1:7" x14ac:dyDescent="0.2">
      <c r="A104" s="27" t="s">
        <v>2210</v>
      </c>
      <c r="B104" s="34" t="s">
        <v>2078</v>
      </c>
      <c r="C104" s="34" t="s">
        <v>2211</v>
      </c>
      <c r="D104" s="34" t="s">
        <v>2212</v>
      </c>
      <c r="E104" s="35" t="s">
        <v>312</v>
      </c>
      <c r="F104" t="str" cm="1">
        <f t="array" ref="F104">IFERROR(_xlfn.XLOOKUP(E104,MapeoCargos!$A:$A,MapeoCargos!$B:$B,E104),E104)</f>
        <v>TELEOPERADOR (A) P/T</v>
      </c>
      <c r="G104" s="45">
        <v>43359</v>
      </c>
    </row>
    <row r="105" spans="1:7" x14ac:dyDescent="0.2">
      <c r="A105" s="27" t="s">
        <v>2213</v>
      </c>
      <c r="B105" s="34" t="s">
        <v>2078</v>
      </c>
      <c r="C105" s="34" t="s">
        <v>2114</v>
      </c>
      <c r="D105" s="34" t="s">
        <v>2214</v>
      </c>
      <c r="E105" s="35" t="s">
        <v>30</v>
      </c>
      <c r="F105" t="str" cm="1">
        <f t="array" ref="F105">IFERROR(_xlfn.XLOOKUP(E105,MapeoCargos!$A:$A,MapeoCargos!$B:$B,E105),E105)</f>
        <v>STAFF ADMINISTRATIVO</v>
      </c>
      <c r="G105" s="45">
        <v>43374</v>
      </c>
    </row>
    <row r="106" spans="1:7" x14ac:dyDescent="0.2">
      <c r="A106" s="27" t="s">
        <v>2215</v>
      </c>
      <c r="B106" s="34" t="s">
        <v>2078</v>
      </c>
      <c r="C106" s="34" t="s">
        <v>2079</v>
      </c>
      <c r="D106" s="34" t="s">
        <v>2216</v>
      </c>
      <c r="E106" s="35" t="s">
        <v>197</v>
      </c>
      <c r="F106" t="str" cm="1">
        <f t="array" ref="F106">IFERROR(_xlfn.XLOOKUP(E106,MapeoCargos!$A:$A,MapeoCargos!$B:$B,E106),E106)</f>
        <v>ELECTRICISTA</v>
      </c>
      <c r="G106" s="45">
        <v>43389</v>
      </c>
    </row>
    <row r="107" spans="1:7" x14ac:dyDescent="0.2">
      <c r="A107" s="27" t="s">
        <v>223</v>
      </c>
      <c r="B107" s="34" t="s">
        <v>189</v>
      </c>
      <c r="C107" s="34" t="s">
        <v>195</v>
      </c>
      <c r="D107" s="34" t="s">
        <v>224</v>
      </c>
      <c r="E107" s="35" t="s">
        <v>116</v>
      </c>
      <c r="F107" t="str" cm="1">
        <f t="array" ref="F107">IFERROR(_xlfn.XLOOKUP(E107,MapeoCargos!$A:$A,MapeoCargos!$B:$B,E107),E107)</f>
        <v>AUXILIAR DE MANTENIMIENTO</v>
      </c>
      <c r="G107" s="45">
        <v>43389</v>
      </c>
    </row>
    <row r="108" spans="1:7" x14ac:dyDescent="0.2">
      <c r="A108" s="27" t="s">
        <v>3103</v>
      </c>
      <c r="B108" s="34" t="s">
        <v>3037</v>
      </c>
      <c r="C108" s="34" t="s">
        <v>2458</v>
      </c>
      <c r="D108" s="34" t="s">
        <v>3104</v>
      </c>
      <c r="E108" s="35" t="s">
        <v>126</v>
      </c>
      <c r="F108" t="str" cm="1">
        <f t="array" ref="F108">IFERROR(_xlfn.XLOOKUP(E108,MapeoCargos!$A:$A,MapeoCargos!$B:$B,E108),E108)</f>
        <v>MOTORIZADO</v>
      </c>
      <c r="G108" s="45">
        <v>43435</v>
      </c>
    </row>
    <row r="109" spans="1:7" x14ac:dyDescent="0.2">
      <c r="A109" s="27" t="s">
        <v>2217</v>
      </c>
      <c r="B109" s="34" t="s">
        <v>2078</v>
      </c>
      <c r="C109" s="34" t="s">
        <v>626</v>
      </c>
      <c r="D109" s="34" t="s">
        <v>2218</v>
      </c>
      <c r="E109" s="35" t="s">
        <v>30</v>
      </c>
      <c r="F109" t="str" cm="1">
        <f t="array" ref="F109">IFERROR(_xlfn.XLOOKUP(E109,MapeoCargos!$A:$A,MapeoCargos!$B:$B,E109),E109)</f>
        <v>STAFF ADMINISTRATIVO</v>
      </c>
      <c r="G109" s="45">
        <v>43435</v>
      </c>
    </row>
    <row r="110" spans="1:7" x14ac:dyDescent="0.2">
      <c r="A110" s="27" t="s">
        <v>2219</v>
      </c>
      <c r="B110" s="34" t="s">
        <v>2078</v>
      </c>
      <c r="C110" s="34" t="s">
        <v>8</v>
      </c>
      <c r="D110" s="34" t="s">
        <v>2220</v>
      </c>
      <c r="E110" s="35" t="s">
        <v>222</v>
      </c>
      <c r="F110" t="str" cm="1">
        <f t="array" ref="F110">IFERROR(_xlfn.XLOOKUP(E110,MapeoCargos!$A:$A,MapeoCargos!$B:$B,E110),E110)</f>
        <v>PRODUCCIÓN / COCINA</v>
      </c>
      <c r="G110" s="45">
        <v>43450</v>
      </c>
    </row>
    <row r="111" spans="1:7" x14ac:dyDescent="0.2">
      <c r="A111" s="27" t="s">
        <v>2221</v>
      </c>
      <c r="B111" s="34" t="s">
        <v>2078</v>
      </c>
      <c r="C111" s="34" t="s">
        <v>2114</v>
      </c>
      <c r="D111" s="34" t="s">
        <v>2222</v>
      </c>
      <c r="E111" s="35" t="s">
        <v>127</v>
      </c>
      <c r="F111" t="str" cm="1">
        <f t="array" ref="F111">IFERROR(_xlfn.XLOOKUP(E111,MapeoCargos!$A:$A,MapeoCargos!$B:$B,E111),E111)</f>
        <v>AZAFATA</v>
      </c>
      <c r="G111" s="45">
        <v>43466</v>
      </c>
    </row>
    <row r="112" spans="1:7" x14ac:dyDescent="0.2">
      <c r="A112" s="27" t="s">
        <v>2223</v>
      </c>
      <c r="B112" s="34" t="s">
        <v>2078</v>
      </c>
      <c r="C112" s="34" t="s">
        <v>8</v>
      </c>
      <c r="D112" s="34" t="s">
        <v>2224</v>
      </c>
      <c r="E112" s="35" t="s">
        <v>30</v>
      </c>
      <c r="F112" t="str" cm="1">
        <f t="array" ref="F112">IFERROR(_xlfn.XLOOKUP(E112,MapeoCargos!$A:$A,MapeoCargos!$B:$B,E112),E112)</f>
        <v>STAFF ADMINISTRATIVO</v>
      </c>
      <c r="G112" s="45">
        <v>43466</v>
      </c>
    </row>
    <row r="113" spans="1:7" x14ac:dyDescent="0.2">
      <c r="A113" s="27" t="s">
        <v>3105</v>
      </c>
      <c r="B113" s="34" t="s">
        <v>3037</v>
      </c>
      <c r="C113" s="34" t="s">
        <v>3038</v>
      </c>
      <c r="D113" s="34" t="s">
        <v>3106</v>
      </c>
      <c r="E113" s="35" t="s">
        <v>193</v>
      </c>
      <c r="F113" t="str" cm="1">
        <f t="array" ref="F113">IFERROR(_xlfn.XLOOKUP(E113,MapeoCargos!$A:$A,MapeoCargos!$B:$B,E113),E113)</f>
        <v>PRODUCCIÓN / COCINA</v>
      </c>
      <c r="G113" s="45">
        <v>43481</v>
      </c>
    </row>
    <row r="114" spans="1:7" x14ac:dyDescent="0.2">
      <c r="A114" s="27" t="s">
        <v>2225</v>
      </c>
      <c r="B114" s="34" t="s">
        <v>2078</v>
      </c>
      <c r="C114" s="34" t="s">
        <v>2177</v>
      </c>
      <c r="D114" s="34" t="s">
        <v>2226</v>
      </c>
      <c r="E114" s="35" t="s">
        <v>193</v>
      </c>
      <c r="F114" t="str" cm="1">
        <f t="array" ref="F114">IFERROR(_xlfn.XLOOKUP(E114,MapeoCargos!$A:$A,MapeoCargos!$B:$B,E114),E114)</f>
        <v>PRODUCCIÓN / COCINA</v>
      </c>
      <c r="G114" s="45">
        <v>43497</v>
      </c>
    </row>
    <row r="115" spans="1:7" x14ac:dyDescent="0.2">
      <c r="A115" s="27" t="s">
        <v>3107</v>
      </c>
      <c r="B115" s="34" t="s">
        <v>3037</v>
      </c>
      <c r="C115" s="34" t="s">
        <v>16</v>
      </c>
      <c r="D115" s="34" t="s">
        <v>3108</v>
      </c>
      <c r="E115" s="35" t="s">
        <v>126</v>
      </c>
      <c r="F115" t="str" cm="1">
        <f t="array" ref="F115">IFERROR(_xlfn.XLOOKUP(E115,MapeoCargos!$A:$A,MapeoCargos!$B:$B,E115),E115)</f>
        <v>MOTORIZADO</v>
      </c>
      <c r="G115" s="45">
        <v>43497</v>
      </c>
    </row>
    <row r="116" spans="1:7" x14ac:dyDescent="0.2">
      <c r="A116" s="27" t="s">
        <v>225</v>
      </c>
      <c r="B116" s="34" t="s">
        <v>189</v>
      </c>
      <c r="C116" s="34" t="s">
        <v>19</v>
      </c>
      <c r="D116" s="34" t="s">
        <v>226</v>
      </c>
      <c r="E116" s="35" t="s">
        <v>29</v>
      </c>
      <c r="F116" t="str" cm="1">
        <f t="array" ref="F116">IFERROR(_xlfn.XLOOKUP(E116,MapeoCargos!$A:$A,MapeoCargos!$B:$B,E116),E116)</f>
        <v>MOZO</v>
      </c>
      <c r="G116" s="45">
        <v>43497</v>
      </c>
    </row>
    <row r="117" spans="1:7" x14ac:dyDescent="0.2">
      <c r="A117" s="27" t="s">
        <v>2227</v>
      </c>
      <c r="B117" s="34" t="s">
        <v>2078</v>
      </c>
      <c r="C117" s="34" t="s">
        <v>2</v>
      </c>
      <c r="D117" s="34" t="s">
        <v>2228</v>
      </c>
      <c r="E117" s="35" t="s">
        <v>193</v>
      </c>
      <c r="F117" t="str" cm="1">
        <f t="array" ref="F117">IFERROR(_xlfn.XLOOKUP(E117,MapeoCargos!$A:$A,MapeoCargos!$B:$B,E117),E117)</f>
        <v>PRODUCCIÓN / COCINA</v>
      </c>
      <c r="G117" s="45">
        <v>43497</v>
      </c>
    </row>
    <row r="118" spans="1:7" x14ac:dyDescent="0.2">
      <c r="A118" s="27" t="s">
        <v>2229</v>
      </c>
      <c r="B118" s="34" t="s">
        <v>2078</v>
      </c>
      <c r="C118" s="34" t="s">
        <v>2114</v>
      </c>
      <c r="D118" s="34" t="s">
        <v>2230</v>
      </c>
      <c r="E118" s="35" t="s">
        <v>222</v>
      </c>
      <c r="F118" t="str" cm="1">
        <f t="array" ref="F118">IFERROR(_xlfn.XLOOKUP(E118,MapeoCargos!$A:$A,MapeoCargos!$B:$B,E118),E118)</f>
        <v>PRODUCCIÓN / COCINA</v>
      </c>
      <c r="G118" s="45">
        <v>43512</v>
      </c>
    </row>
    <row r="119" spans="1:7" x14ac:dyDescent="0.2">
      <c r="A119" s="27" t="s">
        <v>227</v>
      </c>
      <c r="B119" s="34" t="s">
        <v>189</v>
      </c>
      <c r="C119" s="34" t="s">
        <v>19</v>
      </c>
      <c r="D119" s="34" t="s">
        <v>228</v>
      </c>
      <c r="E119" s="35" t="s">
        <v>193</v>
      </c>
      <c r="F119" t="str" cm="1">
        <f t="array" ref="F119">IFERROR(_xlfn.XLOOKUP(E119,MapeoCargos!$A:$A,MapeoCargos!$B:$B,E119),E119)</f>
        <v>PRODUCCIÓN / COCINA</v>
      </c>
      <c r="G119" s="45">
        <v>43512</v>
      </c>
    </row>
    <row r="120" spans="1:7" x14ac:dyDescent="0.2">
      <c r="A120" s="27" t="s">
        <v>2231</v>
      </c>
      <c r="B120" s="34" t="s">
        <v>2078</v>
      </c>
      <c r="C120" s="34" t="s">
        <v>4</v>
      </c>
      <c r="D120" s="34" t="s">
        <v>2232</v>
      </c>
      <c r="E120" s="35" t="s">
        <v>222</v>
      </c>
      <c r="F120" t="str" cm="1">
        <f t="array" ref="F120">IFERROR(_xlfn.XLOOKUP(E120,MapeoCargos!$A:$A,MapeoCargos!$B:$B,E120),E120)</f>
        <v>PRODUCCIÓN / COCINA</v>
      </c>
      <c r="G120" s="45">
        <v>43525</v>
      </c>
    </row>
    <row r="121" spans="1:7" x14ac:dyDescent="0.2">
      <c r="A121" s="27" t="s">
        <v>2233</v>
      </c>
      <c r="B121" s="34" t="s">
        <v>2078</v>
      </c>
      <c r="C121" s="34" t="s">
        <v>2082</v>
      </c>
      <c r="D121" s="34" t="s">
        <v>2234</v>
      </c>
      <c r="E121" s="35" t="s">
        <v>29</v>
      </c>
      <c r="F121" t="str" cm="1">
        <f t="array" ref="F121">IFERROR(_xlfn.XLOOKUP(E121,MapeoCargos!$A:$A,MapeoCargos!$B:$B,E121),E121)</f>
        <v>MOZO</v>
      </c>
      <c r="G121" s="45">
        <v>43525</v>
      </c>
    </row>
    <row r="122" spans="1:7" x14ac:dyDescent="0.2">
      <c r="A122" s="27" t="s">
        <v>229</v>
      </c>
      <c r="B122" s="34" t="s">
        <v>189</v>
      </c>
      <c r="C122" s="34" t="s">
        <v>17</v>
      </c>
      <c r="D122" s="34" t="s">
        <v>230</v>
      </c>
      <c r="E122" s="35" t="s">
        <v>231</v>
      </c>
      <c r="F122" t="str" cm="1">
        <f t="array" ref="F122">IFERROR(_xlfn.XLOOKUP(E122,MapeoCargos!$A:$A,MapeoCargos!$B:$B,E122),E122)</f>
        <v xml:space="preserve">CAJA </v>
      </c>
      <c r="G122" s="45">
        <v>43525</v>
      </c>
    </row>
    <row r="123" spans="1:7" x14ac:dyDescent="0.2">
      <c r="A123" s="27" t="s">
        <v>232</v>
      </c>
      <c r="B123" s="34" t="s">
        <v>189</v>
      </c>
      <c r="C123" s="34" t="s">
        <v>19</v>
      </c>
      <c r="D123" s="34" t="s">
        <v>233</v>
      </c>
      <c r="E123" s="35" t="s">
        <v>222</v>
      </c>
      <c r="F123" t="str" cm="1">
        <f t="array" ref="F123">IFERROR(_xlfn.XLOOKUP(E123,MapeoCargos!$A:$A,MapeoCargos!$B:$B,E123),E123)</f>
        <v>PRODUCCIÓN / COCINA</v>
      </c>
      <c r="G123" s="45">
        <v>43540</v>
      </c>
    </row>
    <row r="124" spans="1:7" x14ac:dyDescent="0.2">
      <c r="A124" s="27" t="s">
        <v>234</v>
      </c>
      <c r="B124" s="34" t="s">
        <v>189</v>
      </c>
      <c r="C124" s="34" t="s">
        <v>21</v>
      </c>
      <c r="D124" s="34" t="s">
        <v>235</v>
      </c>
      <c r="E124" s="35" t="s">
        <v>126</v>
      </c>
      <c r="F124" t="str" cm="1">
        <f t="array" ref="F124">IFERROR(_xlfn.XLOOKUP(E124,MapeoCargos!$A:$A,MapeoCargos!$B:$B,E124),E124)</f>
        <v>MOTORIZADO</v>
      </c>
      <c r="G124" s="45">
        <v>43556</v>
      </c>
    </row>
    <row r="125" spans="1:7" x14ac:dyDescent="0.2">
      <c r="A125" s="27" t="s">
        <v>2235</v>
      </c>
      <c r="B125" s="34" t="s">
        <v>2078</v>
      </c>
      <c r="C125" s="34" t="s">
        <v>2079</v>
      </c>
      <c r="D125" s="34" t="s">
        <v>2236</v>
      </c>
      <c r="E125" s="35" t="s">
        <v>203</v>
      </c>
      <c r="F125" t="str" cm="1">
        <f t="array" ref="F125">IFERROR(_xlfn.XLOOKUP(E125,MapeoCargos!$A:$A,MapeoCargos!$B:$B,E125),E125)</f>
        <v>SUPERVISOR DE OPERACIONES</v>
      </c>
      <c r="G125" s="45">
        <v>43571</v>
      </c>
    </row>
    <row r="126" spans="1:7" x14ac:dyDescent="0.2">
      <c r="A126" s="27" t="s">
        <v>236</v>
      </c>
      <c r="B126" s="34" t="s">
        <v>189</v>
      </c>
      <c r="C126" s="34" t="s">
        <v>21</v>
      </c>
      <c r="D126" s="34" t="s">
        <v>237</v>
      </c>
      <c r="E126" s="35" t="s">
        <v>193</v>
      </c>
      <c r="F126" t="str" cm="1">
        <f t="array" ref="F126">IFERROR(_xlfn.XLOOKUP(E126,MapeoCargos!$A:$A,MapeoCargos!$B:$B,E126),E126)</f>
        <v>PRODUCCIÓN / COCINA</v>
      </c>
      <c r="G126" s="45">
        <v>43601</v>
      </c>
    </row>
    <row r="127" spans="1:7" x14ac:dyDescent="0.2">
      <c r="A127" s="27" t="s">
        <v>2237</v>
      </c>
      <c r="B127" s="34" t="s">
        <v>2078</v>
      </c>
      <c r="C127" s="34" t="s">
        <v>2079</v>
      </c>
      <c r="D127" s="34" t="s">
        <v>2238</v>
      </c>
      <c r="E127" s="35" t="s">
        <v>200</v>
      </c>
      <c r="F127" t="str" cm="1">
        <f t="array" ref="F127">IFERROR(_xlfn.XLOOKUP(E127,MapeoCargos!$A:$A,MapeoCargos!$B:$B,E127),E127)</f>
        <v>SEGURIDAD</v>
      </c>
      <c r="G127" s="45">
        <v>43617</v>
      </c>
    </row>
    <row r="128" spans="1:7" x14ac:dyDescent="0.2">
      <c r="A128" s="27" t="s">
        <v>2239</v>
      </c>
      <c r="B128" s="34" t="s">
        <v>2078</v>
      </c>
      <c r="C128" s="34" t="s">
        <v>2079</v>
      </c>
      <c r="D128" s="34" t="s">
        <v>2240</v>
      </c>
      <c r="E128" s="35" t="s">
        <v>2241</v>
      </c>
      <c r="F128" t="str" cm="1">
        <f t="array" ref="F128">IFERROR(_xlfn.XLOOKUP(E128,MapeoCargos!$A:$A,MapeoCargos!$B:$B,E128),E128)</f>
        <v>ASISTENTE DE RRHH</v>
      </c>
      <c r="G128" s="45">
        <v>43632</v>
      </c>
    </row>
    <row r="129" spans="1:7" x14ac:dyDescent="0.2">
      <c r="A129" s="27" t="s">
        <v>238</v>
      </c>
      <c r="B129" s="34" t="s">
        <v>189</v>
      </c>
      <c r="C129" s="34" t="s">
        <v>195</v>
      </c>
      <c r="D129" s="34" t="s">
        <v>239</v>
      </c>
      <c r="E129" s="35" t="s">
        <v>200</v>
      </c>
      <c r="F129" t="str" cm="1">
        <f t="array" ref="F129">IFERROR(_xlfn.XLOOKUP(E129,MapeoCargos!$A:$A,MapeoCargos!$B:$B,E129),E129)</f>
        <v>SEGURIDAD</v>
      </c>
      <c r="G129" s="45">
        <v>43632</v>
      </c>
    </row>
    <row r="130" spans="1:7" x14ac:dyDescent="0.2">
      <c r="A130" s="27" t="s">
        <v>2242</v>
      </c>
      <c r="B130" s="34" t="s">
        <v>2078</v>
      </c>
      <c r="C130" s="34" t="s">
        <v>4</v>
      </c>
      <c r="D130" s="34" t="s">
        <v>2243</v>
      </c>
      <c r="E130" s="35" t="s">
        <v>29</v>
      </c>
      <c r="F130" t="str" cm="1">
        <f t="array" ref="F130">IFERROR(_xlfn.XLOOKUP(E130,MapeoCargos!$A:$A,MapeoCargos!$B:$B,E130),E130)</f>
        <v>MOZO</v>
      </c>
      <c r="G130" s="45">
        <v>43632</v>
      </c>
    </row>
    <row r="131" spans="1:7" x14ac:dyDescent="0.2">
      <c r="A131" s="27" t="s">
        <v>240</v>
      </c>
      <c r="B131" s="34" t="s">
        <v>189</v>
      </c>
      <c r="C131" s="34" t="s">
        <v>20</v>
      </c>
      <c r="D131" s="34" t="s">
        <v>241</v>
      </c>
      <c r="E131" s="35" t="s">
        <v>30</v>
      </c>
      <c r="F131" t="str" cm="1">
        <f t="array" ref="F131">IFERROR(_xlfn.XLOOKUP(E131,MapeoCargos!$A:$A,MapeoCargos!$B:$B,E131),E131)</f>
        <v>STAFF ADMINISTRATIVO</v>
      </c>
      <c r="G131" s="45">
        <v>43657</v>
      </c>
    </row>
    <row r="132" spans="1:7" x14ac:dyDescent="0.2">
      <c r="A132" s="27" t="s">
        <v>3109</v>
      </c>
      <c r="B132" s="34" t="s">
        <v>3037</v>
      </c>
      <c r="C132" s="34" t="s">
        <v>2458</v>
      </c>
      <c r="D132" s="34" t="s">
        <v>3110</v>
      </c>
      <c r="E132" s="35" t="s">
        <v>30</v>
      </c>
      <c r="F132" t="str" cm="1">
        <f t="array" ref="F132">IFERROR(_xlfn.XLOOKUP(E132,MapeoCargos!$A:$A,MapeoCargos!$B:$B,E132),E132)</f>
        <v>STAFF ADMINISTRATIVO</v>
      </c>
      <c r="G132" s="45">
        <v>43678</v>
      </c>
    </row>
    <row r="133" spans="1:7" x14ac:dyDescent="0.2">
      <c r="A133" s="27" t="s">
        <v>3111</v>
      </c>
      <c r="B133" s="34" t="s">
        <v>3037</v>
      </c>
      <c r="C133" s="34" t="s">
        <v>16</v>
      </c>
      <c r="D133" s="34" t="s">
        <v>3112</v>
      </c>
      <c r="E133" s="35" t="s">
        <v>222</v>
      </c>
      <c r="F133" t="str" cm="1">
        <f t="array" ref="F133">IFERROR(_xlfn.XLOOKUP(E133,MapeoCargos!$A:$A,MapeoCargos!$B:$B,E133),E133)</f>
        <v>PRODUCCIÓN / COCINA</v>
      </c>
      <c r="G133" s="45">
        <v>43693</v>
      </c>
    </row>
    <row r="134" spans="1:7" x14ac:dyDescent="0.2">
      <c r="A134" s="27" t="s">
        <v>2244</v>
      </c>
      <c r="B134" s="34" t="s">
        <v>2078</v>
      </c>
      <c r="C134" s="34" t="s">
        <v>10</v>
      </c>
      <c r="D134" s="34" t="s">
        <v>2245</v>
      </c>
      <c r="E134" s="35" t="s">
        <v>200</v>
      </c>
      <c r="F134" t="str" cm="1">
        <f t="array" ref="F134">IFERROR(_xlfn.XLOOKUP(E134,MapeoCargos!$A:$A,MapeoCargos!$B:$B,E134),E134)</f>
        <v>SEGURIDAD</v>
      </c>
      <c r="G134" s="45">
        <v>43709</v>
      </c>
    </row>
    <row r="135" spans="1:7" x14ac:dyDescent="0.2">
      <c r="A135" s="27" t="s">
        <v>3113</v>
      </c>
      <c r="B135" s="34" t="s">
        <v>3037</v>
      </c>
      <c r="C135" s="34" t="s">
        <v>518</v>
      </c>
      <c r="D135" s="34" t="s">
        <v>3114</v>
      </c>
      <c r="E135" s="35" t="s">
        <v>83</v>
      </c>
      <c r="F135" t="str" cm="1">
        <f t="array" ref="F135">IFERROR(_xlfn.XLOOKUP(E135,MapeoCargos!$A:$A,MapeoCargos!$B:$B,E135),E135)</f>
        <v>PRODUCCIÓN / COCINA</v>
      </c>
      <c r="G135" s="45">
        <v>43724</v>
      </c>
    </row>
    <row r="136" spans="1:7" x14ac:dyDescent="0.2">
      <c r="A136" s="27" t="s">
        <v>2246</v>
      </c>
      <c r="B136" s="34" t="s">
        <v>2078</v>
      </c>
      <c r="C136" s="34" t="s">
        <v>2</v>
      </c>
      <c r="D136" s="34" t="s">
        <v>2247</v>
      </c>
      <c r="E136" s="35" t="s">
        <v>83</v>
      </c>
      <c r="F136" t="str" cm="1">
        <f t="array" ref="F136">IFERROR(_xlfn.XLOOKUP(E136,MapeoCargos!$A:$A,MapeoCargos!$B:$B,E136),E136)</f>
        <v>PRODUCCIÓN / COCINA</v>
      </c>
      <c r="G136" s="45">
        <v>43724</v>
      </c>
    </row>
    <row r="137" spans="1:7" x14ac:dyDescent="0.2">
      <c r="A137" s="27" t="s">
        <v>2248</v>
      </c>
      <c r="B137" s="34" t="s">
        <v>2078</v>
      </c>
      <c r="C137" s="34" t="s">
        <v>4</v>
      </c>
      <c r="D137" s="34" t="s">
        <v>2249</v>
      </c>
      <c r="E137" s="35" t="s">
        <v>222</v>
      </c>
      <c r="F137" t="str" cm="1">
        <f t="array" ref="F137">IFERROR(_xlfn.XLOOKUP(E137,MapeoCargos!$A:$A,MapeoCargos!$B:$B,E137),E137)</f>
        <v>PRODUCCIÓN / COCINA</v>
      </c>
      <c r="G137" s="45">
        <v>43726</v>
      </c>
    </row>
    <row r="138" spans="1:7" x14ac:dyDescent="0.2">
      <c r="A138" s="27" t="s">
        <v>3115</v>
      </c>
      <c r="B138" s="34" t="s">
        <v>3037</v>
      </c>
      <c r="C138" s="34" t="s">
        <v>3038</v>
      </c>
      <c r="D138" s="34" t="s">
        <v>3116</v>
      </c>
      <c r="E138" s="35" t="s">
        <v>1384</v>
      </c>
      <c r="F138" t="str" cm="1">
        <f t="array" ref="F138">IFERROR(_xlfn.XLOOKUP(E138,MapeoCargos!$A:$A,MapeoCargos!$B:$B,E138),E138)</f>
        <v>GERENTE DE OPERACIONES</v>
      </c>
      <c r="G138" s="45">
        <v>43739</v>
      </c>
    </row>
    <row r="139" spans="1:7" x14ac:dyDescent="0.2">
      <c r="A139" s="27" t="s">
        <v>2250</v>
      </c>
      <c r="B139" s="34" t="s">
        <v>2078</v>
      </c>
      <c r="C139" s="34" t="s">
        <v>2</v>
      </c>
      <c r="D139" s="34" t="s">
        <v>2251</v>
      </c>
      <c r="E139" s="35" t="s">
        <v>126</v>
      </c>
      <c r="F139" t="str" cm="1">
        <f t="array" ref="F139">IFERROR(_xlfn.XLOOKUP(E139,MapeoCargos!$A:$A,MapeoCargos!$B:$B,E139),E139)</f>
        <v>MOTORIZADO</v>
      </c>
      <c r="G139" s="45">
        <v>43739</v>
      </c>
    </row>
    <row r="140" spans="1:7" x14ac:dyDescent="0.2">
      <c r="A140" s="27" t="s">
        <v>2252</v>
      </c>
      <c r="B140" s="34" t="s">
        <v>2078</v>
      </c>
      <c r="C140" s="34" t="s">
        <v>5</v>
      </c>
      <c r="D140" s="34" t="s">
        <v>2253</v>
      </c>
      <c r="E140" s="35" t="s">
        <v>200</v>
      </c>
      <c r="F140" t="str" cm="1">
        <f t="array" ref="F140">IFERROR(_xlfn.XLOOKUP(E140,MapeoCargos!$A:$A,MapeoCargos!$B:$B,E140),E140)</f>
        <v>SEGURIDAD</v>
      </c>
      <c r="G140" s="45">
        <v>43770</v>
      </c>
    </row>
    <row r="141" spans="1:7" x14ac:dyDescent="0.2">
      <c r="A141" s="27" t="s">
        <v>242</v>
      </c>
      <c r="B141" s="34" t="s">
        <v>189</v>
      </c>
      <c r="C141" s="34" t="s">
        <v>19</v>
      </c>
      <c r="D141" s="34" t="s">
        <v>243</v>
      </c>
      <c r="E141" s="35" t="s">
        <v>126</v>
      </c>
      <c r="F141" t="str" cm="1">
        <f t="array" ref="F141">IFERROR(_xlfn.XLOOKUP(E141,MapeoCargos!$A:$A,MapeoCargos!$B:$B,E141),E141)</f>
        <v>MOTORIZADO</v>
      </c>
      <c r="G141" s="45">
        <v>43785</v>
      </c>
    </row>
    <row r="142" spans="1:7" x14ac:dyDescent="0.2">
      <c r="A142" s="27" t="s">
        <v>3117</v>
      </c>
      <c r="B142" s="34" t="s">
        <v>3037</v>
      </c>
      <c r="C142" s="34" t="s">
        <v>5</v>
      </c>
      <c r="D142" s="34" t="s">
        <v>3118</v>
      </c>
      <c r="E142" s="35" t="s">
        <v>30</v>
      </c>
      <c r="F142" t="str" cm="1">
        <f t="array" ref="F142">IFERROR(_xlfn.XLOOKUP(E142,MapeoCargos!$A:$A,MapeoCargos!$B:$B,E142),E142)</f>
        <v>STAFF ADMINISTRATIVO</v>
      </c>
      <c r="G142" s="45">
        <v>43794</v>
      </c>
    </row>
    <row r="143" spans="1:7" x14ac:dyDescent="0.2">
      <c r="A143" s="27" t="s">
        <v>2254</v>
      </c>
      <c r="B143" s="34" t="s">
        <v>2078</v>
      </c>
      <c r="C143" s="34" t="s">
        <v>2079</v>
      </c>
      <c r="D143" s="34" t="s">
        <v>2255</v>
      </c>
      <c r="E143" s="35" t="s">
        <v>305</v>
      </c>
      <c r="F143" t="str" cm="1">
        <f t="array" ref="F143">IFERROR(_xlfn.XLOOKUP(E143,MapeoCargos!$A:$A,MapeoCargos!$B:$B,E143),E143)</f>
        <v>LIMPIEZA / MANTENIMIENTO</v>
      </c>
      <c r="G143" s="45">
        <v>43794</v>
      </c>
    </row>
    <row r="144" spans="1:7" x14ac:dyDescent="0.2">
      <c r="A144" s="27" t="s">
        <v>3119</v>
      </c>
      <c r="B144" s="34" t="s">
        <v>3037</v>
      </c>
      <c r="C144" s="34" t="s">
        <v>14</v>
      </c>
      <c r="D144" s="34" t="s">
        <v>3120</v>
      </c>
      <c r="E144" s="35" t="s">
        <v>83</v>
      </c>
      <c r="F144" t="str" cm="1">
        <f t="array" ref="F144">IFERROR(_xlfn.XLOOKUP(E144,MapeoCargos!$A:$A,MapeoCargos!$B:$B,E144),E144)</f>
        <v>PRODUCCIÓN / COCINA</v>
      </c>
      <c r="G144" s="45">
        <v>43815</v>
      </c>
    </row>
    <row r="145" spans="1:7" x14ac:dyDescent="0.2">
      <c r="A145" s="27" t="s">
        <v>2256</v>
      </c>
      <c r="B145" s="34" t="s">
        <v>2078</v>
      </c>
      <c r="C145" s="34" t="s">
        <v>2114</v>
      </c>
      <c r="D145" s="34" t="s">
        <v>2257</v>
      </c>
      <c r="E145" s="35" t="s">
        <v>83</v>
      </c>
      <c r="F145" t="str" cm="1">
        <f t="array" ref="F145">IFERROR(_xlfn.XLOOKUP(E145,MapeoCargos!$A:$A,MapeoCargos!$B:$B,E145),E145)</f>
        <v>PRODUCCIÓN / COCINA</v>
      </c>
      <c r="G145" s="45">
        <v>43831</v>
      </c>
    </row>
    <row r="146" spans="1:7" x14ac:dyDescent="0.2">
      <c r="A146" s="27" t="s">
        <v>2258</v>
      </c>
      <c r="B146" s="34" t="s">
        <v>2078</v>
      </c>
      <c r="C146" s="34" t="s">
        <v>2211</v>
      </c>
      <c r="D146" s="34" t="s">
        <v>2259</v>
      </c>
      <c r="E146" s="35" t="s">
        <v>30</v>
      </c>
      <c r="F146" t="str" cm="1">
        <f t="array" ref="F146">IFERROR(_xlfn.XLOOKUP(E146,MapeoCargos!$A:$A,MapeoCargos!$B:$B,E146),E146)</f>
        <v>STAFF ADMINISTRATIVO</v>
      </c>
      <c r="G146" s="45">
        <v>43831</v>
      </c>
    </row>
    <row r="147" spans="1:7" x14ac:dyDescent="0.2">
      <c r="A147" s="27" t="s">
        <v>3121</v>
      </c>
      <c r="B147" s="34" t="s">
        <v>3037</v>
      </c>
      <c r="C147" s="34" t="s">
        <v>16</v>
      </c>
      <c r="D147" s="34" t="s">
        <v>3122</v>
      </c>
      <c r="E147" s="35" t="s">
        <v>305</v>
      </c>
      <c r="F147" t="str" cm="1">
        <f t="array" ref="F147">IFERROR(_xlfn.XLOOKUP(E147,MapeoCargos!$A:$A,MapeoCargos!$B:$B,E147),E147)</f>
        <v>LIMPIEZA / MANTENIMIENTO</v>
      </c>
      <c r="G147" s="45">
        <v>43862</v>
      </c>
    </row>
    <row r="148" spans="1:7" x14ac:dyDescent="0.2">
      <c r="A148" s="27" t="s">
        <v>2260</v>
      </c>
      <c r="B148" s="34" t="s">
        <v>2078</v>
      </c>
      <c r="C148" s="34" t="s">
        <v>2</v>
      </c>
      <c r="D148" s="34" t="s">
        <v>2261</v>
      </c>
      <c r="E148" s="35" t="s">
        <v>126</v>
      </c>
      <c r="F148" t="str" cm="1">
        <f t="array" ref="F148">IFERROR(_xlfn.XLOOKUP(E148,MapeoCargos!$A:$A,MapeoCargos!$B:$B,E148),E148)</f>
        <v>MOTORIZADO</v>
      </c>
      <c r="G148" s="45">
        <v>43877</v>
      </c>
    </row>
    <row r="149" spans="1:7" x14ac:dyDescent="0.2">
      <c r="A149" s="27" t="s">
        <v>2262</v>
      </c>
      <c r="B149" s="34" t="s">
        <v>2078</v>
      </c>
      <c r="C149" s="34" t="s">
        <v>8</v>
      </c>
      <c r="D149" s="34" t="s">
        <v>2263</v>
      </c>
      <c r="E149" s="35" t="s">
        <v>30</v>
      </c>
      <c r="F149" t="str" cm="1">
        <f t="array" ref="F149">IFERROR(_xlfn.XLOOKUP(E149,MapeoCargos!$A:$A,MapeoCargos!$B:$B,E149),E149)</f>
        <v>STAFF ADMINISTRATIVO</v>
      </c>
      <c r="G149" s="45">
        <v>43894</v>
      </c>
    </row>
    <row r="150" spans="1:7" x14ac:dyDescent="0.2">
      <c r="A150" s="27" t="s">
        <v>244</v>
      </c>
      <c r="B150" s="34" t="s">
        <v>189</v>
      </c>
      <c r="C150" s="34" t="s">
        <v>19</v>
      </c>
      <c r="D150" s="34" t="s">
        <v>245</v>
      </c>
      <c r="E150" s="35" t="s">
        <v>29</v>
      </c>
      <c r="F150" t="str" cm="1">
        <f t="array" ref="F150">IFERROR(_xlfn.XLOOKUP(E150,MapeoCargos!$A:$A,MapeoCargos!$B:$B,E150),E150)</f>
        <v>MOZO</v>
      </c>
      <c r="G150" s="45">
        <v>43899</v>
      </c>
    </row>
    <row r="151" spans="1:7" x14ac:dyDescent="0.2">
      <c r="A151" s="27" t="s">
        <v>246</v>
      </c>
      <c r="B151" s="34" t="s">
        <v>189</v>
      </c>
      <c r="C151" s="34" t="s">
        <v>20</v>
      </c>
      <c r="D151" s="34" t="s">
        <v>247</v>
      </c>
      <c r="E151" s="35" t="s">
        <v>83</v>
      </c>
      <c r="F151" t="str" cm="1">
        <f t="array" ref="F151">IFERROR(_xlfn.XLOOKUP(E151,MapeoCargos!$A:$A,MapeoCargos!$B:$B,E151),E151)</f>
        <v>PRODUCCIÓN / COCINA</v>
      </c>
      <c r="G151" s="45">
        <v>43983</v>
      </c>
    </row>
    <row r="152" spans="1:7" x14ac:dyDescent="0.2">
      <c r="A152" s="27" t="s">
        <v>248</v>
      </c>
      <c r="B152" s="34" t="s">
        <v>189</v>
      </c>
      <c r="C152" s="34" t="s">
        <v>21</v>
      </c>
      <c r="D152" s="34" t="s">
        <v>249</v>
      </c>
      <c r="E152" s="35" t="s">
        <v>30</v>
      </c>
      <c r="F152" t="str" cm="1">
        <f t="array" ref="F152">IFERROR(_xlfn.XLOOKUP(E152,MapeoCargos!$A:$A,MapeoCargos!$B:$B,E152),E152)</f>
        <v>STAFF ADMINISTRATIVO</v>
      </c>
      <c r="G152" s="45">
        <v>43983</v>
      </c>
    </row>
    <row r="153" spans="1:7" x14ac:dyDescent="0.2">
      <c r="A153" s="27" t="s">
        <v>250</v>
      </c>
      <c r="B153" s="34" t="s">
        <v>189</v>
      </c>
      <c r="C153" s="34" t="s">
        <v>21</v>
      </c>
      <c r="D153" s="34" t="s">
        <v>251</v>
      </c>
      <c r="E153" s="35" t="s">
        <v>30</v>
      </c>
      <c r="F153" t="str" cm="1">
        <f t="array" ref="F153">IFERROR(_xlfn.XLOOKUP(E153,MapeoCargos!$A:$A,MapeoCargos!$B:$B,E153),E153)</f>
        <v>STAFF ADMINISTRATIVO</v>
      </c>
      <c r="G153" s="45">
        <v>43983</v>
      </c>
    </row>
    <row r="154" spans="1:7" x14ac:dyDescent="0.2">
      <c r="A154" s="27" t="s">
        <v>3123</v>
      </c>
      <c r="B154" s="34" t="s">
        <v>3037</v>
      </c>
      <c r="C154" s="34" t="s">
        <v>3038</v>
      </c>
      <c r="D154" s="34" t="s">
        <v>3124</v>
      </c>
      <c r="E154" s="35" t="s">
        <v>2029</v>
      </c>
      <c r="F154" t="str" cm="1">
        <f t="array" ref="F154">IFERROR(_xlfn.XLOOKUP(E154,MapeoCargos!$A:$A,MapeoCargos!$B:$B,E154),E154)</f>
        <v>ANALISTA DE OPERACIONES</v>
      </c>
      <c r="G154" s="45">
        <v>44032</v>
      </c>
    </row>
    <row r="155" spans="1:7" x14ac:dyDescent="0.2">
      <c r="A155" s="27" t="s">
        <v>3125</v>
      </c>
      <c r="B155" s="34" t="s">
        <v>3037</v>
      </c>
      <c r="C155" s="34" t="s">
        <v>16</v>
      </c>
      <c r="D155" s="34" t="s">
        <v>3126</v>
      </c>
      <c r="E155" s="35" t="s">
        <v>365</v>
      </c>
      <c r="F155" t="str" cm="1">
        <f t="array" ref="F155">IFERROR(_xlfn.XLOOKUP(E155,MapeoCargos!$A:$A,MapeoCargos!$B:$B,E155),E155)</f>
        <v xml:space="preserve">BARTENDER </v>
      </c>
      <c r="G155" s="45">
        <v>44044</v>
      </c>
    </row>
    <row r="156" spans="1:7" x14ac:dyDescent="0.2">
      <c r="A156" s="27" t="s">
        <v>252</v>
      </c>
      <c r="B156" s="34" t="s">
        <v>189</v>
      </c>
      <c r="C156" s="34" t="s">
        <v>195</v>
      </c>
      <c r="D156" s="34" t="s">
        <v>253</v>
      </c>
      <c r="E156" s="35" t="s">
        <v>254</v>
      </c>
      <c r="F156" t="str" cm="1">
        <f t="array" ref="F156">IFERROR(_xlfn.XLOOKUP(E156,MapeoCargos!$A:$A,MapeoCargos!$B:$B,E156),E156)</f>
        <v>ASISTENTE ADMINISTRATIVO TI</v>
      </c>
      <c r="G156" s="45">
        <v>44105</v>
      </c>
    </row>
    <row r="157" spans="1:7" x14ac:dyDescent="0.2">
      <c r="A157" s="27" t="s">
        <v>2264</v>
      </c>
      <c r="B157" s="34" t="s">
        <v>2078</v>
      </c>
      <c r="C157" s="34" t="s">
        <v>2114</v>
      </c>
      <c r="D157" s="34" t="s">
        <v>2265</v>
      </c>
      <c r="E157" s="35" t="s">
        <v>83</v>
      </c>
      <c r="F157" t="str" cm="1">
        <f t="array" ref="F157">IFERROR(_xlfn.XLOOKUP(E157,MapeoCargos!$A:$A,MapeoCargos!$B:$B,E157),E157)</f>
        <v>PRODUCCIÓN / COCINA</v>
      </c>
      <c r="G157" s="45">
        <v>44136</v>
      </c>
    </row>
    <row r="158" spans="1:7" x14ac:dyDescent="0.2">
      <c r="A158" s="27" t="s">
        <v>3127</v>
      </c>
      <c r="B158" s="34" t="s">
        <v>3037</v>
      </c>
      <c r="C158" s="34" t="s">
        <v>16</v>
      </c>
      <c r="D158" s="34" t="s">
        <v>3128</v>
      </c>
      <c r="E158" s="35" t="s">
        <v>30</v>
      </c>
      <c r="F158" t="str" cm="1">
        <f t="array" ref="F158">IFERROR(_xlfn.XLOOKUP(E158,MapeoCargos!$A:$A,MapeoCargos!$B:$B,E158),E158)</f>
        <v>STAFF ADMINISTRATIVO</v>
      </c>
      <c r="G158" s="45">
        <v>44136</v>
      </c>
    </row>
    <row r="159" spans="1:7" x14ac:dyDescent="0.2">
      <c r="A159" s="27" t="s">
        <v>255</v>
      </c>
      <c r="B159" s="34" t="s">
        <v>189</v>
      </c>
      <c r="C159" s="34" t="s">
        <v>195</v>
      </c>
      <c r="D159" s="34" t="s">
        <v>256</v>
      </c>
      <c r="E159" s="35" t="s">
        <v>203</v>
      </c>
      <c r="F159" t="str" cm="1">
        <f t="array" ref="F159">IFERROR(_xlfn.XLOOKUP(E159,MapeoCargos!$A:$A,MapeoCargos!$B:$B,E159),E159)</f>
        <v>SUPERVISOR DE OPERACIONES</v>
      </c>
      <c r="G159" s="45">
        <v>44136</v>
      </c>
    </row>
    <row r="160" spans="1:7" x14ac:dyDescent="0.2">
      <c r="A160" s="27" t="s">
        <v>257</v>
      </c>
      <c r="B160" s="34" t="s">
        <v>189</v>
      </c>
      <c r="C160" s="34" t="s">
        <v>21</v>
      </c>
      <c r="D160" s="34" t="s">
        <v>258</v>
      </c>
      <c r="E160" s="35" t="s">
        <v>29</v>
      </c>
      <c r="F160" t="str" cm="1">
        <f t="array" ref="F160">IFERROR(_xlfn.XLOOKUP(E160,MapeoCargos!$A:$A,MapeoCargos!$B:$B,E160),E160)</f>
        <v>MOZO</v>
      </c>
      <c r="G160" s="45">
        <v>44136</v>
      </c>
    </row>
    <row r="161" spans="1:7" x14ac:dyDescent="0.2">
      <c r="A161" s="27" t="s">
        <v>3129</v>
      </c>
      <c r="B161" s="34" t="s">
        <v>3037</v>
      </c>
      <c r="C161" s="34" t="s">
        <v>8</v>
      </c>
      <c r="D161" s="34" t="s">
        <v>3130</v>
      </c>
      <c r="E161" s="35" t="s">
        <v>29</v>
      </c>
      <c r="F161" t="str" cm="1">
        <f t="array" ref="F161">IFERROR(_xlfn.XLOOKUP(E161,MapeoCargos!$A:$A,MapeoCargos!$B:$B,E161),E161)</f>
        <v>MOZO</v>
      </c>
      <c r="G161" s="45">
        <v>44158</v>
      </c>
    </row>
    <row r="162" spans="1:7" x14ac:dyDescent="0.2">
      <c r="A162" s="27" t="s">
        <v>2266</v>
      </c>
      <c r="B162" s="34" t="s">
        <v>2078</v>
      </c>
      <c r="C162" s="34" t="s">
        <v>8</v>
      </c>
      <c r="D162" s="34" t="s">
        <v>2267</v>
      </c>
      <c r="E162" s="35" t="s">
        <v>365</v>
      </c>
      <c r="F162" t="str" cm="1">
        <f t="array" ref="F162">IFERROR(_xlfn.XLOOKUP(E162,MapeoCargos!$A:$A,MapeoCargos!$B:$B,E162),E162)</f>
        <v xml:space="preserve">BARTENDER </v>
      </c>
      <c r="G162" s="45">
        <v>44166</v>
      </c>
    </row>
    <row r="163" spans="1:7" x14ac:dyDescent="0.2">
      <c r="A163" s="27" t="s">
        <v>3131</v>
      </c>
      <c r="B163" s="34" t="s">
        <v>3037</v>
      </c>
      <c r="C163" s="34" t="s">
        <v>3038</v>
      </c>
      <c r="D163" s="34" t="s">
        <v>3132</v>
      </c>
      <c r="E163" s="35" t="s">
        <v>222</v>
      </c>
      <c r="F163" t="str" cm="1">
        <f t="array" ref="F163">IFERROR(_xlfn.XLOOKUP(E163,MapeoCargos!$A:$A,MapeoCargos!$B:$B,E163),E163)</f>
        <v>PRODUCCIÓN / COCINA</v>
      </c>
      <c r="G163" s="45">
        <v>44173</v>
      </c>
    </row>
    <row r="164" spans="1:7" x14ac:dyDescent="0.2">
      <c r="A164" s="27" t="s">
        <v>261</v>
      </c>
      <c r="B164" s="34" t="s">
        <v>189</v>
      </c>
      <c r="C164" s="34" t="s">
        <v>21</v>
      </c>
      <c r="D164" s="34" t="s">
        <v>262</v>
      </c>
      <c r="E164" s="35" t="s">
        <v>29</v>
      </c>
      <c r="F164" t="str" cm="1">
        <f t="array" ref="F164">IFERROR(_xlfn.XLOOKUP(E164,MapeoCargos!$A:$A,MapeoCargos!$B:$B,E164),E164)</f>
        <v>MOZO</v>
      </c>
      <c r="G164" s="45">
        <v>44175</v>
      </c>
    </row>
    <row r="165" spans="1:7" x14ac:dyDescent="0.2">
      <c r="A165" s="27" t="s">
        <v>3133</v>
      </c>
      <c r="B165" s="34" t="s">
        <v>3037</v>
      </c>
      <c r="C165" s="34" t="s">
        <v>16</v>
      </c>
      <c r="D165" s="34" t="s">
        <v>3134</v>
      </c>
      <c r="E165" s="35" t="s">
        <v>222</v>
      </c>
      <c r="F165" t="str" cm="1">
        <f t="array" ref="F165">IFERROR(_xlfn.XLOOKUP(E165,MapeoCargos!$A:$A,MapeoCargos!$B:$B,E165),E165)</f>
        <v>PRODUCCIÓN / COCINA</v>
      </c>
      <c r="G165" s="45">
        <v>44181</v>
      </c>
    </row>
    <row r="166" spans="1:7" x14ac:dyDescent="0.2">
      <c r="A166" s="27" t="s">
        <v>2268</v>
      </c>
      <c r="B166" s="34" t="s">
        <v>2078</v>
      </c>
      <c r="C166" s="34" t="s">
        <v>8</v>
      </c>
      <c r="D166" s="34" t="s">
        <v>2269</v>
      </c>
      <c r="E166" s="35" t="s">
        <v>126</v>
      </c>
      <c r="F166" t="str" cm="1">
        <f t="array" ref="F166">IFERROR(_xlfn.XLOOKUP(E166,MapeoCargos!$A:$A,MapeoCargos!$B:$B,E166),E166)</f>
        <v>MOTORIZADO</v>
      </c>
      <c r="G166" s="45">
        <v>44181</v>
      </c>
    </row>
    <row r="167" spans="1:7" x14ac:dyDescent="0.2">
      <c r="A167" s="27" t="s">
        <v>263</v>
      </c>
      <c r="B167" s="34" t="s">
        <v>189</v>
      </c>
      <c r="C167" s="34" t="s">
        <v>19</v>
      </c>
      <c r="D167" s="34" t="s">
        <v>264</v>
      </c>
      <c r="E167" s="35" t="s">
        <v>29</v>
      </c>
      <c r="F167" t="str" cm="1">
        <f t="array" ref="F167">IFERROR(_xlfn.XLOOKUP(E167,MapeoCargos!$A:$A,MapeoCargos!$B:$B,E167),E167)</f>
        <v>MOZO</v>
      </c>
      <c r="G167" s="45">
        <v>44182</v>
      </c>
    </row>
    <row r="168" spans="1:7" x14ac:dyDescent="0.2">
      <c r="A168" s="27" t="s">
        <v>2270</v>
      </c>
      <c r="B168" s="34" t="s">
        <v>2078</v>
      </c>
      <c r="C168" s="34" t="s">
        <v>10</v>
      </c>
      <c r="D168" s="34" t="s">
        <v>2271</v>
      </c>
      <c r="E168" s="35" t="s">
        <v>30</v>
      </c>
      <c r="F168" t="str" cm="1">
        <f t="array" ref="F168">IFERROR(_xlfn.XLOOKUP(E168,MapeoCargos!$A:$A,MapeoCargos!$B:$B,E168),E168)</f>
        <v>STAFF ADMINISTRATIVO</v>
      </c>
      <c r="G168" s="45">
        <v>44197</v>
      </c>
    </row>
    <row r="169" spans="1:7" x14ac:dyDescent="0.2">
      <c r="A169" s="27" t="s">
        <v>2272</v>
      </c>
      <c r="B169" s="34" t="s">
        <v>2078</v>
      </c>
      <c r="C169" s="34" t="s">
        <v>2114</v>
      </c>
      <c r="D169" s="34" t="s">
        <v>2273</v>
      </c>
      <c r="E169" s="35" t="s">
        <v>222</v>
      </c>
      <c r="F169" t="str" cm="1">
        <f t="array" ref="F169">IFERROR(_xlfn.XLOOKUP(E169,MapeoCargos!$A:$A,MapeoCargos!$B:$B,E169),E169)</f>
        <v>PRODUCCIÓN / COCINA</v>
      </c>
      <c r="G169" s="45">
        <v>44200</v>
      </c>
    </row>
    <row r="170" spans="1:7" x14ac:dyDescent="0.2">
      <c r="A170" s="27" t="s">
        <v>265</v>
      </c>
      <c r="B170" s="34" t="s">
        <v>189</v>
      </c>
      <c r="C170" s="34" t="s">
        <v>195</v>
      </c>
      <c r="D170" s="34" t="s">
        <v>266</v>
      </c>
      <c r="E170" s="35" t="s">
        <v>267</v>
      </c>
      <c r="F170" t="str" cm="1">
        <f t="array" ref="F170">IFERROR(_xlfn.XLOOKUP(E170,MapeoCargos!$A:$A,MapeoCargos!$B:$B,E170),E170)</f>
        <v>COORDINADORA DE PLANILLA</v>
      </c>
      <c r="G170" s="45">
        <v>44228</v>
      </c>
    </row>
    <row r="171" spans="1:7" x14ac:dyDescent="0.2">
      <c r="A171" s="27" t="s">
        <v>268</v>
      </c>
      <c r="B171" s="34" t="s">
        <v>189</v>
      </c>
      <c r="C171" s="34" t="s">
        <v>205</v>
      </c>
      <c r="D171" s="34" t="s">
        <v>269</v>
      </c>
      <c r="E171" s="35" t="s">
        <v>30</v>
      </c>
      <c r="F171" t="str" cm="1">
        <f t="array" ref="F171">IFERROR(_xlfn.XLOOKUP(E171,MapeoCargos!$A:$A,MapeoCargos!$B:$B,E171),E171)</f>
        <v>STAFF ADMINISTRATIVO</v>
      </c>
      <c r="G171" s="45">
        <v>44256</v>
      </c>
    </row>
    <row r="172" spans="1:7" x14ac:dyDescent="0.2">
      <c r="A172" s="27" t="s">
        <v>2274</v>
      </c>
      <c r="B172" s="34" t="s">
        <v>2078</v>
      </c>
      <c r="C172" s="34" t="s">
        <v>2079</v>
      </c>
      <c r="D172" s="34" t="s">
        <v>2275</v>
      </c>
      <c r="E172" s="35" t="s">
        <v>2276</v>
      </c>
      <c r="F172" t="str" cm="1">
        <f t="array" ref="F172">IFERROR(_xlfn.XLOOKUP(E172,MapeoCargos!$A:$A,MapeoCargos!$B:$B,E172),E172)</f>
        <v>COORDINADOR DE COMUNICACIÓN INTERNA, CLIMA Y CULTURA</v>
      </c>
      <c r="G172" s="45">
        <v>44287</v>
      </c>
    </row>
    <row r="173" spans="1:7" x14ac:dyDescent="0.2">
      <c r="A173" s="27" t="s">
        <v>270</v>
      </c>
      <c r="B173" s="34" t="s">
        <v>189</v>
      </c>
      <c r="C173" s="34" t="s">
        <v>20</v>
      </c>
      <c r="D173" s="34" t="s">
        <v>271</v>
      </c>
      <c r="E173" s="35" t="s">
        <v>83</v>
      </c>
      <c r="F173" t="str" cm="1">
        <f t="array" ref="F173">IFERROR(_xlfn.XLOOKUP(E173,MapeoCargos!$A:$A,MapeoCargos!$B:$B,E173),E173)</f>
        <v>PRODUCCIÓN / COCINA</v>
      </c>
      <c r="G173" s="45">
        <v>44302</v>
      </c>
    </row>
    <row r="174" spans="1:7" x14ac:dyDescent="0.2">
      <c r="A174" s="27" t="s">
        <v>272</v>
      </c>
      <c r="B174" s="34" t="s">
        <v>189</v>
      </c>
      <c r="C174" s="34" t="s">
        <v>17</v>
      </c>
      <c r="D174" s="34" t="s">
        <v>273</v>
      </c>
      <c r="E174" s="35" t="s">
        <v>222</v>
      </c>
      <c r="F174" t="str" cm="1">
        <f t="array" ref="F174">IFERROR(_xlfn.XLOOKUP(E174,MapeoCargos!$A:$A,MapeoCargos!$B:$B,E174),E174)</f>
        <v>PRODUCCIÓN / COCINA</v>
      </c>
      <c r="G174" s="45">
        <v>44304</v>
      </c>
    </row>
    <row r="175" spans="1:7" x14ac:dyDescent="0.2">
      <c r="A175" s="27" t="s">
        <v>2277</v>
      </c>
      <c r="B175" s="34" t="s">
        <v>2078</v>
      </c>
      <c r="C175" s="34" t="s">
        <v>4</v>
      </c>
      <c r="D175" s="34" t="s">
        <v>2278</v>
      </c>
      <c r="E175" s="35" t="s">
        <v>126</v>
      </c>
      <c r="F175" t="str" cm="1">
        <f t="array" ref="F175">IFERROR(_xlfn.XLOOKUP(E175,MapeoCargos!$A:$A,MapeoCargos!$B:$B,E175),E175)</f>
        <v>MOTORIZADO</v>
      </c>
      <c r="G175" s="45">
        <v>44317</v>
      </c>
    </row>
    <row r="176" spans="1:7" x14ac:dyDescent="0.2">
      <c r="A176" s="27" t="s">
        <v>2279</v>
      </c>
      <c r="B176" s="34" t="s">
        <v>2078</v>
      </c>
      <c r="C176" s="34" t="s">
        <v>4</v>
      </c>
      <c r="D176" s="34" t="s">
        <v>2280</v>
      </c>
      <c r="E176" s="35" t="s">
        <v>30</v>
      </c>
      <c r="F176" t="str" cm="1">
        <f t="array" ref="F176">IFERROR(_xlfn.XLOOKUP(E176,MapeoCargos!$A:$A,MapeoCargos!$B:$B,E176),E176)</f>
        <v>STAFF ADMINISTRATIVO</v>
      </c>
      <c r="G176" s="45">
        <v>44323</v>
      </c>
    </row>
    <row r="177" spans="1:7" x14ac:dyDescent="0.2">
      <c r="A177" s="27" t="s">
        <v>2281</v>
      </c>
      <c r="B177" s="34" t="s">
        <v>2078</v>
      </c>
      <c r="C177" s="34" t="s">
        <v>2211</v>
      </c>
      <c r="D177" s="34" t="s">
        <v>2282</v>
      </c>
      <c r="E177" s="35" t="s">
        <v>312</v>
      </c>
      <c r="F177" t="str" cm="1">
        <f t="array" ref="F177">IFERROR(_xlfn.XLOOKUP(E177,MapeoCargos!$A:$A,MapeoCargos!$B:$B,E177),E177)</f>
        <v>TELEOPERADOR (A) P/T</v>
      </c>
      <c r="G177" s="45">
        <v>44336</v>
      </c>
    </row>
    <row r="178" spans="1:7" x14ac:dyDescent="0.2">
      <c r="A178" s="27" t="s">
        <v>2283</v>
      </c>
      <c r="B178" s="34" t="s">
        <v>2078</v>
      </c>
      <c r="C178" s="34" t="s">
        <v>10</v>
      </c>
      <c r="D178" s="34" t="s">
        <v>2284</v>
      </c>
      <c r="E178" s="35" t="s">
        <v>193</v>
      </c>
      <c r="F178" t="str" cm="1">
        <f t="array" ref="F178">IFERROR(_xlfn.XLOOKUP(E178,MapeoCargos!$A:$A,MapeoCargos!$B:$B,E178),E178)</f>
        <v>PRODUCCIÓN / COCINA</v>
      </c>
      <c r="G178" s="45">
        <v>44348</v>
      </c>
    </row>
    <row r="179" spans="1:7" x14ac:dyDescent="0.2">
      <c r="A179" s="27" t="s">
        <v>274</v>
      </c>
      <c r="B179" s="34" t="s">
        <v>189</v>
      </c>
      <c r="C179" s="34" t="s">
        <v>18</v>
      </c>
      <c r="D179" s="34" t="s">
        <v>275</v>
      </c>
      <c r="E179" s="35" t="s">
        <v>231</v>
      </c>
      <c r="F179" t="str" cm="1">
        <f t="array" ref="F179">IFERROR(_xlfn.XLOOKUP(E179,MapeoCargos!$A:$A,MapeoCargos!$B:$B,E179),E179)</f>
        <v xml:space="preserve">CAJA </v>
      </c>
      <c r="G179" s="45">
        <v>44349</v>
      </c>
    </row>
    <row r="180" spans="1:7" x14ac:dyDescent="0.2">
      <c r="A180" s="27" t="s">
        <v>2285</v>
      </c>
      <c r="B180" s="34" t="s">
        <v>2078</v>
      </c>
      <c r="C180" s="34" t="s">
        <v>5</v>
      </c>
      <c r="D180" s="34" t="s">
        <v>2286</v>
      </c>
      <c r="E180" s="35" t="s">
        <v>126</v>
      </c>
      <c r="F180" t="str" cm="1">
        <f t="array" ref="F180">IFERROR(_xlfn.XLOOKUP(E180,MapeoCargos!$A:$A,MapeoCargos!$B:$B,E180),E180)</f>
        <v>MOTORIZADO</v>
      </c>
      <c r="G180" s="45">
        <v>44364</v>
      </c>
    </row>
    <row r="181" spans="1:7" x14ac:dyDescent="0.2">
      <c r="A181" s="27" t="s">
        <v>2287</v>
      </c>
      <c r="B181" s="34" t="s">
        <v>2078</v>
      </c>
      <c r="C181" s="34" t="s">
        <v>2177</v>
      </c>
      <c r="D181" s="34" t="s">
        <v>2288</v>
      </c>
      <c r="E181" s="35" t="s">
        <v>222</v>
      </c>
      <c r="F181" t="str" cm="1">
        <f t="array" ref="F181">IFERROR(_xlfn.XLOOKUP(E181,MapeoCargos!$A:$A,MapeoCargos!$B:$B,E181),E181)</f>
        <v>PRODUCCIÓN / COCINA</v>
      </c>
      <c r="G181" s="45">
        <v>44368</v>
      </c>
    </row>
    <row r="182" spans="1:7" x14ac:dyDescent="0.2">
      <c r="A182" s="27" t="s">
        <v>276</v>
      </c>
      <c r="B182" s="34" t="s">
        <v>189</v>
      </c>
      <c r="C182" s="34" t="s">
        <v>19</v>
      </c>
      <c r="D182" s="34" t="s">
        <v>277</v>
      </c>
      <c r="E182" s="35" t="s">
        <v>160</v>
      </c>
      <c r="F182" t="str" cm="1">
        <f t="array" ref="F182">IFERROR(_xlfn.XLOOKUP(E182,MapeoCargos!$A:$A,MapeoCargos!$B:$B,E182),E182)</f>
        <v>PACKER</v>
      </c>
      <c r="G182" s="45">
        <v>44378</v>
      </c>
    </row>
    <row r="183" spans="1:7" x14ac:dyDescent="0.2">
      <c r="A183" s="27" t="s">
        <v>2289</v>
      </c>
      <c r="B183" s="34" t="s">
        <v>2078</v>
      </c>
      <c r="C183" s="34" t="s">
        <v>2082</v>
      </c>
      <c r="D183" s="34" t="s">
        <v>2290</v>
      </c>
      <c r="E183" s="35" t="s">
        <v>200</v>
      </c>
      <c r="F183" t="str" cm="1">
        <f t="array" ref="F183">IFERROR(_xlfn.XLOOKUP(E183,MapeoCargos!$A:$A,MapeoCargos!$B:$B,E183),E183)</f>
        <v>SEGURIDAD</v>
      </c>
      <c r="G183" s="45">
        <v>44378</v>
      </c>
    </row>
    <row r="184" spans="1:7" x14ac:dyDescent="0.2">
      <c r="A184" s="27" t="s">
        <v>3135</v>
      </c>
      <c r="B184" s="34" t="s">
        <v>3037</v>
      </c>
      <c r="C184" s="34" t="s">
        <v>14</v>
      </c>
      <c r="D184" s="34" t="s">
        <v>3136</v>
      </c>
      <c r="E184" s="35" t="s">
        <v>83</v>
      </c>
      <c r="F184" t="str" cm="1">
        <f t="array" ref="F184">IFERROR(_xlfn.XLOOKUP(E184,MapeoCargos!$A:$A,MapeoCargos!$B:$B,E184),E184)</f>
        <v>PRODUCCIÓN / COCINA</v>
      </c>
      <c r="G184" s="45">
        <v>44394</v>
      </c>
    </row>
    <row r="185" spans="1:7" x14ac:dyDescent="0.2">
      <c r="A185" s="27" t="s">
        <v>278</v>
      </c>
      <c r="B185" s="34" t="s">
        <v>189</v>
      </c>
      <c r="C185" s="34" t="s">
        <v>17</v>
      </c>
      <c r="D185" s="34" t="s">
        <v>279</v>
      </c>
      <c r="E185" s="35" t="s">
        <v>222</v>
      </c>
      <c r="F185" t="str" cm="1">
        <f t="array" ref="F185">IFERROR(_xlfn.XLOOKUP(E185,MapeoCargos!$A:$A,MapeoCargos!$B:$B,E185),E185)</f>
        <v>PRODUCCIÓN / COCINA</v>
      </c>
      <c r="G185" s="45">
        <v>44409</v>
      </c>
    </row>
    <row r="186" spans="1:7" x14ac:dyDescent="0.2">
      <c r="A186" s="27" t="s">
        <v>2291</v>
      </c>
      <c r="B186" s="34" t="s">
        <v>2078</v>
      </c>
      <c r="C186" s="34" t="s">
        <v>2114</v>
      </c>
      <c r="D186" s="34" t="s">
        <v>2292</v>
      </c>
      <c r="E186" s="35" t="s">
        <v>29</v>
      </c>
      <c r="F186" t="str" cm="1">
        <f t="array" ref="F186">IFERROR(_xlfn.XLOOKUP(E186,MapeoCargos!$A:$A,MapeoCargos!$B:$B,E186),E186)</f>
        <v>MOZO</v>
      </c>
      <c r="G186" s="45">
        <v>44409</v>
      </c>
    </row>
    <row r="187" spans="1:7" x14ac:dyDescent="0.2">
      <c r="A187" s="27" t="s">
        <v>280</v>
      </c>
      <c r="B187" s="34" t="s">
        <v>189</v>
      </c>
      <c r="C187" s="34" t="s">
        <v>195</v>
      </c>
      <c r="D187" s="34" t="s">
        <v>281</v>
      </c>
      <c r="E187" s="35" t="s">
        <v>282</v>
      </c>
      <c r="F187" t="str" cm="1">
        <f t="array" ref="F187">IFERROR(_xlfn.XLOOKUP(E187,MapeoCargos!$A:$A,MapeoCargos!$B:$B,E187),E187)</f>
        <v>ASISTENTE DE GERENCIA</v>
      </c>
      <c r="G187" s="45">
        <v>44409</v>
      </c>
    </row>
    <row r="188" spans="1:7" x14ac:dyDescent="0.2">
      <c r="A188" s="27" t="s">
        <v>2293</v>
      </c>
      <c r="B188" s="34" t="s">
        <v>2078</v>
      </c>
      <c r="C188" s="34" t="s">
        <v>3025</v>
      </c>
      <c r="D188" s="34" t="s">
        <v>2294</v>
      </c>
      <c r="E188" s="35" t="s">
        <v>30</v>
      </c>
      <c r="F188" t="str" cm="1">
        <f t="array" ref="F188">IFERROR(_xlfn.XLOOKUP(E188,MapeoCargos!$A:$A,MapeoCargos!$B:$B,E188),E188)</f>
        <v>STAFF ADMINISTRATIVO</v>
      </c>
      <c r="G188" s="45">
        <v>44409</v>
      </c>
    </row>
    <row r="189" spans="1:7" x14ac:dyDescent="0.2">
      <c r="A189" s="27" t="s">
        <v>2295</v>
      </c>
      <c r="B189" s="34" t="s">
        <v>2078</v>
      </c>
      <c r="C189" s="34" t="s">
        <v>2082</v>
      </c>
      <c r="D189" s="34" t="s">
        <v>2296</v>
      </c>
      <c r="E189" s="35" t="s">
        <v>222</v>
      </c>
      <c r="F189" t="str" cm="1">
        <f t="array" ref="F189">IFERROR(_xlfn.XLOOKUP(E189,MapeoCargos!$A:$A,MapeoCargos!$B:$B,E189),E189)</f>
        <v>PRODUCCIÓN / COCINA</v>
      </c>
      <c r="G189" s="45">
        <v>44410</v>
      </c>
    </row>
    <row r="190" spans="1:7" x14ac:dyDescent="0.2">
      <c r="A190" s="27" t="s">
        <v>283</v>
      </c>
      <c r="B190" s="34" t="s">
        <v>189</v>
      </c>
      <c r="C190" s="34" t="s">
        <v>17</v>
      </c>
      <c r="D190" s="34" t="s">
        <v>284</v>
      </c>
      <c r="E190" s="35" t="s">
        <v>222</v>
      </c>
      <c r="F190" t="str" cm="1">
        <f t="array" ref="F190">IFERROR(_xlfn.XLOOKUP(E190,MapeoCargos!$A:$A,MapeoCargos!$B:$B,E190),E190)</f>
        <v>PRODUCCIÓN / COCINA</v>
      </c>
      <c r="G190" s="45">
        <v>44410</v>
      </c>
    </row>
    <row r="191" spans="1:7" x14ac:dyDescent="0.2">
      <c r="A191" s="27" t="s">
        <v>285</v>
      </c>
      <c r="B191" s="34" t="s">
        <v>189</v>
      </c>
      <c r="C191" s="34" t="s">
        <v>20</v>
      </c>
      <c r="D191" s="34" t="s">
        <v>286</v>
      </c>
      <c r="E191" s="35" t="s">
        <v>29</v>
      </c>
      <c r="F191" t="str" cm="1">
        <f t="array" ref="F191">IFERROR(_xlfn.XLOOKUP(E191,MapeoCargos!$A:$A,MapeoCargos!$B:$B,E191),E191)</f>
        <v>MOZO</v>
      </c>
      <c r="G191" s="45">
        <v>44414</v>
      </c>
    </row>
    <row r="192" spans="1:7" x14ac:dyDescent="0.2">
      <c r="A192" s="27" t="s">
        <v>2297</v>
      </c>
      <c r="B192" s="34" t="s">
        <v>2078</v>
      </c>
      <c r="C192" s="34" t="s">
        <v>2177</v>
      </c>
      <c r="D192" s="34" t="s">
        <v>2298</v>
      </c>
      <c r="E192" s="35" t="s">
        <v>231</v>
      </c>
      <c r="F192" t="str" cm="1">
        <f t="array" ref="F192">IFERROR(_xlfn.XLOOKUP(E192,MapeoCargos!$A:$A,MapeoCargos!$B:$B,E192),E192)</f>
        <v xml:space="preserve">CAJA </v>
      </c>
      <c r="G192" s="45">
        <v>44424</v>
      </c>
    </row>
    <row r="193" spans="1:7" x14ac:dyDescent="0.2">
      <c r="A193" s="27" t="s">
        <v>287</v>
      </c>
      <c r="B193" s="34" t="s">
        <v>189</v>
      </c>
      <c r="C193" s="34" t="s">
        <v>205</v>
      </c>
      <c r="D193" s="34" t="s">
        <v>288</v>
      </c>
      <c r="E193" s="35" t="s">
        <v>222</v>
      </c>
      <c r="F193" t="str" cm="1">
        <f t="array" ref="F193">IFERROR(_xlfn.XLOOKUP(E193,MapeoCargos!$A:$A,MapeoCargos!$B:$B,E193),E193)</f>
        <v>PRODUCCIÓN / COCINA</v>
      </c>
      <c r="G193" s="45">
        <v>44440</v>
      </c>
    </row>
    <row r="194" spans="1:7" x14ac:dyDescent="0.2">
      <c r="A194" s="27" t="s">
        <v>2299</v>
      </c>
      <c r="B194" s="34" t="s">
        <v>2078</v>
      </c>
      <c r="C194" s="34" t="s">
        <v>2079</v>
      </c>
      <c r="D194" s="34" t="s">
        <v>2300</v>
      </c>
      <c r="E194" s="35" t="s">
        <v>2301</v>
      </c>
      <c r="F194" t="str" cm="1">
        <f t="array" ref="F194">IFERROR(_xlfn.XLOOKUP(E194,MapeoCargos!$A:$A,MapeoCargos!$B:$B,E194),E194)</f>
        <v>ENTRENADOR DE PRODUCCION</v>
      </c>
      <c r="G194" s="45">
        <v>44440</v>
      </c>
    </row>
    <row r="195" spans="1:7" x14ac:dyDescent="0.2">
      <c r="A195" s="27" t="s">
        <v>3137</v>
      </c>
      <c r="B195" s="34" t="s">
        <v>3037</v>
      </c>
      <c r="C195" s="34" t="s">
        <v>2458</v>
      </c>
      <c r="D195" s="34" t="s">
        <v>3138</v>
      </c>
      <c r="E195" s="35" t="s">
        <v>126</v>
      </c>
      <c r="F195" t="str" cm="1">
        <f t="array" ref="F195">IFERROR(_xlfn.XLOOKUP(E195,MapeoCargos!$A:$A,MapeoCargos!$B:$B,E195),E195)</f>
        <v>MOTORIZADO</v>
      </c>
      <c r="G195" s="45">
        <v>44440</v>
      </c>
    </row>
    <row r="196" spans="1:7" x14ac:dyDescent="0.2">
      <c r="A196" s="27" t="s">
        <v>289</v>
      </c>
      <c r="B196" s="34" t="s">
        <v>189</v>
      </c>
      <c r="C196" s="34" t="s">
        <v>290</v>
      </c>
      <c r="D196" s="34" t="s">
        <v>291</v>
      </c>
      <c r="E196" s="35" t="s">
        <v>292</v>
      </c>
      <c r="F196" t="str" cm="1">
        <f t="array" ref="F196">IFERROR(_xlfn.XLOOKUP(E196,MapeoCargos!$A:$A,MapeoCargos!$B:$B,E196),E196)</f>
        <v>ATENCION AL CLIENTE</v>
      </c>
      <c r="G196" s="45">
        <v>44440</v>
      </c>
    </row>
    <row r="197" spans="1:7" x14ac:dyDescent="0.2">
      <c r="A197" s="27" t="s">
        <v>2302</v>
      </c>
      <c r="B197" s="34" t="s">
        <v>2078</v>
      </c>
      <c r="C197" s="34" t="s">
        <v>2</v>
      </c>
      <c r="D197" s="34" t="s">
        <v>2303</v>
      </c>
      <c r="E197" s="35" t="s">
        <v>648</v>
      </c>
      <c r="F197" t="str" cm="1">
        <f t="array" ref="F197">IFERROR(_xlfn.XLOOKUP(E197,MapeoCargos!$A:$A,MapeoCargos!$B:$B,E197),E197)</f>
        <v>AZAFATA</v>
      </c>
      <c r="G197" s="45">
        <v>44440</v>
      </c>
    </row>
    <row r="198" spans="1:7" x14ac:dyDescent="0.2">
      <c r="A198" s="27" t="s">
        <v>2304</v>
      </c>
      <c r="B198" s="34" t="s">
        <v>2078</v>
      </c>
      <c r="C198" s="34" t="s">
        <v>2079</v>
      </c>
      <c r="D198" s="34" t="s">
        <v>2305</v>
      </c>
      <c r="E198" s="35" t="s">
        <v>222</v>
      </c>
      <c r="F198" t="str" cm="1">
        <f t="array" ref="F198">IFERROR(_xlfn.XLOOKUP(E198,MapeoCargos!$A:$A,MapeoCargos!$B:$B,E198),E198)</f>
        <v>PRODUCCIÓN / COCINA</v>
      </c>
      <c r="G198" s="45">
        <v>44470</v>
      </c>
    </row>
    <row r="199" spans="1:7" x14ac:dyDescent="0.2">
      <c r="A199" s="27" t="s">
        <v>293</v>
      </c>
      <c r="B199" s="34" t="s">
        <v>189</v>
      </c>
      <c r="C199" s="34" t="s">
        <v>21</v>
      </c>
      <c r="D199" s="34" t="s">
        <v>294</v>
      </c>
      <c r="E199" s="35" t="s">
        <v>29</v>
      </c>
      <c r="F199" t="str" cm="1">
        <f t="array" ref="F199">IFERROR(_xlfn.XLOOKUP(E199,MapeoCargos!$A:$A,MapeoCargos!$B:$B,E199),E199)</f>
        <v>MOZO</v>
      </c>
      <c r="G199" s="45">
        <v>44485</v>
      </c>
    </row>
    <row r="200" spans="1:7" x14ac:dyDescent="0.2">
      <c r="A200" s="27" t="s">
        <v>3139</v>
      </c>
      <c r="B200" s="34" t="s">
        <v>3037</v>
      </c>
      <c r="C200" s="34" t="s">
        <v>3140</v>
      </c>
      <c r="D200" s="34" t="s">
        <v>3141</v>
      </c>
      <c r="E200" s="35" t="s">
        <v>312</v>
      </c>
      <c r="F200" t="str" cm="1">
        <f t="array" ref="F200">IFERROR(_xlfn.XLOOKUP(E200,MapeoCargos!$A:$A,MapeoCargos!$B:$B,E200),E200)</f>
        <v>TELEOPERADOR (A) P/T</v>
      </c>
      <c r="G200" s="45">
        <v>44501</v>
      </c>
    </row>
    <row r="201" spans="1:7" x14ac:dyDescent="0.2">
      <c r="A201" s="27" t="s">
        <v>2306</v>
      </c>
      <c r="B201" s="34" t="s">
        <v>2078</v>
      </c>
      <c r="C201" s="34" t="s">
        <v>5</v>
      </c>
      <c r="D201" s="34" t="s">
        <v>2307</v>
      </c>
      <c r="E201" s="35" t="s">
        <v>231</v>
      </c>
      <c r="F201" t="str" cm="1">
        <f t="array" ref="F201">IFERROR(_xlfn.XLOOKUP(E201,MapeoCargos!$A:$A,MapeoCargos!$B:$B,E201),E201)</f>
        <v xml:space="preserve">CAJA </v>
      </c>
      <c r="G201" s="45">
        <v>44501</v>
      </c>
    </row>
    <row r="202" spans="1:7" x14ac:dyDescent="0.2">
      <c r="A202" s="27" t="s">
        <v>2308</v>
      </c>
      <c r="B202" s="34" t="s">
        <v>2078</v>
      </c>
      <c r="C202" s="34" t="s">
        <v>8</v>
      </c>
      <c r="D202" s="34" t="s">
        <v>2309</v>
      </c>
      <c r="E202" s="35" t="s">
        <v>231</v>
      </c>
      <c r="F202" t="str" cm="1">
        <f t="array" ref="F202">IFERROR(_xlfn.XLOOKUP(E202,MapeoCargos!$A:$A,MapeoCargos!$B:$B,E202),E202)</f>
        <v xml:space="preserve">CAJA </v>
      </c>
      <c r="G202" s="45">
        <v>44501</v>
      </c>
    </row>
    <row r="203" spans="1:7" x14ac:dyDescent="0.2">
      <c r="A203" s="27" t="s">
        <v>2310</v>
      </c>
      <c r="B203" s="34" t="s">
        <v>2078</v>
      </c>
      <c r="C203" s="34" t="s">
        <v>2114</v>
      </c>
      <c r="D203" s="34" t="s">
        <v>2311</v>
      </c>
      <c r="E203" s="35" t="s">
        <v>193</v>
      </c>
      <c r="F203" t="str" cm="1">
        <f t="array" ref="F203">IFERROR(_xlfn.XLOOKUP(E203,MapeoCargos!$A:$A,MapeoCargos!$B:$B,E203),E203)</f>
        <v>PRODUCCIÓN / COCINA</v>
      </c>
      <c r="G203" s="45">
        <v>44504</v>
      </c>
    </row>
    <row r="204" spans="1:7" x14ac:dyDescent="0.2">
      <c r="A204" s="27" t="s">
        <v>2312</v>
      </c>
      <c r="B204" s="34" t="s">
        <v>2078</v>
      </c>
      <c r="C204" s="34" t="s">
        <v>4</v>
      </c>
      <c r="D204" s="34" t="s">
        <v>2313</v>
      </c>
      <c r="E204" s="35" t="s">
        <v>127</v>
      </c>
      <c r="F204" t="str" cm="1">
        <f t="array" ref="F204">IFERROR(_xlfn.XLOOKUP(E204,MapeoCargos!$A:$A,MapeoCargos!$B:$B,E204),E204)</f>
        <v>AZAFATA</v>
      </c>
      <c r="G204" s="45">
        <v>44516</v>
      </c>
    </row>
    <row r="205" spans="1:7" x14ac:dyDescent="0.2">
      <c r="A205" s="27" t="s">
        <v>2314</v>
      </c>
      <c r="B205" s="34" t="s">
        <v>2078</v>
      </c>
      <c r="C205" s="34" t="s">
        <v>2082</v>
      </c>
      <c r="D205" s="34" t="s">
        <v>2315</v>
      </c>
      <c r="E205" s="35" t="s">
        <v>29</v>
      </c>
      <c r="F205" t="str" cm="1">
        <f t="array" ref="F205">IFERROR(_xlfn.XLOOKUP(E205,MapeoCargos!$A:$A,MapeoCargos!$B:$B,E205),E205)</f>
        <v>MOZO</v>
      </c>
      <c r="G205" s="45">
        <v>44519</v>
      </c>
    </row>
    <row r="206" spans="1:7" x14ac:dyDescent="0.2">
      <c r="A206" s="27" t="s">
        <v>3142</v>
      </c>
      <c r="B206" s="34" t="s">
        <v>3037</v>
      </c>
      <c r="C206" s="34" t="s">
        <v>2458</v>
      </c>
      <c r="D206" s="34" t="s">
        <v>3143</v>
      </c>
      <c r="E206" s="35" t="s">
        <v>83</v>
      </c>
      <c r="F206" t="str" cm="1">
        <f t="array" ref="F206">IFERROR(_xlfn.XLOOKUP(E206,MapeoCargos!$A:$A,MapeoCargos!$B:$B,E206),E206)</f>
        <v>PRODUCCIÓN / COCINA</v>
      </c>
      <c r="G206" s="45">
        <v>44531</v>
      </c>
    </row>
    <row r="207" spans="1:7" x14ac:dyDescent="0.2">
      <c r="A207" s="27" t="s">
        <v>3144</v>
      </c>
      <c r="B207" s="34" t="s">
        <v>3037</v>
      </c>
      <c r="C207" s="34" t="s">
        <v>3140</v>
      </c>
      <c r="D207" s="34" t="s">
        <v>3145</v>
      </c>
      <c r="E207" s="35" t="s">
        <v>2489</v>
      </c>
      <c r="F207" t="str" cm="1">
        <f t="array" ref="F207">IFERROR(_xlfn.XLOOKUP(E207,MapeoCargos!$A:$A,MapeoCargos!$B:$B,E207),E207)</f>
        <v>TELEOPERADOR (A)</v>
      </c>
      <c r="G207" s="45">
        <v>44531</v>
      </c>
    </row>
    <row r="208" spans="1:7" x14ac:dyDescent="0.2">
      <c r="A208" s="27" t="s">
        <v>3146</v>
      </c>
      <c r="B208" s="34" t="s">
        <v>3037</v>
      </c>
      <c r="C208" s="34" t="s">
        <v>14</v>
      </c>
      <c r="D208" s="34" t="s">
        <v>3147</v>
      </c>
      <c r="E208" s="35" t="s">
        <v>29</v>
      </c>
      <c r="F208" t="str" cm="1">
        <f t="array" ref="F208">IFERROR(_xlfn.XLOOKUP(E208,MapeoCargos!$A:$A,MapeoCargos!$B:$B,E208),E208)</f>
        <v>MOZO</v>
      </c>
      <c r="G208" s="45">
        <v>44531</v>
      </c>
    </row>
    <row r="209" spans="1:7" x14ac:dyDescent="0.2">
      <c r="A209" s="27" t="s">
        <v>2316</v>
      </c>
      <c r="B209" s="34" t="s">
        <v>2078</v>
      </c>
      <c r="C209" s="34" t="s">
        <v>2177</v>
      </c>
      <c r="D209" s="34" t="s">
        <v>4352</v>
      </c>
      <c r="E209" s="35" t="s">
        <v>200</v>
      </c>
      <c r="F209" t="str" cm="1">
        <f t="array" ref="F209">IFERROR(_xlfn.XLOOKUP(E209,MapeoCargos!$A:$A,MapeoCargos!$B:$B,E209),E209)</f>
        <v>SEGURIDAD</v>
      </c>
      <c r="G209" s="45">
        <v>44531</v>
      </c>
    </row>
    <row r="210" spans="1:7" x14ac:dyDescent="0.2">
      <c r="A210" s="27" t="s">
        <v>2317</v>
      </c>
      <c r="B210" s="34" t="s">
        <v>2078</v>
      </c>
      <c r="C210" s="34" t="s">
        <v>2</v>
      </c>
      <c r="D210" s="34" t="s">
        <v>2318</v>
      </c>
      <c r="E210" s="35" t="s">
        <v>468</v>
      </c>
      <c r="F210" t="str" cm="1">
        <f t="array" ref="F210">IFERROR(_xlfn.XLOOKUP(E210,MapeoCargos!$A:$A,MapeoCargos!$B:$B,E210),E210)</f>
        <v xml:space="preserve">ANFITRIONAJE </v>
      </c>
      <c r="G210" s="45">
        <v>44531</v>
      </c>
    </row>
    <row r="211" spans="1:7" x14ac:dyDescent="0.2">
      <c r="A211" s="27" t="s">
        <v>2319</v>
      </c>
      <c r="B211" s="34" t="s">
        <v>2078</v>
      </c>
      <c r="C211" s="34" t="s">
        <v>2082</v>
      </c>
      <c r="D211" s="34" t="s">
        <v>2320</v>
      </c>
      <c r="E211" s="35" t="s">
        <v>29</v>
      </c>
      <c r="F211" t="str" cm="1">
        <f t="array" ref="F211">IFERROR(_xlfn.XLOOKUP(E211,MapeoCargos!$A:$A,MapeoCargos!$B:$B,E211),E211)</f>
        <v>MOZO</v>
      </c>
      <c r="G211" s="45">
        <v>44531</v>
      </c>
    </row>
    <row r="212" spans="1:7" x14ac:dyDescent="0.2">
      <c r="A212" s="27" t="s">
        <v>3148</v>
      </c>
      <c r="B212" s="34" t="s">
        <v>3037</v>
      </c>
      <c r="C212" s="34" t="s">
        <v>2458</v>
      </c>
      <c r="D212" s="34" t="s">
        <v>3149</v>
      </c>
      <c r="E212" s="35" t="s">
        <v>193</v>
      </c>
      <c r="F212" t="str" cm="1">
        <f t="array" ref="F212">IFERROR(_xlfn.XLOOKUP(E212,MapeoCargos!$A:$A,MapeoCargos!$B:$B,E212),E212)</f>
        <v>PRODUCCIÓN / COCINA</v>
      </c>
      <c r="G212" s="45">
        <v>44538</v>
      </c>
    </row>
    <row r="213" spans="1:7" x14ac:dyDescent="0.2">
      <c r="A213" s="27" t="s">
        <v>295</v>
      </c>
      <c r="B213" s="34" t="s">
        <v>189</v>
      </c>
      <c r="C213" s="34" t="s">
        <v>17</v>
      </c>
      <c r="D213" s="34" t="s">
        <v>296</v>
      </c>
      <c r="E213" s="35" t="s">
        <v>29</v>
      </c>
      <c r="F213" t="str" cm="1">
        <f t="array" ref="F213">IFERROR(_xlfn.XLOOKUP(E213,MapeoCargos!$A:$A,MapeoCargos!$B:$B,E213),E213)</f>
        <v>MOZO</v>
      </c>
      <c r="G213" s="45">
        <v>44546</v>
      </c>
    </row>
    <row r="214" spans="1:7" x14ac:dyDescent="0.2">
      <c r="A214" s="27" t="s">
        <v>2321</v>
      </c>
      <c r="B214" s="34" t="s">
        <v>2078</v>
      </c>
      <c r="C214" s="34" t="s">
        <v>5</v>
      </c>
      <c r="D214" s="34" t="s">
        <v>2322</v>
      </c>
      <c r="E214" s="35" t="s">
        <v>126</v>
      </c>
      <c r="F214" t="str" cm="1">
        <f t="array" ref="F214">IFERROR(_xlfn.XLOOKUP(E214,MapeoCargos!$A:$A,MapeoCargos!$B:$B,E214),E214)</f>
        <v>MOTORIZADO</v>
      </c>
      <c r="G214" s="45">
        <v>44546</v>
      </c>
    </row>
    <row r="215" spans="1:7" x14ac:dyDescent="0.2">
      <c r="A215" s="27" t="s">
        <v>2323</v>
      </c>
      <c r="B215" s="34" t="s">
        <v>2078</v>
      </c>
      <c r="C215" s="34" t="s">
        <v>2082</v>
      </c>
      <c r="D215" s="34" t="s">
        <v>2324</v>
      </c>
      <c r="E215" s="35" t="s">
        <v>30</v>
      </c>
      <c r="F215" t="str" cm="1">
        <f t="array" ref="F215">IFERROR(_xlfn.XLOOKUP(E215,MapeoCargos!$A:$A,MapeoCargos!$B:$B,E215),E215)</f>
        <v>STAFF ADMINISTRATIVO</v>
      </c>
      <c r="G215" s="45">
        <v>44577</v>
      </c>
    </row>
    <row r="216" spans="1:7" x14ac:dyDescent="0.2">
      <c r="A216" s="27" t="s">
        <v>3150</v>
      </c>
      <c r="B216" s="34" t="s">
        <v>3037</v>
      </c>
      <c r="C216" s="34" t="s">
        <v>2458</v>
      </c>
      <c r="D216" s="34" t="s">
        <v>3151</v>
      </c>
      <c r="E216" s="35" t="s">
        <v>222</v>
      </c>
      <c r="F216" t="str" cm="1">
        <f t="array" ref="F216">IFERROR(_xlfn.XLOOKUP(E216,MapeoCargos!$A:$A,MapeoCargos!$B:$B,E216),E216)</f>
        <v>PRODUCCIÓN / COCINA</v>
      </c>
      <c r="G216" s="45">
        <v>44593</v>
      </c>
    </row>
    <row r="217" spans="1:7" x14ac:dyDescent="0.2">
      <c r="A217" s="27" t="s">
        <v>3152</v>
      </c>
      <c r="B217" s="34" t="s">
        <v>3037</v>
      </c>
      <c r="C217" s="34" t="s">
        <v>14</v>
      </c>
      <c r="D217" s="34" t="s">
        <v>3153</v>
      </c>
      <c r="E217" s="35" t="s">
        <v>200</v>
      </c>
      <c r="F217" t="str" cm="1">
        <f t="array" ref="F217">IFERROR(_xlfn.XLOOKUP(E217,MapeoCargos!$A:$A,MapeoCargos!$B:$B,E217),E217)</f>
        <v>SEGURIDAD</v>
      </c>
      <c r="G217" s="45">
        <v>44593</v>
      </c>
    </row>
    <row r="218" spans="1:7" x14ac:dyDescent="0.2">
      <c r="A218" s="27" t="s">
        <v>2325</v>
      </c>
      <c r="B218" s="34" t="s">
        <v>2078</v>
      </c>
      <c r="C218" s="34" t="s">
        <v>2082</v>
      </c>
      <c r="D218" s="34" t="s">
        <v>2326</v>
      </c>
      <c r="E218" s="35" t="s">
        <v>160</v>
      </c>
      <c r="F218" t="str" cm="1">
        <f t="array" ref="F218">IFERROR(_xlfn.XLOOKUP(E218,MapeoCargos!$A:$A,MapeoCargos!$B:$B,E218),E218)</f>
        <v>PACKER</v>
      </c>
      <c r="G218" s="45">
        <v>44597</v>
      </c>
    </row>
    <row r="219" spans="1:7" x14ac:dyDescent="0.2">
      <c r="A219" s="27" t="s">
        <v>3154</v>
      </c>
      <c r="B219" s="34" t="s">
        <v>3037</v>
      </c>
      <c r="C219" s="34" t="s">
        <v>2458</v>
      </c>
      <c r="D219" s="34" t="s">
        <v>3155</v>
      </c>
      <c r="E219" s="35" t="s">
        <v>222</v>
      </c>
      <c r="F219" t="str" cm="1">
        <f t="array" ref="F219">IFERROR(_xlfn.XLOOKUP(E219,MapeoCargos!$A:$A,MapeoCargos!$B:$B,E219),E219)</f>
        <v>PRODUCCIÓN / COCINA</v>
      </c>
      <c r="G219" s="45">
        <v>44599</v>
      </c>
    </row>
    <row r="220" spans="1:7" x14ac:dyDescent="0.2">
      <c r="A220" s="27" t="s">
        <v>297</v>
      </c>
      <c r="B220" s="34" t="s">
        <v>189</v>
      </c>
      <c r="C220" s="34" t="s">
        <v>18</v>
      </c>
      <c r="D220" s="34" t="s">
        <v>298</v>
      </c>
      <c r="E220" s="35" t="s">
        <v>83</v>
      </c>
      <c r="F220" t="str" cm="1">
        <f t="array" ref="F220">IFERROR(_xlfn.XLOOKUP(E220,MapeoCargos!$A:$A,MapeoCargos!$B:$B,E220),E220)</f>
        <v>PRODUCCIÓN / COCINA</v>
      </c>
      <c r="G220" s="45">
        <v>44608</v>
      </c>
    </row>
    <row r="221" spans="1:7" x14ac:dyDescent="0.2">
      <c r="A221" s="27" t="s">
        <v>299</v>
      </c>
      <c r="B221" s="34" t="s">
        <v>189</v>
      </c>
      <c r="C221" s="34" t="s">
        <v>20</v>
      </c>
      <c r="D221" s="34" t="s">
        <v>300</v>
      </c>
      <c r="E221" s="35" t="s">
        <v>126</v>
      </c>
      <c r="F221" t="str" cm="1">
        <f t="array" ref="F221">IFERROR(_xlfn.XLOOKUP(E221,MapeoCargos!$A:$A,MapeoCargos!$B:$B,E221),E221)</f>
        <v>MOTORIZADO</v>
      </c>
      <c r="G221" s="45">
        <v>44608</v>
      </c>
    </row>
    <row r="222" spans="1:7" x14ac:dyDescent="0.2">
      <c r="A222" s="27" t="s">
        <v>2327</v>
      </c>
      <c r="B222" s="34" t="s">
        <v>2078</v>
      </c>
      <c r="C222" s="34" t="s">
        <v>2114</v>
      </c>
      <c r="D222" s="34" t="s">
        <v>2328</v>
      </c>
      <c r="E222" s="35" t="s">
        <v>160</v>
      </c>
      <c r="F222" t="str" cm="1">
        <f t="array" ref="F222">IFERROR(_xlfn.XLOOKUP(E222,MapeoCargos!$A:$A,MapeoCargos!$B:$B,E222),E222)</f>
        <v>PACKER</v>
      </c>
      <c r="G222" s="45">
        <v>44608</v>
      </c>
    </row>
    <row r="223" spans="1:7" x14ac:dyDescent="0.2">
      <c r="A223" s="27" t="s">
        <v>3156</v>
      </c>
      <c r="B223" s="34" t="s">
        <v>3037</v>
      </c>
      <c r="C223" s="34" t="s">
        <v>3038</v>
      </c>
      <c r="D223" s="34" t="s">
        <v>3157</v>
      </c>
      <c r="E223" s="35" t="s">
        <v>4171</v>
      </c>
      <c r="F223" t="str" cm="1">
        <f t="array" ref="F223">IFERROR(_xlfn.XLOOKUP(E223,MapeoCargos!$A:$A,MapeoCargos!$B:$B,E223),E223)</f>
        <v>DISEÑADOR MULTIMEDIA SENIOR</v>
      </c>
      <c r="G223" s="45">
        <v>44614</v>
      </c>
    </row>
    <row r="224" spans="1:7" x14ac:dyDescent="0.2">
      <c r="A224" s="27" t="s">
        <v>3158</v>
      </c>
      <c r="B224" s="34" t="s">
        <v>3037</v>
      </c>
      <c r="C224" s="34" t="s">
        <v>3038</v>
      </c>
      <c r="D224" s="34" t="s">
        <v>3159</v>
      </c>
      <c r="E224" s="35" t="s">
        <v>360</v>
      </c>
      <c r="F224" t="str" cm="1">
        <f t="array" ref="F224">IFERROR(_xlfn.XLOOKUP(E224,MapeoCargos!$A:$A,MapeoCargos!$B:$B,E224),E224)</f>
        <v>PRODUCCIÓN / COCINA</v>
      </c>
      <c r="G224" s="45">
        <v>44621</v>
      </c>
    </row>
    <row r="225" spans="1:7" x14ac:dyDescent="0.2">
      <c r="A225" s="27" t="s">
        <v>3160</v>
      </c>
      <c r="B225" s="34" t="s">
        <v>3037</v>
      </c>
      <c r="C225" s="34" t="s">
        <v>2458</v>
      </c>
      <c r="D225" s="34" t="s">
        <v>3161</v>
      </c>
      <c r="E225" s="35" t="s">
        <v>126</v>
      </c>
      <c r="F225" t="str" cm="1">
        <f t="array" ref="F225">IFERROR(_xlfn.XLOOKUP(E225,MapeoCargos!$A:$A,MapeoCargos!$B:$B,E225),E225)</f>
        <v>MOTORIZADO</v>
      </c>
      <c r="G225" s="45">
        <v>44621</v>
      </c>
    </row>
    <row r="226" spans="1:7" x14ac:dyDescent="0.2">
      <c r="A226" s="27" t="s">
        <v>2329</v>
      </c>
      <c r="B226" s="34" t="s">
        <v>2078</v>
      </c>
      <c r="C226" s="34" t="s">
        <v>2079</v>
      </c>
      <c r="D226" s="34" t="s">
        <v>2330</v>
      </c>
      <c r="E226" s="35" t="s">
        <v>193</v>
      </c>
      <c r="F226" t="str" cm="1">
        <f t="array" ref="F226">IFERROR(_xlfn.XLOOKUP(E226,MapeoCargos!$A:$A,MapeoCargos!$B:$B,E226),E226)</f>
        <v>PRODUCCIÓN / COCINA</v>
      </c>
      <c r="G226" s="45">
        <v>44621</v>
      </c>
    </row>
    <row r="227" spans="1:7" x14ac:dyDescent="0.2">
      <c r="A227" s="27" t="s">
        <v>3162</v>
      </c>
      <c r="B227" s="34" t="s">
        <v>3037</v>
      </c>
      <c r="C227" s="34" t="s">
        <v>16</v>
      </c>
      <c r="D227" s="34" t="s">
        <v>3163</v>
      </c>
      <c r="E227" s="35" t="s">
        <v>193</v>
      </c>
      <c r="F227" t="str" cm="1">
        <f t="array" ref="F227">IFERROR(_xlfn.XLOOKUP(E227,MapeoCargos!$A:$A,MapeoCargos!$B:$B,E227),E227)</f>
        <v>PRODUCCIÓN / COCINA</v>
      </c>
      <c r="G227" s="45">
        <v>44627</v>
      </c>
    </row>
    <row r="228" spans="1:7" x14ac:dyDescent="0.2">
      <c r="A228" s="27" t="s">
        <v>2331</v>
      </c>
      <c r="B228" s="34" t="s">
        <v>2078</v>
      </c>
      <c r="C228" s="34" t="s">
        <v>2114</v>
      </c>
      <c r="D228" s="34" t="s">
        <v>2332</v>
      </c>
      <c r="E228" s="35" t="s">
        <v>29</v>
      </c>
      <c r="F228" t="str" cm="1">
        <f t="array" ref="F228">IFERROR(_xlfn.XLOOKUP(E228,MapeoCargos!$A:$A,MapeoCargos!$B:$B,E228),E228)</f>
        <v>MOZO</v>
      </c>
      <c r="G228" s="45">
        <v>44627</v>
      </c>
    </row>
    <row r="229" spans="1:7" x14ac:dyDescent="0.2">
      <c r="A229" s="27" t="s">
        <v>301</v>
      </c>
      <c r="B229" s="34" t="s">
        <v>189</v>
      </c>
      <c r="C229" s="34" t="s">
        <v>21</v>
      </c>
      <c r="D229" s="34" t="s">
        <v>302</v>
      </c>
      <c r="E229" s="35" t="s">
        <v>83</v>
      </c>
      <c r="F229" t="str" cm="1">
        <f t="array" ref="F229">IFERROR(_xlfn.XLOOKUP(E229,MapeoCargos!$A:$A,MapeoCargos!$B:$B,E229),E229)</f>
        <v>PRODUCCIÓN / COCINA</v>
      </c>
      <c r="G229" s="45">
        <v>44628</v>
      </c>
    </row>
    <row r="230" spans="1:7" x14ac:dyDescent="0.2">
      <c r="A230" s="27" t="s">
        <v>3164</v>
      </c>
      <c r="B230" s="34" t="s">
        <v>3037</v>
      </c>
      <c r="C230" s="34" t="s">
        <v>14</v>
      </c>
      <c r="D230" s="34" t="s">
        <v>3165</v>
      </c>
      <c r="E230" s="35" t="s">
        <v>305</v>
      </c>
      <c r="F230" t="str" cm="1">
        <f t="array" ref="F230">IFERROR(_xlfn.XLOOKUP(E230,MapeoCargos!$A:$A,MapeoCargos!$B:$B,E230),E230)</f>
        <v>LIMPIEZA / MANTENIMIENTO</v>
      </c>
      <c r="G230" s="45">
        <v>44628</v>
      </c>
    </row>
    <row r="231" spans="1:7" x14ac:dyDescent="0.2">
      <c r="A231" s="27" t="s">
        <v>3166</v>
      </c>
      <c r="B231" s="34" t="s">
        <v>3037</v>
      </c>
      <c r="C231" s="34" t="s">
        <v>14</v>
      </c>
      <c r="D231" s="34" t="s">
        <v>3167</v>
      </c>
      <c r="E231" s="35" t="s">
        <v>29</v>
      </c>
      <c r="F231" t="str" cm="1">
        <f t="array" ref="F231">IFERROR(_xlfn.XLOOKUP(E231,MapeoCargos!$A:$A,MapeoCargos!$B:$B,E231),E231)</f>
        <v>MOZO</v>
      </c>
      <c r="G231" s="45">
        <v>44628</v>
      </c>
    </row>
    <row r="232" spans="1:7" x14ac:dyDescent="0.2">
      <c r="A232" s="27" t="s">
        <v>2333</v>
      </c>
      <c r="B232" s="34" t="s">
        <v>2078</v>
      </c>
      <c r="C232" s="34" t="s">
        <v>8</v>
      </c>
      <c r="D232" s="34" t="s">
        <v>2334</v>
      </c>
      <c r="E232" s="35" t="s">
        <v>365</v>
      </c>
      <c r="F232" t="str" cm="1">
        <f t="array" ref="F232">IFERROR(_xlfn.XLOOKUP(E232,MapeoCargos!$A:$A,MapeoCargos!$B:$B,E232),E232)</f>
        <v xml:space="preserve">BARTENDER </v>
      </c>
      <c r="G232" s="45">
        <v>44634</v>
      </c>
    </row>
    <row r="233" spans="1:7" x14ac:dyDescent="0.2">
      <c r="A233" s="27" t="s">
        <v>303</v>
      </c>
      <c r="B233" s="34" t="s">
        <v>189</v>
      </c>
      <c r="C233" s="34" t="s">
        <v>19</v>
      </c>
      <c r="D233" s="34" t="s">
        <v>304</v>
      </c>
      <c r="E233" s="35" t="s">
        <v>305</v>
      </c>
      <c r="F233" t="str" cm="1">
        <f t="array" ref="F233">IFERROR(_xlfn.XLOOKUP(E233,MapeoCargos!$A:$A,MapeoCargos!$B:$B,E233),E233)</f>
        <v>LIMPIEZA / MANTENIMIENTO</v>
      </c>
      <c r="G233" s="45">
        <v>44636</v>
      </c>
    </row>
    <row r="234" spans="1:7" x14ac:dyDescent="0.2">
      <c r="A234" s="27" t="s">
        <v>2335</v>
      </c>
      <c r="B234" s="34" t="s">
        <v>2078</v>
      </c>
      <c r="C234" s="34" t="s">
        <v>2</v>
      </c>
      <c r="D234" s="34" t="s">
        <v>2336</v>
      </c>
      <c r="E234" s="35" t="s">
        <v>222</v>
      </c>
      <c r="F234" t="str" cm="1">
        <f t="array" ref="F234">IFERROR(_xlfn.XLOOKUP(E234,MapeoCargos!$A:$A,MapeoCargos!$B:$B,E234),E234)</f>
        <v>PRODUCCIÓN / COCINA</v>
      </c>
      <c r="G234" s="45">
        <v>44636</v>
      </c>
    </row>
    <row r="235" spans="1:7" x14ac:dyDescent="0.2">
      <c r="A235" s="27" t="s">
        <v>2337</v>
      </c>
      <c r="B235" s="34" t="s">
        <v>2078</v>
      </c>
      <c r="C235" s="34" t="s">
        <v>4</v>
      </c>
      <c r="D235" s="34" t="s">
        <v>2338</v>
      </c>
      <c r="E235" s="35" t="s">
        <v>83</v>
      </c>
      <c r="F235" t="str" cm="1">
        <f t="array" ref="F235">IFERROR(_xlfn.XLOOKUP(E235,MapeoCargos!$A:$A,MapeoCargos!$B:$B,E235),E235)</f>
        <v>PRODUCCIÓN / COCINA</v>
      </c>
      <c r="G235" s="45">
        <v>44641</v>
      </c>
    </row>
    <row r="236" spans="1:7" x14ac:dyDescent="0.2">
      <c r="A236" s="27" t="s">
        <v>2339</v>
      </c>
      <c r="B236" s="34" t="s">
        <v>2078</v>
      </c>
      <c r="C236" s="34" t="s">
        <v>2114</v>
      </c>
      <c r="D236" s="34" t="s">
        <v>2340</v>
      </c>
      <c r="E236" s="35" t="s">
        <v>29</v>
      </c>
      <c r="F236" t="str" cm="1">
        <f t="array" ref="F236">IFERROR(_xlfn.XLOOKUP(E236,MapeoCargos!$A:$A,MapeoCargos!$B:$B,E236),E236)</f>
        <v>MOZO</v>
      </c>
      <c r="G236" s="45">
        <v>44643</v>
      </c>
    </row>
    <row r="237" spans="1:7" x14ac:dyDescent="0.2">
      <c r="A237" s="27" t="s">
        <v>2341</v>
      </c>
      <c r="B237" s="34" t="s">
        <v>2078</v>
      </c>
      <c r="C237" s="34" t="s">
        <v>4</v>
      </c>
      <c r="D237" s="34" t="s">
        <v>2342</v>
      </c>
      <c r="E237" s="35" t="s">
        <v>365</v>
      </c>
      <c r="F237" t="str" cm="1">
        <f t="array" ref="F237">IFERROR(_xlfn.XLOOKUP(E237,MapeoCargos!$A:$A,MapeoCargos!$B:$B,E237),E237)</f>
        <v xml:space="preserve">BARTENDER </v>
      </c>
      <c r="G237" s="45">
        <v>44652</v>
      </c>
    </row>
    <row r="238" spans="1:7" x14ac:dyDescent="0.2">
      <c r="A238" s="27" t="s">
        <v>2343</v>
      </c>
      <c r="B238" s="34" t="s">
        <v>2078</v>
      </c>
      <c r="C238" s="34" t="s">
        <v>2082</v>
      </c>
      <c r="D238" s="34" t="s">
        <v>2344</v>
      </c>
      <c r="E238" s="35" t="s">
        <v>165</v>
      </c>
      <c r="F238" t="str" cm="1">
        <f t="array" ref="F238">IFERROR(_xlfn.XLOOKUP(E238,MapeoCargos!$A:$A,MapeoCargos!$B:$B,E238),E238)</f>
        <v>PACKER</v>
      </c>
      <c r="G238" s="45">
        <v>44652</v>
      </c>
    </row>
    <row r="239" spans="1:7" x14ac:dyDescent="0.2">
      <c r="A239" s="27" t="s">
        <v>306</v>
      </c>
      <c r="B239" s="34" t="s">
        <v>189</v>
      </c>
      <c r="C239" s="34" t="s">
        <v>20</v>
      </c>
      <c r="D239" s="34" t="s">
        <v>307</v>
      </c>
      <c r="E239" s="35" t="s">
        <v>30</v>
      </c>
      <c r="F239" t="str" cm="1">
        <f t="array" ref="F239">IFERROR(_xlfn.XLOOKUP(E239,MapeoCargos!$A:$A,MapeoCargos!$B:$B,E239),E239)</f>
        <v>STAFF ADMINISTRATIVO</v>
      </c>
      <c r="G239" s="45">
        <v>44652</v>
      </c>
    </row>
    <row r="240" spans="1:7" x14ac:dyDescent="0.2">
      <c r="A240" s="27" t="s">
        <v>2345</v>
      </c>
      <c r="B240" s="34" t="s">
        <v>2078</v>
      </c>
      <c r="C240" s="34" t="s">
        <v>2114</v>
      </c>
      <c r="D240" s="34" t="s">
        <v>2346</v>
      </c>
      <c r="E240" s="35" t="s">
        <v>365</v>
      </c>
      <c r="F240" t="str" cm="1">
        <f t="array" ref="F240">IFERROR(_xlfn.XLOOKUP(E240,MapeoCargos!$A:$A,MapeoCargos!$B:$B,E240),E240)</f>
        <v xml:space="preserve">BARTENDER </v>
      </c>
      <c r="G240" s="45">
        <v>44652</v>
      </c>
    </row>
    <row r="241" spans="1:7" x14ac:dyDescent="0.2">
      <c r="A241" s="27" t="s">
        <v>308</v>
      </c>
      <c r="B241" s="34" t="s">
        <v>189</v>
      </c>
      <c r="C241" s="34" t="s">
        <v>195</v>
      </c>
      <c r="D241" s="34" t="s">
        <v>309</v>
      </c>
      <c r="E241" s="35" t="s">
        <v>200</v>
      </c>
      <c r="F241" t="str" cm="1">
        <f t="array" ref="F241">IFERROR(_xlfn.XLOOKUP(E241,MapeoCargos!$A:$A,MapeoCargos!$B:$B,E241),E241)</f>
        <v>SEGURIDAD</v>
      </c>
      <c r="G241" s="45">
        <v>44652</v>
      </c>
    </row>
    <row r="242" spans="1:7" x14ac:dyDescent="0.2">
      <c r="A242" s="27" t="s">
        <v>310</v>
      </c>
      <c r="B242" s="34" t="s">
        <v>189</v>
      </c>
      <c r="C242" s="34" t="s">
        <v>290</v>
      </c>
      <c r="D242" s="34" t="s">
        <v>311</v>
      </c>
      <c r="E242" s="35" t="s">
        <v>312</v>
      </c>
      <c r="F242" t="str" cm="1">
        <f t="array" ref="F242">IFERROR(_xlfn.XLOOKUP(E242,MapeoCargos!$A:$A,MapeoCargos!$B:$B,E242),E242)</f>
        <v>TELEOPERADOR (A) P/T</v>
      </c>
      <c r="G242" s="45">
        <v>44652</v>
      </c>
    </row>
    <row r="243" spans="1:7" x14ac:dyDescent="0.2">
      <c r="A243" s="27" t="s">
        <v>2347</v>
      </c>
      <c r="B243" s="34" t="s">
        <v>2078</v>
      </c>
      <c r="C243" s="34" t="s">
        <v>8</v>
      </c>
      <c r="D243" s="34" t="s">
        <v>2348</v>
      </c>
      <c r="E243" s="35" t="s">
        <v>83</v>
      </c>
      <c r="F243" t="str" cm="1">
        <f t="array" ref="F243">IFERROR(_xlfn.XLOOKUP(E243,MapeoCargos!$A:$A,MapeoCargos!$B:$B,E243),E243)</f>
        <v>PRODUCCIÓN / COCINA</v>
      </c>
      <c r="G243" s="45">
        <v>44655</v>
      </c>
    </row>
    <row r="244" spans="1:7" x14ac:dyDescent="0.2">
      <c r="A244" s="27" t="s">
        <v>2349</v>
      </c>
      <c r="B244" s="34" t="s">
        <v>2078</v>
      </c>
      <c r="C244" s="34" t="s">
        <v>2114</v>
      </c>
      <c r="D244" s="34" t="s">
        <v>2350</v>
      </c>
      <c r="E244" s="35" t="s">
        <v>305</v>
      </c>
      <c r="F244" t="str" cm="1">
        <f t="array" ref="F244">IFERROR(_xlfn.XLOOKUP(E244,MapeoCargos!$A:$A,MapeoCargos!$B:$B,E244),E244)</f>
        <v>LIMPIEZA / MANTENIMIENTO</v>
      </c>
      <c r="G244" s="45">
        <v>44662</v>
      </c>
    </row>
    <row r="245" spans="1:7" x14ac:dyDescent="0.2">
      <c r="A245" s="27" t="s">
        <v>3168</v>
      </c>
      <c r="B245" s="34" t="s">
        <v>3037</v>
      </c>
      <c r="C245" s="34" t="s">
        <v>3140</v>
      </c>
      <c r="D245" s="34" t="s">
        <v>3169</v>
      </c>
      <c r="E245" s="35" t="s">
        <v>312</v>
      </c>
      <c r="F245" t="str" cm="1">
        <f t="array" ref="F245">IFERROR(_xlfn.XLOOKUP(E245,MapeoCargos!$A:$A,MapeoCargos!$B:$B,E245),E245)</f>
        <v>TELEOPERADOR (A) P/T</v>
      </c>
      <c r="G245" s="45">
        <v>44682</v>
      </c>
    </row>
    <row r="246" spans="1:7" x14ac:dyDescent="0.2">
      <c r="A246" s="27" t="s">
        <v>2351</v>
      </c>
      <c r="B246" s="34" t="s">
        <v>2078</v>
      </c>
      <c r="C246" s="34" t="s">
        <v>2355</v>
      </c>
      <c r="D246" s="34" t="s">
        <v>2352</v>
      </c>
      <c r="E246" s="35" t="s">
        <v>365</v>
      </c>
      <c r="F246" t="str" cm="1">
        <f t="array" ref="F246">IFERROR(_xlfn.XLOOKUP(E246,MapeoCargos!$A:$A,MapeoCargos!$B:$B,E246),E246)</f>
        <v xml:space="preserve">BARTENDER </v>
      </c>
      <c r="G246" s="45">
        <v>44682</v>
      </c>
    </row>
    <row r="247" spans="1:7" x14ac:dyDescent="0.2">
      <c r="A247" s="27" t="s">
        <v>3170</v>
      </c>
      <c r="B247" s="34" t="s">
        <v>3037</v>
      </c>
      <c r="C247" s="34" t="s">
        <v>3038</v>
      </c>
      <c r="D247" s="34" t="s">
        <v>3171</v>
      </c>
      <c r="E247" s="35" t="s">
        <v>2104</v>
      </c>
      <c r="F247" t="str" cm="1">
        <f t="array" ref="F247">IFERROR(_xlfn.XLOOKUP(E247,MapeoCargos!$A:$A,MapeoCargos!$B:$B,E247),E247)</f>
        <v>AUDITORIA</v>
      </c>
      <c r="G247" s="45">
        <v>44686</v>
      </c>
    </row>
    <row r="248" spans="1:7" x14ac:dyDescent="0.2">
      <c r="A248" s="27" t="s">
        <v>3977</v>
      </c>
      <c r="B248" s="34" t="s">
        <v>2078</v>
      </c>
      <c r="C248" s="34" t="s">
        <v>2114</v>
      </c>
      <c r="D248" s="34" t="s">
        <v>2353</v>
      </c>
      <c r="E248" s="35" t="s">
        <v>29</v>
      </c>
      <c r="F248" t="str" cm="1">
        <f t="array" ref="F248">IFERROR(_xlfn.XLOOKUP(E248,MapeoCargos!$A:$A,MapeoCargos!$B:$B,E248),E248)</f>
        <v>MOZO</v>
      </c>
      <c r="G248" s="45">
        <v>44687</v>
      </c>
    </row>
    <row r="249" spans="1:7" x14ac:dyDescent="0.2">
      <c r="A249" s="27" t="s">
        <v>313</v>
      </c>
      <c r="B249" s="34" t="s">
        <v>189</v>
      </c>
      <c r="C249" s="34" t="s">
        <v>19</v>
      </c>
      <c r="D249" s="34" t="s">
        <v>314</v>
      </c>
      <c r="E249" s="35" t="s">
        <v>127</v>
      </c>
      <c r="F249" t="str" cm="1">
        <f t="array" ref="F249">IFERROR(_xlfn.XLOOKUP(E249,MapeoCargos!$A:$A,MapeoCargos!$B:$B,E249),E249)</f>
        <v>AZAFATA</v>
      </c>
      <c r="G249" s="45">
        <v>44704</v>
      </c>
    </row>
    <row r="250" spans="1:7" x14ac:dyDescent="0.2">
      <c r="A250" s="27" t="s">
        <v>3172</v>
      </c>
      <c r="B250" s="34" t="s">
        <v>3037</v>
      </c>
      <c r="C250" s="34" t="s">
        <v>14</v>
      </c>
      <c r="D250" s="34" t="s">
        <v>3173</v>
      </c>
      <c r="E250" s="35" t="s">
        <v>29</v>
      </c>
      <c r="F250" t="str" cm="1">
        <f t="array" ref="F250">IFERROR(_xlfn.XLOOKUP(E250,MapeoCargos!$A:$A,MapeoCargos!$B:$B,E250),E250)</f>
        <v>MOZO</v>
      </c>
      <c r="G250" s="45">
        <v>44704</v>
      </c>
    </row>
    <row r="251" spans="1:7" x14ac:dyDescent="0.2">
      <c r="A251" s="27" t="s">
        <v>2354</v>
      </c>
      <c r="B251" s="34" t="s">
        <v>2078</v>
      </c>
      <c r="C251" s="34" t="s">
        <v>2355</v>
      </c>
      <c r="D251" s="34" t="s">
        <v>2356</v>
      </c>
      <c r="E251" s="35" t="s">
        <v>127</v>
      </c>
      <c r="F251" t="str" cm="1">
        <f t="array" ref="F251">IFERROR(_xlfn.XLOOKUP(E251,MapeoCargos!$A:$A,MapeoCargos!$B:$B,E251),E251)</f>
        <v>AZAFATA</v>
      </c>
      <c r="G251" s="45">
        <v>44721</v>
      </c>
    </row>
    <row r="252" spans="1:7" x14ac:dyDescent="0.2">
      <c r="A252" s="27" t="s">
        <v>2357</v>
      </c>
      <c r="B252" s="34" t="s">
        <v>2078</v>
      </c>
      <c r="C252" s="34" t="s">
        <v>2079</v>
      </c>
      <c r="D252" s="34" t="s">
        <v>2358</v>
      </c>
      <c r="E252" s="35" t="s">
        <v>954</v>
      </c>
      <c r="F252" t="str" cm="1">
        <f t="array" ref="F252">IFERROR(_xlfn.XLOOKUP(E252,MapeoCargos!$A:$A,MapeoCargos!$B:$B,E252),E252)</f>
        <v>MOZO</v>
      </c>
      <c r="G252" s="45">
        <v>44728</v>
      </c>
    </row>
    <row r="253" spans="1:7" x14ac:dyDescent="0.2">
      <c r="A253" s="27" t="s">
        <v>3174</v>
      </c>
      <c r="B253" s="34" t="s">
        <v>3037</v>
      </c>
      <c r="C253" s="34" t="s">
        <v>3038</v>
      </c>
      <c r="D253" s="34" t="s">
        <v>3175</v>
      </c>
      <c r="E253" s="35" t="s">
        <v>231</v>
      </c>
      <c r="F253" t="str" cm="1">
        <f t="array" ref="F253">IFERROR(_xlfn.XLOOKUP(E253,MapeoCargos!$A:$A,MapeoCargos!$B:$B,E253),E253)</f>
        <v xml:space="preserve">CAJA </v>
      </c>
      <c r="G253" s="45">
        <v>44734</v>
      </c>
    </row>
    <row r="254" spans="1:7" x14ac:dyDescent="0.2">
      <c r="A254" s="27" t="s">
        <v>3176</v>
      </c>
      <c r="B254" s="34" t="s">
        <v>3037</v>
      </c>
      <c r="C254" s="34" t="s">
        <v>626</v>
      </c>
      <c r="D254" s="34" t="s">
        <v>3177</v>
      </c>
      <c r="E254" s="35" t="s">
        <v>231</v>
      </c>
      <c r="F254" t="str" cm="1">
        <f t="array" ref="F254">IFERROR(_xlfn.XLOOKUP(E254,MapeoCargos!$A:$A,MapeoCargos!$B:$B,E254),E254)</f>
        <v xml:space="preserve">CAJA </v>
      </c>
      <c r="G254" s="45">
        <v>44743</v>
      </c>
    </row>
    <row r="255" spans="1:7" x14ac:dyDescent="0.2">
      <c r="A255" s="27" t="s">
        <v>3178</v>
      </c>
      <c r="B255" s="34" t="s">
        <v>3037</v>
      </c>
      <c r="C255" s="34" t="s">
        <v>14</v>
      </c>
      <c r="D255" s="34" t="s">
        <v>3179</v>
      </c>
      <c r="E255" s="35" t="s">
        <v>126</v>
      </c>
      <c r="F255" t="str" cm="1">
        <f t="array" ref="F255">IFERROR(_xlfn.XLOOKUP(E255,MapeoCargos!$A:$A,MapeoCargos!$B:$B,E255),E255)</f>
        <v>MOTORIZADO</v>
      </c>
      <c r="G255" s="45">
        <v>44743</v>
      </c>
    </row>
    <row r="256" spans="1:7" x14ac:dyDescent="0.2">
      <c r="A256" s="27" t="s">
        <v>315</v>
      </c>
      <c r="B256" s="34" t="s">
        <v>189</v>
      </c>
      <c r="C256" s="34" t="s">
        <v>205</v>
      </c>
      <c r="D256" s="34" t="s">
        <v>316</v>
      </c>
      <c r="E256" s="35" t="s">
        <v>231</v>
      </c>
      <c r="F256" t="str" cm="1">
        <f t="array" ref="F256">IFERROR(_xlfn.XLOOKUP(E256,MapeoCargos!$A:$A,MapeoCargos!$B:$B,E256),E256)</f>
        <v xml:space="preserve">CAJA </v>
      </c>
      <c r="G256" s="45">
        <v>44747</v>
      </c>
    </row>
    <row r="257" spans="1:7" x14ac:dyDescent="0.2">
      <c r="A257" s="27" t="s">
        <v>317</v>
      </c>
      <c r="B257" s="34" t="s">
        <v>189</v>
      </c>
      <c r="C257" s="34" t="s">
        <v>205</v>
      </c>
      <c r="D257" s="34" t="s">
        <v>318</v>
      </c>
      <c r="E257" s="35" t="s">
        <v>222</v>
      </c>
      <c r="F257" t="str" cm="1">
        <f t="array" ref="F257">IFERROR(_xlfn.XLOOKUP(E257,MapeoCargos!$A:$A,MapeoCargos!$B:$B,E257),E257)</f>
        <v>PRODUCCIÓN / COCINA</v>
      </c>
      <c r="G257" s="45">
        <v>44752</v>
      </c>
    </row>
    <row r="258" spans="1:7" x14ac:dyDescent="0.2">
      <c r="A258" s="27" t="s">
        <v>3180</v>
      </c>
      <c r="B258" s="34" t="s">
        <v>3037</v>
      </c>
      <c r="C258" s="34" t="s">
        <v>14</v>
      </c>
      <c r="D258" s="34" t="s">
        <v>3181</v>
      </c>
      <c r="E258" s="35" t="s">
        <v>624</v>
      </c>
      <c r="F258" t="str" cm="1">
        <f t="array" ref="F258">IFERROR(_xlfn.XLOOKUP(E258,MapeoCargos!$A:$A,MapeoCargos!$B:$B,E258),E258)</f>
        <v>MOTORIZADO</v>
      </c>
      <c r="G258" s="45">
        <v>44755</v>
      </c>
    </row>
    <row r="259" spans="1:7" x14ac:dyDescent="0.2">
      <c r="A259" s="27" t="s">
        <v>3182</v>
      </c>
      <c r="B259" s="34" t="s">
        <v>3037</v>
      </c>
      <c r="C259" s="34" t="s">
        <v>14</v>
      </c>
      <c r="D259" s="34" t="s">
        <v>3183</v>
      </c>
      <c r="E259" s="35" t="s">
        <v>624</v>
      </c>
      <c r="F259" t="str" cm="1">
        <f t="array" ref="F259">IFERROR(_xlfn.XLOOKUP(E259,MapeoCargos!$A:$A,MapeoCargos!$B:$B,E259),E259)</f>
        <v>MOTORIZADO</v>
      </c>
      <c r="G259" s="45">
        <v>44755</v>
      </c>
    </row>
    <row r="260" spans="1:7" x14ac:dyDescent="0.2">
      <c r="A260" s="27" t="s">
        <v>3184</v>
      </c>
      <c r="B260" s="34" t="s">
        <v>3037</v>
      </c>
      <c r="C260" s="34" t="s">
        <v>14</v>
      </c>
      <c r="D260" s="34" t="s">
        <v>3185</v>
      </c>
      <c r="E260" s="35" t="s">
        <v>165</v>
      </c>
      <c r="F260" t="str" cm="1">
        <f t="array" ref="F260">IFERROR(_xlfn.XLOOKUP(E260,MapeoCargos!$A:$A,MapeoCargos!$B:$B,E260),E260)</f>
        <v>PACKER</v>
      </c>
      <c r="G260" s="45">
        <v>44755</v>
      </c>
    </row>
    <row r="261" spans="1:7" x14ac:dyDescent="0.2">
      <c r="A261" s="27" t="s">
        <v>3186</v>
      </c>
      <c r="B261" s="34" t="s">
        <v>3037</v>
      </c>
      <c r="C261" s="34" t="s">
        <v>14</v>
      </c>
      <c r="D261" s="34" t="s">
        <v>3187</v>
      </c>
      <c r="E261" s="35" t="s">
        <v>193</v>
      </c>
      <c r="F261" t="str" cm="1">
        <f t="array" ref="F261">IFERROR(_xlfn.XLOOKUP(E261,MapeoCargos!$A:$A,MapeoCargos!$B:$B,E261),E261)</f>
        <v>PRODUCCIÓN / COCINA</v>
      </c>
      <c r="G261" s="45">
        <v>44774</v>
      </c>
    </row>
    <row r="262" spans="1:7" x14ac:dyDescent="0.2">
      <c r="A262" s="27" t="s">
        <v>3188</v>
      </c>
      <c r="B262" s="34" t="s">
        <v>3037</v>
      </c>
      <c r="C262" s="34" t="s">
        <v>2670</v>
      </c>
      <c r="D262" s="34" t="s">
        <v>3189</v>
      </c>
      <c r="E262" s="35" t="s">
        <v>127</v>
      </c>
      <c r="F262" t="str" cm="1">
        <f t="array" ref="F262">IFERROR(_xlfn.XLOOKUP(E262,MapeoCargos!$A:$A,MapeoCargos!$B:$B,E262),E262)</f>
        <v>AZAFATA</v>
      </c>
      <c r="G262" s="45">
        <v>44774</v>
      </c>
    </row>
    <row r="263" spans="1:7" x14ac:dyDescent="0.2">
      <c r="A263" s="27" t="s">
        <v>3190</v>
      </c>
      <c r="B263" s="34" t="s">
        <v>3037</v>
      </c>
      <c r="C263" s="34" t="s">
        <v>14</v>
      </c>
      <c r="D263" s="34" t="s">
        <v>3191</v>
      </c>
      <c r="E263" s="35" t="s">
        <v>222</v>
      </c>
      <c r="F263" t="str" cm="1">
        <f t="array" ref="F263">IFERROR(_xlfn.XLOOKUP(E263,MapeoCargos!$A:$A,MapeoCargos!$B:$B,E263),E263)</f>
        <v>PRODUCCIÓN / COCINA</v>
      </c>
      <c r="G263" s="45">
        <v>44774</v>
      </c>
    </row>
    <row r="264" spans="1:7" x14ac:dyDescent="0.2">
      <c r="A264" s="27" t="s">
        <v>3192</v>
      </c>
      <c r="B264" s="34" t="s">
        <v>3037</v>
      </c>
      <c r="C264" s="34" t="s">
        <v>2458</v>
      </c>
      <c r="D264" s="34" t="s">
        <v>3193</v>
      </c>
      <c r="E264" s="35" t="s">
        <v>29</v>
      </c>
      <c r="F264" t="str" cm="1">
        <f t="array" ref="F264">IFERROR(_xlfn.XLOOKUP(E264,MapeoCargos!$A:$A,MapeoCargos!$B:$B,E264),E264)</f>
        <v>MOZO</v>
      </c>
      <c r="G264" s="45">
        <v>44774</v>
      </c>
    </row>
    <row r="265" spans="1:7" x14ac:dyDescent="0.2">
      <c r="A265" s="27" t="s">
        <v>321</v>
      </c>
      <c r="B265" s="34" t="s">
        <v>189</v>
      </c>
      <c r="C265" s="34" t="s">
        <v>20</v>
      </c>
      <c r="D265" s="34" t="s">
        <v>322</v>
      </c>
      <c r="E265" s="35" t="s">
        <v>126</v>
      </c>
      <c r="F265" t="str" cm="1">
        <f t="array" ref="F265">IFERROR(_xlfn.XLOOKUP(E265,MapeoCargos!$A:$A,MapeoCargos!$B:$B,E265),E265)</f>
        <v>MOTORIZADO</v>
      </c>
      <c r="G265" s="45">
        <v>44791</v>
      </c>
    </row>
    <row r="266" spans="1:7" x14ac:dyDescent="0.2">
      <c r="A266" s="27" t="s">
        <v>3194</v>
      </c>
      <c r="B266" s="34" t="s">
        <v>3037</v>
      </c>
      <c r="C266" s="34" t="s">
        <v>14</v>
      </c>
      <c r="D266" s="34" t="s">
        <v>3195</v>
      </c>
      <c r="E266" s="35" t="s">
        <v>83</v>
      </c>
      <c r="F266" t="str" cm="1">
        <f t="array" ref="F266">IFERROR(_xlfn.XLOOKUP(E266,MapeoCargos!$A:$A,MapeoCargos!$B:$B,E266),E266)</f>
        <v>PRODUCCIÓN / COCINA</v>
      </c>
      <c r="G266" s="45">
        <v>44805</v>
      </c>
    </row>
    <row r="267" spans="1:7" x14ac:dyDescent="0.2">
      <c r="A267" s="27" t="s">
        <v>3196</v>
      </c>
      <c r="B267" s="34" t="s">
        <v>3037</v>
      </c>
      <c r="C267" s="34" t="s">
        <v>2670</v>
      </c>
      <c r="D267" s="34" t="s">
        <v>3197</v>
      </c>
      <c r="E267" s="35" t="s">
        <v>193</v>
      </c>
      <c r="F267" t="str" cm="1">
        <f t="array" ref="F267">IFERROR(_xlfn.XLOOKUP(E267,MapeoCargos!$A:$A,MapeoCargos!$B:$B,E267),E267)</f>
        <v>PRODUCCIÓN / COCINA</v>
      </c>
      <c r="G267" s="45">
        <v>44805</v>
      </c>
    </row>
    <row r="268" spans="1:7" x14ac:dyDescent="0.2">
      <c r="A268" s="27" t="s">
        <v>3198</v>
      </c>
      <c r="B268" s="34" t="s">
        <v>3037</v>
      </c>
      <c r="C268" s="34" t="s">
        <v>3038</v>
      </c>
      <c r="D268" s="34" t="s">
        <v>3199</v>
      </c>
      <c r="E268" s="35" t="s">
        <v>2104</v>
      </c>
      <c r="F268" t="str" cm="1">
        <f t="array" ref="F268">IFERROR(_xlfn.XLOOKUP(E268,MapeoCargos!$A:$A,MapeoCargos!$B:$B,E268),E268)</f>
        <v>AUDITORIA</v>
      </c>
      <c r="G268" s="45">
        <v>44805</v>
      </c>
    </row>
    <row r="269" spans="1:7" x14ac:dyDescent="0.2">
      <c r="A269" s="27" t="s">
        <v>323</v>
      </c>
      <c r="B269" s="34" t="s">
        <v>189</v>
      </c>
      <c r="C269" s="34" t="s">
        <v>205</v>
      </c>
      <c r="D269" s="34" t="s">
        <v>324</v>
      </c>
      <c r="E269" s="35" t="s">
        <v>305</v>
      </c>
      <c r="F269" t="str" cm="1">
        <f t="array" ref="F269">IFERROR(_xlfn.XLOOKUP(E269,MapeoCargos!$A:$A,MapeoCargos!$B:$B,E269),E269)</f>
        <v>LIMPIEZA / MANTENIMIENTO</v>
      </c>
      <c r="G269" s="45">
        <v>44805</v>
      </c>
    </row>
    <row r="270" spans="1:7" x14ac:dyDescent="0.2">
      <c r="A270" s="27" t="s">
        <v>2359</v>
      </c>
      <c r="B270" s="34" t="s">
        <v>2078</v>
      </c>
      <c r="C270" s="34" t="s">
        <v>4</v>
      </c>
      <c r="D270" s="34" t="s">
        <v>2360</v>
      </c>
      <c r="E270" s="35" t="s">
        <v>126</v>
      </c>
      <c r="F270" t="str" cm="1">
        <f t="array" ref="F270">IFERROR(_xlfn.XLOOKUP(E270,MapeoCargos!$A:$A,MapeoCargos!$B:$B,E270),E270)</f>
        <v>MOTORIZADO</v>
      </c>
      <c r="G270" s="45">
        <v>44805</v>
      </c>
    </row>
    <row r="271" spans="1:7" x14ac:dyDescent="0.2">
      <c r="A271" s="27" t="s">
        <v>3880</v>
      </c>
      <c r="B271" s="34" t="s">
        <v>189</v>
      </c>
      <c r="C271" s="34" t="s">
        <v>195</v>
      </c>
      <c r="D271" s="34" t="s">
        <v>325</v>
      </c>
      <c r="E271" s="35" t="s">
        <v>326</v>
      </c>
      <c r="F271" t="str" cm="1">
        <f t="array" ref="F271">IFERROR(_xlfn.XLOOKUP(E271,MapeoCargos!$A:$A,MapeoCargos!$B:$B,E271),E271)</f>
        <v>ASISTENTE DE FINANZAS</v>
      </c>
      <c r="G271" s="45">
        <v>44805</v>
      </c>
    </row>
    <row r="272" spans="1:7" x14ac:dyDescent="0.2">
      <c r="A272" s="27" t="s">
        <v>2361</v>
      </c>
      <c r="B272" s="34" t="s">
        <v>2078</v>
      </c>
      <c r="C272" s="34" t="s">
        <v>2082</v>
      </c>
      <c r="D272" s="34" t="s">
        <v>2362</v>
      </c>
      <c r="E272" s="35" t="s">
        <v>305</v>
      </c>
      <c r="F272" t="str" cm="1">
        <f t="array" ref="F272">IFERROR(_xlfn.XLOOKUP(E272,MapeoCargos!$A:$A,MapeoCargos!$B:$B,E272),E272)</f>
        <v>LIMPIEZA / MANTENIMIENTO</v>
      </c>
      <c r="G272" s="45">
        <v>44809</v>
      </c>
    </row>
    <row r="273" spans="1:7" x14ac:dyDescent="0.2">
      <c r="A273" s="27" t="s">
        <v>3200</v>
      </c>
      <c r="B273" s="34" t="s">
        <v>3037</v>
      </c>
      <c r="C273" s="34" t="s">
        <v>2458</v>
      </c>
      <c r="D273" s="34" t="s">
        <v>3201</v>
      </c>
      <c r="E273" s="35" t="s">
        <v>29</v>
      </c>
      <c r="F273" t="str" cm="1">
        <f t="array" ref="F273">IFERROR(_xlfn.XLOOKUP(E273,MapeoCargos!$A:$A,MapeoCargos!$B:$B,E273),E273)</f>
        <v>MOZO</v>
      </c>
      <c r="G273" s="45">
        <v>44819</v>
      </c>
    </row>
    <row r="274" spans="1:7" x14ac:dyDescent="0.2">
      <c r="A274" s="27" t="s">
        <v>2363</v>
      </c>
      <c r="B274" s="34" t="s">
        <v>2078</v>
      </c>
      <c r="C274" s="34" t="s">
        <v>2079</v>
      </c>
      <c r="D274" s="34" t="s">
        <v>2364</v>
      </c>
      <c r="E274" s="35" t="s">
        <v>2365</v>
      </c>
      <c r="F274" t="str" cm="1">
        <f t="array" ref="F274">IFERROR(_xlfn.XLOOKUP(E274,MapeoCargos!$A:$A,MapeoCargos!$B:$B,E274),E274)</f>
        <v>ASISTENTE DE RECURSOS HUMANOS</v>
      </c>
      <c r="G274" s="45">
        <v>44823</v>
      </c>
    </row>
    <row r="275" spans="1:7" x14ac:dyDescent="0.2">
      <c r="A275" s="27" t="s">
        <v>2366</v>
      </c>
      <c r="B275" s="34" t="s">
        <v>2078</v>
      </c>
      <c r="C275" s="34" t="s">
        <v>2114</v>
      </c>
      <c r="D275" s="34" t="s">
        <v>2367</v>
      </c>
      <c r="E275" s="35" t="s">
        <v>29</v>
      </c>
      <c r="F275" t="str" cm="1">
        <f t="array" ref="F275">IFERROR(_xlfn.XLOOKUP(E275,MapeoCargos!$A:$A,MapeoCargos!$B:$B,E275),E275)</f>
        <v>MOZO</v>
      </c>
      <c r="G275" s="45">
        <v>44835</v>
      </c>
    </row>
    <row r="276" spans="1:7" x14ac:dyDescent="0.2">
      <c r="A276" s="27" t="s">
        <v>3881</v>
      </c>
      <c r="B276" s="34" t="s">
        <v>189</v>
      </c>
      <c r="C276" s="34" t="s">
        <v>205</v>
      </c>
      <c r="D276" s="34" t="s">
        <v>327</v>
      </c>
      <c r="E276" s="35" t="s">
        <v>30</v>
      </c>
      <c r="F276" t="str" cm="1">
        <f t="array" ref="F276">IFERROR(_xlfn.XLOOKUP(E276,MapeoCargos!$A:$A,MapeoCargos!$B:$B,E276),E276)</f>
        <v>STAFF ADMINISTRATIVO</v>
      </c>
      <c r="G276" s="45">
        <v>44837</v>
      </c>
    </row>
    <row r="277" spans="1:7" x14ac:dyDescent="0.2">
      <c r="A277" s="27" t="s">
        <v>2368</v>
      </c>
      <c r="B277" s="34" t="s">
        <v>2078</v>
      </c>
      <c r="C277" s="34" t="s">
        <v>8</v>
      </c>
      <c r="D277" s="34" t="s">
        <v>2369</v>
      </c>
      <c r="E277" s="35" t="s">
        <v>126</v>
      </c>
      <c r="F277" t="str" cm="1">
        <f t="array" ref="F277">IFERROR(_xlfn.XLOOKUP(E277,MapeoCargos!$A:$A,MapeoCargos!$B:$B,E277),E277)</f>
        <v>MOTORIZADO</v>
      </c>
      <c r="G277" s="45">
        <v>44839</v>
      </c>
    </row>
    <row r="278" spans="1:7" x14ac:dyDescent="0.2">
      <c r="A278" s="27" t="s">
        <v>328</v>
      </c>
      <c r="B278" s="34" t="s">
        <v>189</v>
      </c>
      <c r="C278" s="34" t="s">
        <v>18</v>
      </c>
      <c r="D278" s="34" t="s">
        <v>329</v>
      </c>
      <c r="E278" s="35" t="s">
        <v>222</v>
      </c>
      <c r="F278" t="str" cm="1">
        <f t="array" ref="F278">IFERROR(_xlfn.XLOOKUP(E278,MapeoCargos!$A:$A,MapeoCargos!$B:$B,E278),E278)</f>
        <v>PRODUCCIÓN / COCINA</v>
      </c>
      <c r="G278" s="45">
        <v>44855</v>
      </c>
    </row>
    <row r="279" spans="1:7" x14ac:dyDescent="0.2">
      <c r="A279" s="27" t="s">
        <v>2370</v>
      </c>
      <c r="B279" s="34" t="s">
        <v>2078</v>
      </c>
      <c r="C279" s="34" t="s">
        <v>5</v>
      </c>
      <c r="D279" s="34" t="s">
        <v>2371</v>
      </c>
      <c r="E279" s="35" t="s">
        <v>126</v>
      </c>
      <c r="F279" t="str" cm="1">
        <f t="array" ref="F279">IFERROR(_xlfn.XLOOKUP(E279,MapeoCargos!$A:$A,MapeoCargos!$B:$B,E279),E279)</f>
        <v>MOTORIZADO</v>
      </c>
      <c r="G279" s="45">
        <v>44866</v>
      </c>
    </row>
    <row r="280" spans="1:7" x14ac:dyDescent="0.2">
      <c r="A280" s="27" t="s">
        <v>330</v>
      </c>
      <c r="B280" s="34" t="s">
        <v>189</v>
      </c>
      <c r="C280" s="34" t="s">
        <v>21</v>
      </c>
      <c r="D280" s="34" t="s">
        <v>331</v>
      </c>
      <c r="E280" s="35" t="s">
        <v>126</v>
      </c>
      <c r="F280" t="str" cm="1">
        <f t="array" ref="F280">IFERROR(_xlfn.XLOOKUP(E280,MapeoCargos!$A:$A,MapeoCargos!$B:$B,E280),E280)</f>
        <v>MOTORIZADO</v>
      </c>
      <c r="G280" s="45">
        <v>44866</v>
      </c>
    </row>
    <row r="281" spans="1:7" x14ac:dyDescent="0.2">
      <c r="A281" s="27" t="s">
        <v>3202</v>
      </c>
      <c r="B281" s="34" t="s">
        <v>3037</v>
      </c>
      <c r="C281" s="34" t="s">
        <v>2670</v>
      </c>
      <c r="D281" s="34" t="s">
        <v>3203</v>
      </c>
      <c r="E281" s="35" t="s">
        <v>222</v>
      </c>
      <c r="F281" t="str" cm="1">
        <f t="array" ref="F281">IFERROR(_xlfn.XLOOKUP(E281,MapeoCargos!$A:$A,MapeoCargos!$B:$B,E281),E281)</f>
        <v>PRODUCCIÓN / COCINA</v>
      </c>
      <c r="G281" s="45">
        <v>44867</v>
      </c>
    </row>
    <row r="282" spans="1:7" x14ac:dyDescent="0.2">
      <c r="A282" s="27" t="s">
        <v>2372</v>
      </c>
      <c r="B282" s="34" t="s">
        <v>2078</v>
      </c>
      <c r="C282" s="34" t="s">
        <v>2082</v>
      </c>
      <c r="D282" s="34" t="s">
        <v>2373</v>
      </c>
      <c r="E282" s="35" t="s">
        <v>200</v>
      </c>
      <c r="F282" t="str" cm="1">
        <f t="array" ref="F282">IFERROR(_xlfn.XLOOKUP(E282,MapeoCargos!$A:$A,MapeoCargos!$B:$B,E282),E282)</f>
        <v>SEGURIDAD</v>
      </c>
      <c r="G282" s="45">
        <v>44867</v>
      </c>
    </row>
    <row r="283" spans="1:7" x14ac:dyDescent="0.2">
      <c r="A283" s="27" t="s">
        <v>2374</v>
      </c>
      <c r="B283" s="34" t="s">
        <v>2078</v>
      </c>
      <c r="C283" s="34" t="s">
        <v>5</v>
      </c>
      <c r="D283" s="34" t="s">
        <v>2375</v>
      </c>
      <c r="E283" s="35" t="s">
        <v>83</v>
      </c>
      <c r="F283" t="str" cm="1">
        <f t="array" ref="F283">IFERROR(_xlfn.XLOOKUP(E283,MapeoCargos!$A:$A,MapeoCargos!$B:$B,E283),E283)</f>
        <v>PRODUCCIÓN / COCINA</v>
      </c>
      <c r="G283" s="45">
        <v>44869</v>
      </c>
    </row>
    <row r="284" spans="1:7" x14ac:dyDescent="0.2">
      <c r="A284" s="27" t="s">
        <v>2376</v>
      </c>
      <c r="B284" s="34" t="s">
        <v>2078</v>
      </c>
      <c r="C284" s="34" t="s">
        <v>4</v>
      </c>
      <c r="D284" s="34" t="s">
        <v>2377</v>
      </c>
      <c r="E284" s="35" t="s">
        <v>29</v>
      </c>
      <c r="F284" t="str" cm="1">
        <f t="array" ref="F284">IFERROR(_xlfn.XLOOKUP(E284,MapeoCargos!$A:$A,MapeoCargos!$B:$B,E284),E284)</f>
        <v>MOZO</v>
      </c>
      <c r="G284" s="45">
        <v>44872</v>
      </c>
    </row>
    <row r="285" spans="1:7" x14ac:dyDescent="0.2">
      <c r="A285" s="27" t="s">
        <v>2378</v>
      </c>
      <c r="B285" s="34" t="s">
        <v>2078</v>
      </c>
      <c r="C285" s="34" t="s">
        <v>2</v>
      </c>
      <c r="D285" s="34" t="s">
        <v>2379</v>
      </c>
      <c r="E285" s="35" t="s">
        <v>160</v>
      </c>
      <c r="F285" t="str" cm="1">
        <f t="array" ref="F285">IFERROR(_xlfn.XLOOKUP(E285,MapeoCargos!$A:$A,MapeoCargos!$B:$B,E285),E285)</f>
        <v>PACKER</v>
      </c>
      <c r="G285" s="45">
        <v>44896</v>
      </c>
    </row>
    <row r="286" spans="1:7" x14ac:dyDescent="0.2">
      <c r="A286" s="27" t="s">
        <v>332</v>
      </c>
      <c r="B286" s="34" t="s">
        <v>189</v>
      </c>
      <c r="C286" s="34" t="s">
        <v>195</v>
      </c>
      <c r="D286" s="34" t="s">
        <v>333</v>
      </c>
      <c r="E286" s="35" t="s">
        <v>326</v>
      </c>
      <c r="F286" t="str" cm="1">
        <f t="array" ref="F286">IFERROR(_xlfn.XLOOKUP(E286,MapeoCargos!$A:$A,MapeoCargos!$B:$B,E286),E286)</f>
        <v>ASISTENTE DE FINANZAS</v>
      </c>
      <c r="G286" s="45">
        <v>44910</v>
      </c>
    </row>
    <row r="287" spans="1:7" x14ac:dyDescent="0.2">
      <c r="A287" s="27" t="s">
        <v>334</v>
      </c>
      <c r="B287" s="34" t="s">
        <v>189</v>
      </c>
      <c r="C287" s="34" t="s">
        <v>17</v>
      </c>
      <c r="D287" s="34" t="s">
        <v>335</v>
      </c>
      <c r="E287" s="35" t="s">
        <v>193</v>
      </c>
      <c r="F287" t="str" cm="1">
        <f t="array" ref="F287">IFERROR(_xlfn.XLOOKUP(E287,MapeoCargos!$A:$A,MapeoCargos!$B:$B,E287),E287)</f>
        <v>PRODUCCIÓN / COCINA</v>
      </c>
      <c r="G287" s="45">
        <v>44911</v>
      </c>
    </row>
    <row r="288" spans="1:7" x14ac:dyDescent="0.2">
      <c r="A288" s="27" t="s">
        <v>338</v>
      </c>
      <c r="B288" s="34" t="s">
        <v>189</v>
      </c>
      <c r="C288" s="34" t="s">
        <v>18</v>
      </c>
      <c r="D288" s="34" t="s">
        <v>339</v>
      </c>
      <c r="E288" s="35" t="s">
        <v>126</v>
      </c>
      <c r="F288" t="str" cm="1">
        <f t="array" ref="F288">IFERROR(_xlfn.XLOOKUP(E288,MapeoCargos!$A:$A,MapeoCargos!$B:$B,E288),E288)</f>
        <v>MOTORIZADO</v>
      </c>
      <c r="G288" s="45">
        <v>44927</v>
      </c>
    </row>
    <row r="289" spans="1:7" x14ac:dyDescent="0.2">
      <c r="A289" s="27" t="s">
        <v>2380</v>
      </c>
      <c r="B289" s="34" t="s">
        <v>2078</v>
      </c>
      <c r="C289" s="34" t="s">
        <v>2079</v>
      </c>
      <c r="D289" s="34" t="s">
        <v>2381</v>
      </c>
      <c r="E289" s="35" t="s">
        <v>222</v>
      </c>
      <c r="F289" t="str" cm="1">
        <f t="array" ref="F289">IFERROR(_xlfn.XLOOKUP(E289,MapeoCargos!$A:$A,MapeoCargos!$B:$B,E289),E289)</f>
        <v>PRODUCCIÓN / COCINA</v>
      </c>
      <c r="G289" s="45">
        <v>44927</v>
      </c>
    </row>
    <row r="290" spans="1:7" x14ac:dyDescent="0.2">
      <c r="A290" s="27" t="s">
        <v>340</v>
      </c>
      <c r="B290" s="34" t="s">
        <v>189</v>
      </c>
      <c r="C290" s="34" t="s">
        <v>195</v>
      </c>
      <c r="D290" s="34" t="s">
        <v>341</v>
      </c>
      <c r="E290" s="35" t="s">
        <v>342</v>
      </c>
      <c r="F290" t="str" cm="1">
        <f t="array" ref="F290">IFERROR(_xlfn.XLOOKUP(E290,MapeoCargos!$A:$A,MapeoCargos!$B:$B,E290),E290)</f>
        <v>RECEPCION</v>
      </c>
      <c r="G290" s="45">
        <v>44927</v>
      </c>
    </row>
    <row r="291" spans="1:7" x14ac:dyDescent="0.2">
      <c r="A291" s="27" t="s">
        <v>343</v>
      </c>
      <c r="B291" s="34" t="s">
        <v>189</v>
      </c>
      <c r="C291" s="34" t="s">
        <v>18</v>
      </c>
      <c r="D291" s="34" t="s">
        <v>344</v>
      </c>
      <c r="E291" s="35" t="s">
        <v>305</v>
      </c>
      <c r="F291" t="str" cm="1">
        <f t="array" ref="F291">IFERROR(_xlfn.XLOOKUP(E291,MapeoCargos!$A:$A,MapeoCargos!$B:$B,E291),E291)</f>
        <v>LIMPIEZA / MANTENIMIENTO</v>
      </c>
      <c r="G291" s="45">
        <v>44927</v>
      </c>
    </row>
    <row r="292" spans="1:7" x14ac:dyDescent="0.2">
      <c r="A292" s="27" t="s">
        <v>4498</v>
      </c>
      <c r="B292" s="34" t="s">
        <v>2078</v>
      </c>
      <c r="C292" s="34" t="s">
        <v>2079</v>
      </c>
      <c r="D292" s="34" t="s">
        <v>281</v>
      </c>
      <c r="E292" s="35" t="s">
        <v>326</v>
      </c>
      <c r="F292" t="str" cm="1">
        <f t="array" ref="F292">IFERROR(_xlfn.XLOOKUP(E292,MapeoCargos!$A:$A,MapeoCargos!$B:$B,E292),E292)</f>
        <v>ASISTENTE DE FINANZAS</v>
      </c>
      <c r="G292" s="45">
        <v>44927</v>
      </c>
    </row>
    <row r="293" spans="1:7" x14ac:dyDescent="0.2">
      <c r="A293" s="27" t="s">
        <v>345</v>
      </c>
      <c r="B293" s="34" t="s">
        <v>189</v>
      </c>
      <c r="C293" s="34" t="s">
        <v>195</v>
      </c>
      <c r="D293" s="34" t="s">
        <v>346</v>
      </c>
      <c r="E293" s="35" t="s">
        <v>326</v>
      </c>
      <c r="F293" t="str" cm="1">
        <f t="array" ref="F293">IFERROR(_xlfn.XLOOKUP(E293,MapeoCargos!$A:$A,MapeoCargos!$B:$B,E293),E293)</f>
        <v>ASISTENTE DE FINANZAS</v>
      </c>
      <c r="G293" s="45">
        <v>44928</v>
      </c>
    </row>
    <row r="294" spans="1:7" x14ac:dyDescent="0.2">
      <c r="A294" s="27" t="s">
        <v>3204</v>
      </c>
      <c r="B294" s="34" t="s">
        <v>3037</v>
      </c>
      <c r="C294" s="34" t="s">
        <v>2670</v>
      </c>
      <c r="D294" s="34" t="s">
        <v>3205</v>
      </c>
      <c r="E294" s="35" t="s">
        <v>231</v>
      </c>
      <c r="F294" t="str" cm="1">
        <f t="array" ref="F294">IFERROR(_xlfn.XLOOKUP(E294,MapeoCargos!$A:$A,MapeoCargos!$B:$B,E294),E294)</f>
        <v xml:space="preserve">CAJA </v>
      </c>
      <c r="G294" s="45">
        <v>44935</v>
      </c>
    </row>
    <row r="295" spans="1:7" x14ac:dyDescent="0.2">
      <c r="A295" s="27" t="s">
        <v>3206</v>
      </c>
      <c r="B295" s="34" t="s">
        <v>3037</v>
      </c>
      <c r="C295" s="34" t="s">
        <v>14</v>
      </c>
      <c r="D295" s="34" t="s">
        <v>3207</v>
      </c>
      <c r="E295" s="35" t="s">
        <v>482</v>
      </c>
      <c r="F295" t="str" cm="1">
        <f t="array" ref="F295">IFERROR(_xlfn.XLOOKUP(E295,MapeoCargos!$A:$A,MapeoCargos!$B:$B,E295),E295)</f>
        <v>PRODUCCIÓN / COCINA</v>
      </c>
      <c r="G295" s="45">
        <v>44935</v>
      </c>
    </row>
    <row r="296" spans="1:7" x14ac:dyDescent="0.2">
      <c r="A296" s="27" t="s">
        <v>2382</v>
      </c>
      <c r="B296" s="34" t="s">
        <v>2078</v>
      </c>
      <c r="C296" s="34" t="s">
        <v>2</v>
      </c>
      <c r="D296" s="34" t="s">
        <v>2383</v>
      </c>
      <c r="E296" s="35" t="s">
        <v>30</v>
      </c>
      <c r="F296" t="str" cm="1">
        <f t="array" ref="F296">IFERROR(_xlfn.XLOOKUP(E296,MapeoCargos!$A:$A,MapeoCargos!$B:$B,E296),E296)</f>
        <v>STAFF ADMINISTRATIVO</v>
      </c>
      <c r="G296" s="45">
        <v>44937</v>
      </c>
    </row>
    <row r="297" spans="1:7" x14ac:dyDescent="0.2">
      <c r="A297" s="27" t="s">
        <v>3208</v>
      </c>
      <c r="B297" s="34" t="s">
        <v>3037</v>
      </c>
      <c r="C297" s="34" t="s">
        <v>14</v>
      </c>
      <c r="D297" s="34" t="s">
        <v>3209</v>
      </c>
      <c r="E297" s="35" t="s">
        <v>222</v>
      </c>
      <c r="F297" t="str" cm="1">
        <f t="array" ref="F297">IFERROR(_xlfn.XLOOKUP(E297,MapeoCargos!$A:$A,MapeoCargos!$B:$B,E297),E297)</f>
        <v>PRODUCCIÓN / COCINA</v>
      </c>
      <c r="G297" s="45">
        <v>44942</v>
      </c>
    </row>
    <row r="298" spans="1:7" x14ac:dyDescent="0.2">
      <c r="A298" s="27" t="s">
        <v>2384</v>
      </c>
      <c r="B298" s="34" t="s">
        <v>2078</v>
      </c>
      <c r="C298" s="34" t="s">
        <v>2114</v>
      </c>
      <c r="D298" s="34" t="s">
        <v>2385</v>
      </c>
      <c r="E298" s="35" t="s">
        <v>231</v>
      </c>
      <c r="F298" t="str" cm="1">
        <f t="array" ref="F298">IFERROR(_xlfn.XLOOKUP(E298,MapeoCargos!$A:$A,MapeoCargos!$B:$B,E298),E298)</f>
        <v xml:space="preserve">CAJA </v>
      </c>
      <c r="G298" s="45">
        <v>44942</v>
      </c>
    </row>
    <row r="299" spans="1:7" x14ac:dyDescent="0.2">
      <c r="A299" s="27" t="s">
        <v>2386</v>
      </c>
      <c r="B299" s="34" t="s">
        <v>2078</v>
      </c>
      <c r="C299" s="34" t="s">
        <v>2079</v>
      </c>
      <c r="D299" s="34" t="s">
        <v>2387</v>
      </c>
      <c r="E299" s="35" t="s">
        <v>349</v>
      </c>
      <c r="F299" t="str" cm="1">
        <f t="array" ref="F299">IFERROR(_xlfn.XLOOKUP(E299,MapeoCargos!$A:$A,MapeoCargos!$B:$B,E299),E299)</f>
        <v>ASISTENTE DE RECLUTAMIENTO Y SELECCION</v>
      </c>
      <c r="G299" s="45">
        <v>44943</v>
      </c>
    </row>
    <row r="300" spans="1:7" x14ac:dyDescent="0.2">
      <c r="A300" s="27" t="s">
        <v>347</v>
      </c>
      <c r="B300" s="34" t="s">
        <v>189</v>
      </c>
      <c r="C300" s="34" t="s">
        <v>195</v>
      </c>
      <c r="D300" s="34" t="s">
        <v>348</v>
      </c>
      <c r="E300" s="35" t="s">
        <v>349</v>
      </c>
      <c r="F300" t="str" cm="1">
        <f t="array" ref="F300">IFERROR(_xlfn.XLOOKUP(E300,MapeoCargos!$A:$A,MapeoCargos!$B:$B,E300),E300)</f>
        <v>ASISTENTE DE RECLUTAMIENTO Y SELECCION</v>
      </c>
      <c r="G300" s="45">
        <v>44943</v>
      </c>
    </row>
    <row r="301" spans="1:7" x14ac:dyDescent="0.2">
      <c r="A301" s="27" t="s">
        <v>2388</v>
      </c>
      <c r="B301" s="34" t="s">
        <v>2078</v>
      </c>
      <c r="C301" s="34" t="s">
        <v>2082</v>
      </c>
      <c r="D301" s="34" t="s">
        <v>2389</v>
      </c>
      <c r="E301" s="35" t="s">
        <v>160</v>
      </c>
      <c r="F301" t="str" cm="1">
        <f t="array" ref="F301">IFERROR(_xlfn.XLOOKUP(E301,MapeoCargos!$A:$A,MapeoCargos!$B:$B,E301),E301)</f>
        <v>PACKER</v>
      </c>
      <c r="G301" s="45">
        <v>44949</v>
      </c>
    </row>
    <row r="302" spans="1:7" x14ac:dyDescent="0.2">
      <c r="A302" s="27" t="s">
        <v>3210</v>
      </c>
      <c r="B302" s="34" t="s">
        <v>3037</v>
      </c>
      <c r="C302" s="34" t="s">
        <v>3038</v>
      </c>
      <c r="D302" s="34" t="s">
        <v>3211</v>
      </c>
      <c r="E302" s="35" t="s">
        <v>326</v>
      </c>
      <c r="F302" t="str" cm="1">
        <f t="array" ref="F302">IFERROR(_xlfn.XLOOKUP(E302,MapeoCargos!$A:$A,MapeoCargos!$B:$B,E302),E302)</f>
        <v>ASISTENTE DE FINANZAS</v>
      </c>
      <c r="G302" s="45">
        <v>44949</v>
      </c>
    </row>
    <row r="303" spans="1:7" x14ac:dyDescent="0.2">
      <c r="A303" s="27" t="s">
        <v>3212</v>
      </c>
      <c r="B303" s="34" t="s">
        <v>3037</v>
      </c>
      <c r="C303" s="34" t="s">
        <v>14</v>
      </c>
      <c r="D303" s="34" t="s">
        <v>3213</v>
      </c>
      <c r="E303" s="35" t="s">
        <v>365</v>
      </c>
      <c r="F303" t="str" cm="1">
        <f t="array" ref="F303">IFERROR(_xlfn.XLOOKUP(E303,MapeoCargos!$A:$A,MapeoCargos!$B:$B,E303),E303)</f>
        <v xml:space="preserve">BARTENDER </v>
      </c>
      <c r="G303" s="45">
        <v>44958</v>
      </c>
    </row>
    <row r="304" spans="1:7" x14ac:dyDescent="0.2">
      <c r="A304" s="27" t="s">
        <v>2390</v>
      </c>
      <c r="B304" s="34" t="s">
        <v>2078</v>
      </c>
      <c r="C304" s="34" t="s">
        <v>2211</v>
      </c>
      <c r="D304" s="34" t="s">
        <v>2391</v>
      </c>
      <c r="E304" s="35" t="s">
        <v>312</v>
      </c>
      <c r="F304" t="str" cm="1">
        <f t="array" ref="F304">IFERROR(_xlfn.XLOOKUP(E304,MapeoCargos!$A:$A,MapeoCargos!$B:$B,E304),E304)</f>
        <v>TELEOPERADOR (A) P/T</v>
      </c>
      <c r="G304" s="45">
        <v>44960</v>
      </c>
    </row>
    <row r="305" spans="1:7" x14ac:dyDescent="0.2">
      <c r="A305" s="27" t="s">
        <v>3214</v>
      </c>
      <c r="B305" s="34" t="s">
        <v>3037</v>
      </c>
      <c r="C305" s="34" t="s">
        <v>3038</v>
      </c>
      <c r="D305" s="34" t="s">
        <v>3215</v>
      </c>
      <c r="E305" s="35" t="s">
        <v>2365</v>
      </c>
      <c r="F305" t="str" cm="1">
        <f t="array" ref="F305">IFERROR(_xlfn.XLOOKUP(E305,MapeoCargos!$A:$A,MapeoCargos!$B:$B,E305),E305)</f>
        <v>ASISTENTE DE RECURSOS HUMANOS</v>
      </c>
      <c r="G305" s="45">
        <v>44963</v>
      </c>
    </row>
    <row r="306" spans="1:7" x14ac:dyDescent="0.2">
      <c r="A306" s="27" t="s">
        <v>2392</v>
      </c>
      <c r="B306" s="34" t="s">
        <v>2078</v>
      </c>
      <c r="C306" s="34" t="s">
        <v>2079</v>
      </c>
      <c r="D306" s="34" t="s">
        <v>2393</v>
      </c>
      <c r="E306" s="35" t="s">
        <v>2104</v>
      </c>
      <c r="F306" t="str" cm="1">
        <f t="array" ref="F306">IFERROR(_xlfn.XLOOKUP(E306,MapeoCargos!$A:$A,MapeoCargos!$B:$B,E306),E306)</f>
        <v>AUDITORIA</v>
      </c>
      <c r="G306" s="45">
        <v>44964</v>
      </c>
    </row>
    <row r="307" spans="1:7" x14ac:dyDescent="0.2">
      <c r="A307" s="27" t="s">
        <v>2394</v>
      </c>
      <c r="B307" s="34" t="s">
        <v>2078</v>
      </c>
      <c r="C307" s="34" t="s">
        <v>2114</v>
      </c>
      <c r="D307" s="34" t="s">
        <v>2395</v>
      </c>
      <c r="E307" s="35" t="s">
        <v>305</v>
      </c>
      <c r="F307" t="str" cm="1">
        <f t="array" ref="F307">IFERROR(_xlfn.XLOOKUP(E307,MapeoCargos!$A:$A,MapeoCargos!$B:$B,E307),E307)</f>
        <v>LIMPIEZA / MANTENIMIENTO</v>
      </c>
      <c r="G307" s="45">
        <v>44964</v>
      </c>
    </row>
    <row r="308" spans="1:7" x14ac:dyDescent="0.2">
      <c r="A308" s="27" t="s">
        <v>3216</v>
      </c>
      <c r="B308" s="34" t="s">
        <v>3037</v>
      </c>
      <c r="C308" s="34" t="s">
        <v>2458</v>
      </c>
      <c r="D308" s="34" t="s">
        <v>3217</v>
      </c>
      <c r="E308" s="35" t="s">
        <v>83</v>
      </c>
      <c r="F308" t="str" cm="1">
        <f t="array" ref="F308">IFERROR(_xlfn.XLOOKUP(E308,MapeoCargos!$A:$A,MapeoCargos!$B:$B,E308),E308)</f>
        <v>PRODUCCIÓN / COCINA</v>
      </c>
      <c r="G308" s="45">
        <v>44966</v>
      </c>
    </row>
    <row r="309" spans="1:7" x14ac:dyDescent="0.2">
      <c r="A309" s="27" t="s">
        <v>350</v>
      </c>
      <c r="B309" s="34" t="s">
        <v>189</v>
      </c>
      <c r="C309" s="34" t="s">
        <v>19</v>
      </c>
      <c r="D309" s="34" t="s">
        <v>351</v>
      </c>
      <c r="E309" s="35" t="s">
        <v>29</v>
      </c>
      <c r="F309" t="str" cm="1">
        <f t="array" ref="F309">IFERROR(_xlfn.XLOOKUP(E309,MapeoCargos!$A:$A,MapeoCargos!$B:$B,E309),E309)</f>
        <v>MOZO</v>
      </c>
      <c r="G309" s="45">
        <v>44970</v>
      </c>
    </row>
    <row r="310" spans="1:7" x14ac:dyDescent="0.2">
      <c r="A310" s="27" t="s">
        <v>2396</v>
      </c>
      <c r="B310" s="34" t="s">
        <v>2078</v>
      </c>
      <c r="C310" s="34" t="s">
        <v>2082</v>
      </c>
      <c r="D310" s="34" t="s">
        <v>2397</v>
      </c>
      <c r="E310" s="35" t="s">
        <v>126</v>
      </c>
      <c r="F310" t="str" cm="1">
        <f t="array" ref="F310">IFERROR(_xlfn.XLOOKUP(E310,MapeoCargos!$A:$A,MapeoCargos!$B:$B,E310),E310)</f>
        <v>MOTORIZADO</v>
      </c>
      <c r="G310" s="45">
        <v>44971</v>
      </c>
    </row>
    <row r="311" spans="1:7" x14ac:dyDescent="0.2">
      <c r="A311" s="27" t="s">
        <v>3218</v>
      </c>
      <c r="B311" s="34" t="s">
        <v>3037</v>
      </c>
      <c r="C311" s="34" t="s">
        <v>2670</v>
      </c>
      <c r="D311" s="34" t="s">
        <v>3219</v>
      </c>
      <c r="E311" s="35" t="s">
        <v>30</v>
      </c>
      <c r="F311" t="str" cm="1">
        <f t="array" ref="F311">IFERROR(_xlfn.XLOOKUP(E311,MapeoCargos!$A:$A,MapeoCargos!$B:$B,E311),E311)</f>
        <v>STAFF ADMINISTRATIVO</v>
      </c>
      <c r="G311" s="45">
        <v>44977</v>
      </c>
    </row>
    <row r="312" spans="1:7" x14ac:dyDescent="0.2">
      <c r="A312" s="27" t="s">
        <v>352</v>
      </c>
      <c r="B312" s="34" t="s">
        <v>189</v>
      </c>
      <c r="C312" s="34" t="s">
        <v>18</v>
      </c>
      <c r="D312" s="34" t="s">
        <v>353</v>
      </c>
      <c r="E312" s="35" t="s">
        <v>83</v>
      </c>
      <c r="F312" t="str" cm="1">
        <f t="array" ref="F312">IFERROR(_xlfn.XLOOKUP(E312,MapeoCargos!$A:$A,MapeoCargos!$B:$B,E312),E312)</f>
        <v>PRODUCCIÓN / COCINA</v>
      </c>
      <c r="G312" s="45">
        <v>44986</v>
      </c>
    </row>
    <row r="313" spans="1:7" x14ac:dyDescent="0.2">
      <c r="A313" s="27" t="s">
        <v>2398</v>
      </c>
      <c r="B313" s="34" t="s">
        <v>2078</v>
      </c>
      <c r="C313" s="34" t="s">
        <v>16</v>
      </c>
      <c r="D313" s="34" t="s">
        <v>2399</v>
      </c>
      <c r="E313" s="35" t="s">
        <v>30</v>
      </c>
      <c r="F313" t="str" cm="1">
        <f t="array" ref="F313">IFERROR(_xlfn.XLOOKUP(E313,MapeoCargos!$A:$A,MapeoCargos!$B:$B,E313),E313)</f>
        <v>STAFF ADMINISTRATIVO</v>
      </c>
      <c r="G313" s="45">
        <v>44986</v>
      </c>
    </row>
    <row r="314" spans="1:7" x14ac:dyDescent="0.2">
      <c r="A314" s="27" t="s">
        <v>2401</v>
      </c>
      <c r="B314" s="34" t="s">
        <v>2078</v>
      </c>
      <c r="C314" s="34" t="s">
        <v>2</v>
      </c>
      <c r="D314" s="34" t="s">
        <v>2402</v>
      </c>
      <c r="E314" s="35" t="s">
        <v>126</v>
      </c>
      <c r="F314" t="str" cm="1">
        <f t="array" ref="F314">IFERROR(_xlfn.XLOOKUP(E314,MapeoCargos!$A:$A,MapeoCargos!$B:$B,E314),E314)</f>
        <v>MOTORIZADO</v>
      </c>
      <c r="G314" s="45">
        <v>44986</v>
      </c>
    </row>
    <row r="315" spans="1:7" x14ac:dyDescent="0.2">
      <c r="A315" s="27" t="s">
        <v>2403</v>
      </c>
      <c r="B315" s="34" t="s">
        <v>2078</v>
      </c>
      <c r="C315" s="34" t="s">
        <v>2211</v>
      </c>
      <c r="D315" s="34" t="s">
        <v>2404</v>
      </c>
      <c r="E315" s="35" t="s">
        <v>312</v>
      </c>
      <c r="F315" t="str" cm="1">
        <f t="array" ref="F315">IFERROR(_xlfn.XLOOKUP(E315,MapeoCargos!$A:$A,MapeoCargos!$B:$B,E315),E315)</f>
        <v>TELEOPERADOR (A) P/T</v>
      </c>
      <c r="G315" s="45">
        <v>44986</v>
      </c>
    </row>
    <row r="316" spans="1:7" x14ac:dyDescent="0.2">
      <c r="A316" s="27" t="s">
        <v>354</v>
      </c>
      <c r="B316" s="34" t="s">
        <v>189</v>
      </c>
      <c r="C316" s="34" t="s">
        <v>19</v>
      </c>
      <c r="D316" s="34" t="s">
        <v>355</v>
      </c>
      <c r="E316" s="35" t="s">
        <v>126</v>
      </c>
      <c r="F316" t="str" cm="1">
        <f t="array" ref="F316">IFERROR(_xlfn.XLOOKUP(E316,MapeoCargos!$A:$A,MapeoCargos!$B:$B,E316),E316)</f>
        <v>MOTORIZADO</v>
      </c>
      <c r="G316" s="45">
        <v>44992</v>
      </c>
    </row>
    <row r="317" spans="1:7" x14ac:dyDescent="0.2">
      <c r="A317" s="27" t="s">
        <v>356</v>
      </c>
      <c r="B317" s="34" t="s">
        <v>189</v>
      </c>
      <c r="C317" s="34" t="s">
        <v>19</v>
      </c>
      <c r="D317" s="34" t="s">
        <v>357</v>
      </c>
      <c r="E317" s="35" t="s">
        <v>231</v>
      </c>
      <c r="F317" t="str" cm="1">
        <f t="array" ref="F317">IFERROR(_xlfn.XLOOKUP(E317,MapeoCargos!$A:$A,MapeoCargos!$B:$B,E317),E317)</f>
        <v xml:space="preserve">CAJA </v>
      </c>
      <c r="G317" s="45">
        <v>44992</v>
      </c>
    </row>
    <row r="318" spans="1:7" x14ac:dyDescent="0.2">
      <c r="A318" s="27" t="s">
        <v>358</v>
      </c>
      <c r="B318" s="34" t="s">
        <v>189</v>
      </c>
      <c r="C318" s="34" t="s">
        <v>205</v>
      </c>
      <c r="D318" s="34" t="s">
        <v>359</v>
      </c>
      <c r="E318" s="35" t="s">
        <v>360</v>
      </c>
      <c r="F318" t="str" cm="1">
        <f t="array" ref="F318">IFERROR(_xlfn.XLOOKUP(E318,MapeoCargos!$A:$A,MapeoCargos!$B:$B,E318),E318)</f>
        <v>PRODUCCIÓN / COCINA</v>
      </c>
      <c r="G318" s="45">
        <v>44999</v>
      </c>
    </row>
    <row r="319" spans="1:7" x14ac:dyDescent="0.2">
      <c r="A319" s="27" t="s">
        <v>361</v>
      </c>
      <c r="B319" s="34" t="s">
        <v>189</v>
      </c>
      <c r="C319" s="34" t="s">
        <v>17</v>
      </c>
      <c r="D319" s="34" t="s">
        <v>362</v>
      </c>
      <c r="E319" s="35" t="s">
        <v>231</v>
      </c>
      <c r="F319" t="str" cm="1">
        <f t="array" ref="F319">IFERROR(_xlfn.XLOOKUP(E319,MapeoCargos!$A:$A,MapeoCargos!$B:$B,E319),E319)</f>
        <v xml:space="preserve">CAJA </v>
      </c>
      <c r="G319" s="45">
        <v>44999</v>
      </c>
    </row>
    <row r="320" spans="1:7" x14ac:dyDescent="0.2">
      <c r="A320" s="27" t="s">
        <v>2405</v>
      </c>
      <c r="B320" s="34" t="s">
        <v>2078</v>
      </c>
      <c r="C320" s="34" t="s">
        <v>2177</v>
      </c>
      <c r="D320" s="34" t="s">
        <v>2406</v>
      </c>
      <c r="E320" s="35" t="s">
        <v>83</v>
      </c>
      <c r="F320" t="str" cm="1">
        <f t="array" ref="F320">IFERROR(_xlfn.XLOOKUP(E320,MapeoCargos!$A:$A,MapeoCargos!$B:$B,E320),E320)</f>
        <v>PRODUCCIÓN / COCINA</v>
      </c>
      <c r="G320" s="45">
        <v>45001</v>
      </c>
    </row>
    <row r="321" spans="1:7" x14ac:dyDescent="0.2">
      <c r="A321" s="27" t="s">
        <v>2407</v>
      </c>
      <c r="B321" s="34" t="s">
        <v>2078</v>
      </c>
      <c r="C321" s="34" t="s">
        <v>2079</v>
      </c>
      <c r="D321" s="34" t="s">
        <v>2408</v>
      </c>
      <c r="E321" s="35" t="s">
        <v>360</v>
      </c>
      <c r="F321" t="str" cm="1">
        <f t="array" ref="F321">IFERROR(_xlfn.XLOOKUP(E321,MapeoCargos!$A:$A,MapeoCargos!$B:$B,E321),E321)</f>
        <v>PRODUCCIÓN / COCINA</v>
      </c>
      <c r="G321" s="45">
        <v>45002</v>
      </c>
    </row>
    <row r="322" spans="1:7" x14ac:dyDescent="0.2">
      <c r="A322" s="27" t="s">
        <v>3220</v>
      </c>
      <c r="B322" s="34" t="s">
        <v>3037</v>
      </c>
      <c r="C322" s="34" t="s">
        <v>2670</v>
      </c>
      <c r="D322" s="34" t="s">
        <v>3221</v>
      </c>
      <c r="E322" s="35" t="s">
        <v>29</v>
      </c>
      <c r="F322" t="str" cm="1">
        <f t="array" ref="F322">IFERROR(_xlfn.XLOOKUP(E322,MapeoCargos!$A:$A,MapeoCargos!$B:$B,E322),E322)</f>
        <v>MOZO</v>
      </c>
      <c r="G322" s="45">
        <v>45013</v>
      </c>
    </row>
    <row r="323" spans="1:7" x14ac:dyDescent="0.2">
      <c r="A323" s="27" t="s">
        <v>2409</v>
      </c>
      <c r="B323" s="34" t="s">
        <v>2078</v>
      </c>
      <c r="C323" s="34" t="s">
        <v>2355</v>
      </c>
      <c r="D323" s="34" t="s">
        <v>2410</v>
      </c>
      <c r="E323" s="35" t="s">
        <v>30</v>
      </c>
      <c r="F323" t="str" cm="1">
        <f t="array" ref="F323">IFERROR(_xlfn.XLOOKUP(E323,MapeoCargos!$A:$A,MapeoCargos!$B:$B,E323),E323)</f>
        <v>STAFF ADMINISTRATIVO</v>
      </c>
      <c r="G323" s="45">
        <v>45017</v>
      </c>
    </row>
    <row r="324" spans="1:7" x14ac:dyDescent="0.2">
      <c r="A324" s="27" t="s">
        <v>3222</v>
      </c>
      <c r="B324" s="34" t="s">
        <v>3037</v>
      </c>
      <c r="C324" s="34" t="s">
        <v>16</v>
      </c>
      <c r="D324" s="34" t="s">
        <v>3223</v>
      </c>
      <c r="E324" s="35" t="s">
        <v>83</v>
      </c>
      <c r="F324" t="str" cm="1">
        <f t="array" ref="F324">IFERROR(_xlfn.XLOOKUP(E324,MapeoCargos!$A:$A,MapeoCargos!$B:$B,E324),E324)</f>
        <v>PRODUCCIÓN / COCINA</v>
      </c>
      <c r="G324" s="45">
        <v>45020</v>
      </c>
    </row>
    <row r="325" spans="1:7" x14ac:dyDescent="0.2">
      <c r="A325" s="27" t="s">
        <v>3224</v>
      </c>
      <c r="B325" s="34" t="s">
        <v>3037</v>
      </c>
      <c r="C325" s="34" t="s">
        <v>16</v>
      </c>
      <c r="D325" s="34" t="s">
        <v>3225</v>
      </c>
      <c r="E325" s="35" t="s">
        <v>127</v>
      </c>
      <c r="F325" t="str" cm="1">
        <f t="array" ref="F325">IFERROR(_xlfn.XLOOKUP(E325,MapeoCargos!$A:$A,MapeoCargos!$B:$B,E325),E325)</f>
        <v>AZAFATA</v>
      </c>
      <c r="G325" s="45">
        <v>45020</v>
      </c>
    </row>
    <row r="326" spans="1:7" x14ac:dyDescent="0.2">
      <c r="A326" s="27" t="s">
        <v>2411</v>
      </c>
      <c r="B326" s="34" t="s">
        <v>2078</v>
      </c>
      <c r="C326" s="34" t="s">
        <v>2114</v>
      </c>
      <c r="D326" s="34" t="s">
        <v>2412</v>
      </c>
      <c r="E326" s="35" t="s">
        <v>29</v>
      </c>
      <c r="F326" t="str" cm="1">
        <f t="array" ref="F326">IFERROR(_xlfn.XLOOKUP(E326,MapeoCargos!$A:$A,MapeoCargos!$B:$B,E326),E326)</f>
        <v>MOZO</v>
      </c>
      <c r="G326" s="45">
        <v>45020</v>
      </c>
    </row>
    <row r="327" spans="1:7" x14ac:dyDescent="0.2">
      <c r="A327" s="27" t="s">
        <v>3226</v>
      </c>
      <c r="B327" s="34" t="s">
        <v>3037</v>
      </c>
      <c r="C327" s="34" t="s">
        <v>14</v>
      </c>
      <c r="D327" s="34" t="s">
        <v>3227</v>
      </c>
      <c r="E327" s="35" t="s">
        <v>127</v>
      </c>
      <c r="F327" t="str" cm="1">
        <f t="array" ref="F327">IFERROR(_xlfn.XLOOKUP(E327,MapeoCargos!$A:$A,MapeoCargos!$B:$B,E327),E327)</f>
        <v>AZAFATA</v>
      </c>
      <c r="G327" s="45">
        <v>45027</v>
      </c>
    </row>
    <row r="328" spans="1:7" x14ac:dyDescent="0.2">
      <c r="A328" s="27" t="s">
        <v>3228</v>
      </c>
      <c r="B328" s="34" t="s">
        <v>3037</v>
      </c>
      <c r="C328" s="34" t="s">
        <v>2670</v>
      </c>
      <c r="D328" s="34" t="s">
        <v>3229</v>
      </c>
      <c r="E328" s="35" t="s">
        <v>222</v>
      </c>
      <c r="F328" t="str" cm="1">
        <f t="array" ref="F328">IFERROR(_xlfn.XLOOKUP(E328,MapeoCargos!$A:$A,MapeoCargos!$B:$B,E328),E328)</f>
        <v>PRODUCCIÓN / COCINA</v>
      </c>
      <c r="G328" s="45">
        <v>45027</v>
      </c>
    </row>
    <row r="329" spans="1:7" x14ac:dyDescent="0.2">
      <c r="A329" s="27" t="s">
        <v>2413</v>
      </c>
      <c r="B329" s="34" t="s">
        <v>2078</v>
      </c>
      <c r="C329" s="34" t="s">
        <v>2</v>
      </c>
      <c r="D329" s="34" t="s">
        <v>2414</v>
      </c>
      <c r="E329" s="35" t="s">
        <v>305</v>
      </c>
      <c r="F329" t="str" cm="1">
        <f t="array" ref="F329">IFERROR(_xlfn.XLOOKUP(E329,MapeoCargos!$A:$A,MapeoCargos!$B:$B,E329),E329)</f>
        <v>LIMPIEZA / MANTENIMIENTO</v>
      </c>
      <c r="G329" s="45">
        <v>45027</v>
      </c>
    </row>
    <row r="330" spans="1:7" x14ac:dyDescent="0.2">
      <c r="A330" s="27" t="s">
        <v>363</v>
      </c>
      <c r="B330" s="34" t="s">
        <v>189</v>
      </c>
      <c r="C330" s="34" t="s">
        <v>19</v>
      </c>
      <c r="D330" s="34" t="s">
        <v>364</v>
      </c>
      <c r="E330" s="35" t="s">
        <v>365</v>
      </c>
      <c r="F330" t="str" cm="1">
        <f t="array" ref="F330">IFERROR(_xlfn.XLOOKUP(E330,MapeoCargos!$A:$A,MapeoCargos!$B:$B,E330),E330)</f>
        <v xml:space="preserve">BARTENDER </v>
      </c>
      <c r="G330" s="45">
        <v>45030</v>
      </c>
    </row>
    <row r="331" spans="1:7" x14ac:dyDescent="0.2">
      <c r="A331" s="27" t="s">
        <v>366</v>
      </c>
      <c r="B331" s="34" t="s">
        <v>189</v>
      </c>
      <c r="C331" s="34" t="s">
        <v>21</v>
      </c>
      <c r="D331" s="34" t="s">
        <v>367</v>
      </c>
      <c r="E331" s="35" t="s">
        <v>193</v>
      </c>
      <c r="F331" t="str" cm="1">
        <f t="array" ref="F331">IFERROR(_xlfn.XLOOKUP(E331,MapeoCargos!$A:$A,MapeoCargos!$B:$B,E331),E331)</f>
        <v>PRODUCCIÓN / COCINA</v>
      </c>
      <c r="G331" s="45">
        <v>45034</v>
      </c>
    </row>
    <row r="332" spans="1:7" x14ac:dyDescent="0.2">
      <c r="A332" s="27" t="s">
        <v>3230</v>
      </c>
      <c r="B332" s="34" t="s">
        <v>3037</v>
      </c>
      <c r="C332" s="34" t="s">
        <v>626</v>
      </c>
      <c r="D332" s="34" t="s">
        <v>3231</v>
      </c>
      <c r="E332" s="35" t="s">
        <v>360</v>
      </c>
      <c r="F332" t="str" cm="1">
        <f t="array" ref="F332">IFERROR(_xlfn.XLOOKUP(E332,MapeoCargos!$A:$A,MapeoCargos!$B:$B,E332),E332)</f>
        <v>PRODUCCIÓN / COCINA</v>
      </c>
      <c r="G332" s="45">
        <v>45041</v>
      </c>
    </row>
    <row r="333" spans="1:7" x14ac:dyDescent="0.2">
      <c r="A333" s="27" t="s">
        <v>2415</v>
      </c>
      <c r="B333" s="34" t="s">
        <v>2078</v>
      </c>
      <c r="C333" s="34" t="s">
        <v>8</v>
      </c>
      <c r="D333" s="34" t="s">
        <v>2416</v>
      </c>
      <c r="E333" s="35" t="s">
        <v>83</v>
      </c>
      <c r="F333" t="str" cm="1">
        <f t="array" ref="F333">IFERROR(_xlfn.XLOOKUP(E333,MapeoCargos!$A:$A,MapeoCargos!$B:$B,E333),E333)</f>
        <v>PRODUCCIÓN / COCINA</v>
      </c>
      <c r="G333" s="45">
        <v>45047</v>
      </c>
    </row>
    <row r="334" spans="1:7" x14ac:dyDescent="0.2">
      <c r="A334" s="27" t="s">
        <v>368</v>
      </c>
      <c r="B334" s="34" t="s">
        <v>189</v>
      </c>
      <c r="C334" s="34" t="s">
        <v>21</v>
      </c>
      <c r="D334" s="34" t="s">
        <v>369</v>
      </c>
      <c r="E334" s="35" t="s">
        <v>222</v>
      </c>
      <c r="F334" t="str" cm="1">
        <f t="array" ref="F334">IFERROR(_xlfn.XLOOKUP(E334,MapeoCargos!$A:$A,MapeoCargos!$B:$B,E334),E334)</f>
        <v>PRODUCCIÓN / COCINA</v>
      </c>
      <c r="G334" s="45">
        <v>45047</v>
      </c>
    </row>
    <row r="335" spans="1:7" x14ac:dyDescent="0.2">
      <c r="A335" s="27" t="s">
        <v>3232</v>
      </c>
      <c r="B335" s="34" t="s">
        <v>3037</v>
      </c>
      <c r="C335" s="34" t="s">
        <v>626</v>
      </c>
      <c r="D335" s="34" t="s">
        <v>3233</v>
      </c>
      <c r="E335" s="35" t="s">
        <v>127</v>
      </c>
      <c r="F335" t="str" cm="1">
        <f t="array" ref="F335">IFERROR(_xlfn.XLOOKUP(E335,MapeoCargos!$A:$A,MapeoCargos!$B:$B,E335),E335)</f>
        <v>AZAFATA</v>
      </c>
      <c r="G335" s="45">
        <v>45047</v>
      </c>
    </row>
    <row r="336" spans="1:7" x14ac:dyDescent="0.2">
      <c r="A336" s="27" t="s">
        <v>370</v>
      </c>
      <c r="B336" s="34" t="s">
        <v>189</v>
      </c>
      <c r="C336" s="34" t="s">
        <v>195</v>
      </c>
      <c r="D336" s="34" t="s">
        <v>371</v>
      </c>
      <c r="E336" s="35" t="s">
        <v>222</v>
      </c>
      <c r="F336" t="str" cm="1">
        <f t="array" ref="F336">IFERROR(_xlfn.XLOOKUP(E336,MapeoCargos!$A:$A,MapeoCargos!$B:$B,E336),E336)</f>
        <v>PRODUCCIÓN / COCINA</v>
      </c>
      <c r="G336" s="45">
        <v>45047</v>
      </c>
    </row>
    <row r="337" spans="1:7" x14ac:dyDescent="0.2">
      <c r="A337" s="27" t="s">
        <v>2417</v>
      </c>
      <c r="B337" s="34" t="s">
        <v>2078</v>
      </c>
      <c r="C337" s="34" t="s">
        <v>2079</v>
      </c>
      <c r="D337" s="34" t="s">
        <v>2418</v>
      </c>
      <c r="E337" s="35" t="s">
        <v>116</v>
      </c>
      <c r="F337" t="str" cm="1">
        <f t="array" ref="F337">IFERROR(_xlfn.XLOOKUP(E337,MapeoCargos!$A:$A,MapeoCargos!$B:$B,E337),E337)</f>
        <v>AUXILIAR DE MANTENIMIENTO</v>
      </c>
      <c r="G337" s="45">
        <v>45047</v>
      </c>
    </row>
    <row r="338" spans="1:7" x14ac:dyDescent="0.2">
      <c r="A338" s="27" t="s">
        <v>372</v>
      </c>
      <c r="B338" s="34" t="s">
        <v>189</v>
      </c>
      <c r="C338" s="34" t="s">
        <v>205</v>
      </c>
      <c r="D338" s="34" t="s">
        <v>373</v>
      </c>
      <c r="E338" s="35" t="s">
        <v>127</v>
      </c>
      <c r="F338" t="str" cm="1">
        <f t="array" ref="F338">IFERROR(_xlfn.XLOOKUP(E338,MapeoCargos!$A:$A,MapeoCargos!$B:$B,E338),E338)</f>
        <v>AZAFATA</v>
      </c>
      <c r="G338" s="45">
        <v>45048</v>
      </c>
    </row>
    <row r="339" spans="1:7" x14ac:dyDescent="0.2">
      <c r="A339" s="27" t="s">
        <v>374</v>
      </c>
      <c r="B339" s="34" t="s">
        <v>189</v>
      </c>
      <c r="C339" s="34" t="s">
        <v>20</v>
      </c>
      <c r="D339" s="34" t="s">
        <v>375</v>
      </c>
      <c r="E339" s="35" t="s">
        <v>127</v>
      </c>
      <c r="F339" t="str" cm="1">
        <f t="array" ref="F339">IFERROR(_xlfn.XLOOKUP(E339,MapeoCargos!$A:$A,MapeoCargos!$B:$B,E339),E339)</f>
        <v>AZAFATA</v>
      </c>
      <c r="G339" s="45">
        <v>45049</v>
      </c>
    </row>
    <row r="340" spans="1:7" x14ac:dyDescent="0.2">
      <c r="A340" s="27" t="s">
        <v>4240</v>
      </c>
      <c r="B340" s="34" t="s">
        <v>2078</v>
      </c>
      <c r="C340" s="34" t="s">
        <v>5</v>
      </c>
      <c r="D340" s="34" t="s">
        <v>2419</v>
      </c>
      <c r="E340" s="35" t="s">
        <v>126</v>
      </c>
      <c r="F340" t="str" cm="1">
        <f t="array" ref="F340">IFERROR(_xlfn.XLOOKUP(E340,MapeoCargos!$A:$A,MapeoCargos!$B:$B,E340),E340)</f>
        <v>MOTORIZADO</v>
      </c>
      <c r="G340" s="45">
        <v>45058</v>
      </c>
    </row>
    <row r="341" spans="1:7" x14ac:dyDescent="0.2">
      <c r="A341" s="27" t="s">
        <v>3234</v>
      </c>
      <c r="B341" s="34" t="s">
        <v>3037</v>
      </c>
      <c r="C341" s="34" t="s">
        <v>16</v>
      </c>
      <c r="D341" s="34" t="s">
        <v>3235</v>
      </c>
      <c r="E341" s="35" t="s">
        <v>127</v>
      </c>
      <c r="F341" t="str" cm="1">
        <f t="array" ref="F341">IFERROR(_xlfn.XLOOKUP(E341,MapeoCargos!$A:$A,MapeoCargos!$B:$B,E341),E341)</f>
        <v>AZAFATA</v>
      </c>
      <c r="G341" s="45">
        <v>45065</v>
      </c>
    </row>
    <row r="342" spans="1:7" x14ac:dyDescent="0.2">
      <c r="A342" s="27" t="s">
        <v>3236</v>
      </c>
      <c r="B342" s="34" t="s">
        <v>3037</v>
      </c>
      <c r="C342" s="34" t="s">
        <v>14</v>
      </c>
      <c r="D342" s="34" t="s">
        <v>3237</v>
      </c>
      <c r="E342" s="35" t="s">
        <v>29</v>
      </c>
      <c r="F342" t="str" cm="1">
        <f t="array" ref="F342">IFERROR(_xlfn.XLOOKUP(E342,MapeoCargos!$A:$A,MapeoCargos!$B:$B,E342),E342)</f>
        <v>MOZO</v>
      </c>
      <c r="G342" s="45">
        <v>45069</v>
      </c>
    </row>
    <row r="343" spans="1:7" x14ac:dyDescent="0.2">
      <c r="A343" s="27" t="s">
        <v>376</v>
      </c>
      <c r="B343" s="34" t="s">
        <v>189</v>
      </c>
      <c r="C343" s="34" t="s">
        <v>17</v>
      </c>
      <c r="D343" s="34" t="s">
        <v>377</v>
      </c>
      <c r="E343" s="35" t="s">
        <v>127</v>
      </c>
      <c r="F343" t="str" cm="1">
        <f t="array" ref="F343">IFERROR(_xlfn.XLOOKUP(E343,MapeoCargos!$A:$A,MapeoCargos!$B:$B,E343),E343)</f>
        <v>AZAFATA</v>
      </c>
      <c r="G343" s="45">
        <v>45070</v>
      </c>
    </row>
    <row r="344" spans="1:7" x14ac:dyDescent="0.2">
      <c r="A344" s="27" t="s">
        <v>3238</v>
      </c>
      <c r="B344" s="34" t="s">
        <v>3037</v>
      </c>
      <c r="C344" s="34" t="s">
        <v>2670</v>
      </c>
      <c r="D344" s="34" t="s">
        <v>3239</v>
      </c>
      <c r="E344" s="35" t="s">
        <v>200</v>
      </c>
      <c r="F344" t="str" cm="1">
        <f t="array" ref="F344">IFERROR(_xlfn.XLOOKUP(E344,MapeoCargos!$A:$A,MapeoCargos!$B:$B,E344),E344)</f>
        <v>SEGURIDAD</v>
      </c>
      <c r="G344" s="45">
        <v>45078</v>
      </c>
    </row>
    <row r="345" spans="1:7" x14ac:dyDescent="0.2">
      <c r="A345" s="27" t="s">
        <v>3240</v>
      </c>
      <c r="B345" s="34" t="s">
        <v>3037</v>
      </c>
      <c r="C345" s="34" t="s">
        <v>2670</v>
      </c>
      <c r="D345" s="34" t="s">
        <v>3241</v>
      </c>
      <c r="E345" s="35" t="s">
        <v>954</v>
      </c>
      <c r="F345" t="str" cm="1">
        <f t="array" ref="F345">IFERROR(_xlfn.XLOOKUP(E345,MapeoCargos!$A:$A,MapeoCargos!$B:$B,E345),E345)</f>
        <v>MOZO</v>
      </c>
      <c r="G345" s="45">
        <v>45078</v>
      </c>
    </row>
    <row r="346" spans="1:7" x14ac:dyDescent="0.2">
      <c r="A346" s="27" t="s">
        <v>2420</v>
      </c>
      <c r="B346" s="34" t="s">
        <v>2078</v>
      </c>
      <c r="C346" s="34" t="s">
        <v>2114</v>
      </c>
      <c r="D346" s="34" t="s">
        <v>2421</v>
      </c>
      <c r="E346" s="35" t="s">
        <v>29</v>
      </c>
      <c r="F346" t="str" cm="1">
        <f t="array" ref="F346">IFERROR(_xlfn.XLOOKUP(E346,MapeoCargos!$A:$A,MapeoCargos!$B:$B,E346),E346)</f>
        <v>MOZO</v>
      </c>
      <c r="G346" s="45">
        <v>45078</v>
      </c>
    </row>
    <row r="347" spans="1:7" x14ac:dyDescent="0.2">
      <c r="A347" s="27" t="s">
        <v>378</v>
      </c>
      <c r="B347" s="34" t="s">
        <v>189</v>
      </c>
      <c r="C347" s="34" t="s">
        <v>21</v>
      </c>
      <c r="D347" s="34" t="s">
        <v>379</v>
      </c>
      <c r="E347" s="35" t="s">
        <v>83</v>
      </c>
      <c r="F347" t="str" cm="1">
        <f t="array" ref="F347">IFERROR(_xlfn.XLOOKUP(E347,MapeoCargos!$A:$A,MapeoCargos!$B:$B,E347),E347)</f>
        <v>PRODUCCIÓN / COCINA</v>
      </c>
      <c r="G347" s="45">
        <v>45090</v>
      </c>
    </row>
    <row r="348" spans="1:7" x14ac:dyDescent="0.2">
      <c r="A348" s="27" t="s">
        <v>380</v>
      </c>
      <c r="B348" s="34" t="s">
        <v>189</v>
      </c>
      <c r="C348" s="34" t="s">
        <v>17</v>
      </c>
      <c r="D348" s="34" t="s">
        <v>381</v>
      </c>
      <c r="E348" s="35" t="s">
        <v>83</v>
      </c>
      <c r="F348" t="str" cm="1">
        <f t="array" ref="F348">IFERROR(_xlfn.XLOOKUP(E348,MapeoCargos!$A:$A,MapeoCargos!$B:$B,E348),E348)</f>
        <v>PRODUCCIÓN / COCINA</v>
      </c>
      <c r="G348" s="45">
        <v>45090</v>
      </c>
    </row>
    <row r="349" spans="1:7" x14ac:dyDescent="0.2">
      <c r="A349" s="27" t="s">
        <v>382</v>
      </c>
      <c r="B349" s="34" t="s">
        <v>189</v>
      </c>
      <c r="C349" s="34" t="s">
        <v>195</v>
      </c>
      <c r="D349" s="34" t="s">
        <v>383</v>
      </c>
      <c r="E349" s="35" t="s">
        <v>116</v>
      </c>
      <c r="F349" t="str" cm="1">
        <f t="array" ref="F349">IFERROR(_xlfn.XLOOKUP(E349,MapeoCargos!$A:$A,MapeoCargos!$B:$B,E349),E349)</f>
        <v>AUXILIAR DE MANTENIMIENTO</v>
      </c>
      <c r="G349" s="45">
        <v>45097</v>
      </c>
    </row>
    <row r="350" spans="1:7" x14ac:dyDescent="0.2">
      <c r="A350" s="27" t="s">
        <v>3242</v>
      </c>
      <c r="B350" s="34" t="s">
        <v>3037</v>
      </c>
      <c r="C350" s="34" t="s">
        <v>16</v>
      </c>
      <c r="D350" s="34" t="s">
        <v>3243</v>
      </c>
      <c r="E350" s="35" t="s">
        <v>200</v>
      </c>
      <c r="F350" t="str" cm="1">
        <f t="array" ref="F350">IFERROR(_xlfn.XLOOKUP(E350,MapeoCargos!$A:$A,MapeoCargos!$B:$B,E350),E350)</f>
        <v>SEGURIDAD</v>
      </c>
      <c r="G350" s="45">
        <v>45100</v>
      </c>
    </row>
    <row r="351" spans="1:7" x14ac:dyDescent="0.2">
      <c r="A351" s="27" t="s">
        <v>3244</v>
      </c>
      <c r="B351" s="34" t="s">
        <v>3037</v>
      </c>
      <c r="C351" s="34" t="s">
        <v>2458</v>
      </c>
      <c r="D351" s="34" t="s">
        <v>3245</v>
      </c>
      <c r="E351" s="35" t="s">
        <v>127</v>
      </c>
      <c r="F351" t="str" cm="1">
        <f t="array" ref="F351">IFERROR(_xlfn.XLOOKUP(E351,MapeoCargos!$A:$A,MapeoCargos!$B:$B,E351),E351)</f>
        <v>AZAFATA</v>
      </c>
      <c r="G351" s="45">
        <v>45108</v>
      </c>
    </row>
    <row r="352" spans="1:7" x14ac:dyDescent="0.2">
      <c r="A352" s="27" t="s">
        <v>2422</v>
      </c>
      <c r="B352" s="34" t="s">
        <v>2078</v>
      </c>
      <c r="C352" s="34" t="s">
        <v>4</v>
      </c>
      <c r="D352" s="34" t="s">
        <v>2423</v>
      </c>
      <c r="E352" s="35" t="s">
        <v>127</v>
      </c>
      <c r="F352" t="str" cm="1">
        <f t="array" ref="F352">IFERROR(_xlfn.XLOOKUP(E352,MapeoCargos!$A:$A,MapeoCargos!$B:$B,E352),E352)</f>
        <v>AZAFATA</v>
      </c>
      <c r="G352" s="45">
        <v>45108</v>
      </c>
    </row>
    <row r="353" spans="1:7" x14ac:dyDescent="0.2">
      <c r="A353" s="27" t="s">
        <v>2424</v>
      </c>
      <c r="B353" s="34" t="s">
        <v>2078</v>
      </c>
      <c r="C353" s="34" t="s">
        <v>2177</v>
      </c>
      <c r="D353" s="34" t="s">
        <v>2425</v>
      </c>
      <c r="E353" s="35" t="s">
        <v>126</v>
      </c>
      <c r="F353" t="str" cm="1">
        <f t="array" ref="F353">IFERROR(_xlfn.XLOOKUP(E353,MapeoCargos!$A:$A,MapeoCargos!$B:$B,E353),E353)</f>
        <v>MOTORIZADO</v>
      </c>
      <c r="G353" s="45">
        <v>45108</v>
      </c>
    </row>
    <row r="354" spans="1:7" x14ac:dyDescent="0.2">
      <c r="A354" s="27" t="s">
        <v>3246</v>
      </c>
      <c r="B354" s="34" t="s">
        <v>3037</v>
      </c>
      <c r="C354" s="34" t="s">
        <v>14</v>
      </c>
      <c r="D354" s="34" t="s">
        <v>3247</v>
      </c>
      <c r="E354" s="35" t="s">
        <v>30</v>
      </c>
      <c r="F354" t="str" cm="1">
        <f t="array" ref="F354">IFERROR(_xlfn.XLOOKUP(E354,MapeoCargos!$A:$A,MapeoCargos!$B:$B,E354),E354)</f>
        <v>STAFF ADMINISTRATIVO</v>
      </c>
      <c r="G354" s="45">
        <v>45108</v>
      </c>
    </row>
    <row r="355" spans="1:7" x14ac:dyDescent="0.2">
      <c r="A355" s="27" t="s">
        <v>3248</v>
      </c>
      <c r="B355" s="34" t="s">
        <v>3037</v>
      </c>
      <c r="C355" s="34" t="s">
        <v>518</v>
      </c>
      <c r="D355" s="34" t="s">
        <v>3249</v>
      </c>
      <c r="E355" s="35" t="s">
        <v>30</v>
      </c>
      <c r="F355" t="str" cm="1">
        <f t="array" ref="F355">IFERROR(_xlfn.XLOOKUP(E355,MapeoCargos!$A:$A,MapeoCargos!$B:$B,E355),E355)</f>
        <v>STAFF ADMINISTRATIVO</v>
      </c>
      <c r="G355" s="45">
        <v>45108</v>
      </c>
    </row>
    <row r="356" spans="1:7" x14ac:dyDescent="0.2">
      <c r="A356" s="27" t="s">
        <v>3250</v>
      </c>
      <c r="B356" s="34" t="s">
        <v>3037</v>
      </c>
      <c r="C356" s="34" t="s">
        <v>3140</v>
      </c>
      <c r="D356" s="34" t="s">
        <v>3251</v>
      </c>
      <c r="E356" s="35" t="s">
        <v>312</v>
      </c>
      <c r="F356" t="str" cm="1">
        <f t="array" ref="F356">IFERROR(_xlfn.XLOOKUP(E356,MapeoCargos!$A:$A,MapeoCargos!$B:$B,E356),E356)</f>
        <v>TELEOPERADOR (A) P/T</v>
      </c>
      <c r="G356" s="45">
        <v>45108</v>
      </c>
    </row>
    <row r="357" spans="1:7" x14ac:dyDescent="0.2">
      <c r="A357" s="27" t="s">
        <v>3252</v>
      </c>
      <c r="B357" s="34" t="s">
        <v>3037</v>
      </c>
      <c r="C357" s="34" t="s">
        <v>3140</v>
      </c>
      <c r="D357" s="34" t="s">
        <v>3253</v>
      </c>
      <c r="E357" s="35" t="s">
        <v>2489</v>
      </c>
      <c r="F357" t="str" cm="1">
        <f t="array" ref="F357">IFERROR(_xlfn.XLOOKUP(E357,MapeoCargos!$A:$A,MapeoCargos!$B:$B,E357),E357)</f>
        <v>TELEOPERADOR (A)</v>
      </c>
      <c r="G357" s="45">
        <v>45108</v>
      </c>
    </row>
    <row r="358" spans="1:7" x14ac:dyDescent="0.2">
      <c r="A358" s="27" t="s">
        <v>2426</v>
      </c>
      <c r="B358" s="34" t="s">
        <v>2078</v>
      </c>
      <c r="C358" s="34" t="s">
        <v>2114</v>
      </c>
      <c r="D358" s="34" t="s">
        <v>2427</v>
      </c>
      <c r="E358" s="35" t="s">
        <v>127</v>
      </c>
      <c r="F358" t="str" cm="1">
        <f t="array" ref="F358">IFERROR(_xlfn.XLOOKUP(E358,MapeoCargos!$A:$A,MapeoCargos!$B:$B,E358),E358)</f>
        <v>AZAFATA</v>
      </c>
      <c r="G358" s="45">
        <v>45108</v>
      </c>
    </row>
    <row r="359" spans="1:7" x14ac:dyDescent="0.2">
      <c r="A359" s="27" t="s">
        <v>384</v>
      </c>
      <c r="B359" s="34" t="s">
        <v>189</v>
      </c>
      <c r="C359" s="34" t="s">
        <v>195</v>
      </c>
      <c r="D359" s="34" t="s">
        <v>385</v>
      </c>
      <c r="E359" s="35" t="s">
        <v>4023</v>
      </c>
      <c r="F359" t="str" cm="1">
        <f t="array" ref="F359">IFERROR(_xlfn.XLOOKUP(E359,MapeoCargos!$A:$A,MapeoCargos!$B:$B,E359),E359)</f>
        <v>SUPERVISOR SOMA</v>
      </c>
      <c r="G359" s="45">
        <v>45111</v>
      </c>
    </row>
    <row r="360" spans="1:7" x14ac:dyDescent="0.2">
      <c r="A360" s="27" t="s">
        <v>2428</v>
      </c>
      <c r="B360" s="34" t="s">
        <v>2078</v>
      </c>
      <c r="C360" s="34" t="s">
        <v>2082</v>
      </c>
      <c r="D360" s="34" t="s">
        <v>2429</v>
      </c>
      <c r="E360" s="35" t="s">
        <v>29</v>
      </c>
      <c r="F360" t="str" cm="1">
        <f t="array" ref="F360">IFERROR(_xlfn.XLOOKUP(E360,MapeoCargos!$A:$A,MapeoCargos!$B:$B,E360),E360)</f>
        <v>MOZO</v>
      </c>
      <c r="G360" s="45">
        <v>45111</v>
      </c>
    </row>
    <row r="361" spans="1:7" x14ac:dyDescent="0.2">
      <c r="A361" s="27" t="s">
        <v>2430</v>
      </c>
      <c r="B361" s="34" t="s">
        <v>2078</v>
      </c>
      <c r="C361" s="34" t="s">
        <v>2082</v>
      </c>
      <c r="D361" s="34" t="s">
        <v>2431</v>
      </c>
      <c r="E361" s="35" t="s">
        <v>193</v>
      </c>
      <c r="F361" t="str" cm="1">
        <f t="array" ref="F361">IFERROR(_xlfn.XLOOKUP(E361,MapeoCargos!$A:$A,MapeoCargos!$B:$B,E361),E361)</f>
        <v>PRODUCCIÓN / COCINA</v>
      </c>
      <c r="G361" s="45">
        <v>45112</v>
      </c>
    </row>
    <row r="362" spans="1:7" x14ac:dyDescent="0.2">
      <c r="A362" s="27" t="s">
        <v>387</v>
      </c>
      <c r="B362" s="34" t="s">
        <v>189</v>
      </c>
      <c r="C362" s="34" t="s">
        <v>205</v>
      </c>
      <c r="D362" s="34" t="s">
        <v>388</v>
      </c>
      <c r="E362" s="35" t="s">
        <v>83</v>
      </c>
      <c r="F362" t="str" cm="1">
        <f t="array" ref="F362">IFERROR(_xlfn.XLOOKUP(E362,MapeoCargos!$A:$A,MapeoCargos!$B:$B,E362),E362)</f>
        <v>PRODUCCIÓN / COCINA</v>
      </c>
      <c r="G362" s="45">
        <v>45115</v>
      </c>
    </row>
    <row r="363" spans="1:7" x14ac:dyDescent="0.2">
      <c r="A363" s="27" t="s">
        <v>389</v>
      </c>
      <c r="B363" s="34" t="s">
        <v>189</v>
      </c>
      <c r="C363" s="34" t="s">
        <v>19</v>
      </c>
      <c r="D363" s="34" t="s">
        <v>390</v>
      </c>
      <c r="E363" s="35" t="s">
        <v>200</v>
      </c>
      <c r="F363" t="str" cm="1">
        <f t="array" ref="F363">IFERROR(_xlfn.XLOOKUP(E363,MapeoCargos!$A:$A,MapeoCargos!$B:$B,E363),E363)</f>
        <v>SEGURIDAD</v>
      </c>
      <c r="G363" s="45">
        <v>45118</v>
      </c>
    </row>
    <row r="364" spans="1:7" x14ac:dyDescent="0.2">
      <c r="A364" s="27" t="s">
        <v>2432</v>
      </c>
      <c r="B364" s="34" t="s">
        <v>2078</v>
      </c>
      <c r="C364" s="34" t="s">
        <v>2</v>
      </c>
      <c r="D364" s="34" t="s">
        <v>2433</v>
      </c>
      <c r="E364" s="35" t="s">
        <v>29</v>
      </c>
      <c r="F364" t="str" cm="1">
        <f t="array" ref="F364">IFERROR(_xlfn.XLOOKUP(E364,MapeoCargos!$A:$A,MapeoCargos!$B:$B,E364),E364)</f>
        <v>MOZO</v>
      </c>
      <c r="G364" s="45">
        <v>45118</v>
      </c>
    </row>
    <row r="365" spans="1:7" x14ac:dyDescent="0.2">
      <c r="A365" s="27" t="s">
        <v>391</v>
      </c>
      <c r="B365" s="34" t="s">
        <v>189</v>
      </c>
      <c r="C365" s="34" t="s">
        <v>205</v>
      </c>
      <c r="D365" s="34" t="s">
        <v>392</v>
      </c>
      <c r="E365" s="35" t="s">
        <v>83</v>
      </c>
      <c r="F365" t="str" cm="1">
        <f t="array" ref="F365">IFERROR(_xlfn.XLOOKUP(E365,MapeoCargos!$A:$A,MapeoCargos!$B:$B,E365),E365)</f>
        <v>PRODUCCIÓN / COCINA</v>
      </c>
      <c r="G365" s="45">
        <v>45119</v>
      </c>
    </row>
    <row r="366" spans="1:7" x14ac:dyDescent="0.2">
      <c r="A366" s="27" t="s">
        <v>2434</v>
      </c>
      <c r="B366" s="34" t="s">
        <v>2078</v>
      </c>
      <c r="C366" s="34" t="s">
        <v>2079</v>
      </c>
      <c r="D366" s="34" t="s">
        <v>2435</v>
      </c>
      <c r="E366" s="35" t="s">
        <v>2104</v>
      </c>
      <c r="F366" t="str" cm="1">
        <f t="array" ref="F366">IFERROR(_xlfn.XLOOKUP(E366,MapeoCargos!$A:$A,MapeoCargos!$B:$B,E366),E366)</f>
        <v>AUDITORIA</v>
      </c>
      <c r="G366" s="45">
        <v>45126</v>
      </c>
    </row>
    <row r="367" spans="1:7" x14ac:dyDescent="0.2">
      <c r="A367" s="27" t="s">
        <v>3254</v>
      </c>
      <c r="B367" s="34" t="s">
        <v>3037</v>
      </c>
      <c r="C367" s="34" t="s">
        <v>2458</v>
      </c>
      <c r="D367" s="34" t="s">
        <v>3255</v>
      </c>
      <c r="E367" s="35" t="s">
        <v>365</v>
      </c>
      <c r="F367" t="str" cm="1">
        <f t="array" ref="F367">IFERROR(_xlfn.XLOOKUP(E367,MapeoCargos!$A:$A,MapeoCargos!$B:$B,E367),E367)</f>
        <v xml:space="preserve">BARTENDER </v>
      </c>
      <c r="G367" s="45">
        <v>45128</v>
      </c>
    </row>
    <row r="368" spans="1:7" x14ac:dyDescent="0.2">
      <c r="A368" s="27" t="s">
        <v>3256</v>
      </c>
      <c r="B368" s="34" t="s">
        <v>3037</v>
      </c>
      <c r="C368" s="34" t="s">
        <v>2458</v>
      </c>
      <c r="D368" s="34" t="s">
        <v>3257</v>
      </c>
      <c r="E368" s="35" t="s">
        <v>365</v>
      </c>
      <c r="F368" t="str" cm="1">
        <f t="array" ref="F368">IFERROR(_xlfn.XLOOKUP(E368,MapeoCargos!$A:$A,MapeoCargos!$B:$B,E368),E368)</f>
        <v xml:space="preserve">BARTENDER </v>
      </c>
      <c r="G368" s="45">
        <v>45129</v>
      </c>
    </row>
    <row r="369" spans="1:9" x14ac:dyDescent="0.2">
      <c r="A369" s="27" t="s">
        <v>2436</v>
      </c>
      <c r="B369" s="34" t="s">
        <v>2078</v>
      </c>
      <c r="C369" s="34" t="s">
        <v>2114</v>
      </c>
      <c r="D369" s="34" t="s">
        <v>2437</v>
      </c>
      <c r="E369" s="35" t="s">
        <v>29</v>
      </c>
      <c r="F369" t="str" cm="1">
        <f t="array" ref="F369">IFERROR(_xlfn.XLOOKUP(E369,MapeoCargos!$A:$A,MapeoCargos!$B:$B,E369),E369)</f>
        <v>MOZO</v>
      </c>
      <c r="G369" s="45">
        <v>45132</v>
      </c>
    </row>
    <row r="370" spans="1:9" x14ac:dyDescent="0.2">
      <c r="A370" s="27" t="s">
        <v>3258</v>
      </c>
      <c r="B370" s="34" t="s">
        <v>3037</v>
      </c>
      <c r="C370" s="34" t="s">
        <v>2670</v>
      </c>
      <c r="D370" s="34" t="s">
        <v>3259</v>
      </c>
      <c r="E370" s="35" t="s">
        <v>365</v>
      </c>
      <c r="F370" t="str" cm="1">
        <f t="array" ref="F370">IFERROR(_xlfn.XLOOKUP(E370,MapeoCargos!$A:$A,MapeoCargos!$B:$B,E370),E370)</f>
        <v xml:space="preserve">BARTENDER </v>
      </c>
      <c r="G370" s="45">
        <v>45139</v>
      </c>
    </row>
    <row r="371" spans="1:9" x14ac:dyDescent="0.2">
      <c r="A371" s="27" t="s">
        <v>3260</v>
      </c>
      <c r="B371" s="34" t="s">
        <v>3037</v>
      </c>
      <c r="C371" s="34" t="s">
        <v>14</v>
      </c>
      <c r="D371" s="34" t="s">
        <v>3261</v>
      </c>
      <c r="E371" s="35" t="s">
        <v>305</v>
      </c>
      <c r="F371" t="str" cm="1">
        <f t="array" ref="F371">IFERROR(_xlfn.XLOOKUP(E371,MapeoCargos!$A:$A,MapeoCargos!$B:$B,E371),E371)</f>
        <v>LIMPIEZA / MANTENIMIENTO</v>
      </c>
      <c r="G371" s="45">
        <v>45139</v>
      </c>
    </row>
    <row r="372" spans="1:9" x14ac:dyDescent="0.2">
      <c r="A372" s="27" t="s">
        <v>2438</v>
      </c>
      <c r="B372" s="34" t="s">
        <v>2078</v>
      </c>
      <c r="C372" s="34" t="s">
        <v>2</v>
      </c>
      <c r="D372" s="34" t="s">
        <v>2439</v>
      </c>
      <c r="E372" s="35" t="s">
        <v>222</v>
      </c>
      <c r="F372" t="str" cm="1">
        <f t="array" ref="F372">IFERROR(_xlfn.XLOOKUP(E372,MapeoCargos!$A:$A,MapeoCargos!$B:$B,E372),E372)</f>
        <v>PRODUCCIÓN / COCINA</v>
      </c>
      <c r="G372" s="45">
        <v>45139</v>
      </c>
    </row>
    <row r="373" spans="1:9" x14ac:dyDescent="0.2">
      <c r="A373" s="27" t="s">
        <v>393</v>
      </c>
      <c r="B373" s="34" t="s">
        <v>189</v>
      </c>
      <c r="C373" s="34" t="s">
        <v>18</v>
      </c>
      <c r="D373" s="34" t="s">
        <v>394</v>
      </c>
      <c r="E373" s="35" t="s">
        <v>30</v>
      </c>
      <c r="F373" t="str" cm="1">
        <f t="array" ref="F373">IFERROR(_xlfn.XLOOKUP(E373,MapeoCargos!$A:$A,MapeoCargos!$B:$B,E373),E373)</f>
        <v>STAFF ADMINISTRATIVO</v>
      </c>
      <c r="G373" s="45">
        <v>45153</v>
      </c>
    </row>
    <row r="374" spans="1:9" x14ac:dyDescent="0.2">
      <c r="A374" s="27" t="s">
        <v>2440</v>
      </c>
      <c r="B374" s="34" t="s">
        <v>2078</v>
      </c>
      <c r="C374" s="34" t="s">
        <v>2211</v>
      </c>
      <c r="D374" s="34" t="s">
        <v>2441</v>
      </c>
      <c r="E374" s="35" t="s">
        <v>312</v>
      </c>
      <c r="F374" t="str" cm="1">
        <f t="array" ref="F374">IFERROR(_xlfn.XLOOKUP(E374,MapeoCargos!$A:$A,MapeoCargos!$B:$B,E374),E374)</f>
        <v>TELEOPERADOR (A) P/T</v>
      </c>
      <c r="G374" s="45">
        <v>45154</v>
      </c>
    </row>
    <row r="375" spans="1:9" x14ac:dyDescent="0.2">
      <c r="A375" s="27" t="s">
        <v>3262</v>
      </c>
      <c r="B375" s="34" t="s">
        <v>3037</v>
      </c>
      <c r="C375" s="34" t="s">
        <v>2458</v>
      </c>
      <c r="D375" s="34" t="s">
        <v>3263</v>
      </c>
      <c r="E375" s="35" t="s">
        <v>305</v>
      </c>
      <c r="F375" t="str" cm="1">
        <f t="array" ref="F375">IFERROR(_xlfn.XLOOKUP(E375,MapeoCargos!$A:$A,MapeoCargos!$B:$B,E375),E375)</f>
        <v>LIMPIEZA / MANTENIMIENTO</v>
      </c>
      <c r="G375" s="45">
        <v>45170</v>
      </c>
    </row>
    <row r="376" spans="1:9" x14ac:dyDescent="0.2">
      <c r="A376" s="27">
        <v>46722628</v>
      </c>
      <c r="B376" s="34" t="s">
        <v>3037</v>
      </c>
      <c r="C376" s="34" t="s">
        <v>25</v>
      </c>
      <c r="D376" s="34" t="s">
        <v>3264</v>
      </c>
      <c r="E376" s="35" t="s">
        <v>1285</v>
      </c>
      <c r="F376" t="str" cm="1">
        <f t="array" ref="F376">IFERROR(_xlfn.XLOOKUP(E376,MapeoCargos!$A:$A,MapeoCargos!$B:$B,E376),E376)</f>
        <v xml:space="preserve">STAFF ADMINISTRATIVO </v>
      </c>
      <c r="G376" s="45">
        <v>45170</v>
      </c>
      <c r="H376" s="18" t="s">
        <v>4718</v>
      </c>
      <c r="I376" s="18"/>
    </row>
    <row r="377" spans="1:9" x14ac:dyDescent="0.2">
      <c r="A377" s="27" t="s">
        <v>2442</v>
      </c>
      <c r="B377" s="34" t="s">
        <v>2078</v>
      </c>
      <c r="C377" s="34" t="s">
        <v>5</v>
      </c>
      <c r="D377" s="34" t="s">
        <v>2443</v>
      </c>
      <c r="E377" s="35" t="s">
        <v>305</v>
      </c>
      <c r="F377" t="str" cm="1">
        <f t="array" ref="F377">IFERROR(_xlfn.XLOOKUP(E377,MapeoCargos!$A:$A,MapeoCargos!$B:$B,E377),E377)</f>
        <v>LIMPIEZA / MANTENIMIENTO</v>
      </c>
      <c r="G377" s="45">
        <v>45181</v>
      </c>
    </row>
    <row r="378" spans="1:9" x14ac:dyDescent="0.2">
      <c r="A378" s="27" t="s">
        <v>3265</v>
      </c>
      <c r="B378" s="34" t="s">
        <v>3037</v>
      </c>
      <c r="C378" s="34" t="s">
        <v>2670</v>
      </c>
      <c r="D378" s="34" t="s">
        <v>3266</v>
      </c>
      <c r="E378" s="35" t="s">
        <v>231</v>
      </c>
      <c r="F378" t="str" cm="1">
        <f t="array" ref="F378">IFERROR(_xlfn.XLOOKUP(E378,MapeoCargos!$A:$A,MapeoCargos!$B:$B,E378),E378)</f>
        <v xml:space="preserve">CAJA </v>
      </c>
      <c r="G378" s="45">
        <v>45181</v>
      </c>
    </row>
    <row r="379" spans="1:9" x14ac:dyDescent="0.2">
      <c r="A379" s="27" t="s">
        <v>2444</v>
      </c>
      <c r="B379" s="34" t="s">
        <v>2078</v>
      </c>
      <c r="C379" s="34" t="s">
        <v>2114</v>
      </c>
      <c r="D379" s="34" t="s">
        <v>2445</v>
      </c>
      <c r="E379" s="35" t="s">
        <v>200</v>
      </c>
      <c r="F379" t="str" cm="1">
        <f t="array" ref="F379">IFERROR(_xlfn.XLOOKUP(E379,MapeoCargos!$A:$A,MapeoCargos!$B:$B,E379),E379)</f>
        <v>SEGURIDAD</v>
      </c>
      <c r="G379" s="45">
        <v>45181</v>
      </c>
    </row>
    <row r="380" spans="1:9" x14ac:dyDescent="0.2">
      <c r="A380" s="27" t="s">
        <v>2446</v>
      </c>
      <c r="B380" s="34" t="s">
        <v>2078</v>
      </c>
      <c r="C380" s="34" t="s">
        <v>2079</v>
      </c>
      <c r="D380" s="34" t="s">
        <v>2447</v>
      </c>
      <c r="E380" s="35" t="s">
        <v>2448</v>
      </c>
      <c r="F380" t="str" cm="1">
        <f t="array" ref="F380">IFERROR(_xlfn.XLOOKUP(E380,MapeoCargos!$A:$A,MapeoCargos!$B:$B,E380),E380)</f>
        <v xml:space="preserve">GERENTE DE MARKETING </v>
      </c>
      <c r="G380" s="45">
        <v>45187</v>
      </c>
    </row>
    <row r="381" spans="1:9" x14ac:dyDescent="0.2">
      <c r="A381" s="27" t="s">
        <v>2449</v>
      </c>
      <c r="B381" s="34" t="s">
        <v>2078</v>
      </c>
      <c r="C381" s="34" t="s">
        <v>2082</v>
      </c>
      <c r="D381" s="34" t="s">
        <v>2450</v>
      </c>
      <c r="E381" s="35" t="s">
        <v>222</v>
      </c>
      <c r="F381" t="str" cm="1">
        <f t="array" ref="F381">IFERROR(_xlfn.XLOOKUP(E381,MapeoCargos!$A:$A,MapeoCargos!$B:$B,E381),E381)</f>
        <v>PRODUCCIÓN / COCINA</v>
      </c>
      <c r="G381" s="45">
        <v>45195</v>
      </c>
    </row>
    <row r="382" spans="1:9" x14ac:dyDescent="0.2">
      <c r="A382" s="27" t="s">
        <v>2451</v>
      </c>
      <c r="B382" s="34" t="s">
        <v>2078</v>
      </c>
      <c r="C382" s="34" t="s">
        <v>2177</v>
      </c>
      <c r="D382" s="34" t="s">
        <v>2452</v>
      </c>
      <c r="E382" s="35" t="s">
        <v>30</v>
      </c>
      <c r="F382" t="str" cm="1">
        <f t="array" ref="F382">IFERROR(_xlfn.XLOOKUP(E382,MapeoCargos!$A:$A,MapeoCargos!$B:$B,E382),E382)</f>
        <v>STAFF ADMINISTRATIVO</v>
      </c>
      <c r="G382" s="45">
        <v>45200</v>
      </c>
    </row>
    <row r="383" spans="1:9" x14ac:dyDescent="0.2">
      <c r="A383" s="27" t="s">
        <v>2453</v>
      </c>
      <c r="B383" s="34" t="s">
        <v>2078</v>
      </c>
      <c r="C383" s="34" t="s">
        <v>2082</v>
      </c>
      <c r="D383" s="34" t="s">
        <v>2454</v>
      </c>
      <c r="E383" s="35" t="s">
        <v>127</v>
      </c>
      <c r="F383" t="str" cm="1">
        <f t="array" ref="F383">IFERROR(_xlfn.XLOOKUP(E383,MapeoCargos!$A:$A,MapeoCargos!$B:$B,E383),E383)</f>
        <v>AZAFATA</v>
      </c>
      <c r="G383" s="45">
        <v>45202</v>
      </c>
    </row>
    <row r="384" spans="1:9" x14ac:dyDescent="0.2">
      <c r="A384" s="27" t="s">
        <v>2455</v>
      </c>
      <c r="B384" s="34" t="s">
        <v>2078</v>
      </c>
      <c r="C384" s="34" t="s">
        <v>2114</v>
      </c>
      <c r="D384" s="34" t="s">
        <v>2456</v>
      </c>
      <c r="E384" s="35" t="s">
        <v>551</v>
      </c>
      <c r="F384" t="str" cm="1">
        <f t="array" ref="F384">IFERROR(_xlfn.XLOOKUP(E384,MapeoCargos!$A:$A,MapeoCargos!$B:$B,E384),E384)</f>
        <v>MOZO</v>
      </c>
      <c r="G384" s="45">
        <v>45202</v>
      </c>
    </row>
    <row r="385" spans="1:7" x14ac:dyDescent="0.2">
      <c r="A385" s="27" t="s">
        <v>395</v>
      </c>
      <c r="B385" s="34" t="s">
        <v>189</v>
      </c>
      <c r="C385" s="34" t="s">
        <v>290</v>
      </c>
      <c r="D385" s="34" t="s">
        <v>396</v>
      </c>
      <c r="E385" s="35" t="s">
        <v>312</v>
      </c>
      <c r="F385" t="str" cm="1">
        <f t="array" ref="F385">IFERROR(_xlfn.XLOOKUP(E385,MapeoCargos!$A:$A,MapeoCargos!$B:$B,E385),E385)</f>
        <v>TELEOPERADOR (A) P/T</v>
      </c>
      <c r="G385" s="45">
        <v>45209</v>
      </c>
    </row>
    <row r="386" spans="1:7" x14ac:dyDescent="0.2">
      <c r="A386" s="27" t="s">
        <v>397</v>
      </c>
      <c r="B386" s="34" t="s">
        <v>189</v>
      </c>
      <c r="C386" s="34" t="s">
        <v>290</v>
      </c>
      <c r="D386" s="34" t="s">
        <v>398</v>
      </c>
      <c r="E386" s="35" t="s">
        <v>312</v>
      </c>
      <c r="F386" t="str" cm="1">
        <f t="array" ref="F386">IFERROR(_xlfn.XLOOKUP(E386,MapeoCargos!$A:$A,MapeoCargos!$B:$B,E386),E386)</f>
        <v>TELEOPERADOR (A) P/T</v>
      </c>
      <c r="G386" s="45">
        <v>45209</v>
      </c>
    </row>
    <row r="387" spans="1:7" x14ac:dyDescent="0.2">
      <c r="A387" s="27" t="s">
        <v>399</v>
      </c>
      <c r="B387" s="34" t="s">
        <v>189</v>
      </c>
      <c r="C387" s="34" t="s">
        <v>195</v>
      </c>
      <c r="D387" s="34" t="s">
        <v>400</v>
      </c>
      <c r="E387" s="35" t="s">
        <v>401</v>
      </c>
      <c r="F387" t="str" cm="1">
        <f t="array" ref="F387">IFERROR(_xlfn.XLOOKUP(E387,MapeoCargos!$A:$A,MapeoCargos!$B:$B,E387),E387)</f>
        <v xml:space="preserve">AUDITOR DE CALIDAD </v>
      </c>
      <c r="G387" s="45">
        <v>45223</v>
      </c>
    </row>
    <row r="388" spans="1:7" x14ac:dyDescent="0.2">
      <c r="A388" s="27" t="s">
        <v>402</v>
      </c>
      <c r="B388" s="34" t="s">
        <v>189</v>
      </c>
      <c r="C388" s="34" t="s">
        <v>21</v>
      </c>
      <c r="D388" s="34" t="s">
        <v>403</v>
      </c>
      <c r="E388" s="35" t="s">
        <v>126</v>
      </c>
      <c r="F388" t="str" cm="1">
        <f t="array" ref="F388">IFERROR(_xlfn.XLOOKUP(E388,MapeoCargos!$A:$A,MapeoCargos!$B:$B,E388),E388)</f>
        <v>MOTORIZADO</v>
      </c>
      <c r="G388" s="45">
        <v>45231</v>
      </c>
    </row>
    <row r="389" spans="1:7" x14ac:dyDescent="0.2">
      <c r="A389" s="27" t="s">
        <v>3267</v>
      </c>
      <c r="B389" s="34" t="s">
        <v>3037</v>
      </c>
      <c r="C389" s="34" t="s">
        <v>626</v>
      </c>
      <c r="D389" s="34" t="s">
        <v>3268</v>
      </c>
      <c r="E389" s="35" t="s">
        <v>30</v>
      </c>
      <c r="F389" t="str" cm="1">
        <f t="array" ref="F389">IFERROR(_xlfn.XLOOKUP(E389,MapeoCargos!$A:$A,MapeoCargos!$B:$B,E389),E389)</f>
        <v>STAFF ADMINISTRATIVO</v>
      </c>
      <c r="G389" s="45">
        <v>45231</v>
      </c>
    </row>
    <row r="390" spans="1:7" x14ac:dyDescent="0.2">
      <c r="A390" s="27" t="s">
        <v>404</v>
      </c>
      <c r="B390" s="34" t="s">
        <v>189</v>
      </c>
      <c r="C390" s="34" t="s">
        <v>195</v>
      </c>
      <c r="D390" s="34" t="s">
        <v>405</v>
      </c>
      <c r="E390" s="35" t="s">
        <v>406</v>
      </c>
      <c r="F390" t="str" cm="1">
        <f t="array" ref="F390">IFERROR(_xlfn.XLOOKUP(E390,MapeoCargos!$A:$A,MapeoCargos!$B:$B,E390),E390)</f>
        <v>DISEÑADOR GRAFICO  SENIOR</v>
      </c>
      <c r="G390" s="45">
        <v>45231</v>
      </c>
    </row>
    <row r="391" spans="1:7" x14ac:dyDescent="0.2">
      <c r="A391" s="27" t="s">
        <v>3269</v>
      </c>
      <c r="B391" s="34" t="s">
        <v>3037</v>
      </c>
      <c r="C391" s="34" t="s">
        <v>14</v>
      </c>
      <c r="D391" s="34" t="s">
        <v>3270</v>
      </c>
      <c r="E391" s="35" t="s">
        <v>30</v>
      </c>
      <c r="F391" t="str" cm="1">
        <f t="array" ref="F391">IFERROR(_xlfn.XLOOKUP(E391,MapeoCargos!$A:$A,MapeoCargos!$B:$B,E391),E391)</f>
        <v>STAFF ADMINISTRATIVO</v>
      </c>
      <c r="G391" s="45">
        <v>45231</v>
      </c>
    </row>
    <row r="392" spans="1:7" x14ac:dyDescent="0.2">
      <c r="A392" s="27" t="s">
        <v>407</v>
      </c>
      <c r="B392" s="34" t="s">
        <v>189</v>
      </c>
      <c r="C392" s="34" t="s">
        <v>21</v>
      </c>
      <c r="D392" s="34" t="s">
        <v>408</v>
      </c>
      <c r="E392" s="35" t="s">
        <v>127</v>
      </c>
      <c r="F392" t="str" cm="1">
        <f t="array" ref="F392">IFERROR(_xlfn.XLOOKUP(E392,MapeoCargos!$A:$A,MapeoCargos!$B:$B,E392),E392)</f>
        <v>AZAFATA</v>
      </c>
      <c r="G392" s="45">
        <v>45231</v>
      </c>
    </row>
    <row r="393" spans="1:7" x14ac:dyDescent="0.2">
      <c r="A393" s="27" t="s">
        <v>3271</v>
      </c>
      <c r="B393" s="34" t="s">
        <v>3037</v>
      </c>
      <c r="C393" s="34" t="s">
        <v>14</v>
      </c>
      <c r="D393" s="34" t="s">
        <v>3272</v>
      </c>
      <c r="E393" s="35" t="s">
        <v>29</v>
      </c>
      <c r="F393" t="str" cm="1">
        <f t="array" ref="F393">IFERROR(_xlfn.XLOOKUP(E393,MapeoCargos!$A:$A,MapeoCargos!$B:$B,E393),E393)</f>
        <v>MOZO</v>
      </c>
      <c r="G393" s="45">
        <v>45231</v>
      </c>
    </row>
    <row r="394" spans="1:7" x14ac:dyDescent="0.2">
      <c r="A394" s="27" t="s">
        <v>2457</v>
      </c>
      <c r="B394" s="34" t="s">
        <v>2078</v>
      </c>
      <c r="C394" s="34" t="s">
        <v>2458</v>
      </c>
      <c r="D394" s="34" t="s">
        <v>2459</v>
      </c>
      <c r="E394" s="35" t="s">
        <v>222</v>
      </c>
      <c r="F394" t="str" cm="1">
        <f t="array" ref="F394">IFERROR(_xlfn.XLOOKUP(E394,MapeoCargos!$A:$A,MapeoCargos!$B:$B,E394),E394)</f>
        <v>PRODUCCIÓN / COCINA</v>
      </c>
      <c r="G394" s="45">
        <v>45244</v>
      </c>
    </row>
    <row r="395" spans="1:7" x14ac:dyDescent="0.2">
      <c r="A395" s="27" t="s">
        <v>2460</v>
      </c>
      <c r="B395" s="34" t="s">
        <v>2078</v>
      </c>
      <c r="C395" s="34" t="s">
        <v>2114</v>
      </c>
      <c r="D395" s="34" t="s">
        <v>2461</v>
      </c>
      <c r="E395" s="35" t="s">
        <v>231</v>
      </c>
      <c r="F395" t="str" cm="1">
        <f t="array" ref="F395">IFERROR(_xlfn.XLOOKUP(E395,MapeoCargos!$A:$A,MapeoCargos!$B:$B,E395),E395)</f>
        <v xml:space="preserve">CAJA </v>
      </c>
      <c r="G395" s="45">
        <v>45251</v>
      </c>
    </row>
    <row r="396" spans="1:7" x14ac:dyDescent="0.2">
      <c r="A396" s="27" t="s">
        <v>2462</v>
      </c>
      <c r="B396" s="34" t="s">
        <v>2078</v>
      </c>
      <c r="C396" s="34" t="s">
        <v>5</v>
      </c>
      <c r="D396" s="34" t="s">
        <v>2463</v>
      </c>
      <c r="E396" s="35" t="s">
        <v>365</v>
      </c>
      <c r="F396" t="str" cm="1">
        <f t="array" ref="F396">IFERROR(_xlfn.XLOOKUP(E396,MapeoCargos!$A:$A,MapeoCargos!$B:$B,E396),E396)</f>
        <v xml:space="preserve">BARTENDER </v>
      </c>
      <c r="G396" s="45">
        <v>45261</v>
      </c>
    </row>
    <row r="397" spans="1:7" x14ac:dyDescent="0.2">
      <c r="A397" s="27" t="s">
        <v>2464</v>
      </c>
      <c r="B397" s="34" t="s">
        <v>2078</v>
      </c>
      <c r="C397" s="34" t="s">
        <v>2079</v>
      </c>
      <c r="D397" s="34" t="s">
        <v>2465</v>
      </c>
      <c r="E397" s="35" t="s">
        <v>2466</v>
      </c>
      <c r="F397" t="str" cm="1">
        <f t="array" ref="F397">IFERROR(_xlfn.XLOOKUP(E397,MapeoCargos!$A:$A,MapeoCargos!$B:$B,E397),E397)</f>
        <v>CHEFF CORPORTATIVO</v>
      </c>
      <c r="G397" s="45">
        <v>45261</v>
      </c>
    </row>
    <row r="398" spans="1:7" x14ac:dyDescent="0.2">
      <c r="A398" s="27" t="s">
        <v>3273</v>
      </c>
      <c r="B398" s="34" t="s">
        <v>3037</v>
      </c>
      <c r="C398" s="34" t="s">
        <v>2670</v>
      </c>
      <c r="D398" s="34" t="s">
        <v>3274</v>
      </c>
      <c r="E398" s="35" t="s">
        <v>83</v>
      </c>
      <c r="F398" t="str" cm="1">
        <f t="array" ref="F398">IFERROR(_xlfn.XLOOKUP(E398,MapeoCargos!$A:$A,MapeoCargos!$B:$B,E398),E398)</f>
        <v>PRODUCCIÓN / COCINA</v>
      </c>
      <c r="G398" s="45">
        <v>45265</v>
      </c>
    </row>
    <row r="399" spans="1:7" x14ac:dyDescent="0.2">
      <c r="A399" s="27" t="s">
        <v>409</v>
      </c>
      <c r="B399" s="34" t="s">
        <v>189</v>
      </c>
      <c r="C399" s="34" t="s">
        <v>17</v>
      </c>
      <c r="D399" s="34" t="s">
        <v>410</v>
      </c>
      <c r="E399" s="35" t="s">
        <v>29</v>
      </c>
      <c r="F399" t="str" cm="1">
        <f t="array" ref="F399">IFERROR(_xlfn.XLOOKUP(E399,MapeoCargos!$A:$A,MapeoCargos!$B:$B,E399),E399)</f>
        <v>MOZO</v>
      </c>
      <c r="G399" s="45">
        <v>45272</v>
      </c>
    </row>
    <row r="400" spans="1:7" x14ac:dyDescent="0.2">
      <c r="A400" s="27" t="s">
        <v>2467</v>
      </c>
      <c r="B400" s="34" t="s">
        <v>2078</v>
      </c>
      <c r="C400" s="34" t="s">
        <v>2114</v>
      </c>
      <c r="D400" s="34" t="s">
        <v>2468</v>
      </c>
      <c r="E400" s="35" t="s">
        <v>29</v>
      </c>
      <c r="F400" t="str" cm="1">
        <f t="array" ref="F400">IFERROR(_xlfn.XLOOKUP(E400,MapeoCargos!$A:$A,MapeoCargos!$B:$B,E400),E400)</f>
        <v>MOZO</v>
      </c>
      <c r="G400" s="45">
        <v>45272</v>
      </c>
    </row>
    <row r="401" spans="1:7" x14ac:dyDescent="0.2">
      <c r="A401" s="27" t="s">
        <v>411</v>
      </c>
      <c r="B401" s="34" t="s">
        <v>189</v>
      </c>
      <c r="C401" s="34" t="s">
        <v>21</v>
      </c>
      <c r="D401" s="34" t="s">
        <v>412</v>
      </c>
      <c r="E401" s="35" t="s">
        <v>231</v>
      </c>
      <c r="F401" t="str" cm="1">
        <f t="array" ref="F401">IFERROR(_xlfn.XLOOKUP(E401,MapeoCargos!$A:$A,MapeoCargos!$B:$B,E401),E401)</f>
        <v xml:space="preserve">CAJA </v>
      </c>
      <c r="G401" s="45">
        <v>45280</v>
      </c>
    </row>
    <row r="402" spans="1:7" x14ac:dyDescent="0.2">
      <c r="A402" s="27" t="s">
        <v>2469</v>
      </c>
      <c r="B402" s="34" t="s">
        <v>2078</v>
      </c>
      <c r="C402" s="34" t="s">
        <v>5</v>
      </c>
      <c r="D402" s="34" t="s">
        <v>2470</v>
      </c>
      <c r="E402" s="35" t="s">
        <v>222</v>
      </c>
      <c r="F402" t="str" cm="1">
        <f t="array" ref="F402">IFERROR(_xlfn.XLOOKUP(E402,MapeoCargos!$A:$A,MapeoCargos!$B:$B,E402),E402)</f>
        <v>PRODUCCIÓN / COCINA</v>
      </c>
      <c r="G402" s="45">
        <v>45299</v>
      </c>
    </row>
    <row r="403" spans="1:7" x14ac:dyDescent="0.2">
      <c r="A403" s="27" t="s">
        <v>413</v>
      </c>
      <c r="B403" s="34" t="s">
        <v>189</v>
      </c>
      <c r="C403" s="34" t="s">
        <v>19</v>
      </c>
      <c r="D403" s="34" t="s">
        <v>414</v>
      </c>
      <c r="E403" s="35" t="s">
        <v>222</v>
      </c>
      <c r="F403" t="str" cm="1">
        <f t="array" ref="F403">IFERROR(_xlfn.XLOOKUP(E403,MapeoCargos!$A:$A,MapeoCargos!$B:$B,E403),E403)</f>
        <v>PRODUCCIÓN / COCINA</v>
      </c>
      <c r="G403" s="45">
        <v>45299</v>
      </c>
    </row>
    <row r="404" spans="1:7" x14ac:dyDescent="0.2">
      <c r="A404" s="27" t="s">
        <v>2471</v>
      </c>
      <c r="B404" s="34" t="s">
        <v>2078</v>
      </c>
      <c r="C404" s="34" t="s">
        <v>2177</v>
      </c>
      <c r="D404" s="34" t="s">
        <v>2472</v>
      </c>
      <c r="E404" s="35" t="s">
        <v>305</v>
      </c>
      <c r="F404" t="str" cm="1">
        <f t="array" ref="F404">IFERROR(_xlfn.XLOOKUP(E404,MapeoCargos!$A:$A,MapeoCargos!$B:$B,E404),E404)</f>
        <v>LIMPIEZA / MANTENIMIENTO</v>
      </c>
      <c r="G404" s="45">
        <v>45304</v>
      </c>
    </row>
    <row r="405" spans="1:7" x14ac:dyDescent="0.2">
      <c r="A405" s="27" t="s">
        <v>2473</v>
      </c>
      <c r="B405" s="34" t="s">
        <v>2078</v>
      </c>
      <c r="C405" s="34" t="s">
        <v>5</v>
      </c>
      <c r="D405" s="34" t="s">
        <v>2474</v>
      </c>
      <c r="E405" s="35" t="s">
        <v>29</v>
      </c>
      <c r="F405" t="str" cm="1">
        <f t="array" ref="F405">IFERROR(_xlfn.XLOOKUP(E405,MapeoCargos!$A:$A,MapeoCargos!$B:$B,E405),E405)</f>
        <v>MOZO</v>
      </c>
      <c r="G405" s="45">
        <v>45306</v>
      </c>
    </row>
    <row r="406" spans="1:7" x14ac:dyDescent="0.2">
      <c r="A406" s="27" t="s">
        <v>2475</v>
      </c>
      <c r="B406" s="34" t="s">
        <v>2078</v>
      </c>
      <c r="C406" s="34" t="s">
        <v>2177</v>
      </c>
      <c r="D406" s="34" t="s">
        <v>2476</v>
      </c>
      <c r="E406" s="35" t="s">
        <v>305</v>
      </c>
      <c r="F406" t="str" cm="1">
        <f t="array" ref="F406">IFERROR(_xlfn.XLOOKUP(E406,MapeoCargos!$A:$A,MapeoCargos!$B:$B,E406),E406)</f>
        <v>LIMPIEZA / MANTENIMIENTO</v>
      </c>
      <c r="G406" s="45">
        <v>45309</v>
      </c>
    </row>
    <row r="407" spans="1:7" x14ac:dyDescent="0.2">
      <c r="A407" s="27" t="s">
        <v>2477</v>
      </c>
      <c r="B407" s="34" t="s">
        <v>2078</v>
      </c>
      <c r="C407" s="34" t="s">
        <v>2079</v>
      </c>
      <c r="D407" s="34" t="s">
        <v>2478</v>
      </c>
      <c r="E407" s="35" t="s">
        <v>2104</v>
      </c>
      <c r="F407" t="str" cm="1">
        <f t="array" ref="F407">IFERROR(_xlfn.XLOOKUP(E407,MapeoCargos!$A:$A,MapeoCargos!$B:$B,E407),E407)</f>
        <v>AUDITORIA</v>
      </c>
      <c r="G407" s="45">
        <v>45313</v>
      </c>
    </row>
    <row r="408" spans="1:7" x14ac:dyDescent="0.2">
      <c r="A408" s="27" t="s">
        <v>415</v>
      </c>
      <c r="B408" s="34" t="s">
        <v>189</v>
      </c>
      <c r="C408" s="34" t="s">
        <v>205</v>
      </c>
      <c r="D408" s="34" t="s">
        <v>416</v>
      </c>
      <c r="E408" s="35" t="s">
        <v>200</v>
      </c>
      <c r="F408" t="str" cm="1">
        <f t="array" ref="F408">IFERROR(_xlfn.XLOOKUP(E408,MapeoCargos!$A:$A,MapeoCargos!$B:$B,E408),E408)</f>
        <v>SEGURIDAD</v>
      </c>
      <c r="G408" s="45">
        <v>45313</v>
      </c>
    </row>
    <row r="409" spans="1:7" x14ac:dyDescent="0.2">
      <c r="A409" s="27" t="s">
        <v>417</v>
      </c>
      <c r="B409" s="34" t="s">
        <v>189</v>
      </c>
      <c r="C409" s="34" t="s">
        <v>21</v>
      </c>
      <c r="D409" s="34" t="s">
        <v>418</v>
      </c>
      <c r="E409" s="35" t="s">
        <v>126</v>
      </c>
      <c r="F409" t="str" cm="1">
        <f t="array" ref="F409">IFERROR(_xlfn.XLOOKUP(E409,MapeoCargos!$A:$A,MapeoCargos!$B:$B,E409),E409)</f>
        <v>MOTORIZADO</v>
      </c>
      <c r="G409" s="45">
        <v>45313</v>
      </c>
    </row>
    <row r="410" spans="1:7" x14ac:dyDescent="0.2">
      <c r="A410" s="27" t="s">
        <v>419</v>
      </c>
      <c r="B410" s="34" t="s">
        <v>189</v>
      </c>
      <c r="C410" s="34" t="s">
        <v>195</v>
      </c>
      <c r="D410" s="34" t="s">
        <v>420</v>
      </c>
      <c r="E410" s="35" t="s">
        <v>421</v>
      </c>
      <c r="F410" t="str" cm="1">
        <f t="array" ref="F410">IFERROR(_xlfn.XLOOKUP(E410,MapeoCargos!$A:$A,MapeoCargos!$B:$B,E410),E410)</f>
        <v>ASISTENTE SOCIAL</v>
      </c>
      <c r="G410" s="45">
        <v>45323</v>
      </c>
    </row>
    <row r="411" spans="1:7" x14ac:dyDescent="0.2">
      <c r="A411" s="27" t="s">
        <v>2479</v>
      </c>
      <c r="B411" s="34" t="s">
        <v>2078</v>
      </c>
      <c r="C411" s="34" t="s">
        <v>2079</v>
      </c>
      <c r="D411" s="34" t="s">
        <v>2480</v>
      </c>
      <c r="E411" s="35" t="s">
        <v>435</v>
      </c>
      <c r="F411" t="str" cm="1">
        <f t="array" ref="F411">IFERROR(_xlfn.XLOOKUP(E411,MapeoCargos!$A:$A,MapeoCargos!$B:$B,E411),E411)</f>
        <v>COORDINADORA DE MARKETING</v>
      </c>
      <c r="G411" s="45">
        <v>45323</v>
      </c>
    </row>
    <row r="412" spans="1:7" x14ac:dyDescent="0.2">
      <c r="A412" s="27" t="s">
        <v>2481</v>
      </c>
      <c r="B412" s="34" t="s">
        <v>2078</v>
      </c>
      <c r="C412" s="34" t="s">
        <v>2082</v>
      </c>
      <c r="D412" s="34" t="s">
        <v>2482</v>
      </c>
      <c r="E412" s="35" t="s">
        <v>146</v>
      </c>
      <c r="F412" t="str" cm="1">
        <f t="array" ref="F412">IFERROR(_xlfn.XLOOKUP(E412,MapeoCargos!$A:$A,MapeoCargos!$B:$B,E412),E412)</f>
        <v xml:space="preserve">MOZO </v>
      </c>
      <c r="G412" s="45">
        <v>45327</v>
      </c>
    </row>
    <row r="413" spans="1:7" x14ac:dyDescent="0.2">
      <c r="A413" s="27" t="s">
        <v>2483</v>
      </c>
      <c r="B413" s="34" t="s">
        <v>2078</v>
      </c>
      <c r="C413" s="34" t="s">
        <v>2082</v>
      </c>
      <c r="D413" s="34" t="s">
        <v>2484</v>
      </c>
      <c r="E413" s="35" t="s">
        <v>29</v>
      </c>
      <c r="F413" t="str" cm="1">
        <f t="array" ref="F413">IFERROR(_xlfn.XLOOKUP(E413,MapeoCargos!$A:$A,MapeoCargos!$B:$B,E413),E413)</f>
        <v>MOZO</v>
      </c>
      <c r="G413" s="45">
        <v>45327</v>
      </c>
    </row>
    <row r="414" spans="1:7" x14ac:dyDescent="0.2">
      <c r="A414" s="27" t="s">
        <v>422</v>
      </c>
      <c r="B414" s="34" t="s">
        <v>189</v>
      </c>
      <c r="C414" s="34" t="s">
        <v>17</v>
      </c>
      <c r="D414" s="34" t="s">
        <v>423</v>
      </c>
      <c r="E414" s="35" t="s">
        <v>83</v>
      </c>
      <c r="F414" t="str" cm="1">
        <f t="array" ref="F414">IFERROR(_xlfn.XLOOKUP(E414,MapeoCargos!$A:$A,MapeoCargos!$B:$B,E414),E414)</f>
        <v>PRODUCCIÓN / COCINA</v>
      </c>
      <c r="G414" s="45">
        <v>45328</v>
      </c>
    </row>
    <row r="415" spans="1:7" x14ac:dyDescent="0.2">
      <c r="A415" s="27" t="s">
        <v>2485</v>
      </c>
      <c r="B415" s="34" t="s">
        <v>2078</v>
      </c>
      <c r="C415" s="34" t="s">
        <v>2114</v>
      </c>
      <c r="D415" s="34" t="s">
        <v>2486</v>
      </c>
      <c r="E415" s="35" t="s">
        <v>468</v>
      </c>
      <c r="F415" t="str" cm="1">
        <f t="array" ref="F415">IFERROR(_xlfn.XLOOKUP(E415,MapeoCargos!$A:$A,MapeoCargos!$B:$B,E415),E415)</f>
        <v xml:space="preserve">ANFITRIONAJE </v>
      </c>
      <c r="G415" s="45">
        <v>45334</v>
      </c>
    </row>
    <row r="416" spans="1:7" x14ac:dyDescent="0.2">
      <c r="A416" s="27" t="s">
        <v>2487</v>
      </c>
      <c r="B416" s="34" t="s">
        <v>2078</v>
      </c>
      <c r="C416" s="34" t="s">
        <v>2211</v>
      </c>
      <c r="D416" s="34" t="s">
        <v>2488</v>
      </c>
      <c r="E416" s="35" t="s">
        <v>2489</v>
      </c>
      <c r="F416" t="str" cm="1">
        <f t="array" ref="F416">IFERROR(_xlfn.XLOOKUP(E416,MapeoCargos!$A:$A,MapeoCargos!$B:$B,E416),E416)</f>
        <v>TELEOPERADOR (A)</v>
      </c>
      <c r="G416" s="45">
        <v>45334</v>
      </c>
    </row>
    <row r="417" spans="1:7" x14ac:dyDescent="0.2">
      <c r="A417" s="27" t="s">
        <v>2490</v>
      </c>
      <c r="B417" s="34" t="s">
        <v>2078</v>
      </c>
      <c r="C417" s="34" t="s">
        <v>2177</v>
      </c>
      <c r="D417" s="34" t="s">
        <v>2491</v>
      </c>
      <c r="E417" s="35" t="s">
        <v>365</v>
      </c>
      <c r="F417" t="str" cm="1">
        <f t="array" ref="F417">IFERROR(_xlfn.XLOOKUP(E417,MapeoCargos!$A:$A,MapeoCargos!$B:$B,E417),E417)</f>
        <v xml:space="preserve">BARTENDER </v>
      </c>
      <c r="G417" s="45">
        <v>45337</v>
      </c>
    </row>
    <row r="418" spans="1:7" x14ac:dyDescent="0.2">
      <c r="A418" s="27" t="s">
        <v>2492</v>
      </c>
      <c r="B418" s="34" t="s">
        <v>2078</v>
      </c>
      <c r="C418" s="34" t="s">
        <v>2</v>
      </c>
      <c r="D418" s="34" t="s">
        <v>2493</v>
      </c>
      <c r="E418" s="35" t="s">
        <v>127</v>
      </c>
      <c r="F418" t="str" cm="1">
        <f t="array" ref="F418">IFERROR(_xlfn.XLOOKUP(E418,MapeoCargos!$A:$A,MapeoCargos!$B:$B,E418),E418)</f>
        <v>AZAFATA</v>
      </c>
      <c r="G418" s="45">
        <v>45341</v>
      </c>
    </row>
    <row r="419" spans="1:7" x14ac:dyDescent="0.2">
      <c r="A419" s="27" t="s">
        <v>3275</v>
      </c>
      <c r="B419" s="34" t="s">
        <v>3037</v>
      </c>
      <c r="C419" s="34" t="s">
        <v>3038</v>
      </c>
      <c r="D419" s="34" t="s">
        <v>3276</v>
      </c>
      <c r="E419" s="35" t="s">
        <v>214</v>
      </c>
      <c r="F419" t="str" cm="1">
        <f t="array" ref="F419">IFERROR(_xlfn.XLOOKUP(E419,MapeoCargos!$A:$A,MapeoCargos!$B:$B,E419),E419)</f>
        <v>COMMUNITY MANAGER</v>
      </c>
      <c r="G419" s="45">
        <v>45341</v>
      </c>
    </row>
    <row r="420" spans="1:7" x14ac:dyDescent="0.2">
      <c r="A420" s="27" t="s">
        <v>3277</v>
      </c>
      <c r="B420" s="34" t="s">
        <v>3037</v>
      </c>
      <c r="C420" s="34" t="s">
        <v>14</v>
      </c>
      <c r="D420" s="34" t="s">
        <v>3278</v>
      </c>
      <c r="E420" s="35" t="s">
        <v>231</v>
      </c>
      <c r="F420" t="str" cm="1">
        <f t="array" ref="F420">IFERROR(_xlfn.XLOOKUP(E420,MapeoCargos!$A:$A,MapeoCargos!$B:$B,E420),E420)</f>
        <v xml:space="preserve">CAJA </v>
      </c>
      <c r="G420" s="45">
        <v>45341</v>
      </c>
    </row>
    <row r="421" spans="1:7" x14ac:dyDescent="0.2">
      <c r="A421" s="27" t="s">
        <v>4241</v>
      </c>
      <c r="B421" s="34" t="s">
        <v>189</v>
      </c>
      <c r="C421" s="34" t="s">
        <v>19</v>
      </c>
      <c r="D421" s="34" t="s">
        <v>424</v>
      </c>
      <c r="E421" s="35" t="s">
        <v>231</v>
      </c>
      <c r="F421" t="str" cm="1">
        <f t="array" ref="F421">IFERROR(_xlfn.XLOOKUP(E421,MapeoCargos!$A:$A,MapeoCargos!$B:$B,E421),E421)</f>
        <v xml:space="preserve">CAJA </v>
      </c>
      <c r="G421" s="45">
        <v>45341</v>
      </c>
    </row>
    <row r="422" spans="1:7" x14ac:dyDescent="0.2">
      <c r="A422" s="27" t="s">
        <v>2494</v>
      </c>
      <c r="B422" s="34" t="s">
        <v>2078</v>
      </c>
      <c r="C422" s="34" t="s">
        <v>2082</v>
      </c>
      <c r="D422" s="34" t="s">
        <v>2495</v>
      </c>
      <c r="E422" s="35" t="s">
        <v>126</v>
      </c>
      <c r="F422" t="str" cm="1">
        <f t="array" ref="F422">IFERROR(_xlfn.XLOOKUP(E422,MapeoCargos!$A:$A,MapeoCargos!$B:$B,E422),E422)</f>
        <v>MOTORIZADO</v>
      </c>
      <c r="G422" s="45">
        <v>45352</v>
      </c>
    </row>
    <row r="423" spans="1:7" x14ac:dyDescent="0.2">
      <c r="A423" s="27" t="s">
        <v>2496</v>
      </c>
      <c r="B423" s="34" t="s">
        <v>2078</v>
      </c>
      <c r="C423" s="34" t="s">
        <v>2082</v>
      </c>
      <c r="D423" s="34" t="s">
        <v>2497</v>
      </c>
      <c r="E423" s="35" t="s">
        <v>2498</v>
      </c>
      <c r="F423" t="str" cm="1">
        <f t="array" ref="F423">IFERROR(_xlfn.XLOOKUP(E423,MapeoCargos!$A:$A,MapeoCargos!$B:$B,E423),E423)</f>
        <v xml:space="preserve">CAJA </v>
      </c>
      <c r="G423" s="45">
        <v>45352</v>
      </c>
    </row>
    <row r="424" spans="1:7" x14ac:dyDescent="0.2">
      <c r="A424" s="27" t="s">
        <v>425</v>
      </c>
      <c r="B424" s="34" t="s">
        <v>189</v>
      </c>
      <c r="C424" s="34" t="s">
        <v>20</v>
      </c>
      <c r="D424" s="34" t="s">
        <v>426</v>
      </c>
      <c r="E424" s="35" t="s">
        <v>231</v>
      </c>
      <c r="F424" t="str" cm="1">
        <f t="array" ref="F424">IFERROR(_xlfn.XLOOKUP(E424,MapeoCargos!$A:$A,MapeoCargos!$B:$B,E424),E424)</f>
        <v xml:space="preserve">CAJA </v>
      </c>
      <c r="G424" s="45">
        <v>45355</v>
      </c>
    </row>
    <row r="425" spans="1:7" x14ac:dyDescent="0.2">
      <c r="A425" s="27" t="s">
        <v>427</v>
      </c>
      <c r="B425" s="34" t="s">
        <v>189</v>
      </c>
      <c r="C425" s="34" t="s">
        <v>21</v>
      </c>
      <c r="D425" s="34" t="s">
        <v>428</v>
      </c>
      <c r="E425" s="35" t="s">
        <v>231</v>
      </c>
      <c r="F425" t="str" cm="1">
        <f t="array" ref="F425">IFERROR(_xlfn.XLOOKUP(E425,MapeoCargos!$A:$A,MapeoCargos!$B:$B,E425),E425)</f>
        <v xml:space="preserve">CAJA </v>
      </c>
      <c r="G425" s="45">
        <v>45362</v>
      </c>
    </row>
    <row r="426" spans="1:7" x14ac:dyDescent="0.2">
      <c r="A426" s="27" t="s">
        <v>2499</v>
      </c>
      <c r="B426" s="34" t="s">
        <v>2078</v>
      </c>
      <c r="C426" s="34" t="s">
        <v>2</v>
      </c>
      <c r="D426" s="34" t="s">
        <v>2500</v>
      </c>
      <c r="E426" s="35" t="s">
        <v>440</v>
      </c>
      <c r="F426" t="str" cm="1">
        <f t="array" ref="F426">IFERROR(_xlfn.XLOOKUP(E426,MapeoCargos!$A:$A,MapeoCargos!$B:$B,E426),E426)</f>
        <v xml:space="preserve">AUXILIAR DE LIMPIEZA </v>
      </c>
      <c r="G426" s="45">
        <v>45362</v>
      </c>
    </row>
    <row r="427" spans="1:7" x14ac:dyDescent="0.2">
      <c r="A427" s="27" t="s">
        <v>3279</v>
      </c>
      <c r="B427" s="34" t="s">
        <v>3037</v>
      </c>
      <c r="C427" s="34" t="s">
        <v>2670</v>
      </c>
      <c r="D427" s="34" t="s">
        <v>3280</v>
      </c>
      <c r="E427" s="35" t="s">
        <v>29</v>
      </c>
      <c r="F427" t="str" cm="1">
        <f t="array" ref="F427">IFERROR(_xlfn.XLOOKUP(E427,MapeoCargos!$A:$A,MapeoCargos!$B:$B,E427),E427)</f>
        <v>MOZO</v>
      </c>
      <c r="G427" s="45">
        <v>45362</v>
      </c>
    </row>
    <row r="428" spans="1:7" x14ac:dyDescent="0.2">
      <c r="A428" s="27" t="s">
        <v>3281</v>
      </c>
      <c r="B428" s="34" t="s">
        <v>3037</v>
      </c>
      <c r="C428" s="34" t="s">
        <v>16</v>
      </c>
      <c r="D428" s="34" t="s">
        <v>3282</v>
      </c>
      <c r="E428" s="35" t="s">
        <v>29</v>
      </c>
      <c r="F428" t="str" cm="1">
        <f t="array" ref="F428">IFERROR(_xlfn.XLOOKUP(E428,MapeoCargos!$A:$A,MapeoCargos!$B:$B,E428),E428)</f>
        <v>MOZO</v>
      </c>
      <c r="G428" s="45">
        <v>45362</v>
      </c>
    </row>
    <row r="429" spans="1:7" x14ac:dyDescent="0.2">
      <c r="A429" s="27" t="s">
        <v>429</v>
      </c>
      <c r="B429" s="34" t="s">
        <v>189</v>
      </c>
      <c r="C429" s="34" t="s">
        <v>17</v>
      </c>
      <c r="D429" s="34" t="s">
        <v>430</v>
      </c>
      <c r="E429" s="35" t="s">
        <v>83</v>
      </c>
      <c r="F429" t="str" cm="1">
        <f t="array" ref="F429">IFERROR(_xlfn.XLOOKUP(E429,MapeoCargos!$A:$A,MapeoCargos!$B:$B,E429),E429)</f>
        <v>PRODUCCIÓN / COCINA</v>
      </c>
      <c r="G429" s="45">
        <v>45369</v>
      </c>
    </row>
    <row r="430" spans="1:7" x14ac:dyDescent="0.2">
      <c r="A430" s="27" t="s">
        <v>431</v>
      </c>
      <c r="B430" s="34" t="s">
        <v>189</v>
      </c>
      <c r="C430" s="34" t="s">
        <v>19</v>
      </c>
      <c r="D430" s="34" t="s">
        <v>432</v>
      </c>
      <c r="E430" s="35" t="s">
        <v>126</v>
      </c>
      <c r="F430" t="str" cm="1">
        <f t="array" ref="F430">IFERROR(_xlfn.XLOOKUP(E430,MapeoCargos!$A:$A,MapeoCargos!$B:$B,E430),E430)</f>
        <v>MOTORIZADO</v>
      </c>
      <c r="G430" s="45">
        <v>45369</v>
      </c>
    </row>
    <row r="431" spans="1:7" x14ac:dyDescent="0.2">
      <c r="A431" s="27" t="s">
        <v>2501</v>
      </c>
      <c r="B431" s="34" t="s">
        <v>2078</v>
      </c>
      <c r="C431" s="34" t="s">
        <v>5</v>
      </c>
      <c r="D431" s="34" t="s">
        <v>2502</v>
      </c>
      <c r="E431" s="35" t="s">
        <v>127</v>
      </c>
      <c r="F431" t="str" cm="1">
        <f t="array" ref="F431">IFERROR(_xlfn.XLOOKUP(E431,MapeoCargos!$A:$A,MapeoCargos!$B:$B,E431),E431)</f>
        <v>AZAFATA</v>
      </c>
      <c r="G431" s="45">
        <v>45369</v>
      </c>
    </row>
    <row r="432" spans="1:7" x14ac:dyDescent="0.2">
      <c r="A432" s="27" t="s">
        <v>433</v>
      </c>
      <c r="B432" s="34" t="s">
        <v>189</v>
      </c>
      <c r="C432" s="34" t="s">
        <v>19</v>
      </c>
      <c r="D432" s="34" t="s">
        <v>434</v>
      </c>
      <c r="E432" s="35" t="s">
        <v>83</v>
      </c>
      <c r="F432" t="str" cm="1">
        <f t="array" ref="F432">IFERROR(_xlfn.XLOOKUP(E432,MapeoCargos!$A:$A,MapeoCargos!$B:$B,E432),E432)</f>
        <v>PRODUCCIÓN / COCINA</v>
      </c>
      <c r="G432" s="45">
        <v>45376</v>
      </c>
    </row>
    <row r="433" spans="1:7" x14ac:dyDescent="0.2">
      <c r="A433" s="27" t="s">
        <v>2503</v>
      </c>
      <c r="B433" s="34" t="s">
        <v>2078</v>
      </c>
      <c r="C433" s="34" t="s">
        <v>2211</v>
      </c>
      <c r="D433" s="34" t="s">
        <v>2504</v>
      </c>
      <c r="E433" s="35" t="s">
        <v>312</v>
      </c>
      <c r="F433" t="str" cm="1">
        <f t="array" ref="F433">IFERROR(_xlfn.XLOOKUP(E433,MapeoCargos!$A:$A,MapeoCargos!$B:$B,E433),E433)</f>
        <v>TELEOPERADOR (A) P/T</v>
      </c>
      <c r="G433" s="45">
        <v>45376</v>
      </c>
    </row>
    <row r="434" spans="1:7" x14ac:dyDescent="0.2">
      <c r="A434" s="27" t="s">
        <v>3283</v>
      </c>
      <c r="B434" s="34" t="s">
        <v>3037</v>
      </c>
      <c r="C434" s="34" t="s">
        <v>16</v>
      </c>
      <c r="D434" s="34" t="s">
        <v>3284</v>
      </c>
      <c r="E434" s="35" t="s">
        <v>1837</v>
      </c>
      <c r="F434" t="str" cm="1">
        <f t="array" ref="F434">IFERROR(_xlfn.XLOOKUP(E434,MapeoCargos!$A:$A,MapeoCargos!$B:$B,E434),E434)</f>
        <v xml:space="preserve">AZAFATA </v>
      </c>
      <c r="G434" s="45">
        <v>45376</v>
      </c>
    </row>
    <row r="435" spans="1:7" x14ac:dyDescent="0.2">
      <c r="A435" s="27" t="s">
        <v>2505</v>
      </c>
      <c r="B435" s="34" t="s">
        <v>2078</v>
      </c>
      <c r="C435" s="34" t="s">
        <v>2211</v>
      </c>
      <c r="D435" s="34" t="s">
        <v>2506</v>
      </c>
      <c r="E435" s="35" t="s">
        <v>312</v>
      </c>
      <c r="F435" t="str" cm="1">
        <f t="array" ref="F435">IFERROR(_xlfn.XLOOKUP(E435,MapeoCargos!$A:$A,MapeoCargos!$B:$B,E435),E435)</f>
        <v>TELEOPERADOR (A) P/T</v>
      </c>
      <c r="G435" s="45">
        <v>45383</v>
      </c>
    </row>
    <row r="436" spans="1:7" x14ac:dyDescent="0.2">
      <c r="A436" s="27" t="s">
        <v>2507</v>
      </c>
      <c r="B436" s="34" t="s">
        <v>2078</v>
      </c>
      <c r="C436" s="34" t="s">
        <v>2177</v>
      </c>
      <c r="D436" s="34" t="s">
        <v>2508</v>
      </c>
      <c r="E436" s="35" t="s">
        <v>30</v>
      </c>
      <c r="F436" t="str" cm="1">
        <f t="array" ref="F436">IFERROR(_xlfn.XLOOKUP(E436,MapeoCargos!$A:$A,MapeoCargos!$B:$B,E436),E436)</f>
        <v>STAFF ADMINISTRATIVO</v>
      </c>
      <c r="G436" s="45">
        <v>45383</v>
      </c>
    </row>
    <row r="437" spans="1:7" x14ac:dyDescent="0.2">
      <c r="A437" s="27" t="s">
        <v>3285</v>
      </c>
      <c r="B437" s="34" t="s">
        <v>3037</v>
      </c>
      <c r="C437" s="34" t="s">
        <v>2458</v>
      </c>
      <c r="D437" s="34" t="s">
        <v>3286</v>
      </c>
      <c r="E437" s="35" t="s">
        <v>231</v>
      </c>
      <c r="F437" t="str" cm="1">
        <f t="array" ref="F437">IFERROR(_xlfn.XLOOKUP(E437,MapeoCargos!$A:$A,MapeoCargos!$B:$B,E437),E437)</f>
        <v xml:space="preserve">CAJA </v>
      </c>
      <c r="G437" s="45">
        <v>45383</v>
      </c>
    </row>
    <row r="438" spans="1:7" x14ac:dyDescent="0.2">
      <c r="A438" s="27" t="s">
        <v>3287</v>
      </c>
      <c r="B438" s="34" t="s">
        <v>3037</v>
      </c>
      <c r="C438" s="34" t="s">
        <v>2670</v>
      </c>
      <c r="D438" s="34" t="s">
        <v>3288</v>
      </c>
      <c r="E438" s="35" t="s">
        <v>29</v>
      </c>
      <c r="F438" t="str" cm="1">
        <f t="array" ref="F438">IFERROR(_xlfn.XLOOKUP(E438,MapeoCargos!$A:$A,MapeoCargos!$B:$B,E438),E438)</f>
        <v>MOZO</v>
      </c>
      <c r="G438" s="45">
        <v>45383</v>
      </c>
    </row>
    <row r="439" spans="1:7" x14ac:dyDescent="0.2">
      <c r="A439" s="27" t="s">
        <v>2509</v>
      </c>
      <c r="B439" s="34" t="s">
        <v>2078</v>
      </c>
      <c r="C439" s="34" t="s">
        <v>5</v>
      </c>
      <c r="D439" s="34" t="s">
        <v>2510</v>
      </c>
      <c r="E439" s="35" t="s">
        <v>83</v>
      </c>
      <c r="F439" t="str" cm="1">
        <f t="array" ref="F439">IFERROR(_xlfn.XLOOKUP(E439,MapeoCargos!$A:$A,MapeoCargos!$B:$B,E439),E439)</f>
        <v>PRODUCCIÓN / COCINA</v>
      </c>
      <c r="G439" s="45">
        <v>45386</v>
      </c>
    </row>
    <row r="440" spans="1:7" x14ac:dyDescent="0.2">
      <c r="A440" s="27" t="s">
        <v>3289</v>
      </c>
      <c r="B440" s="34" t="s">
        <v>3037</v>
      </c>
      <c r="C440" s="34" t="s">
        <v>14</v>
      </c>
      <c r="D440" s="34" t="s">
        <v>3290</v>
      </c>
      <c r="E440" s="35" t="s">
        <v>231</v>
      </c>
      <c r="F440" t="str" cm="1">
        <f t="array" ref="F440">IFERROR(_xlfn.XLOOKUP(E440,MapeoCargos!$A:$A,MapeoCargos!$B:$B,E440),E440)</f>
        <v xml:space="preserve">CAJA </v>
      </c>
      <c r="G440" s="45">
        <v>45390</v>
      </c>
    </row>
    <row r="441" spans="1:7" x14ac:dyDescent="0.2">
      <c r="A441" s="27" t="s">
        <v>2511</v>
      </c>
      <c r="B441" s="34" t="s">
        <v>2078</v>
      </c>
      <c r="C441" s="34" t="s">
        <v>2211</v>
      </c>
      <c r="D441" s="34" t="s">
        <v>2512</v>
      </c>
      <c r="E441" s="35" t="s">
        <v>312</v>
      </c>
      <c r="F441" t="str" cm="1">
        <f t="array" ref="F441">IFERROR(_xlfn.XLOOKUP(E441,MapeoCargos!$A:$A,MapeoCargos!$B:$B,E441),E441)</f>
        <v>TELEOPERADOR (A) P/T</v>
      </c>
      <c r="G441" s="45">
        <v>45390</v>
      </c>
    </row>
    <row r="442" spans="1:7" x14ac:dyDescent="0.2">
      <c r="A442" s="27" t="s">
        <v>436</v>
      </c>
      <c r="B442" s="34" t="s">
        <v>189</v>
      </c>
      <c r="C442" s="34" t="s">
        <v>17</v>
      </c>
      <c r="D442" s="34" t="s">
        <v>437</v>
      </c>
      <c r="E442" s="35" t="s">
        <v>29</v>
      </c>
      <c r="F442" t="str" cm="1">
        <f t="array" ref="F442">IFERROR(_xlfn.XLOOKUP(E442,MapeoCargos!$A:$A,MapeoCargos!$B:$B,E442),E442)</f>
        <v>MOZO</v>
      </c>
      <c r="G442" s="45">
        <v>45390</v>
      </c>
    </row>
    <row r="443" spans="1:7" x14ac:dyDescent="0.2">
      <c r="A443" s="27" t="s">
        <v>3291</v>
      </c>
      <c r="B443" s="34" t="s">
        <v>3037</v>
      </c>
      <c r="C443" s="34" t="s">
        <v>14</v>
      </c>
      <c r="D443" s="34" t="s">
        <v>3292</v>
      </c>
      <c r="E443" s="35" t="s">
        <v>127</v>
      </c>
      <c r="F443" t="str" cm="1">
        <f t="array" ref="F443">IFERROR(_xlfn.XLOOKUP(E443,MapeoCargos!$A:$A,MapeoCargos!$B:$B,E443),E443)</f>
        <v>AZAFATA</v>
      </c>
      <c r="G443" s="45">
        <v>45390</v>
      </c>
    </row>
    <row r="444" spans="1:7" x14ac:dyDescent="0.2">
      <c r="A444" s="27" t="s">
        <v>438</v>
      </c>
      <c r="B444" s="34" t="s">
        <v>189</v>
      </c>
      <c r="C444" s="34" t="s">
        <v>20</v>
      </c>
      <c r="D444" s="34" t="s">
        <v>439</v>
      </c>
      <c r="E444" s="35" t="s">
        <v>440</v>
      </c>
      <c r="F444" t="str" cm="1">
        <f t="array" ref="F444">IFERROR(_xlfn.XLOOKUP(E444,MapeoCargos!$A:$A,MapeoCargos!$B:$B,E444),E444)</f>
        <v xml:space="preserve">AUXILIAR DE LIMPIEZA </v>
      </c>
      <c r="G444" s="45">
        <v>45397</v>
      </c>
    </row>
    <row r="445" spans="1:7" x14ac:dyDescent="0.2">
      <c r="A445" s="27" t="s">
        <v>3293</v>
      </c>
      <c r="B445" s="34" t="s">
        <v>3037</v>
      </c>
      <c r="C445" s="34" t="s">
        <v>16</v>
      </c>
      <c r="D445" s="34" t="s">
        <v>3294</v>
      </c>
      <c r="E445" s="35" t="s">
        <v>29</v>
      </c>
      <c r="F445" t="str" cm="1">
        <f t="array" ref="F445">IFERROR(_xlfn.XLOOKUP(E445,MapeoCargos!$A:$A,MapeoCargos!$B:$B,E445),E445)</f>
        <v>MOZO</v>
      </c>
      <c r="G445" s="45">
        <v>45397</v>
      </c>
    </row>
    <row r="446" spans="1:7" x14ac:dyDescent="0.2">
      <c r="A446" s="27" t="s">
        <v>3295</v>
      </c>
      <c r="B446" s="34" t="s">
        <v>3037</v>
      </c>
      <c r="C446" s="34" t="s">
        <v>16</v>
      </c>
      <c r="D446" s="34" t="s">
        <v>3296</v>
      </c>
      <c r="E446" s="35" t="s">
        <v>126</v>
      </c>
      <c r="F446" t="str" cm="1">
        <f t="array" ref="F446">IFERROR(_xlfn.XLOOKUP(E446,MapeoCargos!$A:$A,MapeoCargos!$B:$B,E446),E446)</f>
        <v>MOTORIZADO</v>
      </c>
      <c r="G446" s="45">
        <v>45397</v>
      </c>
    </row>
    <row r="447" spans="1:7" x14ac:dyDescent="0.2">
      <c r="A447" s="27" t="s">
        <v>2513</v>
      </c>
      <c r="B447" s="34" t="s">
        <v>2078</v>
      </c>
      <c r="C447" s="34" t="s">
        <v>2082</v>
      </c>
      <c r="D447" s="34" t="s">
        <v>2514</v>
      </c>
      <c r="E447" s="35" t="s">
        <v>231</v>
      </c>
      <c r="F447" t="str" cm="1">
        <f t="array" ref="F447">IFERROR(_xlfn.XLOOKUP(E447,MapeoCargos!$A:$A,MapeoCargos!$B:$B,E447),E447)</f>
        <v xml:space="preserve">CAJA </v>
      </c>
      <c r="G447" s="45">
        <v>45397</v>
      </c>
    </row>
    <row r="448" spans="1:7" x14ac:dyDescent="0.2">
      <c r="A448" s="27" t="s">
        <v>441</v>
      </c>
      <c r="B448" s="34" t="s">
        <v>189</v>
      </c>
      <c r="C448" s="34" t="s">
        <v>17</v>
      </c>
      <c r="D448" s="34" t="s">
        <v>442</v>
      </c>
      <c r="E448" s="35" t="s">
        <v>126</v>
      </c>
      <c r="F448" t="str" cm="1">
        <f t="array" ref="F448">IFERROR(_xlfn.XLOOKUP(E448,MapeoCargos!$A:$A,MapeoCargos!$B:$B,E448),E448)</f>
        <v>MOTORIZADO</v>
      </c>
      <c r="G448" s="45">
        <v>45397</v>
      </c>
    </row>
    <row r="449" spans="1:7" x14ac:dyDescent="0.2">
      <c r="A449" s="27" t="s">
        <v>443</v>
      </c>
      <c r="B449" s="34" t="s">
        <v>189</v>
      </c>
      <c r="C449" s="34" t="s">
        <v>195</v>
      </c>
      <c r="D449" s="34" t="s">
        <v>444</v>
      </c>
      <c r="E449" s="35" t="s">
        <v>349</v>
      </c>
      <c r="F449" t="str" cm="1">
        <f t="array" ref="F449">IFERROR(_xlfn.XLOOKUP(E449,MapeoCargos!$A:$A,MapeoCargos!$B:$B,E449),E449)</f>
        <v>ASISTENTE DE RECLUTAMIENTO Y SELECCION</v>
      </c>
      <c r="G449" s="45">
        <v>45397</v>
      </c>
    </row>
    <row r="450" spans="1:7" x14ac:dyDescent="0.2">
      <c r="A450" s="27" t="s">
        <v>2515</v>
      </c>
      <c r="B450" s="34" t="s">
        <v>2078</v>
      </c>
      <c r="C450" s="34" t="s">
        <v>2177</v>
      </c>
      <c r="D450" s="34" t="s">
        <v>2516</v>
      </c>
      <c r="E450" s="35" t="s">
        <v>127</v>
      </c>
      <c r="F450" t="str" cm="1">
        <f t="array" ref="F450">IFERROR(_xlfn.XLOOKUP(E450,MapeoCargos!$A:$A,MapeoCargos!$B:$B,E450),E450)</f>
        <v>AZAFATA</v>
      </c>
      <c r="G450" s="45">
        <v>45400</v>
      </c>
    </row>
    <row r="451" spans="1:7" x14ac:dyDescent="0.2">
      <c r="A451" s="27" t="s">
        <v>445</v>
      </c>
      <c r="B451" s="34" t="s">
        <v>189</v>
      </c>
      <c r="C451" s="34" t="s">
        <v>19</v>
      </c>
      <c r="D451" s="34" t="s">
        <v>446</v>
      </c>
      <c r="E451" s="35" t="s">
        <v>222</v>
      </c>
      <c r="F451" t="str" cm="1">
        <f t="array" ref="F451">IFERROR(_xlfn.XLOOKUP(E451,MapeoCargos!$A:$A,MapeoCargos!$B:$B,E451),E451)</f>
        <v>PRODUCCIÓN / COCINA</v>
      </c>
      <c r="G451" s="45">
        <v>45404</v>
      </c>
    </row>
    <row r="452" spans="1:7" x14ac:dyDescent="0.2">
      <c r="A452" s="27" t="s">
        <v>3297</v>
      </c>
      <c r="B452" s="34" t="s">
        <v>3037</v>
      </c>
      <c r="C452" s="34" t="s">
        <v>3038</v>
      </c>
      <c r="D452" s="34" t="s">
        <v>3298</v>
      </c>
      <c r="E452" s="35" t="s">
        <v>3299</v>
      </c>
      <c r="F452" t="str" cm="1">
        <f t="array" ref="F452">IFERROR(_xlfn.XLOOKUP(E452,MapeoCargos!$A:$A,MapeoCargos!$B:$B,E452),E452)</f>
        <v>ANALISTA DE FINANZAS</v>
      </c>
      <c r="G452" s="45">
        <v>45404</v>
      </c>
    </row>
    <row r="453" spans="1:7" x14ac:dyDescent="0.2">
      <c r="A453" s="27" t="s">
        <v>447</v>
      </c>
      <c r="B453" s="34" t="s">
        <v>189</v>
      </c>
      <c r="C453" s="34" t="s">
        <v>18</v>
      </c>
      <c r="D453" s="34" t="s">
        <v>448</v>
      </c>
      <c r="E453" s="35" t="s">
        <v>29</v>
      </c>
      <c r="F453" t="str" cm="1">
        <f t="array" ref="F453">IFERROR(_xlfn.XLOOKUP(E453,MapeoCargos!$A:$A,MapeoCargos!$B:$B,E453),E453)</f>
        <v>MOZO</v>
      </c>
      <c r="G453" s="45">
        <v>45413</v>
      </c>
    </row>
    <row r="454" spans="1:7" x14ac:dyDescent="0.2">
      <c r="A454" s="27" t="s">
        <v>3300</v>
      </c>
      <c r="B454" s="34" t="s">
        <v>3037</v>
      </c>
      <c r="C454" s="34" t="s">
        <v>2458</v>
      </c>
      <c r="D454" s="34" t="s">
        <v>3301</v>
      </c>
      <c r="E454" s="35" t="s">
        <v>160</v>
      </c>
      <c r="F454" t="str" cm="1">
        <f t="array" ref="F454">IFERROR(_xlfn.XLOOKUP(E454,MapeoCargos!$A:$A,MapeoCargos!$B:$B,E454),E454)</f>
        <v>PACKER</v>
      </c>
      <c r="G454" s="45">
        <v>45413</v>
      </c>
    </row>
    <row r="455" spans="1:7" x14ac:dyDescent="0.2">
      <c r="A455" s="27" t="s">
        <v>449</v>
      </c>
      <c r="B455" s="34" t="s">
        <v>189</v>
      </c>
      <c r="C455" s="34" t="s">
        <v>17</v>
      </c>
      <c r="D455" s="34" t="s">
        <v>450</v>
      </c>
      <c r="E455" s="35" t="s">
        <v>126</v>
      </c>
      <c r="F455" t="str" cm="1">
        <f t="array" ref="F455">IFERROR(_xlfn.XLOOKUP(E455,MapeoCargos!$A:$A,MapeoCargos!$B:$B,E455),E455)</f>
        <v>MOTORIZADO</v>
      </c>
      <c r="G455" s="45">
        <v>45413</v>
      </c>
    </row>
    <row r="456" spans="1:7" x14ac:dyDescent="0.2">
      <c r="A456" s="27" t="s">
        <v>2517</v>
      </c>
      <c r="B456" s="34" t="s">
        <v>2078</v>
      </c>
      <c r="C456" s="34" t="s">
        <v>2082</v>
      </c>
      <c r="D456" s="34" t="s">
        <v>2518</v>
      </c>
      <c r="E456" s="35" t="s">
        <v>127</v>
      </c>
      <c r="F456" t="str" cm="1">
        <f t="array" ref="F456">IFERROR(_xlfn.XLOOKUP(E456,MapeoCargos!$A:$A,MapeoCargos!$B:$B,E456),E456)</f>
        <v>AZAFATA</v>
      </c>
      <c r="G456" s="45">
        <v>45418</v>
      </c>
    </row>
    <row r="457" spans="1:7" x14ac:dyDescent="0.2">
      <c r="A457" s="27" t="s">
        <v>3302</v>
      </c>
      <c r="B457" s="34" t="s">
        <v>3037</v>
      </c>
      <c r="C457" s="34" t="s">
        <v>3038</v>
      </c>
      <c r="D457" s="34" t="s">
        <v>3303</v>
      </c>
      <c r="E457" s="35" t="s">
        <v>4172</v>
      </c>
      <c r="F457" t="str" cm="1">
        <f t="array" ref="F457">IFERROR(_xlfn.XLOOKUP(E457,MapeoCargos!$A:$A,MapeoCargos!$B:$B,E457),E457)</f>
        <v>ENCARGADO DE SOPORTE</v>
      </c>
      <c r="G457" s="45">
        <v>45418</v>
      </c>
    </row>
    <row r="458" spans="1:7" x14ac:dyDescent="0.2">
      <c r="A458" s="27" t="s">
        <v>2519</v>
      </c>
      <c r="B458" s="34" t="s">
        <v>2078</v>
      </c>
      <c r="C458" s="34" t="s">
        <v>2</v>
      </c>
      <c r="D458" s="34" t="s">
        <v>2520</v>
      </c>
      <c r="E458" s="35" t="s">
        <v>365</v>
      </c>
      <c r="F458" t="str" cm="1">
        <f t="array" ref="F458">IFERROR(_xlfn.XLOOKUP(E458,MapeoCargos!$A:$A,MapeoCargos!$B:$B,E458),E458)</f>
        <v xml:space="preserve">BARTENDER </v>
      </c>
      <c r="G458" s="45">
        <v>45432</v>
      </c>
    </row>
    <row r="459" spans="1:7" x14ac:dyDescent="0.2">
      <c r="A459" s="27" t="s">
        <v>451</v>
      </c>
      <c r="B459" s="34" t="s">
        <v>189</v>
      </c>
      <c r="C459" s="34" t="s">
        <v>205</v>
      </c>
      <c r="D459" s="34" t="s">
        <v>452</v>
      </c>
      <c r="E459" s="35" t="s">
        <v>127</v>
      </c>
      <c r="F459" t="str" cm="1">
        <f t="array" ref="F459">IFERROR(_xlfn.XLOOKUP(E459,MapeoCargos!$A:$A,MapeoCargos!$B:$B,E459),E459)</f>
        <v>AZAFATA</v>
      </c>
      <c r="G459" s="45">
        <v>45439</v>
      </c>
    </row>
    <row r="460" spans="1:7" x14ac:dyDescent="0.2">
      <c r="A460" s="27" t="s">
        <v>2521</v>
      </c>
      <c r="B460" s="34" t="s">
        <v>2078</v>
      </c>
      <c r="C460" s="34" t="s">
        <v>2177</v>
      </c>
      <c r="D460" s="34" t="s">
        <v>2522</v>
      </c>
      <c r="E460" s="35" t="s">
        <v>365</v>
      </c>
      <c r="F460" t="str" cm="1">
        <f t="array" ref="F460">IFERROR(_xlfn.XLOOKUP(E460,MapeoCargos!$A:$A,MapeoCargos!$B:$B,E460),E460)</f>
        <v xml:space="preserve">BARTENDER </v>
      </c>
      <c r="G460" s="45">
        <v>45439</v>
      </c>
    </row>
    <row r="461" spans="1:7" x14ac:dyDescent="0.2">
      <c r="A461" s="27" t="s">
        <v>453</v>
      </c>
      <c r="B461" s="34" t="s">
        <v>189</v>
      </c>
      <c r="C461" s="34" t="s">
        <v>20</v>
      </c>
      <c r="D461" s="34" t="s">
        <v>454</v>
      </c>
      <c r="E461" s="35" t="s">
        <v>231</v>
      </c>
      <c r="F461" t="str" cm="1">
        <f t="array" ref="F461">IFERROR(_xlfn.XLOOKUP(E461,MapeoCargos!$A:$A,MapeoCargos!$B:$B,E461),E461)</f>
        <v xml:space="preserve">CAJA </v>
      </c>
      <c r="G461" s="45">
        <v>45444</v>
      </c>
    </row>
    <row r="462" spans="1:7" x14ac:dyDescent="0.2">
      <c r="A462" s="27" t="s">
        <v>3304</v>
      </c>
      <c r="B462" s="34" t="s">
        <v>3037</v>
      </c>
      <c r="C462" s="34" t="s">
        <v>3038</v>
      </c>
      <c r="D462" s="34" t="s">
        <v>3305</v>
      </c>
      <c r="E462" s="35" t="s">
        <v>4173</v>
      </c>
      <c r="F462" t="str" cm="1">
        <f t="array" ref="F462">IFERROR(_xlfn.XLOOKUP(E462,MapeoCargos!$A:$A,MapeoCargos!$B:$B,E462),E462)</f>
        <v>CONTENT MANAGER</v>
      </c>
      <c r="G462" s="45">
        <v>45444</v>
      </c>
    </row>
    <row r="463" spans="1:7" x14ac:dyDescent="0.2">
      <c r="A463" s="27" t="s">
        <v>2523</v>
      </c>
      <c r="B463" s="34" t="s">
        <v>2078</v>
      </c>
      <c r="C463" s="34" t="s">
        <v>5</v>
      </c>
      <c r="D463" s="34" t="s">
        <v>2524</v>
      </c>
      <c r="E463" s="35" t="s">
        <v>231</v>
      </c>
      <c r="F463" t="str" cm="1">
        <f t="array" ref="F463">IFERROR(_xlfn.XLOOKUP(E463,MapeoCargos!$A:$A,MapeoCargos!$B:$B,E463),E463)</f>
        <v xml:space="preserve">CAJA </v>
      </c>
      <c r="G463" s="45">
        <v>45444</v>
      </c>
    </row>
    <row r="464" spans="1:7" x14ac:dyDescent="0.2">
      <c r="A464" s="27" t="s">
        <v>2525</v>
      </c>
      <c r="B464" s="34" t="s">
        <v>2078</v>
      </c>
      <c r="C464" s="34" t="s">
        <v>2177</v>
      </c>
      <c r="D464" s="34" t="s">
        <v>2526</v>
      </c>
      <c r="E464" s="35" t="s">
        <v>83</v>
      </c>
      <c r="F464" t="str" cm="1">
        <f t="array" ref="F464">IFERROR(_xlfn.XLOOKUP(E464,MapeoCargos!$A:$A,MapeoCargos!$B:$B,E464),E464)</f>
        <v>PRODUCCIÓN / COCINA</v>
      </c>
      <c r="G464" s="45">
        <v>45444</v>
      </c>
    </row>
    <row r="465" spans="1:7" x14ac:dyDescent="0.2">
      <c r="A465" s="27" t="s">
        <v>2527</v>
      </c>
      <c r="B465" s="34" t="s">
        <v>2078</v>
      </c>
      <c r="C465" s="34" t="s">
        <v>8</v>
      </c>
      <c r="D465" s="34" t="s">
        <v>2528</v>
      </c>
      <c r="E465" s="35" t="s">
        <v>222</v>
      </c>
      <c r="F465" t="str" cm="1">
        <f t="array" ref="F465">IFERROR(_xlfn.XLOOKUP(E465,MapeoCargos!$A:$A,MapeoCargos!$B:$B,E465),E465)</f>
        <v>PRODUCCIÓN / COCINA</v>
      </c>
      <c r="G465" s="45">
        <v>45446</v>
      </c>
    </row>
    <row r="466" spans="1:7" x14ac:dyDescent="0.2">
      <c r="A466" s="27" t="s">
        <v>3306</v>
      </c>
      <c r="B466" s="34" t="s">
        <v>3037</v>
      </c>
      <c r="C466" s="34" t="s">
        <v>2458</v>
      </c>
      <c r="D466" s="34" t="s">
        <v>3307</v>
      </c>
      <c r="E466" s="35" t="s">
        <v>1837</v>
      </c>
      <c r="F466" t="str" cm="1">
        <f t="array" ref="F466">IFERROR(_xlfn.XLOOKUP(E466,MapeoCargos!$A:$A,MapeoCargos!$B:$B,E466),E466)</f>
        <v xml:space="preserve">AZAFATA </v>
      </c>
      <c r="G466" s="45">
        <v>45446</v>
      </c>
    </row>
    <row r="467" spans="1:7" x14ac:dyDescent="0.2">
      <c r="A467" s="27" t="s">
        <v>3308</v>
      </c>
      <c r="B467" s="34" t="s">
        <v>3037</v>
      </c>
      <c r="C467" s="34" t="s">
        <v>626</v>
      </c>
      <c r="D467" s="34" t="s">
        <v>3309</v>
      </c>
      <c r="E467" s="35" t="s">
        <v>126</v>
      </c>
      <c r="F467" t="str" cm="1">
        <f t="array" ref="F467">IFERROR(_xlfn.XLOOKUP(E467,MapeoCargos!$A:$A,MapeoCargos!$B:$B,E467),E467)</f>
        <v>MOTORIZADO</v>
      </c>
      <c r="G467" s="45">
        <v>45446</v>
      </c>
    </row>
    <row r="468" spans="1:7" x14ac:dyDescent="0.2">
      <c r="A468" s="27" t="s">
        <v>2529</v>
      </c>
      <c r="B468" s="34" t="s">
        <v>2078</v>
      </c>
      <c r="C468" s="34" t="s">
        <v>2211</v>
      </c>
      <c r="D468" s="34" t="s">
        <v>2530</v>
      </c>
      <c r="E468" s="35" t="s">
        <v>312</v>
      </c>
      <c r="F468" t="str" cm="1">
        <f t="array" ref="F468">IFERROR(_xlfn.XLOOKUP(E468,MapeoCargos!$A:$A,MapeoCargos!$B:$B,E468),E468)</f>
        <v>TELEOPERADOR (A) P/T</v>
      </c>
      <c r="G468" s="45">
        <v>45453</v>
      </c>
    </row>
    <row r="469" spans="1:7" x14ac:dyDescent="0.2">
      <c r="A469" s="27" t="s">
        <v>455</v>
      </c>
      <c r="B469" s="34" t="s">
        <v>189</v>
      </c>
      <c r="C469" s="34" t="s">
        <v>21</v>
      </c>
      <c r="D469" s="34" t="s">
        <v>456</v>
      </c>
      <c r="E469" s="35" t="s">
        <v>29</v>
      </c>
      <c r="F469" t="str" cm="1">
        <f t="array" ref="F469">IFERROR(_xlfn.XLOOKUP(E469,MapeoCargos!$A:$A,MapeoCargos!$B:$B,E469),E469)</f>
        <v>MOZO</v>
      </c>
      <c r="G469" s="45">
        <v>45453</v>
      </c>
    </row>
    <row r="470" spans="1:7" x14ac:dyDescent="0.2">
      <c r="A470" s="27" t="s">
        <v>2531</v>
      </c>
      <c r="B470" s="34" t="s">
        <v>2078</v>
      </c>
      <c r="C470" s="34" t="s">
        <v>2114</v>
      </c>
      <c r="D470" s="34" t="s">
        <v>2532</v>
      </c>
      <c r="E470" s="35" t="s">
        <v>551</v>
      </c>
      <c r="F470" t="str" cm="1">
        <f t="array" ref="F470">IFERROR(_xlfn.XLOOKUP(E470,MapeoCargos!$A:$A,MapeoCargos!$B:$B,E470),E470)</f>
        <v>MOZO</v>
      </c>
      <c r="G470" s="45">
        <v>45457</v>
      </c>
    </row>
    <row r="471" spans="1:7" x14ac:dyDescent="0.2">
      <c r="A471" s="27" t="s">
        <v>457</v>
      </c>
      <c r="B471" s="34" t="s">
        <v>189</v>
      </c>
      <c r="C471" s="34" t="s">
        <v>205</v>
      </c>
      <c r="D471" s="34" t="s">
        <v>458</v>
      </c>
      <c r="E471" s="35" t="s">
        <v>127</v>
      </c>
      <c r="F471" t="str" cm="1">
        <f t="array" ref="F471">IFERROR(_xlfn.XLOOKUP(E471,MapeoCargos!$A:$A,MapeoCargos!$B:$B,E471),E471)</f>
        <v>AZAFATA</v>
      </c>
      <c r="G471" s="45">
        <v>45457</v>
      </c>
    </row>
    <row r="472" spans="1:7" x14ac:dyDescent="0.2">
      <c r="A472" s="27" t="s">
        <v>459</v>
      </c>
      <c r="B472" s="34" t="s">
        <v>189</v>
      </c>
      <c r="C472" s="34" t="s">
        <v>205</v>
      </c>
      <c r="D472" s="34" t="s">
        <v>460</v>
      </c>
      <c r="E472" s="35" t="s">
        <v>126</v>
      </c>
      <c r="F472" t="str" cm="1">
        <f t="array" ref="F472">IFERROR(_xlfn.XLOOKUP(E472,MapeoCargos!$A:$A,MapeoCargos!$B:$B,E472),E472)</f>
        <v>MOTORIZADO</v>
      </c>
      <c r="G472" s="45">
        <v>45457</v>
      </c>
    </row>
    <row r="473" spans="1:7" x14ac:dyDescent="0.2">
      <c r="A473" s="27" t="s">
        <v>3310</v>
      </c>
      <c r="B473" s="34" t="s">
        <v>3037</v>
      </c>
      <c r="C473" s="34" t="s">
        <v>2670</v>
      </c>
      <c r="D473" s="34" t="s">
        <v>3311</v>
      </c>
      <c r="E473" s="35" t="s">
        <v>29</v>
      </c>
      <c r="F473" t="str" cm="1">
        <f t="array" ref="F473">IFERROR(_xlfn.XLOOKUP(E473,MapeoCargos!$A:$A,MapeoCargos!$B:$B,E473),E473)</f>
        <v>MOZO</v>
      </c>
      <c r="G473" s="45">
        <v>45467</v>
      </c>
    </row>
    <row r="474" spans="1:7" x14ac:dyDescent="0.2">
      <c r="A474" s="27" t="s">
        <v>2533</v>
      </c>
      <c r="B474" s="34" t="s">
        <v>2078</v>
      </c>
      <c r="C474" s="34" t="s">
        <v>5</v>
      </c>
      <c r="D474" s="34" t="s">
        <v>2534</v>
      </c>
      <c r="E474" s="35" t="s">
        <v>29</v>
      </c>
      <c r="F474" t="str" cm="1">
        <f t="array" ref="F474">IFERROR(_xlfn.XLOOKUP(E474,MapeoCargos!$A:$A,MapeoCargos!$B:$B,E474),E474)</f>
        <v>MOZO</v>
      </c>
      <c r="G474" s="45">
        <v>45467</v>
      </c>
    </row>
    <row r="475" spans="1:7" x14ac:dyDescent="0.2">
      <c r="A475" s="27" t="s">
        <v>461</v>
      </c>
      <c r="B475" s="34" t="s">
        <v>189</v>
      </c>
      <c r="C475" s="34" t="s">
        <v>20</v>
      </c>
      <c r="D475" s="34" t="s">
        <v>462</v>
      </c>
      <c r="E475" s="35" t="s">
        <v>222</v>
      </c>
      <c r="F475" t="str" cm="1">
        <f t="array" ref="F475">IFERROR(_xlfn.XLOOKUP(E475,MapeoCargos!$A:$A,MapeoCargos!$B:$B,E475),E475)</f>
        <v>PRODUCCIÓN / COCINA</v>
      </c>
      <c r="G475" s="45">
        <v>45474</v>
      </c>
    </row>
    <row r="476" spans="1:7" x14ac:dyDescent="0.2">
      <c r="A476" s="27" t="s">
        <v>2535</v>
      </c>
      <c r="B476" s="34" t="s">
        <v>2078</v>
      </c>
      <c r="C476" s="34" t="s">
        <v>2079</v>
      </c>
      <c r="D476" s="34" t="s">
        <v>2536</v>
      </c>
      <c r="E476" s="35" t="s">
        <v>606</v>
      </c>
      <c r="F476" t="str" cm="1">
        <f t="array" ref="F476">IFERROR(_xlfn.XLOOKUP(E476,MapeoCargos!$A:$A,MapeoCargos!$B:$B,E476),E476)</f>
        <v>BAR</v>
      </c>
      <c r="G476" s="45">
        <v>45474</v>
      </c>
    </row>
    <row r="477" spans="1:7" x14ac:dyDescent="0.2">
      <c r="A477" s="27" t="s">
        <v>2537</v>
      </c>
      <c r="B477" s="34" t="s">
        <v>2078</v>
      </c>
      <c r="C477" s="34" t="s">
        <v>2114</v>
      </c>
      <c r="D477" s="34" t="s">
        <v>2538</v>
      </c>
      <c r="E477" s="35" t="s">
        <v>1837</v>
      </c>
      <c r="F477" t="str" cm="1">
        <f t="array" ref="F477">IFERROR(_xlfn.XLOOKUP(E477,MapeoCargos!$A:$A,MapeoCargos!$B:$B,E477),E477)</f>
        <v xml:space="preserve">AZAFATA </v>
      </c>
      <c r="G477" s="45">
        <v>45474</v>
      </c>
    </row>
    <row r="478" spans="1:7" x14ac:dyDescent="0.2">
      <c r="A478" s="27" t="s">
        <v>463</v>
      </c>
      <c r="B478" s="34" t="s">
        <v>189</v>
      </c>
      <c r="C478" s="34" t="s">
        <v>20</v>
      </c>
      <c r="D478" s="34" t="s">
        <v>464</v>
      </c>
      <c r="E478" s="35" t="s">
        <v>465</v>
      </c>
      <c r="F478" t="str" cm="1">
        <f t="array" ref="F478">IFERROR(_xlfn.XLOOKUP(E478,MapeoCargos!$A:$A,MapeoCargos!$B:$B,E478),E478)</f>
        <v>PRODUCCIÓN / COCINA</v>
      </c>
      <c r="G478" s="45">
        <v>45488</v>
      </c>
    </row>
    <row r="479" spans="1:7" x14ac:dyDescent="0.2">
      <c r="A479" s="27" t="s">
        <v>2539</v>
      </c>
      <c r="B479" s="34" t="s">
        <v>2078</v>
      </c>
      <c r="C479" s="34" t="s">
        <v>3025</v>
      </c>
      <c r="D479" s="34" t="s">
        <v>2540</v>
      </c>
      <c r="E479" s="35" t="s">
        <v>29</v>
      </c>
      <c r="F479" t="str" cm="1">
        <f t="array" ref="F479">IFERROR(_xlfn.XLOOKUP(E479,MapeoCargos!$A:$A,MapeoCargos!$B:$B,E479),E479)</f>
        <v>MOZO</v>
      </c>
      <c r="G479" s="45">
        <v>45488</v>
      </c>
    </row>
    <row r="480" spans="1:7" x14ac:dyDescent="0.2">
      <c r="A480" s="27" t="s">
        <v>2541</v>
      </c>
      <c r="B480" s="34" t="s">
        <v>2078</v>
      </c>
      <c r="C480" s="34" t="s">
        <v>2114</v>
      </c>
      <c r="D480" s="34" t="s">
        <v>2542</v>
      </c>
      <c r="E480" s="35" t="s">
        <v>29</v>
      </c>
      <c r="F480" t="str" cm="1">
        <f t="array" ref="F480">IFERROR(_xlfn.XLOOKUP(E480,MapeoCargos!$A:$A,MapeoCargos!$B:$B,E480),E480)</f>
        <v>MOZO</v>
      </c>
      <c r="G480" s="45">
        <v>45493</v>
      </c>
    </row>
    <row r="481" spans="1:7" x14ac:dyDescent="0.2">
      <c r="A481" s="27" t="s">
        <v>2543</v>
      </c>
      <c r="B481" s="34" t="s">
        <v>2078</v>
      </c>
      <c r="C481" s="34" t="s">
        <v>518</v>
      </c>
      <c r="D481" s="34" t="s">
        <v>2544</v>
      </c>
      <c r="E481" s="35" t="s">
        <v>200</v>
      </c>
      <c r="F481" t="str" cm="1">
        <f t="array" ref="F481">IFERROR(_xlfn.XLOOKUP(E481,MapeoCargos!$A:$A,MapeoCargos!$B:$B,E481),E481)</f>
        <v>SEGURIDAD</v>
      </c>
      <c r="G481" s="45">
        <v>45493</v>
      </c>
    </row>
    <row r="482" spans="1:7" x14ac:dyDescent="0.2">
      <c r="A482" s="27" t="s">
        <v>2545</v>
      </c>
      <c r="B482" s="34" t="s">
        <v>2078</v>
      </c>
      <c r="C482" s="34" t="s">
        <v>8</v>
      </c>
      <c r="D482" s="34" t="s">
        <v>2546</v>
      </c>
      <c r="E482" s="35" t="s">
        <v>440</v>
      </c>
      <c r="F482" t="str" cm="1">
        <f t="array" ref="F482">IFERROR(_xlfn.XLOOKUP(E482,MapeoCargos!$A:$A,MapeoCargos!$B:$B,E482),E482)</f>
        <v xml:space="preserve">AUXILIAR DE LIMPIEZA </v>
      </c>
      <c r="G482" s="45">
        <v>45495</v>
      </c>
    </row>
    <row r="483" spans="1:7" x14ac:dyDescent="0.2">
      <c r="A483" s="27" t="s">
        <v>2547</v>
      </c>
      <c r="B483" s="34" t="s">
        <v>2078</v>
      </c>
      <c r="C483" s="34" t="s">
        <v>4</v>
      </c>
      <c r="D483" s="34" t="s">
        <v>2548</v>
      </c>
      <c r="E483" s="35" t="s">
        <v>160</v>
      </c>
      <c r="F483" t="str" cm="1">
        <f t="array" ref="F483">IFERROR(_xlfn.XLOOKUP(E483,MapeoCargos!$A:$A,MapeoCargos!$B:$B,E483),E483)</f>
        <v>PACKER</v>
      </c>
      <c r="G483" s="45">
        <v>45499</v>
      </c>
    </row>
    <row r="484" spans="1:7" x14ac:dyDescent="0.2">
      <c r="A484" s="27" t="s">
        <v>466</v>
      </c>
      <c r="B484" s="34" t="s">
        <v>189</v>
      </c>
      <c r="C484" s="34" t="s">
        <v>21</v>
      </c>
      <c r="D484" s="34" t="s">
        <v>467</v>
      </c>
      <c r="E484" s="35" t="s">
        <v>468</v>
      </c>
      <c r="F484" t="str" cm="1">
        <f t="array" ref="F484">IFERROR(_xlfn.XLOOKUP(E484,MapeoCargos!$A:$A,MapeoCargos!$B:$B,E484),E484)</f>
        <v xml:space="preserve">ANFITRIONAJE </v>
      </c>
      <c r="G484" s="45">
        <v>45499</v>
      </c>
    </row>
    <row r="485" spans="1:7" x14ac:dyDescent="0.2">
      <c r="A485" s="27" t="s">
        <v>469</v>
      </c>
      <c r="B485" s="34" t="s">
        <v>189</v>
      </c>
      <c r="C485" s="34" t="s">
        <v>21</v>
      </c>
      <c r="D485" s="34" t="s">
        <v>470</v>
      </c>
      <c r="E485" s="35" t="s">
        <v>83</v>
      </c>
      <c r="F485" t="str" cm="1">
        <f t="array" ref="F485">IFERROR(_xlfn.XLOOKUP(E485,MapeoCargos!$A:$A,MapeoCargos!$B:$B,E485),E485)</f>
        <v>PRODUCCIÓN / COCINA</v>
      </c>
      <c r="G485" s="45">
        <v>45505</v>
      </c>
    </row>
    <row r="486" spans="1:7" x14ac:dyDescent="0.2">
      <c r="A486" s="27" t="s">
        <v>3312</v>
      </c>
      <c r="B486" s="34" t="s">
        <v>3037</v>
      </c>
      <c r="C486" s="34" t="s">
        <v>2670</v>
      </c>
      <c r="D486" s="34" t="s">
        <v>3313</v>
      </c>
      <c r="E486" s="35" t="s">
        <v>305</v>
      </c>
      <c r="F486" t="str" cm="1">
        <f t="array" ref="F486">IFERROR(_xlfn.XLOOKUP(E486,MapeoCargos!$A:$A,MapeoCargos!$B:$B,E486),E486)</f>
        <v>LIMPIEZA / MANTENIMIENTO</v>
      </c>
      <c r="G486" s="45">
        <v>45505</v>
      </c>
    </row>
    <row r="487" spans="1:7" x14ac:dyDescent="0.2">
      <c r="A487" s="27" t="s">
        <v>3314</v>
      </c>
      <c r="B487" s="34" t="s">
        <v>3037</v>
      </c>
      <c r="C487" s="34" t="s">
        <v>3102</v>
      </c>
      <c r="D487" s="34" t="s">
        <v>3315</v>
      </c>
      <c r="E487" s="35" t="s">
        <v>222</v>
      </c>
      <c r="F487" t="str" cm="1">
        <f t="array" ref="F487">IFERROR(_xlfn.XLOOKUP(E487,MapeoCargos!$A:$A,MapeoCargos!$B:$B,E487),E487)</f>
        <v>PRODUCCIÓN / COCINA</v>
      </c>
      <c r="G487" s="45">
        <v>45505</v>
      </c>
    </row>
    <row r="488" spans="1:7" x14ac:dyDescent="0.2">
      <c r="A488" s="27" t="s">
        <v>471</v>
      </c>
      <c r="B488" s="34" t="s">
        <v>189</v>
      </c>
      <c r="C488" s="34" t="s">
        <v>195</v>
      </c>
      <c r="D488" s="34" t="s">
        <v>472</v>
      </c>
      <c r="E488" s="35" t="s">
        <v>606</v>
      </c>
      <c r="F488" t="str" cm="1">
        <f t="array" ref="F488">IFERROR(_xlfn.XLOOKUP(E488,MapeoCargos!$A:$A,MapeoCargos!$B:$B,E488),E488)</f>
        <v>BAR</v>
      </c>
      <c r="G488" s="45">
        <v>45516</v>
      </c>
    </row>
    <row r="489" spans="1:7" x14ac:dyDescent="0.2">
      <c r="A489" s="27" t="s">
        <v>2549</v>
      </c>
      <c r="B489" s="34" t="s">
        <v>2078</v>
      </c>
      <c r="C489" s="34" t="s">
        <v>2211</v>
      </c>
      <c r="D489" s="34" t="s">
        <v>2550</v>
      </c>
      <c r="E489" s="35" t="s">
        <v>312</v>
      </c>
      <c r="F489" t="str" cm="1">
        <f t="array" ref="F489">IFERROR(_xlfn.XLOOKUP(E489,MapeoCargos!$A:$A,MapeoCargos!$B:$B,E489),E489)</f>
        <v>TELEOPERADOR (A) P/T</v>
      </c>
      <c r="G489" s="45">
        <v>45516</v>
      </c>
    </row>
    <row r="490" spans="1:7" x14ac:dyDescent="0.2">
      <c r="A490" s="27" t="s">
        <v>2551</v>
      </c>
      <c r="B490" s="34" t="s">
        <v>2078</v>
      </c>
      <c r="C490" s="34" t="s">
        <v>2211</v>
      </c>
      <c r="D490" s="34" t="s">
        <v>2552</v>
      </c>
      <c r="E490" s="35" t="s">
        <v>312</v>
      </c>
      <c r="F490" t="str" cm="1">
        <f t="array" ref="F490">IFERROR(_xlfn.XLOOKUP(E490,MapeoCargos!$A:$A,MapeoCargos!$B:$B,E490),E490)</f>
        <v>TELEOPERADOR (A) P/T</v>
      </c>
      <c r="G490" s="45">
        <v>45516</v>
      </c>
    </row>
    <row r="491" spans="1:7" x14ac:dyDescent="0.2">
      <c r="A491" s="27" t="s">
        <v>473</v>
      </c>
      <c r="B491" s="34" t="s">
        <v>189</v>
      </c>
      <c r="C491" s="34" t="s">
        <v>17</v>
      </c>
      <c r="D491" s="34" t="s">
        <v>474</v>
      </c>
      <c r="E491" s="35" t="s">
        <v>200</v>
      </c>
      <c r="F491" t="str" cm="1">
        <f t="array" ref="F491">IFERROR(_xlfn.XLOOKUP(E491,MapeoCargos!$A:$A,MapeoCargos!$B:$B,E491),E491)</f>
        <v>SEGURIDAD</v>
      </c>
      <c r="G491" s="45">
        <v>45520</v>
      </c>
    </row>
    <row r="492" spans="1:7" x14ac:dyDescent="0.2">
      <c r="A492" s="27" t="s">
        <v>2553</v>
      </c>
      <c r="B492" s="34" t="s">
        <v>2078</v>
      </c>
      <c r="C492" s="34" t="s">
        <v>2</v>
      </c>
      <c r="D492" s="34" t="s">
        <v>2554</v>
      </c>
      <c r="E492" s="35" t="s">
        <v>83</v>
      </c>
      <c r="F492" t="str" cm="1">
        <f t="array" ref="F492">IFERROR(_xlfn.XLOOKUP(E492,MapeoCargos!$A:$A,MapeoCargos!$B:$B,E492),E492)</f>
        <v>PRODUCCIÓN / COCINA</v>
      </c>
      <c r="G492" s="45">
        <v>45523</v>
      </c>
    </row>
    <row r="493" spans="1:7" x14ac:dyDescent="0.2">
      <c r="A493" s="27" t="s">
        <v>475</v>
      </c>
      <c r="B493" s="34" t="s">
        <v>189</v>
      </c>
      <c r="C493" s="34" t="s">
        <v>21</v>
      </c>
      <c r="D493" s="34" t="s">
        <v>476</v>
      </c>
      <c r="E493" s="35" t="s">
        <v>29</v>
      </c>
      <c r="F493" t="str" cm="1">
        <f t="array" ref="F493">IFERROR(_xlfn.XLOOKUP(E493,MapeoCargos!$A:$A,MapeoCargos!$B:$B,E493),E493)</f>
        <v>MOZO</v>
      </c>
      <c r="G493" s="45">
        <v>45523</v>
      </c>
    </row>
    <row r="494" spans="1:7" x14ac:dyDescent="0.2">
      <c r="A494" s="27" t="s">
        <v>3316</v>
      </c>
      <c r="B494" s="34" t="s">
        <v>3037</v>
      </c>
      <c r="C494" s="34" t="s">
        <v>2670</v>
      </c>
      <c r="D494" s="34" t="s">
        <v>3317</v>
      </c>
      <c r="E494" s="35" t="s">
        <v>305</v>
      </c>
      <c r="F494" t="str" cm="1">
        <f t="array" ref="F494">IFERROR(_xlfn.XLOOKUP(E494,MapeoCargos!$A:$A,MapeoCargos!$B:$B,E494),E494)</f>
        <v>LIMPIEZA / MANTENIMIENTO</v>
      </c>
      <c r="G494" s="45">
        <v>45523</v>
      </c>
    </row>
    <row r="495" spans="1:7" x14ac:dyDescent="0.2">
      <c r="A495" s="27" t="s">
        <v>3318</v>
      </c>
      <c r="B495" s="34" t="s">
        <v>3037</v>
      </c>
      <c r="C495" s="34" t="s">
        <v>16</v>
      </c>
      <c r="D495" s="34" t="s">
        <v>3319</v>
      </c>
      <c r="E495" s="35" t="s">
        <v>468</v>
      </c>
      <c r="F495" t="str" cm="1">
        <f t="array" ref="F495">IFERROR(_xlfn.XLOOKUP(E495,MapeoCargos!$A:$A,MapeoCargos!$B:$B,E495),E495)</f>
        <v xml:space="preserve">ANFITRIONAJE </v>
      </c>
      <c r="G495" s="45">
        <v>45523</v>
      </c>
    </row>
    <row r="496" spans="1:7" x14ac:dyDescent="0.2">
      <c r="A496" s="27" t="s">
        <v>2555</v>
      </c>
      <c r="B496" s="34" t="s">
        <v>2078</v>
      </c>
      <c r="C496" s="34" t="s">
        <v>2082</v>
      </c>
      <c r="D496" s="34" t="s">
        <v>2556</v>
      </c>
      <c r="E496" s="35" t="s">
        <v>479</v>
      </c>
      <c r="F496" t="str" cm="1">
        <f t="array" ref="F496">IFERROR(_xlfn.XLOOKUP(E496,MapeoCargos!$A:$A,MapeoCargos!$B:$B,E496),E496)</f>
        <v xml:space="preserve">AYUDANTE DE COCINA </v>
      </c>
      <c r="G496" s="45">
        <v>45530</v>
      </c>
    </row>
    <row r="497" spans="1:7" x14ac:dyDescent="0.2">
      <c r="A497" s="27" t="s">
        <v>477</v>
      </c>
      <c r="B497" s="34" t="s">
        <v>189</v>
      </c>
      <c r="C497" s="34" t="s">
        <v>17</v>
      </c>
      <c r="D497" s="34" t="s">
        <v>478</v>
      </c>
      <c r="E497" s="35" t="s">
        <v>83</v>
      </c>
      <c r="F497" t="str" cm="1">
        <f t="array" ref="F497">IFERROR(_xlfn.XLOOKUP(E497,MapeoCargos!$A:$A,MapeoCargos!$B:$B,E497),E497)</f>
        <v>PRODUCCIÓN / COCINA</v>
      </c>
      <c r="G497" s="45">
        <v>45530</v>
      </c>
    </row>
    <row r="498" spans="1:7" x14ac:dyDescent="0.2">
      <c r="A498" s="27" t="s">
        <v>2557</v>
      </c>
      <c r="B498" s="34" t="s">
        <v>2078</v>
      </c>
      <c r="C498" s="34" t="s">
        <v>2082</v>
      </c>
      <c r="D498" s="34" t="s">
        <v>2558</v>
      </c>
      <c r="E498" s="35" t="s">
        <v>621</v>
      </c>
      <c r="F498" t="str" cm="1">
        <f t="array" ref="F498">IFERROR(_xlfn.XLOOKUP(E498,MapeoCargos!$A:$A,MapeoCargos!$B:$B,E498),E498)</f>
        <v xml:space="preserve">ANFITRIONAJE </v>
      </c>
      <c r="G498" s="45">
        <v>45530</v>
      </c>
    </row>
    <row r="499" spans="1:7" x14ac:dyDescent="0.2">
      <c r="A499" s="27" t="s">
        <v>2559</v>
      </c>
      <c r="B499" s="34" t="s">
        <v>2078</v>
      </c>
      <c r="C499" s="34" t="s">
        <v>4</v>
      </c>
      <c r="D499" s="34" t="s">
        <v>2560</v>
      </c>
      <c r="E499" s="35" t="s">
        <v>2561</v>
      </c>
      <c r="F499" t="str" cm="1">
        <f t="array" ref="F499">IFERROR(_xlfn.XLOOKUP(E499,MapeoCargos!$A:$A,MapeoCargos!$B:$B,E499),E499)</f>
        <v xml:space="preserve">SEGURIDAD </v>
      </c>
      <c r="G499" s="45">
        <v>45530</v>
      </c>
    </row>
    <row r="500" spans="1:7" x14ac:dyDescent="0.2">
      <c r="A500" s="27" t="s">
        <v>2562</v>
      </c>
      <c r="B500" s="34" t="s">
        <v>2078</v>
      </c>
      <c r="C500" s="34" t="s">
        <v>2177</v>
      </c>
      <c r="D500" s="34" t="s">
        <v>2563</v>
      </c>
      <c r="E500" s="35" t="s">
        <v>2561</v>
      </c>
      <c r="F500" t="str" cm="1">
        <f t="array" ref="F500">IFERROR(_xlfn.XLOOKUP(E500,MapeoCargos!$A:$A,MapeoCargos!$B:$B,E500),E500)</f>
        <v xml:space="preserve">SEGURIDAD </v>
      </c>
      <c r="G500" s="45">
        <v>45530</v>
      </c>
    </row>
    <row r="501" spans="1:7" x14ac:dyDescent="0.2">
      <c r="A501" s="27" t="s">
        <v>480</v>
      </c>
      <c r="B501" s="34" t="s">
        <v>189</v>
      </c>
      <c r="C501" s="34" t="s">
        <v>17</v>
      </c>
      <c r="D501" s="34" t="s">
        <v>481</v>
      </c>
      <c r="E501" s="35" t="s">
        <v>482</v>
      </c>
      <c r="F501" t="str" cm="1">
        <f t="array" ref="F501">IFERROR(_xlfn.XLOOKUP(E501,MapeoCargos!$A:$A,MapeoCargos!$B:$B,E501),E501)</f>
        <v>PRODUCCIÓN / COCINA</v>
      </c>
      <c r="G501" s="45">
        <v>45536</v>
      </c>
    </row>
    <row r="502" spans="1:7" x14ac:dyDescent="0.2">
      <c r="A502" s="27" t="s">
        <v>483</v>
      </c>
      <c r="B502" s="34" t="s">
        <v>189</v>
      </c>
      <c r="C502" s="34" t="s">
        <v>19</v>
      </c>
      <c r="D502" s="34" t="s">
        <v>484</v>
      </c>
      <c r="E502" s="35" t="s">
        <v>29</v>
      </c>
      <c r="F502" t="str" cm="1">
        <f t="array" ref="F502">IFERROR(_xlfn.XLOOKUP(E502,MapeoCargos!$A:$A,MapeoCargos!$B:$B,E502),E502)</f>
        <v>MOZO</v>
      </c>
      <c r="G502" s="45">
        <v>45536</v>
      </c>
    </row>
    <row r="503" spans="1:7" x14ac:dyDescent="0.2">
      <c r="A503" s="27" t="s">
        <v>4499</v>
      </c>
      <c r="B503" s="34" t="s">
        <v>189</v>
      </c>
      <c r="C503" s="34" t="s">
        <v>195</v>
      </c>
      <c r="D503" s="34" t="s">
        <v>485</v>
      </c>
      <c r="E503" s="35" t="s">
        <v>486</v>
      </c>
      <c r="F503" t="str" cm="1">
        <f t="array" ref="F503">IFERROR(_xlfn.XLOOKUP(E503,MapeoCargos!$A:$A,MapeoCargos!$B:$B,E503),E503)</f>
        <v>PRODUCCIÓN / COCINA</v>
      </c>
      <c r="G503" s="45">
        <v>45536</v>
      </c>
    </row>
    <row r="504" spans="1:7" x14ac:dyDescent="0.2">
      <c r="A504" s="27" t="s">
        <v>2564</v>
      </c>
      <c r="B504" s="34" t="s">
        <v>2078</v>
      </c>
      <c r="C504" s="34" t="s">
        <v>18</v>
      </c>
      <c r="D504" s="34" t="s">
        <v>2565</v>
      </c>
      <c r="E504" s="35" t="s">
        <v>30</v>
      </c>
      <c r="F504" t="str" cm="1">
        <f t="array" ref="F504">IFERROR(_xlfn.XLOOKUP(E504,MapeoCargos!$A:$A,MapeoCargos!$B:$B,E504),E504)</f>
        <v>STAFF ADMINISTRATIVO</v>
      </c>
      <c r="G504" s="45">
        <v>45536</v>
      </c>
    </row>
    <row r="505" spans="1:7" x14ac:dyDescent="0.2">
      <c r="A505" s="27" t="s">
        <v>487</v>
      </c>
      <c r="B505" s="34" t="s">
        <v>189</v>
      </c>
      <c r="C505" s="34" t="s">
        <v>17</v>
      </c>
      <c r="D505" s="34" t="s">
        <v>488</v>
      </c>
      <c r="E505" s="35" t="s">
        <v>30</v>
      </c>
      <c r="F505" t="str" cm="1">
        <f t="array" ref="F505">IFERROR(_xlfn.XLOOKUP(E505,MapeoCargos!$A:$A,MapeoCargos!$B:$B,E505),E505)</f>
        <v>STAFF ADMINISTRATIVO</v>
      </c>
      <c r="G505" s="45">
        <v>45536</v>
      </c>
    </row>
    <row r="506" spans="1:7" x14ac:dyDescent="0.2">
      <c r="A506" s="27" t="s">
        <v>4500</v>
      </c>
      <c r="B506" s="34" t="s">
        <v>189</v>
      </c>
      <c r="C506" s="34" t="s">
        <v>195</v>
      </c>
      <c r="D506" s="34" t="s">
        <v>489</v>
      </c>
      <c r="E506" s="35" t="s">
        <v>486</v>
      </c>
      <c r="F506" t="str" cm="1">
        <f t="array" ref="F506">IFERROR(_xlfn.XLOOKUP(E506,MapeoCargos!$A:$A,MapeoCargos!$B:$B,E506),E506)</f>
        <v>PRODUCCIÓN / COCINA</v>
      </c>
      <c r="G506" s="45">
        <v>45536</v>
      </c>
    </row>
    <row r="507" spans="1:7" x14ac:dyDescent="0.2">
      <c r="A507" s="27" t="s">
        <v>2566</v>
      </c>
      <c r="B507" s="34" t="s">
        <v>2078</v>
      </c>
      <c r="C507" s="34" t="s">
        <v>2079</v>
      </c>
      <c r="D507" s="34" t="s">
        <v>2567</v>
      </c>
      <c r="E507" s="35" t="s">
        <v>2568</v>
      </c>
      <c r="F507" t="str" cm="1">
        <f t="array" ref="F507">IFERROR(_xlfn.XLOOKUP(E507,MapeoCargos!$A:$A,MapeoCargos!$B:$B,E507),E507)</f>
        <v>SUB GERENTE DE FINANZAS</v>
      </c>
      <c r="G507" s="45">
        <v>45536</v>
      </c>
    </row>
    <row r="508" spans="1:7" x14ac:dyDescent="0.2">
      <c r="A508" s="27" t="s">
        <v>3320</v>
      </c>
      <c r="B508" s="34" t="s">
        <v>3037</v>
      </c>
      <c r="C508" s="34" t="s">
        <v>2458</v>
      </c>
      <c r="D508" s="34" t="s">
        <v>3321</v>
      </c>
      <c r="E508" s="35" t="s">
        <v>165</v>
      </c>
      <c r="F508" t="str" cm="1">
        <f t="array" ref="F508">IFERROR(_xlfn.XLOOKUP(E508,MapeoCargos!$A:$A,MapeoCargos!$B:$B,E508),E508)</f>
        <v>PACKER</v>
      </c>
      <c r="G508" s="45">
        <v>45544</v>
      </c>
    </row>
    <row r="509" spans="1:7" x14ac:dyDescent="0.2">
      <c r="A509" s="27" t="s">
        <v>2569</v>
      </c>
      <c r="B509" s="34" t="s">
        <v>2078</v>
      </c>
      <c r="C509" s="34" t="s">
        <v>2079</v>
      </c>
      <c r="D509" s="34" t="s">
        <v>2570</v>
      </c>
      <c r="E509" s="35" t="s">
        <v>116</v>
      </c>
      <c r="F509" t="str" cm="1">
        <f t="array" ref="F509">IFERROR(_xlfn.XLOOKUP(E509,MapeoCargos!$A:$A,MapeoCargos!$B:$B,E509),E509)</f>
        <v>AUXILIAR DE MANTENIMIENTO</v>
      </c>
      <c r="G509" s="45">
        <v>45551</v>
      </c>
    </row>
    <row r="510" spans="1:7" x14ac:dyDescent="0.2">
      <c r="A510" s="27" t="s">
        <v>490</v>
      </c>
      <c r="B510" s="34" t="s">
        <v>189</v>
      </c>
      <c r="C510" s="34" t="s">
        <v>195</v>
      </c>
      <c r="D510" s="34" t="s">
        <v>491</v>
      </c>
      <c r="E510" s="35" t="s">
        <v>116</v>
      </c>
      <c r="F510" t="str" cm="1">
        <f t="array" ref="F510">IFERROR(_xlfn.XLOOKUP(E510,MapeoCargos!$A:$A,MapeoCargos!$B:$B,E510),E510)</f>
        <v>AUXILIAR DE MANTENIMIENTO</v>
      </c>
      <c r="G510" s="45">
        <v>45551</v>
      </c>
    </row>
    <row r="511" spans="1:7" x14ac:dyDescent="0.2">
      <c r="A511" s="27" t="s">
        <v>2571</v>
      </c>
      <c r="B511" s="34" t="s">
        <v>2078</v>
      </c>
      <c r="C511" s="34" t="s">
        <v>2079</v>
      </c>
      <c r="D511" s="34" t="s">
        <v>2572</v>
      </c>
      <c r="E511" s="35" t="s">
        <v>231</v>
      </c>
      <c r="F511" t="str" cm="1">
        <f t="array" ref="F511">IFERROR(_xlfn.XLOOKUP(E511,MapeoCargos!$A:$A,MapeoCargos!$B:$B,E511),E511)</f>
        <v xml:space="preserve">CAJA </v>
      </c>
      <c r="G511" s="45">
        <v>45551</v>
      </c>
    </row>
    <row r="512" spans="1:7" x14ac:dyDescent="0.2">
      <c r="A512" s="27" t="s">
        <v>3322</v>
      </c>
      <c r="B512" s="34" t="s">
        <v>3037</v>
      </c>
      <c r="C512" s="34" t="s">
        <v>2670</v>
      </c>
      <c r="D512" s="34" t="s">
        <v>3323</v>
      </c>
      <c r="E512" s="35" t="s">
        <v>222</v>
      </c>
      <c r="F512" t="str" cm="1">
        <f t="array" ref="F512">IFERROR(_xlfn.XLOOKUP(E512,MapeoCargos!$A:$A,MapeoCargos!$B:$B,E512),E512)</f>
        <v>PRODUCCIÓN / COCINA</v>
      </c>
      <c r="G512" s="45">
        <v>45551</v>
      </c>
    </row>
    <row r="513" spans="1:7" x14ac:dyDescent="0.2">
      <c r="A513" s="27" t="s">
        <v>2573</v>
      </c>
      <c r="B513" s="34" t="s">
        <v>2078</v>
      </c>
      <c r="C513" s="34" t="s">
        <v>5</v>
      </c>
      <c r="D513" s="34" t="s">
        <v>2574</v>
      </c>
      <c r="E513" s="35" t="s">
        <v>126</v>
      </c>
      <c r="F513" t="str" cm="1">
        <f t="array" ref="F513">IFERROR(_xlfn.XLOOKUP(E513,MapeoCargos!$A:$A,MapeoCargos!$B:$B,E513),E513)</f>
        <v>MOTORIZADO</v>
      </c>
      <c r="G513" s="45">
        <v>45558</v>
      </c>
    </row>
    <row r="514" spans="1:7" x14ac:dyDescent="0.2">
      <c r="A514" s="27" t="s">
        <v>2575</v>
      </c>
      <c r="B514" s="34" t="s">
        <v>2078</v>
      </c>
      <c r="C514" s="34" t="s">
        <v>2114</v>
      </c>
      <c r="D514" s="34" t="s">
        <v>2576</v>
      </c>
      <c r="E514" s="35" t="s">
        <v>29</v>
      </c>
      <c r="F514" t="str" cm="1">
        <f t="array" ref="F514">IFERROR(_xlfn.XLOOKUP(E514,MapeoCargos!$A:$A,MapeoCargos!$B:$B,E514),E514)</f>
        <v>MOZO</v>
      </c>
      <c r="G514" s="45">
        <v>45558</v>
      </c>
    </row>
    <row r="515" spans="1:7" x14ac:dyDescent="0.2">
      <c r="A515" s="27" t="s">
        <v>3324</v>
      </c>
      <c r="B515" s="34" t="s">
        <v>3037</v>
      </c>
      <c r="C515" s="34" t="s">
        <v>3038</v>
      </c>
      <c r="D515" s="34" t="s">
        <v>3325</v>
      </c>
      <c r="E515" s="35" t="s">
        <v>954</v>
      </c>
      <c r="F515" t="str" cm="1">
        <f t="array" ref="F515">IFERROR(_xlfn.XLOOKUP(E515,MapeoCargos!$A:$A,MapeoCargos!$B:$B,E515),E515)</f>
        <v>MOZO</v>
      </c>
      <c r="G515" s="45">
        <v>45558</v>
      </c>
    </row>
    <row r="516" spans="1:7" x14ac:dyDescent="0.2">
      <c r="A516" s="27" t="s">
        <v>2577</v>
      </c>
      <c r="B516" s="34" t="s">
        <v>2078</v>
      </c>
      <c r="C516" s="34" t="s">
        <v>19</v>
      </c>
      <c r="D516" s="34" t="s">
        <v>2578</v>
      </c>
      <c r="E516" s="35" t="s">
        <v>30</v>
      </c>
      <c r="F516" t="str" cm="1">
        <f t="array" ref="F516">IFERROR(_xlfn.XLOOKUP(E516,MapeoCargos!$A:$A,MapeoCargos!$B:$B,E516),E516)</f>
        <v>STAFF ADMINISTRATIVO</v>
      </c>
      <c r="G516" s="45">
        <v>45566</v>
      </c>
    </row>
    <row r="517" spans="1:7" x14ac:dyDescent="0.2">
      <c r="A517" s="27" t="s">
        <v>492</v>
      </c>
      <c r="B517" s="34" t="s">
        <v>189</v>
      </c>
      <c r="C517" s="34" t="s">
        <v>17</v>
      </c>
      <c r="D517" s="34" t="s">
        <v>493</v>
      </c>
      <c r="E517" s="35" t="s">
        <v>30</v>
      </c>
      <c r="F517" t="str" cm="1">
        <f t="array" ref="F517">IFERROR(_xlfn.XLOOKUP(E517,MapeoCargos!$A:$A,MapeoCargos!$B:$B,E517),E517)</f>
        <v>STAFF ADMINISTRATIVO</v>
      </c>
      <c r="G517" s="45">
        <v>45566</v>
      </c>
    </row>
    <row r="518" spans="1:7" x14ac:dyDescent="0.2">
      <c r="A518" s="27" t="s">
        <v>3326</v>
      </c>
      <c r="B518" s="34" t="s">
        <v>3037</v>
      </c>
      <c r="C518" s="34" t="s">
        <v>3038</v>
      </c>
      <c r="D518" s="34" t="s">
        <v>3327</v>
      </c>
      <c r="E518" s="35" t="s">
        <v>435</v>
      </c>
      <c r="F518" t="str" cm="1">
        <f t="array" ref="F518">IFERROR(_xlfn.XLOOKUP(E518,MapeoCargos!$A:$A,MapeoCargos!$B:$B,E518),E518)</f>
        <v>COORDINADORA DE MARKETING</v>
      </c>
      <c r="G518" s="45">
        <v>45567</v>
      </c>
    </row>
    <row r="519" spans="1:7" x14ac:dyDescent="0.2">
      <c r="A519" s="27" t="s">
        <v>2579</v>
      </c>
      <c r="B519" s="34" t="s">
        <v>2078</v>
      </c>
      <c r="C519" s="34" t="s">
        <v>8</v>
      </c>
      <c r="D519" s="34" t="s">
        <v>2580</v>
      </c>
      <c r="E519" s="35" t="s">
        <v>624</v>
      </c>
      <c r="F519" t="str" cm="1">
        <f t="array" ref="F519">IFERROR(_xlfn.XLOOKUP(E519,MapeoCargos!$A:$A,MapeoCargos!$B:$B,E519),E519)</f>
        <v>MOTORIZADO</v>
      </c>
      <c r="G519" s="45">
        <v>45572</v>
      </c>
    </row>
    <row r="520" spans="1:7" x14ac:dyDescent="0.2">
      <c r="A520" s="27" t="s">
        <v>494</v>
      </c>
      <c r="B520" s="34" t="s">
        <v>189</v>
      </c>
      <c r="C520" s="34" t="s">
        <v>21</v>
      </c>
      <c r="D520" s="34" t="s">
        <v>495</v>
      </c>
      <c r="E520" s="35" t="s">
        <v>305</v>
      </c>
      <c r="F520" t="str" cm="1">
        <f t="array" ref="F520">IFERROR(_xlfn.XLOOKUP(E520,MapeoCargos!$A:$A,MapeoCargos!$B:$B,E520),E520)</f>
        <v>LIMPIEZA / MANTENIMIENTO</v>
      </c>
      <c r="G520" s="45">
        <v>45572</v>
      </c>
    </row>
    <row r="521" spans="1:7" x14ac:dyDescent="0.2">
      <c r="A521" s="27" t="s">
        <v>3328</v>
      </c>
      <c r="B521" s="34" t="s">
        <v>3037</v>
      </c>
      <c r="C521" s="34" t="s">
        <v>10</v>
      </c>
      <c r="D521" s="34" t="s">
        <v>3329</v>
      </c>
      <c r="E521" s="35" t="s">
        <v>193</v>
      </c>
      <c r="F521" t="str" cm="1">
        <f t="array" ref="F521">IFERROR(_xlfn.XLOOKUP(E521,MapeoCargos!$A:$A,MapeoCargos!$B:$B,E521),E521)</f>
        <v>PRODUCCIÓN / COCINA</v>
      </c>
      <c r="G521" s="45">
        <v>45572</v>
      </c>
    </row>
    <row r="522" spans="1:7" x14ac:dyDescent="0.2">
      <c r="A522" s="27" t="s">
        <v>3330</v>
      </c>
      <c r="B522" s="34" t="s">
        <v>3037</v>
      </c>
      <c r="C522" s="34" t="s">
        <v>2458</v>
      </c>
      <c r="D522" s="34" t="s">
        <v>3331</v>
      </c>
      <c r="E522" s="35" t="s">
        <v>2498</v>
      </c>
      <c r="F522" t="str" cm="1">
        <f t="array" ref="F522">IFERROR(_xlfn.XLOOKUP(E522,MapeoCargos!$A:$A,MapeoCargos!$B:$B,E522),E522)</f>
        <v xml:space="preserve">CAJA </v>
      </c>
      <c r="G522" s="45">
        <v>45579</v>
      </c>
    </row>
    <row r="523" spans="1:7" x14ac:dyDescent="0.2">
      <c r="A523" s="27" t="s">
        <v>3332</v>
      </c>
      <c r="B523" s="34" t="s">
        <v>3037</v>
      </c>
      <c r="C523" s="34" t="s">
        <v>14</v>
      </c>
      <c r="D523" s="34" t="s">
        <v>3333</v>
      </c>
      <c r="E523" s="35" t="s">
        <v>165</v>
      </c>
      <c r="F523" t="str" cm="1">
        <f t="array" ref="F523">IFERROR(_xlfn.XLOOKUP(E523,MapeoCargos!$A:$A,MapeoCargos!$B:$B,E523),E523)</f>
        <v>PACKER</v>
      </c>
      <c r="G523" s="45">
        <v>45579</v>
      </c>
    </row>
    <row r="524" spans="1:7" x14ac:dyDescent="0.2">
      <c r="A524" s="27" t="s">
        <v>2581</v>
      </c>
      <c r="B524" s="34" t="s">
        <v>2078</v>
      </c>
      <c r="C524" s="34" t="s">
        <v>5</v>
      </c>
      <c r="D524" s="34" t="s">
        <v>2582</v>
      </c>
      <c r="E524" s="35" t="s">
        <v>193</v>
      </c>
      <c r="F524" t="str" cm="1">
        <f t="array" ref="F524">IFERROR(_xlfn.XLOOKUP(E524,MapeoCargos!$A:$A,MapeoCargos!$B:$B,E524),E524)</f>
        <v>PRODUCCIÓN / COCINA</v>
      </c>
      <c r="G524" s="45">
        <v>45579</v>
      </c>
    </row>
    <row r="525" spans="1:7" x14ac:dyDescent="0.2">
      <c r="A525" s="27" t="s">
        <v>3334</v>
      </c>
      <c r="B525" s="34" t="s">
        <v>3037</v>
      </c>
      <c r="C525" s="34" t="s">
        <v>16</v>
      </c>
      <c r="D525" s="34" t="s">
        <v>3335</v>
      </c>
      <c r="E525" s="35" t="s">
        <v>83</v>
      </c>
      <c r="F525" t="str" cm="1">
        <f t="array" ref="F525">IFERROR(_xlfn.XLOOKUP(E525,MapeoCargos!$A:$A,MapeoCargos!$B:$B,E525),E525)</f>
        <v>PRODUCCIÓN / COCINA</v>
      </c>
      <c r="G525" s="45">
        <v>45587</v>
      </c>
    </row>
    <row r="526" spans="1:7" x14ac:dyDescent="0.2">
      <c r="A526" s="27" t="s">
        <v>2583</v>
      </c>
      <c r="B526" s="34" t="s">
        <v>2078</v>
      </c>
      <c r="C526" s="34" t="s">
        <v>5</v>
      </c>
      <c r="D526" s="34" t="s">
        <v>2584</v>
      </c>
      <c r="E526" s="35" t="s">
        <v>29</v>
      </c>
      <c r="F526" t="str" cm="1">
        <f t="array" ref="F526">IFERROR(_xlfn.XLOOKUP(E526,MapeoCargos!$A:$A,MapeoCargos!$B:$B,E526),E526)</f>
        <v>MOZO</v>
      </c>
      <c r="G526" s="45">
        <v>45590</v>
      </c>
    </row>
    <row r="527" spans="1:7" x14ac:dyDescent="0.2">
      <c r="A527" s="27" t="s">
        <v>2585</v>
      </c>
      <c r="B527" s="34" t="s">
        <v>2078</v>
      </c>
      <c r="C527" s="34" t="s">
        <v>4</v>
      </c>
      <c r="D527" s="34" t="s">
        <v>2586</v>
      </c>
      <c r="E527" s="35" t="s">
        <v>468</v>
      </c>
      <c r="F527" t="str" cm="1">
        <f t="array" ref="F527">IFERROR(_xlfn.XLOOKUP(E527,MapeoCargos!$A:$A,MapeoCargos!$B:$B,E527),E527)</f>
        <v xml:space="preserve">ANFITRIONAJE </v>
      </c>
      <c r="G527" s="45">
        <v>45591</v>
      </c>
    </row>
    <row r="528" spans="1:7" x14ac:dyDescent="0.2">
      <c r="A528" s="27" t="s">
        <v>2587</v>
      </c>
      <c r="B528" s="34" t="s">
        <v>2078</v>
      </c>
      <c r="C528" s="34" t="s">
        <v>2177</v>
      </c>
      <c r="D528" s="34" t="s">
        <v>2588</v>
      </c>
      <c r="E528" s="35" t="s">
        <v>29</v>
      </c>
      <c r="F528" t="str" cm="1">
        <f t="array" ref="F528">IFERROR(_xlfn.XLOOKUP(E528,MapeoCargos!$A:$A,MapeoCargos!$B:$B,E528),E528)</f>
        <v>MOZO</v>
      </c>
      <c r="G528" s="45">
        <v>45597</v>
      </c>
    </row>
    <row r="529" spans="1:8" x14ac:dyDescent="0.2">
      <c r="A529" s="27" t="s">
        <v>496</v>
      </c>
      <c r="B529" s="34" t="s">
        <v>189</v>
      </c>
      <c r="C529" s="34" t="s">
        <v>21</v>
      </c>
      <c r="D529" s="34" t="s">
        <v>497</v>
      </c>
      <c r="E529" s="35" t="s">
        <v>29</v>
      </c>
      <c r="F529" t="str" cm="1">
        <f t="array" ref="F529">IFERROR(_xlfn.XLOOKUP(E529,MapeoCargos!$A:$A,MapeoCargos!$B:$B,E529),E529)</f>
        <v>MOZO</v>
      </c>
      <c r="G529" s="45">
        <v>45597</v>
      </c>
    </row>
    <row r="530" spans="1:8" x14ac:dyDescent="0.2">
      <c r="A530" s="27" t="s">
        <v>2589</v>
      </c>
      <c r="B530" s="34" t="s">
        <v>2078</v>
      </c>
      <c r="C530" s="34" t="s">
        <v>8</v>
      </c>
      <c r="D530" s="34" t="s">
        <v>2590</v>
      </c>
      <c r="E530" s="35" t="s">
        <v>648</v>
      </c>
      <c r="F530" t="str" cm="1">
        <f t="array" ref="F530">IFERROR(_xlfn.XLOOKUP(E530,MapeoCargos!$A:$A,MapeoCargos!$B:$B,E530),E530)</f>
        <v>AZAFATA</v>
      </c>
      <c r="G530" s="45">
        <v>45600</v>
      </c>
    </row>
    <row r="531" spans="1:8" x14ac:dyDescent="0.2">
      <c r="A531" s="27" t="s">
        <v>498</v>
      </c>
      <c r="B531" s="34" t="s">
        <v>189</v>
      </c>
      <c r="C531" s="34" t="s">
        <v>20</v>
      </c>
      <c r="D531" s="34" t="s">
        <v>499</v>
      </c>
      <c r="E531" s="35" t="s">
        <v>365</v>
      </c>
      <c r="F531" t="str" cm="1">
        <f t="array" ref="F531">IFERROR(_xlfn.XLOOKUP(E531,MapeoCargos!$A:$A,MapeoCargos!$B:$B,E531),E531)</f>
        <v xml:space="preserve">BARTENDER </v>
      </c>
      <c r="G531" s="45">
        <v>45600</v>
      </c>
    </row>
    <row r="532" spans="1:8" x14ac:dyDescent="0.2">
      <c r="A532" s="27" t="s">
        <v>500</v>
      </c>
      <c r="B532" s="34" t="s">
        <v>189</v>
      </c>
      <c r="C532" s="34" t="s">
        <v>17</v>
      </c>
      <c r="D532" s="34" t="s">
        <v>501</v>
      </c>
      <c r="E532" s="35" t="s">
        <v>126</v>
      </c>
      <c r="F532" t="str" cm="1">
        <f t="array" ref="F532">IFERROR(_xlfn.XLOOKUP(E532,MapeoCargos!$A:$A,MapeoCargos!$B:$B,E532),E532)</f>
        <v>MOTORIZADO</v>
      </c>
      <c r="G532" s="45">
        <v>45600</v>
      </c>
    </row>
    <row r="533" spans="1:8" x14ac:dyDescent="0.2">
      <c r="A533" s="27" t="s">
        <v>502</v>
      </c>
      <c r="B533" s="34" t="s">
        <v>189</v>
      </c>
      <c r="C533" s="34" t="s">
        <v>17</v>
      </c>
      <c r="D533" s="34" t="s">
        <v>503</v>
      </c>
      <c r="E533" s="35" t="s">
        <v>127</v>
      </c>
      <c r="F533" t="str" cm="1">
        <f t="array" ref="F533">IFERROR(_xlfn.XLOOKUP(E533,MapeoCargos!$A:$A,MapeoCargos!$B:$B,E533),E533)</f>
        <v>AZAFATA</v>
      </c>
      <c r="G533" s="45">
        <v>45600</v>
      </c>
    </row>
    <row r="534" spans="1:8" x14ac:dyDescent="0.2">
      <c r="A534" s="52" t="s">
        <v>4273</v>
      </c>
      <c r="B534" s="53" t="s">
        <v>2078</v>
      </c>
      <c r="C534" s="53" t="s">
        <v>2177</v>
      </c>
      <c r="D534" s="53" t="s">
        <v>4387</v>
      </c>
      <c r="E534" s="54" t="s">
        <v>606</v>
      </c>
      <c r="F534" s="18" t="str" cm="1">
        <f t="array" ref="F534">IFERROR(_xlfn.XLOOKUP(E534,MapeoCargos!$A:$A,MapeoCargos!$B:$B,E534),E534)</f>
        <v>BAR</v>
      </c>
      <c r="G534" s="55">
        <v>45965</v>
      </c>
      <c r="H534" t="s">
        <v>4717</v>
      </c>
    </row>
    <row r="535" spans="1:8" x14ac:dyDescent="0.2">
      <c r="A535" s="27" t="s">
        <v>2591</v>
      </c>
      <c r="B535" s="34" t="s">
        <v>2078</v>
      </c>
      <c r="C535" s="34" t="s">
        <v>2082</v>
      </c>
      <c r="D535" s="34" t="s">
        <v>2592</v>
      </c>
      <c r="E535" s="35" t="s">
        <v>606</v>
      </c>
      <c r="F535" t="str" cm="1">
        <f t="array" ref="F535">IFERROR(_xlfn.XLOOKUP(E535,MapeoCargos!$A:$A,MapeoCargos!$B:$B,E535),E535)</f>
        <v>BAR</v>
      </c>
      <c r="G535" s="45">
        <v>45600</v>
      </c>
    </row>
    <row r="536" spans="1:8" x14ac:dyDescent="0.2">
      <c r="A536" s="27" t="s">
        <v>2593</v>
      </c>
      <c r="B536" s="34" t="s">
        <v>2078</v>
      </c>
      <c r="C536" s="34" t="s">
        <v>3025</v>
      </c>
      <c r="D536" s="34" t="s">
        <v>2594</v>
      </c>
      <c r="E536" s="35" t="s">
        <v>30</v>
      </c>
      <c r="F536" t="str" cm="1">
        <f t="array" ref="F536">IFERROR(_xlfn.XLOOKUP(E536,MapeoCargos!$A:$A,MapeoCargos!$B:$B,E536),E536)</f>
        <v>STAFF ADMINISTRATIVO</v>
      </c>
      <c r="G536" s="45">
        <v>45600</v>
      </c>
    </row>
    <row r="537" spans="1:8" x14ac:dyDescent="0.2">
      <c r="A537" s="27" t="s">
        <v>2595</v>
      </c>
      <c r="B537" s="34" t="s">
        <v>2078</v>
      </c>
      <c r="C537" s="34" t="s">
        <v>2114</v>
      </c>
      <c r="D537" s="34" t="s">
        <v>2596</v>
      </c>
      <c r="E537" s="35" t="s">
        <v>479</v>
      </c>
      <c r="F537" t="str" cm="1">
        <f t="array" ref="F537">IFERROR(_xlfn.XLOOKUP(E537,MapeoCargos!$A:$A,MapeoCargos!$B:$B,E537),E537)</f>
        <v xml:space="preserve">AYUDANTE DE COCINA </v>
      </c>
      <c r="G537" s="45">
        <v>45600</v>
      </c>
    </row>
    <row r="538" spans="1:8" x14ac:dyDescent="0.2">
      <c r="A538" s="27" t="s">
        <v>3336</v>
      </c>
      <c r="B538" s="34" t="s">
        <v>3037</v>
      </c>
      <c r="C538" s="34" t="s">
        <v>626</v>
      </c>
      <c r="D538" s="34" t="s">
        <v>3337</v>
      </c>
      <c r="E538" s="35" t="s">
        <v>146</v>
      </c>
      <c r="F538" t="str" cm="1">
        <f t="array" ref="F538">IFERROR(_xlfn.XLOOKUP(E538,MapeoCargos!$A:$A,MapeoCargos!$B:$B,E538),E538)</f>
        <v xml:space="preserve">MOZO </v>
      </c>
      <c r="G538" s="45">
        <v>45600</v>
      </c>
    </row>
    <row r="539" spans="1:8" x14ac:dyDescent="0.2">
      <c r="A539" s="27" t="s">
        <v>2597</v>
      </c>
      <c r="B539" s="34" t="s">
        <v>2078</v>
      </c>
      <c r="C539" s="34" t="s">
        <v>25</v>
      </c>
      <c r="D539" s="34" t="s">
        <v>2598</v>
      </c>
      <c r="E539" s="35" t="s">
        <v>30</v>
      </c>
      <c r="F539" t="str" cm="1">
        <f t="array" ref="F539">IFERROR(_xlfn.XLOOKUP(E539,MapeoCargos!$A:$A,MapeoCargos!$B:$B,E539),E539)</f>
        <v>STAFF ADMINISTRATIVO</v>
      </c>
      <c r="G539" s="45">
        <v>45607</v>
      </c>
    </row>
    <row r="540" spans="1:8" x14ac:dyDescent="0.2">
      <c r="A540" s="27" t="s">
        <v>2599</v>
      </c>
      <c r="B540" s="34" t="s">
        <v>2078</v>
      </c>
      <c r="C540" s="34" t="s">
        <v>2082</v>
      </c>
      <c r="D540" s="34" t="s">
        <v>2600</v>
      </c>
      <c r="E540" s="35" t="s">
        <v>529</v>
      </c>
      <c r="F540" t="str" cm="1">
        <f t="array" ref="F540">IFERROR(_xlfn.XLOOKUP(E540,MapeoCargos!$A:$A,MapeoCargos!$B:$B,E540),E540)</f>
        <v xml:space="preserve">MOTORIZADO </v>
      </c>
      <c r="G540" s="45">
        <v>45607</v>
      </c>
    </row>
    <row r="541" spans="1:8" x14ac:dyDescent="0.2">
      <c r="A541" s="27" t="s">
        <v>3338</v>
      </c>
      <c r="B541" s="34" t="s">
        <v>3037</v>
      </c>
      <c r="C541" s="34" t="s">
        <v>14</v>
      </c>
      <c r="D541" s="34" t="s">
        <v>3339</v>
      </c>
      <c r="E541" s="35" t="s">
        <v>222</v>
      </c>
      <c r="F541" t="str" cm="1">
        <f t="array" ref="F541">IFERROR(_xlfn.XLOOKUP(E541,MapeoCargos!$A:$A,MapeoCargos!$B:$B,E541),E541)</f>
        <v>PRODUCCIÓN / COCINA</v>
      </c>
      <c r="G541" s="45">
        <v>45607</v>
      </c>
    </row>
    <row r="542" spans="1:8" x14ac:dyDescent="0.2">
      <c r="A542" s="27" t="s">
        <v>2601</v>
      </c>
      <c r="B542" s="34" t="s">
        <v>2078</v>
      </c>
      <c r="C542" s="34" t="s">
        <v>2177</v>
      </c>
      <c r="D542" s="34" t="s">
        <v>2602</v>
      </c>
      <c r="E542" s="35" t="s">
        <v>479</v>
      </c>
      <c r="F542" t="str" cm="1">
        <f t="array" ref="F542">IFERROR(_xlfn.XLOOKUP(E542,MapeoCargos!$A:$A,MapeoCargos!$B:$B,E542),E542)</f>
        <v xml:space="preserve">AYUDANTE DE COCINA </v>
      </c>
      <c r="G542" s="45">
        <v>45607</v>
      </c>
    </row>
    <row r="543" spans="1:8" x14ac:dyDescent="0.2">
      <c r="A543" s="27" t="s">
        <v>2603</v>
      </c>
      <c r="B543" s="34" t="s">
        <v>2078</v>
      </c>
      <c r="C543" s="34" t="s">
        <v>2079</v>
      </c>
      <c r="D543" s="34" t="s">
        <v>2604</v>
      </c>
      <c r="E543" s="35" t="s">
        <v>2365</v>
      </c>
      <c r="F543" t="str" cm="1">
        <f t="array" ref="F543">IFERROR(_xlfn.XLOOKUP(E543,MapeoCargos!$A:$A,MapeoCargos!$B:$B,E543),E543)</f>
        <v>ASISTENTE DE RECURSOS HUMANOS</v>
      </c>
      <c r="G543" s="45">
        <v>45614</v>
      </c>
    </row>
    <row r="544" spans="1:8" x14ac:dyDescent="0.2">
      <c r="A544" s="27" t="s">
        <v>3340</v>
      </c>
      <c r="B544" s="34" t="s">
        <v>3037</v>
      </c>
      <c r="C544" s="34" t="s">
        <v>2458</v>
      </c>
      <c r="D544" s="34" t="s">
        <v>3341</v>
      </c>
      <c r="E544" s="35" t="s">
        <v>127</v>
      </c>
      <c r="F544" t="str" cm="1">
        <f t="array" ref="F544">IFERROR(_xlfn.XLOOKUP(E544,MapeoCargos!$A:$A,MapeoCargos!$B:$B,E544),E544)</f>
        <v>AZAFATA</v>
      </c>
      <c r="G544" s="45">
        <v>45614</v>
      </c>
    </row>
    <row r="545" spans="1:7" x14ac:dyDescent="0.2">
      <c r="A545" s="27" t="s">
        <v>2605</v>
      </c>
      <c r="B545" s="34" t="s">
        <v>2078</v>
      </c>
      <c r="C545" s="34" t="s">
        <v>518</v>
      </c>
      <c r="D545" s="34" t="s">
        <v>2606</v>
      </c>
      <c r="E545" s="35" t="s">
        <v>479</v>
      </c>
      <c r="F545" t="str" cm="1">
        <f t="array" ref="F545">IFERROR(_xlfn.XLOOKUP(E545,MapeoCargos!$A:$A,MapeoCargos!$B:$B,E545),E545)</f>
        <v xml:space="preserve">AYUDANTE DE COCINA </v>
      </c>
      <c r="G545" s="45">
        <v>45614</v>
      </c>
    </row>
    <row r="546" spans="1:7" x14ac:dyDescent="0.2">
      <c r="A546" s="27" t="s">
        <v>3342</v>
      </c>
      <c r="B546" s="34" t="s">
        <v>3037</v>
      </c>
      <c r="C546" s="34" t="s">
        <v>2458</v>
      </c>
      <c r="D546" s="34" t="s">
        <v>3343</v>
      </c>
      <c r="E546" s="35" t="s">
        <v>126</v>
      </c>
      <c r="F546" t="str" cm="1">
        <f t="array" ref="F546">IFERROR(_xlfn.XLOOKUP(E546,MapeoCargos!$A:$A,MapeoCargos!$B:$B,E546),E546)</f>
        <v>MOTORIZADO</v>
      </c>
      <c r="G546" s="45">
        <v>45614</v>
      </c>
    </row>
    <row r="547" spans="1:7" x14ac:dyDescent="0.2">
      <c r="A547" s="27" t="s">
        <v>504</v>
      </c>
      <c r="B547" s="34" t="s">
        <v>189</v>
      </c>
      <c r="C547" s="34" t="s">
        <v>21</v>
      </c>
      <c r="D547" s="34" t="s">
        <v>505</v>
      </c>
      <c r="E547" s="35" t="s">
        <v>479</v>
      </c>
      <c r="F547" t="str" cm="1">
        <f t="array" ref="F547">IFERROR(_xlfn.XLOOKUP(E547,MapeoCargos!$A:$A,MapeoCargos!$B:$B,E547),E547)</f>
        <v xml:space="preserve">AYUDANTE DE COCINA </v>
      </c>
      <c r="G547" s="45">
        <v>45621</v>
      </c>
    </row>
    <row r="548" spans="1:7" x14ac:dyDescent="0.2">
      <c r="A548" s="27" t="s">
        <v>2607</v>
      </c>
      <c r="B548" s="34" t="s">
        <v>2078</v>
      </c>
      <c r="C548" s="34" t="s">
        <v>2355</v>
      </c>
      <c r="D548" s="34" t="s">
        <v>2608</v>
      </c>
      <c r="E548" s="35" t="s">
        <v>231</v>
      </c>
      <c r="F548" t="str" cm="1">
        <f t="array" ref="F548">IFERROR(_xlfn.XLOOKUP(E548,MapeoCargos!$A:$A,MapeoCargos!$B:$B,E548),E548)</f>
        <v xml:space="preserve">CAJA </v>
      </c>
      <c r="G548" s="45">
        <v>45621</v>
      </c>
    </row>
    <row r="549" spans="1:7" x14ac:dyDescent="0.2">
      <c r="A549" s="27" t="s">
        <v>2609</v>
      </c>
      <c r="B549" s="34" t="s">
        <v>2078</v>
      </c>
      <c r="C549" s="34" t="s">
        <v>4</v>
      </c>
      <c r="D549" s="34" t="s">
        <v>2610</v>
      </c>
      <c r="E549" s="35" t="s">
        <v>1837</v>
      </c>
      <c r="F549" t="str" cm="1">
        <f t="array" ref="F549">IFERROR(_xlfn.XLOOKUP(E549,MapeoCargos!$A:$A,MapeoCargos!$B:$B,E549),E549)</f>
        <v xml:space="preserve">AZAFATA </v>
      </c>
      <c r="G549" s="45">
        <v>45621</v>
      </c>
    </row>
    <row r="550" spans="1:7" x14ac:dyDescent="0.2">
      <c r="A550" s="27" t="s">
        <v>2611</v>
      </c>
      <c r="B550" s="34" t="s">
        <v>2078</v>
      </c>
      <c r="C550" s="34" t="s">
        <v>5</v>
      </c>
      <c r="D550" s="34" t="s">
        <v>2612</v>
      </c>
      <c r="E550" s="35" t="s">
        <v>2613</v>
      </c>
      <c r="F550" t="str" cm="1">
        <f t="array" ref="F550">IFERROR(_xlfn.XLOOKUP(E550,MapeoCargos!$A:$A,MapeoCargos!$B:$B,E550),E550)</f>
        <v xml:space="preserve">PACKER </v>
      </c>
      <c r="G550" s="45">
        <v>45621</v>
      </c>
    </row>
    <row r="551" spans="1:7" x14ac:dyDescent="0.2">
      <c r="A551" s="27" t="s">
        <v>3344</v>
      </c>
      <c r="B551" s="34" t="s">
        <v>3037</v>
      </c>
      <c r="C551" s="34" t="s">
        <v>16</v>
      </c>
      <c r="D551" s="34" t="s">
        <v>3345</v>
      </c>
      <c r="E551" s="35" t="s">
        <v>465</v>
      </c>
      <c r="F551" t="str" cm="1">
        <f t="array" ref="F551">IFERROR(_xlfn.XLOOKUP(E551,MapeoCargos!$A:$A,MapeoCargos!$B:$B,E551),E551)</f>
        <v>PRODUCCIÓN / COCINA</v>
      </c>
      <c r="G551" s="45">
        <v>45627</v>
      </c>
    </row>
    <row r="552" spans="1:7" x14ac:dyDescent="0.2">
      <c r="A552" s="27" t="s">
        <v>2614</v>
      </c>
      <c r="B552" s="34" t="s">
        <v>2078</v>
      </c>
      <c r="C552" s="34" t="s">
        <v>2082</v>
      </c>
      <c r="D552" s="34" t="s">
        <v>2615</v>
      </c>
      <c r="E552" s="35" t="s">
        <v>231</v>
      </c>
      <c r="F552" t="str" cm="1">
        <f t="array" ref="F552">IFERROR(_xlfn.XLOOKUP(E552,MapeoCargos!$A:$A,MapeoCargos!$B:$B,E552),E552)</f>
        <v xml:space="preserve">CAJA </v>
      </c>
      <c r="G552" s="45">
        <v>45627</v>
      </c>
    </row>
    <row r="553" spans="1:7" x14ac:dyDescent="0.2">
      <c r="A553" s="27" t="s">
        <v>2616</v>
      </c>
      <c r="B553" s="34" t="s">
        <v>2078</v>
      </c>
      <c r="C553" s="34" t="s">
        <v>19</v>
      </c>
      <c r="D553" s="34" t="s">
        <v>2617</v>
      </c>
      <c r="E553" s="35" t="s">
        <v>30</v>
      </c>
      <c r="F553" t="str" cm="1">
        <f t="array" ref="F553">IFERROR(_xlfn.XLOOKUP(E553,MapeoCargos!$A:$A,MapeoCargos!$B:$B,E553),E553)</f>
        <v>STAFF ADMINISTRATIVO</v>
      </c>
      <c r="G553" s="45">
        <v>45627</v>
      </c>
    </row>
    <row r="554" spans="1:7" x14ac:dyDescent="0.2">
      <c r="A554" s="27" t="s">
        <v>2618</v>
      </c>
      <c r="B554" s="34" t="s">
        <v>2078</v>
      </c>
      <c r="C554" s="34" t="s">
        <v>2177</v>
      </c>
      <c r="D554" s="34" t="s">
        <v>2619</v>
      </c>
      <c r="E554" s="35" t="s">
        <v>30</v>
      </c>
      <c r="F554" t="str" cm="1">
        <f t="array" ref="F554">IFERROR(_xlfn.XLOOKUP(E554,MapeoCargos!$A:$A,MapeoCargos!$B:$B,E554),E554)</f>
        <v>STAFF ADMINISTRATIVO</v>
      </c>
      <c r="G554" s="45">
        <v>45627</v>
      </c>
    </row>
    <row r="555" spans="1:7" x14ac:dyDescent="0.2">
      <c r="A555" s="27" t="s">
        <v>3346</v>
      </c>
      <c r="B555" s="34" t="s">
        <v>3037</v>
      </c>
      <c r="C555" s="34" t="s">
        <v>626</v>
      </c>
      <c r="D555" s="34" t="s">
        <v>3347</v>
      </c>
      <c r="E555" s="35" t="s">
        <v>193</v>
      </c>
      <c r="F555" t="str" cm="1">
        <f t="array" ref="F555">IFERROR(_xlfn.XLOOKUP(E555,MapeoCargos!$A:$A,MapeoCargos!$B:$B,E555),E555)</f>
        <v>PRODUCCIÓN / COCINA</v>
      </c>
      <c r="G555" s="45">
        <v>45628</v>
      </c>
    </row>
    <row r="556" spans="1:7" x14ac:dyDescent="0.2">
      <c r="A556" s="27" t="s">
        <v>2620</v>
      </c>
      <c r="B556" s="34" t="s">
        <v>2078</v>
      </c>
      <c r="C556" s="34" t="s">
        <v>23</v>
      </c>
      <c r="D556" s="34" t="s">
        <v>2621</v>
      </c>
      <c r="E556" s="35" t="s">
        <v>360</v>
      </c>
      <c r="F556" t="str" cm="1">
        <f t="array" ref="F556">IFERROR(_xlfn.XLOOKUP(E556,MapeoCargos!$A:$A,MapeoCargos!$B:$B,E556),E556)</f>
        <v>PRODUCCIÓN / COCINA</v>
      </c>
      <c r="G556" s="45">
        <v>45632</v>
      </c>
    </row>
    <row r="557" spans="1:7" x14ac:dyDescent="0.2">
      <c r="A557" s="27" t="s">
        <v>3348</v>
      </c>
      <c r="B557" s="34" t="s">
        <v>3037</v>
      </c>
      <c r="C557" s="34" t="s">
        <v>16</v>
      </c>
      <c r="D557" s="34" t="s">
        <v>3349</v>
      </c>
      <c r="E557" s="35" t="s">
        <v>231</v>
      </c>
      <c r="F557" t="str" cm="1">
        <f t="array" ref="F557">IFERROR(_xlfn.XLOOKUP(E557,MapeoCargos!$A:$A,MapeoCargos!$B:$B,E557),E557)</f>
        <v xml:space="preserve">CAJA </v>
      </c>
      <c r="G557" s="45">
        <v>45636</v>
      </c>
    </row>
    <row r="558" spans="1:7" x14ac:dyDescent="0.2">
      <c r="A558" s="27" t="s">
        <v>3350</v>
      </c>
      <c r="B558" s="34" t="s">
        <v>3037</v>
      </c>
      <c r="C558" s="34" t="s">
        <v>2670</v>
      </c>
      <c r="D558" s="34" t="s">
        <v>3351</v>
      </c>
      <c r="E558" s="35" t="s">
        <v>365</v>
      </c>
      <c r="F558" t="str" cm="1">
        <f t="array" ref="F558">IFERROR(_xlfn.XLOOKUP(E558,MapeoCargos!$A:$A,MapeoCargos!$B:$B,E558),E558)</f>
        <v xml:space="preserve">BARTENDER </v>
      </c>
      <c r="G558" s="45">
        <v>45636</v>
      </c>
    </row>
    <row r="559" spans="1:7" x14ac:dyDescent="0.2">
      <c r="A559" s="27" t="s">
        <v>2622</v>
      </c>
      <c r="B559" s="34" t="s">
        <v>2078</v>
      </c>
      <c r="C559" s="34" t="s">
        <v>2</v>
      </c>
      <c r="D559" s="34" t="s">
        <v>2623</v>
      </c>
      <c r="E559" s="35" t="s">
        <v>29</v>
      </c>
      <c r="F559" t="str" cm="1">
        <f t="array" ref="F559">IFERROR(_xlfn.XLOOKUP(E559,MapeoCargos!$A:$A,MapeoCargos!$B:$B,E559),E559)</f>
        <v>MOZO</v>
      </c>
      <c r="G559" s="45">
        <v>45636</v>
      </c>
    </row>
    <row r="560" spans="1:7" x14ac:dyDescent="0.2">
      <c r="A560" s="27" t="s">
        <v>2624</v>
      </c>
      <c r="B560" s="34" t="s">
        <v>2078</v>
      </c>
      <c r="C560" s="34" t="s">
        <v>2177</v>
      </c>
      <c r="D560" s="34" t="s">
        <v>2625</v>
      </c>
      <c r="E560" s="35" t="s">
        <v>29</v>
      </c>
      <c r="F560" t="str" cm="1">
        <f t="array" ref="F560">IFERROR(_xlfn.XLOOKUP(E560,MapeoCargos!$A:$A,MapeoCargos!$B:$B,E560),E560)</f>
        <v>MOZO</v>
      </c>
      <c r="G560" s="45">
        <v>45632</v>
      </c>
    </row>
    <row r="561" spans="1:7" x14ac:dyDescent="0.2">
      <c r="A561" s="27" t="s">
        <v>506</v>
      </c>
      <c r="B561" s="34" t="s">
        <v>189</v>
      </c>
      <c r="C561" s="34" t="s">
        <v>18</v>
      </c>
      <c r="D561" s="34" t="s">
        <v>507</v>
      </c>
      <c r="E561" s="35" t="s">
        <v>231</v>
      </c>
      <c r="F561" t="str" cm="1">
        <f t="array" ref="F561">IFERROR(_xlfn.XLOOKUP(E561,MapeoCargos!$A:$A,MapeoCargos!$B:$B,E561),E561)</f>
        <v xml:space="preserve">CAJA </v>
      </c>
      <c r="G561" s="45">
        <v>45642</v>
      </c>
    </row>
    <row r="562" spans="1:7" x14ac:dyDescent="0.2">
      <c r="A562" s="27" t="s">
        <v>3352</v>
      </c>
      <c r="B562" s="34" t="s">
        <v>3037</v>
      </c>
      <c r="C562" s="34" t="s">
        <v>3140</v>
      </c>
      <c r="D562" s="34" t="s">
        <v>3353</v>
      </c>
      <c r="E562" s="35" t="s">
        <v>2489</v>
      </c>
      <c r="F562" t="str" cm="1">
        <f t="array" ref="F562">IFERROR(_xlfn.XLOOKUP(E562,MapeoCargos!$A:$A,MapeoCargos!$B:$B,E562),E562)</f>
        <v>TELEOPERADOR (A)</v>
      </c>
      <c r="G562" s="45">
        <v>45642</v>
      </c>
    </row>
    <row r="563" spans="1:7" x14ac:dyDescent="0.2">
      <c r="A563" s="27" t="s">
        <v>2626</v>
      </c>
      <c r="B563" s="34" t="s">
        <v>2078</v>
      </c>
      <c r="C563" s="34" t="s">
        <v>3025</v>
      </c>
      <c r="D563" s="34" t="s">
        <v>2627</v>
      </c>
      <c r="E563" s="35" t="s">
        <v>479</v>
      </c>
      <c r="F563" t="str" cm="1">
        <f t="array" ref="F563">IFERROR(_xlfn.XLOOKUP(E563,MapeoCargos!$A:$A,MapeoCargos!$B:$B,E563),E563)</f>
        <v xml:space="preserve">AYUDANTE DE COCINA </v>
      </c>
      <c r="G563" s="45">
        <v>45621</v>
      </c>
    </row>
    <row r="564" spans="1:7" x14ac:dyDescent="0.2">
      <c r="A564" s="27" t="s">
        <v>3354</v>
      </c>
      <c r="B564" s="34" t="s">
        <v>3037</v>
      </c>
      <c r="C564" s="34" t="s">
        <v>14</v>
      </c>
      <c r="D564" s="34" t="s">
        <v>3355</v>
      </c>
      <c r="E564" s="35" t="s">
        <v>83</v>
      </c>
      <c r="F564" t="str" cm="1">
        <f t="array" ref="F564">IFERROR(_xlfn.XLOOKUP(E564,MapeoCargos!$A:$A,MapeoCargos!$B:$B,E564),E564)</f>
        <v>PRODUCCIÓN / COCINA</v>
      </c>
      <c r="G564" s="45">
        <v>45642</v>
      </c>
    </row>
    <row r="565" spans="1:7" x14ac:dyDescent="0.2">
      <c r="A565" s="27" t="s">
        <v>2628</v>
      </c>
      <c r="B565" s="34" t="s">
        <v>2078</v>
      </c>
      <c r="C565" s="34" t="s">
        <v>8</v>
      </c>
      <c r="D565" s="34" t="s">
        <v>2629</v>
      </c>
      <c r="E565" s="35" t="s">
        <v>29</v>
      </c>
      <c r="F565" t="str" cm="1">
        <f t="array" ref="F565">IFERROR(_xlfn.XLOOKUP(E565,MapeoCargos!$A:$A,MapeoCargos!$B:$B,E565),E565)</f>
        <v>MOZO</v>
      </c>
      <c r="G565" s="45">
        <v>45642</v>
      </c>
    </row>
    <row r="566" spans="1:7" x14ac:dyDescent="0.2">
      <c r="A566" s="27" t="s">
        <v>3356</v>
      </c>
      <c r="B566" s="34" t="s">
        <v>3037</v>
      </c>
      <c r="C566" s="34" t="s">
        <v>518</v>
      </c>
      <c r="D566" s="34" t="s">
        <v>3357</v>
      </c>
      <c r="E566" s="35" t="s">
        <v>29</v>
      </c>
      <c r="F566" t="str" cm="1">
        <f t="array" ref="F566">IFERROR(_xlfn.XLOOKUP(E566,MapeoCargos!$A:$A,MapeoCargos!$B:$B,E566),E566)</f>
        <v>MOZO</v>
      </c>
      <c r="G566" s="45">
        <v>45643</v>
      </c>
    </row>
    <row r="567" spans="1:7" x14ac:dyDescent="0.2">
      <c r="A567" s="27" t="s">
        <v>2630</v>
      </c>
      <c r="B567" s="34" t="s">
        <v>2078</v>
      </c>
      <c r="C567" s="34" t="s">
        <v>518</v>
      </c>
      <c r="D567" s="34" t="s">
        <v>2631</v>
      </c>
      <c r="E567" s="35" t="s">
        <v>83</v>
      </c>
      <c r="F567" t="str" cm="1">
        <f t="array" ref="F567">IFERROR(_xlfn.XLOOKUP(E567,MapeoCargos!$A:$A,MapeoCargos!$B:$B,E567),E567)</f>
        <v>PRODUCCIÓN / COCINA</v>
      </c>
      <c r="G567" s="45">
        <v>45643</v>
      </c>
    </row>
    <row r="568" spans="1:7" x14ac:dyDescent="0.2">
      <c r="A568" s="27" t="s">
        <v>2632</v>
      </c>
      <c r="B568" s="34" t="s">
        <v>2078</v>
      </c>
      <c r="C568" s="34" t="s">
        <v>4</v>
      </c>
      <c r="D568" s="34" t="s">
        <v>2633</v>
      </c>
      <c r="E568" s="35" t="s">
        <v>551</v>
      </c>
      <c r="F568" t="str" cm="1">
        <f t="array" ref="F568">IFERROR(_xlfn.XLOOKUP(E568,MapeoCargos!$A:$A,MapeoCargos!$B:$B,E568),E568)</f>
        <v>MOZO</v>
      </c>
      <c r="G568" s="45">
        <v>45646</v>
      </c>
    </row>
    <row r="569" spans="1:7" x14ac:dyDescent="0.2">
      <c r="A569" s="27" t="s">
        <v>2634</v>
      </c>
      <c r="B569" s="34" t="s">
        <v>2078</v>
      </c>
      <c r="C569" s="34" t="s">
        <v>2</v>
      </c>
      <c r="D569" s="34" t="s">
        <v>2635</v>
      </c>
      <c r="E569" s="35" t="s">
        <v>231</v>
      </c>
      <c r="F569" t="str" cm="1">
        <f t="array" ref="F569">IFERROR(_xlfn.XLOOKUP(E569,MapeoCargos!$A:$A,MapeoCargos!$B:$B,E569),E569)</f>
        <v xml:space="preserve">CAJA </v>
      </c>
      <c r="G569" s="45">
        <v>45646</v>
      </c>
    </row>
    <row r="570" spans="1:7" x14ac:dyDescent="0.2">
      <c r="A570" s="27" t="s">
        <v>508</v>
      </c>
      <c r="B570" s="34" t="s">
        <v>189</v>
      </c>
      <c r="C570" s="34" t="s">
        <v>21</v>
      </c>
      <c r="D570" s="34" t="s">
        <v>509</v>
      </c>
      <c r="E570" s="35" t="s">
        <v>222</v>
      </c>
      <c r="F570" t="str" cm="1">
        <f t="array" ref="F570">IFERROR(_xlfn.XLOOKUP(E570,MapeoCargos!$A:$A,MapeoCargos!$B:$B,E570),E570)</f>
        <v>PRODUCCIÓN / COCINA</v>
      </c>
      <c r="G570" s="45">
        <v>45647</v>
      </c>
    </row>
    <row r="571" spans="1:7" x14ac:dyDescent="0.2">
      <c r="A571" s="27" t="s">
        <v>2636</v>
      </c>
      <c r="B571" s="34" t="s">
        <v>2078</v>
      </c>
      <c r="C571" s="34" t="s">
        <v>2177</v>
      </c>
      <c r="D571" s="34" t="s">
        <v>2637</v>
      </c>
      <c r="E571" s="35" t="s">
        <v>583</v>
      </c>
      <c r="F571" t="str" cm="1">
        <f t="array" ref="F571">IFERROR(_xlfn.XLOOKUP(E571,MapeoCargos!$A:$A,MapeoCargos!$B:$B,E571),E571)</f>
        <v>BAR</v>
      </c>
      <c r="G571" s="45">
        <v>45642</v>
      </c>
    </row>
    <row r="572" spans="1:7" x14ac:dyDescent="0.2">
      <c r="A572" s="27" t="s">
        <v>2638</v>
      </c>
      <c r="B572" s="34" t="s">
        <v>2078</v>
      </c>
      <c r="C572" s="34" t="s">
        <v>19</v>
      </c>
      <c r="D572" s="34" t="s">
        <v>2639</v>
      </c>
      <c r="E572" s="35" t="s">
        <v>83</v>
      </c>
      <c r="F572" t="str" cm="1">
        <f t="array" ref="F572">IFERROR(_xlfn.XLOOKUP(E572,MapeoCargos!$A:$A,MapeoCargos!$B:$B,E572),E572)</f>
        <v>PRODUCCIÓN / COCINA</v>
      </c>
      <c r="G572" s="45">
        <v>45658</v>
      </c>
    </row>
    <row r="573" spans="1:7" x14ac:dyDescent="0.2">
      <c r="A573" s="27" t="s">
        <v>2640</v>
      </c>
      <c r="B573" s="34" t="s">
        <v>2078</v>
      </c>
      <c r="C573" s="34" t="s">
        <v>518</v>
      </c>
      <c r="D573" s="34" t="s">
        <v>2641</v>
      </c>
      <c r="E573" s="35" t="s">
        <v>29</v>
      </c>
      <c r="F573" t="str" cm="1">
        <f t="array" ref="F573">IFERROR(_xlfn.XLOOKUP(E573,MapeoCargos!$A:$A,MapeoCargos!$B:$B,E573),E573)</f>
        <v>MOZO</v>
      </c>
      <c r="G573" s="45">
        <v>45658</v>
      </c>
    </row>
    <row r="574" spans="1:7" x14ac:dyDescent="0.2">
      <c r="A574" s="27" t="s">
        <v>510</v>
      </c>
      <c r="B574" s="34" t="s">
        <v>189</v>
      </c>
      <c r="C574" s="34" t="s">
        <v>21</v>
      </c>
      <c r="D574" s="34" t="s">
        <v>511</v>
      </c>
      <c r="E574" s="35" t="s">
        <v>29</v>
      </c>
      <c r="F574" t="str" cm="1">
        <f t="array" ref="F574">IFERROR(_xlfn.XLOOKUP(E574,MapeoCargos!$A:$A,MapeoCargos!$B:$B,E574),E574)</f>
        <v>MOZO</v>
      </c>
      <c r="G574" s="45">
        <v>45658</v>
      </c>
    </row>
    <row r="575" spans="1:7" x14ac:dyDescent="0.2">
      <c r="A575" s="27" t="s">
        <v>2642</v>
      </c>
      <c r="B575" s="34" t="s">
        <v>2078</v>
      </c>
      <c r="C575" s="34" t="s">
        <v>5</v>
      </c>
      <c r="D575" s="34" t="s">
        <v>2643</v>
      </c>
      <c r="E575" s="35" t="s">
        <v>146</v>
      </c>
      <c r="F575" t="str" cm="1">
        <f t="array" ref="F575">IFERROR(_xlfn.XLOOKUP(E575,MapeoCargos!$A:$A,MapeoCargos!$B:$B,E575),E575)</f>
        <v xml:space="preserve">MOZO </v>
      </c>
      <c r="G575" s="45">
        <v>45658</v>
      </c>
    </row>
    <row r="576" spans="1:7" x14ac:dyDescent="0.2">
      <c r="A576" s="27" t="s">
        <v>2644</v>
      </c>
      <c r="B576" s="34" t="s">
        <v>2078</v>
      </c>
      <c r="C576" s="34" t="s">
        <v>5</v>
      </c>
      <c r="D576" s="34" t="s">
        <v>2645</v>
      </c>
      <c r="E576" s="35" t="s">
        <v>30</v>
      </c>
      <c r="F576" t="str" cm="1">
        <f t="array" ref="F576">IFERROR(_xlfn.XLOOKUP(E576,MapeoCargos!$A:$A,MapeoCargos!$B:$B,E576),E576)</f>
        <v>STAFF ADMINISTRATIVO</v>
      </c>
      <c r="G576" s="45">
        <v>45658</v>
      </c>
    </row>
    <row r="577" spans="1:7" x14ac:dyDescent="0.2">
      <c r="A577" s="27" t="s">
        <v>512</v>
      </c>
      <c r="B577" s="34" t="s">
        <v>189</v>
      </c>
      <c r="C577" s="34" t="s">
        <v>20</v>
      </c>
      <c r="D577" s="34" t="s">
        <v>513</v>
      </c>
      <c r="E577" s="35" t="s">
        <v>29</v>
      </c>
      <c r="F577" t="str" cm="1">
        <f t="array" ref="F577">IFERROR(_xlfn.XLOOKUP(E577,MapeoCargos!$A:$A,MapeoCargos!$B:$B,E577),E577)</f>
        <v>MOZO</v>
      </c>
      <c r="G577" s="45">
        <v>45658</v>
      </c>
    </row>
    <row r="578" spans="1:7" x14ac:dyDescent="0.2">
      <c r="A578" s="27" t="s">
        <v>2646</v>
      </c>
      <c r="B578" s="34" t="s">
        <v>2078</v>
      </c>
      <c r="C578" s="34" t="s">
        <v>2079</v>
      </c>
      <c r="D578" s="34" t="s">
        <v>2647</v>
      </c>
      <c r="E578" s="35" t="s">
        <v>2648</v>
      </c>
      <c r="F578" t="str" cm="1">
        <f t="array" ref="F578">IFERROR(_xlfn.XLOOKUP(E578,MapeoCargos!$A:$A,MapeoCargos!$B:$B,E578),E578)</f>
        <v>ASISTENTE DE SELECCIÓN</v>
      </c>
      <c r="G578" s="45">
        <v>45663</v>
      </c>
    </row>
    <row r="579" spans="1:7" x14ac:dyDescent="0.2">
      <c r="A579" s="27" t="s">
        <v>2649</v>
      </c>
      <c r="B579" s="34" t="s">
        <v>2078</v>
      </c>
      <c r="C579" s="34" t="s">
        <v>2079</v>
      </c>
      <c r="D579" s="34" t="s">
        <v>2650</v>
      </c>
      <c r="E579" s="35" t="s">
        <v>326</v>
      </c>
      <c r="F579" t="str" cm="1">
        <f t="array" ref="F579">IFERROR(_xlfn.XLOOKUP(E579,MapeoCargos!$A:$A,MapeoCargos!$B:$B,E579),E579)</f>
        <v>ASISTENTE DE FINANZAS</v>
      </c>
      <c r="G579" s="45">
        <v>45663</v>
      </c>
    </row>
    <row r="580" spans="1:7" x14ac:dyDescent="0.2">
      <c r="A580" s="27" t="s">
        <v>514</v>
      </c>
      <c r="B580" s="34" t="s">
        <v>189</v>
      </c>
      <c r="C580" s="34" t="s">
        <v>21</v>
      </c>
      <c r="D580" s="34" t="s">
        <v>515</v>
      </c>
      <c r="E580" s="35" t="s">
        <v>468</v>
      </c>
      <c r="F580" t="str" cm="1">
        <f t="array" ref="F580">IFERROR(_xlfn.XLOOKUP(E580,MapeoCargos!$A:$A,MapeoCargos!$B:$B,E580),E580)</f>
        <v xml:space="preserve">ANFITRIONAJE </v>
      </c>
      <c r="G580" s="45">
        <v>45663</v>
      </c>
    </row>
    <row r="581" spans="1:7" x14ac:dyDescent="0.2">
      <c r="A581" s="27" t="s">
        <v>516</v>
      </c>
      <c r="B581" s="34" t="s">
        <v>189</v>
      </c>
      <c r="C581" s="34" t="s">
        <v>20</v>
      </c>
      <c r="D581" s="34" t="s">
        <v>517</v>
      </c>
      <c r="E581" s="35" t="s">
        <v>83</v>
      </c>
      <c r="F581" t="str" cm="1">
        <f t="array" ref="F581">IFERROR(_xlfn.XLOOKUP(E581,MapeoCargos!$A:$A,MapeoCargos!$B:$B,E581),E581)</f>
        <v>PRODUCCIÓN / COCINA</v>
      </c>
      <c r="G581" s="45">
        <v>45663</v>
      </c>
    </row>
    <row r="582" spans="1:7" x14ac:dyDescent="0.2">
      <c r="A582" s="27" t="s">
        <v>2651</v>
      </c>
      <c r="B582" s="34" t="s">
        <v>2078</v>
      </c>
      <c r="C582" s="34" t="s">
        <v>2177</v>
      </c>
      <c r="D582" s="34" t="s">
        <v>2652</v>
      </c>
      <c r="E582" s="35" t="s">
        <v>29</v>
      </c>
      <c r="F582" t="str" cm="1">
        <f t="array" ref="F582">IFERROR(_xlfn.XLOOKUP(E582,MapeoCargos!$A:$A,MapeoCargos!$B:$B,E582),E582)</f>
        <v>MOZO</v>
      </c>
      <c r="G582" s="45">
        <v>45663</v>
      </c>
    </row>
    <row r="583" spans="1:7" x14ac:dyDescent="0.2">
      <c r="A583" s="27" t="s">
        <v>2653</v>
      </c>
      <c r="B583" s="34" t="s">
        <v>2078</v>
      </c>
      <c r="C583" s="34" t="s">
        <v>8</v>
      </c>
      <c r="D583" s="34" t="s">
        <v>2654</v>
      </c>
      <c r="E583" s="35" t="s">
        <v>624</v>
      </c>
      <c r="F583" t="str" cm="1">
        <f t="array" ref="F583">IFERROR(_xlfn.XLOOKUP(E583,MapeoCargos!$A:$A,MapeoCargos!$B:$B,E583),E583)</f>
        <v>MOTORIZADO</v>
      </c>
      <c r="G583" s="45">
        <v>45663</v>
      </c>
    </row>
    <row r="584" spans="1:7" x14ac:dyDescent="0.2">
      <c r="A584" s="27" t="s">
        <v>3358</v>
      </c>
      <c r="B584" s="34" t="s">
        <v>3037</v>
      </c>
      <c r="C584" s="34" t="s">
        <v>3025</v>
      </c>
      <c r="D584" s="34" t="s">
        <v>3359</v>
      </c>
      <c r="E584" s="35" t="s">
        <v>305</v>
      </c>
      <c r="F584" t="str" cm="1">
        <f t="array" ref="F584">IFERROR(_xlfn.XLOOKUP(E584,MapeoCargos!$A:$A,MapeoCargos!$B:$B,E584),E584)</f>
        <v>LIMPIEZA / MANTENIMIENTO</v>
      </c>
      <c r="G584" s="45">
        <v>45663</v>
      </c>
    </row>
    <row r="585" spans="1:7" x14ac:dyDescent="0.2">
      <c r="A585" s="27" t="s">
        <v>2655</v>
      </c>
      <c r="B585" s="34" t="s">
        <v>2078</v>
      </c>
      <c r="C585" s="34" t="s">
        <v>4</v>
      </c>
      <c r="D585" s="34" t="s">
        <v>2656</v>
      </c>
      <c r="E585" s="35" t="s">
        <v>29</v>
      </c>
      <c r="F585" t="str" cm="1">
        <f t="array" ref="F585">IFERROR(_xlfn.XLOOKUP(E585,MapeoCargos!$A:$A,MapeoCargos!$B:$B,E585),E585)</f>
        <v>MOZO</v>
      </c>
      <c r="G585" s="45">
        <v>45670</v>
      </c>
    </row>
    <row r="586" spans="1:7" x14ac:dyDescent="0.2">
      <c r="A586" s="27" t="s">
        <v>2657</v>
      </c>
      <c r="B586" s="34" t="s">
        <v>2078</v>
      </c>
      <c r="C586" s="34" t="s">
        <v>518</v>
      </c>
      <c r="D586" s="34" t="s">
        <v>2658</v>
      </c>
      <c r="E586" s="35" t="s">
        <v>231</v>
      </c>
      <c r="F586" t="str" cm="1">
        <f t="array" ref="F586">IFERROR(_xlfn.XLOOKUP(E586,MapeoCargos!$A:$A,MapeoCargos!$B:$B,E586),E586)</f>
        <v xml:space="preserve">CAJA </v>
      </c>
      <c r="G586" s="45">
        <v>45670</v>
      </c>
    </row>
    <row r="587" spans="1:7" x14ac:dyDescent="0.2">
      <c r="A587" s="27" t="s">
        <v>2659</v>
      </c>
      <c r="B587" s="34" t="s">
        <v>2078</v>
      </c>
      <c r="C587" s="34" t="s">
        <v>518</v>
      </c>
      <c r="D587" s="34" t="s">
        <v>2660</v>
      </c>
      <c r="E587" s="35" t="s">
        <v>365</v>
      </c>
      <c r="F587" t="str" cm="1">
        <f t="array" ref="F587">IFERROR(_xlfn.XLOOKUP(E587,MapeoCargos!$A:$A,MapeoCargos!$B:$B,E587),E587)</f>
        <v xml:space="preserve">BARTENDER </v>
      </c>
      <c r="G587" s="45">
        <v>45670</v>
      </c>
    </row>
    <row r="588" spans="1:7" x14ac:dyDescent="0.2">
      <c r="A588" s="27" t="s">
        <v>2661</v>
      </c>
      <c r="B588" s="34" t="s">
        <v>2078</v>
      </c>
      <c r="C588" s="34" t="s">
        <v>2082</v>
      </c>
      <c r="D588" s="34" t="s">
        <v>2662</v>
      </c>
      <c r="E588" s="35" t="s">
        <v>606</v>
      </c>
      <c r="F588" t="str" cm="1">
        <f t="array" ref="F588">IFERROR(_xlfn.XLOOKUP(E588,MapeoCargos!$A:$A,MapeoCargos!$B:$B,E588),E588)</f>
        <v>BAR</v>
      </c>
      <c r="G588" s="45">
        <v>45670</v>
      </c>
    </row>
    <row r="589" spans="1:7" x14ac:dyDescent="0.2">
      <c r="A589" s="27" t="s">
        <v>3360</v>
      </c>
      <c r="B589" s="34" t="s">
        <v>3037</v>
      </c>
      <c r="C589" s="34" t="s">
        <v>2670</v>
      </c>
      <c r="D589" s="34" t="s">
        <v>3361</v>
      </c>
      <c r="E589" s="35" t="s">
        <v>83</v>
      </c>
      <c r="F589" t="str" cm="1">
        <f t="array" ref="F589">IFERROR(_xlfn.XLOOKUP(E589,MapeoCargos!$A:$A,MapeoCargos!$B:$B,E589),E589)</f>
        <v>PRODUCCIÓN / COCINA</v>
      </c>
      <c r="G589" s="45">
        <v>45670</v>
      </c>
    </row>
    <row r="590" spans="1:7" x14ac:dyDescent="0.2">
      <c r="A590" s="27" t="s">
        <v>3362</v>
      </c>
      <c r="B590" s="34" t="s">
        <v>3037</v>
      </c>
      <c r="C590" s="34" t="s">
        <v>2458</v>
      </c>
      <c r="D590" s="34" t="s">
        <v>3363</v>
      </c>
      <c r="E590" s="35" t="s">
        <v>127</v>
      </c>
      <c r="F590" t="str" cm="1">
        <f t="array" ref="F590">IFERROR(_xlfn.XLOOKUP(E590,MapeoCargos!$A:$A,MapeoCargos!$B:$B,E590),E590)</f>
        <v>AZAFATA</v>
      </c>
      <c r="G590" s="45">
        <v>45670</v>
      </c>
    </row>
    <row r="591" spans="1:7" x14ac:dyDescent="0.2">
      <c r="A591" s="27" t="s">
        <v>3364</v>
      </c>
      <c r="B591" s="34" t="s">
        <v>3037</v>
      </c>
      <c r="C591" s="34" t="s">
        <v>14</v>
      </c>
      <c r="D591" s="34" t="s">
        <v>3365</v>
      </c>
      <c r="E591" s="35" t="s">
        <v>365</v>
      </c>
      <c r="F591" t="str" cm="1">
        <f t="array" ref="F591">IFERROR(_xlfn.XLOOKUP(E591,MapeoCargos!$A:$A,MapeoCargos!$B:$B,E591),E591)</f>
        <v xml:space="preserve">BARTENDER </v>
      </c>
      <c r="G591" s="45">
        <v>45670</v>
      </c>
    </row>
    <row r="592" spans="1:7" x14ac:dyDescent="0.2">
      <c r="A592" s="27" t="s">
        <v>2663</v>
      </c>
      <c r="B592" s="34" t="s">
        <v>2078</v>
      </c>
      <c r="C592" s="34" t="s">
        <v>2079</v>
      </c>
      <c r="D592" s="34" t="s">
        <v>2664</v>
      </c>
      <c r="E592" s="35" t="s">
        <v>2665</v>
      </c>
      <c r="F592" t="str" cm="1">
        <f t="array" ref="F592">IFERROR(_xlfn.XLOOKUP(E592,MapeoCargos!$A:$A,MapeoCargos!$B:$B,E592),E592)</f>
        <v>TECNICO DE MANTENIMIENTO</v>
      </c>
      <c r="G592" s="45">
        <v>45673</v>
      </c>
    </row>
    <row r="593" spans="1:7" x14ac:dyDescent="0.2">
      <c r="A593" s="27" t="s">
        <v>2666</v>
      </c>
      <c r="B593" s="34" t="s">
        <v>2078</v>
      </c>
      <c r="C593" s="34" t="s">
        <v>518</v>
      </c>
      <c r="D593" s="34" t="s">
        <v>2667</v>
      </c>
      <c r="E593" s="35" t="s">
        <v>305</v>
      </c>
      <c r="F593" t="str" cm="1">
        <f t="array" ref="F593">IFERROR(_xlfn.XLOOKUP(E593,MapeoCargos!$A:$A,MapeoCargos!$B:$B,E593),E593)</f>
        <v>LIMPIEZA / MANTENIMIENTO</v>
      </c>
      <c r="G593" s="45">
        <v>45677</v>
      </c>
    </row>
    <row r="594" spans="1:7" x14ac:dyDescent="0.2">
      <c r="A594" s="27" t="s">
        <v>519</v>
      </c>
      <c r="B594" s="34" t="s">
        <v>189</v>
      </c>
      <c r="C594" s="34" t="s">
        <v>195</v>
      </c>
      <c r="D594" s="34" t="s">
        <v>520</v>
      </c>
      <c r="E594" s="35" t="s">
        <v>386</v>
      </c>
      <c r="F594" t="str" cm="1">
        <f t="array" ref="F594">IFERROR(_xlfn.XLOOKUP(E594,MapeoCargos!$A:$A,MapeoCargos!$B:$B,E594),E594)</f>
        <v>PREVENCIONISTA DE RIESGOS</v>
      </c>
      <c r="G594" s="45">
        <v>45677</v>
      </c>
    </row>
    <row r="595" spans="1:7" x14ac:dyDescent="0.2">
      <c r="A595" s="27" t="s">
        <v>2668</v>
      </c>
      <c r="B595" s="34" t="s">
        <v>2078</v>
      </c>
      <c r="C595" s="34" t="s">
        <v>5</v>
      </c>
      <c r="D595" s="34" t="s">
        <v>2669</v>
      </c>
      <c r="E595" s="35" t="s">
        <v>200</v>
      </c>
      <c r="F595" t="str" cm="1">
        <f t="array" ref="F595">IFERROR(_xlfn.XLOOKUP(E595,MapeoCargos!$A:$A,MapeoCargos!$B:$B,E595),E595)</f>
        <v>SEGURIDAD</v>
      </c>
      <c r="G595" s="45">
        <v>45673</v>
      </c>
    </row>
    <row r="596" spans="1:7" x14ac:dyDescent="0.2">
      <c r="A596" s="27" t="s">
        <v>3366</v>
      </c>
      <c r="B596" s="34" t="s">
        <v>3037</v>
      </c>
      <c r="C596" s="34" t="s">
        <v>626</v>
      </c>
      <c r="D596" s="34" t="s">
        <v>3367</v>
      </c>
      <c r="E596" s="35" t="s">
        <v>83</v>
      </c>
      <c r="F596" t="str" cm="1">
        <f t="array" ref="F596">IFERROR(_xlfn.XLOOKUP(E596,MapeoCargos!$A:$A,MapeoCargos!$B:$B,E596),E596)</f>
        <v>PRODUCCIÓN / COCINA</v>
      </c>
      <c r="G596" s="45">
        <v>45677</v>
      </c>
    </row>
    <row r="597" spans="1:7" x14ac:dyDescent="0.2">
      <c r="A597" s="27" t="s">
        <v>2671</v>
      </c>
      <c r="B597" s="34" t="s">
        <v>2078</v>
      </c>
      <c r="C597" s="34" t="s">
        <v>626</v>
      </c>
      <c r="D597" s="34" t="s">
        <v>2672</v>
      </c>
      <c r="E597" s="35" t="s">
        <v>305</v>
      </c>
      <c r="F597" t="str" cm="1">
        <f t="array" ref="F597">IFERROR(_xlfn.XLOOKUP(E597,MapeoCargos!$A:$A,MapeoCargos!$B:$B,E597),E597)</f>
        <v>LIMPIEZA / MANTENIMIENTO</v>
      </c>
      <c r="G597" s="45">
        <v>45677</v>
      </c>
    </row>
    <row r="598" spans="1:7" x14ac:dyDescent="0.2">
      <c r="A598" s="27" t="s">
        <v>2673</v>
      </c>
      <c r="B598" s="34" t="s">
        <v>2078</v>
      </c>
      <c r="C598" s="34" t="s">
        <v>518</v>
      </c>
      <c r="D598" s="34" t="s">
        <v>2674</v>
      </c>
      <c r="E598" s="35" t="s">
        <v>126</v>
      </c>
      <c r="F598" t="str" cm="1">
        <f t="array" ref="F598">IFERROR(_xlfn.XLOOKUP(E598,MapeoCargos!$A:$A,MapeoCargos!$B:$B,E598),E598)</f>
        <v>MOTORIZADO</v>
      </c>
      <c r="G598" s="45">
        <v>45684</v>
      </c>
    </row>
    <row r="599" spans="1:7" x14ac:dyDescent="0.2">
      <c r="A599" s="27" t="s">
        <v>2675</v>
      </c>
      <c r="B599" s="34" t="s">
        <v>2078</v>
      </c>
      <c r="C599" s="34" t="s">
        <v>2114</v>
      </c>
      <c r="D599" s="34" t="s">
        <v>2676</v>
      </c>
      <c r="E599" s="35" t="s">
        <v>479</v>
      </c>
      <c r="F599" t="str" cm="1">
        <f t="array" ref="F599">IFERROR(_xlfn.XLOOKUP(E599,MapeoCargos!$A:$A,MapeoCargos!$B:$B,E599),E599)</f>
        <v xml:space="preserve">AYUDANTE DE COCINA </v>
      </c>
      <c r="G599" s="45">
        <v>45684</v>
      </c>
    </row>
    <row r="600" spans="1:7" x14ac:dyDescent="0.2">
      <c r="A600" s="27" t="s">
        <v>2677</v>
      </c>
      <c r="B600" s="34" t="s">
        <v>2078</v>
      </c>
      <c r="C600" s="34" t="s">
        <v>2114</v>
      </c>
      <c r="D600" s="34" t="s">
        <v>2678</v>
      </c>
      <c r="E600" s="35" t="s">
        <v>360</v>
      </c>
      <c r="F600" t="str" cm="1">
        <f t="array" ref="F600">IFERROR(_xlfn.XLOOKUP(E600,MapeoCargos!$A:$A,MapeoCargos!$B:$B,E600),E600)</f>
        <v>PRODUCCIÓN / COCINA</v>
      </c>
      <c r="G600" s="45">
        <v>45684</v>
      </c>
    </row>
    <row r="601" spans="1:7" x14ac:dyDescent="0.2">
      <c r="A601" s="27" t="s">
        <v>2679</v>
      </c>
      <c r="B601" s="34" t="s">
        <v>2078</v>
      </c>
      <c r="C601" s="34" t="s">
        <v>2</v>
      </c>
      <c r="D601" s="34" t="s">
        <v>2680</v>
      </c>
      <c r="E601" s="35" t="s">
        <v>365</v>
      </c>
      <c r="F601" t="str" cm="1">
        <f t="array" ref="F601">IFERROR(_xlfn.XLOOKUP(E601,MapeoCargos!$A:$A,MapeoCargos!$B:$B,E601),E601)</f>
        <v xml:space="preserve">BARTENDER </v>
      </c>
      <c r="G601" s="45">
        <v>45684</v>
      </c>
    </row>
    <row r="602" spans="1:7" x14ac:dyDescent="0.2">
      <c r="A602" s="27" t="s">
        <v>521</v>
      </c>
      <c r="B602" s="34" t="s">
        <v>189</v>
      </c>
      <c r="C602" s="34" t="s">
        <v>205</v>
      </c>
      <c r="D602" s="34" t="s">
        <v>522</v>
      </c>
      <c r="E602" s="35" t="s">
        <v>126</v>
      </c>
      <c r="F602" t="str" cm="1">
        <f t="array" ref="F602">IFERROR(_xlfn.XLOOKUP(E602,MapeoCargos!$A:$A,MapeoCargos!$B:$B,E602),E602)</f>
        <v>MOTORIZADO</v>
      </c>
      <c r="G602" s="45">
        <v>45684</v>
      </c>
    </row>
    <row r="603" spans="1:7" x14ac:dyDescent="0.2">
      <c r="A603" s="27" t="s">
        <v>2681</v>
      </c>
      <c r="B603" s="34" t="s">
        <v>2078</v>
      </c>
      <c r="C603" s="34" t="s">
        <v>518</v>
      </c>
      <c r="D603" s="34" t="s">
        <v>2682</v>
      </c>
      <c r="E603" s="35" t="s">
        <v>468</v>
      </c>
      <c r="F603" t="str" cm="1">
        <f t="array" ref="F603">IFERROR(_xlfn.XLOOKUP(E603,MapeoCargos!$A:$A,MapeoCargos!$B:$B,E603),E603)</f>
        <v xml:space="preserve">ANFITRIONAJE </v>
      </c>
      <c r="G603" s="45">
        <v>45689</v>
      </c>
    </row>
    <row r="604" spans="1:7" x14ac:dyDescent="0.2">
      <c r="A604" s="27" t="s">
        <v>2683</v>
      </c>
      <c r="B604" s="34" t="s">
        <v>2078</v>
      </c>
      <c r="C604" s="34" t="s">
        <v>2177</v>
      </c>
      <c r="D604" s="34" t="s">
        <v>2684</v>
      </c>
      <c r="E604" s="35" t="s">
        <v>551</v>
      </c>
      <c r="F604" t="str" cm="1">
        <f t="array" ref="F604">IFERROR(_xlfn.XLOOKUP(E604,MapeoCargos!$A:$A,MapeoCargos!$B:$B,E604),E604)</f>
        <v>MOZO</v>
      </c>
      <c r="G604" s="45">
        <v>45689</v>
      </c>
    </row>
    <row r="605" spans="1:7" x14ac:dyDescent="0.2">
      <c r="A605" s="27" t="s">
        <v>2685</v>
      </c>
      <c r="B605" s="34" t="s">
        <v>2078</v>
      </c>
      <c r="C605" s="34" t="s">
        <v>2082</v>
      </c>
      <c r="D605" s="34" t="s">
        <v>2686</v>
      </c>
      <c r="E605" s="35" t="s">
        <v>127</v>
      </c>
      <c r="F605" t="str" cm="1">
        <f t="array" ref="F605">IFERROR(_xlfn.XLOOKUP(E605,MapeoCargos!$A:$A,MapeoCargos!$B:$B,E605),E605)</f>
        <v>AZAFATA</v>
      </c>
      <c r="G605" s="45">
        <v>45691</v>
      </c>
    </row>
    <row r="606" spans="1:7" x14ac:dyDescent="0.2">
      <c r="A606" s="27" t="s">
        <v>523</v>
      </c>
      <c r="B606" s="34" t="s">
        <v>189</v>
      </c>
      <c r="C606" s="34" t="s">
        <v>205</v>
      </c>
      <c r="D606" s="34" t="s">
        <v>524</v>
      </c>
      <c r="E606" s="35" t="s">
        <v>83</v>
      </c>
      <c r="F606" t="str" cm="1">
        <f t="array" ref="F606">IFERROR(_xlfn.XLOOKUP(E606,MapeoCargos!$A:$A,MapeoCargos!$B:$B,E606),E606)</f>
        <v>PRODUCCIÓN / COCINA</v>
      </c>
      <c r="G606" s="45">
        <v>45691</v>
      </c>
    </row>
    <row r="607" spans="1:7" x14ac:dyDescent="0.2">
      <c r="A607" s="27" t="s">
        <v>2689</v>
      </c>
      <c r="B607" s="34" t="s">
        <v>2078</v>
      </c>
      <c r="C607" s="34" t="s">
        <v>2079</v>
      </c>
      <c r="D607" s="34" t="s">
        <v>2690</v>
      </c>
      <c r="E607" s="35" t="s">
        <v>2691</v>
      </c>
      <c r="F607" t="str" cm="1">
        <f t="array" ref="F607">IFERROR(_xlfn.XLOOKUP(E607,MapeoCargos!$A:$A,MapeoCargos!$B:$B,E607),E607)</f>
        <v>PRACTICANTE FINANZAS</v>
      </c>
      <c r="G607" s="45">
        <v>45691</v>
      </c>
    </row>
    <row r="608" spans="1:7" x14ac:dyDescent="0.2">
      <c r="A608" s="27" t="s">
        <v>2692</v>
      </c>
      <c r="B608" s="34" t="s">
        <v>2078</v>
      </c>
      <c r="C608" s="34" t="s">
        <v>2079</v>
      </c>
      <c r="D608" s="34" t="s">
        <v>2693</v>
      </c>
      <c r="E608" s="35" t="s">
        <v>30</v>
      </c>
      <c r="F608" t="str" cm="1">
        <f t="array" ref="F608">IFERROR(_xlfn.XLOOKUP(E608,MapeoCargos!$A:$A,MapeoCargos!$B:$B,E608),E608)</f>
        <v>STAFF ADMINISTRATIVO</v>
      </c>
      <c r="G608" s="45">
        <v>45809</v>
      </c>
    </row>
    <row r="609" spans="1:7" x14ac:dyDescent="0.2">
      <c r="A609" s="27" t="s">
        <v>3368</v>
      </c>
      <c r="B609" s="34" t="s">
        <v>3037</v>
      </c>
      <c r="C609" s="34" t="s">
        <v>626</v>
      </c>
      <c r="D609" s="34" t="s">
        <v>3369</v>
      </c>
      <c r="E609" s="35" t="s">
        <v>606</v>
      </c>
      <c r="F609" t="str" cm="1">
        <f t="array" ref="F609">IFERROR(_xlfn.XLOOKUP(E609,MapeoCargos!$A:$A,MapeoCargos!$B:$B,E609),E609)</f>
        <v>BAR</v>
      </c>
      <c r="G609" s="45">
        <v>45689</v>
      </c>
    </row>
    <row r="610" spans="1:7" x14ac:dyDescent="0.2">
      <c r="A610" s="27" t="s">
        <v>2694</v>
      </c>
      <c r="B610" s="34" t="s">
        <v>2078</v>
      </c>
      <c r="C610" s="34" t="s">
        <v>5</v>
      </c>
      <c r="D610" s="34" t="s">
        <v>2695</v>
      </c>
      <c r="E610" s="35" t="s">
        <v>126</v>
      </c>
      <c r="F610" t="str" cm="1">
        <f t="array" ref="F610">IFERROR(_xlfn.XLOOKUP(E610,MapeoCargos!$A:$A,MapeoCargos!$B:$B,E610),E610)</f>
        <v>MOTORIZADO</v>
      </c>
      <c r="G610" s="45">
        <v>45689</v>
      </c>
    </row>
    <row r="611" spans="1:7" x14ac:dyDescent="0.2">
      <c r="A611" s="27" t="s">
        <v>2696</v>
      </c>
      <c r="B611" s="34" t="s">
        <v>2078</v>
      </c>
      <c r="C611" s="34" t="s">
        <v>2079</v>
      </c>
      <c r="D611" s="34" t="s">
        <v>2697</v>
      </c>
      <c r="E611" s="35" t="s">
        <v>2698</v>
      </c>
      <c r="F611" t="str" cm="1">
        <f t="array" ref="F611">IFERROR(_xlfn.XLOOKUP(E611,MapeoCargos!$A:$A,MapeoCargos!$B:$B,E611),E611)</f>
        <v>AUXILIAR DE SOPORTE TECNICO</v>
      </c>
      <c r="G611" s="45">
        <v>45689</v>
      </c>
    </row>
    <row r="612" spans="1:7" x14ac:dyDescent="0.2">
      <c r="A612" s="27" t="s">
        <v>525</v>
      </c>
      <c r="B612" s="34" t="s">
        <v>189</v>
      </c>
      <c r="C612" s="34" t="s">
        <v>205</v>
      </c>
      <c r="D612" s="34" t="s">
        <v>526</v>
      </c>
      <c r="E612" s="35" t="s">
        <v>231</v>
      </c>
      <c r="F612" t="str" cm="1">
        <f t="array" ref="F612">IFERROR(_xlfn.XLOOKUP(E612,MapeoCargos!$A:$A,MapeoCargos!$B:$B,E612),E612)</f>
        <v xml:space="preserve">CAJA </v>
      </c>
      <c r="G612" s="45">
        <v>45698</v>
      </c>
    </row>
    <row r="613" spans="1:7" x14ac:dyDescent="0.2">
      <c r="A613" s="27" t="s">
        <v>527</v>
      </c>
      <c r="B613" s="34" t="s">
        <v>189</v>
      </c>
      <c r="C613" s="34" t="s">
        <v>21</v>
      </c>
      <c r="D613" s="34" t="s">
        <v>528</v>
      </c>
      <c r="E613" s="35" t="s">
        <v>529</v>
      </c>
      <c r="F613" t="str" cm="1">
        <f t="array" ref="F613">IFERROR(_xlfn.XLOOKUP(E613,MapeoCargos!$A:$A,MapeoCargos!$B:$B,E613),E613)</f>
        <v xml:space="preserve">MOTORIZADO </v>
      </c>
      <c r="G613" s="45">
        <v>45698</v>
      </c>
    </row>
    <row r="614" spans="1:7" x14ac:dyDescent="0.2">
      <c r="A614" s="27" t="s">
        <v>530</v>
      </c>
      <c r="B614" s="34" t="s">
        <v>189</v>
      </c>
      <c r="C614" s="34" t="s">
        <v>19</v>
      </c>
      <c r="D614" s="34" t="s">
        <v>531</v>
      </c>
      <c r="E614" s="35" t="s">
        <v>29</v>
      </c>
      <c r="F614" t="str" cm="1">
        <f t="array" ref="F614">IFERROR(_xlfn.XLOOKUP(E614,MapeoCargos!$A:$A,MapeoCargos!$B:$B,E614),E614)</f>
        <v>MOZO</v>
      </c>
      <c r="G614" s="45">
        <v>45698</v>
      </c>
    </row>
    <row r="615" spans="1:7" x14ac:dyDescent="0.2">
      <c r="A615" s="27" t="s">
        <v>532</v>
      </c>
      <c r="B615" s="34" t="s">
        <v>189</v>
      </c>
      <c r="C615" s="34" t="s">
        <v>17</v>
      </c>
      <c r="D615" s="34" t="s">
        <v>533</v>
      </c>
      <c r="E615" s="35" t="s">
        <v>127</v>
      </c>
      <c r="F615" t="str" cm="1">
        <f t="array" ref="F615">IFERROR(_xlfn.XLOOKUP(E615,MapeoCargos!$A:$A,MapeoCargos!$B:$B,E615),E615)</f>
        <v>AZAFATA</v>
      </c>
      <c r="G615" s="45">
        <v>45698</v>
      </c>
    </row>
    <row r="616" spans="1:7" x14ac:dyDescent="0.2">
      <c r="A616" s="27" t="s">
        <v>534</v>
      </c>
      <c r="B616" s="34" t="s">
        <v>189</v>
      </c>
      <c r="C616" s="34" t="s">
        <v>17</v>
      </c>
      <c r="D616" s="34" t="s">
        <v>535</v>
      </c>
      <c r="E616" s="35" t="s">
        <v>127</v>
      </c>
      <c r="F616" t="str" cm="1">
        <f t="array" ref="F616">IFERROR(_xlfn.XLOOKUP(E616,MapeoCargos!$A:$A,MapeoCargos!$B:$B,E616),E616)</f>
        <v>AZAFATA</v>
      </c>
      <c r="G616" s="45">
        <v>45698</v>
      </c>
    </row>
    <row r="617" spans="1:7" x14ac:dyDescent="0.2">
      <c r="A617" s="27" t="s">
        <v>2699</v>
      </c>
      <c r="B617" s="34" t="s">
        <v>2078</v>
      </c>
      <c r="C617" s="34" t="s">
        <v>2082</v>
      </c>
      <c r="D617" s="34" t="s">
        <v>2700</v>
      </c>
      <c r="E617" s="35" t="s">
        <v>83</v>
      </c>
      <c r="F617" t="str" cm="1">
        <f t="array" ref="F617">IFERROR(_xlfn.XLOOKUP(E617,MapeoCargos!$A:$A,MapeoCargos!$B:$B,E617),E617)</f>
        <v>PRODUCCIÓN / COCINA</v>
      </c>
      <c r="G617" s="45">
        <v>45698</v>
      </c>
    </row>
    <row r="618" spans="1:7" x14ac:dyDescent="0.2">
      <c r="A618" s="27" t="s">
        <v>2701</v>
      </c>
      <c r="B618" s="34" t="s">
        <v>2078</v>
      </c>
      <c r="C618" s="34" t="s">
        <v>2114</v>
      </c>
      <c r="D618" s="34" t="s">
        <v>2702</v>
      </c>
      <c r="E618" s="35" t="s">
        <v>468</v>
      </c>
      <c r="F618" t="str" cm="1">
        <f t="array" ref="F618">IFERROR(_xlfn.XLOOKUP(E618,MapeoCargos!$A:$A,MapeoCargos!$B:$B,E618),E618)</f>
        <v xml:space="preserve">ANFITRIONAJE </v>
      </c>
      <c r="G618" s="45">
        <v>45698</v>
      </c>
    </row>
    <row r="619" spans="1:7" x14ac:dyDescent="0.2">
      <c r="A619" s="27" t="s">
        <v>2703</v>
      </c>
      <c r="B619" s="34" t="s">
        <v>2078</v>
      </c>
      <c r="C619" s="34" t="s">
        <v>23</v>
      </c>
      <c r="D619" s="34" t="s">
        <v>2704</v>
      </c>
      <c r="E619" s="35" t="s">
        <v>30</v>
      </c>
      <c r="F619" t="str" cm="1">
        <f t="array" ref="F619">IFERROR(_xlfn.XLOOKUP(E619,MapeoCargos!$A:$A,MapeoCargos!$B:$B,E619),E619)</f>
        <v>STAFF ADMINISTRATIVO</v>
      </c>
      <c r="G619" s="45">
        <v>45698</v>
      </c>
    </row>
    <row r="620" spans="1:7" x14ac:dyDescent="0.2">
      <c r="A620" s="27" t="s">
        <v>3370</v>
      </c>
      <c r="B620" s="34" t="s">
        <v>3037</v>
      </c>
      <c r="C620" s="34" t="s">
        <v>14</v>
      </c>
      <c r="D620" s="34" t="s">
        <v>3371</v>
      </c>
      <c r="E620" s="35" t="s">
        <v>583</v>
      </c>
      <c r="F620" t="str" cm="1">
        <f t="array" ref="F620">IFERROR(_xlfn.XLOOKUP(E620,MapeoCargos!$A:$A,MapeoCargos!$B:$B,E620),E620)</f>
        <v>BAR</v>
      </c>
      <c r="G620" s="45">
        <v>45698</v>
      </c>
    </row>
    <row r="621" spans="1:7" x14ac:dyDescent="0.2">
      <c r="A621" s="27" t="s">
        <v>536</v>
      </c>
      <c r="B621" s="34" t="s">
        <v>189</v>
      </c>
      <c r="C621" s="34" t="s">
        <v>21</v>
      </c>
      <c r="D621" s="34" t="s">
        <v>537</v>
      </c>
      <c r="E621" s="35" t="s">
        <v>365</v>
      </c>
      <c r="F621" t="str" cm="1">
        <f t="array" ref="F621">IFERROR(_xlfn.XLOOKUP(E621,MapeoCargos!$A:$A,MapeoCargos!$B:$B,E621),E621)</f>
        <v xml:space="preserve">BARTENDER </v>
      </c>
      <c r="G621" s="45">
        <v>45705</v>
      </c>
    </row>
    <row r="622" spans="1:7" x14ac:dyDescent="0.2">
      <c r="A622" s="27" t="s">
        <v>538</v>
      </c>
      <c r="B622" s="34" t="s">
        <v>189</v>
      </c>
      <c r="C622" s="34" t="s">
        <v>18</v>
      </c>
      <c r="D622" s="34" t="s">
        <v>539</v>
      </c>
      <c r="E622" s="35" t="s">
        <v>529</v>
      </c>
      <c r="F622" t="str" cm="1">
        <f t="array" ref="F622">IFERROR(_xlfn.XLOOKUP(E622,MapeoCargos!$A:$A,MapeoCargos!$B:$B,E622),E622)</f>
        <v xml:space="preserve">MOTORIZADO </v>
      </c>
      <c r="G622" s="45">
        <v>45705</v>
      </c>
    </row>
    <row r="623" spans="1:7" x14ac:dyDescent="0.2">
      <c r="A623" s="27" t="s">
        <v>3372</v>
      </c>
      <c r="B623" s="34" t="s">
        <v>3037</v>
      </c>
      <c r="C623" s="34" t="s">
        <v>2458</v>
      </c>
      <c r="D623" s="34" t="s">
        <v>3373</v>
      </c>
      <c r="E623" s="35" t="s">
        <v>127</v>
      </c>
      <c r="F623" t="str" cm="1">
        <f t="array" ref="F623">IFERROR(_xlfn.XLOOKUP(E623,MapeoCargos!$A:$A,MapeoCargos!$B:$B,E623),E623)</f>
        <v>AZAFATA</v>
      </c>
      <c r="G623" s="45">
        <v>45705</v>
      </c>
    </row>
    <row r="624" spans="1:7" x14ac:dyDescent="0.2">
      <c r="A624" s="27" t="s">
        <v>2705</v>
      </c>
      <c r="B624" s="34" t="s">
        <v>2078</v>
      </c>
      <c r="C624" s="34" t="s">
        <v>2114</v>
      </c>
      <c r="D624" s="34" t="s">
        <v>2706</v>
      </c>
      <c r="E624" s="35" t="s">
        <v>305</v>
      </c>
      <c r="F624" t="str" cm="1">
        <f t="array" ref="F624">IFERROR(_xlfn.XLOOKUP(E624,MapeoCargos!$A:$A,MapeoCargos!$B:$B,E624),E624)</f>
        <v>LIMPIEZA / MANTENIMIENTO</v>
      </c>
      <c r="G624" s="45">
        <v>45705</v>
      </c>
    </row>
    <row r="625" spans="1:7" x14ac:dyDescent="0.2">
      <c r="A625" s="27" t="s">
        <v>2707</v>
      </c>
      <c r="B625" s="34" t="s">
        <v>2078</v>
      </c>
      <c r="C625" s="34" t="s">
        <v>4</v>
      </c>
      <c r="D625" s="34" t="s">
        <v>2708</v>
      </c>
      <c r="E625" s="35" t="s">
        <v>305</v>
      </c>
      <c r="F625" t="str" cm="1">
        <f t="array" ref="F625">IFERROR(_xlfn.XLOOKUP(E625,MapeoCargos!$A:$A,MapeoCargos!$B:$B,E625),E625)</f>
        <v>LIMPIEZA / MANTENIMIENTO</v>
      </c>
      <c r="G625" s="45">
        <v>45705</v>
      </c>
    </row>
    <row r="626" spans="1:7" x14ac:dyDescent="0.2">
      <c r="A626" s="27" t="s">
        <v>2709</v>
      </c>
      <c r="B626" s="34" t="s">
        <v>2078</v>
      </c>
      <c r="C626" s="34" t="s">
        <v>2082</v>
      </c>
      <c r="D626" s="34" t="s">
        <v>2710</v>
      </c>
      <c r="E626" s="35" t="s">
        <v>29</v>
      </c>
      <c r="F626" t="str" cm="1">
        <f t="array" ref="F626">IFERROR(_xlfn.XLOOKUP(E626,MapeoCargos!$A:$A,MapeoCargos!$B:$B,E626),E626)</f>
        <v>MOZO</v>
      </c>
      <c r="G626" s="45">
        <v>45705</v>
      </c>
    </row>
    <row r="627" spans="1:7" x14ac:dyDescent="0.2">
      <c r="A627" s="27" t="s">
        <v>2711</v>
      </c>
      <c r="B627" s="34" t="s">
        <v>2078</v>
      </c>
      <c r="C627" s="34" t="s">
        <v>2211</v>
      </c>
      <c r="D627" s="34" t="s">
        <v>2712</v>
      </c>
      <c r="E627" s="35" t="s">
        <v>312</v>
      </c>
      <c r="F627" t="str" cm="1">
        <f t="array" ref="F627">IFERROR(_xlfn.XLOOKUP(E627,MapeoCargos!$A:$A,MapeoCargos!$B:$B,E627),E627)</f>
        <v>TELEOPERADOR (A) P/T</v>
      </c>
      <c r="G627" s="45">
        <v>45712</v>
      </c>
    </row>
    <row r="628" spans="1:7" x14ac:dyDescent="0.2">
      <c r="A628" s="27" t="s">
        <v>540</v>
      </c>
      <c r="B628" s="34" t="s">
        <v>189</v>
      </c>
      <c r="C628" s="34" t="s">
        <v>21</v>
      </c>
      <c r="D628" s="34" t="s">
        <v>541</v>
      </c>
      <c r="E628" s="35" t="s">
        <v>200</v>
      </c>
      <c r="F628" t="str" cm="1">
        <f t="array" ref="F628">IFERROR(_xlfn.XLOOKUP(E628,MapeoCargos!$A:$A,MapeoCargos!$B:$B,E628),E628)</f>
        <v>SEGURIDAD</v>
      </c>
      <c r="G628" s="45">
        <v>45709</v>
      </c>
    </row>
    <row r="629" spans="1:7" x14ac:dyDescent="0.2">
      <c r="A629" s="27" t="s">
        <v>542</v>
      </c>
      <c r="B629" s="34" t="s">
        <v>189</v>
      </c>
      <c r="C629" s="34" t="s">
        <v>19</v>
      </c>
      <c r="D629" s="34" t="s">
        <v>543</v>
      </c>
      <c r="E629" s="35" t="s">
        <v>544</v>
      </c>
      <c r="F629" t="str" cm="1">
        <f t="array" ref="F629">IFERROR(_xlfn.XLOOKUP(E629,MapeoCargos!$A:$A,MapeoCargos!$B:$B,E629),E629)</f>
        <v xml:space="preserve">AYUDANTE DE BAR </v>
      </c>
      <c r="G629" s="45">
        <v>45712</v>
      </c>
    </row>
    <row r="630" spans="1:7" x14ac:dyDescent="0.2">
      <c r="A630" s="27" t="s">
        <v>2713</v>
      </c>
      <c r="B630" s="34" t="s">
        <v>2078</v>
      </c>
      <c r="C630" s="34" t="s">
        <v>2079</v>
      </c>
      <c r="D630" s="34" t="s">
        <v>2714</v>
      </c>
      <c r="E630" s="35" t="s">
        <v>2104</v>
      </c>
      <c r="F630" t="str" cm="1">
        <f t="array" ref="F630">IFERROR(_xlfn.XLOOKUP(E630,MapeoCargos!$A:$A,MapeoCargos!$B:$B,E630),E630)</f>
        <v>AUDITORIA</v>
      </c>
      <c r="G630" s="45">
        <v>45712</v>
      </c>
    </row>
    <row r="631" spans="1:7" x14ac:dyDescent="0.2">
      <c r="A631" s="27" t="s">
        <v>2715</v>
      </c>
      <c r="B631" s="34" t="s">
        <v>2078</v>
      </c>
      <c r="C631" s="34" t="s">
        <v>2211</v>
      </c>
      <c r="D631" s="34" t="s">
        <v>2716</v>
      </c>
      <c r="E631" s="35" t="s">
        <v>312</v>
      </c>
      <c r="F631" t="str" cm="1">
        <f t="array" ref="F631">IFERROR(_xlfn.XLOOKUP(E631,MapeoCargos!$A:$A,MapeoCargos!$B:$B,E631),E631)</f>
        <v>TELEOPERADOR (A) P/T</v>
      </c>
      <c r="G631" s="45">
        <v>45712</v>
      </c>
    </row>
    <row r="632" spans="1:7" x14ac:dyDescent="0.2">
      <c r="A632" s="27" t="s">
        <v>3374</v>
      </c>
      <c r="B632" s="34" t="s">
        <v>3037</v>
      </c>
      <c r="C632" s="34" t="s">
        <v>16</v>
      </c>
      <c r="D632" s="34" t="s">
        <v>3375</v>
      </c>
      <c r="E632" s="35" t="s">
        <v>468</v>
      </c>
      <c r="F632" t="str" cm="1">
        <f t="array" ref="F632">IFERROR(_xlfn.XLOOKUP(E632,MapeoCargos!$A:$A,MapeoCargos!$B:$B,E632),E632)</f>
        <v xml:space="preserve">ANFITRIONAJE </v>
      </c>
      <c r="G632" s="45">
        <v>45712</v>
      </c>
    </row>
    <row r="633" spans="1:7" x14ac:dyDescent="0.2">
      <c r="A633" s="27" t="s">
        <v>3376</v>
      </c>
      <c r="B633" s="34" t="s">
        <v>3037</v>
      </c>
      <c r="C633" s="34" t="s">
        <v>2458</v>
      </c>
      <c r="D633" s="34" t="s">
        <v>3377</v>
      </c>
      <c r="E633" s="35" t="s">
        <v>529</v>
      </c>
      <c r="F633" t="str" cm="1">
        <f t="array" ref="F633">IFERROR(_xlfn.XLOOKUP(E633,MapeoCargos!$A:$A,MapeoCargos!$B:$B,E633),E633)</f>
        <v xml:space="preserve">MOTORIZADO </v>
      </c>
      <c r="G633" s="45">
        <v>45719</v>
      </c>
    </row>
    <row r="634" spans="1:7" x14ac:dyDescent="0.2">
      <c r="A634" s="27" t="s">
        <v>3378</v>
      </c>
      <c r="B634" s="34" t="s">
        <v>3037</v>
      </c>
      <c r="C634" s="34" t="s">
        <v>2458</v>
      </c>
      <c r="D634" s="34" t="s">
        <v>3379</v>
      </c>
      <c r="E634" s="35" t="s">
        <v>529</v>
      </c>
      <c r="F634" t="str" cm="1">
        <f t="array" ref="F634">IFERROR(_xlfn.XLOOKUP(E634,MapeoCargos!$A:$A,MapeoCargos!$B:$B,E634),E634)</f>
        <v xml:space="preserve">MOTORIZADO </v>
      </c>
      <c r="G634" s="45">
        <v>45719</v>
      </c>
    </row>
    <row r="635" spans="1:7" x14ac:dyDescent="0.2">
      <c r="A635" s="27" t="s">
        <v>2717</v>
      </c>
      <c r="B635" s="34" t="s">
        <v>2078</v>
      </c>
      <c r="C635" s="34" t="s">
        <v>2114</v>
      </c>
      <c r="D635" s="34" t="s">
        <v>2718</v>
      </c>
      <c r="E635" s="35" t="s">
        <v>365</v>
      </c>
      <c r="F635" t="str" cm="1">
        <f t="array" ref="F635">IFERROR(_xlfn.XLOOKUP(E635,MapeoCargos!$A:$A,MapeoCargos!$B:$B,E635),E635)</f>
        <v xml:space="preserve">BARTENDER </v>
      </c>
      <c r="G635" s="45">
        <v>45719</v>
      </c>
    </row>
    <row r="636" spans="1:7" x14ac:dyDescent="0.2">
      <c r="A636" s="27" t="s">
        <v>547</v>
      </c>
      <c r="B636" s="34" t="s">
        <v>189</v>
      </c>
      <c r="C636" s="34" t="s">
        <v>18</v>
      </c>
      <c r="D636" s="34" t="s">
        <v>548</v>
      </c>
      <c r="E636" s="35" t="s">
        <v>222</v>
      </c>
      <c r="F636" t="str" cm="1">
        <f t="array" ref="F636">IFERROR(_xlfn.XLOOKUP(E636,MapeoCargos!$A:$A,MapeoCargos!$B:$B,E636),E636)</f>
        <v>PRODUCCIÓN / COCINA</v>
      </c>
      <c r="G636" s="45">
        <v>45717</v>
      </c>
    </row>
    <row r="637" spans="1:7" x14ac:dyDescent="0.2">
      <c r="A637" s="27" t="s">
        <v>549</v>
      </c>
      <c r="B637" s="34" t="s">
        <v>189</v>
      </c>
      <c r="C637" s="34" t="s">
        <v>20</v>
      </c>
      <c r="D637" s="34" t="s">
        <v>550</v>
      </c>
      <c r="E637" s="35" t="s">
        <v>551</v>
      </c>
      <c r="F637" t="str" cm="1">
        <f t="array" ref="F637">IFERROR(_xlfn.XLOOKUP(E637,MapeoCargos!$A:$A,MapeoCargos!$B:$B,E637),E637)</f>
        <v>MOZO</v>
      </c>
      <c r="G637" s="45">
        <v>45717</v>
      </c>
    </row>
    <row r="638" spans="1:7" x14ac:dyDescent="0.2">
      <c r="A638" s="27" t="s">
        <v>2719</v>
      </c>
      <c r="B638" s="34" t="s">
        <v>2078</v>
      </c>
      <c r="C638" s="34" t="s">
        <v>8</v>
      </c>
      <c r="D638" s="34" t="s">
        <v>2720</v>
      </c>
      <c r="E638" s="35" t="s">
        <v>479</v>
      </c>
      <c r="F638" t="str" cm="1">
        <f t="array" ref="F638">IFERROR(_xlfn.XLOOKUP(E638,MapeoCargos!$A:$A,MapeoCargos!$B:$B,E638),E638)</f>
        <v xml:space="preserve">AYUDANTE DE COCINA </v>
      </c>
      <c r="G638" s="45">
        <v>45719</v>
      </c>
    </row>
    <row r="639" spans="1:7" x14ac:dyDescent="0.2">
      <c r="A639" s="27" t="s">
        <v>2721</v>
      </c>
      <c r="B639" s="34" t="s">
        <v>2078</v>
      </c>
      <c r="C639" s="34" t="s">
        <v>2114</v>
      </c>
      <c r="D639" s="34" t="s">
        <v>2722</v>
      </c>
      <c r="E639" s="35" t="s">
        <v>648</v>
      </c>
      <c r="F639" t="str" cm="1">
        <f t="array" ref="F639">IFERROR(_xlfn.XLOOKUP(E639,MapeoCargos!$A:$A,MapeoCargos!$B:$B,E639),E639)</f>
        <v>AZAFATA</v>
      </c>
      <c r="G639" s="45">
        <v>45809</v>
      </c>
    </row>
    <row r="640" spans="1:7" x14ac:dyDescent="0.2">
      <c r="A640" s="27" t="s">
        <v>2723</v>
      </c>
      <c r="B640" s="34" t="s">
        <v>2078</v>
      </c>
      <c r="C640" s="34" t="s">
        <v>3025</v>
      </c>
      <c r="D640" s="34" t="s">
        <v>2724</v>
      </c>
      <c r="E640" s="35" t="s">
        <v>127</v>
      </c>
      <c r="F640" t="str" cm="1">
        <f t="array" ref="F640">IFERROR(_xlfn.XLOOKUP(E640,MapeoCargos!$A:$A,MapeoCargos!$B:$B,E640),E640)</f>
        <v>AZAFATA</v>
      </c>
      <c r="G640" s="45">
        <v>45670</v>
      </c>
    </row>
    <row r="641" spans="1:7" x14ac:dyDescent="0.2">
      <c r="A641" s="27" t="s">
        <v>2725</v>
      </c>
      <c r="B641" s="34" t="s">
        <v>2078</v>
      </c>
      <c r="C641" s="34" t="s">
        <v>10</v>
      </c>
      <c r="D641" s="34" t="s">
        <v>2726</v>
      </c>
      <c r="E641" s="35" t="s">
        <v>222</v>
      </c>
      <c r="F641" t="str" cm="1">
        <f t="array" ref="F641">IFERROR(_xlfn.XLOOKUP(E641,MapeoCargos!$A:$A,MapeoCargos!$B:$B,E641),E641)</f>
        <v>PRODUCCIÓN / COCINA</v>
      </c>
      <c r="G641" s="45">
        <v>45691</v>
      </c>
    </row>
    <row r="642" spans="1:7" x14ac:dyDescent="0.2">
      <c r="A642" s="27" t="s">
        <v>2727</v>
      </c>
      <c r="B642" s="34" t="s">
        <v>2078</v>
      </c>
      <c r="C642" s="34" t="s">
        <v>2355</v>
      </c>
      <c r="D642" s="34" t="s">
        <v>2728</v>
      </c>
      <c r="E642" s="35" t="s">
        <v>127</v>
      </c>
      <c r="F642" t="str" cm="1">
        <f t="array" ref="F642">IFERROR(_xlfn.XLOOKUP(E642,MapeoCargos!$A:$A,MapeoCargos!$B:$B,E642),E642)</f>
        <v>AZAFATA</v>
      </c>
      <c r="G642" s="45">
        <v>45719</v>
      </c>
    </row>
    <row r="643" spans="1:7" x14ac:dyDescent="0.2">
      <c r="A643" s="27" t="s">
        <v>2729</v>
      </c>
      <c r="B643" s="34" t="s">
        <v>2078</v>
      </c>
      <c r="C643" s="34" t="s">
        <v>3025</v>
      </c>
      <c r="D643" s="34" t="s">
        <v>2730</v>
      </c>
      <c r="E643" s="35" t="s">
        <v>231</v>
      </c>
      <c r="F643" t="str" cm="1">
        <f t="array" ref="F643">IFERROR(_xlfn.XLOOKUP(E643,MapeoCargos!$A:$A,MapeoCargos!$B:$B,E643),E643)</f>
        <v xml:space="preserve">CAJA </v>
      </c>
      <c r="G643" s="45">
        <v>45719</v>
      </c>
    </row>
    <row r="644" spans="1:7" x14ac:dyDescent="0.2">
      <c r="A644" s="27" t="s">
        <v>3380</v>
      </c>
      <c r="B644" s="34" t="s">
        <v>3037</v>
      </c>
      <c r="C644" s="34" t="s">
        <v>16</v>
      </c>
      <c r="D644" s="34" t="s">
        <v>3381</v>
      </c>
      <c r="E644" s="35" t="s">
        <v>29</v>
      </c>
      <c r="F644" t="str" cm="1">
        <f t="array" ref="F644">IFERROR(_xlfn.XLOOKUP(E644,MapeoCargos!$A:$A,MapeoCargos!$B:$B,E644),E644)</f>
        <v>MOZO</v>
      </c>
      <c r="G644" s="45">
        <v>45726</v>
      </c>
    </row>
    <row r="645" spans="1:7" x14ac:dyDescent="0.2">
      <c r="A645" s="27" t="s">
        <v>3382</v>
      </c>
      <c r="B645" s="34" t="s">
        <v>3037</v>
      </c>
      <c r="C645" s="34" t="s">
        <v>16</v>
      </c>
      <c r="D645" s="34" t="s">
        <v>3383</v>
      </c>
      <c r="E645" s="35" t="s">
        <v>2613</v>
      </c>
      <c r="F645" t="str" cm="1">
        <f t="array" ref="F645">IFERROR(_xlfn.XLOOKUP(E645,MapeoCargos!$A:$A,MapeoCargos!$B:$B,E645),E645)</f>
        <v xml:space="preserve">PACKER </v>
      </c>
      <c r="G645" s="45">
        <v>45726</v>
      </c>
    </row>
    <row r="646" spans="1:7" x14ac:dyDescent="0.2">
      <c r="A646" s="27" t="s">
        <v>2731</v>
      </c>
      <c r="B646" s="34" t="s">
        <v>2078</v>
      </c>
      <c r="C646" s="34" t="s">
        <v>518</v>
      </c>
      <c r="D646" s="34" t="s">
        <v>2732</v>
      </c>
      <c r="E646" s="35" t="s">
        <v>29</v>
      </c>
      <c r="F646" t="str" cm="1">
        <f t="array" ref="F646">IFERROR(_xlfn.XLOOKUP(E646,MapeoCargos!$A:$A,MapeoCargos!$B:$B,E646),E646)</f>
        <v>MOZO</v>
      </c>
      <c r="G646" s="45">
        <v>45726</v>
      </c>
    </row>
    <row r="647" spans="1:7" x14ac:dyDescent="0.2">
      <c r="A647" s="27" t="s">
        <v>553</v>
      </c>
      <c r="B647" s="34" t="s">
        <v>189</v>
      </c>
      <c r="C647" s="34" t="s">
        <v>18</v>
      </c>
      <c r="D647" s="34" t="s">
        <v>554</v>
      </c>
      <c r="E647" s="35" t="s">
        <v>127</v>
      </c>
      <c r="F647" t="str" cm="1">
        <f t="array" ref="F647">IFERROR(_xlfn.XLOOKUP(E647,MapeoCargos!$A:$A,MapeoCargos!$B:$B,E647),E647)</f>
        <v>AZAFATA</v>
      </c>
      <c r="G647" s="45">
        <v>45726</v>
      </c>
    </row>
    <row r="648" spans="1:7" x14ac:dyDescent="0.2">
      <c r="A648" s="27" t="s">
        <v>555</v>
      </c>
      <c r="B648" s="34" t="s">
        <v>189</v>
      </c>
      <c r="C648" s="34" t="s">
        <v>17</v>
      </c>
      <c r="D648" s="34" t="s">
        <v>556</v>
      </c>
      <c r="E648" s="35" t="s">
        <v>127</v>
      </c>
      <c r="F648" t="str" cm="1">
        <f t="array" ref="F648">IFERROR(_xlfn.XLOOKUP(E648,MapeoCargos!$A:$A,MapeoCargos!$B:$B,E648),E648)</f>
        <v>AZAFATA</v>
      </c>
      <c r="G648" s="45">
        <v>45726</v>
      </c>
    </row>
    <row r="649" spans="1:7" x14ac:dyDescent="0.2">
      <c r="A649" s="27" t="s">
        <v>3384</v>
      </c>
      <c r="B649" s="34" t="s">
        <v>3037</v>
      </c>
      <c r="C649" s="34" t="s">
        <v>14</v>
      </c>
      <c r="D649" s="34" t="s">
        <v>3385</v>
      </c>
      <c r="E649" s="35" t="s">
        <v>29</v>
      </c>
      <c r="F649" t="str" cm="1">
        <f t="array" ref="F649">IFERROR(_xlfn.XLOOKUP(E649,MapeoCargos!$A:$A,MapeoCargos!$B:$B,E649),E649)</f>
        <v>MOZO</v>
      </c>
      <c r="G649" s="45">
        <v>45730</v>
      </c>
    </row>
    <row r="650" spans="1:7" x14ac:dyDescent="0.2">
      <c r="A650" s="27" t="s">
        <v>2733</v>
      </c>
      <c r="B650" s="34" t="s">
        <v>2078</v>
      </c>
      <c r="C650" s="34" t="s">
        <v>23</v>
      </c>
      <c r="D650" s="34" t="s">
        <v>2734</v>
      </c>
      <c r="E650" s="35" t="s">
        <v>110</v>
      </c>
      <c r="F650" t="str" cm="1">
        <f t="array" ref="F650">IFERROR(_xlfn.XLOOKUP(E650,MapeoCargos!$A:$A,MapeoCargos!$B:$B,E650),E650)</f>
        <v>COUNTER</v>
      </c>
      <c r="G650" s="45">
        <v>45733</v>
      </c>
    </row>
    <row r="651" spans="1:7" x14ac:dyDescent="0.2">
      <c r="A651" s="27" t="s">
        <v>2735</v>
      </c>
      <c r="B651" s="34" t="s">
        <v>2078</v>
      </c>
      <c r="C651" s="34" t="s">
        <v>17</v>
      </c>
      <c r="D651" s="34" t="s">
        <v>2736</v>
      </c>
      <c r="E651" s="35" t="s">
        <v>231</v>
      </c>
      <c r="F651" t="str" cm="1">
        <f t="array" ref="F651">IFERROR(_xlfn.XLOOKUP(E651,MapeoCargos!$A:$A,MapeoCargos!$B:$B,E651),E651)</f>
        <v xml:space="preserve">CAJA </v>
      </c>
      <c r="G651" s="45">
        <v>45733</v>
      </c>
    </row>
    <row r="652" spans="1:7" x14ac:dyDescent="0.2">
      <c r="A652" s="27" t="s">
        <v>557</v>
      </c>
      <c r="B652" s="34" t="s">
        <v>189</v>
      </c>
      <c r="C652" s="34" t="s">
        <v>17</v>
      </c>
      <c r="D652" s="34" t="s">
        <v>558</v>
      </c>
      <c r="E652" s="35" t="s">
        <v>551</v>
      </c>
      <c r="F652" t="str" cm="1">
        <f t="array" ref="F652">IFERROR(_xlfn.XLOOKUP(E652,MapeoCargos!$A:$A,MapeoCargos!$B:$B,E652),E652)</f>
        <v>MOZO</v>
      </c>
      <c r="G652" s="45">
        <v>45733</v>
      </c>
    </row>
    <row r="653" spans="1:7" x14ac:dyDescent="0.2">
      <c r="A653" s="27" t="s">
        <v>2737</v>
      </c>
      <c r="B653" s="34" t="s">
        <v>2078</v>
      </c>
      <c r="C653" s="34" t="s">
        <v>5</v>
      </c>
      <c r="D653" s="34" t="s">
        <v>2738</v>
      </c>
      <c r="E653" s="35" t="s">
        <v>29</v>
      </c>
      <c r="F653" t="str" cm="1">
        <f t="array" ref="F653">IFERROR(_xlfn.XLOOKUP(E653,MapeoCargos!$A:$A,MapeoCargos!$B:$B,E653),E653)</f>
        <v>MOZO</v>
      </c>
      <c r="G653" s="45">
        <v>45737</v>
      </c>
    </row>
    <row r="654" spans="1:7" x14ac:dyDescent="0.2">
      <c r="A654" s="27" t="s">
        <v>2739</v>
      </c>
      <c r="B654" s="34" t="s">
        <v>2078</v>
      </c>
      <c r="C654" s="34" t="s">
        <v>5</v>
      </c>
      <c r="D654" s="34" t="s">
        <v>2740</v>
      </c>
      <c r="E654" s="35" t="s">
        <v>127</v>
      </c>
      <c r="F654" t="str" cm="1">
        <f t="array" ref="F654">IFERROR(_xlfn.XLOOKUP(E654,MapeoCargos!$A:$A,MapeoCargos!$B:$B,E654),E654)</f>
        <v>AZAFATA</v>
      </c>
      <c r="G654" s="45">
        <v>45737</v>
      </c>
    </row>
    <row r="655" spans="1:7" x14ac:dyDescent="0.2">
      <c r="A655" s="27" t="s">
        <v>2741</v>
      </c>
      <c r="B655" s="34" t="s">
        <v>2078</v>
      </c>
      <c r="C655" s="34" t="s">
        <v>4</v>
      </c>
      <c r="D655" s="34" t="s">
        <v>2742</v>
      </c>
      <c r="E655" s="35" t="s">
        <v>30</v>
      </c>
      <c r="F655" t="str" cm="1">
        <f t="array" ref="F655">IFERROR(_xlfn.XLOOKUP(E655,MapeoCargos!$A:$A,MapeoCargos!$B:$B,E655),E655)</f>
        <v>STAFF ADMINISTRATIVO</v>
      </c>
      <c r="G655" s="45">
        <v>45740</v>
      </c>
    </row>
    <row r="656" spans="1:7" x14ac:dyDescent="0.2">
      <c r="A656" s="27" t="s">
        <v>2743</v>
      </c>
      <c r="B656" s="34" t="s">
        <v>2078</v>
      </c>
      <c r="C656" s="34" t="s">
        <v>5</v>
      </c>
      <c r="D656" s="34" t="s">
        <v>2744</v>
      </c>
      <c r="E656" s="35" t="s">
        <v>83</v>
      </c>
      <c r="F656" t="str" cm="1">
        <f t="array" ref="F656">IFERROR(_xlfn.XLOOKUP(E656,MapeoCargos!$A:$A,MapeoCargos!$B:$B,E656),E656)</f>
        <v>PRODUCCIÓN / COCINA</v>
      </c>
      <c r="G656" s="45">
        <v>45740</v>
      </c>
    </row>
    <row r="657" spans="1:7" x14ac:dyDescent="0.2">
      <c r="A657" s="27" t="s">
        <v>3386</v>
      </c>
      <c r="B657" s="34" t="s">
        <v>3037</v>
      </c>
      <c r="C657" s="34" t="s">
        <v>16</v>
      </c>
      <c r="D657" s="34" t="s">
        <v>3387</v>
      </c>
      <c r="E657" s="35" t="s">
        <v>482</v>
      </c>
      <c r="F657" t="str" cm="1">
        <f t="array" ref="F657">IFERROR(_xlfn.XLOOKUP(E657,MapeoCargos!$A:$A,MapeoCargos!$B:$B,E657),E657)</f>
        <v>PRODUCCIÓN / COCINA</v>
      </c>
      <c r="G657" s="45">
        <v>45740</v>
      </c>
    </row>
    <row r="658" spans="1:7" x14ac:dyDescent="0.2">
      <c r="A658" s="27" t="s">
        <v>559</v>
      </c>
      <c r="B658" s="34" t="s">
        <v>189</v>
      </c>
      <c r="C658" s="34" t="s">
        <v>20</v>
      </c>
      <c r="D658" s="34" t="s">
        <v>560</v>
      </c>
      <c r="E658" s="35" t="s">
        <v>529</v>
      </c>
      <c r="F658" t="str" cm="1">
        <f t="array" ref="F658">IFERROR(_xlfn.XLOOKUP(E658,MapeoCargos!$A:$A,MapeoCargos!$B:$B,E658),E658)</f>
        <v xml:space="preserve">MOTORIZADO </v>
      </c>
      <c r="G658" s="45">
        <v>45740</v>
      </c>
    </row>
    <row r="659" spans="1:7" x14ac:dyDescent="0.2">
      <c r="A659" s="27" t="s">
        <v>2745</v>
      </c>
      <c r="B659" s="34" t="s">
        <v>2078</v>
      </c>
      <c r="C659" s="34" t="s">
        <v>5</v>
      </c>
      <c r="D659" s="34" t="s">
        <v>2746</v>
      </c>
      <c r="E659" s="35" t="s">
        <v>479</v>
      </c>
      <c r="F659" t="str" cm="1">
        <f t="array" ref="F659">IFERROR(_xlfn.XLOOKUP(E659,MapeoCargos!$A:$A,MapeoCargos!$B:$B,E659),E659)</f>
        <v xml:space="preserve">AYUDANTE DE COCINA </v>
      </c>
      <c r="G659" s="45">
        <v>45740</v>
      </c>
    </row>
    <row r="660" spans="1:7" x14ac:dyDescent="0.2">
      <c r="A660" s="27" t="s">
        <v>561</v>
      </c>
      <c r="B660" s="34" t="s">
        <v>189</v>
      </c>
      <c r="C660" s="34" t="s">
        <v>21</v>
      </c>
      <c r="D660" s="34" t="s">
        <v>562</v>
      </c>
      <c r="E660" s="35" t="s">
        <v>479</v>
      </c>
      <c r="F660" t="str" cm="1">
        <f t="array" ref="F660">IFERROR(_xlfn.XLOOKUP(E660,MapeoCargos!$A:$A,MapeoCargos!$B:$B,E660),E660)</f>
        <v xml:space="preserve">AYUDANTE DE COCINA </v>
      </c>
      <c r="G660" s="45">
        <v>45740</v>
      </c>
    </row>
    <row r="661" spans="1:7" x14ac:dyDescent="0.2">
      <c r="A661" s="27" t="s">
        <v>563</v>
      </c>
      <c r="B661" s="34" t="s">
        <v>189</v>
      </c>
      <c r="C661" s="34" t="s">
        <v>19</v>
      </c>
      <c r="D661" s="34" t="s">
        <v>564</v>
      </c>
      <c r="E661" s="35" t="s">
        <v>529</v>
      </c>
      <c r="F661" t="str" cm="1">
        <f t="array" ref="F661">IFERROR(_xlfn.XLOOKUP(E661,MapeoCargos!$A:$A,MapeoCargos!$B:$B,E661),E661)</f>
        <v xml:space="preserve">MOTORIZADO </v>
      </c>
      <c r="G661" s="45">
        <v>45740</v>
      </c>
    </row>
    <row r="662" spans="1:7" x14ac:dyDescent="0.2">
      <c r="A662" s="27" t="s">
        <v>2747</v>
      </c>
      <c r="B662" s="34" t="s">
        <v>2078</v>
      </c>
      <c r="C662" s="34" t="s">
        <v>5</v>
      </c>
      <c r="D662" s="34" t="s">
        <v>2748</v>
      </c>
      <c r="E662" s="35" t="s">
        <v>468</v>
      </c>
      <c r="F662" t="str" cm="1">
        <f t="array" ref="F662">IFERROR(_xlfn.XLOOKUP(E662,MapeoCargos!$A:$A,MapeoCargos!$B:$B,E662),E662)</f>
        <v xml:space="preserve">ANFITRIONAJE </v>
      </c>
      <c r="G662" s="45">
        <v>45740</v>
      </c>
    </row>
    <row r="663" spans="1:7" x14ac:dyDescent="0.2">
      <c r="A663" s="27" t="s">
        <v>4501</v>
      </c>
      <c r="B663" s="34" t="s">
        <v>2078</v>
      </c>
      <c r="C663" s="34" t="s">
        <v>2079</v>
      </c>
      <c r="D663" s="34" t="s">
        <v>2749</v>
      </c>
      <c r="E663" s="35" t="s">
        <v>2750</v>
      </c>
      <c r="F663" t="str" cm="1">
        <f t="array" ref="F663">IFERROR(_xlfn.XLOOKUP(E663,MapeoCargos!$A:$A,MapeoCargos!$B:$B,E663),E663)</f>
        <v>PRODUCCIÓN / COCINA</v>
      </c>
      <c r="G663" s="45">
        <v>45748</v>
      </c>
    </row>
    <row r="664" spans="1:7" x14ac:dyDescent="0.2">
      <c r="A664" s="27" t="s">
        <v>565</v>
      </c>
      <c r="B664" s="34" t="s">
        <v>189</v>
      </c>
      <c r="C664" s="34" t="s">
        <v>17</v>
      </c>
      <c r="D664" s="34" t="s">
        <v>566</v>
      </c>
      <c r="E664" s="35" t="s">
        <v>160</v>
      </c>
      <c r="F664" t="str" cm="1">
        <f t="array" ref="F664">IFERROR(_xlfn.XLOOKUP(E664,MapeoCargos!$A:$A,MapeoCargos!$B:$B,E664),E664)</f>
        <v>PACKER</v>
      </c>
      <c r="G664" s="45">
        <v>45748</v>
      </c>
    </row>
    <row r="665" spans="1:7" x14ac:dyDescent="0.2">
      <c r="A665" s="27" t="s">
        <v>2751</v>
      </c>
      <c r="B665" s="34" t="s">
        <v>2078</v>
      </c>
      <c r="C665" s="34" t="s">
        <v>8</v>
      </c>
      <c r="D665" s="34" t="s">
        <v>2752</v>
      </c>
      <c r="E665" s="35" t="s">
        <v>440</v>
      </c>
      <c r="F665" t="str" cm="1">
        <f t="array" ref="F665">IFERROR(_xlfn.XLOOKUP(E665,MapeoCargos!$A:$A,MapeoCargos!$B:$B,E665),E665)</f>
        <v xml:space="preserve">AUXILIAR DE LIMPIEZA </v>
      </c>
      <c r="G665" s="45">
        <v>45748</v>
      </c>
    </row>
    <row r="666" spans="1:7" x14ac:dyDescent="0.2">
      <c r="A666" s="27" t="s">
        <v>567</v>
      </c>
      <c r="B666" s="34" t="s">
        <v>189</v>
      </c>
      <c r="C666" s="34" t="s">
        <v>21</v>
      </c>
      <c r="D666" s="34" t="s">
        <v>568</v>
      </c>
      <c r="E666" s="35" t="s">
        <v>29</v>
      </c>
      <c r="F666" t="str" cm="1">
        <f t="array" ref="F666">IFERROR(_xlfn.XLOOKUP(E666,MapeoCargos!$A:$A,MapeoCargos!$B:$B,E666),E666)</f>
        <v>MOZO</v>
      </c>
      <c r="G666" s="45">
        <v>45748</v>
      </c>
    </row>
    <row r="667" spans="1:7" x14ac:dyDescent="0.2">
      <c r="A667" s="27" t="s">
        <v>2753</v>
      </c>
      <c r="B667" s="34" t="s">
        <v>2078</v>
      </c>
      <c r="C667" s="34" t="s">
        <v>10</v>
      </c>
      <c r="D667" s="34" t="s">
        <v>2754</v>
      </c>
      <c r="E667" s="35" t="s">
        <v>365</v>
      </c>
      <c r="F667" t="str" cm="1">
        <f t="array" ref="F667">IFERROR(_xlfn.XLOOKUP(E667,MapeoCargos!$A:$A,MapeoCargos!$B:$B,E667),E667)</f>
        <v xml:space="preserve">BARTENDER </v>
      </c>
      <c r="G667" s="45">
        <v>45748</v>
      </c>
    </row>
    <row r="668" spans="1:7" x14ac:dyDescent="0.2">
      <c r="A668" s="27" t="s">
        <v>3978</v>
      </c>
      <c r="B668" s="34" t="s">
        <v>2078</v>
      </c>
      <c r="C668" s="34" t="s">
        <v>2355</v>
      </c>
      <c r="D668" s="34" t="s">
        <v>2755</v>
      </c>
      <c r="E668" s="35" t="s">
        <v>30</v>
      </c>
      <c r="F668" t="str" cm="1">
        <f t="array" ref="F668">IFERROR(_xlfn.XLOOKUP(E668,MapeoCargos!$A:$A,MapeoCargos!$B:$B,E668),E668)</f>
        <v>STAFF ADMINISTRATIVO</v>
      </c>
      <c r="G668" s="45">
        <v>45748</v>
      </c>
    </row>
    <row r="669" spans="1:7" x14ac:dyDescent="0.2">
      <c r="A669" s="27" t="s">
        <v>2756</v>
      </c>
      <c r="B669" s="34" t="s">
        <v>2078</v>
      </c>
      <c r="C669" s="34" t="s">
        <v>2079</v>
      </c>
      <c r="D669" s="34" t="s">
        <v>2757</v>
      </c>
      <c r="E669" s="35" t="s">
        <v>2758</v>
      </c>
      <c r="F669" t="str" cm="1">
        <f t="array" ref="F669">IFERROR(_xlfn.XLOOKUP(E669,MapeoCargos!$A:$A,MapeoCargos!$B:$B,E669),E669)</f>
        <v xml:space="preserve">ASISTENTE DE OPERACIONES </v>
      </c>
      <c r="G669" s="45">
        <v>45748</v>
      </c>
    </row>
    <row r="670" spans="1:7" x14ac:dyDescent="0.2">
      <c r="A670" s="27" t="s">
        <v>569</v>
      </c>
      <c r="B670" s="34" t="s">
        <v>189</v>
      </c>
      <c r="C670" s="34" t="s">
        <v>17</v>
      </c>
      <c r="D670" s="34" t="s">
        <v>570</v>
      </c>
      <c r="E670" s="35" t="s">
        <v>222</v>
      </c>
      <c r="F670" t="str" cm="1">
        <f t="array" ref="F670">IFERROR(_xlfn.XLOOKUP(E670,MapeoCargos!$A:$A,MapeoCargos!$B:$B,E670),E670)</f>
        <v>PRODUCCIÓN / COCINA</v>
      </c>
      <c r="G670" s="45">
        <v>45748</v>
      </c>
    </row>
    <row r="671" spans="1:7" x14ac:dyDescent="0.2">
      <c r="A671" s="27" t="s">
        <v>3388</v>
      </c>
      <c r="B671" s="34" t="s">
        <v>3037</v>
      </c>
      <c r="C671" s="34" t="s">
        <v>626</v>
      </c>
      <c r="D671" s="34" t="s">
        <v>3389</v>
      </c>
      <c r="E671" s="35" t="s">
        <v>468</v>
      </c>
      <c r="F671" t="str" cm="1">
        <f t="array" ref="F671">IFERROR(_xlfn.XLOOKUP(E671,MapeoCargos!$A:$A,MapeoCargos!$B:$B,E671),E671)</f>
        <v xml:space="preserve">ANFITRIONAJE </v>
      </c>
      <c r="G671" s="45">
        <v>45748</v>
      </c>
    </row>
    <row r="672" spans="1:7" x14ac:dyDescent="0.2">
      <c r="A672" s="27" t="s">
        <v>2759</v>
      </c>
      <c r="B672" s="34" t="s">
        <v>2078</v>
      </c>
      <c r="C672" s="34" t="s">
        <v>2114</v>
      </c>
      <c r="D672" s="34" t="s">
        <v>2760</v>
      </c>
      <c r="E672" s="35" t="s">
        <v>365</v>
      </c>
      <c r="F672" t="str" cm="1">
        <f t="array" ref="F672">IFERROR(_xlfn.XLOOKUP(E672,MapeoCargos!$A:$A,MapeoCargos!$B:$B,E672),E672)</f>
        <v xml:space="preserve">BARTENDER </v>
      </c>
      <c r="G672" s="45">
        <v>45754</v>
      </c>
    </row>
    <row r="673" spans="1:7" x14ac:dyDescent="0.2">
      <c r="A673" s="27" t="s">
        <v>2761</v>
      </c>
      <c r="B673" s="34" t="s">
        <v>2078</v>
      </c>
      <c r="C673" s="34" t="s">
        <v>5</v>
      </c>
      <c r="D673" s="34" t="s">
        <v>2762</v>
      </c>
      <c r="E673" s="35" t="s">
        <v>29</v>
      </c>
      <c r="F673" t="str" cm="1">
        <f t="array" ref="F673">IFERROR(_xlfn.XLOOKUP(E673,MapeoCargos!$A:$A,MapeoCargos!$B:$B,E673),E673)</f>
        <v>MOZO</v>
      </c>
      <c r="G673" s="45">
        <v>45754</v>
      </c>
    </row>
    <row r="674" spans="1:7" x14ac:dyDescent="0.2">
      <c r="A674" s="27" t="s">
        <v>3390</v>
      </c>
      <c r="B674" s="34" t="s">
        <v>3037</v>
      </c>
      <c r="C674" s="34" t="s">
        <v>626</v>
      </c>
      <c r="D674" s="34" t="s">
        <v>3391</v>
      </c>
      <c r="E674" s="35" t="s">
        <v>606</v>
      </c>
      <c r="F674" t="str" cm="1">
        <f t="array" ref="F674">IFERROR(_xlfn.XLOOKUP(E674,MapeoCargos!$A:$A,MapeoCargos!$B:$B,E674),E674)</f>
        <v>BAR</v>
      </c>
      <c r="G674" s="45">
        <v>45757</v>
      </c>
    </row>
    <row r="675" spans="1:7" x14ac:dyDescent="0.2">
      <c r="A675" s="27" t="s">
        <v>2763</v>
      </c>
      <c r="B675" s="34" t="s">
        <v>2078</v>
      </c>
      <c r="C675" s="34" t="s">
        <v>2177</v>
      </c>
      <c r="D675" s="34" t="s">
        <v>2764</v>
      </c>
      <c r="E675" s="35" t="s">
        <v>165</v>
      </c>
      <c r="F675" t="str" cm="1">
        <f t="array" ref="F675">IFERROR(_xlfn.XLOOKUP(E675,MapeoCargos!$A:$A,MapeoCargos!$B:$B,E675),E675)</f>
        <v>PACKER</v>
      </c>
      <c r="G675" s="45">
        <v>45754</v>
      </c>
    </row>
    <row r="676" spans="1:7" x14ac:dyDescent="0.2">
      <c r="A676" s="27" t="s">
        <v>2765</v>
      </c>
      <c r="B676" s="34" t="s">
        <v>2078</v>
      </c>
      <c r="C676" s="34" t="s">
        <v>3025</v>
      </c>
      <c r="D676" s="34" t="s">
        <v>2766</v>
      </c>
      <c r="E676" s="35" t="s">
        <v>29</v>
      </c>
      <c r="F676" t="str" cm="1">
        <f t="array" ref="F676">IFERROR(_xlfn.XLOOKUP(E676,MapeoCargos!$A:$A,MapeoCargos!$B:$B,E676),E676)</f>
        <v>MOZO</v>
      </c>
      <c r="G676" s="45">
        <v>45719</v>
      </c>
    </row>
    <row r="677" spans="1:7" x14ac:dyDescent="0.2">
      <c r="A677" s="27" t="s">
        <v>2767</v>
      </c>
      <c r="B677" s="34" t="s">
        <v>2078</v>
      </c>
      <c r="C677" s="34" t="s">
        <v>2355</v>
      </c>
      <c r="D677" s="34" t="s">
        <v>2768</v>
      </c>
      <c r="E677" s="35" t="s">
        <v>29</v>
      </c>
      <c r="F677" t="str" cm="1">
        <f t="array" ref="F677">IFERROR(_xlfn.XLOOKUP(E677,MapeoCargos!$A:$A,MapeoCargos!$B:$B,E677),E677)</f>
        <v>MOZO</v>
      </c>
      <c r="G677" s="45">
        <v>45719</v>
      </c>
    </row>
    <row r="678" spans="1:7" x14ac:dyDescent="0.2">
      <c r="A678" s="27" t="s">
        <v>2769</v>
      </c>
      <c r="B678" s="34" t="s">
        <v>2078</v>
      </c>
      <c r="C678" s="34" t="s">
        <v>3025</v>
      </c>
      <c r="D678" s="34" t="s">
        <v>2770</v>
      </c>
      <c r="E678" s="35" t="s">
        <v>468</v>
      </c>
      <c r="F678" t="str" cm="1">
        <f t="array" ref="F678">IFERROR(_xlfn.XLOOKUP(E678,MapeoCargos!$A:$A,MapeoCargos!$B:$B,E678),E678)</f>
        <v xml:space="preserve">ANFITRIONAJE </v>
      </c>
      <c r="G678" s="45">
        <v>45726</v>
      </c>
    </row>
    <row r="679" spans="1:7" x14ac:dyDescent="0.2">
      <c r="A679" s="27" t="s">
        <v>2771</v>
      </c>
      <c r="B679" s="34" t="s">
        <v>2078</v>
      </c>
      <c r="C679" s="34" t="s">
        <v>25</v>
      </c>
      <c r="D679" s="34" t="s">
        <v>2772</v>
      </c>
      <c r="E679" s="35" t="s">
        <v>222</v>
      </c>
      <c r="F679" t="str" cm="1">
        <f t="array" ref="F679">IFERROR(_xlfn.XLOOKUP(E679,MapeoCargos!$A:$A,MapeoCargos!$B:$B,E679),E679)</f>
        <v>PRODUCCIÓN / COCINA</v>
      </c>
      <c r="G679" s="45">
        <v>45748</v>
      </c>
    </row>
    <row r="680" spans="1:7" x14ac:dyDescent="0.2">
      <c r="A680" s="27" t="s">
        <v>2773</v>
      </c>
      <c r="B680" s="34" t="s">
        <v>2078</v>
      </c>
      <c r="C680" s="34" t="s">
        <v>10</v>
      </c>
      <c r="D680" s="34" t="s">
        <v>2774</v>
      </c>
      <c r="E680" s="35" t="s">
        <v>30</v>
      </c>
      <c r="F680" t="str" cm="1">
        <f t="array" ref="F680">IFERROR(_xlfn.XLOOKUP(E680,MapeoCargos!$A:$A,MapeoCargos!$B:$B,E680),E680)</f>
        <v>STAFF ADMINISTRATIVO</v>
      </c>
      <c r="G680" s="45">
        <v>45754</v>
      </c>
    </row>
    <row r="681" spans="1:7" x14ac:dyDescent="0.2">
      <c r="A681" s="27" t="s">
        <v>2775</v>
      </c>
      <c r="B681" s="34" t="s">
        <v>2078</v>
      </c>
      <c r="C681" s="34" t="s">
        <v>4</v>
      </c>
      <c r="D681" s="34" t="s">
        <v>2776</v>
      </c>
      <c r="E681" s="35" t="s">
        <v>193</v>
      </c>
      <c r="F681" t="str" cm="1">
        <f t="array" ref="F681">IFERROR(_xlfn.XLOOKUP(E681,MapeoCargos!$A:$A,MapeoCargos!$B:$B,E681),E681)</f>
        <v>PRODUCCIÓN / COCINA</v>
      </c>
      <c r="G681" s="45">
        <v>45754</v>
      </c>
    </row>
    <row r="682" spans="1:7" x14ac:dyDescent="0.2">
      <c r="A682" s="27" t="s">
        <v>2777</v>
      </c>
      <c r="B682" s="34" t="s">
        <v>2078</v>
      </c>
      <c r="C682" s="34" t="s">
        <v>3025</v>
      </c>
      <c r="D682" s="34" t="s">
        <v>2778</v>
      </c>
      <c r="E682" s="35" t="s">
        <v>222</v>
      </c>
      <c r="F682" t="str" cm="1">
        <f t="array" ref="F682">IFERROR(_xlfn.XLOOKUP(E682,MapeoCargos!$A:$A,MapeoCargos!$B:$B,E682),E682)</f>
        <v>PRODUCCIÓN / COCINA</v>
      </c>
      <c r="G682" s="45">
        <v>45726</v>
      </c>
    </row>
    <row r="683" spans="1:7" x14ac:dyDescent="0.2">
      <c r="A683" s="27" t="s">
        <v>2779</v>
      </c>
      <c r="B683" s="34" t="s">
        <v>2078</v>
      </c>
      <c r="C683" s="34" t="s">
        <v>25</v>
      </c>
      <c r="D683" s="34" t="s">
        <v>2780</v>
      </c>
      <c r="E683" s="35" t="s">
        <v>222</v>
      </c>
      <c r="F683" t="str" cm="1">
        <f t="array" ref="F683">IFERROR(_xlfn.XLOOKUP(E683,MapeoCargos!$A:$A,MapeoCargos!$B:$B,E683),E683)</f>
        <v>PRODUCCIÓN / COCINA</v>
      </c>
      <c r="G683" s="45">
        <v>45754</v>
      </c>
    </row>
    <row r="684" spans="1:7" x14ac:dyDescent="0.2">
      <c r="A684" s="27" t="s">
        <v>2781</v>
      </c>
      <c r="B684" s="34" t="s">
        <v>2078</v>
      </c>
      <c r="C684" s="34" t="s">
        <v>3025</v>
      </c>
      <c r="D684" s="34" t="s">
        <v>2782</v>
      </c>
      <c r="E684" s="35" t="s">
        <v>127</v>
      </c>
      <c r="F684" t="str" cm="1">
        <f t="array" ref="F684">IFERROR(_xlfn.XLOOKUP(E684,MapeoCargos!$A:$A,MapeoCargos!$B:$B,E684),E684)</f>
        <v>AZAFATA</v>
      </c>
      <c r="G684" s="45">
        <v>45733</v>
      </c>
    </row>
    <row r="685" spans="1:7" x14ac:dyDescent="0.2">
      <c r="A685" s="27" t="s">
        <v>3392</v>
      </c>
      <c r="B685" s="34" t="s">
        <v>3037</v>
      </c>
      <c r="C685" s="34" t="s">
        <v>2458</v>
      </c>
      <c r="D685" s="34" t="s">
        <v>3393</v>
      </c>
      <c r="E685" s="35" t="s">
        <v>440</v>
      </c>
      <c r="F685" t="str" cm="1">
        <f t="array" ref="F685">IFERROR(_xlfn.XLOOKUP(E685,MapeoCargos!$A:$A,MapeoCargos!$B:$B,E685),E685)</f>
        <v xml:space="preserve">AUXILIAR DE LIMPIEZA </v>
      </c>
      <c r="G685" s="45">
        <v>45761</v>
      </c>
    </row>
    <row r="686" spans="1:7" x14ac:dyDescent="0.2">
      <c r="A686" s="27" t="s">
        <v>3394</v>
      </c>
      <c r="B686" s="34" t="s">
        <v>3037</v>
      </c>
      <c r="C686" s="34" t="s">
        <v>2670</v>
      </c>
      <c r="D686" s="34" t="s">
        <v>3395</v>
      </c>
      <c r="E686" s="35" t="s">
        <v>1837</v>
      </c>
      <c r="F686" t="str" cm="1">
        <f t="array" ref="F686">IFERROR(_xlfn.XLOOKUP(E686,MapeoCargos!$A:$A,MapeoCargos!$B:$B,E686),E686)</f>
        <v xml:space="preserve">AZAFATA </v>
      </c>
      <c r="G686" s="45">
        <v>45761</v>
      </c>
    </row>
    <row r="687" spans="1:7" x14ac:dyDescent="0.2">
      <c r="A687" s="27" t="s">
        <v>573</v>
      </c>
      <c r="B687" s="34" t="s">
        <v>189</v>
      </c>
      <c r="C687" s="34" t="s">
        <v>205</v>
      </c>
      <c r="D687" s="34" t="s">
        <v>574</v>
      </c>
      <c r="E687" s="35" t="s">
        <v>440</v>
      </c>
      <c r="F687" t="str" cm="1">
        <f t="array" ref="F687">IFERROR(_xlfn.XLOOKUP(E687,MapeoCargos!$A:$A,MapeoCargos!$B:$B,E687),E687)</f>
        <v xml:space="preserve">AUXILIAR DE LIMPIEZA </v>
      </c>
      <c r="G687" s="45">
        <v>45761</v>
      </c>
    </row>
    <row r="688" spans="1:7" x14ac:dyDescent="0.2">
      <c r="A688" s="27" t="s">
        <v>575</v>
      </c>
      <c r="B688" s="34" t="s">
        <v>189</v>
      </c>
      <c r="C688" s="34" t="s">
        <v>18</v>
      </c>
      <c r="D688" s="34" t="s">
        <v>576</v>
      </c>
      <c r="E688" s="35" t="s">
        <v>200</v>
      </c>
      <c r="F688" t="str" cm="1">
        <f t="array" ref="F688">IFERROR(_xlfn.XLOOKUP(E688,MapeoCargos!$A:$A,MapeoCargos!$B:$B,E688),E688)</f>
        <v>SEGURIDAD</v>
      </c>
      <c r="G688" s="45">
        <v>45761</v>
      </c>
    </row>
    <row r="689" spans="1:9" x14ac:dyDescent="0.2">
      <c r="A689" s="27" t="s">
        <v>2783</v>
      </c>
      <c r="B689" s="34" t="s">
        <v>2078</v>
      </c>
      <c r="C689" s="34" t="s">
        <v>4</v>
      </c>
      <c r="D689" s="34" t="s">
        <v>2784</v>
      </c>
      <c r="E689" s="35" t="s">
        <v>231</v>
      </c>
      <c r="F689" t="str" cm="1">
        <f t="array" ref="F689">IFERROR(_xlfn.XLOOKUP(E689,MapeoCargos!$A:$A,MapeoCargos!$B:$B,E689),E689)</f>
        <v xml:space="preserve">CAJA </v>
      </c>
      <c r="G689" s="45">
        <v>45763</v>
      </c>
    </row>
    <row r="690" spans="1:9" x14ac:dyDescent="0.2">
      <c r="A690" s="27" t="s">
        <v>2785</v>
      </c>
      <c r="B690" s="34" t="s">
        <v>2078</v>
      </c>
      <c r="C690" s="34" t="s">
        <v>5</v>
      </c>
      <c r="D690" s="34" t="s">
        <v>2786</v>
      </c>
      <c r="E690" s="35" t="s">
        <v>529</v>
      </c>
      <c r="F690" t="str" cm="1">
        <f t="array" ref="F690">IFERROR(_xlfn.XLOOKUP(E690,MapeoCargos!$A:$A,MapeoCargos!$B:$B,E690),E690)</f>
        <v xml:space="preserve">MOTORIZADO </v>
      </c>
      <c r="G690" s="45">
        <v>45763</v>
      </c>
    </row>
    <row r="691" spans="1:9" x14ac:dyDescent="0.2">
      <c r="A691" s="27" t="s">
        <v>2787</v>
      </c>
      <c r="B691" s="34" t="s">
        <v>2078</v>
      </c>
      <c r="C691" s="34" t="s">
        <v>2</v>
      </c>
      <c r="D691" s="34" t="s">
        <v>2788</v>
      </c>
      <c r="E691" s="35" t="s">
        <v>127</v>
      </c>
      <c r="F691" t="str" cm="1">
        <f t="array" ref="F691">IFERROR(_xlfn.XLOOKUP(E691,MapeoCargos!$A:$A,MapeoCargos!$B:$B,E691),E691)</f>
        <v>AZAFATA</v>
      </c>
      <c r="G691" s="45">
        <v>45768</v>
      </c>
    </row>
    <row r="692" spans="1:9" x14ac:dyDescent="0.2">
      <c r="A692" s="27" t="s">
        <v>2789</v>
      </c>
      <c r="B692" s="34" t="s">
        <v>2078</v>
      </c>
      <c r="C692" s="34" t="s">
        <v>25</v>
      </c>
      <c r="D692" s="34" t="s">
        <v>2790</v>
      </c>
      <c r="E692" s="35" t="s">
        <v>110</v>
      </c>
      <c r="F692" t="str" cm="1">
        <f t="array" ref="F692">IFERROR(_xlfn.XLOOKUP(E692,MapeoCargos!$A:$A,MapeoCargos!$B:$B,E692),E692)</f>
        <v>COUNTER</v>
      </c>
      <c r="G692" s="45">
        <v>45764</v>
      </c>
    </row>
    <row r="693" spans="1:9" x14ac:dyDescent="0.2">
      <c r="A693" s="27" t="s">
        <v>2791</v>
      </c>
      <c r="B693" s="34" t="s">
        <v>2078</v>
      </c>
      <c r="C693" s="34" t="s">
        <v>25</v>
      </c>
      <c r="D693" s="34" t="s">
        <v>2792</v>
      </c>
      <c r="E693" s="35" t="s">
        <v>1665</v>
      </c>
      <c r="F693" t="str" cm="1">
        <f t="array" ref="F693">IFERROR(_xlfn.XLOOKUP(E693,MapeoCargos!$A:$A,MapeoCargos!$B:$B,E693),E693)</f>
        <v>COUNTER</v>
      </c>
      <c r="G693" s="45">
        <v>45765</v>
      </c>
    </row>
    <row r="694" spans="1:9" x14ac:dyDescent="0.2">
      <c r="A694" s="27" t="s">
        <v>2793</v>
      </c>
      <c r="B694" s="34" t="s">
        <v>2078</v>
      </c>
      <c r="C694" s="34" t="s">
        <v>16</v>
      </c>
      <c r="D694" s="34" t="s">
        <v>2794</v>
      </c>
      <c r="E694" s="35" t="s">
        <v>360</v>
      </c>
      <c r="F694" t="str" cm="1">
        <f t="array" ref="F694">IFERROR(_xlfn.XLOOKUP(E694,MapeoCargos!$A:$A,MapeoCargos!$B:$B,E694),E694)</f>
        <v>PRODUCCIÓN / COCINA</v>
      </c>
      <c r="G694" s="45">
        <v>45772</v>
      </c>
      <c r="H694" s="18"/>
      <c r="I694" s="18"/>
    </row>
    <row r="695" spans="1:9" x14ac:dyDescent="0.2">
      <c r="A695" s="27" t="s">
        <v>577</v>
      </c>
      <c r="B695" s="34" t="s">
        <v>189</v>
      </c>
      <c r="C695" s="34" t="s">
        <v>21</v>
      </c>
      <c r="D695" s="34" t="s">
        <v>578</v>
      </c>
      <c r="E695" s="35" t="s">
        <v>160</v>
      </c>
      <c r="F695" t="str" cm="1">
        <f t="array" ref="F695">IFERROR(_xlfn.XLOOKUP(E695,MapeoCargos!$A:$A,MapeoCargos!$B:$B,E695),E695)</f>
        <v>PACKER</v>
      </c>
      <c r="G695" s="45">
        <v>45775</v>
      </c>
    </row>
    <row r="696" spans="1:9" x14ac:dyDescent="0.2">
      <c r="A696" s="27" t="s">
        <v>2795</v>
      </c>
      <c r="B696" s="34" t="s">
        <v>2078</v>
      </c>
      <c r="C696" s="34" t="s">
        <v>8</v>
      </c>
      <c r="D696" s="34" t="s">
        <v>2796</v>
      </c>
      <c r="E696" s="35" t="s">
        <v>126</v>
      </c>
      <c r="F696" t="str" cm="1">
        <f t="array" ref="F696">IFERROR(_xlfn.XLOOKUP(E696,MapeoCargos!$A:$A,MapeoCargos!$B:$B,E696),E696)</f>
        <v>MOTORIZADO</v>
      </c>
      <c r="G696" s="45">
        <v>45775</v>
      </c>
    </row>
    <row r="697" spans="1:9" x14ac:dyDescent="0.2">
      <c r="A697" s="27" t="s">
        <v>579</v>
      </c>
      <c r="B697" s="34" t="s">
        <v>189</v>
      </c>
      <c r="C697" s="34" t="s">
        <v>205</v>
      </c>
      <c r="D697" s="34" t="s">
        <v>580</v>
      </c>
      <c r="E697" s="35" t="s">
        <v>365</v>
      </c>
      <c r="F697" t="str" cm="1">
        <f t="array" ref="F697">IFERROR(_xlfn.XLOOKUP(E697,MapeoCargos!$A:$A,MapeoCargos!$B:$B,E697),E697)</f>
        <v xml:space="preserve">BARTENDER </v>
      </c>
      <c r="G697" s="45">
        <v>45775</v>
      </c>
    </row>
    <row r="698" spans="1:9" x14ac:dyDescent="0.2">
      <c r="A698" s="27" t="s">
        <v>2797</v>
      </c>
      <c r="B698" s="34" t="s">
        <v>2078</v>
      </c>
      <c r="C698" s="34" t="s">
        <v>2114</v>
      </c>
      <c r="D698" s="34" t="s">
        <v>2798</v>
      </c>
      <c r="E698" s="35" t="s">
        <v>29</v>
      </c>
      <c r="F698" t="str" cm="1">
        <f t="array" ref="F698">IFERROR(_xlfn.XLOOKUP(E698,MapeoCargos!$A:$A,MapeoCargos!$B:$B,E698),E698)</f>
        <v>MOZO</v>
      </c>
      <c r="G698" s="45">
        <v>45775</v>
      </c>
    </row>
    <row r="699" spans="1:9" x14ac:dyDescent="0.2">
      <c r="A699" s="27" t="s">
        <v>2799</v>
      </c>
      <c r="B699" s="34" t="s">
        <v>2078</v>
      </c>
      <c r="C699" s="34" t="s">
        <v>8</v>
      </c>
      <c r="D699" s="34" t="s">
        <v>2800</v>
      </c>
      <c r="E699" s="35" t="s">
        <v>126</v>
      </c>
      <c r="F699" t="str" cm="1">
        <f t="array" ref="F699">IFERROR(_xlfn.XLOOKUP(E699,MapeoCargos!$A:$A,MapeoCargos!$B:$B,E699),E699)</f>
        <v>MOTORIZADO</v>
      </c>
      <c r="G699" s="45">
        <v>45775</v>
      </c>
    </row>
    <row r="700" spans="1:9" x14ac:dyDescent="0.2">
      <c r="A700" s="27" t="s">
        <v>3396</v>
      </c>
      <c r="B700" s="34" t="s">
        <v>3037</v>
      </c>
      <c r="C700" s="34" t="s">
        <v>2458</v>
      </c>
      <c r="D700" s="34" t="s">
        <v>3397</v>
      </c>
      <c r="E700" s="35" t="s">
        <v>231</v>
      </c>
      <c r="F700" t="str" cm="1">
        <f t="array" ref="F700">IFERROR(_xlfn.XLOOKUP(E700,MapeoCargos!$A:$A,MapeoCargos!$B:$B,E700),E700)</f>
        <v xml:space="preserve">CAJA </v>
      </c>
      <c r="G700" s="45">
        <v>45775</v>
      </c>
    </row>
    <row r="701" spans="1:9" x14ac:dyDescent="0.2">
      <c r="A701" s="27" t="s">
        <v>2801</v>
      </c>
      <c r="B701" s="34" t="s">
        <v>2078</v>
      </c>
      <c r="C701" s="34" t="s">
        <v>518</v>
      </c>
      <c r="D701" s="34" t="s">
        <v>2802</v>
      </c>
      <c r="E701" s="35" t="s">
        <v>165</v>
      </c>
      <c r="F701" t="str" cm="1">
        <f t="array" ref="F701">IFERROR(_xlfn.XLOOKUP(E701,MapeoCargos!$A:$A,MapeoCargos!$B:$B,E701),E701)</f>
        <v>PACKER</v>
      </c>
      <c r="G701" s="45">
        <v>45778</v>
      </c>
    </row>
    <row r="702" spans="1:9" x14ac:dyDescent="0.2">
      <c r="A702" s="27" t="s">
        <v>581</v>
      </c>
      <c r="B702" s="34" t="s">
        <v>189</v>
      </c>
      <c r="C702" s="34" t="s">
        <v>20</v>
      </c>
      <c r="D702" s="34" t="s">
        <v>582</v>
      </c>
      <c r="E702" s="35" t="s">
        <v>583</v>
      </c>
      <c r="F702" t="str" cm="1">
        <f t="array" ref="F702">IFERROR(_xlfn.XLOOKUP(E702,MapeoCargos!$A:$A,MapeoCargos!$B:$B,E702),E702)</f>
        <v>BAR</v>
      </c>
      <c r="G702" s="45">
        <v>45778</v>
      </c>
    </row>
    <row r="703" spans="1:9" x14ac:dyDescent="0.2">
      <c r="A703" s="27" t="s">
        <v>2803</v>
      </c>
      <c r="B703" s="34" t="s">
        <v>2078</v>
      </c>
      <c r="C703" s="34" t="s">
        <v>2177</v>
      </c>
      <c r="D703" s="34" t="s">
        <v>2804</v>
      </c>
      <c r="E703" s="35" t="s">
        <v>160</v>
      </c>
      <c r="F703" t="str" cm="1">
        <f t="array" ref="F703">IFERROR(_xlfn.XLOOKUP(E703,MapeoCargos!$A:$A,MapeoCargos!$B:$B,E703),E703)</f>
        <v>PACKER</v>
      </c>
      <c r="G703" s="45">
        <v>45778</v>
      </c>
    </row>
    <row r="704" spans="1:9" x14ac:dyDescent="0.2">
      <c r="A704" s="27" t="s">
        <v>2805</v>
      </c>
      <c r="B704" s="34" t="s">
        <v>2078</v>
      </c>
      <c r="C704" s="34" t="s">
        <v>5</v>
      </c>
      <c r="D704" s="34" t="s">
        <v>2806</v>
      </c>
      <c r="E704" s="35" t="s">
        <v>365</v>
      </c>
      <c r="F704" t="str" cm="1">
        <f t="array" ref="F704">IFERROR(_xlfn.XLOOKUP(E704,MapeoCargos!$A:$A,MapeoCargos!$B:$B,E704),E704)</f>
        <v xml:space="preserve">BARTENDER </v>
      </c>
      <c r="G704" s="45">
        <v>45782</v>
      </c>
    </row>
    <row r="705" spans="1:7" x14ac:dyDescent="0.2">
      <c r="A705" s="27" t="s">
        <v>2807</v>
      </c>
      <c r="B705" s="34" t="s">
        <v>2078</v>
      </c>
      <c r="C705" s="34" t="s">
        <v>2079</v>
      </c>
      <c r="D705" s="34" t="s">
        <v>2808</v>
      </c>
      <c r="E705" s="35" t="s">
        <v>231</v>
      </c>
      <c r="F705" t="str" cm="1">
        <f t="array" ref="F705">IFERROR(_xlfn.XLOOKUP(E705,MapeoCargos!$A:$A,MapeoCargos!$B:$B,E705),E705)</f>
        <v xml:space="preserve">CAJA </v>
      </c>
      <c r="G705" s="45">
        <v>45782</v>
      </c>
    </row>
    <row r="706" spans="1:7" x14ac:dyDescent="0.2">
      <c r="A706" s="27" t="s">
        <v>3398</v>
      </c>
      <c r="B706" s="34" t="s">
        <v>3037</v>
      </c>
      <c r="C706" s="34" t="s">
        <v>2458</v>
      </c>
      <c r="D706" s="34" t="s">
        <v>3399</v>
      </c>
      <c r="E706" s="35" t="s">
        <v>231</v>
      </c>
      <c r="F706" t="str" cm="1">
        <f t="array" ref="F706">IFERROR(_xlfn.XLOOKUP(E706,MapeoCargos!$A:$A,MapeoCargos!$B:$B,E706),E706)</f>
        <v xml:space="preserve">CAJA </v>
      </c>
      <c r="G706" s="45">
        <v>45778</v>
      </c>
    </row>
    <row r="707" spans="1:7" x14ac:dyDescent="0.2">
      <c r="A707" s="27" t="s">
        <v>3400</v>
      </c>
      <c r="B707" s="34" t="s">
        <v>3037</v>
      </c>
      <c r="C707" s="34" t="s">
        <v>16</v>
      </c>
      <c r="D707" s="34" t="s">
        <v>3401</v>
      </c>
      <c r="E707" s="35" t="s">
        <v>29</v>
      </c>
      <c r="F707" t="str" cm="1">
        <f t="array" ref="F707">IFERROR(_xlfn.XLOOKUP(E707,MapeoCargos!$A:$A,MapeoCargos!$B:$B,E707),E707)</f>
        <v>MOZO</v>
      </c>
      <c r="G707" s="45">
        <v>45778</v>
      </c>
    </row>
    <row r="708" spans="1:7" x14ac:dyDescent="0.2">
      <c r="A708" s="27" t="s">
        <v>3402</v>
      </c>
      <c r="B708" s="34" t="s">
        <v>3037</v>
      </c>
      <c r="C708" s="34" t="s">
        <v>626</v>
      </c>
      <c r="D708" s="34" t="s">
        <v>3403</v>
      </c>
      <c r="E708" s="35" t="s">
        <v>193</v>
      </c>
      <c r="F708" t="str" cm="1">
        <f t="array" ref="F708">IFERROR(_xlfn.XLOOKUP(E708,MapeoCargos!$A:$A,MapeoCargos!$B:$B,E708),E708)</f>
        <v>PRODUCCIÓN / COCINA</v>
      </c>
      <c r="G708" s="45">
        <v>45778</v>
      </c>
    </row>
    <row r="709" spans="1:7" x14ac:dyDescent="0.2">
      <c r="A709" s="27" t="s">
        <v>2809</v>
      </c>
      <c r="B709" s="34" t="s">
        <v>2078</v>
      </c>
      <c r="C709" s="34" t="s">
        <v>2</v>
      </c>
      <c r="D709" s="34" t="s">
        <v>2810</v>
      </c>
      <c r="E709" s="35" t="s">
        <v>83</v>
      </c>
      <c r="F709" t="str" cm="1">
        <f t="array" ref="F709">IFERROR(_xlfn.XLOOKUP(E709,MapeoCargos!$A:$A,MapeoCargos!$B:$B,E709),E709)</f>
        <v>PRODUCCIÓN / COCINA</v>
      </c>
      <c r="G709" s="45">
        <v>45778</v>
      </c>
    </row>
    <row r="710" spans="1:7" x14ac:dyDescent="0.2">
      <c r="A710" s="27" t="s">
        <v>584</v>
      </c>
      <c r="B710" s="34" t="s">
        <v>189</v>
      </c>
      <c r="C710" s="34" t="s">
        <v>19</v>
      </c>
      <c r="D710" s="34" t="s">
        <v>585</v>
      </c>
      <c r="E710" s="35" t="s">
        <v>29</v>
      </c>
      <c r="F710" t="str" cm="1">
        <f t="array" ref="F710">IFERROR(_xlfn.XLOOKUP(E710,MapeoCargos!$A:$A,MapeoCargos!$B:$B,E710),E710)</f>
        <v>MOZO</v>
      </c>
      <c r="G710" s="45">
        <v>45785</v>
      </c>
    </row>
    <row r="711" spans="1:7" x14ac:dyDescent="0.2">
      <c r="A711" s="27" t="s">
        <v>2811</v>
      </c>
      <c r="B711" s="34" t="s">
        <v>2078</v>
      </c>
      <c r="C711" s="34" t="s">
        <v>2114</v>
      </c>
      <c r="D711" s="34" t="s">
        <v>2812</v>
      </c>
      <c r="E711" s="35" t="s">
        <v>127</v>
      </c>
      <c r="F711" t="str" cm="1">
        <f t="array" ref="F711">IFERROR(_xlfn.XLOOKUP(E711,MapeoCargos!$A:$A,MapeoCargos!$B:$B,E711),E711)</f>
        <v>AZAFATA</v>
      </c>
      <c r="G711" s="45">
        <v>45789</v>
      </c>
    </row>
    <row r="712" spans="1:7" x14ac:dyDescent="0.2">
      <c r="A712" s="27" t="s">
        <v>586</v>
      </c>
      <c r="B712" s="34" t="s">
        <v>189</v>
      </c>
      <c r="C712" s="34" t="s">
        <v>17</v>
      </c>
      <c r="D712" s="34" t="s">
        <v>587</v>
      </c>
      <c r="E712" s="35" t="s">
        <v>127</v>
      </c>
      <c r="F712" t="str" cm="1">
        <f t="array" ref="F712">IFERROR(_xlfn.XLOOKUP(E712,MapeoCargos!$A:$A,MapeoCargos!$B:$B,E712),E712)</f>
        <v>AZAFATA</v>
      </c>
      <c r="G712" s="45">
        <v>45796</v>
      </c>
    </row>
    <row r="713" spans="1:7" x14ac:dyDescent="0.2">
      <c r="A713" s="27" t="s">
        <v>588</v>
      </c>
      <c r="B713" s="34" t="s">
        <v>189</v>
      </c>
      <c r="C713" s="34" t="s">
        <v>205</v>
      </c>
      <c r="D713" s="34" t="s">
        <v>589</v>
      </c>
      <c r="E713" s="35" t="s">
        <v>29</v>
      </c>
      <c r="F713" t="str" cm="1">
        <f t="array" ref="F713">IFERROR(_xlfn.XLOOKUP(E713,MapeoCargos!$A:$A,MapeoCargos!$B:$B,E713),E713)</f>
        <v>MOZO</v>
      </c>
      <c r="G713" s="45">
        <v>45796</v>
      </c>
    </row>
    <row r="714" spans="1:7" x14ac:dyDescent="0.2">
      <c r="A714" s="27" t="s">
        <v>2813</v>
      </c>
      <c r="B714" s="34" t="s">
        <v>2078</v>
      </c>
      <c r="C714" s="34" t="s">
        <v>518</v>
      </c>
      <c r="D714" s="34" t="s">
        <v>2814</v>
      </c>
      <c r="E714" s="35" t="s">
        <v>360</v>
      </c>
      <c r="F714" t="str" cm="1">
        <f t="array" ref="F714">IFERROR(_xlfn.XLOOKUP(E714,MapeoCargos!$A:$A,MapeoCargos!$B:$B,E714),E714)</f>
        <v>PRODUCCIÓN / COCINA</v>
      </c>
      <c r="G714" s="45">
        <v>45796</v>
      </c>
    </row>
    <row r="715" spans="1:7" x14ac:dyDescent="0.2">
      <c r="A715" s="27" t="s">
        <v>2815</v>
      </c>
      <c r="B715" s="34" t="s">
        <v>2078</v>
      </c>
      <c r="C715" s="34" t="s">
        <v>2082</v>
      </c>
      <c r="D715" s="34" t="s">
        <v>2816</v>
      </c>
      <c r="E715" s="35" t="s">
        <v>231</v>
      </c>
      <c r="F715" t="str" cm="1">
        <f t="array" ref="F715">IFERROR(_xlfn.XLOOKUP(E715,MapeoCargos!$A:$A,MapeoCargos!$B:$B,E715),E715)</f>
        <v xml:space="preserve">CAJA </v>
      </c>
      <c r="G715" s="45">
        <v>45796</v>
      </c>
    </row>
    <row r="716" spans="1:7" x14ac:dyDescent="0.2">
      <c r="A716" s="27" t="s">
        <v>2817</v>
      </c>
      <c r="B716" s="34" t="s">
        <v>2078</v>
      </c>
      <c r="C716" s="34" t="s">
        <v>2177</v>
      </c>
      <c r="D716" s="34" t="s">
        <v>2818</v>
      </c>
      <c r="E716" s="35" t="s">
        <v>465</v>
      </c>
      <c r="F716" t="str" cm="1">
        <f t="array" ref="F716">IFERROR(_xlfn.XLOOKUP(E716,MapeoCargos!$A:$A,MapeoCargos!$B:$B,E716),E716)</f>
        <v>PRODUCCIÓN / COCINA</v>
      </c>
      <c r="G716" s="45">
        <v>45803</v>
      </c>
    </row>
    <row r="717" spans="1:7" x14ac:dyDescent="0.2">
      <c r="A717" s="27" t="s">
        <v>2819</v>
      </c>
      <c r="B717" s="34" t="s">
        <v>2078</v>
      </c>
      <c r="C717" s="34" t="s">
        <v>2079</v>
      </c>
      <c r="D717" s="34" t="s">
        <v>2820</v>
      </c>
      <c r="E717" s="35" t="s">
        <v>2104</v>
      </c>
      <c r="F717" t="str" cm="1">
        <f t="array" ref="F717">IFERROR(_xlfn.XLOOKUP(E717,MapeoCargos!$A:$A,MapeoCargos!$B:$B,E717),E717)</f>
        <v>AUDITORIA</v>
      </c>
      <c r="G717" s="45">
        <v>45803</v>
      </c>
    </row>
    <row r="718" spans="1:7" x14ac:dyDescent="0.2">
      <c r="A718" s="27" t="s">
        <v>3404</v>
      </c>
      <c r="B718" s="34" t="s">
        <v>3037</v>
      </c>
      <c r="C718" s="34" t="s">
        <v>2458</v>
      </c>
      <c r="D718" s="34" t="s">
        <v>3405</v>
      </c>
      <c r="E718" s="35" t="s">
        <v>29</v>
      </c>
      <c r="F718" t="str" cm="1">
        <f t="array" ref="F718">IFERROR(_xlfn.XLOOKUP(E718,MapeoCargos!$A:$A,MapeoCargos!$B:$B,E718),E718)</f>
        <v>MOZO</v>
      </c>
      <c r="G718" s="45">
        <v>45803</v>
      </c>
    </row>
    <row r="719" spans="1:7" x14ac:dyDescent="0.2">
      <c r="A719" s="27" t="s">
        <v>2821</v>
      </c>
      <c r="B719" s="34" t="s">
        <v>2078</v>
      </c>
      <c r="C719" s="34" t="s">
        <v>23</v>
      </c>
      <c r="D719" s="34" t="s">
        <v>2822</v>
      </c>
      <c r="E719" s="35" t="s">
        <v>110</v>
      </c>
      <c r="F719" t="str" cm="1">
        <f t="array" ref="F719">IFERROR(_xlfn.XLOOKUP(E719,MapeoCargos!$A:$A,MapeoCargos!$B:$B,E719),E719)</f>
        <v>COUNTER</v>
      </c>
      <c r="G719" s="45">
        <v>45803</v>
      </c>
    </row>
    <row r="720" spans="1:7" x14ac:dyDescent="0.2">
      <c r="A720" s="27" t="s">
        <v>2823</v>
      </c>
      <c r="B720" s="34" t="s">
        <v>2078</v>
      </c>
      <c r="C720" s="34" t="s">
        <v>2355</v>
      </c>
      <c r="D720" s="34" t="s">
        <v>2824</v>
      </c>
      <c r="E720" s="35" t="s">
        <v>231</v>
      </c>
      <c r="F720" t="str" cm="1">
        <f t="array" ref="F720">IFERROR(_xlfn.XLOOKUP(E720,MapeoCargos!$A:$A,MapeoCargos!$B:$B,E720),E720)</f>
        <v xml:space="preserve">CAJA </v>
      </c>
      <c r="G720" s="45">
        <v>45817</v>
      </c>
    </row>
    <row r="721" spans="1:7" x14ac:dyDescent="0.2">
      <c r="A721" s="27" t="s">
        <v>590</v>
      </c>
      <c r="B721" s="34" t="s">
        <v>189</v>
      </c>
      <c r="C721" s="34" t="s">
        <v>518</v>
      </c>
      <c r="D721" s="34" t="s">
        <v>591</v>
      </c>
      <c r="E721" s="35" t="s">
        <v>29</v>
      </c>
      <c r="F721" t="str" cm="1">
        <f t="array" ref="F721">IFERROR(_xlfn.XLOOKUP(E721,MapeoCargos!$A:$A,MapeoCargos!$B:$B,E721),E721)</f>
        <v>MOZO</v>
      </c>
      <c r="G721" s="45">
        <v>45817</v>
      </c>
    </row>
    <row r="722" spans="1:7" x14ac:dyDescent="0.2">
      <c r="A722" s="27" t="s">
        <v>2825</v>
      </c>
      <c r="B722" s="34" t="s">
        <v>2078</v>
      </c>
      <c r="C722" s="34" t="s">
        <v>10</v>
      </c>
      <c r="D722" s="34" t="s">
        <v>2826</v>
      </c>
      <c r="E722" s="35" t="s">
        <v>231</v>
      </c>
      <c r="F722" t="str" cm="1">
        <f t="array" ref="F722">IFERROR(_xlfn.XLOOKUP(E722,MapeoCargos!$A:$A,MapeoCargos!$B:$B,E722),E722)</f>
        <v xml:space="preserve">CAJA </v>
      </c>
      <c r="G722" s="45">
        <v>45817</v>
      </c>
    </row>
    <row r="723" spans="1:7" x14ac:dyDescent="0.2">
      <c r="A723" s="27" t="s">
        <v>3406</v>
      </c>
      <c r="B723" s="34" t="s">
        <v>3037</v>
      </c>
      <c r="C723" s="34" t="s">
        <v>14</v>
      </c>
      <c r="D723" s="34" t="s">
        <v>3407</v>
      </c>
      <c r="E723" s="35" t="s">
        <v>29</v>
      </c>
      <c r="F723" t="str" cm="1">
        <f t="array" ref="F723">IFERROR(_xlfn.XLOOKUP(E723,MapeoCargos!$A:$A,MapeoCargos!$B:$B,E723),E723)</f>
        <v>MOZO</v>
      </c>
      <c r="G723" s="45">
        <v>45817</v>
      </c>
    </row>
    <row r="724" spans="1:7" x14ac:dyDescent="0.2">
      <c r="A724" s="27" t="s">
        <v>2827</v>
      </c>
      <c r="B724" s="34" t="s">
        <v>2078</v>
      </c>
      <c r="C724" s="34" t="s">
        <v>3025</v>
      </c>
      <c r="D724" s="34" t="s">
        <v>2828</v>
      </c>
      <c r="E724" s="35" t="s">
        <v>2829</v>
      </c>
      <c r="F724" t="str" cm="1">
        <f t="array" ref="F724">IFERROR(_xlfn.XLOOKUP(E724,MapeoCargos!$A:$A,MapeoCargos!$B:$B,E724),E724)</f>
        <v xml:space="preserve">MOTORIZADO P/T </v>
      </c>
      <c r="G724" s="45">
        <v>45748</v>
      </c>
    </row>
    <row r="725" spans="1:7" x14ac:dyDescent="0.2">
      <c r="A725" s="27" t="s">
        <v>592</v>
      </c>
      <c r="B725" s="34" t="s">
        <v>189</v>
      </c>
      <c r="C725" s="34" t="s">
        <v>518</v>
      </c>
      <c r="D725" s="34" t="s">
        <v>593</v>
      </c>
      <c r="E725" s="35" t="s">
        <v>222</v>
      </c>
      <c r="F725" t="str" cm="1">
        <f t="array" ref="F725">IFERROR(_xlfn.XLOOKUP(E725,MapeoCargos!$A:$A,MapeoCargos!$B:$B,E725),E725)</f>
        <v>PRODUCCIÓN / COCINA</v>
      </c>
      <c r="G725" s="45">
        <v>45817</v>
      </c>
    </row>
    <row r="726" spans="1:7" x14ac:dyDescent="0.2">
      <c r="A726" s="27" t="s">
        <v>594</v>
      </c>
      <c r="B726" s="34" t="s">
        <v>189</v>
      </c>
      <c r="C726" s="34" t="s">
        <v>19</v>
      </c>
      <c r="D726" s="34" t="s">
        <v>595</v>
      </c>
      <c r="E726" s="35" t="s">
        <v>468</v>
      </c>
      <c r="F726" t="str" cm="1">
        <f t="array" ref="F726">IFERROR(_xlfn.XLOOKUP(E726,MapeoCargos!$A:$A,MapeoCargos!$B:$B,E726),E726)</f>
        <v xml:space="preserve">ANFITRIONAJE </v>
      </c>
      <c r="G726" s="45">
        <v>45817</v>
      </c>
    </row>
    <row r="727" spans="1:7" x14ac:dyDescent="0.2">
      <c r="A727" s="27" t="s">
        <v>3408</v>
      </c>
      <c r="B727" s="34" t="s">
        <v>3037</v>
      </c>
      <c r="C727" s="34" t="s">
        <v>2670</v>
      </c>
      <c r="D727" s="34" t="s">
        <v>3409</v>
      </c>
      <c r="E727" s="35" t="s">
        <v>160</v>
      </c>
      <c r="F727" t="str" cm="1">
        <f t="array" ref="F727">IFERROR(_xlfn.XLOOKUP(E727,MapeoCargos!$A:$A,MapeoCargos!$B:$B,E727),E727)</f>
        <v>PACKER</v>
      </c>
      <c r="G727" s="45">
        <v>45817</v>
      </c>
    </row>
    <row r="728" spans="1:7" x14ac:dyDescent="0.2">
      <c r="A728" s="27" t="s">
        <v>2830</v>
      </c>
      <c r="B728" s="34" t="s">
        <v>2078</v>
      </c>
      <c r="C728" s="34" t="s">
        <v>2177</v>
      </c>
      <c r="D728" s="34" t="s">
        <v>2831</v>
      </c>
      <c r="E728" s="35" t="s">
        <v>29</v>
      </c>
      <c r="F728" t="str" cm="1">
        <f t="array" ref="F728">IFERROR(_xlfn.XLOOKUP(E728,MapeoCargos!$A:$A,MapeoCargos!$B:$B,E728),E728)</f>
        <v>MOZO</v>
      </c>
      <c r="G728" s="45">
        <v>45817</v>
      </c>
    </row>
    <row r="729" spans="1:7" x14ac:dyDescent="0.2">
      <c r="A729" s="27" t="s">
        <v>596</v>
      </c>
      <c r="B729" s="34" t="s">
        <v>189</v>
      </c>
      <c r="C729" s="34" t="s">
        <v>17</v>
      </c>
      <c r="D729" s="34" t="s">
        <v>597</v>
      </c>
      <c r="E729" s="35" t="s">
        <v>365</v>
      </c>
      <c r="F729" t="str" cm="1">
        <f t="array" ref="F729">IFERROR(_xlfn.XLOOKUP(E729,MapeoCargos!$A:$A,MapeoCargos!$B:$B,E729),E729)</f>
        <v xml:space="preserve">BARTENDER </v>
      </c>
      <c r="G729" s="45">
        <v>45817</v>
      </c>
    </row>
    <row r="730" spans="1:7" x14ac:dyDescent="0.2">
      <c r="A730" s="27" t="s">
        <v>3410</v>
      </c>
      <c r="B730" s="34" t="s">
        <v>3037</v>
      </c>
      <c r="C730" s="34" t="s">
        <v>2458</v>
      </c>
      <c r="D730" s="34" t="s">
        <v>3411</v>
      </c>
      <c r="E730" s="35" t="s">
        <v>193</v>
      </c>
      <c r="F730" t="str" cm="1">
        <f t="array" ref="F730">IFERROR(_xlfn.XLOOKUP(E730,MapeoCargos!$A:$A,MapeoCargos!$B:$B,E730),E730)</f>
        <v>PRODUCCIÓN / COCINA</v>
      </c>
      <c r="G730" s="45">
        <v>45817</v>
      </c>
    </row>
    <row r="731" spans="1:7" x14ac:dyDescent="0.2">
      <c r="A731" s="27" t="s">
        <v>2832</v>
      </c>
      <c r="B731" s="34" t="s">
        <v>2078</v>
      </c>
      <c r="C731" s="34" t="s">
        <v>4</v>
      </c>
      <c r="D731" s="34" t="s">
        <v>2833</v>
      </c>
      <c r="E731" s="35" t="s">
        <v>83</v>
      </c>
      <c r="F731" t="str" cm="1">
        <f t="array" ref="F731">IFERROR(_xlfn.XLOOKUP(E731,MapeoCargos!$A:$A,MapeoCargos!$B:$B,E731),E731)</f>
        <v>PRODUCCIÓN / COCINA</v>
      </c>
      <c r="G731" s="45">
        <v>45817</v>
      </c>
    </row>
    <row r="732" spans="1:7" x14ac:dyDescent="0.2">
      <c r="A732" s="27" t="s">
        <v>2834</v>
      </c>
      <c r="B732" s="34" t="s">
        <v>2078</v>
      </c>
      <c r="C732" s="34" t="s">
        <v>518</v>
      </c>
      <c r="D732" s="34" t="s">
        <v>2835</v>
      </c>
      <c r="E732" s="35" t="s">
        <v>29</v>
      </c>
      <c r="F732" t="str" cm="1">
        <f t="array" ref="F732">IFERROR(_xlfn.XLOOKUP(E732,MapeoCargos!$A:$A,MapeoCargos!$B:$B,E732),E732)</f>
        <v>MOZO</v>
      </c>
      <c r="G732" s="45">
        <v>45821</v>
      </c>
    </row>
    <row r="733" spans="1:7" x14ac:dyDescent="0.2">
      <c r="A733" s="27" t="s">
        <v>2836</v>
      </c>
      <c r="B733" s="34" t="s">
        <v>2078</v>
      </c>
      <c r="C733" s="34" t="s">
        <v>3025</v>
      </c>
      <c r="D733" s="34" t="s">
        <v>2837</v>
      </c>
      <c r="E733" s="35" t="s">
        <v>29</v>
      </c>
      <c r="F733" t="str" cm="1">
        <f t="array" ref="F733">IFERROR(_xlfn.XLOOKUP(E733,MapeoCargos!$A:$A,MapeoCargos!$B:$B,E733),E733)</f>
        <v>MOZO</v>
      </c>
      <c r="G733" s="45">
        <v>45748</v>
      </c>
    </row>
    <row r="734" spans="1:7" x14ac:dyDescent="0.2">
      <c r="A734" s="27" t="s">
        <v>598</v>
      </c>
      <c r="B734" s="34" t="s">
        <v>189</v>
      </c>
      <c r="C734" s="34" t="s">
        <v>205</v>
      </c>
      <c r="D734" s="34" t="s">
        <v>599</v>
      </c>
      <c r="E734" s="35" t="s">
        <v>29</v>
      </c>
      <c r="F734" t="str" cm="1">
        <f t="array" ref="F734">IFERROR(_xlfn.XLOOKUP(E734,MapeoCargos!$A:$A,MapeoCargos!$B:$B,E734),E734)</f>
        <v>MOZO</v>
      </c>
      <c r="G734" s="45">
        <v>45822</v>
      </c>
    </row>
    <row r="735" spans="1:7" x14ac:dyDescent="0.2">
      <c r="A735" s="27" t="s">
        <v>2838</v>
      </c>
      <c r="B735" s="34" t="s">
        <v>2078</v>
      </c>
      <c r="C735" s="34" t="s">
        <v>2355</v>
      </c>
      <c r="D735" s="34" t="s">
        <v>2839</v>
      </c>
      <c r="E735" s="35" t="s">
        <v>127</v>
      </c>
      <c r="F735" t="str" cm="1">
        <f t="array" ref="F735">IFERROR(_xlfn.XLOOKUP(E735,MapeoCargos!$A:$A,MapeoCargos!$B:$B,E735),E735)</f>
        <v>AZAFATA</v>
      </c>
      <c r="G735" s="45">
        <v>45824</v>
      </c>
    </row>
    <row r="736" spans="1:7" x14ac:dyDescent="0.2">
      <c r="A736" s="27" t="s">
        <v>2840</v>
      </c>
      <c r="B736" s="34" t="s">
        <v>2078</v>
      </c>
      <c r="C736" s="34" t="s">
        <v>2114</v>
      </c>
      <c r="D736" s="34" t="s">
        <v>2841</v>
      </c>
      <c r="E736" s="35" t="s">
        <v>127</v>
      </c>
      <c r="F736" t="str" cm="1">
        <f t="array" ref="F736">IFERROR(_xlfn.XLOOKUP(E736,MapeoCargos!$A:$A,MapeoCargos!$B:$B,E736),E736)</f>
        <v>AZAFATA</v>
      </c>
      <c r="G736" s="45">
        <v>45824</v>
      </c>
    </row>
    <row r="737" spans="1:7" x14ac:dyDescent="0.2">
      <c r="A737" s="27" t="s">
        <v>2842</v>
      </c>
      <c r="B737" s="34" t="s">
        <v>2078</v>
      </c>
      <c r="C737" s="34" t="s">
        <v>518</v>
      </c>
      <c r="D737" s="34" t="s">
        <v>2843</v>
      </c>
      <c r="E737" s="35" t="s">
        <v>29</v>
      </c>
      <c r="F737" t="str" cm="1">
        <f t="array" ref="F737">IFERROR(_xlfn.XLOOKUP(E737,MapeoCargos!$A:$A,MapeoCargos!$B:$B,E737),E737)</f>
        <v>MOZO</v>
      </c>
      <c r="G737" s="45">
        <v>45824</v>
      </c>
    </row>
    <row r="738" spans="1:7" x14ac:dyDescent="0.2">
      <c r="A738" s="27" t="s">
        <v>2844</v>
      </c>
      <c r="B738" s="34" t="s">
        <v>2078</v>
      </c>
      <c r="C738" s="34" t="s">
        <v>3025</v>
      </c>
      <c r="D738" s="34" t="s">
        <v>2845</v>
      </c>
      <c r="E738" s="35" t="s">
        <v>83</v>
      </c>
      <c r="F738" t="str" cm="1">
        <f t="array" ref="F738">IFERROR(_xlfn.XLOOKUP(E738,MapeoCargos!$A:$A,MapeoCargos!$B:$B,E738),E738)</f>
        <v>PRODUCCIÓN / COCINA</v>
      </c>
      <c r="G738" s="45">
        <v>45750</v>
      </c>
    </row>
    <row r="739" spans="1:7" x14ac:dyDescent="0.2">
      <c r="A739" s="27" t="s">
        <v>3412</v>
      </c>
      <c r="B739" s="34" t="s">
        <v>3037</v>
      </c>
      <c r="C739" s="34" t="s">
        <v>626</v>
      </c>
      <c r="D739" s="34" t="s">
        <v>3413</v>
      </c>
      <c r="E739" s="35" t="s">
        <v>231</v>
      </c>
      <c r="F739" t="str" cm="1">
        <f t="array" ref="F739">IFERROR(_xlfn.XLOOKUP(E739,MapeoCargos!$A:$A,MapeoCargos!$B:$B,E739),E739)</f>
        <v xml:space="preserve">CAJA </v>
      </c>
      <c r="G739" s="45">
        <v>45824</v>
      </c>
    </row>
    <row r="740" spans="1:7" x14ac:dyDescent="0.2">
      <c r="A740" s="27" t="s">
        <v>2846</v>
      </c>
      <c r="B740" s="34" t="s">
        <v>2078</v>
      </c>
      <c r="C740" s="34" t="s">
        <v>2355</v>
      </c>
      <c r="D740" s="34" t="s">
        <v>4153</v>
      </c>
      <c r="E740" s="35" t="s">
        <v>83</v>
      </c>
      <c r="F740" t="str" cm="1">
        <f t="array" ref="F740">IFERROR(_xlfn.XLOOKUP(E740,MapeoCargos!$A:$A,MapeoCargos!$B:$B,E740),E740)</f>
        <v>PRODUCCIÓN / COCINA</v>
      </c>
      <c r="G740" s="45">
        <v>45831</v>
      </c>
    </row>
    <row r="741" spans="1:7" x14ac:dyDescent="0.2">
      <c r="A741" s="27" t="s">
        <v>2847</v>
      </c>
      <c r="B741" s="34" t="s">
        <v>2078</v>
      </c>
      <c r="C741" s="34" t="s">
        <v>2114</v>
      </c>
      <c r="D741" s="34" t="s">
        <v>2848</v>
      </c>
      <c r="E741" s="35" t="s">
        <v>222</v>
      </c>
      <c r="F741" t="str" cm="1">
        <f t="array" ref="F741">IFERROR(_xlfn.XLOOKUP(E741,MapeoCargos!$A:$A,MapeoCargos!$B:$B,E741),E741)</f>
        <v>PRODUCCIÓN / COCINA</v>
      </c>
      <c r="G741" s="45">
        <v>45831</v>
      </c>
    </row>
    <row r="742" spans="1:7" x14ac:dyDescent="0.2">
      <c r="A742" s="27" t="s">
        <v>600</v>
      </c>
      <c r="B742" s="34" t="s">
        <v>189</v>
      </c>
      <c r="C742" s="34" t="s">
        <v>19</v>
      </c>
      <c r="D742" s="34" t="s">
        <v>601</v>
      </c>
      <c r="E742" s="35" t="s">
        <v>127</v>
      </c>
      <c r="F742" t="str" cm="1">
        <f t="array" ref="F742">IFERROR(_xlfn.XLOOKUP(E742,MapeoCargos!$A:$A,MapeoCargos!$B:$B,E742),E742)</f>
        <v>AZAFATA</v>
      </c>
      <c r="G742" s="45">
        <v>45831</v>
      </c>
    </row>
    <row r="743" spans="1:7" x14ac:dyDescent="0.2">
      <c r="A743" s="27" t="s">
        <v>2849</v>
      </c>
      <c r="B743" s="34" t="s">
        <v>2078</v>
      </c>
      <c r="C743" s="34" t="s">
        <v>3025</v>
      </c>
      <c r="D743" s="34" t="s">
        <v>2850</v>
      </c>
      <c r="E743" s="35" t="s">
        <v>126</v>
      </c>
      <c r="F743" t="str" cm="1">
        <f t="array" ref="F743">IFERROR(_xlfn.XLOOKUP(E743,MapeoCargos!$A:$A,MapeoCargos!$B:$B,E743),E743)</f>
        <v>MOTORIZADO</v>
      </c>
      <c r="G743" s="45">
        <v>45754</v>
      </c>
    </row>
    <row r="744" spans="1:7" x14ac:dyDescent="0.2">
      <c r="A744" s="27" t="s">
        <v>2851</v>
      </c>
      <c r="B744" s="34" t="s">
        <v>2078</v>
      </c>
      <c r="C744" s="34" t="s">
        <v>3025</v>
      </c>
      <c r="D744" s="34" t="s">
        <v>2852</v>
      </c>
      <c r="E744" s="35" t="s">
        <v>193</v>
      </c>
      <c r="F744" t="str" cm="1">
        <f t="array" ref="F744">IFERROR(_xlfn.XLOOKUP(E744,MapeoCargos!$A:$A,MapeoCargos!$B:$B,E744),E744)</f>
        <v>PRODUCCIÓN / COCINA</v>
      </c>
      <c r="G744" s="45">
        <v>45754</v>
      </c>
    </row>
    <row r="745" spans="1:7" x14ac:dyDescent="0.2">
      <c r="A745" s="27" t="s">
        <v>3414</v>
      </c>
      <c r="B745" s="34" t="s">
        <v>3037</v>
      </c>
      <c r="C745" s="34" t="s">
        <v>2458</v>
      </c>
      <c r="D745" s="34" t="s">
        <v>3415</v>
      </c>
      <c r="E745" s="35" t="s">
        <v>29</v>
      </c>
      <c r="F745" t="str" cm="1">
        <f t="array" ref="F745">IFERROR(_xlfn.XLOOKUP(E745,MapeoCargos!$A:$A,MapeoCargos!$B:$B,E745),E745)</f>
        <v>MOZO</v>
      </c>
      <c r="G745" s="45">
        <v>45831</v>
      </c>
    </row>
    <row r="746" spans="1:7" x14ac:dyDescent="0.2">
      <c r="A746" s="27" t="s">
        <v>2853</v>
      </c>
      <c r="B746" s="34" t="s">
        <v>2078</v>
      </c>
      <c r="C746" s="34" t="s">
        <v>2114</v>
      </c>
      <c r="D746" s="34" t="s">
        <v>2854</v>
      </c>
      <c r="E746" s="35" t="s">
        <v>305</v>
      </c>
      <c r="F746" t="str" cm="1">
        <f t="array" ref="F746">IFERROR(_xlfn.XLOOKUP(E746,MapeoCargos!$A:$A,MapeoCargos!$B:$B,E746),E746)</f>
        <v>LIMPIEZA / MANTENIMIENTO</v>
      </c>
      <c r="G746" s="45">
        <v>45831</v>
      </c>
    </row>
    <row r="747" spans="1:7" x14ac:dyDescent="0.2">
      <c r="A747" s="27" t="s">
        <v>2855</v>
      </c>
      <c r="B747" s="34" t="s">
        <v>2078</v>
      </c>
      <c r="C747" s="34" t="s">
        <v>2177</v>
      </c>
      <c r="D747" s="34" t="s">
        <v>2856</v>
      </c>
      <c r="E747" s="35" t="s">
        <v>83</v>
      </c>
      <c r="F747" t="str" cm="1">
        <f t="array" ref="F747">IFERROR(_xlfn.XLOOKUP(E747,MapeoCargos!$A:$A,MapeoCargos!$B:$B,E747),E747)</f>
        <v>PRODUCCIÓN / COCINA</v>
      </c>
      <c r="G747" s="45">
        <v>45831</v>
      </c>
    </row>
    <row r="748" spans="1:7" x14ac:dyDescent="0.2">
      <c r="A748" s="27" t="s">
        <v>2857</v>
      </c>
      <c r="B748" s="34" t="s">
        <v>2078</v>
      </c>
      <c r="C748" s="34" t="s">
        <v>3025</v>
      </c>
      <c r="D748" s="34" t="s">
        <v>2858</v>
      </c>
      <c r="E748" s="35" t="s">
        <v>193</v>
      </c>
      <c r="F748" t="str" cm="1">
        <f t="array" ref="F748">IFERROR(_xlfn.XLOOKUP(E748,MapeoCargos!$A:$A,MapeoCargos!$B:$B,E748),E748)</f>
        <v>PRODUCCIÓN / COCINA</v>
      </c>
      <c r="G748" s="45">
        <v>45754</v>
      </c>
    </row>
    <row r="749" spans="1:7" x14ac:dyDescent="0.2">
      <c r="A749" s="27" t="s">
        <v>2859</v>
      </c>
      <c r="B749" s="34" t="s">
        <v>2078</v>
      </c>
      <c r="C749" s="34" t="s">
        <v>3025</v>
      </c>
      <c r="D749" s="34" t="s">
        <v>2860</v>
      </c>
      <c r="E749" s="35" t="s">
        <v>231</v>
      </c>
      <c r="F749" t="str" cm="1">
        <f t="array" ref="F749">IFERROR(_xlfn.XLOOKUP(E749,MapeoCargos!$A:$A,MapeoCargos!$B:$B,E749),E749)</f>
        <v xml:space="preserve">CAJA </v>
      </c>
      <c r="G749" s="45">
        <v>45761</v>
      </c>
    </row>
    <row r="750" spans="1:7" x14ac:dyDescent="0.2">
      <c r="A750" s="27" t="s">
        <v>602</v>
      </c>
      <c r="B750" s="34" t="s">
        <v>189</v>
      </c>
      <c r="C750" s="34" t="s">
        <v>19</v>
      </c>
      <c r="D750" s="34" t="s">
        <v>603</v>
      </c>
      <c r="E750" s="35" t="s">
        <v>305</v>
      </c>
      <c r="F750" t="str" cm="1">
        <f t="array" ref="F750">IFERROR(_xlfn.XLOOKUP(E750,MapeoCargos!$A:$A,MapeoCargos!$B:$B,E750),E750)</f>
        <v>LIMPIEZA / MANTENIMIENTO</v>
      </c>
      <c r="G750" s="45">
        <v>45839</v>
      </c>
    </row>
    <row r="751" spans="1:7" x14ac:dyDescent="0.2">
      <c r="A751" s="27" t="s">
        <v>2861</v>
      </c>
      <c r="B751" s="34" t="s">
        <v>2078</v>
      </c>
      <c r="C751" s="34" t="s">
        <v>5</v>
      </c>
      <c r="D751" s="34" t="s">
        <v>2862</v>
      </c>
      <c r="E751" s="35" t="s">
        <v>29</v>
      </c>
      <c r="F751" t="str" cm="1">
        <f t="array" ref="F751">IFERROR(_xlfn.XLOOKUP(E751,MapeoCargos!$A:$A,MapeoCargos!$B:$B,E751),E751)</f>
        <v>MOZO</v>
      </c>
      <c r="G751" s="45">
        <v>45839</v>
      </c>
    </row>
    <row r="752" spans="1:7" x14ac:dyDescent="0.2">
      <c r="A752" s="27" t="s">
        <v>2863</v>
      </c>
      <c r="B752" s="34" t="s">
        <v>2078</v>
      </c>
      <c r="C752" s="34" t="s">
        <v>518</v>
      </c>
      <c r="D752" s="34" t="s">
        <v>2864</v>
      </c>
      <c r="E752" s="35" t="s">
        <v>29</v>
      </c>
      <c r="F752" t="str" cm="1">
        <f t="array" ref="F752">IFERROR(_xlfn.XLOOKUP(E752,MapeoCargos!$A:$A,MapeoCargos!$B:$B,E752),E752)</f>
        <v>MOZO</v>
      </c>
      <c r="G752" s="45">
        <v>45839</v>
      </c>
    </row>
    <row r="753" spans="1:7" x14ac:dyDescent="0.2">
      <c r="A753" s="27" t="s">
        <v>2865</v>
      </c>
      <c r="B753" s="34" t="s">
        <v>2078</v>
      </c>
      <c r="C753" s="34" t="s">
        <v>2079</v>
      </c>
      <c r="D753" s="34" t="s">
        <v>2866</v>
      </c>
      <c r="E753" s="35" t="s">
        <v>2867</v>
      </c>
      <c r="F753" t="str" cm="1">
        <f t="array" ref="F753">IFERROR(_xlfn.XLOOKUP(E753,MapeoCargos!$A:$A,MapeoCargos!$B:$B,E753),E753)</f>
        <v>GERENTE DE OPERACIONES SENIOR</v>
      </c>
      <c r="G753" s="45">
        <v>45839</v>
      </c>
    </row>
    <row r="754" spans="1:7" x14ac:dyDescent="0.2">
      <c r="A754" s="27" t="s">
        <v>2868</v>
      </c>
      <c r="B754" s="34" t="s">
        <v>2078</v>
      </c>
      <c r="C754" s="34" t="s">
        <v>518</v>
      </c>
      <c r="D754" s="34" t="s">
        <v>2869</v>
      </c>
      <c r="E754" s="35" t="s">
        <v>29</v>
      </c>
      <c r="F754" t="str" cm="1">
        <f t="array" ref="F754">IFERROR(_xlfn.XLOOKUP(E754,MapeoCargos!$A:$A,MapeoCargos!$B:$B,E754),E754)</f>
        <v>MOZO</v>
      </c>
      <c r="G754" s="45">
        <v>45839</v>
      </c>
    </row>
    <row r="755" spans="1:7" x14ac:dyDescent="0.2">
      <c r="A755" s="27" t="s">
        <v>2870</v>
      </c>
      <c r="B755" s="34" t="s">
        <v>2078</v>
      </c>
      <c r="C755" s="34" t="s">
        <v>518</v>
      </c>
      <c r="D755" s="34" t="s">
        <v>2871</v>
      </c>
      <c r="E755" s="35" t="s">
        <v>127</v>
      </c>
      <c r="F755" t="str" cm="1">
        <f t="array" ref="F755">IFERROR(_xlfn.XLOOKUP(E755,MapeoCargos!$A:$A,MapeoCargos!$B:$B,E755),E755)</f>
        <v>AZAFATA</v>
      </c>
      <c r="G755" s="45">
        <v>45842</v>
      </c>
    </row>
    <row r="756" spans="1:7" x14ac:dyDescent="0.2">
      <c r="A756" s="27" t="s">
        <v>604</v>
      </c>
      <c r="B756" s="34" t="s">
        <v>189</v>
      </c>
      <c r="C756" s="34" t="s">
        <v>17</v>
      </c>
      <c r="D756" s="34" t="s">
        <v>605</v>
      </c>
      <c r="E756" s="35" t="s">
        <v>606</v>
      </c>
      <c r="F756" t="str" cm="1">
        <f t="array" ref="F756">IFERROR(_xlfn.XLOOKUP(E756,MapeoCargos!$A:$A,MapeoCargos!$B:$B,E756),E756)</f>
        <v>BAR</v>
      </c>
      <c r="G756" s="45">
        <v>45845</v>
      </c>
    </row>
    <row r="757" spans="1:7" x14ac:dyDescent="0.2">
      <c r="A757" s="27" t="s">
        <v>2872</v>
      </c>
      <c r="B757" s="34" t="s">
        <v>2078</v>
      </c>
      <c r="C757" s="34" t="s">
        <v>2082</v>
      </c>
      <c r="D757" s="34" t="s">
        <v>2873</v>
      </c>
      <c r="E757" s="35" t="s">
        <v>126</v>
      </c>
      <c r="F757" t="str" cm="1">
        <f t="array" ref="F757">IFERROR(_xlfn.XLOOKUP(E757,MapeoCargos!$A:$A,MapeoCargos!$B:$B,E757),E757)</f>
        <v>MOTORIZADO</v>
      </c>
      <c r="G757" s="45">
        <v>45845</v>
      </c>
    </row>
    <row r="758" spans="1:7" x14ac:dyDescent="0.2">
      <c r="A758" s="27" t="s">
        <v>2874</v>
      </c>
      <c r="B758" s="34" t="s">
        <v>2078</v>
      </c>
      <c r="C758" s="34" t="s">
        <v>2355</v>
      </c>
      <c r="D758" s="34" t="s">
        <v>2875</v>
      </c>
      <c r="E758" s="35" t="s">
        <v>305</v>
      </c>
      <c r="F758" t="str" cm="1">
        <f t="array" ref="F758">IFERROR(_xlfn.XLOOKUP(E758,MapeoCargos!$A:$A,MapeoCargos!$B:$B,E758),E758)</f>
        <v>LIMPIEZA / MANTENIMIENTO</v>
      </c>
      <c r="G758" s="45">
        <v>45845</v>
      </c>
    </row>
    <row r="759" spans="1:7" x14ac:dyDescent="0.2">
      <c r="A759" s="27" t="s">
        <v>2876</v>
      </c>
      <c r="B759" s="34" t="s">
        <v>2078</v>
      </c>
      <c r="C759" s="34" t="s">
        <v>2355</v>
      </c>
      <c r="D759" s="34" t="s">
        <v>2877</v>
      </c>
      <c r="E759" s="35" t="s">
        <v>468</v>
      </c>
      <c r="F759" t="str" cm="1">
        <f t="array" ref="F759">IFERROR(_xlfn.XLOOKUP(E759,MapeoCargos!$A:$A,MapeoCargos!$B:$B,E759),E759)</f>
        <v xml:space="preserve">ANFITRIONAJE </v>
      </c>
      <c r="G759" s="45">
        <v>45845</v>
      </c>
    </row>
    <row r="760" spans="1:7" x14ac:dyDescent="0.2">
      <c r="A760" s="27" t="s">
        <v>607</v>
      </c>
      <c r="B760" s="34" t="s">
        <v>189</v>
      </c>
      <c r="C760" s="34" t="s">
        <v>18</v>
      </c>
      <c r="D760" s="34" t="s">
        <v>608</v>
      </c>
      <c r="E760" s="35" t="s">
        <v>127</v>
      </c>
      <c r="F760" t="str" cm="1">
        <f t="array" ref="F760">IFERROR(_xlfn.XLOOKUP(E760,MapeoCargos!$A:$A,MapeoCargos!$B:$B,E760),E760)</f>
        <v>AZAFATA</v>
      </c>
      <c r="G760" s="45">
        <v>45845</v>
      </c>
    </row>
    <row r="761" spans="1:7" x14ac:dyDescent="0.2">
      <c r="A761" s="27" t="s">
        <v>3416</v>
      </c>
      <c r="B761" s="34" t="s">
        <v>3037</v>
      </c>
      <c r="C761" s="34" t="s">
        <v>2458</v>
      </c>
      <c r="D761" s="34" t="s">
        <v>3417</v>
      </c>
      <c r="E761" s="35" t="s">
        <v>29</v>
      </c>
      <c r="F761" t="str" cm="1">
        <f t="array" ref="F761">IFERROR(_xlfn.XLOOKUP(E761,MapeoCargos!$A:$A,MapeoCargos!$B:$B,E761),E761)</f>
        <v>MOZO</v>
      </c>
      <c r="G761" s="45">
        <v>45845</v>
      </c>
    </row>
    <row r="762" spans="1:7" x14ac:dyDescent="0.2">
      <c r="A762" s="27" t="s">
        <v>609</v>
      </c>
      <c r="B762" s="34" t="s">
        <v>189</v>
      </c>
      <c r="C762" s="34" t="s">
        <v>21</v>
      </c>
      <c r="D762" s="34" t="s">
        <v>610</v>
      </c>
      <c r="E762" s="35" t="s">
        <v>126</v>
      </c>
      <c r="F762" t="str" cm="1">
        <f t="array" ref="F762">IFERROR(_xlfn.XLOOKUP(E762,MapeoCargos!$A:$A,MapeoCargos!$B:$B,E762),E762)</f>
        <v>MOTORIZADO</v>
      </c>
      <c r="G762" s="45">
        <v>45845</v>
      </c>
    </row>
    <row r="763" spans="1:7" x14ac:dyDescent="0.2">
      <c r="A763" s="27" t="s">
        <v>2878</v>
      </c>
      <c r="B763" s="34" t="s">
        <v>2078</v>
      </c>
      <c r="C763" s="34" t="s">
        <v>2114</v>
      </c>
      <c r="D763" s="34" t="s">
        <v>2879</v>
      </c>
      <c r="E763" s="35" t="s">
        <v>606</v>
      </c>
      <c r="F763" t="str" cm="1">
        <f t="array" ref="F763">IFERROR(_xlfn.XLOOKUP(E763,MapeoCargos!$A:$A,MapeoCargos!$B:$B,E763),E763)</f>
        <v>BAR</v>
      </c>
      <c r="G763" s="45">
        <v>45845</v>
      </c>
    </row>
    <row r="764" spans="1:7" x14ac:dyDescent="0.2">
      <c r="A764" s="27" t="s">
        <v>2880</v>
      </c>
      <c r="B764" s="34" t="s">
        <v>2078</v>
      </c>
      <c r="C764" s="34" t="s">
        <v>10</v>
      </c>
      <c r="D764" s="34" t="s">
        <v>2881</v>
      </c>
      <c r="E764" s="35" t="s">
        <v>83</v>
      </c>
      <c r="F764" t="str" cm="1">
        <f t="array" ref="F764">IFERROR(_xlfn.XLOOKUP(E764,MapeoCargos!$A:$A,MapeoCargos!$B:$B,E764),E764)</f>
        <v>PRODUCCIÓN / COCINA</v>
      </c>
      <c r="G764" s="45">
        <v>45845</v>
      </c>
    </row>
    <row r="765" spans="1:7" x14ac:dyDescent="0.2">
      <c r="A765" s="27" t="s">
        <v>2882</v>
      </c>
      <c r="B765" s="34" t="s">
        <v>2078</v>
      </c>
      <c r="C765" s="34" t="s">
        <v>25</v>
      </c>
      <c r="D765" s="34" t="s">
        <v>2883</v>
      </c>
      <c r="E765" s="35" t="s">
        <v>110</v>
      </c>
      <c r="F765" t="str" cm="1">
        <f t="array" ref="F765">IFERROR(_xlfn.XLOOKUP(E765,MapeoCargos!$A:$A,MapeoCargos!$B:$B,E765),E765)</f>
        <v>COUNTER</v>
      </c>
      <c r="G765" s="45">
        <v>45852</v>
      </c>
    </row>
    <row r="766" spans="1:7" x14ac:dyDescent="0.2">
      <c r="A766" s="27" t="s">
        <v>2884</v>
      </c>
      <c r="B766" s="34" t="s">
        <v>2078</v>
      </c>
      <c r="C766" s="34" t="s">
        <v>2355</v>
      </c>
      <c r="D766" s="34" t="s">
        <v>2885</v>
      </c>
      <c r="E766" s="35" t="s">
        <v>29</v>
      </c>
      <c r="F766" t="str" cm="1">
        <f t="array" ref="F766">IFERROR(_xlfn.XLOOKUP(E766,MapeoCargos!$A:$A,MapeoCargos!$B:$B,E766),E766)</f>
        <v>MOZO</v>
      </c>
      <c r="G766" s="45">
        <v>45852</v>
      </c>
    </row>
    <row r="767" spans="1:7" x14ac:dyDescent="0.2">
      <c r="A767" s="27" t="s">
        <v>2886</v>
      </c>
      <c r="B767" s="34" t="s">
        <v>2078</v>
      </c>
      <c r="C767" s="34" t="s">
        <v>2082</v>
      </c>
      <c r="D767" s="34" t="s">
        <v>2887</v>
      </c>
      <c r="E767" s="35" t="s">
        <v>160</v>
      </c>
      <c r="F767" t="str" cm="1">
        <f t="array" ref="F767">IFERROR(_xlfn.XLOOKUP(E767,MapeoCargos!$A:$A,MapeoCargos!$B:$B,E767),E767)</f>
        <v>PACKER</v>
      </c>
      <c r="G767" s="45">
        <v>45852</v>
      </c>
    </row>
    <row r="768" spans="1:7" x14ac:dyDescent="0.2">
      <c r="A768" s="27" t="s">
        <v>2888</v>
      </c>
      <c r="B768" s="34" t="s">
        <v>2078</v>
      </c>
      <c r="C768" s="34" t="s">
        <v>5</v>
      </c>
      <c r="D768" s="34" t="s">
        <v>2889</v>
      </c>
      <c r="E768" s="35" t="s">
        <v>29</v>
      </c>
      <c r="F768" t="str" cm="1">
        <f t="array" ref="F768">IFERROR(_xlfn.XLOOKUP(E768,MapeoCargos!$A:$A,MapeoCargos!$B:$B,E768),E768)</f>
        <v>MOZO</v>
      </c>
      <c r="G768" s="45">
        <v>45852</v>
      </c>
    </row>
    <row r="769" spans="1:7" x14ac:dyDescent="0.2">
      <c r="A769" s="27" t="s">
        <v>2890</v>
      </c>
      <c r="B769" s="34" t="s">
        <v>2078</v>
      </c>
      <c r="C769" s="34" t="s">
        <v>2355</v>
      </c>
      <c r="D769" s="34" t="s">
        <v>2891</v>
      </c>
      <c r="E769" s="35" t="s">
        <v>639</v>
      </c>
      <c r="F769" t="str" cm="1">
        <f t="array" ref="F769">IFERROR(_xlfn.XLOOKUP(E769,MapeoCargos!$A:$A,MapeoCargos!$B:$B,E769),E769)</f>
        <v>BAR</v>
      </c>
      <c r="G769" s="45">
        <v>45852</v>
      </c>
    </row>
    <row r="770" spans="1:7" x14ac:dyDescent="0.2">
      <c r="A770" s="27" t="s">
        <v>2892</v>
      </c>
      <c r="B770" s="34" t="s">
        <v>2078</v>
      </c>
      <c r="C770" s="34" t="s">
        <v>10</v>
      </c>
      <c r="D770" s="34" t="s">
        <v>2893</v>
      </c>
      <c r="E770" s="35" t="s">
        <v>639</v>
      </c>
      <c r="F770" t="str" cm="1">
        <f t="array" ref="F770">IFERROR(_xlfn.XLOOKUP(E770,MapeoCargos!$A:$A,MapeoCargos!$B:$B,E770),E770)</f>
        <v>BAR</v>
      </c>
      <c r="G770" s="45">
        <v>45849</v>
      </c>
    </row>
    <row r="771" spans="1:7" x14ac:dyDescent="0.2">
      <c r="A771" s="27" t="s">
        <v>2894</v>
      </c>
      <c r="B771" s="34" t="s">
        <v>2078</v>
      </c>
      <c r="C771" s="34" t="s">
        <v>10</v>
      </c>
      <c r="D771" s="34" t="s">
        <v>2895</v>
      </c>
      <c r="E771" s="35" t="s">
        <v>127</v>
      </c>
      <c r="F771" t="str" cm="1">
        <f t="array" ref="F771">IFERROR(_xlfn.XLOOKUP(E771,MapeoCargos!$A:$A,MapeoCargos!$B:$B,E771),E771)</f>
        <v>AZAFATA</v>
      </c>
      <c r="G771" s="45">
        <v>45850</v>
      </c>
    </row>
    <row r="772" spans="1:7" x14ac:dyDescent="0.2">
      <c r="A772" s="27" t="s">
        <v>2896</v>
      </c>
      <c r="B772" s="34" t="s">
        <v>2078</v>
      </c>
      <c r="C772" s="34" t="s">
        <v>10</v>
      </c>
      <c r="D772" s="34" t="s">
        <v>2897</v>
      </c>
      <c r="E772" s="35" t="s">
        <v>127</v>
      </c>
      <c r="F772" t="str" cm="1">
        <f t="array" ref="F772">IFERROR(_xlfn.XLOOKUP(E772,MapeoCargos!$A:$A,MapeoCargos!$B:$B,E772),E772)</f>
        <v>AZAFATA</v>
      </c>
      <c r="G772" s="45">
        <v>45850</v>
      </c>
    </row>
    <row r="773" spans="1:7" x14ac:dyDescent="0.2">
      <c r="A773" s="27" t="s">
        <v>2898</v>
      </c>
      <c r="B773" s="34" t="s">
        <v>2078</v>
      </c>
      <c r="C773" s="34" t="s">
        <v>10</v>
      </c>
      <c r="D773" s="34" t="s">
        <v>2899</v>
      </c>
      <c r="E773" s="35" t="s">
        <v>29</v>
      </c>
      <c r="F773" t="str" cm="1">
        <f t="array" ref="F773">IFERROR(_xlfn.XLOOKUP(E773,MapeoCargos!$A:$A,MapeoCargos!$B:$B,E773),E773)</f>
        <v>MOZO</v>
      </c>
      <c r="G773" s="45">
        <v>45850</v>
      </c>
    </row>
    <row r="774" spans="1:7" x14ac:dyDescent="0.2">
      <c r="A774" s="27" t="s">
        <v>2900</v>
      </c>
      <c r="B774" s="34" t="s">
        <v>2078</v>
      </c>
      <c r="C774" s="34" t="s">
        <v>10</v>
      </c>
      <c r="D774" s="34" t="s">
        <v>2901</v>
      </c>
      <c r="E774" s="35" t="s">
        <v>127</v>
      </c>
      <c r="F774" t="str" cm="1">
        <f t="array" ref="F774">IFERROR(_xlfn.XLOOKUP(E774,MapeoCargos!$A:$A,MapeoCargos!$B:$B,E774),E774)</f>
        <v>AZAFATA</v>
      </c>
      <c r="G774" s="45">
        <v>45850</v>
      </c>
    </row>
    <row r="775" spans="1:7" x14ac:dyDescent="0.2">
      <c r="A775" s="27" t="s">
        <v>2902</v>
      </c>
      <c r="B775" s="34" t="s">
        <v>2078</v>
      </c>
      <c r="C775" s="34" t="s">
        <v>10</v>
      </c>
      <c r="D775" s="34" t="s">
        <v>2903</v>
      </c>
      <c r="E775" s="35" t="s">
        <v>127</v>
      </c>
      <c r="F775" t="str" cm="1">
        <f t="array" ref="F775">IFERROR(_xlfn.XLOOKUP(E775,MapeoCargos!$A:$A,MapeoCargos!$B:$B,E775),E775)</f>
        <v>AZAFATA</v>
      </c>
      <c r="G775" s="45">
        <v>45850</v>
      </c>
    </row>
    <row r="776" spans="1:7" x14ac:dyDescent="0.2">
      <c r="A776" s="27" t="s">
        <v>2904</v>
      </c>
      <c r="B776" s="34" t="s">
        <v>2078</v>
      </c>
      <c r="C776" s="34" t="s">
        <v>10</v>
      </c>
      <c r="D776" s="34" t="s">
        <v>2905</v>
      </c>
      <c r="E776" s="35" t="s">
        <v>160</v>
      </c>
      <c r="F776" t="str" cm="1">
        <f t="array" ref="F776">IFERROR(_xlfn.XLOOKUP(E776,MapeoCargos!$A:$A,MapeoCargos!$B:$B,E776),E776)</f>
        <v>PACKER</v>
      </c>
      <c r="G776" s="45">
        <v>45852</v>
      </c>
    </row>
    <row r="777" spans="1:7" x14ac:dyDescent="0.2">
      <c r="A777" s="27" t="s">
        <v>2906</v>
      </c>
      <c r="B777" s="34" t="s">
        <v>2078</v>
      </c>
      <c r="C777" s="34" t="s">
        <v>10</v>
      </c>
      <c r="D777" s="34" t="s">
        <v>2907</v>
      </c>
      <c r="E777" s="35" t="s">
        <v>83</v>
      </c>
      <c r="F777" t="str" cm="1">
        <f t="array" ref="F777">IFERROR(_xlfn.XLOOKUP(E777,MapeoCargos!$A:$A,MapeoCargos!$B:$B,E777),E777)</f>
        <v>PRODUCCIÓN / COCINA</v>
      </c>
      <c r="G777" s="45">
        <v>45852</v>
      </c>
    </row>
    <row r="778" spans="1:7" x14ac:dyDescent="0.2">
      <c r="A778" s="27" t="s">
        <v>2908</v>
      </c>
      <c r="B778" s="34" t="s">
        <v>2078</v>
      </c>
      <c r="C778" s="34" t="s">
        <v>20</v>
      </c>
      <c r="D778" s="34" t="s">
        <v>2909</v>
      </c>
      <c r="E778" s="35" t="s">
        <v>639</v>
      </c>
      <c r="F778" t="str" cm="1">
        <f t="array" ref="F778">IFERROR(_xlfn.XLOOKUP(E778,MapeoCargos!$A:$A,MapeoCargos!$B:$B,E778),E778)</f>
        <v>BAR</v>
      </c>
      <c r="G778" s="45">
        <v>45852</v>
      </c>
    </row>
    <row r="779" spans="1:7" x14ac:dyDescent="0.2">
      <c r="A779" s="27" t="s">
        <v>2910</v>
      </c>
      <c r="B779" s="34" t="s">
        <v>2078</v>
      </c>
      <c r="C779" s="34" t="s">
        <v>5</v>
      </c>
      <c r="D779" s="34" t="s">
        <v>2911</v>
      </c>
      <c r="E779" s="35" t="s">
        <v>231</v>
      </c>
      <c r="F779" t="str" cm="1">
        <f t="array" ref="F779">IFERROR(_xlfn.XLOOKUP(E779,MapeoCargos!$A:$A,MapeoCargos!$B:$B,E779),E779)</f>
        <v xml:space="preserve">CAJA </v>
      </c>
      <c r="G779" s="45">
        <v>45852</v>
      </c>
    </row>
    <row r="780" spans="1:7" x14ac:dyDescent="0.2">
      <c r="A780" s="27" t="s">
        <v>2912</v>
      </c>
      <c r="B780" s="34" t="s">
        <v>2078</v>
      </c>
      <c r="C780" s="34" t="s">
        <v>23</v>
      </c>
      <c r="D780" s="34" t="s">
        <v>2913</v>
      </c>
      <c r="E780" s="35" t="s">
        <v>222</v>
      </c>
      <c r="F780" t="str" cm="1">
        <f t="array" ref="F780">IFERROR(_xlfn.XLOOKUP(E780,MapeoCargos!$A:$A,MapeoCargos!$B:$B,E780),E780)</f>
        <v>PRODUCCIÓN / COCINA</v>
      </c>
      <c r="G780" s="45">
        <v>45852</v>
      </c>
    </row>
    <row r="781" spans="1:7" x14ac:dyDescent="0.2">
      <c r="A781" s="27" t="s">
        <v>2914</v>
      </c>
      <c r="B781" s="34" t="s">
        <v>2078</v>
      </c>
      <c r="C781" s="34" t="s">
        <v>518</v>
      </c>
      <c r="D781" s="34" t="s">
        <v>2915</v>
      </c>
      <c r="E781" s="35" t="s">
        <v>222</v>
      </c>
      <c r="F781" t="str" cm="1">
        <f t="array" ref="F781">IFERROR(_xlfn.XLOOKUP(E781,MapeoCargos!$A:$A,MapeoCargos!$B:$B,E781),E781)</f>
        <v>PRODUCCIÓN / COCINA</v>
      </c>
      <c r="G781" s="45">
        <v>45852</v>
      </c>
    </row>
    <row r="782" spans="1:7" x14ac:dyDescent="0.2">
      <c r="A782" s="27" t="s">
        <v>2916</v>
      </c>
      <c r="B782" s="34" t="s">
        <v>2078</v>
      </c>
      <c r="C782" s="34" t="s">
        <v>10</v>
      </c>
      <c r="D782" s="34" t="s">
        <v>2917</v>
      </c>
      <c r="E782" s="35" t="s">
        <v>83</v>
      </c>
      <c r="F782" t="str" cm="1">
        <f t="array" ref="F782">IFERROR(_xlfn.XLOOKUP(E782,MapeoCargos!$A:$A,MapeoCargos!$B:$B,E782),E782)</f>
        <v>PRODUCCIÓN / COCINA</v>
      </c>
      <c r="G782" s="45">
        <v>45852</v>
      </c>
    </row>
    <row r="783" spans="1:7" x14ac:dyDescent="0.2">
      <c r="A783" s="27" t="s">
        <v>2918</v>
      </c>
      <c r="B783" s="34" t="s">
        <v>2078</v>
      </c>
      <c r="C783" s="34" t="s">
        <v>2177</v>
      </c>
      <c r="D783" s="34" t="s">
        <v>2919</v>
      </c>
      <c r="E783" s="35" t="s">
        <v>83</v>
      </c>
      <c r="F783" t="str" cm="1">
        <f t="array" ref="F783">IFERROR(_xlfn.XLOOKUP(E783,MapeoCargos!$A:$A,MapeoCargos!$B:$B,E783),E783)</f>
        <v>PRODUCCIÓN / COCINA</v>
      </c>
      <c r="G783" s="45">
        <v>45852</v>
      </c>
    </row>
    <row r="784" spans="1:7" x14ac:dyDescent="0.2">
      <c r="A784" s="27" t="s">
        <v>2920</v>
      </c>
      <c r="B784" s="34" t="s">
        <v>2078</v>
      </c>
      <c r="C784" s="34" t="s">
        <v>2079</v>
      </c>
      <c r="D784" s="34" t="s">
        <v>2921</v>
      </c>
      <c r="E784" s="35" t="s">
        <v>203</v>
      </c>
      <c r="F784" t="str" cm="1">
        <f t="array" ref="F784">IFERROR(_xlfn.XLOOKUP(E784,MapeoCargos!$A:$A,MapeoCargos!$B:$B,E784),E784)</f>
        <v>SUPERVISOR DE OPERACIONES</v>
      </c>
      <c r="G784" s="45">
        <v>45854</v>
      </c>
    </row>
    <row r="785" spans="1:7" x14ac:dyDescent="0.2">
      <c r="A785" s="27" t="s">
        <v>2922</v>
      </c>
      <c r="B785" s="34" t="s">
        <v>2078</v>
      </c>
      <c r="C785" s="34" t="s">
        <v>2</v>
      </c>
      <c r="D785" s="34" t="s">
        <v>2923</v>
      </c>
      <c r="E785" s="35" t="s">
        <v>231</v>
      </c>
      <c r="F785" t="str" cm="1">
        <f t="array" ref="F785">IFERROR(_xlfn.XLOOKUP(E785,MapeoCargos!$A:$A,MapeoCargos!$B:$B,E785),E785)</f>
        <v xml:space="preserve">CAJA </v>
      </c>
      <c r="G785" s="45">
        <v>45853</v>
      </c>
    </row>
    <row r="786" spans="1:7" x14ac:dyDescent="0.2">
      <c r="A786" s="27" t="s">
        <v>3418</v>
      </c>
      <c r="B786" s="34" t="s">
        <v>3037</v>
      </c>
      <c r="C786" s="34" t="s">
        <v>2458</v>
      </c>
      <c r="D786" s="34" t="s">
        <v>3419</v>
      </c>
      <c r="E786" s="35" t="s">
        <v>29</v>
      </c>
      <c r="F786" t="str" cm="1">
        <f t="array" ref="F786">IFERROR(_xlfn.XLOOKUP(E786,MapeoCargos!$A:$A,MapeoCargos!$B:$B,E786),E786)</f>
        <v>MOZO</v>
      </c>
      <c r="G786" s="45">
        <v>45854</v>
      </c>
    </row>
    <row r="787" spans="1:7" x14ac:dyDescent="0.2">
      <c r="A787" s="27" t="s">
        <v>611</v>
      </c>
      <c r="B787" s="34" t="s">
        <v>189</v>
      </c>
      <c r="C787" s="34" t="s">
        <v>17</v>
      </c>
      <c r="D787" s="34" t="s">
        <v>612</v>
      </c>
      <c r="E787" s="35" t="s">
        <v>29</v>
      </c>
      <c r="F787" t="str" cm="1">
        <f t="array" ref="F787">IFERROR(_xlfn.XLOOKUP(E787,MapeoCargos!$A:$A,MapeoCargos!$B:$B,E787),E787)</f>
        <v>MOZO</v>
      </c>
      <c r="G787" s="45">
        <v>45856</v>
      </c>
    </row>
    <row r="788" spans="1:7" x14ac:dyDescent="0.2">
      <c r="A788" s="27" t="s">
        <v>2924</v>
      </c>
      <c r="B788" s="34" t="s">
        <v>2078</v>
      </c>
      <c r="C788" s="34" t="s">
        <v>2355</v>
      </c>
      <c r="D788" s="34" t="s">
        <v>2925</v>
      </c>
      <c r="E788" s="35" t="s">
        <v>83</v>
      </c>
      <c r="F788" t="str" cm="1">
        <f t="array" ref="F788">IFERROR(_xlfn.XLOOKUP(E788,MapeoCargos!$A:$A,MapeoCargos!$B:$B,E788),E788)</f>
        <v>PRODUCCIÓN / COCINA</v>
      </c>
      <c r="G788" s="45">
        <v>45856</v>
      </c>
    </row>
    <row r="789" spans="1:7" x14ac:dyDescent="0.2">
      <c r="A789" s="27" t="s">
        <v>2926</v>
      </c>
      <c r="B789" s="34" t="s">
        <v>2078</v>
      </c>
      <c r="C789" s="34" t="s">
        <v>2079</v>
      </c>
      <c r="D789" s="34" t="s">
        <v>2927</v>
      </c>
      <c r="E789" s="35" t="s">
        <v>83</v>
      </c>
      <c r="F789" t="str" cm="1">
        <f t="array" ref="F789">IFERROR(_xlfn.XLOOKUP(E789,MapeoCargos!$A:$A,MapeoCargos!$B:$B,E789),E789)</f>
        <v>PRODUCCIÓN / COCINA</v>
      </c>
      <c r="G789" s="45">
        <v>45856</v>
      </c>
    </row>
    <row r="790" spans="1:7" x14ac:dyDescent="0.2">
      <c r="A790" s="27" t="s">
        <v>2928</v>
      </c>
      <c r="B790" s="34" t="s">
        <v>2078</v>
      </c>
      <c r="C790" s="34" t="s">
        <v>3025</v>
      </c>
      <c r="D790" s="34" t="s">
        <v>2929</v>
      </c>
      <c r="E790" s="35" t="s">
        <v>639</v>
      </c>
      <c r="F790" t="str" cm="1">
        <f t="array" ref="F790">IFERROR(_xlfn.XLOOKUP(E790,MapeoCargos!$A:$A,MapeoCargos!$B:$B,E790),E790)</f>
        <v>BAR</v>
      </c>
      <c r="G790" s="45">
        <v>45856</v>
      </c>
    </row>
    <row r="791" spans="1:7" x14ac:dyDescent="0.2">
      <c r="A791" s="27" t="s">
        <v>613</v>
      </c>
      <c r="B791" s="34" t="s">
        <v>189</v>
      </c>
      <c r="C791" s="34" t="s">
        <v>21</v>
      </c>
      <c r="D791" s="34" t="s">
        <v>614</v>
      </c>
      <c r="E791" s="35" t="s">
        <v>165</v>
      </c>
      <c r="F791" t="str" cm="1">
        <f t="array" ref="F791">IFERROR(_xlfn.XLOOKUP(E791,MapeoCargos!$A:$A,MapeoCargos!$B:$B,E791),E791)</f>
        <v>PACKER</v>
      </c>
      <c r="G791" s="45">
        <v>45856</v>
      </c>
    </row>
    <row r="792" spans="1:7" x14ac:dyDescent="0.2">
      <c r="A792" s="27" t="s">
        <v>615</v>
      </c>
      <c r="B792" s="34" t="s">
        <v>189</v>
      </c>
      <c r="C792" s="34" t="s">
        <v>21</v>
      </c>
      <c r="D792" s="34" t="s">
        <v>616</v>
      </c>
      <c r="E792" s="35" t="s">
        <v>606</v>
      </c>
      <c r="F792" t="str" cm="1">
        <f t="array" ref="F792">IFERROR(_xlfn.XLOOKUP(E792,MapeoCargos!$A:$A,MapeoCargos!$B:$B,E792),E792)</f>
        <v>BAR</v>
      </c>
      <c r="G792" s="45">
        <v>45856</v>
      </c>
    </row>
    <row r="793" spans="1:7" x14ac:dyDescent="0.2">
      <c r="A793" s="27" t="s">
        <v>2930</v>
      </c>
      <c r="B793" s="34" t="s">
        <v>2078</v>
      </c>
      <c r="C793" s="34" t="s">
        <v>2355</v>
      </c>
      <c r="D793" s="34" t="s">
        <v>2931</v>
      </c>
      <c r="E793" s="35" t="s">
        <v>127</v>
      </c>
      <c r="F793" t="str" cm="1">
        <f t="array" ref="F793">IFERROR(_xlfn.XLOOKUP(E793,MapeoCargos!$A:$A,MapeoCargos!$B:$B,E793),E793)</f>
        <v>AZAFATA</v>
      </c>
      <c r="G793" s="45">
        <v>45856</v>
      </c>
    </row>
    <row r="794" spans="1:7" x14ac:dyDescent="0.2">
      <c r="A794" s="27" t="s">
        <v>2932</v>
      </c>
      <c r="B794" s="34" t="s">
        <v>2078</v>
      </c>
      <c r="C794" s="34" t="s">
        <v>10</v>
      </c>
      <c r="D794" s="34" t="s">
        <v>2933</v>
      </c>
      <c r="E794" s="35" t="s">
        <v>231</v>
      </c>
      <c r="F794" t="str" cm="1">
        <f t="array" ref="F794">IFERROR(_xlfn.XLOOKUP(E794,MapeoCargos!$A:$A,MapeoCargos!$B:$B,E794),E794)</f>
        <v xml:space="preserve">CAJA </v>
      </c>
      <c r="G794" s="45">
        <v>45856</v>
      </c>
    </row>
    <row r="795" spans="1:7" x14ac:dyDescent="0.2">
      <c r="A795" s="27" t="s">
        <v>3979</v>
      </c>
      <c r="B795" s="34" t="s">
        <v>2078</v>
      </c>
      <c r="C795" s="34" t="s">
        <v>10</v>
      </c>
      <c r="D795" s="34" t="s">
        <v>2935</v>
      </c>
      <c r="E795" s="35" t="s">
        <v>360</v>
      </c>
      <c r="F795" t="str" cm="1">
        <f t="array" ref="F795">IFERROR(_xlfn.XLOOKUP(E795,MapeoCargos!$A:$A,MapeoCargos!$B:$B,E795),E795)</f>
        <v>PRODUCCIÓN / COCINA</v>
      </c>
      <c r="G795" s="45">
        <v>45856</v>
      </c>
    </row>
    <row r="796" spans="1:7" x14ac:dyDescent="0.2">
      <c r="A796" s="27" t="s">
        <v>2936</v>
      </c>
      <c r="B796" s="34" t="s">
        <v>2078</v>
      </c>
      <c r="C796" s="34" t="s">
        <v>10</v>
      </c>
      <c r="D796" s="34" t="s">
        <v>2937</v>
      </c>
      <c r="E796" s="35" t="s">
        <v>305</v>
      </c>
      <c r="F796" t="str" cm="1">
        <f t="array" ref="F796">IFERROR(_xlfn.XLOOKUP(E796,MapeoCargos!$A:$A,MapeoCargos!$B:$B,E796),E796)</f>
        <v>LIMPIEZA / MANTENIMIENTO</v>
      </c>
      <c r="G796" s="45">
        <v>45856</v>
      </c>
    </row>
    <row r="797" spans="1:7" x14ac:dyDescent="0.2">
      <c r="A797" s="27" t="s">
        <v>2938</v>
      </c>
      <c r="B797" s="34" t="s">
        <v>2078</v>
      </c>
      <c r="C797" s="34" t="s">
        <v>518</v>
      </c>
      <c r="D797" s="34" t="s">
        <v>2939</v>
      </c>
      <c r="E797" s="35" t="s">
        <v>468</v>
      </c>
      <c r="F797" t="str" cm="1">
        <f t="array" ref="F797">IFERROR(_xlfn.XLOOKUP(E797,MapeoCargos!$A:$A,MapeoCargos!$B:$B,E797),E797)</f>
        <v xml:space="preserve">ANFITRIONAJE </v>
      </c>
      <c r="G797" s="45">
        <v>45856</v>
      </c>
    </row>
    <row r="798" spans="1:7" x14ac:dyDescent="0.2">
      <c r="A798" s="27" t="s">
        <v>617</v>
      </c>
      <c r="B798" s="34" t="s">
        <v>189</v>
      </c>
      <c r="C798" s="34" t="s">
        <v>17</v>
      </c>
      <c r="D798" s="34" t="s">
        <v>618</v>
      </c>
      <c r="E798" s="35" t="s">
        <v>127</v>
      </c>
      <c r="F798" t="str" cm="1">
        <f t="array" ref="F798">IFERROR(_xlfn.XLOOKUP(E798,MapeoCargos!$A:$A,MapeoCargos!$B:$B,E798),E798)</f>
        <v>AZAFATA</v>
      </c>
      <c r="G798" s="45">
        <v>45859</v>
      </c>
    </row>
    <row r="799" spans="1:7" x14ac:dyDescent="0.2">
      <c r="A799" s="27" t="s">
        <v>2940</v>
      </c>
      <c r="B799" s="34" t="s">
        <v>2078</v>
      </c>
      <c r="C799" s="34" t="s">
        <v>10</v>
      </c>
      <c r="D799" s="34" t="s">
        <v>2941</v>
      </c>
      <c r="E799" s="35" t="s">
        <v>83</v>
      </c>
      <c r="F799" t="str" cm="1">
        <f t="array" ref="F799">IFERROR(_xlfn.XLOOKUP(E799,MapeoCargos!$A:$A,MapeoCargos!$B:$B,E799),E799)</f>
        <v>PRODUCCIÓN / COCINA</v>
      </c>
      <c r="G799" s="45">
        <v>45857</v>
      </c>
    </row>
    <row r="800" spans="1:7" x14ac:dyDescent="0.2">
      <c r="A800" s="27" t="s">
        <v>2942</v>
      </c>
      <c r="B800" s="34" t="s">
        <v>2078</v>
      </c>
      <c r="C800" s="34" t="s">
        <v>10</v>
      </c>
      <c r="D800" s="34" t="s">
        <v>2943</v>
      </c>
      <c r="E800" s="35" t="s">
        <v>127</v>
      </c>
      <c r="F800" t="str" cm="1">
        <f t="array" ref="F800">IFERROR(_xlfn.XLOOKUP(E800,MapeoCargos!$A:$A,MapeoCargos!$B:$B,E800),E800)</f>
        <v>AZAFATA</v>
      </c>
      <c r="G800" s="45">
        <v>45857</v>
      </c>
    </row>
    <row r="801" spans="1:7" x14ac:dyDescent="0.2">
      <c r="A801" s="27" t="s">
        <v>2944</v>
      </c>
      <c r="B801" s="34" t="s">
        <v>2078</v>
      </c>
      <c r="C801" s="34" t="s">
        <v>10</v>
      </c>
      <c r="D801" s="34" t="s">
        <v>2945</v>
      </c>
      <c r="E801" s="35" t="s">
        <v>29</v>
      </c>
      <c r="F801" t="str" cm="1">
        <f t="array" ref="F801">IFERROR(_xlfn.XLOOKUP(E801,MapeoCargos!$A:$A,MapeoCargos!$B:$B,E801),E801)</f>
        <v>MOZO</v>
      </c>
      <c r="G801" s="45">
        <v>45859</v>
      </c>
    </row>
    <row r="802" spans="1:7" x14ac:dyDescent="0.2">
      <c r="A802" s="27" t="s">
        <v>2946</v>
      </c>
      <c r="B802" s="34" t="s">
        <v>2078</v>
      </c>
      <c r="C802" s="34" t="s">
        <v>2177</v>
      </c>
      <c r="D802" s="34" t="s">
        <v>2947</v>
      </c>
      <c r="E802" s="35" t="s">
        <v>127</v>
      </c>
      <c r="F802" t="str" cm="1">
        <f t="array" ref="F802">IFERROR(_xlfn.XLOOKUP(E802,MapeoCargos!$A:$A,MapeoCargos!$B:$B,E802),E802)</f>
        <v>AZAFATA</v>
      </c>
      <c r="G802" s="45">
        <v>45859</v>
      </c>
    </row>
    <row r="803" spans="1:7" x14ac:dyDescent="0.2">
      <c r="A803" s="27" t="s">
        <v>619</v>
      </c>
      <c r="B803" s="34" t="s">
        <v>189</v>
      </c>
      <c r="C803" s="34" t="s">
        <v>17</v>
      </c>
      <c r="D803" s="34" t="s">
        <v>620</v>
      </c>
      <c r="E803" s="35" t="s">
        <v>621</v>
      </c>
      <c r="F803" t="str" cm="1">
        <f t="array" ref="F803">IFERROR(_xlfn.XLOOKUP(E803,MapeoCargos!$A:$A,MapeoCargos!$B:$B,E803),E803)</f>
        <v xml:space="preserve">ANFITRIONAJE </v>
      </c>
      <c r="G803" s="45">
        <v>45870</v>
      </c>
    </row>
    <row r="804" spans="1:7" x14ac:dyDescent="0.2">
      <c r="A804" s="27" t="s">
        <v>2948</v>
      </c>
      <c r="B804" s="34" t="s">
        <v>2078</v>
      </c>
      <c r="C804" s="34" t="s">
        <v>3025</v>
      </c>
      <c r="D804" s="34" t="s">
        <v>2949</v>
      </c>
      <c r="E804" s="35" t="s">
        <v>83</v>
      </c>
      <c r="F804" t="str" cm="1">
        <f t="array" ref="F804">IFERROR(_xlfn.XLOOKUP(E804,MapeoCargos!$A:$A,MapeoCargos!$B:$B,E804),E804)</f>
        <v>PRODUCCIÓN / COCINA</v>
      </c>
      <c r="G804" s="45">
        <v>45873</v>
      </c>
    </row>
    <row r="805" spans="1:7" x14ac:dyDescent="0.2">
      <c r="A805" s="27" t="s">
        <v>2950</v>
      </c>
      <c r="B805" s="34" t="s">
        <v>2078</v>
      </c>
      <c r="C805" s="34" t="s">
        <v>2355</v>
      </c>
      <c r="D805" s="34" t="s">
        <v>2951</v>
      </c>
      <c r="E805" s="35" t="s">
        <v>193</v>
      </c>
      <c r="F805" t="str" cm="1">
        <f t="array" ref="F805">IFERROR(_xlfn.XLOOKUP(E805,MapeoCargos!$A:$A,MapeoCargos!$B:$B,E805),E805)</f>
        <v>PRODUCCIÓN / COCINA</v>
      </c>
      <c r="G805" s="45">
        <v>45870</v>
      </c>
    </row>
    <row r="806" spans="1:7" x14ac:dyDescent="0.2">
      <c r="A806" s="27" t="s">
        <v>2952</v>
      </c>
      <c r="B806" s="34" t="s">
        <v>2078</v>
      </c>
      <c r="C806" s="34" t="s">
        <v>25</v>
      </c>
      <c r="D806" s="34" t="s">
        <v>2953</v>
      </c>
      <c r="E806" s="35" t="s">
        <v>193</v>
      </c>
      <c r="F806" t="str" cm="1">
        <f t="array" ref="F806">IFERROR(_xlfn.XLOOKUP(E806,MapeoCargos!$A:$A,MapeoCargos!$B:$B,E806),E806)</f>
        <v>PRODUCCIÓN / COCINA</v>
      </c>
      <c r="G806" s="45">
        <v>45870</v>
      </c>
    </row>
    <row r="807" spans="1:7" x14ac:dyDescent="0.2">
      <c r="A807" s="27" t="s">
        <v>622</v>
      </c>
      <c r="B807" s="34" t="s">
        <v>189</v>
      </c>
      <c r="C807" s="34" t="s">
        <v>17</v>
      </c>
      <c r="D807" s="34" t="s">
        <v>623</v>
      </c>
      <c r="E807" s="35" t="s">
        <v>624</v>
      </c>
      <c r="F807" t="str" cm="1">
        <f t="array" ref="F807">IFERROR(_xlfn.XLOOKUP(E807,MapeoCargos!$A:$A,MapeoCargos!$B:$B,E807),E807)</f>
        <v>MOTORIZADO</v>
      </c>
      <c r="G807" s="45">
        <v>45870</v>
      </c>
    </row>
    <row r="808" spans="1:7" x14ac:dyDescent="0.2">
      <c r="A808" s="27" t="s">
        <v>2954</v>
      </c>
      <c r="B808" s="34" t="s">
        <v>2078</v>
      </c>
      <c r="C808" s="34" t="s">
        <v>2177</v>
      </c>
      <c r="D808" s="34" t="s">
        <v>2955</v>
      </c>
      <c r="E808" s="35" t="s">
        <v>29</v>
      </c>
      <c r="F808" t="str" cm="1">
        <f t="array" ref="F808">IFERROR(_xlfn.XLOOKUP(E808,MapeoCargos!$A:$A,MapeoCargos!$B:$B,E808),E808)</f>
        <v>MOZO</v>
      </c>
      <c r="G808" s="45">
        <v>45870</v>
      </c>
    </row>
    <row r="809" spans="1:7" x14ac:dyDescent="0.2">
      <c r="A809" s="27" t="s">
        <v>2956</v>
      </c>
      <c r="B809" s="34" t="s">
        <v>2078</v>
      </c>
      <c r="C809" s="34" t="s">
        <v>2177</v>
      </c>
      <c r="D809" s="34" t="s">
        <v>2957</v>
      </c>
      <c r="E809" s="35" t="s">
        <v>127</v>
      </c>
      <c r="F809" t="str" cm="1">
        <f t="array" ref="F809">IFERROR(_xlfn.XLOOKUP(E809,MapeoCargos!$A:$A,MapeoCargos!$B:$B,E809),E809)</f>
        <v>AZAFATA</v>
      </c>
      <c r="G809" s="45">
        <v>45870</v>
      </c>
    </row>
    <row r="810" spans="1:7" x14ac:dyDescent="0.2">
      <c r="A810" s="27" t="s">
        <v>2958</v>
      </c>
      <c r="B810" s="34" t="s">
        <v>2078</v>
      </c>
      <c r="C810" s="34" t="s">
        <v>5</v>
      </c>
      <c r="D810" s="34" t="s">
        <v>2959</v>
      </c>
      <c r="E810" s="35" t="s">
        <v>305</v>
      </c>
      <c r="F810" t="str" cm="1">
        <f t="array" ref="F810">IFERROR(_xlfn.XLOOKUP(E810,MapeoCargos!$A:$A,MapeoCargos!$B:$B,E810),E810)</f>
        <v>LIMPIEZA / MANTENIMIENTO</v>
      </c>
      <c r="G810" s="45">
        <v>45873</v>
      </c>
    </row>
    <row r="811" spans="1:7" x14ac:dyDescent="0.2">
      <c r="A811" s="27" t="s">
        <v>625</v>
      </c>
      <c r="B811" s="34" t="s">
        <v>189</v>
      </c>
      <c r="C811" s="34" t="s">
        <v>626</v>
      </c>
      <c r="D811" s="34" t="s">
        <v>627</v>
      </c>
      <c r="E811" s="35" t="s">
        <v>83</v>
      </c>
      <c r="F811" t="str" cm="1">
        <f t="array" ref="F811">IFERROR(_xlfn.XLOOKUP(E811,MapeoCargos!$A:$A,MapeoCargos!$B:$B,E811),E811)</f>
        <v>PRODUCCIÓN / COCINA</v>
      </c>
      <c r="G811" s="45">
        <v>45873</v>
      </c>
    </row>
    <row r="812" spans="1:7" x14ac:dyDescent="0.2">
      <c r="A812" s="27" t="s">
        <v>2960</v>
      </c>
      <c r="B812" s="34" t="s">
        <v>2078</v>
      </c>
      <c r="C812" s="34" t="s">
        <v>2079</v>
      </c>
      <c r="D812" s="34" t="s">
        <v>2961</v>
      </c>
      <c r="E812" s="35" t="s">
        <v>2962</v>
      </c>
      <c r="F812" t="str" cm="1">
        <f t="array" ref="F812">IFERROR(_xlfn.XLOOKUP(E812,MapeoCargos!$A:$A,MapeoCargos!$B:$B,E812),E812)</f>
        <v>ANALISTA DE OPERACIONES P/T</v>
      </c>
      <c r="G812" s="45">
        <v>45870</v>
      </c>
    </row>
    <row r="813" spans="1:7" x14ac:dyDescent="0.2">
      <c r="A813" s="27" t="s">
        <v>2963</v>
      </c>
      <c r="B813" s="34" t="s">
        <v>2078</v>
      </c>
      <c r="C813" s="34" t="s">
        <v>10</v>
      </c>
      <c r="D813" s="34" t="s">
        <v>2964</v>
      </c>
      <c r="E813" s="35" t="s">
        <v>231</v>
      </c>
      <c r="F813" t="str" cm="1">
        <f t="array" ref="F813">IFERROR(_xlfn.XLOOKUP(E813,MapeoCargos!$A:$A,MapeoCargos!$B:$B,E813),E813)</f>
        <v xml:space="preserve">CAJA </v>
      </c>
      <c r="G813" s="45">
        <v>45873</v>
      </c>
    </row>
    <row r="814" spans="1:7" x14ac:dyDescent="0.2">
      <c r="A814" s="27" t="s">
        <v>2965</v>
      </c>
      <c r="B814" s="34" t="s">
        <v>2078</v>
      </c>
      <c r="C814" s="34" t="s">
        <v>2355</v>
      </c>
      <c r="D814" s="34" t="s">
        <v>2966</v>
      </c>
      <c r="E814" s="35" t="s">
        <v>222</v>
      </c>
      <c r="F814" t="str" cm="1">
        <f t="array" ref="F814">IFERROR(_xlfn.XLOOKUP(E814,MapeoCargos!$A:$A,MapeoCargos!$B:$B,E814),E814)</f>
        <v>PRODUCCIÓN / COCINA</v>
      </c>
      <c r="G814" s="45">
        <v>45873</v>
      </c>
    </row>
    <row r="815" spans="1:7" x14ac:dyDescent="0.2">
      <c r="A815" s="27" t="s">
        <v>628</v>
      </c>
      <c r="B815" s="34" t="s">
        <v>189</v>
      </c>
      <c r="C815" s="34" t="s">
        <v>18</v>
      </c>
      <c r="D815" s="34" t="s">
        <v>629</v>
      </c>
      <c r="E815" s="35" t="s">
        <v>29</v>
      </c>
      <c r="F815" t="str" cm="1">
        <f t="array" ref="F815">IFERROR(_xlfn.XLOOKUP(E815,MapeoCargos!$A:$A,MapeoCargos!$B:$B,E815),E815)</f>
        <v>MOZO</v>
      </c>
      <c r="G815" s="45">
        <v>45873</v>
      </c>
    </row>
    <row r="816" spans="1:7" x14ac:dyDescent="0.2">
      <c r="A816" s="27" t="s">
        <v>2967</v>
      </c>
      <c r="B816" s="34" t="s">
        <v>2078</v>
      </c>
      <c r="C816" s="34" t="s">
        <v>2177</v>
      </c>
      <c r="D816" s="34" t="s">
        <v>2968</v>
      </c>
      <c r="E816" s="35" t="s">
        <v>83</v>
      </c>
      <c r="F816" t="str" cm="1">
        <f t="array" ref="F816">IFERROR(_xlfn.XLOOKUP(E816,MapeoCargos!$A:$A,MapeoCargos!$B:$B,E816),E816)</f>
        <v>PRODUCCIÓN / COCINA</v>
      </c>
      <c r="G816" s="45">
        <v>45873</v>
      </c>
    </row>
    <row r="817" spans="1:7" x14ac:dyDescent="0.2">
      <c r="A817" s="27" t="s">
        <v>3420</v>
      </c>
      <c r="B817" s="34" t="s">
        <v>3037</v>
      </c>
      <c r="C817" s="34" t="s">
        <v>626</v>
      </c>
      <c r="D817" s="34" t="s">
        <v>3421</v>
      </c>
      <c r="E817" s="35" t="s">
        <v>127</v>
      </c>
      <c r="F817" t="str" cm="1">
        <f t="array" ref="F817">IFERROR(_xlfn.XLOOKUP(E817,MapeoCargos!$A:$A,MapeoCargos!$B:$B,E817),E817)</f>
        <v>AZAFATA</v>
      </c>
      <c r="G817" s="45">
        <v>45870</v>
      </c>
    </row>
    <row r="818" spans="1:7" x14ac:dyDescent="0.2">
      <c r="A818" s="27" t="s">
        <v>2969</v>
      </c>
      <c r="B818" s="34" t="s">
        <v>2078</v>
      </c>
      <c r="C818" s="34" t="s">
        <v>2079</v>
      </c>
      <c r="D818" s="34" t="s">
        <v>2970</v>
      </c>
      <c r="E818" s="35" t="s">
        <v>231</v>
      </c>
      <c r="F818" t="str" cm="1">
        <f t="array" ref="F818">IFERROR(_xlfn.XLOOKUP(E818,MapeoCargos!$A:$A,MapeoCargos!$B:$B,E818),E818)</f>
        <v xml:space="preserve">CAJA </v>
      </c>
      <c r="G818" s="45">
        <v>45875</v>
      </c>
    </row>
    <row r="819" spans="1:7" x14ac:dyDescent="0.2">
      <c r="A819" s="27" t="s">
        <v>2971</v>
      </c>
      <c r="B819" s="34" t="s">
        <v>2078</v>
      </c>
      <c r="C819" s="34" t="s">
        <v>2079</v>
      </c>
      <c r="D819" s="34" t="s">
        <v>2972</v>
      </c>
      <c r="E819" s="35" t="s">
        <v>116</v>
      </c>
      <c r="F819" t="str" cm="1">
        <f t="array" ref="F819">IFERROR(_xlfn.XLOOKUP(E819,MapeoCargos!$A:$A,MapeoCargos!$B:$B,E819),E819)</f>
        <v>AUXILIAR DE MANTENIMIENTO</v>
      </c>
      <c r="G819" s="45">
        <v>45870</v>
      </c>
    </row>
    <row r="820" spans="1:7" x14ac:dyDescent="0.2">
      <c r="A820" s="27" t="s">
        <v>2973</v>
      </c>
      <c r="B820" s="34" t="s">
        <v>2078</v>
      </c>
      <c r="C820" s="34" t="s">
        <v>2079</v>
      </c>
      <c r="D820" s="34" t="s">
        <v>2974</v>
      </c>
      <c r="E820" s="35" t="s">
        <v>1814</v>
      </c>
      <c r="F820" t="str" cm="1">
        <f t="array" ref="F820">IFERROR(_xlfn.XLOOKUP(E820,MapeoCargos!$A:$A,MapeoCargos!$B:$B,E820),E820)</f>
        <v>ASISTENTE DE SELECCION</v>
      </c>
      <c r="G820" s="45">
        <v>45880</v>
      </c>
    </row>
    <row r="821" spans="1:7" x14ac:dyDescent="0.2">
      <c r="A821" s="27" t="s">
        <v>3882</v>
      </c>
      <c r="B821" s="34" t="s">
        <v>189</v>
      </c>
      <c r="C821" s="34" t="s">
        <v>20</v>
      </c>
      <c r="D821" s="34" t="s">
        <v>630</v>
      </c>
      <c r="E821" s="35" t="s">
        <v>29</v>
      </c>
      <c r="F821" t="str" cm="1">
        <f t="array" ref="F821">IFERROR(_xlfn.XLOOKUP(E821,MapeoCargos!$A:$A,MapeoCargos!$B:$B,E821),E821)</f>
        <v>MOZO</v>
      </c>
      <c r="G821" s="45">
        <v>45880</v>
      </c>
    </row>
    <row r="822" spans="1:7" x14ac:dyDescent="0.2">
      <c r="A822" s="27" t="s">
        <v>2975</v>
      </c>
      <c r="B822" s="34" t="s">
        <v>2078</v>
      </c>
      <c r="C822" s="34" t="s">
        <v>2082</v>
      </c>
      <c r="D822" s="34" t="s">
        <v>2976</v>
      </c>
      <c r="E822" s="35" t="s">
        <v>468</v>
      </c>
      <c r="F822" t="str" cm="1">
        <f t="array" ref="F822">IFERROR(_xlfn.XLOOKUP(E822,MapeoCargos!$A:$A,MapeoCargos!$B:$B,E822),E822)</f>
        <v xml:space="preserve">ANFITRIONAJE </v>
      </c>
      <c r="G822" s="45">
        <v>45880</v>
      </c>
    </row>
    <row r="823" spans="1:7" x14ac:dyDescent="0.2">
      <c r="A823" s="27" t="s">
        <v>631</v>
      </c>
      <c r="B823" s="34" t="s">
        <v>189</v>
      </c>
      <c r="C823" s="34" t="s">
        <v>20</v>
      </c>
      <c r="D823" s="34" t="s">
        <v>632</v>
      </c>
      <c r="E823" s="35" t="s">
        <v>29</v>
      </c>
      <c r="F823" t="str" cm="1">
        <f t="array" ref="F823">IFERROR(_xlfn.XLOOKUP(E823,MapeoCargos!$A:$A,MapeoCargos!$B:$B,E823),E823)</f>
        <v>MOZO</v>
      </c>
      <c r="G823" s="45">
        <v>45880</v>
      </c>
    </row>
    <row r="824" spans="1:7" x14ac:dyDescent="0.2">
      <c r="A824" s="27" t="s">
        <v>3422</v>
      </c>
      <c r="B824" s="34" t="s">
        <v>3037</v>
      </c>
      <c r="C824" s="34" t="s">
        <v>2670</v>
      </c>
      <c r="D824" s="34" t="s">
        <v>3423</v>
      </c>
      <c r="E824" s="35" t="s">
        <v>83</v>
      </c>
      <c r="F824" t="str" cm="1">
        <f t="array" ref="F824">IFERROR(_xlfn.XLOOKUP(E824,MapeoCargos!$A:$A,MapeoCargos!$B:$B,E824),E824)</f>
        <v>PRODUCCIÓN / COCINA</v>
      </c>
      <c r="G824" s="45">
        <v>45880</v>
      </c>
    </row>
    <row r="825" spans="1:7" x14ac:dyDescent="0.2">
      <c r="A825" s="27" t="s">
        <v>2977</v>
      </c>
      <c r="B825" s="34" t="s">
        <v>2078</v>
      </c>
      <c r="C825" s="34" t="s">
        <v>2355</v>
      </c>
      <c r="D825" s="34" t="s">
        <v>2978</v>
      </c>
      <c r="E825" s="35" t="s">
        <v>83</v>
      </c>
      <c r="F825" t="str" cm="1">
        <f t="array" ref="F825">IFERROR(_xlfn.XLOOKUP(E825,MapeoCargos!$A:$A,MapeoCargos!$B:$B,E825),E825)</f>
        <v>PRODUCCIÓN / COCINA</v>
      </c>
      <c r="G825" s="45">
        <v>45880</v>
      </c>
    </row>
    <row r="826" spans="1:7" x14ac:dyDescent="0.2">
      <c r="A826" s="27" t="s">
        <v>2979</v>
      </c>
      <c r="B826" s="34" t="s">
        <v>2078</v>
      </c>
      <c r="C826" s="34" t="s">
        <v>2355</v>
      </c>
      <c r="D826" s="34" t="s">
        <v>2980</v>
      </c>
      <c r="E826" s="35" t="s">
        <v>360</v>
      </c>
      <c r="F826" t="str" cm="1">
        <f t="array" ref="F826">IFERROR(_xlfn.XLOOKUP(E826,MapeoCargos!$A:$A,MapeoCargos!$B:$B,E826),E826)</f>
        <v>PRODUCCIÓN / COCINA</v>
      </c>
      <c r="G826" s="45">
        <v>45880</v>
      </c>
    </row>
    <row r="827" spans="1:7" x14ac:dyDescent="0.2">
      <c r="A827" s="27" t="s">
        <v>3424</v>
      </c>
      <c r="B827" s="34" t="s">
        <v>3037</v>
      </c>
      <c r="C827" s="34" t="s">
        <v>16</v>
      </c>
      <c r="D827" s="34" t="s">
        <v>3425</v>
      </c>
      <c r="E827" s="35" t="s">
        <v>305</v>
      </c>
      <c r="F827" t="str" cm="1">
        <f t="array" ref="F827">IFERROR(_xlfn.XLOOKUP(E827,MapeoCargos!$A:$A,MapeoCargos!$B:$B,E827),E827)</f>
        <v>LIMPIEZA / MANTENIMIENTO</v>
      </c>
      <c r="G827" s="45">
        <v>45880</v>
      </c>
    </row>
    <row r="828" spans="1:7" x14ac:dyDescent="0.2">
      <c r="A828" s="27" t="s">
        <v>2981</v>
      </c>
      <c r="B828" s="34" t="s">
        <v>2078</v>
      </c>
      <c r="C828" s="34" t="s">
        <v>4</v>
      </c>
      <c r="D828" s="34" t="s">
        <v>2982</v>
      </c>
      <c r="E828" s="35" t="s">
        <v>222</v>
      </c>
      <c r="F828" t="str" cm="1">
        <f t="array" ref="F828">IFERROR(_xlfn.XLOOKUP(E828,MapeoCargos!$A:$A,MapeoCargos!$B:$B,E828),E828)</f>
        <v>PRODUCCIÓN / COCINA</v>
      </c>
      <c r="G828" s="45">
        <v>45887</v>
      </c>
    </row>
    <row r="829" spans="1:7" x14ac:dyDescent="0.2">
      <c r="A829" s="27" t="s">
        <v>2983</v>
      </c>
      <c r="B829" s="34" t="s">
        <v>2078</v>
      </c>
      <c r="C829" s="34" t="s">
        <v>25</v>
      </c>
      <c r="D829" s="34" t="s">
        <v>2984</v>
      </c>
      <c r="E829" s="35" t="s">
        <v>360</v>
      </c>
      <c r="F829" t="str" cm="1">
        <f t="array" ref="F829">IFERROR(_xlfn.XLOOKUP(E829,MapeoCargos!$A:$A,MapeoCargos!$B:$B,E829),E829)</f>
        <v>PRODUCCIÓN / COCINA</v>
      </c>
      <c r="G829" s="45">
        <v>45887</v>
      </c>
    </row>
    <row r="830" spans="1:7" x14ac:dyDescent="0.2">
      <c r="A830" s="27" t="s">
        <v>2985</v>
      </c>
      <c r="B830" s="34" t="s">
        <v>2078</v>
      </c>
      <c r="C830" s="34" t="s">
        <v>2079</v>
      </c>
      <c r="D830" s="34" t="s">
        <v>2986</v>
      </c>
      <c r="E830" s="35" t="s">
        <v>116</v>
      </c>
      <c r="F830" t="str" cm="1">
        <f t="array" ref="F830">IFERROR(_xlfn.XLOOKUP(E830,MapeoCargos!$A:$A,MapeoCargos!$B:$B,E830),E830)</f>
        <v>AUXILIAR DE MANTENIMIENTO</v>
      </c>
      <c r="G830" s="45">
        <v>45887</v>
      </c>
    </row>
    <row r="831" spans="1:7" x14ac:dyDescent="0.2">
      <c r="A831" s="27" t="s">
        <v>3426</v>
      </c>
      <c r="B831" s="34" t="s">
        <v>3037</v>
      </c>
      <c r="C831" s="34" t="s">
        <v>2458</v>
      </c>
      <c r="D831" s="34" t="s">
        <v>3427</v>
      </c>
      <c r="E831" s="35" t="s">
        <v>29</v>
      </c>
      <c r="F831" t="str" cm="1">
        <f t="array" ref="F831">IFERROR(_xlfn.XLOOKUP(E831,MapeoCargos!$A:$A,MapeoCargos!$B:$B,E831),E831)</f>
        <v>MOZO</v>
      </c>
      <c r="G831" s="45">
        <v>45887</v>
      </c>
    </row>
    <row r="832" spans="1:7" x14ac:dyDescent="0.2">
      <c r="A832" s="27" t="s">
        <v>3980</v>
      </c>
      <c r="B832" s="34" t="s">
        <v>2078</v>
      </c>
      <c r="C832" s="34" t="s">
        <v>10</v>
      </c>
      <c r="D832" s="34" t="s">
        <v>2987</v>
      </c>
      <c r="E832" s="35" t="s">
        <v>126</v>
      </c>
      <c r="F832" t="str" cm="1">
        <f t="array" ref="F832">IFERROR(_xlfn.XLOOKUP(E832,MapeoCargos!$A:$A,MapeoCargos!$B:$B,E832),E832)</f>
        <v>MOTORIZADO</v>
      </c>
      <c r="G832" s="45">
        <v>45887</v>
      </c>
    </row>
    <row r="833" spans="1:9" x14ac:dyDescent="0.2">
      <c r="A833" s="27" t="s">
        <v>2988</v>
      </c>
      <c r="B833" s="34" t="s">
        <v>2078</v>
      </c>
      <c r="C833" s="34" t="s">
        <v>10</v>
      </c>
      <c r="D833" s="34" t="s">
        <v>2989</v>
      </c>
      <c r="E833" s="35" t="s">
        <v>468</v>
      </c>
      <c r="F833" t="str" cm="1">
        <f t="array" ref="F833">IFERROR(_xlfn.XLOOKUP(E833,MapeoCargos!$A:$A,MapeoCargos!$B:$B,E833),E833)</f>
        <v xml:space="preserve">ANFITRIONAJE </v>
      </c>
      <c r="G833" s="45">
        <v>45887</v>
      </c>
    </row>
    <row r="834" spans="1:9" x14ac:dyDescent="0.2">
      <c r="A834" s="27" t="s">
        <v>2990</v>
      </c>
      <c r="B834" s="34" t="s">
        <v>2078</v>
      </c>
      <c r="C834" s="34" t="s">
        <v>3025</v>
      </c>
      <c r="D834" s="34" t="s">
        <v>2991</v>
      </c>
      <c r="E834" s="35" t="s">
        <v>126</v>
      </c>
      <c r="F834" t="str" cm="1">
        <f t="array" ref="F834">IFERROR(_xlfn.XLOOKUP(E834,MapeoCargos!$A:$A,MapeoCargos!$B:$B,E834),E834)</f>
        <v>MOTORIZADO</v>
      </c>
      <c r="G834" s="45">
        <v>45887</v>
      </c>
    </row>
    <row r="835" spans="1:9" x14ac:dyDescent="0.2">
      <c r="A835" s="27" t="s">
        <v>633</v>
      </c>
      <c r="B835" s="34" t="s">
        <v>189</v>
      </c>
      <c r="C835" s="34" t="s">
        <v>20</v>
      </c>
      <c r="D835" s="34" t="s">
        <v>634</v>
      </c>
      <c r="E835" s="35" t="s">
        <v>468</v>
      </c>
      <c r="F835" t="str" cm="1">
        <f t="array" ref="F835">IFERROR(_xlfn.XLOOKUP(E835,MapeoCargos!$A:$A,MapeoCargos!$B:$B,E835),E835)</f>
        <v xml:space="preserve">ANFITRIONAJE </v>
      </c>
      <c r="G835" s="45">
        <v>45887</v>
      </c>
    </row>
    <row r="836" spans="1:9" x14ac:dyDescent="0.2">
      <c r="A836" s="27" t="s">
        <v>2992</v>
      </c>
      <c r="B836" s="34" t="s">
        <v>2078</v>
      </c>
      <c r="C836" s="34" t="s">
        <v>2079</v>
      </c>
      <c r="D836" s="34" t="s">
        <v>2993</v>
      </c>
      <c r="E836" s="35" t="s">
        <v>200</v>
      </c>
      <c r="F836" t="str" cm="1">
        <f t="array" ref="F836">IFERROR(_xlfn.XLOOKUP(E836,MapeoCargos!$A:$A,MapeoCargos!$B:$B,E836),E836)</f>
        <v>SEGURIDAD</v>
      </c>
      <c r="G836" s="45">
        <v>45887</v>
      </c>
    </row>
    <row r="837" spans="1:9" x14ac:dyDescent="0.2">
      <c r="A837" s="27" t="s">
        <v>2994</v>
      </c>
      <c r="B837" s="34" t="s">
        <v>2078</v>
      </c>
      <c r="C837" s="34" t="s">
        <v>2114</v>
      </c>
      <c r="D837" s="34" t="s">
        <v>2995</v>
      </c>
      <c r="E837" s="35" t="s">
        <v>621</v>
      </c>
      <c r="F837" t="str" cm="1">
        <f t="array" ref="F837">IFERROR(_xlfn.XLOOKUP(E837,MapeoCargos!$A:$A,MapeoCargos!$B:$B,E837),E837)</f>
        <v xml:space="preserve">ANFITRIONAJE </v>
      </c>
      <c r="G837" s="45">
        <v>45887</v>
      </c>
    </row>
    <row r="838" spans="1:9" x14ac:dyDescent="0.2">
      <c r="A838" s="27" t="s">
        <v>2996</v>
      </c>
      <c r="B838" s="34" t="s">
        <v>2078</v>
      </c>
      <c r="C838" s="34" t="s">
        <v>2114</v>
      </c>
      <c r="D838" s="34" t="s">
        <v>2997</v>
      </c>
      <c r="E838" s="35" t="s">
        <v>305</v>
      </c>
      <c r="F838" t="str" cm="1">
        <f t="array" ref="F838">IFERROR(_xlfn.XLOOKUP(E838,MapeoCargos!$A:$A,MapeoCargos!$B:$B,E838),E838)</f>
        <v>LIMPIEZA / MANTENIMIENTO</v>
      </c>
      <c r="G838" s="45">
        <v>45887</v>
      </c>
    </row>
    <row r="839" spans="1:9" x14ac:dyDescent="0.2">
      <c r="A839" s="27" t="s">
        <v>2998</v>
      </c>
      <c r="B839" s="34" t="s">
        <v>2078</v>
      </c>
      <c r="C839" s="34" t="s">
        <v>2082</v>
      </c>
      <c r="D839" s="34" t="s">
        <v>2999</v>
      </c>
      <c r="E839" s="35" t="s">
        <v>126</v>
      </c>
      <c r="F839" t="str" cm="1">
        <f t="array" ref="F839">IFERROR(_xlfn.XLOOKUP(E839,MapeoCargos!$A:$A,MapeoCargos!$B:$B,E839),E839)</f>
        <v>MOTORIZADO</v>
      </c>
      <c r="G839" s="45">
        <v>45887</v>
      </c>
      <c r="H839" s="18"/>
      <c r="I839" s="18"/>
    </row>
    <row r="840" spans="1:9" x14ac:dyDescent="0.2">
      <c r="A840" s="27" t="s">
        <v>3000</v>
      </c>
      <c r="B840" s="34" t="s">
        <v>2078</v>
      </c>
      <c r="C840" s="34" t="s">
        <v>8</v>
      </c>
      <c r="D840" s="34" t="s">
        <v>3001</v>
      </c>
      <c r="E840" s="35" t="s">
        <v>468</v>
      </c>
      <c r="F840" t="str" cm="1">
        <f t="array" ref="F840">IFERROR(_xlfn.XLOOKUP(E840,MapeoCargos!$A:$A,MapeoCargos!$B:$B,E840),E840)</f>
        <v xml:space="preserve">ANFITRIONAJE </v>
      </c>
      <c r="G840" s="45">
        <v>45887</v>
      </c>
    </row>
    <row r="841" spans="1:9" x14ac:dyDescent="0.2">
      <c r="A841" s="27" t="s">
        <v>3002</v>
      </c>
      <c r="B841" s="34" t="s">
        <v>2078</v>
      </c>
      <c r="C841" s="34" t="s">
        <v>2079</v>
      </c>
      <c r="D841" s="34" t="s">
        <v>3003</v>
      </c>
      <c r="E841" s="35" t="s">
        <v>3004</v>
      </c>
      <c r="F841" t="str" cm="1">
        <f t="array" ref="F841">IFERROR(_xlfn.XLOOKUP(E841,MapeoCargos!$A:$A,MapeoCargos!$B:$B,E841),E841)</f>
        <v>STAFF ADMINISTRATIVO</v>
      </c>
      <c r="G841" s="45">
        <v>45887</v>
      </c>
    </row>
    <row r="842" spans="1:9" x14ac:dyDescent="0.2">
      <c r="A842" s="27" t="s">
        <v>635</v>
      </c>
      <c r="B842" s="34" t="s">
        <v>189</v>
      </c>
      <c r="C842" s="34" t="s">
        <v>20</v>
      </c>
      <c r="D842" s="34" t="s">
        <v>636</v>
      </c>
      <c r="E842" s="35" t="s">
        <v>127</v>
      </c>
      <c r="F842" t="str" cm="1">
        <f t="array" ref="F842">IFERROR(_xlfn.XLOOKUP(E842,MapeoCargos!$A:$A,MapeoCargos!$B:$B,E842),E842)</f>
        <v>AZAFATA</v>
      </c>
      <c r="G842" s="45">
        <v>45887</v>
      </c>
    </row>
    <row r="843" spans="1:9" x14ac:dyDescent="0.2">
      <c r="A843" s="27" t="s">
        <v>3005</v>
      </c>
      <c r="B843" s="34" t="s">
        <v>2078</v>
      </c>
      <c r="C843" s="34" t="s">
        <v>8</v>
      </c>
      <c r="D843" s="34" t="s">
        <v>3006</v>
      </c>
      <c r="E843" s="35" t="s">
        <v>127</v>
      </c>
      <c r="F843" t="str" cm="1">
        <f t="array" ref="F843">IFERROR(_xlfn.XLOOKUP(E843,MapeoCargos!$A:$A,MapeoCargos!$B:$B,E843),E843)</f>
        <v>AZAFATA</v>
      </c>
      <c r="G843" s="45">
        <v>45889</v>
      </c>
    </row>
    <row r="844" spans="1:9" x14ac:dyDescent="0.2">
      <c r="A844" s="27" t="s">
        <v>3007</v>
      </c>
      <c r="B844" s="34" t="s">
        <v>2078</v>
      </c>
      <c r="C844" s="34" t="s">
        <v>2458</v>
      </c>
      <c r="D844" s="34" t="s">
        <v>3008</v>
      </c>
      <c r="E844" s="35" t="s">
        <v>127</v>
      </c>
      <c r="F844" t="str" cm="1">
        <f t="array" ref="F844">IFERROR(_xlfn.XLOOKUP(E844,MapeoCargos!$A:$A,MapeoCargos!$B:$B,E844),E844)</f>
        <v>AZAFATA</v>
      </c>
      <c r="G844" s="45">
        <v>45889</v>
      </c>
    </row>
    <row r="845" spans="1:9" x14ac:dyDescent="0.2">
      <c r="A845" s="27" t="s">
        <v>3009</v>
      </c>
      <c r="B845" s="34" t="s">
        <v>2078</v>
      </c>
      <c r="C845" s="34" t="s">
        <v>8</v>
      </c>
      <c r="D845" s="34" t="s">
        <v>3010</v>
      </c>
      <c r="E845" s="35" t="s">
        <v>29</v>
      </c>
      <c r="F845" t="str" cm="1">
        <f t="array" ref="F845">IFERROR(_xlfn.XLOOKUP(E845,MapeoCargos!$A:$A,MapeoCargos!$B:$B,E845),E845)</f>
        <v>MOZO</v>
      </c>
      <c r="G845" s="45">
        <v>45889</v>
      </c>
    </row>
    <row r="846" spans="1:9" x14ac:dyDescent="0.2">
      <c r="A846" s="27" t="s">
        <v>3011</v>
      </c>
      <c r="B846" s="34" t="s">
        <v>2078</v>
      </c>
      <c r="C846" s="34" t="s">
        <v>2177</v>
      </c>
      <c r="D846" s="34" t="s">
        <v>3012</v>
      </c>
      <c r="E846" s="35" t="s">
        <v>29</v>
      </c>
      <c r="F846" t="str" cm="1">
        <f t="array" ref="F846">IFERROR(_xlfn.XLOOKUP(E846,MapeoCargos!$A:$A,MapeoCargos!$B:$B,E846),E846)</f>
        <v>MOZO</v>
      </c>
      <c r="G846" s="45">
        <v>45889</v>
      </c>
    </row>
    <row r="847" spans="1:9" x14ac:dyDescent="0.2">
      <c r="A847" s="27" t="s">
        <v>637</v>
      </c>
      <c r="B847" s="34" t="s">
        <v>189</v>
      </c>
      <c r="C847" s="34" t="s">
        <v>205</v>
      </c>
      <c r="D847" s="34" t="s">
        <v>638</v>
      </c>
      <c r="E847" s="35" t="s">
        <v>29</v>
      </c>
      <c r="F847" t="str" cm="1">
        <f t="array" ref="F847">IFERROR(_xlfn.XLOOKUP(E847,MapeoCargos!$A:$A,MapeoCargos!$B:$B,E847),E847)</f>
        <v>MOZO</v>
      </c>
      <c r="G847" s="45">
        <v>45894</v>
      </c>
    </row>
    <row r="848" spans="1:9" x14ac:dyDescent="0.2">
      <c r="A848" s="27" t="s">
        <v>640</v>
      </c>
      <c r="B848" s="34" t="s">
        <v>189</v>
      </c>
      <c r="C848" s="34" t="s">
        <v>19</v>
      </c>
      <c r="D848" s="34" t="s">
        <v>641</v>
      </c>
      <c r="E848" s="35" t="s">
        <v>606</v>
      </c>
      <c r="F848" t="str" cm="1">
        <f t="array" ref="F848">IFERROR(_xlfn.XLOOKUP(E848,MapeoCargos!$A:$A,MapeoCargos!$B:$B,E848),E848)</f>
        <v>BAR</v>
      </c>
      <c r="G848" s="45">
        <v>45894</v>
      </c>
    </row>
    <row r="849" spans="1:7" x14ac:dyDescent="0.2">
      <c r="A849" s="27" t="s">
        <v>642</v>
      </c>
      <c r="B849" s="34" t="s">
        <v>189</v>
      </c>
      <c r="C849" s="34" t="s">
        <v>21</v>
      </c>
      <c r="D849" s="34" t="s">
        <v>643</v>
      </c>
      <c r="E849" s="35" t="s">
        <v>29</v>
      </c>
      <c r="F849" t="str" cm="1">
        <f t="array" ref="F849">IFERROR(_xlfn.XLOOKUP(E849,MapeoCargos!$A:$A,MapeoCargos!$B:$B,E849),E849)</f>
        <v>MOZO</v>
      </c>
      <c r="G849" s="45">
        <v>45894</v>
      </c>
    </row>
    <row r="850" spans="1:7" x14ac:dyDescent="0.2">
      <c r="A850" s="27" t="s">
        <v>3428</v>
      </c>
      <c r="B850" s="34" t="s">
        <v>3037</v>
      </c>
      <c r="C850" s="34" t="s">
        <v>2458</v>
      </c>
      <c r="D850" s="34" t="s">
        <v>3429</v>
      </c>
      <c r="E850" s="35" t="s">
        <v>83</v>
      </c>
      <c r="F850" t="str" cm="1">
        <f t="array" ref="F850">IFERROR(_xlfn.XLOOKUP(E850,MapeoCargos!$A:$A,MapeoCargos!$B:$B,E850),E850)</f>
        <v>PRODUCCIÓN / COCINA</v>
      </c>
      <c r="G850" s="45">
        <v>45894</v>
      </c>
    </row>
    <row r="851" spans="1:7" x14ac:dyDescent="0.2">
      <c r="A851" s="27" t="s">
        <v>3013</v>
      </c>
      <c r="B851" s="34" t="s">
        <v>2078</v>
      </c>
      <c r="C851" s="34" t="s">
        <v>23</v>
      </c>
      <c r="D851" s="34" t="s">
        <v>3014</v>
      </c>
      <c r="E851" s="35" t="s">
        <v>222</v>
      </c>
      <c r="F851" t="str" cm="1">
        <f t="array" ref="F851">IFERROR(_xlfn.XLOOKUP(E851,MapeoCargos!$A:$A,MapeoCargos!$B:$B,E851),E851)</f>
        <v>PRODUCCIÓN / COCINA</v>
      </c>
      <c r="G851" s="45">
        <v>45894</v>
      </c>
    </row>
    <row r="852" spans="1:7" x14ac:dyDescent="0.2">
      <c r="A852" s="27" t="s">
        <v>3430</v>
      </c>
      <c r="B852" s="34" t="s">
        <v>3037</v>
      </c>
      <c r="C852" s="34" t="s">
        <v>16</v>
      </c>
      <c r="D852" s="34" t="s">
        <v>3431</v>
      </c>
      <c r="E852" s="35" t="s">
        <v>231</v>
      </c>
      <c r="F852" t="str" cm="1">
        <f t="array" ref="F852">IFERROR(_xlfn.XLOOKUP(E852,MapeoCargos!$A:$A,MapeoCargos!$B:$B,E852),E852)</f>
        <v xml:space="preserve">CAJA </v>
      </c>
      <c r="G852" s="45">
        <v>45894</v>
      </c>
    </row>
    <row r="853" spans="1:7" x14ac:dyDescent="0.2">
      <c r="A853" s="27" t="s">
        <v>644</v>
      </c>
      <c r="B853" s="34" t="s">
        <v>189</v>
      </c>
      <c r="C853" s="34" t="s">
        <v>20</v>
      </c>
      <c r="D853" s="34" t="s">
        <v>645</v>
      </c>
      <c r="E853" s="35" t="s">
        <v>126</v>
      </c>
      <c r="F853" t="str" cm="1">
        <f t="array" ref="F853">IFERROR(_xlfn.XLOOKUP(E853,MapeoCargos!$A:$A,MapeoCargos!$B:$B,E853),E853)</f>
        <v>MOTORIZADO</v>
      </c>
      <c r="G853" s="45">
        <v>45894</v>
      </c>
    </row>
    <row r="854" spans="1:7" x14ac:dyDescent="0.2">
      <c r="A854" s="27" t="s">
        <v>3015</v>
      </c>
      <c r="B854" s="34" t="s">
        <v>2078</v>
      </c>
      <c r="C854" s="34" t="s">
        <v>2079</v>
      </c>
      <c r="D854" s="34" t="s">
        <v>3016</v>
      </c>
      <c r="E854" s="35" t="s">
        <v>3004</v>
      </c>
      <c r="F854" t="str" cm="1">
        <f t="array" ref="F854">IFERROR(_xlfn.XLOOKUP(E854,MapeoCargos!$A:$A,MapeoCargos!$B:$B,E854),E854)</f>
        <v>STAFF ADMINISTRATIVO</v>
      </c>
      <c r="G854" s="45">
        <v>45894</v>
      </c>
    </row>
    <row r="855" spans="1:7" x14ac:dyDescent="0.2">
      <c r="A855" s="27" t="s">
        <v>3017</v>
      </c>
      <c r="B855" s="34" t="s">
        <v>2078</v>
      </c>
      <c r="C855" s="34" t="s">
        <v>2079</v>
      </c>
      <c r="D855" s="34" t="s">
        <v>3018</v>
      </c>
      <c r="E855" s="35" t="s">
        <v>3019</v>
      </c>
      <c r="F855" t="str" cm="1">
        <f t="array" ref="F855">IFERROR(_xlfn.XLOOKUP(E855,MapeoCargos!$A:$A,MapeoCargos!$B:$B,E855),E855)</f>
        <v>DISEÑADOR (A) JUNIOR</v>
      </c>
      <c r="G855" s="45">
        <v>45901</v>
      </c>
    </row>
    <row r="856" spans="1:7" x14ac:dyDescent="0.2">
      <c r="A856" s="27" t="s">
        <v>3020</v>
      </c>
      <c r="B856" s="34" t="s">
        <v>2078</v>
      </c>
      <c r="C856" s="34" t="s">
        <v>2079</v>
      </c>
      <c r="D856" s="34" t="s">
        <v>3021</v>
      </c>
      <c r="E856" s="35" t="s">
        <v>3022</v>
      </c>
      <c r="F856" t="str" cm="1">
        <f t="array" ref="F856">IFERROR(_xlfn.XLOOKUP(E856,MapeoCargos!$A:$A,MapeoCargos!$B:$B,E856),E856)</f>
        <v>ASISTENTE DE MARKETING</v>
      </c>
      <c r="G856" s="45">
        <v>45901</v>
      </c>
    </row>
    <row r="857" spans="1:7" x14ac:dyDescent="0.2">
      <c r="A857" s="27" t="s">
        <v>646</v>
      </c>
      <c r="B857" s="34" t="s">
        <v>189</v>
      </c>
      <c r="C857" s="34" t="s">
        <v>21</v>
      </c>
      <c r="D857" s="34" t="s">
        <v>647</v>
      </c>
      <c r="E857" s="35" t="s">
        <v>29</v>
      </c>
      <c r="F857" t="str" cm="1">
        <f t="array" ref="F857">IFERROR(_xlfn.XLOOKUP(E857,MapeoCargos!$A:$A,MapeoCargos!$B:$B,E857),E857)</f>
        <v>MOZO</v>
      </c>
      <c r="G857" s="45">
        <v>45901</v>
      </c>
    </row>
    <row r="858" spans="1:7" x14ac:dyDescent="0.2">
      <c r="A858" s="27" t="s">
        <v>3023</v>
      </c>
      <c r="B858" s="34" t="s">
        <v>2078</v>
      </c>
      <c r="C858" s="34" t="s">
        <v>2079</v>
      </c>
      <c r="D858" s="34" t="s">
        <v>3024</v>
      </c>
      <c r="E858" s="35" t="s">
        <v>193</v>
      </c>
      <c r="F858" t="str" cm="1">
        <f t="array" ref="F858">IFERROR(_xlfn.XLOOKUP(E858,MapeoCargos!$A:$A,MapeoCargos!$B:$B,E858),E858)</f>
        <v>PRODUCCIÓN / COCINA</v>
      </c>
      <c r="G858" s="45">
        <v>45901</v>
      </c>
    </row>
    <row r="859" spans="1:7" x14ac:dyDescent="0.2">
      <c r="A859" s="27" t="s">
        <v>649</v>
      </c>
      <c r="B859" s="34" t="s">
        <v>189</v>
      </c>
      <c r="C859" s="34" t="s">
        <v>17</v>
      </c>
      <c r="D859" s="34" t="s">
        <v>650</v>
      </c>
      <c r="E859" s="35" t="s">
        <v>305</v>
      </c>
      <c r="F859" t="str" cm="1">
        <f t="array" ref="F859">IFERROR(_xlfn.XLOOKUP(E859,MapeoCargos!$A:$A,MapeoCargos!$B:$B,E859),E859)</f>
        <v>LIMPIEZA / MANTENIMIENTO</v>
      </c>
      <c r="G859" s="45">
        <v>45901</v>
      </c>
    </row>
    <row r="860" spans="1:7" x14ac:dyDescent="0.2">
      <c r="A860" s="27" t="s">
        <v>3026</v>
      </c>
      <c r="B860" s="34" t="s">
        <v>2078</v>
      </c>
      <c r="C860" s="34" t="s">
        <v>2114</v>
      </c>
      <c r="D860" s="34" t="s">
        <v>3027</v>
      </c>
      <c r="E860" s="35" t="s">
        <v>200</v>
      </c>
      <c r="F860" t="str" cm="1">
        <f t="array" ref="F860">IFERROR(_xlfn.XLOOKUP(E860,MapeoCargos!$A:$A,MapeoCargos!$B:$B,E860),E860)</f>
        <v>SEGURIDAD</v>
      </c>
      <c r="G860" s="45">
        <v>45901</v>
      </c>
    </row>
    <row r="861" spans="1:7" x14ac:dyDescent="0.2">
      <c r="A861" s="27" t="s">
        <v>3028</v>
      </c>
      <c r="B861" s="34" t="s">
        <v>2078</v>
      </c>
      <c r="C861" s="34" t="s">
        <v>5</v>
      </c>
      <c r="D861" s="34" t="s">
        <v>3029</v>
      </c>
      <c r="E861" s="35" t="s">
        <v>621</v>
      </c>
      <c r="F861" t="str" cm="1">
        <f t="array" ref="F861">IFERROR(_xlfn.XLOOKUP(E861,MapeoCargos!$A:$A,MapeoCargos!$B:$B,E861),E861)</f>
        <v xml:space="preserve">ANFITRIONAJE </v>
      </c>
      <c r="G861" s="45">
        <v>45901</v>
      </c>
    </row>
    <row r="862" spans="1:7" x14ac:dyDescent="0.2">
      <c r="A862" s="27" t="s">
        <v>3030</v>
      </c>
      <c r="B862" s="34" t="s">
        <v>2078</v>
      </c>
      <c r="C862" s="34" t="s">
        <v>8</v>
      </c>
      <c r="D862" s="34" t="s">
        <v>3031</v>
      </c>
      <c r="E862" s="35" t="s">
        <v>231</v>
      </c>
      <c r="F862" t="str" cm="1">
        <f t="array" ref="F862">IFERROR(_xlfn.XLOOKUP(E862,MapeoCargos!$A:$A,MapeoCargos!$B:$B,E862),E862)</f>
        <v xml:space="preserve">CAJA </v>
      </c>
      <c r="G862" s="45">
        <v>45901</v>
      </c>
    </row>
    <row r="863" spans="1:7" x14ac:dyDescent="0.2">
      <c r="A863" s="27" t="s">
        <v>3032</v>
      </c>
      <c r="B863" s="34" t="s">
        <v>2078</v>
      </c>
      <c r="C863" s="34" t="s">
        <v>518</v>
      </c>
      <c r="D863" s="34" t="s">
        <v>3033</v>
      </c>
      <c r="E863" s="35" t="s">
        <v>126</v>
      </c>
      <c r="F863" t="str" cm="1">
        <f t="array" ref="F863">IFERROR(_xlfn.XLOOKUP(E863,MapeoCargos!$A:$A,MapeoCargos!$B:$B,E863),E863)</f>
        <v>MOTORIZADO</v>
      </c>
      <c r="G863" s="45">
        <v>45903</v>
      </c>
    </row>
    <row r="864" spans="1:7" x14ac:dyDescent="0.2">
      <c r="A864" s="27" t="s">
        <v>3034</v>
      </c>
      <c r="B864" s="34" t="s">
        <v>2078</v>
      </c>
      <c r="C864" s="34" t="s">
        <v>2177</v>
      </c>
      <c r="D864" s="34" t="s">
        <v>3035</v>
      </c>
      <c r="E864" s="35" t="s">
        <v>468</v>
      </c>
      <c r="F864" t="str" cm="1">
        <f t="array" ref="F864">IFERROR(_xlfn.XLOOKUP(E864,MapeoCargos!$A:$A,MapeoCargos!$B:$B,E864),E864)</f>
        <v xml:space="preserve">ANFITRIONAJE </v>
      </c>
      <c r="G864" s="45">
        <v>45903</v>
      </c>
    </row>
    <row r="865" spans="1:7" x14ac:dyDescent="0.2">
      <c r="A865" s="27" t="s">
        <v>3883</v>
      </c>
      <c r="B865" s="34" t="s">
        <v>189</v>
      </c>
      <c r="C865" s="34" t="s">
        <v>19</v>
      </c>
      <c r="D865" s="34" t="s">
        <v>4024</v>
      </c>
      <c r="E865" s="35" t="s">
        <v>83</v>
      </c>
      <c r="F865" t="str" cm="1">
        <f t="array" ref="F865">IFERROR(_xlfn.XLOOKUP(E865,MapeoCargos!$A:$A,MapeoCargos!$B:$B,E865),E865)</f>
        <v>PRODUCCIÓN / COCINA</v>
      </c>
      <c r="G865" s="45">
        <v>45908</v>
      </c>
    </row>
    <row r="866" spans="1:7" x14ac:dyDescent="0.2">
      <c r="A866" s="27" t="s">
        <v>3981</v>
      </c>
      <c r="B866" s="34" t="s">
        <v>2078</v>
      </c>
      <c r="C866" s="34" t="s">
        <v>2</v>
      </c>
      <c r="D866" s="34" t="s">
        <v>4154</v>
      </c>
      <c r="E866" s="35" t="s">
        <v>29</v>
      </c>
      <c r="F866" t="str" cm="1">
        <f t="array" ref="F866">IFERROR(_xlfn.XLOOKUP(E866,MapeoCargos!$A:$A,MapeoCargos!$B:$B,E866),E866)</f>
        <v>MOZO</v>
      </c>
      <c r="G866" s="45">
        <v>45908</v>
      </c>
    </row>
    <row r="867" spans="1:7" x14ac:dyDescent="0.2">
      <c r="A867" s="27" t="s">
        <v>3884</v>
      </c>
      <c r="B867" s="34" t="s">
        <v>189</v>
      </c>
      <c r="C867" s="34" t="s">
        <v>18</v>
      </c>
      <c r="D867" s="34" t="s">
        <v>4025</v>
      </c>
      <c r="E867" s="35" t="s">
        <v>606</v>
      </c>
      <c r="F867" t="str" cm="1">
        <f t="array" ref="F867">IFERROR(_xlfn.XLOOKUP(E867,MapeoCargos!$A:$A,MapeoCargos!$B:$B,E867),E867)</f>
        <v>BAR</v>
      </c>
      <c r="G867" s="45">
        <v>45908</v>
      </c>
    </row>
    <row r="868" spans="1:7" x14ac:dyDescent="0.2">
      <c r="A868" s="27" t="s">
        <v>3997</v>
      </c>
      <c r="B868" s="34" t="s">
        <v>3037</v>
      </c>
      <c r="C868" s="34" t="s">
        <v>16</v>
      </c>
      <c r="D868" s="34" t="s">
        <v>4174</v>
      </c>
      <c r="E868" s="35" t="s">
        <v>29</v>
      </c>
      <c r="F868" t="str" cm="1">
        <f t="array" ref="F868">IFERROR(_xlfn.XLOOKUP(E868,MapeoCargos!$A:$A,MapeoCargos!$B:$B,E868),E868)</f>
        <v>MOZO</v>
      </c>
      <c r="G868" s="45">
        <v>45908</v>
      </c>
    </row>
    <row r="869" spans="1:7" x14ac:dyDescent="0.2">
      <c r="A869" s="27" t="s">
        <v>3998</v>
      </c>
      <c r="B869" s="34" t="s">
        <v>3037</v>
      </c>
      <c r="C869" s="34" t="s">
        <v>2670</v>
      </c>
      <c r="D869" s="34" t="s">
        <v>4175</v>
      </c>
      <c r="E869" s="35" t="s">
        <v>29</v>
      </c>
      <c r="F869" t="str" cm="1">
        <f t="array" ref="F869">IFERROR(_xlfn.XLOOKUP(E869,MapeoCargos!$A:$A,MapeoCargos!$B:$B,E869),E869)</f>
        <v>MOZO</v>
      </c>
      <c r="G869" s="45">
        <v>45908</v>
      </c>
    </row>
    <row r="870" spans="1:7" x14ac:dyDescent="0.2">
      <c r="A870" s="27" t="s">
        <v>3885</v>
      </c>
      <c r="B870" s="34" t="s">
        <v>189</v>
      </c>
      <c r="C870" s="34" t="s">
        <v>205</v>
      </c>
      <c r="D870" s="34" t="s">
        <v>4026</v>
      </c>
      <c r="E870" s="35" t="s">
        <v>468</v>
      </c>
      <c r="F870" t="str" cm="1">
        <f t="array" ref="F870">IFERROR(_xlfn.XLOOKUP(E870,MapeoCargos!$A:$A,MapeoCargos!$B:$B,E870),E870)</f>
        <v xml:space="preserve">ANFITRIONAJE </v>
      </c>
      <c r="G870" s="45">
        <v>45908</v>
      </c>
    </row>
    <row r="871" spans="1:7" x14ac:dyDescent="0.2">
      <c r="A871" s="27" t="s">
        <v>3999</v>
      </c>
      <c r="B871" s="34" t="s">
        <v>3037</v>
      </c>
      <c r="C871" s="34" t="s">
        <v>2458</v>
      </c>
      <c r="D871" s="34" t="s">
        <v>4176</v>
      </c>
      <c r="E871" s="35" t="s">
        <v>606</v>
      </c>
      <c r="F871" t="str" cm="1">
        <f t="array" ref="F871">IFERROR(_xlfn.XLOOKUP(E871,MapeoCargos!$A:$A,MapeoCargos!$B:$B,E871),E871)</f>
        <v>BAR</v>
      </c>
      <c r="G871" s="45">
        <v>45908</v>
      </c>
    </row>
    <row r="872" spans="1:7" x14ac:dyDescent="0.2">
      <c r="A872" s="27" t="s">
        <v>3982</v>
      </c>
      <c r="B872" s="34" t="s">
        <v>2078</v>
      </c>
      <c r="C872" s="34" t="s">
        <v>2079</v>
      </c>
      <c r="D872" s="34" t="s">
        <v>4155</v>
      </c>
      <c r="E872" s="35" t="s">
        <v>386</v>
      </c>
      <c r="F872" t="str" cm="1">
        <f t="array" ref="F872">IFERROR(_xlfn.XLOOKUP(E872,MapeoCargos!$A:$A,MapeoCargos!$B:$B,E872),E872)</f>
        <v>PREVENCIONISTA DE RIESGOS</v>
      </c>
      <c r="G872" s="45">
        <v>45908</v>
      </c>
    </row>
    <row r="873" spans="1:7" x14ac:dyDescent="0.2">
      <c r="A873" s="27" t="s">
        <v>3983</v>
      </c>
      <c r="B873" s="34" t="s">
        <v>2078</v>
      </c>
      <c r="C873" s="34" t="s">
        <v>3025</v>
      </c>
      <c r="D873" s="34" t="s">
        <v>4156</v>
      </c>
      <c r="E873" s="35" t="s">
        <v>29</v>
      </c>
      <c r="F873" t="str" cm="1">
        <f t="array" ref="F873">IFERROR(_xlfn.XLOOKUP(E873,MapeoCargos!$A:$A,MapeoCargos!$B:$B,E873),E873)</f>
        <v>MOZO</v>
      </c>
      <c r="G873" s="45">
        <v>45915</v>
      </c>
    </row>
    <row r="874" spans="1:7" x14ac:dyDescent="0.2">
      <c r="A874" s="27" t="s">
        <v>3984</v>
      </c>
      <c r="B874" s="34" t="s">
        <v>2078</v>
      </c>
      <c r="C874" s="34" t="s">
        <v>2211</v>
      </c>
      <c r="D874" s="34" t="s">
        <v>4157</v>
      </c>
      <c r="E874" s="35" t="s">
        <v>312</v>
      </c>
      <c r="F874" t="str" cm="1">
        <f t="array" ref="F874">IFERROR(_xlfn.XLOOKUP(E874,MapeoCargos!$A:$A,MapeoCargos!$B:$B,E874),E874)</f>
        <v>TELEOPERADOR (A) P/T</v>
      </c>
      <c r="G874" s="45">
        <v>45915</v>
      </c>
    </row>
    <row r="875" spans="1:7" x14ac:dyDescent="0.2">
      <c r="A875" s="27" t="s">
        <v>3985</v>
      </c>
      <c r="B875" s="34" t="s">
        <v>2078</v>
      </c>
      <c r="C875" s="34" t="s">
        <v>2079</v>
      </c>
      <c r="D875" s="34" t="s">
        <v>4158</v>
      </c>
      <c r="E875" s="35" t="s">
        <v>3004</v>
      </c>
      <c r="F875" t="str" cm="1">
        <f t="array" ref="F875">IFERROR(_xlfn.XLOOKUP(E875,MapeoCargos!$A:$A,MapeoCargos!$B:$B,E875),E875)</f>
        <v>STAFF ADMINISTRATIVO</v>
      </c>
      <c r="G875" s="45">
        <v>45915</v>
      </c>
    </row>
    <row r="876" spans="1:7" x14ac:dyDescent="0.2">
      <c r="A876" s="27" t="s">
        <v>3986</v>
      </c>
      <c r="B876" s="34" t="s">
        <v>2078</v>
      </c>
      <c r="C876" s="34" t="s">
        <v>2079</v>
      </c>
      <c r="D876" s="34" t="s">
        <v>4159</v>
      </c>
      <c r="E876" s="35" t="s">
        <v>3004</v>
      </c>
      <c r="F876" t="str" cm="1">
        <f t="array" ref="F876">IFERROR(_xlfn.XLOOKUP(E876,MapeoCargos!$A:$A,MapeoCargos!$B:$B,E876),E876)</f>
        <v>STAFF ADMINISTRATIVO</v>
      </c>
      <c r="G876" s="45">
        <v>45915</v>
      </c>
    </row>
    <row r="877" spans="1:7" x14ac:dyDescent="0.2">
      <c r="A877" s="27" t="s">
        <v>3987</v>
      </c>
      <c r="B877" s="34" t="s">
        <v>2078</v>
      </c>
      <c r="C877" s="34" t="s">
        <v>2114</v>
      </c>
      <c r="D877" s="34" t="s">
        <v>4160</v>
      </c>
      <c r="E877" s="35" t="s">
        <v>360</v>
      </c>
      <c r="F877" t="str" cm="1">
        <f t="array" ref="F877">IFERROR(_xlfn.XLOOKUP(E877,MapeoCargos!$A:$A,MapeoCargos!$B:$B,E877),E877)</f>
        <v>PRODUCCIÓN / COCINA</v>
      </c>
      <c r="G877" s="45">
        <v>45915</v>
      </c>
    </row>
    <row r="878" spans="1:7" x14ac:dyDescent="0.2">
      <c r="A878" s="27" t="s">
        <v>4000</v>
      </c>
      <c r="B878" s="34" t="s">
        <v>3037</v>
      </c>
      <c r="C878" s="34" t="s">
        <v>3140</v>
      </c>
      <c r="D878" s="34" t="s">
        <v>4177</v>
      </c>
      <c r="E878" s="35" t="s">
        <v>312</v>
      </c>
      <c r="F878" t="str" cm="1">
        <f t="array" ref="F878">IFERROR(_xlfn.XLOOKUP(E878,MapeoCargos!$A:$A,MapeoCargos!$B:$B,E878),E878)</f>
        <v>TELEOPERADOR (A) P/T</v>
      </c>
      <c r="G878" s="45">
        <v>45922</v>
      </c>
    </row>
    <row r="879" spans="1:7" x14ac:dyDescent="0.2">
      <c r="A879" s="27" t="s">
        <v>4001</v>
      </c>
      <c r="B879" s="34" t="s">
        <v>3037</v>
      </c>
      <c r="C879" s="34" t="s">
        <v>2458</v>
      </c>
      <c r="D879" s="34" t="s">
        <v>4178</v>
      </c>
      <c r="E879" s="35" t="s">
        <v>127</v>
      </c>
      <c r="F879" t="str" cm="1">
        <f t="array" ref="F879">IFERROR(_xlfn.XLOOKUP(E879,MapeoCargos!$A:$A,MapeoCargos!$B:$B,E879),E879)</f>
        <v>AZAFATA</v>
      </c>
      <c r="G879" s="45">
        <v>45922</v>
      </c>
    </row>
    <row r="880" spans="1:7" x14ac:dyDescent="0.2">
      <c r="A880" s="27" t="s">
        <v>3988</v>
      </c>
      <c r="B880" s="34" t="s">
        <v>2078</v>
      </c>
      <c r="C880" s="34" t="s">
        <v>8</v>
      </c>
      <c r="D880" s="34" t="s">
        <v>4161</v>
      </c>
      <c r="E880" s="35" t="s">
        <v>29</v>
      </c>
      <c r="F880" t="str" cm="1">
        <f t="array" ref="F880">IFERROR(_xlfn.XLOOKUP(E880,MapeoCargos!$A:$A,MapeoCargos!$B:$B,E880),E880)</f>
        <v>MOZO</v>
      </c>
      <c r="G880" s="45">
        <v>45922</v>
      </c>
    </row>
    <row r="881" spans="1:7" x14ac:dyDescent="0.2">
      <c r="A881" s="27" t="s">
        <v>4002</v>
      </c>
      <c r="B881" s="34" t="s">
        <v>3037</v>
      </c>
      <c r="C881" s="34" t="s">
        <v>14</v>
      </c>
      <c r="D881" s="34" t="s">
        <v>4179</v>
      </c>
      <c r="E881" s="35" t="s">
        <v>29</v>
      </c>
      <c r="F881" t="str" cm="1">
        <f t="array" ref="F881">IFERROR(_xlfn.XLOOKUP(E881,MapeoCargos!$A:$A,MapeoCargos!$B:$B,E881),E881)</f>
        <v>MOZO</v>
      </c>
      <c r="G881" s="45">
        <v>45922</v>
      </c>
    </row>
    <row r="882" spans="1:7" x14ac:dyDescent="0.2">
      <c r="A882" s="27" t="s">
        <v>4003</v>
      </c>
      <c r="B882" s="34" t="s">
        <v>3037</v>
      </c>
      <c r="C882" s="34" t="s">
        <v>626</v>
      </c>
      <c r="D882" s="34" t="s">
        <v>4180</v>
      </c>
      <c r="E882" s="35" t="s">
        <v>648</v>
      </c>
      <c r="F882" t="str" cm="1">
        <f t="array" ref="F882">IFERROR(_xlfn.XLOOKUP(E882,MapeoCargos!$A:$A,MapeoCargos!$B:$B,E882),E882)</f>
        <v>AZAFATA</v>
      </c>
      <c r="G882" s="45">
        <v>45922</v>
      </c>
    </row>
    <row r="883" spans="1:7" x14ac:dyDescent="0.2">
      <c r="A883" s="27" t="s">
        <v>3989</v>
      </c>
      <c r="B883" s="34" t="s">
        <v>2078</v>
      </c>
      <c r="C883" s="34" t="s">
        <v>2177</v>
      </c>
      <c r="D883" s="34" t="s">
        <v>4162</v>
      </c>
      <c r="E883" s="35" t="s">
        <v>29</v>
      </c>
      <c r="F883" t="str" cm="1">
        <f t="array" ref="F883">IFERROR(_xlfn.XLOOKUP(E883,MapeoCargos!$A:$A,MapeoCargos!$B:$B,E883),E883)</f>
        <v>MOZO</v>
      </c>
      <c r="G883" s="45">
        <v>45931</v>
      </c>
    </row>
    <row r="884" spans="1:7" x14ac:dyDescent="0.2">
      <c r="A884" s="27" t="s">
        <v>319</v>
      </c>
      <c r="B884" s="34" t="s">
        <v>189</v>
      </c>
      <c r="C884" s="34" t="s">
        <v>205</v>
      </c>
      <c r="D884" s="34" t="s">
        <v>320</v>
      </c>
      <c r="E884" s="35" t="s">
        <v>624</v>
      </c>
      <c r="F884" t="str" cm="1">
        <f t="array" ref="F884">IFERROR(_xlfn.XLOOKUP(E884,MapeoCargos!$A:$A,MapeoCargos!$B:$B,E884),E884)</f>
        <v>MOTORIZADO</v>
      </c>
      <c r="G884" s="45">
        <v>45931</v>
      </c>
    </row>
    <row r="885" spans="1:7" x14ac:dyDescent="0.2">
      <c r="A885" s="27" t="s">
        <v>4004</v>
      </c>
      <c r="B885" s="34" t="s">
        <v>3037</v>
      </c>
      <c r="C885" s="34" t="s">
        <v>2670</v>
      </c>
      <c r="D885" s="34" t="s">
        <v>4181</v>
      </c>
      <c r="E885" s="35" t="s">
        <v>29</v>
      </c>
      <c r="F885" t="str" cm="1">
        <f t="array" ref="F885">IFERROR(_xlfn.XLOOKUP(E885,MapeoCargos!$A:$A,MapeoCargos!$B:$B,E885),E885)</f>
        <v>MOZO</v>
      </c>
      <c r="G885" s="45">
        <v>45931</v>
      </c>
    </row>
    <row r="886" spans="1:7" x14ac:dyDescent="0.2">
      <c r="A886" s="27" t="s">
        <v>3990</v>
      </c>
      <c r="B886" s="34" t="s">
        <v>2078</v>
      </c>
      <c r="C886" s="34" t="s">
        <v>518</v>
      </c>
      <c r="D886" s="34" t="s">
        <v>4163</v>
      </c>
      <c r="E886" s="35" t="s">
        <v>29</v>
      </c>
      <c r="F886" t="str" cm="1">
        <f t="array" ref="F886">IFERROR(_xlfn.XLOOKUP(E886,MapeoCargos!$A:$A,MapeoCargos!$B:$B,E886),E886)</f>
        <v>MOZO</v>
      </c>
      <c r="G886" s="45">
        <v>45931</v>
      </c>
    </row>
    <row r="887" spans="1:7" x14ac:dyDescent="0.2">
      <c r="A887" s="27" t="s">
        <v>4005</v>
      </c>
      <c r="B887" s="34" t="s">
        <v>3037</v>
      </c>
      <c r="C887" s="34" t="s">
        <v>2458</v>
      </c>
      <c r="D887" s="34" t="s">
        <v>4182</v>
      </c>
      <c r="E887" s="35" t="s">
        <v>621</v>
      </c>
      <c r="F887" t="str" cm="1">
        <f t="array" ref="F887">IFERROR(_xlfn.XLOOKUP(E887,MapeoCargos!$A:$A,MapeoCargos!$B:$B,E887),E887)</f>
        <v xml:space="preserve">ANFITRIONAJE </v>
      </c>
      <c r="G887" s="45">
        <v>45931</v>
      </c>
    </row>
    <row r="888" spans="1:7" x14ac:dyDescent="0.2">
      <c r="A888" s="27" t="s">
        <v>3991</v>
      </c>
      <c r="B888" s="34" t="s">
        <v>2078</v>
      </c>
      <c r="C888" s="34" t="s">
        <v>3025</v>
      </c>
      <c r="D888" s="34" t="s">
        <v>4164</v>
      </c>
      <c r="E888" s="35" t="s">
        <v>193</v>
      </c>
      <c r="F888" t="str" cm="1">
        <f t="array" ref="F888">IFERROR(_xlfn.XLOOKUP(E888,MapeoCargos!$A:$A,MapeoCargos!$B:$B,E888),E888)</f>
        <v>PRODUCCIÓN / COCINA</v>
      </c>
      <c r="G888" s="45">
        <v>45931</v>
      </c>
    </row>
    <row r="889" spans="1:7" x14ac:dyDescent="0.2">
      <c r="A889" s="27" t="s">
        <v>3992</v>
      </c>
      <c r="B889" s="34" t="s">
        <v>2078</v>
      </c>
      <c r="C889" s="34" t="s">
        <v>8</v>
      </c>
      <c r="D889" s="34" t="s">
        <v>4165</v>
      </c>
      <c r="E889" s="35" t="s">
        <v>165</v>
      </c>
      <c r="F889" t="str" cm="1">
        <f t="array" ref="F889">IFERROR(_xlfn.XLOOKUP(E889,MapeoCargos!$A:$A,MapeoCargos!$B:$B,E889),E889)</f>
        <v>PACKER</v>
      </c>
      <c r="G889" s="45">
        <v>45931</v>
      </c>
    </row>
    <row r="890" spans="1:7" x14ac:dyDescent="0.2">
      <c r="A890" s="27" t="s">
        <v>3993</v>
      </c>
      <c r="B890" s="34" t="s">
        <v>2078</v>
      </c>
      <c r="C890" s="34" t="s">
        <v>2079</v>
      </c>
      <c r="D890" s="34" t="s">
        <v>4166</v>
      </c>
      <c r="E890" s="35" t="s">
        <v>4167</v>
      </c>
      <c r="F890" t="str" cm="1">
        <f t="array" ref="F890">IFERROR(_xlfn.XLOOKUP(E890,MapeoCargos!$A:$A,MapeoCargos!$B:$B,E890),E890)</f>
        <v>DISEÑADOR (A) GRAFICO (A) SENIOR</v>
      </c>
      <c r="G890" s="45">
        <v>45931</v>
      </c>
    </row>
    <row r="891" spans="1:7" x14ac:dyDescent="0.2">
      <c r="A891" s="27" t="s">
        <v>793</v>
      </c>
      <c r="B891" s="34" t="s">
        <v>2078</v>
      </c>
      <c r="C891" s="34" t="s">
        <v>2079</v>
      </c>
      <c r="D891" s="34" t="s">
        <v>794</v>
      </c>
      <c r="E891" s="35" t="s">
        <v>326</v>
      </c>
      <c r="F891" t="str" cm="1">
        <f t="array" ref="F891">IFERROR(_xlfn.XLOOKUP(E891,MapeoCargos!$A:$A,MapeoCargos!$B:$B,E891),E891)</f>
        <v>ASISTENTE DE FINANZAS</v>
      </c>
      <c r="G891" s="45">
        <v>45931</v>
      </c>
    </row>
    <row r="892" spans="1:7" x14ac:dyDescent="0.2">
      <c r="A892" s="27" t="s">
        <v>3886</v>
      </c>
      <c r="B892" s="34" t="s">
        <v>189</v>
      </c>
      <c r="C892" s="34" t="s">
        <v>17</v>
      </c>
      <c r="D892" s="34" t="s">
        <v>4027</v>
      </c>
      <c r="E892" s="35" t="s">
        <v>606</v>
      </c>
      <c r="F892" t="str" cm="1">
        <f t="array" ref="F892">IFERROR(_xlfn.XLOOKUP(E892,MapeoCargos!$A:$A,MapeoCargos!$B:$B,E892),E892)</f>
        <v>BAR</v>
      </c>
      <c r="G892" s="45">
        <v>45936</v>
      </c>
    </row>
    <row r="893" spans="1:7" x14ac:dyDescent="0.2">
      <c r="A893" s="27" t="s">
        <v>3887</v>
      </c>
      <c r="B893" s="34" t="s">
        <v>189</v>
      </c>
      <c r="C893" s="34" t="s">
        <v>17</v>
      </c>
      <c r="D893" s="34" t="s">
        <v>4028</v>
      </c>
      <c r="E893" s="35" t="s">
        <v>165</v>
      </c>
      <c r="F893" t="str" cm="1">
        <f t="array" ref="F893">IFERROR(_xlfn.XLOOKUP(E893,MapeoCargos!$A:$A,MapeoCargos!$B:$B,E893),E893)</f>
        <v>PACKER</v>
      </c>
      <c r="G893" s="45">
        <v>45936</v>
      </c>
    </row>
    <row r="894" spans="1:7" x14ac:dyDescent="0.2">
      <c r="A894" s="27" t="s">
        <v>3888</v>
      </c>
      <c r="B894" s="34" t="s">
        <v>189</v>
      </c>
      <c r="C894" s="34" t="s">
        <v>17</v>
      </c>
      <c r="D894" s="34" t="s">
        <v>4029</v>
      </c>
      <c r="E894" s="35" t="s">
        <v>583</v>
      </c>
      <c r="F894" t="str" cm="1">
        <f t="array" ref="F894">IFERROR(_xlfn.XLOOKUP(E894,MapeoCargos!$A:$A,MapeoCargos!$B:$B,E894),E894)</f>
        <v>BAR</v>
      </c>
      <c r="G894" s="45">
        <v>45936</v>
      </c>
    </row>
    <row r="895" spans="1:7" x14ac:dyDescent="0.2">
      <c r="A895" s="27" t="s">
        <v>4006</v>
      </c>
      <c r="B895" s="34" t="s">
        <v>3037</v>
      </c>
      <c r="C895" s="34" t="s">
        <v>2670</v>
      </c>
      <c r="D895" s="34" t="s">
        <v>4183</v>
      </c>
      <c r="E895" s="35" t="s">
        <v>606</v>
      </c>
      <c r="F895" t="str" cm="1">
        <f t="array" ref="F895">IFERROR(_xlfn.XLOOKUP(E895,MapeoCargos!$A:$A,MapeoCargos!$B:$B,E895),E895)</f>
        <v>BAR</v>
      </c>
      <c r="G895" s="45">
        <v>45936</v>
      </c>
    </row>
    <row r="896" spans="1:7" x14ac:dyDescent="0.2">
      <c r="A896" s="27" t="s">
        <v>4007</v>
      </c>
      <c r="B896" s="34" t="s">
        <v>3037</v>
      </c>
      <c r="C896" s="34" t="s">
        <v>16</v>
      </c>
      <c r="D896" s="34" t="s">
        <v>4184</v>
      </c>
      <c r="E896" s="35" t="s">
        <v>639</v>
      </c>
      <c r="F896" t="str" cm="1">
        <f t="array" ref="F896">IFERROR(_xlfn.XLOOKUP(E896,MapeoCargos!$A:$A,MapeoCargos!$B:$B,E896),E896)</f>
        <v>BAR</v>
      </c>
      <c r="G896" s="45">
        <v>45936</v>
      </c>
    </row>
    <row r="897" spans="1:7" x14ac:dyDescent="0.2">
      <c r="A897" s="27" t="s">
        <v>3994</v>
      </c>
      <c r="B897" s="34" t="s">
        <v>2078</v>
      </c>
      <c r="C897" s="34" t="s">
        <v>518</v>
      </c>
      <c r="D897" s="34" t="s">
        <v>4168</v>
      </c>
      <c r="E897" s="35" t="s">
        <v>193</v>
      </c>
      <c r="F897" t="str" cm="1">
        <f t="array" ref="F897">IFERROR(_xlfn.XLOOKUP(E897,MapeoCargos!$A:$A,MapeoCargos!$B:$B,E897),E897)</f>
        <v>PRODUCCIÓN / COCINA</v>
      </c>
      <c r="G897" s="45">
        <v>45936</v>
      </c>
    </row>
    <row r="898" spans="1:7" x14ac:dyDescent="0.2">
      <c r="A898" s="27" t="s">
        <v>3995</v>
      </c>
      <c r="B898" s="34" t="s">
        <v>2078</v>
      </c>
      <c r="C898" s="34" t="s">
        <v>2177</v>
      </c>
      <c r="D898" s="34" t="s">
        <v>4169</v>
      </c>
      <c r="E898" s="35" t="s">
        <v>2498</v>
      </c>
      <c r="F898" t="str" cm="1">
        <f t="array" ref="F898">IFERROR(_xlfn.XLOOKUP(E898,MapeoCargos!$A:$A,MapeoCargos!$B:$B,E898),E898)</f>
        <v xml:space="preserve">CAJA </v>
      </c>
      <c r="G898" s="45">
        <v>45936</v>
      </c>
    </row>
    <row r="899" spans="1:7" x14ac:dyDescent="0.2">
      <c r="A899" s="27" t="s">
        <v>3996</v>
      </c>
      <c r="B899" s="34" t="s">
        <v>2078</v>
      </c>
      <c r="C899" s="34" t="s">
        <v>2177</v>
      </c>
      <c r="D899" s="34" t="s">
        <v>4170</v>
      </c>
      <c r="E899" s="35" t="s">
        <v>551</v>
      </c>
      <c r="F899" t="str" cm="1">
        <f t="array" ref="F899">IFERROR(_xlfn.XLOOKUP(E899,MapeoCargos!$A:$A,MapeoCargos!$B:$B,E899),E899)</f>
        <v>MOZO</v>
      </c>
      <c r="G899" s="45">
        <v>45936</v>
      </c>
    </row>
    <row r="900" spans="1:7" x14ac:dyDescent="0.2">
      <c r="A900" s="27" t="s">
        <v>4242</v>
      </c>
      <c r="B900" s="34" t="s">
        <v>2078</v>
      </c>
      <c r="C900" s="34" t="s">
        <v>2177</v>
      </c>
      <c r="D900" s="34" t="s">
        <v>4353</v>
      </c>
      <c r="E900" s="35" t="s">
        <v>126</v>
      </c>
      <c r="F900" t="str" cm="1">
        <f t="array" ref="F900">IFERROR(_xlfn.XLOOKUP(E900,MapeoCargos!$A:$A,MapeoCargos!$B:$B,E900),E900)</f>
        <v>MOTORIZADO</v>
      </c>
      <c r="G900" s="45">
        <v>45931</v>
      </c>
    </row>
    <row r="901" spans="1:7" x14ac:dyDescent="0.2">
      <c r="A901" s="27" t="s">
        <v>4243</v>
      </c>
      <c r="B901" s="34" t="s">
        <v>2078</v>
      </c>
      <c r="C901" s="34" t="s">
        <v>2177</v>
      </c>
      <c r="D901" s="34" t="s">
        <v>4354</v>
      </c>
      <c r="E901" s="35" t="s">
        <v>4355</v>
      </c>
      <c r="F901" t="str" cm="1">
        <f t="array" ref="F901">IFERROR(_xlfn.XLOOKUP(E901,MapeoCargos!$A:$A,MapeoCargos!$B:$B,E901),E901)</f>
        <v>MOZO PT</v>
      </c>
      <c r="G901" s="45">
        <v>45931</v>
      </c>
    </row>
    <row r="902" spans="1:7" x14ac:dyDescent="0.2">
      <c r="A902" s="27" t="s">
        <v>4244</v>
      </c>
      <c r="B902" s="34" t="s">
        <v>2078</v>
      </c>
      <c r="C902" s="34" t="s">
        <v>2177</v>
      </c>
      <c r="D902" s="34" t="s">
        <v>4356</v>
      </c>
      <c r="E902" s="35" t="s">
        <v>127</v>
      </c>
      <c r="F902" t="str" cm="1">
        <f t="array" ref="F902">IFERROR(_xlfn.XLOOKUP(E902,MapeoCargos!$A:$A,MapeoCargos!$B:$B,E902),E902)</f>
        <v>AZAFATA</v>
      </c>
      <c r="G902" s="45">
        <v>45943</v>
      </c>
    </row>
    <row r="903" spans="1:7" x14ac:dyDescent="0.2">
      <c r="A903" s="27" t="s">
        <v>4245</v>
      </c>
      <c r="B903" s="34" t="s">
        <v>189</v>
      </c>
      <c r="C903" s="34" t="s">
        <v>17</v>
      </c>
      <c r="D903" s="34" t="s">
        <v>4357</v>
      </c>
      <c r="E903" s="35" t="s">
        <v>127</v>
      </c>
      <c r="F903" t="str" cm="1">
        <f t="array" ref="F903">IFERROR(_xlfn.XLOOKUP(E903,MapeoCargos!$A:$A,MapeoCargos!$B:$B,E903),E903)</f>
        <v>AZAFATA</v>
      </c>
      <c r="G903" s="45">
        <v>45944</v>
      </c>
    </row>
    <row r="904" spans="1:7" x14ac:dyDescent="0.2">
      <c r="A904" s="27" t="s">
        <v>4246</v>
      </c>
      <c r="B904" s="34" t="s">
        <v>2078</v>
      </c>
      <c r="C904" s="34" t="s">
        <v>8</v>
      </c>
      <c r="D904" s="34" t="s">
        <v>4358</v>
      </c>
      <c r="E904" s="35" t="s">
        <v>127</v>
      </c>
      <c r="F904" t="str" cm="1">
        <f t="array" ref="F904">IFERROR(_xlfn.XLOOKUP(E904,MapeoCargos!$A:$A,MapeoCargos!$B:$B,E904),E904)</f>
        <v>AZAFATA</v>
      </c>
      <c r="G904" s="45">
        <v>45944</v>
      </c>
    </row>
    <row r="905" spans="1:7" x14ac:dyDescent="0.2">
      <c r="A905" s="27" t="s">
        <v>4247</v>
      </c>
      <c r="B905" s="34" t="s">
        <v>2078</v>
      </c>
      <c r="C905" s="34" t="s">
        <v>3025</v>
      </c>
      <c r="D905" s="34" t="s">
        <v>4359</v>
      </c>
      <c r="E905" s="35" t="s">
        <v>639</v>
      </c>
      <c r="F905" t="str" cm="1">
        <f t="array" ref="F905">IFERROR(_xlfn.XLOOKUP(E905,MapeoCargos!$A:$A,MapeoCargos!$B:$B,E905),E905)</f>
        <v>BAR</v>
      </c>
      <c r="G905" s="45">
        <v>45944</v>
      </c>
    </row>
    <row r="906" spans="1:7" x14ac:dyDescent="0.2">
      <c r="A906" s="27" t="s">
        <v>4248</v>
      </c>
      <c r="B906" s="34" t="s">
        <v>189</v>
      </c>
      <c r="C906" s="34" t="s">
        <v>17</v>
      </c>
      <c r="D906" s="34" t="s">
        <v>4360</v>
      </c>
      <c r="E906" s="35" t="s">
        <v>29</v>
      </c>
      <c r="F906" t="str" cm="1">
        <f t="array" ref="F906">IFERROR(_xlfn.XLOOKUP(E906,MapeoCargos!$A:$A,MapeoCargos!$B:$B,E906),E906)</f>
        <v>MOZO</v>
      </c>
      <c r="G906" s="45">
        <v>45950</v>
      </c>
    </row>
    <row r="907" spans="1:7" x14ac:dyDescent="0.2">
      <c r="A907" s="27" t="s">
        <v>4249</v>
      </c>
      <c r="B907" s="34" t="s">
        <v>2078</v>
      </c>
      <c r="C907" s="34" t="s">
        <v>2211</v>
      </c>
      <c r="D907" s="34" t="s">
        <v>4361</v>
      </c>
      <c r="E907" s="35" t="s">
        <v>312</v>
      </c>
      <c r="F907" t="str" cm="1">
        <f t="array" ref="F907">IFERROR(_xlfn.XLOOKUP(E907,MapeoCargos!$A:$A,MapeoCargos!$B:$B,E907),E907)</f>
        <v>TELEOPERADOR (A) P/T</v>
      </c>
      <c r="G907" s="45">
        <v>45950</v>
      </c>
    </row>
    <row r="908" spans="1:7" x14ac:dyDescent="0.2">
      <c r="A908" s="27" t="s">
        <v>3889</v>
      </c>
      <c r="B908" s="34" t="s">
        <v>189</v>
      </c>
      <c r="C908" s="34" t="s">
        <v>17</v>
      </c>
      <c r="D908" s="34" t="s">
        <v>4030</v>
      </c>
      <c r="E908" s="35" t="s">
        <v>29</v>
      </c>
      <c r="F908" t="str" cm="1">
        <f t="array" ref="F908">IFERROR(_xlfn.XLOOKUP(E908,MapeoCargos!$A:$A,MapeoCargos!$B:$B,E908),E908)</f>
        <v>MOZO</v>
      </c>
      <c r="G908" s="45">
        <v>45950</v>
      </c>
    </row>
    <row r="909" spans="1:7" x14ac:dyDescent="0.2">
      <c r="A909" s="27" t="s">
        <v>4250</v>
      </c>
      <c r="B909" s="34" t="s">
        <v>3037</v>
      </c>
      <c r="C909" s="34" t="s">
        <v>2458</v>
      </c>
      <c r="D909" s="34" t="s">
        <v>4362</v>
      </c>
      <c r="E909" s="35" t="s">
        <v>468</v>
      </c>
      <c r="F909" t="str" cm="1">
        <f t="array" ref="F909">IFERROR(_xlfn.XLOOKUP(E909,MapeoCargos!$A:$A,MapeoCargos!$B:$B,E909),E909)</f>
        <v xml:space="preserve">ANFITRIONAJE </v>
      </c>
      <c r="G909" s="45">
        <v>45950</v>
      </c>
    </row>
    <row r="910" spans="1:7" x14ac:dyDescent="0.2">
      <c r="A910" s="27" t="s">
        <v>4251</v>
      </c>
      <c r="B910" s="34" t="s">
        <v>3037</v>
      </c>
      <c r="C910" s="34" t="s">
        <v>16</v>
      </c>
      <c r="D910" s="34" t="s">
        <v>4363</v>
      </c>
      <c r="E910" s="35" t="s">
        <v>127</v>
      </c>
      <c r="F910" t="str" cm="1">
        <f t="array" ref="F910">IFERROR(_xlfn.XLOOKUP(E910,MapeoCargos!$A:$A,MapeoCargos!$B:$B,E910),E910)</f>
        <v>AZAFATA</v>
      </c>
      <c r="G910" s="45">
        <v>45950</v>
      </c>
    </row>
    <row r="911" spans="1:7" x14ac:dyDescent="0.2">
      <c r="A911" s="27" t="s">
        <v>4252</v>
      </c>
      <c r="B911" s="34" t="s">
        <v>3037</v>
      </c>
      <c r="C911" s="34" t="s">
        <v>16</v>
      </c>
      <c r="D911" s="34" t="s">
        <v>4364</v>
      </c>
      <c r="E911" s="35" t="s">
        <v>29</v>
      </c>
      <c r="F911" t="str" cm="1">
        <f t="array" ref="F911">IFERROR(_xlfn.XLOOKUP(E911,MapeoCargos!$A:$A,MapeoCargos!$B:$B,E911),E911)</f>
        <v>MOZO</v>
      </c>
      <c r="G911" s="45">
        <v>45950</v>
      </c>
    </row>
    <row r="912" spans="1:7" x14ac:dyDescent="0.2">
      <c r="A912" s="27" t="s">
        <v>4253</v>
      </c>
      <c r="B912" s="34" t="s">
        <v>189</v>
      </c>
      <c r="C912" s="34" t="s">
        <v>17</v>
      </c>
      <c r="D912" s="34" t="s">
        <v>4365</v>
      </c>
      <c r="E912" s="35" t="s">
        <v>83</v>
      </c>
      <c r="F912" t="str" cm="1">
        <f t="array" ref="F912">IFERROR(_xlfn.XLOOKUP(E912,MapeoCargos!$A:$A,MapeoCargos!$B:$B,E912),E912)</f>
        <v>PRODUCCIÓN / COCINA</v>
      </c>
      <c r="G912" s="45">
        <v>45950</v>
      </c>
    </row>
    <row r="913" spans="1:7" x14ac:dyDescent="0.2">
      <c r="A913" s="27" t="s">
        <v>4254</v>
      </c>
      <c r="B913" s="34" t="s">
        <v>2078</v>
      </c>
      <c r="C913" s="34" t="s">
        <v>2079</v>
      </c>
      <c r="D913" s="34" t="s">
        <v>4366</v>
      </c>
      <c r="E913" s="35" t="s">
        <v>3004</v>
      </c>
      <c r="F913" t="str" cm="1">
        <f t="array" ref="F913">IFERROR(_xlfn.XLOOKUP(E913,MapeoCargos!$A:$A,MapeoCargos!$B:$B,E913),E913)</f>
        <v>STAFF ADMINISTRATIVO</v>
      </c>
      <c r="G913" s="45">
        <v>45964</v>
      </c>
    </row>
    <row r="914" spans="1:7" x14ac:dyDescent="0.2">
      <c r="A914" s="27" t="s">
        <v>4255</v>
      </c>
      <c r="B914" s="34" t="s">
        <v>2078</v>
      </c>
      <c r="C914" s="34" t="s">
        <v>2079</v>
      </c>
      <c r="D914" s="34" t="s">
        <v>4367</v>
      </c>
      <c r="E914" s="35" t="s">
        <v>3004</v>
      </c>
      <c r="F914" t="str" cm="1">
        <f t="array" ref="F914">IFERROR(_xlfn.XLOOKUP(E914,MapeoCargos!$A:$A,MapeoCargos!$B:$B,E914),E914)</f>
        <v>STAFF ADMINISTRATIVO</v>
      </c>
      <c r="G914" s="45">
        <v>45964</v>
      </c>
    </row>
    <row r="915" spans="1:7" x14ac:dyDescent="0.2">
      <c r="A915" s="27" t="s">
        <v>4256</v>
      </c>
      <c r="B915" s="34" t="s">
        <v>2078</v>
      </c>
      <c r="C915" s="34" t="s">
        <v>2082</v>
      </c>
      <c r="D915" s="34" t="s">
        <v>4368</v>
      </c>
      <c r="E915" s="35" t="s">
        <v>29</v>
      </c>
      <c r="F915" t="str" cm="1">
        <f t="array" ref="F915">IFERROR(_xlfn.XLOOKUP(E915,MapeoCargos!$A:$A,MapeoCargos!$B:$B,E915),E915)</f>
        <v>MOZO</v>
      </c>
      <c r="G915" s="45">
        <v>45964</v>
      </c>
    </row>
    <row r="916" spans="1:7" x14ac:dyDescent="0.2">
      <c r="A916" s="27" t="s">
        <v>4257</v>
      </c>
      <c r="B916" s="34" t="s">
        <v>2078</v>
      </c>
      <c r="C916" s="34" t="s">
        <v>2211</v>
      </c>
      <c r="D916" s="34" t="s">
        <v>4369</v>
      </c>
      <c r="E916" s="35" t="s">
        <v>312</v>
      </c>
      <c r="F916" t="str" cm="1">
        <f t="array" ref="F916">IFERROR(_xlfn.XLOOKUP(E916,MapeoCargos!$A:$A,MapeoCargos!$B:$B,E916),E916)</f>
        <v>TELEOPERADOR (A) P/T</v>
      </c>
      <c r="G916" s="45">
        <v>45964</v>
      </c>
    </row>
    <row r="917" spans="1:7" x14ac:dyDescent="0.2">
      <c r="A917" s="27" t="s">
        <v>4258</v>
      </c>
      <c r="B917" s="34" t="s">
        <v>2078</v>
      </c>
      <c r="C917" s="34" t="s">
        <v>2114</v>
      </c>
      <c r="D917" s="34" t="s">
        <v>4370</v>
      </c>
      <c r="E917" s="35" t="s">
        <v>231</v>
      </c>
      <c r="F917" t="str" cm="1">
        <f t="array" ref="F917">IFERROR(_xlfn.XLOOKUP(E917,MapeoCargos!$A:$A,MapeoCargos!$B:$B,E917),E917)</f>
        <v xml:space="preserve">CAJA </v>
      </c>
      <c r="G917" s="45">
        <v>45964</v>
      </c>
    </row>
    <row r="918" spans="1:7" x14ac:dyDescent="0.2">
      <c r="A918" s="27" t="s">
        <v>4259</v>
      </c>
      <c r="B918" s="34" t="s">
        <v>189</v>
      </c>
      <c r="C918" s="34" t="s">
        <v>17</v>
      </c>
      <c r="D918" s="34" t="s">
        <v>4371</v>
      </c>
      <c r="E918" s="35" t="s">
        <v>126</v>
      </c>
      <c r="F918" t="str" cm="1">
        <f t="array" ref="F918">IFERROR(_xlfn.XLOOKUP(E918,MapeoCargos!$A:$A,MapeoCargos!$B:$B,E918),E918)</f>
        <v>MOTORIZADO</v>
      </c>
      <c r="G918" s="45">
        <v>45964</v>
      </c>
    </row>
    <row r="919" spans="1:7" x14ac:dyDescent="0.2">
      <c r="A919" s="27" t="s">
        <v>4260</v>
      </c>
      <c r="B919" s="34" t="s">
        <v>189</v>
      </c>
      <c r="C919" s="34" t="s">
        <v>17</v>
      </c>
      <c r="D919" s="34" t="s">
        <v>4372</v>
      </c>
      <c r="E919" s="35" t="s">
        <v>29</v>
      </c>
      <c r="F919" t="str" cm="1">
        <f t="array" ref="F919">IFERROR(_xlfn.XLOOKUP(E919,MapeoCargos!$A:$A,MapeoCargos!$B:$B,E919),E919)</f>
        <v>MOZO</v>
      </c>
      <c r="G919" s="45">
        <v>45964</v>
      </c>
    </row>
    <row r="920" spans="1:7" x14ac:dyDescent="0.2">
      <c r="A920" s="27" t="s">
        <v>853</v>
      </c>
      <c r="B920" s="34" t="s">
        <v>2078</v>
      </c>
      <c r="C920" s="34" t="s">
        <v>2079</v>
      </c>
      <c r="D920" s="34" t="s">
        <v>854</v>
      </c>
      <c r="E920" s="35" t="s">
        <v>855</v>
      </c>
      <c r="F920" t="str" cm="1">
        <f t="array" ref="F920">IFERROR(_xlfn.XLOOKUP(E920,MapeoCargos!$A:$A,MapeoCargos!$B:$B,E920),E920)</f>
        <v>SUPERVISOR DE MANTENIMIENTO</v>
      </c>
      <c r="G920" s="45">
        <v>45962</v>
      </c>
    </row>
    <row r="921" spans="1:7" x14ac:dyDescent="0.2">
      <c r="A921" s="27" t="s">
        <v>4261</v>
      </c>
      <c r="B921" s="34" t="s">
        <v>2078</v>
      </c>
      <c r="C921" s="34" t="s">
        <v>2114</v>
      </c>
      <c r="D921" s="34" t="s">
        <v>4373</v>
      </c>
      <c r="E921" s="35" t="s">
        <v>648</v>
      </c>
      <c r="F921" t="str" cm="1">
        <f t="array" ref="F921">IFERROR(_xlfn.XLOOKUP(E921,MapeoCargos!$A:$A,MapeoCargos!$B:$B,E921),E921)</f>
        <v>AZAFATA</v>
      </c>
      <c r="G921" s="45">
        <v>45964</v>
      </c>
    </row>
    <row r="922" spans="1:7" x14ac:dyDescent="0.2">
      <c r="A922" s="27" t="s">
        <v>4262</v>
      </c>
      <c r="B922" s="34" t="s">
        <v>189</v>
      </c>
      <c r="C922" s="34" t="s">
        <v>17</v>
      </c>
      <c r="D922" s="34" t="s">
        <v>4374</v>
      </c>
      <c r="E922" s="35" t="s">
        <v>468</v>
      </c>
      <c r="F922" t="str" cm="1">
        <f t="array" ref="F922">IFERROR(_xlfn.XLOOKUP(E922,MapeoCargos!$A:$A,MapeoCargos!$B:$B,E922),E922)</f>
        <v xml:space="preserve">ANFITRIONAJE </v>
      </c>
      <c r="G922" s="45">
        <v>45964</v>
      </c>
    </row>
    <row r="923" spans="1:7" x14ac:dyDescent="0.2">
      <c r="A923" s="27" t="s">
        <v>4263</v>
      </c>
      <c r="B923" s="34" t="s">
        <v>3037</v>
      </c>
      <c r="C923" s="34" t="s">
        <v>626</v>
      </c>
      <c r="D923" s="34" t="s">
        <v>4375</v>
      </c>
      <c r="E923" s="35" t="s">
        <v>29</v>
      </c>
      <c r="F923" t="str" cm="1">
        <f t="array" ref="F923">IFERROR(_xlfn.XLOOKUP(E923,MapeoCargos!$A:$A,MapeoCargos!$B:$B,E923),E923)</f>
        <v>MOZO</v>
      </c>
      <c r="G923" s="45">
        <v>45964</v>
      </c>
    </row>
    <row r="924" spans="1:7" x14ac:dyDescent="0.2">
      <c r="A924" s="27" t="s">
        <v>4264</v>
      </c>
      <c r="B924" s="34" t="s">
        <v>2078</v>
      </c>
      <c r="C924" s="34" t="s">
        <v>2079</v>
      </c>
      <c r="D924" s="34" t="s">
        <v>4376</v>
      </c>
      <c r="E924" s="35" t="s">
        <v>2104</v>
      </c>
      <c r="F924" t="str" cm="1">
        <f t="array" ref="F924">IFERROR(_xlfn.XLOOKUP(E924,MapeoCargos!$A:$A,MapeoCargos!$B:$B,E924),E924)</f>
        <v>AUDITORIA</v>
      </c>
      <c r="G924" s="45">
        <v>45964</v>
      </c>
    </row>
    <row r="925" spans="1:7" x14ac:dyDescent="0.2">
      <c r="A925" s="27" t="s">
        <v>4265</v>
      </c>
      <c r="B925" s="34" t="s">
        <v>2078</v>
      </c>
      <c r="C925" s="34" t="s">
        <v>2211</v>
      </c>
      <c r="D925" s="34" t="s">
        <v>4377</v>
      </c>
      <c r="E925" s="35" t="s">
        <v>312</v>
      </c>
      <c r="F925" t="str" cm="1">
        <f t="array" ref="F925">IFERROR(_xlfn.XLOOKUP(E925,MapeoCargos!$A:$A,MapeoCargos!$B:$B,E925),E925)</f>
        <v>TELEOPERADOR (A) P/T</v>
      </c>
      <c r="G925" s="45">
        <v>45964</v>
      </c>
    </row>
    <row r="926" spans="1:7" x14ac:dyDescent="0.2">
      <c r="A926" s="27" t="s">
        <v>4266</v>
      </c>
      <c r="B926" s="34" t="s">
        <v>2078</v>
      </c>
      <c r="C926" s="34" t="s">
        <v>2079</v>
      </c>
      <c r="D926" s="34" t="s">
        <v>4378</v>
      </c>
      <c r="E926" s="35" t="s">
        <v>4379</v>
      </c>
      <c r="F926" t="str" cm="1">
        <f t="array" ref="F926">IFERROR(_xlfn.XLOOKUP(E926,MapeoCargos!$A:$A,MapeoCargos!$B:$B,E926),E926)</f>
        <v>MAESTRO CARPINTERO</v>
      </c>
      <c r="G926" s="45">
        <v>45962</v>
      </c>
    </row>
    <row r="927" spans="1:7" x14ac:dyDescent="0.2">
      <c r="A927" s="27" t="s">
        <v>4267</v>
      </c>
      <c r="B927" s="34" t="s">
        <v>2078</v>
      </c>
      <c r="C927" s="34" t="s">
        <v>2079</v>
      </c>
      <c r="D927" s="34" t="s">
        <v>4380</v>
      </c>
      <c r="E927" s="35" t="s">
        <v>4381</v>
      </c>
      <c r="F927" t="str" cm="1">
        <f t="array" ref="F927">IFERROR(_xlfn.XLOOKUP(E927,MapeoCargos!$A:$A,MapeoCargos!$B:$B,E927),E927)</f>
        <v>OFICIAL CARPINTERO</v>
      </c>
      <c r="G927" s="45">
        <v>45962</v>
      </c>
    </row>
    <row r="928" spans="1:7" x14ac:dyDescent="0.2">
      <c r="A928" s="27" t="s">
        <v>4268</v>
      </c>
      <c r="B928" s="34" t="s">
        <v>2078</v>
      </c>
      <c r="C928" s="34" t="s">
        <v>2</v>
      </c>
      <c r="D928" s="34" t="s">
        <v>4382</v>
      </c>
      <c r="E928" s="35" t="s">
        <v>29</v>
      </c>
      <c r="F928" t="str" cm="1">
        <f t="array" ref="F928">IFERROR(_xlfn.XLOOKUP(E928,MapeoCargos!$A:$A,MapeoCargos!$B:$B,E928),E928)</f>
        <v>MOZO</v>
      </c>
      <c r="G928" s="45">
        <v>45964</v>
      </c>
    </row>
    <row r="929" spans="1:7" x14ac:dyDescent="0.2">
      <c r="A929" s="27" t="s">
        <v>4269</v>
      </c>
      <c r="B929" s="34" t="s">
        <v>2078</v>
      </c>
      <c r="C929" s="34" t="s">
        <v>518</v>
      </c>
      <c r="D929" s="34" t="s">
        <v>4383</v>
      </c>
      <c r="E929" s="35" t="s">
        <v>231</v>
      </c>
      <c r="F929" t="str" cm="1">
        <f t="array" ref="F929">IFERROR(_xlfn.XLOOKUP(E929,MapeoCargos!$A:$A,MapeoCargos!$B:$B,E929),E929)</f>
        <v xml:space="preserve">CAJA </v>
      </c>
      <c r="G929" s="45">
        <v>45964</v>
      </c>
    </row>
    <row r="930" spans="1:7" x14ac:dyDescent="0.2">
      <c r="A930" s="27" t="s">
        <v>4270</v>
      </c>
      <c r="B930" s="34" t="s">
        <v>2078</v>
      </c>
      <c r="C930" s="34" t="s">
        <v>8</v>
      </c>
      <c r="D930" s="34" t="s">
        <v>4384</v>
      </c>
      <c r="E930" s="35" t="s">
        <v>127</v>
      </c>
      <c r="F930" t="str" cm="1">
        <f t="array" ref="F930">IFERROR(_xlfn.XLOOKUP(E930,MapeoCargos!$A:$A,MapeoCargos!$B:$B,E930),E930)</f>
        <v>AZAFATA</v>
      </c>
      <c r="G930" s="45">
        <v>45964</v>
      </c>
    </row>
    <row r="931" spans="1:7" x14ac:dyDescent="0.2">
      <c r="A931" s="27" t="s">
        <v>4271</v>
      </c>
      <c r="B931" s="34" t="s">
        <v>2078</v>
      </c>
      <c r="C931" s="34" t="s">
        <v>8</v>
      </c>
      <c r="D931" s="34" t="s">
        <v>4385</v>
      </c>
      <c r="E931" s="35" t="s">
        <v>222</v>
      </c>
      <c r="F931" t="str" cm="1">
        <f t="array" ref="F931">IFERROR(_xlfn.XLOOKUP(E931,MapeoCargos!$A:$A,MapeoCargos!$B:$B,E931),E931)</f>
        <v>PRODUCCIÓN / COCINA</v>
      </c>
      <c r="G931" s="45">
        <v>45965</v>
      </c>
    </row>
    <row r="932" spans="1:7" x14ac:dyDescent="0.2">
      <c r="A932" s="27" t="s">
        <v>4272</v>
      </c>
      <c r="B932" s="34" t="s">
        <v>2078</v>
      </c>
      <c r="C932" s="34" t="s">
        <v>2177</v>
      </c>
      <c r="D932" s="34" t="s">
        <v>4386</v>
      </c>
      <c r="E932" s="35" t="s">
        <v>126</v>
      </c>
      <c r="F932" t="str" cm="1">
        <f t="array" ref="F932">IFERROR(_xlfn.XLOOKUP(E932,MapeoCargos!$A:$A,MapeoCargos!$B:$B,E932),E932)</f>
        <v>MOTORIZADO</v>
      </c>
      <c r="G932" s="45">
        <v>45965</v>
      </c>
    </row>
    <row r="933" spans="1:7" x14ac:dyDescent="0.2">
      <c r="A933" s="27" t="s">
        <v>4502</v>
      </c>
      <c r="B933" s="34" t="s">
        <v>2078</v>
      </c>
      <c r="C933" s="34" t="s">
        <v>2</v>
      </c>
      <c r="D933" s="34" t="s">
        <v>4599</v>
      </c>
      <c r="E933" s="35" t="s">
        <v>606</v>
      </c>
      <c r="F933" t="str" cm="1">
        <f t="array" ref="F933">IFERROR(_xlfn.XLOOKUP(E933,MapeoCargos!$A:$A,MapeoCargos!$B:$B,E933),E933)</f>
        <v>BAR</v>
      </c>
      <c r="G933" s="45">
        <v>45966</v>
      </c>
    </row>
    <row r="934" spans="1:7" x14ac:dyDescent="0.2">
      <c r="A934" s="27" t="s">
        <v>4503</v>
      </c>
      <c r="B934" s="34" t="s">
        <v>2078</v>
      </c>
      <c r="C934" s="34" t="s">
        <v>2079</v>
      </c>
      <c r="D934" s="34" t="s">
        <v>4600</v>
      </c>
      <c r="E934" s="35" t="s">
        <v>2365</v>
      </c>
      <c r="F934" t="str" cm="1">
        <f t="array" ref="F934">IFERROR(_xlfn.XLOOKUP(E934,MapeoCargos!$A:$A,MapeoCargos!$B:$B,E934),E934)</f>
        <v>ASISTENTE DE RECURSOS HUMANOS</v>
      </c>
      <c r="G934" s="45">
        <v>45971</v>
      </c>
    </row>
    <row r="935" spans="1:7" x14ac:dyDescent="0.2">
      <c r="A935" s="27" t="s">
        <v>4504</v>
      </c>
      <c r="B935" s="34" t="s">
        <v>189</v>
      </c>
      <c r="C935" s="34" t="s">
        <v>18</v>
      </c>
      <c r="D935" s="34" t="s">
        <v>4601</v>
      </c>
      <c r="E935" s="35" t="s">
        <v>222</v>
      </c>
      <c r="F935" t="str" cm="1">
        <f t="array" ref="F935">IFERROR(_xlfn.XLOOKUP(E935,MapeoCargos!$A:$A,MapeoCargos!$B:$B,E935),E935)</f>
        <v>PRODUCCIÓN / COCINA</v>
      </c>
      <c r="G935" s="45">
        <v>45971</v>
      </c>
    </row>
    <row r="936" spans="1:7" x14ac:dyDescent="0.2">
      <c r="A936" s="27" t="s">
        <v>4505</v>
      </c>
      <c r="B936" s="34" t="s">
        <v>2078</v>
      </c>
      <c r="C936" s="34" t="s">
        <v>23</v>
      </c>
      <c r="D936" s="34" t="s">
        <v>4602</v>
      </c>
      <c r="E936" s="35" t="s">
        <v>83</v>
      </c>
      <c r="F936" t="str" cm="1">
        <f t="array" ref="F936">IFERROR(_xlfn.XLOOKUP(E936,MapeoCargos!$A:$A,MapeoCargos!$B:$B,E936),E936)</f>
        <v>PRODUCCIÓN / COCINA</v>
      </c>
      <c r="G936" s="45">
        <v>45971</v>
      </c>
    </row>
    <row r="937" spans="1:7" x14ac:dyDescent="0.2">
      <c r="A937" s="27" t="s">
        <v>4506</v>
      </c>
      <c r="B937" s="34" t="s">
        <v>2078</v>
      </c>
      <c r="C937" s="34" t="s">
        <v>4</v>
      </c>
      <c r="D937" s="34" t="s">
        <v>4603</v>
      </c>
      <c r="E937" s="35" t="s">
        <v>222</v>
      </c>
      <c r="F937" t="str" cm="1">
        <f t="array" ref="F937">IFERROR(_xlfn.XLOOKUP(E937,MapeoCargos!$A:$A,MapeoCargos!$B:$B,E937),E937)</f>
        <v>PRODUCCIÓN / COCINA</v>
      </c>
      <c r="G937" s="45">
        <v>45971</v>
      </c>
    </row>
    <row r="938" spans="1:7" x14ac:dyDescent="0.2">
      <c r="A938" s="27" t="s">
        <v>4507</v>
      </c>
      <c r="B938" s="34" t="s">
        <v>3037</v>
      </c>
      <c r="C938" s="34" t="s">
        <v>16</v>
      </c>
      <c r="D938" s="34" t="s">
        <v>4604</v>
      </c>
      <c r="E938" s="35" t="s">
        <v>83</v>
      </c>
      <c r="F938" t="str" cm="1">
        <f t="array" ref="F938">IFERROR(_xlfn.XLOOKUP(E938,MapeoCargos!$A:$A,MapeoCargos!$B:$B,E938),E938)</f>
        <v>PRODUCCIÓN / COCINA</v>
      </c>
      <c r="G938" s="45">
        <v>45971</v>
      </c>
    </row>
    <row r="939" spans="1:7" x14ac:dyDescent="0.2">
      <c r="A939" s="27" t="s">
        <v>4508</v>
      </c>
      <c r="B939" s="34" t="s">
        <v>2078</v>
      </c>
      <c r="C939" s="34" t="s">
        <v>4</v>
      </c>
      <c r="D939" s="34" t="s">
        <v>4605</v>
      </c>
      <c r="E939" s="35" t="s">
        <v>606</v>
      </c>
      <c r="F939" t="str" cm="1">
        <f t="array" ref="F939">IFERROR(_xlfn.XLOOKUP(E939,MapeoCargos!$A:$A,MapeoCargos!$B:$B,E939),E939)</f>
        <v>BAR</v>
      </c>
      <c r="G939" s="45">
        <v>45971</v>
      </c>
    </row>
    <row r="940" spans="1:7" x14ac:dyDescent="0.2">
      <c r="A940" s="27" t="s">
        <v>4509</v>
      </c>
      <c r="B940" s="34" t="s">
        <v>189</v>
      </c>
      <c r="C940" s="34" t="s">
        <v>21</v>
      </c>
      <c r="D940" s="34" t="s">
        <v>4606</v>
      </c>
      <c r="E940" s="35" t="s">
        <v>606</v>
      </c>
      <c r="F940" t="str" cm="1">
        <f t="array" ref="F940">IFERROR(_xlfn.XLOOKUP(E940,MapeoCargos!$A:$A,MapeoCargos!$B:$B,E940),E940)</f>
        <v>BAR</v>
      </c>
      <c r="G940" s="45">
        <v>45978</v>
      </c>
    </row>
    <row r="941" spans="1:7" x14ac:dyDescent="0.2">
      <c r="A941" s="27" t="s">
        <v>4510</v>
      </c>
      <c r="B941" s="34" t="s">
        <v>2078</v>
      </c>
      <c r="C941" s="34" t="s">
        <v>2</v>
      </c>
      <c r="D941" s="34" t="s">
        <v>4607</v>
      </c>
      <c r="E941" s="35" t="s">
        <v>83</v>
      </c>
      <c r="F941" t="str" cm="1">
        <f t="array" ref="F941">IFERROR(_xlfn.XLOOKUP(E941,MapeoCargos!$A:$A,MapeoCargos!$B:$B,E941),E941)</f>
        <v>PRODUCCIÓN / COCINA</v>
      </c>
      <c r="G941" s="45">
        <v>45978</v>
      </c>
    </row>
    <row r="942" spans="1:7" x14ac:dyDescent="0.2">
      <c r="A942" s="27" t="s">
        <v>4511</v>
      </c>
      <c r="B942" s="34" t="s">
        <v>2078</v>
      </c>
      <c r="C942" s="34" t="s">
        <v>3025</v>
      </c>
      <c r="D942" s="34" t="s">
        <v>4608</v>
      </c>
      <c r="E942" s="35" t="s">
        <v>160</v>
      </c>
      <c r="F942" t="str" cm="1">
        <f t="array" ref="F942">IFERROR(_xlfn.XLOOKUP(E942,MapeoCargos!$A:$A,MapeoCargos!$B:$B,E942),E942)</f>
        <v>PACKER</v>
      </c>
      <c r="G942" s="45">
        <v>45978</v>
      </c>
    </row>
    <row r="943" spans="1:7" x14ac:dyDescent="0.2">
      <c r="A943" s="27" t="s">
        <v>4512</v>
      </c>
      <c r="B943" s="34" t="s">
        <v>189</v>
      </c>
      <c r="C943" s="34" t="s">
        <v>18</v>
      </c>
      <c r="D943" s="34" t="s">
        <v>4609</v>
      </c>
      <c r="E943" s="35" t="s">
        <v>193</v>
      </c>
      <c r="F943" t="str" cm="1">
        <f t="array" ref="F943">IFERROR(_xlfn.XLOOKUP(E943,MapeoCargos!$A:$A,MapeoCargos!$B:$B,E943),E943)</f>
        <v>PRODUCCIÓN / COCINA</v>
      </c>
      <c r="G943" s="45">
        <v>45978</v>
      </c>
    </row>
    <row r="944" spans="1:7" x14ac:dyDescent="0.2">
      <c r="A944" s="27" t="s">
        <v>4513</v>
      </c>
      <c r="B944" s="34" t="s">
        <v>2078</v>
      </c>
      <c r="C944" s="34" t="s">
        <v>10</v>
      </c>
      <c r="D944" s="34" t="s">
        <v>4610</v>
      </c>
      <c r="E944" s="35" t="s">
        <v>83</v>
      </c>
      <c r="F944" t="str" cm="1">
        <f t="array" ref="F944">IFERROR(_xlfn.XLOOKUP(E944,MapeoCargos!$A:$A,MapeoCargos!$B:$B,E944),E944)</f>
        <v>PRODUCCIÓN / COCINA</v>
      </c>
      <c r="G944" s="45">
        <v>45978</v>
      </c>
    </row>
    <row r="945" spans="1:7" x14ac:dyDescent="0.2">
      <c r="A945" s="27" t="s">
        <v>4514</v>
      </c>
      <c r="B945" s="34" t="s">
        <v>2078</v>
      </c>
      <c r="C945" s="34" t="s">
        <v>2079</v>
      </c>
      <c r="D945" s="34" t="s">
        <v>4611</v>
      </c>
      <c r="E945" s="35" t="s">
        <v>2698</v>
      </c>
      <c r="F945" t="str" cm="1">
        <f t="array" ref="F945">IFERROR(_xlfn.XLOOKUP(E945,MapeoCargos!$A:$A,MapeoCargos!$B:$B,E945),E945)</f>
        <v>AUXILIAR DE SOPORTE TECNICO</v>
      </c>
      <c r="G945" s="45">
        <v>45979</v>
      </c>
    </row>
    <row r="946" spans="1:7" x14ac:dyDescent="0.2">
      <c r="A946" s="27" t="s">
        <v>4515</v>
      </c>
      <c r="B946" s="34" t="s">
        <v>3037</v>
      </c>
      <c r="C946" s="34" t="s">
        <v>3038</v>
      </c>
      <c r="D946" s="34" t="s">
        <v>4612</v>
      </c>
      <c r="E946" s="35" t="s">
        <v>4613</v>
      </c>
      <c r="F946" t="str" cm="1">
        <f t="array" ref="F946">IFERROR(_xlfn.XLOOKUP(E946,MapeoCargos!$A:$A,MapeoCargos!$B:$B,E946),E946)</f>
        <v>COORDINADOR (A) DE RRHH</v>
      </c>
      <c r="G946" s="45">
        <v>45979</v>
      </c>
    </row>
    <row r="947" spans="1:7" x14ac:dyDescent="0.2">
      <c r="A947" s="27" t="s">
        <v>4516</v>
      </c>
      <c r="B947" s="34" t="s">
        <v>189</v>
      </c>
      <c r="C947" s="34" t="s">
        <v>17</v>
      </c>
      <c r="D947" s="34" t="s">
        <v>4614</v>
      </c>
      <c r="E947" s="35" t="s">
        <v>127</v>
      </c>
      <c r="F947" t="str" cm="1">
        <f t="array" ref="F947">IFERROR(_xlfn.XLOOKUP(E947,MapeoCargos!$A:$A,MapeoCargos!$B:$B,E947),E947)</f>
        <v>AZAFATA</v>
      </c>
      <c r="G947" s="45">
        <v>45985</v>
      </c>
    </row>
    <row r="948" spans="1:7" x14ac:dyDescent="0.2">
      <c r="A948" s="27" t="s">
        <v>4517</v>
      </c>
      <c r="B948" s="34" t="s">
        <v>189</v>
      </c>
      <c r="C948" s="34" t="s">
        <v>205</v>
      </c>
      <c r="D948" s="34" t="s">
        <v>4615</v>
      </c>
      <c r="E948" s="35" t="s">
        <v>639</v>
      </c>
      <c r="F948" t="str" cm="1">
        <f t="array" ref="F948">IFERROR(_xlfn.XLOOKUP(E948,MapeoCargos!$A:$A,MapeoCargos!$B:$B,E948),E948)</f>
        <v>BAR</v>
      </c>
      <c r="G948" s="45">
        <v>45985</v>
      </c>
    </row>
    <row r="949" spans="1:7" x14ac:dyDescent="0.2">
      <c r="A949" s="27" t="s">
        <v>4518</v>
      </c>
      <c r="B949" s="34" t="s">
        <v>2078</v>
      </c>
      <c r="C949" s="34" t="s">
        <v>2114</v>
      </c>
      <c r="D949" s="34" t="s">
        <v>4616</v>
      </c>
      <c r="E949" s="35" t="s">
        <v>127</v>
      </c>
      <c r="F949" t="str" cm="1">
        <f t="array" ref="F949">IFERROR(_xlfn.XLOOKUP(E949,MapeoCargos!$A:$A,MapeoCargos!$B:$B,E949),E949)</f>
        <v>AZAFATA</v>
      </c>
      <c r="G949" s="45">
        <v>45985</v>
      </c>
    </row>
    <row r="950" spans="1:7" x14ac:dyDescent="0.2">
      <c r="A950" s="27" t="s">
        <v>4519</v>
      </c>
      <c r="B950" s="34" t="s">
        <v>2078</v>
      </c>
      <c r="C950" s="34" t="s">
        <v>518</v>
      </c>
      <c r="D950" s="34" t="s">
        <v>4617</v>
      </c>
      <c r="E950" s="35" t="s">
        <v>4618</v>
      </c>
      <c r="F950" t="str" cm="1">
        <f t="array" ref="F950">IFERROR(_xlfn.XLOOKUP(E950,MapeoCargos!$A:$A,MapeoCargos!$B:$B,E950),E950)</f>
        <v xml:space="preserve">CORREDOR </v>
      </c>
      <c r="G950" s="45">
        <v>45985</v>
      </c>
    </row>
    <row r="951" spans="1:7" x14ac:dyDescent="0.2">
      <c r="A951" s="27" t="s">
        <v>4520</v>
      </c>
      <c r="B951" s="34" t="s">
        <v>3037</v>
      </c>
      <c r="C951" s="34" t="s">
        <v>16</v>
      </c>
      <c r="D951" s="34" t="s">
        <v>4619</v>
      </c>
      <c r="E951" s="35" t="s">
        <v>606</v>
      </c>
      <c r="F951" t="str" cm="1">
        <f t="array" ref="F951">IFERROR(_xlfn.XLOOKUP(E951,MapeoCargos!$A:$A,MapeoCargos!$B:$B,E951),E951)</f>
        <v>BAR</v>
      </c>
      <c r="G951" s="45">
        <v>45985</v>
      </c>
    </row>
    <row r="952" spans="1:7" x14ac:dyDescent="0.2">
      <c r="A952" s="27" t="s">
        <v>4521</v>
      </c>
      <c r="B952" s="34" t="s">
        <v>2078</v>
      </c>
      <c r="C952" s="34" t="s">
        <v>2</v>
      </c>
      <c r="D952" s="34" t="s">
        <v>4620</v>
      </c>
      <c r="E952" s="35" t="s">
        <v>29</v>
      </c>
      <c r="F952" t="str" cm="1">
        <f t="array" ref="F952">IFERROR(_xlfn.XLOOKUP(E952,MapeoCargos!$A:$A,MapeoCargos!$B:$B,E952),E952)</f>
        <v>MOZO</v>
      </c>
      <c r="G952" s="45">
        <v>45985</v>
      </c>
    </row>
    <row r="953" spans="1:7" x14ac:dyDescent="0.2">
      <c r="A953" s="27" t="s">
        <v>4522</v>
      </c>
      <c r="B953" s="34" t="s">
        <v>2078</v>
      </c>
      <c r="C953" s="34" t="s">
        <v>8</v>
      </c>
      <c r="D953" s="34" t="s">
        <v>4621</v>
      </c>
      <c r="E953" s="35" t="s">
        <v>29</v>
      </c>
      <c r="F953" t="str" cm="1">
        <f t="array" ref="F953">IFERROR(_xlfn.XLOOKUP(E953,MapeoCargos!$A:$A,MapeoCargos!$B:$B,E953),E953)</f>
        <v>MOZO</v>
      </c>
      <c r="G953" s="45">
        <v>45985</v>
      </c>
    </row>
    <row r="954" spans="1:7" x14ac:dyDescent="0.2">
      <c r="A954" s="27" t="s">
        <v>4523</v>
      </c>
      <c r="B954" s="34" t="s">
        <v>2078</v>
      </c>
      <c r="C954" s="34" t="s">
        <v>8</v>
      </c>
      <c r="D954" s="34" t="s">
        <v>4622</v>
      </c>
      <c r="E954" s="35" t="s">
        <v>29</v>
      </c>
      <c r="F954" t="str" cm="1">
        <f t="array" ref="F954">IFERROR(_xlfn.XLOOKUP(E954,MapeoCargos!$A:$A,MapeoCargos!$B:$B,E954),E954)</f>
        <v>MOZO</v>
      </c>
      <c r="G954" s="45">
        <v>45985</v>
      </c>
    </row>
    <row r="955" spans="1:7" x14ac:dyDescent="0.2">
      <c r="A955" s="27" t="s">
        <v>4524</v>
      </c>
      <c r="B955" s="34" t="s">
        <v>2078</v>
      </c>
      <c r="C955" s="34" t="s">
        <v>518</v>
      </c>
      <c r="D955" s="34" t="s">
        <v>4623</v>
      </c>
      <c r="E955" s="35" t="s">
        <v>360</v>
      </c>
      <c r="F955" t="str" cm="1">
        <f t="array" ref="F955">IFERROR(_xlfn.XLOOKUP(E955,MapeoCargos!$A:$A,MapeoCargos!$B:$B,E955),E955)</f>
        <v>PRODUCCIÓN / COCINA</v>
      </c>
      <c r="G955" s="45">
        <v>45985</v>
      </c>
    </row>
    <row r="956" spans="1:7" x14ac:dyDescent="0.2">
      <c r="A956" s="27" t="s">
        <v>4525</v>
      </c>
      <c r="B956" s="34" t="s">
        <v>2078</v>
      </c>
      <c r="C956" s="34" t="s">
        <v>2079</v>
      </c>
      <c r="D956" s="34" t="s">
        <v>4624</v>
      </c>
      <c r="E956" s="35" t="s">
        <v>1192</v>
      </c>
      <c r="F956" t="str" cm="1">
        <f t="array" ref="F956">IFERROR(_xlfn.XLOOKUP(E956,MapeoCargos!$A:$A,MapeoCargos!$B:$B,E956),E956)</f>
        <v>CHOFER</v>
      </c>
      <c r="G956" s="45">
        <v>45985</v>
      </c>
    </row>
    <row r="957" spans="1:7" x14ac:dyDescent="0.2">
      <c r="A957" s="27" t="s">
        <v>4526</v>
      </c>
      <c r="B957" s="34" t="s">
        <v>2078</v>
      </c>
      <c r="C957" s="34" t="s">
        <v>2079</v>
      </c>
      <c r="D957" s="34" t="s">
        <v>4625</v>
      </c>
      <c r="E957" s="35" t="s">
        <v>386</v>
      </c>
      <c r="F957" t="str" cm="1">
        <f t="array" ref="F957">IFERROR(_xlfn.XLOOKUP(E957,MapeoCargos!$A:$A,MapeoCargos!$B:$B,E957),E957)</f>
        <v>PREVENCIONISTA DE RIESGOS</v>
      </c>
      <c r="G957" s="45">
        <v>45993</v>
      </c>
    </row>
    <row r="958" spans="1:7" x14ac:dyDescent="0.2">
      <c r="A958" s="27" t="s">
        <v>4527</v>
      </c>
      <c r="B958" s="34" t="s">
        <v>189</v>
      </c>
      <c r="C958" s="34" t="s">
        <v>18</v>
      </c>
      <c r="D958" s="34" t="s">
        <v>4626</v>
      </c>
      <c r="E958" s="35" t="s">
        <v>127</v>
      </c>
      <c r="F958" t="str" cm="1">
        <f t="array" ref="F958">IFERROR(_xlfn.XLOOKUP(E958,MapeoCargos!$A:$A,MapeoCargos!$B:$B,E958),E958)</f>
        <v>AZAFATA</v>
      </c>
      <c r="G958" s="45">
        <v>45993</v>
      </c>
    </row>
    <row r="959" spans="1:7" x14ac:dyDescent="0.2">
      <c r="A959" s="27" t="s">
        <v>4528</v>
      </c>
      <c r="B959" s="34" t="s">
        <v>189</v>
      </c>
      <c r="C959" s="34" t="s">
        <v>18</v>
      </c>
      <c r="D959" s="34" t="s">
        <v>4627</v>
      </c>
      <c r="E959" s="35" t="s">
        <v>606</v>
      </c>
      <c r="F959" t="str" cm="1">
        <f t="array" ref="F959">IFERROR(_xlfn.XLOOKUP(E959,MapeoCargos!$A:$A,MapeoCargos!$B:$B,E959),E959)</f>
        <v>BAR</v>
      </c>
      <c r="G959" s="45">
        <v>45993</v>
      </c>
    </row>
    <row r="960" spans="1:7" x14ac:dyDescent="0.2">
      <c r="A960" s="27" t="s">
        <v>4529</v>
      </c>
      <c r="B960" s="34" t="s">
        <v>3037</v>
      </c>
      <c r="C960" s="34" t="s">
        <v>626</v>
      </c>
      <c r="D960" s="34" t="s">
        <v>4628</v>
      </c>
      <c r="E960" s="35" t="s">
        <v>29</v>
      </c>
      <c r="F960" t="str" cm="1">
        <f t="array" ref="F960">IFERROR(_xlfn.XLOOKUP(E960,MapeoCargos!$A:$A,MapeoCargos!$B:$B,E960),E960)</f>
        <v>MOZO</v>
      </c>
      <c r="G960" s="45">
        <v>45993</v>
      </c>
    </row>
    <row r="961" spans="1:7" x14ac:dyDescent="0.2">
      <c r="A961" s="27" t="s">
        <v>4530</v>
      </c>
      <c r="B961" s="34" t="s">
        <v>2078</v>
      </c>
      <c r="C961" s="34" t="s">
        <v>8</v>
      </c>
      <c r="D961" s="34" t="s">
        <v>4629</v>
      </c>
      <c r="E961" s="35" t="s">
        <v>551</v>
      </c>
      <c r="F961" t="str" cm="1">
        <f t="array" ref="F961">IFERROR(_xlfn.XLOOKUP(E961,MapeoCargos!$A:$A,MapeoCargos!$B:$B,E961),E961)</f>
        <v>MOZO</v>
      </c>
      <c r="G961" s="45">
        <v>45993</v>
      </c>
    </row>
    <row r="962" spans="1:7" x14ac:dyDescent="0.2">
      <c r="A962" s="27" t="s">
        <v>4531</v>
      </c>
      <c r="B962" s="34" t="s">
        <v>2078</v>
      </c>
      <c r="C962" s="34" t="s">
        <v>2114</v>
      </c>
      <c r="D962" s="34" t="s">
        <v>4630</v>
      </c>
      <c r="E962" s="35" t="s">
        <v>29</v>
      </c>
      <c r="F962" t="str" cm="1">
        <f t="array" ref="F962">IFERROR(_xlfn.XLOOKUP(E962,MapeoCargos!$A:$A,MapeoCargos!$B:$B,E962),E962)</f>
        <v>MOZO</v>
      </c>
      <c r="G962" s="45">
        <v>45993</v>
      </c>
    </row>
    <row r="963" spans="1:7" x14ac:dyDescent="0.2">
      <c r="A963" s="27" t="s">
        <v>4532</v>
      </c>
      <c r="B963" s="34" t="s">
        <v>2078</v>
      </c>
      <c r="C963" s="34" t="s">
        <v>4</v>
      </c>
      <c r="D963" s="34" t="s">
        <v>4631</v>
      </c>
      <c r="E963" s="35" t="s">
        <v>83</v>
      </c>
      <c r="F963" t="str" cm="1">
        <f t="array" ref="F963">IFERROR(_xlfn.XLOOKUP(E963,MapeoCargos!$A:$A,MapeoCargos!$B:$B,E963),E963)</f>
        <v>PRODUCCIÓN / COCINA</v>
      </c>
      <c r="G963" s="45">
        <v>45993</v>
      </c>
    </row>
    <row r="964" spans="1:7" x14ac:dyDescent="0.2">
      <c r="A964" s="27" t="s">
        <v>552</v>
      </c>
      <c r="B964" s="34" t="s">
        <v>189</v>
      </c>
      <c r="C964" s="34" t="s">
        <v>20</v>
      </c>
      <c r="D964" s="34" t="s">
        <v>4632</v>
      </c>
      <c r="E964" s="35" t="s">
        <v>160</v>
      </c>
      <c r="F964" t="str" cm="1">
        <f t="array" ref="F964">IFERROR(_xlfn.XLOOKUP(E964,MapeoCargos!$A:$A,MapeoCargos!$B:$B,E964),E964)</f>
        <v>PACKER</v>
      </c>
      <c r="G964" s="45">
        <v>45992</v>
      </c>
    </row>
    <row r="965" spans="1:7" x14ac:dyDescent="0.2">
      <c r="A965" s="27" t="s">
        <v>259</v>
      </c>
      <c r="B965" s="34" t="s">
        <v>2078</v>
      </c>
      <c r="C965" s="34" t="s">
        <v>23</v>
      </c>
      <c r="D965" s="34" t="s">
        <v>260</v>
      </c>
      <c r="E965" s="35" t="s">
        <v>3004</v>
      </c>
      <c r="F965" t="str" cm="1">
        <f t="array" ref="F965">IFERROR(_xlfn.XLOOKUP(E965,MapeoCargos!$A:$A,MapeoCargos!$B:$B,E965),E965)</f>
        <v>STAFF ADMINISTRATIVO</v>
      </c>
      <c r="G965" s="45">
        <v>45992</v>
      </c>
    </row>
    <row r="966" spans="1:7" x14ac:dyDescent="0.2">
      <c r="A966" s="27" t="s">
        <v>336</v>
      </c>
      <c r="B966" s="34" t="s">
        <v>2078</v>
      </c>
      <c r="C966" s="34" t="s">
        <v>23</v>
      </c>
      <c r="D966" s="34" t="s">
        <v>337</v>
      </c>
      <c r="E966" s="35" t="s">
        <v>83</v>
      </c>
      <c r="F966" t="str" cm="1">
        <f t="array" ref="F966">IFERROR(_xlfn.XLOOKUP(E966,MapeoCargos!$A:$A,MapeoCargos!$B:$B,E966),E966)</f>
        <v>PRODUCCIÓN / COCINA</v>
      </c>
      <c r="G966" s="45">
        <v>45992</v>
      </c>
    </row>
    <row r="967" spans="1:7" x14ac:dyDescent="0.2">
      <c r="A967" s="27" t="s">
        <v>4533</v>
      </c>
      <c r="B967" s="34" t="s">
        <v>3037</v>
      </c>
      <c r="C967" s="34" t="s">
        <v>14</v>
      </c>
      <c r="D967" s="34" t="s">
        <v>4633</v>
      </c>
      <c r="E967" s="35" t="s">
        <v>193</v>
      </c>
      <c r="F967" t="str" cm="1">
        <f t="array" ref="F967">IFERROR(_xlfn.XLOOKUP(E967,MapeoCargos!$A:$A,MapeoCargos!$B:$B,E967),E967)</f>
        <v>PRODUCCIÓN / COCINA</v>
      </c>
      <c r="G967" s="45">
        <v>45995</v>
      </c>
    </row>
    <row r="968" spans="1:7" x14ac:dyDescent="0.2">
      <c r="A968" s="27" t="s">
        <v>571</v>
      </c>
      <c r="B968" s="34" t="s">
        <v>189</v>
      </c>
      <c r="C968" s="34" t="s">
        <v>17</v>
      </c>
      <c r="D968" s="34" t="s">
        <v>572</v>
      </c>
      <c r="E968" s="35" t="s">
        <v>305</v>
      </c>
      <c r="F968" t="str" cm="1">
        <f t="array" ref="F968">IFERROR(_xlfn.XLOOKUP(E968,MapeoCargos!$A:$A,MapeoCargos!$B:$B,E968),E968)</f>
        <v>LIMPIEZA / MANTENIMIENTO</v>
      </c>
      <c r="G968" s="45">
        <v>45810</v>
      </c>
    </row>
    <row r="969" spans="1:7" x14ac:dyDescent="0.2">
      <c r="A969" s="28" t="s">
        <v>3940</v>
      </c>
      <c r="B969" s="34" t="s">
        <v>4018</v>
      </c>
      <c r="C969" s="34" t="s">
        <v>3102</v>
      </c>
      <c r="D969" s="34" t="s">
        <v>4111</v>
      </c>
      <c r="E969" s="35" t="s">
        <v>30</v>
      </c>
      <c r="F969" t="str" cm="1">
        <f t="array" ref="F969">IFERROR(_xlfn.XLOOKUP(E969,MapeoCargos!$A:$A,MapeoCargos!$B:$B,E969),E969)</f>
        <v>STAFF ADMINISTRATIVO</v>
      </c>
      <c r="G969" s="46">
        <v>45616</v>
      </c>
    </row>
    <row r="970" spans="1:7" x14ac:dyDescent="0.2">
      <c r="A970" s="28" t="s">
        <v>3941</v>
      </c>
      <c r="B970" s="34" t="s">
        <v>4018</v>
      </c>
      <c r="C970" s="34" t="s">
        <v>3102</v>
      </c>
      <c r="D970" s="34" t="s">
        <v>4112</v>
      </c>
      <c r="E970" s="35" t="s">
        <v>4113</v>
      </c>
      <c r="F970" t="str" cm="1">
        <f t="array" ref="F970">IFERROR(_xlfn.XLOOKUP(E970,MapeoCargos!$A:$A,MapeoCargos!$B:$B,E970),E970)</f>
        <v>PRODUCCIÓN / COCINA</v>
      </c>
      <c r="G970" s="46">
        <v>45627</v>
      </c>
    </row>
    <row r="971" spans="1:7" x14ac:dyDescent="0.2">
      <c r="A971" s="28" t="s">
        <v>3942</v>
      </c>
      <c r="B971" s="34" t="s">
        <v>4018</v>
      </c>
      <c r="C971" s="34" t="s">
        <v>22</v>
      </c>
      <c r="D971" s="34" t="s">
        <v>4114</v>
      </c>
      <c r="E971" s="35" t="s">
        <v>4634</v>
      </c>
      <c r="F971" t="str" cm="1">
        <f t="array" ref="F971">IFERROR(_xlfn.XLOOKUP(E971,MapeoCargos!$A:$A,MapeoCargos!$B:$B,E971),E971)</f>
        <v>HORNERO/PARRILLERO</v>
      </c>
      <c r="G971" s="46">
        <v>44166</v>
      </c>
    </row>
    <row r="972" spans="1:7" x14ac:dyDescent="0.2">
      <c r="A972" s="28" t="s">
        <v>3943</v>
      </c>
      <c r="B972" s="34" t="s">
        <v>4018</v>
      </c>
      <c r="C972" s="34" t="s">
        <v>22</v>
      </c>
      <c r="D972" s="34" t="s">
        <v>4115</v>
      </c>
      <c r="E972" s="35" t="s">
        <v>127</v>
      </c>
      <c r="F972" t="str" cm="1">
        <f t="array" ref="F972">IFERROR(_xlfn.XLOOKUP(E972,MapeoCargos!$A:$A,MapeoCargos!$B:$B,E972),E972)</f>
        <v>AZAFATA</v>
      </c>
      <c r="G972" s="46">
        <v>44166</v>
      </c>
    </row>
    <row r="973" spans="1:7" x14ac:dyDescent="0.2">
      <c r="A973" s="28" t="s">
        <v>3944</v>
      </c>
      <c r="B973" s="34" t="s">
        <v>4018</v>
      </c>
      <c r="C973" s="34" t="s">
        <v>22</v>
      </c>
      <c r="D973" s="34" t="s">
        <v>4116</v>
      </c>
      <c r="E973" s="35" t="s">
        <v>1210</v>
      </c>
      <c r="F973" t="str" cm="1">
        <f t="array" ref="F973">IFERROR(_xlfn.XLOOKUP(E973,MapeoCargos!$A:$A,MapeoCargos!$B:$B,E973),E973)</f>
        <v>STAFF ADMINISTRATIVO</v>
      </c>
      <c r="G973" s="46">
        <v>44409</v>
      </c>
    </row>
    <row r="974" spans="1:7" x14ac:dyDescent="0.2">
      <c r="A974" s="28" t="s">
        <v>4274</v>
      </c>
      <c r="B974" s="34" t="s">
        <v>4018</v>
      </c>
      <c r="C974" s="34" t="s">
        <v>22</v>
      </c>
      <c r="D974" s="34" t="s">
        <v>4117</v>
      </c>
      <c r="E974" s="35" t="s">
        <v>29</v>
      </c>
      <c r="F974" t="str" cm="1">
        <f t="array" ref="F974">IFERROR(_xlfn.XLOOKUP(E974,MapeoCargos!$A:$A,MapeoCargos!$B:$B,E974),E974)</f>
        <v>MOZO</v>
      </c>
      <c r="G974" s="46">
        <v>44501</v>
      </c>
    </row>
    <row r="975" spans="1:7" x14ac:dyDescent="0.2">
      <c r="A975" s="28" t="s">
        <v>3945</v>
      </c>
      <c r="B975" s="34" t="s">
        <v>4018</v>
      </c>
      <c r="C975" s="34" t="s">
        <v>22</v>
      </c>
      <c r="D975" s="34" t="s">
        <v>4118</v>
      </c>
      <c r="E975" s="35" t="s">
        <v>4388</v>
      </c>
      <c r="F975" t="str" cm="1">
        <f t="array" ref="F975">IFERROR(_xlfn.XLOOKUP(E975,MapeoCargos!$A:$A,MapeoCargos!$B:$B,E975),E975)</f>
        <v>MOTORIZADO/DELIVERY</v>
      </c>
      <c r="G975" s="46">
        <v>44621</v>
      </c>
    </row>
    <row r="976" spans="1:7" x14ac:dyDescent="0.2">
      <c r="A976" s="28" t="s">
        <v>3946</v>
      </c>
      <c r="B976" s="34" t="s">
        <v>4018</v>
      </c>
      <c r="C976" s="34" t="s">
        <v>22</v>
      </c>
      <c r="D976" s="34" t="s">
        <v>4119</v>
      </c>
      <c r="E976" s="35" t="s">
        <v>127</v>
      </c>
      <c r="F976" t="str" cm="1">
        <f t="array" ref="F976">IFERROR(_xlfn.XLOOKUP(E976,MapeoCargos!$A:$A,MapeoCargos!$B:$B,E976),E976)</f>
        <v>AZAFATA</v>
      </c>
      <c r="G976" s="46">
        <v>44621</v>
      </c>
    </row>
    <row r="977" spans="1:7" x14ac:dyDescent="0.2">
      <c r="A977" s="28" t="s">
        <v>3947</v>
      </c>
      <c r="B977" s="34" t="s">
        <v>4018</v>
      </c>
      <c r="C977" s="34" t="s">
        <v>22</v>
      </c>
      <c r="D977" s="34" t="s">
        <v>4120</v>
      </c>
      <c r="E977" s="35" t="s">
        <v>30</v>
      </c>
      <c r="F977" t="str" cm="1">
        <f t="array" ref="F977">IFERROR(_xlfn.XLOOKUP(E977,MapeoCargos!$A:$A,MapeoCargos!$B:$B,E977),E977)</f>
        <v>STAFF ADMINISTRATIVO</v>
      </c>
      <c r="G977" s="46">
        <v>44866</v>
      </c>
    </row>
    <row r="978" spans="1:7" x14ac:dyDescent="0.2">
      <c r="A978" s="28" t="s">
        <v>3948</v>
      </c>
      <c r="B978" s="34" t="s">
        <v>4018</v>
      </c>
      <c r="C978" s="34" t="s">
        <v>22</v>
      </c>
      <c r="D978" s="34" t="s">
        <v>4121</v>
      </c>
      <c r="E978" s="35" t="s">
        <v>1015</v>
      </c>
      <c r="F978" t="str" cm="1">
        <f t="array" ref="F978">IFERROR(_xlfn.XLOOKUP(E978,MapeoCargos!$A:$A,MapeoCargos!$B:$B,E978),E978)</f>
        <v>PRODUCCIÓN / COCINA</v>
      </c>
      <c r="G978" s="46">
        <v>44896</v>
      </c>
    </row>
    <row r="979" spans="1:7" x14ac:dyDescent="0.2">
      <c r="A979" s="28" t="s">
        <v>3949</v>
      </c>
      <c r="B979" s="34" t="s">
        <v>4018</v>
      </c>
      <c r="C979" s="34" t="s">
        <v>22</v>
      </c>
      <c r="D979" s="34" t="s">
        <v>4122</v>
      </c>
      <c r="E979" s="35" t="s">
        <v>46</v>
      </c>
      <c r="F979" t="str" cm="1">
        <f t="array" ref="F979">IFERROR(_xlfn.XLOOKUP(E979,MapeoCargos!$A:$A,MapeoCargos!$B:$B,E979),E979)</f>
        <v>PRODUCCIÓN / COCINA</v>
      </c>
      <c r="G979" s="46">
        <v>45017</v>
      </c>
    </row>
    <row r="980" spans="1:7" x14ac:dyDescent="0.2">
      <c r="A980" s="28" t="s">
        <v>3950</v>
      </c>
      <c r="B980" s="34" t="s">
        <v>4018</v>
      </c>
      <c r="C980" s="34" t="s">
        <v>22</v>
      </c>
      <c r="D980" s="34" t="s">
        <v>4123</v>
      </c>
      <c r="E980" s="35" t="s">
        <v>1015</v>
      </c>
      <c r="F980" t="str" cm="1">
        <f t="array" ref="F980">IFERROR(_xlfn.XLOOKUP(E980,MapeoCargos!$A:$A,MapeoCargos!$B:$B,E980),E980)</f>
        <v>PRODUCCIÓN / COCINA</v>
      </c>
      <c r="G980" s="46">
        <v>45078</v>
      </c>
    </row>
    <row r="981" spans="1:7" x14ac:dyDescent="0.2">
      <c r="A981" s="28" t="s">
        <v>3951</v>
      </c>
      <c r="B981" s="34" t="s">
        <v>4018</v>
      </c>
      <c r="C981" s="34" t="s">
        <v>22</v>
      </c>
      <c r="D981" s="34" t="s">
        <v>4124</v>
      </c>
      <c r="E981" s="35" t="s">
        <v>130</v>
      </c>
      <c r="F981" t="str" cm="1">
        <f t="array" ref="F981">IFERROR(_xlfn.XLOOKUP(E981,MapeoCargos!$A:$A,MapeoCargos!$B:$B,E981),E981)</f>
        <v>BAR</v>
      </c>
      <c r="G981" s="46">
        <v>45323</v>
      </c>
    </row>
    <row r="982" spans="1:7" x14ac:dyDescent="0.2">
      <c r="A982" s="28" t="s">
        <v>3952</v>
      </c>
      <c r="B982" s="34" t="s">
        <v>4018</v>
      </c>
      <c r="C982" s="34" t="s">
        <v>22</v>
      </c>
      <c r="D982" s="34" t="s">
        <v>4125</v>
      </c>
      <c r="E982" s="35" t="s">
        <v>180</v>
      </c>
      <c r="F982" t="str" cm="1">
        <f t="array" ref="F982">IFERROR(_xlfn.XLOOKUP(E982,MapeoCargos!$A:$A,MapeoCargos!$B:$B,E982),E982)</f>
        <v>MANTENIMIENTO</v>
      </c>
      <c r="G982" s="46">
        <v>45444</v>
      </c>
    </row>
    <row r="983" spans="1:7" x14ac:dyDescent="0.2">
      <c r="A983" s="28" t="s">
        <v>3953</v>
      </c>
      <c r="B983" s="34" t="s">
        <v>4018</v>
      </c>
      <c r="C983" s="34" t="s">
        <v>22</v>
      </c>
      <c r="D983" s="34" t="s">
        <v>4126</v>
      </c>
      <c r="E983" s="35" t="s">
        <v>1207</v>
      </c>
      <c r="F983" t="str" cm="1">
        <f t="array" ref="F983">IFERROR(_xlfn.XLOOKUP(E983,MapeoCargos!$A:$A,MapeoCargos!$B:$B,E983),E983)</f>
        <v xml:space="preserve">CAJA </v>
      </c>
      <c r="G983" s="46">
        <v>45444</v>
      </c>
    </row>
    <row r="984" spans="1:7" x14ac:dyDescent="0.2">
      <c r="A984" s="28" t="s">
        <v>3954</v>
      </c>
      <c r="B984" s="34" t="s">
        <v>4018</v>
      </c>
      <c r="C984" s="34" t="s">
        <v>22</v>
      </c>
      <c r="D984" s="34" t="s">
        <v>4127</v>
      </c>
      <c r="E984" s="35" t="s">
        <v>29</v>
      </c>
      <c r="F984" t="str" cm="1">
        <f t="array" ref="F984">IFERROR(_xlfn.XLOOKUP(E984,MapeoCargos!$A:$A,MapeoCargos!$B:$B,E984),E984)</f>
        <v>MOZO</v>
      </c>
      <c r="G984" s="46">
        <v>45536</v>
      </c>
    </row>
    <row r="985" spans="1:7" x14ac:dyDescent="0.2">
      <c r="A985" s="28" t="s">
        <v>3955</v>
      </c>
      <c r="B985" s="34" t="s">
        <v>4018</v>
      </c>
      <c r="C985" s="34" t="s">
        <v>22</v>
      </c>
      <c r="D985" s="34" t="s">
        <v>4128</v>
      </c>
      <c r="E985" s="35" t="s">
        <v>127</v>
      </c>
      <c r="F985" t="str" cm="1">
        <f t="array" ref="F985">IFERROR(_xlfn.XLOOKUP(E985,MapeoCargos!$A:$A,MapeoCargos!$B:$B,E985),E985)</f>
        <v>AZAFATA</v>
      </c>
      <c r="G985" s="46">
        <v>45536</v>
      </c>
    </row>
    <row r="986" spans="1:7" x14ac:dyDescent="0.2">
      <c r="A986" s="28" t="s">
        <v>3956</v>
      </c>
      <c r="B986" s="34" t="s">
        <v>4018</v>
      </c>
      <c r="C986" s="34" t="s">
        <v>22</v>
      </c>
      <c r="D986" s="34" t="s">
        <v>4129</v>
      </c>
      <c r="E986" s="35" t="s">
        <v>1027</v>
      </c>
      <c r="F986" t="str" cm="1">
        <f t="array" ref="F986">IFERROR(_xlfn.XLOOKUP(E986,MapeoCargos!$A:$A,MapeoCargos!$B:$B,E986),E986)</f>
        <v>PRODUCCIÓN / COCINA</v>
      </c>
      <c r="G986" s="46">
        <v>45536</v>
      </c>
    </row>
    <row r="987" spans="1:7" x14ac:dyDescent="0.2">
      <c r="A987" s="28" t="s">
        <v>3957</v>
      </c>
      <c r="B987" s="34" t="s">
        <v>4018</v>
      </c>
      <c r="C987" s="34" t="s">
        <v>22</v>
      </c>
      <c r="D987" s="34" t="s">
        <v>4130</v>
      </c>
      <c r="E987" s="35" t="s">
        <v>4389</v>
      </c>
      <c r="F987" t="str" cm="1">
        <f t="array" ref="F987">IFERROR(_xlfn.XLOOKUP(E987,MapeoCargos!$A:$A,MapeoCargos!$B:$B,E987),E987)</f>
        <v>MOZO/PARTIME</v>
      </c>
      <c r="G987" s="46">
        <v>45536</v>
      </c>
    </row>
    <row r="988" spans="1:7" x14ac:dyDescent="0.2">
      <c r="A988" s="28" t="s">
        <v>3958</v>
      </c>
      <c r="B988" s="34" t="s">
        <v>4018</v>
      </c>
      <c r="C988" s="34" t="s">
        <v>22</v>
      </c>
      <c r="D988" s="34" t="s">
        <v>4131</v>
      </c>
      <c r="E988" s="35" t="s">
        <v>4132</v>
      </c>
      <c r="F988" t="str" cm="1">
        <f t="array" ref="F988">IFERROR(_xlfn.XLOOKUP(E988,MapeoCargos!$A:$A,MapeoCargos!$B:$B,E988),E988)</f>
        <v>AUDITORIA</v>
      </c>
      <c r="G988" s="46">
        <v>45615</v>
      </c>
    </row>
    <row r="989" spans="1:7" x14ac:dyDescent="0.2">
      <c r="A989" s="28" t="s">
        <v>3959</v>
      </c>
      <c r="B989" s="34" t="s">
        <v>4018</v>
      </c>
      <c r="C989" s="34" t="s">
        <v>22</v>
      </c>
      <c r="D989" s="34" t="s">
        <v>4133</v>
      </c>
      <c r="E989" s="35" t="s">
        <v>4134</v>
      </c>
      <c r="F989" t="str" cm="1">
        <f t="array" ref="F989">IFERROR(_xlfn.XLOOKUP(E989,MapeoCargos!$A:$A,MapeoCargos!$B:$B,E989),E989)</f>
        <v>AZAFATA</v>
      </c>
      <c r="G989" s="46">
        <v>45627</v>
      </c>
    </row>
    <row r="990" spans="1:7" x14ac:dyDescent="0.2">
      <c r="A990" s="28" t="s">
        <v>3960</v>
      </c>
      <c r="B990" s="34" t="s">
        <v>4018</v>
      </c>
      <c r="C990" s="34" t="s">
        <v>22</v>
      </c>
      <c r="D990" s="34" t="s">
        <v>4135</v>
      </c>
      <c r="E990" s="35" t="s">
        <v>4136</v>
      </c>
      <c r="F990" t="str" cm="1">
        <f t="array" ref="F990">IFERROR(_xlfn.XLOOKUP(E990,MapeoCargos!$A:$A,MapeoCargos!$B:$B,E990),E990)</f>
        <v>MOZO</v>
      </c>
      <c r="G990" s="46">
        <v>45627</v>
      </c>
    </row>
    <row r="991" spans="1:7" x14ac:dyDescent="0.2">
      <c r="A991" s="28" t="s">
        <v>3961</v>
      </c>
      <c r="B991" s="34" t="s">
        <v>4018</v>
      </c>
      <c r="C991" s="34" t="s">
        <v>22</v>
      </c>
      <c r="D991" s="34" t="s">
        <v>4137</v>
      </c>
      <c r="E991" s="35" t="s">
        <v>4136</v>
      </c>
      <c r="F991" t="str" cm="1">
        <f t="array" ref="F991">IFERROR(_xlfn.XLOOKUP(E991,MapeoCargos!$A:$A,MapeoCargos!$B:$B,E991),E991)</f>
        <v>MOZO</v>
      </c>
      <c r="G991" s="46">
        <v>45627</v>
      </c>
    </row>
    <row r="992" spans="1:7" x14ac:dyDescent="0.2">
      <c r="A992" s="28" t="s">
        <v>3962</v>
      </c>
      <c r="B992" s="34" t="s">
        <v>4018</v>
      </c>
      <c r="C992" s="34" t="s">
        <v>3102</v>
      </c>
      <c r="D992" s="34" t="s">
        <v>4138</v>
      </c>
      <c r="E992" s="35" t="s">
        <v>3638</v>
      </c>
      <c r="F992" t="str" cm="1">
        <f t="array" ref="F992">IFERROR(_xlfn.XLOOKUP(E992,MapeoCargos!$A:$A,MapeoCargos!$B:$B,E992),E992)</f>
        <v>PRODUCCIÓN / COCINA</v>
      </c>
      <c r="G992" s="46">
        <v>45661</v>
      </c>
    </row>
    <row r="993" spans="1:7" x14ac:dyDescent="0.2">
      <c r="A993" s="28" t="s">
        <v>3963</v>
      </c>
      <c r="B993" s="34" t="s">
        <v>4018</v>
      </c>
      <c r="C993" s="34" t="s">
        <v>22</v>
      </c>
      <c r="D993" s="34" t="s">
        <v>4139</v>
      </c>
      <c r="E993" s="35" t="s">
        <v>29</v>
      </c>
      <c r="F993" t="str" cm="1">
        <f t="array" ref="F993">IFERROR(_xlfn.XLOOKUP(E993,MapeoCargos!$A:$A,MapeoCargos!$B:$B,E993),E993)</f>
        <v>MOZO</v>
      </c>
      <c r="G993" s="46">
        <v>45731</v>
      </c>
    </row>
    <row r="994" spans="1:7" x14ac:dyDescent="0.2">
      <c r="A994" s="28" t="s">
        <v>3964</v>
      </c>
      <c r="B994" s="34" t="s">
        <v>4018</v>
      </c>
      <c r="C994" s="34" t="s">
        <v>3102</v>
      </c>
      <c r="D994" s="34" t="s">
        <v>4140</v>
      </c>
      <c r="E994" s="35" t="s">
        <v>83</v>
      </c>
      <c r="F994" t="str" cm="1">
        <f t="array" ref="F994">IFERROR(_xlfn.XLOOKUP(E994,MapeoCargos!$A:$A,MapeoCargos!$B:$B,E994),E994)</f>
        <v>PRODUCCIÓN / COCINA</v>
      </c>
      <c r="G994" s="46">
        <v>45733</v>
      </c>
    </row>
    <row r="995" spans="1:7" x14ac:dyDescent="0.2">
      <c r="A995" s="28" t="s">
        <v>3965</v>
      </c>
      <c r="B995" s="34" t="s">
        <v>4018</v>
      </c>
      <c r="C995" s="34" t="s">
        <v>3102</v>
      </c>
      <c r="D995" s="34" t="s">
        <v>4141</v>
      </c>
      <c r="E995" s="35" t="s">
        <v>3796</v>
      </c>
      <c r="F995" t="str" cm="1">
        <f t="array" ref="F995">IFERROR(_xlfn.XLOOKUP(E995,MapeoCargos!$A:$A,MapeoCargos!$B:$B,E995),E995)</f>
        <v xml:space="preserve">CAJA </v>
      </c>
      <c r="G995" s="46">
        <v>45733</v>
      </c>
    </row>
    <row r="996" spans="1:7" x14ac:dyDescent="0.2">
      <c r="A996" s="28" t="s">
        <v>3966</v>
      </c>
      <c r="B996" s="34" t="s">
        <v>4018</v>
      </c>
      <c r="C996" s="34" t="s">
        <v>3102</v>
      </c>
      <c r="D996" s="34" t="s">
        <v>4142</v>
      </c>
      <c r="E996" s="35" t="s">
        <v>126</v>
      </c>
      <c r="F996" t="str" cm="1">
        <f t="array" ref="F996">IFERROR(_xlfn.XLOOKUP(E996,MapeoCargos!$A:$A,MapeoCargos!$B:$B,E996),E996)</f>
        <v>MOTORIZADO</v>
      </c>
      <c r="G996" s="46">
        <v>45792</v>
      </c>
    </row>
    <row r="997" spans="1:7" x14ac:dyDescent="0.2">
      <c r="A997" s="28" t="s">
        <v>3967</v>
      </c>
      <c r="B997" s="34" t="s">
        <v>4635</v>
      </c>
      <c r="C997" s="34" t="s">
        <v>3102</v>
      </c>
      <c r="D997" s="34" t="s">
        <v>4143</v>
      </c>
      <c r="E997" s="35" t="s">
        <v>222</v>
      </c>
      <c r="F997" t="str" cm="1">
        <f t="array" ref="F997">IFERROR(_xlfn.XLOOKUP(E997,MapeoCargos!$A:$A,MapeoCargos!$B:$B,E997),E997)</f>
        <v>PRODUCCIÓN / COCINA</v>
      </c>
      <c r="G997" s="46">
        <v>45824</v>
      </c>
    </row>
    <row r="998" spans="1:7" x14ac:dyDescent="0.2">
      <c r="A998" s="28" t="s">
        <v>3968</v>
      </c>
      <c r="B998" s="34" t="s">
        <v>4635</v>
      </c>
      <c r="C998" s="34" t="s">
        <v>3102</v>
      </c>
      <c r="D998" s="34" t="s">
        <v>4144</v>
      </c>
      <c r="E998" s="35" t="s">
        <v>110</v>
      </c>
      <c r="F998" t="str" cm="1">
        <f t="array" ref="F998">IFERROR(_xlfn.XLOOKUP(E998,MapeoCargos!$A:$A,MapeoCargos!$B:$B,E998),E998)</f>
        <v>COUNTER</v>
      </c>
      <c r="G998" s="46">
        <v>45870</v>
      </c>
    </row>
    <row r="999" spans="1:7" x14ac:dyDescent="0.2">
      <c r="A999" s="28" t="s">
        <v>3969</v>
      </c>
      <c r="B999" s="34" t="s">
        <v>4635</v>
      </c>
      <c r="C999" s="34" t="s">
        <v>22</v>
      </c>
      <c r="D999" s="34" t="s">
        <v>4145</v>
      </c>
      <c r="E999" s="35" t="s">
        <v>126</v>
      </c>
      <c r="F999" t="str" cm="1">
        <f t="array" ref="F999">IFERROR(_xlfn.XLOOKUP(E999,MapeoCargos!$A:$A,MapeoCargos!$B:$B,E999),E999)</f>
        <v>MOTORIZADO</v>
      </c>
      <c r="G999" s="46">
        <v>45873</v>
      </c>
    </row>
    <row r="1000" spans="1:7" x14ac:dyDescent="0.2">
      <c r="A1000" s="28" t="s">
        <v>3970</v>
      </c>
      <c r="B1000" s="34" t="s">
        <v>4635</v>
      </c>
      <c r="C1000" s="34" t="s">
        <v>22</v>
      </c>
      <c r="D1000" s="34" t="s">
        <v>4146</v>
      </c>
      <c r="E1000" s="35" t="s">
        <v>126</v>
      </c>
      <c r="F1000" t="str" cm="1">
        <f t="array" ref="F1000">IFERROR(_xlfn.XLOOKUP(E1000,MapeoCargos!$A:$A,MapeoCargos!$B:$B,E1000),E1000)</f>
        <v>MOTORIZADO</v>
      </c>
      <c r="G1000" s="46">
        <v>45873</v>
      </c>
    </row>
    <row r="1001" spans="1:7" x14ac:dyDescent="0.2">
      <c r="A1001" s="28" t="s">
        <v>3971</v>
      </c>
      <c r="B1001" s="34" t="s">
        <v>4635</v>
      </c>
      <c r="C1001" s="34" t="s">
        <v>22</v>
      </c>
      <c r="D1001" s="34" t="s">
        <v>4147</v>
      </c>
      <c r="E1001" s="35" t="s">
        <v>231</v>
      </c>
      <c r="F1001" t="str" cm="1">
        <f t="array" ref="F1001">IFERROR(_xlfn.XLOOKUP(E1001,MapeoCargos!$A:$A,MapeoCargos!$B:$B,E1001),E1001)</f>
        <v xml:space="preserve">CAJA </v>
      </c>
      <c r="G1001" s="46">
        <v>45873</v>
      </c>
    </row>
    <row r="1002" spans="1:7" x14ac:dyDescent="0.2">
      <c r="A1002" s="28" t="s">
        <v>3972</v>
      </c>
      <c r="B1002" s="34" t="s">
        <v>4635</v>
      </c>
      <c r="C1002" s="34" t="s">
        <v>3102</v>
      </c>
      <c r="D1002" s="34" t="s">
        <v>4148</v>
      </c>
      <c r="E1002" s="35" t="s">
        <v>110</v>
      </c>
      <c r="F1002" t="str" cm="1">
        <f t="array" ref="F1002">IFERROR(_xlfn.XLOOKUP(E1002,MapeoCargos!$A:$A,MapeoCargos!$B:$B,E1002),E1002)</f>
        <v>COUNTER</v>
      </c>
      <c r="G1002" s="46">
        <v>45901</v>
      </c>
    </row>
    <row r="1003" spans="1:7" x14ac:dyDescent="0.2">
      <c r="A1003" s="28" t="s">
        <v>3973</v>
      </c>
      <c r="B1003" s="34" t="s">
        <v>4635</v>
      </c>
      <c r="C1003" s="34" t="s">
        <v>3102</v>
      </c>
      <c r="D1003" s="34" t="s">
        <v>4149</v>
      </c>
      <c r="E1003" s="35" t="s">
        <v>110</v>
      </c>
      <c r="F1003" t="str" cm="1">
        <f t="array" ref="F1003">IFERROR(_xlfn.XLOOKUP(E1003,MapeoCargos!$A:$A,MapeoCargos!$B:$B,E1003),E1003)</f>
        <v>COUNTER</v>
      </c>
      <c r="G1003" s="46">
        <v>45903</v>
      </c>
    </row>
    <row r="1004" spans="1:7" x14ac:dyDescent="0.2">
      <c r="A1004" s="28" t="s">
        <v>3974</v>
      </c>
      <c r="B1004" s="34" t="s">
        <v>4635</v>
      </c>
      <c r="C1004" s="34" t="s">
        <v>3102</v>
      </c>
      <c r="D1004" s="34" t="s">
        <v>4150</v>
      </c>
      <c r="E1004" s="35" t="s">
        <v>83</v>
      </c>
      <c r="F1004" t="str" cm="1">
        <f t="array" ref="F1004">IFERROR(_xlfn.XLOOKUP(E1004,MapeoCargos!$A:$A,MapeoCargos!$B:$B,E1004),E1004)</f>
        <v>PRODUCCIÓN / COCINA</v>
      </c>
      <c r="G1004" s="46">
        <v>45908</v>
      </c>
    </row>
    <row r="1005" spans="1:7" x14ac:dyDescent="0.2">
      <c r="A1005" s="28" t="s">
        <v>4275</v>
      </c>
      <c r="B1005" s="34" t="s">
        <v>4635</v>
      </c>
      <c r="C1005" s="34" t="s">
        <v>22</v>
      </c>
      <c r="D1005" s="34" t="s">
        <v>4390</v>
      </c>
      <c r="E1005" s="35" t="s">
        <v>4391</v>
      </c>
      <c r="F1005" t="str" cm="1">
        <f t="array" ref="F1005">IFERROR(_xlfn.XLOOKUP(E1005,MapeoCargos!$A:$A,MapeoCargos!$B:$B,E1005),E1005)</f>
        <v>PRODUCCIÓN / COCINA</v>
      </c>
      <c r="G1005" s="46">
        <v>45931</v>
      </c>
    </row>
    <row r="1006" spans="1:7" x14ac:dyDescent="0.2">
      <c r="A1006" s="28" t="s">
        <v>4276</v>
      </c>
      <c r="B1006" s="34" t="s">
        <v>4635</v>
      </c>
      <c r="C1006" s="34" t="s">
        <v>3102</v>
      </c>
      <c r="D1006" s="34" t="s">
        <v>4392</v>
      </c>
      <c r="E1006" s="35" t="s">
        <v>3004</v>
      </c>
      <c r="F1006" t="str" cm="1">
        <f t="array" ref="F1006">IFERROR(_xlfn.XLOOKUP(E1006,MapeoCargos!$A:$A,MapeoCargos!$B:$B,E1006),E1006)</f>
        <v>STAFF ADMINISTRATIVO</v>
      </c>
      <c r="G1006" s="46">
        <v>45931</v>
      </c>
    </row>
    <row r="1007" spans="1:7" x14ac:dyDescent="0.2">
      <c r="A1007" s="28" t="s">
        <v>4277</v>
      </c>
      <c r="B1007" s="34" t="s">
        <v>4635</v>
      </c>
      <c r="C1007" s="34" t="s">
        <v>22</v>
      </c>
      <c r="D1007" s="34" t="s">
        <v>4393</v>
      </c>
      <c r="E1007" s="35" t="s">
        <v>83</v>
      </c>
      <c r="F1007" t="str" cm="1">
        <f t="array" ref="F1007">IFERROR(_xlfn.XLOOKUP(E1007,MapeoCargos!$A:$A,MapeoCargos!$B:$B,E1007),E1007)</f>
        <v>PRODUCCIÓN / COCINA</v>
      </c>
      <c r="G1007" s="46">
        <v>45931</v>
      </c>
    </row>
    <row r="1008" spans="1:7" x14ac:dyDescent="0.2">
      <c r="A1008" s="28" t="s">
        <v>4534</v>
      </c>
      <c r="B1008" s="34" t="s">
        <v>4635</v>
      </c>
      <c r="C1008" s="34" t="s">
        <v>22</v>
      </c>
      <c r="D1008" s="34" t="s">
        <v>4636</v>
      </c>
      <c r="E1008" s="35" t="s">
        <v>606</v>
      </c>
      <c r="F1008" t="str" cm="1">
        <f t="array" ref="F1008">IFERROR(_xlfn.XLOOKUP(E1008,MapeoCargos!$A:$A,MapeoCargos!$B:$B,E1008),E1008)</f>
        <v>BAR</v>
      </c>
      <c r="G1008" s="46">
        <v>45952</v>
      </c>
    </row>
    <row r="1009" spans="1:7" x14ac:dyDescent="0.2">
      <c r="A1009" s="28" t="s">
        <v>4278</v>
      </c>
      <c r="B1009" s="34" t="s">
        <v>4635</v>
      </c>
      <c r="C1009" s="34" t="s">
        <v>22</v>
      </c>
      <c r="D1009" s="34" t="s">
        <v>4394</v>
      </c>
      <c r="E1009" s="35" t="s">
        <v>222</v>
      </c>
      <c r="F1009" t="str" cm="1">
        <f t="array" ref="F1009">IFERROR(_xlfn.XLOOKUP(E1009,MapeoCargos!$A:$A,MapeoCargos!$B:$B,E1009),E1009)</f>
        <v>PRODUCCIÓN / COCINA</v>
      </c>
      <c r="G1009" s="46">
        <v>45964</v>
      </c>
    </row>
    <row r="1010" spans="1:7" x14ac:dyDescent="0.2">
      <c r="A1010" s="28" t="s">
        <v>4279</v>
      </c>
      <c r="B1010" s="34" t="s">
        <v>4635</v>
      </c>
      <c r="C1010" s="34" t="s">
        <v>22</v>
      </c>
      <c r="D1010" s="34" t="s">
        <v>4395</v>
      </c>
      <c r="E1010" s="35" t="s">
        <v>551</v>
      </c>
      <c r="F1010" t="str" cm="1">
        <f t="array" ref="F1010">IFERROR(_xlfn.XLOOKUP(E1010,MapeoCargos!$A:$A,MapeoCargos!$B:$B,E1010),E1010)</f>
        <v>MOZO</v>
      </c>
      <c r="G1010" s="46">
        <v>45964</v>
      </c>
    </row>
    <row r="1011" spans="1:7" x14ac:dyDescent="0.2">
      <c r="A1011" s="28" t="s">
        <v>4280</v>
      </c>
      <c r="B1011" s="34" t="s">
        <v>4635</v>
      </c>
      <c r="C1011" s="34" t="s">
        <v>22</v>
      </c>
      <c r="D1011" s="34" t="s">
        <v>4396</v>
      </c>
      <c r="E1011" s="35" t="s">
        <v>127</v>
      </c>
      <c r="F1011" t="str" cm="1">
        <f t="array" ref="F1011">IFERROR(_xlfn.XLOOKUP(E1011,MapeoCargos!$A:$A,MapeoCargos!$B:$B,E1011),E1011)</f>
        <v>AZAFATA</v>
      </c>
      <c r="G1011" s="46">
        <v>45964</v>
      </c>
    </row>
    <row r="1012" spans="1:7" x14ac:dyDescent="0.2">
      <c r="A1012" s="28" t="s">
        <v>4535</v>
      </c>
      <c r="B1012" s="34" t="s">
        <v>4635</v>
      </c>
      <c r="C1012" s="34" t="s">
        <v>22</v>
      </c>
      <c r="D1012" s="34" t="s">
        <v>4637</v>
      </c>
      <c r="E1012" s="35" t="s">
        <v>127</v>
      </c>
      <c r="F1012" t="str" cm="1">
        <f t="array" ref="F1012">IFERROR(_xlfn.XLOOKUP(E1012,MapeoCargos!$A:$A,MapeoCargos!$B:$B,E1012),E1012)</f>
        <v>AZAFATA</v>
      </c>
      <c r="G1012" s="46">
        <v>45993</v>
      </c>
    </row>
    <row r="1013" spans="1:7" x14ac:dyDescent="0.2">
      <c r="A1013" s="27" t="s">
        <v>106</v>
      </c>
      <c r="B1013" s="35" t="s">
        <v>103</v>
      </c>
      <c r="C1013" s="35" t="s">
        <v>104</v>
      </c>
      <c r="D1013" s="35" t="s">
        <v>107</v>
      </c>
      <c r="E1013" s="35" t="s">
        <v>86</v>
      </c>
      <c r="F1013" t="str" cm="1">
        <f t="array" ref="F1013">IFERROR(_xlfn.XLOOKUP(E1013,MapeoCargos!$A:$A,MapeoCargos!$B:$B,E1013),E1013)</f>
        <v>ASISTENTE ADM.</v>
      </c>
      <c r="G1013" s="46">
        <v>44927</v>
      </c>
    </row>
    <row r="1014" spans="1:7" x14ac:dyDescent="0.2">
      <c r="A1014" s="27" t="s">
        <v>108</v>
      </c>
      <c r="B1014" s="35" t="s">
        <v>103</v>
      </c>
      <c r="C1014" s="35" t="s">
        <v>104</v>
      </c>
      <c r="D1014" s="35" t="s">
        <v>109</v>
      </c>
      <c r="E1014" s="35" t="s">
        <v>110</v>
      </c>
      <c r="F1014" t="str" cm="1">
        <f t="array" ref="F1014">IFERROR(_xlfn.XLOOKUP(E1014,MapeoCargos!$A:$A,MapeoCargos!$B:$B,E1014),E1014)</f>
        <v>COUNTER</v>
      </c>
      <c r="G1014" s="46">
        <v>44927</v>
      </c>
    </row>
    <row r="1015" spans="1:7" x14ac:dyDescent="0.2">
      <c r="A1015" s="27" t="s">
        <v>111</v>
      </c>
      <c r="B1015" s="35" t="s">
        <v>103</v>
      </c>
      <c r="C1015" s="35" t="s">
        <v>104</v>
      </c>
      <c r="D1015" s="35" t="s">
        <v>112</v>
      </c>
      <c r="E1015" s="35" t="s">
        <v>113</v>
      </c>
      <c r="F1015" t="str" cm="1">
        <f t="array" ref="F1015">IFERROR(_xlfn.XLOOKUP(E1015,MapeoCargos!$A:$A,MapeoCargos!$B:$B,E1015),E1015)</f>
        <v>HABILITADOR</v>
      </c>
      <c r="G1015" s="46">
        <v>44927</v>
      </c>
    </row>
    <row r="1016" spans="1:7" x14ac:dyDescent="0.2">
      <c r="A1016" s="27" t="s">
        <v>114</v>
      </c>
      <c r="B1016" s="35" t="s">
        <v>103</v>
      </c>
      <c r="C1016" s="35" t="s">
        <v>104</v>
      </c>
      <c r="D1016" s="35" t="s">
        <v>115</v>
      </c>
      <c r="E1016" s="35" t="s">
        <v>116</v>
      </c>
      <c r="F1016" t="str" cm="1">
        <f t="array" ref="F1016">IFERROR(_xlfn.XLOOKUP(E1016,MapeoCargos!$A:$A,MapeoCargos!$B:$B,E1016),E1016)</f>
        <v>AUXILIAR DE MANTENIMIENTO</v>
      </c>
      <c r="G1016" s="46">
        <v>44927</v>
      </c>
    </row>
    <row r="1017" spans="1:7" x14ac:dyDescent="0.2">
      <c r="A1017" s="27" t="s">
        <v>117</v>
      </c>
      <c r="B1017" s="35" t="s">
        <v>103</v>
      </c>
      <c r="C1017" s="35" t="s">
        <v>104</v>
      </c>
      <c r="D1017" s="35" t="s">
        <v>118</v>
      </c>
      <c r="E1017" s="35" t="s">
        <v>119</v>
      </c>
      <c r="F1017" t="str" cm="1">
        <f t="array" ref="F1017">IFERROR(_xlfn.XLOOKUP(E1017,MapeoCargos!$A:$A,MapeoCargos!$B:$B,E1017),E1017)</f>
        <v>TELEOPERADOR(A)</v>
      </c>
      <c r="G1017" s="46">
        <v>44927</v>
      </c>
    </row>
    <row r="1018" spans="1:7" x14ac:dyDescent="0.2">
      <c r="A1018" s="27" t="s">
        <v>120</v>
      </c>
      <c r="B1018" s="35" t="s">
        <v>103</v>
      </c>
      <c r="C1018" s="35" t="s">
        <v>104</v>
      </c>
      <c r="D1018" s="35" t="s">
        <v>121</v>
      </c>
      <c r="E1018" s="35" t="s">
        <v>30</v>
      </c>
      <c r="F1018" t="str" cm="1">
        <f t="array" ref="F1018">IFERROR(_xlfn.XLOOKUP(E1018,MapeoCargos!$A:$A,MapeoCargos!$B:$B,E1018),E1018)</f>
        <v>STAFF ADMINISTRATIVO</v>
      </c>
      <c r="G1018" s="46">
        <v>44927</v>
      </c>
    </row>
    <row r="1019" spans="1:7" x14ac:dyDescent="0.2">
      <c r="A1019" s="27" t="s">
        <v>122</v>
      </c>
      <c r="B1019" s="35" t="s">
        <v>103</v>
      </c>
      <c r="C1019" s="35" t="s">
        <v>104</v>
      </c>
      <c r="D1019" s="35" t="s">
        <v>123</v>
      </c>
      <c r="E1019" s="35" t="s">
        <v>29</v>
      </c>
      <c r="F1019" t="str" cm="1">
        <f t="array" ref="F1019">IFERROR(_xlfn.XLOOKUP(E1019,MapeoCargos!$A:$A,MapeoCargos!$B:$B,E1019),E1019)</f>
        <v>MOZO</v>
      </c>
      <c r="G1019" s="46">
        <v>44927</v>
      </c>
    </row>
    <row r="1020" spans="1:7" x14ac:dyDescent="0.2">
      <c r="A1020" s="27" t="s">
        <v>124</v>
      </c>
      <c r="B1020" s="35" t="s">
        <v>103</v>
      </c>
      <c r="C1020" s="35" t="s">
        <v>104</v>
      </c>
      <c r="D1020" s="35" t="s">
        <v>125</v>
      </c>
      <c r="E1020" s="35" t="s">
        <v>126</v>
      </c>
      <c r="F1020" t="str" cm="1">
        <f t="array" ref="F1020">IFERROR(_xlfn.XLOOKUP(E1020,MapeoCargos!$A:$A,MapeoCargos!$B:$B,E1020),E1020)</f>
        <v>MOTORIZADO</v>
      </c>
      <c r="G1020" s="46">
        <v>44942</v>
      </c>
    </row>
    <row r="1021" spans="1:7" x14ac:dyDescent="0.2">
      <c r="A1021" s="27" t="s">
        <v>128</v>
      </c>
      <c r="B1021" s="35" t="s">
        <v>103</v>
      </c>
      <c r="C1021" s="35" t="s">
        <v>104</v>
      </c>
      <c r="D1021" s="35" t="s">
        <v>129</v>
      </c>
      <c r="E1021" s="35" t="s">
        <v>130</v>
      </c>
      <c r="F1021" t="str" cm="1">
        <f t="array" ref="F1021">IFERROR(_xlfn.XLOOKUP(E1021,MapeoCargos!$A:$A,MapeoCargos!$B:$B,E1021),E1021)</f>
        <v>BAR</v>
      </c>
      <c r="G1021" s="46">
        <v>45154</v>
      </c>
    </row>
    <row r="1022" spans="1:7" x14ac:dyDescent="0.2">
      <c r="A1022" s="27" t="s">
        <v>131</v>
      </c>
      <c r="B1022" s="35" t="s">
        <v>103</v>
      </c>
      <c r="C1022" s="35" t="s">
        <v>104</v>
      </c>
      <c r="D1022" s="35" t="s">
        <v>132</v>
      </c>
      <c r="E1022" s="35" t="s">
        <v>29</v>
      </c>
      <c r="F1022" t="str" cm="1">
        <f t="array" ref="F1022">IFERROR(_xlfn.XLOOKUP(E1022,MapeoCargos!$A:$A,MapeoCargos!$B:$B,E1022),E1022)</f>
        <v>MOZO</v>
      </c>
      <c r="G1022" s="46">
        <v>45154</v>
      </c>
    </row>
    <row r="1023" spans="1:7" x14ac:dyDescent="0.2">
      <c r="A1023" s="27" t="s">
        <v>133</v>
      </c>
      <c r="B1023" s="35" t="s">
        <v>103</v>
      </c>
      <c r="C1023" s="35" t="s">
        <v>104</v>
      </c>
      <c r="D1023" s="35" t="s">
        <v>134</v>
      </c>
      <c r="E1023" s="35" t="s">
        <v>135</v>
      </c>
      <c r="F1023" t="str" cm="1">
        <f t="array" ref="F1023">IFERROR(_xlfn.XLOOKUP(E1023,MapeoCargos!$A:$A,MapeoCargos!$B:$B,E1023),E1023)</f>
        <v>PRODUCCIÓN / COCINA</v>
      </c>
      <c r="G1023" s="46">
        <v>45246</v>
      </c>
    </row>
    <row r="1024" spans="1:7" x14ac:dyDescent="0.2">
      <c r="A1024" s="27" t="s">
        <v>136</v>
      </c>
      <c r="B1024" s="35" t="s">
        <v>103</v>
      </c>
      <c r="C1024" s="35" t="s">
        <v>104</v>
      </c>
      <c r="D1024" s="35" t="s">
        <v>137</v>
      </c>
      <c r="E1024" s="35" t="s">
        <v>89</v>
      </c>
      <c r="F1024" t="str" cm="1">
        <f t="array" ref="F1024">IFERROR(_xlfn.XLOOKUP(E1024,MapeoCargos!$A:$A,MapeoCargos!$B:$B,E1024),E1024)</f>
        <v>PRODUCCIÓN / COCINA</v>
      </c>
      <c r="G1024" s="46">
        <v>45398</v>
      </c>
    </row>
    <row r="1025" spans="1:7" x14ac:dyDescent="0.2">
      <c r="A1025" s="27" t="s">
        <v>138</v>
      </c>
      <c r="B1025" s="35" t="s">
        <v>103</v>
      </c>
      <c r="C1025" s="35" t="s">
        <v>104</v>
      </c>
      <c r="D1025" s="35" t="s">
        <v>139</v>
      </c>
      <c r="E1025" s="35" t="s">
        <v>135</v>
      </c>
      <c r="F1025" t="str" cm="1">
        <f t="array" ref="F1025">IFERROR(_xlfn.XLOOKUP(E1025,MapeoCargos!$A:$A,MapeoCargos!$B:$B,E1025),E1025)</f>
        <v>PRODUCCIÓN / COCINA</v>
      </c>
      <c r="G1025" s="46">
        <v>45394</v>
      </c>
    </row>
    <row r="1026" spans="1:7" x14ac:dyDescent="0.2">
      <c r="A1026" s="27" t="s">
        <v>140</v>
      </c>
      <c r="B1026" s="35" t="s">
        <v>103</v>
      </c>
      <c r="C1026" s="35" t="s">
        <v>104</v>
      </c>
      <c r="D1026" s="35" t="s">
        <v>141</v>
      </c>
      <c r="E1026" s="35" t="s">
        <v>89</v>
      </c>
      <c r="F1026" t="str" cm="1">
        <f t="array" ref="F1026">IFERROR(_xlfn.XLOOKUP(E1026,MapeoCargos!$A:$A,MapeoCargos!$B:$B,E1026),E1026)</f>
        <v>PRODUCCIÓN / COCINA</v>
      </c>
      <c r="G1026" s="46">
        <v>45444</v>
      </c>
    </row>
    <row r="1027" spans="1:7" x14ac:dyDescent="0.2">
      <c r="A1027" s="28" t="s">
        <v>142</v>
      </c>
      <c r="B1027" s="35" t="s">
        <v>103</v>
      </c>
      <c r="C1027" s="35" t="s">
        <v>104</v>
      </c>
      <c r="D1027" s="35" t="s">
        <v>143</v>
      </c>
      <c r="E1027" s="35" t="s">
        <v>29</v>
      </c>
      <c r="F1027" t="str" cm="1">
        <f t="array" ref="F1027">IFERROR(_xlfn.XLOOKUP(E1027,MapeoCargos!$A:$A,MapeoCargos!$B:$B,E1027),E1027)</f>
        <v>MOZO</v>
      </c>
      <c r="G1027" s="46">
        <v>45444</v>
      </c>
    </row>
    <row r="1028" spans="1:7" x14ac:dyDescent="0.2">
      <c r="A1028" s="28" t="s">
        <v>144</v>
      </c>
      <c r="B1028" s="35" t="s">
        <v>103</v>
      </c>
      <c r="C1028" s="35" t="s">
        <v>104</v>
      </c>
      <c r="D1028" s="35" t="s">
        <v>145</v>
      </c>
      <c r="E1028" s="35" t="s">
        <v>146</v>
      </c>
      <c r="F1028" t="str" cm="1">
        <f t="array" ref="F1028">IFERROR(_xlfn.XLOOKUP(E1028,MapeoCargos!$A:$A,MapeoCargos!$B:$B,E1028),E1028)</f>
        <v xml:space="preserve">MOZO </v>
      </c>
      <c r="G1028" s="46">
        <v>45444</v>
      </c>
    </row>
    <row r="1029" spans="1:7" x14ac:dyDescent="0.2">
      <c r="A1029" s="28" t="s">
        <v>147</v>
      </c>
      <c r="B1029" s="35" t="s">
        <v>103</v>
      </c>
      <c r="C1029" s="35" t="s">
        <v>104</v>
      </c>
      <c r="D1029" s="35" t="s">
        <v>148</v>
      </c>
      <c r="E1029" s="35" t="s">
        <v>83</v>
      </c>
      <c r="F1029" t="str" cm="1">
        <f t="array" ref="F1029">IFERROR(_xlfn.XLOOKUP(E1029,MapeoCargos!$A:$A,MapeoCargos!$B:$B,E1029),E1029)</f>
        <v>PRODUCCIÓN / COCINA</v>
      </c>
      <c r="G1029" s="46">
        <v>45597</v>
      </c>
    </row>
    <row r="1030" spans="1:7" x14ac:dyDescent="0.2">
      <c r="A1030" s="28" t="s">
        <v>149</v>
      </c>
      <c r="B1030" s="35" t="s">
        <v>103</v>
      </c>
      <c r="C1030" s="35" t="s">
        <v>104</v>
      </c>
      <c r="D1030" s="35" t="s">
        <v>150</v>
      </c>
      <c r="E1030" s="35" t="s">
        <v>151</v>
      </c>
      <c r="F1030" t="str" cm="1">
        <f t="array" ref="F1030">IFERROR(_xlfn.XLOOKUP(E1030,MapeoCargos!$A:$A,MapeoCargos!$B:$B,E1030),E1030)</f>
        <v xml:space="preserve">CAJA </v>
      </c>
      <c r="G1030" s="46">
        <v>45612</v>
      </c>
    </row>
    <row r="1031" spans="1:7" x14ac:dyDescent="0.2">
      <c r="A1031" s="28" t="s">
        <v>152</v>
      </c>
      <c r="B1031" s="35" t="s">
        <v>103</v>
      </c>
      <c r="C1031" s="35" t="s">
        <v>104</v>
      </c>
      <c r="D1031" s="35" t="s">
        <v>153</v>
      </c>
      <c r="E1031" s="35" t="s">
        <v>96</v>
      </c>
      <c r="F1031" t="str" cm="1">
        <f t="array" ref="F1031">IFERROR(_xlfn.XLOOKUP(E1031,MapeoCargos!$A:$A,MapeoCargos!$B:$B,E1031),E1031)</f>
        <v>VAJILLERO(A)</v>
      </c>
      <c r="G1031" s="46">
        <v>45658</v>
      </c>
    </row>
    <row r="1032" spans="1:7" x14ac:dyDescent="0.2">
      <c r="A1032" s="28" t="s">
        <v>154</v>
      </c>
      <c r="B1032" s="35" t="s">
        <v>103</v>
      </c>
      <c r="C1032" s="35" t="s">
        <v>104</v>
      </c>
      <c r="D1032" s="35" t="s">
        <v>4021</v>
      </c>
      <c r="E1032" s="35" t="s">
        <v>130</v>
      </c>
      <c r="F1032" t="str" cm="1">
        <f t="array" ref="F1032">IFERROR(_xlfn.XLOOKUP(E1032,MapeoCargos!$A:$A,MapeoCargos!$B:$B,E1032),E1032)</f>
        <v>BAR</v>
      </c>
      <c r="G1032" s="46">
        <v>45658</v>
      </c>
    </row>
    <row r="1033" spans="1:7" x14ac:dyDescent="0.2">
      <c r="A1033" s="28" t="s">
        <v>155</v>
      </c>
      <c r="B1033" s="35" t="s">
        <v>103</v>
      </c>
      <c r="C1033" s="35" t="s">
        <v>104</v>
      </c>
      <c r="D1033" s="35" t="s">
        <v>156</v>
      </c>
      <c r="E1033" s="35" t="s">
        <v>83</v>
      </c>
      <c r="F1033" t="str" cm="1">
        <f t="array" ref="F1033">IFERROR(_xlfn.XLOOKUP(E1033,MapeoCargos!$A:$A,MapeoCargos!$B:$B,E1033),E1033)</f>
        <v>PRODUCCIÓN / COCINA</v>
      </c>
      <c r="G1033" s="46">
        <v>45689</v>
      </c>
    </row>
    <row r="1034" spans="1:7" x14ac:dyDescent="0.2">
      <c r="A1034" s="28" t="s">
        <v>157</v>
      </c>
      <c r="B1034" s="35" t="s">
        <v>103</v>
      </c>
      <c r="C1034" s="35" t="s">
        <v>104</v>
      </c>
      <c r="D1034" s="35" t="s">
        <v>158</v>
      </c>
      <c r="E1034" s="35" t="s">
        <v>127</v>
      </c>
      <c r="F1034" t="str" cm="1">
        <f t="array" ref="F1034">IFERROR(_xlfn.XLOOKUP(E1034,MapeoCargos!$A:$A,MapeoCargos!$B:$B,E1034),E1034)</f>
        <v>AZAFATA</v>
      </c>
      <c r="G1034" s="46">
        <v>45689</v>
      </c>
    </row>
    <row r="1035" spans="1:7" x14ac:dyDescent="0.2">
      <c r="A1035" s="27" t="s">
        <v>159</v>
      </c>
      <c r="B1035" s="35" t="s">
        <v>103</v>
      </c>
      <c r="C1035" s="35" t="s">
        <v>104</v>
      </c>
      <c r="D1035" s="35" t="s">
        <v>4022</v>
      </c>
      <c r="E1035" s="35" t="s">
        <v>160</v>
      </c>
      <c r="F1035" t="str" cm="1">
        <f t="array" ref="F1035">IFERROR(_xlfn.XLOOKUP(E1035,MapeoCargos!$A:$A,MapeoCargos!$B:$B,E1035),E1035)</f>
        <v>PACKER</v>
      </c>
      <c r="G1035" s="46">
        <v>45732</v>
      </c>
    </row>
    <row r="1036" spans="1:7" x14ac:dyDescent="0.2">
      <c r="A1036" s="27" t="s">
        <v>161</v>
      </c>
      <c r="B1036" s="35" t="s">
        <v>103</v>
      </c>
      <c r="C1036" s="35" t="s">
        <v>104</v>
      </c>
      <c r="D1036" s="35" t="s">
        <v>162</v>
      </c>
      <c r="E1036" s="35" t="s">
        <v>29</v>
      </c>
      <c r="F1036" t="str" cm="1">
        <f t="array" ref="F1036">IFERROR(_xlfn.XLOOKUP(E1036,MapeoCargos!$A:$A,MapeoCargos!$B:$B,E1036),E1036)</f>
        <v>MOZO</v>
      </c>
      <c r="G1036" s="46">
        <v>45763</v>
      </c>
    </row>
    <row r="1037" spans="1:7" x14ac:dyDescent="0.2">
      <c r="A1037" s="27" t="s">
        <v>163</v>
      </c>
      <c r="B1037" s="35" t="s">
        <v>103</v>
      </c>
      <c r="C1037" s="35" t="s">
        <v>104</v>
      </c>
      <c r="D1037" s="35" t="s">
        <v>164</v>
      </c>
      <c r="E1037" s="35" t="s">
        <v>165</v>
      </c>
      <c r="F1037" t="str" cm="1">
        <f t="array" ref="F1037">IFERROR(_xlfn.XLOOKUP(E1037,MapeoCargos!$A:$A,MapeoCargos!$B:$B,E1037),E1037)</f>
        <v>PACKER</v>
      </c>
      <c r="G1037" s="46">
        <v>45778</v>
      </c>
    </row>
    <row r="1038" spans="1:7" x14ac:dyDescent="0.2">
      <c r="A1038" s="28" t="s">
        <v>168</v>
      </c>
      <c r="B1038" s="35" t="s">
        <v>103</v>
      </c>
      <c r="C1038" s="35" t="s">
        <v>104</v>
      </c>
      <c r="D1038" s="35" t="s">
        <v>169</v>
      </c>
      <c r="E1038" s="35" t="s">
        <v>83</v>
      </c>
      <c r="F1038" t="str" cm="1">
        <f t="array" ref="F1038">IFERROR(_xlfn.XLOOKUP(E1038,MapeoCargos!$A:$A,MapeoCargos!$B:$B,E1038),E1038)</f>
        <v>PRODUCCIÓN / COCINA</v>
      </c>
      <c r="G1038" s="46">
        <v>45809</v>
      </c>
    </row>
    <row r="1039" spans="1:7" x14ac:dyDescent="0.2">
      <c r="A1039" s="28" t="s">
        <v>170</v>
      </c>
      <c r="B1039" s="35" t="s">
        <v>103</v>
      </c>
      <c r="C1039" s="35" t="s">
        <v>104</v>
      </c>
      <c r="D1039" s="35" t="s">
        <v>171</v>
      </c>
      <c r="E1039" s="35" t="s">
        <v>29</v>
      </c>
      <c r="F1039" t="str" cm="1">
        <f t="array" ref="F1039">IFERROR(_xlfn.XLOOKUP(E1039,MapeoCargos!$A:$A,MapeoCargos!$B:$B,E1039),E1039)</f>
        <v>MOZO</v>
      </c>
      <c r="G1039" s="46">
        <v>45809</v>
      </c>
    </row>
    <row r="1040" spans="1:7" x14ac:dyDescent="0.2">
      <c r="A1040" s="28" t="s">
        <v>172</v>
      </c>
      <c r="B1040" s="35" t="s">
        <v>103</v>
      </c>
      <c r="C1040" s="35" t="s">
        <v>104</v>
      </c>
      <c r="D1040" s="35" t="s">
        <v>173</v>
      </c>
      <c r="E1040" s="35" t="s">
        <v>96</v>
      </c>
      <c r="F1040" t="str" cm="1">
        <f t="array" ref="F1040">IFERROR(_xlfn.XLOOKUP(E1040,MapeoCargos!$A:$A,MapeoCargos!$B:$B,E1040),E1040)</f>
        <v>VAJILLERO(A)</v>
      </c>
      <c r="G1040" s="46">
        <v>45809</v>
      </c>
    </row>
    <row r="1041" spans="1:7" x14ac:dyDescent="0.2">
      <c r="A1041" s="28" t="s">
        <v>174</v>
      </c>
      <c r="B1041" s="35" t="s">
        <v>103</v>
      </c>
      <c r="C1041" s="35" t="s">
        <v>104</v>
      </c>
      <c r="D1041" s="35" t="s">
        <v>175</v>
      </c>
      <c r="E1041" s="35" t="s">
        <v>83</v>
      </c>
      <c r="F1041" t="str" cm="1">
        <f t="array" ref="F1041">IFERROR(_xlfn.XLOOKUP(E1041,MapeoCargos!$A:$A,MapeoCargos!$B:$B,E1041),E1041)</f>
        <v>PRODUCCIÓN / COCINA</v>
      </c>
      <c r="G1041" s="46">
        <v>45854</v>
      </c>
    </row>
    <row r="1042" spans="1:7" x14ac:dyDescent="0.2">
      <c r="A1042" s="28" t="s">
        <v>176</v>
      </c>
      <c r="B1042" s="35" t="s">
        <v>103</v>
      </c>
      <c r="C1042" s="35" t="s">
        <v>104</v>
      </c>
      <c r="D1042" s="35" t="s">
        <v>177</v>
      </c>
      <c r="E1042" s="35" t="s">
        <v>29</v>
      </c>
      <c r="F1042" t="str" cm="1">
        <f t="array" ref="F1042">IFERROR(_xlfn.XLOOKUP(E1042,MapeoCargos!$A:$A,MapeoCargos!$B:$B,E1042),E1042)</f>
        <v>MOZO</v>
      </c>
      <c r="G1042" s="46">
        <v>45870</v>
      </c>
    </row>
    <row r="1043" spans="1:7" x14ac:dyDescent="0.2">
      <c r="A1043" s="28" t="s">
        <v>178</v>
      </c>
      <c r="B1043" s="35" t="s">
        <v>103</v>
      </c>
      <c r="C1043" s="35" t="s">
        <v>104</v>
      </c>
      <c r="D1043" s="35" t="s">
        <v>179</v>
      </c>
      <c r="E1043" s="35" t="s">
        <v>180</v>
      </c>
      <c r="F1043" t="str" cm="1">
        <f t="array" ref="F1043">IFERROR(_xlfn.XLOOKUP(E1043,MapeoCargos!$A:$A,MapeoCargos!$B:$B,E1043),E1043)</f>
        <v>MANTENIMIENTO</v>
      </c>
      <c r="G1043" s="46">
        <v>45885</v>
      </c>
    </row>
    <row r="1044" spans="1:7" x14ac:dyDescent="0.2">
      <c r="A1044" s="28" t="s">
        <v>181</v>
      </c>
      <c r="B1044" s="35" t="s">
        <v>103</v>
      </c>
      <c r="C1044" s="35" t="s">
        <v>104</v>
      </c>
      <c r="D1044" s="35" t="s">
        <v>182</v>
      </c>
      <c r="E1044" s="35" t="s">
        <v>29</v>
      </c>
      <c r="F1044" t="str" cm="1">
        <f t="array" ref="F1044">IFERROR(_xlfn.XLOOKUP(E1044,MapeoCargos!$A:$A,MapeoCargos!$B:$B,E1044),E1044)</f>
        <v>MOZO</v>
      </c>
      <c r="G1044" s="46">
        <v>45901</v>
      </c>
    </row>
    <row r="1045" spans="1:7" x14ac:dyDescent="0.2">
      <c r="A1045" s="28" t="s">
        <v>183</v>
      </c>
      <c r="B1045" s="35" t="s">
        <v>103</v>
      </c>
      <c r="C1045" s="35" t="s">
        <v>104</v>
      </c>
      <c r="D1045" s="35" t="s">
        <v>184</v>
      </c>
      <c r="E1045" s="35" t="s">
        <v>180</v>
      </c>
      <c r="F1045" t="str" cm="1">
        <f t="array" ref="F1045">IFERROR(_xlfn.XLOOKUP(E1045,MapeoCargos!$A:$A,MapeoCargos!$B:$B,E1045),E1045)</f>
        <v>MANTENIMIENTO</v>
      </c>
      <c r="G1045" s="46">
        <v>45901</v>
      </c>
    </row>
    <row r="1046" spans="1:7" x14ac:dyDescent="0.2">
      <c r="A1046" s="28" t="s">
        <v>185</v>
      </c>
      <c r="B1046" s="35" t="s">
        <v>103</v>
      </c>
      <c r="C1046" s="35" t="s">
        <v>104</v>
      </c>
      <c r="D1046" s="35" t="s">
        <v>186</v>
      </c>
      <c r="E1046" s="35" t="s">
        <v>187</v>
      </c>
      <c r="F1046" t="str" cm="1">
        <f t="array" ref="F1046">IFERROR(_xlfn.XLOOKUP(E1046,MapeoCargos!$A:$A,MapeoCargos!$B:$B,E1046),E1046)</f>
        <v xml:space="preserve">CAJA </v>
      </c>
      <c r="G1046" s="46">
        <v>45901</v>
      </c>
    </row>
    <row r="1047" spans="1:7" x14ac:dyDescent="0.2">
      <c r="A1047" s="28" t="s">
        <v>102</v>
      </c>
      <c r="B1047" s="35" t="s">
        <v>103</v>
      </c>
      <c r="C1047" s="35" t="s">
        <v>104</v>
      </c>
      <c r="D1047" s="35" t="s">
        <v>105</v>
      </c>
      <c r="E1047" s="35" t="s">
        <v>29</v>
      </c>
      <c r="F1047" t="str" cm="1">
        <f t="array" ref="F1047">IFERROR(_xlfn.XLOOKUP(E1047,MapeoCargos!$A:$A,MapeoCargos!$B:$B,E1047),E1047)</f>
        <v>MOZO</v>
      </c>
      <c r="G1047" s="46">
        <v>45931</v>
      </c>
    </row>
    <row r="1048" spans="1:7" x14ac:dyDescent="0.2">
      <c r="A1048" s="28" t="s">
        <v>4281</v>
      </c>
      <c r="B1048" s="35" t="s">
        <v>103</v>
      </c>
      <c r="C1048" s="35" t="s">
        <v>104</v>
      </c>
      <c r="D1048" s="35" t="s">
        <v>4397</v>
      </c>
      <c r="E1048" s="35" t="s">
        <v>166</v>
      </c>
      <c r="F1048" t="str" cm="1">
        <f t="array" ref="F1048">IFERROR(_xlfn.XLOOKUP(E1048,MapeoCargos!$A:$A,MapeoCargos!$B:$B,E1048),E1048)</f>
        <v xml:space="preserve">ANFITRIONAJE </v>
      </c>
      <c r="G1048" s="46">
        <v>45946</v>
      </c>
    </row>
    <row r="1049" spans="1:7" x14ac:dyDescent="0.2">
      <c r="A1049" s="28" t="s">
        <v>4536</v>
      </c>
      <c r="B1049" s="35" t="s">
        <v>103</v>
      </c>
      <c r="C1049" s="35" t="s">
        <v>104</v>
      </c>
      <c r="D1049" s="35" t="s">
        <v>4638</v>
      </c>
      <c r="E1049" s="35" t="s">
        <v>83</v>
      </c>
      <c r="F1049" t="str" cm="1">
        <f t="array" ref="F1049">IFERROR(_xlfn.XLOOKUP(E1049,MapeoCargos!$A:$A,MapeoCargos!$B:$B,E1049),E1049)</f>
        <v>PRODUCCIÓN / COCINA</v>
      </c>
      <c r="G1049" s="46">
        <v>45979</v>
      </c>
    </row>
    <row r="1050" spans="1:7" x14ac:dyDescent="0.2">
      <c r="A1050" s="28" t="s">
        <v>75</v>
      </c>
      <c r="B1050" s="35" t="s">
        <v>76</v>
      </c>
      <c r="C1050" s="35" t="s">
        <v>77</v>
      </c>
      <c r="D1050" s="35" t="s">
        <v>78</v>
      </c>
      <c r="E1050" s="35" t="s">
        <v>30</v>
      </c>
      <c r="F1050" t="str" cm="1">
        <f t="array" ref="F1050">IFERROR(_xlfn.XLOOKUP(E1050,MapeoCargos!$A:$A,MapeoCargos!$B:$B,E1050),E1050)</f>
        <v>STAFF ADMINISTRATIVO</v>
      </c>
      <c r="G1050" s="46">
        <v>43724</v>
      </c>
    </row>
    <row r="1051" spans="1:7" x14ac:dyDescent="0.2">
      <c r="A1051" s="28" t="s">
        <v>79</v>
      </c>
      <c r="B1051" s="35" t="s">
        <v>76</v>
      </c>
      <c r="C1051" s="35" t="s">
        <v>77</v>
      </c>
      <c r="D1051" s="35" t="s">
        <v>80</v>
      </c>
      <c r="E1051" s="35" t="s">
        <v>29</v>
      </c>
      <c r="F1051" t="str" cm="1">
        <f t="array" ref="F1051">IFERROR(_xlfn.XLOOKUP(E1051,MapeoCargos!$A:$A,MapeoCargos!$B:$B,E1051),E1051)</f>
        <v>MOZO</v>
      </c>
      <c r="G1051" s="46">
        <v>44287</v>
      </c>
    </row>
    <row r="1052" spans="1:7" x14ac:dyDescent="0.2">
      <c r="A1052" s="28" t="s">
        <v>81</v>
      </c>
      <c r="B1052" s="35" t="s">
        <v>76</v>
      </c>
      <c r="C1052" s="35" t="s">
        <v>77</v>
      </c>
      <c r="D1052" s="35" t="s">
        <v>82</v>
      </c>
      <c r="E1052" s="35" t="s">
        <v>83</v>
      </c>
      <c r="F1052" t="str" cm="1">
        <f t="array" ref="F1052">IFERROR(_xlfn.XLOOKUP(E1052,MapeoCargos!$A:$A,MapeoCargos!$B:$B,E1052),E1052)</f>
        <v>PRODUCCIÓN / COCINA</v>
      </c>
      <c r="G1052" s="46">
        <v>45323</v>
      </c>
    </row>
    <row r="1053" spans="1:7" x14ac:dyDescent="0.2">
      <c r="A1053" s="28" t="s">
        <v>84</v>
      </c>
      <c r="B1053" s="35" t="s">
        <v>76</v>
      </c>
      <c r="C1053" s="35" t="s">
        <v>77</v>
      </c>
      <c r="D1053" s="35" t="s">
        <v>85</v>
      </c>
      <c r="E1053" s="35" t="s">
        <v>86</v>
      </c>
      <c r="F1053" t="str" cm="1">
        <f t="array" ref="F1053">IFERROR(_xlfn.XLOOKUP(E1053,MapeoCargos!$A:$A,MapeoCargos!$B:$B,E1053),E1053)</f>
        <v>ASISTENTE ADM.</v>
      </c>
      <c r="G1053" s="46">
        <v>45459</v>
      </c>
    </row>
    <row r="1054" spans="1:7" x14ac:dyDescent="0.2">
      <c r="A1054" s="28" t="s">
        <v>87</v>
      </c>
      <c r="B1054" s="35" t="s">
        <v>76</v>
      </c>
      <c r="C1054" s="35" t="s">
        <v>77</v>
      </c>
      <c r="D1054" s="35" t="s">
        <v>88</v>
      </c>
      <c r="E1054" s="35" t="s">
        <v>89</v>
      </c>
      <c r="F1054" t="str" cm="1">
        <f t="array" ref="F1054">IFERROR(_xlfn.XLOOKUP(E1054,MapeoCargos!$A:$A,MapeoCargos!$B:$B,E1054),E1054)</f>
        <v>PRODUCCIÓN / COCINA</v>
      </c>
      <c r="G1054" s="46">
        <v>45461</v>
      </c>
    </row>
    <row r="1055" spans="1:7" x14ac:dyDescent="0.2">
      <c r="A1055" s="28" t="s">
        <v>90</v>
      </c>
      <c r="B1055" s="35" t="s">
        <v>76</v>
      </c>
      <c r="C1055" s="35" t="s">
        <v>77</v>
      </c>
      <c r="D1055" s="35" t="s">
        <v>91</v>
      </c>
      <c r="E1055" s="35" t="s">
        <v>29</v>
      </c>
      <c r="F1055" t="str" cm="1">
        <f t="array" ref="F1055">IFERROR(_xlfn.XLOOKUP(E1055,MapeoCargos!$A:$A,MapeoCargos!$B:$B,E1055),E1055)</f>
        <v>MOZO</v>
      </c>
      <c r="G1055" s="46">
        <v>45670</v>
      </c>
    </row>
    <row r="1056" spans="1:7" x14ac:dyDescent="0.2">
      <c r="A1056" s="28" t="s">
        <v>92</v>
      </c>
      <c r="B1056" s="35" t="s">
        <v>76</v>
      </c>
      <c r="C1056" s="35" t="s">
        <v>77</v>
      </c>
      <c r="D1056" s="35" t="s">
        <v>93</v>
      </c>
      <c r="E1056" s="35" t="s">
        <v>83</v>
      </c>
      <c r="F1056" t="str" cm="1">
        <f t="array" ref="F1056">IFERROR(_xlfn.XLOOKUP(E1056,MapeoCargos!$A:$A,MapeoCargos!$B:$B,E1056),E1056)</f>
        <v>PRODUCCIÓN / COCINA</v>
      </c>
      <c r="G1056" s="46">
        <v>45703</v>
      </c>
    </row>
    <row r="1057" spans="1:7" x14ac:dyDescent="0.2">
      <c r="A1057" s="28" t="s">
        <v>94</v>
      </c>
      <c r="B1057" s="35" t="s">
        <v>76</v>
      </c>
      <c r="C1057" s="35" t="s">
        <v>77</v>
      </c>
      <c r="D1057" s="35" t="s">
        <v>95</v>
      </c>
      <c r="E1057" s="35" t="s">
        <v>96</v>
      </c>
      <c r="F1057" t="str" cm="1">
        <f t="array" ref="F1057">IFERROR(_xlfn.XLOOKUP(E1057,MapeoCargos!$A:$A,MapeoCargos!$B:$B,E1057),E1057)</f>
        <v>VAJILLERO(A)</v>
      </c>
      <c r="G1057" s="46">
        <v>45740</v>
      </c>
    </row>
    <row r="1058" spans="1:7" x14ac:dyDescent="0.2">
      <c r="A1058" s="28" t="s">
        <v>97</v>
      </c>
      <c r="B1058" s="35" t="s">
        <v>76</v>
      </c>
      <c r="C1058" s="35" t="s">
        <v>77</v>
      </c>
      <c r="D1058" s="35" t="s">
        <v>98</v>
      </c>
      <c r="E1058" s="35" t="s">
        <v>99</v>
      </c>
      <c r="F1058" t="str" cm="1">
        <f t="array" ref="F1058">IFERROR(_xlfn.XLOOKUP(E1058,MapeoCargos!$A:$A,MapeoCargos!$B:$B,E1058),E1058)</f>
        <v>CHAUFERO</v>
      </c>
      <c r="G1058" s="46">
        <v>45778</v>
      </c>
    </row>
    <row r="1059" spans="1:7" x14ac:dyDescent="0.2">
      <c r="A1059" s="28" t="s">
        <v>100</v>
      </c>
      <c r="B1059" s="35" t="s">
        <v>76</v>
      </c>
      <c r="C1059" s="35" t="s">
        <v>77</v>
      </c>
      <c r="D1059" s="35" t="s">
        <v>101</v>
      </c>
      <c r="E1059" s="35" t="s">
        <v>29</v>
      </c>
      <c r="F1059" t="str" cm="1">
        <f t="array" ref="F1059">IFERROR(_xlfn.XLOOKUP(E1059,MapeoCargos!$A:$A,MapeoCargos!$B:$B,E1059),E1059)</f>
        <v>MOZO</v>
      </c>
      <c r="G1059" s="46">
        <v>45870</v>
      </c>
    </row>
    <row r="1060" spans="1:7" x14ac:dyDescent="0.2">
      <c r="A1060" s="28" t="s">
        <v>3878</v>
      </c>
      <c r="B1060" s="35" t="s">
        <v>76</v>
      </c>
      <c r="C1060" s="35" t="s">
        <v>77</v>
      </c>
      <c r="D1060" s="35" t="s">
        <v>4019</v>
      </c>
      <c r="E1060" s="35" t="s">
        <v>29</v>
      </c>
      <c r="F1060" t="str" cm="1">
        <f t="array" ref="F1060">IFERROR(_xlfn.XLOOKUP(E1060,MapeoCargos!$A:$A,MapeoCargos!$B:$B,E1060),E1060)</f>
        <v>MOZO</v>
      </c>
      <c r="G1060" s="46">
        <v>45918</v>
      </c>
    </row>
    <row r="1061" spans="1:7" x14ac:dyDescent="0.2">
      <c r="A1061" s="28" t="s">
        <v>3879</v>
      </c>
      <c r="B1061" s="35" t="s">
        <v>76</v>
      </c>
      <c r="C1061" s="35" t="s">
        <v>77</v>
      </c>
      <c r="D1061" s="35" t="s">
        <v>4020</v>
      </c>
      <c r="E1061" s="35" t="s">
        <v>89</v>
      </c>
      <c r="F1061" t="str" cm="1">
        <f t="array" ref="F1061">IFERROR(_xlfn.XLOOKUP(E1061,MapeoCargos!$A:$A,MapeoCargos!$B:$B,E1061),E1061)</f>
        <v>PRODUCCIÓN / COCINA</v>
      </c>
      <c r="G1061" s="46">
        <v>45920</v>
      </c>
    </row>
    <row r="1062" spans="1:7" x14ac:dyDescent="0.2">
      <c r="A1062" s="28" t="s">
        <v>1746</v>
      </c>
      <c r="B1062" s="35" t="s">
        <v>4017</v>
      </c>
      <c r="C1062" s="35" t="s">
        <v>1748</v>
      </c>
      <c r="D1062" s="35" t="s">
        <v>1749</v>
      </c>
      <c r="E1062" s="35" t="s">
        <v>731</v>
      </c>
      <c r="F1062" t="str" cm="1">
        <f t="array" ref="F1062">IFERROR(_xlfn.XLOOKUP(E1062,MapeoCargos!$A:$A,MapeoCargos!$B:$B,E1062),E1062)</f>
        <v>COORDINADOR(A) DE BAR</v>
      </c>
      <c r="G1062" s="46">
        <v>44939</v>
      </c>
    </row>
    <row r="1063" spans="1:7" x14ac:dyDescent="0.2">
      <c r="A1063" s="28" t="s">
        <v>1750</v>
      </c>
      <c r="B1063" s="35" t="s">
        <v>4017</v>
      </c>
      <c r="C1063" s="35" t="s">
        <v>1748</v>
      </c>
      <c r="D1063" s="35" t="s">
        <v>1751</v>
      </c>
      <c r="E1063" s="35" t="s">
        <v>29</v>
      </c>
      <c r="F1063" t="str" cm="1">
        <f t="array" ref="F1063">IFERROR(_xlfn.XLOOKUP(E1063,MapeoCargos!$A:$A,MapeoCargos!$B:$B,E1063),E1063)</f>
        <v>MOZO</v>
      </c>
      <c r="G1063" s="46">
        <v>44939</v>
      </c>
    </row>
    <row r="1064" spans="1:7" x14ac:dyDescent="0.2">
      <c r="A1064" s="27" t="s">
        <v>1752</v>
      </c>
      <c r="B1064" s="35" t="s">
        <v>4017</v>
      </c>
      <c r="C1064" s="35" t="s">
        <v>1753</v>
      </c>
      <c r="D1064" s="35" t="s">
        <v>1754</v>
      </c>
      <c r="E1064" s="35" t="s">
        <v>30</v>
      </c>
      <c r="F1064" t="str" cm="1">
        <f t="array" ref="F1064">IFERROR(_xlfn.XLOOKUP(E1064,MapeoCargos!$A:$A,MapeoCargos!$B:$B,E1064),E1064)</f>
        <v>STAFF ADMINISTRATIVO</v>
      </c>
      <c r="G1064" s="46">
        <v>44958</v>
      </c>
    </row>
    <row r="1065" spans="1:7" x14ac:dyDescent="0.2">
      <c r="A1065" s="27" t="s">
        <v>1755</v>
      </c>
      <c r="B1065" s="35" t="s">
        <v>4017</v>
      </c>
      <c r="C1065" s="35" t="s">
        <v>1753</v>
      </c>
      <c r="D1065" s="35" t="s">
        <v>1756</v>
      </c>
      <c r="E1065" s="35" t="s">
        <v>1757</v>
      </c>
      <c r="F1065" t="str" cm="1">
        <f t="array" ref="F1065">IFERROR(_xlfn.XLOOKUP(E1065,MapeoCargos!$A:$A,MapeoCargos!$B:$B,E1065),E1065)</f>
        <v>DJ</v>
      </c>
      <c r="G1065" s="46">
        <v>44986</v>
      </c>
    </row>
    <row r="1066" spans="1:7" x14ac:dyDescent="0.2">
      <c r="A1066" s="27" t="s">
        <v>1758</v>
      </c>
      <c r="B1066" s="35" t="s">
        <v>4017</v>
      </c>
      <c r="C1066" s="35" t="s">
        <v>1759</v>
      </c>
      <c r="D1066" s="35" t="s">
        <v>1760</v>
      </c>
      <c r="E1066" s="35" t="s">
        <v>1761</v>
      </c>
      <c r="F1066" t="str" cm="1">
        <f t="array" ref="F1066">IFERROR(_xlfn.XLOOKUP(E1066,MapeoCargos!$A:$A,MapeoCargos!$B:$B,E1066),E1066)</f>
        <v>DISEÑADOR(A)</v>
      </c>
      <c r="G1066" s="46">
        <v>44986</v>
      </c>
    </row>
    <row r="1067" spans="1:7" x14ac:dyDescent="0.2">
      <c r="A1067" s="27" t="s">
        <v>1764</v>
      </c>
      <c r="B1067" s="35" t="s">
        <v>4017</v>
      </c>
      <c r="C1067" s="35" t="s">
        <v>1748</v>
      </c>
      <c r="D1067" s="35" t="s">
        <v>1765</v>
      </c>
      <c r="E1067" s="35" t="s">
        <v>110</v>
      </c>
      <c r="F1067" t="str" cm="1">
        <f t="array" ref="F1067">IFERROR(_xlfn.XLOOKUP(E1067,MapeoCargos!$A:$A,MapeoCargos!$B:$B,E1067),E1067)</f>
        <v>COUNTER</v>
      </c>
      <c r="G1067" s="46">
        <v>45033</v>
      </c>
    </row>
    <row r="1068" spans="1:7" x14ac:dyDescent="0.2">
      <c r="A1068" s="27" t="s">
        <v>1766</v>
      </c>
      <c r="B1068" s="35" t="s">
        <v>4017</v>
      </c>
      <c r="C1068" s="35" t="s">
        <v>1759</v>
      </c>
      <c r="D1068" s="35" t="s">
        <v>1767</v>
      </c>
      <c r="E1068" s="35" t="s">
        <v>1768</v>
      </c>
      <c r="F1068" t="str" cm="1">
        <f t="array" ref="F1068">IFERROR(_xlfn.XLOOKUP(E1068,MapeoCargos!$A:$A,MapeoCargos!$B:$B,E1068),E1068)</f>
        <v>ENTRENADOR DE BAR</v>
      </c>
      <c r="G1068" s="46">
        <v>45047</v>
      </c>
    </row>
    <row r="1069" spans="1:7" x14ac:dyDescent="0.2">
      <c r="A1069" s="27" t="s">
        <v>1769</v>
      </c>
      <c r="B1069" s="35" t="s">
        <v>4017</v>
      </c>
      <c r="C1069" s="35" t="s">
        <v>1770</v>
      </c>
      <c r="D1069" s="35" t="s">
        <v>1771</v>
      </c>
      <c r="E1069" s="35" t="s">
        <v>1772</v>
      </c>
      <c r="F1069" t="str" cm="1">
        <f t="array" ref="F1069">IFERROR(_xlfn.XLOOKUP(E1069,MapeoCargos!$A:$A,MapeoCargos!$B:$B,E1069),E1069)</f>
        <v>ENTRENADOR DE COCINA</v>
      </c>
      <c r="G1069" s="46">
        <v>45078</v>
      </c>
    </row>
    <row r="1070" spans="1:7" x14ac:dyDescent="0.2">
      <c r="A1070" s="27" t="s">
        <v>1773</v>
      </c>
      <c r="B1070" s="35" t="s">
        <v>4017</v>
      </c>
      <c r="C1070" s="35" t="s">
        <v>1774</v>
      </c>
      <c r="D1070" s="35" t="s">
        <v>1775</v>
      </c>
      <c r="E1070" s="35" t="s">
        <v>30</v>
      </c>
      <c r="F1070" t="str" cm="1">
        <f t="array" ref="F1070">IFERROR(_xlfn.XLOOKUP(E1070,MapeoCargos!$A:$A,MapeoCargos!$B:$B,E1070),E1070)</f>
        <v>STAFF ADMINISTRATIVO</v>
      </c>
      <c r="G1070" s="46">
        <v>45078</v>
      </c>
    </row>
    <row r="1071" spans="1:7" x14ac:dyDescent="0.2">
      <c r="A1071" s="27" t="s">
        <v>1776</v>
      </c>
      <c r="B1071" s="35" t="s">
        <v>4017</v>
      </c>
      <c r="C1071" s="35" t="s">
        <v>1774</v>
      </c>
      <c r="D1071" s="35" t="s">
        <v>1777</v>
      </c>
      <c r="E1071" s="35" t="s">
        <v>731</v>
      </c>
      <c r="F1071" t="str" cm="1">
        <f t="array" ref="F1071">IFERROR(_xlfn.XLOOKUP(E1071,MapeoCargos!$A:$A,MapeoCargos!$B:$B,E1071),E1071)</f>
        <v>COORDINADOR(A) DE BAR</v>
      </c>
      <c r="G1071" s="46">
        <v>45078</v>
      </c>
    </row>
    <row r="1072" spans="1:7" x14ac:dyDescent="0.2">
      <c r="A1072" s="27" t="s">
        <v>1778</v>
      </c>
      <c r="B1072" s="35" t="s">
        <v>4017</v>
      </c>
      <c r="C1072" s="35" t="s">
        <v>1774</v>
      </c>
      <c r="D1072" s="35" t="s">
        <v>1779</v>
      </c>
      <c r="E1072" s="35" t="s">
        <v>305</v>
      </c>
      <c r="F1072" t="str" cm="1">
        <f t="array" ref="F1072">IFERROR(_xlfn.XLOOKUP(E1072,MapeoCargos!$A:$A,MapeoCargos!$B:$B,E1072),E1072)</f>
        <v>LIMPIEZA / MANTENIMIENTO</v>
      </c>
      <c r="G1072" s="46">
        <v>45078</v>
      </c>
    </row>
    <row r="1073" spans="1:8" x14ac:dyDescent="0.2">
      <c r="A1073" s="27" t="s">
        <v>1780</v>
      </c>
      <c r="B1073" s="35" t="s">
        <v>4017</v>
      </c>
      <c r="C1073" s="35" t="s">
        <v>1748</v>
      </c>
      <c r="D1073" s="35" t="s">
        <v>1781</v>
      </c>
      <c r="E1073" s="35" t="s">
        <v>30</v>
      </c>
      <c r="F1073" t="str" cm="1">
        <f t="array" ref="F1073">IFERROR(_xlfn.XLOOKUP(E1073,MapeoCargos!$A:$A,MapeoCargos!$B:$B,E1073),E1073)</f>
        <v>STAFF ADMINISTRATIVO</v>
      </c>
      <c r="G1073" s="46">
        <v>45080</v>
      </c>
    </row>
    <row r="1074" spans="1:8" x14ac:dyDescent="0.2">
      <c r="A1074" s="27" t="s">
        <v>1782</v>
      </c>
      <c r="B1074" s="35" t="s">
        <v>4017</v>
      </c>
      <c r="C1074" s="35" t="s">
        <v>1783</v>
      </c>
      <c r="D1074" s="35" t="s">
        <v>1784</v>
      </c>
      <c r="E1074" s="35" t="s">
        <v>30</v>
      </c>
      <c r="F1074" t="str" cm="1">
        <f t="array" ref="F1074">IFERROR(_xlfn.XLOOKUP(E1074,MapeoCargos!$A:$A,MapeoCargos!$B:$B,E1074),E1074)</f>
        <v>STAFF ADMINISTRATIVO</v>
      </c>
      <c r="G1074" s="46">
        <v>45080</v>
      </c>
    </row>
    <row r="1075" spans="1:8" x14ac:dyDescent="0.2">
      <c r="A1075" s="27" t="s">
        <v>1785</v>
      </c>
      <c r="B1075" s="35" t="s">
        <v>4017</v>
      </c>
      <c r="C1075" s="35" t="s">
        <v>1748</v>
      </c>
      <c r="D1075" s="35" t="s">
        <v>1786</v>
      </c>
      <c r="E1075" s="35" t="s">
        <v>89</v>
      </c>
      <c r="F1075" t="str" cm="1">
        <f t="array" ref="F1075">IFERROR(_xlfn.XLOOKUP(E1075,MapeoCargos!$A:$A,MapeoCargos!$B:$B,E1075),E1075)</f>
        <v>PRODUCCIÓN / COCINA</v>
      </c>
      <c r="G1075" s="46">
        <v>45108</v>
      </c>
    </row>
    <row r="1076" spans="1:8" x14ac:dyDescent="0.2">
      <c r="A1076" s="27" t="s">
        <v>1787</v>
      </c>
      <c r="B1076" s="35" t="s">
        <v>4017</v>
      </c>
      <c r="C1076" s="35" t="s">
        <v>1770</v>
      </c>
      <c r="D1076" s="35" t="s">
        <v>1788</v>
      </c>
      <c r="E1076" s="35" t="s">
        <v>731</v>
      </c>
      <c r="F1076" t="str" cm="1">
        <f t="array" ref="F1076">IFERROR(_xlfn.XLOOKUP(E1076,MapeoCargos!$A:$A,MapeoCargos!$B:$B,E1076),E1076)</f>
        <v>COORDINADOR(A) DE BAR</v>
      </c>
      <c r="G1076" s="46">
        <v>45114</v>
      </c>
    </row>
    <row r="1077" spans="1:8" x14ac:dyDescent="0.2">
      <c r="A1077" s="27" t="s">
        <v>1789</v>
      </c>
      <c r="B1077" s="35" t="s">
        <v>4017</v>
      </c>
      <c r="C1077" s="35" t="s">
        <v>1759</v>
      </c>
      <c r="D1077" s="35" t="s">
        <v>1790</v>
      </c>
      <c r="E1077" s="35" t="s">
        <v>1768</v>
      </c>
      <c r="F1077" t="str" cm="1">
        <f t="array" ref="F1077">IFERROR(_xlfn.XLOOKUP(E1077,MapeoCargos!$A:$A,MapeoCargos!$B:$B,E1077),E1077)</f>
        <v>ENTRENADOR DE BAR</v>
      </c>
      <c r="G1077" s="46">
        <v>45139</v>
      </c>
    </row>
    <row r="1078" spans="1:8" x14ac:dyDescent="0.2">
      <c r="A1078" s="27" t="s">
        <v>1791</v>
      </c>
      <c r="B1078" s="35" t="s">
        <v>4017</v>
      </c>
      <c r="C1078" s="35" t="s">
        <v>1770</v>
      </c>
      <c r="D1078" s="35" t="s">
        <v>1792</v>
      </c>
      <c r="E1078" s="35" t="s">
        <v>715</v>
      </c>
      <c r="F1078" t="str" cm="1">
        <f t="array" ref="F1078">IFERROR(_xlfn.XLOOKUP(E1078,MapeoCargos!$A:$A,MapeoCargos!$B:$B,E1078),E1078)</f>
        <v>PASTELERO(A)</v>
      </c>
      <c r="G1078" s="46">
        <v>45143</v>
      </c>
    </row>
    <row r="1079" spans="1:8" x14ac:dyDescent="0.2">
      <c r="A1079" s="27" t="s">
        <v>1793</v>
      </c>
      <c r="B1079" s="35" t="s">
        <v>4017</v>
      </c>
      <c r="C1079" s="35" t="s">
        <v>1770</v>
      </c>
      <c r="D1079" s="35" t="s">
        <v>1794</v>
      </c>
      <c r="E1079" s="35" t="s">
        <v>840</v>
      </c>
      <c r="F1079" t="str" cm="1">
        <f t="array" ref="F1079">IFERROR(_xlfn.XLOOKUP(E1079,MapeoCargos!$A:$A,MapeoCargos!$B:$B,E1079),E1079)</f>
        <v>PLANCHERO</v>
      </c>
      <c r="G1079" s="46">
        <v>45154</v>
      </c>
    </row>
    <row r="1080" spans="1:8" x14ac:dyDescent="0.2">
      <c r="A1080" s="27" t="s">
        <v>1795</v>
      </c>
      <c r="B1080" s="35" t="s">
        <v>4017</v>
      </c>
      <c r="C1080" s="35" t="s">
        <v>1774</v>
      </c>
      <c r="D1080" s="35" t="s">
        <v>1796</v>
      </c>
      <c r="E1080" s="35" t="s">
        <v>96</v>
      </c>
      <c r="F1080" t="str" cm="1">
        <f t="array" ref="F1080">IFERROR(_xlfn.XLOOKUP(E1080,MapeoCargos!$A:$A,MapeoCargos!$B:$B,E1080),E1080)</f>
        <v>VAJILLERO(A)</v>
      </c>
      <c r="G1080" s="46">
        <v>45154</v>
      </c>
    </row>
    <row r="1081" spans="1:8" x14ac:dyDescent="0.2">
      <c r="A1081" s="27" t="s">
        <v>1797</v>
      </c>
      <c r="B1081" s="35" t="s">
        <v>4017</v>
      </c>
      <c r="C1081" s="35" t="s">
        <v>1770</v>
      </c>
      <c r="D1081" s="35" t="s">
        <v>1798</v>
      </c>
      <c r="E1081" s="35" t="s">
        <v>89</v>
      </c>
      <c r="F1081" t="str" cm="1">
        <f t="array" ref="F1081">IFERROR(_xlfn.XLOOKUP(E1081,MapeoCargos!$A:$A,MapeoCargos!$B:$B,E1081),E1081)</f>
        <v>PRODUCCIÓN / COCINA</v>
      </c>
      <c r="G1081" s="46">
        <v>45156</v>
      </c>
    </row>
    <row r="1082" spans="1:8" x14ac:dyDescent="0.2">
      <c r="A1082" s="27" t="s">
        <v>1799</v>
      </c>
      <c r="B1082" s="35" t="s">
        <v>4017</v>
      </c>
      <c r="C1082" s="35" t="s">
        <v>1770</v>
      </c>
      <c r="D1082" s="35" t="s">
        <v>1800</v>
      </c>
      <c r="E1082" s="35" t="s">
        <v>648</v>
      </c>
      <c r="F1082" t="str" cm="1">
        <f t="array" ref="F1082">IFERROR(_xlfn.XLOOKUP(E1082,MapeoCargos!$A:$A,MapeoCargos!$B:$B,E1082),E1082)</f>
        <v>AZAFATA</v>
      </c>
      <c r="G1082" s="46">
        <v>45178</v>
      </c>
      <c r="H1082" s="19"/>
    </row>
    <row r="1083" spans="1:8" x14ac:dyDescent="0.2">
      <c r="A1083" s="28" t="s">
        <v>1801</v>
      </c>
      <c r="B1083" s="35" t="s">
        <v>4017</v>
      </c>
      <c r="C1083" s="35" t="s">
        <v>1770</v>
      </c>
      <c r="D1083" s="35" t="s">
        <v>1802</v>
      </c>
      <c r="E1083" s="35" t="s">
        <v>89</v>
      </c>
      <c r="F1083" t="str" cm="1">
        <f t="array" ref="F1083">IFERROR(_xlfn.XLOOKUP(E1083,MapeoCargos!$A:$A,MapeoCargos!$B:$B,E1083),E1083)</f>
        <v>PRODUCCIÓN / COCINA</v>
      </c>
      <c r="G1083" s="46">
        <v>45200</v>
      </c>
    </row>
    <row r="1084" spans="1:8" x14ac:dyDescent="0.2">
      <c r="A1084" s="28" t="s">
        <v>1803</v>
      </c>
      <c r="B1084" s="35" t="s">
        <v>4017</v>
      </c>
      <c r="C1084" s="35" t="s">
        <v>1774</v>
      </c>
      <c r="D1084" s="35" t="s">
        <v>4106</v>
      </c>
      <c r="E1084" s="35" t="s">
        <v>731</v>
      </c>
      <c r="F1084" t="str" cm="1">
        <f t="array" ref="F1084">IFERROR(_xlfn.XLOOKUP(E1084,MapeoCargos!$A:$A,MapeoCargos!$B:$B,E1084),E1084)</f>
        <v>COORDINADOR(A) DE BAR</v>
      </c>
      <c r="G1084" s="46">
        <v>45251</v>
      </c>
    </row>
    <row r="1085" spans="1:8" x14ac:dyDescent="0.2">
      <c r="A1085" s="28" t="s">
        <v>1804</v>
      </c>
      <c r="B1085" s="35" t="s">
        <v>4017</v>
      </c>
      <c r="C1085" s="35" t="s">
        <v>1774</v>
      </c>
      <c r="D1085" s="35" t="s">
        <v>1805</v>
      </c>
      <c r="E1085" s="35" t="s">
        <v>1665</v>
      </c>
      <c r="F1085" t="str" cm="1">
        <f t="array" ref="F1085">IFERROR(_xlfn.XLOOKUP(E1085,MapeoCargos!$A:$A,MapeoCargos!$B:$B,E1085),E1085)</f>
        <v>COUNTER</v>
      </c>
      <c r="G1085" s="46">
        <v>45251</v>
      </c>
    </row>
    <row r="1086" spans="1:8" x14ac:dyDescent="0.2">
      <c r="A1086" s="28" t="s">
        <v>1806</v>
      </c>
      <c r="B1086" s="35" t="s">
        <v>4017</v>
      </c>
      <c r="C1086" s="35" t="s">
        <v>1759</v>
      </c>
      <c r="D1086" s="35" t="s">
        <v>1807</v>
      </c>
      <c r="E1086" s="35" t="s">
        <v>1808</v>
      </c>
      <c r="F1086" t="str" cm="1">
        <f t="array" ref="F1086">IFERROR(_xlfn.XLOOKUP(E1086,MapeoCargos!$A:$A,MapeoCargos!$B:$B,E1086),E1086)</f>
        <v>ANALISTA DE COMPRAS</v>
      </c>
      <c r="G1086" s="46">
        <v>45261</v>
      </c>
    </row>
    <row r="1087" spans="1:8" x14ac:dyDescent="0.2">
      <c r="A1087" s="28" t="s">
        <v>1809</v>
      </c>
      <c r="B1087" s="35" t="s">
        <v>4017</v>
      </c>
      <c r="C1087" s="35" t="s">
        <v>1770</v>
      </c>
      <c r="D1087" s="35" t="s">
        <v>1810</v>
      </c>
      <c r="E1087" s="35" t="s">
        <v>30</v>
      </c>
      <c r="F1087" t="str" cm="1">
        <f t="array" ref="F1087">IFERROR(_xlfn.XLOOKUP(E1087,MapeoCargos!$A:$A,MapeoCargos!$B:$B,E1087),E1087)</f>
        <v>STAFF ADMINISTRATIVO</v>
      </c>
      <c r="G1087" s="46">
        <v>45276</v>
      </c>
    </row>
    <row r="1088" spans="1:8" x14ac:dyDescent="0.2">
      <c r="A1088" s="28" t="s">
        <v>1811</v>
      </c>
      <c r="B1088" s="35" t="s">
        <v>4017</v>
      </c>
      <c r="C1088" s="35" t="s">
        <v>1770</v>
      </c>
      <c r="D1088" s="35" t="s">
        <v>4107</v>
      </c>
      <c r="E1088" s="35" t="s">
        <v>89</v>
      </c>
      <c r="F1088" t="str" cm="1">
        <f t="array" ref="F1088">IFERROR(_xlfn.XLOOKUP(E1088,MapeoCargos!$A:$A,MapeoCargos!$B:$B,E1088),E1088)</f>
        <v>PRODUCCIÓN / COCINA</v>
      </c>
      <c r="G1088" s="46">
        <v>45280</v>
      </c>
    </row>
    <row r="1089" spans="1:7" x14ac:dyDescent="0.2">
      <c r="A1089" s="28" t="s">
        <v>1812</v>
      </c>
      <c r="B1089" s="35" t="s">
        <v>4017</v>
      </c>
      <c r="C1089" s="35" t="s">
        <v>1759</v>
      </c>
      <c r="D1089" s="35" t="s">
        <v>1813</v>
      </c>
      <c r="E1089" s="35" t="s">
        <v>1814</v>
      </c>
      <c r="F1089" t="str" cm="1">
        <f t="array" ref="F1089">IFERROR(_xlfn.XLOOKUP(E1089,MapeoCargos!$A:$A,MapeoCargos!$B:$B,E1089),E1089)</f>
        <v>ASISTENTE DE SELECCION</v>
      </c>
      <c r="G1089" s="46">
        <v>45323</v>
      </c>
    </row>
    <row r="1090" spans="1:7" x14ac:dyDescent="0.2">
      <c r="A1090" s="28" t="s">
        <v>1815</v>
      </c>
      <c r="B1090" s="35" t="s">
        <v>4017</v>
      </c>
      <c r="C1090" s="35" t="s">
        <v>1770</v>
      </c>
      <c r="D1090" s="35" t="s">
        <v>1816</v>
      </c>
      <c r="E1090" s="35" t="s">
        <v>648</v>
      </c>
      <c r="F1090" t="str" cm="1">
        <f t="array" ref="F1090">IFERROR(_xlfn.XLOOKUP(E1090,MapeoCargos!$A:$A,MapeoCargos!$B:$B,E1090),E1090)</f>
        <v>AZAFATA</v>
      </c>
      <c r="G1090" s="46">
        <v>45323</v>
      </c>
    </row>
    <row r="1091" spans="1:7" x14ac:dyDescent="0.2">
      <c r="A1091" s="28" t="s">
        <v>1817</v>
      </c>
      <c r="B1091" s="35" t="s">
        <v>4017</v>
      </c>
      <c r="C1091" s="35" t="s">
        <v>1770</v>
      </c>
      <c r="D1091" s="35" t="s">
        <v>1818</v>
      </c>
      <c r="E1091" s="35" t="s">
        <v>715</v>
      </c>
      <c r="F1091" t="str" cm="1">
        <f t="array" ref="F1091">IFERROR(_xlfn.XLOOKUP(E1091,MapeoCargos!$A:$A,MapeoCargos!$B:$B,E1091),E1091)</f>
        <v>PASTELERO(A)</v>
      </c>
      <c r="G1091" s="46">
        <v>45362</v>
      </c>
    </row>
    <row r="1092" spans="1:7" x14ac:dyDescent="0.2">
      <c r="A1092" s="28" t="s">
        <v>1819</v>
      </c>
      <c r="B1092" s="35" t="s">
        <v>4017</v>
      </c>
      <c r="C1092" s="35" t="s">
        <v>1770</v>
      </c>
      <c r="D1092" s="35" t="s">
        <v>1820</v>
      </c>
      <c r="E1092" s="35" t="s">
        <v>745</v>
      </c>
      <c r="F1092" t="str" cm="1">
        <f t="array" ref="F1092">IFERROR(_xlfn.XLOOKUP(E1092,MapeoCargos!$A:$A,MapeoCargos!$B:$B,E1092),E1092)</f>
        <v>AYUDANTE DE PRODUCCION</v>
      </c>
      <c r="G1092" s="46">
        <v>45369</v>
      </c>
    </row>
    <row r="1093" spans="1:7" x14ac:dyDescent="0.2">
      <c r="A1093" s="28" t="s">
        <v>1821</v>
      </c>
      <c r="B1093" s="35" t="s">
        <v>4017</v>
      </c>
      <c r="C1093" s="35" t="s">
        <v>1770</v>
      </c>
      <c r="D1093" s="35" t="s">
        <v>1822</v>
      </c>
      <c r="E1093" s="35" t="s">
        <v>712</v>
      </c>
      <c r="F1093" t="str" cm="1">
        <f t="array" ref="F1093">IFERROR(_xlfn.XLOOKUP(E1093,MapeoCargos!$A:$A,MapeoCargos!$B:$B,E1093),E1093)</f>
        <v>PANADERO</v>
      </c>
      <c r="G1093" s="46">
        <v>45376</v>
      </c>
    </row>
    <row r="1094" spans="1:7" x14ac:dyDescent="0.2">
      <c r="A1094" s="28" t="s">
        <v>1823</v>
      </c>
      <c r="B1094" s="35" t="s">
        <v>4017</v>
      </c>
      <c r="C1094" s="35" t="s">
        <v>1774</v>
      </c>
      <c r="D1094" s="35" t="s">
        <v>1824</v>
      </c>
      <c r="E1094" s="35" t="s">
        <v>127</v>
      </c>
      <c r="F1094" t="str" cm="1">
        <f t="array" ref="F1094">IFERROR(_xlfn.XLOOKUP(E1094,MapeoCargos!$A:$A,MapeoCargos!$B:$B,E1094),E1094)</f>
        <v>AZAFATA</v>
      </c>
      <c r="G1094" s="46">
        <v>45383</v>
      </c>
    </row>
    <row r="1095" spans="1:7" x14ac:dyDescent="0.2">
      <c r="A1095" s="28" t="s">
        <v>1825</v>
      </c>
      <c r="B1095" s="35" t="s">
        <v>4017</v>
      </c>
      <c r="C1095" s="35" t="s">
        <v>1770</v>
      </c>
      <c r="D1095" s="35" t="s">
        <v>1826</v>
      </c>
      <c r="E1095" s="35" t="s">
        <v>83</v>
      </c>
      <c r="F1095" t="str" cm="1">
        <f t="array" ref="F1095">IFERROR(_xlfn.XLOOKUP(E1095,MapeoCargos!$A:$A,MapeoCargos!$B:$B,E1095),E1095)</f>
        <v>PRODUCCIÓN / COCINA</v>
      </c>
      <c r="G1095" s="46">
        <v>45390</v>
      </c>
    </row>
    <row r="1096" spans="1:7" x14ac:dyDescent="0.2">
      <c r="A1096" s="28" t="s">
        <v>1827</v>
      </c>
      <c r="B1096" s="35" t="s">
        <v>4017</v>
      </c>
      <c r="C1096" s="35" t="s">
        <v>1770</v>
      </c>
      <c r="D1096" s="35" t="s">
        <v>4108</v>
      </c>
      <c r="E1096" s="35" t="s">
        <v>840</v>
      </c>
      <c r="F1096" t="str" cm="1">
        <f t="array" ref="F1096">IFERROR(_xlfn.XLOOKUP(E1096,MapeoCargos!$A:$A,MapeoCargos!$B:$B,E1096),E1096)</f>
        <v>PLANCHERO</v>
      </c>
      <c r="G1096" s="46">
        <v>45390</v>
      </c>
    </row>
    <row r="1097" spans="1:7" x14ac:dyDescent="0.2">
      <c r="A1097" s="28" t="s">
        <v>1828</v>
      </c>
      <c r="B1097" s="35" t="s">
        <v>4017</v>
      </c>
      <c r="C1097" s="35" t="s">
        <v>1770</v>
      </c>
      <c r="D1097" s="35" t="s">
        <v>1829</v>
      </c>
      <c r="E1097" s="35" t="s">
        <v>127</v>
      </c>
      <c r="F1097" t="str" cm="1">
        <f t="array" ref="F1097">IFERROR(_xlfn.XLOOKUP(E1097,MapeoCargos!$A:$A,MapeoCargos!$B:$B,E1097),E1097)</f>
        <v>AZAFATA</v>
      </c>
      <c r="G1097" s="46">
        <v>45439</v>
      </c>
    </row>
    <row r="1098" spans="1:7" x14ac:dyDescent="0.2">
      <c r="A1098" s="28" t="s">
        <v>1830</v>
      </c>
      <c r="B1098" s="35" t="s">
        <v>4017</v>
      </c>
      <c r="C1098" s="35" t="s">
        <v>1774</v>
      </c>
      <c r="D1098" s="35" t="s">
        <v>1831</v>
      </c>
      <c r="E1098" s="35" t="s">
        <v>648</v>
      </c>
      <c r="F1098" t="str" cm="1">
        <f t="array" ref="F1098">IFERROR(_xlfn.XLOOKUP(E1098,MapeoCargos!$A:$A,MapeoCargos!$B:$B,E1098),E1098)</f>
        <v>AZAFATA</v>
      </c>
      <c r="G1098" s="46">
        <v>45444</v>
      </c>
    </row>
    <row r="1099" spans="1:7" x14ac:dyDescent="0.2">
      <c r="A1099" s="28" t="s">
        <v>1832</v>
      </c>
      <c r="B1099" s="35" t="s">
        <v>4017</v>
      </c>
      <c r="C1099" s="35" t="s">
        <v>1748</v>
      </c>
      <c r="D1099" s="35" t="s">
        <v>1833</v>
      </c>
      <c r="E1099" s="35" t="s">
        <v>606</v>
      </c>
      <c r="F1099" t="str" cm="1">
        <f t="array" ref="F1099">IFERROR(_xlfn.XLOOKUP(E1099,MapeoCargos!$A:$A,MapeoCargos!$B:$B,E1099),E1099)</f>
        <v>BAR</v>
      </c>
      <c r="G1099" s="46">
        <v>45457</v>
      </c>
    </row>
    <row r="1100" spans="1:7" x14ac:dyDescent="0.2">
      <c r="A1100" s="28" t="s">
        <v>1834</v>
      </c>
      <c r="B1100" s="35" t="s">
        <v>4017</v>
      </c>
      <c r="C1100" s="35" t="s">
        <v>1770</v>
      </c>
      <c r="D1100" s="35" t="s">
        <v>4109</v>
      </c>
      <c r="E1100" s="35" t="s">
        <v>83</v>
      </c>
      <c r="F1100" t="str" cm="1">
        <f t="array" ref="F1100">IFERROR(_xlfn.XLOOKUP(E1100,MapeoCargos!$A:$A,MapeoCargos!$B:$B,E1100),E1100)</f>
        <v>PRODUCCIÓN / COCINA</v>
      </c>
      <c r="G1100" s="46">
        <v>45457</v>
      </c>
    </row>
    <row r="1101" spans="1:7" x14ac:dyDescent="0.2">
      <c r="A1101" s="28" t="s">
        <v>1835</v>
      </c>
      <c r="B1101" s="35" t="s">
        <v>4017</v>
      </c>
      <c r="C1101" s="35" t="s">
        <v>1770</v>
      </c>
      <c r="D1101" s="35" t="s">
        <v>1836</v>
      </c>
      <c r="E1101" s="35" t="s">
        <v>1837</v>
      </c>
      <c r="F1101" t="str" cm="1">
        <f t="array" ref="F1101">IFERROR(_xlfn.XLOOKUP(E1101,MapeoCargos!$A:$A,MapeoCargos!$B:$B,E1101),E1101)</f>
        <v xml:space="preserve">AZAFATA </v>
      </c>
      <c r="G1101" s="46">
        <v>45467</v>
      </c>
    </row>
    <row r="1102" spans="1:7" x14ac:dyDescent="0.2">
      <c r="A1102" s="28" t="s">
        <v>1838</v>
      </c>
      <c r="B1102" s="35" t="s">
        <v>4017</v>
      </c>
      <c r="C1102" s="35" t="s">
        <v>1770</v>
      </c>
      <c r="D1102" s="35" t="s">
        <v>4110</v>
      </c>
      <c r="E1102" s="35" t="s">
        <v>29</v>
      </c>
      <c r="F1102" t="str" cm="1">
        <f t="array" ref="F1102">IFERROR(_xlfn.XLOOKUP(E1102,MapeoCargos!$A:$A,MapeoCargos!$B:$B,E1102),E1102)</f>
        <v>MOZO</v>
      </c>
      <c r="G1102" s="46">
        <v>45474</v>
      </c>
    </row>
    <row r="1103" spans="1:7" x14ac:dyDescent="0.2">
      <c r="A1103" s="28" t="s">
        <v>1839</v>
      </c>
      <c r="B1103" s="35" t="s">
        <v>1747</v>
      </c>
      <c r="C1103" s="35" t="s">
        <v>1783</v>
      </c>
      <c r="D1103" s="35" t="s">
        <v>1840</v>
      </c>
      <c r="E1103" s="35" t="s">
        <v>89</v>
      </c>
      <c r="F1103" t="str" cm="1">
        <f t="array" ref="F1103">IFERROR(_xlfn.XLOOKUP(E1103,MapeoCargos!$A:$A,MapeoCargos!$B:$B,E1103),E1103)</f>
        <v>PRODUCCIÓN / COCINA</v>
      </c>
      <c r="G1103" s="46">
        <v>45478</v>
      </c>
    </row>
    <row r="1104" spans="1:7" x14ac:dyDescent="0.2">
      <c r="A1104" s="28" t="s">
        <v>1841</v>
      </c>
      <c r="B1104" s="35" t="s">
        <v>1747</v>
      </c>
      <c r="C1104" s="35" t="s">
        <v>1748</v>
      </c>
      <c r="D1104" s="35" t="s">
        <v>1842</v>
      </c>
      <c r="E1104" s="35" t="s">
        <v>89</v>
      </c>
      <c r="F1104" t="str" cm="1">
        <f t="array" ref="F1104">IFERROR(_xlfn.XLOOKUP(E1104,MapeoCargos!$A:$A,MapeoCargos!$B:$B,E1104),E1104)</f>
        <v>PRODUCCIÓN / COCINA</v>
      </c>
      <c r="G1104" s="46">
        <v>45488</v>
      </c>
    </row>
    <row r="1105" spans="1:7" x14ac:dyDescent="0.2">
      <c r="A1105" s="28" t="s">
        <v>1843</v>
      </c>
      <c r="B1105" s="35" t="s">
        <v>1747</v>
      </c>
      <c r="C1105" s="35" t="s">
        <v>1770</v>
      </c>
      <c r="D1105" s="35" t="s">
        <v>1844</v>
      </c>
      <c r="E1105" s="35" t="s">
        <v>715</v>
      </c>
      <c r="F1105" t="str" cm="1">
        <f t="array" ref="F1105">IFERROR(_xlfn.XLOOKUP(E1105,MapeoCargos!$A:$A,MapeoCargos!$B:$B,E1105),E1105)</f>
        <v>PASTELERO(A)</v>
      </c>
      <c r="G1105" s="46">
        <v>45495</v>
      </c>
    </row>
    <row r="1106" spans="1:7" x14ac:dyDescent="0.2">
      <c r="A1106" s="28" t="s">
        <v>1845</v>
      </c>
      <c r="B1106" s="35" t="s">
        <v>1747</v>
      </c>
      <c r="C1106" s="35" t="s">
        <v>1783</v>
      </c>
      <c r="D1106" s="35" t="s">
        <v>1846</v>
      </c>
      <c r="E1106" s="35" t="s">
        <v>89</v>
      </c>
      <c r="F1106" t="str" cm="1">
        <f t="array" ref="F1106">IFERROR(_xlfn.XLOOKUP(E1106,MapeoCargos!$A:$A,MapeoCargos!$B:$B,E1106),E1106)</f>
        <v>PRODUCCIÓN / COCINA</v>
      </c>
      <c r="G1106" s="46">
        <v>45505</v>
      </c>
    </row>
    <row r="1107" spans="1:7" x14ac:dyDescent="0.2">
      <c r="A1107" s="28" t="s">
        <v>1847</v>
      </c>
      <c r="B1107" s="35" t="s">
        <v>1747</v>
      </c>
      <c r="C1107" s="35" t="s">
        <v>1783</v>
      </c>
      <c r="D1107" s="35" t="s">
        <v>1848</v>
      </c>
      <c r="E1107" s="35" t="s">
        <v>745</v>
      </c>
      <c r="F1107" t="str" cm="1">
        <f t="array" ref="F1107">IFERROR(_xlfn.XLOOKUP(E1107,MapeoCargos!$A:$A,MapeoCargos!$B:$B,E1107),E1107)</f>
        <v>AYUDANTE DE PRODUCCION</v>
      </c>
      <c r="G1107" s="46">
        <v>45505</v>
      </c>
    </row>
    <row r="1108" spans="1:7" x14ac:dyDescent="0.2">
      <c r="A1108" s="28" t="s">
        <v>1849</v>
      </c>
      <c r="B1108" s="35" t="s">
        <v>1747</v>
      </c>
      <c r="C1108" s="35" t="s">
        <v>1770</v>
      </c>
      <c r="D1108" s="35" t="s">
        <v>4089</v>
      </c>
      <c r="E1108" s="35" t="s">
        <v>715</v>
      </c>
      <c r="F1108" t="str" cm="1">
        <f t="array" ref="F1108">IFERROR(_xlfn.XLOOKUP(E1108,MapeoCargos!$A:$A,MapeoCargos!$B:$B,E1108),E1108)</f>
        <v>PASTELERO(A)</v>
      </c>
      <c r="G1108" s="46">
        <v>45516</v>
      </c>
    </row>
    <row r="1109" spans="1:7" x14ac:dyDescent="0.2">
      <c r="A1109" s="28" t="s">
        <v>1850</v>
      </c>
      <c r="B1109" s="35" t="s">
        <v>1747</v>
      </c>
      <c r="C1109" s="35" t="s">
        <v>1783</v>
      </c>
      <c r="D1109" s="35" t="s">
        <v>1851</v>
      </c>
      <c r="E1109" s="35" t="s">
        <v>1852</v>
      </c>
      <c r="F1109" t="str" cm="1">
        <f t="array" ref="F1109">IFERROR(_xlfn.XLOOKUP(E1109,MapeoCargos!$A:$A,MapeoCargos!$B:$B,E1109),E1109)</f>
        <v>ASISTENTE ADM</v>
      </c>
      <c r="G1109" s="46">
        <v>45558</v>
      </c>
    </row>
    <row r="1110" spans="1:7" x14ac:dyDescent="0.2">
      <c r="A1110" s="28" t="s">
        <v>1853</v>
      </c>
      <c r="B1110" s="35" t="s">
        <v>1747</v>
      </c>
      <c r="C1110" s="35" t="s">
        <v>1774</v>
      </c>
      <c r="D1110" s="35" t="s">
        <v>1854</v>
      </c>
      <c r="E1110" s="35" t="s">
        <v>551</v>
      </c>
      <c r="F1110" t="str" cm="1">
        <f t="array" ref="F1110">IFERROR(_xlfn.XLOOKUP(E1110,MapeoCargos!$A:$A,MapeoCargos!$B:$B,E1110),E1110)</f>
        <v>MOZO</v>
      </c>
      <c r="G1110" s="46">
        <v>45566</v>
      </c>
    </row>
    <row r="1111" spans="1:7" x14ac:dyDescent="0.2">
      <c r="A1111" s="28" t="s">
        <v>1859</v>
      </c>
      <c r="B1111" s="35" t="s">
        <v>1747</v>
      </c>
      <c r="C1111" s="35" t="s">
        <v>1770</v>
      </c>
      <c r="D1111" s="35" t="s">
        <v>1860</v>
      </c>
      <c r="E1111" s="35" t="s">
        <v>30</v>
      </c>
      <c r="F1111" t="str" cm="1">
        <f t="array" ref="F1111">IFERROR(_xlfn.XLOOKUP(E1111,MapeoCargos!$A:$A,MapeoCargos!$B:$B,E1111),E1111)</f>
        <v>STAFF ADMINISTRATIVO</v>
      </c>
      <c r="G1111" s="46">
        <v>45579</v>
      </c>
    </row>
    <row r="1112" spans="1:7" x14ac:dyDescent="0.2">
      <c r="A1112" s="28" t="s">
        <v>1861</v>
      </c>
      <c r="B1112" s="35" t="s">
        <v>1747</v>
      </c>
      <c r="C1112" s="35" t="s">
        <v>1774</v>
      </c>
      <c r="D1112" s="35" t="s">
        <v>4090</v>
      </c>
      <c r="E1112" s="35" t="s">
        <v>551</v>
      </c>
      <c r="F1112" t="str" cm="1">
        <f t="array" ref="F1112">IFERROR(_xlfn.XLOOKUP(E1112,MapeoCargos!$A:$A,MapeoCargos!$B:$B,E1112),E1112)</f>
        <v>MOZO</v>
      </c>
      <c r="G1112" s="46">
        <v>45582</v>
      </c>
    </row>
    <row r="1113" spans="1:7" x14ac:dyDescent="0.2">
      <c r="A1113" s="28" t="s">
        <v>1862</v>
      </c>
      <c r="B1113" s="35" t="s">
        <v>1747</v>
      </c>
      <c r="C1113" s="35" t="s">
        <v>1770</v>
      </c>
      <c r="D1113" s="35" t="s">
        <v>1863</v>
      </c>
      <c r="E1113" s="35" t="s">
        <v>305</v>
      </c>
      <c r="F1113" t="str" cm="1">
        <f t="array" ref="F1113">IFERROR(_xlfn.XLOOKUP(E1113,MapeoCargos!$A:$A,MapeoCargos!$B:$B,E1113),E1113)</f>
        <v>LIMPIEZA / MANTENIMIENTO</v>
      </c>
      <c r="G1113" s="46">
        <v>45597</v>
      </c>
    </row>
    <row r="1114" spans="1:7" x14ac:dyDescent="0.2">
      <c r="A1114" s="28" t="s">
        <v>1864</v>
      </c>
      <c r="B1114" s="35" t="s">
        <v>1747</v>
      </c>
      <c r="C1114" s="35" t="s">
        <v>1783</v>
      </c>
      <c r="D1114" s="35" t="s">
        <v>1865</v>
      </c>
      <c r="E1114" s="35" t="s">
        <v>746</v>
      </c>
      <c r="F1114" t="str" cm="1">
        <f t="array" ref="F1114">IFERROR(_xlfn.XLOOKUP(E1114,MapeoCargos!$A:$A,MapeoCargos!$B:$B,E1114),E1114)</f>
        <v>CORREDOR</v>
      </c>
      <c r="G1114" s="46">
        <v>45600</v>
      </c>
    </row>
    <row r="1115" spans="1:7" x14ac:dyDescent="0.2">
      <c r="A1115" s="28" t="s">
        <v>1866</v>
      </c>
      <c r="B1115" s="35" t="s">
        <v>1747</v>
      </c>
      <c r="C1115" s="35" t="s">
        <v>1770</v>
      </c>
      <c r="D1115" s="35" t="s">
        <v>1867</v>
      </c>
      <c r="E1115" s="35" t="s">
        <v>127</v>
      </c>
      <c r="F1115" t="str" cm="1">
        <f t="array" ref="F1115">IFERROR(_xlfn.XLOOKUP(E1115,MapeoCargos!$A:$A,MapeoCargos!$B:$B,E1115),E1115)</f>
        <v>AZAFATA</v>
      </c>
      <c r="G1115" s="46">
        <v>45611</v>
      </c>
    </row>
    <row r="1116" spans="1:7" x14ac:dyDescent="0.2">
      <c r="A1116" s="28" t="s">
        <v>1868</v>
      </c>
      <c r="B1116" s="35" t="s">
        <v>1747</v>
      </c>
      <c r="C1116" s="35" t="s">
        <v>1770</v>
      </c>
      <c r="D1116" s="35" t="s">
        <v>1869</v>
      </c>
      <c r="E1116" s="35" t="s">
        <v>96</v>
      </c>
      <c r="F1116" t="str" cm="1">
        <f t="array" ref="F1116">IFERROR(_xlfn.XLOOKUP(E1116,MapeoCargos!$A:$A,MapeoCargos!$B:$B,E1116),E1116)</f>
        <v>VAJILLERO(A)</v>
      </c>
      <c r="G1116" s="46">
        <v>45658</v>
      </c>
    </row>
    <row r="1117" spans="1:7" x14ac:dyDescent="0.2">
      <c r="A1117" s="28" t="s">
        <v>1870</v>
      </c>
      <c r="B1117" s="35" t="s">
        <v>1747</v>
      </c>
      <c r="C1117" s="35" t="s">
        <v>1774</v>
      </c>
      <c r="D1117" s="35" t="s">
        <v>1871</v>
      </c>
      <c r="E1117" s="35" t="s">
        <v>606</v>
      </c>
      <c r="F1117" t="str" cm="1">
        <f t="array" ref="F1117">IFERROR(_xlfn.XLOOKUP(E1117,MapeoCargos!$A:$A,MapeoCargos!$B:$B,E1117),E1117)</f>
        <v>BAR</v>
      </c>
      <c r="G1117" s="46">
        <v>45670</v>
      </c>
    </row>
    <row r="1118" spans="1:7" x14ac:dyDescent="0.2">
      <c r="A1118" s="28" t="s">
        <v>1872</v>
      </c>
      <c r="B1118" s="35" t="s">
        <v>1747</v>
      </c>
      <c r="C1118" s="35" t="s">
        <v>1770</v>
      </c>
      <c r="D1118" s="35" t="s">
        <v>1873</v>
      </c>
      <c r="E1118" s="35" t="s">
        <v>83</v>
      </c>
      <c r="F1118" t="str" cm="1">
        <f t="array" ref="F1118">IFERROR(_xlfn.XLOOKUP(E1118,MapeoCargos!$A:$A,MapeoCargos!$B:$B,E1118),E1118)</f>
        <v>PRODUCCIÓN / COCINA</v>
      </c>
      <c r="G1118" s="46">
        <v>45672</v>
      </c>
    </row>
    <row r="1119" spans="1:7" x14ac:dyDescent="0.2">
      <c r="A1119" s="28" t="s">
        <v>1874</v>
      </c>
      <c r="B1119" s="35" t="s">
        <v>1747</v>
      </c>
      <c r="C1119" s="35" t="s">
        <v>1770</v>
      </c>
      <c r="D1119" s="35" t="s">
        <v>1875</v>
      </c>
      <c r="E1119" s="35" t="s">
        <v>180</v>
      </c>
      <c r="F1119" t="str" cm="1">
        <f t="array" ref="F1119">IFERROR(_xlfn.XLOOKUP(E1119,MapeoCargos!$A:$A,MapeoCargos!$B:$B,E1119),E1119)</f>
        <v>MANTENIMIENTO</v>
      </c>
      <c r="G1119" s="46">
        <v>45677</v>
      </c>
    </row>
    <row r="1120" spans="1:7" x14ac:dyDescent="0.2">
      <c r="A1120" s="28" t="s">
        <v>1876</v>
      </c>
      <c r="B1120" s="35" t="s">
        <v>1747</v>
      </c>
      <c r="C1120" s="35" t="s">
        <v>1877</v>
      </c>
      <c r="D1120" s="35" t="s">
        <v>1878</v>
      </c>
      <c r="E1120" s="35" t="s">
        <v>30</v>
      </c>
      <c r="F1120" t="str" cm="1">
        <f t="array" ref="F1120">IFERROR(_xlfn.XLOOKUP(E1120,MapeoCargos!$A:$A,MapeoCargos!$B:$B,E1120),E1120)</f>
        <v>STAFF ADMINISTRATIVO</v>
      </c>
      <c r="G1120" s="46">
        <v>45677</v>
      </c>
    </row>
    <row r="1121" spans="1:7" x14ac:dyDescent="0.2">
      <c r="A1121" s="28" t="s">
        <v>1879</v>
      </c>
      <c r="B1121" s="35" t="s">
        <v>1747</v>
      </c>
      <c r="C1121" s="35" t="s">
        <v>1774</v>
      </c>
      <c r="D1121" s="35" t="s">
        <v>1880</v>
      </c>
      <c r="E1121" s="35" t="s">
        <v>648</v>
      </c>
      <c r="F1121" t="str" cm="1">
        <f t="array" ref="F1121">IFERROR(_xlfn.XLOOKUP(E1121,MapeoCargos!$A:$A,MapeoCargos!$B:$B,E1121),E1121)</f>
        <v>AZAFATA</v>
      </c>
      <c r="G1121" s="46">
        <v>45689</v>
      </c>
    </row>
    <row r="1122" spans="1:7" x14ac:dyDescent="0.2">
      <c r="A1122" s="28" t="s">
        <v>1881</v>
      </c>
      <c r="B1122" s="35" t="s">
        <v>1747</v>
      </c>
      <c r="C1122" s="35" t="s">
        <v>1759</v>
      </c>
      <c r="D1122" s="35" t="s">
        <v>1882</v>
      </c>
      <c r="E1122" s="35" t="s">
        <v>1192</v>
      </c>
      <c r="F1122" t="str" cm="1">
        <f t="array" ref="F1122">IFERROR(_xlfn.XLOOKUP(E1122,MapeoCargos!$A:$A,MapeoCargos!$B:$B,E1122),E1122)</f>
        <v>CHOFER</v>
      </c>
      <c r="G1122" s="46">
        <v>45692</v>
      </c>
    </row>
    <row r="1123" spans="1:7" x14ac:dyDescent="0.2">
      <c r="A1123" s="28" t="s">
        <v>1883</v>
      </c>
      <c r="B1123" s="35" t="s">
        <v>1747</v>
      </c>
      <c r="C1123" s="35" t="s">
        <v>1748</v>
      </c>
      <c r="D1123" s="35" t="s">
        <v>1884</v>
      </c>
      <c r="E1123" s="35" t="s">
        <v>648</v>
      </c>
      <c r="F1123" t="str" cm="1">
        <f t="array" ref="F1123">IFERROR(_xlfn.XLOOKUP(E1123,MapeoCargos!$A:$A,MapeoCargos!$B:$B,E1123),E1123)</f>
        <v>AZAFATA</v>
      </c>
      <c r="G1123" s="46">
        <v>45698</v>
      </c>
    </row>
    <row r="1124" spans="1:7" x14ac:dyDescent="0.2">
      <c r="A1124" s="28" t="s">
        <v>1885</v>
      </c>
      <c r="B1124" s="35" t="s">
        <v>1747</v>
      </c>
      <c r="C1124" s="35" t="s">
        <v>1877</v>
      </c>
      <c r="D1124" s="35" t="s">
        <v>1886</v>
      </c>
      <c r="E1124" s="35" t="s">
        <v>89</v>
      </c>
      <c r="F1124" t="str" cm="1">
        <f t="array" ref="F1124">IFERROR(_xlfn.XLOOKUP(E1124,MapeoCargos!$A:$A,MapeoCargos!$B:$B,E1124),E1124)</f>
        <v>PRODUCCIÓN / COCINA</v>
      </c>
      <c r="G1124" s="46">
        <v>45702</v>
      </c>
    </row>
    <row r="1125" spans="1:7" x14ac:dyDescent="0.2">
      <c r="A1125" s="28" t="s">
        <v>1887</v>
      </c>
      <c r="B1125" s="35" t="s">
        <v>1747</v>
      </c>
      <c r="C1125" s="35" t="s">
        <v>1770</v>
      </c>
      <c r="D1125" s="35" t="s">
        <v>1888</v>
      </c>
      <c r="E1125" s="35" t="s">
        <v>746</v>
      </c>
      <c r="F1125" t="str" cm="1">
        <f t="array" ref="F1125">IFERROR(_xlfn.XLOOKUP(E1125,MapeoCargos!$A:$A,MapeoCargos!$B:$B,E1125),E1125)</f>
        <v>CORREDOR</v>
      </c>
      <c r="G1125" s="46">
        <v>45712</v>
      </c>
    </row>
    <row r="1126" spans="1:7" x14ac:dyDescent="0.2">
      <c r="A1126" s="28" t="s">
        <v>1889</v>
      </c>
      <c r="B1126" s="35" t="s">
        <v>1747</v>
      </c>
      <c r="C1126" s="35" t="s">
        <v>1770</v>
      </c>
      <c r="D1126" s="35" t="s">
        <v>1890</v>
      </c>
      <c r="E1126" s="35" t="s">
        <v>110</v>
      </c>
      <c r="F1126" t="str" cm="1">
        <f t="array" ref="F1126">IFERROR(_xlfn.XLOOKUP(E1126,MapeoCargos!$A:$A,MapeoCargos!$B:$B,E1126),E1126)</f>
        <v>COUNTER</v>
      </c>
      <c r="G1126" s="46">
        <v>45717</v>
      </c>
    </row>
    <row r="1127" spans="1:7" x14ac:dyDescent="0.2">
      <c r="A1127" s="28" t="s">
        <v>1891</v>
      </c>
      <c r="B1127" s="35" t="s">
        <v>1747</v>
      </c>
      <c r="C1127" s="35" t="s">
        <v>1770</v>
      </c>
      <c r="D1127" s="35" t="s">
        <v>1892</v>
      </c>
      <c r="E1127" s="35" t="s">
        <v>167</v>
      </c>
      <c r="F1127" t="str" cm="1">
        <f t="array" ref="F1127">IFERROR(_xlfn.XLOOKUP(E1127,MapeoCargos!$A:$A,MapeoCargos!$B:$B,E1127),E1127)</f>
        <v xml:space="preserve">ANFITRIONAJE </v>
      </c>
      <c r="G1127" s="46">
        <v>45717</v>
      </c>
    </row>
    <row r="1128" spans="1:7" x14ac:dyDescent="0.2">
      <c r="A1128" s="28" t="s">
        <v>1895</v>
      </c>
      <c r="B1128" s="35" t="s">
        <v>1747</v>
      </c>
      <c r="C1128" s="35" t="s">
        <v>1770</v>
      </c>
      <c r="D1128" s="35" t="s">
        <v>1896</v>
      </c>
      <c r="E1128" s="35" t="s">
        <v>715</v>
      </c>
      <c r="F1128" t="str" cm="1">
        <f t="array" ref="F1128">IFERROR(_xlfn.XLOOKUP(E1128,MapeoCargos!$A:$A,MapeoCargos!$B:$B,E1128),E1128)</f>
        <v>PASTELERO(A)</v>
      </c>
      <c r="G1128" s="46">
        <v>45719</v>
      </c>
    </row>
    <row r="1129" spans="1:7" x14ac:dyDescent="0.2">
      <c r="A1129" s="28" t="s">
        <v>1897</v>
      </c>
      <c r="B1129" s="35" t="s">
        <v>1747</v>
      </c>
      <c r="C1129" s="35" t="s">
        <v>1770</v>
      </c>
      <c r="D1129" s="35" t="s">
        <v>1898</v>
      </c>
      <c r="E1129" s="35" t="s">
        <v>83</v>
      </c>
      <c r="F1129" t="str" cm="1">
        <f t="array" ref="F1129">IFERROR(_xlfn.XLOOKUP(E1129,MapeoCargos!$A:$A,MapeoCargos!$B:$B,E1129),E1129)</f>
        <v>PRODUCCIÓN / COCINA</v>
      </c>
      <c r="G1129" s="46">
        <v>45733</v>
      </c>
    </row>
    <row r="1130" spans="1:7" x14ac:dyDescent="0.2">
      <c r="A1130" s="28" t="s">
        <v>1899</v>
      </c>
      <c r="B1130" s="35" t="s">
        <v>1747</v>
      </c>
      <c r="C1130" s="35" t="s">
        <v>1748</v>
      </c>
      <c r="D1130" s="35" t="s">
        <v>1900</v>
      </c>
      <c r="E1130" s="35" t="s">
        <v>606</v>
      </c>
      <c r="F1130" t="str" cm="1">
        <f t="array" ref="F1130">IFERROR(_xlfn.XLOOKUP(E1130,MapeoCargos!$A:$A,MapeoCargos!$B:$B,E1130),E1130)</f>
        <v>BAR</v>
      </c>
      <c r="G1130" s="46">
        <v>45740</v>
      </c>
    </row>
    <row r="1131" spans="1:7" x14ac:dyDescent="0.2">
      <c r="A1131" s="28" t="s">
        <v>1901</v>
      </c>
      <c r="B1131" s="35" t="s">
        <v>1747</v>
      </c>
      <c r="C1131" s="35" t="s">
        <v>1753</v>
      </c>
      <c r="D1131" s="35" t="s">
        <v>4091</v>
      </c>
      <c r="E1131" s="35" t="s">
        <v>1757</v>
      </c>
      <c r="F1131" t="str" cm="1">
        <f t="array" ref="F1131">IFERROR(_xlfn.XLOOKUP(E1131,MapeoCargos!$A:$A,MapeoCargos!$B:$B,E1131),E1131)</f>
        <v>DJ</v>
      </c>
      <c r="G1131" s="46">
        <v>45737</v>
      </c>
    </row>
    <row r="1132" spans="1:7" x14ac:dyDescent="0.2">
      <c r="A1132" s="28" t="s">
        <v>1902</v>
      </c>
      <c r="B1132" s="35" t="s">
        <v>1747</v>
      </c>
      <c r="C1132" s="35" t="s">
        <v>1877</v>
      </c>
      <c r="D1132" s="35" t="s">
        <v>1903</v>
      </c>
      <c r="E1132" s="35" t="s">
        <v>89</v>
      </c>
      <c r="F1132" t="str" cm="1">
        <f t="array" ref="F1132">IFERROR(_xlfn.XLOOKUP(E1132,MapeoCargos!$A:$A,MapeoCargos!$B:$B,E1132),E1132)</f>
        <v>PRODUCCIÓN / COCINA</v>
      </c>
      <c r="G1132" s="46">
        <v>45748</v>
      </c>
    </row>
    <row r="1133" spans="1:7" x14ac:dyDescent="0.2">
      <c r="A1133" s="28" t="s">
        <v>1904</v>
      </c>
      <c r="B1133" s="35" t="s">
        <v>1747</v>
      </c>
      <c r="C1133" s="35" t="s">
        <v>1774</v>
      </c>
      <c r="D1133" s="35" t="s">
        <v>1905</v>
      </c>
      <c r="E1133" s="35" t="s">
        <v>127</v>
      </c>
      <c r="F1133" t="str" cm="1">
        <f t="array" ref="F1133">IFERROR(_xlfn.XLOOKUP(E1133,MapeoCargos!$A:$A,MapeoCargos!$B:$B,E1133),E1133)</f>
        <v>AZAFATA</v>
      </c>
      <c r="G1133" s="46">
        <v>45748</v>
      </c>
    </row>
    <row r="1134" spans="1:7" x14ac:dyDescent="0.2">
      <c r="A1134" s="28" t="s">
        <v>1906</v>
      </c>
      <c r="B1134" s="35" t="s">
        <v>1747</v>
      </c>
      <c r="C1134" s="35" t="s">
        <v>1770</v>
      </c>
      <c r="D1134" s="35" t="s">
        <v>1907</v>
      </c>
      <c r="E1134" s="35" t="s">
        <v>606</v>
      </c>
      <c r="F1134" t="str" cm="1">
        <f t="array" ref="F1134">IFERROR(_xlfn.XLOOKUP(E1134,MapeoCargos!$A:$A,MapeoCargos!$B:$B,E1134),E1134)</f>
        <v>BAR</v>
      </c>
      <c r="G1134" s="46">
        <v>45754</v>
      </c>
    </row>
    <row r="1135" spans="1:7" x14ac:dyDescent="0.2">
      <c r="A1135" s="28" t="s">
        <v>1908</v>
      </c>
      <c r="B1135" s="35" t="s">
        <v>1747</v>
      </c>
      <c r="C1135" s="35" t="s">
        <v>1770</v>
      </c>
      <c r="D1135" s="35" t="s">
        <v>1909</v>
      </c>
      <c r="E1135" s="35" t="s">
        <v>840</v>
      </c>
      <c r="F1135" t="str" cm="1">
        <f t="array" ref="F1135">IFERROR(_xlfn.XLOOKUP(E1135,MapeoCargos!$A:$A,MapeoCargos!$B:$B,E1135),E1135)</f>
        <v>PLANCHERO</v>
      </c>
      <c r="G1135" s="46">
        <v>45754</v>
      </c>
    </row>
    <row r="1136" spans="1:7" x14ac:dyDescent="0.2">
      <c r="A1136" s="28" t="s">
        <v>1910</v>
      </c>
      <c r="B1136" s="35" t="s">
        <v>1747</v>
      </c>
      <c r="C1136" s="35" t="s">
        <v>1770</v>
      </c>
      <c r="D1136" s="35" t="s">
        <v>1911</v>
      </c>
      <c r="E1136" s="35" t="s">
        <v>110</v>
      </c>
      <c r="F1136" t="str" cm="1">
        <f t="array" ref="F1136">IFERROR(_xlfn.XLOOKUP(E1136,MapeoCargos!$A:$A,MapeoCargos!$B:$B,E1136),E1136)</f>
        <v>COUNTER</v>
      </c>
      <c r="G1136" s="46">
        <v>45754</v>
      </c>
    </row>
    <row r="1137" spans="1:7" x14ac:dyDescent="0.2">
      <c r="A1137" s="28" t="s">
        <v>1912</v>
      </c>
      <c r="B1137" s="35" t="s">
        <v>1747</v>
      </c>
      <c r="C1137" s="35" t="s">
        <v>1877</v>
      </c>
      <c r="D1137" s="35" t="s">
        <v>1913</v>
      </c>
      <c r="E1137" s="35" t="s">
        <v>482</v>
      </c>
      <c r="F1137" t="str" cm="1">
        <f t="array" ref="F1137">IFERROR(_xlfn.XLOOKUP(E1137,MapeoCargos!$A:$A,MapeoCargos!$B:$B,E1137),E1137)</f>
        <v>PRODUCCIÓN / COCINA</v>
      </c>
      <c r="G1137" s="46">
        <v>45761</v>
      </c>
    </row>
    <row r="1138" spans="1:7" x14ac:dyDescent="0.2">
      <c r="A1138" s="28" t="s">
        <v>1914</v>
      </c>
      <c r="B1138" s="35" t="s">
        <v>1747</v>
      </c>
      <c r="C1138" s="35" t="s">
        <v>1753</v>
      </c>
      <c r="D1138" s="35" t="s">
        <v>1915</v>
      </c>
      <c r="E1138" s="35" t="s">
        <v>29</v>
      </c>
      <c r="F1138" t="str" cm="1">
        <f t="array" ref="F1138">IFERROR(_xlfn.XLOOKUP(E1138,MapeoCargos!$A:$A,MapeoCargos!$B:$B,E1138),E1138)</f>
        <v>MOZO</v>
      </c>
      <c r="G1138" s="46">
        <v>45763</v>
      </c>
    </row>
    <row r="1139" spans="1:7" x14ac:dyDescent="0.2">
      <c r="A1139" s="28" t="s">
        <v>1916</v>
      </c>
      <c r="B1139" s="35" t="s">
        <v>1747</v>
      </c>
      <c r="C1139" s="35" t="s">
        <v>1770</v>
      </c>
      <c r="D1139" s="35" t="s">
        <v>1917</v>
      </c>
      <c r="E1139" s="35" t="s">
        <v>83</v>
      </c>
      <c r="F1139" t="str" cm="1">
        <f t="array" ref="F1139">IFERROR(_xlfn.XLOOKUP(E1139,MapeoCargos!$A:$A,MapeoCargos!$B:$B,E1139),E1139)</f>
        <v>PRODUCCIÓN / COCINA</v>
      </c>
      <c r="G1139" s="46">
        <v>45775</v>
      </c>
    </row>
    <row r="1140" spans="1:7" x14ac:dyDescent="0.2">
      <c r="A1140" s="28" t="s">
        <v>1918</v>
      </c>
      <c r="B1140" s="35" t="s">
        <v>1747</v>
      </c>
      <c r="C1140" s="35" t="s">
        <v>1774</v>
      </c>
      <c r="D1140" s="35" t="s">
        <v>1919</v>
      </c>
      <c r="E1140" s="35" t="s">
        <v>83</v>
      </c>
      <c r="F1140" t="str" cm="1">
        <f t="array" ref="F1140">IFERROR(_xlfn.XLOOKUP(E1140,MapeoCargos!$A:$A,MapeoCargos!$B:$B,E1140),E1140)</f>
        <v>PRODUCCIÓN / COCINA</v>
      </c>
      <c r="G1140" s="46">
        <v>45793</v>
      </c>
    </row>
    <row r="1141" spans="1:7" x14ac:dyDescent="0.2">
      <c r="A1141" s="28" t="s">
        <v>1920</v>
      </c>
      <c r="B1141" s="35" t="s">
        <v>1747</v>
      </c>
      <c r="C1141" s="35" t="s">
        <v>1774</v>
      </c>
      <c r="D1141" s="35" t="s">
        <v>1921</v>
      </c>
      <c r="E1141" s="35" t="s">
        <v>110</v>
      </c>
      <c r="F1141" t="str" cm="1">
        <f t="array" ref="F1141">IFERROR(_xlfn.XLOOKUP(E1141,MapeoCargos!$A:$A,MapeoCargos!$B:$B,E1141),E1141)</f>
        <v>COUNTER</v>
      </c>
      <c r="G1141" s="46">
        <v>45793</v>
      </c>
    </row>
    <row r="1142" spans="1:7" x14ac:dyDescent="0.2">
      <c r="A1142" s="28" t="s">
        <v>1922</v>
      </c>
      <c r="B1142" s="35" t="s">
        <v>1747</v>
      </c>
      <c r="C1142" s="35" t="s">
        <v>1770</v>
      </c>
      <c r="D1142" s="35" t="s">
        <v>1923</v>
      </c>
      <c r="E1142" s="35" t="s">
        <v>648</v>
      </c>
      <c r="F1142" t="str" cm="1">
        <f t="array" ref="F1142">IFERROR(_xlfn.XLOOKUP(E1142,MapeoCargos!$A:$A,MapeoCargos!$B:$B,E1142),E1142)</f>
        <v>AZAFATA</v>
      </c>
      <c r="G1142" s="46">
        <v>45796</v>
      </c>
    </row>
    <row r="1143" spans="1:7" x14ac:dyDescent="0.2">
      <c r="A1143" s="28" t="s">
        <v>1924</v>
      </c>
      <c r="B1143" s="35" t="s">
        <v>1747</v>
      </c>
      <c r="C1143" s="35" t="s">
        <v>1770</v>
      </c>
      <c r="D1143" s="35" t="s">
        <v>1925</v>
      </c>
      <c r="E1143" s="35" t="s">
        <v>83</v>
      </c>
      <c r="F1143" t="str" cm="1">
        <f t="array" ref="F1143">IFERROR(_xlfn.XLOOKUP(E1143,MapeoCargos!$A:$A,MapeoCargos!$B:$B,E1143),E1143)</f>
        <v>PRODUCCIÓN / COCINA</v>
      </c>
      <c r="G1143" s="46">
        <v>45796</v>
      </c>
    </row>
    <row r="1144" spans="1:7" x14ac:dyDescent="0.2">
      <c r="A1144" s="28" t="s">
        <v>1926</v>
      </c>
      <c r="B1144" s="35" t="s">
        <v>1747</v>
      </c>
      <c r="C1144" s="35" t="s">
        <v>1783</v>
      </c>
      <c r="D1144" s="35" t="s">
        <v>1927</v>
      </c>
      <c r="E1144" s="35" t="s">
        <v>127</v>
      </c>
      <c r="F1144" t="str" cm="1">
        <f t="array" ref="F1144">IFERROR(_xlfn.XLOOKUP(E1144,MapeoCargos!$A:$A,MapeoCargos!$B:$B,E1144),E1144)</f>
        <v>AZAFATA</v>
      </c>
      <c r="G1144" s="46">
        <v>45796</v>
      </c>
    </row>
    <row r="1145" spans="1:7" x14ac:dyDescent="0.2">
      <c r="A1145" s="28" t="s">
        <v>1928</v>
      </c>
      <c r="B1145" s="35" t="s">
        <v>1747</v>
      </c>
      <c r="C1145" s="35" t="s">
        <v>1770</v>
      </c>
      <c r="D1145" s="35" t="s">
        <v>1929</v>
      </c>
      <c r="E1145" s="35" t="s">
        <v>746</v>
      </c>
      <c r="F1145" t="str" cm="1">
        <f t="array" ref="F1145">IFERROR(_xlfn.XLOOKUP(E1145,MapeoCargos!$A:$A,MapeoCargos!$B:$B,E1145),E1145)</f>
        <v>CORREDOR</v>
      </c>
      <c r="G1145" s="46">
        <v>45803</v>
      </c>
    </row>
    <row r="1146" spans="1:7" x14ac:dyDescent="0.2">
      <c r="A1146" s="28" t="s">
        <v>1932</v>
      </c>
      <c r="B1146" s="35" t="s">
        <v>1747</v>
      </c>
      <c r="C1146" s="35" t="s">
        <v>1774</v>
      </c>
      <c r="D1146" s="35" t="s">
        <v>1933</v>
      </c>
      <c r="E1146" s="35" t="s">
        <v>30</v>
      </c>
      <c r="F1146" t="str" cm="1">
        <f t="array" ref="F1146">IFERROR(_xlfn.XLOOKUP(E1146,MapeoCargos!$A:$A,MapeoCargos!$B:$B,E1146),E1146)</f>
        <v>STAFF ADMINISTRATIVO</v>
      </c>
      <c r="G1146" s="46">
        <v>45814</v>
      </c>
    </row>
    <row r="1147" spans="1:7" x14ac:dyDescent="0.2">
      <c r="A1147" s="28" t="s">
        <v>1934</v>
      </c>
      <c r="B1147" s="35" t="s">
        <v>1747</v>
      </c>
      <c r="C1147" s="35" t="s">
        <v>1774</v>
      </c>
      <c r="D1147" s="35" t="s">
        <v>1935</v>
      </c>
      <c r="E1147" s="35" t="s">
        <v>89</v>
      </c>
      <c r="F1147" t="str" cm="1">
        <f t="array" ref="F1147">IFERROR(_xlfn.XLOOKUP(E1147,MapeoCargos!$A:$A,MapeoCargos!$B:$B,E1147),E1147)</f>
        <v>PRODUCCIÓN / COCINA</v>
      </c>
      <c r="G1147" s="46">
        <v>45817</v>
      </c>
    </row>
    <row r="1148" spans="1:7" x14ac:dyDescent="0.2">
      <c r="A1148" s="28" t="s">
        <v>1940</v>
      </c>
      <c r="B1148" s="35" t="s">
        <v>1747</v>
      </c>
      <c r="C1148" s="35" t="s">
        <v>1753</v>
      </c>
      <c r="D1148" s="35" t="s">
        <v>1941</v>
      </c>
      <c r="E1148" s="35" t="s">
        <v>305</v>
      </c>
      <c r="F1148" t="str" cm="1">
        <f t="array" ref="F1148">IFERROR(_xlfn.XLOOKUP(E1148,MapeoCargos!$A:$A,MapeoCargos!$B:$B,E1148),E1148)</f>
        <v>LIMPIEZA / MANTENIMIENTO</v>
      </c>
      <c r="G1148" s="46" t="s">
        <v>4202</v>
      </c>
    </row>
    <row r="1149" spans="1:7" x14ac:dyDescent="0.2">
      <c r="A1149" s="28" t="s">
        <v>289</v>
      </c>
      <c r="B1149" s="35" t="s">
        <v>1747</v>
      </c>
      <c r="C1149" s="35" t="s">
        <v>1759</v>
      </c>
      <c r="D1149" s="35" t="s">
        <v>291</v>
      </c>
      <c r="E1149" s="35" t="s">
        <v>1942</v>
      </c>
      <c r="F1149" t="str" cm="1">
        <f t="array" ref="F1149">IFERROR(_xlfn.XLOOKUP(E1149,MapeoCargos!$A:$A,MapeoCargos!$B:$B,E1149),E1149)</f>
        <v>ATENCION AL CLIENTE P/T</v>
      </c>
      <c r="G1149" s="46" t="s">
        <v>4202</v>
      </c>
    </row>
    <row r="1150" spans="1:7" x14ac:dyDescent="0.2">
      <c r="A1150" s="28" t="s">
        <v>1943</v>
      </c>
      <c r="B1150" s="35" t="s">
        <v>1747</v>
      </c>
      <c r="C1150" s="35" t="s">
        <v>1759</v>
      </c>
      <c r="D1150" s="35" t="s">
        <v>1944</v>
      </c>
      <c r="E1150" s="35" t="s">
        <v>1945</v>
      </c>
      <c r="F1150" t="str" cm="1">
        <f t="array" ref="F1150">IFERROR(_xlfn.XLOOKUP(E1150,MapeoCargos!$A:$A,MapeoCargos!$B:$B,E1150),E1150)</f>
        <v>ASISTENTE DE COMPRAS</v>
      </c>
      <c r="G1150" s="46" t="s">
        <v>4202</v>
      </c>
    </row>
    <row r="1151" spans="1:7" x14ac:dyDescent="0.2">
      <c r="A1151" s="28" t="s">
        <v>1936</v>
      </c>
      <c r="B1151" s="35" t="s">
        <v>1747</v>
      </c>
      <c r="C1151" s="35" t="s">
        <v>1774</v>
      </c>
      <c r="D1151" s="35" t="s">
        <v>1937</v>
      </c>
      <c r="E1151" s="35" t="s">
        <v>29</v>
      </c>
      <c r="F1151" t="str" cm="1">
        <f t="array" ref="F1151">IFERROR(_xlfn.XLOOKUP(E1151,MapeoCargos!$A:$A,MapeoCargos!$B:$B,E1151),E1151)</f>
        <v>MOZO</v>
      </c>
      <c r="G1151" s="46" t="s">
        <v>4202</v>
      </c>
    </row>
    <row r="1152" spans="1:7" x14ac:dyDescent="0.2">
      <c r="A1152" s="28" t="s">
        <v>1938</v>
      </c>
      <c r="B1152" s="35" t="s">
        <v>1747</v>
      </c>
      <c r="C1152" s="35" t="s">
        <v>1877</v>
      </c>
      <c r="D1152" s="35" t="s">
        <v>1939</v>
      </c>
      <c r="E1152" s="35" t="s">
        <v>110</v>
      </c>
      <c r="F1152" t="str" cm="1">
        <f t="array" ref="F1152">IFERROR(_xlfn.XLOOKUP(E1152,MapeoCargos!$A:$A,MapeoCargos!$B:$B,E1152),E1152)</f>
        <v>COUNTER</v>
      </c>
      <c r="G1152" s="46" t="s">
        <v>4202</v>
      </c>
    </row>
    <row r="1153" spans="1:7" x14ac:dyDescent="0.2">
      <c r="A1153" s="28" t="s">
        <v>1946</v>
      </c>
      <c r="B1153" s="35" t="s">
        <v>1747</v>
      </c>
      <c r="C1153" s="35" t="s">
        <v>1770</v>
      </c>
      <c r="D1153" s="35" t="s">
        <v>1947</v>
      </c>
      <c r="E1153" s="35" t="s">
        <v>110</v>
      </c>
      <c r="F1153" t="str" cm="1">
        <f t="array" ref="F1153">IFERROR(_xlfn.XLOOKUP(E1153,MapeoCargos!$A:$A,MapeoCargos!$B:$B,E1153),E1153)</f>
        <v>COUNTER</v>
      </c>
      <c r="G1153" s="46">
        <v>45845</v>
      </c>
    </row>
    <row r="1154" spans="1:7" x14ac:dyDescent="0.2">
      <c r="A1154" s="28" t="s">
        <v>1948</v>
      </c>
      <c r="B1154" s="35" t="s">
        <v>1747</v>
      </c>
      <c r="C1154" s="35" t="s">
        <v>1774</v>
      </c>
      <c r="D1154" s="35" t="s">
        <v>1949</v>
      </c>
      <c r="E1154" s="35" t="s">
        <v>606</v>
      </c>
      <c r="F1154" t="str" cm="1">
        <f t="array" ref="F1154">IFERROR(_xlfn.XLOOKUP(E1154,MapeoCargos!$A:$A,MapeoCargos!$B:$B,E1154),E1154)</f>
        <v>BAR</v>
      </c>
      <c r="G1154" s="46">
        <v>45849</v>
      </c>
    </row>
    <row r="1155" spans="1:7" x14ac:dyDescent="0.2">
      <c r="A1155" s="28" t="s">
        <v>1950</v>
      </c>
      <c r="B1155" s="35" t="s">
        <v>1747</v>
      </c>
      <c r="C1155" s="35" t="s">
        <v>1770</v>
      </c>
      <c r="D1155" s="35" t="s">
        <v>1951</v>
      </c>
      <c r="E1155" s="35" t="s">
        <v>746</v>
      </c>
      <c r="F1155" t="str" cm="1">
        <f t="array" ref="F1155">IFERROR(_xlfn.XLOOKUP(E1155,MapeoCargos!$A:$A,MapeoCargos!$B:$B,E1155),E1155)</f>
        <v>CORREDOR</v>
      </c>
      <c r="G1155" s="46">
        <v>45856</v>
      </c>
    </row>
    <row r="1156" spans="1:7" x14ac:dyDescent="0.2">
      <c r="A1156" s="28" t="s">
        <v>1952</v>
      </c>
      <c r="B1156" s="35" t="s">
        <v>1747</v>
      </c>
      <c r="C1156" s="35" t="s">
        <v>1748</v>
      </c>
      <c r="D1156" s="35" t="s">
        <v>1953</v>
      </c>
      <c r="E1156" s="35" t="s">
        <v>29</v>
      </c>
      <c r="F1156" t="str" cm="1">
        <f t="array" ref="F1156">IFERROR(_xlfn.XLOOKUP(E1156,MapeoCargos!$A:$A,MapeoCargos!$B:$B,E1156),E1156)</f>
        <v>MOZO</v>
      </c>
      <c r="G1156" s="46">
        <v>45856</v>
      </c>
    </row>
    <row r="1157" spans="1:7" x14ac:dyDescent="0.2">
      <c r="A1157" s="28" t="s">
        <v>1954</v>
      </c>
      <c r="B1157" s="35" t="s">
        <v>1747</v>
      </c>
      <c r="C1157" s="35" t="s">
        <v>1770</v>
      </c>
      <c r="D1157" s="35" t="s">
        <v>1955</v>
      </c>
      <c r="E1157" s="35" t="s">
        <v>746</v>
      </c>
      <c r="F1157" t="str" cm="1">
        <f t="array" ref="F1157">IFERROR(_xlfn.XLOOKUP(E1157,MapeoCargos!$A:$A,MapeoCargos!$B:$B,E1157),E1157)</f>
        <v>CORREDOR</v>
      </c>
      <c r="G1157" s="46">
        <v>45859</v>
      </c>
    </row>
    <row r="1158" spans="1:7" x14ac:dyDescent="0.2">
      <c r="A1158" s="28" t="s">
        <v>1956</v>
      </c>
      <c r="B1158" s="35" t="s">
        <v>1747</v>
      </c>
      <c r="C1158" s="35" t="s">
        <v>1774</v>
      </c>
      <c r="D1158" s="35" t="s">
        <v>1957</v>
      </c>
      <c r="E1158" s="35" t="s">
        <v>29</v>
      </c>
      <c r="F1158" t="str" cm="1">
        <f t="array" ref="F1158">IFERROR(_xlfn.XLOOKUP(E1158,MapeoCargos!$A:$A,MapeoCargos!$B:$B,E1158),E1158)</f>
        <v>MOZO</v>
      </c>
      <c r="G1158" s="46">
        <v>45859</v>
      </c>
    </row>
    <row r="1159" spans="1:7" x14ac:dyDescent="0.2">
      <c r="A1159" s="28" t="s">
        <v>1958</v>
      </c>
      <c r="B1159" s="35" t="s">
        <v>1747</v>
      </c>
      <c r="C1159" s="35" t="s">
        <v>1753</v>
      </c>
      <c r="D1159" s="35" t="s">
        <v>1959</v>
      </c>
      <c r="E1159" s="35" t="s">
        <v>83</v>
      </c>
      <c r="F1159" t="str" cm="1">
        <f t="array" ref="F1159">IFERROR(_xlfn.XLOOKUP(E1159,MapeoCargos!$A:$A,MapeoCargos!$B:$B,E1159),E1159)</f>
        <v>PRODUCCIÓN / COCINA</v>
      </c>
      <c r="G1159" s="46">
        <v>45870</v>
      </c>
    </row>
    <row r="1160" spans="1:7" x14ac:dyDescent="0.2">
      <c r="A1160" s="28" t="s">
        <v>1960</v>
      </c>
      <c r="B1160" s="35" t="s">
        <v>1747</v>
      </c>
      <c r="C1160" s="35" t="s">
        <v>1770</v>
      </c>
      <c r="D1160" s="35" t="s">
        <v>1961</v>
      </c>
      <c r="E1160" s="35" t="s">
        <v>83</v>
      </c>
      <c r="F1160" t="str" cm="1">
        <f t="array" ref="F1160">IFERROR(_xlfn.XLOOKUP(E1160,MapeoCargos!$A:$A,MapeoCargos!$B:$B,E1160),E1160)</f>
        <v>PRODUCCIÓN / COCINA</v>
      </c>
      <c r="G1160" s="46">
        <v>45870</v>
      </c>
    </row>
    <row r="1161" spans="1:7" x14ac:dyDescent="0.2">
      <c r="A1161" s="28" t="s">
        <v>1962</v>
      </c>
      <c r="B1161" s="35" t="s">
        <v>1747</v>
      </c>
      <c r="C1161" s="35" t="s">
        <v>1759</v>
      </c>
      <c r="D1161" s="35" t="s">
        <v>1963</v>
      </c>
      <c r="E1161" s="35" t="s">
        <v>1964</v>
      </c>
      <c r="F1161" t="str" cm="1">
        <f t="array" ref="F1161">IFERROR(_xlfn.XLOOKUP(E1161,MapeoCargos!$A:$A,MapeoCargos!$B:$B,E1161),E1161)</f>
        <v>CHEF DE PRODUCCIÓN</v>
      </c>
      <c r="G1161" s="46">
        <v>45870</v>
      </c>
    </row>
    <row r="1162" spans="1:7" x14ac:dyDescent="0.2">
      <c r="A1162" s="28" t="s">
        <v>1965</v>
      </c>
      <c r="B1162" s="35" t="s">
        <v>1747</v>
      </c>
      <c r="C1162" s="35" t="s">
        <v>1783</v>
      </c>
      <c r="D1162" s="35" t="s">
        <v>1966</v>
      </c>
      <c r="E1162" s="35" t="s">
        <v>89</v>
      </c>
      <c r="F1162" t="str" cm="1">
        <f t="array" ref="F1162">IFERROR(_xlfn.XLOOKUP(E1162,MapeoCargos!$A:$A,MapeoCargos!$B:$B,E1162),E1162)</f>
        <v>PRODUCCIÓN / COCINA</v>
      </c>
      <c r="G1162" s="46">
        <v>45870</v>
      </c>
    </row>
    <row r="1163" spans="1:7" x14ac:dyDescent="0.2">
      <c r="A1163" s="28" t="s">
        <v>1967</v>
      </c>
      <c r="B1163" s="35" t="s">
        <v>1747</v>
      </c>
      <c r="C1163" s="35" t="s">
        <v>1748</v>
      </c>
      <c r="D1163" s="35" t="s">
        <v>1968</v>
      </c>
      <c r="E1163" s="35" t="s">
        <v>127</v>
      </c>
      <c r="F1163" t="str" cm="1">
        <f t="array" ref="F1163">IFERROR(_xlfn.XLOOKUP(E1163,MapeoCargos!$A:$A,MapeoCargos!$B:$B,E1163),E1163)</f>
        <v>AZAFATA</v>
      </c>
      <c r="G1163" s="46">
        <v>45870</v>
      </c>
    </row>
    <row r="1164" spans="1:7" x14ac:dyDescent="0.2">
      <c r="A1164" s="28" t="s">
        <v>1969</v>
      </c>
      <c r="B1164" s="35" t="s">
        <v>1747</v>
      </c>
      <c r="C1164" s="35" t="s">
        <v>1748</v>
      </c>
      <c r="D1164" s="35" t="s">
        <v>1970</v>
      </c>
      <c r="E1164" s="35" t="s">
        <v>551</v>
      </c>
      <c r="F1164" t="str" cm="1">
        <f t="array" ref="F1164">IFERROR(_xlfn.XLOOKUP(E1164,MapeoCargos!$A:$A,MapeoCargos!$B:$B,E1164),E1164)</f>
        <v>MOZO</v>
      </c>
      <c r="G1164" s="46">
        <v>45870</v>
      </c>
    </row>
    <row r="1165" spans="1:7" x14ac:dyDescent="0.2">
      <c r="A1165" s="28" t="s">
        <v>1971</v>
      </c>
      <c r="B1165" s="35" t="s">
        <v>1747</v>
      </c>
      <c r="C1165" s="35" t="s">
        <v>1770</v>
      </c>
      <c r="D1165" s="35" t="s">
        <v>1972</v>
      </c>
      <c r="E1165" s="35" t="s">
        <v>551</v>
      </c>
      <c r="F1165" t="str" cm="1">
        <f t="array" ref="F1165">IFERROR(_xlfn.XLOOKUP(E1165,MapeoCargos!$A:$A,MapeoCargos!$B:$B,E1165),E1165)</f>
        <v>MOZO</v>
      </c>
      <c r="G1165" s="46">
        <v>45880</v>
      </c>
    </row>
    <row r="1166" spans="1:7" x14ac:dyDescent="0.2">
      <c r="A1166" s="28" t="s">
        <v>1973</v>
      </c>
      <c r="B1166" s="35" t="s">
        <v>1747</v>
      </c>
      <c r="C1166" s="35" t="s">
        <v>1770</v>
      </c>
      <c r="D1166" s="35" t="s">
        <v>1974</v>
      </c>
      <c r="E1166" s="35" t="s">
        <v>83</v>
      </c>
      <c r="F1166" t="str" cm="1">
        <f t="array" ref="F1166">IFERROR(_xlfn.XLOOKUP(E1166,MapeoCargos!$A:$A,MapeoCargos!$B:$B,E1166),E1166)</f>
        <v>PRODUCCIÓN / COCINA</v>
      </c>
      <c r="G1166" s="46">
        <v>45887</v>
      </c>
    </row>
    <row r="1167" spans="1:7" x14ac:dyDescent="0.2">
      <c r="A1167" s="28" t="s">
        <v>1975</v>
      </c>
      <c r="B1167" s="35" t="s">
        <v>1747</v>
      </c>
      <c r="C1167" s="35" t="s">
        <v>1770</v>
      </c>
      <c r="D1167" s="35" t="s">
        <v>1976</v>
      </c>
      <c r="E1167" s="35" t="s">
        <v>83</v>
      </c>
      <c r="F1167" t="str" cm="1">
        <f t="array" ref="F1167">IFERROR(_xlfn.XLOOKUP(E1167,MapeoCargos!$A:$A,MapeoCargos!$B:$B,E1167),E1167)</f>
        <v>PRODUCCIÓN / COCINA</v>
      </c>
      <c r="G1167" s="46">
        <v>45887</v>
      </c>
    </row>
    <row r="1168" spans="1:7" x14ac:dyDescent="0.2">
      <c r="A1168" s="28" t="s">
        <v>1977</v>
      </c>
      <c r="B1168" s="35" t="s">
        <v>1747</v>
      </c>
      <c r="C1168" s="35" t="s">
        <v>1770</v>
      </c>
      <c r="D1168" s="35" t="s">
        <v>1978</v>
      </c>
      <c r="E1168" s="35" t="s">
        <v>840</v>
      </c>
      <c r="F1168" t="str" cm="1">
        <f t="array" ref="F1168">IFERROR(_xlfn.XLOOKUP(E1168,MapeoCargos!$A:$A,MapeoCargos!$B:$B,E1168),E1168)</f>
        <v>PLANCHERO</v>
      </c>
      <c r="G1168" s="46">
        <v>45887</v>
      </c>
    </row>
    <row r="1169" spans="1:7" x14ac:dyDescent="0.2">
      <c r="A1169" s="28" t="s">
        <v>1979</v>
      </c>
      <c r="B1169" s="35" t="s">
        <v>1747</v>
      </c>
      <c r="C1169" s="35" t="s">
        <v>1774</v>
      </c>
      <c r="D1169" s="35" t="s">
        <v>1980</v>
      </c>
      <c r="E1169" s="35" t="s">
        <v>110</v>
      </c>
      <c r="F1169" t="str" cm="1">
        <f t="array" ref="F1169">IFERROR(_xlfn.XLOOKUP(E1169,MapeoCargos!$A:$A,MapeoCargos!$B:$B,E1169),E1169)</f>
        <v>COUNTER</v>
      </c>
      <c r="G1169" s="46">
        <v>45887</v>
      </c>
    </row>
    <row r="1170" spans="1:7" x14ac:dyDescent="0.2">
      <c r="A1170" s="28" t="s">
        <v>1981</v>
      </c>
      <c r="B1170" s="35" t="s">
        <v>1747</v>
      </c>
      <c r="C1170" s="35" t="s">
        <v>1774</v>
      </c>
      <c r="D1170" s="35" t="s">
        <v>1982</v>
      </c>
      <c r="E1170" s="35" t="s">
        <v>83</v>
      </c>
      <c r="F1170" t="str" cm="1">
        <f t="array" ref="F1170">IFERROR(_xlfn.XLOOKUP(E1170,MapeoCargos!$A:$A,MapeoCargos!$B:$B,E1170),E1170)</f>
        <v>PRODUCCIÓN / COCINA</v>
      </c>
      <c r="G1170" s="46">
        <v>45887</v>
      </c>
    </row>
    <row r="1171" spans="1:7" x14ac:dyDescent="0.2">
      <c r="A1171" s="28" t="s">
        <v>1983</v>
      </c>
      <c r="B1171" s="35" t="s">
        <v>1747</v>
      </c>
      <c r="C1171" s="35" t="s">
        <v>1770</v>
      </c>
      <c r="D1171" s="35" t="s">
        <v>1984</v>
      </c>
      <c r="E1171" s="35" t="s">
        <v>83</v>
      </c>
      <c r="F1171" t="str" cm="1">
        <f t="array" ref="F1171">IFERROR(_xlfn.XLOOKUP(E1171,MapeoCargos!$A:$A,MapeoCargos!$B:$B,E1171),E1171)</f>
        <v>PRODUCCIÓN / COCINA</v>
      </c>
      <c r="G1171" s="46">
        <v>45894</v>
      </c>
    </row>
    <row r="1172" spans="1:7" x14ac:dyDescent="0.2">
      <c r="A1172" s="28" t="s">
        <v>1985</v>
      </c>
      <c r="B1172" s="35" t="s">
        <v>1747</v>
      </c>
      <c r="C1172" s="35" t="s">
        <v>1770</v>
      </c>
      <c r="D1172" s="35" t="s">
        <v>1986</v>
      </c>
      <c r="E1172" s="35" t="s">
        <v>551</v>
      </c>
      <c r="F1172" t="str" cm="1">
        <f t="array" ref="F1172">IFERROR(_xlfn.XLOOKUP(E1172,MapeoCargos!$A:$A,MapeoCargos!$B:$B,E1172),E1172)</f>
        <v>MOZO</v>
      </c>
      <c r="G1172" s="46">
        <v>45901</v>
      </c>
    </row>
    <row r="1173" spans="1:7" x14ac:dyDescent="0.2">
      <c r="A1173" s="28" t="s">
        <v>1987</v>
      </c>
      <c r="B1173" s="35" t="s">
        <v>1747</v>
      </c>
      <c r="C1173" s="35" t="s">
        <v>1877</v>
      </c>
      <c r="D1173" s="35" t="s">
        <v>1988</v>
      </c>
      <c r="E1173" s="35" t="s">
        <v>30</v>
      </c>
      <c r="F1173" t="str" cm="1">
        <f t="array" ref="F1173">IFERROR(_xlfn.XLOOKUP(E1173,MapeoCargos!$A:$A,MapeoCargos!$B:$B,E1173),E1173)</f>
        <v>STAFF ADMINISTRATIVO</v>
      </c>
      <c r="G1173" s="46">
        <v>45901</v>
      </c>
    </row>
    <row r="1174" spans="1:7" x14ac:dyDescent="0.2">
      <c r="A1174" s="28" t="s">
        <v>1989</v>
      </c>
      <c r="B1174" s="35" t="s">
        <v>1747</v>
      </c>
      <c r="C1174" s="35" t="s">
        <v>1748</v>
      </c>
      <c r="D1174" s="35" t="s">
        <v>1990</v>
      </c>
      <c r="E1174" s="35" t="s">
        <v>110</v>
      </c>
      <c r="F1174" t="str" cm="1">
        <f t="array" ref="F1174">IFERROR(_xlfn.XLOOKUP(E1174,MapeoCargos!$A:$A,MapeoCargos!$B:$B,E1174),E1174)</f>
        <v>COUNTER</v>
      </c>
      <c r="G1174" s="46">
        <v>45901</v>
      </c>
    </row>
    <row r="1175" spans="1:7" x14ac:dyDescent="0.2">
      <c r="A1175" s="28" t="s">
        <v>1991</v>
      </c>
      <c r="B1175" s="35" t="s">
        <v>1747</v>
      </c>
      <c r="C1175" s="35" t="s">
        <v>1770</v>
      </c>
      <c r="D1175" s="35" t="s">
        <v>1992</v>
      </c>
      <c r="E1175" s="35" t="s">
        <v>606</v>
      </c>
      <c r="F1175" t="str" cm="1">
        <f t="array" ref="F1175">IFERROR(_xlfn.XLOOKUP(E1175,MapeoCargos!$A:$A,MapeoCargos!$B:$B,E1175),E1175)</f>
        <v>BAR</v>
      </c>
      <c r="G1175" s="46">
        <v>45901</v>
      </c>
    </row>
    <row r="1176" spans="1:7" x14ac:dyDescent="0.2">
      <c r="A1176" s="28" t="s">
        <v>1993</v>
      </c>
      <c r="B1176" s="35" t="s">
        <v>1747</v>
      </c>
      <c r="C1176" s="35" t="s">
        <v>1783</v>
      </c>
      <c r="D1176" s="35" t="s">
        <v>1994</v>
      </c>
      <c r="E1176" s="35" t="s">
        <v>110</v>
      </c>
      <c r="F1176" t="str" cm="1">
        <f t="array" ref="F1176">IFERROR(_xlfn.XLOOKUP(E1176,MapeoCargos!$A:$A,MapeoCargos!$B:$B,E1176),E1176)</f>
        <v>COUNTER</v>
      </c>
      <c r="G1176" s="46">
        <v>45901</v>
      </c>
    </row>
    <row r="1177" spans="1:7" x14ac:dyDescent="0.2">
      <c r="A1177" s="28" t="s">
        <v>1995</v>
      </c>
      <c r="B1177" s="35" t="s">
        <v>1747</v>
      </c>
      <c r="C1177" s="35" t="s">
        <v>1748</v>
      </c>
      <c r="D1177" s="35" t="s">
        <v>1996</v>
      </c>
      <c r="E1177" s="35" t="s">
        <v>89</v>
      </c>
      <c r="F1177" t="str" cm="1">
        <f t="array" ref="F1177">IFERROR(_xlfn.XLOOKUP(E1177,MapeoCargos!$A:$A,MapeoCargos!$B:$B,E1177),E1177)</f>
        <v>PRODUCCIÓN / COCINA</v>
      </c>
      <c r="G1177" s="46">
        <v>45901</v>
      </c>
    </row>
    <row r="1178" spans="1:7" x14ac:dyDescent="0.2">
      <c r="A1178" s="28" t="s">
        <v>1997</v>
      </c>
      <c r="B1178" s="35" t="s">
        <v>1747</v>
      </c>
      <c r="C1178" s="35" t="s">
        <v>1770</v>
      </c>
      <c r="D1178" s="35" t="s">
        <v>1998</v>
      </c>
      <c r="E1178" s="35" t="s">
        <v>1999</v>
      </c>
      <c r="F1178" t="str" cm="1">
        <f t="array" ref="F1178">IFERROR(_xlfn.XLOOKUP(E1178,MapeoCargos!$A:$A,MapeoCargos!$B:$B,E1178),E1178)</f>
        <v>ASISTENTE DE ALMACEN</v>
      </c>
      <c r="G1178" s="46">
        <v>45901</v>
      </c>
    </row>
    <row r="1179" spans="1:7" x14ac:dyDescent="0.2">
      <c r="A1179" s="28" t="s">
        <v>2000</v>
      </c>
      <c r="B1179" s="35" t="s">
        <v>1747</v>
      </c>
      <c r="C1179" s="35" t="s">
        <v>1783</v>
      </c>
      <c r="D1179" s="35" t="s">
        <v>2001</v>
      </c>
      <c r="E1179" s="35" t="s">
        <v>127</v>
      </c>
      <c r="F1179" t="str" cm="1">
        <f t="array" ref="F1179">IFERROR(_xlfn.XLOOKUP(E1179,MapeoCargos!$A:$A,MapeoCargos!$B:$B,E1179),E1179)</f>
        <v>AZAFATA</v>
      </c>
      <c r="G1179" s="46">
        <v>45901</v>
      </c>
    </row>
    <row r="1180" spans="1:7" x14ac:dyDescent="0.2">
      <c r="A1180" s="28" t="s">
        <v>2002</v>
      </c>
      <c r="B1180" s="35" t="s">
        <v>1747</v>
      </c>
      <c r="C1180" s="35" t="s">
        <v>1783</v>
      </c>
      <c r="D1180" s="35" t="s">
        <v>2003</v>
      </c>
      <c r="E1180" s="35" t="s">
        <v>89</v>
      </c>
      <c r="F1180" t="str" cm="1">
        <f t="array" ref="F1180">IFERROR(_xlfn.XLOOKUP(E1180,MapeoCargos!$A:$A,MapeoCargos!$B:$B,E1180),E1180)</f>
        <v>PRODUCCIÓN / COCINA</v>
      </c>
      <c r="G1180" s="46">
        <v>45901</v>
      </c>
    </row>
    <row r="1181" spans="1:7" x14ac:dyDescent="0.2">
      <c r="A1181" s="28" t="s">
        <v>2004</v>
      </c>
      <c r="B1181" s="35" t="s">
        <v>1747</v>
      </c>
      <c r="C1181" s="35" t="s">
        <v>1759</v>
      </c>
      <c r="D1181" s="35" t="s">
        <v>2005</v>
      </c>
      <c r="E1181" s="35" t="s">
        <v>30</v>
      </c>
      <c r="F1181" t="str" cm="1">
        <f t="array" ref="F1181">IFERROR(_xlfn.XLOOKUP(E1181,MapeoCargos!$A:$A,MapeoCargos!$B:$B,E1181),E1181)</f>
        <v>STAFF ADMINISTRATIVO</v>
      </c>
      <c r="G1181" s="46">
        <v>45908</v>
      </c>
    </row>
    <row r="1182" spans="1:7" x14ac:dyDescent="0.2">
      <c r="A1182" s="28" t="s">
        <v>2006</v>
      </c>
      <c r="B1182" s="35" t="s">
        <v>1747</v>
      </c>
      <c r="C1182" s="35" t="s">
        <v>1770</v>
      </c>
      <c r="D1182" s="35" t="s">
        <v>2007</v>
      </c>
      <c r="E1182" s="35" t="s">
        <v>888</v>
      </c>
      <c r="F1182" t="str" cm="1">
        <f t="array" ref="F1182">IFERROR(_xlfn.XLOOKUP(E1182,MapeoCargos!$A:$A,MapeoCargos!$B:$B,E1182),E1182)</f>
        <v>AYUDANTE DE PASTELERIA</v>
      </c>
      <c r="G1182" s="46">
        <v>45908</v>
      </c>
    </row>
    <row r="1183" spans="1:7" x14ac:dyDescent="0.2">
      <c r="A1183" s="28" t="s">
        <v>3928</v>
      </c>
      <c r="B1183" s="35" t="s">
        <v>1747</v>
      </c>
      <c r="C1183" s="35" t="s">
        <v>1753</v>
      </c>
      <c r="D1183" s="35" t="s">
        <v>4092</v>
      </c>
      <c r="E1183" s="35" t="s">
        <v>151</v>
      </c>
      <c r="F1183" t="str" cm="1">
        <f t="array" ref="F1183">IFERROR(_xlfn.XLOOKUP(E1183,MapeoCargos!$A:$A,MapeoCargos!$B:$B,E1183),E1183)</f>
        <v xml:space="preserve">CAJA </v>
      </c>
      <c r="G1183" s="46">
        <v>45905</v>
      </c>
    </row>
    <row r="1184" spans="1:7" x14ac:dyDescent="0.2">
      <c r="A1184" s="28" t="s">
        <v>3929</v>
      </c>
      <c r="B1184" s="35" t="s">
        <v>1747</v>
      </c>
      <c r="C1184" s="35" t="s">
        <v>1759</v>
      </c>
      <c r="D1184" s="35" t="s">
        <v>4093</v>
      </c>
      <c r="E1184" s="35" t="s">
        <v>4094</v>
      </c>
      <c r="F1184" t="str" cm="1">
        <f t="array" ref="F1184">IFERROR(_xlfn.XLOOKUP(E1184,MapeoCargos!$A:$A,MapeoCargos!$B:$B,E1184),E1184)</f>
        <v>CHOFER II</v>
      </c>
      <c r="G1184" s="46">
        <v>45908</v>
      </c>
    </row>
    <row r="1185" spans="1:7" x14ac:dyDescent="0.2">
      <c r="A1185" s="28" t="s">
        <v>3930</v>
      </c>
      <c r="B1185" s="35" t="s">
        <v>1747</v>
      </c>
      <c r="C1185" s="35" t="s">
        <v>1748</v>
      </c>
      <c r="D1185" s="35" t="s">
        <v>4095</v>
      </c>
      <c r="E1185" s="35" t="s">
        <v>1665</v>
      </c>
      <c r="F1185" t="str" cm="1">
        <f t="array" ref="F1185">IFERROR(_xlfn.XLOOKUP(E1185,MapeoCargos!$A:$A,MapeoCargos!$B:$B,E1185),E1185)</f>
        <v>COUNTER</v>
      </c>
      <c r="G1185" s="46">
        <v>45915</v>
      </c>
    </row>
    <row r="1186" spans="1:7" x14ac:dyDescent="0.2">
      <c r="A1186" s="28" t="s">
        <v>3931</v>
      </c>
      <c r="B1186" s="35" t="s">
        <v>1747</v>
      </c>
      <c r="C1186" s="35" t="s">
        <v>1753</v>
      </c>
      <c r="D1186" s="35" t="s">
        <v>4096</v>
      </c>
      <c r="E1186" s="35" t="s">
        <v>606</v>
      </c>
      <c r="F1186" t="str" cm="1">
        <f t="array" ref="F1186">IFERROR(_xlfn.XLOOKUP(E1186,MapeoCargos!$A:$A,MapeoCargos!$B:$B,E1186),E1186)</f>
        <v>BAR</v>
      </c>
      <c r="G1186" s="46">
        <v>45915</v>
      </c>
    </row>
    <row r="1187" spans="1:7" x14ac:dyDescent="0.2">
      <c r="A1187" s="28" t="s">
        <v>3932</v>
      </c>
      <c r="B1187" s="35" t="s">
        <v>1747</v>
      </c>
      <c r="C1187" s="35" t="s">
        <v>1783</v>
      </c>
      <c r="D1187" s="35" t="s">
        <v>4097</v>
      </c>
      <c r="E1187" s="35" t="s">
        <v>29</v>
      </c>
      <c r="F1187" t="str" cm="1">
        <f t="array" ref="F1187">IFERROR(_xlfn.XLOOKUP(E1187,MapeoCargos!$A:$A,MapeoCargos!$B:$B,E1187),E1187)</f>
        <v>MOZO</v>
      </c>
      <c r="G1187" s="46">
        <v>45919</v>
      </c>
    </row>
    <row r="1188" spans="1:7" x14ac:dyDescent="0.2">
      <c r="A1188" s="28" t="s">
        <v>3933</v>
      </c>
      <c r="B1188" s="35" t="s">
        <v>1747</v>
      </c>
      <c r="C1188" s="35" t="s">
        <v>1783</v>
      </c>
      <c r="D1188" s="35" t="s">
        <v>4098</v>
      </c>
      <c r="E1188" s="35" t="s">
        <v>83</v>
      </c>
      <c r="F1188" t="str" cm="1">
        <f t="array" ref="F1188">IFERROR(_xlfn.XLOOKUP(E1188,MapeoCargos!$A:$A,MapeoCargos!$B:$B,E1188),E1188)</f>
        <v>PRODUCCIÓN / COCINA</v>
      </c>
      <c r="G1188" s="46">
        <v>45919</v>
      </c>
    </row>
    <row r="1189" spans="1:7" x14ac:dyDescent="0.2">
      <c r="A1189" s="28" t="s">
        <v>3934</v>
      </c>
      <c r="B1189" s="35" t="s">
        <v>1747</v>
      </c>
      <c r="C1189" s="35" t="s">
        <v>1753</v>
      </c>
      <c r="D1189" s="35" t="s">
        <v>4099</v>
      </c>
      <c r="E1189" s="35" t="s">
        <v>200</v>
      </c>
      <c r="F1189" t="str" cm="1">
        <f t="array" ref="F1189">IFERROR(_xlfn.XLOOKUP(E1189,MapeoCargos!$A:$A,MapeoCargos!$B:$B,E1189),E1189)</f>
        <v>SEGURIDAD</v>
      </c>
      <c r="G1189" s="46">
        <v>45923</v>
      </c>
    </row>
    <row r="1190" spans="1:7" x14ac:dyDescent="0.2">
      <c r="A1190" s="28" t="s">
        <v>1855</v>
      </c>
      <c r="B1190" s="35" t="s">
        <v>1747</v>
      </c>
      <c r="C1190" s="35" t="s">
        <v>1770</v>
      </c>
      <c r="D1190" s="35" t="s">
        <v>1856</v>
      </c>
      <c r="E1190" s="35" t="s">
        <v>1270</v>
      </c>
      <c r="F1190" t="str" cm="1">
        <f t="array" ref="F1190">IFERROR(_xlfn.XLOOKUP(E1190,MapeoCargos!$A:$A,MapeoCargos!$B:$B,E1190),E1190)</f>
        <v>VAJILLERO (A)</v>
      </c>
      <c r="G1190" s="46">
        <v>45931</v>
      </c>
    </row>
    <row r="1191" spans="1:7" x14ac:dyDescent="0.2">
      <c r="A1191" s="28" t="s">
        <v>1857</v>
      </c>
      <c r="B1191" s="35" t="s">
        <v>1747</v>
      </c>
      <c r="C1191" s="35" t="s">
        <v>1748</v>
      </c>
      <c r="D1191" s="35" t="s">
        <v>1858</v>
      </c>
      <c r="E1191" s="35" t="s">
        <v>648</v>
      </c>
      <c r="F1191" t="str" cm="1">
        <f t="array" ref="F1191">IFERROR(_xlfn.XLOOKUP(E1191,MapeoCargos!$A:$A,MapeoCargos!$B:$B,E1191),E1191)</f>
        <v>AZAFATA</v>
      </c>
      <c r="G1191" s="46">
        <v>45931</v>
      </c>
    </row>
    <row r="1192" spans="1:7" x14ac:dyDescent="0.2">
      <c r="A1192" s="28" t="s">
        <v>3935</v>
      </c>
      <c r="B1192" s="35" t="s">
        <v>1747</v>
      </c>
      <c r="C1192" s="35" t="s">
        <v>1783</v>
      </c>
      <c r="D1192" s="35" t="s">
        <v>4100</v>
      </c>
      <c r="E1192" s="35" t="s">
        <v>89</v>
      </c>
      <c r="F1192" t="str" cm="1">
        <f t="array" ref="F1192">IFERROR(_xlfn.XLOOKUP(E1192,MapeoCargos!$A:$A,MapeoCargos!$B:$B,E1192),E1192)</f>
        <v>PRODUCCIÓN / COCINA</v>
      </c>
      <c r="G1192" s="46">
        <v>45931</v>
      </c>
    </row>
    <row r="1193" spans="1:7" x14ac:dyDescent="0.2">
      <c r="A1193" s="28" t="s">
        <v>3936</v>
      </c>
      <c r="B1193" s="35" t="s">
        <v>1747</v>
      </c>
      <c r="C1193" s="35" t="s">
        <v>1770</v>
      </c>
      <c r="D1193" s="35" t="s">
        <v>4101</v>
      </c>
      <c r="E1193" s="35" t="s">
        <v>4102</v>
      </c>
      <c r="F1193" t="str" cm="1">
        <f t="array" ref="F1193">IFERROR(_xlfn.XLOOKUP(E1193,MapeoCargos!$A:$A,MapeoCargos!$B:$B,E1193),E1193)</f>
        <v>VAJILLERO (A) P/T</v>
      </c>
      <c r="G1193" s="46">
        <v>45931</v>
      </c>
    </row>
    <row r="1194" spans="1:7" x14ac:dyDescent="0.2">
      <c r="A1194" s="28" t="s">
        <v>3937</v>
      </c>
      <c r="B1194" s="35" t="s">
        <v>1747</v>
      </c>
      <c r="C1194" s="35" t="s">
        <v>1759</v>
      </c>
      <c r="D1194" s="35" t="s">
        <v>4103</v>
      </c>
      <c r="E1194" s="35" t="s">
        <v>1761</v>
      </c>
      <c r="F1194" t="str" cm="1">
        <f t="array" ref="F1194">IFERROR(_xlfn.XLOOKUP(E1194,MapeoCargos!$A:$A,MapeoCargos!$B:$B,E1194),E1194)</f>
        <v>DISEÑADOR(A)</v>
      </c>
      <c r="G1194" s="46">
        <v>45931</v>
      </c>
    </row>
    <row r="1195" spans="1:7" x14ac:dyDescent="0.2">
      <c r="A1195" s="28" t="s">
        <v>3938</v>
      </c>
      <c r="B1195" s="35" t="s">
        <v>1747</v>
      </c>
      <c r="C1195" s="35" t="s">
        <v>1770</v>
      </c>
      <c r="D1195" s="35" t="s">
        <v>4104</v>
      </c>
      <c r="E1195" s="35" t="s">
        <v>715</v>
      </c>
      <c r="F1195" t="str" cm="1">
        <f t="array" ref="F1195">IFERROR(_xlfn.XLOOKUP(E1195,MapeoCargos!$A:$A,MapeoCargos!$B:$B,E1195),E1195)</f>
        <v>PASTELERO(A)</v>
      </c>
      <c r="G1195" s="46">
        <v>45936</v>
      </c>
    </row>
    <row r="1196" spans="1:7" x14ac:dyDescent="0.2">
      <c r="A1196" s="28" t="s">
        <v>3939</v>
      </c>
      <c r="B1196" s="35" t="s">
        <v>1747</v>
      </c>
      <c r="C1196" s="35" t="s">
        <v>1783</v>
      </c>
      <c r="D1196" s="35" t="s">
        <v>4105</v>
      </c>
      <c r="E1196" s="35" t="s">
        <v>110</v>
      </c>
      <c r="F1196" t="str" cm="1">
        <f t="array" ref="F1196">IFERROR(_xlfn.XLOOKUP(E1196,MapeoCargos!$A:$A,MapeoCargos!$B:$B,E1196),E1196)</f>
        <v>COUNTER</v>
      </c>
      <c r="G1196" s="46">
        <v>45936</v>
      </c>
    </row>
    <row r="1197" spans="1:7" x14ac:dyDescent="0.2">
      <c r="A1197" s="28" t="s">
        <v>4282</v>
      </c>
      <c r="B1197" s="35" t="s">
        <v>1747</v>
      </c>
      <c r="C1197" s="35" t="s">
        <v>1753</v>
      </c>
      <c r="D1197" s="35" t="s">
        <v>4398</v>
      </c>
      <c r="E1197" s="35" t="s">
        <v>648</v>
      </c>
      <c r="F1197" t="str" cm="1">
        <f t="array" ref="F1197">IFERROR(_xlfn.XLOOKUP(E1197,MapeoCargos!$A:$A,MapeoCargos!$B:$B,E1197),E1197)</f>
        <v>AZAFATA</v>
      </c>
      <c r="G1197" s="46">
        <v>45940</v>
      </c>
    </row>
    <row r="1198" spans="1:7" x14ac:dyDescent="0.2">
      <c r="A1198" s="28" t="s">
        <v>4283</v>
      </c>
      <c r="B1198" s="35" t="s">
        <v>1747</v>
      </c>
      <c r="C1198" s="35" t="s">
        <v>1753</v>
      </c>
      <c r="D1198" s="35" t="s">
        <v>4399</v>
      </c>
      <c r="E1198" s="35" t="s">
        <v>1757</v>
      </c>
      <c r="F1198" t="str" cm="1">
        <f t="array" ref="F1198">IFERROR(_xlfn.XLOOKUP(E1198,MapeoCargos!$A:$A,MapeoCargos!$B:$B,E1198),E1198)</f>
        <v>DJ</v>
      </c>
      <c r="G1198" s="46">
        <v>45943</v>
      </c>
    </row>
    <row r="1199" spans="1:7" x14ac:dyDescent="0.2">
      <c r="A1199" s="28" t="s">
        <v>4284</v>
      </c>
      <c r="B1199" s="35" t="s">
        <v>1747</v>
      </c>
      <c r="C1199" s="35" t="s">
        <v>1783</v>
      </c>
      <c r="D1199" s="35" t="s">
        <v>4400</v>
      </c>
      <c r="E1199" s="35" t="s">
        <v>83</v>
      </c>
      <c r="F1199" t="str" cm="1">
        <f t="array" ref="F1199">IFERROR(_xlfn.XLOOKUP(E1199,MapeoCargos!$A:$A,MapeoCargos!$B:$B,E1199),E1199)</f>
        <v>PRODUCCIÓN / COCINA</v>
      </c>
      <c r="G1199" s="46">
        <v>45943</v>
      </c>
    </row>
    <row r="1200" spans="1:7" x14ac:dyDescent="0.2">
      <c r="A1200" s="28" t="s">
        <v>4285</v>
      </c>
      <c r="B1200" s="35" t="s">
        <v>1747</v>
      </c>
      <c r="C1200" s="35" t="s">
        <v>1783</v>
      </c>
      <c r="D1200" s="35" t="s">
        <v>4401</v>
      </c>
      <c r="E1200" s="35" t="s">
        <v>606</v>
      </c>
      <c r="F1200" t="str" cm="1">
        <f t="array" ref="F1200">IFERROR(_xlfn.XLOOKUP(E1200,MapeoCargos!$A:$A,MapeoCargos!$B:$B,E1200),E1200)</f>
        <v>BAR</v>
      </c>
      <c r="G1200" s="46">
        <v>45943</v>
      </c>
    </row>
    <row r="1201" spans="1:7" x14ac:dyDescent="0.2">
      <c r="A1201" s="28" t="s">
        <v>4286</v>
      </c>
      <c r="B1201" s="35" t="s">
        <v>1747</v>
      </c>
      <c r="C1201" s="35" t="s">
        <v>1774</v>
      </c>
      <c r="D1201" s="35" t="s">
        <v>4402</v>
      </c>
      <c r="E1201" s="35" t="s">
        <v>606</v>
      </c>
      <c r="F1201" t="str" cm="1">
        <f t="array" ref="F1201">IFERROR(_xlfn.XLOOKUP(E1201,MapeoCargos!$A:$A,MapeoCargos!$B:$B,E1201),E1201)</f>
        <v>BAR</v>
      </c>
      <c r="G1201" s="46">
        <v>45943</v>
      </c>
    </row>
    <row r="1202" spans="1:7" x14ac:dyDescent="0.2">
      <c r="A1202" s="28" t="s">
        <v>4287</v>
      </c>
      <c r="B1202" s="35" t="s">
        <v>1747</v>
      </c>
      <c r="C1202" s="35" t="s">
        <v>1753</v>
      </c>
      <c r="D1202" s="35" t="s">
        <v>4403</v>
      </c>
      <c r="E1202" s="35" t="s">
        <v>29</v>
      </c>
      <c r="F1202" t="str" cm="1">
        <f t="array" ref="F1202">IFERROR(_xlfn.XLOOKUP(E1202,MapeoCargos!$A:$A,MapeoCargos!$B:$B,E1202),E1202)</f>
        <v>MOZO</v>
      </c>
      <c r="G1202" s="46">
        <v>45944</v>
      </c>
    </row>
    <row r="1203" spans="1:7" x14ac:dyDescent="0.2">
      <c r="A1203" s="29" t="s">
        <v>4288</v>
      </c>
      <c r="B1203" s="35" t="s">
        <v>1747</v>
      </c>
      <c r="C1203" s="35" t="s">
        <v>1759</v>
      </c>
      <c r="D1203" s="35" t="s">
        <v>4404</v>
      </c>
      <c r="E1203" s="35" t="s">
        <v>4405</v>
      </c>
      <c r="F1203" t="str" cm="1">
        <f t="array" ref="F1203">IFERROR(_xlfn.XLOOKUP(E1203,MapeoCargos!$A:$A,MapeoCargos!$B:$B,E1203),E1203)</f>
        <v>CHEF</v>
      </c>
      <c r="G1203" s="46">
        <v>45945</v>
      </c>
    </row>
    <row r="1204" spans="1:7" x14ac:dyDescent="0.2">
      <c r="A1204" s="28" t="s">
        <v>4289</v>
      </c>
      <c r="B1204" s="35" t="s">
        <v>1747</v>
      </c>
      <c r="C1204" s="35" t="s">
        <v>1783</v>
      </c>
      <c r="D1204" s="35" t="s">
        <v>4406</v>
      </c>
      <c r="E1204" s="35" t="s">
        <v>29</v>
      </c>
      <c r="F1204" t="str" cm="1">
        <f t="array" ref="F1204">IFERROR(_xlfn.XLOOKUP(E1204,MapeoCargos!$A:$A,MapeoCargos!$B:$B,E1204),E1204)</f>
        <v>MOZO</v>
      </c>
      <c r="G1204" s="46">
        <v>45950</v>
      </c>
    </row>
    <row r="1205" spans="1:7" x14ac:dyDescent="0.2">
      <c r="A1205" s="28" t="s">
        <v>4290</v>
      </c>
      <c r="B1205" s="35" t="s">
        <v>1747</v>
      </c>
      <c r="C1205" s="35" t="s">
        <v>1774</v>
      </c>
      <c r="D1205" s="35" t="s">
        <v>4407</v>
      </c>
      <c r="E1205" s="35" t="s">
        <v>83</v>
      </c>
      <c r="F1205" t="str" cm="1">
        <f t="array" ref="F1205">IFERROR(_xlfn.XLOOKUP(E1205,MapeoCargos!$A:$A,MapeoCargos!$B:$B,E1205),E1205)</f>
        <v>PRODUCCIÓN / COCINA</v>
      </c>
      <c r="G1205" s="46">
        <v>45950</v>
      </c>
    </row>
    <row r="1206" spans="1:7" x14ac:dyDescent="0.2">
      <c r="A1206" s="28" t="s">
        <v>4291</v>
      </c>
      <c r="B1206" s="35" t="s">
        <v>1747</v>
      </c>
      <c r="C1206" s="35" t="s">
        <v>1877</v>
      </c>
      <c r="D1206" s="35" t="s">
        <v>4408</v>
      </c>
      <c r="E1206" s="35" t="s">
        <v>4038</v>
      </c>
      <c r="F1206" t="str" cm="1">
        <f t="array" ref="F1206">IFERROR(_xlfn.XLOOKUP(E1206,MapeoCargos!$A:$A,MapeoCargos!$B:$B,E1206),E1206)</f>
        <v>COCINERO (A)</v>
      </c>
      <c r="G1206" s="46">
        <v>45950</v>
      </c>
    </row>
    <row r="1207" spans="1:7" x14ac:dyDescent="0.2">
      <c r="A1207" s="29" t="s">
        <v>4292</v>
      </c>
      <c r="B1207" s="35" t="s">
        <v>1747</v>
      </c>
      <c r="C1207" s="35" t="s">
        <v>1770</v>
      </c>
      <c r="D1207" s="35" t="s">
        <v>4409</v>
      </c>
      <c r="E1207" s="35" t="s">
        <v>606</v>
      </c>
      <c r="F1207" t="str" cm="1">
        <f t="array" ref="F1207">IFERROR(_xlfn.XLOOKUP(E1207,MapeoCargos!$A:$A,MapeoCargos!$B:$B,E1207),E1207)</f>
        <v>BAR</v>
      </c>
      <c r="G1207" s="46">
        <v>45953</v>
      </c>
    </row>
    <row r="1208" spans="1:7" x14ac:dyDescent="0.2">
      <c r="A1208" s="29" t="s">
        <v>4293</v>
      </c>
      <c r="B1208" s="35" t="s">
        <v>1747</v>
      </c>
      <c r="C1208" s="35" t="s">
        <v>1770</v>
      </c>
      <c r="D1208" s="35" t="s">
        <v>4410</v>
      </c>
      <c r="E1208" s="35" t="s">
        <v>606</v>
      </c>
      <c r="F1208" t="str" cm="1">
        <f t="array" ref="F1208">IFERROR(_xlfn.XLOOKUP(E1208,MapeoCargos!$A:$A,MapeoCargos!$B:$B,E1208),E1208)</f>
        <v>BAR</v>
      </c>
      <c r="G1208" s="46">
        <v>45962</v>
      </c>
    </row>
    <row r="1209" spans="1:7" x14ac:dyDescent="0.2">
      <c r="A1209" s="29" t="s">
        <v>4537</v>
      </c>
      <c r="B1209" s="35" t="s">
        <v>1747</v>
      </c>
      <c r="C1209" s="35" t="s">
        <v>1753</v>
      </c>
      <c r="D1209" s="35" t="s">
        <v>4639</v>
      </c>
      <c r="E1209" s="35" t="s">
        <v>127</v>
      </c>
      <c r="F1209" t="str" cm="1">
        <f t="array" ref="F1209">IFERROR(_xlfn.XLOOKUP(E1209,MapeoCargos!$A:$A,MapeoCargos!$B:$B,E1209),E1209)</f>
        <v>AZAFATA</v>
      </c>
      <c r="G1209" s="46">
        <v>45968</v>
      </c>
    </row>
    <row r="1210" spans="1:7" x14ac:dyDescent="0.2">
      <c r="A1210" s="29" t="s">
        <v>4538</v>
      </c>
      <c r="B1210" s="35" t="s">
        <v>1747</v>
      </c>
      <c r="C1210" s="35" t="s">
        <v>1748</v>
      </c>
      <c r="D1210" s="35" t="s">
        <v>4640</v>
      </c>
      <c r="E1210" s="35" t="s">
        <v>83</v>
      </c>
      <c r="F1210" t="str" cm="1">
        <f t="array" ref="F1210">IFERROR(_xlfn.XLOOKUP(E1210,MapeoCargos!$A:$A,MapeoCargos!$B:$B,E1210),E1210)</f>
        <v>PRODUCCIÓN / COCINA</v>
      </c>
      <c r="G1210" s="46">
        <v>45978</v>
      </c>
    </row>
    <row r="1211" spans="1:7" x14ac:dyDescent="0.2">
      <c r="A1211" s="29" t="s">
        <v>4539</v>
      </c>
      <c r="B1211" s="35" t="s">
        <v>1747</v>
      </c>
      <c r="C1211" s="35" t="s">
        <v>1753</v>
      </c>
      <c r="D1211" s="35" t="s">
        <v>4641</v>
      </c>
      <c r="E1211" s="35" t="s">
        <v>482</v>
      </c>
      <c r="F1211" t="str" cm="1">
        <f t="array" ref="F1211">IFERROR(_xlfn.XLOOKUP(E1211,MapeoCargos!$A:$A,MapeoCargos!$B:$B,E1211),E1211)</f>
        <v>PRODUCCIÓN / COCINA</v>
      </c>
      <c r="G1211" s="46">
        <v>45981</v>
      </c>
    </row>
    <row r="1212" spans="1:7" x14ac:dyDescent="0.2">
      <c r="A1212" s="29" t="s">
        <v>4540</v>
      </c>
      <c r="B1212" s="35" t="s">
        <v>1747</v>
      </c>
      <c r="C1212" s="35" t="s">
        <v>1753</v>
      </c>
      <c r="D1212" s="35" t="s">
        <v>4642</v>
      </c>
      <c r="E1212" s="35" t="s">
        <v>648</v>
      </c>
      <c r="F1212" t="str" cm="1">
        <f t="array" ref="F1212">IFERROR(_xlfn.XLOOKUP(E1212,MapeoCargos!$A:$A,MapeoCargos!$B:$B,E1212),E1212)</f>
        <v>AZAFATA</v>
      </c>
      <c r="G1212" s="46">
        <v>45982</v>
      </c>
    </row>
    <row r="1213" spans="1:7" x14ac:dyDescent="0.2">
      <c r="A1213" s="29" t="s">
        <v>4541</v>
      </c>
      <c r="B1213" s="35" t="s">
        <v>1747</v>
      </c>
      <c r="C1213" s="35" t="s">
        <v>1783</v>
      </c>
      <c r="D1213" s="35" t="s">
        <v>4643</v>
      </c>
      <c r="E1213" s="35" t="s">
        <v>127</v>
      </c>
      <c r="F1213" t="str" cm="1">
        <f t="array" ref="F1213">IFERROR(_xlfn.XLOOKUP(E1213,MapeoCargos!$A:$A,MapeoCargos!$B:$B,E1213),E1213)</f>
        <v>AZAFATA</v>
      </c>
      <c r="G1213" s="46">
        <v>45985</v>
      </c>
    </row>
    <row r="1214" spans="1:7" x14ac:dyDescent="0.2">
      <c r="A1214" s="29" t="s">
        <v>4542</v>
      </c>
      <c r="B1214" s="35" t="s">
        <v>1747</v>
      </c>
      <c r="C1214" s="35" t="s">
        <v>1748</v>
      </c>
      <c r="D1214" s="35" t="s">
        <v>4644</v>
      </c>
      <c r="E1214" s="35" t="s">
        <v>648</v>
      </c>
      <c r="F1214" t="str" cm="1">
        <f t="array" ref="F1214">IFERROR(_xlfn.XLOOKUP(E1214,MapeoCargos!$A:$A,MapeoCargos!$B:$B,E1214),E1214)</f>
        <v>AZAFATA</v>
      </c>
      <c r="G1214" s="46">
        <v>45985</v>
      </c>
    </row>
    <row r="1215" spans="1:7" x14ac:dyDescent="0.2">
      <c r="A1215" s="29" t="s">
        <v>4543</v>
      </c>
      <c r="B1215" s="35" t="s">
        <v>1747</v>
      </c>
      <c r="C1215" s="35" t="s">
        <v>1770</v>
      </c>
      <c r="D1215" s="35" t="s">
        <v>4645</v>
      </c>
      <c r="E1215" s="35" t="s">
        <v>29</v>
      </c>
      <c r="F1215" t="str" cm="1">
        <f t="array" ref="F1215">IFERROR(_xlfn.XLOOKUP(E1215,MapeoCargos!$A:$A,MapeoCargos!$B:$B,E1215),E1215)</f>
        <v>MOZO</v>
      </c>
      <c r="G1215" s="46">
        <v>45985</v>
      </c>
    </row>
    <row r="1216" spans="1:7" x14ac:dyDescent="0.2">
      <c r="A1216" s="29" t="s">
        <v>4544</v>
      </c>
      <c r="B1216" s="35" t="s">
        <v>1747</v>
      </c>
      <c r="C1216" s="35" t="s">
        <v>1753</v>
      </c>
      <c r="D1216" s="35" t="s">
        <v>4646</v>
      </c>
      <c r="E1216" s="35" t="s">
        <v>606</v>
      </c>
      <c r="F1216" t="str" cm="1">
        <f t="array" ref="F1216">IFERROR(_xlfn.XLOOKUP(E1216,MapeoCargos!$A:$A,MapeoCargos!$B:$B,E1216),E1216)</f>
        <v>BAR</v>
      </c>
      <c r="G1216" s="46">
        <v>45986</v>
      </c>
    </row>
    <row r="1217" spans="1:7" x14ac:dyDescent="0.2">
      <c r="A1217" s="29" t="s">
        <v>1893</v>
      </c>
      <c r="B1217" s="35" t="s">
        <v>1747</v>
      </c>
      <c r="C1217" s="35" t="s">
        <v>1774</v>
      </c>
      <c r="D1217" s="35" t="s">
        <v>1894</v>
      </c>
      <c r="E1217" s="35" t="s">
        <v>648</v>
      </c>
      <c r="F1217" t="str" cm="1">
        <f t="array" ref="F1217">IFERROR(_xlfn.XLOOKUP(E1217,MapeoCargos!$A:$A,MapeoCargos!$B:$B,E1217),E1217)</f>
        <v>AZAFATA</v>
      </c>
      <c r="G1217" s="46">
        <v>45992</v>
      </c>
    </row>
    <row r="1218" spans="1:7" x14ac:dyDescent="0.2">
      <c r="A1218" s="29" t="s">
        <v>4545</v>
      </c>
      <c r="B1218" s="35" t="s">
        <v>1013</v>
      </c>
      <c r="C1218" s="35" t="s">
        <v>1014</v>
      </c>
      <c r="D1218" s="35" t="s">
        <v>4647</v>
      </c>
      <c r="E1218" s="35" t="s">
        <v>4648</v>
      </c>
      <c r="F1218" t="str" cm="1">
        <f t="array" ref="F1218">IFERROR(_xlfn.XLOOKUP(E1218,MapeoCargos!$A:$A,MapeoCargos!$B:$B,E1218),E1218)</f>
        <v>SECRETARIA</v>
      </c>
      <c r="G1218" s="46">
        <v>39722</v>
      </c>
    </row>
    <row r="1219" spans="1:7" x14ac:dyDescent="0.2">
      <c r="A1219" s="29" t="s">
        <v>4546</v>
      </c>
      <c r="B1219" s="35" t="s">
        <v>1013</v>
      </c>
      <c r="C1219" s="35" t="s">
        <v>1014</v>
      </c>
      <c r="D1219" s="35" t="s">
        <v>4649</v>
      </c>
      <c r="E1219" s="35" t="s">
        <v>1015</v>
      </c>
      <c r="F1219" t="str" cm="1">
        <f t="array" ref="F1219">IFERROR(_xlfn.XLOOKUP(E1219,MapeoCargos!$A:$A,MapeoCargos!$B:$B,E1219),E1219)</f>
        <v>PRODUCCIÓN / COCINA</v>
      </c>
      <c r="G1219" s="46">
        <v>40422</v>
      </c>
    </row>
    <row r="1220" spans="1:7" x14ac:dyDescent="0.2">
      <c r="A1220" s="29" t="s">
        <v>4547</v>
      </c>
      <c r="B1220" s="35" t="s">
        <v>1013</v>
      </c>
      <c r="C1220" s="35" t="s">
        <v>1016</v>
      </c>
      <c r="D1220" s="35" t="s">
        <v>4650</v>
      </c>
      <c r="E1220" s="35" t="s">
        <v>99</v>
      </c>
      <c r="F1220" t="str" cm="1">
        <f t="array" ref="F1220">IFERROR(_xlfn.XLOOKUP(E1220,MapeoCargos!$A:$A,MapeoCargos!$B:$B,E1220),E1220)</f>
        <v>CHAUFERO</v>
      </c>
      <c r="G1220" s="46">
        <v>40603</v>
      </c>
    </row>
    <row r="1221" spans="1:7" x14ac:dyDescent="0.2">
      <c r="A1221" s="28" t="s">
        <v>4548</v>
      </c>
      <c r="B1221" s="35" t="s">
        <v>1013</v>
      </c>
      <c r="C1221" s="35" t="s">
        <v>1014</v>
      </c>
      <c r="D1221" s="35" t="s">
        <v>4651</v>
      </c>
      <c r="E1221" s="35" t="s">
        <v>180</v>
      </c>
      <c r="F1221" t="str" cm="1">
        <f t="array" ref="F1221">IFERROR(_xlfn.XLOOKUP(E1221,MapeoCargos!$A:$A,MapeoCargos!$B:$B,E1221),E1221)</f>
        <v>MANTENIMIENTO</v>
      </c>
      <c r="G1221" s="46">
        <v>40787</v>
      </c>
    </row>
    <row r="1222" spans="1:7" x14ac:dyDescent="0.2">
      <c r="A1222" s="28" t="s">
        <v>4549</v>
      </c>
      <c r="B1222" s="35" t="s">
        <v>1013</v>
      </c>
      <c r="C1222" s="35" t="s">
        <v>1014</v>
      </c>
      <c r="D1222" s="35" t="s">
        <v>4652</v>
      </c>
      <c r="E1222" s="35" t="s">
        <v>1017</v>
      </c>
      <c r="F1222" t="str" cm="1">
        <f t="array" ref="F1222">IFERROR(_xlfn.XLOOKUP(E1222,MapeoCargos!$A:$A,MapeoCargos!$B:$B,E1222),E1222)</f>
        <v>SUPERVISOR(A)</v>
      </c>
      <c r="G1222" s="46">
        <v>40940</v>
      </c>
    </row>
    <row r="1223" spans="1:7" x14ac:dyDescent="0.2">
      <c r="A1223" s="28" t="s">
        <v>4550</v>
      </c>
      <c r="B1223" s="35" t="s">
        <v>1013</v>
      </c>
      <c r="C1223" s="35" t="s">
        <v>1014</v>
      </c>
      <c r="D1223" s="35" t="s">
        <v>4653</v>
      </c>
      <c r="E1223" s="35" t="s">
        <v>1018</v>
      </c>
      <c r="F1223" t="str" cm="1">
        <f t="array" ref="F1223">IFERROR(_xlfn.XLOOKUP(E1223,MapeoCargos!$A:$A,MapeoCargos!$B:$B,E1223),E1223)</f>
        <v>GERENTE GENERAL</v>
      </c>
      <c r="G1223" s="46">
        <v>41031</v>
      </c>
    </row>
    <row r="1224" spans="1:7" x14ac:dyDescent="0.2">
      <c r="A1224" s="28" t="s">
        <v>4551</v>
      </c>
      <c r="B1224" s="35" t="s">
        <v>1013</v>
      </c>
      <c r="C1224" s="35" t="s">
        <v>1019</v>
      </c>
      <c r="D1224" s="35" t="s">
        <v>4654</v>
      </c>
      <c r="E1224" s="35" t="s">
        <v>1015</v>
      </c>
      <c r="F1224" t="str" cm="1">
        <f t="array" ref="F1224">IFERROR(_xlfn.XLOOKUP(E1224,MapeoCargos!$A:$A,MapeoCargos!$B:$B,E1224),E1224)</f>
        <v>PRODUCCIÓN / COCINA</v>
      </c>
      <c r="G1224" s="46">
        <v>41076</v>
      </c>
    </row>
    <row r="1225" spans="1:7" x14ac:dyDescent="0.2">
      <c r="A1225" s="28" t="s">
        <v>4552</v>
      </c>
      <c r="B1225" s="35" t="s">
        <v>1013</v>
      </c>
      <c r="C1225" s="35" t="s">
        <v>1020</v>
      </c>
      <c r="D1225" s="35" t="s">
        <v>4655</v>
      </c>
      <c r="E1225" s="35" t="s">
        <v>1015</v>
      </c>
      <c r="F1225" t="str" cm="1">
        <f t="array" ref="F1225">IFERROR(_xlfn.XLOOKUP(E1225,MapeoCargos!$A:$A,MapeoCargos!$B:$B,E1225),E1225)</f>
        <v>PRODUCCIÓN / COCINA</v>
      </c>
      <c r="G1225" s="46">
        <v>41122</v>
      </c>
    </row>
    <row r="1226" spans="1:7" x14ac:dyDescent="0.2">
      <c r="A1226" s="28" t="s">
        <v>4553</v>
      </c>
      <c r="B1226" s="35" t="s">
        <v>1013</v>
      </c>
      <c r="C1226" s="35" t="s">
        <v>1021</v>
      </c>
      <c r="D1226" s="35" t="s">
        <v>4656</v>
      </c>
      <c r="E1226" s="35" t="s">
        <v>200</v>
      </c>
      <c r="F1226" t="str" cm="1">
        <f t="array" ref="F1226">IFERROR(_xlfn.XLOOKUP(E1226,MapeoCargos!$A:$A,MapeoCargos!$B:$B,E1226),E1226)</f>
        <v>SEGURIDAD</v>
      </c>
      <c r="G1226" s="46">
        <v>41122</v>
      </c>
    </row>
    <row r="1227" spans="1:7" x14ac:dyDescent="0.2">
      <c r="A1227" s="28" t="s">
        <v>4554</v>
      </c>
      <c r="B1227" s="35" t="s">
        <v>1013</v>
      </c>
      <c r="C1227" s="35" t="s">
        <v>1014</v>
      </c>
      <c r="D1227" s="35" t="s">
        <v>4657</v>
      </c>
      <c r="E1227" s="35" t="s">
        <v>4658</v>
      </c>
      <c r="F1227" t="str" cm="1">
        <f t="array" ref="F1227">IFERROR(_xlfn.XLOOKUP(E1227,MapeoCargos!$A:$A,MapeoCargos!$B:$B,E1227),E1227)</f>
        <v>SUPERVISOR(A) DE CALIDAD</v>
      </c>
      <c r="G1227" s="46">
        <v>41122</v>
      </c>
    </row>
    <row r="1228" spans="1:7" x14ac:dyDescent="0.2">
      <c r="A1228" s="28" t="s">
        <v>4555</v>
      </c>
      <c r="B1228" s="35" t="s">
        <v>1013</v>
      </c>
      <c r="C1228" s="35" t="s">
        <v>1014</v>
      </c>
      <c r="D1228" s="35" t="s">
        <v>4659</v>
      </c>
      <c r="E1228" s="35" t="s">
        <v>1017</v>
      </c>
      <c r="F1228" t="str" cm="1">
        <f t="array" ref="F1228">IFERROR(_xlfn.XLOOKUP(E1228,MapeoCargos!$A:$A,MapeoCargos!$B:$B,E1228),E1228)</f>
        <v>SUPERVISOR(A)</v>
      </c>
      <c r="G1228" s="46">
        <v>41122</v>
      </c>
    </row>
    <row r="1229" spans="1:7" x14ac:dyDescent="0.2">
      <c r="A1229" s="28" t="s">
        <v>4556</v>
      </c>
      <c r="B1229" s="35" t="s">
        <v>1013</v>
      </c>
      <c r="C1229" s="35" t="s">
        <v>1014</v>
      </c>
      <c r="D1229" s="35" t="s">
        <v>103</v>
      </c>
      <c r="E1229" s="35" t="s">
        <v>1015</v>
      </c>
      <c r="F1229" t="str" cm="1">
        <f t="array" ref="F1229">IFERROR(_xlfn.XLOOKUP(E1229,MapeoCargos!$A:$A,MapeoCargos!$B:$B,E1229),E1229)</f>
        <v>PRODUCCIÓN / COCINA</v>
      </c>
      <c r="G1229" s="46">
        <v>41183</v>
      </c>
    </row>
    <row r="1230" spans="1:7" x14ac:dyDescent="0.2">
      <c r="A1230" s="28" t="s">
        <v>4557</v>
      </c>
      <c r="B1230" s="35" t="s">
        <v>1013</v>
      </c>
      <c r="C1230" s="35" t="s">
        <v>1019</v>
      </c>
      <c r="D1230" s="35" t="s">
        <v>4660</v>
      </c>
      <c r="E1230" s="35" t="s">
        <v>99</v>
      </c>
      <c r="F1230" t="str" cm="1">
        <f t="array" ref="F1230">IFERROR(_xlfn.XLOOKUP(E1230,MapeoCargos!$A:$A,MapeoCargos!$B:$B,E1230),E1230)</f>
        <v>CHAUFERO</v>
      </c>
      <c r="G1230" s="46">
        <v>41640</v>
      </c>
    </row>
    <row r="1231" spans="1:7" x14ac:dyDescent="0.2">
      <c r="A1231" s="28" t="s">
        <v>4558</v>
      </c>
      <c r="B1231" s="35" t="s">
        <v>1013</v>
      </c>
      <c r="C1231" s="35" t="s">
        <v>1022</v>
      </c>
      <c r="D1231" s="35" t="s">
        <v>4661</v>
      </c>
      <c r="E1231" s="35" t="s">
        <v>1015</v>
      </c>
      <c r="F1231" t="str" cm="1">
        <f t="array" ref="F1231">IFERROR(_xlfn.XLOOKUP(E1231,MapeoCargos!$A:$A,MapeoCargos!$B:$B,E1231),E1231)</f>
        <v>PRODUCCIÓN / COCINA</v>
      </c>
      <c r="G1231" s="46">
        <v>41714</v>
      </c>
    </row>
    <row r="1232" spans="1:7" x14ac:dyDescent="0.2">
      <c r="A1232" s="28" t="s">
        <v>4559</v>
      </c>
      <c r="B1232" s="35" t="s">
        <v>1013</v>
      </c>
      <c r="C1232" s="35" t="s">
        <v>1016</v>
      </c>
      <c r="D1232" s="35" t="s">
        <v>4662</v>
      </c>
      <c r="E1232" s="35" t="s">
        <v>86</v>
      </c>
      <c r="F1232" t="str" cm="1">
        <f t="array" ref="F1232">IFERROR(_xlfn.XLOOKUP(E1232,MapeoCargos!$A:$A,MapeoCargos!$B:$B,E1232),E1232)</f>
        <v>ASISTENTE ADM.</v>
      </c>
      <c r="G1232" s="46">
        <v>41867</v>
      </c>
    </row>
    <row r="1233" spans="1:7" x14ac:dyDescent="0.2">
      <c r="A1233" s="28" t="s">
        <v>4560</v>
      </c>
      <c r="B1233" s="35" t="s">
        <v>1013</v>
      </c>
      <c r="C1233" s="35" t="s">
        <v>1021</v>
      </c>
      <c r="D1233" s="35" t="s">
        <v>4663</v>
      </c>
      <c r="E1233" s="35" t="s">
        <v>29</v>
      </c>
      <c r="F1233" t="str" cm="1">
        <f t="array" ref="F1233">IFERROR(_xlfn.XLOOKUP(E1233,MapeoCargos!$A:$A,MapeoCargos!$B:$B,E1233),E1233)</f>
        <v>MOZO</v>
      </c>
      <c r="G1233" s="46">
        <v>42186</v>
      </c>
    </row>
    <row r="1234" spans="1:7" x14ac:dyDescent="0.2">
      <c r="A1234" s="28" t="s">
        <v>4561</v>
      </c>
      <c r="B1234" s="35" t="s">
        <v>1013</v>
      </c>
      <c r="C1234" s="35" t="s">
        <v>1014</v>
      </c>
      <c r="D1234" s="35" t="s">
        <v>4664</v>
      </c>
      <c r="E1234" s="35" t="s">
        <v>4665</v>
      </c>
      <c r="F1234" t="str" cm="1">
        <f t="array" ref="F1234">IFERROR(_xlfn.XLOOKUP(E1234,MapeoCargos!$A:$A,MapeoCargos!$B:$B,E1234),E1234)</f>
        <v>SUPERV. DE OPER</v>
      </c>
      <c r="G1234" s="46">
        <v>42359</v>
      </c>
    </row>
    <row r="1235" spans="1:7" x14ac:dyDescent="0.2">
      <c r="A1235" s="28" t="s">
        <v>1023</v>
      </c>
      <c r="B1235" s="35" t="s">
        <v>1013</v>
      </c>
      <c r="C1235" s="35" t="s">
        <v>1021</v>
      </c>
      <c r="D1235" s="35" t="s">
        <v>1024</v>
      </c>
      <c r="E1235" s="35" t="s">
        <v>30</v>
      </c>
      <c r="F1235" t="str" cm="1">
        <f t="array" ref="F1235">IFERROR(_xlfn.XLOOKUP(E1235,MapeoCargos!$A:$A,MapeoCargos!$B:$B,E1235),E1235)</f>
        <v>STAFF ADMINISTRATIVO</v>
      </c>
      <c r="G1235" s="46">
        <v>42506</v>
      </c>
    </row>
    <row r="1236" spans="1:7" x14ac:dyDescent="0.2">
      <c r="A1236" s="27" t="s">
        <v>1025</v>
      </c>
      <c r="B1236" s="35" t="s">
        <v>1013</v>
      </c>
      <c r="C1236" s="35" t="s">
        <v>1021</v>
      </c>
      <c r="D1236" s="35" t="s">
        <v>1026</v>
      </c>
      <c r="E1236" s="35" t="s">
        <v>758</v>
      </c>
      <c r="F1236" t="str" cm="1">
        <f t="array" ref="F1236">IFERROR(_xlfn.XLOOKUP(E1236,MapeoCargos!$A:$A,MapeoCargos!$B:$B,E1236),E1236)</f>
        <v>PRODUCCIÓN / COCINA</v>
      </c>
      <c r="G1236" s="46">
        <v>42629</v>
      </c>
    </row>
    <row r="1237" spans="1:7" x14ac:dyDescent="0.2">
      <c r="A1237" s="27" t="s">
        <v>1028</v>
      </c>
      <c r="B1237" s="35" t="s">
        <v>1013</v>
      </c>
      <c r="C1237" s="35" t="s">
        <v>1019</v>
      </c>
      <c r="D1237" s="35" t="s">
        <v>1029</v>
      </c>
      <c r="E1237" s="35" t="s">
        <v>30</v>
      </c>
      <c r="F1237" t="str" cm="1">
        <f t="array" ref="F1237">IFERROR(_xlfn.XLOOKUP(E1237,MapeoCargos!$A:$A,MapeoCargos!$B:$B,E1237),E1237)</f>
        <v>STAFF ADMINISTRATIVO</v>
      </c>
      <c r="G1237" s="46">
        <v>42629</v>
      </c>
    </row>
    <row r="1238" spans="1:7" x14ac:dyDescent="0.2">
      <c r="A1238" s="27" t="s">
        <v>1030</v>
      </c>
      <c r="B1238" s="35" t="s">
        <v>1013</v>
      </c>
      <c r="C1238" s="35" t="s">
        <v>1022</v>
      </c>
      <c r="D1238" s="35" t="s">
        <v>1031</v>
      </c>
      <c r="E1238" s="35" t="s">
        <v>29</v>
      </c>
      <c r="F1238" t="str" cm="1">
        <f t="array" ref="F1238">IFERROR(_xlfn.XLOOKUP(E1238,MapeoCargos!$A:$A,MapeoCargos!$B:$B,E1238),E1238)</f>
        <v>MOZO</v>
      </c>
      <c r="G1238" s="46">
        <v>42675</v>
      </c>
    </row>
    <row r="1239" spans="1:7" x14ac:dyDescent="0.2">
      <c r="A1239" s="27" t="s">
        <v>1032</v>
      </c>
      <c r="B1239" s="35" t="s">
        <v>1013</v>
      </c>
      <c r="C1239" s="35" t="s">
        <v>1022</v>
      </c>
      <c r="D1239" s="35" t="s">
        <v>1033</v>
      </c>
      <c r="E1239" s="35" t="s">
        <v>99</v>
      </c>
      <c r="F1239" t="str" cm="1">
        <f t="array" ref="F1239">IFERROR(_xlfn.XLOOKUP(E1239,MapeoCargos!$A:$A,MapeoCargos!$B:$B,E1239),E1239)</f>
        <v>CHAUFERO</v>
      </c>
      <c r="G1239" s="46">
        <v>42782</v>
      </c>
    </row>
    <row r="1240" spans="1:7" x14ac:dyDescent="0.2">
      <c r="A1240" s="27" t="s">
        <v>1034</v>
      </c>
      <c r="B1240" s="35" t="s">
        <v>1013</v>
      </c>
      <c r="C1240" s="35" t="s">
        <v>1021</v>
      </c>
      <c r="D1240" s="35" t="s">
        <v>1035</v>
      </c>
      <c r="E1240" s="35" t="s">
        <v>1027</v>
      </c>
      <c r="F1240" t="str" cm="1">
        <f t="array" ref="F1240">IFERROR(_xlfn.XLOOKUP(E1240,MapeoCargos!$A:$A,MapeoCargos!$B:$B,E1240),E1240)</f>
        <v>PRODUCCIÓN / COCINA</v>
      </c>
      <c r="G1240" s="46">
        <v>44006</v>
      </c>
    </row>
    <row r="1241" spans="1:7" x14ac:dyDescent="0.2">
      <c r="A1241" s="27" t="s">
        <v>1036</v>
      </c>
      <c r="B1241" s="36" t="s">
        <v>1013</v>
      </c>
      <c r="C1241" s="35" t="s">
        <v>1016</v>
      </c>
      <c r="D1241" s="35" t="s">
        <v>1037</v>
      </c>
      <c r="E1241" s="35" t="s">
        <v>99</v>
      </c>
      <c r="F1241" t="str" cm="1">
        <f t="array" ref="F1241">IFERROR(_xlfn.XLOOKUP(E1241,MapeoCargos!$A:$A,MapeoCargos!$B:$B,E1241),E1241)</f>
        <v>CHAUFERO</v>
      </c>
      <c r="G1241" s="46">
        <v>44021</v>
      </c>
    </row>
    <row r="1242" spans="1:7" x14ac:dyDescent="0.2">
      <c r="A1242" s="27" t="s">
        <v>1038</v>
      </c>
      <c r="B1242" s="36" t="s">
        <v>1013</v>
      </c>
      <c r="C1242" s="35" t="s">
        <v>1019</v>
      </c>
      <c r="D1242" s="35" t="s">
        <v>1039</v>
      </c>
      <c r="E1242" s="35" t="s">
        <v>86</v>
      </c>
      <c r="F1242" t="str" cm="1">
        <f t="array" ref="F1242">IFERROR(_xlfn.XLOOKUP(E1242,MapeoCargos!$A:$A,MapeoCargos!$B:$B,E1242),E1242)</f>
        <v>ASISTENTE ADM.</v>
      </c>
      <c r="G1242" s="46">
        <v>44256</v>
      </c>
    </row>
    <row r="1243" spans="1:7" x14ac:dyDescent="0.2">
      <c r="A1243" s="27" t="s">
        <v>1040</v>
      </c>
      <c r="B1243" s="36" t="s">
        <v>1013</v>
      </c>
      <c r="C1243" s="35" t="s">
        <v>1022</v>
      </c>
      <c r="D1243" s="35" t="s">
        <v>1041</v>
      </c>
      <c r="E1243" s="35" t="s">
        <v>1042</v>
      </c>
      <c r="F1243" t="str" cm="1">
        <f t="array" ref="F1243">IFERROR(_xlfn.XLOOKUP(E1243,MapeoCargos!$A:$A,MapeoCargos!$B:$B,E1243),E1243)</f>
        <v>PRODUCC. BOCADITO</v>
      </c>
      <c r="G1243" s="46">
        <v>44256</v>
      </c>
    </row>
    <row r="1244" spans="1:7" x14ac:dyDescent="0.2">
      <c r="A1244" s="27" t="s">
        <v>1043</v>
      </c>
      <c r="B1244" s="36" t="s">
        <v>1013</v>
      </c>
      <c r="C1244" s="35" t="s">
        <v>1021</v>
      </c>
      <c r="D1244" s="35" t="s">
        <v>1044</v>
      </c>
      <c r="E1244" s="35" t="s">
        <v>160</v>
      </c>
      <c r="F1244" t="str" cm="1">
        <f t="array" ref="F1244">IFERROR(_xlfn.XLOOKUP(E1244,MapeoCargos!$A:$A,MapeoCargos!$B:$B,E1244),E1244)</f>
        <v>PACKER</v>
      </c>
      <c r="G1244" s="46">
        <v>44263</v>
      </c>
    </row>
    <row r="1245" spans="1:7" x14ac:dyDescent="0.2">
      <c r="A1245" s="27" t="s">
        <v>1045</v>
      </c>
      <c r="B1245" s="36" t="s">
        <v>1013</v>
      </c>
      <c r="C1245" s="35" t="s">
        <v>1022</v>
      </c>
      <c r="D1245" s="35" t="s">
        <v>1046</v>
      </c>
      <c r="E1245" s="35" t="s">
        <v>99</v>
      </c>
      <c r="F1245" t="str" cm="1">
        <f t="array" ref="F1245">IFERROR(_xlfn.XLOOKUP(E1245,MapeoCargos!$A:$A,MapeoCargos!$B:$B,E1245),E1245)</f>
        <v>CHAUFERO</v>
      </c>
      <c r="G1245" s="46">
        <v>44289</v>
      </c>
    </row>
    <row r="1246" spans="1:7" x14ac:dyDescent="0.2">
      <c r="A1246" s="27" t="s">
        <v>1047</v>
      </c>
      <c r="B1246" s="36" t="s">
        <v>1013</v>
      </c>
      <c r="C1246" s="35" t="s">
        <v>1019</v>
      </c>
      <c r="D1246" s="35" t="s">
        <v>1048</v>
      </c>
      <c r="E1246" s="35" t="s">
        <v>29</v>
      </c>
      <c r="F1246" t="str" cm="1">
        <f t="array" ref="F1246">IFERROR(_xlfn.XLOOKUP(E1246,MapeoCargos!$A:$A,MapeoCargos!$B:$B,E1246),E1246)</f>
        <v>MOZO</v>
      </c>
      <c r="G1246" s="46">
        <v>44348</v>
      </c>
    </row>
    <row r="1247" spans="1:7" x14ac:dyDescent="0.2">
      <c r="A1247" s="27" t="s">
        <v>1049</v>
      </c>
      <c r="B1247" s="36" t="s">
        <v>1013</v>
      </c>
      <c r="C1247" s="35" t="s">
        <v>1016</v>
      </c>
      <c r="D1247" s="35" t="s">
        <v>1050</v>
      </c>
      <c r="E1247" s="35" t="s">
        <v>1015</v>
      </c>
      <c r="F1247" t="str" cm="1">
        <f t="array" ref="F1247">IFERROR(_xlfn.XLOOKUP(E1247,MapeoCargos!$A:$A,MapeoCargos!$B:$B,E1247),E1247)</f>
        <v>PRODUCCIÓN / COCINA</v>
      </c>
      <c r="G1247" s="46">
        <v>44368</v>
      </c>
    </row>
    <row r="1248" spans="1:7" x14ac:dyDescent="0.2">
      <c r="A1248" s="27" t="s">
        <v>1051</v>
      </c>
      <c r="B1248" s="36" t="s">
        <v>1013</v>
      </c>
      <c r="C1248" s="35" t="s">
        <v>1016</v>
      </c>
      <c r="D1248" s="35" t="s">
        <v>1052</v>
      </c>
      <c r="E1248" s="35" t="s">
        <v>1015</v>
      </c>
      <c r="F1248" t="str" cm="1">
        <f t="array" ref="F1248">IFERROR(_xlfn.XLOOKUP(E1248,MapeoCargos!$A:$A,MapeoCargos!$B:$B,E1248),E1248)</f>
        <v>PRODUCCIÓN / COCINA</v>
      </c>
      <c r="G1248" s="46">
        <v>44481</v>
      </c>
    </row>
    <row r="1249" spans="1:7" x14ac:dyDescent="0.2">
      <c r="A1249" s="28" t="s">
        <v>1053</v>
      </c>
      <c r="B1249" s="35" t="s">
        <v>1013</v>
      </c>
      <c r="C1249" s="35" t="s">
        <v>1022</v>
      </c>
      <c r="D1249" s="35" t="s">
        <v>1054</v>
      </c>
      <c r="E1249" s="35" t="s">
        <v>1027</v>
      </c>
      <c r="F1249" t="str" cm="1">
        <f t="array" ref="F1249">IFERROR(_xlfn.XLOOKUP(E1249,MapeoCargos!$A:$A,MapeoCargos!$B:$B,E1249),E1249)</f>
        <v>PRODUCCIÓN / COCINA</v>
      </c>
      <c r="G1249" s="46">
        <v>44501</v>
      </c>
    </row>
    <row r="1250" spans="1:7" x14ac:dyDescent="0.2">
      <c r="A1250" s="28" t="s">
        <v>1055</v>
      </c>
      <c r="B1250" s="35" t="s">
        <v>1013</v>
      </c>
      <c r="C1250" s="35" t="s">
        <v>1020</v>
      </c>
      <c r="D1250" s="35" t="s">
        <v>1056</v>
      </c>
      <c r="E1250" s="35" t="s">
        <v>1015</v>
      </c>
      <c r="F1250" t="str" cm="1">
        <f t="array" ref="F1250">IFERROR(_xlfn.XLOOKUP(E1250,MapeoCargos!$A:$A,MapeoCargos!$B:$B,E1250),E1250)</f>
        <v>PRODUCCIÓN / COCINA</v>
      </c>
      <c r="G1250" s="46">
        <v>44511</v>
      </c>
    </row>
    <row r="1251" spans="1:7" x14ac:dyDescent="0.2">
      <c r="A1251" s="28" t="s">
        <v>1057</v>
      </c>
      <c r="B1251" s="35" t="s">
        <v>1013</v>
      </c>
      <c r="C1251" s="35" t="s">
        <v>1016</v>
      </c>
      <c r="D1251" s="35" t="s">
        <v>1058</v>
      </c>
      <c r="E1251" s="35" t="s">
        <v>1015</v>
      </c>
      <c r="F1251" t="str" cm="1">
        <f t="array" ref="F1251">IFERROR(_xlfn.XLOOKUP(E1251,MapeoCargos!$A:$A,MapeoCargos!$B:$B,E1251),E1251)</f>
        <v>PRODUCCIÓN / COCINA</v>
      </c>
      <c r="G1251" s="46">
        <v>44522</v>
      </c>
    </row>
    <row r="1252" spans="1:7" x14ac:dyDescent="0.2">
      <c r="A1252" s="28" t="s">
        <v>1059</v>
      </c>
      <c r="B1252" s="35" t="s">
        <v>1013</v>
      </c>
      <c r="C1252" s="35" t="s">
        <v>1016</v>
      </c>
      <c r="D1252" s="35" t="s">
        <v>1060</v>
      </c>
      <c r="E1252" s="35" t="s">
        <v>1061</v>
      </c>
      <c r="F1252" t="str" cm="1">
        <f t="array" ref="F1252">IFERROR(_xlfn.XLOOKUP(E1252,MapeoCargos!$A:$A,MapeoCargos!$B:$B,E1252),E1252)</f>
        <v>PRODUCCION</v>
      </c>
      <c r="G1252" s="46">
        <v>44524</v>
      </c>
    </row>
    <row r="1253" spans="1:7" x14ac:dyDescent="0.2">
      <c r="A1253" s="28" t="s">
        <v>1062</v>
      </c>
      <c r="B1253" s="35" t="s">
        <v>1013</v>
      </c>
      <c r="C1253" s="35" t="s">
        <v>1014</v>
      </c>
      <c r="D1253" s="35" t="s">
        <v>1063</v>
      </c>
      <c r="E1253" s="35" t="s">
        <v>1017</v>
      </c>
      <c r="F1253" t="str" cm="1">
        <f t="array" ref="F1253">IFERROR(_xlfn.XLOOKUP(E1253,MapeoCargos!$A:$A,MapeoCargos!$B:$B,E1253),E1253)</f>
        <v>SUPERVISOR(A)</v>
      </c>
      <c r="G1253" s="46">
        <v>44531</v>
      </c>
    </row>
    <row r="1254" spans="1:7" x14ac:dyDescent="0.2">
      <c r="A1254" s="28" t="s">
        <v>1064</v>
      </c>
      <c r="B1254" s="35" t="s">
        <v>1013</v>
      </c>
      <c r="C1254" s="35" t="s">
        <v>1016</v>
      </c>
      <c r="D1254" s="35" t="s">
        <v>1065</v>
      </c>
      <c r="E1254" s="35" t="s">
        <v>99</v>
      </c>
      <c r="F1254" t="str" cm="1">
        <f t="array" ref="F1254">IFERROR(_xlfn.XLOOKUP(E1254,MapeoCargos!$A:$A,MapeoCargos!$B:$B,E1254),E1254)</f>
        <v>CHAUFERO</v>
      </c>
      <c r="G1254" s="46">
        <v>44536</v>
      </c>
    </row>
    <row r="1255" spans="1:7" x14ac:dyDescent="0.2">
      <c r="A1255" s="28" t="s">
        <v>1066</v>
      </c>
      <c r="B1255" s="35" t="s">
        <v>1013</v>
      </c>
      <c r="C1255" s="35" t="s">
        <v>1020</v>
      </c>
      <c r="D1255" s="35" t="s">
        <v>1067</v>
      </c>
      <c r="E1255" s="35" t="s">
        <v>127</v>
      </c>
      <c r="F1255" t="str" cm="1">
        <f t="array" ref="F1255">IFERROR(_xlfn.XLOOKUP(E1255,MapeoCargos!$A:$A,MapeoCargos!$B:$B,E1255),E1255)</f>
        <v>AZAFATA</v>
      </c>
      <c r="G1255" s="46">
        <v>44567</v>
      </c>
    </row>
    <row r="1256" spans="1:7" x14ac:dyDescent="0.2">
      <c r="A1256" s="28" t="s">
        <v>1068</v>
      </c>
      <c r="B1256" s="35" t="s">
        <v>1013</v>
      </c>
      <c r="C1256" s="35" t="s">
        <v>1021</v>
      </c>
      <c r="D1256" s="35" t="s">
        <v>1069</v>
      </c>
      <c r="E1256" s="35" t="s">
        <v>1070</v>
      </c>
      <c r="F1256" t="str" cm="1">
        <f t="array" ref="F1256">IFERROR(_xlfn.XLOOKUP(E1256,MapeoCargos!$A:$A,MapeoCargos!$B:$B,E1256),E1256)</f>
        <v>JEFE DE MOZOS</v>
      </c>
      <c r="G1256" s="46">
        <v>44569</v>
      </c>
    </row>
    <row r="1257" spans="1:7" x14ac:dyDescent="0.2">
      <c r="A1257" s="28" t="s">
        <v>1071</v>
      </c>
      <c r="B1257" s="35" t="s">
        <v>1013</v>
      </c>
      <c r="C1257" s="35" t="s">
        <v>1020</v>
      </c>
      <c r="D1257" s="35" t="s">
        <v>1072</v>
      </c>
      <c r="E1257" s="35" t="s">
        <v>30</v>
      </c>
      <c r="F1257" t="str" cm="1">
        <f t="array" ref="F1257">IFERROR(_xlfn.XLOOKUP(E1257,MapeoCargos!$A:$A,MapeoCargos!$B:$B,E1257),E1257)</f>
        <v>STAFF ADMINISTRATIVO</v>
      </c>
      <c r="G1257" s="46">
        <v>44582</v>
      </c>
    </row>
    <row r="1258" spans="1:7" x14ac:dyDescent="0.2">
      <c r="A1258" s="28" t="s">
        <v>1073</v>
      </c>
      <c r="B1258" s="35" t="s">
        <v>1013</v>
      </c>
      <c r="C1258" s="35" t="s">
        <v>1016</v>
      </c>
      <c r="D1258" s="35" t="s">
        <v>1074</v>
      </c>
      <c r="E1258" s="35" t="s">
        <v>127</v>
      </c>
      <c r="F1258" t="str" cm="1">
        <f t="array" ref="F1258">IFERROR(_xlfn.XLOOKUP(E1258,MapeoCargos!$A:$A,MapeoCargos!$B:$B,E1258),E1258)</f>
        <v>AZAFATA</v>
      </c>
      <c r="G1258" s="46">
        <v>44621</v>
      </c>
    </row>
    <row r="1259" spans="1:7" x14ac:dyDescent="0.2">
      <c r="A1259" s="28" t="s">
        <v>1075</v>
      </c>
      <c r="B1259" s="35" t="s">
        <v>1013</v>
      </c>
      <c r="C1259" s="35" t="s">
        <v>1016</v>
      </c>
      <c r="D1259" s="35" t="s">
        <v>1076</v>
      </c>
      <c r="E1259" s="35" t="s">
        <v>86</v>
      </c>
      <c r="F1259" t="str" cm="1">
        <f t="array" ref="F1259">IFERROR(_xlfn.XLOOKUP(E1259,MapeoCargos!$A:$A,MapeoCargos!$B:$B,E1259),E1259)</f>
        <v>ASISTENTE ADM.</v>
      </c>
      <c r="G1259" s="46">
        <v>44637</v>
      </c>
    </row>
    <row r="1260" spans="1:7" x14ac:dyDescent="0.2">
      <c r="A1260" s="28" t="s">
        <v>1077</v>
      </c>
      <c r="B1260" s="35" t="s">
        <v>1013</v>
      </c>
      <c r="C1260" s="35" t="s">
        <v>1022</v>
      </c>
      <c r="D1260" s="35" t="s">
        <v>1078</v>
      </c>
      <c r="E1260" s="35" t="s">
        <v>29</v>
      </c>
      <c r="F1260" t="str" cm="1">
        <f t="array" ref="F1260">IFERROR(_xlfn.XLOOKUP(E1260,MapeoCargos!$A:$A,MapeoCargos!$B:$B,E1260),E1260)</f>
        <v>MOZO</v>
      </c>
      <c r="G1260" s="46">
        <v>44667</v>
      </c>
    </row>
    <row r="1261" spans="1:7" x14ac:dyDescent="0.2">
      <c r="A1261" s="28" t="s">
        <v>1079</v>
      </c>
      <c r="B1261" s="35" t="s">
        <v>1013</v>
      </c>
      <c r="C1261" s="35" t="s">
        <v>1021</v>
      </c>
      <c r="D1261" s="35" t="s">
        <v>1080</v>
      </c>
      <c r="E1261" s="35" t="s">
        <v>1081</v>
      </c>
      <c r="F1261" t="str" cm="1">
        <f t="array" ref="F1261">IFERROR(_xlfn.XLOOKUP(E1261,MapeoCargos!$A:$A,MapeoCargos!$B:$B,E1261),E1261)</f>
        <v>PIZZERA</v>
      </c>
      <c r="G1261" s="46">
        <v>44669</v>
      </c>
    </row>
    <row r="1262" spans="1:7" x14ac:dyDescent="0.2">
      <c r="A1262" s="28" t="s">
        <v>1082</v>
      </c>
      <c r="B1262" s="35" t="s">
        <v>1013</v>
      </c>
      <c r="C1262" s="35" t="s">
        <v>1019</v>
      </c>
      <c r="D1262" s="35" t="s">
        <v>1083</v>
      </c>
      <c r="E1262" s="35" t="s">
        <v>99</v>
      </c>
      <c r="F1262" t="str" cm="1">
        <f t="array" ref="F1262">IFERROR(_xlfn.XLOOKUP(E1262,MapeoCargos!$A:$A,MapeoCargos!$B:$B,E1262),E1262)</f>
        <v>CHAUFERO</v>
      </c>
      <c r="G1262" s="46">
        <v>44684</v>
      </c>
    </row>
    <row r="1263" spans="1:7" x14ac:dyDescent="0.2">
      <c r="A1263" s="28" t="s">
        <v>1084</v>
      </c>
      <c r="B1263" s="35" t="s">
        <v>1013</v>
      </c>
      <c r="C1263" s="35" t="s">
        <v>1021</v>
      </c>
      <c r="D1263" s="35" t="s">
        <v>1085</v>
      </c>
      <c r="E1263" s="35" t="s">
        <v>29</v>
      </c>
      <c r="F1263" t="str" cm="1">
        <f t="array" ref="F1263">IFERROR(_xlfn.XLOOKUP(E1263,MapeoCargos!$A:$A,MapeoCargos!$B:$B,E1263),E1263)</f>
        <v>MOZO</v>
      </c>
      <c r="G1263" s="46">
        <v>44747</v>
      </c>
    </row>
    <row r="1264" spans="1:7" x14ac:dyDescent="0.2">
      <c r="A1264" s="28" t="s">
        <v>1086</v>
      </c>
      <c r="B1264" s="35" t="s">
        <v>1013</v>
      </c>
      <c r="C1264" s="35" t="s">
        <v>1022</v>
      </c>
      <c r="D1264" s="35" t="s">
        <v>1087</v>
      </c>
      <c r="E1264" s="35" t="s">
        <v>1015</v>
      </c>
      <c r="F1264" t="str" cm="1">
        <f t="array" ref="F1264">IFERROR(_xlfn.XLOOKUP(E1264,MapeoCargos!$A:$A,MapeoCargos!$B:$B,E1264),E1264)</f>
        <v>PRODUCCIÓN / COCINA</v>
      </c>
      <c r="G1264" s="46">
        <v>44805</v>
      </c>
    </row>
    <row r="1265" spans="1:7" x14ac:dyDescent="0.2">
      <c r="A1265" s="28" t="s">
        <v>545</v>
      </c>
      <c r="B1265" s="35" t="s">
        <v>1013</v>
      </c>
      <c r="C1265" s="35" t="s">
        <v>1014</v>
      </c>
      <c r="D1265" s="35" t="s">
        <v>546</v>
      </c>
      <c r="E1265" s="35" t="s">
        <v>1088</v>
      </c>
      <c r="F1265" t="str" cm="1">
        <f t="array" ref="F1265">IFERROR(_xlfn.XLOOKUP(E1265,MapeoCargos!$A:$A,MapeoCargos!$B:$B,E1265),E1265)</f>
        <v>SUPERVISOR(A) GENERAL</v>
      </c>
      <c r="G1265" s="46">
        <v>44809</v>
      </c>
    </row>
    <row r="1266" spans="1:7" x14ac:dyDescent="0.2">
      <c r="A1266" s="28" t="s">
        <v>1089</v>
      </c>
      <c r="B1266" s="35" t="s">
        <v>1013</v>
      </c>
      <c r="C1266" s="35" t="s">
        <v>1022</v>
      </c>
      <c r="D1266" s="35" t="s">
        <v>1090</v>
      </c>
      <c r="E1266" s="35" t="s">
        <v>30</v>
      </c>
      <c r="F1266" t="str" cm="1">
        <f t="array" ref="F1266">IFERROR(_xlfn.XLOOKUP(E1266,MapeoCargos!$A:$A,MapeoCargos!$B:$B,E1266),E1266)</f>
        <v>STAFF ADMINISTRATIVO</v>
      </c>
      <c r="G1266" s="46">
        <v>44810</v>
      </c>
    </row>
    <row r="1267" spans="1:7" x14ac:dyDescent="0.2">
      <c r="A1267" s="28" t="s">
        <v>1091</v>
      </c>
      <c r="B1267" s="35" t="s">
        <v>1013</v>
      </c>
      <c r="C1267" s="35" t="s">
        <v>1014</v>
      </c>
      <c r="D1267" s="35" t="s">
        <v>1092</v>
      </c>
      <c r="E1267" s="35" t="s">
        <v>4054</v>
      </c>
      <c r="F1267" t="str" cm="1">
        <f t="array" ref="F1267">IFERROR(_xlfn.XLOOKUP(E1267,MapeoCargos!$A:$A,MapeoCargos!$B:$B,E1267),E1267)</f>
        <v>ASIST. DE FINANZAS</v>
      </c>
      <c r="G1267" s="46">
        <v>44819</v>
      </c>
    </row>
    <row r="1268" spans="1:7" x14ac:dyDescent="0.2">
      <c r="A1268" s="28" t="s">
        <v>1093</v>
      </c>
      <c r="B1268" s="35" t="s">
        <v>1013</v>
      </c>
      <c r="C1268" s="35" t="s">
        <v>1022</v>
      </c>
      <c r="D1268" s="35" t="s">
        <v>1094</v>
      </c>
      <c r="E1268" s="35" t="s">
        <v>1015</v>
      </c>
      <c r="F1268" t="str" cm="1">
        <f t="array" ref="F1268">IFERROR(_xlfn.XLOOKUP(E1268,MapeoCargos!$A:$A,MapeoCargos!$B:$B,E1268),E1268)</f>
        <v>PRODUCCIÓN / COCINA</v>
      </c>
      <c r="G1268" s="46">
        <v>44835</v>
      </c>
    </row>
    <row r="1269" spans="1:7" x14ac:dyDescent="0.2">
      <c r="A1269" s="28" t="s">
        <v>1095</v>
      </c>
      <c r="B1269" s="35" t="s">
        <v>1013</v>
      </c>
      <c r="C1269" s="35" t="s">
        <v>1021</v>
      </c>
      <c r="D1269" s="35" t="s">
        <v>1096</v>
      </c>
      <c r="E1269" s="35" t="s">
        <v>127</v>
      </c>
      <c r="F1269" t="str" cm="1">
        <f t="array" ref="F1269">IFERROR(_xlfn.XLOOKUP(E1269,MapeoCargos!$A:$A,MapeoCargos!$B:$B,E1269),E1269)</f>
        <v>AZAFATA</v>
      </c>
      <c r="G1269" s="46">
        <v>44835</v>
      </c>
    </row>
    <row r="1270" spans="1:7" x14ac:dyDescent="0.2">
      <c r="A1270" s="28" t="s">
        <v>1097</v>
      </c>
      <c r="B1270" s="35" t="s">
        <v>1013</v>
      </c>
      <c r="C1270" s="35" t="s">
        <v>1016</v>
      </c>
      <c r="D1270" s="35" t="s">
        <v>1098</v>
      </c>
      <c r="E1270" s="35" t="s">
        <v>151</v>
      </c>
      <c r="F1270" t="str" cm="1">
        <f t="array" ref="F1270">IFERROR(_xlfn.XLOOKUP(E1270,MapeoCargos!$A:$A,MapeoCargos!$B:$B,E1270),E1270)</f>
        <v xml:space="preserve">CAJA </v>
      </c>
      <c r="G1270" s="46">
        <v>44835</v>
      </c>
    </row>
    <row r="1271" spans="1:7" x14ac:dyDescent="0.2">
      <c r="A1271" s="28" t="s">
        <v>1099</v>
      </c>
      <c r="B1271" s="35" t="s">
        <v>1013</v>
      </c>
      <c r="C1271" s="35" t="s">
        <v>1021</v>
      </c>
      <c r="D1271" s="35" t="s">
        <v>1100</v>
      </c>
      <c r="E1271" s="35" t="s">
        <v>151</v>
      </c>
      <c r="F1271" t="str" cm="1">
        <f t="array" ref="F1271">IFERROR(_xlfn.XLOOKUP(E1271,MapeoCargos!$A:$A,MapeoCargos!$B:$B,E1271),E1271)</f>
        <v xml:space="preserve">CAJA </v>
      </c>
      <c r="G1271" s="46">
        <v>44837</v>
      </c>
    </row>
    <row r="1272" spans="1:7" x14ac:dyDescent="0.2">
      <c r="A1272" s="28" t="s">
        <v>1101</v>
      </c>
      <c r="B1272" s="35" t="s">
        <v>1013</v>
      </c>
      <c r="C1272" s="35" t="s">
        <v>1022</v>
      </c>
      <c r="D1272" s="35" t="s">
        <v>1102</v>
      </c>
      <c r="E1272" s="35" t="s">
        <v>30</v>
      </c>
      <c r="F1272" t="str" cm="1">
        <f t="array" ref="F1272">IFERROR(_xlfn.XLOOKUP(E1272,MapeoCargos!$A:$A,MapeoCargos!$B:$B,E1272),E1272)</f>
        <v>STAFF ADMINISTRATIVO</v>
      </c>
      <c r="G1272" s="46">
        <v>44879</v>
      </c>
    </row>
    <row r="1273" spans="1:7" x14ac:dyDescent="0.2">
      <c r="A1273" s="28" t="s">
        <v>1103</v>
      </c>
      <c r="B1273" s="35" t="s">
        <v>1013</v>
      </c>
      <c r="C1273" s="35" t="s">
        <v>1022</v>
      </c>
      <c r="D1273" s="35" t="s">
        <v>1104</v>
      </c>
      <c r="E1273" s="35" t="s">
        <v>99</v>
      </c>
      <c r="F1273" t="str" cm="1">
        <f t="array" ref="F1273">IFERROR(_xlfn.XLOOKUP(E1273,MapeoCargos!$A:$A,MapeoCargos!$B:$B,E1273),E1273)</f>
        <v>CHAUFERO</v>
      </c>
      <c r="G1273" s="46">
        <v>44886</v>
      </c>
    </row>
    <row r="1274" spans="1:7" x14ac:dyDescent="0.2">
      <c r="A1274" s="28" t="s">
        <v>1105</v>
      </c>
      <c r="B1274" s="35" t="s">
        <v>1013</v>
      </c>
      <c r="C1274" s="35" t="s">
        <v>1022</v>
      </c>
      <c r="D1274" s="35" t="s">
        <v>1106</v>
      </c>
      <c r="E1274" s="35" t="s">
        <v>29</v>
      </c>
      <c r="F1274" t="str" cm="1">
        <f t="array" ref="F1274">IFERROR(_xlfn.XLOOKUP(E1274,MapeoCargos!$A:$A,MapeoCargos!$B:$B,E1274),E1274)</f>
        <v>MOZO</v>
      </c>
      <c r="G1274" s="46">
        <v>44896</v>
      </c>
    </row>
    <row r="1275" spans="1:7" x14ac:dyDescent="0.2">
      <c r="A1275" s="28" t="s">
        <v>1109</v>
      </c>
      <c r="B1275" s="35" t="s">
        <v>1013</v>
      </c>
      <c r="C1275" s="35" t="s">
        <v>1020</v>
      </c>
      <c r="D1275" s="35" t="s">
        <v>1110</v>
      </c>
      <c r="E1275" s="35" t="s">
        <v>83</v>
      </c>
      <c r="F1275" t="str" cm="1">
        <f t="array" ref="F1275">IFERROR(_xlfn.XLOOKUP(E1275,MapeoCargos!$A:$A,MapeoCargos!$B:$B,E1275),E1275)</f>
        <v>PRODUCCIÓN / COCINA</v>
      </c>
      <c r="G1275" s="46">
        <v>44968</v>
      </c>
    </row>
    <row r="1276" spans="1:7" x14ac:dyDescent="0.2">
      <c r="A1276" s="28" t="s">
        <v>1107</v>
      </c>
      <c r="B1276" s="35" t="s">
        <v>1013</v>
      </c>
      <c r="C1276" s="35" t="s">
        <v>1021</v>
      </c>
      <c r="D1276" s="35" t="s">
        <v>1108</v>
      </c>
      <c r="E1276" s="35" t="s">
        <v>86</v>
      </c>
      <c r="F1276" t="str" cm="1">
        <f t="array" ref="F1276">IFERROR(_xlfn.XLOOKUP(E1276,MapeoCargos!$A:$A,MapeoCargos!$B:$B,E1276),E1276)</f>
        <v>ASISTENTE ADM.</v>
      </c>
      <c r="G1276" s="46">
        <v>44972</v>
      </c>
    </row>
    <row r="1277" spans="1:7" x14ac:dyDescent="0.2">
      <c r="A1277" s="28" t="s">
        <v>1111</v>
      </c>
      <c r="B1277" s="35" t="s">
        <v>1013</v>
      </c>
      <c r="C1277" s="35" t="s">
        <v>1019</v>
      </c>
      <c r="D1277" s="35" t="s">
        <v>1112</v>
      </c>
      <c r="E1277" s="35" t="s">
        <v>83</v>
      </c>
      <c r="F1277" t="str" cm="1">
        <f t="array" ref="F1277">IFERROR(_xlfn.XLOOKUP(E1277,MapeoCargos!$A:$A,MapeoCargos!$B:$B,E1277),E1277)</f>
        <v>PRODUCCIÓN / COCINA</v>
      </c>
      <c r="G1277" s="46">
        <v>44986</v>
      </c>
    </row>
    <row r="1278" spans="1:7" x14ac:dyDescent="0.2">
      <c r="A1278" s="28" t="s">
        <v>1113</v>
      </c>
      <c r="B1278" s="35" t="s">
        <v>1013</v>
      </c>
      <c r="C1278" s="35" t="s">
        <v>1022</v>
      </c>
      <c r="D1278" s="35" t="s">
        <v>1114</v>
      </c>
      <c r="E1278" s="35" t="s">
        <v>1115</v>
      </c>
      <c r="F1278" t="str" cm="1">
        <f t="array" ref="F1278">IFERROR(_xlfn.XLOOKUP(E1278,MapeoCargos!$A:$A,MapeoCargos!$B:$B,E1278),E1278)</f>
        <v>ABASTECEDOR</v>
      </c>
      <c r="G1278" s="46">
        <v>44987</v>
      </c>
    </row>
    <row r="1279" spans="1:7" x14ac:dyDescent="0.2">
      <c r="A1279" s="28" t="s">
        <v>1118</v>
      </c>
      <c r="B1279" s="35" t="s">
        <v>1013</v>
      </c>
      <c r="C1279" s="35" t="s">
        <v>1021</v>
      </c>
      <c r="D1279" s="35" t="s">
        <v>1119</v>
      </c>
      <c r="E1279" s="35" t="s">
        <v>29</v>
      </c>
      <c r="F1279" t="str" cm="1">
        <f t="array" ref="F1279">IFERROR(_xlfn.XLOOKUP(E1279,MapeoCargos!$A:$A,MapeoCargos!$B:$B,E1279),E1279)</f>
        <v>MOZO</v>
      </c>
      <c r="G1279" s="46">
        <v>45026</v>
      </c>
    </row>
    <row r="1280" spans="1:7" x14ac:dyDescent="0.2">
      <c r="A1280" s="28" t="s">
        <v>1116</v>
      </c>
      <c r="B1280" s="35" t="s">
        <v>1013</v>
      </c>
      <c r="C1280" s="35" t="s">
        <v>1021</v>
      </c>
      <c r="D1280" s="35" t="s">
        <v>1117</v>
      </c>
      <c r="E1280" s="35" t="s">
        <v>180</v>
      </c>
      <c r="F1280" t="str" cm="1">
        <f t="array" ref="F1280">IFERROR(_xlfn.XLOOKUP(E1280,MapeoCargos!$A:$A,MapeoCargos!$B:$B,E1280),E1280)</f>
        <v>MANTENIMIENTO</v>
      </c>
      <c r="G1280" s="46">
        <v>45030</v>
      </c>
    </row>
    <row r="1281" spans="1:7" x14ac:dyDescent="0.2">
      <c r="A1281" s="28" t="s">
        <v>1120</v>
      </c>
      <c r="B1281" s="35" t="s">
        <v>1013</v>
      </c>
      <c r="C1281" s="35" t="s">
        <v>1021</v>
      </c>
      <c r="D1281" s="35" t="s">
        <v>1121</v>
      </c>
      <c r="E1281" s="35" t="s">
        <v>127</v>
      </c>
      <c r="F1281" t="str" cm="1">
        <f t="array" ref="F1281">IFERROR(_xlfn.XLOOKUP(E1281,MapeoCargos!$A:$A,MapeoCargos!$B:$B,E1281),E1281)</f>
        <v>AZAFATA</v>
      </c>
      <c r="G1281" s="46">
        <v>45096</v>
      </c>
    </row>
    <row r="1282" spans="1:7" x14ac:dyDescent="0.2">
      <c r="A1282" s="28" t="s">
        <v>1122</v>
      </c>
      <c r="B1282" s="35" t="s">
        <v>1013</v>
      </c>
      <c r="C1282" s="35" t="s">
        <v>1016</v>
      </c>
      <c r="D1282" s="35" t="s">
        <v>1123</v>
      </c>
      <c r="E1282" s="35" t="s">
        <v>1124</v>
      </c>
      <c r="F1282" t="str" cm="1">
        <f t="array" ref="F1282">IFERROR(_xlfn.XLOOKUP(E1282,MapeoCargos!$A:$A,MapeoCargos!$B:$B,E1282),E1282)</f>
        <v>VENTA DE BOCADITOS</v>
      </c>
      <c r="G1282" s="46">
        <v>45119</v>
      </c>
    </row>
    <row r="1283" spans="1:7" x14ac:dyDescent="0.2">
      <c r="A1283" s="28" t="s">
        <v>1125</v>
      </c>
      <c r="B1283" s="35" t="s">
        <v>1013</v>
      </c>
      <c r="C1283" s="35" t="s">
        <v>1020</v>
      </c>
      <c r="D1283" s="35" t="s">
        <v>1126</v>
      </c>
      <c r="E1283" s="35" t="s">
        <v>86</v>
      </c>
      <c r="F1283" t="str" cm="1">
        <f t="array" ref="F1283">IFERROR(_xlfn.XLOOKUP(E1283,MapeoCargos!$A:$A,MapeoCargos!$B:$B,E1283),E1283)</f>
        <v>ASISTENTE ADM.</v>
      </c>
      <c r="G1283" s="46">
        <v>45172</v>
      </c>
    </row>
    <row r="1284" spans="1:7" x14ac:dyDescent="0.2">
      <c r="A1284" s="28" t="s">
        <v>1127</v>
      </c>
      <c r="B1284" s="35" t="s">
        <v>1013</v>
      </c>
      <c r="C1284" s="35" t="s">
        <v>1019</v>
      </c>
      <c r="D1284" s="35" t="s">
        <v>1128</v>
      </c>
      <c r="E1284" s="35" t="s">
        <v>151</v>
      </c>
      <c r="F1284" t="str" cm="1">
        <f t="array" ref="F1284">IFERROR(_xlfn.XLOOKUP(E1284,MapeoCargos!$A:$A,MapeoCargos!$B:$B,E1284),E1284)</f>
        <v xml:space="preserve">CAJA </v>
      </c>
      <c r="G1284" s="46">
        <v>45173</v>
      </c>
    </row>
    <row r="1285" spans="1:7" x14ac:dyDescent="0.2">
      <c r="A1285" s="28" t="s">
        <v>1129</v>
      </c>
      <c r="B1285" s="35" t="s">
        <v>1013</v>
      </c>
      <c r="C1285" s="35" t="s">
        <v>1019</v>
      </c>
      <c r="D1285" s="35" t="s">
        <v>1130</v>
      </c>
      <c r="E1285" s="35" t="s">
        <v>126</v>
      </c>
      <c r="F1285" t="str" cm="1">
        <f t="array" ref="F1285">IFERROR(_xlfn.XLOOKUP(E1285,MapeoCargos!$A:$A,MapeoCargos!$B:$B,E1285),E1285)</f>
        <v>MOTORIZADO</v>
      </c>
      <c r="G1285" s="46">
        <v>45276</v>
      </c>
    </row>
    <row r="1286" spans="1:7" x14ac:dyDescent="0.2">
      <c r="A1286" s="28" t="s">
        <v>1131</v>
      </c>
      <c r="B1286" s="35" t="s">
        <v>1013</v>
      </c>
      <c r="C1286" s="35" t="s">
        <v>1022</v>
      </c>
      <c r="D1286" s="35" t="s">
        <v>1132</v>
      </c>
      <c r="E1286" s="35" t="s">
        <v>151</v>
      </c>
      <c r="F1286" t="str" cm="1">
        <f t="array" ref="F1286">IFERROR(_xlfn.XLOOKUP(E1286,MapeoCargos!$A:$A,MapeoCargos!$B:$B,E1286),E1286)</f>
        <v xml:space="preserve">CAJA </v>
      </c>
      <c r="G1286" s="46">
        <v>45294</v>
      </c>
    </row>
    <row r="1287" spans="1:7" x14ac:dyDescent="0.2">
      <c r="A1287" s="28" t="s">
        <v>1133</v>
      </c>
      <c r="B1287" s="35" t="s">
        <v>1013</v>
      </c>
      <c r="C1287" s="35" t="s">
        <v>1022</v>
      </c>
      <c r="D1287" s="35" t="s">
        <v>1134</v>
      </c>
      <c r="E1287" s="35" t="s">
        <v>29</v>
      </c>
      <c r="F1287" t="str" cm="1">
        <f t="array" ref="F1287">IFERROR(_xlfn.XLOOKUP(E1287,MapeoCargos!$A:$A,MapeoCargos!$B:$B,E1287),E1287)</f>
        <v>MOZO</v>
      </c>
      <c r="G1287" s="46">
        <v>45306</v>
      </c>
    </row>
    <row r="1288" spans="1:7" x14ac:dyDescent="0.2">
      <c r="A1288" s="28" t="s">
        <v>1135</v>
      </c>
      <c r="B1288" s="35" t="s">
        <v>1013</v>
      </c>
      <c r="C1288" s="35" t="s">
        <v>1021</v>
      </c>
      <c r="D1288" s="35" t="s">
        <v>1136</v>
      </c>
      <c r="E1288" s="35" t="s">
        <v>29</v>
      </c>
      <c r="F1288" t="str" cm="1">
        <f t="array" ref="F1288">IFERROR(_xlfn.XLOOKUP(E1288,MapeoCargos!$A:$A,MapeoCargos!$B:$B,E1288),E1288)</f>
        <v>MOZO</v>
      </c>
      <c r="G1288" s="46">
        <v>45338</v>
      </c>
    </row>
    <row r="1289" spans="1:7" x14ac:dyDescent="0.2">
      <c r="A1289" s="28" t="s">
        <v>1137</v>
      </c>
      <c r="B1289" s="35" t="s">
        <v>1013</v>
      </c>
      <c r="C1289" s="35" t="s">
        <v>1016</v>
      </c>
      <c r="D1289" s="35" t="s">
        <v>1138</v>
      </c>
      <c r="E1289" s="35" t="s">
        <v>1139</v>
      </c>
      <c r="F1289" t="str" cm="1">
        <f t="array" ref="F1289">IFERROR(_xlfn.XLOOKUP(E1289,MapeoCargos!$A:$A,MapeoCargos!$B:$B,E1289),E1289)</f>
        <v>LAVADOR</v>
      </c>
      <c r="G1289" s="46">
        <v>45338</v>
      </c>
    </row>
    <row r="1290" spans="1:7" x14ac:dyDescent="0.2">
      <c r="A1290" s="28" t="s">
        <v>1140</v>
      </c>
      <c r="B1290" s="35" t="s">
        <v>1013</v>
      </c>
      <c r="C1290" s="35" t="s">
        <v>1022</v>
      </c>
      <c r="D1290" s="35" t="s">
        <v>1141</v>
      </c>
      <c r="E1290" s="35" t="s">
        <v>110</v>
      </c>
      <c r="F1290" t="str" cm="1">
        <f t="array" ref="F1290">IFERROR(_xlfn.XLOOKUP(E1290,MapeoCargos!$A:$A,MapeoCargos!$B:$B,E1290),E1290)</f>
        <v>COUNTER</v>
      </c>
      <c r="G1290" s="46">
        <v>45390</v>
      </c>
    </row>
    <row r="1291" spans="1:7" x14ac:dyDescent="0.2">
      <c r="A1291" s="28" t="s">
        <v>1142</v>
      </c>
      <c r="B1291" s="35" t="s">
        <v>1013</v>
      </c>
      <c r="C1291" s="35" t="s">
        <v>1022</v>
      </c>
      <c r="D1291" s="35" t="s">
        <v>1143</v>
      </c>
      <c r="E1291" s="35" t="s">
        <v>127</v>
      </c>
      <c r="F1291" t="str" cm="1">
        <f t="array" ref="F1291">IFERROR(_xlfn.XLOOKUP(E1291,MapeoCargos!$A:$A,MapeoCargos!$B:$B,E1291),E1291)</f>
        <v>AZAFATA</v>
      </c>
      <c r="G1291" s="46">
        <v>45413</v>
      </c>
    </row>
    <row r="1292" spans="1:7" x14ac:dyDescent="0.2">
      <c r="A1292" s="28" t="s">
        <v>1144</v>
      </c>
      <c r="B1292" s="35" t="s">
        <v>1013</v>
      </c>
      <c r="C1292" s="35" t="s">
        <v>1019</v>
      </c>
      <c r="D1292" s="35" t="s">
        <v>1145</v>
      </c>
      <c r="E1292" s="35" t="s">
        <v>127</v>
      </c>
      <c r="F1292" t="str" cm="1">
        <f t="array" ref="F1292">IFERROR(_xlfn.XLOOKUP(E1292,MapeoCargos!$A:$A,MapeoCargos!$B:$B,E1292),E1292)</f>
        <v>AZAFATA</v>
      </c>
      <c r="G1292" s="46">
        <v>45432</v>
      </c>
    </row>
    <row r="1293" spans="1:7" x14ac:dyDescent="0.2">
      <c r="A1293" s="28" t="s">
        <v>1146</v>
      </c>
      <c r="B1293" s="35" t="s">
        <v>1013</v>
      </c>
      <c r="C1293" s="35" t="s">
        <v>1020</v>
      </c>
      <c r="D1293" s="35" t="s">
        <v>1147</v>
      </c>
      <c r="E1293" s="35" t="s">
        <v>83</v>
      </c>
      <c r="F1293" t="str" cm="1">
        <f t="array" ref="F1293">IFERROR(_xlfn.XLOOKUP(E1293,MapeoCargos!$A:$A,MapeoCargos!$B:$B,E1293),E1293)</f>
        <v>PRODUCCIÓN / COCINA</v>
      </c>
      <c r="G1293" s="46">
        <v>45457</v>
      </c>
    </row>
    <row r="1294" spans="1:7" x14ac:dyDescent="0.2">
      <c r="A1294" s="28" t="s">
        <v>1148</v>
      </c>
      <c r="B1294" s="35" t="s">
        <v>1013</v>
      </c>
      <c r="C1294" s="35" t="s">
        <v>1016</v>
      </c>
      <c r="D1294" s="35" t="s">
        <v>1149</v>
      </c>
      <c r="E1294" s="35" t="s">
        <v>127</v>
      </c>
      <c r="F1294" t="str" cm="1">
        <f t="array" ref="F1294">IFERROR(_xlfn.XLOOKUP(E1294,MapeoCargos!$A:$A,MapeoCargos!$B:$B,E1294),E1294)</f>
        <v>AZAFATA</v>
      </c>
      <c r="G1294" s="46">
        <v>45467</v>
      </c>
    </row>
    <row r="1295" spans="1:7" x14ac:dyDescent="0.2">
      <c r="A1295" s="28" t="s">
        <v>1150</v>
      </c>
      <c r="B1295" s="35" t="s">
        <v>1013</v>
      </c>
      <c r="C1295" s="35" t="s">
        <v>1022</v>
      </c>
      <c r="D1295" s="35" t="s">
        <v>1151</v>
      </c>
      <c r="E1295" s="35" t="s">
        <v>127</v>
      </c>
      <c r="F1295" t="str" cm="1">
        <f t="array" ref="F1295">IFERROR(_xlfn.XLOOKUP(E1295,MapeoCargos!$A:$A,MapeoCargos!$B:$B,E1295),E1295)</f>
        <v>AZAFATA</v>
      </c>
      <c r="G1295" s="46">
        <v>45474</v>
      </c>
    </row>
    <row r="1296" spans="1:7" x14ac:dyDescent="0.2">
      <c r="A1296" s="28" t="s">
        <v>1152</v>
      </c>
      <c r="B1296" s="35" t="s">
        <v>1013</v>
      </c>
      <c r="C1296" s="35" t="s">
        <v>1020</v>
      </c>
      <c r="D1296" s="35" t="s">
        <v>1153</v>
      </c>
      <c r="E1296" s="35" t="s">
        <v>29</v>
      </c>
      <c r="F1296" t="str" cm="1">
        <f t="array" ref="F1296">IFERROR(_xlfn.XLOOKUP(E1296,MapeoCargos!$A:$A,MapeoCargos!$B:$B,E1296),E1296)</f>
        <v>MOZO</v>
      </c>
      <c r="G1296" s="46">
        <v>45495</v>
      </c>
    </row>
    <row r="1297" spans="1:7" x14ac:dyDescent="0.2">
      <c r="A1297" s="28" t="s">
        <v>1154</v>
      </c>
      <c r="B1297" s="35" t="s">
        <v>1013</v>
      </c>
      <c r="C1297" s="35" t="s">
        <v>1019</v>
      </c>
      <c r="D1297" s="35" t="s">
        <v>1155</v>
      </c>
      <c r="E1297" s="35" t="s">
        <v>83</v>
      </c>
      <c r="F1297" t="str" cm="1">
        <f t="array" ref="F1297">IFERROR(_xlfn.XLOOKUP(E1297,MapeoCargos!$A:$A,MapeoCargos!$B:$B,E1297),E1297)</f>
        <v>PRODUCCIÓN / COCINA</v>
      </c>
      <c r="G1297" s="46">
        <v>45505</v>
      </c>
    </row>
    <row r="1298" spans="1:7" x14ac:dyDescent="0.2">
      <c r="A1298" s="28" t="s">
        <v>1156</v>
      </c>
      <c r="B1298" s="35" t="s">
        <v>1013</v>
      </c>
      <c r="C1298" s="35" t="s">
        <v>1022</v>
      </c>
      <c r="D1298" s="35" t="s">
        <v>1157</v>
      </c>
      <c r="E1298" s="35" t="s">
        <v>83</v>
      </c>
      <c r="F1298" t="str" cm="1">
        <f t="array" ref="F1298">IFERROR(_xlfn.XLOOKUP(E1298,MapeoCargos!$A:$A,MapeoCargos!$B:$B,E1298),E1298)</f>
        <v>PRODUCCIÓN / COCINA</v>
      </c>
      <c r="G1298" s="46">
        <v>45507</v>
      </c>
    </row>
    <row r="1299" spans="1:7" x14ac:dyDescent="0.2">
      <c r="A1299" s="28" t="s">
        <v>1158</v>
      </c>
      <c r="B1299" s="35" t="s">
        <v>1013</v>
      </c>
      <c r="C1299" s="35" t="s">
        <v>1021</v>
      </c>
      <c r="D1299" s="35" t="s">
        <v>1159</v>
      </c>
      <c r="E1299" s="35" t="s">
        <v>83</v>
      </c>
      <c r="F1299" t="str" cm="1">
        <f t="array" ref="F1299">IFERROR(_xlfn.XLOOKUP(E1299,MapeoCargos!$A:$A,MapeoCargos!$B:$B,E1299),E1299)</f>
        <v>PRODUCCIÓN / COCINA</v>
      </c>
      <c r="G1299" s="46">
        <v>45705</v>
      </c>
    </row>
    <row r="1300" spans="1:7" x14ac:dyDescent="0.2">
      <c r="A1300" s="28" t="s">
        <v>1160</v>
      </c>
      <c r="B1300" s="35" t="s">
        <v>1013</v>
      </c>
      <c r="C1300" s="35" t="s">
        <v>1021</v>
      </c>
      <c r="D1300" s="35" t="s">
        <v>1161</v>
      </c>
      <c r="E1300" s="35" t="s">
        <v>127</v>
      </c>
      <c r="F1300" t="str" cm="1">
        <f t="array" ref="F1300">IFERROR(_xlfn.XLOOKUP(E1300,MapeoCargos!$A:$A,MapeoCargos!$B:$B,E1300),E1300)</f>
        <v>AZAFATA</v>
      </c>
      <c r="G1300" s="46">
        <v>45705</v>
      </c>
    </row>
    <row r="1301" spans="1:7" x14ac:dyDescent="0.2">
      <c r="A1301" s="28" t="s">
        <v>1162</v>
      </c>
      <c r="B1301" s="35" t="s">
        <v>1013</v>
      </c>
      <c r="C1301" s="35" t="s">
        <v>1022</v>
      </c>
      <c r="D1301" s="35" t="s">
        <v>1163</v>
      </c>
      <c r="E1301" s="35" t="s">
        <v>29</v>
      </c>
      <c r="F1301" t="str" cm="1">
        <f t="array" ref="F1301">IFERROR(_xlfn.XLOOKUP(E1301,MapeoCargos!$A:$A,MapeoCargos!$B:$B,E1301),E1301)</f>
        <v>MOZO</v>
      </c>
      <c r="G1301" s="46">
        <v>45705</v>
      </c>
    </row>
    <row r="1302" spans="1:7" x14ac:dyDescent="0.2">
      <c r="A1302" s="28" t="s">
        <v>1164</v>
      </c>
      <c r="B1302" s="35" t="s">
        <v>1013</v>
      </c>
      <c r="C1302" s="35" t="s">
        <v>1019</v>
      </c>
      <c r="D1302" s="35" t="s">
        <v>1165</v>
      </c>
      <c r="E1302" s="35" t="s">
        <v>127</v>
      </c>
      <c r="F1302" t="str" cm="1">
        <f t="array" ref="F1302">IFERROR(_xlfn.XLOOKUP(E1302,MapeoCargos!$A:$A,MapeoCargos!$B:$B,E1302),E1302)</f>
        <v>AZAFATA</v>
      </c>
      <c r="G1302" s="46">
        <v>45733</v>
      </c>
    </row>
    <row r="1303" spans="1:7" x14ac:dyDescent="0.2">
      <c r="A1303" s="28" t="s">
        <v>1166</v>
      </c>
      <c r="B1303" s="35" t="s">
        <v>1013</v>
      </c>
      <c r="C1303" s="35" t="s">
        <v>1020</v>
      </c>
      <c r="D1303" s="35" t="s">
        <v>1167</v>
      </c>
      <c r="E1303" s="35" t="s">
        <v>127</v>
      </c>
      <c r="F1303" t="str" cm="1">
        <f t="array" ref="F1303">IFERROR(_xlfn.XLOOKUP(E1303,MapeoCargos!$A:$A,MapeoCargos!$B:$B,E1303),E1303)</f>
        <v>AZAFATA</v>
      </c>
      <c r="G1303" s="46">
        <v>45740</v>
      </c>
    </row>
    <row r="1304" spans="1:7" x14ac:dyDescent="0.2">
      <c r="A1304" s="28" t="s">
        <v>1168</v>
      </c>
      <c r="B1304" s="35" t="s">
        <v>1013</v>
      </c>
      <c r="C1304" s="35" t="s">
        <v>1016</v>
      </c>
      <c r="D1304" s="35" t="s">
        <v>1169</v>
      </c>
      <c r="E1304" s="35" t="s">
        <v>127</v>
      </c>
      <c r="F1304" t="str" cm="1">
        <f t="array" ref="F1304">IFERROR(_xlfn.XLOOKUP(E1304,MapeoCargos!$A:$A,MapeoCargos!$B:$B,E1304),E1304)</f>
        <v>AZAFATA</v>
      </c>
      <c r="G1304" s="46">
        <v>45789</v>
      </c>
    </row>
    <row r="1305" spans="1:7" x14ac:dyDescent="0.2">
      <c r="A1305" s="28" t="s">
        <v>1170</v>
      </c>
      <c r="B1305" s="35" t="s">
        <v>1013</v>
      </c>
      <c r="C1305" s="35" t="s">
        <v>1021</v>
      </c>
      <c r="D1305" s="35" t="s">
        <v>1171</v>
      </c>
      <c r="E1305" s="35" t="s">
        <v>127</v>
      </c>
      <c r="F1305" t="str" cm="1">
        <f t="array" ref="F1305">IFERROR(_xlfn.XLOOKUP(E1305,MapeoCargos!$A:$A,MapeoCargos!$B:$B,E1305),E1305)</f>
        <v>AZAFATA</v>
      </c>
      <c r="G1305" s="46">
        <v>45796</v>
      </c>
    </row>
    <row r="1306" spans="1:7" x14ac:dyDescent="0.2">
      <c r="A1306" s="28" t="s">
        <v>1172</v>
      </c>
      <c r="B1306" s="35" t="s">
        <v>1013</v>
      </c>
      <c r="C1306" s="35" t="s">
        <v>1022</v>
      </c>
      <c r="D1306" s="35" t="s">
        <v>1173</v>
      </c>
      <c r="E1306" s="35" t="s">
        <v>127</v>
      </c>
      <c r="F1306" t="str" cm="1">
        <f t="array" ref="F1306">IFERROR(_xlfn.XLOOKUP(E1306,MapeoCargos!$A:$A,MapeoCargos!$B:$B,E1306),E1306)</f>
        <v>AZAFATA</v>
      </c>
      <c r="G1306" s="46">
        <v>45831</v>
      </c>
    </row>
    <row r="1307" spans="1:7" x14ac:dyDescent="0.2">
      <c r="A1307" s="28" t="s">
        <v>1174</v>
      </c>
      <c r="B1307" s="35" t="s">
        <v>1013</v>
      </c>
      <c r="C1307" s="35" t="s">
        <v>1016</v>
      </c>
      <c r="D1307" s="35" t="s">
        <v>1175</v>
      </c>
      <c r="E1307" s="35" t="s">
        <v>29</v>
      </c>
      <c r="F1307" t="str" cm="1">
        <f t="array" ref="F1307">IFERROR(_xlfn.XLOOKUP(E1307,MapeoCargos!$A:$A,MapeoCargos!$B:$B,E1307),E1307)</f>
        <v>MOZO</v>
      </c>
      <c r="G1307" s="46">
        <v>45845</v>
      </c>
    </row>
    <row r="1308" spans="1:7" x14ac:dyDescent="0.2">
      <c r="A1308" s="28" t="s">
        <v>1176</v>
      </c>
      <c r="B1308" s="35" t="s">
        <v>1013</v>
      </c>
      <c r="C1308" s="35" t="s">
        <v>1022</v>
      </c>
      <c r="D1308" s="35" t="s">
        <v>1177</v>
      </c>
      <c r="E1308" s="35" t="s">
        <v>127</v>
      </c>
      <c r="F1308" t="str" cm="1">
        <f t="array" ref="F1308">IFERROR(_xlfn.XLOOKUP(E1308,MapeoCargos!$A:$A,MapeoCargos!$B:$B,E1308),E1308)</f>
        <v>AZAFATA</v>
      </c>
      <c r="G1308" s="46">
        <v>45880</v>
      </c>
    </row>
    <row r="1309" spans="1:7" x14ac:dyDescent="0.2">
      <c r="A1309" s="28" t="s">
        <v>1178</v>
      </c>
      <c r="B1309" s="35" t="s">
        <v>1013</v>
      </c>
      <c r="C1309" s="35" t="s">
        <v>1019</v>
      </c>
      <c r="D1309" s="35" t="s">
        <v>1179</v>
      </c>
      <c r="E1309" s="35" t="s">
        <v>127</v>
      </c>
      <c r="F1309" t="str" cm="1">
        <f t="array" ref="F1309">IFERROR(_xlfn.XLOOKUP(E1309,MapeoCargos!$A:$A,MapeoCargos!$B:$B,E1309),E1309)</f>
        <v>AZAFATA</v>
      </c>
      <c r="G1309" s="46">
        <v>45880</v>
      </c>
    </row>
    <row r="1310" spans="1:7" x14ac:dyDescent="0.2">
      <c r="A1310" s="28" t="s">
        <v>1180</v>
      </c>
      <c r="B1310" s="35" t="s">
        <v>1013</v>
      </c>
      <c r="C1310" s="35" t="s">
        <v>1020</v>
      </c>
      <c r="D1310" s="35" t="s">
        <v>1181</v>
      </c>
      <c r="E1310" s="35" t="s">
        <v>126</v>
      </c>
      <c r="F1310" t="str" cm="1">
        <f t="array" ref="F1310">IFERROR(_xlfn.XLOOKUP(E1310,MapeoCargos!$A:$A,MapeoCargos!$B:$B,E1310),E1310)</f>
        <v>MOTORIZADO</v>
      </c>
      <c r="G1310" s="46">
        <v>45880</v>
      </c>
    </row>
    <row r="1311" spans="1:7" x14ac:dyDescent="0.2">
      <c r="A1311" s="28" t="s">
        <v>1182</v>
      </c>
      <c r="B1311" s="35" t="s">
        <v>1013</v>
      </c>
      <c r="C1311" s="35" t="s">
        <v>1020</v>
      </c>
      <c r="D1311" s="35" t="s">
        <v>1183</v>
      </c>
      <c r="E1311" s="35" t="s">
        <v>127</v>
      </c>
      <c r="F1311" t="str" cm="1">
        <f t="array" ref="F1311">IFERROR(_xlfn.XLOOKUP(E1311,MapeoCargos!$A:$A,MapeoCargos!$B:$B,E1311),E1311)</f>
        <v>AZAFATA</v>
      </c>
      <c r="G1311" s="46">
        <v>45880</v>
      </c>
    </row>
    <row r="1312" spans="1:7" x14ac:dyDescent="0.2">
      <c r="A1312" s="28" t="s">
        <v>198</v>
      </c>
      <c r="B1312" s="35" t="s">
        <v>1013</v>
      </c>
      <c r="C1312" s="35" t="s">
        <v>1014</v>
      </c>
      <c r="D1312" s="35" t="s">
        <v>199</v>
      </c>
      <c r="E1312" s="35" t="s">
        <v>200</v>
      </c>
      <c r="F1312" t="str" cm="1">
        <f t="array" ref="F1312">IFERROR(_xlfn.XLOOKUP(E1312,MapeoCargos!$A:$A,MapeoCargos!$B:$B,E1312),E1312)</f>
        <v>SEGURIDAD</v>
      </c>
      <c r="G1312" s="46">
        <v>45931</v>
      </c>
    </row>
    <row r="1313" spans="1:7" x14ac:dyDescent="0.2">
      <c r="A1313" s="28" t="s">
        <v>4562</v>
      </c>
      <c r="B1313" s="35" t="s">
        <v>1013</v>
      </c>
      <c r="C1313" s="35" t="s">
        <v>1019</v>
      </c>
      <c r="D1313" s="35" t="s">
        <v>4666</v>
      </c>
      <c r="E1313" s="35" t="s">
        <v>83</v>
      </c>
      <c r="F1313" t="str" cm="1">
        <f t="array" ref="F1313">IFERROR(_xlfn.XLOOKUP(E1313,MapeoCargos!$A:$A,MapeoCargos!$B:$B,E1313),E1313)</f>
        <v>PRODUCCIÓN / COCINA</v>
      </c>
      <c r="G1313" s="46">
        <v>45978</v>
      </c>
    </row>
    <row r="1314" spans="1:7" x14ac:dyDescent="0.2">
      <c r="A1314" s="28" t="s">
        <v>4563</v>
      </c>
      <c r="B1314" s="35" t="s">
        <v>1013</v>
      </c>
      <c r="C1314" s="35" t="s">
        <v>1020</v>
      </c>
      <c r="D1314" s="35" t="s">
        <v>4667</v>
      </c>
      <c r="E1314" s="35" t="s">
        <v>83</v>
      </c>
      <c r="F1314" t="str" cm="1">
        <f t="array" ref="F1314">IFERROR(_xlfn.XLOOKUP(E1314,MapeoCargos!$A:$A,MapeoCargos!$B:$B,E1314),E1314)</f>
        <v>PRODUCCIÓN / COCINA</v>
      </c>
      <c r="G1314" s="46">
        <v>45978</v>
      </c>
    </row>
    <row r="1315" spans="1:7" x14ac:dyDescent="0.2">
      <c r="A1315" s="28" t="s">
        <v>1271</v>
      </c>
      <c r="B1315" s="35" t="s">
        <v>1272</v>
      </c>
      <c r="C1315" s="35" t="s">
        <v>1273</v>
      </c>
      <c r="D1315" s="35" t="s">
        <v>1274</v>
      </c>
      <c r="E1315" s="35" t="s">
        <v>30</v>
      </c>
      <c r="F1315" t="str" cm="1">
        <f t="array" ref="F1315">IFERROR(_xlfn.XLOOKUP(E1315,MapeoCargos!$A:$A,MapeoCargos!$B:$B,E1315),E1315)</f>
        <v>STAFF ADMINISTRATIVO</v>
      </c>
      <c r="G1315" s="46">
        <v>43724</v>
      </c>
    </row>
    <row r="1316" spans="1:7" x14ac:dyDescent="0.2">
      <c r="A1316" s="28" t="s">
        <v>1275</v>
      </c>
      <c r="B1316" s="35" t="s">
        <v>1272</v>
      </c>
      <c r="C1316" s="35" t="s">
        <v>1273</v>
      </c>
      <c r="D1316" s="35" t="s">
        <v>1276</v>
      </c>
      <c r="E1316" s="35" t="s">
        <v>606</v>
      </c>
      <c r="F1316" t="str" cm="1">
        <f t="array" ref="F1316">IFERROR(_xlfn.XLOOKUP(E1316,MapeoCargos!$A:$A,MapeoCargos!$B:$B,E1316),E1316)</f>
        <v>BAR</v>
      </c>
      <c r="G1316" s="46">
        <v>43724</v>
      </c>
    </row>
    <row r="1317" spans="1:7" x14ac:dyDescent="0.2">
      <c r="A1317" s="28" t="s">
        <v>1277</v>
      </c>
      <c r="B1317" s="35" t="s">
        <v>1272</v>
      </c>
      <c r="C1317" s="35" t="s">
        <v>1273</v>
      </c>
      <c r="D1317" s="35" t="s">
        <v>1278</v>
      </c>
      <c r="E1317" s="35" t="s">
        <v>1279</v>
      </c>
      <c r="F1317" t="str" cm="1">
        <f t="array" ref="F1317">IFERROR(_xlfn.XLOOKUP(E1317,MapeoCargos!$A:$A,MapeoCargos!$B:$B,E1317),E1317)</f>
        <v>PRODUCCIÓN / COCINA</v>
      </c>
      <c r="G1317" s="46">
        <v>43724</v>
      </c>
    </row>
    <row r="1318" spans="1:7" x14ac:dyDescent="0.2">
      <c r="A1318" s="28" t="s">
        <v>1280</v>
      </c>
      <c r="B1318" s="35" t="s">
        <v>1272</v>
      </c>
      <c r="C1318" s="35" t="s">
        <v>1061</v>
      </c>
      <c r="D1318" s="35" t="s">
        <v>1281</v>
      </c>
      <c r="E1318" s="35" t="s">
        <v>1061</v>
      </c>
      <c r="F1318" t="str" cm="1">
        <f t="array" ref="F1318">IFERROR(_xlfn.XLOOKUP(E1318,MapeoCargos!$A:$A,MapeoCargos!$B:$B,E1318),E1318)</f>
        <v>PRODUCCION</v>
      </c>
      <c r="G1318" s="46">
        <v>43739</v>
      </c>
    </row>
    <row r="1319" spans="1:7" x14ac:dyDescent="0.2">
      <c r="A1319" s="28" t="s">
        <v>1282</v>
      </c>
      <c r="B1319" s="35" t="s">
        <v>1272</v>
      </c>
      <c r="C1319" s="35" t="s">
        <v>1283</v>
      </c>
      <c r="D1319" s="35" t="s">
        <v>1284</v>
      </c>
      <c r="E1319" s="35" t="s">
        <v>1285</v>
      </c>
      <c r="F1319" t="str" cm="1">
        <f t="array" ref="F1319">IFERROR(_xlfn.XLOOKUP(E1319,MapeoCargos!$A:$A,MapeoCargos!$B:$B,E1319),E1319)</f>
        <v xml:space="preserve">STAFF ADMINISTRATIVO </v>
      </c>
      <c r="G1319" s="46">
        <v>43739</v>
      </c>
    </row>
    <row r="1320" spans="1:7" x14ac:dyDescent="0.2">
      <c r="A1320" s="28" t="s">
        <v>1286</v>
      </c>
      <c r="B1320" s="35" t="s">
        <v>1272</v>
      </c>
      <c r="C1320" s="35" t="s">
        <v>1273</v>
      </c>
      <c r="D1320" s="35" t="s">
        <v>4055</v>
      </c>
      <c r="E1320" s="35" t="s">
        <v>1287</v>
      </c>
      <c r="F1320" t="str" cm="1">
        <f t="array" ref="F1320">IFERROR(_xlfn.XLOOKUP(E1320,MapeoCargos!$A:$A,MapeoCargos!$B:$B,E1320),E1320)</f>
        <v>ASISTENTE DE SERVICIO</v>
      </c>
      <c r="G1320" s="46">
        <v>43739</v>
      </c>
    </row>
    <row r="1321" spans="1:7" x14ac:dyDescent="0.2">
      <c r="A1321" s="28" t="s">
        <v>1288</v>
      </c>
      <c r="B1321" s="35" t="s">
        <v>1272</v>
      </c>
      <c r="C1321" s="35" t="s">
        <v>1061</v>
      </c>
      <c r="D1321" s="35" t="s">
        <v>1289</v>
      </c>
      <c r="E1321" s="35" t="s">
        <v>1290</v>
      </c>
      <c r="F1321" t="str" cm="1">
        <f t="array" ref="F1321">IFERROR(_xlfn.XLOOKUP(E1321,MapeoCargos!$A:$A,MapeoCargos!$B:$B,E1321),E1321)</f>
        <v>JEFE DE ASADOS</v>
      </c>
      <c r="G1321" s="46">
        <v>43739</v>
      </c>
    </row>
    <row r="1322" spans="1:7" x14ac:dyDescent="0.2">
      <c r="A1322" s="28" t="s">
        <v>1291</v>
      </c>
      <c r="B1322" s="35" t="s">
        <v>1272</v>
      </c>
      <c r="C1322" s="35" t="s">
        <v>1061</v>
      </c>
      <c r="D1322" s="35" t="s">
        <v>1292</v>
      </c>
      <c r="E1322" s="35" t="s">
        <v>1061</v>
      </c>
      <c r="F1322" t="str" cm="1">
        <f t="array" ref="F1322">IFERROR(_xlfn.XLOOKUP(E1322,MapeoCargos!$A:$A,MapeoCargos!$B:$B,E1322),E1322)</f>
        <v>PRODUCCION</v>
      </c>
      <c r="G1322" s="46">
        <v>43739</v>
      </c>
    </row>
    <row r="1323" spans="1:7" x14ac:dyDescent="0.2">
      <c r="A1323" s="28" t="s">
        <v>1293</v>
      </c>
      <c r="B1323" s="35" t="s">
        <v>1272</v>
      </c>
      <c r="C1323" s="35" t="s">
        <v>1294</v>
      </c>
      <c r="D1323" s="35" t="s">
        <v>1295</v>
      </c>
      <c r="E1323" s="35" t="s">
        <v>113</v>
      </c>
      <c r="F1323" t="str" cm="1">
        <f t="array" ref="F1323">IFERROR(_xlfn.XLOOKUP(E1323,MapeoCargos!$A:$A,MapeoCargos!$B:$B,E1323),E1323)</f>
        <v>HABILITADOR</v>
      </c>
      <c r="G1323" s="46">
        <v>43739</v>
      </c>
    </row>
    <row r="1324" spans="1:7" x14ac:dyDescent="0.2">
      <c r="A1324" s="28" t="s">
        <v>1296</v>
      </c>
      <c r="B1324" s="35" t="s">
        <v>1272</v>
      </c>
      <c r="C1324" s="35" t="s">
        <v>1297</v>
      </c>
      <c r="D1324" s="35" t="s">
        <v>1298</v>
      </c>
      <c r="E1324" s="35" t="s">
        <v>30</v>
      </c>
      <c r="F1324" t="str" cm="1">
        <f t="array" ref="F1324">IFERROR(_xlfn.XLOOKUP(E1324,MapeoCargos!$A:$A,MapeoCargos!$B:$B,E1324),E1324)</f>
        <v>STAFF ADMINISTRATIVO</v>
      </c>
      <c r="G1324" s="46">
        <v>43800</v>
      </c>
    </row>
    <row r="1325" spans="1:7" x14ac:dyDescent="0.2">
      <c r="A1325" s="28" t="s">
        <v>1299</v>
      </c>
      <c r="B1325" s="35" t="s">
        <v>1272</v>
      </c>
      <c r="C1325" s="35" t="s">
        <v>1061</v>
      </c>
      <c r="D1325" s="35" t="s">
        <v>1300</v>
      </c>
      <c r="E1325" s="35" t="s">
        <v>1301</v>
      </c>
      <c r="F1325" t="str" cm="1">
        <f t="array" ref="F1325">IFERROR(_xlfn.XLOOKUP(E1325,MapeoCargos!$A:$A,MapeoCargos!$B:$B,E1325),E1325)</f>
        <v>JEFE DE PRODUCCIÓN</v>
      </c>
      <c r="G1325" s="46">
        <v>43983</v>
      </c>
    </row>
    <row r="1326" spans="1:7" x14ac:dyDescent="0.2">
      <c r="A1326" s="28" t="s">
        <v>1302</v>
      </c>
      <c r="B1326" s="35" t="s">
        <v>1272</v>
      </c>
      <c r="C1326" s="35" t="s">
        <v>1273</v>
      </c>
      <c r="D1326" s="35" t="s">
        <v>1303</v>
      </c>
      <c r="E1326" s="35" t="s">
        <v>1279</v>
      </c>
      <c r="F1326" t="str" cm="1">
        <f t="array" ref="F1326">IFERROR(_xlfn.XLOOKUP(E1326,MapeoCargos!$A:$A,MapeoCargos!$B:$B,E1326),E1326)</f>
        <v>PRODUCCIÓN / COCINA</v>
      </c>
      <c r="G1326" s="46">
        <v>43983</v>
      </c>
    </row>
    <row r="1327" spans="1:7" x14ac:dyDescent="0.2">
      <c r="A1327" s="28" t="s">
        <v>1304</v>
      </c>
      <c r="B1327" s="35" t="s">
        <v>1272</v>
      </c>
      <c r="C1327" s="35" t="s">
        <v>1061</v>
      </c>
      <c r="D1327" s="35" t="s">
        <v>1305</v>
      </c>
      <c r="E1327" s="35" t="s">
        <v>1061</v>
      </c>
      <c r="F1327" t="str" cm="1">
        <f t="array" ref="F1327">IFERROR(_xlfn.XLOOKUP(E1327,MapeoCargos!$A:$A,MapeoCargos!$B:$B,E1327),E1327)</f>
        <v>PRODUCCION</v>
      </c>
      <c r="G1327" s="46">
        <v>44075</v>
      </c>
    </row>
    <row r="1328" spans="1:7" x14ac:dyDescent="0.2">
      <c r="A1328" s="28" t="s">
        <v>1306</v>
      </c>
      <c r="B1328" s="35" t="s">
        <v>1272</v>
      </c>
      <c r="C1328" s="35" t="s">
        <v>1061</v>
      </c>
      <c r="D1328" s="35" t="s">
        <v>1307</v>
      </c>
      <c r="E1328" s="35" t="s">
        <v>1061</v>
      </c>
      <c r="F1328" t="str" cm="1">
        <f t="array" ref="F1328">IFERROR(_xlfn.XLOOKUP(E1328,MapeoCargos!$A:$A,MapeoCargos!$B:$B,E1328),E1328)</f>
        <v>PRODUCCION</v>
      </c>
      <c r="G1328" s="46">
        <v>44302</v>
      </c>
    </row>
    <row r="1329" spans="1:7" x14ac:dyDescent="0.2">
      <c r="A1329" s="28" t="s">
        <v>1308</v>
      </c>
      <c r="B1329" s="35" t="s">
        <v>1272</v>
      </c>
      <c r="C1329" s="35" t="s">
        <v>1273</v>
      </c>
      <c r="D1329" s="35" t="s">
        <v>1309</v>
      </c>
      <c r="E1329" s="35" t="s">
        <v>1310</v>
      </c>
      <c r="F1329" t="str" cm="1">
        <f t="array" ref="F1329">IFERROR(_xlfn.XLOOKUP(E1329,MapeoCargos!$A:$A,MapeoCargos!$B:$B,E1329),E1329)</f>
        <v>PRODUCCIÓN / COCINA</v>
      </c>
      <c r="G1329" s="46">
        <v>44378</v>
      </c>
    </row>
    <row r="1330" spans="1:7" x14ac:dyDescent="0.2">
      <c r="A1330" s="28" t="s">
        <v>1313</v>
      </c>
      <c r="B1330" s="35" t="s">
        <v>1272</v>
      </c>
      <c r="C1330" s="35" t="s">
        <v>1294</v>
      </c>
      <c r="D1330" s="35" t="s">
        <v>1314</v>
      </c>
      <c r="E1330" s="35" t="s">
        <v>1285</v>
      </c>
      <c r="F1330" t="str" cm="1">
        <f t="array" ref="F1330">IFERROR(_xlfn.XLOOKUP(E1330,MapeoCargos!$A:$A,MapeoCargos!$B:$B,E1330),E1330)</f>
        <v xml:space="preserve">STAFF ADMINISTRATIVO </v>
      </c>
      <c r="G1330" s="46">
        <v>44501</v>
      </c>
    </row>
    <row r="1331" spans="1:7" x14ac:dyDescent="0.2">
      <c r="A1331" s="28" t="s">
        <v>1315</v>
      </c>
      <c r="B1331" s="35" t="s">
        <v>1272</v>
      </c>
      <c r="C1331" s="35" t="s">
        <v>1316</v>
      </c>
      <c r="D1331" s="35" t="s">
        <v>1317</v>
      </c>
      <c r="E1331" s="35" t="s">
        <v>119</v>
      </c>
      <c r="F1331" t="str" cm="1">
        <f t="array" ref="F1331">IFERROR(_xlfn.XLOOKUP(E1331,MapeoCargos!$A:$A,MapeoCargos!$B:$B,E1331),E1331)</f>
        <v>TELEOPERADOR(A)</v>
      </c>
      <c r="G1331" s="46">
        <v>44501</v>
      </c>
    </row>
    <row r="1332" spans="1:7" x14ac:dyDescent="0.2">
      <c r="A1332" s="28" t="s">
        <v>1318</v>
      </c>
      <c r="B1332" s="35" t="s">
        <v>1272</v>
      </c>
      <c r="C1332" s="35" t="s">
        <v>1294</v>
      </c>
      <c r="D1332" s="35" t="s">
        <v>1319</v>
      </c>
      <c r="E1332" s="35" t="s">
        <v>30</v>
      </c>
      <c r="F1332" t="str" cm="1">
        <f t="array" ref="F1332">IFERROR(_xlfn.XLOOKUP(E1332,MapeoCargos!$A:$A,MapeoCargos!$B:$B,E1332),E1332)</f>
        <v>STAFF ADMINISTRATIVO</v>
      </c>
      <c r="G1332" s="46">
        <v>44577</v>
      </c>
    </row>
    <row r="1333" spans="1:7" x14ac:dyDescent="0.2">
      <c r="A1333" s="28" t="s">
        <v>1320</v>
      </c>
      <c r="B1333" s="35" t="s">
        <v>1272</v>
      </c>
      <c r="C1333" s="35" t="s">
        <v>1273</v>
      </c>
      <c r="D1333" s="35" t="s">
        <v>1321</v>
      </c>
      <c r="E1333" s="35" t="s">
        <v>113</v>
      </c>
      <c r="F1333" t="str" cm="1">
        <f t="array" ref="F1333">IFERROR(_xlfn.XLOOKUP(E1333,MapeoCargos!$A:$A,MapeoCargos!$B:$B,E1333),E1333)</f>
        <v>HABILITADOR</v>
      </c>
      <c r="G1333" s="46">
        <v>44608</v>
      </c>
    </row>
    <row r="1334" spans="1:7" x14ac:dyDescent="0.2">
      <c r="A1334" s="28" t="s">
        <v>1322</v>
      </c>
      <c r="B1334" s="35" t="s">
        <v>1272</v>
      </c>
      <c r="C1334" s="35" t="s">
        <v>1283</v>
      </c>
      <c r="D1334" s="35" t="s">
        <v>1323</v>
      </c>
      <c r="E1334" s="35" t="s">
        <v>1324</v>
      </c>
      <c r="F1334" t="str" cm="1">
        <f t="array" ref="F1334">IFERROR(_xlfn.XLOOKUP(E1334,MapeoCargos!$A:$A,MapeoCargos!$B:$B,E1334),E1334)</f>
        <v>CAPITÁN(A) DE SERVICIO</v>
      </c>
      <c r="G1334" s="46">
        <v>44621</v>
      </c>
    </row>
    <row r="1335" spans="1:7" x14ac:dyDescent="0.2">
      <c r="A1335" s="28" t="s">
        <v>1325</v>
      </c>
      <c r="B1335" s="35" t="s">
        <v>1272</v>
      </c>
      <c r="C1335" s="35" t="s">
        <v>1297</v>
      </c>
      <c r="D1335" s="35" t="s">
        <v>1326</v>
      </c>
      <c r="E1335" s="35" t="s">
        <v>1312</v>
      </c>
      <c r="F1335" t="str" cm="1">
        <f t="array" ref="F1335">IFERROR(_xlfn.XLOOKUP(E1335,MapeoCargos!$A:$A,MapeoCargos!$B:$B,E1335),E1335)</f>
        <v>JEFE DE SERVICIO</v>
      </c>
      <c r="G1335" s="46">
        <v>44628</v>
      </c>
    </row>
    <row r="1336" spans="1:7" x14ac:dyDescent="0.2">
      <c r="A1336" s="28" t="s">
        <v>1327</v>
      </c>
      <c r="B1336" s="35" t="s">
        <v>1272</v>
      </c>
      <c r="C1336" s="35" t="s">
        <v>1283</v>
      </c>
      <c r="D1336" s="35" t="s">
        <v>1328</v>
      </c>
      <c r="E1336" s="35" t="s">
        <v>113</v>
      </c>
      <c r="F1336" t="str" cm="1">
        <f t="array" ref="F1336">IFERROR(_xlfn.XLOOKUP(E1336,MapeoCargos!$A:$A,MapeoCargos!$B:$B,E1336),E1336)</f>
        <v>HABILITADOR</v>
      </c>
      <c r="G1336" s="46">
        <v>44628</v>
      </c>
    </row>
    <row r="1337" spans="1:7" x14ac:dyDescent="0.2">
      <c r="A1337" s="28" t="s">
        <v>1329</v>
      </c>
      <c r="B1337" s="35" t="s">
        <v>1272</v>
      </c>
      <c r="C1337" s="35" t="s">
        <v>1273</v>
      </c>
      <c r="D1337" s="35" t="s">
        <v>1330</v>
      </c>
      <c r="E1337" s="35" t="s">
        <v>1331</v>
      </c>
      <c r="F1337" t="str" cm="1">
        <f t="array" ref="F1337">IFERROR(_xlfn.XLOOKUP(E1337,MapeoCargos!$A:$A,MapeoCargos!$B:$B,E1337),E1337)</f>
        <v>JEFE DE ALMACÉN</v>
      </c>
      <c r="G1337" s="46">
        <v>44636</v>
      </c>
    </row>
    <row r="1338" spans="1:7" x14ac:dyDescent="0.2">
      <c r="A1338" s="28" t="s">
        <v>1332</v>
      </c>
      <c r="B1338" s="35" t="s">
        <v>1272</v>
      </c>
      <c r="C1338" s="35" t="s">
        <v>1061</v>
      </c>
      <c r="D1338" s="35" t="s">
        <v>1333</v>
      </c>
      <c r="E1338" s="35" t="s">
        <v>1061</v>
      </c>
      <c r="F1338" t="str" cm="1">
        <f t="array" ref="F1338">IFERROR(_xlfn.XLOOKUP(E1338,MapeoCargos!$A:$A,MapeoCargos!$B:$B,E1338),E1338)</f>
        <v>PRODUCCION</v>
      </c>
      <c r="G1338" s="46">
        <v>44636</v>
      </c>
    </row>
    <row r="1339" spans="1:7" x14ac:dyDescent="0.2">
      <c r="A1339" s="28" t="s">
        <v>1334</v>
      </c>
      <c r="B1339" s="35" t="s">
        <v>1272</v>
      </c>
      <c r="C1339" s="35" t="s">
        <v>1061</v>
      </c>
      <c r="D1339" s="35" t="s">
        <v>1335</v>
      </c>
      <c r="E1339" s="35" t="s">
        <v>1061</v>
      </c>
      <c r="F1339" t="str" cm="1">
        <f t="array" ref="F1339">IFERROR(_xlfn.XLOOKUP(E1339,MapeoCargos!$A:$A,MapeoCargos!$B:$B,E1339),E1339)</f>
        <v>PRODUCCION</v>
      </c>
      <c r="G1339" s="46">
        <v>44649</v>
      </c>
    </row>
    <row r="1340" spans="1:7" x14ac:dyDescent="0.2">
      <c r="A1340" s="28" t="s">
        <v>1336</v>
      </c>
      <c r="B1340" s="35" t="s">
        <v>1272</v>
      </c>
      <c r="C1340" s="35" t="s">
        <v>1283</v>
      </c>
      <c r="D1340" s="35" t="s">
        <v>1337</v>
      </c>
      <c r="E1340" s="35" t="s">
        <v>1338</v>
      </c>
      <c r="F1340" t="str" cm="1">
        <f t="array" ref="F1340">IFERROR(_xlfn.XLOOKUP(E1340,MapeoCargos!$A:$A,MapeoCargos!$B:$B,E1340),E1340)</f>
        <v>LIMPIEZA / MANTENIMIENTO</v>
      </c>
      <c r="G1340" s="46">
        <v>44652</v>
      </c>
    </row>
    <row r="1341" spans="1:7" x14ac:dyDescent="0.2">
      <c r="A1341" s="28" t="s">
        <v>1339</v>
      </c>
      <c r="B1341" s="35" t="s">
        <v>1272</v>
      </c>
      <c r="C1341" s="35" t="s">
        <v>1316</v>
      </c>
      <c r="D1341" s="35" t="s">
        <v>1340</v>
      </c>
      <c r="E1341" s="35" t="s">
        <v>119</v>
      </c>
      <c r="F1341" t="str" cm="1">
        <f t="array" ref="F1341">IFERROR(_xlfn.XLOOKUP(E1341,MapeoCargos!$A:$A,MapeoCargos!$B:$B,E1341),E1341)</f>
        <v>TELEOPERADOR(A)</v>
      </c>
      <c r="G1341" s="46">
        <v>44652</v>
      </c>
    </row>
    <row r="1342" spans="1:7" x14ac:dyDescent="0.2">
      <c r="A1342" s="28" t="s">
        <v>1341</v>
      </c>
      <c r="B1342" s="35" t="s">
        <v>1272</v>
      </c>
      <c r="C1342" s="35" t="s">
        <v>1061</v>
      </c>
      <c r="D1342" s="35" t="s">
        <v>1342</v>
      </c>
      <c r="E1342" s="35" t="s">
        <v>1061</v>
      </c>
      <c r="F1342" t="str" cm="1">
        <f t="array" ref="F1342">IFERROR(_xlfn.XLOOKUP(E1342,MapeoCargos!$A:$A,MapeoCargos!$B:$B,E1342),E1342)</f>
        <v>PRODUCCION</v>
      </c>
      <c r="G1342" s="46">
        <v>44652</v>
      </c>
    </row>
    <row r="1343" spans="1:7" x14ac:dyDescent="0.2">
      <c r="A1343" s="28" t="s">
        <v>1343</v>
      </c>
      <c r="B1343" s="35" t="s">
        <v>1272</v>
      </c>
      <c r="C1343" s="35" t="s">
        <v>1061</v>
      </c>
      <c r="D1343" s="35" t="s">
        <v>1344</v>
      </c>
      <c r="E1343" s="35" t="s">
        <v>1061</v>
      </c>
      <c r="F1343" t="str" cm="1">
        <f t="array" ref="F1343">IFERROR(_xlfn.XLOOKUP(E1343,MapeoCargos!$A:$A,MapeoCargos!$B:$B,E1343),E1343)</f>
        <v>PRODUCCION</v>
      </c>
      <c r="G1343" s="46">
        <v>44653</v>
      </c>
    </row>
    <row r="1344" spans="1:7" x14ac:dyDescent="0.2">
      <c r="A1344" s="28" t="s">
        <v>1345</v>
      </c>
      <c r="B1344" s="35" t="s">
        <v>1272</v>
      </c>
      <c r="C1344" s="35" t="s">
        <v>31</v>
      </c>
      <c r="D1344" s="35" t="s">
        <v>1346</v>
      </c>
      <c r="E1344" s="35" t="s">
        <v>1347</v>
      </c>
      <c r="F1344" t="str" cm="1">
        <f t="array" ref="F1344">IFERROR(_xlfn.XLOOKUP(E1344,MapeoCargos!$A:$A,MapeoCargos!$B:$B,E1344),E1344)</f>
        <v>JEFE DE COSTOS</v>
      </c>
      <c r="G1344" s="46">
        <v>44663</v>
      </c>
    </row>
    <row r="1345" spans="1:7" x14ac:dyDescent="0.2">
      <c r="A1345" s="28" t="s">
        <v>1348</v>
      </c>
      <c r="B1345" s="35" t="s">
        <v>1272</v>
      </c>
      <c r="C1345" s="35" t="s">
        <v>1273</v>
      </c>
      <c r="D1345" s="35" t="s">
        <v>1349</v>
      </c>
      <c r="E1345" s="35" t="s">
        <v>83</v>
      </c>
      <c r="F1345" t="str" cm="1">
        <f t="array" ref="F1345">IFERROR(_xlfn.XLOOKUP(E1345,MapeoCargos!$A:$A,MapeoCargos!$B:$B,E1345),E1345)</f>
        <v>PRODUCCIÓN / COCINA</v>
      </c>
      <c r="G1345" s="46">
        <v>44663</v>
      </c>
    </row>
    <row r="1346" spans="1:7" x14ac:dyDescent="0.2">
      <c r="A1346" s="28" t="s">
        <v>1350</v>
      </c>
      <c r="B1346" s="35" t="s">
        <v>1272</v>
      </c>
      <c r="C1346" s="35" t="s">
        <v>1273</v>
      </c>
      <c r="D1346" s="35" t="s">
        <v>1351</v>
      </c>
      <c r="E1346" s="35" t="s">
        <v>1352</v>
      </c>
      <c r="F1346" t="str" cm="1">
        <f t="array" ref="F1346">IFERROR(_xlfn.XLOOKUP(E1346,MapeoCargos!$A:$A,MapeoCargos!$B:$B,E1346),E1346)</f>
        <v>PRODUCCIÓN / COCINA</v>
      </c>
      <c r="G1346" s="46">
        <v>44667</v>
      </c>
    </row>
    <row r="1347" spans="1:7" x14ac:dyDescent="0.2">
      <c r="A1347" s="28" t="s">
        <v>1353</v>
      </c>
      <c r="B1347" s="35" t="s">
        <v>1272</v>
      </c>
      <c r="C1347" s="35" t="s">
        <v>1316</v>
      </c>
      <c r="D1347" s="35" t="s">
        <v>4056</v>
      </c>
      <c r="E1347" s="35" t="s">
        <v>1354</v>
      </c>
      <c r="F1347" t="str" cm="1">
        <f t="array" ref="F1347">IFERROR(_xlfn.XLOOKUP(E1347,MapeoCargos!$A:$A,MapeoCargos!$B:$B,E1347),E1347)</f>
        <v>TELEOPERADOR(A) P/T</v>
      </c>
      <c r="G1347" s="46">
        <v>44669</v>
      </c>
    </row>
    <row r="1348" spans="1:7" x14ac:dyDescent="0.2">
      <c r="A1348" s="27" t="s">
        <v>1355</v>
      </c>
      <c r="B1348" s="35" t="s">
        <v>1272</v>
      </c>
      <c r="C1348" s="35" t="s">
        <v>1297</v>
      </c>
      <c r="D1348" s="35" t="s">
        <v>1356</v>
      </c>
      <c r="E1348" s="35" t="s">
        <v>1352</v>
      </c>
      <c r="F1348" t="str" cm="1">
        <f t="array" ref="F1348">IFERROR(_xlfn.XLOOKUP(E1348,MapeoCargos!$A:$A,MapeoCargos!$B:$B,E1348),E1348)</f>
        <v>PRODUCCIÓN / COCINA</v>
      </c>
      <c r="G1348" s="46">
        <v>44671</v>
      </c>
    </row>
    <row r="1349" spans="1:7" x14ac:dyDescent="0.2">
      <c r="A1349" s="27" t="s">
        <v>1357</v>
      </c>
      <c r="B1349" s="35" t="s">
        <v>1272</v>
      </c>
      <c r="C1349" s="35" t="s">
        <v>1283</v>
      </c>
      <c r="D1349" s="35" t="s">
        <v>1358</v>
      </c>
      <c r="E1349" s="35" t="s">
        <v>606</v>
      </c>
      <c r="F1349" t="str" cm="1">
        <f t="array" ref="F1349">IFERROR(_xlfn.XLOOKUP(E1349,MapeoCargos!$A:$A,MapeoCargos!$B:$B,E1349),E1349)</f>
        <v>BAR</v>
      </c>
      <c r="G1349" s="46">
        <v>44671</v>
      </c>
    </row>
    <row r="1350" spans="1:7" x14ac:dyDescent="0.2">
      <c r="A1350" s="27" t="s">
        <v>1359</v>
      </c>
      <c r="B1350" s="35" t="s">
        <v>1272</v>
      </c>
      <c r="C1350" s="35" t="s">
        <v>1273</v>
      </c>
      <c r="D1350" s="35" t="s">
        <v>1360</v>
      </c>
      <c r="E1350" s="35" t="s">
        <v>83</v>
      </c>
      <c r="F1350" t="str" cm="1">
        <f t="array" ref="F1350">IFERROR(_xlfn.XLOOKUP(E1350,MapeoCargos!$A:$A,MapeoCargos!$B:$B,E1350),E1350)</f>
        <v>PRODUCCIÓN / COCINA</v>
      </c>
      <c r="G1350" s="46">
        <v>44701</v>
      </c>
    </row>
    <row r="1351" spans="1:7" x14ac:dyDescent="0.2">
      <c r="A1351" s="27" t="s">
        <v>1361</v>
      </c>
      <c r="B1351" s="35" t="s">
        <v>1272</v>
      </c>
      <c r="C1351" s="35" t="s">
        <v>1283</v>
      </c>
      <c r="D1351" s="35" t="s">
        <v>1362</v>
      </c>
      <c r="E1351" s="35" t="s">
        <v>1324</v>
      </c>
      <c r="F1351" t="str" cm="1">
        <f t="array" ref="F1351">IFERROR(_xlfn.XLOOKUP(E1351,MapeoCargos!$A:$A,MapeoCargos!$B:$B,E1351),E1351)</f>
        <v>CAPITÁN(A) DE SERVICIO</v>
      </c>
      <c r="G1351" s="46">
        <v>44713</v>
      </c>
    </row>
    <row r="1352" spans="1:7" x14ac:dyDescent="0.2">
      <c r="A1352" s="27" t="s">
        <v>1363</v>
      </c>
      <c r="B1352" s="35" t="s">
        <v>1272</v>
      </c>
      <c r="C1352" s="35" t="s">
        <v>1273</v>
      </c>
      <c r="D1352" s="35" t="s">
        <v>1364</v>
      </c>
      <c r="E1352" s="35" t="s">
        <v>1285</v>
      </c>
      <c r="F1352" t="str" cm="1">
        <f t="array" ref="F1352">IFERROR(_xlfn.XLOOKUP(E1352,MapeoCargos!$A:$A,MapeoCargos!$B:$B,E1352),E1352)</f>
        <v xml:space="preserve">STAFF ADMINISTRATIVO </v>
      </c>
      <c r="G1352" s="46">
        <v>44713</v>
      </c>
    </row>
    <row r="1353" spans="1:7" x14ac:dyDescent="0.2">
      <c r="A1353" s="27" t="s">
        <v>1365</v>
      </c>
      <c r="B1353" s="35" t="s">
        <v>1272</v>
      </c>
      <c r="C1353" s="35" t="s">
        <v>31</v>
      </c>
      <c r="D1353" s="35" t="s">
        <v>1366</v>
      </c>
      <c r="E1353" s="35" t="s">
        <v>705</v>
      </c>
      <c r="F1353" t="str" cm="1">
        <f t="array" ref="F1353">IFERROR(_xlfn.XLOOKUP(E1353,MapeoCargos!$A:$A,MapeoCargos!$B:$B,E1353),E1353)</f>
        <v>CHEF CORPORATIVO</v>
      </c>
      <c r="G1353" s="46">
        <v>44713</v>
      </c>
    </row>
    <row r="1354" spans="1:7" x14ac:dyDescent="0.2">
      <c r="A1354" s="27" t="s">
        <v>1367</v>
      </c>
      <c r="B1354" s="35" t="s">
        <v>1272</v>
      </c>
      <c r="C1354" s="35" t="s">
        <v>31</v>
      </c>
      <c r="D1354" s="35" t="s">
        <v>1368</v>
      </c>
      <c r="E1354" s="35" t="s">
        <v>1369</v>
      </c>
      <c r="F1354" t="str" cm="1">
        <f t="array" ref="F1354">IFERROR(_xlfn.XLOOKUP(E1354,MapeoCargos!$A:$A,MapeoCargos!$B:$B,E1354),E1354)</f>
        <v>AUDITOR(A) DE COSTOS</v>
      </c>
      <c r="G1354" s="46">
        <v>44743</v>
      </c>
    </row>
    <row r="1355" spans="1:7" x14ac:dyDescent="0.2">
      <c r="A1355" s="27" t="s">
        <v>1370</v>
      </c>
      <c r="B1355" s="35" t="s">
        <v>1272</v>
      </c>
      <c r="C1355" s="35" t="s">
        <v>1273</v>
      </c>
      <c r="D1355" s="35" t="s">
        <v>1371</v>
      </c>
      <c r="E1355" s="35" t="s">
        <v>1279</v>
      </c>
      <c r="F1355" t="str" cm="1">
        <f t="array" ref="F1355">IFERROR(_xlfn.XLOOKUP(E1355,MapeoCargos!$A:$A,MapeoCargos!$B:$B,E1355),E1355)</f>
        <v>PRODUCCIÓN / COCINA</v>
      </c>
      <c r="G1355" s="46">
        <v>44743</v>
      </c>
    </row>
    <row r="1356" spans="1:7" x14ac:dyDescent="0.2">
      <c r="A1356" s="27" t="s">
        <v>1372</v>
      </c>
      <c r="B1356" s="35" t="s">
        <v>1272</v>
      </c>
      <c r="C1356" s="35" t="s">
        <v>1273</v>
      </c>
      <c r="D1356" s="35" t="s">
        <v>1373</v>
      </c>
      <c r="E1356" s="35" t="s">
        <v>1338</v>
      </c>
      <c r="F1356" t="str" cm="1">
        <f t="array" ref="F1356">IFERROR(_xlfn.XLOOKUP(E1356,MapeoCargos!$A:$A,MapeoCargos!$B:$B,E1356),E1356)</f>
        <v>LIMPIEZA / MANTENIMIENTO</v>
      </c>
      <c r="G1356" s="46">
        <v>44774</v>
      </c>
    </row>
    <row r="1357" spans="1:7" x14ac:dyDescent="0.2">
      <c r="A1357" s="27" t="s">
        <v>1374</v>
      </c>
      <c r="B1357" s="35" t="s">
        <v>1272</v>
      </c>
      <c r="C1357" s="35" t="s">
        <v>1273</v>
      </c>
      <c r="D1357" s="35" t="s">
        <v>1375</v>
      </c>
      <c r="E1357" s="35" t="s">
        <v>1338</v>
      </c>
      <c r="F1357" t="str" cm="1">
        <f t="array" ref="F1357">IFERROR(_xlfn.XLOOKUP(E1357,MapeoCargos!$A:$A,MapeoCargos!$B:$B,E1357),E1357)</f>
        <v>LIMPIEZA / MANTENIMIENTO</v>
      </c>
      <c r="G1357" s="46">
        <v>44774</v>
      </c>
    </row>
    <row r="1358" spans="1:7" x14ac:dyDescent="0.2">
      <c r="A1358" s="27" t="s">
        <v>1376</v>
      </c>
      <c r="B1358" s="35" t="s">
        <v>1272</v>
      </c>
      <c r="C1358" s="35" t="s">
        <v>1283</v>
      </c>
      <c r="D1358" s="35" t="s">
        <v>1377</v>
      </c>
      <c r="E1358" s="35" t="s">
        <v>30</v>
      </c>
      <c r="F1358" t="str" cm="1">
        <f t="array" ref="F1358">IFERROR(_xlfn.XLOOKUP(E1358,MapeoCargos!$A:$A,MapeoCargos!$B:$B,E1358),E1358)</f>
        <v>STAFF ADMINISTRATIVO</v>
      </c>
      <c r="G1358" s="46">
        <v>44774</v>
      </c>
    </row>
    <row r="1359" spans="1:7" x14ac:dyDescent="0.2">
      <c r="A1359" s="27" t="s">
        <v>1378</v>
      </c>
      <c r="B1359" s="35" t="s">
        <v>1272</v>
      </c>
      <c r="C1359" s="34" t="s">
        <v>1283</v>
      </c>
      <c r="D1359" s="35" t="s">
        <v>1379</v>
      </c>
      <c r="E1359" s="35" t="s">
        <v>30</v>
      </c>
      <c r="F1359" t="str" cm="1">
        <f t="array" ref="F1359">IFERROR(_xlfn.XLOOKUP(E1359,MapeoCargos!$A:$A,MapeoCargos!$B:$B,E1359),E1359)</f>
        <v>STAFF ADMINISTRATIVO</v>
      </c>
      <c r="G1359" s="46">
        <v>44789</v>
      </c>
    </row>
    <row r="1360" spans="1:7" x14ac:dyDescent="0.2">
      <c r="A1360" s="27" t="s">
        <v>1380</v>
      </c>
      <c r="B1360" s="35" t="s">
        <v>1272</v>
      </c>
      <c r="C1360" s="34" t="s">
        <v>1273</v>
      </c>
      <c r="D1360" s="35" t="s">
        <v>1381</v>
      </c>
      <c r="E1360" s="35" t="s">
        <v>1324</v>
      </c>
      <c r="F1360" t="str" cm="1">
        <f t="array" ref="F1360">IFERROR(_xlfn.XLOOKUP(E1360,MapeoCargos!$A:$A,MapeoCargos!$B:$B,E1360),E1360)</f>
        <v>CAPITÁN(A) DE SERVICIO</v>
      </c>
      <c r="G1360" s="46">
        <v>44805</v>
      </c>
    </row>
    <row r="1361" spans="1:7" x14ac:dyDescent="0.2">
      <c r="A1361" s="27" t="s">
        <v>1382</v>
      </c>
      <c r="B1361" s="35" t="s">
        <v>1272</v>
      </c>
      <c r="C1361" s="34" t="s">
        <v>31</v>
      </c>
      <c r="D1361" s="35" t="s">
        <v>1383</v>
      </c>
      <c r="E1361" s="35" t="s">
        <v>1384</v>
      </c>
      <c r="F1361" t="str" cm="1">
        <f t="array" ref="F1361">IFERROR(_xlfn.XLOOKUP(E1361,MapeoCargos!$A:$A,MapeoCargos!$B:$B,E1361),E1361)</f>
        <v>GERENTE DE OPERACIONES</v>
      </c>
      <c r="G1361" s="46">
        <v>44805</v>
      </c>
    </row>
    <row r="1362" spans="1:7" x14ac:dyDescent="0.2">
      <c r="A1362" s="27" t="s">
        <v>1385</v>
      </c>
      <c r="B1362" s="35" t="s">
        <v>1272</v>
      </c>
      <c r="C1362" s="34" t="s">
        <v>1283</v>
      </c>
      <c r="D1362" s="35" t="s">
        <v>1386</v>
      </c>
      <c r="E1362" s="35" t="s">
        <v>1324</v>
      </c>
      <c r="F1362" t="str" cm="1">
        <f t="array" ref="F1362">IFERROR(_xlfn.XLOOKUP(E1362,MapeoCargos!$A:$A,MapeoCargos!$B:$B,E1362),E1362)</f>
        <v>CAPITÁN(A) DE SERVICIO</v>
      </c>
      <c r="G1362" s="46">
        <v>44820</v>
      </c>
    </row>
    <row r="1363" spans="1:7" x14ac:dyDescent="0.2">
      <c r="A1363" s="27" t="s">
        <v>1387</v>
      </c>
      <c r="B1363" s="35" t="s">
        <v>1272</v>
      </c>
      <c r="C1363" s="34" t="s">
        <v>1283</v>
      </c>
      <c r="D1363" s="35" t="s">
        <v>1388</v>
      </c>
      <c r="E1363" s="35" t="s">
        <v>126</v>
      </c>
      <c r="F1363" t="str" cm="1">
        <f t="array" ref="F1363">IFERROR(_xlfn.XLOOKUP(E1363,MapeoCargos!$A:$A,MapeoCargos!$B:$B,E1363),E1363)</f>
        <v>MOTORIZADO</v>
      </c>
      <c r="G1363" s="46">
        <v>44866</v>
      </c>
    </row>
    <row r="1364" spans="1:7" x14ac:dyDescent="0.2">
      <c r="A1364" s="27" t="s">
        <v>1389</v>
      </c>
      <c r="B1364" s="35" t="s">
        <v>1272</v>
      </c>
      <c r="C1364" s="34" t="s">
        <v>1283</v>
      </c>
      <c r="D1364" s="35" t="s">
        <v>1390</v>
      </c>
      <c r="E1364" s="35" t="s">
        <v>1279</v>
      </c>
      <c r="F1364" t="str" cm="1">
        <f t="array" ref="F1364">IFERROR(_xlfn.XLOOKUP(E1364,MapeoCargos!$A:$A,MapeoCargos!$B:$B,E1364),E1364)</f>
        <v>PRODUCCIÓN / COCINA</v>
      </c>
      <c r="G1364" s="46">
        <v>44872</v>
      </c>
    </row>
    <row r="1365" spans="1:7" x14ac:dyDescent="0.2">
      <c r="A1365" s="27" t="s">
        <v>1391</v>
      </c>
      <c r="B1365" s="35" t="s">
        <v>1272</v>
      </c>
      <c r="C1365" s="34" t="s">
        <v>1283</v>
      </c>
      <c r="D1365" s="35" t="s">
        <v>1392</v>
      </c>
      <c r="E1365" s="35" t="s">
        <v>1279</v>
      </c>
      <c r="F1365" t="str" cm="1">
        <f t="array" ref="F1365">IFERROR(_xlfn.XLOOKUP(E1365,MapeoCargos!$A:$A,MapeoCargos!$B:$B,E1365),E1365)</f>
        <v>PRODUCCIÓN / COCINA</v>
      </c>
      <c r="G1365" s="46">
        <v>44881</v>
      </c>
    </row>
    <row r="1366" spans="1:7" x14ac:dyDescent="0.2">
      <c r="A1366" s="27" t="s">
        <v>1393</v>
      </c>
      <c r="B1366" s="35" t="s">
        <v>1272</v>
      </c>
      <c r="C1366" s="34" t="s">
        <v>1283</v>
      </c>
      <c r="D1366" s="35" t="s">
        <v>1394</v>
      </c>
      <c r="E1366" s="35" t="s">
        <v>606</v>
      </c>
      <c r="F1366" t="str" cm="1">
        <f t="array" ref="F1366">IFERROR(_xlfn.XLOOKUP(E1366,MapeoCargos!$A:$A,MapeoCargos!$B:$B,E1366),E1366)</f>
        <v>BAR</v>
      </c>
      <c r="G1366" s="46">
        <v>44882</v>
      </c>
    </row>
    <row r="1367" spans="1:7" x14ac:dyDescent="0.2">
      <c r="A1367" s="27" t="s">
        <v>1395</v>
      </c>
      <c r="B1367" s="35" t="s">
        <v>1272</v>
      </c>
      <c r="C1367" s="34" t="s">
        <v>1273</v>
      </c>
      <c r="D1367" s="35" t="s">
        <v>1396</v>
      </c>
      <c r="E1367" s="35" t="s">
        <v>151</v>
      </c>
      <c r="F1367" t="str" cm="1">
        <f t="array" ref="F1367">IFERROR(_xlfn.XLOOKUP(E1367,MapeoCargos!$A:$A,MapeoCargos!$B:$B,E1367),E1367)</f>
        <v xml:space="preserve">CAJA </v>
      </c>
      <c r="G1367" s="46">
        <v>44927</v>
      </c>
    </row>
    <row r="1368" spans="1:7" x14ac:dyDescent="0.2">
      <c r="A1368" s="27" t="s">
        <v>1397</v>
      </c>
      <c r="B1368" s="35" t="s">
        <v>1272</v>
      </c>
      <c r="C1368" s="34" t="s">
        <v>1273</v>
      </c>
      <c r="D1368" s="35" t="s">
        <v>1398</v>
      </c>
      <c r="E1368" s="35" t="s">
        <v>126</v>
      </c>
      <c r="F1368" t="str" cm="1">
        <f t="array" ref="F1368">IFERROR(_xlfn.XLOOKUP(E1368,MapeoCargos!$A:$A,MapeoCargos!$B:$B,E1368),E1368)</f>
        <v>MOTORIZADO</v>
      </c>
      <c r="G1368" s="46">
        <v>44935</v>
      </c>
    </row>
    <row r="1369" spans="1:7" x14ac:dyDescent="0.2">
      <c r="A1369" s="27" t="s">
        <v>1399</v>
      </c>
      <c r="B1369" s="35" t="s">
        <v>1272</v>
      </c>
      <c r="C1369" s="34" t="s">
        <v>1294</v>
      </c>
      <c r="D1369" s="35" t="s">
        <v>1400</v>
      </c>
      <c r="E1369" s="35" t="s">
        <v>1352</v>
      </c>
      <c r="F1369" t="str" cm="1">
        <f t="array" ref="F1369">IFERROR(_xlfn.XLOOKUP(E1369,MapeoCargos!$A:$A,MapeoCargos!$B:$B,E1369),E1369)</f>
        <v>PRODUCCIÓN / COCINA</v>
      </c>
      <c r="G1369" s="46">
        <v>44942</v>
      </c>
    </row>
    <row r="1370" spans="1:7" x14ac:dyDescent="0.2">
      <c r="A1370" s="27" t="s">
        <v>1401</v>
      </c>
      <c r="B1370" s="35" t="s">
        <v>1272</v>
      </c>
      <c r="C1370" s="34" t="s">
        <v>1273</v>
      </c>
      <c r="D1370" s="35" t="s">
        <v>1402</v>
      </c>
      <c r="E1370" s="35" t="s">
        <v>83</v>
      </c>
      <c r="F1370" t="str" cm="1">
        <f t="array" ref="F1370">IFERROR(_xlfn.XLOOKUP(E1370,MapeoCargos!$A:$A,MapeoCargos!$B:$B,E1370),E1370)</f>
        <v>PRODUCCIÓN / COCINA</v>
      </c>
      <c r="G1370" s="46">
        <v>44942</v>
      </c>
    </row>
    <row r="1371" spans="1:7" x14ac:dyDescent="0.2">
      <c r="A1371" s="27" t="s">
        <v>1403</v>
      </c>
      <c r="B1371" s="35" t="s">
        <v>1272</v>
      </c>
      <c r="C1371" s="34" t="s">
        <v>1283</v>
      </c>
      <c r="D1371" s="35" t="s">
        <v>1404</v>
      </c>
      <c r="E1371" s="35" t="s">
        <v>1324</v>
      </c>
      <c r="F1371" t="str" cm="1">
        <f t="array" ref="F1371">IFERROR(_xlfn.XLOOKUP(E1371,MapeoCargos!$A:$A,MapeoCargos!$B:$B,E1371),E1371)</f>
        <v>CAPITÁN(A) DE SERVICIO</v>
      </c>
      <c r="G1371" s="46">
        <v>44958</v>
      </c>
    </row>
    <row r="1372" spans="1:7" x14ac:dyDescent="0.2">
      <c r="A1372" s="27" t="s">
        <v>1405</v>
      </c>
      <c r="B1372" s="35" t="s">
        <v>1272</v>
      </c>
      <c r="C1372" s="34" t="s">
        <v>1283</v>
      </c>
      <c r="D1372" s="35" t="s">
        <v>1406</v>
      </c>
      <c r="E1372" s="35" t="s">
        <v>151</v>
      </c>
      <c r="F1372" t="str" cm="1">
        <f t="array" ref="F1372">IFERROR(_xlfn.XLOOKUP(E1372,MapeoCargos!$A:$A,MapeoCargos!$B:$B,E1372),E1372)</f>
        <v xml:space="preserve">CAJA </v>
      </c>
      <c r="G1372" s="46">
        <v>44958</v>
      </c>
    </row>
    <row r="1373" spans="1:7" x14ac:dyDescent="0.2">
      <c r="A1373" s="27" t="s">
        <v>1407</v>
      </c>
      <c r="B1373" s="35" t="s">
        <v>1272</v>
      </c>
      <c r="C1373" s="34" t="s">
        <v>1273</v>
      </c>
      <c r="D1373" s="35" t="s">
        <v>1408</v>
      </c>
      <c r="E1373" s="35" t="s">
        <v>110</v>
      </c>
      <c r="F1373" t="str" cm="1">
        <f t="array" ref="F1373">IFERROR(_xlfn.XLOOKUP(E1373,MapeoCargos!$A:$A,MapeoCargos!$B:$B,E1373),E1373)</f>
        <v>COUNTER</v>
      </c>
      <c r="G1373" s="46">
        <v>44958</v>
      </c>
    </row>
    <row r="1374" spans="1:7" x14ac:dyDescent="0.2">
      <c r="A1374" s="27" t="s">
        <v>1409</v>
      </c>
      <c r="B1374" s="35" t="s">
        <v>1272</v>
      </c>
      <c r="C1374" s="34" t="s">
        <v>1273</v>
      </c>
      <c r="D1374" s="35" t="s">
        <v>1410</v>
      </c>
      <c r="E1374" s="35" t="s">
        <v>83</v>
      </c>
      <c r="F1374" t="str" cm="1">
        <f t="array" ref="F1374">IFERROR(_xlfn.XLOOKUP(E1374,MapeoCargos!$A:$A,MapeoCargos!$B:$B,E1374),E1374)</f>
        <v>PRODUCCIÓN / COCINA</v>
      </c>
      <c r="G1374" s="46">
        <v>44958</v>
      </c>
    </row>
    <row r="1375" spans="1:7" x14ac:dyDescent="0.2">
      <c r="A1375" s="27" t="s">
        <v>1411</v>
      </c>
      <c r="B1375" s="35" t="s">
        <v>1272</v>
      </c>
      <c r="C1375" s="34" t="s">
        <v>1273</v>
      </c>
      <c r="D1375" s="35" t="s">
        <v>1412</v>
      </c>
      <c r="E1375" s="35" t="s">
        <v>1324</v>
      </c>
      <c r="F1375" t="str" cm="1">
        <f t="array" ref="F1375">IFERROR(_xlfn.XLOOKUP(E1375,MapeoCargos!$A:$A,MapeoCargos!$B:$B,E1375),E1375)</f>
        <v>CAPITÁN(A) DE SERVICIO</v>
      </c>
      <c r="G1375" s="46">
        <v>44958</v>
      </c>
    </row>
    <row r="1376" spans="1:7" x14ac:dyDescent="0.2">
      <c r="A1376" s="27" t="s">
        <v>1413</v>
      </c>
      <c r="B1376" s="35" t="s">
        <v>1272</v>
      </c>
      <c r="C1376" s="34" t="s">
        <v>1283</v>
      </c>
      <c r="D1376" s="35" t="s">
        <v>1414</v>
      </c>
      <c r="E1376" s="35" t="s">
        <v>1415</v>
      </c>
      <c r="F1376" t="str" cm="1">
        <f t="array" ref="F1376">IFERROR(_xlfn.XLOOKUP(E1376,MapeoCargos!$A:$A,MapeoCargos!$B:$B,E1376),E1376)</f>
        <v>CORREDOR</v>
      </c>
      <c r="G1376" s="46">
        <v>44973</v>
      </c>
    </row>
    <row r="1377" spans="1:7" x14ac:dyDescent="0.2">
      <c r="A1377" s="27" t="s">
        <v>1416</v>
      </c>
      <c r="B1377" s="35" t="s">
        <v>1272</v>
      </c>
      <c r="C1377" s="34" t="s">
        <v>1273</v>
      </c>
      <c r="D1377" s="35" t="s">
        <v>4057</v>
      </c>
      <c r="E1377" s="35" t="s">
        <v>1417</v>
      </c>
      <c r="F1377" t="str" cm="1">
        <f t="array" ref="F1377">IFERROR(_xlfn.XLOOKUP(E1377,MapeoCargos!$A:$A,MapeoCargos!$B:$B,E1377),E1377)</f>
        <v>CORREDOR</v>
      </c>
      <c r="G1377" s="46">
        <v>44986</v>
      </c>
    </row>
    <row r="1378" spans="1:7" x14ac:dyDescent="0.2">
      <c r="A1378" s="27" t="s">
        <v>1418</v>
      </c>
      <c r="B1378" s="35" t="s">
        <v>1272</v>
      </c>
      <c r="C1378" s="34" t="s">
        <v>1273</v>
      </c>
      <c r="D1378" s="35" t="s">
        <v>1419</v>
      </c>
      <c r="E1378" s="35" t="s">
        <v>30</v>
      </c>
      <c r="F1378" t="str" cm="1">
        <f t="array" ref="F1378">IFERROR(_xlfn.XLOOKUP(E1378,MapeoCargos!$A:$A,MapeoCargos!$B:$B,E1378),E1378)</f>
        <v>STAFF ADMINISTRATIVO</v>
      </c>
      <c r="G1378" s="46">
        <v>44986</v>
      </c>
    </row>
    <row r="1379" spans="1:7" x14ac:dyDescent="0.2">
      <c r="A1379" s="27" t="s">
        <v>1420</v>
      </c>
      <c r="B1379" s="35" t="s">
        <v>1272</v>
      </c>
      <c r="C1379" s="34" t="s">
        <v>1421</v>
      </c>
      <c r="D1379" s="35" t="s">
        <v>1422</v>
      </c>
      <c r="E1379" s="35" t="s">
        <v>1423</v>
      </c>
      <c r="F1379" t="str" cm="1">
        <f t="array" ref="F1379">IFERROR(_xlfn.XLOOKUP(E1379,MapeoCargos!$A:$A,MapeoCargos!$B:$B,E1379),E1379)</f>
        <v>ASISTENTE DE SERVICIO P/T</v>
      </c>
      <c r="G1379" s="46">
        <v>45001</v>
      </c>
    </row>
    <row r="1380" spans="1:7" x14ac:dyDescent="0.2">
      <c r="A1380" s="27" t="s">
        <v>1424</v>
      </c>
      <c r="B1380" s="35" t="s">
        <v>1272</v>
      </c>
      <c r="C1380" s="34" t="s">
        <v>1273</v>
      </c>
      <c r="D1380" s="35" t="s">
        <v>1425</v>
      </c>
      <c r="E1380" s="35" t="s">
        <v>151</v>
      </c>
      <c r="F1380" t="str" cm="1">
        <f t="array" ref="F1380">IFERROR(_xlfn.XLOOKUP(E1380,MapeoCargos!$A:$A,MapeoCargos!$B:$B,E1380),E1380)</f>
        <v xml:space="preserve">CAJA </v>
      </c>
      <c r="G1380" s="46">
        <v>45017</v>
      </c>
    </row>
    <row r="1381" spans="1:7" x14ac:dyDescent="0.2">
      <c r="A1381" s="27" t="s">
        <v>1426</v>
      </c>
      <c r="B1381" s="35" t="s">
        <v>1272</v>
      </c>
      <c r="C1381" s="34" t="s">
        <v>1061</v>
      </c>
      <c r="D1381" s="35" t="s">
        <v>1427</v>
      </c>
      <c r="E1381" s="35" t="s">
        <v>742</v>
      </c>
      <c r="F1381" t="str" cm="1">
        <f t="array" ref="F1381">IFERROR(_xlfn.XLOOKUP(E1381,MapeoCargos!$A:$A,MapeoCargos!$B:$B,E1381),E1381)</f>
        <v>ALMACENERO(A)</v>
      </c>
      <c r="G1381" s="46">
        <v>45036</v>
      </c>
    </row>
    <row r="1382" spans="1:7" x14ac:dyDescent="0.2">
      <c r="A1382" s="27" t="s">
        <v>1428</v>
      </c>
      <c r="B1382" s="35" t="s">
        <v>1272</v>
      </c>
      <c r="C1382" s="34" t="s">
        <v>1283</v>
      </c>
      <c r="D1382" s="35" t="s">
        <v>1429</v>
      </c>
      <c r="E1382" s="35" t="s">
        <v>1279</v>
      </c>
      <c r="F1382" t="str" cm="1">
        <f t="array" ref="F1382">IFERROR(_xlfn.XLOOKUP(E1382,MapeoCargos!$A:$A,MapeoCargos!$B:$B,E1382),E1382)</f>
        <v>PRODUCCIÓN / COCINA</v>
      </c>
      <c r="G1382" s="46">
        <v>45062</v>
      </c>
    </row>
    <row r="1383" spans="1:7" x14ac:dyDescent="0.2">
      <c r="A1383" s="27" t="s">
        <v>1430</v>
      </c>
      <c r="B1383" s="35" t="s">
        <v>1272</v>
      </c>
      <c r="C1383" s="34" t="s">
        <v>1297</v>
      </c>
      <c r="D1383" s="35" t="s">
        <v>1431</v>
      </c>
      <c r="E1383" s="35" t="s">
        <v>1279</v>
      </c>
      <c r="F1383" t="str" cm="1">
        <f t="array" ref="F1383">IFERROR(_xlfn.XLOOKUP(E1383,MapeoCargos!$A:$A,MapeoCargos!$B:$B,E1383),E1383)</f>
        <v>PRODUCCIÓN / COCINA</v>
      </c>
      <c r="G1383" s="46">
        <v>45062</v>
      </c>
    </row>
    <row r="1384" spans="1:7" x14ac:dyDescent="0.2">
      <c r="A1384" s="27" t="s">
        <v>1432</v>
      </c>
      <c r="B1384" s="35" t="s">
        <v>1272</v>
      </c>
      <c r="C1384" s="34" t="s">
        <v>1316</v>
      </c>
      <c r="D1384" s="35" t="s">
        <v>1433</v>
      </c>
      <c r="E1384" s="35" t="s">
        <v>119</v>
      </c>
      <c r="F1384" t="str" cm="1">
        <f t="array" ref="F1384">IFERROR(_xlfn.XLOOKUP(E1384,MapeoCargos!$A:$A,MapeoCargos!$B:$B,E1384),E1384)</f>
        <v>TELEOPERADOR(A)</v>
      </c>
      <c r="G1384" s="46">
        <v>45078</v>
      </c>
    </row>
    <row r="1385" spans="1:7" x14ac:dyDescent="0.2">
      <c r="A1385" s="27" t="s">
        <v>1434</v>
      </c>
      <c r="B1385" s="35" t="s">
        <v>1272</v>
      </c>
      <c r="C1385" s="34" t="s">
        <v>1273</v>
      </c>
      <c r="D1385" s="35" t="s">
        <v>1435</v>
      </c>
      <c r="E1385" s="35" t="s">
        <v>126</v>
      </c>
      <c r="F1385" t="str" cm="1">
        <f t="array" ref="F1385">IFERROR(_xlfn.XLOOKUP(E1385,MapeoCargos!$A:$A,MapeoCargos!$B:$B,E1385),E1385)</f>
        <v>MOTORIZADO</v>
      </c>
      <c r="G1385" s="46">
        <v>45078</v>
      </c>
    </row>
    <row r="1386" spans="1:7" x14ac:dyDescent="0.2">
      <c r="A1386" s="27" t="s">
        <v>1436</v>
      </c>
      <c r="B1386" s="35" t="s">
        <v>1272</v>
      </c>
      <c r="C1386" s="34" t="s">
        <v>1273</v>
      </c>
      <c r="D1386" s="35" t="s">
        <v>1437</v>
      </c>
      <c r="E1386" s="35" t="s">
        <v>83</v>
      </c>
      <c r="F1386" t="str" cm="1">
        <f t="array" ref="F1386">IFERROR(_xlfn.XLOOKUP(E1386,MapeoCargos!$A:$A,MapeoCargos!$B:$B,E1386),E1386)</f>
        <v>PRODUCCIÓN / COCINA</v>
      </c>
      <c r="G1386" s="46">
        <v>45078</v>
      </c>
    </row>
    <row r="1387" spans="1:7" x14ac:dyDescent="0.2">
      <c r="A1387" s="27" t="s">
        <v>1438</v>
      </c>
      <c r="B1387" s="35" t="s">
        <v>1272</v>
      </c>
      <c r="C1387" s="34" t="s">
        <v>1283</v>
      </c>
      <c r="D1387" s="35" t="s">
        <v>1439</v>
      </c>
      <c r="E1387" s="35" t="s">
        <v>110</v>
      </c>
      <c r="F1387" t="str" cm="1">
        <f t="array" ref="F1387">IFERROR(_xlfn.XLOOKUP(E1387,MapeoCargos!$A:$A,MapeoCargos!$B:$B,E1387),E1387)</f>
        <v>COUNTER</v>
      </c>
      <c r="G1387" s="46">
        <v>45108</v>
      </c>
    </row>
    <row r="1388" spans="1:7" x14ac:dyDescent="0.2">
      <c r="A1388" s="27" t="s">
        <v>1440</v>
      </c>
      <c r="B1388" s="35" t="s">
        <v>1272</v>
      </c>
      <c r="C1388" s="34" t="s">
        <v>1283</v>
      </c>
      <c r="D1388" s="35" t="s">
        <v>1441</v>
      </c>
      <c r="E1388" s="35" t="s">
        <v>83</v>
      </c>
      <c r="F1388" t="str" cm="1">
        <f t="array" ref="F1388">IFERROR(_xlfn.XLOOKUP(E1388,MapeoCargos!$A:$A,MapeoCargos!$B:$B,E1388),E1388)</f>
        <v>PRODUCCIÓN / COCINA</v>
      </c>
      <c r="G1388" s="46">
        <v>45108</v>
      </c>
    </row>
    <row r="1389" spans="1:7" x14ac:dyDescent="0.2">
      <c r="A1389" s="27" t="s">
        <v>1442</v>
      </c>
      <c r="B1389" s="35" t="s">
        <v>1272</v>
      </c>
      <c r="C1389" s="34" t="s">
        <v>1283</v>
      </c>
      <c r="D1389" s="35" t="s">
        <v>1443</v>
      </c>
      <c r="E1389" s="35" t="s">
        <v>606</v>
      </c>
      <c r="F1389" t="str" cm="1">
        <f t="array" ref="F1389">IFERROR(_xlfn.XLOOKUP(E1389,MapeoCargos!$A:$A,MapeoCargos!$B:$B,E1389),E1389)</f>
        <v>BAR</v>
      </c>
      <c r="G1389" s="46">
        <v>45139</v>
      </c>
    </row>
    <row r="1390" spans="1:7" x14ac:dyDescent="0.2">
      <c r="A1390" s="27" t="s">
        <v>1444</v>
      </c>
      <c r="B1390" s="35" t="s">
        <v>1272</v>
      </c>
      <c r="C1390" s="34" t="s">
        <v>1283</v>
      </c>
      <c r="D1390" s="35" t="s">
        <v>1445</v>
      </c>
      <c r="E1390" s="35" t="s">
        <v>151</v>
      </c>
      <c r="F1390" t="str" cm="1">
        <f t="array" ref="F1390">IFERROR(_xlfn.XLOOKUP(E1390,MapeoCargos!$A:$A,MapeoCargos!$B:$B,E1390),E1390)</f>
        <v xml:space="preserve">CAJA </v>
      </c>
      <c r="G1390" s="46">
        <v>45139</v>
      </c>
    </row>
    <row r="1391" spans="1:7" x14ac:dyDescent="0.2">
      <c r="A1391" s="27" t="s">
        <v>1446</v>
      </c>
      <c r="B1391" s="35" t="s">
        <v>1272</v>
      </c>
      <c r="C1391" s="34" t="s">
        <v>1283</v>
      </c>
      <c r="D1391" s="35" t="s">
        <v>1447</v>
      </c>
      <c r="E1391" s="35" t="s">
        <v>83</v>
      </c>
      <c r="F1391" t="str" cm="1">
        <f t="array" ref="F1391">IFERROR(_xlfn.XLOOKUP(E1391,MapeoCargos!$A:$A,MapeoCargos!$B:$B,E1391),E1391)</f>
        <v>PRODUCCIÓN / COCINA</v>
      </c>
      <c r="G1391" s="46">
        <v>45200</v>
      </c>
    </row>
    <row r="1392" spans="1:7" x14ac:dyDescent="0.2">
      <c r="A1392" s="27" t="s">
        <v>1448</v>
      </c>
      <c r="B1392" s="35" t="s">
        <v>1272</v>
      </c>
      <c r="C1392" s="34" t="s">
        <v>1273</v>
      </c>
      <c r="D1392" s="35" t="s">
        <v>1449</v>
      </c>
      <c r="E1392" s="35" t="s">
        <v>160</v>
      </c>
      <c r="F1392" t="str" cm="1">
        <f t="array" ref="F1392">IFERROR(_xlfn.XLOOKUP(E1392,MapeoCargos!$A:$A,MapeoCargos!$B:$B,E1392),E1392)</f>
        <v>PACKER</v>
      </c>
      <c r="G1392" s="46">
        <v>45200</v>
      </c>
    </row>
    <row r="1393" spans="1:7" x14ac:dyDescent="0.2">
      <c r="A1393" s="27" t="s">
        <v>1450</v>
      </c>
      <c r="B1393" s="35" t="s">
        <v>1272</v>
      </c>
      <c r="C1393" s="34" t="s">
        <v>1273</v>
      </c>
      <c r="D1393" s="35" t="s">
        <v>1451</v>
      </c>
      <c r="E1393" s="35" t="s">
        <v>1287</v>
      </c>
      <c r="F1393" t="str" cm="1">
        <f t="array" ref="F1393">IFERROR(_xlfn.XLOOKUP(E1393,MapeoCargos!$A:$A,MapeoCargos!$B:$B,E1393),E1393)</f>
        <v>ASISTENTE DE SERVICIO</v>
      </c>
      <c r="G1393" s="46">
        <v>45261</v>
      </c>
    </row>
    <row r="1394" spans="1:7" x14ac:dyDescent="0.2">
      <c r="A1394" s="27" t="s">
        <v>1452</v>
      </c>
      <c r="B1394" s="35" t="s">
        <v>1272</v>
      </c>
      <c r="C1394" s="34" t="s">
        <v>1283</v>
      </c>
      <c r="D1394" s="35" t="s">
        <v>1453</v>
      </c>
      <c r="E1394" s="35" t="s">
        <v>1279</v>
      </c>
      <c r="F1394" t="str" cm="1">
        <f t="array" ref="F1394">IFERROR(_xlfn.XLOOKUP(E1394,MapeoCargos!$A:$A,MapeoCargos!$B:$B,E1394),E1394)</f>
        <v>PRODUCCIÓN / COCINA</v>
      </c>
      <c r="G1394" s="46">
        <v>45323</v>
      </c>
    </row>
    <row r="1395" spans="1:7" x14ac:dyDescent="0.2">
      <c r="A1395" s="27" t="s">
        <v>1454</v>
      </c>
      <c r="B1395" s="35" t="s">
        <v>1272</v>
      </c>
      <c r="C1395" s="34" t="s">
        <v>1283</v>
      </c>
      <c r="D1395" s="35" t="s">
        <v>1455</v>
      </c>
      <c r="E1395" s="35" t="s">
        <v>83</v>
      </c>
      <c r="F1395" t="str" cm="1">
        <f t="array" ref="F1395">IFERROR(_xlfn.XLOOKUP(E1395,MapeoCargos!$A:$A,MapeoCargos!$B:$B,E1395),E1395)</f>
        <v>PRODUCCIÓN / COCINA</v>
      </c>
      <c r="G1395" s="46">
        <v>45338</v>
      </c>
    </row>
    <row r="1396" spans="1:7" x14ac:dyDescent="0.2">
      <c r="A1396" s="27" t="s">
        <v>1456</v>
      </c>
      <c r="B1396" s="35" t="s">
        <v>1272</v>
      </c>
      <c r="C1396" s="34" t="s">
        <v>1283</v>
      </c>
      <c r="D1396" s="35" t="s">
        <v>1457</v>
      </c>
      <c r="E1396" s="35" t="s">
        <v>1324</v>
      </c>
      <c r="F1396" t="str" cm="1">
        <f t="array" ref="F1396">IFERROR(_xlfn.XLOOKUP(E1396,MapeoCargos!$A:$A,MapeoCargos!$B:$B,E1396),E1396)</f>
        <v>CAPITÁN(A) DE SERVICIO</v>
      </c>
      <c r="G1396" s="46">
        <v>45352</v>
      </c>
    </row>
    <row r="1397" spans="1:7" x14ac:dyDescent="0.2">
      <c r="A1397" s="27" t="s">
        <v>1458</v>
      </c>
      <c r="B1397" s="35" t="s">
        <v>1272</v>
      </c>
      <c r="C1397" s="34" t="s">
        <v>1273</v>
      </c>
      <c r="D1397" s="35" t="s">
        <v>1459</v>
      </c>
      <c r="E1397" s="35" t="s">
        <v>113</v>
      </c>
      <c r="F1397" t="str" cm="1">
        <f t="array" ref="F1397">IFERROR(_xlfn.XLOOKUP(E1397,MapeoCargos!$A:$A,MapeoCargos!$B:$B,E1397),E1397)</f>
        <v>HABILITADOR</v>
      </c>
      <c r="G1397" s="46">
        <v>45352</v>
      </c>
    </row>
    <row r="1398" spans="1:7" x14ac:dyDescent="0.2">
      <c r="A1398" s="27" t="s">
        <v>1460</v>
      </c>
      <c r="B1398" s="35" t="s">
        <v>1272</v>
      </c>
      <c r="C1398" s="34" t="s">
        <v>1061</v>
      </c>
      <c r="D1398" s="35" t="s">
        <v>1461</v>
      </c>
      <c r="E1398" s="35" t="s">
        <v>1061</v>
      </c>
      <c r="F1398" t="str" cm="1">
        <f t="array" ref="F1398">IFERROR(_xlfn.XLOOKUP(E1398,MapeoCargos!$A:$A,MapeoCargos!$B:$B,E1398),E1398)</f>
        <v>PRODUCCION</v>
      </c>
      <c r="G1398" s="46">
        <v>45352</v>
      </c>
    </row>
    <row r="1399" spans="1:7" x14ac:dyDescent="0.2">
      <c r="A1399" s="27" t="s">
        <v>1462</v>
      </c>
      <c r="B1399" s="35" t="s">
        <v>1272</v>
      </c>
      <c r="C1399" s="34" t="s">
        <v>1061</v>
      </c>
      <c r="D1399" s="35" t="s">
        <v>1463</v>
      </c>
      <c r="E1399" s="35" t="s">
        <v>742</v>
      </c>
      <c r="F1399" t="str" cm="1">
        <f t="array" ref="F1399">IFERROR(_xlfn.XLOOKUP(E1399,MapeoCargos!$A:$A,MapeoCargos!$B:$B,E1399),E1399)</f>
        <v>ALMACENERO(A)</v>
      </c>
      <c r="G1399" s="46">
        <v>45367</v>
      </c>
    </row>
    <row r="1400" spans="1:7" x14ac:dyDescent="0.2">
      <c r="A1400" s="27" t="s">
        <v>1464</v>
      </c>
      <c r="B1400" s="35" t="s">
        <v>1272</v>
      </c>
      <c r="C1400" s="34" t="s">
        <v>1061</v>
      </c>
      <c r="D1400" s="35" t="s">
        <v>1465</v>
      </c>
      <c r="E1400" s="35" t="s">
        <v>1192</v>
      </c>
      <c r="F1400" t="str" cm="1">
        <f t="array" ref="F1400">IFERROR(_xlfn.XLOOKUP(E1400,MapeoCargos!$A:$A,MapeoCargos!$B:$B,E1400),E1400)</f>
        <v>CHOFER</v>
      </c>
      <c r="G1400" s="46">
        <v>45383</v>
      </c>
    </row>
    <row r="1401" spans="1:7" x14ac:dyDescent="0.2">
      <c r="A1401" s="27" t="s">
        <v>1466</v>
      </c>
      <c r="B1401" s="35" t="s">
        <v>1272</v>
      </c>
      <c r="C1401" s="34" t="s">
        <v>1316</v>
      </c>
      <c r="D1401" s="35" t="s">
        <v>4058</v>
      </c>
      <c r="E1401" s="35" t="s">
        <v>119</v>
      </c>
      <c r="F1401" t="str" cm="1">
        <f t="array" ref="F1401">IFERROR(_xlfn.XLOOKUP(E1401,MapeoCargos!$A:$A,MapeoCargos!$B:$B,E1401),E1401)</f>
        <v>TELEOPERADOR(A)</v>
      </c>
      <c r="G1401" s="46">
        <v>45383</v>
      </c>
    </row>
    <row r="1402" spans="1:7" x14ac:dyDescent="0.2">
      <c r="A1402" s="27" t="s">
        <v>1467</v>
      </c>
      <c r="B1402" s="35" t="s">
        <v>1272</v>
      </c>
      <c r="C1402" s="34" t="s">
        <v>1061</v>
      </c>
      <c r="D1402" s="35" t="s">
        <v>4059</v>
      </c>
      <c r="E1402" s="35" t="s">
        <v>1061</v>
      </c>
      <c r="F1402" t="str" cm="1">
        <f t="array" ref="F1402">IFERROR(_xlfn.XLOOKUP(E1402,MapeoCargos!$A:$A,MapeoCargos!$B:$B,E1402),E1402)</f>
        <v>PRODUCCION</v>
      </c>
      <c r="G1402" s="46">
        <v>45398</v>
      </c>
    </row>
    <row r="1403" spans="1:7" x14ac:dyDescent="0.2">
      <c r="A1403" s="27" t="s">
        <v>1468</v>
      </c>
      <c r="B1403" s="35" t="s">
        <v>1272</v>
      </c>
      <c r="C1403" s="34" t="s">
        <v>1421</v>
      </c>
      <c r="D1403" s="35" t="s">
        <v>1469</v>
      </c>
      <c r="E1403" s="35" t="s">
        <v>1470</v>
      </c>
      <c r="F1403" t="str" cm="1">
        <f t="array" ref="F1403">IFERROR(_xlfn.XLOOKUP(E1403,MapeoCargos!$A:$A,MapeoCargos!$B:$B,E1403),E1403)</f>
        <v>PIZZERO</v>
      </c>
      <c r="G1403" s="46">
        <v>45444</v>
      </c>
    </row>
    <row r="1404" spans="1:7" x14ac:dyDescent="0.2">
      <c r="A1404" s="27" t="s">
        <v>1471</v>
      </c>
      <c r="B1404" s="35" t="s">
        <v>1272</v>
      </c>
      <c r="C1404" s="34" t="s">
        <v>1061</v>
      </c>
      <c r="D1404" s="35" t="s">
        <v>4060</v>
      </c>
      <c r="E1404" s="35" t="s">
        <v>479</v>
      </c>
      <c r="F1404" t="str" cm="1">
        <f t="array" ref="F1404">IFERROR(_xlfn.XLOOKUP(E1404,MapeoCargos!$A:$A,MapeoCargos!$B:$B,E1404),E1404)</f>
        <v xml:space="preserve">AYUDANTE DE COCINA </v>
      </c>
      <c r="G1404" s="46">
        <v>45444</v>
      </c>
    </row>
    <row r="1405" spans="1:7" x14ac:dyDescent="0.2">
      <c r="A1405" s="27" t="s">
        <v>1472</v>
      </c>
      <c r="B1405" s="35" t="s">
        <v>1272</v>
      </c>
      <c r="C1405" s="34" t="s">
        <v>1273</v>
      </c>
      <c r="D1405" s="35" t="s">
        <v>1473</v>
      </c>
      <c r="E1405" s="35" t="s">
        <v>1415</v>
      </c>
      <c r="F1405" t="str" cm="1">
        <f t="array" ref="F1405">IFERROR(_xlfn.XLOOKUP(E1405,MapeoCargos!$A:$A,MapeoCargos!$B:$B,E1405),E1405)</f>
        <v>CORREDOR</v>
      </c>
      <c r="G1405" s="46">
        <v>45444</v>
      </c>
    </row>
    <row r="1406" spans="1:7" x14ac:dyDescent="0.2">
      <c r="A1406" s="27" t="s">
        <v>1474</v>
      </c>
      <c r="B1406" s="35" t="s">
        <v>1272</v>
      </c>
      <c r="C1406" s="34" t="s">
        <v>31</v>
      </c>
      <c r="D1406" s="35" t="s">
        <v>1475</v>
      </c>
      <c r="E1406" s="35" t="s">
        <v>89</v>
      </c>
      <c r="F1406" t="str" cm="1">
        <f t="array" ref="F1406">IFERROR(_xlfn.XLOOKUP(E1406,MapeoCargos!$A:$A,MapeoCargos!$B:$B,E1406),E1406)</f>
        <v>PRODUCCIÓN / COCINA</v>
      </c>
      <c r="G1406" s="46">
        <v>45444</v>
      </c>
    </row>
    <row r="1407" spans="1:7" x14ac:dyDescent="0.2">
      <c r="A1407" s="27" t="s">
        <v>1476</v>
      </c>
      <c r="B1407" s="35" t="s">
        <v>1272</v>
      </c>
      <c r="C1407" s="34" t="s">
        <v>1283</v>
      </c>
      <c r="D1407" s="35" t="s">
        <v>1477</v>
      </c>
      <c r="E1407" s="35" t="s">
        <v>110</v>
      </c>
      <c r="F1407" t="str" cm="1">
        <f t="array" ref="F1407">IFERROR(_xlfn.XLOOKUP(E1407,MapeoCargos!$A:$A,MapeoCargos!$B:$B,E1407),E1407)</f>
        <v>COUNTER</v>
      </c>
      <c r="G1407" s="46">
        <v>45474</v>
      </c>
    </row>
    <row r="1408" spans="1:7" x14ac:dyDescent="0.2">
      <c r="A1408" s="27" t="s">
        <v>1478</v>
      </c>
      <c r="B1408" s="35" t="s">
        <v>1272</v>
      </c>
      <c r="C1408" s="34" t="s">
        <v>1273</v>
      </c>
      <c r="D1408" s="35" t="s">
        <v>1479</v>
      </c>
      <c r="E1408" s="35" t="s">
        <v>1324</v>
      </c>
      <c r="F1408" t="str" cm="1">
        <f t="array" ref="F1408">IFERROR(_xlfn.XLOOKUP(E1408,MapeoCargos!$A:$A,MapeoCargos!$B:$B,E1408),E1408)</f>
        <v>CAPITÁN(A) DE SERVICIO</v>
      </c>
      <c r="G1408" s="46">
        <v>45505</v>
      </c>
    </row>
    <row r="1409" spans="1:7" x14ac:dyDescent="0.2">
      <c r="A1409" s="27" t="s">
        <v>1480</v>
      </c>
      <c r="B1409" s="35" t="s">
        <v>1272</v>
      </c>
      <c r="C1409" s="34" t="s">
        <v>1316</v>
      </c>
      <c r="D1409" s="35" t="s">
        <v>1481</v>
      </c>
      <c r="E1409" s="35" t="s">
        <v>119</v>
      </c>
      <c r="F1409" t="str" cm="1">
        <f t="array" ref="F1409">IFERROR(_xlfn.XLOOKUP(E1409,MapeoCargos!$A:$A,MapeoCargos!$B:$B,E1409),E1409)</f>
        <v>TELEOPERADOR(A)</v>
      </c>
      <c r="G1409" s="46">
        <v>45505</v>
      </c>
    </row>
    <row r="1410" spans="1:7" x14ac:dyDescent="0.2">
      <c r="A1410" s="27" t="s">
        <v>1482</v>
      </c>
      <c r="B1410" s="35" t="s">
        <v>1272</v>
      </c>
      <c r="C1410" s="34" t="s">
        <v>1273</v>
      </c>
      <c r="D1410" s="35" t="s">
        <v>1483</v>
      </c>
      <c r="E1410" s="35" t="s">
        <v>160</v>
      </c>
      <c r="F1410" t="str" cm="1">
        <f t="array" ref="F1410">IFERROR(_xlfn.XLOOKUP(E1410,MapeoCargos!$A:$A,MapeoCargos!$B:$B,E1410),E1410)</f>
        <v>PACKER</v>
      </c>
      <c r="G1410" s="46">
        <v>45505</v>
      </c>
    </row>
    <row r="1411" spans="1:7" x14ac:dyDescent="0.2">
      <c r="A1411" s="27" t="s">
        <v>1484</v>
      </c>
      <c r="B1411" s="35" t="s">
        <v>1272</v>
      </c>
      <c r="C1411" s="34" t="s">
        <v>1273</v>
      </c>
      <c r="D1411" s="35" t="s">
        <v>1485</v>
      </c>
      <c r="E1411" s="35" t="s">
        <v>606</v>
      </c>
      <c r="F1411" t="str" cm="1">
        <f t="array" ref="F1411">IFERROR(_xlfn.XLOOKUP(E1411,MapeoCargos!$A:$A,MapeoCargos!$B:$B,E1411),E1411)</f>
        <v>BAR</v>
      </c>
      <c r="G1411" s="46">
        <v>45520</v>
      </c>
    </row>
    <row r="1412" spans="1:7" x14ac:dyDescent="0.2">
      <c r="A1412" s="27" t="s">
        <v>1486</v>
      </c>
      <c r="B1412" s="35" t="s">
        <v>1272</v>
      </c>
      <c r="C1412" s="34" t="s">
        <v>1061</v>
      </c>
      <c r="D1412" s="35" t="s">
        <v>1487</v>
      </c>
      <c r="E1412" s="35" t="s">
        <v>1488</v>
      </c>
      <c r="F1412" t="str" cm="1">
        <f t="array" ref="F1412">IFERROR(_xlfn.XLOOKUP(E1412,MapeoCargos!$A:$A,MapeoCargos!$B:$B,E1412),E1412)</f>
        <v>ASISTENTE ADMINISTRATIVO</v>
      </c>
      <c r="G1412" s="46">
        <v>45536</v>
      </c>
    </row>
    <row r="1413" spans="1:7" x14ac:dyDescent="0.2">
      <c r="A1413" s="27" t="s">
        <v>1489</v>
      </c>
      <c r="B1413" s="35" t="s">
        <v>1272</v>
      </c>
      <c r="C1413" s="34" t="s">
        <v>1273</v>
      </c>
      <c r="D1413" s="35" t="s">
        <v>1490</v>
      </c>
      <c r="E1413" s="35" t="s">
        <v>151</v>
      </c>
      <c r="F1413" t="str" cm="1">
        <f t="array" ref="F1413">IFERROR(_xlfn.XLOOKUP(E1413,MapeoCargos!$A:$A,MapeoCargos!$B:$B,E1413),E1413)</f>
        <v xml:space="preserve">CAJA </v>
      </c>
      <c r="G1413" s="46">
        <v>45536</v>
      </c>
    </row>
    <row r="1414" spans="1:7" x14ac:dyDescent="0.2">
      <c r="A1414" s="27" t="s">
        <v>1491</v>
      </c>
      <c r="B1414" s="35" t="s">
        <v>1272</v>
      </c>
      <c r="C1414" s="34" t="s">
        <v>1297</v>
      </c>
      <c r="D1414" s="35" t="s">
        <v>1492</v>
      </c>
      <c r="E1414" s="35" t="s">
        <v>99</v>
      </c>
      <c r="F1414" t="str" cm="1">
        <f t="array" ref="F1414">IFERROR(_xlfn.XLOOKUP(E1414,MapeoCargos!$A:$A,MapeoCargos!$B:$B,E1414),E1414)</f>
        <v>CHAUFERO</v>
      </c>
      <c r="G1414" s="46">
        <v>45551</v>
      </c>
    </row>
    <row r="1415" spans="1:7" x14ac:dyDescent="0.2">
      <c r="A1415" s="27" t="s">
        <v>1493</v>
      </c>
      <c r="B1415" s="35" t="s">
        <v>1272</v>
      </c>
      <c r="C1415" s="34" t="s">
        <v>1283</v>
      </c>
      <c r="D1415" s="35" t="s">
        <v>4061</v>
      </c>
      <c r="E1415" s="35" t="s">
        <v>83</v>
      </c>
      <c r="F1415" t="str" cm="1">
        <f t="array" ref="F1415">IFERROR(_xlfn.XLOOKUP(E1415,MapeoCargos!$A:$A,MapeoCargos!$B:$B,E1415),E1415)</f>
        <v>PRODUCCIÓN / COCINA</v>
      </c>
      <c r="G1415" s="46">
        <v>45566</v>
      </c>
    </row>
    <row r="1416" spans="1:7" x14ac:dyDescent="0.2">
      <c r="A1416" s="27" t="s">
        <v>1496</v>
      </c>
      <c r="B1416" s="35" t="s">
        <v>1272</v>
      </c>
      <c r="C1416" s="34" t="s">
        <v>1273</v>
      </c>
      <c r="D1416" s="35" t="s">
        <v>1497</v>
      </c>
      <c r="E1416" s="35" t="s">
        <v>1287</v>
      </c>
      <c r="F1416" t="str" cm="1">
        <f t="array" ref="F1416">IFERROR(_xlfn.XLOOKUP(E1416,MapeoCargos!$A:$A,MapeoCargos!$B:$B,E1416),E1416)</f>
        <v>ASISTENTE DE SERVICIO</v>
      </c>
      <c r="G1416" s="46">
        <v>45580</v>
      </c>
    </row>
    <row r="1417" spans="1:7" x14ac:dyDescent="0.2">
      <c r="A1417" s="27" t="s">
        <v>1494</v>
      </c>
      <c r="B1417" s="35" t="s">
        <v>1272</v>
      </c>
      <c r="C1417" s="34" t="s">
        <v>1283</v>
      </c>
      <c r="D1417" s="35" t="s">
        <v>1495</v>
      </c>
      <c r="E1417" s="35" t="s">
        <v>1415</v>
      </c>
      <c r="F1417" t="str" cm="1">
        <f t="array" ref="F1417">IFERROR(_xlfn.XLOOKUP(E1417,MapeoCargos!$A:$A,MapeoCargos!$B:$B,E1417),E1417)</f>
        <v>CORREDOR</v>
      </c>
      <c r="G1417" s="46">
        <v>45581</v>
      </c>
    </row>
    <row r="1418" spans="1:7" x14ac:dyDescent="0.2">
      <c r="A1418" s="27" t="s">
        <v>1498</v>
      </c>
      <c r="B1418" s="35" t="s">
        <v>1272</v>
      </c>
      <c r="C1418" s="34" t="s">
        <v>1283</v>
      </c>
      <c r="D1418" s="35" t="s">
        <v>1499</v>
      </c>
      <c r="E1418" s="35" t="s">
        <v>1338</v>
      </c>
      <c r="F1418" t="str" cm="1">
        <f t="array" ref="F1418">IFERROR(_xlfn.XLOOKUP(E1418,MapeoCargos!$A:$A,MapeoCargos!$B:$B,E1418),E1418)</f>
        <v>LIMPIEZA / MANTENIMIENTO</v>
      </c>
      <c r="G1418" s="46">
        <v>45597</v>
      </c>
    </row>
    <row r="1419" spans="1:7" x14ac:dyDescent="0.2">
      <c r="A1419" s="27" t="s">
        <v>1500</v>
      </c>
      <c r="B1419" s="35" t="s">
        <v>1272</v>
      </c>
      <c r="C1419" s="34" t="s">
        <v>1421</v>
      </c>
      <c r="D1419" s="35" t="s">
        <v>1501</v>
      </c>
      <c r="E1419" s="35" t="s">
        <v>151</v>
      </c>
      <c r="F1419" t="str" cm="1">
        <f t="array" ref="F1419">IFERROR(_xlfn.XLOOKUP(E1419,MapeoCargos!$A:$A,MapeoCargos!$B:$B,E1419),E1419)</f>
        <v xml:space="preserve">CAJA </v>
      </c>
      <c r="G1419" s="46">
        <v>45597</v>
      </c>
    </row>
    <row r="1420" spans="1:7" x14ac:dyDescent="0.2">
      <c r="A1420" s="27" t="s">
        <v>1502</v>
      </c>
      <c r="B1420" s="35" t="s">
        <v>1272</v>
      </c>
      <c r="C1420" s="34" t="s">
        <v>1283</v>
      </c>
      <c r="D1420" s="35" t="s">
        <v>1503</v>
      </c>
      <c r="E1420" s="35" t="s">
        <v>1279</v>
      </c>
      <c r="F1420" t="str" cm="1">
        <f t="array" ref="F1420">IFERROR(_xlfn.XLOOKUP(E1420,MapeoCargos!$A:$A,MapeoCargos!$B:$B,E1420),E1420)</f>
        <v>PRODUCCIÓN / COCINA</v>
      </c>
      <c r="G1420" s="46">
        <v>45612</v>
      </c>
    </row>
    <row r="1421" spans="1:7" x14ac:dyDescent="0.2">
      <c r="A1421" s="27" t="s">
        <v>1504</v>
      </c>
      <c r="B1421" s="35" t="s">
        <v>1272</v>
      </c>
      <c r="C1421" s="34" t="s">
        <v>1297</v>
      </c>
      <c r="D1421" s="35" t="s">
        <v>1505</v>
      </c>
      <c r="E1421" s="35" t="s">
        <v>151</v>
      </c>
      <c r="F1421" t="str" cm="1">
        <f t="array" ref="F1421">IFERROR(_xlfn.XLOOKUP(E1421,MapeoCargos!$A:$A,MapeoCargos!$B:$B,E1421),E1421)</f>
        <v xml:space="preserve">CAJA </v>
      </c>
      <c r="G1421" s="46">
        <v>45615</v>
      </c>
    </row>
    <row r="1422" spans="1:7" x14ac:dyDescent="0.2">
      <c r="A1422" s="27" t="s">
        <v>1506</v>
      </c>
      <c r="B1422" s="35" t="s">
        <v>1272</v>
      </c>
      <c r="C1422" s="34" t="s">
        <v>1297</v>
      </c>
      <c r="D1422" s="35" t="s">
        <v>1507</v>
      </c>
      <c r="E1422" s="35" t="s">
        <v>83</v>
      </c>
      <c r="F1422" t="str" cm="1">
        <f t="array" ref="F1422">IFERROR(_xlfn.XLOOKUP(E1422,MapeoCargos!$A:$A,MapeoCargos!$B:$B,E1422),E1422)</f>
        <v>PRODUCCIÓN / COCINA</v>
      </c>
      <c r="G1422" s="46">
        <v>45615</v>
      </c>
    </row>
    <row r="1423" spans="1:7" x14ac:dyDescent="0.2">
      <c r="A1423" s="27" t="s">
        <v>1508</v>
      </c>
      <c r="B1423" s="35" t="s">
        <v>1272</v>
      </c>
      <c r="C1423" s="34" t="s">
        <v>1297</v>
      </c>
      <c r="D1423" s="35" t="s">
        <v>1509</v>
      </c>
      <c r="E1423" s="35" t="s">
        <v>1324</v>
      </c>
      <c r="F1423" t="str" cm="1">
        <f t="array" ref="F1423">IFERROR(_xlfn.XLOOKUP(E1423,MapeoCargos!$A:$A,MapeoCargos!$B:$B,E1423),E1423)</f>
        <v>CAPITÁN(A) DE SERVICIO</v>
      </c>
      <c r="G1423" s="46">
        <v>45615</v>
      </c>
    </row>
    <row r="1424" spans="1:7" x14ac:dyDescent="0.2">
      <c r="A1424" s="27" t="s">
        <v>1510</v>
      </c>
      <c r="B1424" s="35" t="s">
        <v>1272</v>
      </c>
      <c r="C1424" s="34" t="s">
        <v>1297</v>
      </c>
      <c r="D1424" s="35" t="s">
        <v>1511</v>
      </c>
      <c r="E1424" s="35" t="s">
        <v>1279</v>
      </c>
      <c r="F1424" t="str" cm="1">
        <f t="array" ref="F1424">IFERROR(_xlfn.XLOOKUP(E1424,MapeoCargos!$A:$A,MapeoCargos!$B:$B,E1424),E1424)</f>
        <v>PRODUCCIÓN / COCINA</v>
      </c>
      <c r="G1424" s="46">
        <v>45621</v>
      </c>
    </row>
    <row r="1425" spans="1:7" x14ac:dyDescent="0.2">
      <c r="A1425" s="27" t="s">
        <v>1512</v>
      </c>
      <c r="B1425" s="35" t="s">
        <v>1272</v>
      </c>
      <c r="C1425" s="34" t="s">
        <v>1297</v>
      </c>
      <c r="D1425" s="35" t="s">
        <v>1513</v>
      </c>
      <c r="E1425" s="35" t="s">
        <v>1279</v>
      </c>
      <c r="F1425" t="str" cm="1">
        <f t="array" ref="F1425">IFERROR(_xlfn.XLOOKUP(E1425,MapeoCargos!$A:$A,MapeoCargos!$B:$B,E1425),E1425)</f>
        <v>PRODUCCIÓN / COCINA</v>
      </c>
      <c r="G1425" s="46">
        <v>45621</v>
      </c>
    </row>
    <row r="1426" spans="1:7" x14ac:dyDescent="0.2">
      <c r="A1426" s="28" t="s">
        <v>1514</v>
      </c>
      <c r="B1426" s="35" t="s">
        <v>1272</v>
      </c>
      <c r="C1426" s="34" t="s">
        <v>1297</v>
      </c>
      <c r="D1426" s="35" t="s">
        <v>1515</v>
      </c>
      <c r="E1426" s="35" t="s">
        <v>83</v>
      </c>
      <c r="F1426" t="str" cm="1">
        <f t="array" ref="F1426">IFERROR(_xlfn.XLOOKUP(E1426,MapeoCargos!$A:$A,MapeoCargos!$B:$B,E1426),E1426)</f>
        <v>PRODUCCIÓN / COCINA</v>
      </c>
      <c r="G1426" s="46">
        <v>45621</v>
      </c>
    </row>
    <row r="1427" spans="1:7" x14ac:dyDescent="0.2">
      <c r="A1427" s="28" t="s">
        <v>1516</v>
      </c>
      <c r="B1427" s="35" t="s">
        <v>1272</v>
      </c>
      <c r="C1427" s="34" t="s">
        <v>1297</v>
      </c>
      <c r="D1427" s="35" t="s">
        <v>1517</v>
      </c>
      <c r="E1427" s="35" t="s">
        <v>83</v>
      </c>
      <c r="F1427" t="str" cm="1">
        <f t="array" ref="F1427">IFERROR(_xlfn.XLOOKUP(E1427,MapeoCargos!$A:$A,MapeoCargos!$B:$B,E1427),E1427)</f>
        <v>PRODUCCIÓN / COCINA</v>
      </c>
      <c r="G1427" s="46">
        <v>45621</v>
      </c>
    </row>
    <row r="1428" spans="1:7" x14ac:dyDescent="0.2">
      <c r="A1428" s="28" t="s">
        <v>1518</v>
      </c>
      <c r="B1428" s="35" t="s">
        <v>1272</v>
      </c>
      <c r="C1428" s="34" t="s">
        <v>1297</v>
      </c>
      <c r="D1428" s="35" t="s">
        <v>1519</v>
      </c>
      <c r="E1428" s="35" t="s">
        <v>305</v>
      </c>
      <c r="F1428" t="str" cm="1">
        <f t="array" ref="F1428">IFERROR(_xlfn.XLOOKUP(E1428,MapeoCargos!$A:$A,MapeoCargos!$B:$B,E1428),E1428)</f>
        <v>LIMPIEZA / MANTENIMIENTO</v>
      </c>
      <c r="G1428" s="46">
        <v>45621</v>
      </c>
    </row>
    <row r="1429" spans="1:7" x14ac:dyDescent="0.2">
      <c r="A1429" s="27" t="s">
        <v>1520</v>
      </c>
      <c r="B1429" s="35" t="s">
        <v>1272</v>
      </c>
      <c r="C1429" s="34" t="s">
        <v>1283</v>
      </c>
      <c r="D1429" s="35" t="s">
        <v>1521</v>
      </c>
      <c r="E1429" s="35" t="s">
        <v>1287</v>
      </c>
      <c r="F1429" t="str" cm="1">
        <f t="array" ref="F1429">IFERROR(_xlfn.XLOOKUP(E1429,MapeoCargos!$A:$A,MapeoCargos!$B:$B,E1429),E1429)</f>
        <v>ASISTENTE DE SERVICIO</v>
      </c>
      <c r="G1429" s="46">
        <v>45621</v>
      </c>
    </row>
    <row r="1430" spans="1:7" x14ac:dyDescent="0.2">
      <c r="A1430" s="28" t="s">
        <v>1522</v>
      </c>
      <c r="B1430" s="35" t="s">
        <v>1272</v>
      </c>
      <c r="C1430" s="34" t="s">
        <v>1297</v>
      </c>
      <c r="D1430" s="35" t="s">
        <v>1523</v>
      </c>
      <c r="E1430" s="35" t="s">
        <v>1324</v>
      </c>
      <c r="F1430" t="str" cm="1">
        <f t="array" ref="F1430">IFERROR(_xlfn.XLOOKUP(E1430,MapeoCargos!$A:$A,MapeoCargos!$B:$B,E1430),E1430)</f>
        <v>CAPITÁN(A) DE SERVICIO</v>
      </c>
      <c r="G1430" s="46">
        <v>45621</v>
      </c>
    </row>
    <row r="1431" spans="1:7" x14ac:dyDescent="0.2">
      <c r="A1431" s="27" t="s">
        <v>1524</v>
      </c>
      <c r="B1431" s="35" t="s">
        <v>1272</v>
      </c>
      <c r="C1431" s="34" t="s">
        <v>1297</v>
      </c>
      <c r="D1431" s="35" t="s">
        <v>1525</v>
      </c>
      <c r="E1431" s="35" t="s">
        <v>165</v>
      </c>
      <c r="F1431" t="str" cm="1">
        <f t="array" ref="F1431">IFERROR(_xlfn.XLOOKUP(E1431,MapeoCargos!$A:$A,MapeoCargos!$B:$B,E1431),E1431)</f>
        <v>PACKER</v>
      </c>
      <c r="G1431" s="46">
        <v>45627</v>
      </c>
    </row>
    <row r="1432" spans="1:7" x14ac:dyDescent="0.2">
      <c r="A1432" s="27" t="s">
        <v>1526</v>
      </c>
      <c r="B1432" s="35" t="s">
        <v>1272</v>
      </c>
      <c r="C1432" s="34" t="s">
        <v>1297</v>
      </c>
      <c r="D1432" s="35" t="s">
        <v>1527</v>
      </c>
      <c r="E1432" s="35" t="s">
        <v>83</v>
      </c>
      <c r="F1432" t="str" cm="1">
        <f t="array" ref="F1432">IFERROR(_xlfn.XLOOKUP(E1432,MapeoCargos!$A:$A,MapeoCargos!$B:$B,E1432),E1432)</f>
        <v>PRODUCCIÓN / COCINA</v>
      </c>
      <c r="G1432" s="46">
        <v>45630</v>
      </c>
    </row>
    <row r="1433" spans="1:7" x14ac:dyDescent="0.2">
      <c r="A1433" s="30" t="s">
        <v>1528</v>
      </c>
      <c r="B1433" s="35" t="s">
        <v>1272</v>
      </c>
      <c r="C1433" s="34" t="s">
        <v>1283</v>
      </c>
      <c r="D1433" s="35" t="s">
        <v>1529</v>
      </c>
      <c r="E1433" s="35" t="s">
        <v>151</v>
      </c>
      <c r="F1433" t="str" cm="1">
        <f t="array" ref="F1433">IFERROR(_xlfn.XLOOKUP(E1433,MapeoCargos!$A:$A,MapeoCargos!$B:$B,E1433),E1433)</f>
        <v xml:space="preserve">CAJA </v>
      </c>
      <c r="G1433" s="46">
        <v>45658</v>
      </c>
    </row>
    <row r="1434" spans="1:7" x14ac:dyDescent="0.2">
      <c r="A1434" s="30" t="s">
        <v>1530</v>
      </c>
      <c r="B1434" s="35" t="s">
        <v>1272</v>
      </c>
      <c r="C1434" s="34" t="s">
        <v>1297</v>
      </c>
      <c r="D1434" s="35" t="s">
        <v>1531</v>
      </c>
      <c r="E1434" s="35" t="s">
        <v>113</v>
      </c>
      <c r="F1434" t="str" cm="1">
        <f t="array" ref="F1434">IFERROR(_xlfn.XLOOKUP(E1434,MapeoCargos!$A:$A,MapeoCargos!$B:$B,E1434),E1434)</f>
        <v>HABILITADOR</v>
      </c>
      <c r="G1434" s="46">
        <v>45670</v>
      </c>
    </row>
    <row r="1435" spans="1:7" x14ac:dyDescent="0.2">
      <c r="A1435" s="30" t="s">
        <v>1532</v>
      </c>
      <c r="B1435" s="35" t="s">
        <v>1272</v>
      </c>
      <c r="C1435" s="34" t="s">
        <v>1283</v>
      </c>
      <c r="D1435" s="35" t="s">
        <v>1533</v>
      </c>
      <c r="E1435" s="35" t="s">
        <v>83</v>
      </c>
      <c r="F1435" t="str" cm="1">
        <f t="array" ref="F1435">IFERROR(_xlfn.XLOOKUP(E1435,MapeoCargos!$A:$A,MapeoCargos!$B:$B,E1435),E1435)</f>
        <v>PRODUCCIÓN / COCINA</v>
      </c>
      <c r="G1435" s="46">
        <v>45673</v>
      </c>
    </row>
    <row r="1436" spans="1:7" x14ac:dyDescent="0.2">
      <c r="A1436" s="30" t="s">
        <v>1534</v>
      </c>
      <c r="B1436" s="35" t="s">
        <v>1272</v>
      </c>
      <c r="C1436" s="34" t="s">
        <v>1273</v>
      </c>
      <c r="D1436" s="35" t="s">
        <v>1535</v>
      </c>
      <c r="E1436" s="35" t="s">
        <v>606</v>
      </c>
      <c r="F1436" t="str" cm="1">
        <f t="array" ref="F1436">IFERROR(_xlfn.XLOOKUP(E1436,MapeoCargos!$A:$A,MapeoCargos!$B:$B,E1436),E1436)</f>
        <v>BAR</v>
      </c>
      <c r="G1436" s="46">
        <v>45673</v>
      </c>
    </row>
    <row r="1437" spans="1:7" x14ac:dyDescent="0.2">
      <c r="A1437" s="30" t="s">
        <v>1536</v>
      </c>
      <c r="B1437" s="35" t="s">
        <v>1272</v>
      </c>
      <c r="C1437" s="34" t="s">
        <v>1283</v>
      </c>
      <c r="D1437" s="35" t="s">
        <v>1537</v>
      </c>
      <c r="E1437" s="35" t="s">
        <v>83</v>
      </c>
      <c r="F1437" t="str" cm="1">
        <f t="array" ref="F1437">IFERROR(_xlfn.XLOOKUP(E1437,MapeoCargos!$A:$A,MapeoCargos!$B:$B,E1437),E1437)</f>
        <v>PRODUCCIÓN / COCINA</v>
      </c>
      <c r="G1437" s="46">
        <v>45689</v>
      </c>
    </row>
    <row r="1438" spans="1:7" x14ac:dyDescent="0.2">
      <c r="A1438" s="27" t="s">
        <v>1538</v>
      </c>
      <c r="B1438" s="35" t="s">
        <v>1272</v>
      </c>
      <c r="C1438" s="34" t="s">
        <v>1283</v>
      </c>
      <c r="D1438" s="35" t="s">
        <v>1539</v>
      </c>
      <c r="E1438" s="35" t="s">
        <v>113</v>
      </c>
      <c r="F1438" t="str" cm="1">
        <f t="array" ref="F1438">IFERROR(_xlfn.XLOOKUP(E1438,MapeoCargos!$A:$A,MapeoCargos!$B:$B,E1438),E1438)</f>
        <v>HABILITADOR</v>
      </c>
      <c r="G1438" s="46">
        <v>45689</v>
      </c>
    </row>
    <row r="1439" spans="1:7" x14ac:dyDescent="0.2">
      <c r="A1439" s="27" t="s">
        <v>1540</v>
      </c>
      <c r="B1439" s="35" t="s">
        <v>1272</v>
      </c>
      <c r="C1439" s="34" t="s">
        <v>1294</v>
      </c>
      <c r="D1439" s="35" t="s">
        <v>1541</v>
      </c>
      <c r="E1439" s="35" t="s">
        <v>83</v>
      </c>
      <c r="F1439" t="str" cm="1">
        <f t="array" ref="F1439">IFERROR(_xlfn.XLOOKUP(E1439,MapeoCargos!$A:$A,MapeoCargos!$B:$B,E1439),E1439)</f>
        <v>PRODUCCIÓN / COCINA</v>
      </c>
      <c r="G1439" s="46">
        <v>45698</v>
      </c>
    </row>
    <row r="1440" spans="1:7" x14ac:dyDescent="0.2">
      <c r="A1440" s="27" t="s">
        <v>1542</v>
      </c>
      <c r="B1440" s="35" t="s">
        <v>1272</v>
      </c>
      <c r="C1440" s="34" t="s">
        <v>1297</v>
      </c>
      <c r="D1440" s="35" t="s">
        <v>1543</v>
      </c>
      <c r="E1440" s="35" t="s">
        <v>606</v>
      </c>
      <c r="F1440" t="str" cm="1">
        <f t="array" ref="F1440">IFERROR(_xlfn.XLOOKUP(E1440,MapeoCargos!$A:$A,MapeoCargos!$B:$B,E1440),E1440)</f>
        <v>BAR</v>
      </c>
      <c r="G1440" s="46">
        <v>45700</v>
      </c>
    </row>
    <row r="1441" spans="1:7" x14ac:dyDescent="0.2">
      <c r="A1441" s="27" t="s">
        <v>1544</v>
      </c>
      <c r="B1441" s="35" t="s">
        <v>1272</v>
      </c>
      <c r="C1441" s="34" t="s">
        <v>1061</v>
      </c>
      <c r="D1441" s="35" t="s">
        <v>1545</v>
      </c>
      <c r="E1441" s="35" t="s">
        <v>1061</v>
      </c>
      <c r="F1441" t="str" cm="1">
        <f t="array" ref="F1441">IFERROR(_xlfn.XLOOKUP(E1441,MapeoCargos!$A:$A,MapeoCargos!$B:$B,E1441),E1441)</f>
        <v>PRODUCCION</v>
      </c>
      <c r="G1441" s="46">
        <v>45704</v>
      </c>
    </row>
    <row r="1442" spans="1:7" x14ac:dyDescent="0.2">
      <c r="A1442" s="27" t="s">
        <v>1546</v>
      </c>
      <c r="B1442" s="35" t="s">
        <v>1272</v>
      </c>
      <c r="C1442" s="34" t="s">
        <v>1273</v>
      </c>
      <c r="D1442" s="35" t="s">
        <v>1547</v>
      </c>
      <c r="E1442" s="35" t="s">
        <v>606</v>
      </c>
      <c r="F1442" t="str" cm="1">
        <f t="array" ref="F1442">IFERROR(_xlfn.XLOOKUP(E1442,MapeoCargos!$A:$A,MapeoCargos!$B:$B,E1442),E1442)</f>
        <v>BAR</v>
      </c>
      <c r="G1442" s="46">
        <v>45704</v>
      </c>
    </row>
    <row r="1443" spans="1:7" x14ac:dyDescent="0.2">
      <c r="A1443" s="27" t="s">
        <v>1548</v>
      </c>
      <c r="B1443" s="35" t="s">
        <v>1272</v>
      </c>
      <c r="C1443" s="34" t="s">
        <v>1297</v>
      </c>
      <c r="D1443" s="35" t="s">
        <v>1549</v>
      </c>
      <c r="E1443" s="35" t="s">
        <v>30</v>
      </c>
      <c r="F1443" t="str" cm="1">
        <f t="array" ref="F1443">IFERROR(_xlfn.XLOOKUP(E1443,MapeoCargos!$A:$A,MapeoCargos!$B:$B,E1443),E1443)</f>
        <v>STAFF ADMINISTRATIVO</v>
      </c>
      <c r="G1443" s="46">
        <v>45705</v>
      </c>
    </row>
    <row r="1444" spans="1:7" x14ac:dyDescent="0.2">
      <c r="A1444" s="30" t="s">
        <v>1550</v>
      </c>
      <c r="B1444" s="35" t="s">
        <v>1272</v>
      </c>
      <c r="C1444" s="34" t="s">
        <v>1421</v>
      </c>
      <c r="D1444" s="35" t="s">
        <v>1551</v>
      </c>
      <c r="E1444" s="35" t="s">
        <v>1470</v>
      </c>
      <c r="F1444" t="str" cm="1">
        <f t="array" ref="F1444">IFERROR(_xlfn.XLOOKUP(E1444,MapeoCargos!$A:$A,MapeoCargos!$B:$B,E1444),E1444)</f>
        <v>PIZZERO</v>
      </c>
      <c r="G1444" s="46">
        <v>45717</v>
      </c>
    </row>
    <row r="1445" spans="1:7" x14ac:dyDescent="0.2">
      <c r="A1445" s="27" t="s">
        <v>1552</v>
      </c>
      <c r="B1445" s="35" t="s">
        <v>1272</v>
      </c>
      <c r="C1445" s="34" t="s">
        <v>1273</v>
      </c>
      <c r="D1445" s="35" t="s">
        <v>1553</v>
      </c>
      <c r="E1445" s="35" t="s">
        <v>165</v>
      </c>
      <c r="F1445" t="str" cm="1">
        <f t="array" ref="F1445">IFERROR(_xlfn.XLOOKUP(E1445,MapeoCargos!$A:$A,MapeoCargos!$B:$B,E1445),E1445)</f>
        <v>PACKER</v>
      </c>
      <c r="G1445" s="46">
        <v>45717</v>
      </c>
    </row>
    <row r="1446" spans="1:7" x14ac:dyDescent="0.2">
      <c r="A1446" s="27" t="s">
        <v>1554</v>
      </c>
      <c r="B1446" s="35" t="s">
        <v>1272</v>
      </c>
      <c r="C1446" s="34" t="s">
        <v>1283</v>
      </c>
      <c r="D1446" s="35" t="s">
        <v>1555</v>
      </c>
      <c r="E1446" s="35" t="s">
        <v>1287</v>
      </c>
      <c r="F1446" t="str" cm="1">
        <f t="array" ref="F1446">IFERROR(_xlfn.XLOOKUP(E1446,MapeoCargos!$A:$A,MapeoCargos!$B:$B,E1446),E1446)</f>
        <v>ASISTENTE DE SERVICIO</v>
      </c>
      <c r="G1446" s="46">
        <v>45717</v>
      </c>
    </row>
    <row r="1447" spans="1:7" x14ac:dyDescent="0.2">
      <c r="A1447" s="27" t="s">
        <v>1556</v>
      </c>
      <c r="B1447" s="35" t="s">
        <v>1272</v>
      </c>
      <c r="C1447" s="34" t="s">
        <v>1273</v>
      </c>
      <c r="D1447" s="35" t="s">
        <v>1557</v>
      </c>
      <c r="E1447" s="35" t="s">
        <v>151</v>
      </c>
      <c r="F1447" t="str" cm="1">
        <f t="array" ref="F1447">IFERROR(_xlfn.XLOOKUP(E1447,MapeoCargos!$A:$A,MapeoCargos!$B:$B,E1447),E1447)</f>
        <v xml:space="preserve">CAJA </v>
      </c>
      <c r="G1447" s="46">
        <v>45717</v>
      </c>
    </row>
    <row r="1448" spans="1:7" x14ac:dyDescent="0.2">
      <c r="A1448" s="27" t="s">
        <v>1558</v>
      </c>
      <c r="B1448" s="35" t="s">
        <v>1272</v>
      </c>
      <c r="C1448" s="34" t="s">
        <v>31</v>
      </c>
      <c r="D1448" s="35" t="s">
        <v>1559</v>
      </c>
      <c r="E1448" s="35" t="s">
        <v>761</v>
      </c>
      <c r="F1448" t="str" cm="1">
        <f t="array" ref="F1448">IFERROR(_xlfn.XLOOKUP(E1448,MapeoCargos!$A:$A,MapeoCargos!$B:$B,E1448),E1448)</f>
        <v>COORDINADOR(A) DE MARKETING</v>
      </c>
      <c r="G1448" s="46">
        <v>45719</v>
      </c>
    </row>
    <row r="1449" spans="1:7" x14ac:dyDescent="0.2">
      <c r="A1449" s="27" t="s">
        <v>1560</v>
      </c>
      <c r="B1449" s="35" t="s">
        <v>1272</v>
      </c>
      <c r="C1449" s="34" t="s">
        <v>1297</v>
      </c>
      <c r="D1449" s="35" t="s">
        <v>1561</v>
      </c>
      <c r="E1449" s="35" t="s">
        <v>83</v>
      </c>
      <c r="F1449" t="str" cm="1">
        <f t="array" ref="F1449">IFERROR(_xlfn.XLOOKUP(E1449,MapeoCargos!$A:$A,MapeoCargos!$B:$B,E1449),E1449)</f>
        <v>PRODUCCIÓN / COCINA</v>
      </c>
      <c r="G1449" s="46">
        <v>45726</v>
      </c>
    </row>
    <row r="1450" spans="1:7" x14ac:dyDescent="0.2">
      <c r="A1450" s="27" t="s">
        <v>1562</v>
      </c>
      <c r="B1450" s="35" t="s">
        <v>1272</v>
      </c>
      <c r="C1450" s="34" t="s">
        <v>1283</v>
      </c>
      <c r="D1450" s="35" t="s">
        <v>1563</v>
      </c>
      <c r="E1450" s="35" t="s">
        <v>1279</v>
      </c>
      <c r="F1450" t="str" cm="1">
        <f t="array" ref="F1450">IFERROR(_xlfn.XLOOKUP(E1450,MapeoCargos!$A:$A,MapeoCargos!$B:$B,E1450),E1450)</f>
        <v>PRODUCCIÓN / COCINA</v>
      </c>
      <c r="G1450" s="46">
        <v>45732</v>
      </c>
    </row>
    <row r="1451" spans="1:7" x14ac:dyDescent="0.2">
      <c r="A1451" s="27" t="s">
        <v>1564</v>
      </c>
      <c r="B1451" s="35" t="s">
        <v>1272</v>
      </c>
      <c r="C1451" s="34" t="s">
        <v>1297</v>
      </c>
      <c r="D1451" s="35" t="s">
        <v>1565</v>
      </c>
      <c r="E1451" s="35" t="s">
        <v>110</v>
      </c>
      <c r="F1451" t="str" cm="1">
        <f t="array" ref="F1451">IFERROR(_xlfn.XLOOKUP(E1451,MapeoCargos!$A:$A,MapeoCargos!$B:$B,E1451),E1451)</f>
        <v>COUNTER</v>
      </c>
      <c r="G1451" s="46">
        <v>45733</v>
      </c>
    </row>
    <row r="1452" spans="1:7" x14ac:dyDescent="0.2">
      <c r="A1452" s="27" t="s">
        <v>1566</v>
      </c>
      <c r="B1452" s="35" t="s">
        <v>1272</v>
      </c>
      <c r="C1452" s="34" t="s">
        <v>1283</v>
      </c>
      <c r="D1452" s="35" t="s">
        <v>1567</v>
      </c>
      <c r="E1452" s="35" t="s">
        <v>1287</v>
      </c>
      <c r="F1452" t="str" cm="1">
        <f t="array" ref="F1452">IFERROR(_xlfn.XLOOKUP(E1452,MapeoCargos!$A:$A,MapeoCargos!$B:$B,E1452),E1452)</f>
        <v>ASISTENTE DE SERVICIO</v>
      </c>
      <c r="G1452" s="46">
        <v>45748</v>
      </c>
    </row>
    <row r="1453" spans="1:7" x14ac:dyDescent="0.2">
      <c r="A1453" s="27" t="s">
        <v>1568</v>
      </c>
      <c r="B1453" s="35" t="s">
        <v>1272</v>
      </c>
      <c r="C1453" s="34" t="s">
        <v>1061</v>
      </c>
      <c r="D1453" s="35" t="s">
        <v>1569</v>
      </c>
      <c r="E1453" s="35" t="s">
        <v>1061</v>
      </c>
      <c r="F1453" t="str" cm="1">
        <f t="array" ref="F1453">IFERROR(_xlfn.XLOOKUP(E1453,MapeoCargos!$A:$A,MapeoCargos!$B:$B,E1453),E1453)</f>
        <v>PRODUCCION</v>
      </c>
      <c r="G1453" s="46">
        <v>45748</v>
      </c>
    </row>
    <row r="1454" spans="1:7" x14ac:dyDescent="0.2">
      <c r="A1454" s="27" t="s">
        <v>1570</v>
      </c>
      <c r="B1454" s="35" t="s">
        <v>1272</v>
      </c>
      <c r="C1454" s="34" t="s">
        <v>31</v>
      </c>
      <c r="D1454" s="35" t="s">
        <v>1571</v>
      </c>
      <c r="E1454" s="35" t="s">
        <v>1572</v>
      </c>
      <c r="F1454" t="str" cm="1">
        <f t="array" ref="F1454">IFERROR(_xlfn.XLOOKUP(E1454,MapeoCargos!$A:$A,MapeoCargos!$B:$B,E1454),E1454)</f>
        <v>JEFE DE CALIDAD</v>
      </c>
      <c r="G1454" s="46">
        <v>45748</v>
      </c>
    </row>
    <row r="1455" spans="1:7" x14ac:dyDescent="0.2">
      <c r="A1455" s="27" t="s">
        <v>1573</v>
      </c>
      <c r="B1455" s="35" t="s">
        <v>1272</v>
      </c>
      <c r="C1455" s="34" t="s">
        <v>1283</v>
      </c>
      <c r="D1455" s="35" t="s">
        <v>1574</v>
      </c>
      <c r="E1455" s="35" t="s">
        <v>1423</v>
      </c>
      <c r="F1455" t="str" cm="1">
        <f t="array" ref="F1455">IFERROR(_xlfn.XLOOKUP(E1455,MapeoCargos!$A:$A,MapeoCargos!$B:$B,E1455),E1455)</f>
        <v>ASISTENTE DE SERVICIO P/T</v>
      </c>
      <c r="G1455" s="46">
        <v>45748</v>
      </c>
    </row>
    <row r="1456" spans="1:7" x14ac:dyDescent="0.2">
      <c r="A1456" s="27" t="s">
        <v>1575</v>
      </c>
      <c r="B1456" s="35" t="s">
        <v>1272</v>
      </c>
      <c r="C1456" s="34" t="s">
        <v>1294</v>
      </c>
      <c r="D1456" s="35" t="s">
        <v>1576</v>
      </c>
      <c r="E1456" s="35" t="s">
        <v>482</v>
      </c>
      <c r="F1456" t="str" cm="1">
        <f t="array" ref="F1456">IFERROR(_xlfn.XLOOKUP(E1456,MapeoCargos!$A:$A,MapeoCargos!$B:$B,E1456),E1456)</f>
        <v>PRODUCCIÓN / COCINA</v>
      </c>
      <c r="G1456" s="46">
        <v>45748</v>
      </c>
    </row>
    <row r="1457" spans="1:7" x14ac:dyDescent="0.2">
      <c r="A1457" s="27" t="s">
        <v>1577</v>
      </c>
      <c r="B1457" s="35" t="s">
        <v>1272</v>
      </c>
      <c r="C1457" s="34" t="s">
        <v>1297</v>
      </c>
      <c r="D1457" s="35" t="s">
        <v>1578</v>
      </c>
      <c r="E1457" s="35" t="s">
        <v>1415</v>
      </c>
      <c r="F1457" t="str" cm="1">
        <f t="array" ref="F1457">IFERROR(_xlfn.XLOOKUP(E1457,MapeoCargos!$A:$A,MapeoCargos!$B:$B,E1457),E1457)</f>
        <v>CORREDOR</v>
      </c>
      <c r="G1457" s="46">
        <v>45748</v>
      </c>
    </row>
    <row r="1458" spans="1:7" x14ac:dyDescent="0.2">
      <c r="A1458" s="27" t="s">
        <v>1579</v>
      </c>
      <c r="B1458" s="35" t="s">
        <v>1272</v>
      </c>
      <c r="C1458" s="34" t="s">
        <v>1273</v>
      </c>
      <c r="D1458" s="35" t="s">
        <v>1580</v>
      </c>
      <c r="E1458" s="35" t="s">
        <v>167</v>
      </c>
      <c r="F1458" t="str" cm="1">
        <f t="array" ref="F1458">IFERROR(_xlfn.XLOOKUP(E1458,MapeoCargos!$A:$A,MapeoCargos!$B:$B,E1458),E1458)</f>
        <v xml:space="preserve">ANFITRIONAJE </v>
      </c>
      <c r="G1458" s="46">
        <v>45763</v>
      </c>
    </row>
    <row r="1459" spans="1:7" x14ac:dyDescent="0.2">
      <c r="A1459" s="27" t="s">
        <v>1581</v>
      </c>
      <c r="B1459" s="35" t="s">
        <v>1272</v>
      </c>
      <c r="C1459" s="34" t="s">
        <v>1294</v>
      </c>
      <c r="D1459" s="35" t="s">
        <v>1582</v>
      </c>
      <c r="E1459" s="35" t="s">
        <v>160</v>
      </c>
      <c r="F1459" t="str" cm="1">
        <f t="array" ref="F1459">IFERROR(_xlfn.XLOOKUP(E1459,MapeoCargos!$A:$A,MapeoCargos!$B:$B,E1459),E1459)</f>
        <v>PACKER</v>
      </c>
      <c r="G1459" s="46">
        <v>45778</v>
      </c>
    </row>
    <row r="1460" spans="1:7" x14ac:dyDescent="0.2">
      <c r="A1460" s="27" t="s">
        <v>1583</v>
      </c>
      <c r="B1460" s="35" t="s">
        <v>1272</v>
      </c>
      <c r="C1460" s="34" t="s">
        <v>1061</v>
      </c>
      <c r="D1460" s="35" t="s">
        <v>1584</v>
      </c>
      <c r="E1460" s="35" t="s">
        <v>1061</v>
      </c>
      <c r="F1460" t="str" cm="1">
        <f t="array" ref="F1460">IFERROR(_xlfn.XLOOKUP(E1460,MapeoCargos!$A:$A,MapeoCargos!$B:$B,E1460),E1460)</f>
        <v>PRODUCCION</v>
      </c>
      <c r="G1460" s="46">
        <v>45778</v>
      </c>
    </row>
    <row r="1461" spans="1:7" x14ac:dyDescent="0.2">
      <c r="A1461" s="27" t="s">
        <v>1585</v>
      </c>
      <c r="B1461" s="35" t="s">
        <v>1272</v>
      </c>
      <c r="C1461" s="34" t="s">
        <v>1297</v>
      </c>
      <c r="D1461" s="35" t="s">
        <v>1586</v>
      </c>
      <c r="E1461" s="35" t="s">
        <v>742</v>
      </c>
      <c r="F1461" t="str" cm="1">
        <f t="array" ref="F1461">IFERROR(_xlfn.XLOOKUP(E1461,MapeoCargos!$A:$A,MapeoCargos!$B:$B,E1461),E1461)</f>
        <v>ALMACENERO(A)</v>
      </c>
      <c r="G1461" s="46">
        <v>45778</v>
      </c>
    </row>
    <row r="1462" spans="1:7" x14ac:dyDescent="0.2">
      <c r="A1462" s="27" t="s">
        <v>1587</v>
      </c>
      <c r="B1462" s="35" t="s">
        <v>1272</v>
      </c>
      <c r="C1462" s="34" t="s">
        <v>1297</v>
      </c>
      <c r="D1462" s="35" t="s">
        <v>1588</v>
      </c>
      <c r="E1462" s="35" t="s">
        <v>151</v>
      </c>
      <c r="F1462" t="str" cm="1">
        <f t="array" ref="F1462">IFERROR(_xlfn.XLOOKUP(E1462,MapeoCargos!$A:$A,MapeoCargos!$B:$B,E1462),E1462)</f>
        <v xml:space="preserve">CAJA </v>
      </c>
      <c r="G1462" s="46">
        <v>45778</v>
      </c>
    </row>
    <row r="1463" spans="1:7" x14ac:dyDescent="0.2">
      <c r="A1463" s="27" t="s">
        <v>1589</v>
      </c>
      <c r="B1463" s="35" t="s">
        <v>1272</v>
      </c>
      <c r="C1463" s="34" t="s">
        <v>1283</v>
      </c>
      <c r="D1463" s="35" t="s">
        <v>1590</v>
      </c>
      <c r="E1463" s="35" t="s">
        <v>606</v>
      </c>
      <c r="F1463" t="str" cm="1">
        <f t="array" ref="F1463">IFERROR(_xlfn.XLOOKUP(E1463,MapeoCargos!$A:$A,MapeoCargos!$B:$B,E1463),E1463)</f>
        <v>BAR</v>
      </c>
      <c r="G1463" s="46">
        <v>45778</v>
      </c>
    </row>
    <row r="1464" spans="1:7" x14ac:dyDescent="0.2">
      <c r="A1464" s="27" t="s">
        <v>1591</v>
      </c>
      <c r="B1464" s="35" t="s">
        <v>1272</v>
      </c>
      <c r="C1464" s="34" t="s">
        <v>1283</v>
      </c>
      <c r="D1464" s="35" t="s">
        <v>1592</v>
      </c>
      <c r="E1464" s="35" t="s">
        <v>160</v>
      </c>
      <c r="F1464" t="str" cm="1">
        <f t="array" ref="F1464">IFERROR(_xlfn.XLOOKUP(E1464,MapeoCargos!$A:$A,MapeoCargos!$B:$B,E1464),E1464)</f>
        <v>PACKER</v>
      </c>
      <c r="G1464" s="46">
        <v>45778</v>
      </c>
    </row>
    <row r="1465" spans="1:7" x14ac:dyDescent="0.2">
      <c r="A1465" s="27" t="s">
        <v>1593</v>
      </c>
      <c r="B1465" s="35" t="s">
        <v>1272</v>
      </c>
      <c r="C1465" s="34" t="s">
        <v>1273</v>
      </c>
      <c r="D1465" s="35" t="s">
        <v>1594</v>
      </c>
      <c r="E1465" s="35" t="s">
        <v>167</v>
      </c>
      <c r="F1465" t="str" cm="1">
        <f t="array" ref="F1465">IFERROR(_xlfn.XLOOKUP(E1465,MapeoCargos!$A:$A,MapeoCargos!$B:$B,E1465),E1465)</f>
        <v xml:space="preserve">ANFITRIONAJE </v>
      </c>
      <c r="G1465" s="46">
        <v>45778</v>
      </c>
    </row>
    <row r="1466" spans="1:7" x14ac:dyDescent="0.2">
      <c r="A1466" s="27" t="s">
        <v>1595</v>
      </c>
      <c r="B1466" s="35" t="s">
        <v>1272</v>
      </c>
      <c r="C1466" s="34" t="s">
        <v>1273</v>
      </c>
      <c r="D1466" s="35" t="s">
        <v>1596</v>
      </c>
      <c r="E1466" s="35" t="s">
        <v>1279</v>
      </c>
      <c r="F1466" t="str" cm="1">
        <f t="array" ref="F1466">IFERROR(_xlfn.XLOOKUP(E1466,MapeoCargos!$A:$A,MapeoCargos!$B:$B,E1466),E1466)</f>
        <v>PRODUCCIÓN / COCINA</v>
      </c>
      <c r="G1466" s="46">
        <v>45778</v>
      </c>
    </row>
    <row r="1467" spans="1:7" x14ac:dyDescent="0.2">
      <c r="A1467" s="27" t="s">
        <v>1597</v>
      </c>
      <c r="B1467" s="35" t="s">
        <v>1272</v>
      </c>
      <c r="C1467" s="34" t="s">
        <v>1297</v>
      </c>
      <c r="D1467" s="35" t="s">
        <v>1598</v>
      </c>
      <c r="E1467" s="35" t="s">
        <v>624</v>
      </c>
      <c r="F1467" t="str" cm="1">
        <f t="array" ref="F1467">IFERROR(_xlfn.XLOOKUP(E1467,MapeoCargos!$A:$A,MapeoCargos!$B:$B,E1467),E1467)</f>
        <v>MOTORIZADO</v>
      </c>
      <c r="G1467" s="46">
        <v>45778</v>
      </c>
    </row>
    <row r="1468" spans="1:7" x14ac:dyDescent="0.2">
      <c r="A1468" s="27" t="s">
        <v>1599</v>
      </c>
      <c r="B1468" s="35" t="s">
        <v>1272</v>
      </c>
      <c r="C1468" s="34" t="s">
        <v>31</v>
      </c>
      <c r="D1468" s="35" t="s">
        <v>1600</v>
      </c>
      <c r="E1468" s="35" t="s">
        <v>180</v>
      </c>
      <c r="F1468" t="str" cm="1">
        <f t="array" ref="F1468">IFERROR(_xlfn.XLOOKUP(E1468,MapeoCargos!$A:$A,MapeoCargos!$B:$B,E1468),E1468)</f>
        <v>MANTENIMIENTO</v>
      </c>
      <c r="G1468" s="46">
        <v>45789</v>
      </c>
    </row>
    <row r="1469" spans="1:7" x14ac:dyDescent="0.2">
      <c r="A1469" s="27" t="s">
        <v>1603</v>
      </c>
      <c r="B1469" s="35" t="s">
        <v>1272</v>
      </c>
      <c r="C1469" s="34" t="s">
        <v>1297</v>
      </c>
      <c r="D1469" s="35" t="s">
        <v>1604</v>
      </c>
      <c r="E1469" s="35" t="s">
        <v>127</v>
      </c>
      <c r="F1469" t="str" cm="1">
        <f t="array" ref="F1469">IFERROR(_xlfn.XLOOKUP(E1469,MapeoCargos!$A:$A,MapeoCargos!$B:$B,E1469),E1469)</f>
        <v>AZAFATA</v>
      </c>
      <c r="G1469" s="46">
        <v>45793</v>
      </c>
    </row>
    <row r="1470" spans="1:7" x14ac:dyDescent="0.2">
      <c r="A1470" s="27" t="s">
        <v>1605</v>
      </c>
      <c r="B1470" s="35" t="s">
        <v>1272</v>
      </c>
      <c r="C1470" s="34" t="s">
        <v>1297</v>
      </c>
      <c r="D1470" s="35" t="s">
        <v>1606</v>
      </c>
      <c r="E1470" s="35" t="s">
        <v>83</v>
      </c>
      <c r="F1470" t="str" cm="1">
        <f t="array" ref="F1470">IFERROR(_xlfn.XLOOKUP(E1470,MapeoCargos!$A:$A,MapeoCargos!$B:$B,E1470),E1470)</f>
        <v>PRODUCCIÓN / COCINA</v>
      </c>
      <c r="G1470" s="46">
        <v>45793</v>
      </c>
    </row>
    <row r="1471" spans="1:7" x14ac:dyDescent="0.2">
      <c r="A1471" s="27" t="s">
        <v>1607</v>
      </c>
      <c r="B1471" s="35" t="s">
        <v>1272</v>
      </c>
      <c r="C1471" s="34" t="s">
        <v>1283</v>
      </c>
      <c r="D1471" s="35" t="s">
        <v>1608</v>
      </c>
      <c r="E1471" s="35" t="s">
        <v>305</v>
      </c>
      <c r="F1471" t="str" cm="1">
        <f t="array" ref="F1471">IFERROR(_xlfn.XLOOKUP(E1471,MapeoCargos!$A:$A,MapeoCargos!$B:$B,E1471),E1471)</f>
        <v>LIMPIEZA / MANTENIMIENTO</v>
      </c>
      <c r="G1471" s="46">
        <v>45793</v>
      </c>
    </row>
    <row r="1472" spans="1:7" x14ac:dyDescent="0.2">
      <c r="A1472" s="27" t="s">
        <v>1609</v>
      </c>
      <c r="B1472" s="35" t="s">
        <v>1272</v>
      </c>
      <c r="C1472" s="34" t="s">
        <v>1283</v>
      </c>
      <c r="D1472" s="35" t="s">
        <v>1610</v>
      </c>
      <c r="E1472" s="35" t="s">
        <v>83</v>
      </c>
      <c r="F1472" t="str" cm="1">
        <f t="array" ref="F1472">IFERROR(_xlfn.XLOOKUP(E1472,MapeoCargos!$A:$A,MapeoCargos!$B:$B,E1472),E1472)</f>
        <v>PRODUCCIÓN / COCINA</v>
      </c>
      <c r="G1472" s="46">
        <v>45793</v>
      </c>
    </row>
    <row r="1473" spans="1:7" x14ac:dyDescent="0.2">
      <c r="A1473" s="27" t="s">
        <v>1611</v>
      </c>
      <c r="B1473" s="35" t="s">
        <v>1272</v>
      </c>
      <c r="C1473" s="34" t="s">
        <v>1297</v>
      </c>
      <c r="D1473" s="35" t="s">
        <v>1612</v>
      </c>
      <c r="E1473" s="35" t="s">
        <v>305</v>
      </c>
      <c r="F1473" t="str" cm="1">
        <f t="array" ref="F1473">IFERROR(_xlfn.XLOOKUP(E1473,MapeoCargos!$A:$A,MapeoCargos!$B:$B,E1473),E1473)</f>
        <v>LIMPIEZA / MANTENIMIENTO</v>
      </c>
      <c r="G1473" s="46">
        <v>45796</v>
      </c>
    </row>
    <row r="1474" spans="1:7" x14ac:dyDescent="0.2">
      <c r="A1474" s="27" t="s">
        <v>1613</v>
      </c>
      <c r="B1474" s="35" t="s">
        <v>1272</v>
      </c>
      <c r="C1474" s="34" t="s">
        <v>1297</v>
      </c>
      <c r="D1474" s="35" t="s">
        <v>1614</v>
      </c>
      <c r="E1474" s="35" t="s">
        <v>305</v>
      </c>
      <c r="F1474" t="str" cm="1">
        <f t="array" ref="F1474">IFERROR(_xlfn.XLOOKUP(E1474,MapeoCargos!$A:$A,MapeoCargos!$B:$B,E1474),E1474)</f>
        <v>LIMPIEZA / MANTENIMIENTO</v>
      </c>
      <c r="G1474" s="46">
        <v>45809</v>
      </c>
    </row>
    <row r="1475" spans="1:7" x14ac:dyDescent="0.2">
      <c r="A1475" s="27" t="s">
        <v>1615</v>
      </c>
      <c r="B1475" s="35" t="s">
        <v>1272</v>
      </c>
      <c r="C1475" s="34" t="s">
        <v>1294</v>
      </c>
      <c r="D1475" s="35" t="s">
        <v>1616</v>
      </c>
      <c r="E1475" s="35" t="s">
        <v>83</v>
      </c>
      <c r="F1475" t="str" cm="1">
        <f t="array" ref="F1475">IFERROR(_xlfn.XLOOKUP(E1475,MapeoCargos!$A:$A,MapeoCargos!$B:$B,E1475),E1475)</f>
        <v>PRODUCCIÓN / COCINA</v>
      </c>
      <c r="G1475" s="46">
        <v>45809</v>
      </c>
    </row>
    <row r="1476" spans="1:7" x14ac:dyDescent="0.2">
      <c r="A1476" s="27" t="s">
        <v>1617</v>
      </c>
      <c r="B1476" s="35" t="s">
        <v>1272</v>
      </c>
      <c r="C1476" s="34" t="s">
        <v>1273</v>
      </c>
      <c r="D1476" s="35" t="s">
        <v>1618</v>
      </c>
      <c r="E1476" s="35" t="s">
        <v>305</v>
      </c>
      <c r="F1476" t="str" cm="1">
        <f t="array" ref="F1476">IFERROR(_xlfn.XLOOKUP(E1476,MapeoCargos!$A:$A,MapeoCargos!$B:$B,E1476),E1476)</f>
        <v>LIMPIEZA / MANTENIMIENTO</v>
      </c>
      <c r="G1476" s="46">
        <v>45824</v>
      </c>
    </row>
    <row r="1477" spans="1:7" x14ac:dyDescent="0.2">
      <c r="A1477" s="27" t="s">
        <v>1619</v>
      </c>
      <c r="B1477" s="35" t="s">
        <v>1272</v>
      </c>
      <c r="C1477" s="34" t="s">
        <v>1273</v>
      </c>
      <c r="D1477" s="35" t="s">
        <v>1620</v>
      </c>
      <c r="E1477" s="35" t="s">
        <v>624</v>
      </c>
      <c r="F1477" t="str" cm="1">
        <f t="array" ref="F1477">IFERROR(_xlfn.XLOOKUP(E1477,MapeoCargos!$A:$A,MapeoCargos!$B:$B,E1477),E1477)</f>
        <v>MOTORIZADO</v>
      </c>
      <c r="G1477" s="46">
        <v>45824</v>
      </c>
    </row>
    <row r="1478" spans="1:7" x14ac:dyDescent="0.2">
      <c r="A1478" s="27" t="s">
        <v>1621</v>
      </c>
      <c r="B1478" s="35" t="s">
        <v>1272</v>
      </c>
      <c r="C1478" s="34" t="s">
        <v>1283</v>
      </c>
      <c r="D1478" s="35" t="s">
        <v>1622</v>
      </c>
      <c r="E1478" s="35" t="s">
        <v>742</v>
      </c>
      <c r="F1478" t="str" cm="1">
        <f t="array" ref="F1478">IFERROR(_xlfn.XLOOKUP(E1478,MapeoCargos!$A:$A,MapeoCargos!$B:$B,E1478),E1478)</f>
        <v>ALMACENERO(A)</v>
      </c>
      <c r="G1478" s="46">
        <v>45824</v>
      </c>
    </row>
    <row r="1479" spans="1:7" x14ac:dyDescent="0.2">
      <c r="A1479" s="27" t="s">
        <v>1623</v>
      </c>
      <c r="B1479" s="35" t="s">
        <v>1272</v>
      </c>
      <c r="C1479" s="34" t="s">
        <v>1297</v>
      </c>
      <c r="D1479" s="35" t="s">
        <v>1624</v>
      </c>
      <c r="E1479" s="35" t="s">
        <v>1279</v>
      </c>
      <c r="F1479" t="str" cm="1">
        <f t="array" ref="F1479">IFERROR(_xlfn.XLOOKUP(E1479,MapeoCargos!$A:$A,MapeoCargos!$B:$B,E1479),E1479)</f>
        <v>PRODUCCIÓN / COCINA</v>
      </c>
      <c r="G1479" s="46">
        <v>45824</v>
      </c>
    </row>
    <row r="1480" spans="1:7" x14ac:dyDescent="0.2">
      <c r="A1480" s="27" t="s">
        <v>1625</v>
      </c>
      <c r="B1480" s="35" t="s">
        <v>1272</v>
      </c>
      <c r="C1480" s="34" t="s">
        <v>1061</v>
      </c>
      <c r="D1480" s="35" t="s">
        <v>1626</v>
      </c>
      <c r="E1480" s="35" t="s">
        <v>180</v>
      </c>
      <c r="F1480" t="str" cm="1">
        <f t="array" ref="F1480">IFERROR(_xlfn.XLOOKUP(E1480,MapeoCargos!$A:$A,MapeoCargos!$B:$B,E1480),E1480)</f>
        <v>MANTENIMIENTO</v>
      </c>
      <c r="G1480" s="46">
        <v>45839</v>
      </c>
    </row>
    <row r="1481" spans="1:7" x14ac:dyDescent="0.2">
      <c r="A1481" s="27" t="s">
        <v>1627</v>
      </c>
      <c r="B1481" s="35" t="s">
        <v>1272</v>
      </c>
      <c r="C1481" s="34" t="s">
        <v>1283</v>
      </c>
      <c r="D1481" s="35" t="s">
        <v>1628</v>
      </c>
      <c r="E1481" s="35" t="s">
        <v>167</v>
      </c>
      <c r="F1481" t="str" cm="1">
        <f t="array" ref="F1481">IFERROR(_xlfn.XLOOKUP(E1481,MapeoCargos!$A:$A,MapeoCargos!$B:$B,E1481),E1481)</f>
        <v xml:space="preserve">ANFITRIONAJE </v>
      </c>
      <c r="G1481" s="46">
        <v>45839</v>
      </c>
    </row>
    <row r="1482" spans="1:7" x14ac:dyDescent="0.2">
      <c r="A1482" s="27" t="s">
        <v>1629</v>
      </c>
      <c r="B1482" s="35" t="s">
        <v>1272</v>
      </c>
      <c r="C1482" s="34" t="s">
        <v>1421</v>
      </c>
      <c r="D1482" s="35" t="s">
        <v>1630</v>
      </c>
      <c r="E1482" s="35" t="s">
        <v>1470</v>
      </c>
      <c r="F1482" t="str" cm="1">
        <f t="array" ref="F1482">IFERROR(_xlfn.XLOOKUP(E1482,MapeoCargos!$A:$A,MapeoCargos!$B:$B,E1482),E1482)</f>
        <v>PIZZERO</v>
      </c>
      <c r="G1482" s="46">
        <v>45839</v>
      </c>
    </row>
    <row r="1483" spans="1:7" x14ac:dyDescent="0.2">
      <c r="A1483" s="27" t="s">
        <v>1631</v>
      </c>
      <c r="B1483" s="35" t="s">
        <v>1272</v>
      </c>
      <c r="C1483" s="34" t="s">
        <v>1297</v>
      </c>
      <c r="D1483" s="35" t="s">
        <v>1632</v>
      </c>
      <c r="E1483" s="35" t="s">
        <v>1415</v>
      </c>
      <c r="F1483" t="str" cm="1">
        <f t="array" ref="F1483">IFERROR(_xlfn.XLOOKUP(E1483,MapeoCargos!$A:$A,MapeoCargos!$B:$B,E1483),E1483)</f>
        <v>CORREDOR</v>
      </c>
      <c r="G1483" s="46">
        <v>45854</v>
      </c>
    </row>
    <row r="1484" spans="1:7" x14ac:dyDescent="0.2">
      <c r="A1484" s="27" t="s">
        <v>1633</v>
      </c>
      <c r="B1484" s="35" t="s">
        <v>1272</v>
      </c>
      <c r="C1484" s="34" t="s">
        <v>1297</v>
      </c>
      <c r="D1484" s="35" t="s">
        <v>1634</v>
      </c>
      <c r="E1484" s="35" t="s">
        <v>606</v>
      </c>
      <c r="F1484" t="str" cm="1">
        <f t="array" ref="F1484">IFERROR(_xlfn.XLOOKUP(E1484,MapeoCargos!$A:$A,MapeoCargos!$B:$B,E1484),E1484)</f>
        <v>BAR</v>
      </c>
      <c r="G1484" s="46">
        <v>45854</v>
      </c>
    </row>
    <row r="1485" spans="1:7" x14ac:dyDescent="0.2">
      <c r="A1485" s="27" t="s">
        <v>1635</v>
      </c>
      <c r="B1485" s="35" t="s">
        <v>1272</v>
      </c>
      <c r="C1485" s="34" t="s">
        <v>1283</v>
      </c>
      <c r="D1485" s="35" t="s">
        <v>1636</v>
      </c>
      <c r="E1485" s="35" t="s">
        <v>1352</v>
      </c>
      <c r="F1485" t="str" cm="1">
        <f t="array" ref="F1485">IFERROR(_xlfn.XLOOKUP(E1485,MapeoCargos!$A:$A,MapeoCargos!$B:$B,E1485),E1485)</f>
        <v>PRODUCCIÓN / COCINA</v>
      </c>
      <c r="G1485" s="46">
        <v>45854</v>
      </c>
    </row>
    <row r="1486" spans="1:7" x14ac:dyDescent="0.2">
      <c r="A1486" s="27" t="s">
        <v>1637</v>
      </c>
      <c r="B1486" s="35" t="s">
        <v>1272</v>
      </c>
      <c r="C1486" s="34" t="s">
        <v>1283</v>
      </c>
      <c r="D1486" s="35" t="s">
        <v>1638</v>
      </c>
      <c r="E1486" s="35" t="s">
        <v>165</v>
      </c>
      <c r="F1486" t="str" cm="1">
        <f t="array" ref="F1486">IFERROR(_xlfn.XLOOKUP(E1486,MapeoCargos!$A:$A,MapeoCargos!$B:$B,E1486),E1486)</f>
        <v>PACKER</v>
      </c>
      <c r="G1486" s="46">
        <v>45854</v>
      </c>
    </row>
    <row r="1487" spans="1:7" x14ac:dyDescent="0.2">
      <c r="A1487" s="27" t="s">
        <v>1639</v>
      </c>
      <c r="B1487" s="35" t="s">
        <v>1272</v>
      </c>
      <c r="C1487" s="34" t="s">
        <v>1273</v>
      </c>
      <c r="D1487" s="35" t="s">
        <v>1640</v>
      </c>
      <c r="E1487" s="35" t="s">
        <v>1415</v>
      </c>
      <c r="F1487" t="str" cm="1">
        <f t="array" ref="F1487">IFERROR(_xlfn.XLOOKUP(E1487,MapeoCargos!$A:$A,MapeoCargos!$B:$B,E1487),E1487)</f>
        <v>CORREDOR</v>
      </c>
      <c r="G1487" s="46">
        <v>45854</v>
      </c>
    </row>
    <row r="1488" spans="1:7" x14ac:dyDescent="0.2">
      <c r="A1488" s="27" t="s">
        <v>1641</v>
      </c>
      <c r="B1488" s="35" t="s">
        <v>1272</v>
      </c>
      <c r="C1488" s="34" t="s">
        <v>1273</v>
      </c>
      <c r="D1488" s="35" t="s">
        <v>1642</v>
      </c>
      <c r="E1488" s="35" t="s">
        <v>1287</v>
      </c>
      <c r="F1488" t="str" cm="1">
        <f t="array" ref="F1488">IFERROR(_xlfn.XLOOKUP(E1488,MapeoCargos!$A:$A,MapeoCargos!$B:$B,E1488),E1488)</f>
        <v>ASISTENTE DE SERVICIO</v>
      </c>
      <c r="G1488" s="46">
        <v>45870</v>
      </c>
    </row>
    <row r="1489" spans="1:7" x14ac:dyDescent="0.2">
      <c r="A1489" s="27" t="s">
        <v>1643</v>
      </c>
      <c r="B1489" s="35" t="s">
        <v>1272</v>
      </c>
      <c r="C1489" s="34" t="s">
        <v>1283</v>
      </c>
      <c r="D1489" s="35" t="s">
        <v>1644</v>
      </c>
      <c r="E1489" s="35" t="s">
        <v>160</v>
      </c>
      <c r="F1489" t="str" cm="1">
        <f t="array" ref="F1489">IFERROR(_xlfn.XLOOKUP(E1489,MapeoCargos!$A:$A,MapeoCargos!$B:$B,E1489),E1489)</f>
        <v>PACKER</v>
      </c>
      <c r="G1489" s="46">
        <v>45870</v>
      </c>
    </row>
    <row r="1490" spans="1:7" x14ac:dyDescent="0.2">
      <c r="A1490" s="27" t="s">
        <v>1645</v>
      </c>
      <c r="B1490" s="35" t="s">
        <v>1272</v>
      </c>
      <c r="C1490" s="34" t="s">
        <v>1273</v>
      </c>
      <c r="D1490" s="35" t="s">
        <v>1646</v>
      </c>
      <c r="E1490" s="35" t="s">
        <v>165</v>
      </c>
      <c r="F1490" t="str" cm="1">
        <f t="array" ref="F1490">IFERROR(_xlfn.XLOOKUP(E1490,MapeoCargos!$A:$A,MapeoCargos!$B:$B,E1490),E1490)</f>
        <v>PACKER</v>
      </c>
      <c r="G1490" s="46">
        <v>45870</v>
      </c>
    </row>
    <row r="1491" spans="1:7" x14ac:dyDescent="0.2">
      <c r="A1491" s="27" t="s">
        <v>1647</v>
      </c>
      <c r="B1491" s="35" t="s">
        <v>1272</v>
      </c>
      <c r="C1491" s="34" t="s">
        <v>1273</v>
      </c>
      <c r="D1491" s="35" t="s">
        <v>1648</v>
      </c>
      <c r="E1491" s="35" t="s">
        <v>83</v>
      </c>
      <c r="F1491" t="str" cm="1">
        <f t="array" ref="F1491">IFERROR(_xlfn.XLOOKUP(E1491,MapeoCargos!$A:$A,MapeoCargos!$B:$B,E1491),E1491)</f>
        <v>PRODUCCIÓN / COCINA</v>
      </c>
      <c r="G1491" s="46">
        <v>45870</v>
      </c>
    </row>
    <row r="1492" spans="1:7" x14ac:dyDescent="0.2">
      <c r="A1492" s="27" t="s">
        <v>1649</v>
      </c>
      <c r="B1492" s="35" t="s">
        <v>1272</v>
      </c>
      <c r="C1492" s="34" t="s">
        <v>1273</v>
      </c>
      <c r="D1492" s="35" t="s">
        <v>1650</v>
      </c>
      <c r="E1492" s="35" t="s">
        <v>1415</v>
      </c>
      <c r="F1492" t="str" cm="1">
        <f t="array" ref="F1492">IFERROR(_xlfn.XLOOKUP(E1492,MapeoCargos!$A:$A,MapeoCargos!$B:$B,E1492),E1492)</f>
        <v>CORREDOR</v>
      </c>
      <c r="G1492" s="46">
        <v>45870</v>
      </c>
    </row>
    <row r="1493" spans="1:7" x14ac:dyDescent="0.2">
      <c r="A1493" s="27" t="s">
        <v>1651</v>
      </c>
      <c r="B1493" s="35" t="s">
        <v>1272</v>
      </c>
      <c r="C1493" s="34" t="s">
        <v>1297</v>
      </c>
      <c r="D1493" s="35" t="s">
        <v>1652</v>
      </c>
      <c r="E1493" s="35" t="s">
        <v>126</v>
      </c>
      <c r="F1493" t="str" cm="1">
        <f t="array" ref="F1493">IFERROR(_xlfn.XLOOKUP(E1493,MapeoCargos!$A:$A,MapeoCargos!$B:$B,E1493),E1493)</f>
        <v>MOTORIZADO</v>
      </c>
      <c r="G1493" s="46">
        <v>45870</v>
      </c>
    </row>
    <row r="1494" spans="1:7" x14ac:dyDescent="0.2">
      <c r="A1494" s="27" t="s">
        <v>1654</v>
      </c>
      <c r="B1494" s="35" t="s">
        <v>1272</v>
      </c>
      <c r="C1494" s="34" t="s">
        <v>1653</v>
      </c>
      <c r="D1494" s="35" t="s">
        <v>1655</v>
      </c>
      <c r="E1494" s="35" t="s">
        <v>606</v>
      </c>
      <c r="F1494" t="str" cm="1">
        <f t="array" ref="F1494">IFERROR(_xlfn.XLOOKUP(E1494,MapeoCargos!$A:$A,MapeoCargos!$B:$B,E1494),E1494)</f>
        <v>BAR</v>
      </c>
      <c r="G1494" s="46">
        <v>45880</v>
      </c>
    </row>
    <row r="1495" spans="1:7" x14ac:dyDescent="0.2">
      <c r="A1495" s="27" t="s">
        <v>1656</v>
      </c>
      <c r="B1495" s="35" t="s">
        <v>1272</v>
      </c>
      <c r="C1495" s="34" t="s">
        <v>1653</v>
      </c>
      <c r="D1495" s="35" t="s">
        <v>1657</v>
      </c>
      <c r="E1495" s="35" t="s">
        <v>1415</v>
      </c>
      <c r="F1495" t="str" cm="1">
        <f t="array" ref="F1495">IFERROR(_xlfn.XLOOKUP(E1495,MapeoCargos!$A:$A,MapeoCargos!$B:$B,E1495),E1495)</f>
        <v>CORREDOR</v>
      </c>
      <c r="G1495" s="46">
        <v>45881</v>
      </c>
    </row>
    <row r="1496" spans="1:7" x14ac:dyDescent="0.2">
      <c r="A1496" s="27" t="s">
        <v>1658</v>
      </c>
      <c r="B1496" s="35" t="s">
        <v>1272</v>
      </c>
      <c r="C1496" s="34" t="s">
        <v>1653</v>
      </c>
      <c r="D1496" s="35" t="s">
        <v>1659</v>
      </c>
      <c r="E1496" s="35" t="s">
        <v>1415</v>
      </c>
      <c r="F1496" t="str" cm="1">
        <f t="array" ref="F1496">IFERROR(_xlfn.XLOOKUP(E1496,MapeoCargos!$A:$A,MapeoCargos!$B:$B,E1496),E1496)</f>
        <v>CORREDOR</v>
      </c>
      <c r="G1496" s="46">
        <v>45881</v>
      </c>
    </row>
    <row r="1497" spans="1:7" x14ac:dyDescent="0.2">
      <c r="A1497" s="27" t="s">
        <v>1660</v>
      </c>
      <c r="B1497" s="35" t="s">
        <v>1272</v>
      </c>
      <c r="C1497" s="34" t="s">
        <v>1653</v>
      </c>
      <c r="D1497" s="35" t="s">
        <v>1661</v>
      </c>
      <c r="E1497" s="35" t="s">
        <v>1662</v>
      </c>
      <c r="F1497" t="str" cm="1">
        <f t="array" ref="F1497">IFERROR(_xlfn.XLOOKUP(E1497,MapeoCargos!$A:$A,MapeoCargos!$B:$B,E1497),E1497)</f>
        <v xml:space="preserve">ANFITRIONAJE </v>
      </c>
      <c r="G1497" s="46">
        <v>45884</v>
      </c>
    </row>
    <row r="1498" spans="1:7" x14ac:dyDescent="0.2">
      <c r="A1498" s="27" t="s">
        <v>1666</v>
      </c>
      <c r="B1498" s="35" t="s">
        <v>1272</v>
      </c>
      <c r="C1498" s="34" t="s">
        <v>1653</v>
      </c>
      <c r="D1498" s="35" t="s">
        <v>1667</v>
      </c>
      <c r="E1498" s="35" t="s">
        <v>89</v>
      </c>
      <c r="F1498" t="str" cm="1">
        <f t="array" ref="F1498">IFERROR(_xlfn.XLOOKUP(E1498,MapeoCargos!$A:$A,MapeoCargos!$B:$B,E1498),E1498)</f>
        <v>PRODUCCIÓN / COCINA</v>
      </c>
      <c r="G1498" s="46">
        <v>45884</v>
      </c>
    </row>
    <row r="1499" spans="1:7" x14ac:dyDescent="0.2">
      <c r="A1499" s="27" t="s">
        <v>1668</v>
      </c>
      <c r="B1499" s="35" t="s">
        <v>1272</v>
      </c>
      <c r="C1499" s="34" t="s">
        <v>1653</v>
      </c>
      <c r="D1499" s="35" t="s">
        <v>1669</v>
      </c>
      <c r="E1499" s="35" t="s">
        <v>1417</v>
      </c>
      <c r="F1499" t="str" cm="1">
        <f t="array" ref="F1499">IFERROR(_xlfn.XLOOKUP(E1499,MapeoCargos!$A:$A,MapeoCargos!$B:$B,E1499),E1499)</f>
        <v>CORREDOR</v>
      </c>
      <c r="G1499" s="46">
        <v>45885</v>
      </c>
    </row>
    <row r="1500" spans="1:7" x14ac:dyDescent="0.2">
      <c r="A1500" s="27" t="s">
        <v>1670</v>
      </c>
      <c r="B1500" s="35" t="s">
        <v>1272</v>
      </c>
      <c r="C1500" s="34" t="s">
        <v>1653</v>
      </c>
      <c r="D1500" s="35" t="s">
        <v>1671</v>
      </c>
      <c r="E1500" s="35" t="s">
        <v>1415</v>
      </c>
      <c r="F1500" t="str" cm="1">
        <f t="array" ref="F1500">IFERROR(_xlfn.XLOOKUP(E1500,MapeoCargos!$A:$A,MapeoCargos!$B:$B,E1500),E1500)</f>
        <v>CORREDOR</v>
      </c>
      <c r="G1500" s="46">
        <v>45885</v>
      </c>
    </row>
    <row r="1501" spans="1:7" x14ac:dyDescent="0.2">
      <c r="A1501" s="27" t="s">
        <v>1672</v>
      </c>
      <c r="B1501" s="35" t="s">
        <v>1272</v>
      </c>
      <c r="C1501" s="34" t="s">
        <v>1653</v>
      </c>
      <c r="D1501" s="35" t="s">
        <v>1673</v>
      </c>
      <c r="E1501" s="35" t="s">
        <v>1338</v>
      </c>
      <c r="F1501" t="str" cm="1">
        <f t="array" ref="F1501">IFERROR(_xlfn.XLOOKUP(E1501,MapeoCargos!$A:$A,MapeoCargos!$B:$B,E1501),E1501)</f>
        <v>LIMPIEZA / MANTENIMIENTO</v>
      </c>
      <c r="G1501" s="46">
        <v>45885</v>
      </c>
    </row>
    <row r="1502" spans="1:7" x14ac:dyDescent="0.2">
      <c r="A1502" s="27" t="s">
        <v>1674</v>
      </c>
      <c r="B1502" s="35" t="s">
        <v>1272</v>
      </c>
      <c r="C1502" s="34" t="s">
        <v>1273</v>
      </c>
      <c r="D1502" s="35" t="s">
        <v>1675</v>
      </c>
      <c r="E1502" s="35" t="s">
        <v>167</v>
      </c>
      <c r="F1502" t="str" cm="1">
        <f t="array" ref="F1502">IFERROR(_xlfn.XLOOKUP(E1502,MapeoCargos!$A:$A,MapeoCargos!$B:$B,E1502),E1502)</f>
        <v xml:space="preserve">ANFITRIONAJE </v>
      </c>
      <c r="G1502" s="46">
        <v>45885</v>
      </c>
    </row>
    <row r="1503" spans="1:7" x14ac:dyDescent="0.2">
      <c r="A1503" s="27" t="s">
        <v>1676</v>
      </c>
      <c r="B1503" s="35" t="s">
        <v>1272</v>
      </c>
      <c r="C1503" s="34" t="s">
        <v>1297</v>
      </c>
      <c r="D1503" s="35" t="s">
        <v>1677</v>
      </c>
      <c r="E1503" s="35" t="s">
        <v>1415</v>
      </c>
      <c r="F1503" t="str" cm="1">
        <f t="array" ref="F1503">IFERROR(_xlfn.XLOOKUP(E1503,MapeoCargos!$A:$A,MapeoCargos!$B:$B,E1503),E1503)</f>
        <v>CORREDOR</v>
      </c>
      <c r="G1503" s="46">
        <v>45885</v>
      </c>
    </row>
    <row r="1504" spans="1:7" x14ac:dyDescent="0.2">
      <c r="A1504" s="27" t="s">
        <v>1678</v>
      </c>
      <c r="B1504" s="35" t="s">
        <v>1272</v>
      </c>
      <c r="C1504" s="34" t="s">
        <v>1297</v>
      </c>
      <c r="D1504" s="35" t="s">
        <v>1679</v>
      </c>
      <c r="E1504" s="35" t="s">
        <v>151</v>
      </c>
      <c r="F1504" t="str" cm="1">
        <f t="array" ref="F1504">IFERROR(_xlfn.XLOOKUP(E1504,MapeoCargos!$A:$A,MapeoCargos!$B:$B,E1504),E1504)</f>
        <v xml:space="preserve">CAJA </v>
      </c>
      <c r="G1504" s="46">
        <v>45885</v>
      </c>
    </row>
    <row r="1505" spans="1:7" x14ac:dyDescent="0.2">
      <c r="A1505" s="27" t="s">
        <v>1680</v>
      </c>
      <c r="B1505" s="35" t="s">
        <v>1272</v>
      </c>
      <c r="C1505" s="34" t="s">
        <v>1297</v>
      </c>
      <c r="D1505" s="35" t="s">
        <v>1681</v>
      </c>
      <c r="E1505" s="35" t="s">
        <v>1662</v>
      </c>
      <c r="F1505" t="str" cm="1">
        <f t="array" ref="F1505">IFERROR(_xlfn.XLOOKUP(E1505,MapeoCargos!$A:$A,MapeoCargos!$B:$B,E1505),E1505)</f>
        <v xml:space="preserve">ANFITRIONAJE </v>
      </c>
      <c r="G1505" s="46">
        <v>45885</v>
      </c>
    </row>
    <row r="1506" spans="1:7" x14ac:dyDescent="0.2">
      <c r="A1506" s="27" t="s">
        <v>1682</v>
      </c>
      <c r="B1506" s="35" t="s">
        <v>1272</v>
      </c>
      <c r="C1506" s="34" t="s">
        <v>1297</v>
      </c>
      <c r="D1506" s="35" t="s">
        <v>1683</v>
      </c>
      <c r="E1506" s="35" t="s">
        <v>151</v>
      </c>
      <c r="F1506" t="str" cm="1">
        <f t="array" ref="F1506">IFERROR(_xlfn.XLOOKUP(E1506,MapeoCargos!$A:$A,MapeoCargos!$B:$B,E1506),E1506)</f>
        <v xml:space="preserve">CAJA </v>
      </c>
      <c r="G1506" s="46">
        <v>45885</v>
      </c>
    </row>
    <row r="1507" spans="1:7" x14ac:dyDescent="0.2">
      <c r="A1507" s="27" t="s">
        <v>1684</v>
      </c>
      <c r="B1507" s="35" t="s">
        <v>1272</v>
      </c>
      <c r="C1507" s="34" t="s">
        <v>1297</v>
      </c>
      <c r="D1507" s="35" t="s">
        <v>1685</v>
      </c>
      <c r="E1507" s="35" t="s">
        <v>83</v>
      </c>
      <c r="F1507" t="str" cm="1">
        <f t="array" ref="F1507">IFERROR(_xlfn.XLOOKUP(E1507,MapeoCargos!$A:$A,MapeoCargos!$B:$B,E1507),E1507)</f>
        <v>PRODUCCIÓN / COCINA</v>
      </c>
      <c r="G1507" s="46">
        <v>45885</v>
      </c>
    </row>
    <row r="1508" spans="1:7" x14ac:dyDescent="0.2">
      <c r="A1508" s="27" t="s">
        <v>1688</v>
      </c>
      <c r="B1508" s="35" t="s">
        <v>1272</v>
      </c>
      <c r="C1508" s="34" t="s">
        <v>1297</v>
      </c>
      <c r="D1508" s="35" t="s">
        <v>1689</v>
      </c>
      <c r="E1508" s="35" t="s">
        <v>167</v>
      </c>
      <c r="F1508" t="str" cm="1">
        <f t="array" ref="F1508">IFERROR(_xlfn.XLOOKUP(E1508,MapeoCargos!$A:$A,MapeoCargos!$B:$B,E1508),E1508)</f>
        <v xml:space="preserve">ANFITRIONAJE </v>
      </c>
      <c r="G1508" s="46">
        <v>45885</v>
      </c>
    </row>
    <row r="1509" spans="1:7" x14ac:dyDescent="0.2">
      <c r="A1509" s="27" t="s">
        <v>1690</v>
      </c>
      <c r="B1509" s="35" t="s">
        <v>1272</v>
      </c>
      <c r="C1509" s="34" t="s">
        <v>1653</v>
      </c>
      <c r="D1509" s="35" t="s">
        <v>1691</v>
      </c>
      <c r="E1509" s="35" t="s">
        <v>151</v>
      </c>
      <c r="F1509" t="str" cm="1">
        <f t="array" ref="F1509">IFERROR(_xlfn.XLOOKUP(E1509,MapeoCargos!$A:$A,MapeoCargos!$B:$B,E1509),E1509)</f>
        <v xml:space="preserve">CAJA </v>
      </c>
      <c r="G1509" s="46">
        <v>45890</v>
      </c>
    </row>
    <row r="1510" spans="1:7" x14ac:dyDescent="0.2">
      <c r="A1510" s="27" t="s">
        <v>1692</v>
      </c>
      <c r="B1510" s="35" t="s">
        <v>1272</v>
      </c>
      <c r="C1510" s="34" t="s">
        <v>1653</v>
      </c>
      <c r="D1510" s="35" t="s">
        <v>1693</v>
      </c>
      <c r="E1510" s="35" t="s">
        <v>1352</v>
      </c>
      <c r="F1510" t="str" cm="1">
        <f t="array" ref="F1510">IFERROR(_xlfn.XLOOKUP(E1510,MapeoCargos!$A:$A,MapeoCargos!$B:$B,E1510),E1510)</f>
        <v>PRODUCCIÓN / COCINA</v>
      </c>
      <c r="G1510" s="46">
        <v>45890</v>
      </c>
    </row>
    <row r="1511" spans="1:7" x14ac:dyDescent="0.2">
      <c r="A1511" s="27" t="s">
        <v>1694</v>
      </c>
      <c r="B1511" s="35" t="s">
        <v>1272</v>
      </c>
      <c r="C1511" s="34" t="s">
        <v>1653</v>
      </c>
      <c r="D1511" s="35" t="s">
        <v>1695</v>
      </c>
      <c r="E1511" s="35" t="s">
        <v>1415</v>
      </c>
      <c r="F1511" t="str" cm="1">
        <f t="array" ref="F1511">IFERROR(_xlfn.XLOOKUP(E1511,MapeoCargos!$A:$A,MapeoCargos!$B:$B,E1511),E1511)</f>
        <v>CORREDOR</v>
      </c>
      <c r="G1511" s="46">
        <v>45891</v>
      </c>
    </row>
    <row r="1512" spans="1:7" x14ac:dyDescent="0.2">
      <c r="A1512" s="27" t="s">
        <v>1696</v>
      </c>
      <c r="B1512" s="35" t="s">
        <v>1272</v>
      </c>
      <c r="C1512" s="34" t="s">
        <v>1653</v>
      </c>
      <c r="D1512" s="35" t="s">
        <v>1697</v>
      </c>
      <c r="E1512" s="35" t="s">
        <v>83</v>
      </c>
      <c r="F1512" t="str" cm="1">
        <f t="array" ref="F1512">IFERROR(_xlfn.XLOOKUP(E1512,MapeoCargos!$A:$A,MapeoCargos!$B:$B,E1512),E1512)</f>
        <v>PRODUCCIÓN / COCINA</v>
      </c>
      <c r="G1512" s="46">
        <v>45894</v>
      </c>
    </row>
    <row r="1513" spans="1:7" x14ac:dyDescent="0.2">
      <c r="A1513" s="27" t="s">
        <v>1698</v>
      </c>
      <c r="B1513" s="35" t="s">
        <v>1272</v>
      </c>
      <c r="C1513" s="34" t="s">
        <v>1653</v>
      </c>
      <c r="D1513" s="35" t="s">
        <v>1699</v>
      </c>
      <c r="E1513" s="35" t="s">
        <v>167</v>
      </c>
      <c r="F1513" t="str" cm="1">
        <f t="array" ref="F1513">IFERROR(_xlfn.XLOOKUP(E1513,MapeoCargos!$A:$A,MapeoCargos!$B:$B,E1513),E1513)</f>
        <v xml:space="preserve">ANFITRIONAJE </v>
      </c>
      <c r="G1513" s="46">
        <v>45894</v>
      </c>
    </row>
    <row r="1514" spans="1:7" x14ac:dyDescent="0.2">
      <c r="A1514" s="27" t="s">
        <v>1700</v>
      </c>
      <c r="B1514" s="35" t="s">
        <v>1272</v>
      </c>
      <c r="C1514" s="34" t="s">
        <v>1653</v>
      </c>
      <c r="D1514" s="35" t="s">
        <v>1701</v>
      </c>
      <c r="E1514" s="35" t="s">
        <v>151</v>
      </c>
      <c r="F1514" t="str" cm="1">
        <f t="array" ref="F1514">IFERROR(_xlfn.XLOOKUP(E1514,MapeoCargos!$A:$A,MapeoCargos!$B:$B,E1514),E1514)</f>
        <v xml:space="preserve">CAJA </v>
      </c>
      <c r="G1514" s="46">
        <v>45894</v>
      </c>
    </row>
    <row r="1515" spans="1:7" x14ac:dyDescent="0.2">
      <c r="A1515" s="27" t="s">
        <v>1702</v>
      </c>
      <c r="B1515" s="35" t="s">
        <v>1272</v>
      </c>
      <c r="C1515" s="34" t="s">
        <v>1273</v>
      </c>
      <c r="D1515" s="35" t="s">
        <v>1703</v>
      </c>
      <c r="E1515" s="35" t="s">
        <v>83</v>
      </c>
      <c r="F1515" t="str" cm="1">
        <f t="array" ref="F1515">IFERROR(_xlfn.XLOOKUP(E1515,MapeoCargos!$A:$A,MapeoCargos!$B:$B,E1515),E1515)</f>
        <v>PRODUCCIÓN / COCINA</v>
      </c>
      <c r="G1515" s="46">
        <v>45901</v>
      </c>
    </row>
    <row r="1516" spans="1:7" x14ac:dyDescent="0.2">
      <c r="A1516" s="27" t="s">
        <v>1704</v>
      </c>
      <c r="B1516" s="35" t="s">
        <v>1272</v>
      </c>
      <c r="C1516" s="34" t="s">
        <v>1273</v>
      </c>
      <c r="D1516" s="35" t="s">
        <v>1705</v>
      </c>
      <c r="E1516" s="35" t="s">
        <v>1338</v>
      </c>
      <c r="F1516" t="str" cm="1">
        <f t="array" ref="F1516">IFERROR(_xlfn.XLOOKUP(E1516,MapeoCargos!$A:$A,MapeoCargos!$B:$B,E1516),E1516)</f>
        <v>LIMPIEZA / MANTENIMIENTO</v>
      </c>
      <c r="G1516" s="46">
        <v>45901</v>
      </c>
    </row>
    <row r="1517" spans="1:7" x14ac:dyDescent="0.2">
      <c r="A1517" s="27" t="s">
        <v>1706</v>
      </c>
      <c r="B1517" s="35" t="s">
        <v>1272</v>
      </c>
      <c r="C1517" s="34" t="s">
        <v>1273</v>
      </c>
      <c r="D1517" s="35" t="s">
        <v>1707</v>
      </c>
      <c r="E1517" s="35" t="s">
        <v>648</v>
      </c>
      <c r="F1517" t="str" cm="1">
        <f t="array" ref="F1517">IFERROR(_xlfn.XLOOKUP(E1517,MapeoCargos!$A:$A,MapeoCargos!$B:$B,E1517),E1517)</f>
        <v>AZAFATA</v>
      </c>
      <c r="G1517" s="46">
        <v>45901</v>
      </c>
    </row>
    <row r="1518" spans="1:7" x14ac:dyDescent="0.2">
      <c r="A1518" s="27" t="s">
        <v>1708</v>
      </c>
      <c r="B1518" s="35" t="s">
        <v>1272</v>
      </c>
      <c r="C1518" s="34" t="s">
        <v>1297</v>
      </c>
      <c r="D1518" s="35" t="s">
        <v>1710</v>
      </c>
      <c r="E1518" s="35" t="s">
        <v>1665</v>
      </c>
      <c r="F1518" t="str" cm="1">
        <f t="array" ref="F1518">IFERROR(_xlfn.XLOOKUP(E1518,MapeoCargos!$A:$A,MapeoCargos!$B:$B,E1518),E1518)</f>
        <v>COUNTER</v>
      </c>
      <c r="G1518" s="46">
        <v>45901</v>
      </c>
    </row>
    <row r="1519" spans="1:7" x14ac:dyDescent="0.2">
      <c r="A1519" s="27" t="s">
        <v>1711</v>
      </c>
      <c r="B1519" s="35" t="s">
        <v>1272</v>
      </c>
      <c r="C1519" s="34" t="s">
        <v>1297</v>
      </c>
      <c r="D1519" s="35" t="s">
        <v>1712</v>
      </c>
      <c r="E1519" s="35" t="s">
        <v>83</v>
      </c>
      <c r="F1519" t="str" cm="1">
        <f t="array" ref="F1519">IFERROR(_xlfn.XLOOKUP(E1519,MapeoCargos!$A:$A,MapeoCargos!$B:$B,E1519),E1519)</f>
        <v>PRODUCCIÓN / COCINA</v>
      </c>
      <c r="G1519" s="46">
        <v>45901</v>
      </c>
    </row>
    <row r="1520" spans="1:7" x14ac:dyDescent="0.2">
      <c r="A1520" s="27" t="s">
        <v>1713</v>
      </c>
      <c r="B1520" s="35" t="s">
        <v>1272</v>
      </c>
      <c r="C1520" s="34" t="s">
        <v>1273</v>
      </c>
      <c r="D1520" s="35" t="s">
        <v>1714</v>
      </c>
      <c r="E1520" s="35" t="s">
        <v>1061</v>
      </c>
      <c r="F1520" t="str" cm="1">
        <f t="array" ref="F1520">IFERROR(_xlfn.XLOOKUP(E1520,MapeoCargos!$A:$A,MapeoCargos!$B:$B,E1520),E1520)</f>
        <v>PRODUCCION</v>
      </c>
      <c r="G1520" s="46">
        <v>45901</v>
      </c>
    </row>
    <row r="1521" spans="1:7" x14ac:dyDescent="0.2">
      <c r="A1521" s="27" t="s">
        <v>1715</v>
      </c>
      <c r="B1521" s="35" t="s">
        <v>1272</v>
      </c>
      <c r="C1521" s="34" t="s">
        <v>31</v>
      </c>
      <c r="D1521" s="35" t="s">
        <v>1716</v>
      </c>
      <c r="E1521" s="35" t="s">
        <v>1717</v>
      </c>
      <c r="F1521" t="str" cm="1">
        <f t="array" ref="F1521">IFERROR(_xlfn.XLOOKUP(E1521,MapeoCargos!$A:$A,MapeoCargos!$B:$B,E1521),E1521)</f>
        <v>ANALISTA DE DATOS</v>
      </c>
      <c r="G1521" s="46">
        <v>45901</v>
      </c>
    </row>
    <row r="1522" spans="1:7" x14ac:dyDescent="0.2">
      <c r="A1522" s="27" t="s">
        <v>1718</v>
      </c>
      <c r="B1522" s="35" t="s">
        <v>1272</v>
      </c>
      <c r="C1522" s="34" t="s">
        <v>1283</v>
      </c>
      <c r="D1522" s="35" t="s">
        <v>1719</v>
      </c>
      <c r="E1522" s="35" t="s">
        <v>99</v>
      </c>
      <c r="F1522" t="str" cm="1">
        <f t="array" ref="F1522">IFERROR(_xlfn.XLOOKUP(E1522,MapeoCargos!$A:$A,MapeoCargos!$B:$B,E1522),E1522)</f>
        <v>CHAUFERO</v>
      </c>
      <c r="G1522" s="46">
        <v>45901</v>
      </c>
    </row>
    <row r="1523" spans="1:7" x14ac:dyDescent="0.2">
      <c r="A1523" s="27" t="s">
        <v>1720</v>
      </c>
      <c r="B1523" s="35" t="s">
        <v>1272</v>
      </c>
      <c r="C1523" s="34" t="s">
        <v>1283</v>
      </c>
      <c r="D1523" s="35" t="s">
        <v>1721</v>
      </c>
      <c r="E1523" s="35" t="s">
        <v>83</v>
      </c>
      <c r="F1523" t="str" cm="1">
        <f t="array" ref="F1523">IFERROR(_xlfn.XLOOKUP(E1523,MapeoCargos!$A:$A,MapeoCargos!$B:$B,E1523),E1523)</f>
        <v>PRODUCCIÓN / COCINA</v>
      </c>
      <c r="G1523" s="46">
        <v>45901</v>
      </c>
    </row>
    <row r="1524" spans="1:7" x14ac:dyDescent="0.2">
      <c r="A1524" s="27" t="s">
        <v>1722</v>
      </c>
      <c r="B1524" s="35" t="s">
        <v>1272</v>
      </c>
      <c r="C1524" s="34" t="s">
        <v>1653</v>
      </c>
      <c r="D1524" s="35" t="s">
        <v>1723</v>
      </c>
      <c r="E1524" s="35" t="s">
        <v>110</v>
      </c>
      <c r="F1524" t="str" cm="1">
        <f t="array" ref="F1524">IFERROR(_xlfn.XLOOKUP(E1524,MapeoCargos!$A:$A,MapeoCargos!$B:$B,E1524),E1524)</f>
        <v>COUNTER</v>
      </c>
      <c r="G1524" s="46">
        <v>45901</v>
      </c>
    </row>
    <row r="1525" spans="1:7" x14ac:dyDescent="0.2">
      <c r="A1525" s="27" t="s">
        <v>1724</v>
      </c>
      <c r="B1525" s="35" t="s">
        <v>1272</v>
      </c>
      <c r="C1525" s="34" t="s">
        <v>1653</v>
      </c>
      <c r="D1525" s="35" t="s">
        <v>1725</v>
      </c>
      <c r="E1525" s="35" t="s">
        <v>160</v>
      </c>
      <c r="F1525" t="str" cm="1">
        <f t="array" ref="F1525">IFERROR(_xlfn.XLOOKUP(E1525,MapeoCargos!$A:$A,MapeoCargos!$B:$B,E1525),E1525)</f>
        <v>PACKER</v>
      </c>
      <c r="G1525" s="46">
        <v>45901</v>
      </c>
    </row>
    <row r="1526" spans="1:7" x14ac:dyDescent="0.2">
      <c r="A1526" s="27" t="s">
        <v>1726</v>
      </c>
      <c r="B1526" s="35" t="s">
        <v>1272</v>
      </c>
      <c r="C1526" s="34" t="s">
        <v>1653</v>
      </c>
      <c r="D1526" s="35" t="s">
        <v>1727</v>
      </c>
      <c r="E1526" s="35" t="s">
        <v>1415</v>
      </c>
      <c r="F1526" t="str" cm="1">
        <f t="array" ref="F1526">IFERROR(_xlfn.XLOOKUP(E1526,MapeoCargos!$A:$A,MapeoCargos!$B:$B,E1526),E1526)</f>
        <v>CORREDOR</v>
      </c>
      <c r="G1526" s="46">
        <v>45901</v>
      </c>
    </row>
    <row r="1527" spans="1:7" x14ac:dyDescent="0.2">
      <c r="A1527" s="27" t="s">
        <v>1728</v>
      </c>
      <c r="B1527" s="35" t="s">
        <v>1272</v>
      </c>
      <c r="C1527" s="34" t="s">
        <v>1653</v>
      </c>
      <c r="D1527" s="35" t="s">
        <v>1729</v>
      </c>
      <c r="E1527" s="35" t="s">
        <v>83</v>
      </c>
      <c r="F1527" t="str" cm="1">
        <f t="array" ref="F1527">IFERROR(_xlfn.XLOOKUP(E1527,MapeoCargos!$A:$A,MapeoCargos!$B:$B,E1527),E1527)</f>
        <v>PRODUCCIÓN / COCINA</v>
      </c>
      <c r="G1527" s="46">
        <v>45901</v>
      </c>
    </row>
    <row r="1528" spans="1:7" x14ac:dyDescent="0.2">
      <c r="A1528" s="27" t="s">
        <v>1730</v>
      </c>
      <c r="B1528" s="35" t="s">
        <v>1272</v>
      </c>
      <c r="C1528" s="34" t="s">
        <v>1653</v>
      </c>
      <c r="D1528" s="35" t="s">
        <v>1731</v>
      </c>
      <c r="E1528" s="35" t="s">
        <v>83</v>
      </c>
      <c r="F1528" t="str" cm="1">
        <f t="array" ref="F1528">IFERROR(_xlfn.XLOOKUP(E1528,MapeoCargos!$A:$A,MapeoCargos!$B:$B,E1528),E1528)</f>
        <v>PRODUCCIÓN / COCINA</v>
      </c>
      <c r="G1528" s="46">
        <v>45901</v>
      </c>
    </row>
    <row r="1529" spans="1:7" x14ac:dyDescent="0.2">
      <c r="A1529" s="27" t="s">
        <v>1732</v>
      </c>
      <c r="B1529" s="35" t="s">
        <v>1272</v>
      </c>
      <c r="C1529" s="34" t="s">
        <v>1653</v>
      </c>
      <c r="D1529" s="35" t="s">
        <v>1733</v>
      </c>
      <c r="E1529" s="35" t="s">
        <v>1415</v>
      </c>
      <c r="F1529" t="str" cm="1">
        <f t="array" ref="F1529">IFERROR(_xlfn.XLOOKUP(E1529,MapeoCargos!$A:$A,MapeoCargos!$B:$B,E1529),E1529)</f>
        <v>CORREDOR</v>
      </c>
      <c r="G1529" s="46">
        <v>45901</v>
      </c>
    </row>
    <row r="1530" spans="1:7" x14ac:dyDescent="0.2">
      <c r="A1530" s="27" t="s">
        <v>1734</v>
      </c>
      <c r="B1530" s="35" t="s">
        <v>1272</v>
      </c>
      <c r="C1530" s="34" t="s">
        <v>1297</v>
      </c>
      <c r="D1530" s="35" t="s">
        <v>1735</v>
      </c>
      <c r="E1530" s="35" t="s">
        <v>30</v>
      </c>
      <c r="F1530" t="str" cm="1">
        <f t="array" ref="F1530">IFERROR(_xlfn.XLOOKUP(E1530,MapeoCargos!$A:$A,MapeoCargos!$B:$B,E1530),E1530)</f>
        <v>STAFF ADMINISTRATIVO</v>
      </c>
      <c r="G1530" s="46">
        <v>45901</v>
      </c>
    </row>
    <row r="1531" spans="1:7" x14ac:dyDescent="0.2">
      <c r="A1531" s="27" t="s">
        <v>1736</v>
      </c>
      <c r="B1531" s="35" t="s">
        <v>1272</v>
      </c>
      <c r="C1531" s="34" t="s">
        <v>1653</v>
      </c>
      <c r="D1531" s="35" t="s">
        <v>1737</v>
      </c>
      <c r="E1531" s="35" t="s">
        <v>639</v>
      </c>
      <c r="F1531" t="str" cm="1">
        <f t="array" ref="F1531">IFERROR(_xlfn.XLOOKUP(E1531,MapeoCargos!$A:$A,MapeoCargos!$B:$B,E1531),E1531)</f>
        <v>BAR</v>
      </c>
      <c r="G1531" s="46">
        <v>45901</v>
      </c>
    </row>
    <row r="1532" spans="1:7" x14ac:dyDescent="0.2">
      <c r="A1532" s="27" t="s">
        <v>1738</v>
      </c>
      <c r="B1532" s="35" t="s">
        <v>1272</v>
      </c>
      <c r="C1532" s="34" t="s">
        <v>1653</v>
      </c>
      <c r="D1532" s="35" t="s">
        <v>1739</v>
      </c>
      <c r="E1532" s="35" t="s">
        <v>151</v>
      </c>
      <c r="F1532" t="str" cm="1">
        <f t="array" ref="F1532">IFERROR(_xlfn.XLOOKUP(E1532,MapeoCargos!$A:$A,MapeoCargos!$B:$B,E1532),E1532)</f>
        <v xml:space="preserve">CAJA </v>
      </c>
      <c r="G1532" s="46">
        <v>45903</v>
      </c>
    </row>
    <row r="1533" spans="1:7" x14ac:dyDescent="0.2">
      <c r="A1533" s="27" t="s">
        <v>1740</v>
      </c>
      <c r="B1533" s="35" t="s">
        <v>1272</v>
      </c>
      <c r="C1533" s="34" t="s">
        <v>1653</v>
      </c>
      <c r="D1533" s="35" t="s">
        <v>1741</v>
      </c>
      <c r="E1533" s="35" t="s">
        <v>1415</v>
      </c>
      <c r="F1533" t="str" cm="1">
        <f t="array" ref="F1533">IFERROR(_xlfn.XLOOKUP(E1533,MapeoCargos!$A:$A,MapeoCargos!$B:$B,E1533),E1533)</f>
        <v>CORREDOR</v>
      </c>
      <c r="G1533" s="46">
        <v>45903</v>
      </c>
    </row>
    <row r="1534" spans="1:7" x14ac:dyDescent="0.2">
      <c r="A1534" s="27" t="s">
        <v>1742</v>
      </c>
      <c r="B1534" s="35" t="s">
        <v>1272</v>
      </c>
      <c r="C1534" s="34" t="s">
        <v>1653</v>
      </c>
      <c r="D1534" s="35" t="s">
        <v>1743</v>
      </c>
      <c r="E1534" s="35" t="s">
        <v>1415</v>
      </c>
      <c r="F1534" t="str" cm="1">
        <f t="array" ref="F1534">IFERROR(_xlfn.XLOOKUP(E1534,MapeoCargos!$A:$A,MapeoCargos!$B:$B,E1534),E1534)</f>
        <v>CORREDOR</v>
      </c>
      <c r="G1534" s="46">
        <v>45903</v>
      </c>
    </row>
    <row r="1535" spans="1:7" x14ac:dyDescent="0.2">
      <c r="A1535" s="27" t="s">
        <v>1744</v>
      </c>
      <c r="B1535" s="35" t="s">
        <v>1272</v>
      </c>
      <c r="C1535" s="34" t="s">
        <v>1653</v>
      </c>
      <c r="D1535" s="35" t="s">
        <v>1745</v>
      </c>
      <c r="E1535" s="35" t="s">
        <v>1415</v>
      </c>
      <c r="F1535" t="str" cm="1">
        <f t="array" ref="F1535">IFERROR(_xlfn.XLOOKUP(E1535,MapeoCargos!$A:$A,MapeoCargos!$B:$B,E1535),E1535)</f>
        <v>CORREDOR</v>
      </c>
      <c r="G1535" s="46">
        <v>45905</v>
      </c>
    </row>
    <row r="1536" spans="1:7" x14ac:dyDescent="0.2">
      <c r="A1536" s="27" t="s">
        <v>3903</v>
      </c>
      <c r="B1536" s="35" t="s">
        <v>1272</v>
      </c>
      <c r="C1536" s="34" t="s">
        <v>1653</v>
      </c>
      <c r="D1536" s="35" t="s">
        <v>4062</v>
      </c>
      <c r="E1536" s="35" t="s">
        <v>83</v>
      </c>
      <c r="F1536" t="str" cm="1">
        <f t="array" ref="F1536">IFERROR(_xlfn.XLOOKUP(E1536,MapeoCargos!$A:$A,MapeoCargos!$B:$B,E1536),E1536)</f>
        <v>PRODUCCIÓN / COCINA</v>
      </c>
      <c r="G1536" s="46">
        <v>45905</v>
      </c>
    </row>
    <row r="1537" spans="1:7" x14ac:dyDescent="0.2">
      <c r="A1537" s="27" t="s">
        <v>3904</v>
      </c>
      <c r="B1537" s="35" t="s">
        <v>1272</v>
      </c>
      <c r="C1537" s="34" t="s">
        <v>1653</v>
      </c>
      <c r="D1537" s="35" t="s">
        <v>4063</v>
      </c>
      <c r="E1537" s="35" t="s">
        <v>1415</v>
      </c>
      <c r="F1537" t="str" cm="1">
        <f t="array" ref="F1537">IFERROR(_xlfn.XLOOKUP(E1537,MapeoCargos!$A:$A,MapeoCargos!$B:$B,E1537),E1537)</f>
        <v>CORREDOR</v>
      </c>
      <c r="G1537" s="46">
        <v>45905</v>
      </c>
    </row>
    <row r="1538" spans="1:7" x14ac:dyDescent="0.2">
      <c r="A1538" s="27" t="s">
        <v>3905</v>
      </c>
      <c r="B1538" s="35" t="s">
        <v>1272</v>
      </c>
      <c r="C1538" s="34" t="s">
        <v>1653</v>
      </c>
      <c r="D1538" s="35" t="s">
        <v>4064</v>
      </c>
      <c r="E1538" s="35" t="s">
        <v>1352</v>
      </c>
      <c r="F1538" t="str" cm="1">
        <f t="array" ref="F1538">IFERROR(_xlfn.XLOOKUP(E1538,MapeoCargos!$A:$A,MapeoCargos!$B:$B,E1538),E1538)</f>
        <v>PRODUCCIÓN / COCINA</v>
      </c>
      <c r="G1538" s="46">
        <v>45911</v>
      </c>
    </row>
    <row r="1539" spans="1:7" x14ac:dyDescent="0.2">
      <c r="A1539" s="27" t="s">
        <v>3906</v>
      </c>
      <c r="B1539" s="35" t="s">
        <v>1272</v>
      </c>
      <c r="C1539" s="34" t="s">
        <v>1653</v>
      </c>
      <c r="D1539" s="35" t="s">
        <v>4065</v>
      </c>
      <c r="E1539" s="35" t="s">
        <v>83</v>
      </c>
      <c r="F1539" t="str" cm="1">
        <f t="array" ref="F1539">IFERROR(_xlfn.XLOOKUP(E1539,MapeoCargos!$A:$A,MapeoCargos!$B:$B,E1539),E1539)</f>
        <v>PRODUCCIÓN / COCINA</v>
      </c>
      <c r="G1539" s="46">
        <v>45912</v>
      </c>
    </row>
    <row r="1540" spans="1:7" x14ac:dyDescent="0.2">
      <c r="A1540" s="27" t="s">
        <v>3907</v>
      </c>
      <c r="B1540" s="35" t="s">
        <v>1272</v>
      </c>
      <c r="C1540" s="34" t="s">
        <v>1653</v>
      </c>
      <c r="D1540" s="35" t="s">
        <v>4066</v>
      </c>
      <c r="E1540" s="35" t="s">
        <v>83</v>
      </c>
      <c r="F1540" t="str" cm="1">
        <f t="array" ref="F1540">IFERROR(_xlfn.XLOOKUP(E1540,MapeoCargos!$A:$A,MapeoCargos!$B:$B,E1540),E1540)</f>
        <v>PRODUCCIÓN / COCINA</v>
      </c>
      <c r="G1540" s="46">
        <v>45912</v>
      </c>
    </row>
    <row r="1541" spans="1:7" x14ac:dyDescent="0.2">
      <c r="A1541" s="27" t="s">
        <v>3908</v>
      </c>
      <c r="B1541" s="35" t="s">
        <v>1272</v>
      </c>
      <c r="C1541" s="34" t="s">
        <v>1297</v>
      </c>
      <c r="D1541" s="35" t="s">
        <v>4067</v>
      </c>
      <c r="E1541" s="35" t="s">
        <v>83</v>
      </c>
      <c r="F1541" t="str" cm="1">
        <f t="array" ref="F1541">IFERROR(_xlfn.XLOOKUP(E1541,MapeoCargos!$A:$A,MapeoCargos!$B:$B,E1541),E1541)</f>
        <v>PRODUCCIÓN / COCINA</v>
      </c>
      <c r="G1541" s="46">
        <v>45916</v>
      </c>
    </row>
    <row r="1542" spans="1:7" x14ac:dyDescent="0.2">
      <c r="A1542" s="27" t="s">
        <v>3909</v>
      </c>
      <c r="B1542" s="35" t="s">
        <v>1272</v>
      </c>
      <c r="C1542" s="34" t="s">
        <v>1297</v>
      </c>
      <c r="D1542" s="35" t="s">
        <v>4068</v>
      </c>
      <c r="E1542" s="35" t="s">
        <v>1415</v>
      </c>
      <c r="F1542" t="str" cm="1">
        <f t="array" ref="F1542">IFERROR(_xlfn.XLOOKUP(E1542,MapeoCargos!$A:$A,MapeoCargos!$B:$B,E1542),E1542)</f>
        <v>CORREDOR</v>
      </c>
      <c r="G1542" s="46">
        <v>45916</v>
      </c>
    </row>
    <row r="1543" spans="1:7" x14ac:dyDescent="0.2">
      <c r="A1543" s="27" t="s">
        <v>3910</v>
      </c>
      <c r="B1543" s="35" t="s">
        <v>1272</v>
      </c>
      <c r="C1543" s="34" t="s">
        <v>1653</v>
      </c>
      <c r="D1543" s="35" t="s">
        <v>4069</v>
      </c>
      <c r="E1543" s="35" t="s">
        <v>83</v>
      </c>
      <c r="F1543" t="str" cm="1">
        <f t="array" ref="F1543">IFERROR(_xlfn.XLOOKUP(E1543,MapeoCargos!$A:$A,MapeoCargos!$B:$B,E1543),E1543)</f>
        <v>PRODUCCIÓN / COCINA</v>
      </c>
      <c r="G1543" s="46">
        <v>45913</v>
      </c>
    </row>
    <row r="1544" spans="1:7" x14ac:dyDescent="0.2">
      <c r="A1544" s="27" t="s">
        <v>3911</v>
      </c>
      <c r="B1544" s="35" t="s">
        <v>1272</v>
      </c>
      <c r="C1544" s="34" t="s">
        <v>1283</v>
      </c>
      <c r="D1544" s="35" t="s">
        <v>4070</v>
      </c>
      <c r="E1544" s="35" t="s">
        <v>165</v>
      </c>
      <c r="F1544" t="str" cm="1">
        <f t="array" ref="F1544">IFERROR(_xlfn.XLOOKUP(E1544,MapeoCargos!$A:$A,MapeoCargos!$B:$B,E1544),E1544)</f>
        <v>PACKER</v>
      </c>
      <c r="G1544" s="46">
        <v>45916</v>
      </c>
    </row>
    <row r="1545" spans="1:7" x14ac:dyDescent="0.2">
      <c r="A1545" s="27" t="s">
        <v>3912</v>
      </c>
      <c r="B1545" s="35" t="s">
        <v>1272</v>
      </c>
      <c r="C1545" s="34" t="s">
        <v>1273</v>
      </c>
      <c r="D1545" s="35" t="s">
        <v>4071</v>
      </c>
      <c r="E1545" s="35" t="s">
        <v>89</v>
      </c>
      <c r="F1545" t="str" cm="1">
        <f t="array" ref="F1545">IFERROR(_xlfn.XLOOKUP(E1545,MapeoCargos!$A:$A,MapeoCargos!$B:$B,E1545),E1545)</f>
        <v>PRODUCCIÓN / COCINA</v>
      </c>
      <c r="G1545" s="46">
        <v>45916</v>
      </c>
    </row>
    <row r="1546" spans="1:7" x14ac:dyDescent="0.2">
      <c r="A1546" s="27" t="s">
        <v>3913</v>
      </c>
      <c r="B1546" s="35" t="s">
        <v>1272</v>
      </c>
      <c r="C1546" s="34" t="s">
        <v>1061</v>
      </c>
      <c r="D1546" s="35" t="s">
        <v>4072</v>
      </c>
      <c r="E1546" s="35" t="s">
        <v>1061</v>
      </c>
      <c r="F1546" t="str" cm="1">
        <f t="array" ref="F1546">IFERROR(_xlfn.XLOOKUP(E1546,MapeoCargos!$A:$A,MapeoCargos!$B:$B,E1546),E1546)</f>
        <v>PRODUCCION</v>
      </c>
      <c r="G1546" s="46">
        <v>45916</v>
      </c>
    </row>
    <row r="1547" spans="1:7" x14ac:dyDescent="0.2">
      <c r="A1547" s="27" t="s">
        <v>3914</v>
      </c>
      <c r="B1547" s="35" t="s">
        <v>1272</v>
      </c>
      <c r="C1547" s="35" t="s">
        <v>1061</v>
      </c>
      <c r="D1547" s="35" t="s">
        <v>4073</v>
      </c>
      <c r="E1547" s="35" t="s">
        <v>180</v>
      </c>
      <c r="F1547" t="str" cm="1">
        <f t="array" ref="F1547">IFERROR(_xlfn.XLOOKUP(E1547,MapeoCargos!$A:$A,MapeoCargos!$B:$B,E1547),E1547)</f>
        <v>MANTENIMIENTO</v>
      </c>
      <c r="G1547" s="46">
        <v>45916</v>
      </c>
    </row>
    <row r="1548" spans="1:7" x14ac:dyDescent="0.2">
      <c r="A1548" s="27" t="s">
        <v>3915</v>
      </c>
      <c r="B1548" s="35" t="s">
        <v>1272</v>
      </c>
      <c r="C1548" s="35" t="s">
        <v>1653</v>
      </c>
      <c r="D1548" s="35" t="s">
        <v>4074</v>
      </c>
      <c r="E1548" s="35" t="s">
        <v>742</v>
      </c>
      <c r="F1548" t="str" cm="1">
        <f t="array" ref="F1548">IFERROR(_xlfn.XLOOKUP(E1548,MapeoCargos!$A:$A,MapeoCargos!$B:$B,E1548),E1548)</f>
        <v>ALMACENERO(A)</v>
      </c>
      <c r="G1548" s="46">
        <v>45917</v>
      </c>
    </row>
    <row r="1549" spans="1:7" x14ac:dyDescent="0.2">
      <c r="A1549" s="27" t="s">
        <v>3916</v>
      </c>
      <c r="B1549" s="35" t="s">
        <v>1272</v>
      </c>
      <c r="C1549" s="35" t="s">
        <v>1653</v>
      </c>
      <c r="D1549" s="35" t="s">
        <v>4075</v>
      </c>
      <c r="E1549" s="35" t="s">
        <v>1662</v>
      </c>
      <c r="F1549" t="str" cm="1">
        <f t="array" ref="F1549">IFERROR(_xlfn.XLOOKUP(E1549,MapeoCargos!$A:$A,MapeoCargos!$B:$B,E1549),E1549)</f>
        <v xml:space="preserve">ANFITRIONAJE </v>
      </c>
      <c r="G1549" s="46">
        <v>45919</v>
      </c>
    </row>
    <row r="1550" spans="1:7" x14ac:dyDescent="0.2">
      <c r="A1550" s="27" t="s">
        <v>3917</v>
      </c>
      <c r="B1550" s="35" t="s">
        <v>1272</v>
      </c>
      <c r="C1550" s="35" t="s">
        <v>1653</v>
      </c>
      <c r="D1550" s="35" t="s">
        <v>4076</v>
      </c>
      <c r="E1550" s="35" t="s">
        <v>1338</v>
      </c>
      <c r="F1550" t="str" cm="1">
        <f t="array" ref="F1550">IFERROR(_xlfn.XLOOKUP(E1550,MapeoCargos!$A:$A,MapeoCargos!$B:$B,E1550),E1550)</f>
        <v>LIMPIEZA / MANTENIMIENTO</v>
      </c>
      <c r="G1550" s="46">
        <v>45920</v>
      </c>
    </row>
    <row r="1551" spans="1:7" x14ac:dyDescent="0.2">
      <c r="A1551" s="27" t="s">
        <v>3918</v>
      </c>
      <c r="B1551" s="35" t="s">
        <v>1272</v>
      </c>
      <c r="C1551" s="35" t="s">
        <v>31</v>
      </c>
      <c r="D1551" s="35" t="s">
        <v>4077</v>
      </c>
      <c r="E1551" s="35" t="s">
        <v>4078</v>
      </c>
      <c r="F1551" t="str" cm="1">
        <f t="array" ref="F1551">IFERROR(_xlfn.XLOOKUP(E1551,MapeoCargos!$A:$A,MapeoCargos!$B:$B,E1551),E1551)</f>
        <v>JEFE DE PROCESOS Y CAPACITACION</v>
      </c>
      <c r="G1551" s="46">
        <v>45922</v>
      </c>
    </row>
    <row r="1552" spans="1:7" x14ac:dyDescent="0.2">
      <c r="A1552" s="27" t="s">
        <v>3919</v>
      </c>
      <c r="B1552" s="35" t="s">
        <v>1272</v>
      </c>
      <c r="C1552" s="35" t="s">
        <v>1709</v>
      </c>
      <c r="D1552" s="35" t="s">
        <v>4079</v>
      </c>
      <c r="E1552" s="35" t="s">
        <v>621</v>
      </c>
      <c r="F1552" t="str" cm="1">
        <f t="array" ref="F1552">IFERROR(_xlfn.XLOOKUP(E1552,MapeoCargos!$A:$A,MapeoCargos!$B:$B,E1552),E1552)</f>
        <v xml:space="preserve">ANFITRIONAJE </v>
      </c>
      <c r="G1552" s="46">
        <v>45931</v>
      </c>
    </row>
    <row r="1553" spans="1:7" x14ac:dyDescent="0.2">
      <c r="A1553" s="27" t="s">
        <v>3920</v>
      </c>
      <c r="B1553" s="35" t="s">
        <v>1272</v>
      </c>
      <c r="C1553" s="35" t="s">
        <v>1709</v>
      </c>
      <c r="D1553" s="35" t="s">
        <v>4080</v>
      </c>
      <c r="E1553" s="35" t="s">
        <v>4039</v>
      </c>
      <c r="F1553" t="str" cm="1">
        <f t="array" ref="F1553">IFERROR(_xlfn.XLOOKUP(E1553,MapeoCargos!$A:$A,MapeoCargos!$B:$B,E1553),E1553)</f>
        <v>CORREDOR (A)</v>
      </c>
      <c r="G1553" s="46">
        <v>45931</v>
      </c>
    </row>
    <row r="1554" spans="1:7" x14ac:dyDescent="0.2">
      <c r="A1554" s="27" t="s">
        <v>3921</v>
      </c>
      <c r="B1554" s="35" t="s">
        <v>1272</v>
      </c>
      <c r="C1554" s="35" t="s">
        <v>1283</v>
      </c>
      <c r="D1554" s="35" t="s">
        <v>4081</v>
      </c>
      <c r="E1554" s="35" t="s">
        <v>4082</v>
      </c>
      <c r="F1554" t="str" cm="1">
        <f t="array" ref="F1554">IFERROR(_xlfn.XLOOKUP(E1554,MapeoCargos!$A:$A,MapeoCargos!$B:$B,E1554),E1554)</f>
        <v>COCINERO (A) CHAUFERO</v>
      </c>
      <c r="G1554" s="46">
        <v>45931</v>
      </c>
    </row>
    <row r="1555" spans="1:7" x14ac:dyDescent="0.2">
      <c r="A1555" s="27" t="s">
        <v>1663</v>
      </c>
      <c r="B1555" s="35" t="s">
        <v>1272</v>
      </c>
      <c r="C1555" s="35" t="s">
        <v>1283</v>
      </c>
      <c r="D1555" s="35" t="s">
        <v>1664</v>
      </c>
      <c r="E1555" s="35" t="s">
        <v>468</v>
      </c>
      <c r="F1555" t="str" cm="1">
        <f t="array" ref="F1555">IFERROR(_xlfn.XLOOKUP(E1555,MapeoCargos!$A:$A,MapeoCargos!$B:$B,E1555),E1555)</f>
        <v xml:space="preserve">ANFITRIONAJE </v>
      </c>
      <c r="G1555" s="46">
        <v>45931</v>
      </c>
    </row>
    <row r="1556" spans="1:7" x14ac:dyDescent="0.2">
      <c r="A1556" s="27" t="s">
        <v>3922</v>
      </c>
      <c r="B1556" s="35" t="s">
        <v>1272</v>
      </c>
      <c r="C1556" s="34" t="s">
        <v>1273</v>
      </c>
      <c r="D1556" s="35" t="s">
        <v>4083</v>
      </c>
      <c r="E1556" s="35" t="s">
        <v>1061</v>
      </c>
      <c r="F1556" t="str" cm="1">
        <f t="array" ref="F1556">IFERROR(_xlfn.XLOOKUP(E1556,MapeoCargos!$A:$A,MapeoCargos!$B:$B,E1556),E1556)</f>
        <v>PRODUCCION</v>
      </c>
      <c r="G1556" s="46">
        <v>45931</v>
      </c>
    </row>
    <row r="1557" spans="1:7" x14ac:dyDescent="0.2">
      <c r="A1557" s="27" t="s">
        <v>3923</v>
      </c>
      <c r="B1557" s="35" t="s">
        <v>1272</v>
      </c>
      <c r="C1557" s="34" t="s">
        <v>1273</v>
      </c>
      <c r="D1557" s="35" t="s">
        <v>4084</v>
      </c>
      <c r="E1557" s="35" t="s">
        <v>1061</v>
      </c>
      <c r="F1557" t="str" cm="1">
        <f t="array" ref="F1557">IFERROR(_xlfn.XLOOKUP(E1557,MapeoCargos!$A:$A,MapeoCargos!$B:$B,E1557),E1557)</f>
        <v>PRODUCCION</v>
      </c>
      <c r="G1557" s="46">
        <v>45931</v>
      </c>
    </row>
    <row r="1558" spans="1:7" x14ac:dyDescent="0.2">
      <c r="A1558" s="27" t="s">
        <v>3924</v>
      </c>
      <c r="B1558" s="35" t="s">
        <v>1272</v>
      </c>
      <c r="C1558" s="35" t="s">
        <v>1273</v>
      </c>
      <c r="D1558" s="35" t="s">
        <v>4085</v>
      </c>
      <c r="E1558" s="35" t="s">
        <v>4039</v>
      </c>
      <c r="F1558" t="str" cm="1">
        <f t="array" ref="F1558">IFERROR(_xlfn.XLOOKUP(E1558,MapeoCargos!$A:$A,MapeoCargos!$B:$B,E1558),E1558)</f>
        <v>CORREDOR (A)</v>
      </c>
      <c r="G1558" s="46">
        <v>45931</v>
      </c>
    </row>
    <row r="1559" spans="1:7" x14ac:dyDescent="0.2">
      <c r="A1559" s="27" t="s">
        <v>3925</v>
      </c>
      <c r="B1559" s="35" t="s">
        <v>1272</v>
      </c>
      <c r="C1559" s="35" t="s">
        <v>1273</v>
      </c>
      <c r="D1559" s="35" t="s">
        <v>4086</v>
      </c>
      <c r="E1559" s="35" t="s">
        <v>1338</v>
      </c>
      <c r="F1559" t="str" cm="1">
        <f t="array" ref="F1559">IFERROR(_xlfn.XLOOKUP(E1559,MapeoCargos!$A:$A,MapeoCargos!$B:$B,E1559),E1559)</f>
        <v>LIMPIEZA / MANTENIMIENTO</v>
      </c>
      <c r="G1559" s="46">
        <v>45931</v>
      </c>
    </row>
    <row r="1560" spans="1:7" x14ac:dyDescent="0.2">
      <c r="A1560" s="27" t="s">
        <v>3926</v>
      </c>
      <c r="B1560" s="35" t="s">
        <v>1272</v>
      </c>
      <c r="C1560" s="35" t="s">
        <v>1273</v>
      </c>
      <c r="D1560" s="35" t="s">
        <v>4087</v>
      </c>
      <c r="E1560" s="35" t="s">
        <v>83</v>
      </c>
      <c r="F1560" t="str" cm="1">
        <f t="array" ref="F1560">IFERROR(_xlfn.XLOOKUP(E1560,MapeoCargos!$A:$A,MapeoCargos!$B:$B,E1560),E1560)</f>
        <v>PRODUCCIÓN / COCINA</v>
      </c>
      <c r="G1560" s="46">
        <v>45931</v>
      </c>
    </row>
    <row r="1561" spans="1:7" x14ac:dyDescent="0.2">
      <c r="A1561" s="27" t="s">
        <v>3927</v>
      </c>
      <c r="B1561" s="35" t="s">
        <v>1272</v>
      </c>
      <c r="C1561" s="35" t="s">
        <v>1653</v>
      </c>
      <c r="D1561" s="35" t="s">
        <v>4088</v>
      </c>
      <c r="E1561" s="35" t="s">
        <v>83</v>
      </c>
      <c r="F1561" t="str" cm="1">
        <f t="array" ref="F1561">IFERROR(_xlfn.XLOOKUP(E1561,MapeoCargos!$A:$A,MapeoCargos!$B:$B,E1561),E1561)</f>
        <v>PRODUCCIÓN / COCINA</v>
      </c>
      <c r="G1561" s="46">
        <v>45934</v>
      </c>
    </row>
    <row r="1562" spans="1:7" x14ac:dyDescent="0.2">
      <c r="A1562" s="27" t="s">
        <v>4294</v>
      </c>
      <c r="B1562" s="35" t="s">
        <v>1272</v>
      </c>
      <c r="C1562" s="35" t="s">
        <v>1653</v>
      </c>
      <c r="D1562" s="35" t="s">
        <v>4411</v>
      </c>
      <c r="E1562" s="35" t="s">
        <v>83</v>
      </c>
      <c r="F1562" t="str" cm="1">
        <f t="array" ref="F1562">IFERROR(_xlfn.XLOOKUP(E1562,MapeoCargos!$A:$A,MapeoCargos!$B:$B,E1562),E1562)</f>
        <v>PRODUCCIÓN / COCINA</v>
      </c>
      <c r="G1562" s="46">
        <v>45939</v>
      </c>
    </row>
    <row r="1563" spans="1:7" x14ac:dyDescent="0.2">
      <c r="A1563" s="27" t="s">
        <v>4295</v>
      </c>
      <c r="B1563" s="35" t="s">
        <v>1272</v>
      </c>
      <c r="C1563" s="35" t="s">
        <v>1297</v>
      </c>
      <c r="D1563" s="35" t="s">
        <v>4412</v>
      </c>
      <c r="E1563" s="35" t="s">
        <v>1352</v>
      </c>
      <c r="F1563" t="str" cm="1">
        <f t="array" ref="F1563">IFERROR(_xlfn.XLOOKUP(E1563,MapeoCargos!$A:$A,MapeoCargos!$B:$B,E1563),E1563)</f>
        <v>PRODUCCIÓN / COCINA</v>
      </c>
      <c r="G1563" s="46">
        <v>45946</v>
      </c>
    </row>
    <row r="1564" spans="1:7" x14ac:dyDescent="0.2">
      <c r="A1564" s="27" t="s">
        <v>4296</v>
      </c>
      <c r="B1564" s="35" t="s">
        <v>1272</v>
      </c>
      <c r="C1564" s="35" t="s">
        <v>1283</v>
      </c>
      <c r="D1564" s="35" t="s">
        <v>4413</v>
      </c>
      <c r="E1564" s="35" t="s">
        <v>1415</v>
      </c>
      <c r="F1564" t="str" cm="1">
        <f t="array" ref="F1564">IFERROR(_xlfn.XLOOKUP(E1564,MapeoCargos!$A:$A,MapeoCargos!$B:$B,E1564),E1564)</f>
        <v>CORREDOR</v>
      </c>
      <c r="G1564" s="46">
        <v>45946</v>
      </c>
    </row>
    <row r="1565" spans="1:7" x14ac:dyDescent="0.2">
      <c r="A1565" s="27" t="s">
        <v>4297</v>
      </c>
      <c r="B1565" s="35" t="s">
        <v>1272</v>
      </c>
      <c r="C1565" s="35" t="s">
        <v>1283</v>
      </c>
      <c r="D1565" s="35" t="s">
        <v>4414</v>
      </c>
      <c r="E1565" s="35" t="s">
        <v>1415</v>
      </c>
      <c r="F1565" t="str" cm="1">
        <f t="array" ref="F1565">IFERROR(_xlfn.XLOOKUP(E1565,MapeoCargos!$A:$A,MapeoCargos!$B:$B,E1565),E1565)</f>
        <v>CORREDOR</v>
      </c>
      <c r="G1565" s="46">
        <v>45946</v>
      </c>
    </row>
    <row r="1566" spans="1:7" x14ac:dyDescent="0.2">
      <c r="A1566" s="27" t="s">
        <v>4298</v>
      </c>
      <c r="B1566" s="35" t="s">
        <v>1272</v>
      </c>
      <c r="C1566" s="35" t="s">
        <v>1283</v>
      </c>
      <c r="D1566" s="35" t="s">
        <v>4415</v>
      </c>
      <c r="E1566" s="35" t="s">
        <v>1415</v>
      </c>
      <c r="F1566" t="str" cm="1">
        <f t="array" ref="F1566">IFERROR(_xlfn.XLOOKUP(E1566,MapeoCargos!$A:$A,MapeoCargos!$B:$B,E1566),E1566)</f>
        <v>CORREDOR</v>
      </c>
      <c r="G1566" s="46">
        <v>45946</v>
      </c>
    </row>
    <row r="1567" spans="1:7" x14ac:dyDescent="0.2">
      <c r="A1567" s="27" t="s">
        <v>4299</v>
      </c>
      <c r="B1567" s="35" t="s">
        <v>1272</v>
      </c>
      <c r="C1567" s="35" t="s">
        <v>1283</v>
      </c>
      <c r="D1567" s="35" t="s">
        <v>4416</v>
      </c>
      <c r="E1567" s="35" t="s">
        <v>160</v>
      </c>
      <c r="F1567" t="str" cm="1">
        <f t="array" ref="F1567">IFERROR(_xlfn.XLOOKUP(E1567,MapeoCargos!$A:$A,MapeoCargos!$B:$B,E1567),E1567)</f>
        <v>PACKER</v>
      </c>
      <c r="G1567" s="46">
        <v>45946</v>
      </c>
    </row>
    <row r="1568" spans="1:7" x14ac:dyDescent="0.2">
      <c r="A1568" s="27" t="s">
        <v>4300</v>
      </c>
      <c r="B1568" s="35" t="s">
        <v>1272</v>
      </c>
      <c r="C1568" s="35" t="s">
        <v>1283</v>
      </c>
      <c r="D1568" s="35" t="s">
        <v>4417</v>
      </c>
      <c r="E1568" s="35" t="s">
        <v>126</v>
      </c>
      <c r="F1568" t="str" cm="1">
        <f t="array" ref="F1568">IFERROR(_xlfn.XLOOKUP(E1568,MapeoCargos!$A:$A,MapeoCargos!$B:$B,E1568),E1568)</f>
        <v>MOTORIZADO</v>
      </c>
      <c r="G1568" s="46">
        <v>45946</v>
      </c>
    </row>
    <row r="1569" spans="1:7" x14ac:dyDescent="0.2">
      <c r="A1569" s="27" t="s">
        <v>4301</v>
      </c>
      <c r="B1569" s="35" t="s">
        <v>1272</v>
      </c>
      <c r="C1569" s="35" t="s">
        <v>1273</v>
      </c>
      <c r="D1569" s="35" t="s">
        <v>4418</v>
      </c>
      <c r="E1569" s="35" t="s">
        <v>160</v>
      </c>
      <c r="F1569" t="str" cm="1">
        <f t="array" ref="F1569">IFERROR(_xlfn.XLOOKUP(E1569,MapeoCargos!$A:$A,MapeoCargos!$B:$B,E1569),E1569)</f>
        <v>PACKER</v>
      </c>
      <c r="G1569" s="46">
        <v>45946</v>
      </c>
    </row>
    <row r="1570" spans="1:7" x14ac:dyDescent="0.2">
      <c r="A1570" s="27" t="s">
        <v>4302</v>
      </c>
      <c r="B1570" s="35" t="s">
        <v>1272</v>
      </c>
      <c r="C1570" s="35" t="s">
        <v>1273</v>
      </c>
      <c r="D1570" s="35" t="s">
        <v>4419</v>
      </c>
      <c r="E1570" s="35" t="s">
        <v>3004</v>
      </c>
      <c r="F1570" t="str" cm="1">
        <f t="array" ref="F1570">IFERROR(_xlfn.XLOOKUP(E1570,MapeoCargos!$A:$A,MapeoCargos!$B:$B,E1570),E1570)</f>
        <v>STAFF ADMINISTRATIVO</v>
      </c>
      <c r="G1570" s="46">
        <v>45962</v>
      </c>
    </row>
    <row r="1571" spans="1:7" x14ac:dyDescent="0.2">
      <c r="A1571" s="27" t="s">
        <v>4303</v>
      </c>
      <c r="B1571" s="35" t="s">
        <v>1272</v>
      </c>
      <c r="C1571" s="35" t="s">
        <v>1294</v>
      </c>
      <c r="D1571" s="35" t="s">
        <v>4420</v>
      </c>
      <c r="E1571" s="35" t="s">
        <v>83</v>
      </c>
      <c r="F1571" t="str" cm="1">
        <f t="array" ref="F1571">IFERROR(_xlfn.XLOOKUP(E1571,MapeoCargos!$A:$A,MapeoCargos!$B:$B,E1571),E1571)</f>
        <v>PRODUCCIÓN / COCINA</v>
      </c>
      <c r="G1571" s="46">
        <v>45962</v>
      </c>
    </row>
    <row r="1572" spans="1:7" x14ac:dyDescent="0.2">
      <c r="A1572" s="27" t="s">
        <v>4304</v>
      </c>
      <c r="B1572" s="35" t="s">
        <v>1272</v>
      </c>
      <c r="C1572" s="35" t="s">
        <v>1709</v>
      </c>
      <c r="D1572" s="35" t="s">
        <v>4421</v>
      </c>
      <c r="E1572" s="35" t="s">
        <v>110</v>
      </c>
      <c r="F1572" t="str" cm="1">
        <f t="array" ref="F1572">IFERROR(_xlfn.XLOOKUP(E1572,MapeoCargos!$A:$A,MapeoCargos!$B:$B,E1572),E1572)</f>
        <v>COUNTER</v>
      </c>
      <c r="G1572" s="46">
        <v>45962</v>
      </c>
    </row>
    <row r="1573" spans="1:7" x14ac:dyDescent="0.2">
      <c r="A1573" s="27" t="s">
        <v>1601</v>
      </c>
      <c r="B1573" s="35" t="s">
        <v>1272</v>
      </c>
      <c r="C1573" s="35" t="s">
        <v>1709</v>
      </c>
      <c r="D1573" s="35" t="s">
        <v>1602</v>
      </c>
      <c r="E1573" s="35" t="s">
        <v>4039</v>
      </c>
      <c r="F1573" t="str" cm="1">
        <f t="array" ref="F1573">IFERROR(_xlfn.XLOOKUP(E1573,MapeoCargos!$A:$A,MapeoCargos!$B:$B,E1573),E1573)</f>
        <v>CORREDOR (A)</v>
      </c>
      <c r="G1573" s="46">
        <v>45962</v>
      </c>
    </row>
    <row r="1574" spans="1:7" x14ac:dyDescent="0.2">
      <c r="A1574" s="27" t="s">
        <v>4305</v>
      </c>
      <c r="B1574" s="35" t="s">
        <v>1272</v>
      </c>
      <c r="C1574" s="35" t="s">
        <v>1283</v>
      </c>
      <c r="D1574" s="35" t="s">
        <v>4422</v>
      </c>
      <c r="E1574" s="35" t="s">
        <v>83</v>
      </c>
      <c r="F1574" t="str" cm="1">
        <f t="array" ref="F1574">IFERROR(_xlfn.XLOOKUP(E1574,MapeoCargos!$A:$A,MapeoCargos!$B:$B,E1574),E1574)</f>
        <v>PRODUCCIÓN / COCINA</v>
      </c>
      <c r="G1574" s="46">
        <v>45962</v>
      </c>
    </row>
    <row r="1575" spans="1:7" x14ac:dyDescent="0.2">
      <c r="A1575" s="27" t="s">
        <v>4306</v>
      </c>
      <c r="B1575" s="35" t="s">
        <v>1272</v>
      </c>
      <c r="C1575" s="35" t="s">
        <v>1283</v>
      </c>
      <c r="D1575" s="35" t="s">
        <v>4423</v>
      </c>
      <c r="E1575" s="35" t="s">
        <v>621</v>
      </c>
      <c r="F1575" t="str" cm="1">
        <f t="array" ref="F1575">IFERROR(_xlfn.XLOOKUP(E1575,MapeoCargos!$A:$A,MapeoCargos!$B:$B,E1575),E1575)</f>
        <v xml:space="preserve">ANFITRIONAJE </v>
      </c>
      <c r="G1575" s="46">
        <v>45962</v>
      </c>
    </row>
    <row r="1576" spans="1:7" x14ac:dyDescent="0.2">
      <c r="A1576" s="27" t="s">
        <v>4307</v>
      </c>
      <c r="B1576" s="35" t="s">
        <v>1272</v>
      </c>
      <c r="C1576" s="35" t="s">
        <v>4424</v>
      </c>
      <c r="D1576" s="35" t="s">
        <v>4425</v>
      </c>
      <c r="E1576" s="35" t="s">
        <v>83</v>
      </c>
      <c r="F1576" t="str" cm="1">
        <f t="array" ref="F1576">IFERROR(_xlfn.XLOOKUP(E1576,MapeoCargos!$A:$A,MapeoCargos!$B:$B,E1576),E1576)</f>
        <v>PRODUCCIÓN / COCINA</v>
      </c>
      <c r="G1576" s="46">
        <v>45962</v>
      </c>
    </row>
    <row r="1577" spans="1:7" x14ac:dyDescent="0.2">
      <c r="A1577" s="27" t="s">
        <v>4308</v>
      </c>
      <c r="B1577" s="35" t="s">
        <v>1272</v>
      </c>
      <c r="C1577" s="35" t="s">
        <v>4424</v>
      </c>
      <c r="D1577" s="35" t="s">
        <v>4426</v>
      </c>
      <c r="E1577" s="35" t="s">
        <v>83</v>
      </c>
      <c r="F1577" t="str" cm="1">
        <f t="array" ref="F1577">IFERROR(_xlfn.XLOOKUP(E1577,MapeoCargos!$A:$A,MapeoCargos!$B:$B,E1577),E1577)</f>
        <v>PRODUCCIÓN / COCINA</v>
      </c>
      <c r="G1577" s="46">
        <v>45962</v>
      </c>
    </row>
    <row r="1578" spans="1:7" x14ac:dyDescent="0.2">
      <c r="A1578" s="27" t="s">
        <v>4309</v>
      </c>
      <c r="B1578" s="35" t="s">
        <v>1272</v>
      </c>
      <c r="C1578" s="35" t="s">
        <v>4424</v>
      </c>
      <c r="D1578" s="35" t="s">
        <v>4427</v>
      </c>
      <c r="E1578" s="35" t="s">
        <v>83</v>
      </c>
      <c r="F1578" t="str" cm="1">
        <f t="array" ref="F1578">IFERROR(_xlfn.XLOOKUP(E1578,MapeoCargos!$A:$A,MapeoCargos!$B:$B,E1578),E1578)</f>
        <v>PRODUCCIÓN / COCINA</v>
      </c>
      <c r="G1578" s="46">
        <v>45962</v>
      </c>
    </row>
    <row r="1579" spans="1:7" x14ac:dyDescent="0.2">
      <c r="A1579" s="27" t="s">
        <v>4310</v>
      </c>
      <c r="B1579" s="35" t="s">
        <v>1272</v>
      </c>
      <c r="C1579" s="35" t="s">
        <v>4424</v>
      </c>
      <c r="D1579" s="35" t="s">
        <v>4428</v>
      </c>
      <c r="E1579" s="35" t="s">
        <v>110</v>
      </c>
      <c r="F1579" t="str" cm="1">
        <f t="array" ref="F1579">IFERROR(_xlfn.XLOOKUP(E1579,MapeoCargos!$A:$A,MapeoCargos!$B:$B,E1579),E1579)</f>
        <v>COUNTER</v>
      </c>
      <c r="G1579" s="46">
        <v>45962</v>
      </c>
    </row>
    <row r="1580" spans="1:7" x14ac:dyDescent="0.2">
      <c r="A1580" s="27" t="s">
        <v>4311</v>
      </c>
      <c r="B1580" s="35" t="s">
        <v>1272</v>
      </c>
      <c r="C1580" s="35" t="s">
        <v>4424</v>
      </c>
      <c r="D1580" s="35" t="s">
        <v>4429</v>
      </c>
      <c r="E1580" s="35" t="s">
        <v>110</v>
      </c>
      <c r="F1580" t="str" cm="1">
        <f t="array" ref="F1580">IFERROR(_xlfn.XLOOKUP(E1580,MapeoCargos!$A:$A,MapeoCargos!$B:$B,E1580),E1580)</f>
        <v>COUNTER</v>
      </c>
      <c r="G1580" s="46">
        <v>45962</v>
      </c>
    </row>
    <row r="1581" spans="1:7" x14ac:dyDescent="0.2">
      <c r="A1581" s="27" t="s">
        <v>4314</v>
      </c>
      <c r="B1581" s="35" t="s">
        <v>1272</v>
      </c>
      <c r="C1581" s="35" t="s">
        <v>4424</v>
      </c>
      <c r="D1581" s="35" t="s">
        <v>4430</v>
      </c>
      <c r="E1581" s="35" t="s">
        <v>83</v>
      </c>
      <c r="F1581" t="str" cm="1">
        <f t="array" ref="F1581">IFERROR(_xlfn.XLOOKUP(E1581,MapeoCargos!$A:$A,MapeoCargos!$B:$B,E1581),E1581)</f>
        <v>PRODUCCIÓN / COCINA</v>
      </c>
      <c r="G1581" s="46">
        <v>45964</v>
      </c>
    </row>
    <row r="1582" spans="1:7" x14ac:dyDescent="0.2">
      <c r="A1582" s="27" t="s">
        <v>4312</v>
      </c>
      <c r="B1582" s="35" t="s">
        <v>1272</v>
      </c>
      <c r="C1582" s="35" t="s">
        <v>4424</v>
      </c>
      <c r="D1582" s="35" t="s">
        <v>4431</v>
      </c>
      <c r="E1582" s="35" t="s">
        <v>83</v>
      </c>
      <c r="F1582" t="str" cm="1">
        <f t="array" ref="F1582">IFERROR(_xlfn.XLOOKUP(E1582,MapeoCargos!$A:$A,MapeoCargos!$B:$B,E1582),E1582)</f>
        <v>PRODUCCIÓN / COCINA</v>
      </c>
      <c r="G1582" s="46">
        <v>45964</v>
      </c>
    </row>
    <row r="1583" spans="1:7" x14ac:dyDescent="0.2">
      <c r="A1583" s="27" t="s">
        <v>4313</v>
      </c>
      <c r="B1583" s="35" t="s">
        <v>1272</v>
      </c>
      <c r="C1583" s="35" t="s">
        <v>4424</v>
      </c>
      <c r="D1583" s="35" t="s">
        <v>4432</v>
      </c>
      <c r="E1583" s="35" t="s">
        <v>3004</v>
      </c>
      <c r="F1583" t="str" cm="1">
        <f t="array" ref="F1583">IFERROR(_xlfn.XLOOKUP(E1583,MapeoCargos!$A:$A,MapeoCargos!$B:$B,E1583),E1583)</f>
        <v>STAFF ADMINISTRATIVO</v>
      </c>
      <c r="G1583" s="46">
        <v>45965</v>
      </c>
    </row>
    <row r="1584" spans="1:7" x14ac:dyDescent="0.2">
      <c r="A1584" s="27" t="s">
        <v>4564</v>
      </c>
      <c r="B1584" s="35" t="s">
        <v>1272</v>
      </c>
      <c r="C1584" s="35" t="s">
        <v>31</v>
      </c>
      <c r="D1584" s="35" t="s">
        <v>4668</v>
      </c>
      <c r="E1584" s="35" t="s">
        <v>4669</v>
      </c>
      <c r="F1584" t="str" cm="1">
        <f t="array" ref="F1584">IFERROR(_xlfn.XLOOKUP(E1584,MapeoCargos!$A:$A,MapeoCargos!$B:$B,E1584),E1584)</f>
        <v>AUDITOR INTERNO JUNIOR</v>
      </c>
      <c r="G1584" s="46">
        <v>45973</v>
      </c>
    </row>
    <row r="1585" spans="1:7" x14ac:dyDescent="0.2">
      <c r="A1585" s="27" t="s">
        <v>4565</v>
      </c>
      <c r="B1585" s="35" t="s">
        <v>1272</v>
      </c>
      <c r="C1585" s="35" t="s">
        <v>1273</v>
      </c>
      <c r="D1585" s="35" t="s">
        <v>4670</v>
      </c>
      <c r="E1585" s="35" t="s">
        <v>167</v>
      </c>
      <c r="F1585" t="str" cm="1">
        <f t="array" ref="F1585">IFERROR(_xlfn.XLOOKUP(E1585,MapeoCargos!$A:$A,MapeoCargos!$B:$B,E1585),E1585)</f>
        <v xml:space="preserve">ANFITRIONAJE </v>
      </c>
      <c r="G1585" s="46">
        <v>45978</v>
      </c>
    </row>
    <row r="1586" spans="1:7" x14ac:dyDescent="0.2">
      <c r="A1586" s="27" t="s">
        <v>4566</v>
      </c>
      <c r="B1586" s="35" t="s">
        <v>1272</v>
      </c>
      <c r="C1586" s="35" t="s">
        <v>1273</v>
      </c>
      <c r="D1586" s="35" t="s">
        <v>4671</v>
      </c>
      <c r="E1586" s="35" t="s">
        <v>1352</v>
      </c>
      <c r="F1586" t="str" cm="1">
        <f t="array" ref="F1586">IFERROR(_xlfn.XLOOKUP(E1586,MapeoCargos!$A:$A,MapeoCargos!$B:$B,E1586),E1586)</f>
        <v>PRODUCCIÓN / COCINA</v>
      </c>
      <c r="G1586" s="46">
        <v>45978</v>
      </c>
    </row>
    <row r="1587" spans="1:7" x14ac:dyDescent="0.2">
      <c r="A1587" s="27" t="s">
        <v>4567</v>
      </c>
      <c r="B1587" s="35" t="s">
        <v>1272</v>
      </c>
      <c r="C1587" s="35" t="s">
        <v>4424</v>
      </c>
      <c r="D1587" s="35" t="s">
        <v>4672</v>
      </c>
      <c r="E1587" s="35" t="s">
        <v>1352</v>
      </c>
      <c r="F1587" t="str" cm="1">
        <f t="array" ref="F1587">IFERROR(_xlfn.XLOOKUP(E1587,MapeoCargos!$A:$A,MapeoCargos!$B:$B,E1587),E1587)</f>
        <v>PRODUCCIÓN / COCINA</v>
      </c>
      <c r="G1587" s="46">
        <v>45983</v>
      </c>
    </row>
    <row r="1588" spans="1:7" x14ac:dyDescent="0.2">
      <c r="A1588" s="27" t="s">
        <v>4568</v>
      </c>
      <c r="B1588" s="35" t="s">
        <v>1272</v>
      </c>
      <c r="C1588" s="35" t="s">
        <v>4424</v>
      </c>
      <c r="D1588" s="35" t="s">
        <v>4673</v>
      </c>
      <c r="E1588" s="35" t="s">
        <v>1352</v>
      </c>
      <c r="F1588" t="str" cm="1">
        <f t="array" ref="F1588">IFERROR(_xlfn.XLOOKUP(E1588,MapeoCargos!$A:$A,MapeoCargos!$B:$B,E1588),E1588)</f>
        <v>PRODUCCIÓN / COCINA</v>
      </c>
      <c r="G1588" s="46">
        <v>45986</v>
      </c>
    </row>
    <row r="1589" spans="1:7" x14ac:dyDescent="0.2">
      <c r="A1589" s="27" t="s">
        <v>4569</v>
      </c>
      <c r="B1589" s="35" t="s">
        <v>1272</v>
      </c>
      <c r="C1589" s="35" t="s">
        <v>1653</v>
      </c>
      <c r="D1589" s="35" t="s">
        <v>4674</v>
      </c>
      <c r="E1589" s="35" t="s">
        <v>83</v>
      </c>
      <c r="F1589" t="str" cm="1">
        <f t="array" ref="F1589">IFERROR(_xlfn.XLOOKUP(E1589,MapeoCargos!$A:$A,MapeoCargos!$B:$B,E1589),E1589)</f>
        <v>PRODUCCIÓN / COCINA</v>
      </c>
      <c r="G1589" s="46">
        <v>45986</v>
      </c>
    </row>
    <row r="1590" spans="1:7" x14ac:dyDescent="0.2">
      <c r="A1590" s="27" t="s">
        <v>1686</v>
      </c>
      <c r="B1590" s="35" t="s">
        <v>1272</v>
      </c>
      <c r="C1590" s="35" t="s">
        <v>1297</v>
      </c>
      <c r="D1590" s="35" t="s">
        <v>1687</v>
      </c>
      <c r="E1590" s="35" t="s">
        <v>160</v>
      </c>
      <c r="F1590" t="str" cm="1">
        <f t="array" ref="F1590">IFERROR(_xlfn.XLOOKUP(E1590,MapeoCargos!$A:$A,MapeoCargos!$B:$B,E1590),E1590)</f>
        <v>PACKER</v>
      </c>
      <c r="G1590" s="46">
        <v>45992</v>
      </c>
    </row>
    <row r="1591" spans="1:7" x14ac:dyDescent="0.2">
      <c r="A1591" s="27" t="s">
        <v>4570</v>
      </c>
      <c r="B1591" s="35" t="s">
        <v>1272</v>
      </c>
      <c r="C1591" s="35" t="s">
        <v>1273</v>
      </c>
      <c r="D1591" s="35" t="s">
        <v>4675</v>
      </c>
      <c r="E1591" s="35" t="s">
        <v>1061</v>
      </c>
      <c r="F1591" t="str" cm="1">
        <f t="array" ref="F1591">IFERROR(_xlfn.XLOOKUP(E1591,MapeoCargos!$A:$A,MapeoCargos!$B:$B,E1591),E1591)</f>
        <v>PRODUCCION</v>
      </c>
      <c r="G1591" s="46">
        <v>45992</v>
      </c>
    </row>
    <row r="1592" spans="1:7" x14ac:dyDescent="0.2">
      <c r="A1592" s="27" t="s">
        <v>4571</v>
      </c>
      <c r="B1592" s="35" t="s">
        <v>1272</v>
      </c>
      <c r="C1592" s="35" t="s">
        <v>4424</v>
      </c>
      <c r="D1592" s="35" t="s">
        <v>4676</v>
      </c>
      <c r="E1592" s="35" t="s">
        <v>110</v>
      </c>
      <c r="F1592" t="str" cm="1">
        <f t="array" ref="F1592">IFERROR(_xlfn.XLOOKUP(E1592,MapeoCargos!$A:$A,MapeoCargos!$B:$B,E1592),E1592)</f>
        <v>COUNTER</v>
      </c>
      <c r="G1592" s="46">
        <v>45992</v>
      </c>
    </row>
    <row r="1593" spans="1:7" x14ac:dyDescent="0.2">
      <c r="A1593" s="27" t="s">
        <v>2687</v>
      </c>
      <c r="B1593" s="35" t="s">
        <v>1272</v>
      </c>
      <c r="C1593" s="35" t="s">
        <v>1273</v>
      </c>
      <c r="D1593" s="35" t="s">
        <v>2688</v>
      </c>
      <c r="E1593" s="35" t="s">
        <v>3515</v>
      </c>
      <c r="F1593" t="str" cm="1">
        <f t="array" ref="F1593">IFERROR(_xlfn.XLOOKUP(E1593,MapeoCargos!$A:$A,MapeoCargos!$B:$B,E1593),E1593)</f>
        <v>AUXILIAR DE ALMACEN</v>
      </c>
      <c r="G1593" s="46">
        <v>45992</v>
      </c>
    </row>
    <row r="1594" spans="1:7" x14ac:dyDescent="0.2">
      <c r="A1594" s="27" t="s">
        <v>696</v>
      </c>
      <c r="B1594" s="35" t="s">
        <v>4016</v>
      </c>
      <c r="C1594" s="35" t="s">
        <v>697</v>
      </c>
      <c r="D1594" s="35" t="s">
        <v>698</v>
      </c>
      <c r="E1594" s="35" t="s">
        <v>699</v>
      </c>
      <c r="F1594" t="str" cm="1">
        <f t="array" ref="F1594">IFERROR(_xlfn.XLOOKUP(E1594,MapeoCargos!$A:$A,MapeoCargos!$B:$B,E1594),E1594)</f>
        <v>JEFE DE BEBIDAS</v>
      </c>
      <c r="G1594" s="46">
        <v>44470</v>
      </c>
    </row>
    <row r="1595" spans="1:7" x14ac:dyDescent="0.2">
      <c r="A1595" s="27" t="s">
        <v>700</v>
      </c>
      <c r="B1595" s="35" t="s">
        <v>4016</v>
      </c>
      <c r="C1595" s="35" t="s">
        <v>697</v>
      </c>
      <c r="D1595" s="35" t="s">
        <v>701</v>
      </c>
      <c r="E1595" s="35" t="s">
        <v>702</v>
      </c>
      <c r="F1595" t="str" cm="1">
        <f t="array" ref="F1595">IFERROR(_xlfn.XLOOKUP(E1595,MapeoCargos!$A:$A,MapeoCargos!$B:$B,E1595),E1595)</f>
        <v>JEFE DE PASTELERIA</v>
      </c>
      <c r="G1595" s="46">
        <v>44470</v>
      </c>
    </row>
    <row r="1596" spans="1:7" x14ac:dyDescent="0.2">
      <c r="A1596" s="27" t="s">
        <v>703</v>
      </c>
      <c r="B1596" s="35" t="s">
        <v>4016</v>
      </c>
      <c r="C1596" s="35" t="s">
        <v>697</v>
      </c>
      <c r="D1596" s="35" t="s">
        <v>704</v>
      </c>
      <c r="E1596" s="35" t="s">
        <v>705</v>
      </c>
      <c r="F1596" t="str" cm="1">
        <f t="array" ref="F1596">IFERROR(_xlfn.XLOOKUP(E1596,MapeoCargos!$A:$A,MapeoCargos!$B:$B,E1596),E1596)</f>
        <v>CHEF CORPORATIVO</v>
      </c>
      <c r="G1596" s="46">
        <v>44566</v>
      </c>
    </row>
    <row r="1597" spans="1:7" x14ac:dyDescent="0.2">
      <c r="A1597" s="27" t="s">
        <v>706</v>
      </c>
      <c r="B1597" s="35" t="s">
        <v>4016</v>
      </c>
      <c r="C1597" s="35" t="s">
        <v>707</v>
      </c>
      <c r="D1597" s="35" t="s">
        <v>708</v>
      </c>
      <c r="E1597" s="35" t="s">
        <v>709</v>
      </c>
      <c r="F1597" t="str" cm="1">
        <f t="array" ref="F1597">IFERROR(_xlfn.XLOOKUP(E1597,MapeoCargos!$A:$A,MapeoCargos!$B:$B,E1597),E1597)</f>
        <v>JEFE DE PRODUCCION Y CONTROL A&amp;B,</v>
      </c>
      <c r="G1597" s="46">
        <v>44844</v>
      </c>
    </row>
    <row r="1598" spans="1:7" x14ac:dyDescent="0.2">
      <c r="A1598" s="27" t="s">
        <v>710</v>
      </c>
      <c r="B1598" s="35" t="s">
        <v>4016</v>
      </c>
      <c r="C1598" s="35" t="s">
        <v>707</v>
      </c>
      <c r="D1598" s="35" t="s">
        <v>711</v>
      </c>
      <c r="E1598" s="35" t="s">
        <v>712</v>
      </c>
      <c r="F1598" t="str" cm="1">
        <f t="array" ref="F1598">IFERROR(_xlfn.XLOOKUP(E1598,MapeoCargos!$A:$A,MapeoCargos!$B:$B,E1598),E1598)</f>
        <v>PANADERO</v>
      </c>
      <c r="G1598" s="46">
        <v>44852</v>
      </c>
    </row>
    <row r="1599" spans="1:7" x14ac:dyDescent="0.2">
      <c r="A1599" s="27" t="s">
        <v>713</v>
      </c>
      <c r="B1599" s="35" t="s">
        <v>4016</v>
      </c>
      <c r="C1599" s="35" t="s">
        <v>707</v>
      </c>
      <c r="D1599" s="35" t="s">
        <v>714</v>
      </c>
      <c r="E1599" s="35" t="s">
        <v>715</v>
      </c>
      <c r="F1599" t="str" cm="1">
        <f t="array" ref="F1599">IFERROR(_xlfn.XLOOKUP(E1599,MapeoCargos!$A:$A,MapeoCargos!$B:$B,E1599),E1599)</f>
        <v>PASTELERO(A)</v>
      </c>
      <c r="G1599" s="46">
        <v>44852</v>
      </c>
    </row>
    <row r="1600" spans="1:7" x14ac:dyDescent="0.2">
      <c r="A1600" s="27" t="s">
        <v>716</v>
      </c>
      <c r="B1600" s="35" t="s">
        <v>4016</v>
      </c>
      <c r="C1600" s="35" t="s">
        <v>717</v>
      </c>
      <c r="D1600" s="35" t="s">
        <v>718</v>
      </c>
      <c r="E1600" s="35" t="s">
        <v>29</v>
      </c>
      <c r="F1600" t="str" cm="1">
        <f t="array" ref="F1600">IFERROR(_xlfn.XLOOKUP(E1600,MapeoCargos!$A:$A,MapeoCargos!$B:$B,E1600),E1600)</f>
        <v>MOZO</v>
      </c>
      <c r="G1600" s="46">
        <v>44867</v>
      </c>
    </row>
    <row r="1601" spans="1:7" x14ac:dyDescent="0.2">
      <c r="A1601" s="27" t="s">
        <v>719</v>
      </c>
      <c r="B1601" s="35" t="s">
        <v>4016</v>
      </c>
      <c r="C1601" s="35" t="s">
        <v>720</v>
      </c>
      <c r="D1601" s="35" t="s">
        <v>721</v>
      </c>
      <c r="E1601" s="35" t="s">
        <v>722</v>
      </c>
      <c r="F1601" t="str" cm="1">
        <f t="array" ref="F1601">IFERROR(_xlfn.XLOOKUP(E1601,MapeoCargos!$A:$A,MapeoCargos!$B:$B,E1601),E1601)</f>
        <v>COORDINADOR(A) DE EVENTOS</v>
      </c>
      <c r="G1601" s="46">
        <v>44883</v>
      </c>
    </row>
    <row r="1602" spans="1:7" x14ac:dyDescent="0.2">
      <c r="A1602" s="27" t="s">
        <v>723</v>
      </c>
      <c r="B1602" s="35" t="s">
        <v>4016</v>
      </c>
      <c r="C1602" s="35" t="s">
        <v>720</v>
      </c>
      <c r="D1602" s="35" t="s">
        <v>724</v>
      </c>
      <c r="E1602" s="35" t="s">
        <v>725</v>
      </c>
      <c r="F1602" t="str" cm="1">
        <f t="array" ref="F1602">IFERROR(_xlfn.XLOOKUP(E1602,MapeoCargos!$A:$A,MapeoCargos!$B:$B,E1602),E1602)</f>
        <v>PRODUCCIÓN / COCINA</v>
      </c>
      <c r="G1602" s="46">
        <v>44896</v>
      </c>
    </row>
    <row r="1603" spans="1:7" x14ac:dyDescent="0.2">
      <c r="A1603" s="27" t="s">
        <v>726</v>
      </c>
      <c r="B1603" s="35" t="s">
        <v>4016</v>
      </c>
      <c r="C1603" s="35" t="s">
        <v>707</v>
      </c>
      <c r="D1603" s="35" t="s">
        <v>727</v>
      </c>
      <c r="E1603" s="35" t="s">
        <v>728</v>
      </c>
      <c r="F1603" t="str" cm="1">
        <f t="array" ref="F1603">IFERROR(_xlfn.XLOOKUP(E1603,MapeoCargos!$A:$A,MapeoCargos!$B:$B,E1603),E1603)</f>
        <v>COORDINADOR(A) DE PASTELERIA</v>
      </c>
      <c r="G1603" s="46">
        <v>44927</v>
      </c>
    </row>
    <row r="1604" spans="1:7" x14ac:dyDescent="0.2">
      <c r="A1604" s="27" t="s">
        <v>729</v>
      </c>
      <c r="B1604" s="35" t="s">
        <v>4016</v>
      </c>
      <c r="C1604" s="35" t="s">
        <v>720</v>
      </c>
      <c r="D1604" s="35" t="s">
        <v>730</v>
      </c>
      <c r="E1604" s="35" t="s">
        <v>731</v>
      </c>
      <c r="F1604" t="str" cm="1">
        <f t="array" ref="F1604">IFERROR(_xlfn.XLOOKUP(E1604,MapeoCargos!$A:$A,MapeoCargos!$B:$B,E1604),E1604)</f>
        <v>COORDINADOR(A) DE BAR</v>
      </c>
      <c r="G1604" s="46">
        <v>44927</v>
      </c>
    </row>
    <row r="1605" spans="1:7" x14ac:dyDescent="0.2">
      <c r="A1605" s="27" t="s">
        <v>732</v>
      </c>
      <c r="B1605" s="35" t="s">
        <v>4016</v>
      </c>
      <c r="C1605" s="35" t="s">
        <v>720</v>
      </c>
      <c r="D1605" s="35" t="s">
        <v>733</v>
      </c>
      <c r="E1605" s="35" t="s">
        <v>734</v>
      </c>
      <c r="F1605" t="str" cm="1">
        <f t="array" ref="F1605">IFERROR(_xlfn.XLOOKUP(E1605,MapeoCargos!$A:$A,MapeoCargos!$B:$B,E1605),E1605)</f>
        <v>SUBCHEF COORDINADOR</v>
      </c>
      <c r="G1605" s="46">
        <v>44927</v>
      </c>
    </row>
    <row r="1606" spans="1:7" x14ac:dyDescent="0.2">
      <c r="A1606" s="27" t="s">
        <v>735</v>
      </c>
      <c r="B1606" s="35" t="s">
        <v>4016</v>
      </c>
      <c r="C1606" s="35" t="s">
        <v>697</v>
      </c>
      <c r="D1606" s="35" t="s">
        <v>736</v>
      </c>
      <c r="E1606" s="35" t="s">
        <v>728</v>
      </c>
      <c r="F1606" t="str" cm="1">
        <f t="array" ref="F1606">IFERROR(_xlfn.XLOOKUP(E1606,MapeoCargos!$A:$A,MapeoCargos!$B:$B,E1606),E1606)</f>
        <v>COORDINADOR(A) DE PASTELERIA</v>
      </c>
      <c r="G1606" s="46">
        <v>44928</v>
      </c>
    </row>
    <row r="1607" spans="1:7" x14ac:dyDescent="0.2">
      <c r="A1607" s="27" t="s">
        <v>737</v>
      </c>
      <c r="B1607" s="35" t="s">
        <v>4016</v>
      </c>
      <c r="C1607" s="35" t="s">
        <v>720</v>
      </c>
      <c r="D1607" s="35" t="s">
        <v>738</v>
      </c>
      <c r="E1607" s="35" t="s">
        <v>739</v>
      </c>
      <c r="F1607" t="str" cm="1">
        <f t="array" ref="F1607">IFERROR(_xlfn.XLOOKUP(E1607,MapeoCargos!$A:$A,MapeoCargos!$B:$B,E1607),E1607)</f>
        <v>COORDINADOR(A) DE COCINA</v>
      </c>
      <c r="G1607" s="46">
        <v>44931</v>
      </c>
    </row>
    <row r="1608" spans="1:7" x14ac:dyDescent="0.2">
      <c r="A1608" s="27" t="s">
        <v>740</v>
      </c>
      <c r="B1608" s="35" t="s">
        <v>4016</v>
      </c>
      <c r="C1608" s="35" t="s">
        <v>720</v>
      </c>
      <c r="D1608" s="35" t="s">
        <v>741</v>
      </c>
      <c r="E1608" s="35" t="s">
        <v>742</v>
      </c>
      <c r="F1608" t="str" cm="1">
        <f t="array" ref="F1608">IFERROR(_xlfn.XLOOKUP(E1608,MapeoCargos!$A:$A,MapeoCargos!$B:$B,E1608),E1608)</f>
        <v>ALMACENERO(A)</v>
      </c>
      <c r="G1608" s="46">
        <v>45006</v>
      </c>
    </row>
    <row r="1609" spans="1:7" x14ac:dyDescent="0.2">
      <c r="A1609" s="27" t="s">
        <v>743</v>
      </c>
      <c r="B1609" s="35" t="s">
        <v>4016</v>
      </c>
      <c r="C1609" s="35" t="s">
        <v>720</v>
      </c>
      <c r="D1609" s="35" t="s">
        <v>744</v>
      </c>
      <c r="E1609" s="35" t="s">
        <v>745</v>
      </c>
      <c r="F1609" t="str" cm="1">
        <f t="array" ref="F1609">IFERROR(_xlfn.XLOOKUP(E1609,MapeoCargos!$A:$A,MapeoCargos!$B:$B,E1609),E1609)</f>
        <v>AYUDANTE DE PRODUCCION</v>
      </c>
      <c r="G1609" s="46">
        <v>45024</v>
      </c>
    </row>
    <row r="1610" spans="1:7" x14ac:dyDescent="0.2">
      <c r="A1610" s="27" t="s">
        <v>747</v>
      </c>
      <c r="B1610" s="35" t="s">
        <v>4016</v>
      </c>
      <c r="C1610" s="35" t="s">
        <v>707</v>
      </c>
      <c r="D1610" s="35" t="s">
        <v>748</v>
      </c>
      <c r="E1610" s="35" t="s">
        <v>712</v>
      </c>
      <c r="F1610" t="str" cm="1">
        <f t="array" ref="F1610">IFERROR(_xlfn.XLOOKUP(E1610,MapeoCargos!$A:$A,MapeoCargos!$B:$B,E1610),E1610)</f>
        <v>PANADERO</v>
      </c>
      <c r="G1610" s="46">
        <v>45034</v>
      </c>
    </row>
    <row r="1611" spans="1:7" x14ac:dyDescent="0.2">
      <c r="A1611" s="27" t="s">
        <v>749</v>
      </c>
      <c r="B1611" s="35" t="s">
        <v>4016</v>
      </c>
      <c r="C1611" s="35" t="s">
        <v>697</v>
      </c>
      <c r="D1611" s="35" t="s">
        <v>750</v>
      </c>
      <c r="E1611" s="35" t="s">
        <v>751</v>
      </c>
      <c r="F1611" t="str" cm="1">
        <f t="array" ref="F1611">IFERROR(_xlfn.XLOOKUP(E1611,MapeoCargos!$A:$A,MapeoCargos!$B:$B,E1611),E1611)</f>
        <v>ASISTENTE CONTABLE</v>
      </c>
      <c r="G1611" s="46">
        <v>45035</v>
      </c>
    </row>
    <row r="1612" spans="1:7" x14ac:dyDescent="0.2">
      <c r="A1612" s="27" t="s">
        <v>752</v>
      </c>
      <c r="B1612" s="35" t="s">
        <v>4016</v>
      </c>
      <c r="C1612" s="35" t="s">
        <v>4433</v>
      </c>
      <c r="D1612" s="35" t="s">
        <v>754</v>
      </c>
      <c r="E1612" s="35" t="s">
        <v>755</v>
      </c>
      <c r="F1612" t="str" cm="1">
        <f t="array" ref="F1612">IFERROR(_xlfn.XLOOKUP(E1612,MapeoCargos!$A:$A,MapeoCargos!$B:$B,E1612),E1612)</f>
        <v>COORDINADOR(A) DE CUENTAS</v>
      </c>
      <c r="G1612" s="46">
        <v>45047</v>
      </c>
    </row>
    <row r="1613" spans="1:7" x14ac:dyDescent="0.2">
      <c r="A1613" s="27" t="s">
        <v>756</v>
      </c>
      <c r="B1613" s="35" t="s">
        <v>4016</v>
      </c>
      <c r="C1613" s="35" t="s">
        <v>720</v>
      </c>
      <c r="D1613" s="35" t="s">
        <v>757</v>
      </c>
      <c r="E1613" s="35" t="s">
        <v>758</v>
      </c>
      <c r="F1613" t="str" cm="1">
        <f t="array" ref="F1613">IFERROR(_xlfn.XLOOKUP(E1613,MapeoCargos!$A:$A,MapeoCargos!$B:$B,E1613),E1613)</f>
        <v>PRODUCCIÓN / COCINA</v>
      </c>
      <c r="G1613" s="46">
        <v>45047</v>
      </c>
    </row>
    <row r="1614" spans="1:7" x14ac:dyDescent="0.2">
      <c r="A1614" s="27" t="s">
        <v>759</v>
      </c>
      <c r="B1614" s="35" t="s">
        <v>4016</v>
      </c>
      <c r="C1614" s="35" t="s">
        <v>697</v>
      </c>
      <c r="D1614" s="35" t="s">
        <v>760</v>
      </c>
      <c r="E1614" s="35" t="s">
        <v>761</v>
      </c>
      <c r="F1614" t="str" cm="1">
        <f t="array" ref="F1614">IFERROR(_xlfn.XLOOKUP(E1614,MapeoCargos!$A:$A,MapeoCargos!$B:$B,E1614),E1614)</f>
        <v>COORDINADOR(A) DE MARKETING</v>
      </c>
      <c r="G1614" s="46">
        <v>45047</v>
      </c>
    </row>
    <row r="1615" spans="1:7" x14ac:dyDescent="0.2">
      <c r="A1615" s="27" t="s">
        <v>762</v>
      </c>
      <c r="B1615" s="35" t="s">
        <v>4016</v>
      </c>
      <c r="C1615" s="35" t="s">
        <v>720</v>
      </c>
      <c r="D1615" s="35" t="s">
        <v>763</v>
      </c>
      <c r="E1615" s="35" t="s">
        <v>764</v>
      </c>
      <c r="F1615" t="str" cm="1">
        <f t="array" ref="F1615">IFERROR(_xlfn.XLOOKUP(E1615,MapeoCargos!$A:$A,MapeoCargos!$B:$B,E1615),E1615)</f>
        <v>CAPITAN DE MOZOS</v>
      </c>
      <c r="G1615" s="46">
        <v>45054</v>
      </c>
    </row>
    <row r="1616" spans="1:7" x14ac:dyDescent="0.2">
      <c r="A1616" s="27" t="s">
        <v>765</v>
      </c>
      <c r="B1616" s="35" t="s">
        <v>4016</v>
      </c>
      <c r="C1616" s="35" t="s">
        <v>720</v>
      </c>
      <c r="D1616" s="35" t="s">
        <v>766</v>
      </c>
      <c r="E1616" s="35" t="s">
        <v>745</v>
      </c>
      <c r="F1616" t="str" cm="1">
        <f t="array" ref="F1616">IFERROR(_xlfn.XLOOKUP(E1616,MapeoCargos!$A:$A,MapeoCargos!$B:$B,E1616),E1616)</f>
        <v>AYUDANTE DE PRODUCCION</v>
      </c>
      <c r="G1616" s="46">
        <v>45058</v>
      </c>
    </row>
    <row r="1617" spans="1:7" x14ac:dyDescent="0.2">
      <c r="A1617" s="27" t="s">
        <v>767</v>
      </c>
      <c r="B1617" s="35" t="s">
        <v>4016</v>
      </c>
      <c r="C1617" s="35" t="s">
        <v>720</v>
      </c>
      <c r="D1617" s="35" t="s">
        <v>768</v>
      </c>
      <c r="E1617" s="35" t="s">
        <v>29</v>
      </c>
      <c r="F1617" t="str" cm="1">
        <f t="array" ref="F1617">IFERROR(_xlfn.XLOOKUP(E1617,MapeoCargos!$A:$A,MapeoCargos!$B:$B,E1617),E1617)</f>
        <v>MOZO</v>
      </c>
      <c r="G1617" s="46">
        <v>45069</v>
      </c>
    </row>
    <row r="1618" spans="1:7" x14ac:dyDescent="0.2">
      <c r="A1618" s="27" t="s">
        <v>769</v>
      </c>
      <c r="B1618" s="35" t="s">
        <v>4016</v>
      </c>
      <c r="C1618" s="35" t="s">
        <v>697</v>
      </c>
      <c r="D1618" s="35" t="s">
        <v>770</v>
      </c>
      <c r="E1618" s="35" t="s">
        <v>771</v>
      </c>
      <c r="F1618" t="str" cm="1">
        <f t="array" ref="F1618">IFERROR(_xlfn.XLOOKUP(E1618,MapeoCargos!$A:$A,MapeoCargos!$B:$B,E1618),E1618)</f>
        <v>GERENTE GENERAL ADJUNTO</v>
      </c>
      <c r="G1618" s="46">
        <v>45078</v>
      </c>
    </row>
    <row r="1619" spans="1:7" x14ac:dyDescent="0.2">
      <c r="A1619" s="27" t="s">
        <v>772</v>
      </c>
      <c r="B1619" s="35" t="s">
        <v>4016</v>
      </c>
      <c r="C1619" s="35" t="s">
        <v>707</v>
      </c>
      <c r="D1619" s="35" t="s">
        <v>773</v>
      </c>
      <c r="E1619" s="35" t="s">
        <v>715</v>
      </c>
      <c r="F1619" t="str" cm="1">
        <f t="array" ref="F1619">IFERROR(_xlfn.XLOOKUP(E1619,MapeoCargos!$A:$A,MapeoCargos!$B:$B,E1619),E1619)</f>
        <v>PASTELERO(A)</v>
      </c>
      <c r="G1619" s="46">
        <v>45099</v>
      </c>
    </row>
    <row r="1620" spans="1:7" x14ac:dyDescent="0.2">
      <c r="A1620" s="27" t="s">
        <v>774</v>
      </c>
      <c r="B1620" s="35" t="s">
        <v>4016</v>
      </c>
      <c r="C1620" s="35" t="s">
        <v>720</v>
      </c>
      <c r="D1620" s="35" t="s">
        <v>775</v>
      </c>
      <c r="E1620" s="35" t="s">
        <v>764</v>
      </c>
      <c r="F1620" t="str" cm="1">
        <f t="array" ref="F1620">IFERROR(_xlfn.XLOOKUP(E1620,MapeoCargos!$A:$A,MapeoCargos!$B:$B,E1620),E1620)</f>
        <v>CAPITAN DE MOZOS</v>
      </c>
      <c r="G1620" s="46">
        <v>45112</v>
      </c>
    </row>
    <row r="1621" spans="1:7" x14ac:dyDescent="0.2">
      <c r="A1621" s="27" t="s">
        <v>776</v>
      </c>
      <c r="B1621" s="35" t="s">
        <v>4016</v>
      </c>
      <c r="C1621" s="35" t="s">
        <v>697</v>
      </c>
      <c r="D1621" s="35" t="s">
        <v>777</v>
      </c>
      <c r="E1621" s="35" t="s">
        <v>778</v>
      </c>
      <c r="F1621" t="str" cm="1">
        <f t="array" ref="F1621">IFERROR(_xlfn.XLOOKUP(E1621,MapeoCargos!$A:$A,MapeoCargos!$B:$B,E1621),E1621)</f>
        <v>EJECUTIVO(A) DE CUENTAS</v>
      </c>
      <c r="G1621" s="46">
        <v>45139</v>
      </c>
    </row>
    <row r="1622" spans="1:7" x14ac:dyDescent="0.2">
      <c r="A1622" s="27" t="s">
        <v>779</v>
      </c>
      <c r="B1622" s="35" t="s">
        <v>4016</v>
      </c>
      <c r="C1622" s="35" t="s">
        <v>697</v>
      </c>
      <c r="D1622" s="35" t="s">
        <v>780</v>
      </c>
      <c r="E1622" s="35" t="s">
        <v>781</v>
      </c>
      <c r="F1622" t="str" cm="1">
        <f t="array" ref="F1622">IFERROR(_xlfn.XLOOKUP(E1622,MapeoCargos!$A:$A,MapeoCargos!$B:$B,E1622),E1622)</f>
        <v>JEFE DE ALMACEN</v>
      </c>
      <c r="G1622" s="46">
        <v>45139</v>
      </c>
    </row>
    <row r="1623" spans="1:7" x14ac:dyDescent="0.2">
      <c r="A1623" s="27" t="s">
        <v>782</v>
      </c>
      <c r="B1623" s="35" t="s">
        <v>4016</v>
      </c>
      <c r="C1623" s="35" t="s">
        <v>720</v>
      </c>
      <c r="D1623" s="35" t="s">
        <v>783</v>
      </c>
      <c r="E1623" s="35" t="s">
        <v>127</v>
      </c>
      <c r="F1623" t="str" cm="1">
        <f t="array" ref="F1623">IFERROR(_xlfn.XLOOKUP(E1623,MapeoCargos!$A:$A,MapeoCargos!$B:$B,E1623),E1623)</f>
        <v>AZAFATA</v>
      </c>
      <c r="G1623" s="46">
        <v>45139</v>
      </c>
    </row>
    <row r="1624" spans="1:7" x14ac:dyDescent="0.2">
      <c r="A1624" s="27" t="s">
        <v>784</v>
      </c>
      <c r="B1624" s="35" t="s">
        <v>4016</v>
      </c>
      <c r="C1624" s="35" t="s">
        <v>720</v>
      </c>
      <c r="D1624" s="35" t="s">
        <v>785</v>
      </c>
      <c r="E1624" s="35" t="s">
        <v>786</v>
      </c>
      <c r="F1624" t="str" cm="1">
        <f t="array" ref="F1624">IFERROR(_xlfn.XLOOKUP(E1624,MapeoCargos!$A:$A,MapeoCargos!$B:$B,E1624),E1624)</f>
        <v>PRODUCCIÓN / COCINA</v>
      </c>
      <c r="G1624" s="46">
        <v>45139</v>
      </c>
    </row>
    <row r="1625" spans="1:7" x14ac:dyDescent="0.2">
      <c r="A1625" s="27" t="s">
        <v>787</v>
      </c>
      <c r="B1625" s="35" t="s">
        <v>4016</v>
      </c>
      <c r="C1625" s="35" t="s">
        <v>720</v>
      </c>
      <c r="D1625" s="35" t="s">
        <v>788</v>
      </c>
      <c r="E1625" s="35" t="s">
        <v>83</v>
      </c>
      <c r="F1625" t="str" cm="1">
        <f t="array" ref="F1625">IFERROR(_xlfn.XLOOKUP(E1625,MapeoCargos!$A:$A,MapeoCargos!$B:$B,E1625),E1625)</f>
        <v>PRODUCCIÓN / COCINA</v>
      </c>
      <c r="G1625" s="46">
        <v>45170</v>
      </c>
    </row>
    <row r="1626" spans="1:7" x14ac:dyDescent="0.2">
      <c r="A1626" s="27" t="s">
        <v>789</v>
      </c>
      <c r="B1626" s="35" t="s">
        <v>4016</v>
      </c>
      <c r="C1626" s="35" t="s">
        <v>720</v>
      </c>
      <c r="D1626" s="35" t="s">
        <v>790</v>
      </c>
      <c r="E1626" s="35" t="s">
        <v>180</v>
      </c>
      <c r="F1626" t="str" cm="1">
        <f t="array" ref="F1626">IFERROR(_xlfn.XLOOKUP(E1626,MapeoCargos!$A:$A,MapeoCargos!$B:$B,E1626),E1626)</f>
        <v>MANTENIMIENTO</v>
      </c>
      <c r="G1626" s="46">
        <v>45194</v>
      </c>
    </row>
    <row r="1627" spans="1:7" x14ac:dyDescent="0.2">
      <c r="A1627" s="27" t="s">
        <v>791</v>
      </c>
      <c r="B1627" s="35" t="s">
        <v>4016</v>
      </c>
      <c r="C1627" s="35" t="s">
        <v>697</v>
      </c>
      <c r="D1627" s="35" t="s">
        <v>792</v>
      </c>
      <c r="E1627" s="35" t="s">
        <v>89</v>
      </c>
      <c r="F1627" t="str" cm="1">
        <f t="array" ref="F1627">IFERROR(_xlfn.XLOOKUP(E1627,MapeoCargos!$A:$A,MapeoCargos!$B:$B,E1627),E1627)</f>
        <v>PRODUCCIÓN / COCINA</v>
      </c>
      <c r="G1627" s="46">
        <v>45200</v>
      </c>
    </row>
    <row r="1628" spans="1:7" x14ac:dyDescent="0.2">
      <c r="A1628" s="27" t="s">
        <v>795</v>
      </c>
      <c r="B1628" s="35" t="s">
        <v>4016</v>
      </c>
      <c r="C1628" s="35" t="s">
        <v>697</v>
      </c>
      <c r="D1628" s="35" t="s">
        <v>796</v>
      </c>
      <c r="E1628" s="35" t="s">
        <v>30</v>
      </c>
      <c r="F1628" t="str" cm="1">
        <f t="array" ref="F1628">IFERROR(_xlfn.XLOOKUP(E1628,MapeoCargos!$A:$A,MapeoCargos!$B:$B,E1628),E1628)</f>
        <v>STAFF ADMINISTRATIVO</v>
      </c>
      <c r="G1628" s="46">
        <v>45261</v>
      </c>
    </row>
    <row r="1629" spans="1:7" x14ac:dyDescent="0.2">
      <c r="A1629" s="27" t="s">
        <v>797</v>
      </c>
      <c r="B1629" s="35" t="s">
        <v>4016</v>
      </c>
      <c r="C1629" s="35" t="s">
        <v>720</v>
      </c>
      <c r="D1629" s="35" t="s">
        <v>798</v>
      </c>
      <c r="E1629" s="35" t="s">
        <v>29</v>
      </c>
      <c r="F1629" t="str" cm="1">
        <f t="array" ref="F1629">IFERROR(_xlfn.XLOOKUP(E1629,MapeoCargos!$A:$A,MapeoCargos!$B:$B,E1629),E1629)</f>
        <v>MOZO</v>
      </c>
      <c r="G1629" s="46">
        <v>45261</v>
      </c>
    </row>
    <row r="1630" spans="1:7" x14ac:dyDescent="0.2">
      <c r="A1630" s="27" t="s">
        <v>799</v>
      </c>
      <c r="B1630" s="35" t="s">
        <v>4016</v>
      </c>
      <c r="C1630" s="35" t="s">
        <v>720</v>
      </c>
      <c r="D1630" s="35" t="s">
        <v>800</v>
      </c>
      <c r="E1630" s="35" t="s">
        <v>606</v>
      </c>
      <c r="F1630" t="str" cm="1">
        <f t="array" ref="F1630">IFERROR(_xlfn.XLOOKUP(E1630,MapeoCargos!$A:$A,MapeoCargos!$B:$B,E1630),E1630)</f>
        <v>BAR</v>
      </c>
      <c r="G1630" s="46">
        <v>45278</v>
      </c>
    </row>
    <row r="1631" spans="1:7" x14ac:dyDescent="0.2">
      <c r="A1631" s="27" t="s">
        <v>801</v>
      </c>
      <c r="B1631" s="35" t="s">
        <v>4016</v>
      </c>
      <c r="C1631" s="35" t="s">
        <v>720</v>
      </c>
      <c r="D1631" s="35" t="s">
        <v>4031</v>
      </c>
      <c r="E1631" s="35" t="s">
        <v>746</v>
      </c>
      <c r="F1631" t="str" cm="1">
        <f t="array" ref="F1631">IFERROR(_xlfn.XLOOKUP(E1631,MapeoCargos!$A:$A,MapeoCargos!$B:$B,E1631),E1631)</f>
        <v>CORREDOR</v>
      </c>
      <c r="G1631" s="46">
        <v>45296</v>
      </c>
    </row>
    <row r="1632" spans="1:7" x14ac:dyDescent="0.2">
      <c r="A1632" s="27" t="s">
        <v>802</v>
      </c>
      <c r="B1632" s="35" t="s">
        <v>4016</v>
      </c>
      <c r="C1632" s="35" t="s">
        <v>720</v>
      </c>
      <c r="D1632" s="35" t="s">
        <v>803</v>
      </c>
      <c r="E1632" s="35" t="s">
        <v>606</v>
      </c>
      <c r="F1632" t="str" cm="1">
        <f t="array" ref="F1632">IFERROR(_xlfn.XLOOKUP(E1632,MapeoCargos!$A:$A,MapeoCargos!$B:$B,E1632),E1632)</f>
        <v>BAR</v>
      </c>
      <c r="G1632" s="46">
        <v>45292</v>
      </c>
    </row>
    <row r="1633" spans="1:7" x14ac:dyDescent="0.2">
      <c r="A1633" s="27" t="s">
        <v>804</v>
      </c>
      <c r="B1633" s="35" t="s">
        <v>4016</v>
      </c>
      <c r="C1633" s="35" t="s">
        <v>720</v>
      </c>
      <c r="D1633" s="35" t="s">
        <v>805</v>
      </c>
      <c r="E1633" s="35" t="s">
        <v>758</v>
      </c>
      <c r="F1633" t="str" cm="1">
        <f t="array" ref="F1633">IFERROR(_xlfn.XLOOKUP(E1633,MapeoCargos!$A:$A,MapeoCargos!$B:$B,E1633),E1633)</f>
        <v>PRODUCCIÓN / COCINA</v>
      </c>
      <c r="G1633" s="46">
        <v>45323</v>
      </c>
    </row>
    <row r="1634" spans="1:7" x14ac:dyDescent="0.2">
      <c r="A1634" s="27" t="s">
        <v>806</v>
      </c>
      <c r="B1634" s="35" t="s">
        <v>4016</v>
      </c>
      <c r="C1634" s="35" t="s">
        <v>720</v>
      </c>
      <c r="D1634" s="35" t="s">
        <v>807</v>
      </c>
      <c r="E1634" s="35" t="s">
        <v>89</v>
      </c>
      <c r="F1634" t="str" cm="1">
        <f t="array" ref="F1634">IFERROR(_xlfn.XLOOKUP(E1634,MapeoCargos!$A:$A,MapeoCargos!$B:$B,E1634),E1634)</f>
        <v>PRODUCCIÓN / COCINA</v>
      </c>
      <c r="G1634" s="46">
        <v>45341</v>
      </c>
    </row>
    <row r="1635" spans="1:7" x14ac:dyDescent="0.2">
      <c r="A1635" s="27" t="s">
        <v>808</v>
      </c>
      <c r="B1635" s="35" t="s">
        <v>4016</v>
      </c>
      <c r="C1635" s="35" t="s">
        <v>720</v>
      </c>
      <c r="D1635" s="35" t="s">
        <v>809</v>
      </c>
      <c r="E1635" s="35" t="s">
        <v>200</v>
      </c>
      <c r="F1635" t="str" cm="1">
        <f t="array" ref="F1635">IFERROR(_xlfn.XLOOKUP(E1635,MapeoCargos!$A:$A,MapeoCargos!$B:$B,E1635),E1635)</f>
        <v>SEGURIDAD</v>
      </c>
      <c r="G1635" s="46">
        <v>45352</v>
      </c>
    </row>
    <row r="1636" spans="1:7" x14ac:dyDescent="0.2">
      <c r="A1636" s="27" t="s">
        <v>810</v>
      </c>
      <c r="B1636" s="35" t="s">
        <v>4016</v>
      </c>
      <c r="C1636" s="35" t="s">
        <v>720</v>
      </c>
      <c r="D1636" s="35" t="s">
        <v>811</v>
      </c>
      <c r="E1636" s="35" t="s">
        <v>180</v>
      </c>
      <c r="F1636" t="str" cm="1">
        <f t="array" ref="F1636">IFERROR(_xlfn.XLOOKUP(E1636,MapeoCargos!$A:$A,MapeoCargos!$B:$B,E1636),E1636)</f>
        <v>MANTENIMIENTO</v>
      </c>
      <c r="G1636" s="46">
        <v>45366</v>
      </c>
    </row>
    <row r="1637" spans="1:7" x14ac:dyDescent="0.2">
      <c r="A1637" s="27" t="s">
        <v>812</v>
      </c>
      <c r="B1637" s="35" t="s">
        <v>4016</v>
      </c>
      <c r="C1637" s="35" t="s">
        <v>720</v>
      </c>
      <c r="D1637" s="35" t="s">
        <v>813</v>
      </c>
      <c r="E1637" s="35" t="s">
        <v>606</v>
      </c>
      <c r="F1637" t="str" cm="1">
        <f t="array" ref="F1637">IFERROR(_xlfn.XLOOKUP(E1637,MapeoCargos!$A:$A,MapeoCargos!$B:$B,E1637),E1637)</f>
        <v>BAR</v>
      </c>
      <c r="G1637" s="46">
        <v>45369</v>
      </c>
    </row>
    <row r="1638" spans="1:7" x14ac:dyDescent="0.2">
      <c r="A1638" s="27" t="s">
        <v>814</v>
      </c>
      <c r="B1638" s="35" t="s">
        <v>4016</v>
      </c>
      <c r="C1638" s="35" t="s">
        <v>720</v>
      </c>
      <c r="D1638" s="35" t="s">
        <v>815</v>
      </c>
      <c r="E1638" s="35" t="s">
        <v>89</v>
      </c>
      <c r="F1638" t="str" cm="1">
        <f t="array" ref="F1638">IFERROR(_xlfn.XLOOKUP(E1638,MapeoCargos!$A:$A,MapeoCargos!$B:$B,E1638),E1638)</f>
        <v>PRODUCCIÓN / COCINA</v>
      </c>
      <c r="G1638" s="46">
        <v>45376</v>
      </c>
    </row>
    <row r="1639" spans="1:7" x14ac:dyDescent="0.2">
      <c r="A1639" s="27" t="s">
        <v>816</v>
      </c>
      <c r="B1639" s="35" t="s">
        <v>4016</v>
      </c>
      <c r="C1639" s="35" t="s">
        <v>720</v>
      </c>
      <c r="D1639" s="35" t="s">
        <v>817</v>
      </c>
      <c r="E1639" s="35" t="s">
        <v>29</v>
      </c>
      <c r="F1639" t="str" cm="1">
        <f t="array" ref="F1639">IFERROR(_xlfn.XLOOKUP(E1639,MapeoCargos!$A:$A,MapeoCargos!$B:$B,E1639),E1639)</f>
        <v>MOZO</v>
      </c>
      <c r="G1639" s="46">
        <v>45376</v>
      </c>
    </row>
    <row r="1640" spans="1:7" x14ac:dyDescent="0.2">
      <c r="A1640" s="27" t="s">
        <v>818</v>
      </c>
      <c r="B1640" s="35" t="s">
        <v>4016</v>
      </c>
      <c r="C1640" s="35" t="s">
        <v>697</v>
      </c>
      <c r="D1640" s="35" t="s">
        <v>819</v>
      </c>
      <c r="E1640" s="35" t="s">
        <v>722</v>
      </c>
      <c r="F1640" t="str" cm="1">
        <f t="array" ref="F1640">IFERROR(_xlfn.XLOOKUP(E1640,MapeoCargos!$A:$A,MapeoCargos!$B:$B,E1640),E1640)</f>
        <v>COORDINADOR(A) DE EVENTOS</v>
      </c>
      <c r="G1640" s="46">
        <v>45390</v>
      </c>
    </row>
    <row r="1641" spans="1:7" x14ac:dyDescent="0.2">
      <c r="A1641" s="27" t="s">
        <v>820</v>
      </c>
      <c r="B1641" s="35" t="s">
        <v>4016</v>
      </c>
      <c r="C1641" s="35" t="s">
        <v>720</v>
      </c>
      <c r="D1641" s="35" t="s">
        <v>821</v>
      </c>
      <c r="E1641" s="35" t="s">
        <v>167</v>
      </c>
      <c r="F1641" t="str" cm="1">
        <f t="array" ref="F1641">IFERROR(_xlfn.XLOOKUP(E1641,MapeoCargos!$A:$A,MapeoCargos!$B:$B,E1641),E1641)</f>
        <v xml:space="preserve">ANFITRIONAJE </v>
      </c>
      <c r="G1641" s="46">
        <v>45397</v>
      </c>
    </row>
    <row r="1642" spans="1:7" x14ac:dyDescent="0.2">
      <c r="A1642" s="27" t="s">
        <v>822</v>
      </c>
      <c r="B1642" s="35" t="s">
        <v>4016</v>
      </c>
      <c r="C1642" s="35" t="s">
        <v>720</v>
      </c>
      <c r="D1642" s="35" t="s">
        <v>823</v>
      </c>
      <c r="E1642" s="35" t="s">
        <v>83</v>
      </c>
      <c r="F1642" t="str" cm="1">
        <f t="array" ref="F1642">IFERROR(_xlfn.XLOOKUP(E1642,MapeoCargos!$A:$A,MapeoCargos!$B:$B,E1642),E1642)</f>
        <v>PRODUCCIÓN / COCINA</v>
      </c>
      <c r="G1642" s="46">
        <v>45397</v>
      </c>
    </row>
    <row r="1643" spans="1:7" x14ac:dyDescent="0.2">
      <c r="A1643" s="27" t="s">
        <v>824</v>
      </c>
      <c r="B1643" s="35" t="s">
        <v>4016</v>
      </c>
      <c r="C1643" s="35" t="s">
        <v>720</v>
      </c>
      <c r="D1643" s="35" t="s">
        <v>4032</v>
      </c>
      <c r="E1643" s="35" t="s">
        <v>89</v>
      </c>
      <c r="F1643" t="str" cm="1">
        <f t="array" ref="F1643">IFERROR(_xlfn.XLOOKUP(E1643,MapeoCargos!$A:$A,MapeoCargos!$B:$B,E1643),E1643)</f>
        <v>PRODUCCIÓN / COCINA</v>
      </c>
      <c r="G1643" s="46">
        <v>45397</v>
      </c>
    </row>
    <row r="1644" spans="1:7" x14ac:dyDescent="0.2">
      <c r="A1644" s="27" t="s">
        <v>825</v>
      </c>
      <c r="B1644" s="35" t="s">
        <v>4016</v>
      </c>
      <c r="C1644" s="35" t="s">
        <v>720</v>
      </c>
      <c r="D1644" s="35" t="s">
        <v>826</v>
      </c>
      <c r="E1644" s="35" t="s">
        <v>29</v>
      </c>
      <c r="F1644" t="str" cm="1">
        <f t="array" ref="F1644">IFERROR(_xlfn.XLOOKUP(E1644,MapeoCargos!$A:$A,MapeoCargos!$B:$B,E1644),E1644)</f>
        <v>MOZO</v>
      </c>
      <c r="G1644" s="46">
        <v>45413</v>
      </c>
    </row>
    <row r="1645" spans="1:7" x14ac:dyDescent="0.2">
      <c r="A1645" s="27" t="s">
        <v>827</v>
      </c>
      <c r="B1645" s="35" t="s">
        <v>4016</v>
      </c>
      <c r="C1645" s="35" t="s">
        <v>720</v>
      </c>
      <c r="D1645" s="35" t="s">
        <v>828</v>
      </c>
      <c r="E1645" s="35" t="s">
        <v>89</v>
      </c>
      <c r="F1645" t="str" cm="1">
        <f t="array" ref="F1645">IFERROR(_xlfn.XLOOKUP(E1645,MapeoCargos!$A:$A,MapeoCargos!$B:$B,E1645),E1645)</f>
        <v>PRODUCCIÓN / COCINA</v>
      </c>
      <c r="G1645" s="46">
        <v>45452</v>
      </c>
    </row>
    <row r="1646" spans="1:7" x14ac:dyDescent="0.2">
      <c r="A1646" s="27" t="s">
        <v>829</v>
      </c>
      <c r="B1646" s="35" t="s">
        <v>4016</v>
      </c>
      <c r="C1646" s="35" t="s">
        <v>720</v>
      </c>
      <c r="D1646" s="35" t="s">
        <v>830</v>
      </c>
      <c r="E1646" s="35" t="s">
        <v>83</v>
      </c>
      <c r="F1646" t="str" cm="1">
        <f t="array" ref="F1646">IFERROR(_xlfn.XLOOKUP(E1646,MapeoCargos!$A:$A,MapeoCargos!$B:$B,E1646),E1646)</f>
        <v>PRODUCCIÓN / COCINA</v>
      </c>
      <c r="G1646" s="46">
        <v>45474</v>
      </c>
    </row>
    <row r="1647" spans="1:7" x14ac:dyDescent="0.2">
      <c r="A1647" s="27" t="s">
        <v>831</v>
      </c>
      <c r="B1647" s="35" t="s">
        <v>4016</v>
      </c>
      <c r="C1647" s="35" t="s">
        <v>720</v>
      </c>
      <c r="D1647" s="35" t="s">
        <v>4033</v>
      </c>
      <c r="E1647" s="35" t="s">
        <v>606</v>
      </c>
      <c r="F1647" t="str" cm="1">
        <f t="array" ref="F1647">IFERROR(_xlfn.XLOOKUP(E1647,MapeoCargos!$A:$A,MapeoCargos!$B:$B,E1647),E1647)</f>
        <v>BAR</v>
      </c>
      <c r="G1647" s="46">
        <v>45474</v>
      </c>
    </row>
    <row r="1648" spans="1:7" x14ac:dyDescent="0.2">
      <c r="A1648" s="27" t="s">
        <v>832</v>
      </c>
      <c r="B1648" s="35" t="s">
        <v>4016</v>
      </c>
      <c r="C1648" s="35" t="s">
        <v>720</v>
      </c>
      <c r="D1648" s="35" t="s">
        <v>833</v>
      </c>
      <c r="E1648" s="35" t="s">
        <v>89</v>
      </c>
      <c r="F1648" t="str" cm="1">
        <f t="array" ref="F1648">IFERROR(_xlfn.XLOOKUP(E1648,MapeoCargos!$A:$A,MapeoCargos!$B:$B,E1648),E1648)</f>
        <v>PRODUCCIÓN / COCINA</v>
      </c>
      <c r="G1648" s="46">
        <v>45478</v>
      </c>
    </row>
    <row r="1649" spans="1:7" x14ac:dyDescent="0.2">
      <c r="A1649" s="27" t="s">
        <v>834</v>
      </c>
      <c r="B1649" s="35" t="s">
        <v>4016</v>
      </c>
      <c r="C1649" s="35" t="s">
        <v>720</v>
      </c>
      <c r="D1649" s="35" t="s">
        <v>835</v>
      </c>
      <c r="E1649" s="35" t="s">
        <v>836</v>
      </c>
      <c r="F1649" t="str" cm="1">
        <f t="array" ref="F1649">IFERROR(_xlfn.XLOOKUP(E1649,MapeoCargos!$A:$A,MapeoCargos!$B:$B,E1649),E1649)</f>
        <v>SOMMELIER</v>
      </c>
      <c r="G1649" s="46">
        <v>45499</v>
      </c>
    </row>
    <row r="1650" spans="1:7" x14ac:dyDescent="0.2">
      <c r="A1650" s="27" t="s">
        <v>837</v>
      </c>
      <c r="B1650" s="35" t="s">
        <v>4016</v>
      </c>
      <c r="C1650" s="35" t="s">
        <v>720</v>
      </c>
      <c r="D1650" s="35" t="s">
        <v>4034</v>
      </c>
      <c r="E1650" s="35" t="s">
        <v>305</v>
      </c>
      <c r="F1650" t="str" cm="1">
        <f t="array" ref="F1650">IFERROR(_xlfn.XLOOKUP(E1650,MapeoCargos!$A:$A,MapeoCargos!$B:$B,E1650),E1650)</f>
        <v>LIMPIEZA / MANTENIMIENTO</v>
      </c>
      <c r="G1650" s="46">
        <v>45505</v>
      </c>
    </row>
    <row r="1651" spans="1:7" x14ac:dyDescent="0.2">
      <c r="A1651" s="27" t="s">
        <v>838</v>
      </c>
      <c r="B1651" s="35" t="s">
        <v>4016</v>
      </c>
      <c r="C1651" s="35" t="s">
        <v>720</v>
      </c>
      <c r="D1651" s="35" t="s">
        <v>839</v>
      </c>
      <c r="E1651" s="35" t="s">
        <v>840</v>
      </c>
      <c r="F1651" t="str" cm="1">
        <f t="array" ref="F1651">IFERROR(_xlfn.XLOOKUP(E1651,MapeoCargos!$A:$A,MapeoCargos!$B:$B,E1651),E1651)</f>
        <v>PLANCHERO</v>
      </c>
      <c r="G1651" s="46">
        <v>45516</v>
      </c>
    </row>
    <row r="1652" spans="1:7" x14ac:dyDescent="0.2">
      <c r="A1652" s="27" t="s">
        <v>841</v>
      </c>
      <c r="B1652" s="35" t="s">
        <v>4016</v>
      </c>
      <c r="C1652" s="35" t="s">
        <v>720</v>
      </c>
      <c r="D1652" s="35" t="s">
        <v>842</v>
      </c>
      <c r="E1652" s="35" t="s">
        <v>758</v>
      </c>
      <c r="F1652" t="str" cm="1">
        <f t="array" ref="F1652">IFERROR(_xlfn.XLOOKUP(E1652,MapeoCargos!$A:$A,MapeoCargos!$B:$B,E1652),E1652)</f>
        <v>PRODUCCIÓN / COCINA</v>
      </c>
      <c r="G1652" s="46">
        <v>45523</v>
      </c>
    </row>
    <row r="1653" spans="1:7" x14ac:dyDescent="0.2">
      <c r="A1653" s="27" t="s">
        <v>843</v>
      </c>
      <c r="B1653" s="35" t="s">
        <v>4016</v>
      </c>
      <c r="C1653" s="35" t="s">
        <v>720</v>
      </c>
      <c r="D1653" s="35" t="s">
        <v>4035</v>
      </c>
      <c r="E1653" s="35" t="s">
        <v>844</v>
      </c>
      <c r="F1653" t="str" cm="1">
        <f t="array" ref="F1653">IFERROR(_xlfn.XLOOKUP(E1653,MapeoCargos!$A:$A,MapeoCargos!$B:$B,E1653),E1653)</f>
        <v xml:space="preserve">CAJA </v>
      </c>
      <c r="G1653" s="46">
        <v>45536</v>
      </c>
    </row>
    <row r="1654" spans="1:7" x14ac:dyDescent="0.2">
      <c r="A1654" s="27" t="s">
        <v>845</v>
      </c>
      <c r="B1654" s="35" t="s">
        <v>4016</v>
      </c>
      <c r="C1654" s="35" t="s">
        <v>720</v>
      </c>
      <c r="D1654" s="35" t="s">
        <v>846</v>
      </c>
      <c r="E1654" s="35" t="s">
        <v>746</v>
      </c>
      <c r="F1654" t="str" cm="1">
        <f t="array" ref="F1654">IFERROR(_xlfn.XLOOKUP(E1654,MapeoCargos!$A:$A,MapeoCargos!$B:$B,E1654),E1654)</f>
        <v>CORREDOR</v>
      </c>
      <c r="G1654" s="46">
        <v>45536</v>
      </c>
    </row>
    <row r="1655" spans="1:7" x14ac:dyDescent="0.2">
      <c r="A1655" s="27" t="s">
        <v>847</v>
      </c>
      <c r="B1655" s="35" t="s">
        <v>4016</v>
      </c>
      <c r="C1655" s="35" t="s">
        <v>720</v>
      </c>
      <c r="D1655" s="35" t="s">
        <v>4036</v>
      </c>
      <c r="E1655" s="35" t="s">
        <v>96</v>
      </c>
      <c r="F1655" t="str" cm="1">
        <f t="array" ref="F1655">IFERROR(_xlfn.XLOOKUP(E1655,MapeoCargos!$A:$A,MapeoCargos!$B:$B,E1655),E1655)</f>
        <v>VAJILLERO(A)</v>
      </c>
      <c r="G1655" s="46">
        <v>45544</v>
      </c>
    </row>
    <row r="1656" spans="1:7" x14ac:dyDescent="0.2">
      <c r="A1656" s="27" t="s">
        <v>848</v>
      </c>
      <c r="B1656" s="35" t="s">
        <v>4016</v>
      </c>
      <c r="C1656" s="35" t="s">
        <v>720</v>
      </c>
      <c r="D1656" s="35" t="s">
        <v>849</v>
      </c>
      <c r="E1656" s="35" t="s">
        <v>96</v>
      </c>
      <c r="F1656" t="str" cm="1">
        <f t="array" ref="F1656">IFERROR(_xlfn.XLOOKUP(E1656,MapeoCargos!$A:$A,MapeoCargos!$B:$B,E1656),E1656)</f>
        <v>VAJILLERO(A)</v>
      </c>
      <c r="G1656" s="46">
        <v>45544</v>
      </c>
    </row>
    <row r="1657" spans="1:7" x14ac:dyDescent="0.2">
      <c r="A1657" s="27" t="s">
        <v>850</v>
      </c>
      <c r="B1657" s="35" t="s">
        <v>4016</v>
      </c>
      <c r="C1657" s="35" t="s">
        <v>697</v>
      </c>
      <c r="D1657" s="35" t="s">
        <v>851</v>
      </c>
      <c r="E1657" s="35" t="s">
        <v>852</v>
      </c>
      <c r="F1657" t="str" cm="1">
        <f t="array" ref="F1657">IFERROR(_xlfn.XLOOKUP(E1657,MapeoCargos!$A:$A,MapeoCargos!$B:$B,E1657),E1657)</f>
        <v>COORDINADOR(A) DE COSTOS Y COMPRAS</v>
      </c>
      <c r="G1657" s="46">
        <v>45551</v>
      </c>
    </row>
    <row r="1658" spans="1:7" x14ac:dyDescent="0.2">
      <c r="A1658" s="27" t="s">
        <v>856</v>
      </c>
      <c r="B1658" s="35" t="s">
        <v>4016</v>
      </c>
      <c r="C1658" s="35" t="s">
        <v>720</v>
      </c>
      <c r="D1658" s="35" t="s">
        <v>857</v>
      </c>
      <c r="E1658" s="35" t="s">
        <v>606</v>
      </c>
      <c r="F1658" t="str" cm="1">
        <f t="array" ref="F1658">IFERROR(_xlfn.XLOOKUP(E1658,MapeoCargos!$A:$A,MapeoCargos!$B:$B,E1658),E1658)</f>
        <v>BAR</v>
      </c>
      <c r="G1658" s="46">
        <v>45572</v>
      </c>
    </row>
    <row r="1659" spans="1:7" x14ac:dyDescent="0.2">
      <c r="A1659" s="27" t="s">
        <v>858</v>
      </c>
      <c r="B1659" s="35" t="s">
        <v>4016</v>
      </c>
      <c r="C1659" s="35" t="s">
        <v>720</v>
      </c>
      <c r="D1659" s="35" t="s">
        <v>859</v>
      </c>
      <c r="E1659" s="35" t="s">
        <v>29</v>
      </c>
      <c r="F1659" t="str" cm="1">
        <f t="array" ref="F1659">IFERROR(_xlfn.XLOOKUP(E1659,MapeoCargos!$A:$A,MapeoCargos!$B:$B,E1659),E1659)</f>
        <v>MOZO</v>
      </c>
      <c r="G1659" s="46">
        <v>45586</v>
      </c>
    </row>
    <row r="1660" spans="1:7" x14ac:dyDescent="0.2">
      <c r="A1660" s="27" t="s">
        <v>860</v>
      </c>
      <c r="B1660" s="35" t="s">
        <v>4016</v>
      </c>
      <c r="C1660" s="35" t="s">
        <v>753</v>
      </c>
      <c r="D1660" s="35" t="s">
        <v>861</v>
      </c>
      <c r="E1660" s="35" t="s">
        <v>715</v>
      </c>
      <c r="F1660" t="str" cm="1">
        <f t="array" ref="F1660">IFERROR(_xlfn.XLOOKUP(E1660,MapeoCargos!$A:$A,MapeoCargos!$B:$B,E1660),E1660)</f>
        <v>PASTELERO(A)</v>
      </c>
      <c r="G1660" s="46">
        <v>45586</v>
      </c>
    </row>
    <row r="1661" spans="1:7" x14ac:dyDescent="0.2">
      <c r="A1661" s="27" t="s">
        <v>862</v>
      </c>
      <c r="B1661" s="35" t="s">
        <v>4016</v>
      </c>
      <c r="C1661" s="35" t="s">
        <v>720</v>
      </c>
      <c r="D1661" s="35" t="s">
        <v>863</v>
      </c>
      <c r="E1661" s="35" t="s">
        <v>606</v>
      </c>
      <c r="F1661" t="str" cm="1">
        <f t="array" ref="F1661">IFERROR(_xlfn.XLOOKUP(E1661,MapeoCargos!$A:$A,MapeoCargos!$B:$B,E1661),E1661)</f>
        <v>BAR</v>
      </c>
      <c r="G1661" s="46">
        <v>45586</v>
      </c>
    </row>
    <row r="1662" spans="1:7" x14ac:dyDescent="0.2">
      <c r="A1662" s="27" t="s">
        <v>864</v>
      </c>
      <c r="B1662" s="35" t="s">
        <v>4016</v>
      </c>
      <c r="C1662" s="35" t="s">
        <v>720</v>
      </c>
      <c r="D1662" s="35" t="s">
        <v>865</v>
      </c>
      <c r="E1662" s="35" t="s">
        <v>167</v>
      </c>
      <c r="F1662" t="str" cm="1">
        <f t="array" ref="F1662">IFERROR(_xlfn.XLOOKUP(E1662,MapeoCargos!$A:$A,MapeoCargos!$B:$B,E1662),E1662)</f>
        <v xml:space="preserve">ANFITRIONAJE </v>
      </c>
      <c r="G1662" s="46">
        <v>45597</v>
      </c>
    </row>
    <row r="1663" spans="1:7" x14ac:dyDescent="0.2">
      <c r="A1663" s="27" t="s">
        <v>866</v>
      </c>
      <c r="B1663" s="35" t="s">
        <v>4016</v>
      </c>
      <c r="C1663" s="35" t="s">
        <v>720</v>
      </c>
      <c r="D1663" s="35" t="s">
        <v>867</v>
      </c>
      <c r="E1663" s="35" t="s">
        <v>742</v>
      </c>
      <c r="F1663" t="str" cm="1">
        <f t="array" ref="F1663">IFERROR(_xlfn.XLOOKUP(E1663,MapeoCargos!$A:$A,MapeoCargos!$B:$B,E1663),E1663)</f>
        <v>ALMACENERO(A)</v>
      </c>
      <c r="G1663" s="46">
        <v>45614</v>
      </c>
    </row>
    <row r="1664" spans="1:7" x14ac:dyDescent="0.2">
      <c r="A1664" s="27" t="s">
        <v>868</v>
      </c>
      <c r="B1664" s="35" t="s">
        <v>4016</v>
      </c>
      <c r="C1664" s="35" t="s">
        <v>753</v>
      </c>
      <c r="D1664" s="35" t="s">
        <v>869</v>
      </c>
      <c r="E1664" s="35" t="s">
        <v>840</v>
      </c>
      <c r="F1664" t="str" cm="1">
        <f t="array" ref="F1664">IFERROR(_xlfn.XLOOKUP(E1664,MapeoCargos!$A:$A,MapeoCargos!$B:$B,E1664),E1664)</f>
        <v>PLANCHERO</v>
      </c>
      <c r="G1664" s="46">
        <v>45627</v>
      </c>
    </row>
    <row r="1665" spans="1:7" x14ac:dyDescent="0.2">
      <c r="A1665" s="27" t="s">
        <v>870</v>
      </c>
      <c r="B1665" s="35" t="s">
        <v>4016</v>
      </c>
      <c r="C1665" s="35" t="s">
        <v>720</v>
      </c>
      <c r="D1665" s="35" t="s">
        <v>871</v>
      </c>
      <c r="E1665" s="35" t="s">
        <v>746</v>
      </c>
      <c r="F1665" t="str" cm="1">
        <f t="array" ref="F1665">IFERROR(_xlfn.XLOOKUP(E1665,MapeoCargos!$A:$A,MapeoCargos!$B:$B,E1665),E1665)</f>
        <v>CORREDOR</v>
      </c>
      <c r="G1665" s="46">
        <v>45649</v>
      </c>
    </row>
    <row r="1666" spans="1:7" x14ac:dyDescent="0.2">
      <c r="A1666" s="27" t="s">
        <v>872</v>
      </c>
      <c r="B1666" s="35" t="s">
        <v>4016</v>
      </c>
      <c r="C1666" s="35" t="s">
        <v>753</v>
      </c>
      <c r="D1666" s="35" t="s">
        <v>873</v>
      </c>
      <c r="E1666" s="35" t="s">
        <v>86</v>
      </c>
      <c r="F1666" t="str" cm="1">
        <f t="array" ref="F1666">IFERROR(_xlfn.XLOOKUP(E1666,MapeoCargos!$A:$A,MapeoCargos!$B:$B,E1666),E1666)</f>
        <v>ASISTENTE ADM.</v>
      </c>
      <c r="G1666" s="46">
        <v>45658</v>
      </c>
    </row>
    <row r="1667" spans="1:7" x14ac:dyDescent="0.2">
      <c r="A1667" s="27" t="s">
        <v>874</v>
      </c>
      <c r="B1667" s="35" t="s">
        <v>4016</v>
      </c>
      <c r="C1667" s="35" t="s">
        <v>720</v>
      </c>
      <c r="D1667" s="35" t="s">
        <v>875</v>
      </c>
      <c r="E1667" s="35" t="s">
        <v>606</v>
      </c>
      <c r="F1667" t="str" cm="1">
        <f t="array" ref="F1667">IFERROR(_xlfn.XLOOKUP(E1667,MapeoCargos!$A:$A,MapeoCargos!$B:$B,E1667),E1667)</f>
        <v>BAR</v>
      </c>
      <c r="G1667" s="46">
        <v>45658</v>
      </c>
    </row>
    <row r="1668" spans="1:7" x14ac:dyDescent="0.2">
      <c r="A1668" s="27" t="s">
        <v>876</v>
      </c>
      <c r="B1668" s="35" t="s">
        <v>4016</v>
      </c>
      <c r="C1668" s="35" t="s">
        <v>720</v>
      </c>
      <c r="D1668" s="35" t="s">
        <v>877</v>
      </c>
      <c r="E1668" s="35" t="s">
        <v>29</v>
      </c>
      <c r="F1668" t="str" cm="1">
        <f t="array" ref="F1668">IFERROR(_xlfn.XLOOKUP(E1668,MapeoCargos!$A:$A,MapeoCargos!$B:$B,E1668),E1668)</f>
        <v>MOZO</v>
      </c>
      <c r="G1668" s="46">
        <v>45658</v>
      </c>
    </row>
    <row r="1669" spans="1:7" x14ac:dyDescent="0.2">
      <c r="A1669" s="27" t="s">
        <v>878</v>
      </c>
      <c r="B1669" s="35" t="s">
        <v>4016</v>
      </c>
      <c r="C1669" s="35" t="s">
        <v>720</v>
      </c>
      <c r="D1669" s="35" t="s">
        <v>879</v>
      </c>
      <c r="E1669" s="35" t="s">
        <v>746</v>
      </c>
      <c r="F1669" t="str" cm="1">
        <f t="array" ref="F1669">IFERROR(_xlfn.XLOOKUP(E1669,MapeoCargos!$A:$A,MapeoCargos!$B:$B,E1669),E1669)</f>
        <v>CORREDOR</v>
      </c>
      <c r="G1669" s="46">
        <v>45658</v>
      </c>
    </row>
    <row r="1670" spans="1:7" x14ac:dyDescent="0.2">
      <c r="A1670" s="27" t="s">
        <v>880</v>
      </c>
      <c r="B1670" s="35" t="s">
        <v>4016</v>
      </c>
      <c r="C1670" s="35" t="s">
        <v>753</v>
      </c>
      <c r="D1670" s="35" t="s">
        <v>881</v>
      </c>
      <c r="E1670" s="35" t="s">
        <v>305</v>
      </c>
      <c r="F1670" t="str" cm="1">
        <f t="array" ref="F1670">IFERROR(_xlfn.XLOOKUP(E1670,MapeoCargos!$A:$A,MapeoCargos!$B:$B,E1670),E1670)</f>
        <v>LIMPIEZA / MANTENIMIENTO</v>
      </c>
      <c r="G1670" s="46">
        <v>45663</v>
      </c>
    </row>
    <row r="1671" spans="1:7" x14ac:dyDescent="0.2">
      <c r="A1671" s="27" t="s">
        <v>882</v>
      </c>
      <c r="B1671" s="35" t="s">
        <v>4016</v>
      </c>
      <c r="C1671" s="35" t="s">
        <v>720</v>
      </c>
      <c r="D1671" s="35" t="s">
        <v>883</v>
      </c>
      <c r="E1671" s="35" t="s">
        <v>83</v>
      </c>
      <c r="F1671" t="str" cm="1">
        <f t="array" ref="F1671">IFERROR(_xlfn.XLOOKUP(E1671,MapeoCargos!$A:$A,MapeoCargos!$B:$B,E1671),E1671)</f>
        <v>PRODUCCIÓN / COCINA</v>
      </c>
      <c r="G1671" s="46">
        <v>45670</v>
      </c>
    </row>
    <row r="1672" spans="1:7" x14ac:dyDescent="0.2">
      <c r="A1672" s="27" t="s">
        <v>884</v>
      </c>
      <c r="B1672" s="35" t="s">
        <v>4016</v>
      </c>
      <c r="C1672" s="35" t="s">
        <v>720</v>
      </c>
      <c r="D1672" s="35" t="s">
        <v>885</v>
      </c>
      <c r="E1672" s="35" t="s">
        <v>89</v>
      </c>
      <c r="F1672" t="str" cm="1">
        <f t="array" ref="F1672">IFERROR(_xlfn.XLOOKUP(E1672,MapeoCargos!$A:$A,MapeoCargos!$B:$B,E1672),E1672)</f>
        <v>PRODUCCIÓN / COCINA</v>
      </c>
      <c r="G1672" s="46">
        <v>45670</v>
      </c>
    </row>
    <row r="1673" spans="1:7" x14ac:dyDescent="0.2">
      <c r="A1673" s="27" t="s">
        <v>886</v>
      </c>
      <c r="B1673" s="35" t="s">
        <v>4016</v>
      </c>
      <c r="C1673" s="35" t="s">
        <v>753</v>
      </c>
      <c r="D1673" s="35" t="s">
        <v>887</v>
      </c>
      <c r="E1673" s="35" t="s">
        <v>888</v>
      </c>
      <c r="F1673" t="str" cm="1">
        <f t="array" ref="F1673">IFERROR(_xlfn.XLOOKUP(E1673,MapeoCargos!$A:$A,MapeoCargos!$B:$B,E1673),E1673)</f>
        <v>AYUDANTE DE PASTELERIA</v>
      </c>
      <c r="G1673" s="46">
        <v>45670</v>
      </c>
    </row>
    <row r="1674" spans="1:7" x14ac:dyDescent="0.2">
      <c r="A1674" s="27" t="s">
        <v>889</v>
      </c>
      <c r="B1674" s="35" t="s">
        <v>4016</v>
      </c>
      <c r="C1674" s="35" t="s">
        <v>720</v>
      </c>
      <c r="D1674" s="35" t="s">
        <v>890</v>
      </c>
      <c r="E1674" s="35" t="s">
        <v>606</v>
      </c>
      <c r="F1674" t="str" cm="1">
        <f t="array" ref="F1674">IFERROR(_xlfn.XLOOKUP(E1674,MapeoCargos!$A:$A,MapeoCargos!$B:$B,E1674),E1674)</f>
        <v>BAR</v>
      </c>
      <c r="G1674" s="46">
        <v>45684</v>
      </c>
    </row>
    <row r="1675" spans="1:7" x14ac:dyDescent="0.2">
      <c r="A1675" s="27" t="s">
        <v>891</v>
      </c>
      <c r="B1675" s="35" t="s">
        <v>4016</v>
      </c>
      <c r="C1675" s="35" t="s">
        <v>720</v>
      </c>
      <c r="D1675" s="35" t="s">
        <v>892</v>
      </c>
      <c r="E1675" s="35" t="s">
        <v>606</v>
      </c>
      <c r="F1675" t="str" cm="1">
        <f t="array" ref="F1675">IFERROR(_xlfn.XLOOKUP(E1675,MapeoCargos!$A:$A,MapeoCargos!$B:$B,E1675),E1675)</f>
        <v>BAR</v>
      </c>
      <c r="G1675" s="46">
        <v>45684</v>
      </c>
    </row>
    <row r="1676" spans="1:7" x14ac:dyDescent="0.2">
      <c r="A1676" s="27" t="s">
        <v>893</v>
      </c>
      <c r="B1676" s="35" t="s">
        <v>4016</v>
      </c>
      <c r="C1676" s="35" t="s">
        <v>720</v>
      </c>
      <c r="D1676" s="35" t="s">
        <v>894</v>
      </c>
      <c r="E1676" s="35" t="s">
        <v>746</v>
      </c>
      <c r="F1676" t="str" cm="1">
        <f t="array" ref="F1676">IFERROR(_xlfn.XLOOKUP(E1676,MapeoCargos!$A:$A,MapeoCargos!$B:$B,E1676),E1676)</f>
        <v>CORREDOR</v>
      </c>
      <c r="G1676" s="46">
        <v>45689</v>
      </c>
    </row>
    <row r="1677" spans="1:7" x14ac:dyDescent="0.2">
      <c r="A1677" s="27" t="s">
        <v>895</v>
      </c>
      <c r="B1677" s="35" t="s">
        <v>4016</v>
      </c>
      <c r="C1677" s="35" t="s">
        <v>720</v>
      </c>
      <c r="D1677" s="35" t="s">
        <v>896</v>
      </c>
      <c r="E1677" s="35" t="s">
        <v>897</v>
      </c>
      <c r="F1677" t="str" cm="1">
        <f t="array" ref="F1677">IFERROR(_xlfn.XLOOKUP(E1677,MapeoCargos!$A:$A,MapeoCargos!$B:$B,E1677),E1677)</f>
        <v>ASISTENTE DE PRODUCCION Y CONTROL</v>
      </c>
      <c r="G1677" s="46">
        <v>45698</v>
      </c>
    </row>
    <row r="1678" spans="1:7" x14ac:dyDescent="0.2">
      <c r="A1678" s="27" t="s">
        <v>898</v>
      </c>
      <c r="B1678" s="35" t="s">
        <v>4016</v>
      </c>
      <c r="C1678" s="35" t="s">
        <v>753</v>
      </c>
      <c r="D1678" s="35" t="s">
        <v>899</v>
      </c>
      <c r="E1678" s="35" t="s">
        <v>29</v>
      </c>
      <c r="F1678" t="str" cm="1">
        <f t="array" ref="F1678">IFERROR(_xlfn.XLOOKUP(E1678,MapeoCargos!$A:$A,MapeoCargos!$B:$B,E1678),E1678)</f>
        <v>MOZO</v>
      </c>
      <c r="G1678" s="46">
        <v>45705</v>
      </c>
    </row>
    <row r="1679" spans="1:7" x14ac:dyDescent="0.2">
      <c r="A1679" s="27" t="s">
        <v>900</v>
      </c>
      <c r="B1679" s="35" t="s">
        <v>4016</v>
      </c>
      <c r="C1679" s="35" t="s">
        <v>720</v>
      </c>
      <c r="D1679" s="35" t="s">
        <v>901</v>
      </c>
      <c r="E1679" s="35" t="s">
        <v>715</v>
      </c>
      <c r="F1679" t="str" cm="1">
        <f t="array" ref="F1679">IFERROR(_xlfn.XLOOKUP(E1679,MapeoCargos!$A:$A,MapeoCargos!$B:$B,E1679),E1679)</f>
        <v>PASTELERO(A)</v>
      </c>
      <c r="G1679" s="46">
        <v>45712</v>
      </c>
    </row>
    <row r="1680" spans="1:7" x14ac:dyDescent="0.2">
      <c r="A1680" s="27" t="s">
        <v>905</v>
      </c>
      <c r="B1680" s="35" t="s">
        <v>4016</v>
      </c>
      <c r="C1680" s="35" t="s">
        <v>720</v>
      </c>
      <c r="D1680" s="35" t="s">
        <v>906</v>
      </c>
      <c r="E1680" s="35" t="s">
        <v>29</v>
      </c>
      <c r="F1680" t="str" cm="1">
        <f t="array" ref="F1680">IFERROR(_xlfn.XLOOKUP(E1680,MapeoCargos!$A:$A,MapeoCargos!$B:$B,E1680),E1680)</f>
        <v>MOZO</v>
      </c>
      <c r="G1680" s="46">
        <v>45719</v>
      </c>
    </row>
    <row r="1681" spans="1:7" x14ac:dyDescent="0.2">
      <c r="A1681" s="27" t="s">
        <v>907</v>
      </c>
      <c r="B1681" s="35" t="s">
        <v>4016</v>
      </c>
      <c r="C1681" s="35" t="s">
        <v>720</v>
      </c>
      <c r="D1681" s="35" t="s">
        <v>908</v>
      </c>
      <c r="E1681" s="35" t="s">
        <v>29</v>
      </c>
      <c r="F1681" t="str" cm="1">
        <f t="array" ref="F1681">IFERROR(_xlfn.XLOOKUP(E1681,MapeoCargos!$A:$A,MapeoCargos!$B:$B,E1681),E1681)</f>
        <v>MOZO</v>
      </c>
      <c r="G1681" s="46">
        <v>45726</v>
      </c>
    </row>
    <row r="1682" spans="1:7" x14ac:dyDescent="0.2">
      <c r="A1682" s="27" t="s">
        <v>909</v>
      </c>
      <c r="B1682" s="35" t="s">
        <v>4016</v>
      </c>
      <c r="C1682" s="35" t="s">
        <v>720</v>
      </c>
      <c r="D1682" s="35" t="s">
        <v>910</v>
      </c>
      <c r="E1682" s="35" t="s">
        <v>888</v>
      </c>
      <c r="F1682" t="str" cm="1">
        <f t="array" ref="F1682">IFERROR(_xlfn.XLOOKUP(E1682,MapeoCargos!$A:$A,MapeoCargos!$B:$B,E1682),E1682)</f>
        <v>AYUDANTE DE PASTELERIA</v>
      </c>
      <c r="G1682" s="46">
        <v>45726</v>
      </c>
    </row>
    <row r="1683" spans="1:7" x14ac:dyDescent="0.2">
      <c r="A1683" s="27" t="s">
        <v>911</v>
      </c>
      <c r="B1683" s="35" t="s">
        <v>4016</v>
      </c>
      <c r="C1683" s="35" t="s">
        <v>720</v>
      </c>
      <c r="D1683" s="35" t="s">
        <v>912</v>
      </c>
      <c r="E1683" s="35" t="s">
        <v>89</v>
      </c>
      <c r="F1683" t="str" cm="1">
        <f t="array" ref="F1683">IFERROR(_xlfn.XLOOKUP(E1683,MapeoCargos!$A:$A,MapeoCargos!$B:$B,E1683),E1683)</f>
        <v>PRODUCCIÓN / COCINA</v>
      </c>
      <c r="G1683" s="46">
        <v>45726</v>
      </c>
    </row>
    <row r="1684" spans="1:7" x14ac:dyDescent="0.2">
      <c r="A1684" s="27" t="s">
        <v>913</v>
      </c>
      <c r="B1684" s="35" t="s">
        <v>4016</v>
      </c>
      <c r="C1684" s="35" t="s">
        <v>720</v>
      </c>
      <c r="D1684" s="35" t="s">
        <v>914</v>
      </c>
      <c r="E1684" s="35" t="s">
        <v>915</v>
      </c>
      <c r="F1684" t="str" cm="1">
        <f t="array" ref="F1684">IFERROR(_xlfn.XLOOKUP(E1684,MapeoCargos!$A:$A,MapeoCargos!$B:$B,E1684),E1684)</f>
        <v>AUDITOR(A)</v>
      </c>
      <c r="G1684" s="46">
        <v>45726</v>
      </c>
    </row>
    <row r="1685" spans="1:7" x14ac:dyDescent="0.2">
      <c r="A1685" s="27" t="s">
        <v>916</v>
      </c>
      <c r="B1685" s="35" t="s">
        <v>4016</v>
      </c>
      <c r="C1685" s="35" t="s">
        <v>753</v>
      </c>
      <c r="D1685" s="35" t="s">
        <v>917</v>
      </c>
      <c r="E1685" s="35" t="s">
        <v>83</v>
      </c>
      <c r="F1685" t="str" cm="1">
        <f t="array" ref="F1685">IFERROR(_xlfn.XLOOKUP(E1685,MapeoCargos!$A:$A,MapeoCargos!$B:$B,E1685),E1685)</f>
        <v>PRODUCCIÓN / COCINA</v>
      </c>
      <c r="G1685" s="46">
        <v>45748</v>
      </c>
    </row>
    <row r="1686" spans="1:7" x14ac:dyDescent="0.2">
      <c r="A1686" s="27" t="s">
        <v>918</v>
      </c>
      <c r="B1686" s="35" t="s">
        <v>4016</v>
      </c>
      <c r="C1686" s="35" t="s">
        <v>753</v>
      </c>
      <c r="D1686" s="35" t="s">
        <v>919</v>
      </c>
      <c r="E1686" s="35" t="s">
        <v>110</v>
      </c>
      <c r="F1686" t="str" cm="1">
        <f t="array" ref="F1686">IFERROR(_xlfn.XLOOKUP(E1686,MapeoCargos!$A:$A,MapeoCargos!$B:$B,E1686),E1686)</f>
        <v>COUNTER</v>
      </c>
      <c r="G1686" s="46">
        <v>45748</v>
      </c>
    </row>
    <row r="1687" spans="1:7" x14ac:dyDescent="0.2">
      <c r="A1687" s="27" t="s">
        <v>920</v>
      </c>
      <c r="B1687" s="35" t="s">
        <v>4016</v>
      </c>
      <c r="C1687" s="35" t="s">
        <v>720</v>
      </c>
      <c r="D1687" s="35" t="s">
        <v>921</v>
      </c>
      <c r="E1687" s="35" t="s">
        <v>96</v>
      </c>
      <c r="F1687" t="str" cm="1">
        <f t="array" ref="F1687">IFERROR(_xlfn.XLOOKUP(E1687,MapeoCargos!$A:$A,MapeoCargos!$B:$B,E1687),E1687)</f>
        <v>VAJILLERO(A)</v>
      </c>
      <c r="G1687" s="46">
        <v>45748</v>
      </c>
    </row>
    <row r="1688" spans="1:7" x14ac:dyDescent="0.2">
      <c r="A1688" s="27" t="s">
        <v>922</v>
      </c>
      <c r="B1688" s="35" t="s">
        <v>4016</v>
      </c>
      <c r="C1688" s="35" t="s">
        <v>720</v>
      </c>
      <c r="D1688" s="35" t="s">
        <v>923</v>
      </c>
      <c r="E1688" s="35" t="s">
        <v>29</v>
      </c>
      <c r="F1688" t="str" cm="1">
        <f t="array" ref="F1688">IFERROR(_xlfn.XLOOKUP(E1688,MapeoCargos!$A:$A,MapeoCargos!$B:$B,E1688),E1688)</f>
        <v>MOZO</v>
      </c>
      <c r="G1688" s="46">
        <v>45754</v>
      </c>
    </row>
    <row r="1689" spans="1:7" x14ac:dyDescent="0.2">
      <c r="A1689" s="27" t="s">
        <v>924</v>
      </c>
      <c r="B1689" s="35" t="s">
        <v>4016</v>
      </c>
      <c r="C1689" s="35" t="s">
        <v>707</v>
      </c>
      <c r="D1689" s="35" t="s">
        <v>925</v>
      </c>
      <c r="E1689" s="35" t="s">
        <v>715</v>
      </c>
      <c r="F1689" t="str" cm="1">
        <f t="array" ref="F1689">IFERROR(_xlfn.XLOOKUP(E1689,MapeoCargos!$A:$A,MapeoCargos!$B:$B,E1689),E1689)</f>
        <v>PASTELERO(A)</v>
      </c>
      <c r="G1689" s="46">
        <v>45754</v>
      </c>
    </row>
    <row r="1690" spans="1:7" x14ac:dyDescent="0.2">
      <c r="A1690" s="27" t="s">
        <v>926</v>
      </c>
      <c r="B1690" s="35" t="s">
        <v>4016</v>
      </c>
      <c r="C1690" s="35" t="s">
        <v>720</v>
      </c>
      <c r="D1690" s="35" t="s">
        <v>927</v>
      </c>
      <c r="E1690" s="35" t="s">
        <v>715</v>
      </c>
      <c r="F1690" t="str" cm="1">
        <f t="array" ref="F1690">IFERROR(_xlfn.XLOOKUP(E1690,MapeoCargos!$A:$A,MapeoCargos!$B:$B,E1690),E1690)</f>
        <v>PASTELERO(A)</v>
      </c>
      <c r="G1690" s="46">
        <v>45761</v>
      </c>
    </row>
    <row r="1691" spans="1:7" x14ac:dyDescent="0.2">
      <c r="A1691" s="27" t="s">
        <v>928</v>
      </c>
      <c r="B1691" s="35" t="s">
        <v>4016</v>
      </c>
      <c r="C1691" s="35" t="s">
        <v>753</v>
      </c>
      <c r="D1691" s="35" t="s">
        <v>929</v>
      </c>
      <c r="E1691" s="35" t="s">
        <v>127</v>
      </c>
      <c r="F1691" t="str" cm="1">
        <f t="array" ref="F1691">IFERROR(_xlfn.XLOOKUP(E1691,MapeoCargos!$A:$A,MapeoCargos!$B:$B,E1691),E1691)</f>
        <v>AZAFATA</v>
      </c>
      <c r="G1691" s="46">
        <v>45761</v>
      </c>
    </row>
    <row r="1692" spans="1:7" x14ac:dyDescent="0.2">
      <c r="A1692" s="27" t="s">
        <v>930</v>
      </c>
      <c r="B1692" s="35" t="s">
        <v>4016</v>
      </c>
      <c r="C1692" s="35" t="s">
        <v>753</v>
      </c>
      <c r="D1692" s="35" t="s">
        <v>931</v>
      </c>
      <c r="E1692" s="35" t="s">
        <v>83</v>
      </c>
      <c r="F1692" t="str" cm="1">
        <f t="array" ref="F1692">IFERROR(_xlfn.XLOOKUP(E1692,MapeoCargos!$A:$A,MapeoCargos!$B:$B,E1692),E1692)</f>
        <v>PRODUCCIÓN / COCINA</v>
      </c>
      <c r="G1692" s="46">
        <v>45775</v>
      </c>
    </row>
    <row r="1693" spans="1:7" x14ac:dyDescent="0.2">
      <c r="A1693" s="27" t="s">
        <v>932</v>
      </c>
      <c r="B1693" s="35" t="s">
        <v>4016</v>
      </c>
      <c r="C1693" s="35" t="s">
        <v>753</v>
      </c>
      <c r="D1693" s="35" t="s">
        <v>933</v>
      </c>
      <c r="E1693" s="35" t="s">
        <v>29</v>
      </c>
      <c r="F1693" t="str" cm="1">
        <f t="array" ref="F1693">IFERROR(_xlfn.XLOOKUP(E1693,MapeoCargos!$A:$A,MapeoCargos!$B:$B,E1693),E1693)</f>
        <v>MOZO</v>
      </c>
      <c r="G1693" s="46">
        <v>45775</v>
      </c>
    </row>
    <row r="1694" spans="1:7" x14ac:dyDescent="0.2">
      <c r="A1694" s="27" t="s">
        <v>934</v>
      </c>
      <c r="B1694" s="35" t="s">
        <v>4016</v>
      </c>
      <c r="C1694" s="35" t="s">
        <v>720</v>
      </c>
      <c r="D1694" s="35" t="s">
        <v>935</v>
      </c>
      <c r="E1694" s="35" t="s">
        <v>758</v>
      </c>
      <c r="F1694" t="str" cm="1">
        <f t="array" ref="F1694">IFERROR(_xlfn.XLOOKUP(E1694,MapeoCargos!$A:$A,MapeoCargos!$B:$B,E1694),E1694)</f>
        <v>PRODUCCIÓN / COCINA</v>
      </c>
      <c r="G1694" s="46">
        <v>45778</v>
      </c>
    </row>
    <row r="1695" spans="1:7" x14ac:dyDescent="0.2">
      <c r="A1695" s="27" t="s">
        <v>936</v>
      </c>
      <c r="B1695" s="35" t="s">
        <v>4016</v>
      </c>
      <c r="C1695" s="35" t="s">
        <v>720</v>
      </c>
      <c r="D1695" s="35" t="s">
        <v>937</v>
      </c>
      <c r="E1695" s="35" t="s">
        <v>938</v>
      </c>
      <c r="F1695" t="str" cm="1">
        <f t="array" ref="F1695">IFERROR(_xlfn.XLOOKUP(E1695,MapeoCargos!$A:$A,MapeoCargos!$B:$B,E1695),E1695)</f>
        <v>COORDINADOR(A) DE ANFITRIONES</v>
      </c>
      <c r="G1695" s="46">
        <v>45782</v>
      </c>
    </row>
    <row r="1696" spans="1:7" x14ac:dyDescent="0.2">
      <c r="A1696" s="27" t="s">
        <v>939</v>
      </c>
      <c r="B1696" s="35" t="s">
        <v>4016</v>
      </c>
      <c r="C1696" s="35" t="s">
        <v>720</v>
      </c>
      <c r="D1696" s="35" t="s">
        <v>940</v>
      </c>
      <c r="E1696" s="35" t="s">
        <v>746</v>
      </c>
      <c r="F1696" t="str" cm="1">
        <f t="array" ref="F1696">IFERROR(_xlfn.XLOOKUP(E1696,MapeoCargos!$A:$A,MapeoCargos!$B:$B,E1696),E1696)</f>
        <v>CORREDOR</v>
      </c>
      <c r="G1696" s="46">
        <v>45784</v>
      </c>
    </row>
    <row r="1697" spans="1:7" x14ac:dyDescent="0.2">
      <c r="A1697" s="27" t="s">
        <v>941</v>
      </c>
      <c r="B1697" s="35" t="s">
        <v>4016</v>
      </c>
      <c r="C1697" s="35" t="s">
        <v>720</v>
      </c>
      <c r="D1697" s="35" t="s">
        <v>942</v>
      </c>
      <c r="E1697" s="35" t="s">
        <v>89</v>
      </c>
      <c r="F1697" t="str" cm="1">
        <f t="array" ref="F1697">IFERROR(_xlfn.XLOOKUP(E1697,MapeoCargos!$A:$A,MapeoCargos!$B:$B,E1697),E1697)</f>
        <v>PRODUCCIÓN / COCINA</v>
      </c>
      <c r="G1697" s="46">
        <v>45786</v>
      </c>
    </row>
    <row r="1698" spans="1:7" x14ac:dyDescent="0.2">
      <c r="A1698" s="27" t="s">
        <v>943</v>
      </c>
      <c r="B1698" s="35" t="s">
        <v>4016</v>
      </c>
      <c r="C1698" s="35" t="s">
        <v>720</v>
      </c>
      <c r="D1698" s="35" t="s">
        <v>944</v>
      </c>
      <c r="E1698" s="35" t="s">
        <v>89</v>
      </c>
      <c r="F1698" t="str" cm="1">
        <f t="array" ref="F1698">IFERROR(_xlfn.XLOOKUP(E1698,MapeoCargos!$A:$A,MapeoCargos!$B:$B,E1698),E1698)</f>
        <v>PRODUCCIÓN / COCINA</v>
      </c>
      <c r="G1698" s="46">
        <v>45796</v>
      </c>
    </row>
    <row r="1699" spans="1:7" x14ac:dyDescent="0.2">
      <c r="A1699" s="27" t="s">
        <v>945</v>
      </c>
      <c r="B1699" s="35" t="s">
        <v>4016</v>
      </c>
      <c r="C1699" s="35" t="s">
        <v>720</v>
      </c>
      <c r="D1699" s="35" t="s">
        <v>946</v>
      </c>
      <c r="E1699" s="35" t="s">
        <v>947</v>
      </c>
      <c r="F1699" t="str" cm="1">
        <f t="array" ref="F1699">IFERROR(_xlfn.XLOOKUP(E1699,MapeoCargos!$A:$A,MapeoCargos!$B:$B,E1699),E1699)</f>
        <v>CORREDOR</v>
      </c>
      <c r="G1699" s="46">
        <v>45796</v>
      </c>
    </row>
    <row r="1700" spans="1:7" x14ac:dyDescent="0.2">
      <c r="A1700" s="27" t="s">
        <v>948</v>
      </c>
      <c r="B1700" s="35" t="s">
        <v>4016</v>
      </c>
      <c r="C1700" s="35" t="s">
        <v>720</v>
      </c>
      <c r="D1700" s="35" t="s">
        <v>949</v>
      </c>
      <c r="E1700" s="35" t="s">
        <v>746</v>
      </c>
      <c r="F1700" t="str" cm="1">
        <f t="array" ref="F1700">IFERROR(_xlfn.XLOOKUP(E1700,MapeoCargos!$A:$A,MapeoCargos!$B:$B,E1700),E1700)</f>
        <v>CORREDOR</v>
      </c>
      <c r="G1700" s="46">
        <v>45803</v>
      </c>
    </row>
    <row r="1701" spans="1:7" x14ac:dyDescent="0.2">
      <c r="A1701" s="27" t="s">
        <v>950</v>
      </c>
      <c r="B1701" s="35" t="s">
        <v>4016</v>
      </c>
      <c r="C1701" s="35" t="s">
        <v>720</v>
      </c>
      <c r="D1701" s="35" t="s">
        <v>951</v>
      </c>
      <c r="E1701" s="35" t="s">
        <v>606</v>
      </c>
      <c r="F1701" t="str" cm="1">
        <f t="array" ref="F1701">IFERROR(_xlfn.XLOOKUP(E1701,MapeoCargos!$A:$A,MapeoCargos!$B:$B,E1701),E1701)</f>
        <v>BAR</v>
      </c>
      <c r="G1701" s="46">
        <v>45809</v>
      </c>
    </row>
    <row r="1702" spans="1:7" x14ac:dyDescent="0.2">
      <c r="A1702" s="27" t="s">
        <v>952</v>
      </c>
      <c r="B1702" s="35" t="s">
        <v>4016</v>
      </c>
      <c r="C1702" s="35" t="s">
        <v>720</v>
      </c>
      <c r="D1702" s="35" t="s">
        <v>953</v>
      </c>
      <c r="E1702" s="35" t="s">
        <v>746</v>
      </c>
      <c r="F1702" t="str" cm="1">
        <f t="array" ref="F1702">IFERROR(_xlfn.XLOOKUP(E1702,MapeoCargos!$A:$A,MapeoCargos!$B:$B,E1702),E1702)</f>
        <v>CORREDOR</v>
      </c>
      <c r="G1702" s="46">
        <v>45810</v>
      </c>
    </row>
    <row r="1703" spans="1:7" x14ac:dyDescent="0.2">
      <c r="A1703" s="27" t="s">
        <v>955</v>
      </c>
      <c r="B1703" s="35" t="s">
        <v>4016</v>
      </c>
      <c r="C1703" s="35" t="s">
        <v>720</v>
      </c>
      <c r="D1703" s="35" t="s">
        <v>956</v>
      </c>
      <c r="E1703" s="35" t="s">
        <v>746</v>
      </c>
      <c r="F1703" t="str" cm="1">
        <f t="array" ref="F1703">IFERROR(_xlfn.XLOOKUP(E1703,MapeoCargos!$A:$A,MapeoCargos!$B:$B,E1703),E1703)</f>
        <v>CORREDOR</v>
      </c>
      <c r="G1703" s="46">
        <v>45809</v>
      </c>
    </row>
    <row r="1704" spans="1:7" x14ac:dyDescent="0.2">
      <c r="A1704" s="27" t="s">
        <v>957</v>
      </c>
      <c r="B1704" s="35" t="s">
        <v>4016</v>
      </c>
      <c r="C1704" s="35" t="s">
        <v>720</v>
      </c>
      <c r="D1704" s="35" t="s">
        <v>958</v>
      </c>
      <c r="E1704" s="35" t="s">
        <v>746</v>
      </c>
      <c r="F1704" t="str" cm="1">
        <f t="array" ref="F1704">IFERROR(_xlfn.XLOOKUP(E1704,MapeoCargos!$A:$A,MapeoCargos!$B:$B,E1704),E1704)</f>
        <v>CORREDOR</v>
      </c>
      <c r="G1704" s="46">
        <v>45809</v>
      </c>
    </row>
    <row r="1705" spans="1:7" x14ac:dyDescent="0.2">
      <c r="A1705" s="27" t="s">
        <v>959</v>
      </c>
      <c r="B1705" s="35" t="s">
        <v>4016</v>
      </c>
      <c r="C1705" s="35" t="s">
        <v>753</v>
      </c>
      <c r="D1705" s="35" t="s">
        <v>960</v>
      </c>
      <c r="E1705" s="35" t="s">
        <v>29</v>
      </c>
      <c r="F1705" t="str" cm="1">
        <f t="array" ref="F1705">IFERROR(_xlfn.XLOOKUP(E1705,MapeoCargos!$A:$A,MapeoCargos!$B:$B,E1705),E1705)</f>
        <v>MOZO</v>
      </c>
      <c r="G1705" s="46">
        <v>45809</v>
      </c>
    </row>
    <row r="1706" spans="1:7" x14ac:dyDescent="0.2">
      <c r="A1706" s="27" t="s">
        <v>961</v>
      </c>
      <c r="B1706" s="35" t="s">
        <v>4016</v>
      </c>
      <c r="C1706" s="35" t="s">
        <v>720</v>
      </c>
      <c r="D1706" s="35" t="s">
        <v>962</v>
      </c>
      <c r="E1706" s="35" t="s">
        <v>746</v>
      </c>
      <c r="F1706" t="str" cm="1">
        <f t="array" ref="F1706">IFERROR(_xlfn.XLOOKUP(E1706,MapeoCargos!$A:$A,MapeoCargos!$B:$B,E1706),E1706)</f>
        <v>CORREDOR</v>
      </c>
      <c r="G1706" s="46">
        <v>45817</v>
      </c>
    </row>
    <row r="1707" spans="1:7" x14ac:dyDescent="0.2">
      <c r="A1707" s="27" t="s">
        <v>963</v>
      </c>
      <c r="B1707" s="35" t="s">
        <v>4016</v>
      </c>
      <c r="C1707" s="35" t="s">
        <v>720</v>
      </c>
      <c r="D1707" s="35" t="s">
        <v>964</v>
      </c>
      <c r="E1707" s="35" t="s">
        <v>89</v>
      </c>
      <c r="F1707" t="str" cm="1">
        <f t="array" ref="F1707">IFERROR(_xlfn.XLOOKUP(E1707,MapeoCargos!$A:$A,MapeoCargos!$B:$B,E1707),E1707)</f>
        <v>PRODUCCIÓN / COCINA</v>
      </c>
      <c r="G1707" s="46">
        <v>45817</v>
      </c>
    </row>
    <row r="1708" spans="1:7" x14ac:dyDescent="0.2">
      <c r="A1708" s="27" t="s">
        <v>965</v>
      </c>
      <c r="B1708" s="35" t="s">
        <v>4016</v>
      </c>
      <c r="C1708" s="35" t="s">
        <v>720</v>
      </c>
      <c r="D1708" s="35" t="s">
        <v>966</v>
      </c>
      <c r="E1708" s="35" t="s">
        <v>746</v>
      </c>
      <c r="F1708" t="str" cm="1">
        <f t="array" ref="F1708">IFERROR(_xlfn.XLOOKUP(E1708,MapeoCargos!$A:$A,MapeoCargos!$B:$B,E1708),E1708)</f>
        <v>CORREDOR</v>
      </c>
      <c r="G1708" s="46">
        <v>45821</v>
      </c>
    </row>
    <row r="1709" spans="1:7" x14ac:dyDescent="0.2">
      <c r="A1709" s="27" t="s">
        <v>967</v>
      </c>
      <c r="B1709" s="35" t="s">
        <v>4016</v>
      </c>
      <c r="C1709" s="35" t="s">
        <v>720</v>
      </c>
      <c r="D1709" s="35" t="s">
        <v>968</v>
      </c>
      <c r="E1709" s="35" t="s">
        <v>739</v>
      </c>
      <c r="F1709" t="str" cm="1">
        <f t="array" ref="F1709">IFERROR(_xlfn.XLOOKUP(E1709,MapeoCargos!$A:$A,MapeoCargos!$B:$B,E1709),E1709)</f>
        <v>COORDINADOR(A) DE COCINA</v>
      </c>
      <c r="G1709" s="46">
        <v>45824</v>
      </c>
    </row>
    <row r="1710" spans="1:7" x14ac:dyDescent="0.2">
      <c r="A1710" s="27" t="s">
        <v>969</v>
      </c>
      <c r="B1710" s="35" t="s">
        <v>4016</v>
      </c>
      <c r="C1710" s="35" t="s">
        <v>4434</v>
      </c>
      <c r="D1710" s="35" t="s">
        <v>970</v>
      </c>
      <c r="E1710" s="35" t="s">
        <v>971</v>
      </c>
      <c r="F1710" t="str" cm="1">
        <f t="array" ref="F1710">IFERROR(_xlfn.XLOOKUP(E1710,MapeoCargos!$A:$A,MapeoCargos!$B:$B,E1710),E1710)</f>
        <v>CHEF EJECUTIVO</v>
      </c>
      <c r="G1710" s="46">
        <v>45831</v>
      </c>
    </row>
    <row r="1711" spans="1:7" x14ac:dyDescent="0.2">
      <c r="A1711" s="27" t="s">
        <v>972</v>
      </c>
      <c r="B1711" s="35" t="s">
        <v>4016</v>
      </c>
      <c r="C1711" s="35" t="s">
        <v>720</v>
      </c>
      <c r="D1711" s="35" t="s">
        <v>973</v>
      </c>
      <c r="E1711" s="35" t="s">
        <v>151</v>
      </c>
      <c r="F1711" t="str" cm="1">
        <f t="array" ref="F1711">IFERROR(_xlfn.XLOOKUP(E1711,MapeoCargos!$A:$A,MapeoCargos!$B:$B,E1711),E1711)</f>
        <v xml:space="preserve">CAJA </v>
      </c>
      <c r="G1711" s="46" t="s">
        <v>4202</v>
      </c>
    </row>
    <row r="1712" spans="1:7" x14ac:dyDescent="0.2">
      <c r="A1712" s="27" t="s">
        <v>974</v>
      </c>
      <c r="B1712" s="35" t="s">
        <v>4016</v>
      </c>
      <c r="C1712" s="35" t="s">
        <v>4433</v>
      </c>
      <c r="D1712" s="35" t="s">
        <v>975</v>
      </c>
      <c r="E1712" s="35" t="s">
        <v>4037</v>
      </c>
      <c r="F1712" t="str" cm="1">
        <f t="array" ref="F1712">IFERROR(_xlfn.XLOOKUP(E1712,MapeoCargos!$A:$A,MapeoCargos!$B:$B,E1712),E1712)</f>
        <v>ASISTENTE DE GESTION Y CONTROL ADMINISTRATIVO</v>
      </c>
      <c r="G1712" s="46" t="s">
        <v>4202</v>
      </c>
    </row>
    <row r="1713" spans="1:7" x14ac:dyDescent="0.2">
      <c r="A1713" s="27" t="s">
        <v>976</v>
      </c>
      <c r="B1713" s="35" t="s">
        <v>4016</v>
      </c>
      <c r="C1713" s="35" t="s">
        <v>720</v>
      </c>
      <c r="D1713" s="35" t="s">
        <v>977</v>
      </c>
      <c r="E1713" s="35" t="s">
        <v>83</v>
      </c>
      <c r="F1713" t="str" cm="1">
        <f t="array" ref="F1713">IFERROR(_xlfn.XLOOKUP(E1713,MapeoCargos!$A:$A,MapeoCargos!$B:$B,E1713),E1713)</f>
        <v>PRODUCCIÓN / COCINA</v>
      </c>
      <c r="G1713" s="46">
        <v>45845</v>
      </c>
    </row>
    <row r="1714" spans="1:7" x14ac:dyDescent="0.2">
      <c r="A1714" s="27" t="s">
        <v>978</v>
      </c>
      <c r="B1714" s="35" t="s">
        <v>4016</v>
      </c>
      <c r="C1714" s="35" t="s">
        <v>720</v>
      </c>
      <c r="D1714" s="35" t="s">
        <v>979</v>
      </c>
      <c r="E1714" s="35" t="s">
        <v>4038</v>
      </c>
      <c r="F1714" t="str" cm="1">
        <f t="array" ref="F1714">IFERROR(_xlfn.XLOOKUP(E1714,MapeoCargos!$A:$A,MapeoCargos!$B:$B,E1714),E1714)</f>
        <v>COCINERO (A)</v>
      </c>
      <c r="G1714" s="46">
        <v>45845</v>
      </c>
    </row>
    <row r="1715" spans="1:7" x14ac:dyDescent="0.2">
      <c r="A1715" s="27" t="s">
        <v>980</v>
      </c>
      <c r="B1715" s="35" t="s">
        <v>4016</v>
      </c>
      <c r="C1715" s="35" t="s">
        <v>720</v>
      </c>
      <c r="D1715" s="35" t="s">
        <v>981</v>
      </c>
      <c r="E1715" s="35" t="s">
        <v>746</v>
      </c>
      <c r="F1715" t="str" cm="1">
        <f t="array" ref="F1715">IFERROR(_xlfn.XLOOKUP(E1715,MapeoCargos!$A:$A,MapeoCargos!$B:$B,E1715),E1715)</f>
        <v>CORREDOR</v>
      </c>
      <c r="G1715" s="46">
        <v>45847</v>
      </c>
    </row>
    <row r="1716" spans="1:7" x14ac:dyDescent="0.2">
      <c r="A1716" s="27" t="s">
        <v>982</v>
      </c>
      <c r="B1716" s="35" t="s">
        <v>4016</v>
      </c>
      <c r="C1716" s="35" t="s">
        <v>720</v>
      </c>
      <c r="D1716" s="35" t="s">
        <v>983</v>
      </c>
      <c r="E1716" s="35" t="s">
        <v>746</v>
      </c>
      <c r="F1716" t="str" cm="1">
        <f t="array" ref="F1716">IFERROR(_xlfn.XLOOKUP(E1716,MapeoCargos!$A:$A,MapeoCargos!$B:$B,E1716),E1716)</f>
        <v>CORREDOR</v>
      </c>
      <c r="G1716" s="46">
        <v>45849</v>
      </c>
    </row>
    <row r="1717" spans="1:7" x14ac:dyDescent="0.2">
      <c r="A1717" s="27" t="s">
        <v>984</v>
      </c>
      <c r="B1717" s="35" t="s">
        <v>4016</v>
      </c>
      <c r="C1717" s="35" t="s">
        <v>720</v>
      </c>
      <c r="D1717" s="35" t="s">
        <v>985</v>
      </c>
      <c r="E1717" s="35" t="s">
        <v>746</v>
      </c>
      <c r="F1717" t="str" cm="1">
        <f t="array" ref="F1717">IFERROR(_xlfn.XLOOKUP(E1717,MapeoCargos!$A:$A,MapeoCargos!$B:$B,E1717),E1717)</f>
        <v>CORREDOR</v>
      </c>
      <c r="G1717" s="46">
        <v>45849</v>
      </c>
    </row>
    <row r="1718" spans="1:7" x14ac:dyDescent="0.2">
      <c r="A1718" s="27" t="s">
        <v>987</v>
      </c>
      <c r="B1718" s="35" t="s">
        <v>4016</v>
      </c>
      <c r="C1718" s="35" t="s">
        <v>753</v>
      </c>
      <c r="D1718" s="35" t="s">
        <v>988</v>
      </c>
      <c r="E1718" s="35" t="s">
        <v>715</v>
      </c>
      <c r="F1718" t="str" cm="1">
        <f t="array" ref="F1718">IFERROR(_xlfn.XLOOKUP(E1718,MapeoCargos!$A:$A,MapeoCargos!$B:$B,E1718),E1718)</f>
        <v>PASTELERO(A)</v>
      </c>
      <c r="G1718" s="46">
        <v>45859</v>
      </c>
    </row>
    <row r="1719" spans="1:7" x14ac:dyDescent="0.2">
      <c r="A1719" s="27" t="s">
        <v>989</v>
      </c>
      <c r="B1719" s="35" t="s">
        <v>4016</v>
      </c>
      <c r="C1719" s="35" t="s">
        <v>720</v>
      </c>
      <c r="D1719" s="35" t="s">
        <v>990</v>
      </c>
      <c r="E1719" s="35" t="s">
        <v>4039</v>
      </c>
      <c r="F1719" t="str" cm="1">
        <f t="array" ref="F1719">IFERROR(_xlfn.XLOOKUP(E1719,MapeoCargos!$A:$A,MapeoCargos!$B:$B,E1719),E1719)</f>
        <v>CORREDOR (A)</v>
      </c>
      <c r="G1719" s="46">
        <v>45870</v>
      </c>
    </row>
    <row r="1720" spans="1:7" x14ac:dyDescent="0.2">
      <c r="A1720" s="27" t="s">
        <v>991</v>
      </c>
      <c r="B1720" s="35" t="s">
        <v>4016</v>
      </c>
      <c r="C1720" s="35" t="s">
        <v>4434</v>
      </c>
      <c r="D1720" s="35" t="s">
        <v>992</v>
      </c>
      <c r="E1720" s="35" t="s">
        <v>971</v>
      </c>
      <c r="F1720" t="str" cm="1">
        <f t="array" ref="F1720">IFERROR(_xlfn.XLOOKUP(E1720,MapeoCargos!$A:$A,MapeoCargos!$B:$B,E1720),E1720)</f>
        <v>CHEF EJECUTIVO</v>
      </c>
      <c r="G1720" s="46">
        <v>45870</v>
      </c>
    </row>
    <row r="1721" spans="1:7" x14ac:dyDescent="0.2">
      <c r="A1721" s="27" t="s">
        <v>993</v>
      </c>
      <c r="B1721" s="35" t="s">
        <v>4016</v>
      </c>
      <c r="C1721" s="35" t="s">
        <v>753</v>
      </c>
      <c r="D1721" s="35" t="s">
        <v>994</v>
      </c>
      <c r="E1721" s="35" t="s">
        <v>995</v>
      </c>
      <c r="F1721" t="str" cm="1">
        <f t="array" ref="F1721">IFERROR(_xlfn.XLOOKUP(E1721,MapeoCargos!$A:$A,MapeoCargos!$B:$B,E1721),E1721)</f>
        <v>COORDINADOR (A) DE PASTELERIA</v>
      </c>
      <c r="G1721" s="46">
        <v>45870</v>
      </c>
    </row>
    <row r="1722" spans="1:7" x14ac:dyDescent="0.2">
      <c r="A1722" s="27" t="s">
        <v>997</v>
      </c>
      <c r="B1722" s="35" t="s">
        <v>4016</v>
      </c>
      <c r="C1722" s="35" t="s">
        <v>720</v>
      </c>
      <c r="D1722" s="35" t="s">
        <v>998</v>
      </c>
      <c r="E1722" s="35" t="s">
        <v>180</v>
      </c>
      <c r="F1722" t="str" cm="1">
        <f t="array" ref="F1722">IFERROR(_xlfn.XLOOKUP(E1722,MapeoCargos!$A:$A,MapeoCargos!$B:$B,E1722),E1722)</f>
        <v>MANTENIMIENTO</v>
      </c>
      <c r="G1722" s="46">
        <v>45880</v>
      </c>
    </row>
    <row r="1723" spans="1:7" x14ac:dyDescent="0.2">
      <c r="A1723" s="27" t="s">
        <v>999</v>
      </c>
      <c r="B1723" s="35" t="s">
        <v>4016</v>
      </c>
      <c r="C1723" s="35" t="s">
        <v>720</v>
      </c>
      <c r="D1723" s="35" t="s">
        <v>1000</v>
      </c>
      <c r="E1723" s="35" t="s">
        <v>89</v>
      </c>
      <c r="F1723" t="str" cm="1">
        <f t="array" ref="F1723">IFERROR(_xlfn.XLOOKUP(E1723,MapeoCargos!$A:$A,MapeoCargos!$B:$B,E1723),E1723)</f>
        <v>PRODUCCIÓN / COCINA</v>
      </c>
      <c r="G1723" s="46">
        <v>45887</v>
      </c>
    </row>
    <row r="1724" spans="1:7" x14ac:dyDescent="0.2">
      <c r="A1724" s="27" t="s">
        <v>1001</v>
      </c>
      <c r="B1724" s="35" t="s">
        <v>4016</v>
      </c>
      <c r="C1724" s="35" t="s">
        <v>753</v>
      </c>
      <c r="D1724" s="35" t="s">
        <v>1002</v>
      </c>
      <c r="E1724" s="35" t="s">
        <v>127</v>
      </c>
      <c r="F1724" t="str" cm="1">
        <f t="array" ref="F1724">IFERROR(_xlfn.XLOOKUP(E1724,MapeoCargos!$A:$A,MapeoCargos!$B:$B,E1724),E1724)</f>
        <v>AZAFATA</v>
      </c>
      <c r="G1724" s="46">
        <v>45887</v>
      </c>
    </row>
    <row r="1725" spans="1:7" x14ac:dyDescent="0.2">
      <c r="A1725" s="27" t="s">
        <v>1003</v>
      </c>
      <c r="B1725" s="35" t="s">
        <v>4016</v>
      </c>
      <c r="C1725" s="35" t="s">
        <v>753</v>
      </c>
      <c r="D1725" s="35" t="s">
        <v>1004</v>
      </c>
      <c r="E1725" s="35" t="s">
        <v>902</v>
      </c>
      <c r="F1725" t="str" cm="1">
        <f t="array" ref="F1725">IFERROR(_xlfn.XLOOKUP(E1725,MapeoCargos!$A:$A,MapeoCargos!$B:$B,E1725),E1725)</f>
        <v>BAR</v>
      </c>
      <c r="G1725" s="46">
        <v>45887</v>
      </c>
    </row>
    <row r="1726" spans="1:7" x14ac:dyDescent="0.2">
      <c r="A1726" s="27" t="s">
        <v>1005</v>
      </c>
      <c r="B1726" s="35" t="s">
        <v>4016</v>
      </c>
      <c r="C1726" s="35" t="s">
        <v>720</v>
      </c>
      <c r="D1726" s="35" t="s">
        <v>1006</v>
      </c>
      <c r="E1726" s="35" t="s">
        <v>89</v>
      </c>
      <c r="F1726" t="str" cm="1">
        <f t="array" ref="F1726">IFERROR(_xlfn.XLOOKUP(E1726,MapeoCargos!$A:$A,MapeoCargos!$B:$B,E1726),E1726)</f>
        <v>PRODUCCIÓN / COCINA</v>
      </c>
      <c r="G1726" s="46">
        <v>45887</v>
      </c>
    </row>
    <row r="1727" spans="1:7" x14ac:dyDescent="0.2">
      <c r="A1727" s="27" t="s">
        <v>1007</v>
      </c>
      <c r="B1727" s="35" t="s">
        <v>4016</v>
      </c>
      <c r="C1727" s="35" t="s">
        <v>753</v>
      </c>
      <c r="D1727" s="35" t="s">
        <v>1008</v>
      </c>
      <c r="E1727" s="35" t="s">
        <v>902</v>
      </c>
      <c r="F1727" t="str" cm="1">
        <f t="array" ref="F1727">IFERROR(_xlfn.XLOOKUP(E1727,MapeoCargos!$A:$A,MapeoCargos!$B:$B,E1727),E1727)</f>
        <v>BAR</v>
      </c>
      <c r="G1727" s="46">
        <v>45894</v>
      </c>
    </row>
    <row r="1728" spans="1:7" x14ac:dyDescent="0.2">
      <c r="A1728" s="27" t="s">
        <v>1009</v>
      </c>
      <c r="B1728" s="35" t="s">
        <v>4016</v>
      </c>
      <c r="C1728" s="35" t="s">
        <v>720</v>
      </c>
      <c r="D1728" s="35" t="s">
        <v>1010</v>
      </c>
      <c r="E1728" s="35" t="s">
        <v>180</v>
      </c>
      <c r="F1728" t="str" cm="1">
        <f t="array" ref="F1728">IFERROR(_xlfn.XLOOKUP(E1728,MapeoCargos!$A:$A,MapeoCargos!$B:$B,E1728),E1728)</f>
        <v>MANTENIMIENTO</v>
      </c>
      <c r="G1728" s="46">
        <v>45894</v>
      </c>
    </row>
    <row r="1729" spans="1:7" x14ac:dyDescent="0.2">
      <c r="A1729" s="27" t="s">
        <v>1011</v>
      </c>
      <c r="B1729" s="35" t="s">
        <v>4016</v>
      </c>
      <c r="C1729" s="35" t="s">
        <v>753</v>
      </c>
      <c r="D1729" s="35" t="s">
        <v>1012</v>
      </c>
      <c r="E1729" s="35" t="s">
        <v>110</v>
      </c>
      <c r="F1729" t="str" cm="1">
        <f t="array" ref="F1729">IFERROR(_xlfn.XLOOKUP(E1729,MapeoCargos!$A:$A,MapeoCargos!$B:$B,E1729),E1729)</f>
        <v>COUNTER</v>
      </c>
      <c r="G1729" s="46">
        <v>45901</v>
      </c>
    </row>
    <row r="1730" spans="1:7" x14ac:dyDescent="0.2">
      <c r="A1730" s="27" t="s">
        <v>3890</v>
      </c>
      <c r="B1730" s="35" t="s">
        <v>4016</v>
      </c>
      <c r="C1730" s="35" t="s">
        <v>4434</v>
      </c>
      <c r="D1730" s="35" t="s">
        <v>4040</v>
      </c>
      <c r="E1730" s="35" t="s">
        <v>699</v>
      </c>
      <c r="F1730" t="str" cm="1">
        <f t="array" ref="F1730">IFERROR(_xlfn.XLOOKUP(E1730,MapeoCargos!$A:$A,MapeoCargos!$B:$B,E1730),E1730)</f>
        <v>JEFE DE BEBIDAS</v>
      </c>
      <c r="G1730" s="46">
        <v>45908</v>
      </c>
    </row>
    <row r="1731" spans="1:7" x14ac:dyDescent="0.2">
      <c r="A1731" s="27" t="s">
        <v>3891</v>
      </c>
      <c r="B1731" s="35" t="s">
        <v>4016</v>
      </c>
      <c r="C1731" s="35" t="s">
        <v>720</v>
      </c>
      <c r="D1731" s="35" t="s">
        <v>4041</v>
      </c>
      <c r="E1731" s="35" t="s">
        <v>947</v>
      </c>
      <c r="F1731" t="str" cm="1">
        <f t="array" ref="F1731">IFERROR(_xlfn.XLOOKUP(E1731,MapeoCargos!$A:$A,MapeoCargos!$B:$B,E1731),E1731)</f>
        <v>CORREDOR</v>
      </c>
      <c r="G1731" s="46">
        <v>45915</v>
      </c>
    </row>
    <row r="1732" spans="1:7" x14ac:dyDescent="0.2">
      <c r="A1732" s="27" t="s">
        <v>3892</v>
      </c>
      <c r="B1732" s="35" t="s">
        <v>4016</v>
      </c>
      <c r="C1732" s="35" t="s">
        <v>720</v>
      </c>
      <c r="D1732" s="35" t="s">
        <v>4042</v>
      </c>
      <c r="E1732" s="35" t="s">
        <v>746</v>
      </c>
      <c r="F1732" t="str" cm="1">
        <f t="array" ref="F1732">IFERROR(_xlfn.XLOOKUP(E1732,MapeoCargos!$A:$A,MapeoCargos!$B:$B,E1732),E1732)</f>
        <v>CORREDOR</v>
      </c>
      <c r="G1732" s="46">
        <v>45915</v>
      </c>
    </row>
    <row r="1733" spans="1:7" x14ac:dyDescent="0.2">
      <c r="A1733" s="27" t="s">
        <v>3893</v>
      </c>
      <c r="B1733" s="35" t="s">
        <v>4016</v>
      </c>
      <c r="C1733" s="35" t="s">
        <v>720</v>
      </c>
      <c r="D1733" s="35" t="s">
        <v>4043</v>
      </c>
      <c r="E1733" s="35" t="s">
        <v>96</v>
      </c>
      <c r="F1733" t="str" cm="1">
        <f t="array" ref="F1733">IFERROR(_xlfn.XLOOKUP(E1733,MapeoCargos!$A:$A,MapeoCargos!$B:$B,E1733),E1733)</f>
        <v>VAJILLERO(A)</v>
      </c>
      <c r="G1733" s="46">
        <v>45915</v>
      </c>
    </row>
    <row r="1734" spans="1:7" x14ac:dyDescent="0.2">
      <c r="A1734" s="27" t="s">
        <v>3894</v>
      </c>
      <c r="B1734" s="35" t="s">
        <v>4016</v>
      </c>
      <c r="C1734" s="35" t="s">
        <v>753</v>
      </c>
      <c r="D1734" s="35" t="s">
        <v>4044</v>
      </c>
      <c r="E1734" s="35" t="s">
        <v>83</v>
      </c>
      <c r="F1734" t="str" cm="1">
        <f t="array" ref="F1734">IFERROR(_xlfn.XLOOKUP(E1734,MapeoCargos!$A:$A,MapeoCargos!$B:$B,E1734),E1734)</f>
        <v>PRODUCCIÓN / COCINA</v>
      </c>
      <c r="G1734" s="46">
        <v>45915</v>
      </c>
    </row>
    <row r="1735" spans="1:7" x14ac:dyDescent="0.2">
      <c r="A1735" s="27" t="s">
        <v>3895</v>
      </c>
      <c r="B1735" s="35" t="s">
        <v>4016</v>
      </c>
      <c r="C1735" s="35" t="s">
        <v>4434</v>
      </c>
      <c r="D1735" s="35" t="s">
        <v>4045</v>
      </c>
      <c r="E1735" s="35" t="s">
        <v>4046</v>
      </c>
      <c r="F1735" t="str" cm="1">
        <f t="array" ref="F1735">IFERROR(_xlfn.XLOOKUP(E1735,MapeoCargos!$A:$A,MapeoCargos!$B:$B,E1735),E1735)</f>
        <v>COORDINADOR (A) DE EVENTOS</v>
      </c>
      <c r="G1735" s="46">
        <v>45916</v>
      </c>
    </row>
    <row r="1736" spans="1:7" x14ac:dyDescent="0.2">
      <c r="A1736" s="27" t="s">
        <v>3896</v>
      </c>
      <c r="B1736" s="35" t="s">
        <v>4016</v>
      </c>
      <c r="C1736" s="35" t="s">
        <v>720</v>
      </c>
      <c r="D1736" s="35" t="s">
        <v>4047</v>
      </c>
      <c r="E1736" s="35" t="s">
        <v>167</v>
      </c>
      <c r="F1736" t="str" cm="1">
        <f t="array" ref="F1736">IFERROR(_xlfn.XLOOKUP(E1736,MapeoCargos!$A:$A,MapeoCargos!$B:$B,E1736),E1736)</f>
        <v xml:space="preserve">ANFITRIONAJE </v>
      </c>
      <c r="G1736" s="46">
        <v>45916</v>
      </c>
    </row>
    <row r="1737" spans="1:7" x14ac:dyDescent="0.2">
      <c r="A1737" s="27" t="s">
        <v>3897</v>
      </c>
      <c r="B1737" s="35" t="s">
        <v>4016</v>
      </c>
      <c r="C1737" s="35" t="s">
        <v>4435</v>
      </c>
      <c r="D1737" s="35" t="s">
        <v>4048</v>
      </c>
      <c r="E1737" s="35" t="s">
        <v>89</v>
      </c>
      <c r="F1737" t="str" cm="1">
        <f t="array" ref="F1737">IFERROR(_xlfn.XLOOKUP(E1737,MapeoCargos!$A:$A,MapeoCargos!$B:$B,E1737),E1737)</f>
        <v>PRODUCCIÓN / COCINA</v>
      </c>
      <c r="G1737" s="46">
        <v>45922</v>
      </c>
    </row>
    <row r="1738" spans="1:7" x14ac:dyDescent="0.2">
      <c r="A1738" s="27" t="s">
        <v>3898</v>
      </c>
      <c r="B1738" s="35" t="s">
        <v>4016</v>
      </c>
      <c r="C1738" s="35" t="s">
        <v>720</v>
      </c>
      <c r="D1738" s="35" t="s">
        <v>4049</v>
      </c>
      <c r="E1738" s="35" t="s">
        <v>127</v>
      </c>
      <c r="F1738" t="str" cm="1">
        <f t="array" ref="F1738">IFERROR(_xlfn.XLOOKUP(E1738,MapeoCargos!$A:$A,MapeoCargos!$B:$B,E1738),E1738)</f>
        <v>AZAFATA</v>
      </c>
      <c r="G1738" s="46">
        <v>45931</v>
      </c>
    </row>
    <row r="1739" spans="1:7" x14ac:dyDescent="0.2">
      <c r="A1739" s="27" t="s">
        <v>3899</v>
      </c>
      <c r="B1739" s="35" t="s">
        <v>4016</v>
      </c>
      <c r="C1739" s="35" t="s">
        <v>720</v>
      </c>
      <c r="D1739" s="35" t="s">
        <v>4050</v>
      </c>
      <c r="E1739" s="35" t="s">
        <v>200</v>
      </c>
      <c r="F1739" t="str" cm="1">
        <f t="array" ref="F1739">IFERROR(_xlfn.XLOOKUP(E1739,MapeoCargos!$A:$A,MapeoCargos!$B:$B,E1739),E1739)</f>
        <v>SEGURIDAD</v>
      </c>
      <c r="G1739" s="46">
        <v>45931</v>
      </c>
    </row>
    <row r="1740" spans="1:7" x14ac:dyDescent="0.2">
      <c r="A1740" s="27" t="s">
        <v>3900</v>
      </c>
      <c r="B1740" s="35" t="s">
        <v>4016</v>
      </c>
      <c r="C1740" s="35" t="s">
        <v>720</v>
      </c>
      <c r="D1740" s="35" t="s">
        <v>4051</v>
      </c>
      <c r="E1740" s="35" t="s">
        <v>200</v>
      </c>
      <c r="F1740" t="str" cm="1">
        <f t="array" ref="F1740">IFERROR(_xlfn.XLOOKUP(E1740,MapeoCargos!$A:$A,MapeoCargos!$B:$B,E1740),E1740)</f>
        <v>SEGURIDAD</v>
      </c>
      <c r="G1740" s="46">
        <v>45931</v>
      </c>
    </row>
    <row r="1741" spans="1:7" x14ac:dyDescent="0.2">
      <c r="A1741" s="27" t="s">
        <v>903</v>
      </c>
      <c r="B1741" s="35" t="s">
        <v>4016</v>
      </c>
      <c r="C1741" s="35" t="s">
        <v>720</v>
      </c>
      <c r="D1741" s="35" t="s">
        <v>904</v>
      </c>
      <c r="E1741" s="35" t="s">
        <v>83</v>
      </c>
      <c r="F1741" t="str" cm="1">
        <f t="array" ref="F1741">IFERROR(_xlfn.XLOOKUP(E1741,MapeoCargos!$A:$A,MapeoCargos!$B:$B,E1741),E1741)</f>
        <v>PRODUCCIÓN / COCINA</v>
      </c>
      <c r="G1741" s="46">
        <v>45931</v>
      </c>
    </row>
    <row r="1742" spans="1:7" x14ac:dyDescent="0.2">
      <c r="A1742" s="27" t="s">
        <v>3901</v>
      </c>
      <c r="B1742" s="35" t="s">
        <v>4016</v>
      </c>
      <c r="C1742" s="35" t="s">
        <v>720</v>
      </c>
      <c r="D1742" s="35" t="s">
        <v>4052</v>
      </c>
      <c r="E1742" s="35" t="s">
        <v>96</v>
      </c>
      <c r="F1742" t="str" cm="1">
        <f t="array" ref="F1742">IFERROR(_xlfn.XLOOKUP(E1742,MapeoCargos!$A:$A,MapeoCargos!$B:$B,E1742),E1742)</f>
        <v>VAJILLERO(A)</v>
      </c>
      <c r="G1742" s="46">
        <v>45931</v>
      </c>
    </row>
    <row r="1743" spans="1:7" x14ac:dyDescent="0.2">
      <c r="A1743" s="27" t="s">
        <v>1930</v>
      </c>
      <c r="B1743" s="35" t="s">
        <v>4016</v>
      </c>
      <c r="C1743" s="35" t="s">
        <v>720</v>
      </c>
      <c r="D1743" s="35" t="s">
        <v>1931</v>
      </c>
      <c r="E1743" s="35" t="s">
        <v>746</v>
      </c>
      <c r="F1743" t="str" cm="1">
        <f t="array" ref="F1743">IFERROR(_xlfn.XLOOKUP(E1743,MapeoCargos!$A:$A,MapeoCargos!$B:$B,E1743),E1743)</f>
        <v>CORREDOR</v>
      </c>
      <c r="G1743" s="46">
        <v>45931</v>
      </c>
    </row>
    <row r="1744" spans="1:7" x14ac:dyDescent="0.2">
      <c r="A1744" s="27" t="s">
        <v>3902</v>
      </c>
      <c r="B1744" s="35" t="s">
        <v>4016</v>
      </c>
      <c r="C1744" s="35" t="s">
        <v>697</v>
      </c>
      <c r="D1744" s="35" t="s">
        <v>4053</v>
      </c>
      <c r="E1744" s="35" t="s">
        <v>30</v>
      </c>
      <c r="F1744" t="str" cm="1">
        <f t="array" ref="F1744">IFERROR(_xlfn.XLOOKUP(E1744,MapeoCargos!$A:$A,MapeoCargos!$B:$B,E1744),E1744)</f>
        <v>STAFF ADMINISTRATIVO</v>
      </c>
      <c r="G1744" s="46">
        <v>45936</v>
      </c>
    </row>
    <row r="1745" spans="1:7" x14ac:dyDescent="0.2">
      <c r="A1745" s="27" t="s">
        <v>4315</v>
      </c>
      <c r="B1745" s="35" t="s">
        <v>4016</v>
      </c>
      <c r="C1745" s="35" t="s">
        <v>753</v>
      </c>
      <c r="D1745" s="35" t="s">
        <v>4436</v>
      </c>
      <c r="E1745" s="35" t="s">
        <v>83</v>
      </c>
      <c r="F1745" t="str" cm="1">
        <f t="array" ref="F1745">IFERROR(_xlfn.XLOOKUP(E1745,MapeoCargos!$A:$A,MapeoCargos!$B:$B,E1745),E1745)</f>
        <v>PRODUCCIÓN / COCINA</v>
      </c>
      <c r="G1745" s="46">
        <v>45943</v>
      </c>
    </row>
    <row r="1746" spans="1:7" x14ac:dyDescent="0.2">
      <c r="A1746" s="27" t="s">
        <v>4316</v>
      </c>
      <c r="B1746" s="35" t="s">
        <v>4016</v>
      </c>
      <c r="C1746" s="35" t="s">
        <v>753</v>
      </c>
      <c r="D1746" s="35" t="s">
        <v>4437</v>
      </c>
      <c r="E1746" s="35" t="s">
        <v>110</v>
      </c>
      <c r="F1746" t="str" cm="1">
        <f t="array" ref="F1746">IFERROR(_xlfn.XLOOKUP(E1746,MapeoCargos!$A:$A,MapeoCargos!$B:$B,E1746),E1746)</f>
        <v>COUNTER</v>
      </c>
      <c r="G1746" s="46">
        <v>45950</v>
      </c>
    </row>
    <row r="1747" spans="1:7" x14ac:dyDescent="0.2">
      <c r="A1747" s="27" t="s">
        <v>4317</v>
      </c>
      <c r="B1747" s="35" t="s">
        <v>4016</v>
      </c>
      <c r="C1747" s="35" t="s">
        <v>753</v>
      </c>
      <c r="D1747" s="35" t="s">
        <v>4438</v>
      </c>
      <c r="E1747" s="35" t="s">
        <v>83</v>
      </c>
      <c r="F1747" t="str" cm="1">
        <f t="array" ref="F1747">IFERROR(_xlfn.XLOOKUP(E1747,MapeoCargos!$A:$A,MapeoCargos!$B:$B,E1747),E1747)</f>
        <v>PRODUCCIÓN / COCINA</v>
      </c>
      <c r="G1747" s="46">
        <v>45953</v>
      </c>
    </row>
    <row r="1748" spans="1:7" x14ac:dyDescent="0.2">
      <c r="A1748" s="27" t="s">
        <v>4318</v>
      </c>
      <c r="B1748" s="35" t="s">
        <v>4016</v>
      </c>
      <c r="C1748" s="35" t="s">
        <v>4439</v>
      </c>
      <c r="D1748" s="35" t="s">
        <v>4440</v>
      </c>
      <c r="E1748" s="35" t="s">
        <v>4441</v>
      </c>
      <c r="F1748" t="str" cm="1">
        <f t="array" ref="F1748">IFERROR(_xlfn.XLOOKUP(E1748,MapeoCargos!$A:$A,MapeoCargos!$B:$B,E1748),E1748)</f>
        <v>SUPERVISOR DE BAR</v>
      </c>
      <c r="G1748" s="46">
        <v>45953</v>
      </c>
    </row>
    <row r="1749" spans="1:7" x14ac:dyDescent="0.2">
      <c r="A1749" s="27" t="s">
        <v>4319</v>
      </c>
      <c r="B1749" s="35" t="s">
        <v>4016</v>
      </c>
      <c r="C1749" s="35" t="s">
        <v>4435</v>
      </c>
      <c r="D1749" s="35" t="s">
        <v>4442</v>
      </c>
      <c r="E1749" s="35" t="s">
        <v>83</v>
      </c>
      <c r="F1749" t="str" cm="1">
        <f t="array" ref="F1749">IFERROR(_xlfn.XLOOKUP(E1749,MapeoCargos!$A:$A,MapeoCargos!$B:$B,E1749),E1749)</f>
        <v>PRODUCCIÓN / COCINA</v>
      </c>
      <c r="G1749" s="46">
        <v>45953</v>
      </c>
    </row>
    <row r="1750" spans="1:7" x14ac:dyDescent="0.2">
      <c r="A1750" s="27" t="s">
        <v>4320</v>
      </c>
      <c r="B1750" s="35" t="s">
        <v>4016</v>
      </c>
      <c r="C1750" s="35" t="s">
        <v>4435</v>
      </c>
      <c r="D1750" s="35" t="s">
        <v>4443</v>
      </c>
      <c r="E1750" s="35" t="s">
        <v>83</v>
      </c>
      <c r="F1750" t="str" cm="1">
        <f t="array" ref="F1750">IFERROR(_xlfn.XLOOKUP(E1750,MapeoCargos!$A:$A,MapeoCargos!$B:$B,E1750),E1750)</f>
        <v>PRODUCCIÓN / COCINA</v>
      </c>
      <c r="G1750" s="46">
        <v>45953</v>
      </c>
    </row>
    <row r="1751" spans="1:7" x14ac:dyDescent="0.2">
      <c r="A1751" s="27" t="s">
        <v>4321</v>
      </c>
      <c r="B1751" s="35" t="s">
        <v>4016</v>
      </c>
      <c r="C1751" s="35" t="s">
        <v>753</v>
      </c>
      <c r="D1751" s="35" t="s">
        <v>4444</v>
      </c>
      <c r="E1751" s="35" t="s">
        <v>110</v>
      </c>
      <c r="F1751" t="str" cm="1">
        <f t="array" ref="F1751">IFERROR(_xlfn.XLOOKUP(E1751,MapeoCargos!$A:$A,MapeoCargos!$B:$B,E1751),E1751)</f>
        <v>COUNTER</v>
      </c>
      <c r="G1751" s="46">
        <v>45962</v>
      </c>
    </row>
    <row r="1752" spans="1:7" x14ac:dyDescent="0.2">
      <c r="A1752" s="27" t="s">
        <v>4322</v>
      </c>
      <c r="B1752" s="35" t="s">
        <v>4016</v>
      </c>
      <c r="C1752" s="35" t="s">
        <v>4445</v>
      </c>
      <c r="D1752" s="35" t="s">
        <v>4446</v>
      </c>
      <c r="E1752" s="35" t="s">
        <v>96</v>
      </c>
      <c r="F1752" t="str" cm="1">
        <f t="array" ref="F1752">IFERROR(_xlfn.XLOOKUP(E1752,MapeoCargos!$A:$A,MapeoCargos!$B:$B,E1752),E1752)</f>
        <v>VAJILLERO(A)</v>
      </c>
      <c r="G1752" s="46">
        <v>45962</v>
      </c>
    </row>
    <row r="1753" spans="1:7" x14ac:dyDescent="0.2">
      <c r="A1753" s="27" t="s">
        <v>4323</v>
      </c>
      <c r="B1753" s="35" t="s">
        <v>4016</v>
      </c>
      <c r="C1753" s="35" t="s">
        <v>4435</v>
      </c>
      <c r="D1753" s="35" t="s">
        <v>4447</v>
      </c>
      <c r="E1753" s="35" t="s">
        <v>639</v>
      </c>
      <c r="F1753" t="str" cm="1">
        <f t="array" ref="F1753">IFERROR(_xlfn.XLOOKUP(E1753,MapeoCargos!$A:$A,MapeoCargos!$B:$B,E1753),E1753)</f>
        <v>BAR</v>
      </c>
      <c r="G1753" s="46">
        <v>45964</v>
      </c>
    </row>
    <row r="1754" spans="1:7" x14ac:dyDescent="0.2">
      <c r="A1754" s="27" t="s">
        <v>4324</v>
      </c>
      <c r="B1754" s="35" t="s">
        <v>4016</v>
      </c>
      <c r="C1754" s="35" t="s">
        <v>4435</v>
      </c>
      <c r="D1754" s="35" t="s">
        <v>4448</v>
      </c>
      <c r="E1754" s="35" t="s">
        <v>606</v>
      </c>
      <c r="F1754" t="str" cm="1">
        <f t="array" ref="F1754">IFERROR(_xlfn.XLOOKUP(E1754,MapeoCargos!$A:$A,MapeoCargos!$B:$B,E1754),E1754)</f>
        <v>BAR</v>
      </c>
      <c r="G1754" s="46">
        <v>45964</v>
      </c>
    </row>
    <row r="1755" spans="1:7" x14ac:dyDescent="0.2">
      <c r="A1755" s="27" t="s">
        <v>4325</v>
      </c>
      <c r="B1755" s="35" t="s">
        <v>4016</v>
      </c>
      <c r="C1755" s="35" t="s">
        <v>4435</v>
      </c>
      <c r="D1755" s="35" t="s">
        <v>4449</v>
      </c>
      <c r="E1755" s="35" t="s">
        <v>89</v>
      </c>
      <c r="F1755" t="str" cm="1">
        <f t="array" ref="F1755">IFERROR(_xlfn.XLOOKUP(E1755,MapeoCargos!$A:$A,MapeoCargos!$B:$B,E1755),E1755)</f>
        <v>PRODUCCIÓN / COCINA</v>
      </c>
      <c r="G1755" s="46">
        <v>45964</v>
      </c>
    </row>
    <row r="1756" spans="1:7" x14ac:dyDescent="0.2">
      <c r="A1756" s="27" t="s">
        <v>4326</v>
      </c>
      <c r="B1756" s="35" t="s">
        <v>4016</v>
      </c>
      <c r="C1756" s="35" t="s">
        <v>4435</v>
      </c>
      <c r="D1756" s="35" t="s">
        <v>4450</v>
      </c>
      <c r="E1756" s="35" t="s">
        <v>110</v>
      </c>
      <c r="F1756" t="str" cm="1">
        <f t="array" ref="F1756">IFERROR(_xlfn.XLOOKUP(E1756,MapeoCargos!$A:$A,MapeoCargos!$B:$B,E1756),E1756)</f>
        <v>COUNTER</v>
      </c>
      <c r="G1756" s="46">
        <v>45964</v>
      </c>
    </row>
    <row r="1757" spans="1:7" x14ac:dyDescent="0.2">
      <c r="A1757" s="27" t="s">
        <v>4327</v>
      </c>
      <c r="B1757" s="35" t="s">
        <v>4016</v>
      </c>
      <c r="C1757" s="35" t="s">
        <v>4435</v>
      </c>
      <c r="D1757" s="35" t="s">
        <v>4451</v>
      </c>
      <c r="E1757" s="35" t="s">
        <v>29</v>
      </c>
      <c r="F1757" t="str" cm="1">
        <f t="array" ref="F1757">IFERROR(_xlfn.XLOOKUP(E1757,MapeoCargos!$A:$A,MapeoCargos!$B:$B,E1757),E1757)</f>
        <v>MOZO</v>
      </c>
      <c r="G1757" s="46">
        <v>45964</v>
      </c>
    </row>
    <row r="1758" spans="1:7" x14ac:dyDescent="0.2">
      <c r="A1758" s="27" t="s">
        <v>4328</v>
      </c>
      <c r="B1758" s="35" t="s">
        <v>4016</v>
      </c>
      <c r="C1758" s="35" t="s">
        <v>4435</v>
      </c>
      <c r="D1758" s="35" t="s">
        <v>4452</v>
      </c>
      <c r="E1758" s="35" t="s">
        <v>29</v>
      </c>
      <c r="F1758" t="str" cm="1">
        <f t="array" ref="F1758">IFERROR(_xlfn.XLOOKUP(E1758,MapeoCargos!$A:$A,MapeoCargos!$B:$B,E1758),E1758)</f>
        <v>MOZO</v>
      </c>
      <c r="G1758" s="46">
        <v>45964</v>
      </c>
    </row>
    <row r="1759" spans="1:7" x14ac:dyDescent="0.2">
      <c r="A1759" s="27" t="s">
        <v>4329</v>
      </c>
      <c r="B1759" s="35" t="s">
        <v>4016</v>
      </c>
      <c r="C1759" s="35" t="s">
        <v>4435</v>
      </c>
      <c r="D1759" s="35" t="s">
        <v>4453</v>
      </c>
      <c r="E1759" s="35" t="s">
        <v>29</v>
      </c>
      <c r="F1759" t="str" cm="1">
        <f t="array" ref="F1759">IFERROR(_xlfn.XLOOKUP(E1759,MapeoCargos!$A:$A,MapeoCargos!$B:$B,E1759),E1759)</f>
        <v>MOZO</v>
      </c>
      <c r="G1759" s="46">
        <v>45964</v>
      </c>
    </row>
    <row r="1760" spans="1:7" x14ac:dyDescent="0.2">
      <c r="A1760" s="27" t="s">
        <v>4330</v>
      </c>
      <c r="B1760" s="35" t="s">
        <v>4016</v>
      </c>
      <c r="C1760" s="35" t="s">
        <v>4435</v>
      </c>
      <c r="D1760" s="35" t="s">
        <v>4454</v>
      </c>
      <c r="E1760" s="35" t="s">
        <v>29</v>
      </c>
      <c r="F1760" t="str" cm="1">
        <f t="array" ref="F1760">IFERROR(_xlfn.XLOOKUP(E1760,MapeoCargos!$A:$A,MapeoCargos!$B:$B,E1760),E1760)</f>
        <v>MOZO</v>
      </c>
      <c r="G1760" s="46">
        <v>45964</v>
      </c>
    </row>
    <row r="1761" spans="1:7" x14ac:dyDescent="0.2">
      <c r="A1761" s="27" t="s">
        <v>4331</v>
      </c>
      <c r="B1761" s="35" t="s">
        <v>4016</v>
      </c>
      <c r="C1761" s="35" t="s">
        <v>4439</v>
      </c>
      <c r="D1761" s="35" t="s">
        <v>4455</v>
      </c>
      <c r="E1761" s="35" t="s">
        <v>639</v>
      </c>
      <c r="F1761" t="str" cm="1">
        <f t="array" ref="F1761">IFERROR(_xlfn.XLOOKUP(E1761,MapeoCargos!$A:$A,MapeoCargos!$B:$B,E1761),E1761)</f>
        <v>BAR</v>
      </c>
      <c r="G1761" s="46">
        <v>45964</v>
      </c>
    </row>
    <row r="1762" spans="1:7" x14ac:dyDescent="0.2">
      <c r="A1762" s="27" t="s">
        <v>4332</v>
      </c>
      <c r="B1762" s="35" t="s">
        <v>4016</v>
      </c>
      <c r="C1762" s="35" t="s">
        <v>4439</v>
      </c>
      <c r="D1762" s="35" t="s">
        <v>4456</v>
      </c>
      <c r="E1762" s="35" t="s">
        <v>606</v>
      </c>
      <c r="F1762" t="str" cm="1">
        <f t="array" ref="F1762">IFERROR(_xlfn.XLOOKUP(E1762,MapeoCargos!$A:$A,MapeoCargos!$B:$B,E1762),E1762)</f>
        <v>BAR</v>
      </c>
      <c r="G1762" s="46">
        <v>45964</v>
      </c>
    </row>
    <row r="1763" spans="1:7" x14ac:dyDescent="0.2">
      <c r="A1763" s="27" t="s">
        <v>4333</v>
      </c>
      <c r="B1763" s="35" t="s">
        <v>4016</v>
      </c>
      <c r="C1763" s="35" t="s">
        <v>4439</v>
      </c>
      <c r="D1763" s="35" t="s">
        <v>4457</v>
      </c>
      <c r="E1763" s="35" t="s">
        <v>746</v>
      </c>
      <c r="F1763" t="str" cm="1">
        <f t="array" ref="F1763">IFERROR(_xlfn.XLOOKUP(E1763,MapeoCargos!$A:$A,MapeoCargos!$B:$B,E1763),E1763)</f>
        <v>CORREDOR</v>
      </c>
      <c r="G1763" s="46">
        <v>45964</v>
      </c>
    </row>
    <row r="1764" spans="1:7" x14ac:dyDescent="0.2">
      <c r="A1764" s="27" t="s">
        <v>4334</v>
      </c>
      <c r="B1764" s="35" t="s">
        <v>4016</v>
      </c>
      <c r="C1764" s="35" t="s">
        <v>4439</v>
      </c>
      <c r="D1764" s="35" t="s">
        <v>4458</v>
      </c>
      <c r="E1764" s="35" t="s">
        <v>29</v>
      </c>
      <c r="F1764" t="str" cm="1">
        <f t="array" ref="F1764">IFERROR(_xlfn.XLOOKUP(E1764,MapeoCargos!$A:$A,MapeoCargos!$B:$B,E1764),E1764)</f>
        <v>MOZO</v>
      </c>
      <c r="G1764" s="46">
        <v>45964</v>
      </c>
    </row>
    <row r="1765" spans="1:7" x14ac:dyDescent="0.2">
      <c r="A1765" s="29" t="s">
        <v>4335</v>
      </c>
      <c r="B1765" s="35" t="s">
        <v>4016</v>
      </c>
      <c r="C1765" s="35" t="s">
        <v>4435</v>
      </c>
      <c r="D1765" s="35" t="s">
        <v>4459</v>
      </c>
      <c r="E1765" s="35" t="s">
        <v>3814</v>
      </c>
      <c r="F1765" t="str" cm="1">
        <f t="array" ref="F1765">IFERROR(_xlfn.XLOOKUP(E1765,MapeoCargos!$A:$A,MapeoCargos!$B:$B,E1765),E1765)</f>
        <v>JEFE DE COCINA</v>
      </c>
      <c r="G1765" s="46">
        <v>45964</v>
      </c>
    </row>
    <row r="1766" spans="1:7" x14ac:dyDescent="0.2">
      <c r="A1766" s="29" t="s">
        <v>4336</v>
      </c>
      <c r="B1766" s="35" t="s">
        <v>4016</v>
      </c>
      <c r="C1766" s="35" t="s">
        <v>4439</v>
      </c>
      <c r="D1766" s="35" t="s">
        <v>4460</v>
      </c>
      <c r="E1766" s="35" t="s">
        <v>4461</v>
      </c>
      <c r="F1766" t="str" cm="1">
        <f t="array" ref="F1766">IFERROR(_xlfn.XLOOKUP(E1766,MapeoCargos!$A:$A,MapeoCargos!$B:$B,E1766),E1766)</f>
        <v>SOCIAL MEDIA MANAGER</v>
      </c>
      <c r="G1766" s="46">
        <v>45964</v>
      </c>
    </row>
    <row r="1767" spans="1:7" x14ac:dyDescent="0.2">
      <c r="A1767" s="28" t="s">
        <v>4337</v>
      </c>
      <c r="B1767" s="35" t="s">
        <v>4016</v>
      </c>
      <c r="C1767" s="35" t="s">
        <v>753</v>
      </c>
      <c r="D1767" s="35" t="s">
        <v>4462</v>
      </c>
      <c r="E1767" s="35" t="s">
        <v>96</v>
      </c>
      <c r="F1767" t="str" cm="1">
        <f t="array" ref="F1767">IFERROR(_xlfn.XLOOKUP(E1767,MapeoCargos!$A:$A,MapeoCargos!$B:$B,E1767),E1767)</f>
        <v>VAJILLERO(A)</v>
      </c>
      <c r="G1767" s="46">
        <v>45964</v>
      </c>
    </row>
    <row r="1768" spans="1:7" x14ac:dyDescent="0.2">
      <c r="A1768" s="28" t="s">
        <v>4338</v>
      </c>
      <c r="B1768" s="35" t="s">
        <v>4016</v>
      </c>
      <c r="C1768" s="35" t="s">
        <v>4435</v>
      </c>
      <c r="D1768" s="35" t="s">
        <v>4463</v>
      </c>
      <c r="E1768" s="35" t="s">
        <v>29</v>
      </c>
      <c r="F1768" t="str" cm="1">
        <f t="array" ref="F1768">IFERROR(_xlfn.XLOOKUP(E1768,MapeoCargos!$A:$A,MapeoCargos!$B:$B,E1768),E1768)</f>
        <v>MOZO</v>
      </c>
      <c r="G1768" s="46">
        <v>45964</v>
      </c>
    </row>
    <row r="1769" spans="1:7" x14ac:dyDescent="0.2">
      <c r="A1769" s="28" t="s">
        <v>4339</v>
      </c>
      <c r="B1769" s="35" t="s">
        <v>4016</v>
      </c>
      <c r="C1769" s="35" t="s">
        <v>697</v>
      </c>
      <c r="D1769" s="35" t="s">
        <v>4464</v>
      </c>
      <c r="E1769" s="35" t="s">
        <v>1572</v>
      </c>
      <c r="F1769" t="str" cm="1">
        <f t="array" ref="F1769">IFERROR(_xlfn.XLOOKUP(E1769,MapeoCargos!$A:$A,MapeoCargos!$B:$B,E1769),E1769)</f>
        <v>JEFE DE CALIDAD</v>
      </c>
      <c r="G1769" s="46">
        <v>45966</v>
      </c>
    </row>
    <row r="1770" spans="1:7" x14ac:dyDescent="0.2">
      <c r="A1770" s="28" t="s">
        <v>4572</v>
      </c>
      <c r="B1770" s="35" t="s">
        <v>4016</v>
      </c>
      <c r="C1770" s="35" t="s">
        <v>4439</v>
      </c>
      <c r="D1770" s="35" t="s">
        <v>4677</v>
      </c>
      <c r="E1770" s="35" t="s">
        <v>3439</v>
      </c>
      <c r="F1770" t="str" cm="1">
        <f t="array" ref="F1770">IFERROR(_xlfn.XLOOKUP(E1770,MapeoCargos!$A:$A,MapeoCargos!$B:$B,E1770),E1770)</f>
        <v>ALMACENERO</v>
      </c>
      <c r="G1770" s="46">
        <v>45971</v>
      </c>
    </row>
    <row r="1771" spans="1:7" x14ac:dyDescent="0.2">
      <c r="A1771" s="28" t="s">
        <v>4573</v>
      </c>
      <c r="B1771" s="35" t="s">
        <v>4016</v>
      </c>
      <c r="C1771" s="35" t="s">
        <v>720</v>
      </c>
      <c r="D1771" s="35" t="s">
        <v>4678</v>
      </c>
      <c r="E1771" s="35" t="s">
        <v>888</v>
      </c>
      <c r="F1771" t="str" cm="1">
        <f t="array" ref="F1771">IFERROR(_xlfn.XLOOKUP(E1771,MapeoCargos!$A:$A,MapeoCargos!$B:$B,E1771),E1771)</f>
        <v>AYUDANTE DE PASTELERIA</v>
      </c>
      <c r="G1771" s="46">
        <v>45978</v>
      </c>
    </row>
    <row r="1772" spans="1:7" x14ac:dyDescent="0.2">
      <c r="A1772" s="28" t="s">
        <v>4574</v>
      </c>
      <c r="B1772" s="35" t="s">
        <v>4016</v>
      </c>
      <c r="C1772" s="35" t="s">
        <v>720</v>
      </c>
      <c r="D1772" s="35" t="s">
        <v>4679</v>
      </c>
      <c r="E1772" s="35" t="s">
        <v>96</v>
      </c>
      <c r="F1772" t="str" cm="1">
        <f t="array" ref="F1772">IFERROR(_xlfn.XLOOKUP(E1772,MapeoCargos!$A:$A,MapeoCargos!$B:$B,E1772),E1772)</f>
        <v>VAJILLERO(A)</v>
      </c>
      <c r="G1772" s="46">
        <v>45985</v>
      </c>
    </row>
    <row r="1773" spans="1:7" x14ac:dyDescent="0.2">
      <c r="A1773" s="28" t="s">
        <v>4575</v>
      </c>
      <c r="B1773" s="35" t="s">
        <v>4016</v>
      </c>
      <c r="C1773" s="35" t="s">
        <v>720</v>
      </c>
      <c r="D1773" s="35" t="s">
        <v>4680</v>
      </c>
      <c r="E1773" s="35" t="s">
        <v>29</v>
      </c>
      <c r="F1773" t="str" cm="1">
        <f t="array" ref="F1773">IFERROR(_xlfn.XLOOKUP(E1773,MapeoCargos!$A:$A,MapeoCargos!$B:$B,E1773),E1773)</f>
        <v>MOZO</v>
      </c>
      <c r="G1773" s="46">
        <v>45985</v>
      </c>
    </row>
    <row r="1774" spans="1:7" x14ac:dyDescent="0.2">
      <c r="A1774" s="27" t="s">
        <v>4576</v>
      </c>
      <c r="B1774" s="36" t="s">
        <v>4016</v>
      </c>
      <c r="C1774" s="35" t="s">
        <v>720</v>
      </c>
      <c r="D1774" s="35" t="s">
        <v>4681</v>
      </c>
      <c r="E1774" s="35" t="s">
        <v>746</v>
      </c>
      <c r="F1774" t="str" cm="1">
        <f t="array" ref="F1774">IFERROR(_xlfn.XLOOKUP(E1774,MapeoCargos!$A:$A,MapeoCargos!$B:$B,E1774),E1774)</f>
        <v>CORREDOR</v>
      </c>
      <c r="G1774" s="46">
        <v>45985</v>
      </c>
    </row>
    <row r="1775" spans="1:7" x14ac:dyDescent="0.2">
      <c r="A1775" s="27" t="s">
        <v>4577</v>
      </c>
      <c r="B1775" s="36" t="s">
        <v>4016</v>
      </c>
      <c r="C1775" s="35" t="s">
        <v>4435</v>
      </c>
      <c r="D1775" s="35" t="s">
        <v>4682</v>
      </c>
      <c r="E1775" s="35" t="s">
        <v>96</v>
      </c>
      <c r="F1775" t="str" cm="1">
        <f t="array" ref="F1775">IFERROR(_xlfn.XLOOKUP(E1775,MapeoCargos!$A:$A,MapeoCargos!$B:$B,E1775),E1775)</f>
        <v>VAJILLERO(A)</v>
      </c>
      <c r="G1775" s="46">
        <v>45985</v>
      </c>
    </row>
    <row r="1776" spans="1:7" x14ac:dyDescent="0.2">
      <c r="A1776" s="27" t="s">
        <v>4578</v>
      </c>
      <c r="B1776" s="36" t="s">
        <v>4016</v>
      </c>
      <c r="C1776" s="35" t="s">
        <v>4439</v>
      </c>
      <c r="D1776" s="35" t="s">
        <v>4683</v>
      </c>
      <c r="E1776" s="35" t="s">
        <v>3439</v>
      </c>
      <c r="F1776" t="str" cm="1">
        <f t="array" ref="F1776">IFERROR(_xlfn.XLOOKUP(E1776,MapeoCargos!$A:$A,MapeoCargos!$B:$B,E1776),E1776)</f>
        <v>ALMACENERO</v>
      </c>
      <c r="G1776" s="46">
        <v>45985</v>
      </c>
    </row>
    <row r="1777" spans="1:7" x14ac:dyDescent="0.2">
      <c r="A1777" s="27" t="s">
        <v>4579</v>
      </c>
      <c r="B1777" s="36" t="s">
        <v>4016</v>
      </c>
      <c r="C1777" s="35" t="s">
        <v>753</v>
      </c>
      <c r="D1777" s="35" t="s">
        <v>4684</v>
      </c>
      <c r="E1777" s="35" t="s">
        <v>89</v>
      </c>
      <c r="F1777" t="str" cm="1">
        <f t="array" ref="F1777">IFERROR(_xlfn.XLOOKUP(E1777,MapeoCargos!$A:$A,MapeoCargos!$B:$B,E1777),E1777)</f>
        <v>PRODUCCIÓN / COCINA</v>
      </c>
      <c r="G1777" s="46">
        <v>45985</v>
      </c>
    </row>
    <row r="1778" spans="1:7" x14ac:dyDescent="0.2">
      <c r="A1778" s="27" t="s">
        <v>4580</v>
      </c>
      <c r="B1778" s="36" t="s">
        <v>4016</v>
      </c>
      <c r="C1778" s="35" t="s">
        <v>4439</v>
      </c>
      <c r="D1778" s="35" t="s">
        <v>4685</v>
      </c>
      <c r="E1778" s="35" t="s">
        <v>758</v>
      </c>
      <c r="F1778" t="str" cm="1">
        <f t="array" ref="F1778">IFERROR(_xlfn.XLOOKUP(E1778,MapeoCargos!$A:$A,MapeoCargos!$B:$B,E1778),E1778)</f>
        <v>PRODUCCIÓN / COCINA</v>
      </c>
      <c r="G1778" s="46">
        <v>45985</v>
      </c>
    </row>
    <row r="1779" spans="1:7" x14ac:dyDescent="0.2">
      <c r="A1779" s="27" t="s">
        <v>1762</v>
      </c>
      <c r="B1779" s="36" t="s">
        <v>4016</v>
      </c>
      <c r="C1779" s="35" t="s">
        <v>720</v>
      </c>
      <c r="D1779" s="35" t="s">
        <v>1763</v>
      </c>
      <c r="E1779" s="35" t="s">
        <v>606</v>
      </c>
      <c r="F1779" t="str" cm="1">
        <f t="array" ref="F1779">IFERROR(_xlfn.XLOOKUP(E1779,MapeoCargos!$A:$A,MapeoCargos!$B:$B,E1779),E1779)</f>
        <v>BAR</v>
      </c>
      <c r="G1779" s="46">
        <v>45992</v>
      </c>
    </row>
    <row r="1780" spans="1:7" x14ac:dyDescent="0.2">
      <c r="A1780" s="27" t="s">
        <v>4581</v>
      </c>
      <c r="B1780" s="36" t="s">
        <v>4016</v>
      </c>
      <c r="C1780" s="35" t="s">
        <v>4439</v>
      </c>
      <c r="D1780" s="35" t="s">
        <v>4686</v>
      </c>
      <c r="E1780" s="35" t="s">
        <v>29</v>
      </c>
      <c r="F1780" t="str" cm="1">
        <f t="array" ref="F1780">IFERROR(_xlfn.XLOOKUP(E1780,MapeoCargos!$A:$A,MapeoCargos!$B:$B,E1780),E1780)</f>
        <v>MOZO</v>
      </c>
      <c r="G1780" s="46">
        <v>45993</v>
      </c>
    </row>
    <row r="1781" spans="1:7" x14ac:dyDescent="0.2">
      <c r="A1781" s="27" t="s">
        <v>4582</v>
      </c>
      <c r="B1781" s="36" t="s">
        <v>4016</v>
      </c>
      <c r="C1781" s="35" t="s">
        <v>720</v>
      </c>
      <c r="D1781" s="35" t="s">
        <v>4687</v>
      </c>
      <c r="E1781" s="35" t="s">
        <v>4039</v>
      </c>
      <c r="F1781" t="str" cm="1">
        <f t="array" ref="F1781">IFERROR(_xlfn.XLOOKUP(E1781,MapeoCargos!$A:$A,MapeoCargos!$B:$B,E1781),E1781)</f>
        <v>CORREDOR (A)</v>
      </c>
      <c r="G1781" s="46">
        <v>45993</v>
      </c>
    </row>
    <row r="1782" spans="1:7" x14ac:dyDescent="0.2">
      <c r="A1782" s="27" t="s">
        <v>2008</v>
      </c>
      <c r="B1782" s="36" t="s">
        <v>2009</v>
      </c>
      <c r="C1782" s="35" t="s">
        <v>26</v>
      </c>
      <c r="D1782" s="35" t="s">
        <v>2010</v>
      </c>
      <c r="E1782" s="35" t="s">
        <v>29</v>
      </c>
      <c r="F1782" t="str" cm="1">
        <f t="array" ref="F1782">IFERROR(_xlfn.XLOOKUP(E1782,MapeoCargos!$A:$A,MapeoCargos!$B:$B,E1782),E1782)</f>
        <v>MOZO</v>
      </c>
      <c r="G1782" s="46">
        <v>45413</v>
      </c>
    </row>
    <row r="1783" spans="1:7" x14ac:dyDescent="0.2">
      <c r="A1783" s="27" t="s">
        <v>2011</v>
      </c>
      <c r="B1783" s="36" t="s">
        <v>2009</v>
      </c>
      <c r="C1783" s="35" t="s">
        <v>26</v>
      </c>
      <c r="D1783" s="35" t="s">
        <v>2012</v>
      </c>
      <c r="E1783" s="35" t="s">
        <v>83</v>
      </c>
      <c r="F1783" t="str" cm="1">
        <f t="array" ref="F1783">IFERROR(_xlfn.XLOOKUP(E1783,MapeoCargos!$A:$A,MapeoCargos!$B:$B,E1783),E1783)</f>
        <v>PRODUCCIÓN / COCINA</v>
      </c>
      <c r="G1783" s="46">
        <v>45413</v>
      </c>
    </row>
    <row r="1784" spans="1:7" x14ac:dyDescent="0.2">
      <c r="A1784" s="27" t="s">
        <v>2013</v>
      </c>
      <c r="B1784" s="36" t="s">
        <v>2009</v>
      </c>
      <c r="C1784" s="35" t="s">
        <v>26</v>
      </c>
      <c r="D1784" s="35" t="s">
        <v>2014</v>
      </c>
      <c r="E1784" s="35" t="s">
        <v>96</v>
      </c>
      <c r="F1784" t="str" cm="1">
        <f t="array" ref="F1784">IFERROR(_xlfn.XLOOKUP(E1784,MapeoCargos!$A:$A,MapeoCargos!$B:$B,E1784),E1784)</f>
        <v>VAJILLERO(A)</v>
      </c>
      <c r="G1784" s="46">
        <v>45413</v>
      </c>
    </row>
    <row r="1785" spans="1:7" x14ac:dyDescent="0.2">
      <c r="A1785" s="27" t="s">
        <v>2015</v>
      </c>
      <c r="B1785" s="36" t="s">
        <v>2009</v>
      </c>
      <c r="C1785" s="35" t="s">
        <v>26</v>
      </c>
      <c r="D1785" s="35" t="s">
        <v>2016</v>
      </c>
      <c r="E1785" s="35" t="s">
        <v>731</v>
      </c>
      <c r="F1785" t="str" cm="1">
        <f t="array" ref="F1785">IFERROR(_xlfn.XLOOKUP(E1785,MapeoCargos!$A:$A,MapeoCargos!$B:$B,E1785),E1785)</f>
        <v>COORDINADOR(A) DE BAR</v>
      </c>
      <c r="G1785" s="46">
        <v>45413</v>
      </c>
    </row>
    <row r="1786" spans="1:7" x14ac:dyDescent="0.2">
      <c r="A1786" s="27" t="s">
        <v>2017</v>
      </c>
      <c r="B1786" s="36" t="s">
        <v>2009</v>
      </c>
      <c r="C1786" s="35" t="s">
        <v>26</v>
      </c>
      <c r="D1786" s="35" t="s">
        <v>2018</v>
      </c>
      <c r="E1786" s="35" t="s">
        <v>89</v>
      </c>
      <c r="F1786" t="str" cm="1">
        <f t="array" ref="F1786">IFERROR(_xlfn.XLOOKUP(E1786,MapeoCargos!$A:$A,MapeoCargos!$B:$B,E1786),E1786)</f>
        <v>PRODUCCIÓN / COCINA</v>
      </c>
      <c r="G1786" s="46">
        <v>45505</v>
      </c>
    </row>
    <row r="1787" spans="1:7" x14ac:dyDescent="0.2">
      <c r="A1787" s="27" t="s">
        <v>2019</v>
      </c>
      <c r="B1787" s="36" t="s">
        <v>2009</v>
      </c>
      <c r="C1787" s="35" t="s">
        <v>26</v>
      </c>
      <c r="D1787" s="35" t="s">
        <v>2020</v>
      </c>
      <c r="E1787" s="35" t="s">
        <v>83</v>
      </c>
      <c r="F1787" t="str" cm="1">
        <f t="array" ref="F1787">IFERROR(_xlfn.XLOOKUP(E1787,MapeoCargos!$A:$A,MapeoCargos!$B:$B,E1787),E1787)</f>
        <v>PRODUCCIÓN / COCINA</v>
      </c>
      <c r="G1787" s="46">
        <v>45505</v>
      </c>
    </row>
    <row r="1788" spans="1:7" x14ac:dyDescent="0.2">
      <c r="A1788" s="27" t="s">
        <v>2021</v>
      </c>
      <c r="B1788" s="36" t="s">
        <v>2009</v>
      </c>
      <c r="C1788" s="35" t="s">
        <v>26</v>
      </c>
      <c r="D1788" s="35" t="s">
        <v>2022</v>
      </c>
      <c r="E1788" s="35" t="s">
        <v>167</v>
      </c>
      <c r="F1788" t="str" cm="1">
        <f t="array" ref="F1788">IFERROR(_xlfn.XLOOKUP(E1788,MapeoCargos!$A:$A,MapeoCargos!$B:$B,E1788),E1788)</f>
        <v xml:space="preserve">ANFITRIONAJE </v>
      </c>
      <c r="G1788" s="46">
        <v>45505</v>
      </c>
    </row>
    <row r="1789" spans="1:7" x14ac:dyDescent="0.2">
      <c r="A1789" s="27" t="s">
        <v>2023</v>
      </c>
      <c r="B1789" s="36" t="s">
        <v>2009</v>
      </c>
      <c r="C1789" s="35" t="s">
        <v>26</v>
      </c>
      <c r="D1789" s="35" t="s">
        <v>2024</v>
      </c>
      <c r="E1789" s="35" t="s">
        <v>29</v>
      </c>
      <c r="F1789" t="str" cm="1">
        <f t="array" ref="F1789">IFERROR(_xlfn.XLOOKUP(E1789,MapeoCargos!$A:$A,MapeoCargos!$B:$B,E1789),E1789)</f>
        <v>MOZO</v>
      </c>
      <c r="G1789" s="46">
        <v>45505</v>
      </c>
    </row>
    <row r="1790" spans="1:7" x14ac:dyDescent="0.2">
      <c r="A1790" s="27" t="s">
        <v>2025</v>
      </c>
      <c r="B1790" s="36" t="s">
        <v>2009</v>
      </c>
      <c r="C1790" s="35" t="s">
        <v>26</v>
      </c>
      <c r="D1790" s="35" t="s">
        <v>2026</v>
      </c>
      <c r="E1790" s="35" t="s">
        <v>83</v>
      </c>
      <c r="F1790" t="str" cm="1">
        <f t="array" ref="F1790">IFERROR(_xlfn.XLOOKUP(E1790,MapeoCargos!$A:$A,MapeoCargos!$B:$B,E1790),E1790)</f>
        <v>PRODUCCIÓN / COCINA</v>
      </c>
      <c r="G1790" s="46">
        <v>45509</v>
      </c>
    </row>
    <row r="1791" spans="1:7" x14ac:dyDescent="0.2">
      <c r="A1791" s="27" t="s">
        <v>2027</v>
      </c>
      <c r="B1791" s="36" t="s">
        <v>2009</v>
      </c>
      <c r="C1791" s="35" t="s">
        <v>26</v>
      </c>
      <c r="D1791" s="35" t="s">
        <v>2028</v>
      </c>
      <c r="E1791" s="35" t="s">
        <v>2029</v>
      </c>
      <c r="F1791" t="str" cm="1">
        <f t="array" ref="F1791">IFERROR(_xlfn.XLOOKUP(E1791,MapeoCargos!$A:$A,MapeoCargos!$B:$B,E1791),E1791)</f>
        <v>ANALISTA DE OPERACIONES</v>
      </c>
      <c r="G1791" s="46">
        <v>45536</v>
      </c>
    </row>
    <row r="1792" spans="1:7" x14ac:dyDescent="0.2">
      <c r="A1792" s="27" t="s">
        <v>2030</v>
      </c>
      <c r="B1792" s="36" t="s">
        <v>2009</v>
      </c>
      <c r="C1792" s="35" t="s">
        <v>26</v>
      </c>
      <c r="D1792" s="35" t="s">
        <v>2031</v>
      </c>
      <c r="E1792" s="35" t="s">
        <v>739</v>
      </c>
      <c r="F1792" t="str" cm="1">
        <f t="array" ref="F1792">IFERROR(_xlfn.XLOOKUP(E1792,MapeoCargos!$A:$A,MapeoCargos!$B:$B,E1792),E1792)</f>
        <v>COORDINADOR(A) DE COCINA</v>
      </c>
      <c r="G1792" s="46">
        <v>45536</v>
      </c>
    </row>
    <row r="1793" spans="1:7" x14ac:dyDescent="0.2">
      <c r="A1793" s="27" t="s">
        <v>2032</v>
      </c>
      <c r="B1793" s="36" t="s">
        <v>2009</v>
      </c>
      <c r="C1793" s="35" t="s">
        <v>26</v>
      </c>
      <c r="D1793" s="35" t="s">
        <v>2033</v>
      </c>
      <c r="E1793" s="35" t="s">
        <v>2034</v>
      </c>
      <c r="F1793" t="str" cm="1">
        <f t="array" ref="F1793">IFERROR(_xlfn.XLOOKUP(E1793,MapeoCargos!$A:$A,MapeoCargos!$B:$B,E1793),E1793)</f>
        <v>ASISTENTE DE ALMACÉN</v>
      </c>
      <c r="G1793" s="46">
        <v>45536</v>
      </c>
    </row>
    <row r="1794" spans="1:7" x14ac:dyDescent="0.2">
      <c r="A1794" s="27" t="s">
        <v>2035</v>
      </c>
      <c r="B1794" s="36" t="s">
        <v>2009</v>
      </c>
      <c r="C1794" s="35" t="s">
        <v>26</v>
      </c>
      <c r="D1794" s="35" t="s">
        <v>2036</v>
      </c>
      <c r="E1794" s="35" t="s">
        <v>29</v>
      </c>
      <c r="F1794" t="str" cm="1">
        <f t="array" ref="F1794">IFERROR(_xlfn.XLOOKUP(E1794,MapeoCargos!$A:$A,MapeoCargos!$B:$B,E1794),E1794)</f>
        <v>MOZO</v>
      </c>
      <c r="G1794" s="46">
        <v>45542</v>
      </c>
    </row>
    <row r="1795" spans="1:7" x14ac:dyDescent="0.2">
      <c r="A1795" s="27" t="s">
        <v>2037</v>
      </c>
      <c r="B1795" s="35" t="s">
        <v>2009</v>
      </c>
      <c r="C1795" s="35" t="s">
        <v>26</v>
      </c>
      <c r="D1795" s="35" t="s">
        <v>2038</v>
      </c>
      <c r="E1795" s="35" t="s">
        <v>83</v>
      </c>
      <c r="F1795" t="str" cm="1">
        <f t="array" ref="F1795">IFERROR(_xlfn.XLOOKUP(E1795,MapeoCargos!$A:$A,MapeoCargos!$B:$B,E1795),E1795)</f>
        <v>PRODUCCIÓN / COCINA</v>
      </c>
      <c r="G1795" s="46">
        <v>45590</v>
      </c>
    </row>
    <row r="1796" spans="1:7" x14ac:dyDescent="0.2">
      <c r="A1796" s="27" t="s">
        <v>2039</v>
      </c>
      <c r="B1796" s="35" t="s">
        <v>2009</v>
      </c>
      <c r="C1796" s="35" t="s">
        <v>26</v>
      </c>
      <c r="D1796" s="35" t="s">
        <v>2040</v>
      </c>
      <c r="E1796" s="35" t="s">
        <v>746</v>
      </c>
      <c r="F1796" t="str" cm="1">
        <f t="array" ref="F1796">IFERROR(_xlfn.XLOOKUP(E1796,MapeoCargos!$A:$A,MapeoCargos!$B:$B,E1796),E1796)</f>
        <v>CORREDOR</v>
      </c>
      <c r="G1796" s="46">
        <v>45602</v>
      </c>
    </row>
    <row r="1797" spans="1:7" x14ac:dyDescent="0.2">
      <c r="A1797" s="27" t="s">
        <v>2042</v>
      </c>
      <c r="B1797" s="35" t="s">
        <v>2009</v>
      </c>
      <c r="C1797" s="35" t="s">
        <v>26</v>
      </c>
      <c r="D1797" s="35" t="s">
        <v>2043</v>
      </c>
      <c r="E1797" s="35" t="s">
        <v>83</v>
      </c>
      <c r="F1797" t="str" cm="1">
        <f t="array" ref="F1797">IFERROR(_xlfn.XLOOKUP(E1797,MapeoCargos!$A:$A,MapeoCargos!$B:$B,E1797),E1797)</f>
        <v>PRODUCCIÓN / COCINA</v>
      </c>
      <c r="G1797" s="46">
        <v>45677</v>
      </c>
    </row>
    <row r="1798" spans="1:7" x14ac:dyDescent="0.2">
      <c r="A1798" s="27" t="s">
        <v>2044</v>
      </c>
      <c r="B1798" s="35" t="s">
        <v>2009</v>
      </c>
      <c r="C1798" s="35" t="s">
        <v>26</v>
      </c>
      <c r="D1798" s="35" t="s">
        <v>2045</v>
      </c>
      <c r="E1798" s="35" t="s">
        <v>606</v>
      </c>
      <c r="F1798" t="str" cm="1">
        <f t="array" ref="F1798">IFERROR(_xlfn.XLOOKUP(E1798,MapeoCargos!$A:$A,MapeoCargos!$B:$B,E1798),E1798)</f>
        <v>BAR</v>
      </c>
      <c r="G1798" s="46">
        <v>45677</v>
      </c>
    </row>
    <row r="1799" spans="1:7" x14ac:dyDescent="0.2">
      <c r="A1799" s="27" t="s">
        <v>2046</v>
      </c>
      <c r="B1799" s="35" t="s">
        <v>2009</v>
      </c>
      <c r="C1799" s="35" t="s">
        <v>26</v>
      </c>
      <c r="D1799" s="35" t="s">
        <v>2047</v>
      </c>
      <c r="E1799" s="35" t="s">
        <v>180</v>
      </c>
      <c r="F1799" t="str" cm="1">
        <f t="array" ref="F1799">IFERROR(_xlfn.XLOOKUP(E1799,MapeoCargos!$A:$A,MapeoCargos!$B:$B,E1799),E1799)</f>
        <v>MANTENIMIENTO</v>
      </c>
      <c r="G1799" s="46">
        <v>45698</v>
      </c>
    </row>
    <row r="1800" spans="1:7" x14ac:dyDescent="0.2">
      <c r="A1800" s="27" t="s">
        <v>2048</v>
      </c>
      <c r="B1800" s="35" t="s">
        <v>2009</v>
      </c>
      <c r="C1800" s="35" t="s">
        <v>26</v>
      </c>
      <c r="D1800" s="35" t="s">
        <v>2049</v>
      </c>
      <c r="E1800" s="35" t="s">
        <v>214</v>
      </c>
      <c r="F1800" t="str" cm="1">
        <f t="array" ref="F1800">IFERROR(_xlfn.XLOOKUP(E1800,MapeoCargos!$A:$A,MapeoCargos!$B:$B,E1800),E1800)</f>
        <v>COMMUNITY MANAGER</v>
      </c>
      <c r="G1800" s="46">
        <v>45740</v>
      </c>
    </row>
    <row r="1801" spans="1:7" x14ac:dyDescent="0.2">
      <c r="A1801" s="27" t="s">
        <v>2050</v>
      </c>
      <c r="B1801" s="35" t="s">
        <v>2009</v>
      </c>
      <c r="C1801" s="35" t="s">
        <v>26</v>
      </c>
      <c r="D1801" s="35" t="s">
        <v>2051</v>
      </c>
      <c r="E1801" s="35" t="s">
        <v>746</v>
      </c>
      <c r="F1801" t="str" cm="1">
        <f t="array" ref="F1801">IFERROR(_xlfn.XLOOKUP(E1801,MapeoCargos!$A:$A,MapeoCargos!$B:$B,E1801),E1801)</f>
        <v>CORREDOR</v>
      </c>
      <c r="G1801" s="46">
        <v>45740</v>
      </c>
    </row>
    <row r="1802" spans="1:7" x14ac:dyDescent="0.2">
      <c r="A1802" s="27" t="s">
        <v>2052</v>
      </c>
      <c r="B1802" s="35" t="s">
        <v>2009</v>
      </c>
      <c r="C1802" s="35" t="s">
        <v>26</v>
      </c>
      <c r="D1802" s="35" t="s">
        <v>2053</v>
      </c>
      <c r="E1802" s="35" t="s">
        <v>606</v>
      </c>
      <c r="F1802" t="str" cm="1">
        <f t="array" ref="F1802">IFERROR(_xlfn.XLOOKUP(E1802,MapeoCargos!$A:$A,MapeoCargos!$B:$B,E1802),E1802)</f>
        <v>BAR</v>
      </c>
      <c r="G1802" s="46">
        <v>45748</v>
      </c>
    </row>
    <row r="1803" spans="1:7" x14ac:dyDescent="0.2">
      <c r="A1803" s="27" t="s">
        <v>2054</v>
      </c>
      <c r="B1803" s="35" t="s">
        <v>2009</v>
      </c>
      <c r="C1803" s="35" t="s">
        <v>26</v>
      </c>
      <c r="D1803" s="35" t="s">
        <v>2055</v>
      </c>
      <c r="E1803" s="35" t="s">
        <v>83</v>
      </c>
      <c r="F1803" t="str" cm="1">
        <f t="array" ref="F1803">IFERROR(_xlfn.XLOOKUP(E1803,MapeoCargos!$A:$A,MapeoCargos!$B:$B,E1803),E1803)</f>
        <v>PRODUCCIÓN / COCINA</v>
      </c>
      <c r="G1803" s="46">
        <v>45754</v>
      </c>
    </row>
    <row r="1804" spans="1:7" x14ac:dyDescent="0.2">
      <c r="A1804" s="27" t="s">
        <v>2056</v>
      </c>
      <c r="B1804" s="35" t="s">
        <v>2009</v>
      </c>
      <c r="C1804" s="35" t="s">
        <v>26</v>
      </c>
      <c r="D1804" s="35" t="s">
        <v>2057</v>
      </c>
      <c r="E1804" s="35" t="s">
        <v>83</v>
      </c>
      <c r="F1804" t="str" cm="1">
        <f t="array" ref="F1804">IFERROR(_xlfn.XLOOKUP(E1804,MapeoCargos!$A:$A,MapeoCargos!$B:$B,E1804),E1804)</f>
        <v>PRODUCCIÓN / COCINA</v>
      </c>
      <c r="G1804" s="46">
        <v>45785</v>
      </c>
    </row>
    <row r="1805" spans="1:7" x14ac:dyDescent="0.2">
      <c r="A1805" s="27" t="s">
        <v>2058</v>
      </c>
      <c r="B1805" s="35" t="s">
        <v>2009</v>
      </c>
      <c r="C1805" s="35" t="s">
        <v>26</v>
      </c>
      <c r="D1805" s="35" t="s">
        <v>2059</v>
      </c>
      <c r="E1805" s="35" t="s">
        <v>746</v>
      </c>
      <c r="F1805" t="str" cm="1">
        <f t="array" ref="F1805">IFERROR(_xlfn.XLOOKUP(E1805,MapeoCargos!$A:$A,MapeoCargos!$B:$B,E1805),E1805)</f>
        <v>CORREDOR</v>
      </c>
      <c r="G1805" s="46">
        <v>45803</v>
      </c>
    </row>
    <row r="1806" spans="1:7" x14ac:dyDescent="0.2">
      <c r="A1806" s="27" t="s">
        <v>2060</v>
      </c>
      <c r="B1806" s="35" t="s">
        <v>2009</v>
      </c>
      <c r="C1806" s="35" t="s">
        <v>26</v>
      </c>
      <c r="D1806" s="35" t="s">
        <v>2061</v>
      </c>
      <c r="E1806" s="35" t="s">
        <v>4038</v>
      </c>
      <c r="F1806" t="str" cm="1">
        <f t="array" ref="F1806">IFERROR(_xlfn.XLOOKUP(E1806,MapeoCargos!$A:$A,MapeoCargos!$B:$B,E1806),E1806)</f>
        <v>COCINERO (A)</v>
      </c>
      <c r="G1806" s="46">
        <v>45819</v>
      </c>
    </row>
    <row r="1807" spans="1:7" x14ac:dyDescent="0.2">
      <c r="A1807" s="27" t="s">
        <v>2062</v>
      </c>
      <c r="B1807" s="35" t="s">
        <v>2009</v>
      </c>
      <c r="C1807" s="35" t="s">
        <v>26</v>
      </c>
      <c r="D1807" s="35" t="s">
        <v>2063</v>
      </c>
      <c r="E1807" s="35" t="s">
        <v>1270</v>
      </c>
      <c r="F1807" t="str" cm="1">
        <f t="array" ref="F1807">IFERROR(_xlfn.XLOOKUP(E1807,MapeoCargos!$A:$A,MapeoCargos!$B:$B,E1807),E1807)</f>
        <v>VAJILLERO (A)</v>
      </c>
      <c r="G1807" s="46">
        <v>45824</v>
      </c>
    </row>
    <row r="1808" spans="1:7" x14ac:dyDescent="0.2">
      <c r="A1808" s="27" t="s">
        <v>2064</v>
      </c>
      <c r="B1808" s="35" t="s">
        <v>2009</v>
      </c>
      <c r="C1808" s="35" t="s">
        <v>26</v>
      </c>
      <c r="D1808" s="35" t="s">
        <v>2065</v>
      </c>
      <c r="E1808" s="35" t="s">
        <v>83</v>
      </c>
      <c r="F1808" t="str" cm="1">
        <f t="array" ref="F1808">IFERROR(_xlfn.XLOOKUP(E1808,MapeoCargos!$A:$A,MapeoCargos!$B:$B,E1808),E1808)</f>
        <v>PRODUCCIÓN / COCINA</v>
      </c>
      <c r="G1808" s="46">
        <v>45859</v>
      </c>
    </row>
    <row r="1809" spans="1:7" x14ac:dyDescent="0.2">
      <c r="A1809" s="27" t="s">
        <v>2066</v>
      </c>
      <c r="B1809" s="35" t="s">
        <v>2009</v>
      </c>
      <c r="C1809" s="35" t="s">
        <v>26</v>
      </c>
      <c r="D1809" s="35" t="s">
        <v>2067</v>
      </c>
      <c r="E1809" s="35" t="s">
        <v>2041</v>
      </c>
      <c r="F1809" t="str" cm="1">
        <f t="array" ref="F1809">IFERROR(_xlfn.XLOOKUP(E1809,MapeoCargos!$A:$A,MapeoCargos!$B:$B,E1809),E1809)</f>
        <v>VALET PARKING</v>
      </c>
      <c r="G1809" s="46">
        <v>45870</v>
      </c>
    </row>
    <row r="1810" spans="1:7" x14ac:dyDescent="0.2">
      <c r="A1810" s="27" t="s">
        <v>2068</v>
      </c>
      <c r="B1810" s="35" t="s">
        <v>2009</v>
      </c>
      <c r="C1810" s="35" t="s">
        <v>26</v>
      </c>
      <c r="D1810" s="35" t="s">
        <v>2069</v>
      </c>
      <c r="E1810" s="35" t="s">
        <v>746</v>
      </c>
      <c r="F1810" t="str" cm="1">
        <f t="array" ref="F1810">IFERROR(_xlfn.XLOOKUP(E1810,MapeoCargos!$A:$A,MapeoCargos!$B:$B,E1810),E1810)</f>
        <v>CORREDOR</v>
      </c>
      <c r="G1810" s="46">
        <v>45877</v>
      </c>
    </row>
    <row r="1811" spans="1:7" x14ac:dyDescent="0.2">
      <c r="A1811" s="27" t="s">
        <v>2070</v>
      </c>
      <c r="B1811" s="35" t="s">
        <v>2009</v>
      </c>
      <c r="C1811" s="35" t="s">
        <v>26</v>
      </c>
      <c r="D1811" s="35" t="s">
        <v>2071</v>
      </c>
      <c r="E1811" s="35" t="s">
        <v>83</v>
      </c>
      <c r="F1811" t="str" cm="1">
        <f t="array" ref="F1811">IFERROR(_xlfn.XLOOKUP(E1811,MapeoCargos!$A:$A,MapeoCargos!$B:$B,E1811),E1811)</f>
        <v>PRODUCCIÓN / COCINA</v>
      </c>
      <c r="G1811" s="46">
        <v>45877</v>
      </c>
    </row>
    <row r="1812" spans="1:7" x14ac:dyDescent="0.2">
      <c r="A1812" s="27" t="s">
        <v>2072</v>
      </c>
      <c r="B1812" s="35" t="s">
        <v>2009</v>
      </c>
      <c r="C1812" s="35" t="s">
        <v>26</v>
      </c>
      <c r="D1812" s="35" t="s">
        <v>2073</v>
      </c>
      <c r="E1812" s="35" t="s">
        <v>83</v>
      </c>
      <c r="F1812" t="str" cm="1">
        <f t="array" ref="F1812">IFERROR(_xlfn.XLOOKUP(E1812,MapeoCargos!$A:$A,MapeoCargos!$B:$B,E1812),E1812)</f>
        <v>PRODUCCIÓN / COCINA</v>
      </c>
      <c r="G1812" s="46">
        <v>45901</v>
      </c>
    </row>
    <row r="1813" spans="1:7" x14ac:dyDescent="0.2">
      <c r="A1813" s="27" t="s">
        <v>2074</v>
      </c>
      <c r="B1813" s="35" t="s">
        <v>2009</v>
      </c>
      <c r="C1813" s="35" t="s">
        <v>26</v>
      </c>
      <c r="D1813" s="35" t="s">
        <v>2075</v>
      </c>
      <c r="E1813" s="35" t="s">
        <v>83</v>
      </c>
      <c r="F1813" t="str" cm="1">
        <f t="array" ref="F1813">IFERROR(_xlfn.XLOOKUP(E1813,MapeoCargos!$A:$A,MapeoCargos!$B:$B,E1813),E1813)</f>
        <v>PRODUCCIÓN / COCINA</v>
      </c>
      <c r="G1813" s="46">
        <v>45901</v>
      </c>
    </row>
    <row r="1814" spans="1:7" x14ac:dyDescent="0.2">
      <c r="A1814" s="27" t="s">
        <v>3975</v>
      </c>
      <c r="B1814" s="35" t="s">
        <v>2009</v>
      </c>
      <c r="C1814" s="35" t="s">
        <v>26</v>
      </c>
      <c r="D1814" s="35" t="s">
        <v>4151</v>
      </c>
      <c r="E1814" s="35" t="s">
        <v>746</v>
      </c>
      <c r="F1814" t="str" cm="1">
        <f t="array" ref="F1814">IFERROR(_xlfn.XLOOKUP(E1814,MapeoCargos!$A:$A,MapeoCargos!$B:$B,E1814),E1814)</f>
        <v>CORREDOR</v>
      </c>
      <c r="G1814" s="46">
        <v>45936</v>
      </c>
    </row>
    <row r="1815" spans="1:7" x14ac:dyDescent="0.2">
      <c r="A1815" s="27" t="s">
        <v>3976</v>
      </c>
      <c r="B1815" s="35" t="s">
        <v>2009</v>
      </c>
      <c r="C1815" s="35" t="s">
        <v>26</v>
      </c>
      <c r="D1815" s="35" t="s">
        <v>4152</v>
      </c>
      <c r="E1815" s="35" t="s">
        <v>947</v>
      </c>
      <c r="F1815" t="str" cm="1">
        <f t="array" ref="F1815">IFERROR(_xlfn.XLOOKUP(E1815,MapeoCargos!$A:$A,MapeoCargos!$B:$B,E1815),E1815)</f>
        <v>CORREDOR</v>
      </c>
      <c r="G1815" s="46">
        <v>45936</v>
      </c>
    </row>
    <row r="1816" spans="1:7" x14ac:dyDescent="0.2">
      <c r="A1816" s="27" t="s">
        <v>4340</v>
      </c>
      <c r="B1816" s="35" t="s">
        <v>2009</v>
      </c>
      <c r="C1816" s="35" t="s">
        <v>26</v>
      </c>
      <c r="D1816" s="35" t="s">
        <v>4465</v>
      </c>
      <c r="E1816" s="35" t="s">
        <v>83</v>
      </c>
      <c r="F1816" t="str" cm="1">
        <f t="array" ref="F1816">IFERROR(_xlfn.XLOOKUP(E1816,MapeoCargos!$A:$A,MapeoCargos!$B:$B,E1816),E1816)</f>
        <v>PRODUCCIÓN / COCINA</v>
      </c>
      <c r="G1816" s="46">
        <v>45954</v>
      </c>
    </row>
    <row r="1817" spans="1:7" x14ac:dyDescent="0.2">
      <c r="A1817" s="27" t="s">
        <v>4341</v>
      </c>
      <c r="B1817" s="35" t="s">
        <v>2009</v>
      </c>
      <c r="C1817" s="35" t="s">
        <v>26</v>
      </c>
      <c r="D1817" s="35" t="s">
        <v>4466</v>
      </c>
      <c r="E1817" s="35" t="s">
        <v>4038</v>
      </c>
      <c r="F1817" t="str" cm="1">
        <f t="array" ref="F1817">IFERROR(_xlfn.XLOOKUP(E1817,MapeoCargos!$A:$A,MapeoCargos!$B:$B,E1817),E1817)</f>
        <v>COCINERO (A)</v>
      </c>
      <c r="G1817" s="46">
        <v>45964</v>
      </c>
    </row>
    <row r="1818" spans="1:7" x14ac:dyDescent="0.2">
      <c r="A1818" s="27" t="s">
        <v>4583</v>
      </c>
      <c r="B1818" s="35" t="s">
        <v>2009</v>
      </c>
      <c r="C1818" s="35" t="s">
        <v>26</v>
      </c>
      <c r="D1818" s="35" t="s">
        <v>4688</v>
      </c>
      <c r="E1818" s="35" t="s">
        <v>151</v>
      </c>
      <c r="F1818" t="str" cm="1">
        <f t="array" ref="F1818">IFERROR(_xlfn.XLOOKUP(E1818,MapeoCargos!$A:$A,MapeoCargos!$B:$B,E1818),E1818)</f>
        <v xml:space="preserve">CAJA </v>
      </c>
      <c r="G1818" s="46">
        <v>45985</v>
      </c>
    </row>
    <row r="1819" spans="1:7" x14ac:dyDescent="0.2">
      <c r="A1819" s="27" t="s">
        <v>4584</v>
      </c>
      <c r="B1819" s="35" t="s">
        <v>2009</v>
      </c>
      <c r="C1819" s="35" t="s">
        <v>26</v>
      </c>
      <c r="D1819" s="35" t="s">
        <v>4689</v>
      </c>
      <c r="E1819" s="35" t="s">
        <v>83</v>
      </c>
      <c r="F1819" t="str" cm="1">
        <f t="array" ref="F1819">IFERROR(_xlfn.XLOOKUP(E1819,MapeoCargos!$A:$A,MapeoCargos!$B:$B,E1819),E1819)</f>
        <v>PRODUCCIÓN / COCINA</v>
      </c>
      <c r="G1819" s="46">
        <v>45985</v>
      </c>
    </row>
    <row r="1820" spans="1:7" x14ac:dyDescent="0.2">
      <c r="A1820" s="27" t="s">
        <v>4585</v>
      </c>
      <c r="B1820" s="35" t="s">
        <v>2009</v>
      </c>
      <c r="C1820" s="35" t="s">
        <v>26</v>
      </c>
      <c r="D1820" s="35" t="s">
        <v>4690</v>
      </c>
      <c r="E1820" s="35" t="s">
        <v>83</v>
      </c>
      <c r="F1820" t="str" cm="1">
        <f t="array" ref="F1820">IFERROR(_xlfn.XLOOKUP(E1820,MapeoCargos!$A:$A,MapeoCargos!$B:$B,E1820),E1820)</f>
        <v>PRODUCCIÓN / COCINA</v>
      </c>
      <c r="G1820" s="46">
        <v>45993</v>
      </c>
    </row>
    <row r="1821" spans="1:7" x14ac:dyDescent="0.2">
      <c r="A1821" s="27" t="s">
        <v>4586</v>
      </c>
      <c r="B1821" s="35" t="s">
        <v>2009</v>
      </c>
      <c r="C1821" s="35" t="s">
        <v>26</v>
      </c>
      <c r="D1821" s="35" t="s">
        <v>4691</v>
      </c>
      <c r="E1821" s="35" t="s">
        <v>4692</v>
      </c>
      <c r="F1821" t="str" cm="1">
        <f t="array" ref="F1821">IFERROR(_xlfn.XLOOKUP(E1821,MapeoCargos!$A:$A,MapeoCargos!$B:$B,E1821),E1821)</f>
        <v>ASISTENTE ADMINISTRATIVO (A) JR</v>
      </c>
      <c r="G1821" s="46">
        <v>45993</v>
      </c>
    </row>
    <row r="1822" spans="1:7" x14ac:dyDescent="0.2">
      <c r="A1822" s="31" t="s">
        <v>1234</v>
      </c>
      <c r="B1822" s="37" t="s">
        <v>1185</v>
      </c>
      <c r="C1822" s="37" t="s">
        <v>1186</v>
      </c>
      <c r="D1822" s="38" t="s">
        <v>1235</v>
      </c>
      <c r="E1822" s="39" t="s">
        <v>29</v>
      </c>
      <c r="F1822" t="str" cm="1">
        <f t="array" ref="F1822">IFERROR(_xlfn.XLOOKUP(E1822,MapeoCargos!$A:$A,MapeoCargos!$B:$B,E1822),E1822)</f>
        <v>MOZO</v>
      </c>
      <c r="G1822" s="47">
        <v>45901</v>
      </c>
    </row>
    <row r="1823" spans="1:7" x14ac:dyDescent="0.2">
      <c r="A1823" s="31" t="s">
        <v>1184</v>
      </c>
      <c r="B1823" s="37" t="s">
        <v>1185</v>
      </c>
      <c r="C1823" s="37" t="s">
        <v>1186</v>
      </c>
      <c r="D1823" s="38" t="s">
        <v>1187</v>
      </c>
      <c r="E1823" s="39" t="s">
        <v>160</v>
      </c>
      <c r="F1823" t="str" cm="1">
        <f t="array" ref="F1823">IFERROR(_xlfn.XLOOKUP(E1823,MapeoCargos!$A:$A,MapeoCargos!$B:$B,E1823),E1823)</f>
        <v>PACKER</v>
      </c>
      <c r="G1823" s="47">
        <v>45772</v>
      </c>
    </row>
    <row r="1824" spans="1:7" x14ac:dyDescent="0.2">
      <c r="A1824" s="31" t="s">
        <v>1188</v>
      </c>
      <c r="B1824" s="37" t="s">
        <v>1185</v>
      </c>
      <c r="C1824" s="37" t="s">
        <v>1186</v>
      </c>
      <c r="D1824" s="38" t="s">
        <v>1189</v>
      </c>
      <c r="E1824" s="39" t="s">
        <v>29</v>
      </c>
      <c r="F1824" t="str" cm="1">
        <f t="array" ref="F1824">IFERROR(_xlfn.XLOOKUP(E1824,MapeoCargos!$A:$A,MapeoCargos!$B:$B,E1824),E1824)</f>
        <v>MOZO</v>
      </c>
      <c r="G1824" s="47">
        <v>44682</v>
      </c>
    </row>
    <row r="1825" spans="1:7" x14ac:dyDescent="0.2">
      <c r="A1825" s="31" t="s">
        <v>1190</v>
      </c>
      <c r="B1825" s="37" t="s">
        <v>1185</v>
      </c>
      <c r="C1825" s="37" t="s">
        <v>1186</v>
      </c>
      <c r="D1825" s="38" t="s">
        <v>1191</v>
      </c>
      <c r="E1825" s="39" t="s">
        <v>1192</v>
      </c>
      <c r="F1825" t="str" cm="1">
        <f t="array" ref="F1825">IFERROR(_xlfn.XLOOKUP(E1825,MapeoCargos!$A:$A,MapeoCargos!$B:$B,E1825),E1825)</f>
        <v>CHOFER</v>
      </c>
      <c r="G1825" s="47">
        <v>44682</v>
      </c>
    </row>
    <row r="1826" spans="1:7" x14ac:dyDescent="0.2">
      <c r="A1826" s="31" t="s">
        <v>1193</v>
      </c>
      <c r="B1826" s="37" t="s">
        <v>1185</v>
      </c>
      <c r="C1826" s="37" t="s">
        <v>1186</v>
      </c>
      <c r="D1826" s="38" t="s">
        <v>1194</v>
      </c>
      <c r="E1826" s="39" t="s">
        <v>83</v>
      </c>
      <c r="F1826" t="str" cm="1">
        <f t="array" ref="F1826">IFERROR(_xlfn.XLOOKUP(E1826,MapeoCargos!$A:$A,MapeoCargos!$B:$B,E1826),E1826)</f>
        <v>PRODUCCIÓN / COCINA</v>
      </c>
      <c r="G1826" s="47">
        <v>45093</v>
      </c>
    </row>
    <row r="1827" spans="1:7" x14ac:dyDescent="0.2">
      <c r="A1827" s="31" t="s">
        <v>1195</v>
      </c>
      <c r="B1827" s="37" t="s">
        <v>1185</v>
      </c>
      <c r="C1827" s="37" t="s">
        <v>1186</v>
      </c>
      <c r="D1827" s="38" t="s">
        <v>1196</v>
      </c>
      <c r="E1827" s="39" t="s">
        <v>99</v>
      </c>
      <c r="F1827" t="str" cm="1">
        <f t="array" ref="F1827">IFERROR(_xlfn.XLOOKUP(E1827,MapeoCargos!$A:$A,MapeoCargos!$B:$B,E1827),E1827)</f>
        <v>CHAUFERO</v>
      </c>
      <c r="G1827" s="47">
        <v>45642</v>
      </c>
    </row>
    <row r="1828" spans="1:7" x14ac:dyDescent="0.2">
      <c r="A1828" s="31" t="s">
        <v>1197</v>
      </c>
      <c r="B1828" s="37" t="s">
        <v>1185</v>
      </c>
      <c r="C1828" s="37" t="s">
        <v>1186</v>
      </c>
      <c r="D1828" s="38" t="s">
        <v>1198</v>
      </c>
      <c r="E1828" s="39" t="s">
        <v>606</v>
      </c>
      <c r="F1828" t="str" cm="1">
        <f t="array" ref="F1828">IFERROR(_xlfn.XLOOKUP(E1828,MapeoCargos!$A:$A,MapeoCargos!$B:$B,E1828),E1828)</f>
        <v>BAR</v>
      </c>
      <c r="G1828" s="47">
        <v>45276</v>
      </c>
    </row>
    <row r="1829" spans="1:7" x14ac:dyDescent="0.2">
      <c r="A1829" s="31" t="s">
        <v>1199</v>
      </c>
      <c r="B1829" s="37" t="s">
        <v>1185</v>
      </c>
      <c r="C1829" s="37" t="s">
        <v>1186</v>
      </c>
      <c r="D1829" s="38" t="s">
        <v>1200</v>
      </c>
      <c r="E1829" s="39" t="s">
        <v>1015</v>
      </c>
      <c r="F1829" t="str" cm="1">
        <f t="array" ref="F1829">IFERROR(_xlfn.XLOOKUP(E1829,MapeoCargos!$A:$A,MapeoCargos!$B:$B,E1829),E1829)</f>
        <v>PRODUCCIÓN / COCINA</v>
      </c>
      <c r="G1829" s="47">
        <v>44835</v>
      </c>
    </row>
    <row r="1830" spans="1:7" x14ac:dyDescent="0.2">
      <c r="A1830" s="31" t="s">
        <v>1201</v>
      </c>
      <c r="B1830" s="37" t="s">
        <v>1185</v>
      </c>
      <c r="C1830" s="37" t="s">
        <v>1186</v>
      </c>
      <c r="D1830" s="38" t="s">
        <v>1202</v>
      </c>
      <c r="E1830" s="39" t="s">
        <v>1192</v>
      </c>
      <c r="F1830" t="str" cm="1">
        <f t="array" ref="F1830">IFERROR(_xlfn.XLOOKUP(E1830,MapeoCargos!$A:$A,MapeoCargos!$B:$B,E1830),E1830)</f>
        <v>CHOFER</v>
      </c>
      <c r="G1830" s="47">
        <v>44682</v>
      </c>
    </row>
    <row r="1831" spans="1:7" x14ac:dyDescent="0.2">
      <c r="A1831" s="31" t="s">
        <v>1203</v>
      </c>
      <c r="B1831" s="37" t="s">
        <v>1185</v>
      </c>
      <c r="C1831" s="37" t="s">
        <v>1186</v>
      </c>
      <c r="D1831" s="38" t="s">
        <v>1204</v>
      </c>
      <c r="E1831" s="39" t="s">
        <v>83</v>
      </c>
      <c r="F1831" t="str" cm="1">
        <f t="array" ref="F1831">IFERROR(_xlfn.XLOOKUP(E1831,MapeoCargos!$A:$A,MapeoCargos!$B:$B,E1831),E1831)</f>
        <v>PRODUCCIÓN / COCINA</v>
      </c>
      <c r="G1831" s="47">
        <v>45418</v>
      </c>
    </row>
    <row r="1832" spans="1:7" x14ac:dyDescent="0.2">
      <c r="A1832" s="31" t="s">
        <v>1205</v>
      </c>
      <c r="B1832" s="37" t="s">
        <v>1185</v>
      </c>
      <c r="C1832" s="37" t="s">
        <v>1186</v>
      </c>
      <c r="D1832" s="38" t="s">
        <v>1206</v>
      </c>
      <c r="E1832" s="39" t="s">
        <v>1207</v>
      </c>
      <c r="F1832" t="str" cm="1">
        <f t="array" ref="F1832">IFERROR(_xlfn.XLOOKUP(E1832,MapeoCargos!$A:$A,MapeoCargos!$B:$B,E1832),E1832)</f>
        <v xml:space="preserve">CAJA </v>
      </c>
      <c r="G1832" s="47">
        <v>44682</v>
      </c>
    </row>
    <row r="1833" spans="1:7" x14ac:dyDescent="0.2">
      <c r="A1833" s="31" t="s">
        <v>1208</v>
      </c>
      <c r="B1833" s="37" t="s">
        <v>1185</v>
      </c>
      <c r="C1833" s="37" t="s">
        <v>1186</v>
      </c>
      <c r="D1833" s="38" t="s">
        <v>1209</v>
      </c>
      <c r="E1833" s="39" t="s">
        <v>1210</v>
      </c>
      <c r="F1833" t="str" cm="1">
        <f t="array" ref="F1833">IFERROR(_xlfn.XLOOKUP(E1833,MapeoCargos!$A:$A,MapeoCargos!$B:$B,E1833),E1833)</f>
        <v>STAFF ADMINISTRATIVO</v>
      </c>
      <c r="G1833" s="47">
        <v>45689</v>
      </c>
    </row>
    <row r="1834" spans="1:7" x14ac:dyDescent="0.2">
      <c r="A1834" s="31" t="s">
        <v>1211</v>
      </c>
      <c r="B1834" s="37" t="s">
        <v>1185</v>
      </c>
      <c r="C1834" s="37" t="s">
        <v>1186</v>
      </c>
      <c r="D1834" s="38" t="s">
        <v>1212</v>
      </c>
      <c r="E1834" s="39" t="s">
        <v>1213</v>
      </c>
      <c r="F1834" t="str" cm="1">
        <f t="array" ref="F1834">IFERROR(_xlfn.XLOOKUP(E1834,MapeoCargos!$A:$A,MapeoCargos!$B:$B,E1834),E1834)</f>
        <v>VAJILLERO</v>
      </c>
      <c r="G1834" s="47">
        <v>45659</v>
      </c>
    </row>
    <row r="1835" spans="1:7" x14ac:dyDescent="0.2">
      <c r="A1835" s="31" t="s">
        <v>1214</v>
      </c>
      <c r="B1835" s="37" t="s">
        <v>1185</v>
      </c>
      <c r="C1835" s="37" t="s">
        <v>1186</v>
      </c>
      <c r="D1835" s="38" t="s">
        <v>1215</v>
      </c>
      <c r="E1835" s="39" t="s">
        <v>1015</v>
      </c>
      <c r="F1835" t="str" cm="1">
        <f t="array" ref="F1835">IFERROR(_xlfn.XLOOKUP(E1835,MapeoCargos!$A:$A,MapeoCargos!$B:$B,E1835),E1835)</f>
        <v>PRODUCCIÓN / COCINA</v>
      </c>
      <c r="G1835" s="47">
        <v>44682</v>
      </c>
    </row>
    <row r="1836" spans="1:7" x14ac:dyDescent="0.2">
      <c r="A1836" s="31" t="s">
        <v>1216</v>
      </c>
      <c r="B1836" s="37" t="s">
        <v>1185</v>
      </c>
      <c r="C1836" s="37" t="s">
        <v>1186</v>
      </c>
      <c r="D1836" s="38" t="s">
        <v>1217</v>
      </c>
      <c r="E1836" s="39" t="s">
        <v>29</v>
      </c>
      <c r="F1836" t="str" cm="1">
        <f t="array" ref="F1836">IFERROR(_xlfn.XLOOKUP(E1836,MapeoCargos!$A:$A,MapeoCargos!$B:$B,E1836),E1836)</f>
        <v>MOZO</v>
      </c>
      <c r="G1836" s="47">
        <v>44682</v>
      </c>
    </row>
    <row r="1837" spans="1:7" x14ac:dyDescent="0.2">
      <c r="A1837" s="31" t="s">
        <v>1218</v>
      </c>
      <c r="B1837" s="37" t="s">
        <v>1185</v>
      </c>
      <c r="C1837" s="37" t="s">
        <v>1186</v>
      </c>
      <c r="D1837" s="38" t="s">
        <v>1219</v>
      </c>
      <c r="E1837" s="39" t="s">
        <v>29</v>
      </c>
      <c r="F1837" t="str" cm="1">
        <f t="array" ref="F1837">IFERROR(_xlfn.XLOOKUP(E1837,MapeoCargos!$A:$A,MapeoCargos!$B:$B,E1837),E1837)</f>
        <v>MOZO</v>
      </c>
      <c r="G1837" s="47">
        <v>44682</v>
      </c>
    </row>
    <row r="1838" spans="1:7" x14ac:dyDescent="0.2">
      <c r="A1838" s="31" t="s">
        <v>1220</v>
      </c>
      <c r="B1838" s="37" t="s">
        <v>1185</v>
      </c>
      <c r="C1838" s="37" t="s">
        <v>1186</v>
      </c>
      <c r="D1838" s="38" t="s">
        <v>1221</v>
      </c>
      <c r="E1838" s="39" t="s">
        <v>1207</v>
      </c>
      <c r="F1838" t="str" cm="1">
        <f t="array" ref="F1838">IFERROR(_xlfn.XLOOKUP(E1838,MapeoCargos!$A:$A,MapeoCargos!$B:$B,E1838),E1838)</f>
        <v xml:space="preserve">CAJA </v>
      </c>
      <c r="G1838" s="47">
        <v>44835</v>
      </c>
    </row>
    <row r="1839" spans="1:7" x14ac:dyDescent="0.2">
      <c r="A1839" s="31" t="s">
        <v>1222</v>
      </c>
      <c r="B1839" s="37" t="s">
        <v>1185</v>
      </c>
      <c r="C1839" s="37" t="s">
        <v>1186</v>
      </c>
      <c r="D1839" s="38" t="s">
        <v>1223</v>
      </c>
      <c r="E1839" s="39" t="s">
        <v>180</v>
      </c>
      <c r="F1839" t="str" cm="1">
        <f t="array" ref="F1839">IFERROR(_xlfn.XLOOKUP(E1839,MapeoCargos!$A:$A,MapeoCargos!$B:$B,E1839),E1839)</f>
        <v>MANTENIMIENTO</v>
      </c>
      <c r="G1839" s="47">
        <v>44682</v>
      </c>
    </row>
    <row r="1840" spans="1:7" x14ac:dyDescent="0.2">
      <c r="A1840" s="31" t="s">
        <v>1224</v>
      </c>
      <c r="B1840" s="37" t="s">
        <v>1185</v>
      </c>
      <c r="C1840" s="37" t="s">
        <v>1186</v>
      </c>
      <c r="D1840" s="38" t="s">
        <v>1225</v>
      </c>
      <c r="E1840" s="39" t="s">
        <v>146</v>
      </c>
      <c r="F1840" t="str" cm="1">
        <f t="array" ref="F1840">IFERROR(_xlfn.XLOOKUP(E1840,MapeoCargos!$A:$A,MapeoCargos!$B:$B,E1840),E1840)</f>
        <v xml:space="preserve">MOZO </v>
      </c>
      <c r="G1840" s="47">
        <v>45488</v>
      </c>
    </row>
    <row r="1841" spans="1:7" x14ac:dyDescent="0.2">
      <c r="A1841" s="31" t="s">
        <v>1236</v>
      </c>
      <c r="B1841" s="37" t="s">
        <v>1185</v>
      </c>
      <c r="C1841" s="37" t="s">
        <v>1186</v>
      </c>
      <c r="D1841" s="38" t="s">
        <v>1237</v>
      </c>
      <c r="E1841" s="39" t="s">
        <v>482</v>
      </c>
      <c r="F1841" t="str" cm="1">
        <f t="array" ref="F1841">IFERROR(_xlfn.XLOOKUP(E1841,MapeoCargos!$A:$A,MapeoCargos!$B:$B,E1841),E1841)</f>
        <v>PRODUCCIÓN / COCINA</v>
      </c>
      <c r="G1841" s="47">
        <v>45901</v>
      </c>
    </row>
    <row r="1842" spans="1:7" x14ac:dyDescent="0.2">
      <c r="A1842" s="31" t="s">
        <v>1226</v>
      </c>
      <c r="B1842" s="37" t="s">
        <v>1185</v>
      </c>
      <c r="C1842" s="37" t="s">
        <v>1186</v>
      </c>
      <c r="D1842" s="38" t="s">
        <v>1227</v>
      </c>
      <c r="E1842" s="39" t="s">
        <v>1228</v>
      </c>
      <c r="F1842" t="str" cm="1">
        <f t="array" ref="F1842">IFERROR(_xlfn.XLOOKUP(E1842,MapeoCargos!$A:$A,MapeoCargos!$B:$B,E1842),E1842)</f>
        <v>PICADOR</v>
      </c>
      <c r="G1842" s="47">
        <v>44682</v>
      </c>
    </row>
    <row r="1843" spans="1:7" x14ac:dyDescent="0.2">
      <c r="A1843" s="31" t="s">
        <v>1229</v>
      </c>
      <c r="B1843" s="37" t="s">
        <v>1185</v>
      </c>
      <c r="C1843" s="37" t="s">
        <v>1186</v>
      </c>
      <c r="D1843" s="38" t="s">
        <v>1230</v>
      </c>
      <c r="E1843" s="39" t="s">
        <v>1231</v>
      </c>
      <c r="F1843" t="str" cm="1">
        <f t="array" ref="F1843">IFERROR(_xlfn.XLOOKUP(E1843,MapeoCargos!$A:$A,MapeoCargos!$B:$B,E1843),E1843)</f>
        <v>PORCIONADOR</v>
      </c>
      <c r="G1843" s="47">
        <v>44682</v>
      </c>
    </row>
    <row r="1844" spans="1:7" x14ac:dyDescent="0.2">
      <c r="A1844" s="31" t="s">
        <v>1232</v>
      </c>
      <c r="B1844" s="37" t="s">
        <v>1185</v>
      </c>
      <c r="C1844" s="37" t="s">
        <v>1186</v>
      </c>
      <c r="D1844" s="38" t="s">
        <v>1233</v>
      </c>
      <c r="E1844" s="39" t="s">
        <v>83</v>
      </c>
      <c r="F1844" t="str" cm="1">
        <f t="array" ref="F1844">IFERROR(_xlfn.XLOOKUP(E1844,MapeoCargos!$A:$A,MapeoCargos!$B:$B,E1844),E1844)</f>
        <v>PRODUCCIÓN / COCINA</v>
      </c>
      <c r="G1844" s="47">
        <v>44682</v>
      </c>
    </row>
    <row r="1845" spans="1:7" x14ac:dyDescent="0.2">
      <c r="A1845" s="31" t="s">
        <v>1240</v>
      </c>
      <c r="B1845" s="37" t="s">
        <v>1238</v>
      </c>
      <c r="C1845" s="37" t="s">
        <v>1239</v>
      </c>
      <c r="D1845" s="38" t="s">
        <v>1241</v>
      </c>
      <c r="E1845" s="39" t="s">
        <v>29</v>
      </c>
      <c r="F1845" t="str" cm="1">
        <f t="array" ref="F1845">IFERROR(_xlfn.XLOOKUP(E1845,MapeoCargos!$A:$A,MapeoCargos!$B:$B,E1845),E1845)</f>
        <v>MOZO</v>
      </c>
      <c r="G1845" s="47">
        <v>45717</v>
      </c>
    </row>
    <row r="1846" spans="1:7" x14ac:dyDescent="0.2">
      <c r="A1846" s="31" t="s">
        <v>1242</v>
      </c>
      <c r="B1846" s="37" t="s">
        <v>1238</v>
      </c>
      <c r="C1846" s="37" t="s">
        <v>1239</v>
      </c>
      <c r="D1846" s="38" t="s">
        <v>1243</v>
      </c>
      <c r="E1846" s="39" t="s">
        <v>1244</v>
      </c>
      <c r="F1846" t="str" cm="1">
        <f t="array" ref="F1846">IFERROR(_xlfn.XLOOKUP(E1846,MapeoCargos!$A:$A,MapeoCargos!$B:$B,E1846),E1846)</f>
        <v>ITAMAE</v>
      </c>
      <c r="G1846" s="47">
        <v>45413</v>
      </c>
    </row>
    <row r="1847" spans="1:7" x14ac:dyDescent="0.2">
      <c r="A1847" s="31" t="s">
        <v>1245</v>
      </c>
      <c r="B1847" s="37" t="s">
        <v>1238</v>
      </c>
      <c r="C1847" s="37" t="s">
        <v>1239</v>
      </c>
      <c r="D1847" s="38" t="s">
        <v>1246</v>
      </c>
      <c r="E1847" s="39" t="s">
        <v>4038</v>
      </c>
      <c r="F1847" t="str" cm="1">
        <f t="array" ref="F1847">IFERROR(_xlfn.XLOOKUP(E1847,MapeoCargos!$A:$A,MapeoCargos!$B:$B,E1847),E1847)</f>
        <v>COCINERO (A)</v>
      </c>
      <c r="G1847" s="47">
        <v>44440</v>
      </c>
    </row>
    <row r="1848" spans="1:7" x14ac:dyDescent="0.2">
      <c r="A1848" s="31" t="s">
        <v>1247</v>
      </c>
      <c r="B1848" s="37" t="s">
        <v>1238</v>
      </c>
      <c r="C1848" s="37" t="s">
        <v>1239</v>
      </c>
      <c r="D1848" s="38" t="s">
        <v>1248</v>
      </c>
      <c r="E1848" s="39" t="s">
        <v>4038</v>
      </c>
      <c r="F1848" t="str" cm="1">
        <f t="array" ref="F1848">IFERROR(_xlfn.XLOOKUP(E1848,MapeoCargos!$A:$A,MapeoCargos!$B:$B,E1848),E1848)</f>
        <v>COCINERO (A)</v>
      </c>
      <c r="G1848" s="47">
        <v>44440</v>
      </c>
    </row>
    <row r="1849" spans="1:7" x14ac:dyDescent="0.2">
      <c r="A1849" s="31" t="s">
        <v>1268</v>
      </c>
      <c r="B1849" s="37" t="s">
        <v>1238</v>
      </c>
      <c r="C1849" s="37" t="s">
        <v>1239</v>
      </c>
      <c r="D1849" s="38" t="s">
        <v>1269</v>
      </c>
      <c r="E1849" s="39" t="s">
        <v>1270</v>
      </c>
      <c r="F1849" t="str" cm="1">
        <f t="array" ref="F1849">IFERROR(_xlfn.XLOOKUP(E1849,MapeoCargos!$A:$A,MapeoCargos!$B:$B,E1849),E1849)</f>
        <v>VAJILLERO (A)</v>
      </c>
      <c r="G1849" s="47">
        <v>45884</v>
      </c>
    </row>
    <row r="1850" spans="1:7" x14ac:dyDescent="0.2">
      <c r="A1850" s="31" t="s">
        <v>1249</v>
      </c>
      <c r="B1850" s="37" t="s">
        <v>1238</v>
      </c>
      <c r="C1850" s="37" t="s">
        <v>1239</v>
      </c>
      <c r="D1850" s="38" t="s">
        <v>1250</v>
      </c>
      <c r="E1850" s="39" t="s">
        <v>83</v>
      </c>
      <c r="F1850" t="str" cm="1">
        <f t="array" ref="F1850">IFERROR(_xlfn.XLOOKUP(E1850,MapeoCargos!$A:$A,MapeoCargos!$B:$B,E1850),E1850)</f>
        <v>PRODUCCIÓN / COCINA</v>
      </c>
      <c r="G1850" s="47">
        <v>44835</v>
      </c>
    </row>
    <row r="1851" spans="1:7" x14ac:dyDescent="0.2">
      <c r="A1851" s="31" t="s">
        <v>1251</v>
      </c>
      <c r="B1851" s="37" t="s">
        <v>1238</v>
      </c>
      <c r="C1851" s="37" t="s">
        <v>1239</v>
      </c>
      <c r="D1851" s="38" t="s">
        <v>1252</v>
      </c>
      <c r="E1851" s="39" t="s">
        <v>200</v>
      </c>
      <c r="F1851" t="str" cm="1">
        <f t="array" ref="F1851">IFERROR(_xlfn.XLOOKUP(E1851,MapeoCargos!$A:$A,MapeoCargos!$B:$B,E1851),E1851)</f>
        <v>SEGURIDAD</v>
      </c>
      <c r="G1851" s="47">
        <v>45032</v>
      </c>
    </row>
    <row r="1852" spans="1:7" x14ac:dyDescent="0.2">
      <c r="A1852" s="31" t="s">
        <v>1253</v>
      </c>
      <c r="B1852" s="37" t="s">
        <v>1238</v>
      </c>
      <c r="C1852" s="37" t="s">
        <v>1239</v>
      </c>
      <c r="D1852" s="38" t="s">
        <v>1254</v>
      </c>
      <c r="E1852" s="39" t="s">
        <v>4038</v>
      </c>
      <c r="F1852" t="str" cm="1">
        <f t="array" ref="F1852">IFERROR(_xlfn.XLOOKUP(E1852,MapeoCargos!$A:$A,MapeoCargos!$B:$B,E1852),E1852)</f>
        <v>COCINERO (A)</v>
      </c>
      <c r="G1852" s="47">
        <v>44440</v>
      </c>
    </row>
    <row r="1853" spans="1:7" x14ac:dyDescent="0.2">
      <c r="A1853" s="31" t="s">
        <v>1255</v>
      </c>
      <c r="B1853" s="37" t="s">
        <v>1238</v>
      </c>
      <c r="C1853" s="37" t="s">
        <v>1239</v>
      </c>
      <c r="D1853" s="38" t="s">
        <v>1256</v>
      </c>
      <c r="E1853" s="39" t="s">
        <v>29</v>
      </c>
      <c r="F1853" t="str" cm="1">
        <f t="array" ref="F1853">IFERROR(_xlfn.XLOOKUP(E1853,MapeoCargos!$A:$A,MapeoCargos!$B:$B,E1853),E1853)</f>
        <v>MOZO</v>
      </c>
      <c r="G1853" s="47">
        <v>45551</v>
      </c>
    </row>
    <row r="1854" spans="1:7" x14ac:dyDescent="0.2">
      <c r="A1854" s="31" t="s">
        <v>1257</v>
      </c>
      <c r="B1854" s="37" t="s">
        <v>1238</v>
      </c>
      <c r="C1854" s="37" t="s">
        <v>1239</v>
      </c>
      <c r="D1854" s="38" t="s">
        <v>1258</v>
      </c>
      <c r="E1854" s="39" t="s">
        <v>4038</v>
      </c>
      <c r="F1854" t="str" cm="1">
        <f t="array" ref="F1854">IFERROR(_xlfn.XLOOKUP(E1854,MapeoCargos!$A:$A,MapeoCargos!$B:$B,E1854),E1854)</f>
        <v>COCINERO (A)</v>
      </c>
      <c r="G1854" s="47">
        <v>44440</v>
      </c>
    </row>
    <row r="1855" spans="1:7" x14ac:dyDescent="0.2">
      <c r="A1855" s="31" t="s">
        <v>1266</v>
      </c>
      <c r="B1855" s="37" t="s">
        <v>1238</v>
      </c>
      <c r="C1855" s="37" t="s">
        <v>1239</v>
      </c>
      <c r="D1855" s="38" t="s">
        <v>1267</v>
      </c>
      <c r="E1855" s="39" t="s">
        <v>83</v>
      </c>
      <c r="F1855" t="str" cm="1">
        <f t="array" ref="F1855">IFERROR(_xlfn.XLOOKUP(E1855,MapeoCargos!$A:$A,MapeoCargos!$B:$B,E1855),E1855)</f>
        <v>PRODUCCIÓN / COCINA</v>
      </c>
      <c r="G1855" s="47">
        <v>45962</v>
      </c>
    </row>
    <row r="1856" spans="1:7" x14ac:dyDescent="0.2">
      <c r="A1856" s="31" t="s">
        <v>1259</v>
      </c>
      <c r="B1856" s="37" t="s">
        <v>1238</v>
      </c>
      <c r="C1856" s="37" t="s">
        <v>1239</v>
      </c>
      <c r="D1856" s="38" t="s">
        <v>1260</v>
      </c>
      <c r="E1856" s="39" t="s">
        <v>1261</v>
      </c>
      <c r="F1856" t="str" cm="1">
        <f t="array" ref="F1856">IFERROR(_xlfn.XLOOKUP(E1856,MapeoCargos!$A:$A,MapeoCargos!$B:$B,E1856),E1856)</f>
        <v xml:space="preserve">CAJA </v>
      </c>
      <c r="G1856" s="47">
        <v>45327</v>
      </c>
    </row>
    <row r="1857" spans="1:7" x14ac:dyDescent="0.2">
      <c r="A1857" s="31" t="s">
        <v>1262</v>
      </c>
      <c r="B1857" s="37" t="s">
        <v>1238</v>
      </c>
      <c r="C1857" s="37" t="s">
        <v>1239</v>
      </c>
      <c r="D1857" s="38" t="s">
        <v>1263</v>
      </c>
      <c r="E1857" s="39" t="s">
        <v>89</v>
      </c>
      <c r="F1857" t="str" cm="1">
        <f t="array" ref="F1857">IFERROR(_xlfn.XLOOKUP(E1857,MapeoCargos!$A:$A,MapeoCargos!$B:$B,E1857),E1857)</f>
        <v>PRODUCCIÓN / COCINA</v>
      </c>
      <c r="G1857" s="47">
        <v>45673</v>
      </c>
    </row>
    <row r="1858" spans="1:7" x14ac:dyDescent="0.2">
      <c r="A1858" s="31" t="s">
        <v>1264</v>
      </c>
      <c r="B1858" s="37" t="s">
        <v>1238</v>
      </c>
      <c r="C1858" s="37" t="s">
        <v>1239</v>
      </c>
      <c r="D1858" s="38" t="s">
        <v>1265</v>
      </c>
      <c r="E1858" s="39" t="s">
        <v>4038</v>
      </c>
      <c r="F1858" t="str" cm="1">
        <f t="array" ref="F1858">IFERROR(_xlfn.XLOOKUP(E1858,MapeoCargos!$A:$A,MapeoCargos!$B:$B,E1858),E1858)</f>
        <v>COCINERO (A)</v>
      </c>
      <c r="G1858" s="47">
        <v>45439</v>
      </c>
    </row>
    <row r="1859" spans="1:7" x14ac:dyDescent="0.2">
      <c r="A1859" s="31" t="s">
        <v>4587</v>
      </c>
      <c r="B1859" s="37" t="s">
        <v>1238</v>
      </c>
      <c r="C1859" s="37" t="s">
        <v>1239</v>
      </c>
      <c r="D1859" s="38" t="s">
        <v>4693</v>
      </c>
      <c r="E1859" s="39" t="s">
        <v>606</v>
      </c>
      <c r="F1859" t="str" cm="1">
        <f t="array" ref="F1859">IFERROR(_xlfn.XLOOKUP(E1859,MapeoCargos!$A:$A,MapeoCargos!$B:$B,E1859),E1859)</f>
        <v>BAR</v>
      </c>
      <c r="G1859" s="47">
        <v>45986</v>
      </c>
    </row>
    <row r="1860" spans="1:7" x14ac:dyDescent="0.2">
      <c r="A1860" s="31" t="s">
        <v>4588</v>
      </c>
      <c r="B1860" s="37" t="s">
        <v>1238</v>
      </c>
      <c r="C1860" s="37" t="s">
        <v>1239</v>
      </c>
      <c r="D1860" s="38" t="s">
        <v>4694</v>
      </c>
      <c r="E1860" s="39" t="s">
        <v>96</v>
      </c>
      <c r="F1860" t="str" cm="1">
        <f t="array" ref="F1860">IFERROR(_xlfn.XLOOKUP(E1860,MapeoCargos!$A:$A,MapeoCargos!$B:$B,E1860),E1860)</f>
        <v>VAJILLERO(A)</v>
      </c>
      <c r="G1860" s="47">
        <v>45993</v>
      </c>
    </row>
    <row r="1861" spans="1:7" x14ac:dyDescent="0.2">
      <c r="A1861" s="31" t="s">
        <v>651</v>
      </c>
      <c r="B1861" s="37" t="s">
        <v>652</v>
      </c>
      <c r="C1861" s="37" t="s">
        <v>653</v>
      </c>
      <c r="D1861" s="38" t="s">
        <v>4695</v>
      </c>
      <c r="E1861" s="39" t="s">
        <v>654</v>
      </c>
      <c r="F1861" t="str" cm="1">
        <f t="array" ref="F1861">IFERROR(_xlfn.XLOOKUP(E1861,MapeoCargos!$A:$A,MapeoCargos!$B:$B,E1861),E1861)</f>
        <v>GERENTE DE INFRAESTRUCTURA</v>
      </c>
      <c r="G1861" s="47">
        <v>45658</v>
      </c>
    </row>
    <row r="1862" spans="1:7" x14ac:dyDescent="0.2">
      <c r="A1862" s="31" t="s">
        <v>655</v>
      </c>
      <c r="B1862" s="37" t="s">
        <v>652</v>
      </c>
      <c r="C1862" s="37" t="s">
        <v>653</v>
      </c>
      <c r="D1862" s="38" t="s">
        <v>656</v>
      </c>
      <c r="E1862" s="39" t="s">
        <v>657</v>
      </c>
      <c r="F1862" t="str" cm="1">
        <f t="array" ref="F1862">IFERROR(_xlfn.XLOOKUP(E1862,MapeoCargos!$A:$A,MapeoCargos!$B:$B,E1862),E1862)</f>
        <v>RESIDENTE DE OBRA</v>
      </c>
      <c r="G1862" s="47">
        <v>45658</v>
      </c>
    </row>
    <row r="1863" spans="1:7" x14ac:dyDescent="0.2">
      <c r="A1863" s="31" t="s">
        <v>684</v>
      </c>
      <c r="B1863" s="37" t="s">
        <v>652</v>
      </c>
      <c r="C1863" s="37" t="s">
        <v>653</v>
      </c>
      <c r="D1863" s="38" t="s">
        <v>685</v>
      </c>
      <c r="E1863" s="39" t="s">
        <v>657</v>
      </c>
      <c r="F1863" t="str" cm="1">
        <f t="array" ref="F1863">IFERROR(_xlfn.XLOOKUP(E1863,MapeoCargos!$A:$A,MapeoCargos!$B:$B,E1863),E1863)</f>
        <v>RESIDENTE DE OBRA</v>
      </c>
      <c r="G1863" s="47">
        <v>45721</v>
      </c>
    </row>
    <row r="1864" spans="1:7" x14ac:dyDescent="0.2">
      <c r="A1864" s="31" t="s">
        <v>658</v>
      </c>
      <c r="B1864" s="37" t="s">
        <v>652</v>
      </c>
      <c r="C1864" s="37" t="s">
        <v>653</v>
      </c>
      <c r="D1864" s="38" t="s">
        <v>659</v>
      </c>
      <c r="E1864" s="39" t="s">
        <v>660</v>
      </c>
      <c r="F1864" t="str" cm="1">
        <f t="array" ref="F1864">IFERROR(_xlfn.XLOOKUP(E1864,MapeoCargos!$A:$A,MapeoCargos!$B:$B,E1864),E1864)</f>
        <v>ARQUITECTO (A) JUNIOR</v>
      </c>
      <c r="G1864" s="47">
        <v>45658</v>
      </c>
    </row>
    <row r="1865" spans="1:7" x14ac:dyDescent="0.2">
      <c r="A1865" s="31" t="s">
        <v>693</v>
      </c>
      <c r="B1865" s="37" t="s">
        <v>652</v>
      </c>
      <c r="C1865" s="37" t="s">
        <v>653</v>
      </c>
      <c r="D1865" s="38" t="s">
        <v>694</v>
      </c>
      <c r="E1865" s="39" t="s">
        <v>695</v>
      </c>
      <c r="F1865" t="str" cm="1">
        <f t="array" ref="F1865">IFERROR(_xlfn.XLOOKUP(E1865,MapeoCargos!$A:$A,MapeoCargos!$B:$B,E1865),E1865)</f>
        <v>JEFE DE LOGISTICA</v>
      </c>
      <c r="G1865" s="47">
        <v>45901</v>
      </c>
    </row>
    <row r="1866" spans="1:7" x14ac:dyDescent="0.2">
      <c r="A1866" s="31" t="s">
        <v>686</v>
      </c>
      <c r="B1866" s="37" t="s">
        <v>652</v>
      </c>
      <c r="C1866" s="37" t="s">
        <v>653</v>
      </c>
      <c r="D1866" s="38" t="s">
        <v>687</v>
      </c>
      <c r="E1866" s="39" t="s">
        <v>688</v>
      </c>
      <c r="F1866" t="str" cm="1">
        <f t="array" ref="F1866">IFERROR(_xlfn.XLOOKUP(E1866,MapeoCargos!$A:$A,MapeoCargos!$B:$B,E1866),E1866)</f>
        <v>INGENIERO (A) JUNIOR</v>
      </c>
      <c r="G1866" s="47">
        <v>45824</v>
      </c>
    </row>
    <row r="1867" spans="1:7" x14ac:dyDescent="0.2">
      <c r="A1867" s="31" t="s">
        <v>661</v>
      </c>
      <c r="B1867" s="37" t="s">
        <v>652</v>
      </c>
      <c r="C1867" s="37" t="s">
        <v>653</v>
      </c>
      <c r="D1867" s="38" t="s">
        <v>662</v>
      </c>
      <c r="E1867" s="39" t="s">
        <v>663</v>
      </c>
      <c r="F1867" t="str" cm="1">
        <f t="array" ref="F1867">IFERROR(_xlfn.XLOOKUP(E1867,MapeoCargos!$A:$A,MapeoCargos!$B:$B,E1867),E1867)</f>
        <v>COORDINADOR (A) DE PROYECTOS</v>
      </c>
      <c r="G1867" s="47">
        <v>45658</v>
      </c>
    </row>
    <row r="1868" spans="1:7" x14ac:dyDescent="0.2">
      <c r="A1868" s="31" t="s">
        <v>689</v>
      </c>
      <c r="B1868" s="37" t="s">
        <v>652</v>
      </c>
      <c r="C1868" s="37" t="s">
        <v>653</v>
      </c>
      <c r="D1868" s="38" t="s">
        <v>690</v>
      </c>
      <c r="E1868" s="39" t="s">
        <v>660</v>
      </c>
      <c r="F1868" t="str" cm="1">
        <f t="array" ref="F1868">IFERROR(_xlfn.XLOOKUP(E1868,MapeoCargos!$A:$A,MapeoCargos!$B:$B,E1868),E1868)</f>
        <v>ARQUITECTO (A) JUNIOR</v>
      </c>
      <c r="G1868" s="47">
        <v>45870</v>
      </c>
    </row>
    <row r="1869" spans="1:7" x14ac:dyDescent="0.2">
      <c r="A1869" s="31" t="s">
        <v>664</v>
      </c>
      <c r="B1869" s="37" t="s">
        <v>652</v>
      </c>
      <c r="C1869" s="37" t="s">
        <v>653</v>
      </c>
      <c r="D1869" s="38" t="s">
        <v>665</v>
      </c>
      <c r="E1869" s="39" t="s">
        <v>660</v>
      </c>
      <c r="F1869" t="str" cm="1">
        <f t="array" ref="F1869">IFERROR(_xlfn.XLOOKUP(E1869,MapeoCargos!$A:$A,MapeoCargos!$B:$B,E1869),E1869)</f>
        <v>ARQUITECTO (A) JUNIOR</v>
      </c>
      <c r="G1869" s="47">
        <v>45658</v>
      </c>
    </row>
    <row r="1870" spans="1:7" x14ac:dyDescent="0.2">
      <c r="A1870" s="31" t="s">
        <v>691</v>
      </c>
      <c r="B1870" s="37" t="s">
        <v>652</v>
      </c>
      <c r="C1870" s="37" t="s">
        <v>653</v>
      </c>
      <c r="D1870" s="38" t="s">
        <v>4696</v>
      </c>
      <c r="E1870" s="39" t="s">
        <v>692</v>
      </c>
      <c r="F1870" t="str" cm="1">
        <f t="array" ref="F1870">IFERROR(_xlfn.XLOOKUP(E1870,MapeoCargos!$A:$A,MapeoCargos!$B:$B,E1870),E1870)</f>
        <v>JEFE DE PROYECTOS</v>
      </c>
      <c r="G1870" s="47">
        <v>45884</v>
      </c>
    </row>
    <row r="1871" spans="1:7" x14ac:dyDescent="0.2">
      <c r="A1871" s="31" t="s">
        <v>666</v>
      </c>
      <c r="B1871" s="37" t="s">
        <v>652</v>
      </c>
      <c r="C1871" s="37" t="s">
        <v>653</v>
      </c>
      <c r="D1871" s="38" t="s">
        <v>667</v>
      </c>
      <c r="E1871" s="39" t="s">
        <v>668</v>
      </c>
      <c r="F1871" t="str" cm="1">
        <f t="array" ref="F1871">IFERROR(_xlfn.XLOOKUP(E1871,MapeoCargos!$A:$A,MapeoCargos!$B:$B,E1871),E1871)</f>
        <v>DISEÑADOR (A) SENIOR</v>
      </c>
      <c r="G1871" s="47">
        <v>45658</v>
      </c>
    </row>
    <row r="1872" spans="1:7" x14ac:dyDescent="0.2">
      <c r="A1872" s="31" t="s">
        <v>669</v>
      </c>
      <c r="B1872" s="37" t="s">
        <v>652</v>
      </c>
      <c r="C1872" s="37" t="s">
        <v>653</v>
      </c>
      <c r="D1872" s="38" t="s">
        <v>670</v>
      </c>
      <c r="E1872" s="39" t="s">
        <v>657</v>
      </c>
      <c r="F1872" t="str" cm="1">
        <f t="array" ref="F1872">IFERROR(_xlfn.XLOOKUP(E1872,MapeoCargos!$A:$A,MapeoCargos!$B:$B,E1872),E1872)</f>
        <v>RESIDENTE DE OBRA</v>
      </c>
      <c r="G1872" s="47">
        <v>45658</v>
      </c>
    </row>
    <row r="1873" spans="1:7" x14ac:dyDescent="0.2">
      <c r="A1873" s="31" t="s">
        <v>671</v>
      </c>
      <c r="B1873" s="37" t="s">
        <v>652</v>
      </c>
      <c r="C1873" s="37" t="s">
        <v>653</v>
      </c>
      <c r="D1873" s="38" t="s">
        <v>672</v>
      </c>
      <c r="E1873" s="39" t="s">
        <v>673</v>
      </c>
      <c r="F1873" t="str" cm="1">
        <f t="array" ref="F1873">IFERROR(_xlfn.XLOOKUP(E1873,MapeoCargos!$A:$A,MapeoCargos!$B:$B,E1873),E1873)</f>
        <v>JEFE DE PROYECTOS Y MANTENIMIENTO</v>
      </c>
      <c r="G1873" s="47">
        <v>45658</v>
      </c>
    </row>
    <row r="1874" spans="1:7" x14ac:dyDescent="0.2">
      <c r="A1874" s="31" t="s">
        <v>674</v>
      </c>
      <c r="B1874" s="37" t="s">
        <v>652</v>
      </c>
      <c r="C1874" s="37" t="s">
        <v>653</v>
      </c>
      <c r="D1874" s="38" t="s">
        <v>675</v>
      </c>
      <c r="E1874" s="39" t="s">
        <v>676</v>
      </c>
      <c r="F1874" t="str" cm="1">
        <f t="array" ref="F1874">IFERROR(_xlfn.XLOOKUP(E1874,MapeoCargos!$A:$A,MapeoCargos!$B:$B,E1874),E1874)</f>
        <v>ARQUITECTO (A) SENIOR</v>
      </c>
      <c r="G1874" s="47">
        <v>45658</v>
      </c>
    </row>
    <row r="1875" spans="1:7" x14ac:dyDescent="0.2">
      <c r="A1875" s="31" t="s">
        <v>4589</v>
      </c>
      <c r="B1875" s="37" t="s">
        <v>652</v>
      </c>
      <c r="C1875" s="37" t="s">
        <v>653</v>
      </c>
      <c r="D1875" s="38" t="s">
        <v>4697</v>
      </c>
      <c r="E1875" s="39" t="s">
        <v>4698</v>
      </c>
      <c r="F1875" t="str" cm="1">
        <f t="array" ref="F1875">IFERROR(_xlfn.XLOOKUP(E1875,MapeoCargos!$A:$A,MapeoCargos!$B:$B,E1875),E1875)</f>
        <v>COORDINADOR (A) DE PERSONAL Y OBRAS</v>
      </c>
      <c r="G1875" s="47">
        <v>45962</v>
      </c>
    </row>
    <row r="1876" spans="1:7" x14ac:dyDescent="0.2">
      <c r="A1876" s="31" t="s">
        <v>677</v>
      </c>
      <c r="B1876" s="37" t="s">
        <v>652</v>
      </c>
      <c r="C1876" s="37" t="s">
        <v>653</v>
      </c>
      <c r="D1876" s="38" t="s">
        <v>678</v>
      </c>
      <c r="E1876" s="39" t="s">
        <v>660</v>
      </c>
      <c r="F1876" t="str" cm="1">
        <f t="array" ref="F1876">IFERROR(_xlfn.XLOOKUP(E1876,MapeoCargos!$A:$A,MapeoCargos!$B:$B,E1876),E1876)</f>
        <v>ARQUITECTO (A) JUNIOR</v>
      </c>
      <c r="G1876" s="47">
        <v>45658</v>
      </c>
    </row>
    <row r="1877" spans="1:7" x14ac:dyDescent="0.2">
      <c r="A1877" s="31" t="s">
        <v>679</v>
      </c>
      <c r="B1877" s="37" t="s">
        <v>652</v>
      </c>
      <c r="C1877" s="37" t="s">
        <v>653</v>
      </c>
      <c r="D1877" s="38" t="s">
        <v>680</v>
      </c>
      <c r="E1877" s="39" t="s">
        <v>681</v>
      </c>
      <c r="F1877" t="str" cm="1">
        <f t="array" ref="F1877">IFERROR(_xlfn.XLOOKUP(E1877,MapeoCargos!$A:$A,MapeoCargos!$B:$B,E1877),E1877)</f>
        <v>COORDINADOR DE PROYECTOS</v>
      </c>
      <c r="G1877" s="47">
        <v>45658</v>
      </c>
    </row>
    <row r="1878" spans="1:7" x14ac:dyDescent="0.2">
      <c r="A1878" s="31" t="s">
        <v>682</v>
      </c>
      <c r="B1878" s="37" t="s">
        <v>652</v>
      </c>
      <c r="C1878" s="37" t="s">
        <v>653</v>
      </c>
      <c r="D1878" s="38" t="s">
        <v>683</v>
      </c>
      <c r="E1878" s="39" t="s">
        <v>660</v>
      </c>
      <c r="F1878" t="str" cm="1">
        <f t="array" ref="F1878">IFERROR(_xlfn.XLOOKUP(E1878,MapeoCargos!$A:$A,MapeoCargos!$B:$B,E1878),E1878)</f>
        <v>ARQUITECTO (A) JUNIOR</v>
      </c>
      <c r="G1878" s="47">
        <v>45658</v>
      </c>
    </row>
    <row r="1879" spans="1:7" x14ac:dyDescent="0.2">
      <c r="A1879" s="28" t="s">
        <v>3432</v>
      </c>
      <c r="B1879" s="35" t="s">
        <v>3433</v>
      </c>
      <c r="C1879" s="40" t="s">
        <v>3434</v>
      </c>
      <c r="D1879" s="35" t="s">
        <v>3435</v>
      </c>
      <c r="E1879" s="35" t="s">
        <v>3436</v>
      </c>
      <c r="F1879" t="str" cm="1">
        <f t="array" ref="F1879">IFERROR(_xlfn.XLOOKUP(E1879,MapeoCargos!$A:$A,MapeoCargos!$B:$B,E1879),E1879)</f>
        <v>PRODUCCION DE CREMAS</v>
      </c>
      <c r="G1879" s="45">
        <v>42051</v>
      </c>
    </row>
    <row r="1880" spans="1:7" x14ac:dyDescent="0.2">
      <c r="A1880" s="28" t="s">
        <v>3437</v>
      </c>
      <c r="B1880" s="35" t="s">
        <v>3433</v>
      </c>
      <c r="C1880" s="40" t="s">
        <v>3434</v>
      </c>
      <c r="D1880" s="35" t="s">
        <v>3438</v>
      </c>
      <c r="E1880" s="35" t="s">
        <v>3439</v>
      </c>
      <c r="F1880" t="str" cm="1">
        <f t="array" ref="F1880">IFERROR(_xlfn.XLOOKUP(E1880,MapeoCargos!$A:$A,MapeoCargos!$B:$B,E1880),E1880)</f>
        <v>ALMACENERO</v>
      </c>
      <c r="G1880" s="45">
        <v>43862</v>
      </c>
    </row>
    <row r="1881" spans="1:7" x14ac:dyDescent="0.2">
      <c r="A1881" s="28" t="s">
        <v>3440</v>
      </c>
      <c r="B1881" s="35" t="s">
        <v>3433</v>
      </c>
      <c r="C1881" s="40" t="s">
        <v>3434</v>
      </c>
      <c r="D1881" s="35" t="s">
        <v>3441</v>
      </c>
      <c r="E1881" s="35" t="s">
        <v>996</v>
      </c>
      <c r="F1881" t="str" cm="1">
        <f t="array" ref="F1881">IFERROR(_xlfn.XLOOKUP(E1881,MapeoCargos!$A:$A,MapeoCargos!$B:$B,E1881),E1881)</f>
        <v>AYUDANTE DE ALMACEN</v>
      </c>
      <c r="G1881" s="45">
        <v>41685</v>
      </c>
    </row>
    <row r="1882" spans="1:7" x14ac:dyDescent="0.2">
      <c r="A1882" s="28" t="s">
        <v>3442</v>
      </c>
      <c r="B1882" s="35" t="s">
        <v>3433</v>
      </c>
      <c r="C1882" s="40" t="s">
        <v>3434</v>
      </c>
      <c r="D1882" s="35" t="s">
        <v>3443</v>
      </c>
      <c r="E1882" s="35" t="s">
        <v>3444</v>
      </c>
      <c r="F1882" t="str" cm="1">
        <f t="array" ref="F1882">IFERROR(_xlfn.XLOOKUP(E1882,MapeoCargos!$A:$A,MapeoCargos!$B:$B,E1882),E1882)</f>
        <v>AUDITORA</v>
      </c>
      <c r="G1882" s="45">
        <v>43647</v>
      </c>
    </row>
    <row r="1883" spans="1:7" x14ac:dyDescent="0.2">
      <c r="A1883" s="28" t="s">
        <v>3445</v>
      </c>
      <c r="B1883" s="35" t="s">
        <v>3433</v>
      </c>
      <c r="C1883" s="40" t="s">
        <v>3434</v>
      </c>
      <c r="D1883" s="35" t="s">
        <v>3446</v>
      </c>
      <c r="E1883" s="35" t="s">
        <v>3447</v>
      </c>
      <c r="F1883" t="str" cm="1">
        <f t="array" ref="F1883">IFERROR(_xlfn.XLOOKUP(E1883,MapeoCargos!$A:$A,MapeoCargos!$B:$B,E1883),E1883)</f>
        <v xml:space="preserve">CONDUCTOR </v>
      </c>
      <c r="G1883" s="45">
        <v>43709</v>
      </c>
    </row>
    <row r="1884" spans="1:7" x14ac:dyDescent="0.2">
      <c r="A1884" s="28" t="s">
        <v>3448</v>
      </c>
      <c r="B1884" s="35" t="s">
        <v>3433</v>
      </c>
      <c r="C1884" s="40" t="s">
        <v>3434</v>
      </c>
      <c r="D1884" s="35" t="s">
        <v>3449</v>
      </c>
      <c r="E1884" s="35" t="s">
        <v>3450</v>
      </c>
      <c r="F1884" t="str" cm="1">
        <f t="array" ref="F1884">IFERROR(_xlfn.XLOOKUP(E1884,MapeoCargos!$A:$A,MapeoCargos!$B:$B,E1884),E1884)</f>
        <v>CONDUCTOR</v>
      </c>
      <c r="G1884" s="45">
        <v>43647</v>
      </c>
    </row>
    <row r="1885" spans="1:7" x14ac:dyDescent="0.2">
      <c r="A1885" s="28" t="s">
        <v>3451</v>
      </c>
      <c r="B1885" s="35" t="s">
        <v>3433</v>
      </c>
      <c r="C1885" s="40" t="s">
        <v>3434</v>
      </c>
      <c r="D1885" s="35" t="s">
        <v>3452</v>
      </c>
      <c r="E1885" s="35" t="s">
        <v>3450</v>
      </c>
      <c r="F1885" t="str" cm="1">
        <f t="array" ref="F1885">IFERROR(_xlfn.XLOOKUP(E1885,MapeoCargos!$A:$A,MapeoCargos!$B:$B,E1885),E1885)</f>
        <v>CONDUCTOR</v>
      </c>
      <c r="G1885" s="45">
        <v>43862</v>
      </c>
    </row>
    <row r="1886" spans="1:7" x14ac:dyDescent="0.2">
      <c r="A1886" s="28" t="s">
        <v>3453</v>
      </c>
      <c r="B1886" s="35" t="s">
        <v>3433</v>
      </c>
      <c r="C1886" s="40" t="s">
        <v>3434</v>
      </c>
      <c r="D1886" s="35" t="s">
        <v>3454</v>
      </c>
      <c r="E1886" s="35" t="s">
        <v>3455</v>
      </c>
      <c r="F1886" t="str" cm="1">
        <f t="array" ref="F1886">IFERROR(_xlfn.XLOOKUP(E1886,MapeoCargos!$A:$A,MapeoCargos!$B:$B,E1886),E1886)</f>
        <v>LIMPIEZA / MANTENIMIENTO</v>
      </c>
      <c r="G1886" s="45">
        <v>43862</v>
      </c>
    </row>
    <row r="1887" spans="1:7" x14ac:dyDescent="0.2">
      <c r="A1887" s="28" t="s">
        <v>3456</v>
      </c>
      <c r="B1887" s="35" t="s">
        <v>3433</v>
      </c>
      <c r="C1887" s="40" t="s">
        <v>3434</v>
      </c>
      <c r="D1887" s="35" t="s">
        <v>3457</v>
      </c>
      <c r="E1887" s="35" t="s">
        <v>3450</v>
      </c>
      <c r="F1887" t="str" cm="1">
        <f t="array" ref="F1887">IFERROR(_xlfn.XLOOKUP(E1887,MapeoCargos!$A:$A,MapeoCargos!$B:$B,E1887),E1887)</f>
        <v>CONDUCTOR</v>
      </c>
      <c r="G1887" s="45">
        <v>43862</v>
      </c>
    </row>
    <row r="1888" spans="1:7" x14ac:dyDescent="0.2">
      <c r="A1888" s="28" t="s">
        <v>3458</v>
      </c>
      <c r="B1888" s="35" t="s">
        <v>3433</v>
      </c>
      <c r="C1888" s="40" t="s">
        <v>3434</v>
      </c>
      <c r="D1888" s="35" t="s">
        <v>3459</v>
      </c>
      <c r="E1888" s="35" t="s">
        <v>3460</v>
      </c>
      <c r="F1888" t="str" cm="1">
        <f t="array" ref="F1888">IFERROR(_xlfn.XLOOKUP(E1888,MapeoCargos!$A:$A,MapeoCargos!$B:$B,E1888),E1888)</f>
        <v>AYUDANTE DE REPARTO/ALMACENERO</v>
      </c>
      <c r="G1888" s="45">
        <v>43862</v>
      </c>
    </row>
    <row r="1889" spans="1:7" x14ac:dyDescent="0.2">
      <c r="A1889" s="28" t="s">
        <v>3461</v>
      </c>
      <c r="B1889" s="35" t="s">
        <v>3433</v>
      </c>
      <c r="C1889" s="40" t="s">
        <v>3434</v>
      </c>
      <c r="D1889" s="35" t="s">
        <v>3462</v>
      </c>
      <c r="E1889" s="35" t="s">
        <v>3463</v>
      </c>
      <c r="F1889" t="str" cm="1">
        <f t="array" ref="F1889">IFERROR(_xlfn.XLOOKUP(E1889,MapeoCargos!$A:$A,MapeoCargos!$B:$B,E1889),E1889)</f>
        <v>LIMPIEZA / MANTENIMIENTO</v>
      </c>
      <c r="G1889" s="45">
        <v>43862</v>
      </c>
    </row>
    <row r="1890" spans="1:7" x14ac:dyDescent="0.2">
      <c r="A1890" s="28" t="s">
        <v>3464</v>
      </c>
      <c r="B1890" s="35" t="s">
        <v>3433</v>
      </c>
      <c r="C1890" s="40" t="s">
        <v>3434</v>
      </c>
      <c r="D1890" s="35" t="s">
        <v>3465</v>
      </c>
      <c r="E1890" s="35" t="s">
        <v>3466</v>
      </c>
      <c r="F1890" t="str" cm="1">
        <f t="array" ref="F1890">IFERROR(_xlfn.XLOOKUP(E1890,MapeoCargos!$A:$A,MapeoCargos!$B:$B,E1890),E1890)</f>
        <v>PRODUCCION DE ADEREZO</v>
      </c>
      <c r="G1890" s="45">
        <v>43862</v>
      </c>
    </row>
    <row r="1891" spans="1:7" x14ac:dyDescent="0.2">
      <c r="A1891" s="28" t="s">
        <v>3467</v>
      </c>
      <c r="B1891" s="35" t="s">
        <v>3433</v>
      </c>
      <c r="C1891" s="40" t="s">
        <v>3434</v>
      </c>
      <c r="D1891" s="35" t="s">
        <v>3468</v>
      </c>
      <c r="E1891" s="35" t="s">
        <v>3436</v>
      </c>
      <c r="F1891" t="str" cm="1">
        <f t="array" ref="F1891">IFERROR(_xlfn.XLOOKUP(E1891,MapeoCargos!$A:$A,MapeoCargos!$B:$B,E1891),E1891)</f>
        <v>PRODUCCION DE CREMAS</v>
      </c>
      <c r="G1891" s="45">
        <v>43862</v>
      </c>
    </row>
    <row r="1892" spans="1:7" x14ac:dyDescent="0.2">
      <c r="A1892" s="28" t="s">
        <v>3469</v>
      </c>
      <c r="B1892" s="35" t="s">
        <v>3433</v>
      </c>
      <c r="C1892" s="40" t="s">
        <v>3434</v>
      </c>
      <c r="D1892" s="35" t="s">
        <v>3470</v>
      </c>
      <c r="E1892" s="35" t="s">
        <v>781</v>
      </c>
      <c r="F1892" t="str" cm="1">
        <f t="array" ref="F1892">IFERROR(_xlfn.XLOOKUP(E1892,MapeoCargos!$A:$A,MapeoCargos!$B:$B,E1892),E1892)</f>
        <v>JEFE DE ALMACEN</v>
      </c>
      <c r="G1892" s="45">
        <v>43891</v>
      </c>
    </row>
    <row r="1893" spans="1:7" x14ac:dyDescent="0.2">
      <c r="A1893" s="28" t="s">
        <v>3471</v>
      </c>
      <c r="B1893" s="35" t="s">
        <v>3433</v>
      </c>
      <c r="C1893" s="40" t="s">
        <v>3434</v>
      </c>
      <c r="D1893" s="35" t="s">
        <v>3472</v>
      </c>
      <c r="E1893" s="35" t="s">
        <v>3436</v>
      </c>
      <c r="F1893" t="str" cm="1">
        <f t="array" ref="F1893">IFERROR(_xlfn.XLOOKUP(E1893,MapeoCargos!$A:$A,MapeoCargos!$B:$B,E1893),E1893)</f>
        <v>PRODUCCION DE CREMAS</v>
      </c>
      <c r="G1893" s="45">
        <v>43891</v>
      </c>
    </row>
    <row r="1894" spans="1:7" x14ac:dyDescent="0.2">
      <c r="A1894" s="28" t="s">
        <v>3473</v>
      </c>
      <c r="B1894" s="35" t="s">
        <v>3433</v>
      </c>
      <c r="C1894" s="40" t="s">
        <v>3434</v>
      </c>
      <c r="D1894" s="35" t="s">
        <v>3474</v>
      </c>
      <c r="E1894" s="35" t="s">
        <v>3436</v>
      </c>
      <c r="F1894" t="str" cm="1">
        <f t="array" ref="F1894">IFERROR(_xlfn.XLOOKUP(E1894,MapeoCargos!$A:$A,MapeoCargos!$B:$B,E1894),E1894)</f>
        <v>PRODUCCION DE CREMAS</v>
      </c>
      <c r="G1894" s="45">
        <v>43891</v>
      </c>
    </row>
    <row r="1895" spans="1:7" x14ac:dyDescent="0.2">
      <c r="A1895" s="28">
        <v>45306069</v>
      </c>
      <c r="B1895" s="35" t="s">
        <v>3433</v>
      </c>
      <c r="C1895" s="40" t="s">
        <v>3434</v>
      </c>
      <c r="D1895" s="35" t="s">
        <v>3475</v>
      </c>
      <c r="E1895" s="35" t="s">
        <v>3476</v>
      </c>
      <c r="F1895" t="str" cm="1">
        <f t="array" ref="F1895">IFERROR(_xlfn.XLOOKUP(E1895,MapeoCargos!$A:$A,MapeoCargos!$B:$B,E1895),E1895)</f>
        <v>CONDUCTOR/ASIST. DE GERENCIA</v>
      </c>
      <c r="G1895" s="45">
        <v>44348</v>
      </c>
    </row>
    <row r="1896" spans="1:7" x14ac:dyDescent="0.2">
      <c r="A1896" s="28">
        <v>71992701</v>
      </c>
      <c r="B1896" s="35" t="s">
        <v>3433</v>
      </c>
      <c r="C1896" s="40" t="s">
        <v>3434</v>
      </c>
      <c r="D1896" s="35" t="s">
        <v>3477</v>
      </c>
      <c r="E1896" s="35" t="s">
        <v>3436</v>
      </c>
      <c r="F1896" t="str" cm="1">
        <f t="array" ref="F1896">IFERROR(_xlfn.XLOOKUP(E1896,MapeoCargos!$A:$A,MapeoCargos!$B:$B,E1896),E1896)</f>
        <v>PRODUCCION DE CREMAS</v>
      </c>
      <c r="G1896" s="45">
        <v>44475</v>
      </c>
    </row>
    <row r="1897" spans="1:7" x14ac:dyDescent="0.2">
      <c r="A1897" s="28">
        <v>48423886</v>
      </c>
      <c r="B1897" s="35" t="s">
        <v>3433</v>
      </c>
      <c r="C1897" s="40" t="s">
        <v>3434</v>
      </c>
      <c r="D1897" s="35" t="s">
        <v>3478</v>
      </c>
      <c r="E1897" s="35" t="s">
        <v>1018</v>
      </c>
      <c r="F1897" t="str" cm="1">
        <f t="array" ref="F1897">IFERROR(_xlfn.XLOOKUP(E1897,MapeoCargos!$A:$A,MapeoCargos!$B:$B,E1897),E1897)</f>
        <v>GERENTE GENERAL</v>
      </c>
      <c r="G1897" s="45">
        <v>44491</v>
      </c>
    </row>
    <row r="1898" spans="1:7" x14ac:dyDescent="0.2">
      <c r="A1898" s="28">
        <v>79300272</v>
      </c>
      <c r="B1898" s="35" t="s">
        <v>3433</v>
      </c>
      <c r="C1898" s="40" t="s">
        <v>3434</v>
      </c>
      <c r="D1898" s="35" t="s">
        <v>3479</v>
      </c>
      <c r="E1898" s="35" t="s">
        <v>3480</v>
      </c>
      <c r="F1898" t="str" cm="1">
        <f t="array" ref="F1898">IFERROR(_xlfn.XLOOKUP(E1898,MapeoCargos!$A:$A,MapeoCargos!$B:$B,E1898),E1898)</f>
        <v>AYUDANTE DE REPARTO</v>
      </c>
      <c r="G1898" s="45">
        <v>44575</v>
      </c>
    </row>
    <row r="1899" spans="1:7" x14ac:dyDescent="0.2">
      <c r="A1899" s="28">
        <v>60255936</v>
      </c>
      <c r="B1899" s="35" t="s">
        <v>3433</v>
      </c>
      <c r="C1899" s="40" t="s">
        <v>3434</v>
      </c>
      <c r="D1899" s="35" t="s">
        <v>3481</v>
      </c>
      <c r="E1899" s="35" t="s">
        <v>3482</v>
      </c>
      <c r="F1899" t="str" cm="1">
        <f t="array" ref="F1899">IFERROR(_xlfn.XLOOKUP(E1899,MapeoCargos!$A:$A,MapeoCargos!$B:$B,E1899),E1899)</f>
        <v>PRODUCCION DE VERDURAS</v>
      </c>
      <c r="G1899" s="45">
        <v>44691</v>
      </c>
    </row>
    <row r="1900" spans="1:7" x14ac:dyDescent="0.2">
      <c r="A1900" s="28">
        <v>71246944</v>
      </c>
      <c r="B1900" s="35" t="s">
        <v>3433</v>
      </c>
      <c r="C1900" s="40" t="s">
        <v>3434</v>
      </c>
      <c r="D1900" s="35" t="s">
        <v>3483</v>
      </c>
      <c r="E1900" s="35" t="s">
        <v>3480</v>
      </c>
      <c r="F1900" t="str" cm="1">
        <f t="array" ref="F1900">IFERROR(_xlfn.XLOOKUP(E1900,MapeoCargos!$A:$A,MapeoCargos!$B:$B,E1900),E1900)</f>
        <v>AYUDANTE DE REPARTO</v>
      </c>
      <c r="G1900" s="45">
        <v>44705</v>
      </c>
    </row>
    <row r="1901" spans="1:7" x14ac:dyDescent="0.2">
      <c r="A1901" s="28">
        <v>9302391</v>
      </c>
      <c r="B1901" s="35" t="s">
        <v>3433</v>
      </c>
      <c r="C1901" s="40" t="s">
        <v>3434</v>
      </c>
      <c r="D1901" s="35" t="s">
        <v>3484</v>
      </c>
      <c r="E1901" s="35" t="s">
        <v>3485</v>
      </c>
      <c r="F1901" t="str" cm="1">
        <f t="array" ref="F1901">IFERROR(_xlfn.XLOOKUP(E1901,MapeoCargos!$A:$A,MapeoCargos!$B:$B,E1901),E1901)</f>
        <v>GERENTE DE IMPORTACIONES</v>
      </c>
      <c r="G1901" s="45">
        <v>44805</v>
      </c>
    </row>
    <row r="1902" spans="1:7" x14ac:dyDescent="0.2">
      <c r="A1902" s="28">
        <v>72701512</v>
      </c>
      <c r="B1902" s="35" t="s">
        <v>3433</v>
      </c>
      <c r="C1902" s="40" t="s">
        <v>3434</v>
      </c>
      <c r="D1902" s="35" t="s">
        <v>3486</v>
      </c>
      <c r="E1902" s="35" t="s">
        <v>3487</v>
      </c>
      <c r="F1902" t="str" cm="1">
        <f t="array" ref="F1902">IFERROR(_xlfn.XLOOKUP(E1902,MapeoCargos!$A:$A,MapeoCargos!$B:$B,E1902),E1902)</f>
        <v>ASISTENTE DE LOGISTICA</v>
      </c>
      <c r="G1902" s="45">
        <v>44959</v>
      </c>
    </row>
    <row r="1903" spans="1:7" x14ac:dyDescent="0.2">
      <c r="A1903" s="28">
        <v>74148761</v>
      </c>
      <c r="B1903" s="35" t="s">
        <v>3433</v>
      </c>
      <c r="C1903" s="40" t="s">
        <v>3434</v>
      </c>
      <c r="D1903" s="35" t="s">
        <v>3488</v>
      </c>
      <c r="E1903" s="35" t="s">
        <v>3489</v>
      </c>
      <c r="F1903" t="str" cm="1">
        <f t="array" ref="F1903">IFERROR(_xlfn.XLOOKUP(E1903,MapeoCargos!$A:$A,MapeoCargos!$B:$B,E1903),E1903)</f>
        <v>JEFE DE PRODUCCION Y CALIDAD</v>
      </c>
      <c r="G1903" s="45">
        <v>45064</v>
      </c>
    </row>
    <row r="1904" spans="1:7" x14ac:dyDescent="0.2">
      <c r="A1904" s="28">
        <v>47033097</v>
      </c>
      <c r="B1904" s="35" t="s">
        <v>3433</v>
      </c>
      <c r="C1904" s="40" t="s">
        <v>3434</v>
      </c>
      <c r="D1904" s="35" t="s">
        <v>3491</v>
      </c>
      <c r="E1904" s="35" t="s">
        <v>3450</v>
      </c>
      <c r="F1904" t="str" cm="1">
        <f t="array" ref="F1904">IFERROR(_xlfn.XLOOKUP(E1904,MapeoCargos!$A:$A,MapeoCargos!$B:$B,E1904),E1904)</f>
        <v>CONDUCTOR</v>
      </c>
      <c r="G1904" s="45">
        <v>45139</v>
      </c>
    </row>
    <row r="1905" spans="1:7" x14ac:dyDescent="0.2">
      <c r="A1905" s="28">
        <v>71415598</v>
      </c>
      <c r="B1905" s="35" t="s">
        <v>3433</v>
      </c>
      <c r="C1905" s="40" t="s">
        <v>3434</v>
      </c>
      <c r="D1905" s="35" t="s">
        <v>3492</v>
      </c>
      <c r="E1905" s="35" t="s">
        <v>3493</v>
      </c>
      <c r="F1905" t="str" cm="1">
        <f t="array" ref="F1905">IFERROR(_xlfn.XLOOKUP(E1905,MapeoCargos!$A:$A,MapeoCargos!$B:$B,E1905),E1905)</f>
        <v>ASISTENTE DE AUDITORIA</v>
      </c>
      <c r="G1905" s="45">
        <v>45139</v>
      </c>
    </row>
    <row r="1906" spans="1:7" x14ac:dyDescent="0.2">
      <c r="A1906" s="28">
        <v>73095763</v>
      </c>
      <c r="B1906" s="35" t="s">
        <v>3433</v>
      </c>
      <c r="C1906" s="40" t="s">
        <v>3434</v>
      </c>
      <c r="D1906" s="35" t="s">
        <v>3494</v>
      </c>
      <c r="E1906" s="35" t="s">
        <v>3480</v>
      </c>
      <c r="F1906" t="str" cm="1">
        <f t="array" ref="F1906">IFERROR(_xlfn.XLOOKUP(E1906,MapeoCargos!$A:$A,MapeoCargos!$B:$B,E1906),E1906)</f>
        <v>AYUDANTE DE REPARTO</v>
      </c>
      <c r="G1906" s="45">
        <v>45283</v>
      </c>
    </row>
    <row r="1907" spans="1:7" x14ac:dyDescent="0.2">
      <c r="A1907" s="28">
        <v>73539505</v>
      </c>
      <c r="B1907" s="35" t="s">
        <v>3433</v>
      </c>
      <c r="C1907" s="40" t="s">
        <v>3434</v>
      </c>
      <c r="D1907" s="35" t="s">
        <v>3496</v>
      </c>
      <c r="E1907" s="35" t="s">
        <v>3497</v>
      </c>
      <c r="F1907" t="str" cm="1">
        <f t="array" ref="F1907">IFERROR(_xlfn.XLOOKUP(E1907,MapeoCargos!$A:$A,MapeoCargos!$B:$B,E1907),E1907)</f>
        <v>OPERARIO DE VERDURAS</v>
      </c>
      <c r="G1907" s="45">
        <v>45353</v>
      </c>
    </row>
    <row r="1908" spans="1:7" x14ac:dyDescent="0.2">
      <c r="A1908" s="28">
        <v>45815849</v>
      </c>
      <c r="B1908" s="35" t="s">
        <v>3433</v>
      </c>
      <c r="C1908" s="40" t="s">
        <v>3434</v>
      </c>
      <c r="D1908" s="35" t="s">
        <v>3498</v>
      </c>
      <c r="E1908" s="35" t="s">
        <v>3499</v>
      </c>
      <c r="F1908" t="str" cm="1">
        <f t="array" ref="F1908">IFERROR(_xlfn.XLOOKUP(E1908,MapeoCargos!$A:$A,MapeoCargos!$B:$B,E1908),E1908)</f>
        <v>GERENTE COMERCIAL</v>
      </c>
      <c r="G1908" s="45">
        <v>45352</v>
      </c>
    </row>
    <row r="1909" spans="1:7" x14ac:dyDescent="0.2">
      <c r="A1909" s="28">
        <v>48304947</v>
      </c>
      <c r="B1909" s="35" t="s">
        <v>3433</v>
      </c>
      <c r="C1909" s="40" t="s">
        <v>3434</v>
      </c>
      <c r="D1909" s="35" t="s">
        <v>3500</v>
      </c>
      <c r="E1909" s="35" t="s">
        <v>3501</v>
      </c>
      <c r="F1909" t="str" cm="1">
        <f t="array" ref="F1909">IFERROR(_xlfn.XLOOKUP(E1909,MapeoCargos!$A:$A,MapeoCargos!$B:$B,E1909),E1909)</f>
        <v>PRODUCCIÓN DE VERDURAS</v>
      </c>
      <c r="G1909" s="45">
        <v>45437</v>
      </c>
    </row>
    <row r="1910" spans="1:7" x14ac:dyDescent="0.2">
      <c r="A1910" s="28" t="s">
        <v>3502</v>
      </c>
      <c r="B1910" s="35" t="s">
        <v>3433</v>
      </c>
      <c r="C1910" s="40" t="s">
        <v>3434</v>
      </c>
      <c r="D1910" s="35" t="s">
        <v>3503</v>
      </c>
      <c r="E1910" s="35" t="s">
        <v>3504</v>
      </c>
      <c r="F1910" t="str" cm="1">
        <f t="array" ref="F1910">IFERROR(_xlfn.XLOOKUP(E1910,MapeoCargos!$A:$A,MapeoCargos!$B:$B,E1910),E1910)</f>
        <v>OPERARIO DE PRODUCCION</v>
      </c>
      <c r="G1910" s="45">
        <v>45505</v>
      </c>
    </row>
    <row r="1911" spans="1:7" x14ac:dyDescent="0.2">
      <c r="A1911" s="28" t="s">
        <v>3505</v>
      </c>
      <c r="B1911" s="35" t="s">
        <v>3433</v>
      </c>
      <c r="C1911" s="40" t="s">
        <v>3434</v>
      </c>
      <c r="D1911" s="35" t="s">
        <v>3506</v>
      </c>
      <c r="E1911" s="35" t="s">
        <v>3480</v>
      </c>
      <c r="F1911" t="str" cm="1">
        <f t="array" ref="F1911">IFERROR(_xlfn.XLOOKUP(E1911,MapeoCargos!$A:$A,MapeoCargos!$B:$B,E1911),E1911)</f>
        <v>AYUDANTE DE REPARTO</v>
      </c>
      <c r="G1911" s="45">
        <v>45628</v>
      </c>
    </row>
    <row r="1912" spans="1:7" x14ac:dyDescent="0.2">
      <c r="A1912" s="28" t="s">
        <v>3507</v>
      </c>
      <c r="B1912" s="35" t="s">
        <v>3433</v>
      </c>
      <c r="C1912" s="40" t="s">
        <v>3434</v>
      </c>
      <c r="D1912" s="35" t="s">
        <v>3508</v>
      </c>
      <c r="E1912" s="35" t="s">
        <v>3509</v>
      </c>
      <c r="F1912" t="str" cm="1">
        <f t="array" ref="F1912">IFERROR(_xlfn.XLOOKUP(E1912,MapeoCargos!$A:$A,MapeoCargos!$B:$B,E1912),E1912)</f>
        <v>AUXILIAR DE RECURSOS HUMANOS</v>
      </c>
      <c r="G1912" s="45">
        <v>45705</v>
      </c>
    </row>
    <row r="1913" spans="1:7" x14ac:dyDescent="0.2">
      <c r="A1913" s="28" t="s">
        <v>3510</v>
      </c>
      <c r="B1913" s="35" t="s">
        <v>3433</v>
      </c>
      <c r="C1913" s="40" t="s">
        <v>3434</v>
      </c>
      <c r="D1913" s="35" t="s">
        <v>3511</v>
      </c>
      <c r="E1913" s="35" t="s">
        <v>3512</v>
      </c>
      <c r="F1913" t="str" cm="1">
        <f t="array" ref="F1913">IFERROR(_xlfn.XLOOKUP(E1913,MapeoCargos!$A:$A,MapeoCargos!$B:$B,E1913),E1913)</f>
        <v>TECNICO EN MANTENIMIENTO</v>
      </c>
      <c r="G1913" s="45">
        <v>45727</v>
      </c>
    </row>
    <row r="1914" spans="1:7" x14ac:dyDescent="0.2">
      <c r="A1914" s="28" t="s">
        <v>3513</v>
      </c>
      <c r="B1914" s="35" t="s">
        <v>3433</v>
      </c>
      <c r="C1914" s="40" t="s">
        <v>3434</v>
      </c>
      <c r="D1914" s="35" t="s">
        <v>3514</v>
      </c>
      <c r="E1914" s="35" t="s">
        <v>3515</v>
      </c>
      <c r="F1914" t="str" cm="1">
        <f t="array" ref="F1914">IFERROR(_xlfn.XLOOKUP(E1914,MapeoCargos!$A:$A,MapeoCargos!$B:$B,E1914),E1914)</f>
        <v>AUXILIAR DE ALMACEN</v>
      </c>
      <c r="G1914" s="45">
        <v>45748</v>
      </c>
    </row>
    <row r="1915" spans="1:7" x14ac:dyDescent="0.2">
      <c r="A1915" s="28" t="s">
        <v>3516</v>
      </c>
      <c r="B1915" s="35" t="s">
        <v>3433</v>
      </c>
      <c r="C1915" s="40" t="s">
        <v>3434</v>
      </c>
      <c r="D1915" s="35" t="s">
        <v>3517</v>
      </c>
      <c r="E1915" s="35" t="s">
        <v>3504</v>
      </c>
      <c r="F1915" t="str" cm="1">
        <f t="array" ref="F1915">IFERROR(_xlfn.XLOOKUP(E1915,MapeoCargos!$A:$A,MapeoCargos!$B:$B,E1915),E1915)</f>
        <v>OPERARIO DE PRODUCCION</v>
      </c>
      <c r="G1915" s="45">
        <v>45810</v>
      </c>
    </row>
    <row r="1916" spans="1:7" x14ac:dyDescent="0.2">
      <c r="A1916" s="28" t="s">
        <v>3518</v>
      </c>
      <c r="B1916" s="35" t="s">
        <v>3433</v>
      </c>
      <c r="C1916" s="40" t="s">
        <v>3434</v>
      </c>
      <c r="D1916" s="35" t="s">
        <v>3519</v>
      </c>
      <c r="E1916" s="35" t="s">
        <v>3520</v>
      </c>
      <c r="F1916" t="str" cm="1">
        <f t="array" ref="F1916">IFERROR(_xlfn.XLOOKUP(E1916,MapeoCargos!$A:$A,MapeoCargos!$B:$B,E1916),E1916)</f>
        <v>AYUDANTE DE COMPRAS</v>
      </c>
      <c r="G1916" s="45">
        <v>45817</v>
      </c>
    </row>
    <row r="1917" spans="1:7" x14ac:dyDescent="0.2">
      <c r="A1917" s="28" t="s">
        <v>3521</v>
      </c>
      <c r="B1917" s="35" t="s">
        <v>3433</v>
      </c>
      <c r="C1917" s="40" t="s">
        <v>3434</v>
      </c>
      <c r="D1917" s="35" t="s">
        <v>3522</v>
      </c>
      <c r="E1917" s="35" t="s">
        <v>3490</v>
      </c>
      <c r="F1917" t="str" cm="1">
        <f t="array" ref="F1917">IFERROR(_xlfn.XLOOKUP(E1917,MapeoCargos!$A:$A,MapeoCargos!$B:$B,E1917),E1917)</f>
        <v>SUPERVISORA DE CALIDAD</v>
      </c>
      <c r="G1917" s="45">
        <v>45817</v>
      </c>
    </row>
    <row r="1918" spans="1:7" x14ac:dyDescent="0.2">
      <c r="A1918" s="28" t="s">
        <v>3523</v>
      </c>
      <c r="B1918" s="35" t="s">
        <v>3433</v>
      </c>
      <c r="C1918" s="40" t="s">
        <v>3434</v>
      </c>
      <c r="D1918" s="35" t="s">
        <v>3524</v>
      </c>
      <c r="E1918" s="35" t="s">
        <v>3450</v>
      </c>
      <c r="F1918" t="str" cm="1">
        <f t="array" ref="F1918">IFERROR(_xlfn.XLOOKUP(E1918,MapeoCargos!$A:$A,MapeoCargos!$B:$B,E1918),E1918)</f>
        <v>CONDUCTOR</v>
      </c>
      <c r="G1918" s="45">
        <v>45812</v>
      </c>
    </row>
    <row r="1919" spans="1:7" x14ac:dyDescent="0.2">
      <c r="A1919" s="28" t="s">
        <v>3525</v>
      </c>
      <c r="B1919" s="35" t="s">
        <v>3433</v>
      </c>
      <c r="C1919" s="40" t="s">
        <v>3434</v>
      </c>
      <c r="D1919" s="35" t="s">
        <v>3526</v>
      </c>
      <c r="E1919" s="35" t="s">
        <v>3527</v>
      </c>
      <c r="F1919" t="str" cm="1">
        <f t="array" ref="F1919">IFERROR(_xlfn.XLOOKUP(E1919,MapeoCargos!$A:$A,MapeoCargos!$B:$B,E1919),E1919)</f>
        <v>AUXILIAR DE REPARTO</v>
      </c>
      <c r="G1919" s="45">
        <v>45824</v>
      </c>
    </row>
    <row r="1920" spans="1:7" x14ac:dyDescent="0.2">
      <c r="A1920" s="28" t="s">
        <v>3528</v>
      </c>
      <c r="B1920" s="35" t="s">
        <v>3433</v>
      </c>
      <c r="C1920" s="40" t="s">
        <v>3434</v>
      </c>
      <c r="D1920" s="35" t="s">
        <v>3529</v>
      </c>
      <c r="E1920" s="35" t="s">
        <v>3504</v>
      </c>
      <c r="F1920" t="str" cm="1">
        <f t="array" ref="F1920">IFERROR(_xlfn.XLOOKUP(E1920,MapeoCargos!$A:$A,MapeoCargos!$B:$B,E1920),E1920)</f>
        <v>OPERARIO DE PRODUCCION</v>
      </c>
      <c r="G1920" s="45">
        <v>45831</v>
      </c>
    </row>
    <row r="1921" spans="1:7" x14ac:dyDescent="0.2">
      <c r="A1921" s="28" t="s">
        <v>3530</v>
      </c>
      <c r="B1921" s="35" t="s">
        <v>3433</v>
      </c>
      <c r="C1921" s="40" t="s">
        <v>3434</v>
      </c>
      <c r="D1921" s="35" t="s">
        <v>3531</v>
      </c>
      <c r="E1921" s="35" t="s">
        <v>3532</v>
      </c>
      <c r="F1921" t="str" cm="1">
        <f t="array" ref="F1921">IFERROR(_xlfn.XLOOKUP(E1921,MapeoCargos!$A:$A,MapeoCargos!$B:$B,E1921),E1921)</f>
        <v>LIMPIEZA / MANTENIMIENTO</v>
      </c>
      <c r="G1921" s="45">
        <v>45841</v>
      </c>
    </row>
    <row r="1922" spans="1:7" x14ac:dyDescent="0.2">
      <c r="A1922" s="28" t="s">
        <v>3533</v>
      </c>
      <c r="B1922" s="35" t="s">
        <v>3433</v>
      </c>
      <c r="C1922" s="40" t="s">
        <v>3434</v>
      </c>
      <c r="D1922" s="35" t="s">
        <v>3534</v>
      </c>
      <c r="E1922" s="35" t="s">
        <v>3504</v>
      </c>
      <c r="F1922" t="str" cm="1">
        <f t="array" ref="F1922">IFERROR(_xlfn.XLOOKUP(E1922,MapeoCargos!$A:$A,MapeoCargos!$B:$B,E1922),E1922)</f>
        <v>OPERARIO DE PRODUCCION</v>
      </c>
      <c r="G1922" s="45">
        <v>45845</v>
      </c>
    </row>
    <row r="1923" spans="1:7" x14ac:dyDescent="0.2">
      <c r="A1923" s="28" t="s">
        <v>3535</v>
      </c>
      <c r="B1923" s="35" t="s">
        <v>3433</v>
      </c>
      <c r="C1923" s="40" t="s">
        <v>3434</v>
      </c>
      <c r="D1923" s="35" t="s">
        <v>3536</v>
      </c>
      <c r="E1923" s="35" t="s">
        <v>3504</v>
      </c>
      <c r="F1923" t="str" cm="1">
        <f t="array" ref="F1923">IFERROR(_xlfn.XLOOKUP(E1923,MapeoCargos!$A:$A,MapeoCargos!$B:$B,E1923),E1923)</f>
        <v>OPERARIO DE PRODUCCION</v>
      </c>
      <c r="G1923" s="45">
        <v>45845</v>
      </c>
    </row>
    <row r="1924" spans="1:7" x14ac:dyDescent="0.2">
      <c r="A1924" s="28" t="s">
        <v>3537</v>
      </c>
      <c r="B1924" s="35" t="s">
        <v>3433</v>
      </c>
      <c r="C1924" s="40" t="s">
        <v>3434</v>
      </c>
      <c r="D1924" s="35" t="s">
        <v>3538</v>
      </c>
      <c r="E1924" s="35" t="s">
        <v>3504</v>
      </c>
      <c r="F1924" t="str" cm="1">
        <f t="array" ref="F1924">IFERROR(_xlfn.XLOOKUP(E1924,MapeoCargos!$A:$A,MapeoCargos!$B:$B,E1924),E1924)</f>
        <v>OPERARIO DE PRODUCCION</v>
      </c>
      <c r="G1924" s="45">
        <v>45842</v>
      </c>
    </row>
    <row r="1925" spans="1:7" x14ac:dyDescent="0.2">
      <c r="A1925" s="28" t="s">
        <v>3539</v>
      </c>
      <c r="B1925" s="35" t="s">
        <v>3433</v>
      </c>
      <c r="C1925" s="40" t="s">
        <v>3434</v>
      </c>
      <c r="D1925" s="35" t="s">
        <v>3540</v>
      </c>
      <c r="E1925" s="35" t="s">
        <v>996</v>
      </c>
      <c r="F1925" t="str" cm="1">
        <f t="array" ref="F1925">IFERROR(_xlfn.XLOOKUP(E1925,MapeoCargos!$A:$A,MapeoCargos!$B:$B,E1925),E1925)</f>
        <v>AYUDANTE DE ALMACEN</v>
      </c>
      <c r="G1925" s="45">
        <v>45843</v>
      </c>
    </row>
    <row r="1926" spans="1:7" x14ac:dyDescent="0.2">
      <c r="A1926" s="28" t="s">
        <v>3541</v>
      </c>
      <c r="B1926" s="35" t="s">
        <v>3433</v>
      </c>
      <c r="C1926" s="40" t="s">
        <v>3434</v>
      </c>
      <c r="D1926" s="35" t="s">
        <v>3542</v>
      </c>
      <c r="E1926" s="35" t="s">
        <v>3504</v>
      </c>
      <c r="F1926" t="str" cm="1">
        <f t="array" ref="F1926">IFERROR(_xlfn.XLOOKUP(E1926,MapeoCargos!$A:$A,MapeoCargos!$B:$B,E1926),E1926)</f>
        <v>OPERARIO DE PRODUCCION</v>
      </c>
      <c r="G1926" s="45">
        <v>45845</v>
      </c>
    </row>
    <row r="1927" spans="1:7" x14ac:dyDescent="0.2">
      <c r="A1927" s="28" t="s">
        <v>3543</v>
      </c>
      <c r="B1927" s="35" t="s">
        <v>3433</v>
      </c>
      <c r="C1927" s="40" t="s">
        <v>3434</v>
      </c>
      <c r="D1927" s="35" t="s">
        <v>3544</v>
      </c>
      <c r="E1927" s="35" t="s">
        <v>3504</v>
      </c>
      <c r="F1927" t="str" cm="1">
        <f t="array" ref="F1927">IFERROR(_xlfn.XLOOKUP(E1927,MapeoCargos!$A:$A,MapeoCargos!$B:$B,E1927),E1927)</f>
        <v>OPERARIO DE PRODUCCION</v>
      </c>
      <c r="G1927" s="45">
        <v>45845</v>
      </c>
    </row>
    <row r="1928" spans="1:7" x14ac:dyDescent="0.2">
      <c r="A1928" s="28" t="s">
        <v>3545</v>
      </c>
      <c r="B1928" s="35" t="s">
        <v>3433</v>
      </c>
      <c r="C1928" s="40" t="s">
        <v>3434</v>
      </c>
      <c r="D1928" s="35" t="s">
        <v>3546</v>
      </c>
      <c r="E1928" s="35" t="s">
        <v>3547</v>
      </c>
      <c r="F1928" t="str" cm="1">
        <f t="array" ref="F1928">IFERROR(_xlfn.XLOOKUP(E1928,MapeoCargos!$A:$A,MapeoCargos!$B:$B,E1928),E1928)</f>
        <v>SUPERVISORA DE PRODUCCIÓN</v>
      </c>
      <c r="G1928" s="45">
        <v>45854</v>
      </c>
    </row>
    <row r="1929" spans="1:7" x14ac:dyDescent="0.2">
      <c r="A1929" s="28" t="s">
        <v>3548</v>
      </c>
      <c r="B1929" s="35" t="s">
        <v>3433</v>
      </c>
      <c r="C1929" s="40" t="s">
        <v>3434</v>
      </c>
      <c r="D1929" s="35" t="s">
        <v>3549</v>
      </c>
      <c r="E1929" s="35" t="s">
        <v>3504</v>
      </c>
      <c r="F1929" t="str" cm="1">
        <f t="array" ref="F1929">IFERROR(_xlfn.XLOOKUP(E1929,MapeoCargos!$A:$A,MapeoCargos!$B:$B,E1929),E1929)</f>
        <v>OPERARIO DE PRODUCCION</v>
      </c>
      <c r="G1929" s="45">
        <v>45857</v>
      </c>
    </row>
    <row r="1930" spans="1:7" x14ac:dyDescent="0.2">
      <c r="A1930" s="28" t="s">
        <v>3550</v>
      </c>
      <c r="B1930" s="35" t="s">
        <v>3433</v>
      </c>
      <c r="C1930" s="40" t="s">
        <v>3434</v>
      </c>
      <c r="D1930" s="35" t="s">
        <v>3551</v>
      </c>
      <c r="E1930" s="35" t="s">
        <v>3504</v>
      </c>
      <c r="F1930" t="str" cm="1">
        <f t="array" ref="F1930">IFERROR(_xlfn.XLOOKUP(E1930,MapeoCargos!$A:$A,MapeoCargos!$B:$B,E1930),E1930)</f>
        <v>OPERARIO DE PRODUCCION</v>
      </c>
      <c r="G1930" s="45">
        <v>45857</v>
      </c>
    </row>
    <row r="1931" spans="1:7" x14ac:dyDescent="0.2">
      <c r="A1931" s="28" t="s">
        <v>3552</v>
      </c>
      <c r="B1931" s="35" t="s">
        <v>3433</v>
      </c>
      <c r="C1931" s="40" t="s">
        <v>3434</v>
      </c>
      <c r="D1931" s="35" t="s">
        <v>3553</v>
      </c>
      <c r="E1931" s="35" t="s">
        <v>3504</v>
      </c>
      <c r="F1931" t="str" cm="1">
        <f t="array" ref="F1931">IFERROR(_xlfn.XLOOKUP(E1931,MapeoCargos!$A:$A,MapeoCargos!$B:$B,E1931),E1931)</f>
        <v>OPERARIO DE PRODUCCION</v>
      </c>
      <c r="G1931" s="45">
        <v>45863</v>
      </c>
    </row>
    <row r="1932" spans="1:7" x14ac:dyDescent="0.2">
      <c r="A1932" s="28" t="s">
        <v>3554</v>
      </c>
      <c r="B1932" s="35" t="s">
        <v>3433</v>
      </c>
      <c r="C1932" s="40" t="s">
        <v>3434</v>
      </c>
      <c r="D1932" s="35" t="s">
        <v>3555</v>
      </c>
      <c r="E1932" s="35" t="s">
        <v>3480</v>
      </c>
      <c r="F1932" t="str" cm="1">
        <f t="array" ref="F1932">IFERROR(_xlfn.XLOOKUP(E1932,MapeoCargos!$A:$A,MapeoCargos!$B:$B,E1932),E1932)</f>
        <v>AYUDANTE DE REPARTO</v>
      </c>
      <c r="G1932" s="45">
        <v>45870</v>
      </c>
    </row>
    <row r="1933" spans="1:7" x14ac:dyDescent="0.2">
      <c r="A1933" s="28" t="s">
        <v>3556</v>
      </c>
      <c r="B1933" s="35" t="s">
        <v>3433</v>
      </c>
      <c r="C1933" s="40" t="s">
        <v>3434</v>
      </c>
      <c r="D1933" s="35" t="s">
        <v>3557</v>
      </c>
      <c r="E1933" s="35" t="s">
        <v>3558</v>
      </c>
      <c r="F1933" t="str" cm="1">
        <f t="array" ref="F1933">IFERROR(_xlfn.XLOOKUP(E1933,MapeoCargos!$A:$A,MapeoCargos!$B:$B,E1933),E1933)</f>
        <v>ANALISTA COMERCIAL</v>
      </c>
      <c r="G1933" s="45">
        <v>45871</v>
      </c>
    </row>
    <row r="1934" spans="1:7" x14ac:dyDescent="0.2">
      <c r="A1934" s="28" t="s">
        <v>3559</v>
      </c>
      <c r="B1934" s="35" t="s">
        <v>3433</v>
      </c>
      <c r="C1934" s="40" t="s">
        <v>3434</v>
      </c>
      <c r="D1934" s="35" t="s">
        <v>3560</v>
      </c>
      <c r="E1934" s="35" t="s">
        <v>3504</v>
      </c>
      <c r="F1934" t="str" cm="1">
        <f t="array" ref="F1934">IFERROR(_xlfn.XLOOKUP(E1934,MapeoCargos!$A:$A,MapeoCargos!$B:$B,E1934),E1934)</f>
        <v>OPERARIO DE PRODUCCION</v>
      </c>
      <c r="G1934" s="45">
        <v>45870</v>
      </c>
    </row>
    <row r="1935" spans="1:7" x14ac:dyDescent="0.2">
      <c r="A1935" s="28" t="s">
        <v>3561</v>
      </c>
      <c r="B1935" s="35" t="s">
        <v>3433</v>
      </c>
      <c r="C1935" s="40" t="s">
        <v>3434</v>
      </c>
      <c r="D1935" s="35" t="s">
        <v>3562</v>
      </c>
      <c r="E1935" s="35" t="s">
        <v>3532</v>
      </c>
      <c r="F1935" t="str" cm="1">
        <f t="array" ref="F1935">IFERROR(_xlfn.XLOOKUP(E1935,MapeoCargos!$A:$A,MapeoCargos!$B:$B,E1935),E1935)</f>
        <v>LIMPIEZA / MANTENIMIENTO</v>
      </c>
      <c r="G1935" s="45">
        <v>45878</v>
      </c>
    </row>
    <row r="1936" spans="1:7" x14ac:dyDescent="0.2">
      <c r="A1936" s="28" t="s">
        <v>3563</v>
      </c>
      <c r="B1936" s="35" t="s">
        <v>3433</v>
      </c>
      <c r="C1936" s="40" t="s">
        <v>3434</v>
      </c>
      <c r="D1936" s="35" t="s">
        <v>3564</v>
      </c>
      <c r="E1936" s="35" t="s">
        <v>3495</v>
      </c>
      <c r="F1936" t="str" cm="1">
        <f t="array" ref="F1936">IFERROR(_xlfn.XLOOKUP(E1936,MapeoCargos!$A:$A,MapeoCargos!$B:$B,E1936),E1936)</f>
        <v>ASISTENTE COMERCIAL</v>
      </c>
      <c r="G1936" s="45">
        <v>45901</v>
      </c>
    </row>
    <row r="1937" spans="1:7" x14ac:dyDescent="0.2">
      <c r="A1937" s="28" t="s">
        <v>4008</v>
      </c>
      <c r="B1937" s="35" t="s">
        <v>3433</v>
      </c>
      <c r="C1937" s="40" t="s">
        <v>3434</v>
      </c>
      <c r="D1937" s="35" t="s">
        <v>4185</v>
      </c>
      <c r="E1937" s="35" t="s">
        <v>4186</v>
      </c>
      <c r="F1937" t="str" cm="1">
        <f t="array" ref="F1937">IFERROR(_xlfn.XLOOKUP(E1937,MapeoCargos!$A:$A,MapeoCargos!$B:$B,E1937),E1937)</f>
        <v>INSPECTORA DE CALIDAD</v>
      </c>
      <c r="G1937" s="45">
        <v>45904</v>
      </c>
    </row>
    <row r="1938" spans="1:7" x14ac:dyDescent="0.2">
      <c r="A1938" s="28" t="s">
        <v>4009</v>
      </c>
      <c r="B1938" s="35" t="s">
        <v>3433</v>
      </c>
      <c r="C1938" s="40" t="s">
        <v>3434</v>
      </c>
      <c r="D1938" s="35" t="s">
        <v>4187</v>
      </c>
      <c r="E1938" s="35" t="s">
        <v>695</v>
      </c>
      <c r="F1938" t="str" cm="1">
        <f t="array" ref="F1938">IFERROR(_xlfn.XLOOKUP(E1938,MapeoCargos!$A:$A,MapeoCargos!$B:$B,E1938),E1938)</f>
        <v>JEFE DE LOGISTICA</v>
      </c>
      <c r="G1938" s="45">
        <v>45931</v>
      </c>
    </row>
    <row r="1939" spans="1:7" x14ac:dyDescent="0.2">
      <c r="A1939" s="28" t="s">
        <v>4342</v>
      </c>
      <c r="B1939" s="35" t="s">
        <v>3433</v>
      </c>
      <c r="C1939" s="40" t="s">
        <v>3434</v>
      </c>
      <c r="D1939" s="35" t="s">
        <v>4467</v>
      </c>
      <c r="E1939" s="35" t="s">
        <v>4468</v>
      </c>
      <c r="F1939" t="str" cm="1">
        <f t="array" ref="F1939">IFERROR(_xlfn.XLOOKUP(E1939,MapeoCargos!$A:$A,MapeoCargos!$B:$B,E1939),E1939)</f>
        <v>CONTROLLER DE ALMACEN</v>
      </c>
      <c r="G1939" s="45">
        <v>45936</v>
      </c>
    </row>
    <row r="1940" spans="1:7" x14ac:dyDescent="0.2">
      <c r="A1940" s="28" t="s">
        <v>4343</v>
      </c>
      <c r="B1940" s="35" t="s">
        <v>3433</v>
      </c>
      <c r="C1940" s="40" t="s">
        <v>3434</v>
      </c>
      <c r="D1940" s="35" t="s">
        <v>4469</v>
      </c>
      <c r="E1940" s="35" t="s">
        <v>4470</v>
      </c>
      <c r="F1940" t="str" cm="1">
        <f t="array" ref="F1940">IFERROR(_xlfn.XLOOKUP(E1940,MapeoCargos!$A:$A,MapeoCargos!$B:$B,E1940),E1940)</f>
        <v>CONTROLLER DE PRODUCCION</v>
      </c>
      <c r="G1940" s="45">
        <v>45940</v>
      </c>
    </row>
    <row r="1941" spans="1:7" x14ac:dyDescent="0.2">
      <c r="A1941" s="28" t="s">
        <v>4344</v>
      </c>
      <c r="B1941" s="35" t="s">
        <v>3433</v>
      </c>
      <c r="C1941" s="40" t="s">
        <v>3434</v>
      </c>
      <c r="D1941" s="35" t="s">
        <v>4471</v>
      </c>
      <c r="E1941" s="35" t="s">
        <v>4472</v>
      </c>
      <c r="F1941" t="str" cm="1">
        <f t="array" ref="F1941">IFERROR(_xlfn.XLOOKUP(E1941,MapeoCargos!$A:$A,MapeoCargos!$B:$B,E1941),E1941)</f>
        <v>AUXILIAR CONTABLE</v>
      </c>
      <c r="G1941" s="45">
        <v>45944</v>
      </c>
    </row>
    <row r="1942" spans="1:7" x14ac:dyDescent="0.2">
      <c r="A1942" s="28" t="s">
        <v>4345</v>
      </c>
      <c r="B1942" s="35" t="s">
        <v>3433</v>
      </c>
      <c r="C1942" s="40" t="s">
        <v>3434</v>
      </c>
      <c r="D1942" s="35" t="s">
        <v>4473</v>
      </c>
      <c r="E1942" s="35" t="s">
        <v>4474</v>
      </c>
      <c r="F1942" t="str" cm="1">
        <f t="array" ref="F1942">IFERROR(_xlfn.XLOOKUP(E1942,MapeoCargos!$A:$A,MapeoCargos!$B:$B,E1942),E1942)</f>
        <v>ANALISTA DE CALIDAD</v>
      </c>
      <c r="G1942" s="45">
        <v>45945</v>
      </c>
    </row>
    <row r="1943" spans="1:7" x14ac:dyDescent="0.2">
      <c r="A1943" s="28" t="s">
        <v>4346</v>
      </c>
      <c r="B1943" s="35" t="s">
        <v>3433</v>
      </c>
      <c r="C1943" s="40" t="s">
        <v>3434</v>
      </c>
      <c r="D1943" s="35" t="s">
        <v>4475</v>
      </c>
      <c r="E1943" s="35" t="s">
        <v>3504</v>
      </c>
      <c r="F1943" t="str" cm="1">
        <f t="array" ref="F1943">IFERROR(_xlfn.XLOOKUP(E1943,MapeoCargos!$A:$A,MapeoCargos!$B:$B,E1943),E1943)</f>
        <v>OPERARIO DE PRODUCCION</v>
      </c>
      <c r="G1943" s="45">
        <v>45947</v>
      </c>
    </row>
    <row r="1944" spans="1:7" x14ac:dyDescent="0.2">
      <c r="A1944" s="28" t="s">
        <v>4347</v>
      </c>
      <c r="B1944" s="35" t="s">
        <v>3433</v>
      </c>
      <c r="C1944" s="40" t="s">
        <v>3434</v>
      </c>
      <c r="D1944" s="35" t="s">
        <v>4476</v>
      </c>
      <c r="E1944" s="35" t="s">
        <v>3504</v>
      </c>
      <c r="F1944" t="str" cm="1">
        <f t="array" ref="F1944">IFERROR(_xlfn.XLOOKUP(E1944,MapeoCargos!$A:$A,MapeoCargos!$B:$B,E1944),E1944)</f>
        <v>OPERARIO DE PRODUCCION</v>
      </c>
      <c r="G1944" s="45">
        <v>45947</v>
      </c>
    </row>
    <row r="1945" spans="1:7" x14ac:dyDescent="0.2">
      <c r="A1945" s="28" t="s">
        <v>4590</v>
      </c>
      <c r="B1945" s="35" t="s">
        <v>3433</v>
      </c>
      <c r="C1945" s="40" t="s">
        <v>3434</v>
      </c>
      <c r="D1945" s="35" t="s">
        <v>4699</v>
      </c>
      <c r="E1945" s="35" t="s">
        <v>3495</v>
      </c>
      <c r="F1945" t="str" cm="1">
        <f t="array" ref="F1945">IFERROR(_xlfn.XLOOKUP(E1945,MapeoCargos!$A:$A,MapeoCargos!$B:$B,E1945),E1945)</f>
        <v>ASISTENTE COMERCIAL</v>
      </c>
      <c r="G1945" s="45">
        <v>45965</v>
      </c>
    </row>
    <row r="1946" spans="1:7" x14ac:dyDescent="0.2">
      <c r="A1946" s="28" t="s">
        <v>4591</v>
      </c>
      <c r="B1946" s="35" t="s">
        <v>3433</v>
      </c>
      <c r="C1946" s="40" t="s">
        <v>3434</v>
      </c>
      <c r="D1946" s="35" t="s">
        <v>4700</v>
      </c>
      <c r="E1946" s="35" t="s">
        <v>4701</v>
      </c>
      <c r="F1946" t="str" cm="1">
        <f t="array" ref="F1946">IFERROR(_xlfn.XLOOKUP(E1946,MapeoCargos!$A:$A,MapeoCargos!$B:$B,E1946),E1946)</f>
        <v>FACTURADOR</v>
      </c>
      <c r="G1946" s="45">
        <v>45966</v>
      </c>
    </row>
    <row r="1947" spans="1:7" x14ac:dyDescent="0.2">
      <c r="A1947" s="28" t="s">
        <v>4592</v>
      </c>
      <c r="B1947" s="35" t="s">
        <v>3433</v>
      </c>
      <c r="C1947" s="40" t="s">
        <v>3434</v>
      </c>
      <c r="D1947" s="35" t="s">
        <v>4702</v>
      </c>
      <c r="E1947" s="35" t="s">
        <v>3450</v>
      </c>
      <c r="F1947" t="str" cm="1">
        <f t="array" ref="F1947">IFERROR(_xlfn.XLOOKUP(E1947,MapeoCargos!$A:$A,MapeoCargos!$B:$B,E1947),E1947)</f>
        <v>CONDUCTOR</v>
      </c>
      <c r="G1947" s="45">
        <v>45966</v>
      </c>
    </row>
    <row r="1948" spans="1:7" x14ac:dyDescent="0.2">
      <c r="A1948" s="28" t="s">
        <v>4593</v>
      </c>
      <c r="B1948" s="35" t="s">
        <v>3433</v>
      </c>
      <c r="C1948" s="40" t="s">
        <v>3434</v>
      </c>
      <c r="D1948" s="35" t="s">
        <v>4703</v>
      </c>
      <c r="E1948" s="35" t="s">
        <v>3504</v>
      </c>
      <c r="F1948" t="str" cm="1">
        <f t="array" ref="F1948">IFERROR(_xlfn.XLOOKUP(E1948,MapeoCargos!$A:$A,MapeoCargos!$B:$B,E1948),E1948)</f>
        <v>OPERARIO DE PRODUCCION</v>
      </c>
      <c r="G1948" s="45">
        <v>45967</v>
      </c>
    </row>
    <row r="1949" spans="1:7" x14ac:dyDescent="0.2">
      <c r="A1949" s="28" t="s">
        <v>4594</v>
      </c>
      <c r="B1949" s="35" t="s">
        <v>3433</v>
      </c>
      <c r="C1949" s="40" t="s">
        <v>3434</v>
      </c>
      <c r="D1949" s="35" t="s">
        <v>4704</v>
      </c>
      <c r="E1949" s="35" t="s">
        <v>4705</v>
      </c>
      <c r="F1949" t="str" cm="1">
        <f t="array" ref="F1949">IFERROR(_xlfn.XLOOKUP(E1949,MapeoCargos!$A:$A,MapeoCargos!$B:$B,E1949),E1949)</f>
        <v>OPERARIA DE PRODUCCION</v>
      </c>
      <c r="G1949" s="45">
        <v>45967</v>
      </c>
    </row>
    <row r="1950" spans="1:7" x14ac:dyDescent="0.2">
      <c r="A1950" s="28" t="s">
        <v>4595</v>
      </c>
      <c r="B1950" s="35" t="s">
        <v>3433</v>
      </c>
      <c r="C1950" s="40" t="s">
        <v>3434</v>
      </c>
      <c r="D1950" s="35" t="s">
        <v>4706</v>
      </c>
      <c r="E1950" s="35" t="s">
        <v>3480</v>
      </c>
      <c r="F1950" t="str" cm="1">
        <f t="array" ref="F1950">IFERROR(_xlfn.XLOOKUP(E1950,MapeoCargos!$A:$A,MapeoCargos!$B:$B,E1950),E1950)</f>
        <v>AYUDANTE DE REPARTO</v>
      </c>
      <c r="G1950" s="45">
        <v>45982</v>
      </c>
    </row>
    <row r="1951" spans="1:7" x14ac:dyDescent="0.2">
      <c r="A1951" s="28" t="s">
        <v>4596</v>
      </c>
      <c r="B1951" s="35" t="s">
        <v>3433</v>
      </c>
      <c r="C1951" s="40" t="s">
        <v>3434</v>
      </c>
      <c r="D1951" s="35" t="s">
        <v>4707</v>
      </c>
      <c r="E1951" s="35" t="s">
        <v>3450</v>
      </c>
      <c r="F1951" t="str" cm="1">
        <f t="array" ref="F1951">IFERROR(_xlfn.XLOOKUP(E1951,MapeoCargos!$A:$A,MapeoCargos!$B:$B,E1951),E1951)</f>
        <v>CONDUCTOR</v>
      </c>
      <c r="G1951" s="45">
        <v>45985</v>
      </c>
    </row>
    <row r="1952" spans="1:7" x14ac:dyDescent="0.2">
      <c r="A1952" s="28" t="s">
        <v>3565</v>
      </c>
      <c r="B1952" s="35" t="s">
        <v>76</v>
      </c>
      <c r="C1952" s="40" t="s">
        <v>3566</v>
      </c>
      <c r="D1952" s="35" t="s">
        <v>3567</v>
      </c>
      <c r="E1952" s="35" t="s">
        <v>1210</v>
      </c>
      <c r="F1952" t="str" cm="1">
        <f t="array" ref="F1952">IFERROR(_xlfn.XLOOKUP(E1952,MapeoCargos!$A:$A,MapeoCargos!$B:$B,E1952),E1952)</f>
        <v>STAFF ADMINISTRATIVO</v>
      </c>
      <c r="G1952" s="45">
        <v>45704</v>
      </c>
    </row>
    <row r="1953" spans="1:7" x14ac:dyDescent="0.2">
      <c r="A1953" s="28">
        <v>43353603</v>
      </c>
      <c r="B1953" s="35" t="s">
        <v>76</v>
      </c>
      <c r="C1953" s="40" t="s">
        <v>3566</v>
      </c>
      <c r="D1953" s="35" t="s">
        <v>3568</v>
      </c>
      <c r="E1953" s="35" t="s">
        <v>3463</v>
      </c>
      <c r="F1953" t="str" cm="1">
        <f t="array" ref="F1953">IFERROR(_xlfn.XLOOKUP(E1953,MapeoCargos!$A:$A,MapeoCargos!$B:$B,E1953),E1953)</f>
        <v>LIMPIEZA / MANTENIMIENTO</v>
      </c>
      <c r="G1953" s="45">
        <v>44927</v>
      </c>
    </row>
    <row r="1954" spans="1:7" x14ac:dyDescent="0.2">
      <c r="A1954" s="28">
        <v>77082886</v>
      </c>
      <c r="B1954" s="35" t="s">
        <v>76</v>
      </c>
      <c r="C1954" s="40" t="s">
        <v>3566</v>
      </c>
      <c r="D1954" s="35" t="s">
        <v>3569</v>
      </c>
      <c r="E1954" s="35" t="s">
        <v>3570</v>
      </c>
      <c r="F1954" t="str" cm="1">
        <f t="array" ref="F1954">IFERROR(_xlfn.XLOOKUP(E1954,MapeoCargos!$A:$A,MapeoCargos!$B:$B,E1954),E1954)</f>
        <v xml:space="preserve">AYUD. CRIOLLO </v>
      </c>
      <c r="G1954" s="45">
        <v>44927</v>
      </c>
    </row>
    <row r="1955" spans="1:7" x14ac:dyDescent="0.2">
      <c r="A1955" s="28">
        <v>41458879</v>
      </c>
      <c r="B1955" s="35" t="s">
        <v>76</v>
      </c>
      <c r="C1955" s="40" t="s">
        <v>3566</v>
      </c>
      <c r="D1955" s="35" t="s">
        <v>3571</v>
      </c>
      <c r="E1955" s="35" t="s">
        <v>1027</v>
      </c>
      <c r="F1955" t="str" cm="1">
        <f t="array" ref="F1955">IFERROR(_xlfn.XLOOKUP(E1955,MapeoCargos!$A:$A,MapeoCargos!$B:$B,E1955),E1955)</f>
        <v>PRODUCCIÓN / COCINA</v>
      </c>
      <c r="G1955" s="45">
        <v>44927</v>
      </c>
    </row>
    <row r="1956" spans="1:7" x14ac:dyDescent="0.2">
      <c r="A1956" s="28">
        <v>71293310</v>
      </c>
      <c r="B1956" s="35" t="s">
        <v>76</v>
      </c>
      <c r="C1956" s="40" t="s">
        <v>3566</v>
      </c>
      <c r="D1956" s="35" t="s">
        <v>3572</v>
      </c>
      <c r="E1956" s="35" t="s">
        <v>127</v>
      </c>
      <c r="F1956" t="str" cm="1">
        <f t="array" ref="F1956">IFERROR(_xlfn.XLOOKUP(E1956,MapeoCargos!$A:$A,MapeoCargos!$B:$B,E1956),E1956)</f>
        <v>AZAFATA</v>
      </c>
      <c r="G1956" s="45">
        <v>45444</v>
      </c>
    </row>
    <row r="1957" spans="1:7" x14ac:dyDescent="0.2">
      <c r="A1957" s="28">
        <v>76133722</v>
      </c>
      <c r="B1957" s="35" t="s">
        <v>76</v>
      </c>
      <c r="C1957" s="40" t="s">
        <v>3566</v>
      </c>
      <c r="D1957" s="35" t="s">
        <v>3573</v>
      </c>
      <c r="E1957" s="35" t="s">
        <v>1027</v>
      </c>
      <c r="F1957" t="str" cm="1">
        <f t="array" ref="F1957">IFERROR(_xlfn.XLOOKUP(E1957,MapeoCargos!$A:$A,MapeoCargos!$B:$B,E1957),E1957)</f>
        <v>PRODUCCIÓN / COCINA</v>
      </c>
      <c r="G1957" s="45">
        <v>44927</v>
      </c>
    </row>
    <row r="1958" spans="1:7" x14ac:dyDescent="0.2">
      <c r="A1958" s="28">
        <v>46428175</v>
      </c>
      <c r="B1958" s="35" t="s">
        <v>76</v>
      </c>
      <c r="C1958" s="40" t="s">
        <v>3566</v>
      </c>
      <c r="D1958" s="35" t="s">
        <v>3574</v>
      </c>
      <c r="E1958" s="35" t="s">
        <v>29</v>
      </c>
      <c r="F1958" t="str" cm="1">
        <f t="array" ref="F1958">IFERROR(_xlfn.XLOOKUP(E1958,MapeoCargos!$A:$A,MapeoCargos!$B:$B,E1958),E1958)</f>
        <v>MOZO</v>
      </c>
      <c r="G1958" s="45">
        <v>44986</v>
      </c>
    </row>
    <row r="1959" spans="1:7" x14ac:dyDescent="0.2">
      <c r="A1959" s="28">
        <v>74431413</v>
      </c>
      <c r="B1959" s="35" t="s">
        <v>76</v>
      </c>
      <c r="C1959" s="40" t="s">
        <v>3566</v>
      </c>
      <c r="D1959" s="35" t="s">
        <v>3575</v>
      </c>
      <c r="E1959" s="35" t="s">
        <v>3576</v>
      </c>
      <c r="F1959" t="str" cm="1">
        <f t="array" ref="F1959">IFERROR(_xlfn.XLOOKUP(E1959,MapeoCargos!$A:$A,MapeoCargos!$B:$B,E1959),E1959)</f>
        <v>PRODUCCIÓN / COCINA</v>
      </c>
      <c r="G1959" s="45">
        <v>44943</v>
      </c>
    </row>
    <row r="1960" spans="1:7" x14ac:dyDescent="0.2">
      <c r="A1960" s="28">
        <v>70385992</v>
      </c>
      <c r="B1960" s="35" t="s">
        <v>76</v>
      </c>
      <c r="C1960" s="40" t="s">
        <v>3566</v>
      </c>
      <c r="D1960" s="35" t="s">
        <v>3577</v>
      </c>
      <c r="E1960" s="35" t="s">
        <v>126</v>
      </c>
      <c r="F1960" t="str" cm="1">
        <f t="array" ref="F1960">IFERROR(_xlfn.XLOOKUP(E1960,MapeoCargos!$A:$A,MapeoCargos!$B:$B,E1960),E1960)</f>
        <v>MOTORIZADO</v>
      </c>
      <c r="G1960" s="45">
        <v>44973</v>
      </c>
    </row>
    <row r="1961" spans="1:7" x14ac:dyDescent="0.2">
      <c r="A1961" s="28" t="s">
        <v>3578</v>
      </c>
      <c r="B1961" s="35" t="s">
        <v>76</v>
      </c>
      <c r="C1961" s="40" t="s">
        <v>3566</v>
      </c>
      <c r="D1961" s="35" t="s">
        <v>3579</v>
      </c>
      <c r="E1961" s="35" t="s">
        <v>127</v>
      </c>
      <c r="F1961" t="str" cm="1">
        <f t="array" ref="F1961">IFERROR(_xlfn.XLOOKUP(E1961,MapeoCargos!$A:$A,MapeoCargos!$B:$B,E1961),E1961)</f>
        <v>AZAFATA</v>
      </c>
      <c r="G1961" s="45">
        <v>45663</v>
      </c>
    </row>
    <row r="1962" spans="1:7" x14ac:dyDescent="0.2">
      <c r="A1962" s="28" t="s">
        <v>3580</v>
      </c>
      <c r="B1962" s="35" t="s">
        <v>76</v>
      </c>
      <c r="C1962" s="40" t="s">
        <v>3566</v>
      </c>
      <c r="D1962" s="35" t="s">
        <v>3581</v>
      </c>
      <c r="E1962" s="35" t="s">
        <v>1207</v>
      </c>
      <c r="F1962" t="str" cm="1">
        <f t="array" ref="F1962">IFERROR(_xlfn.XLOOKUP(E1962,MapeoCargos!$A:$A,MapeoCargos!$B:$B,E1962),E1962)</f>
        <v xml:space="preserve">CAJA </v>
      </c>
      <c r="G1962" s="45">
        <v>45727</v>
      </c>
    </row>
    <row r="1963" spans="1:7" x14ac:dyDescent="0.2">
      <c r="A1963" s="28" t="s">
        <v>3582</v>
      </c>
      <c r="B1963" s="35" t="s">
        <v>76</v>
      </c>
      <c r="C1963" s="40" t="s">
        <v>3566</v>
      </c>
      <c r="D1963" s="35" t="s">
        <v>3583</v>
      </c>
      <c r="E1963" s="35" t="s">
        <v>29</v>
      </c>
      <c r="F1963" t="str" cm="1">
        <f t="array" ref="F1963">IFERROR(_xlfn.XLOOKUP(E1963,MapeoCargos!$A:$A,MapeoCargos!$B:$B,E1963),E1963)</f>
        <v>MOZO</v>
      </c>
      <c r="G1963" s="45">
        <v>45813</v>
      </c>
    </row>
    <row r="1964" spans="1:7" x14ac:dyDescent="0.2">
      <c r="A1964" s="28" t="s">
        <v>3584</v>
      </c>
      <c r="B1964" s="35" t="s">
        <v>76</v>
      </c>
      <c r="C1964" s="40" t="s">
        <v>3566</v>
      </c>
      <c r="D1964" s="35" t="s">
        <v>3585</v>
      </c>
      <c r="E1964" s="35" t="s">
        <v>127</v>
      </c>
      <c r="F1964" t="str" cm="1">
        <f t="array" ref="F1964">IFERROR(_xlfn.XLOOKUP(E1964,MapeoCargos!$A:$A,MapeoCargos!$B:$B,E1964),E1964)</f>
        <v>AZAFATA</v>
      </c>
      <c r="G1964" s="45">
        <v>45813</v>
      </c>
    </row>
    <row r="1965" spans="1:7" x14ac:dyDescent="0.2">
      <c r="A1965" s="28" t="s">
        <v>3586</v>
      </c>
      <c r="B1965" s="35" t="s">
        <v>76</v>
      </c>
      <c r="C1965" s="40" t="s">
        <v>3566</v>
      </c>
      <c r="D1965" s="35" t="s">
        <v>3587</v>
      </c>
      <c r="E1965" s="35" t="s">
        <v>126</v>
      </c>
      <c r="F1965" t="str" cm="1">
        <f t="array" ref="F1965">IFERROR(_xlfn.XLOOKUP(E1965,MapeoCargos!$A:$A,MapeoCargos!$B:$B,E1965),E1965)</f>
        <v>MOTORIZADO</v>
      </c>
      <c r="G1965" s="45">
        <v>45848</v>
      </c>
    </row>
    <row r="1966" spans="1:7" x14ac:dyDescent="0.2">
      <c r="A1966" s="28" t="s">
        <v>3588</v>
      </c>
      <c r="B1966" s="35" t="s">
        <v>76</v>
      </c>
      <c r="C1966" s="40" t="s">
        <v>3566</v>
      </c>
      <c r="D1966" s="35" t="s">
        <v>3589</v>
      </c>
      <c r="E1966" s="35" t="s">
        <v>127</v>
      </c>
      <c r="F1966" t="str" cm="1">
        <f t="array" ref="F1966">IFERROR(_xlfn.XLOOKUP(E1966,MapeoCargos!$A:$A,MapeoCargos!$B:$B,E1966),E1966)</f>
        <v>AZAFATA</v>
      </c>
      <c r="G1966" s="45">
        <v>45870</v>
      </c>
    </row>
    <row r="1967" spans="1:7" x14ac:dyDescent="0.2">
      <c r="A1967" s="28" t="s">
        <v>3590</v>
      </c>
      <c r="B1967" s="35" t="s">
        <v>76</v>
      </c>
      <c r="C1967" s="40" t="s">
        <v>3566</v>
      </c>
      <c r="D1967" s="35" t="s">
        <v>3591</v>
      </c>
      <c r="E1967" s="35" t="s">
        <v>29</v>
      </c>
      <c r="F1967" t="str" cm="1">
        <f t="array" ref="F1967">IFERROR(_xlfn.XLOOKUP(E1967,MapeoCargos!$A:$A,MapeoCargos!$B:$B,E1967),E1967)</f>
        <v>MOZO</v>
      </c>
      <c r="G1967" s="45">
        <v>45870</v>
      </c>
    </row>
    <row r="1968" spans="1:7" x14ac:dyDescent="0.2">
      <c r="A1968" s="28" t="s">
        <v>3592</v>
      </c>
      <c r="B1968" s="35" t="s">
        <v>76</v>
      </c>
      <c r="C1968" s="40" t="s">
        <v>3566</v>
      </c>
      <c r="D1968" s="35" t="s">
        <v>3593</v>
      </c>
      <c r="E1968" s="35" t="s">
        <v>130</v>
      </c>
      <c r="F1968" t="str" cm="1">
        <f t="array" ref="F1968">IFERROR(_xlfn.XLOOKUP(E1968,MapeoCargos!$A:$A,MapeoCargos!$B:$B,E1968),E1968)</f>
        <v>BAR</v>
      </c>
      <c r="G1968" s="45">
        <v>45885</v>
      </c>
    </row>
    <row r="1969" spans="1:7" x14ac:dyDescent="0.2">
      <c r="A1969" s="28" t="s">
        <v>3594</v>
      </c>
      <c r="B1969" s="35" t="s">
        <v>76</v>
      </c>
      <c r="C1969" s="40" t="s">
        <v>3566</v>
      </c>
      <c r="D1969" s="35" t="s">
        <v>3595</v>
      </c>
      <c r="E1969" s="35" t="s">
        <v>3596</v>
      </c>
      <c r="F1969" t="str" cm="1">
        <f t="array" ref="F1969">IFERROR(_xlfn.XLOOKUP(E1969,MapeoCargos!$A:$A,MapeoCargos!$B:$B,E1969),E1969)</f>
        <v>STAFF ADMINISTRATIVO</v>
      </c>
      <c r="G1969" s="45">
        <v>45901</v>
      </c>
    </row>
    <row r="1970" spans="1:7" x14ac:dyDescent="0.2">
      <c r="A1970" s="28" t="s">
        <v>4010</v>
      </c>
      <c r="B1970" s="35" t="s">
        <v>76</v>
      </c>
      <c r="C1970" s="40" t="s">
        <v>3566</v>
      </c>
      <c r="D1970" s="35" t="s">
        <v>4188</v>
      </c>
      <c r="E1970" s="35" t="s">
        <v>1027</v>
      </c>
      <c r="F1970" t="str" cm="1">
        <f t="array" ref="F1970">IFERROR(_xlfn.XLOOKUP(E1970,MapeoCargos!$A:$A,MapeoCargos!$B:$B,E1970),E1970)</f>
        <v>PRODUCCIÓN / COCINA</v>
      </c>
      <c r="G1970" s="45">
        <v>45901</v>
      </c>
    </row>
    <row r="1971" spans="1:7" x14ac:dyDescent="0.2">
      <c r="A1971" s="28" t="s">
        <v>4011</v>
      </c>
      <c r="B1971" s="35" t="s">
        <v>76</v>
      </c>
      <c r="C1971" s="40" t="s">
        <v>3566</v>
      </c>
      <c r="D1971" s="35" t="s">
        <v>4189</v>
      </c>
      <c r="E1971" s="35" t="s">
        <v>83</v>
      </c>
      <c r="F1971" t="str" cm="1">
        <f t="array" ref="F1971">IFERROR(_xlfn.XLOOKUP(E1971,MapeoCargos!$A:$A,MapeoCargos!$B:$B,E1971),E1971)</f>
        <v>PRODUCCIÓN / COCINA</v>
      </c>
      <c r="G1971" s="45">
        <v>45901</v>
      </c>
    </row>
    <row r="1972" spans="1:7" x14ac:dyDescent="0.2">
      <c r="A1972" s="28" t="s">
        <v>4012</v>
      </c>
      <c r="B1972" s="35" t="s">
        <v>76</v>
      </c>
      <c r="C1972" s="40" t="s">
        <v>3566</v>
      </c>
      <c r="D1972" s="35" t="s">
        <v>4190</v>
      </c>
      <c r="E1972" s="35" t="s">
        <v>465</v>
      </c>
      <c r="F1972" t="str" cm="1">
        <f t="array" ref="F1972">IFERROR(_xlfn.XLOOKUP(E1972,MapeoCargos!$A:$A,MapeoCargos!$B:$B,E1972),E1972)</f>
        <v>PRODUCCIÓN / COCINA</v>
      </c>
      <c r="G1972" s="45">
        <v>45901</v>
      </c>
    </row>
    <row r="1973" spans="1:7" x14ac:dyDescent="0.2">
      <c r="A1973" s="28" t="s">
        <v>4013</v>
      </c>
      <c r="B1973" s="35" t="s">
        <v>76</v>
      </c>
      <c r="C1973" s="40" t="s">
        <v>3566</v>
      </c>
      <c r="D1973" s="35" t="s">
        <v>4191</v>
      </c>
      <c r="E1973" s="35" t="s">
        <v>29</v>
      </c>
      <c r="F1973" t="str" cm="1">
        <f t="array" ref="F1973">IFERROR(_xlfn.XLOOKUP(E1973,MapeoCargos!$A:$A,MapeoCargos!$B:$B,E1973),E1973)</f>
        <v>MOZO</v>
      </c>
      <c r="G1973" s="45">
        <v>45916</v>
      </c>
    </row>
    <row r="1974" spans="1:7" x14ac:dyDescent="0.2">
      <c r="A1974" s="28">
        <v>41999417</v>
      </c>
      <c r="B1974" s="35" t="s">
        <v>76</v>
      </c>
      <c r="C1974" s="40" t="s">
        <v>3597</v>
      </c>
      <c r="D1974" s="35" t="s">
        <v>3598</v>
      </c>
      <c r="E1974" s="35" t="s">
        <v>3596</v>
      </c>
      <c r="F1974" t="str" cm="1">
        <f t="array" ref="F1974">IFERROR(_xlfn.XLOOKUP(E1974,MapeoCargos!$A:$A,MapeoCargos!$B:$B,E1974),E1974)</f>
        <v>STAFF ADMINISTRATIVO</v>
      </c>
      <c r="G1974" s="45">
        <v>45139</v>
      </c>
    </row>
    <row r="1975" spans="1:7" x14ac:dyDescent="0.2">
      <c r="A1975" s="28">
        <v>76664562</v>
      </c>
      <c r="B1975" s="35" t="s">
        <v>76</v>
      </c>
      <c r="C1975" s="40" t="s">
        <v>3597</v>
      </c>
      <c r="D1975" s="35" t="s">
        <v>3599</v>
      </c>
      <c r="E1975" s="35" t="s">
        <v>29</v>
      </c>
      <c r="F1975" t="str" cm="1">
        <f t="array" ref="F1975">IFERROR(_xlfn.XLOOKUP(E1975,MapeoCargos!$A:$A,MapeoCargos!$B:$B,E1975),E1975)</f>
        <v>MOZO</v>
      </c>
      <c r="G1975" s="45">
        <v>45778</v>
      </c>
    </row>
    <row r="1976" spans="1:7" x14ac:dyDescent="0.2">
      <c r="A1976" s="28">
        <v>25717681</v>
      </c>
      <c r="B1976" s="35" t="s">
        <v>76</v>
      </c>
      <c r="C1976" s="40" t="s">
        <v>3597</v>
      </c>
      <c r="D1976" s="35" t="s">
        <v>3600</v>
      </c>
      <c r="E1976" s="35" t="s">
        <v>1027</v>
      </c>
      <c r="F1976" t="str" cm="1">
        <f t="array" ref="F1976">IFERROR(_xlfn.XLOOKUP(E1976,MapeoCargos!$A:$A,MapeoCargos!$B:$B,E1976),E1976)</f>
        <v>PRODUCCIÓN / COCINA</v>
      </c>
      <c r="G1976" s="45">
        <v>44136</v>
      </c>
    </row>
    <row r="1977" spans="1:7" x14ac:dyDescent="0.2">
      <c r="A1977" s="28">
        <v>60613780</v>
      </c>
      <c r="B1977" s="35" t="s">
        <v>76</v>
      </c>
      <c r="C1977" s="40" t="s">
        <v>3597</v>
      </c>
      <c r="D1977" s="35" t="s">
        <v>3601</v>
      </c>
      <c r="E1977" s="35" t="s">
        <v>126</v>
      </c>
      <c r="F1977" t="str" cm="1">
        <f t="array" ref="F1977">IFERROR(_xlfn.XLOOKUP(E1977,MapeoCargos!$A:$A,MapeoCargos!$B:$B,E1977),E1977)</f>
        <v>MOTORIZADO</v>
      </c>
      <c r="G1977" s="45">
        <v>43974</v>
      </c>
    </row>
    <row r="1978" spans="1:7" x14ac:dyDescent="0.2">
      <c r="A1978" s="28">
        <v>42109490</v>
      </c>
      <c r="B1978" s="35" t="s">
        <v>76</v>
      </c>
      <c r="C1978" s="40" t="s">
        <v>3597</v>
      </c>
      <c r="D1978" s="35" t="s">
        <v>3602</v>
      </c>
      <c r="E1978" s="35" t="s">
        <v>1027</v>
      </c>
      <c r="F1978" t="str" cm="1">
        <f t="array" ref="F1978">IFERROR(_xlfn.XLOOKUP(E1978,MapeoCargos!$A:$A,MapeoCargos!$B:$B,E1978),E1978)</f>
        <v>PRODUCCIÓN / COCINA</v>
      </c>
      <c r="G1978" s="45">
        <v>44927</v>
      </c>
    </row>
    <row r="1979" spans="1:7" x14ac:dyDescent="0.2">
      <c r="A1979" s="28" t="s">
        <v>3603</v>
      </c>
      <c r="B1979" s="35" t="s">
        <v>76</v>
      </c>
      <c r="C1979" s="40" t="s">
        <v>3597</v>
      </c>
      <c r="D1979" s="35" t="s">
        <v>3604</v>
      </c>
      <c r="E1979" s="35" t="s">
        <v>127</v>
      </c>
      <c r="F1979" t="str" cm="1">
        <f t="array" ref="F1979">IFERROR(_xlfn.XLOOKUP(E1979,MapeoCargos!$A:$A,MapeoCargos!$B:$B,E1979),E1979)</f>
        <v>AZAFATA</v>
      </c>
      <c r="G1979" s="45">
        <v>45778</v>
      </c>
    </row>
    <row r="1980" spans="1:7" x14ac:dyDescent="0.2">
      <c r="A1980" s="28">
        <v>71308099</v>
      </c>
      <c r="B1980" s="35" t="s">
        <v>76</v>
      </c>
      <c r="C1980" s="40" t="s">
        <v>3597</v>
      </c>
      <c r="D1980" s="35" t="s">
        <v>3605</v>
      </c>
      <c r="E1980" s="35" t="s">
        <v>29</v>
      </c>
      <c r="F1980" t="str" cm="1">
        <f t="array" ref="F1980">IFERROR(_xlfn.XLOOKUP(E1980,MapeoCargos!$A:$A,MapeoCargos!$B:$B,E1980),E1980)</f>
        <v>MOZO</v>
      </c>
      <c r="G1980" s="45">
        <v>45784</v>
      </c>
    </row>
    <row r="1981" spans="1:7" x14ac:dyDescent="0.2">
      <c r="A1981" s="28">
        <v>42883646</v>
      </c>
      <c r="B1981" s="35" t="s">
        <v>76</v>
      </c>
      <c r="C1981" s="40" t="s">
        <v>3597</v>
      </c>
      <c r="D1981" s="35" t="s">
        <v>3606</v>
      </c>
      <c r="E1981" s="35" t="s">
        <v>3607</v>
      </c>
      <c r="F1981" t="str" cm="1">
        <f t="array" ref="F1981">IFERROR(_xlfn.XLOOKUP(E1981,MapeoCargos!$A:$A,MapeoCargos!$B:$B,E1981),E1981)</f>
        <v>PRODUCCIÓN / COCINA</v>
      </c>
      <c r="G1981" s="45">
        <v>45901</v>
      </c>
    </row>
    <row r="1982" spans="1:7" x14ac:dyDescent="0.2">
      <c r="A1982" s="28" t="s">
        <v>4014</v>
      </c>
      <c r="B1982" s="35" t="s">
        <v>76</v>
      </c>
      <c r="C1982" s="40" t="s">
        <v>3597</v>
      </c>
      <c r="D1982" s="35" t="s">
        <v>4192</v>
      </c>
      <c r="E1982" s="35" t="s">
        <v>29</v>
      </c>
      <c r="F1982" t="str" cm="1">
        <f t="array" ref="F1982">IFERROR(_xlfn.XLOOKUP(E1982,MapeoCargos!$A:$A,MapeoCargos!$B:$B,E1982),E1982)</f>
        <v>MOZO</v>
      </c>
      <c r="G1982" s="45">
        <v>45901</v>
      </c>
    </row>
    <row r="1983" spans="1:7" x14ac:dyDescent="0.2">
      <c r="A1983" s="28" t="s">
        <v>4015</v>
      </c>
      <c r="B1983" s="35" t="s">
        <v>76</v>
      </c>
      <c r="C1983" s="40" t="s">
        <v>3597</v>
      </c>
      <c r="D1983" s="35" t="s">
        <v>4193</v>
      </c>
      <c r="E1983" s="35" t="s">
        <v>1081</v>
      </c>
      <c r="F1983" t="str" cm="1">
        <f t="array" ref="F1983">IFERROR(_xlfn.XLOOKUP(E1983,MapeoCargos!$A:$A,MapeoCargos!$B:$B,E1983),E1983)</f>
        <v>PIZZERA</v>
      </c>
      <c r="G1983" s="45">
        <v>45916</v>
      </c>
    </row>
    <row r="1984" spans="1:7" x14ac:dyDescent="0.2">
      <c r="A1984" s="28" t="s">
        <v>4597</v>
      </c>
      <c r="B1984" s="35" t="s">
        <v>76</v>
      </c>
      <c r="C1984" s="40" t="s">
        <v>3597</v>
      </c>
      <c r="D1984" s="35" t="s">
        <v>4708</v>
      </c>
      <c r="E1984" s="35" t="s">
        <v>29</v>
      </c>
      <c r="F1984" t="str" cm="1">
        <f t="array" ref="F1984">IFERROR(_xlfn.XLOOKUP(E1984,MapeoCargos!$A:$A,MapeoCargos!$B:$B,E1984),E1984)</f>
        <v>MOZO</v>
      </c>
      <c r="G1984" s="45">
        <v>45978</v>
      </c>
    </row>
    <row r="1985" spans="1:7" x14ac:dyDescent="0.2">
      <c r="A1985" s="28">
        <v>44585976</v>
      </c>
      <c r="B1985" s="35" t="s">
        <v>103</v>
      </c>
      <c r="C1985" s="40" t="s">
        <v>3608</v>
      </c>
      <c r="D1985" s="35" t="s">
        <v>3609</v>
      </c>
      <c r="E1985" s="35" t="s">
        <v>3596</v>
      </c>
      <c r="F1985" t="str" cm="1">
        <f t="array" ref="F1985">IFERROR(_xlfn.XLOOKUP(E1985,MapeoCargos!$A:$A,MapeoCargos!$B:$B,E1985),E1985)</f>
        <v>STAFF ADMINISTRATIVO</v>
      </c>
      <c r="G1985" s="45">
        <v>45444</v>
      </c>
    </row>
    <row r="1986" spans="1:7" x14ac:dyDescent="0.2">
      <c r="A1986" s="28">
        <v>47472431</v>
      </c>
      <c r="B1986" s="35" t="s">
        <v>103</v>
      </c>
      <c r="C1986" s="40" t="s">
        <v>3608</v>
      </c>
      <c r="D1986" s="35" t="s">
        <v>3611</v>
      </c>
      <c r="E1986" s="35" t="s">
        <v>1027</v>
      </c>
      <c r="F1986" t="str" cm="1">
        <f t="array" ref="F1986">IFERROR(_xlfn.XLOOKUP(E1986,MapeoCargos!$A:$A,MapeoCargos!$B:$B,E1986),E1986)</f>
        <v>PRODUCCIÓN / COCINA</v>
      </c>
      <c r="G1986" s="45">
        <v>44958</v>
      </c>
    </row>
    <row r="1987" spans="1:7" x14ac:dyDescent="0.2">
      <c r="A1987" s="28" t="s">
        <v>3612</v>
      </c>
      <c r="B1987" s="35" t="s">
        <v>103</v>
      </c>
      <c r="C1987" s="40" t="s">
        <v>3608</v>
      </c>
      <c r="D1987" s="35" t="s">
        <v>3613</v>
      </c>
      <c r="E1987" s="35" t="s">
        <v>3607</v>
      </c>
      <c r="F1987" t="str" cm="1">
        <f t="array" ref="F1987">IFERROR(_xlfn.XLOOKUP(E1987,MapeoCargos!$A:$A,MapeoCargos!$B:$B,E1987),E1987)</f>
        <v>PRODUCCIÓN / COCINA</v>
      </c>
      <c r="G1987" s="45">
        <v>45566</v>
      </c>
    </row>
    <row r="1988" spans="1:7" x14ac:dyDescent="0.2">
      <c r="A1988" s="27">
        <v>71029787</v>
      </c>
      <c r="B1988" s="35" t="s">
        <v>103</v>
      </c>
      <c r="C1988" s="40" t="s">
        <v>3608</v>
      </c>
      <c r="D1988" s="35" t="s">
        <v>3614</v>
      </c>
      <c r="E1988" s="35" t="s">
        <v>1027</v>
      </c>
      <c r="F1988" t="str" cm="1">
        <f t="array" ref="F1988">IFERROR(_xlfn.XLOOKUP(E1988,MapeoCargos!$A:$A,MapeoCargos!$B:$B,E1988),E1988)</f>
        <v>PRODUCCIÓN / COCINA</v>
      </c>
      <c r="G1988" s="45">
        <v>45658</v>
      </c>
    </row>
    <row r="1989" spans="1:7" x14ac:dyDescent="0.2">
      <c r="A1989" s="27">
        <v>73322232</v>
      </c>
      <c r="B1989" s="35" t="s">
        <v>103</v>
      </c>
      <c r="C1989" s="40" t="s">
        <v>3608</v>
      </c>
      <c r="D1989" s="35" t="s">
        <v>3615</v>
      </c>
      <c r="E1989" s="35" t="s">
        <v>1207</v>
      </c>
      <c r="F1989" t="str" cm="1">
        <f t="array" ref="F1989">IFERROR(_xlfn.XLOOKUP(E1989,MapeoCargos!$A:$A,MapeoCargos!$B:$B,E1989),E1989)</f>
        <v xml:space="preserve">CAJA </v>
      </c>
      <c r="G1989" s="45">
        <v>45682</v>
      </c>
    </row>
    <row r="1990" spans="1:7" x14ac:dyDescent="0.2">
      <c r="A1990" s="27">
        <v>91274658</v>
      </c>
      <c r="B1990" s="35" t="s">
        <v>103</v>
      </c>
      <c r="C1990" s="40" t="s">
        <v>3608</v>
      </c>
      <c r="D1990" s="35" t="s">
        <v>3616</v>
      </c>
      <c r="E1990" s="35" t="s">
        <v>127</v>
      </c>
      <c r="F1990" t="str" cm="1">
        <f t="array" ref="F1990">IFERROR(_xlfn.XLOOKUP(E1990,MapeoCargos!$A:$A,MapeoCargos!$B:$B,E1990),E1990)</f>
        <v>AZAFATA</v>
      </c>
      <c r="G1990" s="45">
        <v>45748</v>
      </c>
    </row>
    <row r="1991" spans="1:7" x14ac:dyDescent="0.2">
      <c r="A1991" s="27">
        <v>60310087</v>
      </c>
      <c r="B1991" s="35" t="s">
        <v>103</v>
      </c>
      <c r="C1991" s="40" t="s">
        <v>3608</v>
      </c>
      <c r="D1991" s="35" t="s">
        <v>3617</v>
      </c>
      <c r="E1991" s="35" t="s">
        <v>127</v>
      </c>
      <c r="F1991" t="str" cm="1">
        <f t="array" ref="F1991">IFERROR(_xlfn.XLOOKUP(E1991,MapeoCargos!$A:$A,MapeoCargos!$B:$B,E1991),E1991)</f>
        <v>AZAFATA</v>
      </c>
      <c r="G1991" s="45">
        <v>45763</v>
      </c>
    </row>
    <row r="1992" spans="1:7" x14ac:dyDescent="0.2">
      <c r="A1992" s="27">
        <v>76135213</v>
      </c>
      <c r="B1992" s="35" t="s">
        <v>103</v>
      </c>
      <c r="C1992" s="40" t="s">
        <v>3608</v>
      </c>
      <c r="D1992" s="35" t="s">
        <v>3618</v>
      </c>
      <c r="E1992" s="35" t="s">
        <v>127</v>
      </c>
      <c r="F1992" t="str" cm="1">
        <f t="array" ref="F1992">IFERROR(_xlfn.XLOOKUP(E1992,MapeoCargos!$A:$A,MapeoCargos!$B:$B,E1992),E1992)</f>
        <v>AZAFATA</v>
      </c>
      <c r="G1992" s="45">
        <v>45843</v>
      </c>
    </row>
    <row r="1993" spans="1:7" x14ac:dyDescent="0.2">
      <c r="A1993" s="27" t="s">
        <v>3619</v>
      </c>
      <c r="B1993" s="35" t="s">
        <v>103</v>
      </c>
      <c r="C1993" s="40" t="s">
        <v>3608</v>
      </c>
      <c r="D1993" s="35" t="s">
        <v>3620</v>
      </c>
      <c r="E1993" s="35" t="s">
        <v>127</v>
      </c>
      <c r="F1993" t="str" cm="1">
        <f t="array" ref="F1993">IFERROR(_xlfn.XLOOKUP(E1993,MapeoCargos!$A:$A,MapeoCargos!$B:$B,E1993),E1993)</f>
        <v>AZAFATA</v>
      </c>
      <c r="G1993" s="45">
        <v>45874</v>
      </c>
    </row>
    <row r="1994" spans="1:7" x14ac:dyDescent="0.2">
      <c r="A1994" s="27">
        <v>43684775</v>
      </c>
      <c r="B1994" s="35" t="s">
        <v>103</v>
      </c>
      <c r="C1994" s="40" t="s">
        <v>3608</v>
      </c>
      <c r="D1994" s="35" t="s">
        <v>4477</v>
      </c>
      <c r="E1994" s="35" t="s">
        <v>83</v>
      </c>
      <c r="F1994" t="str" cm="1">
        <f t="array" ref="F1994">IFERROR(_xlfn.XLOOKUP(E1994,MapeoCargos!$A:$A,MapeoCargos!$B:$B,E1994),E1994)</f>
        <v>PRODUCCIÓN / COCINA</v>
      </c>
      <c r="G1994" s="45">
        <v>45946</v>
      </c>
    </row>
    <row r="1995" spans="1:7" x14ac:dyDescent="0.2">
      <c r="A1995" s="27">
        <v>75607999</v>
      </c>
      <c r="B1995" s="35" t="s">
        <v>103</v>
      </c>
      <c r="C1995" s="40" t="s">
        <v>3608</v>
      </c>
      <c r="D1995" s="35" t="s">
        <v>4478</v>
      </c>
      <c r="E1995" s="35" t="s">
        <v>127</v>
      </c>
      <c r="F1995" t="str" cm="1">
        <f t="array" ref="F1995">IFERROR(_xlfn.XLOOKUP(E1995,MapeoCargos!$A:$A,MapeoCargos!$B:$B,E1995),E1995)</f>
        <v>AZAFATA</v>
      </c>
      <c r="G1995" s="45">
        <v>45931</v>
      </c>
    </row>
    <row r="1996" spans="1:7" x14ac:dyDescent="0.2">
      <c r="A1996" s="27">
        <v>42524046</v>
      </c>
      <c r="B1996" s="35" t="s">
        <v>3621</v>
      </c>
      <c r="C1996" s="40" t="s">
        <v>3622</v>
      </c>
      <c r="D1996" s="35" t="s">
        <v>3623</v>
      </c>
      <c r="E1996" s="35" t="s">
        <v>1210</v>
      </c>
      <c r="F1996" t="str" cm="1">
        <f t="array" ref="F1996">IFERROR(_xlfn.XLOOKUP(E1996,MapeoCargos!$A:$A,MapeoCargos!$B:$B,E1996),E1996)</f>
        <v>STAFF ADMINISTRATIVO</v>
      </c>
      <c r="G1996" s="45">
        <v>45184</v>
      </c>
    </row>
    <row r="1997" spans="1:7" x14ac:dyDescent="0.2">
      <c r="A1997" s="27" t="s">
        <v>3624</v>
      </c>
      <c r="B1997" s="35" t="s">
        <v>3621</v>
      </c>
      <c r="C1997" s="40" t="s">
        <v>3622</v>
      </c>
      <c r="D1997" s="35" t="s">
        <v>3625</v>
      </c>
      <c r="E1997" s="35" t="s">
        <v>1081</v>
      </c>
      <c r="F1997" t="str" cm="1">
        <f t="array" ref="F1997">IFERROR(_xlfn.XLOOKUP(E1997,MapeoCargos!$A:$A,MapeoCargos!$B:$B,E1997),E1997)</f>
        <v>PIZZERA</v>
      </c>
      <c r="G1997" s="45">
        <v>44927</v>
      </c>
    </row>
    <row r="1998" spans="1:7" x14ac:dyDescent="0.2">
      <c r="A1998" s="27" t="s">
        <v>3626</v>
      </c>
      <c r="B1998" s="35" t="s">
        <v>3621</v>
      </c>
      <c r="C1998" s="40" t="s">
        <v>3622</v>
      </c>
      <c r="D1998" s="35" t="s">
        <v>3627</v>
      </c>
      <c r="E1998" s="35" t="s">
        <v>1027</v>
      </c>
      <c r="F1998" t="str" cm="1">
        <f t="array" ref="F1998">IFERROR(_xlfn.XLOOKUP(E1998,MapeoCargos!$A:$A,MapeoCargos!$B:$B,E1998),E1998)</f>
        <v>PRODUCCIÓN / COCINA</v>
      </c>
      <c r="G1998" s="45">
        <v>44927</v>
      </c>
    </row>
    <row r="1999" spans="1:7" x14ac:dyDescent="0.2">
      <c r="A1999" s="27">
        <v>75931103</v>
      </c>
      <c r="B1999" s="35" t="s">
        <v>3621</v>
      </c>
      <c r="C1999" s="40" t="s">
        <v>3622</v>
      </c>
      <c r="D1999" s="35" t="s">
        <v>3628</v>
      </c>
      <c r="E1999" s="35" t="s">
        <v>29</v>
      </c>
      <c r="F1999" t="str" cm="1">
        <f t="array" ref="F1999">IFERROR(_xlfn.XLOOKUP(E1999,MapeoCargos!$A:$A,MapeoCargos!$B:$B,E1999),E1999)</f>
        <v>MOZO</v>
      </c>
      <c r="G1999" s="45">
        <v>45636</v>
      </c>
    </row>
    <row r="2000" spans="1:7" x14ac:dyDescent="0.2">
      <c r="A2000" s="27" t="s">
        <v>3629</v>
      </c>
      <c r="B2000" s="35" t="s">
        <v>3621</v>
      </c>
      <c r="C2000" s="40" t="s">
        <v>3622</v>
      </c>
      <c r="D2000" s="35" t="s">
        <v>3630</v>
      </c>
      <c r="E2000" s="35" t="s">
        <v>1027</v>
      </c>
      <c r="F2000" t="str" cm="1">
        <f t="array" ref="F2000">IFERROR(_xlfn.XLOOKUP(E2000,MapeoCargos!$A:$A,MapeoCargos!$B:$B,E2000),E2000)</f>
        <v>PRODUCCIÓN / COCINA</v>
      </c>
      <c r="G2000" s="45">
        <v>44927</v>
      </c>
    </row>
    <row r="2001" spans="1:7" x14ac:dyDescent="0.2">
      <c r="A2001" s="27">
        <v>62974087</v>
      </c>
      <c r="B2001" s="35" t="s">
        <v>3621</v>
      </c>
      <c r="C2001" s="40" t="s">
        <v>3622</v>
      </c>
      <c r="D2001" s="35" t="s">
        <v>3631</v>
      </c>
      <c r="E2001" s="35" t="s">
        <v>529</v>
      </c>
      <c r="F2001" t="str" cm="1">
        <f t="array" ref="F2001">IFERROR(_xlfn.XLOOKUP(E2001,MapeoCargos!$A:$A,MapeoCargos!$B:$B,E2001),E2001)</f>
        <v xml:space="preserve">MOTORIZADO </v>
      </c>
      <c r="G2001" s="45">
        <v>44927</v>
      </c>
    </row>
    <row r="2002" spans="1:7" x14ac:dyDescent="0.2">
      <c r="A2002" s="27" t="s">
        <v>3632</v>
      </c>
      <c r="B2002" s="35" t="s">
        <v>3621</v>
      </c>
      <c r="C2002" s="40" t="s">
        <v>3622</v>
      </c>
      <c r="D2002" s="35" t="s">
        <v>3633</v>
      </c>
      <c r="E2002" s="35" t="s">
        <v>3576</v>
      </c>
      <c r="F2002" t="str" cm="1">
        <f t="array" ref="F2002">IFERROR(_xlfn.XLOOKUP(E2002,MapeoCargos!$A:$A,MapeoCargos!$B:$B,E2002),E2002)</f>
        <v>PRODUCCIÓN / COCINA</v>
      </c>
      <c r="G2002" s="45">
        <v>44927</v>
      </c>
    </row>
    <row r="2003" spans="1:7" x14ac:dyDescent="0.2">
      <c r="A2003" s="27">
        <v>48543196</v>
      </c>
      <c r="B2003" s="35" t="s">
        <v>3621</v>
      </c>
      <c r="C2003" s="40" t="s">
        <v>3622</v>
      </c>
      <c r="D2003" s="35" t="s">
        <v>3634</v>
      </c>
      <c r="E2003" s="35" t="s">
        <v>3635</v>
      </c>
      <c r="F2003" t="str" cm="1">
        <f t="array" ref="F2003">IFERROR(_xlfn.XLOOKUP(E2003,MapeoCargos!$A:$A,MapeoCargos!$B:$B,E2003),E2003)</f>
        <v>AYUDANTE DE PIZZA</v>
      </c>
      <c r="G2003" s="45">
        <v>45433</v>
      </c>
    </row>
    <row r="2004" spans="1:7" x14ac:dyDescent="0.2">
      <c r="A2004" s="27">
        <v>71897848</v>
      </c>
      <c r="B2004" s="35" t="s">
        <v>3621</v>
      </c>
      <c r="C2004" s="40" t="s">
        <v>3622</v>
      </c>
      <c r="D2004" s="35" t="s">
        <v>3636</v>
      </c>
      <c r="E2004" s="35" t="s">
        <v>3610</v>
      </c>
      <c r="F2004" t="str" cm="1">
        <f t="array" ref="F2004">IFERROR(_xlfn.XLOOKUP(E2004,MapeoCargos!$A:$A,MapeoCargos!$B:$B,E2004),E2004)</f>
        <v>ASIST. ADMINISTRATIVA</v>
      </c>
      <c r="G2004" s="45">
        <v>45170</v>
      </c>
    </row>
    <row r="2005" spans="1:7" x14ac:dyDescent="0.2">
      <c r="A2005" s="27">
        <v>77474949</v>
      </c>
      <c r="B2005" s="35" t="s">
        <v>3621</v>
      </c>
      <c r="C2005" s="40" t="s">
        <v>3622</v>
      </c>
      <c r="D2005" s="35" t="s">
        <v>3637</v>
      </c>
      <c r="E2005" s="35" t="s">
        <v>3638</v>
      </c>
      <c r="F2005" t="str" cm="1">
        <f t="array" ref="F2005">IFERROR(_xlfn.XLOOKUP(E2005,MapeoCargos!$A:$A,MapeoCargos!$B:$B,E2005),E2005)</f>
        <v>PRODUCCIÓN / COCINA</v>
      </c>
      <c r="G2005" s="45">
        <v>45047</v>
      </c>
    </row>
    <row r="2006" spans="1:7" x14ac:dyDescent="0.2">
      <c r="A2006" s="27">
        <v>72440117</v>
      </c>
      <c r="B2006" s="35" t="s">
        <v>3621</v>
      </c>
      <c r="C2006" s="40" t="s">
        <v>3622</v>
      </c>
      <c r="D2006" s="35" t="s">
        <v>3639</v>
      </c>
      <c r="E2006" s="35" t="s">
        <v>1207</v>
      </c>
      <c r="F2006" t="str" cm="1">
        <f t="array" ref="F2006">IFERROR(_xlfn.XLOOKUP(E2006,MapeoCargos!$A:$A,MapeoCargos!$B:$B,E2006),E2006)</f>
        <v xml:space="preserve">CAJA </v>
      </c>
      <c r="G2006" s="45">
        <v>45433</v>
      </c>
    </row>
    <row r="2007" spans="1:7" x14ac:dyDescent="0.2">
      <c r="A2007" s="27">
        <v>45967380</v>
      </c>
      <c r="B2007" s="35" t="s">
        <v>3621</v>
      </c>
      <c r="C2007" s="40" t="s">
        <v>3622</v>
      </c>
      <c r="D2007" s="35" t="s">
        <v>3640</v>
      </c>
      <c r="E2007" s="35" t="s">
        <v>1027</v>
      </c>
      <c r="F2007" t="str" cm="1">
        <f t="array" ref="F2007">IFERROR(_xlfn.XLOOKUP(E2007,MapeoCargos!$A:$A,MapeoCargos!$B:$B,E2007),E2007)</f>
        <v>PRODUCCIÓN / COCINA</v>
      </c>
      <c r="G2007" s="45">
        <v>45627</v>
      </c>
    </row>
    <row r="2008" spans="1:7" x14ac:dyDescent="0.2">
      <c r="A2008" s="27">
        <v>71096967</v>
      </c>
      <c r="B2008" s="35" t="s">
        <v>3621</v>
      </c>
      <c r="C2008" s="40" t="s">
        <v>3622</v>
      </c>
      <c r="D2008" s="35" t="s">
        <v>3641</v>
      </c>
      <c r="E2008" s="35" t="s">
        <v>3607</v>
      </c>
      <c r="F2008" t="str" cm="1">
        <f t="array" ref="F2008">IFERROR(_xlfn.XLOOKUP(E2008,MapeoCargos!$A:$A,MapeoCargos!$B:$B,E2008),E2008)</f>
        <v>PRODUCCIÓN / COCINA</v>
      </c>
      <c r="G2008" s="45">
        <v>45153</v>
      </c>
    </row>
    <row r="2009" spans="1:7" x14ac:dyDescent="0.2">
      <c r="A2009" s="27">
        <v>75587043</v>
      </c>
      <c r="B2009" s="35" t="s">
        <v>3621</v>
      </c>
      <c r="C2009" s="40" t="s">
        <v>3622</v>
      </c>
      <c r="D2009" s="35" t="s">
        <v>3642</v>
      </c>
      <c r="E2009" s="35" t="s">
        <v>127</v>
      </c>
      <c r="F2009" t="str" cm="1">
        <f t="array" ref="F2009">IFERROR(_xlfn.XLOOKUP(E2009,MapeoCargos!$A:$A,MapeoCargos!$B:$B,E2009),E2009)</f>
        <v>AZAFATA</v>
      </c>
      <c r="G2009" s="45">
        <v>45658</v>
      </c>
    </row>
    <row r="2010" spans="1:7" x14ac:dyDescent="0.2">
      <c r="A2010" s="27">
        <v>76865574</v>
      </c>
      <c r="B2010" s="35" t="s">
        <v>3621</v>
      </c>
      <c r="C2010" s="40" t="s">
        <v>3622</v>
      </c>
      <c r="D2010" s="35" t="s">
        <v>3643</v>
      </c>
      <c r="E2010" s="35" t="s">
        <v>127</v>
      </c>
      <c r="F2010" t="str" cm="1">
        <f t="array" ref="F2010">IFERROR(_xlfn.XLOOKUP(E2010,MapeoCargos!$A:$A,MapeoCargos!$B:$B,E2010),E2010)</f>
        <v>AZAFATA</v>
      </c>
      <c r="G2010" s="45">
        <v>45706</v>
      </c>
    </row>
    <row r="2011" spans="1:7" x14ac:dyDescent="0.2">
      <c r="A2011" s="27">
        <v>47569164</v>
      </c>
      <c r="B2011" s="35" t="s">
        <v>3621</v>
      </c>
      <c r="C2011" s="40" t="s">
        <v>3622</v>
      </c>
      <c r="D2011" s="35" t="s">
        <v>3644</v>
      </c>
      <c r="E2011" s="35" t="s">
        <v>83</v>
      </c>
      <c r="F2011" t="str" cm="1">
        <f t="array" ref="F2011">IFERROR(_xlfn.XLOOKUP(E2011,MapeoCargos!$A:$A,MapeoCargos!$B:$B,E2011),E2011)</f>
        <v>PRODUCCIÓN / COCINA</v>
      </c>
      <c r="G2011" s="45">
        <v>45689</v>
      </c>
    </row>
    <row r="2012" spans="1:7" x14ac:dyDescent="0.2">
      <c r="A2012" s="27">
        <v>74391978</v>
      </c>
      <c r="B2012" s="35" t="s">
        <v>3621</v>
      </c>
      <c r="C2012" s="40" t="s">
        <v>3622</v>
      </c>
      <c r="D2012" s="35" t="s">
        <v>3645</v>
      </c>
      <c r="E2012" s="35" t="s">
        <v>126</v>
      </c>
      <c r="F2012" t="str" cm="1">
        <f t="array" ref="F2012">IFERROR(_xlfn.XLOOKUP(E2012,MapeoCargos!$A:$A,MapeoCargos!$B:$B,E2012),E2012)</f>
        <v>MOTORIZADO</v>
      </c>
      <c r="G2012" s="45">
        <v>45763</v>
      </c>
    </row>
    <row r="2013" spans="1:7" x14ac:dyDescent="0.2">
      <c r="A2013" s="27">
        <v>77038681</v>
      </c>
      <c r="B2013" s="35" t="s">
        <v>3621</v>
      </c>
      <c r="C2013" s="40" t="s">
        <v>3622</v>
      </c>
      <c r="D2013" s="35" t="s">
        <v>3646</v>
      </c>
      <c r="E2013" s="35" t="s">
        <v>29</v>
      </c>
      <c r="F2013" t="str" cm="1">
        <f t="array" ref="F2013">IFERROR(_xlfn.XLOOKUP(E2013,MapeoCargos!$A:$A,MapeoCargos!$B:$B,E2013),E2013)</f>
        <v>MOZO</v>
      </c>
      <c r="G2013" s="45">
        <v>45769</v>
      </c>
    </row>
    <row r="2014" spans="1:7" x14ac:dyDescent="0.2">
      <c r="A2014" s="27" t="s">
        <v>3647</v>
      </c>
      <c r="B2014" s="35" t="s">
        <v>3621</v>
      </c>
      <c r="C2014" s="40" t="s">
        <v>3622</v>
      </c>
      <c r="D2014" s="35" t="s">
        <v>3648</v>
      </c>
      <c r="E2014" s="35" t="s">
        <v>127</v>
      </c>
      <c r="F2014" t="str" cm="1">
        <f t="array" ref="F2014">IFERROR(_xlfn.XLOOKUP(E2014,MapeoCargos!$A:$A,MapeoCargos!$B:$B,E2014),E2014)</f>
        <v>AZAFATA</v>
      </c>
      <c r="G2014" s="45">
        <v>45778</v>
      </c>
    </row>
    <row r="2015" spans="1:7" x14ac:dyDescent="0.2">
      <c r="A2015" s="27" t="s">
        <v>3649</v>
      </c>
      <c r="B2015" s="35" t="s">
        <v>3621</v>
      </c>
      <c r="C2015" s="40" t="s">
        <v>3622</v>
      </c>
      <c r="D2015" s="35" t="s">
        <v>3650</v>
      </c>
      <c r="E2015" s="35" t="s">
        <v>127</v>
      </c>
      <c r="F2015" t="str" cm="1">
        <f t="array" ref="F2015">IFERROR(_xlfn.XLOOKUP(E2015,MapeoCargos!$A:$A,MapeoCargos!$B:$B,E2015),E2015)</f>
        <v>AZAFATA</v>
      </c>
      <c r="G2015" s="45">
        <v>45792</v>
      </c>
    </row>
    <row r="2016" spans="1:7" x14ac:dyDescent="0.2">
      <c r="A2016" s="27" t="s">
        <v>3651</v>
      </c>
      <c r="B2016" s="35" t="s">
        <v>3621</v>
      </c>
      <c r="C2016" s="40" t="s">
        <v>3622</v>
      </c>
      <c r="D2016" s="35" t="s">
        <v>3652</v>
      </c>
      <c r="E2016" s="35" t="s">
        <v>1207</v>
      </c>
      <c r="F2016" t="str" cm="1">
        <f t="array" ref="F2016">IFERROR(_xlfn.XLOOKUP(E2016,MapeoCargos!$A:$A,MapeoCargos!$B:$B,E2016),E2016)</f>
        <v xml:space="preserve">CAJA </v>
      </c>
      <c r="G2016" s="45">
        <v>45817</v>
      </c>
    </row>
    <row r="2017" spans="1:7" x14ac:dyDescent="0.2">
      <c r="A2017" s="27">
        <v>60484476</v>
      </c>
      <c r="B2017" s="35" t="s">
        <v>3621</v>
      </c>
      <c r="C2017" s="40" t="s">
        <v>3622</v>
      </c>
      <c r="D2017" s="35" t="s">
        <v>3653</v>
      </c>
      <c r="E2017" s="35" t="s">
        <v>127</v>
      </c>
      <c r="F2017" t="str" cm="1">
        <f t="array" ref="F2017">IFERROR(_xlfn.XLOOKUP(E2017,MapeoCargos!$A:$A,MapeoCargos!$B:$B,E2017),E2017)</f>
        <v>AZAFATA</v>
      </c>
      <c r="G2017" s="45">
        <v>45854</v>
      </c>
    </row>
    <row r="2018" spans="1:7" x14ac:dyDescent="0.2">
      <c r="A2018" s="27" t="s">
        <v>3654</v>
      </c>
      <c r="B2018" s="35" t="s">
        <v>3621</v>
      </c>
      <c r="C2018" s="40" t="s">
        <v>3622</v>
      </c>
      <c r="D2018" s="35" t="s">
        <v>3655</v>
      </c>
      <c r="E2018" s="35" t="s">
        <v>29</v>
      </c>
      <c r="F2018" t="str" cm="1">
        <f t="array" ref="F2018">IFERROR(_xlfn.XLOOKUP(E2018,MapeoCargos!$A:$A,MapeoCargos!$B:$B,E2018),E2018)</f>
        <v>MOZO</v>
      </c>
      <c r="G2018" s="45">
        <v>45875</v>
      </c>
    </row>
    <row r="2019" spans="1:7" x14ac:dyDescent="0.2">
      <c r="A2019" s="27" t="s">
        <v>3656</v>
      </c>
      <c r="B2019" s="35" t="s">
        <v>3621</v>
      </c>
      <c r="C2019" s="40" t="s">
        <v>3622</v>
      </c>
      <c r="D2019" s="35" t="s">
        <v>3657</v>
      </c>
      <c r="E2019" s="35" t="s">
        <v>3463</v>
      </c>
      <c r="F2019" t="str" cm="1">
        <f t="array" ref="F2019">IFERROR(_xlfn.XLOOKUP(E2019,MapeoCargos!$A:$A,MapeoCargos!$B:$B,E2019),E2019)</f>
        <v>LIMPIEZA / MANTENIMIENTO</v>
      </c>
      <c r="G2019" s="45">
        <v>45874</v>
      </c>
    </row>
    <row r="2020" spans="1:7" x14ac:dyDescent="0.2">
      <c r="A2020" s="27" t="s">
        <v>3658</v>
      </c>
      <c r="B2020" s="35" t="s">
        <v>3621</v>
      </c>
      <c r="C2020" s="40" t="s">
        <v>3622</v>
      </c>
      <c r="D2020" s="35" t="s">
        <v>3659</v>
      </c>
      <c r="E2020" s="35" t="s">
        <v>127</v>
      </c>
      <c r="F2020" t="str" cm="1">
        <f t="array" ref="F2020">IFERROR(_xlfn.XLOOKUP(E2020,MapeoCargos!$A:$A,MapeoCargos!$B:$B,E2020),E2020)</f>
        <v>AZAFATA</v>
      </c>
      <c r="G2020" s="45">
        <v>45892</v>
      </c>
    </row>
    <row r="2021" spans="1:7" x14ac:dyDescent="0.2">
      <c r="A2021" s="27">
        <v>70507772</v>
      </c>
      <c r="B2021" s="35" t="s">
        <v>3621</v>
      </c>
      <c r="C2021" s="40" t="s">
        <v>3622</v>
      </c>
      <c r="D2021" s="35" t="s">
        <v>4479</v>
      </c>
      <c r="E2021" s="35" t="s">
        <v>126</v>
      </c>
      <c r="F2021" t="str" cm="1">
        <f t="array" ref="F2021">IFERROR(_xlfn.XLOOKUP(E2021,MapeoCargos!$A:$A,MapeoCargos!$B:$B,E2021),E2021)</f>
        <v>MOTORIZADO</v>
      </c>
      <c r="G2021" s="45">
        <v>45946</v>
      </c>
    </row>
    <row r="2022" spans="1:7" x14ac:dyDescent="0.2">
      <c r="A2022" s="27">
        <v>70738375</v>
      </c>
      <c r="B2022" s="35" t="s">
        <v>3621</v>
      </c>
      <c r="C2022" s="40" t="s">
        <v>3622</v>
      </c>
      <c r="D2022" s="35" t="s">
        <v>4709</v>
      </c>
      <c r="E2022" s="35" t="s">
        <v>29</v>
      </c>
      <c r="F2022" t="str" cm="1">
        <f t="array" ref="F2022">IFERROR(_xlfn.XLOOKUP(E2022,MapeoCargos!$A:$A,MapeoCargos!$B:$B,E2022),E2022)</f>
        <v>MOZO</v>
      </c>
      <c r="G2022" s="45">
        <v>45962</v>
      </c>
    </row>
    <row r="2023" spans="1:7" x14ac:dyDescent="0.2">
      <c r="A2023" s="27">
        <v>70599233</v>
      </c>
      <c r="B2023" s="35" t="s">
        <v>3621</v>
      </c>
      <c r="C2023" s="40" t="s">
        <v>3660</v>
      </c>
      <c r="D2023" s="35" t="s">
        <v>3661</v>
      </c>
      <c r="E2023" s="35" t="s">
        <v>3596</v>
      </c>
      <c r="F2023" t="str" cm="1">
        <f t="array" ref="F2023">IFERROR(_xlfn.XLOOKUP(E2023,MapeoCargos!$A:$A,MapeoCargos!$B:$B,E2023),E2023)</f>
        <v>STAFF ADMINISTRATIVO</v>
      </c>
      <c r="G2023" s="45">
        <v>45444</v>
      </c>
    </row>
    <row r="2024" spans="1:7" x14ac:dyDescent="0.2">
      <c r="A2024" s="27">
        <v>47775932</v>
      </c>
      <c r="B2024" s="35" t="s">
        <v>3621</v>
      </c>
      <c r="C2024" s="40" t="s">
        <v>3660</v>
      </c>
      <c r="D2024" s="35" t="s">
        <v>3662</v>
      </c>
      <c r="E2024" s="35" t="s">
        <v>1027</v>
      </c>
      <c r="F2024" t="str" cm="1">
        <f t="array" ref="F2024">IFERROR(_xlfn.XLOOKUP(E2024,MapeoCargos!$A:$A,MapeoCargos!$B:$B,E2024),E2024)</f>
        <v>PRODUCCIÓN / COCINA</v>
      </c>
      <c r="G2024" s="45">
        <v>45566</v>
      </c>
    </row>
    <row r="2025" spans="1:7" x14ac:dyDescent="0.2">
      <c r="A2025" s="27">
        <v>78084120</v>
      </c>
      <c r="B2025" s="35" t="s">
        <v>3621</v>
      </c>
      <c r="C2025" s="40" t="s">
        <v>3660</v>
      </c>
      <c r="D2025" s="35" t="s">
        <v>3663</v>
      </c>
      <c r="E2025" s="35" t="s">
        <v>127</v>
      </c>
      <c r="F2025" t="str" cm="1">
        <f t="array" ref="F2025">IFERROR(_xlfn.XLOOKUP(E2025,MapeoCargos!$A:$A,MapeoCargos!$B:$B,E2025),E2025)</f>
        <v>AZAFATA</v>
      </c>
      <c r="G2025" s="45">
        <v>45717</v>
      </c>
    </row>
    <row r="2026" spans="1:7" x14ac:dyDescent="0.2">
      <c r="A2026" s="27">
        <v>76903319</v>
      </c>
      <c r="B2026" s="35" t="s">
        <v>3621</v>
      </c>
      <c r="C2026" s="40" t="s">
        <v>3660</v>
      </c>
      <c r="D2026" s="35" t="s">
        <v>3664</v>
      </c>
      <c r="E2026" s="35" t="s">
        <v>83</v>
      </c>
      <c r="F2026" t="str" cm="1">
        <f t="array" ref="F2026">IFERROR(_xlfn.XLOOKUP(E2026,MapeoCargos!$A:$A,MapeoCargos!$B:$B,E2026),E2026)</f>
        <v>PRODUCCIÓN / COCINA</v>
      </c>
      <c r="G2026" s="45">
        <v>45763</v>
      </c>
    </row>
    <row r="2027" spans="1:7" x14ac:dyDescent="0.2">
      <c r="A2027" s="27" t="s">
        <v>3665</v>
      </c>
      <c r="B2027" s="35" t="s">
        <v>3621</v>
      </c>
      <c r="C2027" s="40" t="s">
        <v>3660</v>
      </c>
      <c r="D2027" s="35" t="s">
        <v>3666</v>
      </c>
      <c r="E2027" s="35" t="s">
        <v>127</v>
      </c>
      <c r="F2027" t="str" cm="1">
        <f t="array" ref="F2027">IFERROR(_xlfn.XLOOKUP(E2027,MapeoCargos!$A:$A,MapeoCargos!$B:$B,E2027),E2027)</f>
        <v>AZAFATA</v>
      </c>
      <c r="G2027" s="45">
        <v>45783</v>
      </c>
    </row>
    <row r="2028" spans="1:7" x14ac:dyDescent="0.2">
      <c r="A2028" s="27" t="s">
        <v>3667</v>
      </c>
      <c r="B2028" s="35" t="s">
        <v>3621</v>
      </c>
      <c r="C2028" s="40" t="s">
        <v>3660</v>
      </c>
      <c r="D2028" s="35" t="s">
        <v>3668</v>
      </c>
      <c r="E2028" s="35" t="s">
        <v>127</v>
      </c>
      <c r="F2028" t="str" cm="1">
        <f t="array" ref="F2028">IFERROR(_xlfn.XLOOKUP(E2028,MapeoCargos!$A:$A,MapeoCargos!$B:$B,E2028),E2028)</f>
        <v>AZAFATA</v>
      </c>
      <c r="G2028" s="45">
        <v>45827</v>
      </c>
    </row>
    <row r="2029" spans="1:7" x14ac:dyDescent="0.2">
      <c r="A2029" s="27" t="s">
        <v>3669</v>
      </c>
      <c r="B2029" s="35" t="s">
        <v>3621</v>
      </c>
      <c r="C2029" s="40" t="s">
        <v>3660</v>
      </c>
      <c r="D2029" s="35" t="s">
        <v>3670</v>
      </c>
      <c r="E2029" s="35" t="s">
        <v>29</v>
      </c>
      <c r="F2029" t="str" cm="1">
        <f t="array" ref="F2029">IFERROR(_xlfn.XLOOKUP(E2029,MapeoCargos!$A:$A,MapeoCargos!$B:$B,E2029),E2029)</f>
        <v>MOZO</v>
      </c>
      <c r="G2029" s="45">
        <v>45856</v>
      </c>
    </row>
    <row r="2030" spans="1:7" x14ac:dyDescent="0.2">
      <c r="A2030" s="27" t="s">
        <v>3671</v>
      </c>
      <c r="B2030" s="35" t="s">
        <v>3621</v>
      </c>
      <c r="C2030" s="40" t="s">
        <v>3660</v>
      </c>
      <c r="D2030" s="35" t="s">
        <v>3672</v>
      </c>
      <c r="E2030" s="35" t="s">
        <v>1027</v>
      </c>
      <c r="F2030" t="str" cm="1">
        <f t="array" ref="F2030">IFERROR(_xlfn.XLOOKUP(E2030,MapeoCargos!$A:$A,MapeoCargos!$B:$B,E2030),E2030)</f>
        <v>PRODUCCIÓN / COCINA</v>
      </c>
      <c r="G2030" s="45">
        <v>45855</v>
      </c>
    </row>
    <row r="2031" spans="1:7" x14ac:dyDescent="0.2">
      <c r="A2031" s="27">
        <v>44939723</v>
      </c>
      <c r="B2031" s="35" t="s">
        <v>3621</v>
      </c>
      <c r="C2031" s="40" t="s">
        <v>3660</v>
      </c>
      <c r="D2031" s="35" t="s">
        <v>4194</v>
      </c>
      <c r="E2031" s="35" t="s">
        <v>83</v>
      </c>
      <c r="F2031" t="str" cm="1">
        <f t="array" ref="F2031">IFERROR(_xlfn.XLOOKUP(E2031,MapeoCargos!$A:$A,MapeoCargos!$B:$B,E2031),E2031)</f>
        <v>PRODUCCIÓN / COCINA</v>
      </c>
      <c r="G2031" s="45">
        <v>45901</v>
      </c>
    </row>
    <row r="2032" spans="1:7" x14ac:dyDescent="0.2">
      <c r="A2032" s="27">
        <v>61787506</v>
      </c>
      <c r="B2032" s="35" t="s">
        <v>3621</v>
      </c>
      <c r="C2032" s="40" t="s">
        <v>3660</v>
      </c>
      <c r="D2032" s="35" t="s">
        <v>4195</v>
      </c>
      <c r="E2032" s="35" t="s">
        <v>127</v>
      </c>
      <c r="F2032" t="str" cm="1">
        <f t="array" ref="F2032">IFERROR(_xlfn.XLOOKUP(E2032,MapeoCargos!$A:$A,MapeoCargos!$B:$B,E2032),E2032)</f>
        <v>AZAFATA</v>
      </c>
      <c r="G2032" s="45">
        <v>45916</v>
      </c>
    </row>
    <row r="2033" spans="1:7" x14ac:dyDescent="0.2">
      <c r="A2033" s="27">
        <v>61031177</v>
      </c>
      <c r="B2033" s="35" t="s">
        <v>3621</v>
      </c>
      <c r="C2033" s="40" t="s">
        <v>3660</v>
      </c>
      <c r="D2033" s="35" t="s">
        <v>4196</v>
      </c>
      <c r="E2033" s="35" t="s">
        <v>127</v>
      </c>
      <c r="F2033" t="str" cm="1">
        <f t="array" ref="F2033">IFERROR(_xlfn.XLOOKUP(E2033,MapeoCargos!$A:$A,MapeoCargos!$B:$B,E2033),E2033)</f>
        <v>AZAFATA</v>
      </c>
      <c r="G2033" s="45">
        <v>45922</v>
      </c>
    </row>
    <row r="2034" spans="1:7" x14ac:dyDescent="0.2">
      <c r="A2034" s="27" t="s">
        <v>3673</v>
      </c>
      <c r="B2034" s="35" t="s">
        <v>3674</v>
      </c>
      <c r="C2034" s="40" t="s">
        <v>1014</v>
      </c>
      <c r="D2034" s="35" t="s">
        <v>3675</v>
      </c>
      <c r="E2034" s="35" t="s">
        <v>3444</v>
      </c>
      <c r="F2034" t="str" cm="1">
        <f t="array" ref="F2034">IFERROR(_xlfn.XLOOKUP(E2034,MapeoCargos!$A:$A,MapeoCargos!$B:$B,E2034),E2034)</f>
        <v>AUDITORA</v>
      </c>
      <c r="G2034" s="45">
        <v>44927</v>
      </c>
    </row>
    <row r="2035" spans="1:7" x14ac:dyDescent="0.2">
      <c r="A2035" s="27" t="s">
        <v>3676</v>
      </c>
      <c r="B2035" s="35" t="s">
        <v>3674</v>
      </c>
      <c r="C2035" s="40" t="s">
        <v>1014</v>
      </c>
      <c r="D2035" s="35" t="s">
        <v>3677</v>
      </c>
      <c r="E2035" s="35" t="s">
        <v>3678</v>
      </c>
      <c r="F2035" t="str" cm="1">
        <f t="array" ref="F2035">IFERROR(_xlfn.XLOOKUP(E2035,MapeoCargos!$A:$A,MapeoCargos!$B:$B,E2035),E2035)</f>
        <v>ASISTENTE DE RR. HH.</v>
      </c>
      <c r="G2035" s="45">
        <v>45089</v>
      </c>
    </row>
    <row r="2036" spans="1:7" x14ac:dyDescent="0.2">
      <c r="A2036" s="27">
        <v>75431235</v>
      </c>
      <c r="B2036" s="35" t="s">
        <v>3674</v>
      </c>
      <c r="C2036" s="40" t="s">
        <v>1014</v>
      </c>
      <c r="D2036" s="35" t="s">
        <v>3679</v>
      </c>
      <c r="E2036" s="35" t="s">
        <v>3680</v>
      </c>
      <c r="F2036" t="str" cm="1">
        <f t="array" ref="F2036">IFERROR(_xlfn.XLOOKUP(E2036,MapeoCargos!$A:$A,MapeoCargos!$B:$B,E2036),E2036)</f>
        <v>TELEOPERADORA</v>
      </c>
      <c r="G2036" s="45">
        <v>45323</v>
      </c>
    </row>
    <row r="2037" spans="1:7" x14ac:dyDescent="0.2">
      <c r="A2037" s="27">
        <v>44850175</v>
      </c>
      <c r="B2037" s="35" t="s">
        <v>3674</v>
      </c>
      <c r="C2037" s="40" t="s">
        <v>1014</v>
      </c>
      <c r="D2037" s="35" t="s">
        <v>3681</v>
      </c>
      <c r="E2037" s="35" t="s">
        <v>2130</v>
      </c>
      <c r="F2037" t="str" cm="1">
        <f t="array" ref="F2037">IFERROR(_xlfn.XLOOKUP(E2037,MapeoCargos!$A:$A,MapeoCargos!$B:$B,E2037),E2037)</f>
        <v>SUPERVISORA</v>
      </c>
      <c r="G2037" s="45">
        <v>44927</v>
      </c>
    </row>
    <row r="2038" spans="1:7" x14ac:dyDescent="0.2">
      <c r="A2038" s="27">
        <v>31943934</v>
      </c>
      <c r="B2038" s="35" t="s">
        <v>3674</v>
      </c>
      <c r="C2038" s="40" t="s">
        <v>1014</v>
      </c>
      <c r="D2038" s="35" t="s">
        <v>3682</v>
      </c>
      <c r="E2038" s="35" t="s">
        <v>3683</v>
      </c>
      <c r="F2038" t="str" cm="1">
        <f t="array" ref="F2038">IFERROR(_xlfn.XLOOKUP(E2038,MapeoCargos!$A:$A,MapeoCargos!$B:$B,E2038),E2038)</f>
        <v>SUPERVISOR</v>
      </c>
      <c r="G2038" s="45">
        <v>44927</v>
      </c>
    </row>
    <row r="2039" spans="1:7" x14ac:dyDescent="0.2">
      <c r="A2039" s="27">
        <v>72813848</v>
      </c>
      <c r="B2039" s="35" t="s">
        <v>3674</v>
      </c>
      <c r="C2039" s="40" t="s">
        <v>1014</v>
      </c>
      <c r="D2039" s="35" t="s">
        <v>3684</v>
      </c>
      <c r="E2039" s="35" t="s">
        <v>3680</v>
      </c>
      <c r="F2039" t="str" cm="1">
        <f t="array" ref="F2039">IFERROR(_xlfn.XLOOKUP(E2039,MapeoCargos!$A:$A,MapeoCargos!$B:$B,E2039),E2039)</f>
        <v>TELEOPERADORA</v>
      </c>
      <c r="G2039" s="45">
        <v>45566</v>
      </c>
    </row>
    <row r="2040" spans="1:7" x14ac:dyDescent="0.2">
      <c r="A2040" s="27">
        <v>71418612</v>
      </c>
      <c r="B2040" s="35" t="s">
        <v>3674</v>
      </c>
      <c r="C2040" s="40" t="s">
        <v>1014</v>
      </c>
      <c r="D2040" s="35" t="s">
        <v>3685</v>
      </c>
      <c r="E2040" s="35" t="s">
        <v>3680</v>
      </c>
      <c r="F2040" t="str" cm="1">
        <f t="array" ref="F2040">IFERROR(_xlfn.XLOOKUP(E2040,MapeoCargos!$A:$A,MapeoCargos!$B:$B,E2040),E2040)</f>
        <v>TELEOPERADORA</v>
      </c>
      <c r="G2040" s="45">
        <v>45566</v>
      </c>
    </row>
    <row r="2041" spans="1:7" x14ac:dyDescent="0.2">
      <c r="A2041" s="27">
        <v>44151339</v>
      </c>
      <c r="B2041" s="35" t="s">
        <v>3674</v>
      </c>
      <c r="C2041" s="40" t="s">
        <v>1014</v>
      </c>
      <c r="D2041" s="35" t="s">
        <v>3686</v>
      </c>
      <c r="E2041" s="35" t="s">
        <v>3683</v>
      </c>
      <c r="F2041" t="str" cm="1">
        <f t="array" ref="F2041">IFERROR(_xlfn.XLOOKUP(E2041,MapeoCargos!$A:$A,MapeoCargos!$B:$B,E2041),E2041)</f>
        <v>SUPERVISOR</v>
      </c>
      <c r="G2041" s="45">
        <v>45689</v>
      </c>
    </row>
    <row r="2042" spans="1:7" x14ac:dyDescent="0.2">
      <c r="A2042" s="27">
        <v>46129957</v>
      </c>
      <c r="B2042" s="35" t="s">
        <v>3674</v>
      </c>
      <c r="C2042" s="40" t="s">
        <v>1014</v>
      </c>
      <c r="D2042" s="35" t="s">
        <v>3687</v>
      </c>
      <c r="E2042" s="35" t="s">
        <v>3688</v>
      </c>
      <c r="F2042" t="str" cm="1">
        <f t="array" ref="F2042">IFERROR(_xlfn.XLOOKUP(E2042,MapeoCargos!$A:$A,MapeoCargos!$B:$B,E2042),E2042)</f>
        <v>AUDITOR</v>
      </c>
      <c r="G2042" s="45">
        <v>45705</v>
      </c>
    </row>
    <row r="2043" spans="1:7" x14ac:dyDescent="0.2">
      <c r="A2043" s="27">
        <v>45526209</v>
      </c>
      <c r="B2043" s="35" t="s">
        <v>3674</v>
      </c>
      <c r="C2043" s="40" t="s">
        <v>1014</v>
      </c>
      <c r="D2043" s="35" t="s">
        <v>3704</v>
      </c>
      <c r="E2043" s="35" t="s">
        <v>1210</v>
      </c>
      <c r="F2043" t="str" cm="1">
        <f t="array" ref="F2043">IFERROR(_xlfn.XLOOKUP(E2043,MapeoCargos!$A:$A,MapeoCargos!$B:$B,E2043),E2043)</f>
        <v>STAFF ADMINISTRATIVO</v>
      </c>
      <c r="G2043" s="45">
        <v>44835</v>
      </c>
    </row>
    <row r="2044" spans="1:7" x14ac:dyDescent="0.2">
      <c r="A2044" s="27">
        <v>60136126</v>
      </c>
      <c r="B2044" s="35" t="s">
        <v>3674</v>
      </c>
      <c r="C2044" s="40" t="s">
        <v>3689</v>
      </c>
      <c r="D2044" s="35" t="s">
        <v>3690</v>
      </c>
      <c r="E2044" s="35" t="s">
        <v>3691</v>
      </c>
      <c r="F2044" t="str" cm="1">
        <f t="array" ref="F2044">IFERROR(_xlfn.XLOOKUP(E2044,MapeoCargos!$A:$A,MapeoCargos!$B:$B,E2044),E2044)</f>
        <v>ASISTENTE ADMINISTRATIVA</v>
      </c>
      <c r="G2044" s="45">
        <v>45778</v>
      </c>
    </row>
    <row r="2045" spans="1:7" x14ac:dyDescent="0.2">
      <c r="A2045" s="27">
        <v>10121992</v>
      </c>
      <c r="B2045" s="35" t="s">
        <v>3674</v>
      </c>
      <c r="C2045" s="40" t="s">
        <v>3689</v>
      </c>
      <c r="D2045" s="35" t="s">
        <v>3692</v>
      </c>
      <c r="E2045" s="35" t="s">
        <v>46</v>
      </c>
      <c r="F2045" t="str" cm="1">
        <f t="array" ref="F2045">IFERROR(_xlfn.XLOOKUP(E2045,MapeoCargos!$A:$A,MapeoCargos!$B:$B,E2045),E2045)</f>
        <v>PRODUCCIÓN / COCINA</v>
      </c>
      <c r="G2045" s="45">
        <v>44728</v>
      </c>
    </row>
    <row r="2046" spans="1:7" x14ac:dyDescent="0.2">
      <c r="A2046" s="27">
        <v>71757101</v>
      </c>
      <c r="B2046" s="35" t="s">
        <v>3674</v>
      </c>
      <c r="C2046" s="40" t="s">
        <v>3689</v>
      </c>
      <c r="D2046" s="35" t="s">
        <v>3693</v>
      </c>
      <c r="E2046" s="35" t="s">
        <v>1027</v>
      </c>
      <c r="F2046" t="str" cm="1">
        <f t="array" ref="F2046">IFERROR(_xlfn.XLOOKUP(E2046,MapeoCargos!$A:$A,MapeoCargos!$B:$B,E2046),E2046)</f>
        <v>PRODUCCIÓN / COCINA</v>
      </c>
      <c r="G2046" s="45">
        <v>44728</v>
      </c>
    </row>
    <row r="2047" spans="1:7" x14ac:dyDescent="0.2">
      <c r="A2047" s="27">
        <v>73512472</v>
      </c>
      <c r="B2047" s="35" t="s">
        <v>3674</v>
      </c>
      <c r="C2047" s="40" t="s">
        <v>3689</v>
      </c>
      <c r="D2047" s="35" t="s">
        <v>3694</v>
      </c>
      <c r="E2047" s="35" t="s">
        <v>1207</v>
      </c>
      <c r="F2047" t="str" cm="1">
        <f t="array" ref="F2047">IFERROR(_xlfn.XLOOKUP(E2047,MapeoCargos!$A:$A,MapeoCargos!$B:$B,E2047),E2047)</f>
        <v xml:space="preserve">CAJA </v>
      </c>
      <c r="G2047" s="45">
        <v>45763</v>
      </c>
    </row>
    <row r="2048" spans="1:7" x14ac:dyDescent="0.2">
      <c r="A2048" s="27">
        <v>42058597</v>
      </c>
      <c r="B2048" s="35" t="s">
        <v>3674</v>
      </c>
      <c r="C2048" s="40" t="s">
        <v>3689</v>
      </c>
      <c r="D2048" s="35" t="s">
        <v>3695</v>
      </c>
      <c r="E2048" s="35" t="s">
        <v>1027</v>
      </c>
      <c r="F2048" t="str" cm="1">
        <f t="array" ref="F2048">IFERROR(_xlfn.XLOOKUP(E2048,MapeoCargos!$A:$A,MapeoCargos!$B:$B,E2048),E2048)</f>
        <v>PRODUCCIÓN / COCINA</v>
      </c>
      <c r="G2048" s="45">
        <v>45778</v>
      </c>
    </row>
    <row r="2049" spans="1:7" x14ac:dyDescent="0.2">
      <c r="A2049" s="27">
        <v>80282890</v>
      </c>
      <c r="B2049" s="35" t="s">
        <v>3674</v>
      </c>
      <c r="C2049" s="40" t="s">
        <v>3689</v>
      </c>
      <c r="D2049" s="35" t="s">
        <v>3696</v>
      </c>
      <c r="E2049" s="35" t="s">
        <v>126</v>
      </c>
      <c r="F2049" t="str" cm="1">
        <f t="array" ref="F2049">IFERROR(_xlfn.XLOOKUP(E2049,MapeoCargos!$A:$A,MapeoCargos!$B:$B,E2049),E2049)</f>
        <v>MOTORIZADO</v>
      </c>
      <c r="G2049" s="45">
        <v>45794</v>
      </c>
    </row>
    <row r="2050" spans="1:7" x14ac:dyDescent="0.2">
      <c r="A2050" s="27" t="s">
        <v>3697</v>
      </c>
      <c r="B2050" s="35" t="s">
        <v>3674</v>
      </c>
      <c r="C2050" s="40" t="s">
        <v>3689</v>
      </c>
      <c r="D2050" s="35" t="s">
        <v>3698</v>
      </c>
      <c r="E2050" s="35" t="s">
        <v>127</v>
      </c>
      <c r="F2050" t="str" cm="1">
        <f t="array" ref="F2050">IFERROR(_xlfn.XLOOKUP(E2050,MapeoCargos!$A:$A,MapeoCargos!$B:$B,E2050),E2050)</f>
        <v>AZAFATA</v>
      </c>
      <c r="G2050" s="45">
        <v>45815</v>
      </c>
    </row>
    <row r="2051" spans="1:7" x14ac:dyDescent="0.2">
      <c r="A2051" s="27" t="s">
        <v>3699</v>
      </c>
      <c r="B2051" s="35" t="s">
        <v>3674</v>
      </c>
      <c r="C2051" s="40" t="s">
        <v>3689</v>
      </c>
      <c r="D2051" s="35" t="s">
        <v>3700</v>
      </c>
      <c r="E2051" s="35" t="s">
        <v>29</v>
      </c>
      <c r="F2051" t="str" cm="1">
        <f t="array" ref="F2051">IFERROR(_xlfn.XLOOKUP(E2051,MapeoCargos!$A:$A,MapeoCargos!$B:$B,E2051),E2051)</f>
        <v>MOZO</v>
      </c>
      <c r="G2051" s="45">
        <v>45815</v>
      </c>
    </row>
    <row r="2052" spans="1:7" x14ac:dyDescent="0.2">
      <c r="A2052" s="27" t="s">
        <v>3701</v>
      </c>
      <c r="B2052" s="35" t="s">
        <v>3674</v>
      </c>
      <c r="C2052" s="40" t="s">
        <v>3689</v>
      </c>
      <c r="D2052" s="35" t="s">
        <v>3702</v>
      </c>
      <c r="E2052" s="35" t="s">
        <v>127</v>
      </c>
      <c r="F2052" t="str" cm="1">
        <f t="array" ref="F2052">IFERROR(_xlfn.XLOOKUP(E2052,MapeoCargos!$A:$A,MapeoCargos!$B:$B,E2052),E2052)</f>
        <v>AZAFATA</v>
      </c>
      <c r="G2052" s="45">
        <v>45824</v>
      </c>
    </row>
    <row r="2053" spans="1:7" x14ac:dyDescent="0.2">
      <c r="A2053" s="27">
        <v>42594069</v>
      </c>
      <c r="B2053" s="35" t="s">
        <v>3674</v>
      </c>
      <c r="C2053" s="40" t="s">
        <v>3703</v>
      </c>
      <c r="D2053" s="35" t="s">
        <v>3705</v>
      </c>
      <c r="E2053" s="35" t="s">
        <v>3683</v>
      </c>
      <c r="F2053" t="str" cm="1">
        <f t="array" ref="F2053">IFERROR(_xlfn.XLOOKUP(E2053,MapeoCargos!$A:$A,MapeoCargos!$B:$B,E2053),E2053)</f>
        <v>SUPERVISOR</v>
      </c>
      <c r="G2053" s="45">
        <v>44927</v>
      </c>
    </row>
    <row r="2054" spans="1:7" x14ac:dyDescent="0.2">
      <c r="A2054" s="27">
        <v>60652728</v>
      </c>
      <c r="B2054" s="35" t="s">
        <v>3674</v>
      </c>
      <c r="C2054" s="40" t="s">
        <v>3703</v>
      </c>
      <c r="D2054" s="35" t="s">
        <v>3706</v>
      </c>
      <c r="E2054" s="35" t="s">
        <v>83</v>
      </c>
      <c r="F2054" t="str" cm="1">
        <f t="array" ref="F2054">IFERROR(_xlfn.XLOOKUP(E2054,MapeoCargos!$A:$A,MapeoCargos!$B:$B,E2054),E2054)</f>
        <v>PRODUCCIÓN / COCINA</v>
      </c>
      <c r="G2054" s="45">
        <v>45362</v>
      </c>
    </row>
    <row r="2055" spans="1:7" x14ac:dyDescent="0.2">
      <c r="A2055" s="27">
        <v>43815295</v>
      </c>
      <c r="B2055" s="35" t="s">
        <v>3674</v>
      </c>
      <c r="C2055" s="40" t="s">
        <v>3703</v>
      </c>
      <c r="D2055" s="35" t="s">
        <v>3707</v>
      </c>
      <c r="E2055" s="35" t="s">
        <v>1027</v>
      </c>
      <c r="F2055" t="str" cm="1">
        <f t="array" ref="F2055">IFERROR(_xlfn.XLOOKUP(E2055,MapeoCargos!$A:$A,MapeoCargos!$B:$B,E2055),E2055)</f>
        <v>PRODUCCIÓN / COCINA</v>
      </c>
      <c r="G2055" s="45">
        <v>43952</v>
      </c>
    </row>
    <row r="2056" spans="1:7" x14ac:dyDescent="0.2">
      <c r="A2056" s="27">
        <v>30421367</v>
      </c>
      <c r="B2056" s="35" t="s">
        <v>3674</v>
      </c>
      <c r="C2056" s="40" t="s">
        <v>3703</v>
      </c>
      <c r="D2056" s="35" t="s">
        <v>3708</v>
      </c>
      <c r="E2056" s="35" t="s">
        <v>1027</v>
      </c>
      <c r="F2056" t="str" cm="1">
        <f t="array" ref="F2056">IFERROR(_xlfn.XLOOKUP(E2056,MapeoCargos!$A:$A,MapeoCargos!$B:$B,E2056),E2056)</f>
        <v>PRODUCCIÓN / COCINA</v>
      </c>
      <c r="G2056" s="45">
        <v>42095</v>
      </c>
    </row>
    <row r="2057" spans="1:7" x14ac:dyDescent="0.2">
      <c r="A2057" s="27">
        <v>62333925</v>
      </c>
      <c r="B2057" s="35" t="s">
        <v>3674</v>
      </c>
      <c r="C2057" s="40" t="s">
        <v>3703</v>
      </c>
      <c r="D2057" s="35" t="s">
        <v>3709</v>
      </c>
      <c r="E2057" s="35" t="s">
        <v>126</v>
      </c>
      <c r="F2057" t="str" cm="1">
        <f t="array" ref="F2057">IFERROR(_xlfn.XLOOKUP(E2057,MapeoCargos!$A:$A,MapeoCargos!$B:$B,E2057),E2057)</f>
        <v>MOTORIZADO</v>
      </c>
      <c r="G2057" s="45">
        <v>45385</v>
      </c>
    </row>
    <row r="2058" spans="1:7" x14ac:dyDescent="0.2">
      <c r="A2058" s="28" t="s">
        <v>3710</v>
      </c>
      <c r="B2058" s="35" t="s">
        <v>3674</v>
      </c>
      <c r="C2058" s="40" t="s">
        <v>3703</v>
      </c>
      <c r="D2058" s="35" t="s">
        <v>3711</v>
      </c>
      <c r="E2058" s="35" t="s">
        <v>3638</v>
      </c>
      <c r="F2058" t="str" cm="1">
        <f t="array" ref="F2058">IFERROR(_xlfn.XLOOKUP(E2058,MapeoCargos!$A:$A,MapeoCargos!$B:$B,E2058),E2058)</f>
        <v>PRODUCCIÓN / COCINA</v>
      </c>
      <c r="G2058" s="45">
        <v>45597</v>
      </c>
    </row>
    <row r="2059" spans="1:7" x14ac:dyDescent="0.2">
      <c r="A2059" s="28" t="s">
        <v>3712</v>
      </c>
      <c r="B2059" s="35" t="s">
        <v>3674</v>
      </c>
      <c r="C2059" s="40" t="s">
        <v>3703</v>
      </c>
      <c r="D2059" s="35" t="s">
        <v>3713</v>
      </c>
      <c r="E2059" s="35" t="s">
        <v>1027</v>
      </c>
      <c r="F2059" t="str" cm="1">
        <f t="array" ref="F2059">IFERROR(_xlfn.XLOOKUP(E2059,MapeoCargos!$A:$A,MapeoCargos!$B:$B,E2059),E2059)</f>
        <v>PRODUCCIÓN / COCINA</v>
      </c>
      <c r="G2059" s="45">
        <v>45646</v>
      </c>
    </row>
    <row r="2060" spans="1:7" x14ac:dyDescent="0.2">
      <c r="A2060" s="28" t="s">
        <v>3714</v>
      </c>
      <c r="B2060" s="35" t="s">
        <v>3674</v>
      </c>
      <c r="C2060" s="40" t="s">
        <v>3703</v>
      </c>
      <c r="D2060" s="35" t="s">
        <v>3715</v>
      </c>
      <c r="E2060" s="35" t="s">
        <v>127</v>
      </c>
      <c r="F2060" t="str" cm="1">
        <f t="array" ref="F2060">IFERROR(_xlfn.XLOOKUP(E2060,MapeoCargos!$A:$A,MapeoCargos!$B:$B,E2060),E2060)</f>
        <v>AZAFATA</v>
      </c>
      <c r="G2060" s="45">
        <v>45675</v>
      </c>
    </row>
    <row r="2061" spans="1:7" x14ac:dyDescent="0.2">
      <c r="A2061" s="28" t="s">
        <v>3716</v>
      </c>
      <c r="B2061" s="35" t="s">
        <v>3674</v>
      </c>
      <c r="C2061" s="40" t="s">
        <v>3703</v>
      </c>
      <c r="D2061" s="35" t="s">
        <v>3717</v>
      </c>
      <c r="E2061" s="35" t="s">
        <v>126</v>
      </c>
      <c r="F2061" t="str" cm="1">
        <f t="array" ref="F2061">IFERROR(_xlfn.XLOOKUP(E2061,MapeoCargos!$A:$A,MapeoCargos!$B:$B,E2061),E2061)</f>
        <v>MOTORIZADO</v>
      </c>
      <c r="G2061" s="45">
        <v>45708</v>
      </c>
    </row>
    <row r="2062" spans="1:7" x14ac:dyDescent="0.2">
      <c r="A2062" s="28" t="s">
        <v>3718</v>
      </c>
      <c r="B2062" s="35" t="s">
        <v>3674</v>
      </c>
      <c r="C2062" s="40" t="s">
        <v>3703</v>
      </c>
      <c r="D2062" s="35" t="s">
        <v>3719</v>
      </c>
      <c r="E2062" s="35" t="s">
        <v>3607</v>
      </c>
      <c r="F2062" t="str" cm="1">
        <f t="array" ref="F2062">IFERROR(_xlfn.XLOOKUP(E2062,MapeoCargos!$A:$A,MapeoCargos!$B:$B,E2062),E2062)</f>
        <v>PRODUCCIÓN / COCINA</v>
      </c>
      <c r="G2062" s="45">
        <v>45738</v>
      </c>
    </row>
    <row r="2063" spans="1:7" x14ac:dyDescent="0.2">
      <c r="A2063" s="28" t="s">
        <v>3720</v>
      </c>
      <c r="B2063" s="35" t="s">
        <v>3674</v>
      </c>
      <c r="C2063" s="40" t="s">
        <v>3703</v>
      </c>
      <c r="D2063" s="35" t="s">
        <v>3721</v>
      </c>
      <c r="E2063" s="35" t="s">
        <v>29</v>
      </c>
      <c r="F2063" t="str" cm="1">
        <f t="array" ref="F2063">IFERROR(_xlfn.XLOOKUP(E2063,MapeoCargos!$A:$A,MapeoCargos!$B:$B,E2063),E2063)</f>
        <v>MOZO</v>
      </c>
      <c r="G2063" s="45">
        <v>45735</v>
      </c>
    </row>
    <row r="2064" spans="1:7" x14ac:dyDescent="0.2">
      <c r="A2064" s="28" t="s">
        <v>3722</v>
      </c>
      <c r="B2064" s="35" t="s">
        <v>3674</v>
      </c>
      <c r="C2064" s="40" t="s">
        <v>3703</v>
      </c>
      <c r="D2064" s="35" t="s">
        <v>3723</v>
      </c>
      <c r="E2064" s="35" t="s">
        <v>29</v>
      </c>
      <c r="F2064" t="str" cm="1">
        <f t="array" ref="F2064">IFERROR(_xlfn.XLOOKUP(E2064,MapeoCargos!$A:$A,MapeoCargos!$B:$B,E2064),E2064)</f>
        <v>MOZO</v>
      </c>
      <c r="G2064" s="45">
        <v>45732</v>
      </c>
    </row>
    <row r="2065" spans="1:7" x14ac:dyDescent="0.2">
      <c r="A2065" s="28" t="s">
        <v>3724</v>
      </c>
      <c r="B2065" s="35" t="s">
        <v>3674</v>
      </c>
      <c r="C2065" s="40" t="s">
        <v>3703</v>
      </c>
      <c r="D2065" s="35" t="s">
        <v>3725</v>
      </c>
      <c r="E2065" s="35" t="s">
        <v>130</v>
      </c>
      <c r="F2065" t="str" cm="1">
        <f t="array" ref="F2065">IFERROR(_xlfn.XLOOKUP(E2065,MapeoCargos!$A:$A,MapeoCargos!$B:$B,E2065),E2065)</f>
        <v>BAR</v>
      </c>
      <c r="G2065" s="45">
        <v>45764</v>
      </c>
    </row>
    <row r="2066" spans="1:7" x14ac:dyDescent="0.2">
      <c r="A2066" s="28" t="s">
        <v>3726</v>
      </c>
      <c r="B2066" s="35" t="s">
        <v>3674</v>
      </c>
      <c r="C2066" s="40" t="s">
        <v>3703</v>
      </c>
      <c r="D2066" s="35" t="s">
        <v>3727</v>
      </c>
      <c r="E2066" s="35" t="s">
        <v>1207</v>
      </c>
      <c r="F2066" t="str" cm="1">
        <f t="array" ref="F2066">IFERROR(_xlfn.XLOOKUP(E2066,MapeoCargos!$A:$A,MapeoCargos!$B:$B,E2066),E2066)</f>
        <v xml:space="preserve">CAJA </v>
      </c>
      <c r="G2066" s="45">
        <v>45819</v>
      </c>
    </row>
    <row r="2067" spans="1:7" x14ac:dyDescent="0.2">
      <c r="A2067" s="27" t="s">
        <v>3728</v>
      </c>
      <c r="B2067" s="35" t="s">
        <v>3674</v>
      </c>
      <c r="C2067" s="40" t="s">
        <v>3703</v>
      </c>
      <c r="D2067" s="35" t="s">
        <v>3729</v>
      </c>
      <c r="E2067" s="35" t="s">
        <v>127</v>
      </c>
      <c r="F2067" t="str" cm="1">
        <f t="array" ref="F2067">IFERROR(_xlfn.XLOOKUP(E2067,MapeoCargos!$A:$A,MapeoCargos!$B:$B,E2067),E2067)</f>
        <v>AZAFATA</v>
      </c>
      <c r="G2067" s="45">
        <v>45839</v>
      </c>
    </row>
    <row r="2068" spans="1:7" x14ac:dyDescent="0.2">
      <c r="A2068" s="27" t="s">
        <v>3730</v>
      </c>
      <c r="B2068" s="35" t="s">
        <v>3674</v>
      </c>
      <c r="C2068" s="40" t="s">
        <v>3703</v>
      </c>
      <c r="D2068" s="35" t="s">
        <v>3731</v>
      </c>
      <c r="E2068" s="35" t="s">
        <v>29</v>
      </c>
      <c r="F2068" t="str" cm="1">
        <f t="array" ref="F2068">IFERROR(_xlfn.XLOOKUP(E2068,MapeoCargos!$A:$A,MapeoCargos!$B:$B,E2068),E2068)</f>
        <v>MOZO</v>
      </c>
      <c r="G2068" s="45">
        <v>45839</v>
      </c>
    </row>
    <row r="2069" spans="1:7" x14ac:dyDescent="0.2">
      <c r="A2069" s="27" t="s">
        <v>4348</v>
      </c>
      <c r="B2069" s="35" t="s">
        <v>3674</v>
      </c>
      <c r="C2069" s="40" t="s">
        <v>3703</v>
      </c>
      <c r="D2069" s="35" t="s">
        <v>4480</v>
      </c>
      <c r="E2069" s="35" t="s">
        <v>127</v>
      </c>
      <c r="F2069" t="str" cm="1">
        <f t="array" ref="F2069">IFERROR(_xlfn.XLOOKUP(E2069,MapeoCargos!$A:$A,MapeoCargos!$B:$B,E2069),E2069)</f>
        <v>AZAFATA</v>
      </c>
      <c r="G2069" s="45">
        <v>45933</v>
      </c>
    </row>
    <row r="2070" spans="1:7" x14ac:dyDescent="0.2">
      <c r="A2070" s="27" t="s">
        <v>4349</v>
      </c>
      <c r="B2070" s="35" t="s">
        <v>3674</v>
      </c>
      <c r="C2070" s="40" t="s">
        <v>3703</v>
      </c>
      <c r="D2070" s="35" t="s">
        <v>4481</v>
      </c>
      <c r="E2070" s="35" t="s">
        <v>3596</v>
      </c>
      <c r="F2070" t="str" cm="1">
        <f t="array" ref="F2070">IFERROR(_xlfn.XLOOKUP(E2070,MapeoCargos!$A:$A,MapeoCargos!$B:$B,E2070),E2070)</f>
        <v>STAFF ADMINISTRATIVO</v>
      </c>
      <c r="G2070" s="45">
        <v>45941</v>
      </c>
    </row>
    <row r="2071" spans="1:7" x14ac:dyDescent="0.2">
      <c r="A2071" s="27" t="s">
        <v>4350</v>
      </c>
      <c r="B2071" s="35" t="s">
        <v>3674</v>
      </c>
      <c r="C2071" s="40" t="s">
        <v>3703</v>
      </c>
      <c r="D2071" s="35" t="s">
        <v>4482</v>
      </c>
      <c r="E2071" s="35" t="s">
        <v>127</v>
      </c>
      <c r="F2071" t="str" cm="1">
        <f t="array" ref="F2071">IFERROR(_xlfn.XLOOKUP(E2071,MapeoCargos!$A:$A,MapeoCargos!$B:$B,E2071),E2071)</f>
        <v>AZAFATA</v>
      </c>
      <c r="G2071" s="45">
        <v>45945</v>
      </c>
    </row>
    <row r="2072" spans="1:7" x14ac:dyDescent="0.2">
      <c r="A2072" s="27">
        <v>70483460</v>
      </c>
      <c r="B2072" s="35" t="s">
        <v>3674</v>
      </c>
      <c r="C2072" s="40" t="s">
        <v>3703</v>
      </c>
      <c r="D2072" s="35" t="s">
        <v>4710</v>
      </c>
      <c r="E2072" s="35" t="s">
        <v>1207</v>
      </c>
      <c r="F2072" t="str" cm="1">
        <f t="array" ref="F2072">IFERROR(_xlfn.XLOOKUP(E2072,MapeoCargos!$A:$A,MapeoCargos!$B:$B,E2072),E2072)</f>
        <v xml:space="preserve">CAJA </v>
      </c>
      <c r="G2072" s="45">
        <v>45977</v>
      </c>
    </row>
    <row r="2073" spans="1:7" x14ac:dyDescent="0.2">
      <c r="A2073" s="27">
        <v>70521166</v>
      </c>
      <c r="B2073" s="35" t="s">
        <v>3674</v>
      </c>
      <c r="C2073" s="40" t="s">
        <v>3703</v>
      </c>
      <c r="D2073" s="35" t="s">
        <v>4711</v>
      </c>
      <c r="E2073" s="35" t="s">
        <v>83</v>
      </c>
      <c r="F2073" t="str" cm="1">
        <f t="array" ref="F2073">IFERROR(_xlfn.XLOOKUP(E2073,MapeoCargos!$A:$A,MapeoCargos!$B:$B,E2073),E2073)</f>
        <v>PRODUCCIÓN / COCINA</v>
      </c>
      <c r="G2073" s="45">
        <v>45977</v>
      </c>
    </row>
    <row r="2074" spans="1:7" x14ac:dyDescent="0.2">
      <c r="A2074" s="28" t="s">
        <v>3732</v>
      </c>
      <c r="B2074" s="35" t="s">
        <v>3674</v>
      </c>
      <c r="C2074" s="40" t="s">
        <v>3733</v>
      </c>
      <c r="D2074" s="35" t="s">
        <v>3734</v>
      </c>
      <c r="E2074" s="35" t="s">
        <v>3596</v>
      </c>
      <c r="F2074" t="str" cm="1">
        <f t="array" ref="F2074">IFERROR(_xlfn.XLOOKUP(E2074,MapeoCargos!$A:$A,MapeoCargos!$B:$B,E2074),E2074)</f>
        <v>STAFF ADMINISTRATIVO</v>
      </c>
      <c r="G2074" s="45">
        <v>45809</v>
      </c>
    </row>
    <row r="2075" spans="1:7" x14ac:dyDescent="0.2">
      <c r="A2075" s="27">
        <v>43255628</v>
      </c>
      <c r="B2075" s="35" t="s">
        <v>3674</v>
      </c>
      <c r="C2075" s="40" t="s">
        <v>3733</v>
      </c>
      <c r="D2075" s="35" t="s">
        <v>3735</v>
      </c>
      <c r="E2075" s="35" t="s">
        <v>1027</v>
      </c>
      <c r="F2075" t="str" cm="1">
        <f t="array" ref="F2075">IFERROR(_xlfn.XLOOKUP(E2075,MapeoCargos!$A:$A,MapeoCargos!$B:$B,E2075),E2075)</f>
        <v>PRODUCCIÓN / COCINA</v>
      </c>
      <c r="G2075" s="45">
        <v>45459</v>
      </c>
    </row>
    <row r="2076" spans="1:7" x14ac:dyDescent="0.2">
      <c r="A2076" s="27">
        <v>48226188</v>
      </c>
      <c r="B2076" s="35" t="s">
        <v>3674</v>
      </c>
      <c r="C2076" s="40" t="s">
        <v>3733</v>
      </c>
      <c r="D2076" s="35" t="s">
        <v>3736</v>
      </c>
      <c r="E2076" s="35" t="s">
        <v>127</v>
      </c>
      <c r="F2076" t="str" cm="1">
        <f t="array" ref="F2076">IFERROR(_xlfn.XLOOKUP(E2076,MapeoCargos!$A:$A,MapeoCargos!$B:$B,E2076),E2076)</f>
        <v>AZAFATA</v>
      </c>
      <c r="G2076" s="45">
        <v>45170</v>
      </c>
    </row>
    <row r="2077" spans="1:7" x14ac:dyDescent="0.2">
      <c r="A2077" s="27">
        <v>77034826</v>
      </c>
      <c r="B2077" s="35" t="s">
        <v>3674</v>
      </c>
      <c r="C2077" s="40" t="s">
        <v>3733</v>
      </c>
      <c r="D2077" s="35" t="s">
        <v>3737</v>
      </c>
      <c r="E2077" s="35" t="s">
        <v>29</v>
      </c>
      <c r="F2077" t="str" cm="1">
        <f t="array" ref="F2077">IFERROR(_xlfn.XLOOKUP(E2077,MapeoCargos!$A:$A,MapeoCargos!$B:$B,E2077),E2077)</f>
        <v>MOZO</v>
      </c>
      <c r="G2077" s="45">
        <v>44805</v>
      </c>
    </row>
    <row r="2078" spans="1:7" x14ac:dyDescent="0.2">
      <c r="A2078" s="27">
        <v>73882131</v>
      </c>
      <c r="B2078" s="35" t="s">
        <v>3674</v>
      </c>
      <c r="C2078" s="40" t="s">
        <v>3733</v>
      </c>
      <c r="D2078" s="35" t="s">
        <v>3738</v>
      </c>
      <c r="E2078" s="35" t="s">
        <v>127</v>
      </c>
      <c r="F2078" t="str" cm="1">
        <f t="array" ref="F2078">IFERROR(_xlfn.XLOOKUP(E2078,MapeoCargos!$A:$A,MapeoCargos!$B:$B,E2078),E2078)</f>
        <v>AZAFATA</v>
      </c>
      <c r="G2078" s="45">
        <v>44987</v>
      </c>
    </row>
    <row r="2079" spans="1:7" x14ac:dyDescent="0.2">
      <c r="A2079" s="28" t="s">
        <v>3739</v>
      </c>
      <c r="B2079" s="35" t="s">
        <v>3674</v>
      </c>
      <c r="C2079" s="40" t="s">
        <v>3733</v>
      </c>
      <c r="D2079" s="35" t="s">
        <v>3740</v>
      </c>
      <c r="E2079" s="35" t="s">
        <v>3607</v>
      </c>
      <c r="F2079" t="str" cm="1">
        <f t="array" ref="F2079">IFERROR(_xlfn.XLOOKUP(E2079,MapeoCargos!$A:$A,MapeoCargos!$B:$B,E2079),E2079)</f>
        <v>PRODUCCIÓN / COCINA</v>
      </c>
      <c r="G2079" s="45">
        <v>45505</v>
      </c>
    </row>
    <row r="2080" spans="1:7" x14ac:dyDescent="0.2">
      <c r="A2080" s="28" t="s">
        <v>3741</v>
      </c>
      <c r="B2080" s="35" t="s">
        <v>3674</v>
      </c>
      <c r="C2080" s="40" t="s">
        <v>3733</v>
      </c>
      <c r="D2080" s="35" t="s">
        <v>3742</v>
      </c>
      <c r="E2080" s="35" t="s">
        <v>29</v>
      </c>
      <c r="F2080" t="str" cm="1">
        <f t="array" ref="F2080">IFERROR(_xlfn.XLOOKUP(E2080,MapeoCargos!$A:$A,MapeoCargos!$B:$B,E2080),E2080)</f>
        <v>MOZO</v>
      </c>
      <c r="G2080" s="45">
        <v>45515</v>
      </c>
    </row>
    <row r="2081" spans="1:7" x14ac:dyDescent="0.2">
      <c r="A2081" s="28" t="s">
        <v>3743</v>
      </c>
      <c r="B2081" s="35" t="s">
        <v>3674</v>
      </c>
      <c r="C2081" s="40" t="s">
        <v>3733</v>
      </c>
      <c r="D2081" s="35" t="s">
        <v>3744</v>
      </c>
      <c r="E2081" s="35" t="s">
        <v>1027</v>
      </c>
      <c r="F2081" t="str" cm="1">
        <f t="array" ref="F2081">IFERROR(_xlfn.XLOOKUP(E2081,MapeoCargos!$A:$A,MapeoCargos!$B:$B,E2081),E2081)</f>
        <v>PRODUCCIÓN / COCINA</v>
      </c>
      <c r="G2081" s="45">
        <v>45547</v>
      </c>
    </row>
    <row r="2082" spans="1:7" x14ac:dyDescent="0.2">
      <c r="A2082" s="28" t="s">
        <v>3745</v>
      </c>
      <c r="B2082" s="35" t="s">
        <v>3674</v>
      </c>
      <c r="C2082" s="40" t="s">
        <v>3733</v>
      </c>
      <c r="D2082" s="35" t="s">
        <v>3746</v>
      </c>
      <c r="E2082" s="35" t="s">
        <v>126</v>
      </c>
      <c r="F2082" t="str" cm="1">
        <f t="array" ref="F2082">IFERROR(_xlfn.XLOOKUP(E2082,MapeoCargos!$A:$A,MapeoCargos!$B:$B,E2082),E2082)</f>
        <v>MOTORIZADO</v>
      </c>
      <c r="G2082" s="45">
        <v>45556</v>
      </c>
    </row>
    <row r="2083" spans="1:7" x14ac:dyDescent="0.2">
      <c r="A2083" s="28" t="s">
        <v>3747</v>
      </c>
      <c r="B2083" s="35" t="s">
        <v>3674</v>
      </c>
      <c r="C2083" s="40" t="s">
        <v>3733</v>
      </c>
      <c r="D2083" s="35" t="s">
        <v>3748</v>
      </c>
      <c r="E2083" s="35" t="s">
        <v>3607</v>
      </c>
      <c r="F2083" t="str" cm="1">
        <f t="array" ref="F2083">IFERROR(_xlfn.XLOOKUP(E2083,MapeoCargos!$A:$A,MapeoCargos!$B:$B,E2083),E2083)</f>
        <v>PRODUCCIÓN / COCINA</v>
      </c>
      <c r="G2083" s="45">
        <v>45814</v>
      </c>
    </row>
    <row r="2084" spans="1:7" x14ac:dyDescent="0.2">
      <c r="A2084" s="28" t="s">
        <v>4598</v>
      </c>
      <c r="B2084" s="35" t="s">
        <v>3674</v>
      </c>
      <c r="C2084" s="40" t="s">
        <v>3733</v>
      </c>
      <c r="D2084" s="35" t="s">
        <v>4712</v>
      </c>
      <c r="E2084" s="35" t="s">
        <v>29</v>
      </c>
      <c r="F2084" t="str" cm="1">
        <f t="array" ref="F2084">IFERROR(_xlfn.XLOOKUP(E2084,MapeoCargos!$A:$A,MapeoCargos!$B:$B,E2084),E2084)</f>
        <v>MOZO</v>
      </c>
      <c r="G2084" s="45">
        <v>45979</v>
      </c>
    </row>
    <row r="2085" spans="1:7" x14ac:dyDescent="0.2">
      <c r="A2085" s="27" t="s">
        <v>3749</v>
      </c>
      <c r="B2085" s="35" t="s">
        <v>3750</v>
      </c>
      <c r="C2085" s="40" t="s">
        <v>1014</v>
      </c>
      <c r="D2085" s="35" t="s">
        <v>3751</v>
      </c>
      <c r="E2085" s="35" t="s">
        <v>3752</v>
      </c>
      <c r="F2085" t="str" cm="1">
        <f t="array" ref="F2085">IFERROR(_xlfn.XLOOKUP(E2085,MapeoCargos!$A:$A,MapeoCargos!$B:$B,E2085),E2085)</f>
        <v>LIMPIEZA / MANTENIMIENTO</v>
      </c>
      <c r="G2085" s="45">
        <v>44927</v>
      </c>
    </row>
    <row r="2086" spans="1:7" x14ac:dyDescent="0.2">
      <c r="A2086" s="27">
        <v>74741125</v>
      </c>
      <c r="B2086" s="35" t="s">
        <v>3750</v>
      </c>
      <c r="C2086" s="40" t="s">
        <v>3753</v>
      </c>
      <c r="D2086" s="35" t="s">
        <v>3754</v>
      </c>
      <c r="E2086" s="35" t="s">
        <v>3691</v>
      </c>
      <c r="F2086" t="str" cm="1">
        <f t="array" ref="F2086">IFERROR(_xlfn.XLOOKUP(E2086,MapeoCargos!$A:$A,MapeoCargos!$B:$B,E2086),E2086)</f>
        <v>ASISTENTE ADMINISTRATIVA</v>
      </c>
      <c r="G2086" s="45">
        <v>44607</v>
      </c>
    </row>
    <row r="2087" spans="1:7" x14ac:dyDescent="0.2">
      <c r="A2087" s="27">
        <v>60102928</v>
      </c>
      <c r="B2087" s="35" t="s">
        <v>3750</v>
      </c>
      <c r="C2087" s="40" t="s">
        <v>3753</v>
      </c>
      <c r="D2087" s="35" t="s">
        <v>3755</v>
      </c>
      <c r="E2087" s="35" t="s">
        <v>465</v>
      </c>
      <c r="F2087" t="str" cm="1">
        <f t="array" ref="F2087">IFERROR(_xlfn.XLOOKUP(E2087,MapeoCargos!$A:$A,MapeoCargos!$B:$B,E2087),E2087)</f>
        <v>PRODUCCIÓN / COCINA</v>
      </c>
      <c r="G2087" s="45">
        <v>43739</v>
      </c>
    </row>
    <row r="2088" spans="1:7" x14ac:dyDescent="0.2">
      <c r="A2088" s="27">
        <v>76317004</v>
      </c>
      <c r="B2088" s="35" t="s">
        <v>3750</v>
      </c>
      <c r="C2088" s="40" t="s">
        <v>3753</v>
      </c>
      <c r="D2088" s="35" t="s">
        <v>3756</v>
      </c>
      <c r="E2088" s="35" t="s">
        <v>1027</v>
      </c>
      <c r="F2088" t="str" cm="1">
        <f t="array" ref="F2088">IFERROR(_xlfn.XLOOKUP(E2088,MapeoCargos!$A:$A,MapeoCargos!$B:$B,E2088),E2088)</f>
        <v>PRODUCCIÓN / COCINA</v>
      </c>
      <c r="G2088" s="45">
        <v>44881</v>
      </c>
    </row>
    <row r="2089" spans="1:7" x14ac:dyDescent="0.2">
      <c r="A2089" s="27">
        <v>75866659</v>
      </c>
      <c r="B2089" s="35" t="s">
        <v>3750</v>
      </c>
      <c r="C2089" s="40" t="s">
        <v>3753</v>
      </c>
      <c r="D2089" s="35" t="s">
        <v>3757</v>
      </c>
      <c r="E2089" s="35" t="s">
        <v>127</v>
      </c>
      <c r="F2089" t="str" cm="1">
        <f t="array" ref="F2089">IFERROR(_xlfn.XLOOKUP(E2089,MapeoCargos!$A:$A,MapeoCargos!$B:$B,E2089),E2089)</f>
        <v>AZAFATA</v>
      </c>
      <c r="G2089" s="45">
        <v>45292</v>
      </c>
    </row>
    <row r="2090" spans="1:7" x14ac:dyDescent="0.2">
      <c r="A2090" s="27">
        <v>76088860</v>
      </c>
      <c r="B2090" s="35" t="s">
        <v>3750</v>
      </c>
      <c r="C2090" s="40" t="s">
        <v>3753</v>
      </c>
      <c r="D2090" s="35" t="s">
        <v>3758</v>
      </c>
      <c r="E2090" s="35" t="s">
        <v>127</v>
      </c>
      <c r="F2090" t="str" cm="1">
        <f t="array" ref="F2090">IFERROR(_xlfn.XLOOKUP(E2090,MapeoCargos!$A:$A,MapeoCargos!$B:$B,E2090),E2090)</f>
        <v>AZAFATA</v>
      </c>
      <c r="G2090" s="45">
        <v>45294</v>
      </c>
    </row>
    <row r="2091" spans="1:7" x14ac:dyDescent="0.2">
      <c r="A2091" s="27">
        <v>46164240</v>
      </c>
      <c r="B2091" s="35" t="s">
        <v>3750</v>
      </c>
      <c r="C2091" s="40" t="s">
        <v>3753</v>
      </c>
      <c r="D2091" s="35" t="s">
        <v>3759</v>
      </c>
      <c r="E2091" s="35" t="s">
        <v>127</v>
      </c>
      <c r="F2091" t="str" cm="1">
        <f t="array" ref="F2091">IFERROR(_xlfn.XLOOKUP(E2091,MapeoCargos!$A:$A,MapeoCargos!$B:$B,E2091),E2091)</f>
        <v>AZAFATA</v>
      </c>
      <c r="G2091" s="45">
        <v>45001</v>
      </c>
    </row>
    <row r="2092" spans="1:7" x14ac:dyDescent="0.2">
      <c r="A2092" s="27">
        <v>75401279</v>
      </c>
      <c r="B2092" s="35" t="s">
        <v>3750</v>
      </c>
      <c r="C2092" s="40" t="s">
        <v>3753</v>
      </c>
      <c r="D2092" s="35" t="s">
        <v>3760</v>
      </c>
      <c r="E2092" s="35" t="s">
        <v>83</v>
      </c>
      <c r="F2092" t="str" cm="1">
        <f t="array" ref="F2092">IFERROR(_xlfn.XLOOKUP(E2092,MapeoCargos!$A:$A,MapeoCargos!$B:$B,E2092),E2092)</f>
        <v>PRODUCCIÓN / COCINA</v>
      </c>
      <c r="G2092" s="45">
        <v>45479</v>
      </c>
    </row>
    <row r="2093" spans="1:7" x14ac:dyDescent="0.2">
      <c r="A2093" s="27">
        <v>76635107</v>
      </c>
      <c r="B2093" s="35" t="s">
        <v>3750</v>
      </c>
      <c r="C2093" s="40" t="s">
        <v>3753</v>
      </c>
      <c r="D2093" s="35" t="s">
        <v>3761</v>
      </c>
      <c r="E2093" s="35" t="s">
        <v>29</v>
      </c>
      <c r="F2093" t="str" cm="1">
        <f t="array" ref="F2093">IFERROR(_xlfn.XLOOKUP(E2093,MapeoCargos!$A:$A,MapeoCargos!$B:$B,E2093),E2093)</f>
        <v>MOZO</v>
      </c>
      <c r="G2093" s="45">
        <v>45528</v>
      </c>
    </row>
    <row r="2094" spans="1:7" x14ac:dyDescent="0.2">
      <c r="A2094" s="27">
        <v>72576416</v>
      </c>
      <c r="B2094" s="35" t="s">
        <v>3750</v>
      </c>
      <c r="C2094" s="40" t="s">
        <v>3753</v>
      </c>
      <c r="D2094" s="35" t="s">
        <v>3762</v>
      </c>
      <c r="E2094" s="35" t="s">
        <v>127</v>
      </c>
      <c r="F2094" t="str" cm="1">
        <f t="array" ref="F2094">IFERROR(_xlfn.XLOOKUP(E2094,MapeoCargos!$A:$A,MapeoCargos!$B:$B,E2094),E2094)</f>
        <v>AZAFATA</v>
      </c>
      <c r="G2094" s="45">
        <v>45704</v>
      </c>
    </row>
    <row r="2095" spans="1:7" x14ac:dyDescent="0.2">
      <c r="A2095" s="27">
        <v>74547650</v>
      </c>
      <c r="B2095" s="35" t="s">
        <v>3750</v>
      </c>
      <c r="C2095" s="40" t="s">
        <v>3753</v>
      </c>
      <c r="D2095" s="35" t="s">
        <v>3763</v>
      </c>
      <c r="E2095" s="35" t="s">
        <v>83</v>
      </c>
      <c r="F2095" t="str" cm="1">
        <f t="array" ref="F2095">IFERROR(_xlfn.XLOOKUP(E2095,MapeoCargos!$A:$A,MapeoCargos!$B:$B,E2095),E2095)</f>
        <v>PRODUCCIÓN / COCINA</v>
      </c>
      <c r="G2095" s="45">
        <v>45704</v>
      </c>
    </row>
    <row r="2096" spans="1:7" x14ac:dyDescent="0.2">
      <c r="A2096" s="27">
        <v>47459908</v>
      </c>
      <c r="B2096" s="35" t="s">
        <v>3750</v>
      </c>
      <c r="C2096" s="40" t="s">
        <v>3753</v>
      </c>
      <c r="D2096" s="35" t="s">
        <v>3764</v>
      </c>
      <c r="E2096" s="35" t="s">
        <v>29</v>
      </c>
      <c r="F2096" t="str" cm="1">
        <f t="array" ref="F2096">IFERROR(_xlfn.XLOOKUP(E2096,MapeoCargos!$A:$A,MapeoCargos!$B:$B,E2096),E2096)</f>
        <v>MOZO</v>
      </c>
      <c r="G2096" s="45">
        <v>45735</v>
      </c>
    </row>
    <row r="2097" spans="1:7" x14ac:dyDescent="0.2">
      <c r="A2097" s="27">
        <v>71092061</v>
      </c>
      <c r="B2097" s="35" t="s">
        <v>3750</v>
      </c>
      <c r="C2097" s="40" t="s">
        <v>3753</v>
      </c>
      <c r="D2097" s="35" t="s">
        <v>3765</v>
      </c>
      <c r="E2097" s="35" t="s">
        <v>1027</v>
      </c>
      <c r="F2097" t="str" cm="1">
        <f t="array" ref="F2097">IFERROR(_xlfn.XLOOKUP(E2097,MapeoCargos!$A:$A,MapeoCargos!$B:$B,E2097),E2097)</f>
        <v>PRODUCCIÓN / COCINA</v>
      </c>
      <c r="G2097" s="45">
        <v>45735</v>
      </c>
    </row>
    <row r="2098" spans="1:7" x14ac:dyDescent="0.2">
      <c r="A2098" s="27">
        <v>60109607</v>
      </c>
      <c r="B2098" s="35" t="s">
        <v>3750</v>
      </c>
      <c r="C2098" s="40" t="s">
        <v>3753</v>
      </c>
      <c r="D2098" s="35" t="s">
        <v>3766</v>
      </c>
      <c r="E2098" s="35" t="s">
        <v>127</v>
      </c>
      <c r="F2098" t="str" cm="1">
        <f t="array" ref="F2098">IFERROR(_xlfn.XLOOKUP(E2098,MapeoCargos!$A:$A,MapeoCargos!$B:$B,E2098),E2098)</f>
        <v>AZAFATA</v>
      </c>
      <c r="G2098" s="45">
        <v>45770</v>
      </c>
    </row>
    <row r="2099" spans="1:7" x14ac:dyDescent="0.2">
      <c r="A2099" s="27" t="s">
        <v>3767</v>
      </c>
      <c r="B2099" s="35" t="s">
        <v>3750</v>
      </c>
      <c r="C2099" s="40" t="s">
        <v>3753</v>
      </c>
      <c r="D2099" s="35" t="s">
        <v>3768</v>
      </c>
      <c r="E2099" s="35" t="s">
        <v>127</v>
      </c>
      <c r="F2099" t="str" cm="1">
        <f t="array" ref="F2099">IFERROR(_xlfn.XLOOKUP(E2099,MapeoCargos!$A:$A,MapeoCargos!$B:$B,E2099),E2099)</f>
        <v>AZAFATA</v>
      </c>
      <c r="G2099" s="45">
        <v>45874</v>
      </c>
    </row>
    <row r="2100" spans="1:7" x14ac:dyDescent="0.2">
      <c r="A2100" s="27" t="s">
        <v>3769</v>
      </c>
      <c r="B2100" s="35" t="s">
        <v>3750</v>
      </c>
      <c r="C2100" s="40" t="s">
        <v>3753</v>
      </c>
      <c r="D2100" s="35" t="s">
        <v>3770</v>
      </c>
      <c r="E2100" s="35" t="s">
        <v>200</v>
      </c>
      <c r="F2100" t="str" cm="1">
        <f t="array" ref="F2100">IFERROR(_xlfn.XLOOKUP(E2100,MapeoCargos!$A:$A,MapeoCargos!$B:$B,E2100),E2100)</f>
        <v>SEGURIDAD</v>
      </c>
      <c r="G2100" s="45">
        <v>45880</v>
      </c>
    </row>
    <row r="2101" spans="1:7" x14ac:dyDescent="0.2">
      <c r="A2101" s="27" t="s">
        <v>3771</v>
      </c>
      <c r="B2101" s="35" t="s">
        <v>3750</v>
      </c>
      <c r="C2101" s="40" t="s">
        <v>3753</v>
      </c>
      <c r="D2101" s="35" t="s">
        <v>3772</v>
      </c>
      <c r="E2101" s="35" t="s">
        <v>126</v>
      </c>
      <c r="F2101" t="str" cm="1">
        <f t="array" ref="F2101">IFERROR(_xlfn.XLOOKUP(E2101,MapeoCargos!$A:$A,MapeoCargos!$B:$B,E2101),E2101)</f>
        <v>MOTORIZADO</v>
      </c>
      <c r="G2101" s="45">
        <v>45887</v>
      </c>
    </row>
    <row r="2102" spans="1:7" x14ac:dyDescent="0.2">
      <c r="A2102" s="27" t="s">
        <v>3773</v>
      </c>
      <c r="B2102" s="35" t="s">
        <v>3750</v>
      </c>
      <c r="C2102" s="40" t="s">
        <v>3753</v>
      </c>
      <c r="D2102" s="35" t="s">
        <v>3774</v>
      </c>
      <c r="E2102" s="35" t="s">
        <v>1207</v>
      </c>
      <c r="F2102" t="str" cm="1">
        <f t="array" ref="F2102">IFERROR(_xlfn.XLOOKUP(E2102,MapeoCargos!$A:$A,MapeoCargos!$B:$B,E2102),E2102)</f>
        <v xml:space="preserve">CAJA </v>
      </c>
      <c r="G2102" s="45">
        <v>45889</v>
      </c>
    </row>
    <row r="2103" spans="1:7" x14ac:dyDescent="0.2">
      <c r="A2103" s="27" t="s">
        <v>3775</v>
      </c>
      <c r="B2103" s="35" t="s">
        <v>3750</v>
      </c>
      <c r="C2103" s="40" t="s">
        <v>3753</v>
      </c>
      <c r="D2103" s="35" t="s">
        <v>3776</v>
      </c>
      <c r="E2103" s="35" t="s">
        <v>1210</v>
      </c>
      <c r="F2103" t="str" cm="1">
        <f t="array" ref="F2103">IFERROR(_xlfn.XLOOKUP(E2103,MapeoCargos!$A:$A,MapeoCargos!$B:$B,E2103),E2103)</f>
        <v>STAFF ADMINISTRATIVO</v>
      </c>
      <c r="G2103" s="45">
        <v>45901</v>
      </c>
    </row>
    <row r="2104" spans="1:7" x14ac:dyDescent="0.2">
      <c r="A2104" s="27">
        <v>77809215</v>
      </c>
      <c r="B2104" s="35" t="s">
        <v>3750</v>
      </c>
      <c r="C2104" s="40" t="s">
        <v>3753</v>
      </c>
      <c r="D2104" s="35" t="s">
        <v>4197</v>
      </c>
      <c r="E2104" s="35" t="s">
        <v>126</v>
      </c>
      <c r="F2104" t="str" cm="1">
        <f t="array" ref="F2104">IFERROR(_xlfn.XLOOKUP(E2104,MapeoCargos!$A:$A,MapeoCargos!$B:$B,E2104),E2104)</f>
        <v>MOTORIZADO</v>
      </c>
      <c r="G2104" s="45">
        <v>45919</v>
      </c>
    </row>
    <row r="2105" spans="1:7" x14ac:dyDescent="0.2">
      <c r="A2105" s="27">
        <v>47582184</v>
      </c>
      <c r="B2105" s="35" t="s">
        <v>3750</v>
      </c>
      <c r="C2105" s="40" t="s">
        <v>3753</v>
      </c>
      <c r="D2105" s="35" t="s">
        <v>4483</v>
      </c>
      <c r="E2105" s="35" t="s">
        <v>127</v>
      </c>
      <c r="F2105" t="str" cm="1">
        <f t="array" ref="F2105">IFERROR(_xlfn.XLOOKUP(E2105,MapeoCargos!$A:$A,MapeoCargos!$B:$B,E2105),E2105)</f>
        <v>AZAFATA</v>
      </c>
      <c r="G2105" s="45">
        <v>45931</v>
      </c>
    </row>
    <row r="2106" spans="1:7" x14ac:dyDescent="0.2">
      <c r="A2106" s="27">
        <v>73140291</v>
      </c>
      <c r="B2106" s="35" t="s">
        <v>3750</v>
      </c>
      <c r="C2106" s="40" t="s">
        <v>3753</v>
      </c>
      <c r="D2106" s="35" t="s">
        <v>4484</v>
      </c>
      <c r="E2106" s="35" t="s">
        <v>127</v>
      </c>
      <c r="F2106" t="str" cm="1">
        <f t="array" ref="F2106">IFERROR(_xlfn.XLOOKUP(E2106,MapeoCargos!$A:$A,MapeoCargos!$B:$B,E2106),E2106)</f>
        <v>AZAFATA</v>
      </c>
      <c r="G2106" s="45">
        <v>45931</v>
      </c>
    </row>
    <row r="2107" spans="1:7" x14ac:dyDescent="0.2">
      <c r="A2107" s="27">
        <v>78107214</v>
      </c>
      <c r="B2107" s="35" t="s">
        <v>3750</v>
      </c>
      <c r="C2107" s="40" t="s">
        <v>3753</v>
      </c>
      <c r="D2107" s="35" t="s">
        <v>4485</v>
      </c>
      <c r="E2107" s="35" t="s">
        <v>29</v>
      </c>
      <c r="F2107" t="str" cm="1">
        <f t="array" ref="F2107">IFERROR(_xlfn.XLOOKUP(E2107,MapeoCargos!$A:$A,MapeoCargos!$B:$B,E2107),E2107)</f>
        <v>MOZO</v>
      </c>
      <c r="G2107" s="45">
        <v>45946</v>
      </c>
    </row>
    <row r="2108" spans="1:7" x14ac:dyDescent="0.2">
      <c r="A2108" s="27">
        <v>70743945</v>
      </c>
      <c r="B2108" s="35" t="s">
        <v>3750</v>
      </c>
      <c r="C2108" s="40" t="s">
        <v>3753</v>
      </c>
      <c r="D2108" s="35" t="s">
        <v>4713</v>
      </c>
      <c r="E2108" s="35" t="s">
        <v>83</v>
      </c>
      <c r="F2108" t="str" cm="1">
        <f t="array" ref="F2108">IFERROR(_xlfn.XLOOKUP(E2108,MapeoCargos!$A:$A,MapeoCargos!$B:$B,E2108),E2108)</f>
        <v>PRODUCCIÓN / COCINA</v>
      </c>
      <c r="G2108" s="45">
        <v>45977</v>
      </c>
    </row>
    <row r="2109" spans="1:7" x14ac:dyDescent="0.2">
      <c r="A2109" s="27" t="s">
        <v>3777</v>
      </c>
      <c r="B2109" s="35" t="s">
        <v>3750</v>
      </c>
      <c r="C2109" s="40" t="s">
        <v>3778</v>
      </c>
      <c r="D2109" s="35" t="s">
        <v>3779</v>
      </c>
      <c r="E2109" s="35" t="s">
        <v>3596</v>
      </c>
      <c r="F2109" t="str" cm="1">
        <f t="array" ref="F2109">IFERROR(_xlfn.XLOOKUP(E2109,MapeoCargos!$A:$A,MapeoCargos!$B:$B,E2109),E2109)</f>
        <v>STAFF ADMINISTRATIVO</v>
      </c>
      <c r="G2109" s="45">
        <v>45200</v>
      </c>
    </row>
    <row r="2110" spans="1:7" x14ac:dyDescent="0.2">
      <c r="A2110" s="27" t="s">
        <v>3780</v>
      </c>
      <c r="B2110" s="35" t="s">
        <v>3750</v>
      </c>
      <c r="C2110" s="40" t="s">
        <v>3778</v>
      </c>
      <c r="D2110" s="35" t="s">
        <v>3781</v>
      </c>
      <c r="E2110" s="35" t="s">
        <v>1027</v>
      </c>
      <c r="F2110" t="str" cm="1">
        <f t="array" ref="F2110">IFERROR(_xlfn.XLOOKUP(E2110,MapeoCargos!$A:$A,MapeoCargos!$B:$B,E2110),E2110)</f>
        <v>PRODUCCIÓN / COCINA</v>
      </c>
      <c r="G2110" s="45">
        <v>44019</v>
      </c>
    </row>
    <row r="2111" spans="1:7" x14ac:dyDescent="0.2">
      <c r="A2111" s="27" t="s">
        <v>3782</v>
      </c>
      <c r="B2111" s="35" t="s">
        <v>3750</v>
      </c>
      <c r="C2111" s="40" t="s">
        <v>3778</v>
      </c>
      <c r="D2111" s="35" t="s">
        <v>3783</v>
      </c>
      <c r="E2111" s="35" t="s">
        <v>1027</v>
      </c>
      <c r="F2111" t="str" cm="1">
        <f t="array" ref="F2111">IFERROR(_xlfn.XLOOKUP(E2111,MapeoCargos!$A:$A,MapeoCargos!$B:$B,E2111),E2111)</f>
        <v>PRODUCCIÓN / COCINA</v>
      </c>
      <c r="G2111" s="45">
        <v>45413</v>
      </c>
    </row>
    <row r="2112" spans="1:7" x14ac:dyDescent="0.2">
      <c r="A2112" s="27">
        <v>76981893</v>
      </c>
      <c r="B2112" s="35" t="s">
        <v>3750</v>
      </c>
      <c r="C2112" s="40" t="s">
        <v>3778</v>
      </c>
      <c r="D2112" s="35" t="s">
        <v>3784</v>
      </c>
      <c r="E2112" s="35" t="s">
        <v>127</v>
      </c>
      <c r="F2112" t="str" cm="1">
        <f t="array" ref="F2112">IFERROR(_xlfn.XLOOKUP(E2112,MapeoCargos!$A:$A,MapeoCargos!$B:$B,E2112),E2112)</f>
        <v>AZAFATA</v>
      </c>
      <c r="G2112" s="45">
        <v>45589</v>
      </c>
    </row>
    <row r="2113" spans="1:7" x14ac:dyDescent="0.2">
      <c r="A2113" s="27">
        <v>74898060</v>
      </c>
      <c r="B2113" s="35" t="s">
        <v>3750</v>
      </c>
      <c r="C2113" s="40" t="s">
        <v>3778</v>
      </c>
      <c r="D2113" s="35" t="s">
        <v>3785</v>
      </c>
      <c r="E2113" s="35" t="s">
        <v>127</v>
      </c>
      <c r="F2113" t="str" cm="1">
        <f t="array" ref="F2113">IFERROR(_xlfn.XLOOKUP(E2113,MapeoCargos!$A:$A,MapeoCargos!$B:$B,E2113),E2113)</f>
        <v>AZAFATA</v>
      </c>
      <c r="G2113" s="45">
        <v>45717</v>
      </c>
    </row>
    <row r="2114" spans="1:7" x14ac:dyDescent="0.2">
      <c r="A2114" s="27">
        <v>44197349</v>
      </c>
      <c r="B2114" s="35" t="s">
        <v>3750</v>
      </c>
      <c r="C2114" s="40" t="s">
        <v>3778</v>
      </c>
      <c r="D2114" s="35" t="s">
        <v>3786</v>
      </c>
      <c r="E2114" s="35" t="s">
        <v>127</v>
      </c>
      <c r="F2114" t="str" cm="1">
        <f t="array" ref="F2114">IFERROR(_xlfn.XLOOKUP(E2114,MapeoCargos!$A:$A,MapeoCargos!$B:$B,E2114),E2114)</f>
        <v>AZAFATA</v>
      </c>
      <c r="G2114" s="45">
        <v>45748</v>
      </c>
    </row>
    <row r="2115" spans="1:7" x14ac:dyDescent="0.2">
      <c r="A2115" s="27">
        <v>72974076</v>
      </c>
      <c r="B2115" s="35" t="s">
        <v>3750</v>
      </c>
      <c r="C2115" s="40" t="s">
        <v>3778</v>
      </c>
      <c r="D2115" s="35" t="s">
        <v>3787</v>
      </c>
      <c r="E2115" s="35" t="s">
        <v>29</v>
      </c>
      <c r="F2115" t="str" cm="1">
        <f t="array" ref="F2115">IFERROR(_xlfn.XLOOKUP(E2115,MapeoCargos!$A:$A,MapeoCargos!$B:$B,E2115),E2115)</f>
        <v>MOZO</v>
      </c>
      <c r="G2115" s="45">
        <v>45799</v>
      </c>
    </row>
    <row r="2116" spans="1:7" x14ac:dyDescent="0.2">
      <c r="A2116" s="27" t="s">
        <v>3788</v>
      </c>
      <c r="B2116" s="35" t="s">
        <v>3750</v>
      </c>
      <c r="C2116" s="40" t="s">
        <v>3778</v>
      </c>
      <c r="D2116" s="35" t="s">
        <v>3789</v>
      </c>
      <c r="E2116" s="35" t="s">
        <v>127</v>
      </c>
      <c r="F2116" t="str" cm="1">
        <f t="array" ref="F2116">IFERROR(_xlfn.XLOOKUP(E2116,MapeoCargos!$A:$A,MapeoCargos!$B:$B,E2116),E2116)</f>
        <v>AZAFATA</v>
      </c>
      <c r="G2116" s="45">
        <v>45847</v>
      </c>
    </row>
    <row r="2117" spans="1:7" x14ac:dyDescent="0.2">
      <c r="A2117" s="27" t="s">
        <v>3790</v>
      </c>
      <c r="B2117" s="35" t="s">
        <v>3750</v>
      </c>
      <c r="C2117" s="40" t="s">
        <v>3778</v>
      </c>
      <c r="D2117" s="35" t="s">
        <v>3791</v>
      </c>
      <c r="E2117" s="35" t="s">
        <v>1015</v>
      </c>
      <c r="F2117" t="str" cm="1">
        <f t="array" ref="F2117">IFERROR(_xlfn.XLOOKUP(E2117,MapeoCargos!$A:$A,MapeoCargos!$B:$B,E2117),E2117)</f>
        <v>PRODUCCIÓN / COCINA</v>
      </c>
      <c r="G2117" s="45">
        <v>45854</v>
      </c>
    </row>
    <row r="2118" spans="1:7" x14ac:dyDescent="0.2">
      <c r="A2118" s="27">
        <v>77587793</v>
      </c>
      <c r="B2118" s="35" t="s">
        <v>3750</v>
      </c>
      <c r="C2118" s="40" t="s">
        <v>3778</v>
      </c>
      <c r="D2118" s="35" t="s">
        <v>4198</v>
      </c>
      <c r="E2118" s="35" t="s">
        <v>127</v>
      </c>
      <c r="F2118" t="str" cm="1">
        <f t="array" ref="F2118">IFERROR(_xlfn.XLOOKUP(E2118,MapeoCargos!$A:$A,MapeoCargos!$B:$B,E2118),E2118)</f>
        <v>AZAFATA</v>
      </c>
      <c r="G2118" s="45">
        <v>45923</v>
      </c>
    </row>
    <row r="2119" spans="1:7" x14ac:dyDescent="0.2">
      <c r="A2119" s="27">
        <v>74408742</v>
      </c>
      <c r="B2119" s="35" t="s">
        <v>3750</v>
      </c>
      <c r="C2119" s="40" t="s">
        <v>3778</v>
      </c>
      <c r="D2119" s="35" t="s">
        <v>4486</v>
      </c>
      <c r="E2119" s="35" t="s">
        <v>200</v>
      </c>
      <c r="F2119" t="str" cm="1">
        <f t="array" ref="F2119">IFERROR(_xlfn.XLOOKUP(E2119,MapeoCargos!$A:$A,MapeoCargos!$B:$B,E2119),E2119)</f>
        <v>SEGURIDAD</v>
      </c>
      <c r="G2119" s="45">
        <v>45947</v>
      </c>
    </row>
    <row r="2120" spans="1:7" x14ac:dyDescent="0.2">
      <c r="A2120" s="27">
        <v>74537616</v>
      </c>
      <c r="B2120" s="35" t="s">
        <v>3750</v>
      </c>
      <c r="C2120" s="40" t="s">
        <v>3778</v>
      </c>
      <c r="D2120" s="35" t="s">
        <v>4487</v>
      </c>
      <c r="E2120" s="35" t="s">
        <v>127</v>
      </c>
      <c r="F2120" t="str" cm="1">
        <f t="array" ref="F2120">IFERROR(_xlfn.XLOOKUP(E2120,MapeoCargos!$A:$A,MapeoCargos!$B:$B,E2120),E2120)</f>
        <v>AZAFATA</v>
      </c>
      <c r="G2120" s="45">
        <v>45950</v>
      </c>
    </row>
    <row r="2121" spans="1:7" x14ac:dyDescent="0.2">
      <c r="A2121" s="27">
        <v>73769168</v>
      </c>
      <c r="B2121" s="35" t="s">
        <v>3750</v>
      </c>
      <c r="C2121" s="40" t="s">
        <v>3792</v>
      </c>
      <c r="D2121" s="35" t="s">
        <v>3793</v>
      </c>
      <c r="E2121" s="35" t="s">
        <v>1210</v>
      </c>
      <c r="F2121" t="str" cm="1">
        <f t="array" ref="F2121">IFERROR(_xlfn.XLOOKUP(E2121,MapeoCargos!$A:$A,MapeoCargos!$B:$B,E2121),E2121)</f>
        <v>STAFF ADMINISTRATIVO</v>
      </c>
      <c r="G2121" s="45">
        <v>45709</v>
      </c>
    </row>
    <row r="2122" spans="1:7" x14ac:dyDescent="0.2">
      <c r="A2122" s="27">
        <v>43441672</v>
      </c>
      <c r="B2122" s="35" t="s">
        <v>3750</v>
      </c>
      <c r="C2122" s="40" t="s">
        <v>3792</v>
      </c>
      <c r="D2122" s="35" t="s">
        <v>3794</v>
      </c>
      <c r="E2122" s="35" t="s">
        <v>127</v>
      </c>
      <c r="F2122" t="str" cm="1">
        <f t="array" ref="F2122">IFERROR(_xlfn.XLOOKUP(E2122,MapeoCargos!$A:$A,MapeoCargos!$B:$B,E2122),E2122)</f>
        <v>AZAFATA</v>
      </c>
      <c r="G2122" s="45">
        <v>45217</v>
      </c>
    </row>
    <row r="2123" spans="1:7" x14ac:dyDescent="0.2">
      <c r="A2123" s="27">
        <v>75355036</v>
      </c>
      <c r="B2123" s="35" t="s">
        <v>3750</v>
      </c>
      <c r="C2123" s="40" t="s">
        <v>3792</v>
      </c>
      <c r="D2123" s="35" t="s">
        <v>3795</v>
      </c>
      <c r="E2123" s="35" t="s">
        <v>3796</v>
      </c>
      <c r="F2123" t="str" cm="1">
        <f t="array" ref="F2123">IFERROR(_xlfn.XLOOKUP(E2123,MapeoCargos!$A:$A,MapeoCargos!$B:$B,E2123),E2123)</f>
        <v xml:space="preserve">CAJA </v>
      </c>
      <c r="G2123" s="45">
        <v>44755</v>
      </c>
    </row>
    <row r="2124" spans="1:7" x14ac:dyDescent="0.2">
      <c r="A2124" s="28" t="s">
        <v>3797</v>
      </c>
      <c r="B2124" s="35" t="s">
        <v>3750</v>
      </c>
      <c r="C2124" s="40" t="s">
        <v>3792</v>
      </c>
      <c r="D2124" s="35" t="s">
        <v>3798</v>
      </c>
      <c r="E2124" s="35" t="s">
        <v>83</v>
      </c>
      <c r="F2124" t="str" cm="1">
        <f t="array" ref="F2124">IFERROR(_xlfn.XLOOKUP(E2124,MapeoCargos!$A:$A,MapeoCargos!$B:$B,E2124),E2124)</f>
        <v>PRODUCCIÓN / COCINA</v>
      </c>
      <c r="G2124" s="45">
        <v>45597</v>
      </c>
    </row>
    <row r="2125" spans="1:7" x14ac:dyDescent="0.2">
      <c r="A2125" s="28" t="s">
        <v>3799</v>
      </c>
      <c r="B2125" s="35" t="s">
        <v>3750</v>
      </c>
      <c r="C2125" s="40" t="s">
        <v>3792</v>
      </c>
      <c r="D2125" s="35" t="s">
        <v>3800</v>
      </c>
      <c r="E2125" s="35" t="s">
        <v>29</v>
      </c>
      <c r="F2125" t="str" cm="1">
        <f t="array" ref="F2125">IFERROR(_xlfn.XLOOKUP(E2125,MapeoCargos!$A:$A,MapeoCargos!$B:$B,E2125),E2125)</f>
        <v>MOZO</v>
      </c>
      <c r="G2125" s="45">
        <v>45763</v>
      </c>
    </row>
    <row r="2126" spans="1:7" x14ac:dyDescent="0.2">
      <c r="A2126" s="28">
        <v>76687765</v>
      </c>
      <c r="B2126" s="35" t="s">
        <v>3750</v>
      </c>
      <c r="C2126" s="40" t="s">
        <v>3792</v>
      </c>
      <c r="D2126" s="35" t="s">
        <v>3801</v>
      </c>
      <c r="E2126" s="35" t="s">
        <v>1027</v>
      </c>
      <c r="F2126" t="str" cm="1">
        <f t="array" ref="F2126">IFERROR(_xlfn.XLOOKUP(E2126,MapeoCargos!$A:$A,MapeoCargos!$B:$B,E2126),E2126)</f>
        <v>PRODUCCIÓN / COCINA</v>
      </c>
      <c r="G2126" s="45">
        <v>45778</v>
      </c>
    </row>
    <row r="2127" spans="1:7" x14ac:dyDescent="0.2">
      <c r="A2127" s="28" t="s">
        <v>3802</v>
      </c>
      <c r="B2127" s="35" t="s">
        <v>3750</v>
      </c>
      <c r="C2127" s="40" t="s">
        <v>3792</v>
      </c>
      <c r="D2127" s="35" t="s">
        <v>3803</v>
      </c>
      <c r="E2127" s="35" t="s">
        <v>3607</v>
      </c>
      <c r="F2127" t="str" cm="1">
        <f t="array" ref="F2127">IFERROR(_xlfn.XLOOKUP(E2127,MapeoCargos!$A:$A,MapeoCargos!$B:$B,E2127),E2127)</f>
        <v>PRODUCCIÓN / COCINA</v>
      </c>
      <c r="G2127" s="45">
        <v>45793</v>
      </c>
    </row>
    <row r="2128" spans="1:7" x14ac:dyDescent="0.2">
      <c r="A2128" s="28" t="s">
        <v>3804</v>
      </c>
      <c r="B2128" s="35" t="s">
        <v>3750</v>
      </c>
      <c r="C2128" s="40" t="s">
        <v>3792</v>
      </c>
      <c r="D2128" s="35" t="s">
        <v>3805</v>
      </c>
      <c r="E2128" s="35" t="s">
        <v>1027</v>
      </c>
      <c r="F2128" t="str" cm="1">
        <f t="array" ref="F2128">IFERROR(_xlfn.XLOOKUP(E2128,MapeoCargos!$A:$A,MapeoCargos!$B:$B,E2128),E2128)</f>
        <v>PRODUCCIÓN / COCINA</v>
      </c>
      <c r="G2128" s="45">
        <v>45878</v>
      </c>
    </row>
    <row r="2129" spans="1:7" x14ac:dyDescent="0.2">
      <c r="A2129" s="28" t="s">
        <v>3806</v>
      </c>
      <c r="B2129" s="35" t="s">
        <v>3750</v>
      </c>
      <c r="C2129" s="40" t="s">
        <v>3792</v>
      </c>
      <c r="D2129" s="35" t="s">
        <v>3807</v>
      </c>
      <c r="E2129" s="35" t="s">
        <v>127</v>
      </c>
      <c r="F2129" t="str" cm="1">
        <f t="array" ref="F2129">IFERROR(_xlfn.XLOOKUP(E2129,MapeoCargos!$A:$A,MapeoCargos!$B:$B,E2129),E2129)</f>
        <v>AZAFATA</v>
      </c>
      <c r="G2129" s="45">
        <v>45887</v>
      </c>
    </row>
    <row r="2130" spans="1:7" ht="16" x14ac:dyDescent="0.2">
      <c r="A2130" s="32">
        <v>48423886</v>
      </c>
      <c r="B2130" s="34" t="s">
        <v>4714</v>
      </c>
      <c r="C2130" s="40" t="s">
        <v>4201</v>
      </c>
      <c r="D2130" s="41" t="s">
        <v>3808</v>
      </c>
      <c r="E2130" s="42" t="s">
        <v>1018</v>
      </c>
      <c r="F2130" t="str" cm="1">
        <f t="array" ref="F2130">IFERROR(_xlfn.XLOOKUP(E2130,MapeoCargos!$A:$A,MapeoCargos!$B:$B,E2130),E2130)</f>
        <v>GERENTE GENERAL</v>
      </c>
      <c r="G2130" s="48">
        <v>45971</v>
      </c>
    </row>
    <row r="2131" spans="1:7" ht="32" x14ac:dyDescent="0.2">
      <c r="A2131" s="32">
        <v>72297042</v>
      </c>
      <c r="B2131" s="34" t="s">
        <v>4714</v>
      </c>
      <c r="C2131" s="40" t="s">
        <v>4201</v>
      </c>
      <c r="D2131" s="41" t="s">
        <v>3809</v>
      </c>
      <c r="E2131" s="42" t="s">
        <v>1384</v>
      </c>
      <c r="F2131" t="str" cm="1">
        <f t="array" ref="F2131">IFERROR(_xlfn.XLOOKUP(E2131,MapeoCargos!$A:$A,MapeoCargos!$B:$B,E2131),E2131)</f>
        <v>GERENTE DE OPERACIONES</v>
      </c>
      <c r="G2131" s="48">
        <v>45971</v>
      </c>
    </row>
    <row r="2132" spans="1:7" ht="32" x14ac:dyDescent="0.2">
      <c r="A2132" s="32" t="s">
        <v>3810</v>
      </c>
      <c r="B2132" s="34" t="s">
        <v>4714</v>
      </c>
      <c r="C2132" s="40" t="s">
        <v>4201</v>
      </c>
      <c r="D2132" s="43" t="s">
        <v>3811</v>
      </c>
      <c r="E2132" s="42" t="s">
        <v>1331</v>
      </c>
      <c r="F2132" t="str" cm="1">
        <f t="array" ref="F2132">IFERROR(_xlfn.XLOOKUP(E2132,MapeoCargos!$A:$A,MapeoCargos!$B:$B,E2132),E2132)</f>
        <v>JEFE DE ALMACÉN</v>
      </c>
      <c r="G2132" s="48">
        <v>45971</v>
      </c>
    </row>
    <row r="2133" spans="1:7" ht="16" x14ac:dyDescent="0.2">
      <c r="A2133" s="32">
        <v>43889632</v>
      </c>
      <c r="B2133" s="34" t="s">
        <v>4714</v>
      </c>
      <c r="C2133" s="40" t="s">
        <v>4201</v>
      </c>
      <c r="D2133" s="43" t="s">
        <v>3812</v>
      </c>
      <c r="E2133" s="42" t="s">
        <v>3596</v>
      </c>
      <c r="F2133" t="str" cm="1">
        <f t="array" ref="F2133">IFERROR(_xlfn.XLOOKUP(E2133,MapeoCargos!$A:$A,MapeoCargos!$B:$B,E2133),E2133)</f>
        <v>STAFF ADMINISTRATIVO</v>
      </c>
      <c r="G2133" s="48">
        <v>45971</v>
      </c>
    </row>
    <row r="2134" spans="1:7" ht="16" x14ac:dyDescent="0.2">
      <c r="A2134" s="32">
        <v>44563847</v>
      </c>
      <c r="B2134" s="34" t="s">
        <v>4714</v>
      </c>
      <c r="C2134" s="40" t="s">
        <v>4201</v>
      </c>
      <c r="D2134" s="43" t="s">
        <v>3813</v>
      </c>
      <c r="E2134" s="42" t="s">
        <v>3814</v>
      </c>
      <c r="F2134" t="str" cm="1">
        <f t="array" ref="F2134">IFERROR(_xlfn.XLOOKUP(E2134,MapeoCargos!$A:$A,MapeoCargos!$B:$B,E2134),E2134)</f>
        <v>JEFE DE COCINA</v>
      </c>
      <c r="G2134" s="48">
        <v>45971</v>
      </c>
    </row>
    <row r="2135" spans="1:7" ht="16" x14ac:dyDescent="0.2">
      <c r="A2135" s="32">
        <v>72692650</v>
      </c>
      <c r="B2135" s="34" t="s">
        <v>4714</v>
      </c>
      <c r="C2135" s="40" t="s">
        <v>4201</v>
      </c>
      <c r="D2135" s="41" t="s">
        <v>3815</v>
      </c>
      <c r="E2135" s="42" t="s">
        <v>3816</v>
      </c>
      <c r="F2135" t="str" cm="1">
        <f t="array" ref="F2135">IFERROR(_xlfn.XLOOKUP(E2135,MapeoCargos!$A:$A,MapeoCargos!$B:$B,E2135),E2135)</f>
        <v>ENCARGADO DE PIZZAS</v>
      </c>
      <c r="G2135" s="48">
        <v>45971</v>
      </c>
    </row>
    <row r="2136" spans="1:7" ht="16" x14ac:dyDescent="0.2">
      <c r="A2136" s="32">
        <v>48805927</v>
      </c>
      <c r="B2136" s="34" t="s">
        <v>4714</v>
      </c>
      <c r="C2136" s="40" t="s">
        <v>4201</v>
      </c>
      <c r="D2136" s="41" t="s">
        <v>3817</v>
      </c>
      <c r="E2136" s="42" t="s">
        <v>3816</v>
      </c>
      <c r="F2136" t="str" cm="1">
        <f t="array" ref="F2136">IFERROR(_xlfn.XLOOKUP(E2136,MapeoCargos!$A:$A,MapeoCargos!$B:$B,E2136),E2136)</f>
        <v>ENCARGADO DE PIZZAS</v>
      </c>
      <c r="G2136" s="48">
        <v>45971</v>
      </c>
    </row>
    <row r="2137" spans="1:7" ht="32" x14ac:dyDescent="0.2">
      <c r="A2137" s="33">
        <v>73209791</v>
      </c>
      <c r="B2137" s="34" t="s">
        <v>4714</v>
      </c>
      <c r="C2137" s="40" t="s">
        <v>4201</v>
      </c>
      <c r="D2137" s="41" t="s">
        <v>3818</v>
      </c>
      <c r="E2137" s="44" t="s">
        <v>3819</v>
      </c>
      <c r="F2137" t="str" cm="1">
        <f t="array" ref="F2137">IFERROR(_xlfn.XLOOKUP(E2137,MapeoCargos!$A:$A,MapeoCargos!$B:$B,E2137),E2137)</f>
        <v>AYUDANTE DE PIZZERIA</v>
      </c>
      <c r="G2137" s="48">
        <v>45971</v>
      </c>
    </row>
    <row r="2138" spans="1:7" ht="32" x14ac:dyDescent="0.2">
      <c r="A2138" s="33">
        <v>45777549</v>
      </c>
      <c r="B2138" s="34" t="s">
        <v>4714</v>
      </c>
      <c r="C2138" s="40" t="s">
        <v>4201</v>
      </c>
      <c r="D2138" s="41" t="s">
        <v>3820</v>
      </c>
      <c r="E2138" s="44" t="s">
        <v>3821</v>
      </c>
      <c r="F2138" t="str" cm="1">
        <f t="array" ref="F2138">IFERROR(_xlfn.XLOOKUP(E2138,MapeoCargos!$A:$A,MapeoCargos!$B:$B,E2138),E2138)</f>
        <v>ENCARGADO DE PIZZERIA</v>
      </c>
      <c r="G2138" s="48">
        <v>45971</v>
      </c>
    </row>
    <row r="2139" spans="1:7" ht="32" x14ac:dyDescent="0.2">
      <c r="A2139" s="32">
        <v>75441166</v>
      </c>
      <c r="B2139" s="34" t="s">
        <v>4714</v>
      </c>
      <c r="C2139" s="40" t="s">
        <v>4201</v>
      </c>
      <c r="D2139" s="41" t="s">
        <v>3822</v>
      </c>
      <c r="E2139" s="42" t="s">
        <v>1207</v>
      </c>
      <c r="F2139" t="str" cm="1">
        <f t="array" ref="F2139">IFERROR(_xlfn.XLOOKUP(E2139,MapeoCargos!$A:$A,MapeoCargos!$B:$B,E2139),E2139)</f>
        <v xml:space="preserve">CAJA </v>
      </c>
      <c r="G2139" s="48">
        <v>45971</v>
      </c>
    </row>
    <row r="2140" spans="1:7" ht="32" x14ac:dyDescent="0.2">
      <c r="A2140" s="32">
        <v>75186009</v>
      </c>
      <c r="B2140" s="34" t="s">
        <v>4714</v>
      </c>
      <c r="C2140" s="40" t="s">
        <v>4201</v>
      </c>
      <c r="D2140" s="41" t="s">
        <v>3823</v>
      </c>
      <c r="E2140" s="42" t="s">
        <v>3824</v>
      </c>
      <c r="F2140" t="str" cm="1">
        <f t="array" ref="F2140">IFERROR(_xlfn.XLOOKUP(E2140,MapeoCargos!$A:$A,MapeoCargos!$B:$B,E2140),E2140)</f>
        <v>AYUDANTE DE PANADERIA</v>
      </c>
      <c r="G2140" s="48">
        <v>45971</v>
      </c>
    </row>
    <row r="2141" spans="1:7" ht="16" x14ac:dyDescent="0.2">
      <c r="A2141" s="32">
        <v>72743843</v>
      </c>
      <c r="B2141" s="34" t="s">
        <v>4714</v>
      </c>
      <c r="C2141" s="40" t="s">
        <v>4201</v>
      </c>
      <c r="D2141" s="43" t="s">
        <v>4199</v>
      </c>
      <c r="E2141" s="42" t="s">
        <v>888</v>
      </c>
      <c r="F2141" t="str" cm="1">
        <f t="array" ref="F2141">IFERROR(_xlfn.XLOOKUP(E2141,MapeoCargos!$A:$A,MapeoCargos!$B:$B,E2141),E2141)</f>
        <v>AYUDANTE DE PASTELERIA</v>
      </c>
      <c r="G2141" s="48">
        <v>45971</v>
      </c>
    </row>
    <row r="2142" spans="1:7" ht="32" x14ac:dyDescent="0.2">
      <c r="A2142" s="32">
        <v>60009927</v>
      </c>
      <c r="B2142" s="34" t="s">
        <v>4714</v>
      </c>
      <c r="C2142" s="40" t="s">
        <v>4201</v>
      </c>
      <c r="D2142" s="43" t="s">
        <v>4200</v>
      </c>
      <c r="E2142" s="42" t="s">
        <v>3825</v>
      </c>
      <c r="F2142" t="str" cm="1">
        <f t="array" ref="F2142">IFERROR(_xlfn.XLOOKUP(E2142,MapeoCargos!$A:$A,MapeoCargos!$B:$B,E2142),E2142)</f>
        <v>AYUDANTE DE PANADERIA Y PASTELERIA</v>
      </c>
      <c r="G2142" s="48">
        <v>45971</v>
      </c>
    </row>
    <row r="2143" spans="1:7" ht="32" x14ac:dyDescent="0.2">
      <c r="A2143" s="32">
        <v>41874779</v>
      </c>
      <c r="B2143" s="34" t="s">
        <v>4714</v>
      </c>
      <c r="C2143" s="40" t="s">
        <v>4201</v>
      </c>
      <c r="D2143" s="41" t="s">
        <v>4488</v>
      </c>
      <c r="E2143" s="42" t="s">
        <v>4489</v>
      </c>
      <c r="F2143" t="str" cm="1">
        <f t="array" ref="F2143">IFERROR(_xlfn.XLOOKUP(E2143,MapeoCargos!$A:$A,MapeoCargos!$B:$B,E2143),E2143)</f>
        <v>PASTELERO</v>
      </c>
      <c r="G2143" s="48">
        <v>45971</v>
      </c>
    </row>
    <row r="2144" spans="1:7" ht="16" x14ac:dyDescent="0.2">
      <c r="A2144" s="32">
        <v>74610591</v>
      </c>
      <c r="B2144" s="34" t="s">
        <v>4714</v>
      </c>
      <c r="C2144" s="40" t="s">
        <v>4201</v>
      </c>
      <c r="D2144" s="41" t="s">
        <v>3826</v>
      </c>
      <c r="E2144" s="42" t="s">
        <v>1015</v>
      </c>
      <c r="F2144" t="str" cm="1">
        <f t="array" ref="F2144">IFERROR(_xlfn.XLOOKUP(E2144,MapeoCargos!$A:$A,MapeoCargos!$B:$B,E2144),E2144)</f>
        <v>PRODUCCIÓN / COCINA</v>
      </c>
      <c r="G2144" s="48">
        <v>45971</v>
      </c>
    </row>
    <row r="2145" spans="1:7" ht="32" x14ac:dyDescent="0.2">
      <c r="A2145" s="32">
        <v>71714373</v>
      </c>
      <c r="B2145" s="34" t="s">
        <v>4714</v>
      </c>
      <c r="C2145" s="40" t="s">
        <v>4201</v>
      </c>
      <c r="D2145" s="43" t="s">
        <v>3827</v>
      </c>
      <c r="E2145" s="42" t="s">
        <v>83</v>
      </c>
      <c r="F2145" t="str" cm="1">
        <f t="array" ref="F2145">IFERROR(_xlfn.XLOOKUP(E2145,MapeoCargos!$A:$A,MapeoCargos!$B:$B,E2145),E2145)</f>
        <v>PRODUCCIÓN / COCINA</v>
      </c>
      <c r="G2145" s="48">
        <v>45971</v>
      </c>
    </row>
    <row r="2146" spans="1:7" ht="16" x14ac:dyDescent="0.2">
      <c r="A2146" s="32">
        <v>74874146</v>
      </c>
      <c r="B2146" s="34" t="s">
        <v>4714</v>
      </c>
      <c r="C2146" s="40" t="s">
        <v>4201</v>
      </c>
      <c r="D2146" s="41" t="s">
        <v>3828</v>
      </c>
      <c r="E2146" s="42" t="s">
        <v>83</v>
      </c>
      <c r="F2146" t="str" cm="1">
        <f t="array" ref="F2146">IFERROR(_xlfn.XLOOKUP(E2146,MapeoCargos!$A:$A,MapeoCargos!$B:$B,E2146),E2146)</f>
        <v>PRODUCCIÓN / COCINA</v>
      </c>
      <c r="G2146" s="48">
        <v>45971</v>
      </c>
    </row>
    <row r="2147" spans="1:7" ht="16" x14ac:dyDescent="0.2">
      <c r="A2147" s="32">
        <v>70344206</v>
      </c>
      <c r="B2147" s="34" t="s">
        <v>4714</v>
      </c>
      <c r="C2147" s="40" t="s">
        <v>4201</v>
      </c>
      <c r="D2147" s="41" t="s">
        <v>3829</v>
      </c>
      <c r="E2147" s="42" t="s">
        <v>3607</v>
      </c>
      <c r="F2147" t="str" cm="1">
        <f t="array" ref="F2147">IFERROR(_xlfn.XLOOKUP(E2147,MapeoCargos!$A:$A,MapeoCargos!$B:$B,E2147),E2147)</f>
        <v>PRODUCCIÓN / COCINA</v>
      </c>
      <c r="G2147" s="48">
        <v>45971</v>
      </c>
    </row>
    <row r="2148" spans="1:7" ht="16" x14ac:dyDescent="0.2">
      <c r="A2148" s="32">
        <v>72677597</v>
      </c>
      <c r="B2148" s="34" t="s">
        <v>4714</v>
      </c>
      <c r="C2148" s="40" t="s">
        <v>4201</v>
      </c>
      <c r="D2148" s="41" t="s">
        <v>3831</v>
      </c>
      <c r="E2148" s="42" t="s">
        <v>83</v>
      </c>
      <c r="F2148" t="str" cm="1">
        <f t="array" ref="F2148">IFERROR(_xlfn.XLOOKUP(E2148,MapeoCargos!$A:$A,MapeoCargos!$B:$B,E2148),E2148)</f>
        <v>PRODUCCIÓN / COCINA</v>
      </c>
      <c r="G2148" s="48">
        <v>45971</v>
      </c>
    </row>
    <row r="2149" spans="1:7" ht="32" x14ac:dyDescent="0.2">
      <c r="A2149" s="32">
        <v>76188888</v>
      </c>
      <c r="B2149" s="34" t="s">
        <v>4714</v>
      </c>
      <c r="C2149" s="40" t="s">
        <v>4201</v>
      </c>
      <c r="D2149" s="43" t="s">
        <v>3832</v>
      </c>
      <c r="E2149" s="42" t="s">
        <v>83</v>
      </c>
      <c r="F2149" t="str" cm="1">
        <f t="array" ref="F2149">IFERROR(_xlfn.XLOOKUP(E2149,MapeoCargos!$A:$A,MapeoCargos!$B:$B,E2149),E2149)</f>
        <v>PRODUCCIÓN / COCINA</v>
      </c>
      <c r="G2149" s="48">
        <v>45971</v>
      </c>
    </row>
    <row r="2150" spans="1:7" ht="16" x14ac:dyDescent="0.2">
      <c r="A2150" s="32">
        <v>40428674</v>
      </c>
      <c r="B2150" s="34" t="s">
        <v>4714</v>
      </c>
      <c r="C2150" s="40" t="s">
        <v>4201</v>
      </c>
      <c r="D2150" s="41" t="s">
        <v>3833</v>
      </c>
      <c r="E2150" s="42" t="s">
        <v>83</v>
      </c>
      <c r="F2150" t="str" cm="1">
        <f t="array" ref="F2150">IFERROR(_xlfn.XLOOKUP(E2150,MapeoCargos!$A:$A,MapeoCargos!$B:$B,E2150),E2150)</f>
        <v>PRODUCCIÓN / COCINA</v>
      </c>
      <c r="G2150" s="48">
        <v>45971</v>
      </c>
    </row>
    <row r="2151" spans="1:7" ht="32" x14ac:dyDescent="0.2">
      <c r="A2151" s="32">
        <v>75964121</v>
      </c>
      <c r="B2151" s="34" t="s">
        <v>4714</v>
      </c>
      <c r="C2151" s="40" t="s">
        <v>4201</v>
      </c>
      <c r="D2151" s="41" t="s">
        <v>3835</v>
      </c>
      <c r="E2151" s="42" t="s">
        <v>3834</v>
      </c>
      <c r="F2151" t="str" cm="1">
        <f t="array" ref="F2151">IFERROR(_xlfn.XLOOKUP(E2151,MapeoCargos!$A:$A,MapeoCargos!$B:$B,E2151),E2151)</f>
        <v>ENCARGADA DE COUNTER</v>
      </c>
      <c r="G2151" s="48">
        <v>45971</v>
      </c>
    </row>
    <row r="2152" spans="1:7" ht="16" x14ac:dyDescent="0.2">
      <c r="A2152" s="32">
        <v>72761317</v>
      </c>
      <c r="B2152" s="34" t="s">
        <v>4714</v>
      </c>
      <c r="C2152" s="40" t="s">
        <v>4201</v>
      </c>
      <c r="D2152" s="41" t="s">
        <v>3836</v>
      </c>
      <c r="E2152" s="42" t="s">
        <v>110</v>
      </c>
      <c r="F2152" t="str" cm="1">
        <f t="array" ref="F2152">IFERROR(_xlfn.XLOOKUP(E2152,MapeoCargos!$A:$A,MapeoCargos!$B:$B,E2152),E2152)</f>
        <v>COUNTER</v>
      </c>
      <c r="G2152" s="48">
        <v>45971</v>
      </c>
    </row>
    <row r="2153" spans="1:7" ht="16" x14ac:dyDescent="0.2">
      <c r="A2153" s="32">
        <v>74585590</v>
      </c>
      <c r="B2153" s="34" t="s">
        <v>4714</v>
      </c>
      <c r="C2153" s="40" t="s">
        <v>4201</v>
      </c>
      <c r="D2153" s="41" t="s">
        <v>3837</v>
      </c>
      <c r="E2153" s="42" t="s">
        <v>606</v>
      </c>
      <c r="F2153" t="str" cm="1">
        <f t="array" ref="F2153">IFERROR(_xlfn.XLOOKUP(E2153,MapeoCargos!$A:$A,MapeoCargos!$B:$B,E2153),E2153)</f>
        <v>BAR</v>
      </c>
      <c r="G2153" s="48">
        <v>45971</v>
      </c>
    </row>
    <row r="2154" spans="1:7" ht="32" x14ac:dyDescent="0.2">
      <c r="A2154" s="32">
        <v>76316035</v>
      </c>
      <c r="B2154" s="34" t="s">
        <v>4714</v>
      </c>
      <c r="C2154" s="40" t="s">
        <v>4201</v>
      </c>
      <c r="D2154" s="41" t="s">
        <v>3838</v>
      </c>
      <c r="E2154" s="42" t="s">
        <v>110</v>
      </c>
      <c r="F2154" t="str" cm="1">
        <f t="array" ref="F2154">IFERROR(_xlfn.XLOOKUP(E2154,MapeoCargos!$A:$A,MapeoCargos!$B:$B,E2154),E2154)</f>
        <v>COUNTER</v>
      </c>
      <c r="G2154" s="48">
        <v>45971</v>
      </c>
    </row>
    <row r="2155" spans="1:7" ht="16" x14ac:dyDescent="0.2">
      <c r="A2155" s="32">
        <v>71220825</v>
      </c>
      <c r="B2155" s="34" t="s">
        <v>4714</v>
      </c>
      <c r="C2155" s="40" t="s">
        <v>4201</v>
      </c>
      <c r="D2155" s="41" t="s">
        <v>3839</v>
      </c>
      <c r="E2155" s="42" t="s">
        <v>110</v>
      </c>
      <c r="F2155" t="str" cm="1">
        <f t="array" ref="F2155">IFERROR(_xlfn.XLOOKUP(E2155,MapeoCargos!$A:$A,MapeoCargos!$B:$B,E2155),E2155)</f>
        <v>COUNTER</v>
      </c>
      <c r="G2155" s="48">
        <v>45971</v>
      </c>
    </row>
    <row r="2156" spans="1:7" ht="32" x14ac:dyDescent="0.2">
      <c r="A2156" s="32">
        <v>73580488</v>
      </c>
      <c r="B2156" s="34" t="s">
        <v>4714</v>
      </c>
      <c r="C2156" s="40" t="s">
        <v>4201</v>
      </c>
      <c r="D2156" s="43" t="s">
        <v>3840</v>
      </c>
      <c r="E2156" s="42" t="s">
        <v>110</v>
      </c>
      <c r="F2156" t="str" cm="1">
        <f t="array" ref="F2156">IFERROR(_xlfn.XLOOKUP(E2156,MapeoCargos!$A:$A,MapeoCargos!$B:$B,E2156),E2156)</f>
        <v>COUNTER</v>
      </c>
      <c r="G2156" s="48">
        <v>45971</v>
      </c>
    </row>
    <row r="2157" spans="1:7" ht="16" x14ac:dyDescent="0.2">
      <c r="A2157" s="32">
        <v>72302590</v>
      </c>
      <c r="B2157" s="34" t="s">
        <v>4714</v>
      </c>
      <c r="C2157" s="40" t="s">
        <v>4201</v>
      </c>
      <c r="D2157" s="43" t="s">
        <v>3841</v>
      </c>
      <c r="E2157" s="42" t="s">
        <v>110</v>
      </c>
      <c r="F2157" t="str" cm="1">
        <f t="array" ref="F2157">IFERROR(_xlfn.XLOOKUP(E2157,MapeoCargos!$A:$A,MapeoCargos!$B:$B,E2157),E2157)</f>
        <v>COUNTER</v>
      </c>
      <c r="G2157" s="48">
        <v>45971</v>
      </c>
    </row>
    <row r="2158" spans="1:7" ht="32" x14ac:dyDescent="0.2">
      <c r="A2158" s="32">
        <v>76410980</v>
      </c>
      <c r="B2158" s="34" t="s">
        <v>4714</v>
      </c>
      <c r="C2158" s="40" t="s">
        <v>4201</v>
      </c>
      <c r="D2158" s="41" t="s">
        <v>3842</v>
      </c>
      <c r="E2158" s="42" t="s">
        <v>110</v>
      </c>
      <c r="F2158" t="str" cm="1">
        <f t="array" ref="F2158">IFERROR(_xlfn.XLOOKUP(E2158,MapeoCargos!$A:$A,MapeoCargos!$B:$B,E2158),E2158)</f>
        <v>COUNTER</v>
      </c>
      <c r="G2158" s="48">
        <v>45971</v>
      </c>
    </row>
    <row r="2159" spans="1:7" ht="16" x14ac:dyDescent="0.2">
      <c r="A2159" s="32">
        <v>76374384</v>
      </c>
      <c r="B2159" s="34" t="s">
        <v>4714</v>
      </c>
      <c r="C2159" s="40" t="s">
        <v>4201</v>
      </c>
      <c r="D2159" s="41" t="s">
        <v>3843</v>
      </c>
      <c r="E2159" s="42" t="s">
        <v>127</v>
      </c>
      <c r="F2159" t="str" cm="1">
        <f t="array" ref="F2159">IFERROR(_xlfn.XLOOKUP(E2159,MapeoCargos!$A:$A,MapeoCargos!$B:$B,E2159),E2159)</f>
        <v>AZAFATA</v>
      </c>
      <c r="G2159" s="48">
        <v>45971</v>
      </c>
    </row>
    <row r="2160" spans="1:7" ht="32" x14ac:dyDescent="0.2">
      <c r="A2160" s="32">
        <v>60766805</v>
      </c>
      <c r="B2160" s="34" t="s">
        <v>4714</v>
      </c>
      <c r="C2160" s="40" t="s">
        <v>4201</v>
      </c>
      <c r="D2160" s="41" t="s">
        <v>4715</v>
      </c>
      <c r="E2160" s="42" t="s">
        <v>29</v>
      </c>
      <c r="F2160" t="str" cm="1">
        <f t="array" ref="F2160">IFERROR(_xlfn.XLOOKUP(E2160,MapeoCargos!$A:$A,MapeoCargos!$B:$B,E2160),E2160)</f>
        <v>MOZO</v>
      </c>
      <c r="G2160" s="48">
        <v>45971</v>
      </c>
    </row>
    <row r="2161" spans="1:7" ht="16" x14ac:dyDescent="0.2">
      <c r="A2161" s="32">
        <v>76640056</v>
      </c>
      <c r="B2161" s="34" t="s">
        <v>4714</v>
      </c>
      <c r="C2161" s="40" t="s">
        <v>4201</v>
      </c>
      <c r="D2161" s="41" t="s">
        <v>4716</v>
      </c>
      <c r="E2161" s="42" t="s">
        <v>110</v>
      </c>
      <c r="F2161" t="str" cm="1">
        <f t="array" ref="F2161">IFERROR(_xlfn.XLOOKUP(E2161,MapeoCargos!$A:$A,MapeoCargos!$B:$B,E2161),E2161)</f>
        <v>COUNTER</v>
      </c>
      <c r="G2161" s="48">
        <v>45971</v>
      </c>
    </row>
    <row r="2162" spans="1:7" ht="16" x14ac:dyDescent="0.2">
      <c r="A2162" s="32">
        <v>73540886</v>
      </c>
      <c r="B2162" s="34" t="s">
        <v>4714</v>
      </c>
      <c r="C2162" s="40" t="s">
        <v>4201</v>
      </c>
      <c r="D2162" s="41" t="s">
        <v>3845</v>
      </c>
      <c r="E2162" s="42" t="s">
        <v>305</v>
      </c>
      <c r="F2162" t="str" cm="1">
        <f t="array" ref="F2162">IFERROR(_xlfn.XLOOKUP(E2162,MapeoCargos!$A:$A,MapeoCargos!$B:$B,E2162),E2162)</f>
        <v>LIMPIEZA / MANTENIMIENTO</v>
      </c>
      <c r="G2162" s="48">
        <v>45971</v>
      </c>
    </row>
    <row r="2163" spans="1:7" ht="32" x14ac:dyDescent="0.2">
      <c r="A2163" s="20">
        <v>75441166</v>
      </c>
      <c r="B2163" s="21" t="s">
        <v>4201</v>
      </c>
      <c r="C2163" s="21" t="s">
        <v>4201</v>
      </c>
      <c r="D2163" s="22" t="s">
        <v>3822</v>
      </c>
      <c r="E2163" s="23" t="s">
        <v>1207</v>
      </c>
      <c r="F2163" t="str" cm="1">
        <f t="array" ref="F2163">IFERROR(_xlfn.XLOOKUP(E2163,MapeoCargos!$A:$A,MapeoCargos!$B:$B,E2163),E2163)</f>
        <v xml:space="preserve">CAJA </v>
      </c>
      <c r="G2163" s="25">
        <v>45937</v>
      </c>
    </row>
    <row r="2164" spans="1:7" ht="32" x14ac:dyDescent="0.2">
      <c r="A2164" s="20">
        <v>75186009</v>
      </c>
      <c r="B2164" s="21" t="s">
        <v>4201</v>
      </c>
      <c r="C2164" s="21" t="s">
        <v>4201</v>
      </c>
      <c r="D2164" s="22" t="s">
        <v>3823</v>
      </c>
      <c r="E2164" s="23" t="s">
        <v>3824</v>
      </c>
      <c r="F2164" t="str" cm="1">
        <f t="array" ref="F2164">IFERROR(_xlfn.XLOOKUP(E2164,MapeoCargos!$A:$A,MapeoCargos!$B:$B,E2164),E2164)</f>
        <v>AYUDANTE DE PANADERIA</v>
      </c>
      <c r="G2164" s="25">
        <v>45937</v>
      </c>
    </row>
    <row r="2165" spans="1:7" ht="16" x14ac:dyDescent="0.2">
      <c r="A2165" s="20">
        <v>72743843</v>
      </c>
      <c r="B2165" s="21" t="s">
        <v>4201</v>
      </c>
      <c r="C2165" s="21" t="s">
        <v>4201</v>
      </c>
      <c r="D2165" s="24" t="s">
        <v>4199</v>
      </c>
      <c r="E2165" s="23" t="s">
        <v>888</v>
      </c>
      <c r="F2165" t="str" cm="1">
        <f t="array" ref="F2165">IFERROR(_xlfn.XLOOKUP(E2165,MapeoCargos!$A:$A,MapeoCargos!$B:$B,E2165),E2165)</f>
        <v>AYUDANTE DE PASTELERIA</v>
      </c>
      <c r="G2165" s="25">
        <v>45937</v>
      </c>
    </row>
    <row r="2166" spans="1:7" ht="32" x14ac:dyDescent="0.2">
      <c r="A2166" s="20">
        <v>60009927</v>
      </c>
      <c r="B2166" s="21" t="s">
        <v>4201</v>
      </c>
      <c r="C2166" s="21" t="s">
        <v>4201</v>
      </c>
      <c r="D2166" s="24" t="s">
        <v>4200</v>
      </c>
      <c r="E2166" s="23" t="s">
        <v>3825</v>
      </c>
      <c r="F2166" t="str" cm="1">
        <f t="array" ref="F2166">IFERROR(_xlfn.XLOOKUP(E2166,MapeoCargos!$A:$A,MapeoCargos!$B:$B,E2166),E2166)</f>
        <v>AYUDANTE DE PANADERIA Y PASTELERIA</v>
      </c>
      <c r="G2166" s="25">
        <v>45937</v>
      </c>
    </row>
    <row r="2167" spans="1:7" ht="32" x14ac:dyDescent="0.2">
      <c r="A2167" s="20">
        <v>41874779</v>
      </c>
      <c r="B2167" s="21" t="s">
        <v>4201</v>
      </c>
      <c r="C2167" s="21" t="s">
        <v>4201</v>
      </c>
      <c r="D2167" s="22" t="s">
        <v>4488</v>
      </c>
      <c r="E2167" s="23" t="s">
        <v>4489</v>
      </c>
      <c r="F2167" t="str" cm="1">
        <f t="array" ref="F2167">IFERROR(_xlfn.XLOOKUP(E2167,MapeoCargos!$A:$A,MapeoCargos!$B:$B,E2167),E2167)</f>
        <v>PASTELERO</v>
      </c>
      <c r="G2167" s="25">
        <v>45937</v>
      </c>
    </row>
    <row r="2168" spans="1:7" ht="16" x14ac:dyDescent="0.2">
      <c r="A2168" s="20">
        <v>74610591</v>
      </c>
      <c r="B2168" s="21" t="s">
        <v>4201</v>
      </c>
      <c r="C2168" s="21" t="s">
        <v>4201</v>
      </c>
      <c r="D2168" s="22" t="s">
        <v>3826</v>
      </c>
      <c r="E2168" s="23" t="s">
        <v>1015</v>
      </c>
      <c r="F2168" t="str" cm="1">
        <f t="array" ref="F2168">IFERROR(_xlfn.XLOOKUP(E2168,MapeoCargos!$A:$A,MapeoCargos!$B:$B,E2168),E2168)</f>
        <v>PRODUCCIÓN / COCINA</v>
      </c>
      <c r="G2168" s="25">
        <v>45937</v>
      </c>
    </row>
    <row r="2169" spans="1:7" ht="32" x14ac:dyDescent="0.2">
      <c r="A2169" s="20">
        <v>71714373</v>
      </c>
      <c r="B2169" s="21" t="s">
        <v>4201</v>
      </c>
      <c r="C2169" s="21" t="s">
        <v>4201</v>
      </c>
      <c r="D2169" s="24" t="s">
        <v>3827</v>
      </c>
      <c r="E2169" s="23" t="s">
        <v>83</v>
      </c>
      <c r="F2169" t="str" cm="1">
        <f t="array" ref="F2169">IFERROR(_xlfn.XLOOKUP(E2169,MapeoCargos!$A:$A,MapeoCargos!$B:$B,E2169),E2169)</f>
        <v>PRODUCCIÓN / COCINA</v>
      </c>
      <c r="G2169" s="25">
        <v>45937</v>
      </c>
    </row>
    <row r="2170" spans="1:7" ht="16" x14ac:dyDescent="0.2">
      <c r="A2170" s="20">
        <v>74874146</v>
      </c>
      <c r="B2170" s="21" t="s">
        <v>4201</v>
      </c>
      <c r="C2170" s="21" t="s">
        <v>4201</v>
      </c>
      <c r="D2170" s="22" t="s">
        <v>3828</v>
      </c>
      <c r="E2170" s="23" t="s">
        <v>83</v>
      </c>
      <c r="F2170" t="str" cm="1">
        <f t="array" ref="F2170">IFERROR(_xlfn.XLOOKUP(E2170,MapeoCargos!$A:$A,MapeoCargos!$B:$B,E2170),E2170)</f>
        <v>PRODUCCIÓN / COCINA</v>
      </c>
      <c r="G2170" s="25">
        <v>45937</v>
      </c>
    </row>
    <row r="2171" spans="1:7" ht="16" x14ac:dyDescent="0.2">
      <c r="A2171" s="20">
        <v>70344206</v>
      </c>
      <c r="B2171" s="21" t="s">
        <v>4201</v>
      </c>
      <c r="C2171" s="21" t="s">
        <v>4201</v>
      </c>
      <c r="D2171" s="22" t="s">
        <v>3829</v>
      </c>
      <c r="E2171" s="23" t="s">
        <v>3607</v>
      </c>
      <c r="F2171" t="str" cm="1">
        <f t="array" ref="F2171">IFERROR(_xlfn.XLOOKUP(E2171,MapeoCargos!$A:$A,MapeoCargos!$B:$B,E2171),E2171)</f>
        <v>PRODUCCIÓN / COCINA</v>
      </c>
      <c r="G2171" s="25">
        <v>45937</v>
      </c>
    </row>
    <row r="2172" spans="1:7" ht="16" x14ac:dyDescent="0.2">
      <c r="A2172" s="20">
        <v>71511243</v>
      </c>
      <c r="B2172" s="21" t="s">
        <v>4201</v>
      </c>
      <c r="C2172" s="21" t="s">
        <v>4201</v>
      </c>
      <c r="D2172" s="22" t="s">
        <v>3830</v>
      </c>
      <c r="E2172" s="23" t="s">
        <v>83</v>
      </c>
      <c r="F2172" t="str" cm="1">
        <f t="array" ref="F2172">IFERROR(_xlfn.XLOOKUP(E2172,MapeoCargos!$A:$A,MapeoCargos!$B:$B,E2172),E2172)</f>
        <v>PRODUCCIÓN / COCINA</v>
      </c>
      <c r="G2172" s="25">
        <v>45937</v>
      </c>
    </row>
    <row r="2173" spans="1:7" ht="16" x14ac:dyDescent="0.2">
      <c r="A2173" s="20">
        <v>72677597</v>
      </c>
      <c r="B2173" s="21" t="s">
        <v>4201</v>
      </c>
      <c r="C2173" s="21" t="s">
        <v>4201</v>
      </c>
      <c r="D2173" s="24" t="s">
        <v>3831</v>
      </c>
      <c r="E2173" s="23" t="s">
        <v>83</v>
      </c>
      <c r="F2173" t="str" cm="1">
        <f t="array" ref="F2173">IFERROR(_xlfn.XLOOKUP(E2173,MapeoCargos!$A:$A,MapeoCargos!$B:$B,E2173),E2173)</f>
        <v>PRODUCCIÓN / COCINA</v>
      </c>
      <c r="G2173" s="25">
        <v>45937</v>
      </c>
    </row>
    <row r="2174" spans="1:7" ht="32" x14ac:dyDescent="0.2">
      <c r="A2174" s="20">
        <v>76188888</v>
      </c>
      <c r="B2174" s="21" t="s">
        <v>4201</v>
      </c>
      <c r="C2174" s="21" t="s">
        <v>4201</v>
      </c>
      <c r="D2174" s="22" t="s">
        <v>3832</v>
      </c>
      <c r="E2174" s="23" t="s">
        <v>83</v>
      </c>
      <c r="F2174" t="str" cm="1">
        <f t="array" ref="F2174">IFERROR(_xlfn.XLOOKUP(E2174,MapeoCargos!$A:$A,MapeoCargos!$B:$B,E2174),E2174)</f>
        <v>PRODUCCIÓN / COCINA</v>
      </c>
      <c r="G2174" s="25">
        <v>45937</v>
      </c>
    </row>
    <row r="2175" spans="1:7" ht="16" x14ac:dyDescent="0.2">
      <c r="A2175" s="20">
        <v>40428674</v>
      </c>
      <c r="B2175" s="21" t="s">
        <v>4201</v>
      </c>
      <c r="C2175" s="21" t="s">
        <v>4201</v>
      </c>
      <c r="D2175" s="22" t="s">
        <v>3833</v>
      </c>
      <c r="E2175" s="23" t="s">
        <v>83</v>
      </c>
      <c r="F2175" t="str" cm="1">
        <f t="array" ref="F2175">IFERROR(_xlfn.XLOOKUP(E2175,MapeoCargos!$A:$A,MapeoCargos!$B:$B,E2175),E2175)</f>
        <v>PRODUCCIÓN / COCINA</v>
      </c>
      <c r="G2175" s="25">
        <v>45937</v>
      </c>
    </row>
    <row r="2176" spans="1:7" ht="32" x14ac:dyDescent="0.2">
      <c r="A2176" s="20">
        <v>75964121</v>
      </c>
      <c r="B2176" s="21" t="s">
        <v>4201</v>
      </c>
      <c r="C2176" s="21" t="s">
        <v>4201</v>
      </c>
      <c r="D2176" s="22" t="s">
        <v>3835</v>
      </c>
      <c r="E2176" s="23" t="s">
        <v>3834</v>
      </c>
      <c r="F2176" t="str" cm="1">
        <f t="array" ref="F2176">IFERROR(_xlfn.XLOOKUP(E2176,MapeoCargos!$A:$A,MapeoCargos!$B:$B,E2176),E2176)</f>
        <v>ENCARGADA DE COUNTER</v>
      </c>
      <c r="G2176" s="25">
        <v>45937</v>
      </c>
    </row>
    <row r="2177" spans="1:7" ht="16" x14ac:dyDescent="0.2">
      <c r="A2177" s="20">
        <v>72761317</v>
      </c>
      <c r="B2177" s="21" t="s">
        <v>4201</v>
      </c>
      <c r="C2177" s="21" t="s">
        <v>4201</v>
      </c>
      <c r="D2177" s="22" t="s">
        <v>3836</v>
      </c>
      <c r="E2177" s="23" t="s">
        <v>110</v>
      </c>
      <c r="G2177" s="25">
        <v>45937</v>
      </c>
    </row>
    <row r="2178" spans="1:7" ht="16" x14ac:dyDescent="0.2">
      <c r="A2178" s="20">
        <v>74585590</v>
      </c>
      <c r="B2178" s="21" t="s">
        <v>4201</v>
      </c>
      <c r="C2178" s="21" t="s">
        <v>4201</v>
      </c>
      <c r="D2178" s="22" t="s">
        <v>3837</v>
      </c>
      <c r="E2178" s="23" t="s">
        <v>606</v>
      </c>
      <c r="G2178" s="25">
        <v>45937</v>
      </c>
    </row>
    <row r="2179" spans="1:7" ht="32" x14ac:dyDescent="0.2">
      <c r="A2179" s="20">
        <v>76316035</v>
      </c>
      <c r="B2179" s="21" t="s">
        <v>4201</v>
      </c>
      <c r="C2179" s="21" t="s">
        <v>4201</v>
      </c>
      <c r="D2179" s="22" t="s">
        <v>3838</v>
      </c>
      <c r="E2179" s="23" t="s">
        <v>110</v>
      </c>
      <c r="G2179" s="25">
        <v>45937</v>
      </c>
    </row>
    <row r="2180" spans="1:7" ht="16" x14ac:dyDescent="0.2">
      <c r="A2180" s="20">
        <v>71220825</v>
      </c>
      <c r="B2180" s="21" t="s">
        <v>4201</v>
      </c>
      <c r="C2180" s="21" t="s">
        <v>4201</v>
      </c>
      <c r="D2180" s="24" t="s">
        <v>3839</v>
      </c>
      <c r="E2180" s="23" t="s">
        <v>110</v>
      </c>
      <c r="G2180" s="25">
        <v>45937</v>
      </c>
    </row>
    <row r="2181" spans="1:7" ht="32" x14ac:dyDescent="0.2">
      <c r="A2181" s="20">
        <v>73580488</v>
      </c>
      <c r="B2181" s="21" t="s">
        <v>4201</v>
      </c>
      <c r="C2181" s="21" t="s">
        <v>4201</v>
      </c>
      <c r="D2181" s="24" t="s">
        <v>3840</v>
      </c>
      <c r="E2181" s="23" t="s">
        <v>110</v>
      </c>
      <c r="G2181" s="25">
        <v>45937</v>
      </c>
    </row>
    <row r="2182" spans="1:7" ht="16" x14ac:dyDescent="0.2">
      <c r="A2182" s="20">
        <v>72302590</v>
      </c>
      <c r="B2182" s="21" t="s">
        <v>4201</v>
      </c>
      <c r="C2182" s="21" t="s">
        <v>4201</v>
      </c>
      <c r="D2182" s="22" t="s">
        <v>3841</v>
      </c>
      <c r="E2182" s="23" t="s">
        <v>110</v>
      </c>
      <c r="G2182" s="25">
        <v>45937</v>
      </c>
    </row>
    <row r="2183" spans="1:7" ht="32" x14ac:dyDescent="0.2">
      <c r="A2183" s="20">
        <v>76410980</v>
      </c>
      <c r="B2183" s="21" t="s">
        <v>4201</v>
      </c>
      <c r="C2183" s="21" t="s">
        <v>4201</v>
      </c>
      <c r="D2183" s="22" t="s">
        <v>3842</v>
      </c>
      <c r="E2183" s="23" t="s">
        <v>110</v>
      </c>
      <c r="G2183" s="25">
        <v>45937</v>
      </c>
    </row>
    <row r="2184" spans="1:7" ht="16" x14ac:dyDescent="0.2">
      <c r="A2184" s="20">
        <v>76374384</v>
      </c>
      <c r="B2184" s="21" t="s">
        <v>4201</v>
      </c>
      <c r="C2184" s="21" t="s">
        <v>4201</v>
      </c>
      <c r="D2184" s="22" t="s">
        <v>3843</v>
      </c>
      <c r="E2184" s="23" t="s">
        <v>127</v>
      </c>
      <c r="G2184" s="25">
        <v>45937</v>
      </c>
    </row>
    <row r="2185" spans="1:7" ht="16" x14ac:dyDescent="0.2">
      <c r="A2185" s="20">
        <v>73540886</v>
      </c>
      <c r="B2185" s="21" t="s">
        <v>4201</v>
      </c>
      <c r="C2185" s="21" t="s">
        <v>4201</v>
      </c>
      <c r="D2185" s="22" t="s">
        <v>3845</v>
      </c>
      <c r="E2185" s="23" t="s">
        <v>305</v>
      </c>
      <c r="G2185" s="25">
        <v>45937</v>
      </c>
    </row>
  </sheetData>
  <autoFilter ref="A1:G2176" xr:uid="{00000000-0001-0000-0200-000000000000}"/>
  <phoneticPr fontId="9" type="noConversion"/>
  <conditionalFormatting sqref="A969:A1012">
    <cfRule type="duplicateValues" dxfId="25" priority="19"/>
    <cfRule type="duplicateValues" dxfId="24" priority="20"/>
    <cfRule type="duplicateValues" dxfId="23" priority="21"/>
    <cfRule type="duplicateValues" dxfId="22" priority="22"/>
    <cfRule type="duplicateValues" dxfId="21" priority="23"/>
    <cfRule type="duplicateValues" dxfId="20" priority="24"/>
  </conditionalFormatting>
  <conditionalFormatting sqref="A1013:A1049">
    <cfRule type="duplicateValues" dxfId="19" priority="18" stopIfTrue="1"/>
  </conditionalFormatting>
  <conditionalFormatting sqref="A1050:A1060">
    <cfRule type="duplicateValues" dxfId="18" priority="17" stopIfTrue="1"/>
  </conditionalFormatting>
  <conditionalFormatting sqref="A1061:A1229">
    <cfRule type="duplicateValues" dxfId="17" priority="16" stopIfTrue="1"/>
  </conditionalFormatting>
  <conditionalFormatting sqref="A1230:A1334">
    <cfRule type="duplicateValues" dxfId="16" priority="15" stopIfTrue="1"/>
  </conditionalFormatting>
  <conditionalFormatting sqref="A1335:A1599">
    <cfRule type="duplicateValues" dxfId="15" priority="14" stopIfTrue="1"/>
  </conditionalFormatting>
  <conditionalFormatting sqref="A1600:A1765">
    <cfRule type="duplicateValues" dxfId="14" priority="13" stopIfTrue="1"/>
  </conditionalFormatting>
  <conditionalFormatting sqref="A1766:A1811">
    <cfRule type="duplicateValues" dxfId="13" priority="12" stopIfTrue="1"/>
  </conditionalFormatting>
  <conditionalFormatting sqref="A1937:A1938">
    <cfRule type="duplicateValues" dxfId="12" priority="8"/>
    <cfRule type="duplicateValues" dxfId="11" priority="9"/>
  </conditionalFormatting>
  <conditionalFormatting sqref="A1939:A1944">
    <cfRule type="duplicateValues" dxfId="10" priority="10"/>
    <cfRule type="duplicateValues" dxfId="9" priority="11"/>
  </conditionalFormatting>
  <conditionalFormatting sqref="A1945:A1951">
    <cfRule type="duplicateValues" dxfId="8" priority="6"/>
    <cfRule type="duplicateValues" dxfId="7" priority="7"/>
  </conditionalFormatting>
  <conditionalFormatting sqref="D1879:D2129">
    <cfRule type="duplicateValues" dxfId="6" priority="5"/>
  </conditionalFormatting>
  <dataValidations disablePrompts="1" count="1">
    <dataValidation operator="greaterThan" allowBlank="1" showInputMessage="1" showErrorMessage="1" errorTitle="Pacífico Seguros" error="Hay documentos de identidad repetidos en la planilla que está ingresando.  Por favor, revisar." sqref="A1937:A1951" xr:uid="{31BA39CD-9F9A-4AC9-84C9-0349CB3DBBBF}"/>
  </dataValidation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H1023"/>
  <sheetViews>
    <sheetView tabSelected="1" zoomScale="83" zoomScaleNormal="83" workbookViewId="0">
      <selection activeCell="B5" sqref="B5"/>
    </sheetView>
  </sheetViews>
  <sheetFormatPr baseColWidth="10" defaultColWidth="8.6640625" defaultRowHeight="15" x14ac:dyDescent="0.2"/>
  <cols>
    <col min="1" max="1" width="22.6640625" customWidth="1"/>
    <col min="2" max="2" width="30.83203125" customWidth="1"/>
    <col min="3" max="3" width="52.6640625" customWidth="1"/>
    <col min="4" max="6" width="16.6640625" customWidth="1"/>
    <col min="7" max="7" width="88.83203125" customWidth="1"/>
    <col min="8" max="8" width="14.33203125" customWidth="1"/>
  </cols>
  <sheetData>
    <row r="1" spans="1:8" x14ac:dyDescent="0.2">
      <c r="A1" s="1" t="s">
        <v>1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8" x14ac:dyDescent="0.2">
      <c r="A2" s="11" t="s">
        <v>3</v>
      </c>
      <c r="B2" s="11" t="s">
        <v>126</v>
      </c>
      <c r="C2" t="s">
        <v>4217</v>
      </c>
      <c r="D2" s="8">
        <f>34/2</f>
        <v>17</v>
      </c>
      <c r="E2" s="8">
        <f>34/2</f>
        <v>17</v>
      </c>
      <c r="F2" s="8">
        <f>34/2</f>
        <v>17</v>
      </c>
      <c r="G2" t="str">
        <f>IF( OR(A2="",B2="",C2=""), "",
   CLEAN(TRIM(A2)) &amp; "|" &amp;
   CLEAN(TRIM(B2)) &amp; "|" &amp;
   CLEAN(TRIM(C2))
)</f>
        <v>LIMA E ICA PROVINCIA|MOTORIZADO|POLO PIQUÉ PLOMO, MANGA LARGA MOTORIZADO</v>
      </c>
    </row>
    <row r="3" spans="1:8" x14ac:dyDescent="0.2">
      <c r="A3" s="11" t="s">
        <v>3</v>
      </c>
      <c r="B3" s="11" t="s">
        <v>126</v>
      </c>
      <c r="C3" t="s">
        <v>4219</v>
      </c>
      <c r="D3" s="8">
        <f>10/2</f>
        <v>5</v>
      </c>
      <c r="E3" s="8">
        <f t="shared" ref="E3:F3" si="0">10/2</f>
        <v>5</v>
      </c>
      <c r="F3" s="8">
        <f t="shared" si="0"/>
        <v>5</v>
      </c>
      <c r="G3" t="str">
        <f t="shared" ref="G3:G81" si="1">IF( OR(A3="",B3="",C3=""), "",
   CLEAN(TRIM(A3)) &amp; "|" &amp;
   CLEAN(TRIM(B3)) &amp; "|" &amp;
   CLEAN(TRIM(C3))
)</f>
        <v>LIMA E ICA PROVINCIA|MOTORIZADO|GORRO NEGRO MOTORIZADO</v>
      </c>
    </row>
    <row r="4" spans="1:8" x14ac:dyDescent="0.2">
      <c r="A4" s="11" t="s">
        <v>3</v>
      </c>
      <c r="B4" s="11" t="s">
        <v>126</v>
      </c>
      <c r="C4" t="s">
        <v>4229</v>
      </c>
      <c r="D4" s="8">
        <v>39</v>
      </c>
      <c r="E4" s="8">
        <v>39</v>
      </c>
      <c r="F4" s="8">
        <v>41</v>
      </c>
      <c r="G4" t="str">
        <f t="shared" si="1"/>
        <v>LIMA E ICA PROVINCIA|MOTORIZADO|CASACA NEGRA CON REFLECTIVOS MOTORIZADO</v>
      </c>
    </row>
    <row r="5" spans="1:8" x14ac:dyDescent="0.2">
      <c r="A5" s="11" t="s">
        <v>3</v>
      </c>
      <c r="B5" s="11" t="s">
        <v>160</v>
      </c>
      <c r="C5" t="s">
        <v>4216</v>
      </c>
      <c r="D5" s="8">
        <f>34/2</f>
        <v>17</v>
      </c>
      <c r="E5" s="8">
        <f t="shared" ref="E5" si="2">34/2</f>
        <v>17</v>
      </c>
      <c r="F5" s="8">
        <f>36/2</f>
        <v>18</v>
      </c>
      <c r="G5" t="str">
        <f t="shared" si="1"/>
        <v>LIMA E ICA PROVINCIA|PACKER|POLO PIQUÉ PLOMO, MANGA LARGA PACKER</v>
      </c>
    </row>
    <row r="6" spans="1:8" x14ac:dyDescent="0.2">
      <c r="A6" s="11" t="s">
        <v>3</v>
      </c>
      <c r="B6" s="11" t="s">
        <v>160</v>
      </c>
      <c r="C6" t="s">
        <v>4220</v>
      </c>
      <c r="D6" s="8">
        <f>10/2</f>
        <v>5</v>
      </c>
      <c r="E6" s="8">
        <f t="shared" ref="E6:F6" si="3">10/2</f>
        <v>5</v>
      </c>
      <c r="F6" s="8">
        <f t="shared" si="3"/>
        <v>5</v>
      </c>
      <c r="G6" t="str">
        <f t="shared" si="1"/>
        <v>LIMA E ICA PROVINCIA|PACKER|GORRO NEGRO PACKER</v>
      </c>
    </row>
    <row r="7" spans="1:8" x14ac:dyDescent="0.2">
      <c r="A7" s="11" t="s">
        <v>3</v>
      </c>
      <c r="B7" s="11" t="s">
        <v>160</v>
      </c>
      <c r="C7" t="s">
        <v>4492</v>
      </c>
      <c r="D7" s="8">
        <v>39</v>
      </c>
      <c r="E7" s="8">
        <v>39</v>
      </c>
      <c r="F7" s="8">
        <v>41</v>
      </c>
      <c r="G7" t="str">
        <f t="shared" ref="G7" si="4">IF( OR(A7="",B7="",C7=""), "",
   CLEAN(TRIM(A7)) &amp; "|" &amp;
   CLEAN(TRIM(B7)) &amp; "|" &amp;
   CLEAN(TRIM(C7))
)</f>
        <v>LIMA E ICA PROVINCIA|PACKER|CASACA NEGRA CON REFLECTIVOS PACKER</v>
      </c>
    </row>
    <row r="8" spans="1:8" x14ac:dyDescent="0.2">
      <c r="A8" s="11" t="s">
        <v>3</v>
      </c>
      <c r="B8" s="11" t="s">
        <v>3872</v>
      </c>
      <c r="C8" t="s">
        <v>3846</v>
      </c>
      <c r="D8" s="8">
        <f>36/2</f>
        <v>18</v>
      </c>
      <c r="E8" s="8">
        <f>36/2</f>
        <v>18</v>
      </c>
      <c r="F8" s="8">
        <f>38/2</f>
        <v>19</v>
      </c>
      <c r="G8" t="str">
        <f t="shared" si="1"/>
        <v>LIMA E ICA PROVINCIA|STAFF ADMINISTRATIVO|CAMISA OXFORD CELESTE</v>
      </c>
    </row>
    <row r="9" spans="1:8" x14ac:dyDescent="0.2">
      <c r="A9" s="11" t="s">
        <v>3</v>
      </c>
      <c r="B9" s="11" t="s">
        <v>3872</v>
      </c>
      <c r="C9" t="s">
        <v>4212</v>
      </c>
      <c r="D9" s="8">
        <v>60</v>
      </c>
      <c r="E9" s="8">
        <v>60</v>
      </c>
      <c r="F9" s="8">
        <v>62.5</v>
      </c>
      <c r="G9" t="str">
        <f t="shared" si="1"/>
        <v>LIMA E ICA PROVINCIA|STAFF ADMINISTRATIVO|SACO NEGRO ADM HOMBRE</v>
      </c>
    </row>
    <row r="10" spans="1:8" x14ac:dyDescent="0.2">
      <c r="A10" s="11" t="s">
        <v>3</v>
      </c>
      <c r="B10" s="11" t="s">
        <v>3872</v>
      </c>
      <c r="C10" t="s">
        <v>4218</v>
      </c>
      <c r="D10" s="8">
        <f>27/2</f>
        <v>13.5</v>
      </c>
      <c r="E10" s="8">
        <f>27/2</f>
        <v>13.5</v>
      </c>
      <c r="F10" s="8">
        <f>30/2</f>
        <v>15</v>
      </c>
      <c r="G10" t="str">
        <f t="shared" si="1"/>
        <v>LIMA E ICA PROVINCIA|STAFF ADMINISTRATIVO|POLO PIQUÉ PIZARRA RX, MANGA CORTA ADM</v>
      </c>
    </row>
    <row r="11" spans="1:8" x14ac:dyDescent="0.2">
      <c r="A11" s="11" t="s">
        <v>3</v>
      </c>
      <c r="B11" s="11" t="s">
        <v>3872</v>
      </c>
      <c r="C11" t="s">
        <v>3877</v>
      </c>
      <c r="D11" s="8">
        <f>36/2</f>
        <v>18</v>
      </c>
      <c r="E11" s="8">
        <f>36/2</f>
        <v>18</v>
      </c>
      <c r="F11" s="8">
        <f>38/2</f>
        <v>19</v>
      </c>
      <c r="G11" t="str">
        <f t="shared" si="1"/>
        <v>LIMA E ICA PROVINCIA|STAFF ADMINISTRATIVO|BLUSA OXFORD CELESTE</v>
      </c>
    </row>
    <row r="12" spans="1:8" x14ac:dyDescent="0.2">
      <c r="A12" s="11" t="s">
        <v>3</v>
      </c>
      <c r="B12" s="11" t="s">
        <v>3872</v>
      </c>
      <c r="C12" t="s">
        <v>4213</v>
      </c>
      <c r="D12" s="8">
        <v>35</v>
      </c>
      <c r="E12" s="8">
        <v>35</v>
      </c>
      <c r="F12" s="8">
        <v>37.5</v>
      </c>
      <c r="G12" t="str">
        <f t="shared" si="1"/>
        <v>LIMA E ICA PROVINCIA|STAFF ADMINISTRATIVO|SACO NEGRO ADM MUJER</v>
      </c>
    </row>
    <row r="13" spans="1:8" x14ac:dyDescent="0.2">
      <c r="A13" s="11" t="s">
        <v>3</v>
      </c>
      <c r="B13" s="11" t="s">
        <v>3872</v>
      </c>
      <c r="C13" t="s">
        <v>4490</v>
      </c>
      <c r="D13" s="8">
        <v>15</v>
      </c>
      <c r="E13" s="8">
        <v>15</v>
      </c>
      <c r="F13" s="8">
        <v>16</v>
      </c>
      <c r="G13" t="str">
        <f t="shared" si="1"/>
        <v>LIMA E ICA PROVINCIA|STAFF ADMINISTRATIVO|POLO PIQUÉ PIZARRA RX, MANGA CORTA ADMI</v>
      </c>
      <c r="H13" s="26"/>
    </row>
    <row r="14" spans="1:8" x14ac:dyDescent="0.2">
      <c r="A14" s="11" t="s">
        <v>3</v>
      </c>
      <c r="B14" s="11" t="s">
        <v>3872</v>
      </c>
      <c r="C14" t="s">
        <v>4236</v>
      </c>
      <c r="D14" s="8">
        <v>39</v>
      </c>
      <c r="E14" s="8">
        <v>39</v>
      </c>
      <c r="F14" s="8">
        <v>41</v>
      </c>
      <c r="G14" t="str">
        <f t="shared" ref="G14:G20" si="5">IF( OR(A14="",B14="",C14=""), "",
   CLEAN(TRIM(A14)) &amp; "|" &amp;
   CLEAN(TRIM(B14)) &amp; "|" &amp;
   CLEAN(TRIM(C14))
)</f>
        <v>LIMA E ICA PROVINCIA|STAFF ADMINISTRATIVO|CASACA ADM</v>
      </c>
    </row>
    <row r="15" spans="1:8" x14ac:dyDescent="0.2">
      <c r="A15" s="11" t="s">
        <v>3</v>
      </c>
      <c r="B15" s="11" t="s">
        <v>3872</v>
      </c>
      <c r="C15" t="s">
        <v>3867</v>
      </c>
      <c r="D15" s="8">
        <f>22/2</f>
        <v>11</v>
      </c>
      <c r="E15" s="8">
        <f t="shared" ref="E15" si="6">22/2</f>
        <v>11</v>
      </c>
      <c r="F15" s="8">
        <f>23/2</f>
        <v>11.5</v>
      </c>
      <c r="G15" t="str">
        <f t="shared" si="5"/>
        <v>LIMA E ICA PROVINCIA|STAFF ADMINISTRATIVO|PANTALÓN SAL Y PIMIENTA</v>
      </c>
    </row>
    <row r="16" spans="1:8" x14ac:dyDescent="0.2">
      <c r="A16" s="11" t="s">
        <v>3</v>
      </c>
      <c r="B16" s="11" t="s">
        <v>3872</v>
      </c>
      <c r="C16" t="s">
        <v>3868</v>
      </c>
      <c r="D16" s="8">
        <f>13/2</f>
        <v>6.5</v>
      </c>
      <c r="E16" s="8">
        <f t="shared" ref="E16:F16" si="7">13/2</f>
        <v>6.5</v>
      </c>
      <c r="F16" s="8">
        <f t="shared" si="7"/>
        <v>6.5</v>
      </c>
      <c r="G16" t="str">
        <f t="shared" si="5"/>
        <v>LIMA E ICA PROVINCIA|STAFF ADMINISTRATIVO|PECHERA GRIS EN DRILL</v>
      </c>
    </row>
    <row r="17" spans="1:8" x14ac:dyDescent="0.2">
      <c r="A17" s="11" t="s">
        <v>3</v>
      </c>
      <c r="B17" s="11" t="s">
        <v>3872</v>
      </c>
      <c r="C17" t="s">
        <v>3869</v>
      </c>
      <c r="D17" s="8">
        <f>9/2</f>
        <v>4.5</v>
      </c>
      <c r="E17" s="8">
        <f t="shared" ref="E17:F17" si="8">9/2</f>
        <v>4.5</v>
      </c>
      <c r="F17" s="8">
        <f t="shared" si="8"/>
        <v>4.5</v>
      </c>
      <c r="G17" t="str">
        <f t="shared" si="5"/>
        <v>LIMA E ICA PROVINCIA|STAFF ADMINISTRATIVO|GARIBALDI GRIS</v>
      </c>
    </row>
    <row r="18" spans="1:8" x14ac:dyDescent="0.2">
      <c r="A18" s="11" t="s">
        <v>3</v>
      </c>
      <c r="B18" s="11" t="s">
        <v>3872</v>
      </c>
      <c r="C18" t="s">
        <v>47</v>
      </c>
      <c r="D18" s="8">
        <f>32.5/2</f>
        <v>16.25</v>
      </c>
      <c r="E18" s="8">
        <f t="shared" ref="E18" si="9">32.5/2</f>
        <v>16.25</v>
      </c>
      <c r="F18" s="8">
        <f>34.5/2</f>
        <v>17.25</v>
      </c>
      <c r="G18" t="str">
        <f t="shared" si="5"/>
        <v>LIMA E ICA PROVINCIA|STAFF ADMINISTRATIVO|CHAQUETA DRILL BLANCO</v>
      </c>
    </row>
    <row r="19" spans="1:8" x14ac:dyDescent="0.2">
      <c r="A19" s="11" t="s">
        <v>3</v>
      </c>
      <c r="B19" s="11" t="s">
        <v>3872</v>
      </c>
      <c r="C19" t="s">
        <v>3862</v>
      </c>
      <c r="D19" s="8">
        <f>15/2</f>
        <v>7.5</v>
      </c>
      <c r="E19" s="8">
        <f t="shared" ref="E19" si="10">15/2</f>
        <v>7.5</v>
      </c>
      <c r="F19" s="8">
        <f>17/2</f>
        <v>8.5</v>
      </c>
      <c r="G19" t="str">
        <f t="shared" si="5"/>
        <v>LIMA E ICA PROVINCIA|STAFF ADMINISTRATIVO|POLO 30/1 GRIS</v>
      </c>
      <c r="H19" s="26"/>
    </row>
    <row r="20" spans="1:8" x14ac:dyDescent="0.2">
      <c r="A20" s="11" t="s">
        <v>3</v>
      </c>
      <c r="B20" s="11" t="s">
        <v>3872</v>
      </c>
      <c r="C20" t="s">
        <v>4493</v>
      </c>
      <c r="D20" s="8">
        <f>10/2</f>
        <v>5</v>
      </c>
      <c r="E20" s="8">
        <f t="shared" ref="E20:F20" si="11">10/2</f>
        <v>5</v>
      </c>
      <c r="F20" s="8">
        <f t="shared" si="11"/>
        <v>5</v>
      </c>
      <c r="G20" t="str">
        <f t="shared" si="5"/>
        <v>LIMA E ICA PROVINCIA|STAFF ADMINISTRATIVO|GORRO NEGRO ADM</v>
      </c>
      <c r="H20" s="26"/>
    </row>
    <row r="21" spans="1:8" x14ac:dyDescent="0.2">
      <c r="A21" s="11" t="s">
        <v>3</v>
      </c>
      <c r="B21" s="11" t="s">
        <v>4207</v>
      </c>
      <c r="C21" t="s">
        <v>3847</v>
      </c>
      <c r="D21" s="8">
        <f>36/2</f>
        <v>18</v>
      </c>
      <c r="E21" s="8">
        <f>36/2</f>
        <v>18</v>
      </c>
      <c r="F21" s="8">
        <f>38/2</f>
        <v>19</v>
      </c>
      <c r="G21" t="str">
        <f t="shared" si="1"/>
        <v>LIMA E ICA PROVINCIA|CAJA|CAMISA A RALLAS AZUL</v>
      </c>
    </row>
    <row r="22" spans="1:8" x14ac:dyDescent="0.2">
      <c r="A22" s="11" t="s">
        <v>3</v>
      </c>
      <c r="B22" s="11" t="s">
        <v>4207</v>
      </c>
      <c r="C22" t="s">
        <v>3848</v>
      </c>
      <c r="D22" s="8">
        <f>40/2</f>
        <v>20</v>
      </c>
      <c r="E22" s="8">
        <f>40/2</f>
        <v>20</v>
      </c>
      <c r="F22" s="8">
        <f>42/2</f>
        <v>21</v>
      </c>
      <c r="G22" t="str">
        <f t="shared" si="1"/>
        <v>LIMA E ICA PROVINCIA|CAJA|PANTALÓN AZUL NOCHE</v>
      </c>
    </row>
    <row r="23" spans="1:8" x14ac:dyDescent="0.2">
      <c r="A23" s="11" t="s">
        <v>3</v>
      </c>
      <c r="B23" s="11" t="s">
        <v>4207</v>
      </c>
      <c r="C23" t="s">
        <v>3849</v>
      </c>
      <c r="D23" s="8">
        <f>35/2</f>
        <v>17.5</v>
      </c>
      <c r="E23" s="8">
        <f t="shared" ref="E23" si="12">35/2</f>
        <v>17.5</v>
      </c>
      <c r="F23" s="8">
        <f>37/2</f>
        <v>18.5</v>
      </c>
      <c r="G23" t="str">
        <f t="shared" si="1"/>
        <v>LIMA E ICA PROVINCIA|CAJA|CHALECO AZUL NOCHE</v>
      </c>
    </row>
    <row r="24" spans="1:8" x14ac:dyDescent="0.2">
      <c r="A24" s="11" t="s">
        <v>3</v>
      </c>
      <c r="B24" s="11" t="s">
        <v>4207</v>
      </c>
      <c r="C24" t="s">
        <v>4214</v>
      </c>
      <c r="D24" s="8">
        <v>60</v>
      </c>
      <c r="E24" s="8">
        <v>60</v>
      </c>
      <c r="F24" s="8">
        <v>62.5</v>
      </c>
      <c r="G24" t="str">
        <f t="shared" si="1"/>
        <v>LIMA E ICA PROVINCIA|CAJA|SACO NEGRO CAJA HOMBRE</v>
      </c>
    </row>
    <row r="25" spans="1:8" x14ac:dyDescent="0.2">
      <c r="A25" s="11" t="s">
        <v>3</v>
      </c>
      <c r="B25" s="11" t="s">
        <v>4207</v>
      </c>
      <c r="C25" t="s">
        <v>3851</v>
      </c>
      <c r="D25" s="8">
        <f>36/2</f>
        <v>18</v>
      </c>
      <c r="E25" s="8">
        <f>36/2</f>
        <v>18</v>
      </c>
      <c r="F25" s="8">
        <f>38/2</f>
        <v>19</v>
      </c>
      <c r="G25" t="str">
        <f t="shared" si="1"/>
        <v>LIMA E ICA PROVINCIA|CAJA|BLUSA A RALLAS AZUL</v>
      </c>
    </row>
    <row r="26" spans="1:8" x14ac:dyDescent="0.2">
      <c r="A26" s="11" t="s">
        <v>3</v>
      </c>
      <c r="B26" s="11" t="s">
        <v>4207</v>
      </c>
      <c r="C26" t="s">
        <v>3848</v>
      </c>
      <c r="D26" s="8">
        <f>40/2</f>
        <v>20</v>
      </c>
      <c r="E26" s="8">
        <f>40/2</f>
        <v>20</v>
      </c>
      <c r="F26" s="8">
        <f>42/2</f>
        <v>21</v>
      </c>
      <c r="G26" t="str">
        <f t="shared" si="1"/>
        <v>LIMA E ICA PROVINCIA|CAJA|PANTALÓN AZUL NOCHE</v>
      </c>
    </row>
    <row r="27" spans="1:8" x14ac:dyDescent="0.2">
      <c r="A27" s="11" t="s">
        <v>3</v>
      </c>
      <c r="B27" s="11" t="s">
        <v>4207</v>
      </c>
      <c r="C27" t="s">
        <v>3849</v>
      </c>
      <c r="D27" s="8">
        <f>35/2</f>
        <v>17.5</v>
      </c>
      <c r="E27" s="8">
        <f t="shared" ref="E27" si="13">35/2</f>
        <v>17.5</v>
      </c>
      <c r="F27" s="8">
        <f>37/2</f>
        <v>18.5</v>
      </c>
      <c r="G27" t="str">
        <f t="shared" si="1"/>
        <v>LIMA E ICA PROVINCIA|CAJA|CHALECO AZUL NOCHE</v>
      </c>
    </row>
    <row r="28" spans="1:8" x14ac:dyDescent="0.2">
      <c r="A28" s="11" t="s">
        <v>3</v>
      </c>
      <c r="B28" s="11" t="s">
        <v>4207</v>
      </c>
      <c r="C28" t="s">
        <v>4215</v>
      </c>
      <c r="D28" s="8">
        <v>35</v>
      </c>
      <c r="E28" s="8">
        <v>35</v>
      </c>
      <c r="F28" s="8">
        <v>37.5</v>
      </c>
      <c r="G28" t="str">
        <f t="shared" si="1"/>
        <v>LIMA E ICA PROVINCIA|CAJA|SACO NEGRO CAJA MUJER</v>
      </c>
    </row>
    <row r="29" spans="1:8" x14ac:dyDescent="0.2">
      <c r="A29" s="11" t="s">
        <v>3</v>
      </c>
      <c r="B29" s="11" t="s">
        <v>4207</v>
      </c>
      <c r="C29" t="s">
        <v>4237</v>
      </c>
      <c r="D29" s="8">
        <v>39</v>
      </c>
      <c r="E29" s="8">
        <v>39</v>
      </c>
      <c r="F29" s="8">
        <v>41</v>
      </c>
      <c r="G29" t="str">
        <f t="shared" si="1"/>
        <v>LIMA E ICA PROVINCIA|CAJA|CASACA CAJA</v>
      </c>
    </row>
    <row r="30" spans="1:8" x14ac:dyDescent="0.2">
      <c r="A30" s="11" t="s">
        <v>3</v>
      </c>
      <c r="B30" s="11" t="s">
        <v>29</v>
      </c>
      <c r="C30" t="s">
        <v>3852</v>
      </c>
      <c r="D30" s="8">
        <f>37/2</f>
        <v>18.5</v>
      </c>
      <c r="E30" s="8">
        <f t="shared" ref="E30" si="14">37/2</f>
        <v>18.5</v>
      </c>
      <c r="F30" s="8">
        <f>39/2</f>
        <v>19.5</v>
      </c>
      <c r="G30" t="str">
        <f t="shared" si="1"/>
        <v>LIMA E ICA PROVINCIA|MOZO|CAMISA BLANCA (MANGA LARGA)</v>
      </c>
    </row>
    <row r="31" spans="1:8" x14ac:dyDescent="0.2">
      <c r="A31" s="11" t="s">
        <v>3</v>
      </c>
      <c r="B31" s="11" t="s">
        <v>29</v>
      </c>
      <c r="C31" t="s">
        <v>3853</v>
      </c>
      <c r="D31" s="8">
        <f>14/2</f>
        <v>7</v>
      </c>
      <c r="E31" s="8">
        <f t="shared" ref="E31:F31" si="15">14/2</f>
        <v>7</v>
      </c>
      <c r="F31" s="8">
        <f t="shared" si="15"/>
        <v>7</v>
      </c>
      <c r="G31" t="str">
        <f t="shared" si="1"/>
        <v>LIMA E ICA PROVINCIA|MOZO|MANDILON DRILL NEGRO</v>
      </c>
    </row>
    <row r="32" spans="1:8" x14ac:dyDescent="0.2">
      <c r="A32" s="11" t="s">
        <v>3</v>
      </c>
      <c r="B32" s="11" t="s">
        <v>29</v>
      </c>
      <c r="C32" t="s">
        <v>3854</v>
      </c>
      <c r="D32" s="8">
        <f>3.5/2</f>
        <v>1.75</v>
      </c>
      <c r="E32" s="8">
        <f t="shared" ref="E32:F32" si="16">3.5/2</f>
        <v>1.75</v>
      </c>
      <c r="F32" s="8">
        <f t="shared" si="16"/>
        <v>1.75</v>
      </c>
      <c r="G32" t="str">
        <f t="shared" si="1"/>
        <v>LIMA E ICA PROVINCIA|MOZO|ANDARIN GRANATE</v>
      </c>
    </row>
    <row r="33" spans="1:7" x14ac:dyDescent="0.2">
      <c r="A33" s="11" t="s">
        <v>3</v>
      </c>
      <c r="B33" s="11" t="s">
        <v>29</v>
      </c>
      <c r="C33" t="s">
        <v>4239</v>
      </c>
      <c r="D33" s="8">
        <v>7.5</v>
      </c>
      <c r="E33" s="8">
        <v>7.5</v>
      </c>
      <c r="F33" s="8">
        <v>8.5</v>
      </c>
      <c r="G33" t="str">
        <f t="shared" si="1"/>
        <v>LIMA E ICA PROVINCIA|MOZO|POLO 31/1 GRIS</v>
      </c>
    </row>
    <row r="34" spans="1:7" x14ac:dyDescent="0.2">
      <c r="A34" s="11" t="s">
        <v>3</v>
      </c>
      <c r="B34" s="11" t="s">
        <v>29</v>
      </c>
      <c r="C34" t="s">
        <v>4495</v>
      </c>
      <c r="D34" s="8">
        <f>43/2</f>
        <v>21.5</v>
      </c>
      <c r="E34" s="8">
        <f>43/2</f>
        <v>21.5</v>
      </c>
      <c r="F34" s="8">
        <f>46/2</f>
        <v>23</v>
      </c>
      <c r="G34" t="str">
        <f t="shared" ref="G34" si="17">IF( OR(A34="",B34="",C34=""), "",
   CLEAN(TRIM(A34)) &amp; "|" &amp;
   CLEAN(TRIM(B34)) &amp; "|" &amp;
   CLEAN(TRIM(C34))
)</f>
        <v>LIMA E ICA PROVINCIA|MOZO|CAMISA OXFORD CONCHE VINO</v>
      </c>
    </row>
    <row r="35" spans="1:7" x14ac:dyDescent="0.2">
      <c r="A35" s="11" t="s">
        <v>3</v>
      </c>
      <c r="B35" s="11" t="s">
        <v>29</v>
      </c>
      <c r="C35" t="s">
        <v>4496</v>
      </c>
      <c r="D35" s="8">
        <v>12</v>
      </c>
      <c r="E35" s="8">
        <v>12</v>
      </c>
      <c r="F35" s="8">
        <v>12</v>
      </c>
      <c r="G35" t="str">
        <f t="shared" ref="G35" si="18">IF( OR(A35="",B35="",C35=""), "",
   CLEAN(TRIM(A35)) &amp; "|" &amp;
   CLEAN(TRIM(B35)) &amp; "|" &amp;
   CLEAN(TRIM(C35))
)</f>
        <v>LIMA E ICA PROVINCIA|MOZO|PECHERA NEGRA ENTRENADOR DE SERVICIO</v>
      </c>
    </row>
    <row r="36" spans="1:7" x14ac:dyDescent="0.2">
      <c r="A36" s="11" t="s">
        <v>3</v>
      </c>
      <c r="B36" s="11" t="s">
        <v>127</v>
      </c>
      <c r="C36" t="s">
        <v>3855</v>
      </c>
      <c r="D36" s="8">
        <f>37/2</f>
        <v>18.5</v>
      </c>
      <c r="E36" s="8">
        <f t="shared" ref="E36" si="19">37/2</f>
        <v>18.5</v>
      </c>
      <c r="F36" s="8">
        <f>39/2</f>
        <v>19.5</v>
      </c>
      <c r="G36" t="str">
        <f t="shared" si="1"/>
        <v>LIMA E ICA PROVINCIA|AZAFATA|BLUSA BLANCA (MANGA LARGA)</v>
      </c>
    </row>
    <row r="37" spans="1:7" x14ac:dyDescent="0.2">
      <c r="A37" s="11" t="s">
        <v>3</v>
      </c>
      <c r="B37" s="11" t="s">
        <v>127</v>
      </c>
      <c r="C37" t="s">
        <v>3853</v>
      </c>
      <c r="D37" s="8">
        <f>14/2</f>
        <v>7</v>
      </c>
      <c r="E37" s="8">
        <f t="shared" ref="E37:F37" si="20">14/2</f>
        <v>7</v>
      </c>
      <c r="F37" s="8">
        <f t="shared" si="20"/>
        <v>7</v>
      </c>
      <c r="G37" t="str">
        <f t="shared" si="1"/>
        <v>LIMA E ICA PROVINCIA|AZAFATA|MANDILON DRILL NEGRO</v>
      </c>
    </row>
    <row r="38" spans="1:7" x14ac:dyDescent="0.2">
      <c r="A38" s="11" t="s">
        <v>3</v>
      </c>
      <c r="B38" s="11" t="s">
        <v>127</v>
      </c>
      <c r="C38" t="s">
        <v>3854</v>
      </c>
      <c r="D38" s="8">
        <f>3.5/2</f>
        <v>1.75</v>
      </c>
      <c r="E38" s="8">
        <f t="shared" ref="E38:F38" si="21">3.5/2</f>
        <v>1.75</v>
      </c>
      <c r="F38" s="8">
        <f t="shared" si="21"/>
        <v>1.75</v>
      </c>
      <c r="G38" t="str">
        <f t="shared" si="1"/>
        <v>LIMA E ICA PROVINCIA|AZAFATA|ANDARIN GRANATE</v>
      </c>
    </row>
    <row r="39" spans="1:7" x14ac:dyDescent="0.2">
      <c r="A39" s="11" t="s">
        <v>3</v>
      </c>
      <c r="B39" s="11" t="s">
        <v>200</v>
      </c>
      <c r="C39" t="s">
        <v>3856</v>
      </c>
      <c r="D39" s="8">
        <f>36/2</f>
        <v>18</v>
      </c>
      <c r="E39" s="8">
        <f t="shared" ref="E39" si="22">36/2</f>
        <v>18</v>
      </c>
      <c r="F39" s="8">
        <f>38/2</f>
        <v>19</v>
      </c>
      <c r="G39" t="str">
        <f t="shared" si="1"/>
        <v>LIMA E ICA PROVINCIA|SEGURIDAD|CAMISA CHARCOL MANGA LARGA</v>
      </c>
    </row>
    <row r="40" spans="1:7" x14ac:dyDescent="0.2">
      <c r="A40" s="11" t="s">
        <v>3</v>
      </c>
      <c r="B40" s="11" t="s">
        <v>200</v>
      </c>
      <c r="C40" t="s">
        <v>4221</v>
      </c>
      <c r="D40" s="8">
        <f>10/2</f>
        <v>5</v>
      </c>
      <c r="E40" s="8">
        <f t="shared" ref="E40:F40" si="23">10/2</f>
        <v>5</v>
      </c>
      <c r="F40" s="8">
        <f t="shared" si="23"/>
        <v>5</v>
      </c>
      <c r="G40" t="str">
        <f t="shared" si="1"/>
        <v>LIMA E ICA PROVINCIA|SEGURIDAD|GORRA NEGRA SEGURIDAD</v>
      </c>
    </row>
    <row r="41" spans="1:7" x14ac:dyDescent="0.2">
      <c r="A41" s="11" t="s">
        <v>3</v>
      </c>
      <c r="B41" s="11" t="s">
        <v>200</v>
      </c>
      <c r="C41" t="s">
        <v>4222</v>
      </c>
      <c r="D41" s="8">
        <v>39</v>
      </c>
      <c r="E41" s="8">
        <v>39</v>
      </c>
      <c r="F41" s="8">
        <v>39</v>
      </c>
      <c r="G41" t="str">
        <f t="shared" si="1"/>
        <v>LIMA E ICA PROVINCIA|SEGURIDAD|CASACA NEGRA SEGURIDAD</v>
      </c>
    </row>
    <row r="42" spans="1:7" x14ac:dyDescent="0.2">
      <c r="A42" s="11" t="s">
        <v>3</v>
      </c>
      <c r="B42" s="11" t="s">
        <v>4206</v>
      </c>
      <c r="C42" t="s">
        <v>3857</v>
      </c>
      <c r="D42" s="8">
        <f>36/2</f>
        <v>18</v>
      </c>
      <c r="E42" s="8">
        <f t="shared" ref="E42" si="24">36/2</f>
        <v>18</v>
      </c>
      <c r="F42" s="8">
        <f>38/2</f>
        <v>19</v>
      </c>
      <c r="G42" t="str">
        <f t="shared" si="1"/>
        <v>LIMA E ICA PROVINCIA|ANFITRIONAJE|CAMISA COLOR NEGRO MANGA LARGA</v>
      </c>
    </row>
    <row r="43" spans="1:7" x14ac:dyDescent="0.2">
      <c r="A43" s="11" t="s">
        <v>3</v>
      </c>
      <c r="B43" s="11" t="s">
        <v>4206</v>
      </c>
      <c r="C43" t="s">
        <v>4223</v>
      </c>
      <c r="D43" s="8">
        <v>60</v>
      </c>
      <c r="E43" s="8">
        <v>60</v>
      </c>
      <c r="F43" s="8">
        <v>62.5</v>
      </c>
      <c r="G43" t="str">
        <f t="shared" si="1"/>
        <v>LIMA E ICA PROVINCIA|ANFITRIONAJE|SACO NEGRO ANFITRIONAJE HOMBRE</v>
      </c>
    </row>
    <row r="44" spans="1:7" x14ac:dyDescent="0.2">
      <c r="A44" s="11" t="s">
        <v>3</v>
      </c>
      <c r="B44" s="11" t="s">
        <v>4206</v>
      </c>
      <c r="C44" t="s">
        <v>3858</v>
      </c>
      <c r="D44" s="8">
        <f>36/2</f>
        <v>18</v>
      </c>
      <c r="E44" s="8">
        <f t="shared" ref="E44" si="25">36/2</f>
        <v>18</v>
      </c>
      <c r="F44" s="8">
        <f>38/2</f>
        <v>19</v>
      </c>
      <c r="G44" t="str">
        <f t="shared" si="1"/>
        <v>LIMA E ICA PROVINCIA|ANFITRIONAJE|BLUSA COLOR NEGRO MANGA LARGA</v>
      </c>
    </row>
    <row r="45" spans="1:7" x14ac:dyDescent="0.2">
      <c r="A45" s="11" t="s">
        <v>3</v>
      </c>
      <c r="B45" s="11" t="s">
        <v>4206</v>
      </c>
      <c r="C45" t="s">
        <v>4224</v>
      </c>
      <c r="D45" s="8">
        <v>35</v>
      </c>
      <c r="E45" s="8">
        <v>35</v>
      </c>
      <c r="F45" s="8">
        <v>37.5</v>
      </c>
      <c r="G45" t="str">
        <f t="shared" si="1"/>
        <v>LIMA E ICA PROVINCIA|ANFITRIONAJE|SACO NEGRO ANFITRIONAJE MUJER</v>
      </c>
    </row>
    <row r="46" spans="1:7" x14ac:dyDescent="0.2">
      <c r="A46" s="11" t="s">
        <v>3</v>
      </c>
      <c r="B46" s="11" t="s">
        <v>3859</v>
      </c>
      <c r="C46" t="s">
        <v>3860</v>
      </c>
      <c r="D46" s="8">
        <f>25/2</f>
        <v>12.5</v>
      </c>
      <c r="E46" s="8">
        <f t="shared" ref="E46" si="26">25/2</f>
        <v>12.5</v>
      </c>
      <c r="F46" s="8">
        <f>27/2</f>
        <v>13.5</v>
      </c>
      <c r="G46" t="str">
        <f t="shared" si="1"/>
        <v>LIMA E ICA PROVINCIA|LIMPIEZA / MANTENIMIENTO|PANTALÓN CARGO AZUL NOCHE</v>
      </c>
    </row>
    <row r="47" spans="1:7" x14ac:dyDescent="0.2">
      <c r="A47" s="11" t="s">
        <v>3</v>
      </c>
      <c r="B47" s="11" t="s">
        <v>3859</v>
      </c>
      <c r="C47" t="s">
        <v>3861</v>
      </c>
      <c r="D47" s="8">
        <f>28/2</f>
        <v>14</v>
      </c>
      <c r="E47" s="8">
        <f t="shared" ref="E47" si="27">28/2</f>
        <v>14</v>
      </c>
      <c r="F47" s="8">
        <f>30/2</f>
        <v>15</v>
      </c>
      <c r="G47" t="str">
        <f t="shared" si="1"/>
        <v>LIMA E ICA PROVINCIA|LIMPIEZA / MANTENIMIENTO|CHAQUETA AZUL NOCHE MANGA CORTA</v>
      </c>
    </row>
    <row r="48" spans="1:7" x14ac:dyDescent="0.2">
      <c r="A48" s="11" t="s">
        <v>3</v>
      </c>
      <c r="B48" s="11" t="s">
        <v>3859</v>
      </c>
      <c r="C48" t="s">
        <v>3862</v>
      </c>
      <c r="D48" s="8">
        <f>15/2</f>
        <v>7.5</v>
      </c>
      <c r="E48" s="8">
        <f t="shared" ref="E48" si="28">15/2</f>
        <v>7.5</v>
      </c>
      <c r="F48" s="8">
        <f>17/2</f>
        <v>8.5</v>
      </c>
      <c r="G48" t="str">
        <f t="shared" si="1"/>
        <v>LIMA E ICA PROVINCIA|LIMPIEZA / MANTENIMIENTO|POLO 30/1 GRIS</v>
      </c>
    </row>
    <row r="49" spans="1:7" x14ac:dyDescent="0.2">
      <c r="A49" s="11" t="s">
        <v>3</v>
      </c>
      <c r="B49" s="11" t="s">
        <v>3863</v>
      </c>
      <c r="C49" t="s">
        <v>3864</v>
      </c>
      <c r="D49" s="8">
        <f>33/2</f>
        <v>16.5</v>
      </c>
      <c r="E49" s="8">
        <f t="shared" ref="E49" si="29">33/2</f>
        <v>16.5</v>
      </c>
      <c r="F49" s="8">
        <f>35/2</f>
        <v>17.5</v>
      </c>
      <c r="G49" t="str">
        <f t="shared" si="1"/>
        <v>LIMA E ICA PROVINCIA|BAR|CAMISA NEGRA MANGA CORTA</v>
      </c>
    </row>
    <row r="50" spans="1:7" x14ac:dyDescent="0.2">
      <c r="A50" s="11" t="s">
        <v>3</v>
      </c>
      <c r="B50" s="11" t="s">
        <v>3863</v>
      </c>
      <c r="C50" t="s">
        <v>3865</v>
      </c>
      <c r="D50" s="8">
        <f>39/2</f>
        <v>19.5</v>
      </c>
      <c r="E50" s="8">
        <f t="shared" ref="E50:F50" si="30">39/2</f>
        <v>19.5</v>
      </c>
      <c r="F50" s="8">
        <f t="shared" si="30"/>
        <v>19.5</v>
      </c>
      <c r="G50" t="str">
        <f t="shared" si="1"/>
        <v>LIMA E ICA PROVINCIA|BAR|PECHERA NEGRA CUERINA</v>
      </c>
    </row>
    <row r="51" spans="1:7" x14ac:dyDescent="0.2">
      <c r="A51" s="11" t="s">
        <v>3</v>
      </c>
      <c r="B51" s="11" t="s">
        <v>3863</v>
      </c>
      <c r="C51" t="s">
        <v>3862</v>
      </c>
      <c r="D51" s="8">
        <f>15/2</f>
        <v>7.5</v>
      </c>
      <c r="E51" s="8">
        <f t="shared" ref="E51" si="31">15/2</f>
        <v>7.5</v>
      </c>
      <c r="F51" s="8">
        <f>17/2</f>
        <v>8.5</v>
      </c>
      <c r="G51" t="str">
        <f t="shared" si="1"/>
        <v>LIMA E ICA PROVINCIA|BAR|POLO 30/1 GRIS</v>
      </c>
    </row>
    <row r="52" spans="1:7" x14ac:dyDescent="0.2">
      <c r="A52" s="11" t="s">
        <v>3</v>
      </c>
      <c r="B52" s="11" t="s">
        <v>3866</v>
      </c>
      <c r="C52" t="s">
        <v>3867</v>
      </c>
      <c r="D52" s="8">
        <f>22/2</f>
        <v>11</v>
      </c>
      <c r="E52" s="8">
        <f t="shared" ref="E52" si="32">22/2</f>
        <v>11</v>
      </c>
      <c r="F52" s="8">
        <f>23/2</f>
        <v>11.5</v>
      </c>
      <c r="G52" t="str">
        <f t="shared" si="1"/>
        <v>LIMA E ICA PROVINCIA|PRODUCCIÓN / COCINA|PANTALÓN SAL Y PIMIENTA</v>
      </c>
    </row>
    <row r="53" spans="1:7" x14ac:dyDescent="0.2">
      <c r="A53" s="11" t="s">
        <v>3</v>
      </c>
      <c r="B53" s="11" t="s">
        <v>3866</v>
      </c>
      <c r="C53" t="s">
        <v>3868</v>
      </c>
      <c r="D53" s="8">
        <f>13/2</f>
        <v>6.5</v>
      </c>
      <c r="E53" s="8">
        <f t="shared" ref="E53:F53" si="33">13/2</f>
        <v>6.5</v>
      </c>
      <c r="F53" s="8">
        <f t="shared" si="33"/>
        <v>6.5</v>
      </c>
      <c r="G53" t="str">
        <f t="shared" si="1"/>
        <v>LIMA E ICA PROVINCIA|PRODUCCIÓN / COCINA|PECHERA GRIS EN DRILL</v>
      </c>
    </row>
    <row r="54" spans="1:7" x14ac:dyDescent="0.2">
      <c r="A54" s="11" t="s">
        <v>3</v>
      </c>
      <c r="B54" s="11" t="s">
        <v>3866</v>
      </c>
      <c r="C54" t="s">
        <v>3869</v>
      </c>
      <c r="D54" s="8">
        <f>9/2</f>
        <v>4.5</v>
      </c>
      <c r="E54" s="8">
        <f t="shared" ref="E54:F54" si="34">9/2</f>
        <v>4.5</v>
      </c>
      <c r="F54" s="8">
        <f t="shared" si="34"/>
        <v>4.5</v>
      </c>
      <c r="G54" t="str">
        <f t="shared" si="1"/>
        <v>LIMA E ICA PROVINCIA|PRODUCCIÓN / COCINA|GARIBALDI GRIS</v>
      </c>
    </row>
    <row r="55" spans="1:7" x14ac:dyDescent="0.2">
      <c r="A55" s="11" t="s">
        <v>3</v>
      </c>
      <c r="B55" s="11" t="s">
        <v>3866</v>
      </c>
      <c r="C55" t="s">
        <v>47</v>
      </c>
      <c r="D55" s="8">
        <f>32.5/2</f>
        <v>16.25</v>
      </c>
      <c r="E55" s="8">
        <f t="shared" ref="E55" si="35">32.5/2</f>
        <v>16.25</v>
      </c>
      <c r="F55" s="8">
        <f>34.5/2</f>
        <v>17.25</v>
      </c>
      <c r="G55" t="str">
        <f t="shared" si="1"/>
        <v>LIMA E ICA PROVINCIA|PRODUCCIÓN / COCINA|CHAQUETA DRILL BLANCO</v>
      </c>
    </row>
    <row r="56" spans="1:7" x14ac:dyDescent="0.2">
      <c r="A56" s="11" t="s">
        <v>3</v>
      </c>
      <c r="B56" s="11" t="s">
        <v>3866</v>
      </c>
      <c r="C56" t="s">
        <v>3862</v>
      </c>
      <c r="D56" s="8">
        <f>15/2</f>
        <v>7.5</v>
      </c>
      <c r="E56" s="8">
        <f t="shared" ref="E56" si="36">15/2</f>
        <v>7.5</v>
      </c>
      <c r="F56" s="8">
        <f>17/2</f>
        <v>8.5</v>
      </c>
      <c r="G56" t="str">
        <f t="shared" si="1"/>
        <v>LIMA E ICA PROVINCIA|PRODUCCIÓN / COCINA|POLO 30/1 GRIS</v>
      </c>
    </row>
    <row r="57" spans="1:7" x14ac:dyDescent="0.2">
      <c r="A57" s="11" t="s">
        <v>3</v>
      </c>
      <c r="B57" s="11" t="s">
        <v>4132</v>
      </c>
      <c r="C57" t="s">
        <v>4722</v>
      </c>
      <c r="D57" s="8">
        <f>27/2</f>
        <v>13.5</v>
      </c>
      <c r="E57" s="8">
        <f t="shared" ref="E57:F57" si="37">27/2</f>
        <v>13.5</v>
      </c>
      <c r="F57" s="8">
        <f t="shared" si="37"/>
        <v>13.5</v>
      </c>
      <c r="G57" t="str">
        <f t="shared" si="1"/>
        <v>LIMA E ICA PROVINCIA|AUDITORIA|POLO PIQUÉ NEGRO RX AUDITORIA</v>
      </c>
    </row>
    <row r="58" spans="1:7" x14ac:dyDescent="0.2">
      <c r="A58" s="11" t="s">
        <v>3</v>
      </c>
      <c r="B58" s="11" t="s">
        <v>4132</v>
      </c>
      <c r="C58" t="s">
        <v>4723</v>
      </c>
      <c r="D58" s="8">
        <v>37</v>
      </c>
      <c r="E58" s="8">
        <v>37</v>
      </c>
      <c r="F58" s="8">
        <v>37</v>
      </c>
      <c r="G58" t="str">
        <f t="shared" si="1"/>
        <v>LIMA E ICA PROVINCIA|AUDITORIA|CASACA GRIS</v>
      </c>
    </row>
    <row r="59" spans="1:7" x14ac:dyDescent="0.2">
      <c r="A59" s="12" t="s">
        <v>22</v>
      </c>
      <c r="B59" s="12" t="s">
        <v>29</v>
      </c>
      <c r="C59" t="s">
        <v>3870</v>
      </c>
      <c r="D59" s="8">
        <f>34/2</f>
        <v>17</v>
      </c>
      <c r="E59" s="8">
        <f t="shared" ref="E59" si="38">34/2</f>
        <v>17</v>
      </c>
      <c r="F59" s="8">
        <f>36/2</f>
        <v>18</v>
      </c>
      <c r="G59" t="str">
        <f t="shared" si="1"/>
        <v>TARAPOTO|MOZO|CAMISA BLANCA (MANGA CORTA)</v>
      </c>
    </row>
    <row r="60" spans="1:7" x14ac:dyDescent="0.2">
      <c r="A60" s="12" t="s">
        <v>22</v>
      </c>
      <c r="B60" s="12" t="s">
        <v>29</v>
      </c>
      <c r="C60" t="s">
        <v>3853</v>
      </c>
      <c r="D60" s="8">
        <f>14/2</f>
        <v>7</v>
      </c>
      <c r="E60" s="8">
        <f t="shared" ref="E60:F60" si="39">14/2</f>
        <v>7</v>
      </c>
      <c r="F60" s="8">
        <f t="shared" si="39"/>
        <v>7</v>
      </c>
      <c r="G60" t="str">
        <f t="shared" si="1"/>
        <v>TARAPOTO|MOZO|MANDILON DRILL NEGRO</v>
      </c>
    </row>
    <row r="61" spans="1:7" x14ac:dyDescent="0.2">
      <c r="A61" s="12" t="s">
        <v>22</v>
      </c>
      <c r="B61" s="12" t="s">
        <v>29</v>
      </c>
      <c r="C61" t="s">
        <v>3854</v>
      </c>
      <c r="D61" s="8">
        <f>3.5/2</f>
        <v>1.75</v>
      </c>
      <c r="E61" s="8">
        <f t="shared" ref="E61:F61" si="40">3.5/2</f>
        <v>1.75</v>
      </c>
      <c r="F61" s="8">
        <f t="shared" si="40"/>
        <v>1.75</v>
      </c>
      <c r="G61" t="str">
        <f t="shared" si="1"/>
        <v>TARAPOTO|MOZO|ANDARIN GRANATE</v>
      </c>
    </row>
    <row r="62" spans="1:7" x14ac:dyDescent="0.2">
      <c r="A62" s="12" t="s">
        <v>22</v>
      </c>
      <c r="B62" s="12" t="s">
        <v>127</v>
      </c>
      <c r="C62" t="s">
        <v>3871</v>
      </c>
      <c r="D62" s="8">
        <f>34/2</f>
        <v>17</v>
      </c>
      <c r="E62" s="8">
        <f t="shared" ref="E62" si="41">34/2</f>
        <v>17</v>
      </c>
      <c r="F62" s="8">
        <f>36/2</f>
        <v>18</v>
      </c>
      <c r="G62" t="str">
        <f t="shared" si="1"/>
        <v>TARAPOTO|AZAFATA|BLUSA BLANCA (MANGA CORTA)</v>
      </c>
    </row>
    <row r="63" spans="1:7" x14ac:dyDescent="0.2">
      <c r="A63" s="12" t="s">
        <v>22</v>
      </c>
      <c r="B63" s="12" t="s">
        <v>127</v>
      </c>
      <c r="C63" t="s">
        <v>3853</v>
      </c>
      <c r="D63" s="8">
        <f>14/2</f>
        <v>7</v>
      </c>
      <c r="E63" s="8">
        <f t="shared" ref="E63:F63" si="42">14/2</f>
        <v>7</v>
      </c>
      <c r="F63" s="8">
        <f t="shared" si="42"/>
        <v>7</v>
      </c>
      <c r="G63" t="str">
        <f t="shared" si="1"/>
        <v>TARAPOTO|AZAFATA|MANDILON DRILL NEGRO</v>
      </c>
    </row>
    <row r="64" spans="1:7" x14ac:dyDescent="0.2">
      <c r="A64" s="12" t="s">
        <v>22</v>
      </c>
      <c r="B64" s="12" t="s">
        <v>127</v>
      </c>
      <c r="C64" t="s">
        <v>3854</v>
      </c>
      <c r="D64" s="8">
        <f>3.5/2</f>
        <v>1.75</v>
      </c>
      <c r="E64" s="8">
        <f t="shared" ref="E64:F64" si="43">3.5/2</f>
        <v>1.75</v>
      </c>
      <c r="F64" s="8">
        <f t="shared" si="43"/>
        <v>1.75</v>
      </c>
      <c r="G64" t="str">
        <f t="shared" si="1"/>
        <v>TARAPOTO|AZAFATA|ANDARIN GRANATE</v>
      </c>
    </row>
    <row r="65" spans="1:7" x14ac:dyDescent="0.2">
      <c r="A65" s="12" t="s">
        <v>22</v>
      </c>
      <c r="B65" s="12" t="s">
        <v>160</v>
      </c>
      <c r="C65" t="s">
        <v>4225</v>
      </c>
      <c r="D65" s="8">
        <f>27/2</f>
        <v>13.5</v>
      </c>
      <c r="E65" s="8">
        <f t="shared" ref="E65:E67" si="44">27/2</f>
        <v>13.5</v>
      </c>
      <c r="F65" s="8">
        <f>30/2</f>
        <v>15</v>
      </c>
      <c r="G65" t="str">
        <f t="shared" si="1"/>
        <v>TARAPOTO|PACKER|POLO PIQUÉ CONCHE VINO, MANGA CORTA PACKER</v>
      </c>
    </row>
    <row r="66" spans="1:7" x14ac:dyDescent="0.2">
      <c r="A66" s="12" t="s">
        <v>22</v>
      </c>
      <c r="B66" s="12" t="s">
        <v>160</v>
      </c>
      <c r="C66" t="s">
        <v>4226</v>
      </c>
      <c r="D66" s="8">
        <f>10/2</f>
        <v>5</v>
      </c>
      <c r="E66" s="8">
        <f t="shared" ref="E66:F68" si="45">10/2</f>
        <v>5</v>
      </c>
      <c r="F66" s="8">
        <f t="shared" si="45"/>
        <v>5</v>
      </c>
      <c r="G66" t="str">
        <f t="shared" si="1"/>
        <v>TARAPOTO|PACKER|GORRO JOCKEY CONCHE VINO PACKER</v>
      </c>
    </row>
    <row r="67" spans="1:7" x14ac:dyDescent="0.2">
      <c r="A67" s="12" t="s">
        <v>22</v>
      </c>
      <c r="B67" s="12" t="s">
        <v>126</v>
      </c>
      <c r="C67" t="s">
        <v>4227</v>
      </c>
      <c r="D67" s="8">
        <f>27/2</f>
        <v>13.5</v>
      </c>
      <c r="E67" s="8">
        <f t="shared" si="44"/>
        <v>13.5</v>
      </c>
      <c r="F67" s="8">
        <f>30/2</f>
        <v>15</v>
      </c>
      <c r="G67" t="str">
        <f t="shared" si="1"/>
        <v>TARAPOTO|MOTORIZADO|POLO PIQUÉ CONCHE VINO, MANGA CORTA MOTORIZADO</v>
      </c>
    </row>
    <row r="68" spans="1:7" x14ac:dyDescent="0.2">
      <c r="A68" s="12" t="s">
        <v>22</v>
      </c>
      <c r="B68" s="12" t="s">
        <v>126</v>
      </c>
      <c r="C68" t="s">
        <v>4228</v>
      </c>
      <c r="D68" s="8">
        <f>10/2</f>
        <v>5</v>
      </c>
      <c r="E68" s="8">
        <f t="shared" si="45"/>
        <v>5</v>
      </c>
      <c r="F68" s="8">
        <f t="shared" si="45"/>
        <v>5</v>
      </c>
      <c r="G68" t="str">
        <f t="shared" si="1"/>
        <v>TARAPOTO|MOTORIZADO|GORRO JOCKEY CONCHE VINO MOTORIZADO</v>
      </c>
    </row>
    <row r="69" spans="1:7" x14ac:dyDescent="0.2">
      <c r="A69" s="12" t="s">
        <v>22</v>
      </c>
      <c r="B69" s="12" t="s">
        <v>126</v>
      </c>
      <c r="C69" t="s">
        <v>4229</v>
      </c>
      <c r="D69" s="8">
        <v>39</v>
      </c>
      <c r="E69" s="8">
        <v>39</v>
      </c>
      <c r="F69" s="8">
        <v>41</v>
      </c>
      <c r="G69" t="str">
        <f t="shared" si="1"/>
        <v>TARAPOTO|MOTORIZADO|CASACA NEGRA CON REFLECTIVOS MOTORIZADO</v>
      </c>
    </row>
    <row r="70" spans="1:7" x14ac:dyDescent="0.2">
      <c r="A70" s="12" t="s">
        <v>22</v>
      </c>
      <c r="B70" s="12" t="s">
        <v>3872</v>
      </c>
      <c r="C70" t="s">
        <v>3846</v>
      </c>
      <c r="D70" s="8">
        <f>36/2</f>
        <v>18</v>
      </c>
      <c r="E70" s="8">
        <f t="shared" ref="E70" si="46">36/2</f>
        <v>18</v>
      </c>
      <c r="F70" s="8">
        <f>38/2</f>
        <v>19</v>
      </c>
      <c r="G70" t="str">
        <f t="shared" si="1"/>
        <v>TARAPOTO|STAFF ADMINISTRATIVO|CAMISA OXFORD CELESTE</v>
      </c>
    </row>
    <row r="71" spans="1:7" x14ac:dyDescent="0.2">
      <c r="A71" s="12" t="s">
        <v>22</v>
      </c>
      <c r="B71" s="12" t="s">
        <v>3872</v>
      </c>
      <c r="C71" t="s">
        <v>4212</v>
      </c>
      <c r="D71" s="8">
        <v>60</v>
      </c>
      <c r="E71" s="8">
        <v>60</v>
      </c>
      <c r="F71" s="8">
        <v>62.5</v>
      </c>
      <c r="G71" t="str">
        <f t="shared" si="1"/>
        <v>TARAPOTO|STAFF ADMINISTRATIVO|SACO NEGRO ADM HOMBRE</v>
      </c>
    </row>
    <row r="72" spans="1:7" x14ac:dyDescent="0.2">
      <c r="A72" s="12" t="s">
        <v>22</v>
      </c>
      <c r="B72" s="12" t="s">
        <v>3872</v>
      </c>
      <c r="C72" t="s">
        <v>4218</v>
      </c>
      <c r="D72" s="8">
        <f>27/2</f>
        <v>13.5</v>
      </c>
      <c r="E72" s="8">
        <f t="shared" ref="E72" si="47">27/2</f>
        <v>13.5</v>
      </c>
      <c r="F72" s="8">
        <f>30/2</f>
        <v>15</v>
      </c>
      <c r="G72" t="str">
        <f t="shared" si="1"/>
        <v>TARAPOTO|STAFF ADMINISTRATIVO|POLO PIQUÉ PIZARRA RX, MANGA CORTA ADM</v>
      </c>
    </row>
    <row r="73" spans="1:7" x14ac:dyDescent="0.2">
      <c r="A73" s="12" t="s">
        <v>22</v>
      </c>
      <c r="B73" s="12" t="s">
        <v>3872</v>
      </c>
      <c r="C73" t="s">
        <v>3877</v>
      </c>
      <c r="D73" s="8">
        <f>36/2</f>
        <v>18</v>
      </c>
      <c r="E73" s="8">
        <f t="shared" ref="E73" si="48">36/2</f>
        <v>18</v>
      </c>
      <c r="F73" s="8">
        <f>38/2</f>
        <v>19</v>
      </c>
      <c r="G73" t="str">
        <f t="shared" si="1"/>
        <v>TARAPOTO|STAFF ADMINISTRATIVO|BLUSA OXFORD CELESTE</v>
      </c>
    </row>
    <row r="74" spans="1:7" x14ac:dyDescent="0.2">
      <c r="A74" s="12" t="s">
        <v>22</v>
      </c>
      <c r="B74" s="12" t="s">
        <v>3872</v>
      </c>
      <c r="C74" t="s">
        <v>4213</v>
      </c>
      <c r="D74" s="8">
        <v>35</v>
      </c>
      <c r="E74" s="8">
        <v>35</v>
      </c>
      <c r="F74" s="8">
        <v>37.5</v>
      </c>
      <c r="G74" t="str">
        <f t="shared" si="1"/>
        <v>TARAPOTO|STAFF ADMINISTRATIVO|SACO NEGRO ADM MUJER</v>
      </c>
    </row>
    <row r="75" spans="1:7" x14ac:dyDescent="0.2">
      <c r="A75" s="12" t="s">
        <v>22</v>
      </c>
      <c r="B75" s="12" t="s">
        <v>3872</v>
      </c>
      <c r="C75" t="s">
        <v>4218</v>
      </c>
      <c r="D75" s="8">
        <f>27/2</f>
        <v>13.5</v>
      </c>
      <c r="E75" s="8">
        <f t="shared" ref="E75" si="49">27/2</f>
        <v>13.5</v>
      </c>
      <c r="F75" s="8">
        <f>30/2</f>
        <v>15</v>
      </c>
      <c r="G75" t="str">
        <f t="shared" si="1"/>
        <v>TARAPOTO|STAFF ADMINISTRATIVO|POLO PIQUÉ PIZARRA RX, MANGA CORTA ADM</v>
      </c>
    </row>
    <row r="76" spans="1:7" x14ac:dyDescent="0.2">
      <c r="A76" s="12" t="s">
        <v>22</v>
      </c>
      <c r="B76" s="12" t="s">
        <v>3872</v>
      </c>
      <c r="C76" t="s">
        <v>4493</v>
      </c>
      <c r="D76" s="8">
        <f>10/2</f>
        <v>5</v>
      </c>
      <c r="E76" s="8">
        <f t="shared" ref="E76:F76" si="50">10/2</f>
        <v>5</v>
      </c>
      <c r="F76" s="8">
        <f t="shared" si="50"/>
        <v>5</v>
      </c>
      <c r="G76" t="str">
        <f t="shared" si="1"/>
        <v>TARAPOTO|STAFF ADMINISTRATIVO|GORRO NEGRO ADM</v>
      </c>
    </row>
    <row r="77" spans="1:7" x14ac:dyDescent="0.2">
      <c r="A77" s="12" t="s">
        <v>22</v>
      </c>
      <c r="B77" s="12" t="s">
        <v>4207</v>
      </c>
      <c r="C77" t="s">
        <v>3847</v>
      </c>
      <c r="D77" s="8">
        <f>36/2</f>
        <v>18</v>
      </c>
      <c r="E77" s="8">
        <f>36/2</f>
        <v>18</v>
      </c>
      <c r="F77" s="8">
        <f>38/2</f>
        <v>19</v>
      </c>
      <c r="G77" t="str">
        <f t="shared" si="1"/>
        <v>TARAPOTO|CAJA|CAMISA A RALLAS AZUL</v>
      </c>
    </row>
    <row r="78" spans="1:7" x14ac:dyDescent="0.2">
      <c r="A78" s="12" t="s">
        <v>22</v>
      </c>
      <c r="B78" s="12" t="s">
        <v>4207</v>
      </c>
      <c r="C78" t="s">
        <v>3848</v>
      </c>
      <c r="D78" s="8">
        <f>40/2</f>
        <v>20</v>
      </c>
      <c r="E78" s="8">
        <f>40/2</f>
        <v>20</v>
      </c>
      <c r="F78" s="8">
        <f>42/2</f>
        <v>21</v>
      </c>
      <c r="G78" t="str">
        <f t="shared" si="1"/>
        <v>TARAPOTO|CAJA|PANTALÓN AZUL NOCHE</v>
      </c>
    </row>
    <row r="79" spans="1:7" x14ac:dyDescent="0.2">
      <c r="A79" s="12" t="s">
        <v>22</v>
      </c>
      <c r="B79" s="12" t="s">
        <v>4207</v>
      </c>
      <c r="C79" t="s">
        <v>3849</v>
      </c>
      <c r="D79" s="8">
        <f>35/2</f>
        <v>17.5</v>
      </c>
      <c r="E79" s="8">
        <f t="shared" ref="E79" si="51">35/2</f>
        <v>17.5</v>
      </c>
      <c r="F79" s="8">
        <f>37/2</f>
        <v>18.5</v>
      </c>
      <c r="G79" t="str">
        <f t="shared" si="1"/>
        <v>TARAPOTO|CAJA|CHALECO AZUL NOCHE</v>
      </c>
    </row>
    <row r="80" spans="1:7" x14ac:dyDescent="0.2">
      <c r="A80" s="12" t="s">
        <v>22</v>
      </c>
      <c r="B80" s="12" t="s">
        <v>4207</v>
      </c>
      <c r="C80" t="s">
        <v>4214</v>
      </c>
      <c r="D80" s="8">
        <v>60</v>
      </c>
      <c r="E80" s="8">
        <v>60</v>
      </c>
      <c r="F80" s="8">
        <v>62.5</v>
      </c>
      <c r="G80" t="str">
        <f t="shared" si="1"/>
        <v>TARAPOTO|CAJA|SACO NEGRO CAJA HOMBRE</v>
      </c>
    </row>
    <row r="81" spans="1:7" x14ac:dyDescent="0.2">
      <c r="A81" s="12" t="s">
        <v>22</v>
      </c>
      <c r="B81" s="12" t="s">
        <v>4207</v>
      </c>
      <c r="C81" t="s">
        <v>3851</v>
      </c>
      <c r="D81" s="8">
        <f>36/2</f>
        <v>18</v>
      </c>
      <c r="E81" s="8">
        <f>36/2</f>
        <v>18</v>
      </c>
      <c r="F81" s="8">
        <f>38/2</f>
        <v>19</v>
      </c>
      <c r="G81" t="str">
        <f t="shared" si="1"/>
        <v>TARAPOTO|CAJA|BLUSA A RALLAS AZUL</v>
      </c>
    </row>
    <row r="82" spans="1:7" x14ac:dyDescent="0.2">
      <c r="A82" s="12" t="s">
        <v>22</v>
      </c>
      <c r="B82" s="12" t="s">
        <v>4207</v>
      </c>
      <c r="C82" t="s">
        <v>3848</v>
      </c>
      <c r="D82" s="8">
        <f>40/2</f>
        <v>20</v>
      </c>
      <c r="E82" s="8">
        <f>40/2</f>
        <v>20</v>
      </c>
      <c r="F82" s="8">
        <f>42/2</f>
        <v>21</v>
      </c>
      <c r="G82" t="str">
        <f t="shared" ref="G82:G130" si="52">IF( OR(A82="",B82="",C82=""), "",
   CLEAN(TRIM(A82)) &amp; "|" &amp;
   CLEAN(TRIM(B82)) &amp; "|" &amp;
   CLEAN(TRIM(C82))
)</f>
        <v>TARAPOTO|CAJA|PANTALÓN AZUL NOCHE</v>
      </c>
    </row>
    <row r="83" spans="1:7" x14ac:dyDescent="0.2">
      <c r="A83" s="12" t="s">
        <v>22</v>
      </c>
      <c r="B83" s="12" t="s">
        <v>4207</v>
      </c>
      <c r="C83" t="s">
        <v>3849</v>
      </c>
      <c r="D83" s="8">
        <f>35/2</f>
        <v>17.5</v>
      </c>
      <c r="E83" s="8">
        <f t="shared" ref="E83" si="53">35/2</f>
        <v>17.5</v>
      </c>
      <c r="F83" s="8">
        <f>37/2</f>
        <v>18.5</v>
      </c>
      <c r="G83" t="str">
        <f t="shared" si="52"/>
        <v>TARAPOTO|CAJA|CHALECO AZUL NOCHE</v>
      </c>
    </row>
    <row r="84" spans="1:7" x14ac:dyDescent="0.2">
      <c r="A84" s="12" t="s">
        <v>22</v>
      </c>
      <c r="B84" s="12" t="s">
        <v>4207</v>
      </c>
      <c r="C84" t="s">
        <v>4215</v>
      </c>
      <c r="D84" s="8">
        <v>35</v>
      </c>
      <c r="E84" s="8">
        <v>35</v>
      </c>
      <c r="F84" s="8">
        <v>37.5</v>
      </c>
      <c r="G84" t="str">
        <f t="shared" si="52"/>
        <v>TARAPOTO|CAJA|SACO NEGRO CAJA MUJER</v>
      </c>
    </row>
    <row r="85" spans="1:7" x14ac:dyDescent="0.2">
      <c r="A85" s="12" t="s">
        <v>22</v>
      </c>
      <c r="B85" s="12" t="s">
        <v>200</v>
      </c>
      <c r="C85" t="s">
        <v>3856</v>
      </c>
      <c r="D85" s="8">
        <f>36/2</f>
        <v>18</v>
      </c>
      <c r="E85" s="8">
        <f t="shared" ref="E85" si="54">36/2</f>
        <v>18</v>
      </c>
      <c r="F85" s="8">
        <f>38/2</f>
        <v>19</v>
      </c>
      <c r="G85" t="str">
        <f t="shared" si="52"/>
        <v>TARAPOTO|SEGURIDAD|CAMISA CHARCOL MANGA LARGA</v>
      </c>
    </row>
    <row r="86" spans="1:7" x14ac:dyDescent="0.2">
      <c r="A86" s="12" t="s">
        <v>22</v>
      </c>
      <c r="B86" s="12" t="s">
        <v>200</v>
      </c>
      <c r="C86" t="s">
        <v>4221</v>
      </c>
      <c r="D86" s="8">
        <f>10/2</f>
        <v>5</v>
      </c>
      <c r="E86" s="8">
        <f t="shared" ref="E86:F86" si="55">10/2</f>
        <v>5</v>
      </c>
      <c r="F86" s="8">
        <f t="shared" si="55"/>
        <v>5</v>
      </c>
      <c r="G86" t="str">
        <f t="shared" si="52"/>
        <v>TARAPOTO|SEGURIDAD|GORRA NEGRA SEGURIDAD</v>
      </c>
    </row>
    <row r="87" spans="1:7" x14ac:dyDescent="0.2">
      <c r="A87" s="12" t="s">
        <v>22</v>
      </c>
      <c r="B87" s="12" t="s">
        <v>200</v>
      </c>
      <c r="C87" t="s">
        <v>4222</v>
      </c>
      <c r="D87" s="8">
        <v>39</v>
      </c>
      <c r="E87" s="8">
        <v>39</v>
      </c>
      <c r="F87" s="8">
        <v>39</v>
      </c>
      <c r="G87" t="str">
        <f t="shared" si="52"/>
        <v>TARAPOTO|SEGURIDAD|CASACA NEGRA SEGURIDAD</v>
      </c>
    </row>
    <row r="88" spans="1:7" x14ac:dyDescent="0.2">
      <c r="A88" s="12" t="s">
        <v>22</v>
      </c>
      <c r="B88" s="12" t="s">
        <v>4206</v>
      </c>
      <c r="C88" t="s">
        <v>3857</v>
      </c>
      <c r="D88" s="8">
        <f>36/2</f>
        <v>18</v>
      </c>
      <c r="E88" s="8">
        <f t="shared" ref="E88" si="56">36/2</f>
        <v>18</v>
      </c>
      <c r="F88" s="8">
        <f>38/2</f>
        <v>19</v>
      </c>
      <c r="G88" t="str">
        <f t="shared" si="52"/>
        <v>TARAPOTO|ANFITRIONAJE|CAMISA COLOR NEGRO MANGA LARGA</v>
      </c>
    </row>
    <row r="89" spans="1:7" x14ac:dyDescent="0.2">
      <c r="A89" s="12" t="s">
        <v>22</v>
      </c>
      <c r="B89" s="12" t="s">
        <v>4206</v>
      </c>
      <c r="C89" t="s">
        <v>4223</v>
      </c>
      <c r="D89" s="8">
        <v>60</v>
      </c>
      <c r="E89" s="8">
        <v>60</v>
      </c>
      <c r="F89" s="8">
        <v>62.5</v>
      </c>
      <c r="G89" t="str">
        <f t="shared" si="52"/>
        <v>TARAPOTO|ANFITRIONAJE|SACO NEGRO ANFITRIONAJE HOMBRE</v>
      </c>
    </row>
    <row r="90" spans="1:7" x14ac:dyDescent="0.2">
      <c r="A90" s="12" t="s">
        <v>22</v>
      </c>
      <c r="B90" s="12" t="s">
        <v>4206</v>
      </c>
      <c r="C90" t="s">
        <v>3858</v>
      </c>
      <c r="D90" s="8">
        <f>36/2</f>
        <v>18</v>
      </c>
      <c r="E90" s="8">
        <f t="shared" ref="E90" si="57">36/2</f>
        <v>18</v>
      </c>
      <c r="F90" s="8">
        <f>38/2</f>
        <v>19</v>
      </c>
      <c r="G90" t="str">
        <f t="shared" si="52"/>
        <v>TARAPOTO|ANFITRIONAJE|BLUSA COLOR NEGRO MANGA LARGA</v>
      </c>
    </row>
    <row r="91" spans="1:7" x14ac:dyDescent="0.2">
      <c r="A91" s="12" t="s">
        <v>22</v>
      </c>
      <c r="B91" s="12" t="s">
        <v>4206</v>
      </c>
      <c r="C91" t="s">
        <v>4224</v>
      </c>
      <c r="D91" s="8">
        <v>35</v>
      </c>
      <c r="E91" s="8">
        <v>35</v>
      </c>
      <c r="F91" s="8">
        <v>37.5</v>
      </c>
      <c r="G91" t="str">
        <f t="shared" si="52"/>
        <v>TARAPOTO|ANFITRIONAJE|SACO NEGRO ANFITRIONAJE MUJER</v>
      </c>
    </row>
    <row r="92" spans="1:7" x14ac:dyDescent="0.2">
      <c r="A92" s="12" t="s">
        <v>22</v>
      </c>
      <c r="B92" s="12" t="s">
        <v>3859</v>
      </c>
      <c r="C92" t="s">
        <v>3860</v>
      </c>
      <c r="D92" s="8">
        <f>25/2</f>
        <v>12.5</v>
      </c>
      <c r="E92" s="8">
        <f t="shared" ref="E92" si="58">25/2</f>
        <v>12.5</v>
      </c>
      <c r="F92" s="8">
        <f>27/2</f>
        <v>13.5</v>
      </c>
      <c r="G92" t="str">
        <f t="shared" si="52"/>
        <v>TARAPOTO|LIMPIEZA / MANTENIMIENTO|PANTALÓN CARGO AZUL NOCHE</v>
      </c>
    </row>
    <row r="93" spans="1:7" x14ac:dyDescent="0.2">
      <c r="A93" s="12" t="s">
        <v>22</v>
      </c>
      <c r="B93" s="12" t="s">
        <v>3859</v>
      </c>
      <c r="C93" t="s">
        <v>3861</v>
      </c>
      <c r="D93" s="8">
        <f>28/2</f>
        <v>14</v>
      </c>
      <c r="E93" s="8">
        <f t="shared" ref="E93" si="59">28/2</f>
        <v>14</v>
      </c>
      <c r="F93" s="8">
        <f>30/2</f>
        <v>15</v>
      </c>
      <c r="G93" t="str">
        <f t="shared" si="52"/>
        <v>TARAPOTO|LIMPIEZA / MANTENIMIENTO|CHAQUETA AZUL NOCHE MANGA CORTA</v>
      </c>
    </row>
    <row r="94" spans="1:7" x14ac:dyDescent="0.2">
      <c r="A94" s="12" t="s">
        <v>22</v>
      </c>
      <c r="B94" s="12" t="s">
        <v>3859</v>
      </c>
      <c r="C94" t="s">
        <v>3862</v>
      </c>
      <c r="D94" s="8">
        <f>15/2</f>
        <v>7.5</v>
      </c>
      <c r="E94" s="8">
        <f t="shared" ref="E94" si="60">15/2</f>
        <v>7.5</v>
      </c>
      <c r="F94" s="8">
        <f>17/2</f>
        <v>8.5</v>
      </c>
      <c r="G94" t="str">
        <f t="shared" si="52"/>
        <v>TARAPOTO|LIMPIEZA / MANTENIMIENTO|POLO 30/1 GRIS</v>
      </c>
    </row>
    <row r="95" spans="1:7" x14ac:dyDescent="0.2">
      <c r="A95" s="12" t="s">
        <v>22</v>
      </c>
      <c r="B95" s="12" t="s">
        <v>3863</v>
      </c>
      <c r="C95" t="s">
        <v>3864</v>
      </c>
      <c r="D95" s="8">
        <f>33/2</f>
        <v>16.5</v>
      </c>
      <c r="E95" s="8">
        <f t="shared" ref="E95" si="61">33/2</f>
        <v>16.5</v>
      </c>
      <c r="F95" s="8">
        <f>35/2</f>
        <v>17.5</v>
      </c>
      <c r="G95" t="str">
        <f t="shared" si="52"/>
        <v>TARAPOTO|BAR|CAMISA NEGRA MANGA CORTA</v>
      </c>
    </row>
    <row r="96" spans="1:7" x14ac:dyDescent="0.2">
      <c r="A96" s="12" t="s">
        <v>22</v>
      </c>
      <c r="B96" s="12" t="s">
        <v>3863</v>
      </c>
      <c r="C96" t="s">
        <v>3865</v>
      </c>
      <c r="D96" s="8">
        <f>39/2</f>
        <v>19.5</v>
      </c>
      <c r="E96" s="8">
        <f t="shared" ref="E96:F96" si="62">39/2</f>
        <v>19.5</v>
      </c>
      <c r="F96" s="8">
        <f t="shared" si="62"/>
        <v>19.5</v>
      </c>
      <c r="G96" t="str">
        <f t="shared" si="52"/>
        <v>TARAPOTO|BAR|PECHERA NEGRA CUERINA</v>
      </c>
    </row>
    <row r="97" spans="1:7" x14ac:dyDescent="0.2">
      <c r="A97" s="12" t="s">
        <v>22</v>
      </c>
      <c r="B97" s="12" t="s">
        <v>3863</v>
      </c>
      <c r="C97" t="s">
        <v>3862</v>
      </c>
      <c r="D97" s="8">
        <f>15/2</f>
        <v>7.5</v>
      </c>
      <c r="E97" s="8">
        <f t="shared" ref="E97" si="63">15/2</f>
        <v>7.5</v>
      </c>
      <c r="F97" s="8">
        <f>17/2</f>
        <v>8.5</v>
      </c>
      <c r="G97" t="str">
        <f t="shared" si="52"/>
        <v>TARAPOTO|BAR|POLO 30/1 GRIS</v>
      </c>
    </row>
    <row r="98" spans="1:7" x14ac:dyDescent="0.2">
      <c r="A98" s="12" t="s">
        <v>22</v>
      </c>
      <c r="B98" s="12" t="s">
        <v>3866</v>
      </c>
      <c r="C98" t="s">
        <v>3867</v>
      </c>
      <c r="D98" s="8">
        <f>22/2</f>
        <v>11</v>
      </c>
      <c r="E98" s="8">
        <f t="shared" ref="E98" si="64">22/2</f>
        <v>11</v>
      </c>
      <c r="F98" s="8">
        <f>23/2</f>
        <v>11.5</v>
      </c>
      <c r="G98" t="str">
        <f t="shared" si="52"/>
        <v>TARAPOTO|PRODUCCIÓN / COCINA|PANTALÓN SAL Y PIMIENTA</v>
      </c>
    </row>
    <row r="99" spans="1:7" x14ac:dyDescent="0.2">
      <c r="A99" s="12" t="s">
        <v>22</v>
      </c>
      <c r="B99" s="12" t="s">
        <v>3866</v>
      </c>
      <c r="C99" t="s">
        <v>3868</v>
      </c>
      <c r="D99" s="8">
        <f>13/2</f>
        <v>6.5</v>
      </c>
      <c r="E99" s="8">
        <f t="shared" ref="E99:F99" si="65">13/2</f>
        <v>6.5</v>
      </c>
      <c r="F99" s="8">
        <f t="shared" si="65"/>
        <v>6.5</v>
      </c>
      <c r="G99" t="str">
        <f t="shared" si="52"/>
        <v>TARAPOTO|PRODUCCIÓN / COCINA|PECHERA GRIS EN DRILL</v>
      </c>
    </row>
    <row r="100" spans="1:7" x14ac:dyDescent="0.2">
      <c r="A100" s="12" t="s">
        <v>22</v>
      </c>
      <c r="B100" s="12" t="s">
        <v>3866</v>
      </c>
      <c r="C100" t="s">
        <v>3869</v>
      </c>
      <c r="D100" s="8">
        <f>9/2</f>
        <v>4.5</v>
      </c>
      <c r="E100" s="8">
        <f t="shared" ref="E100:F100" si="66">9/2</f>
        <v>4.5</v>
      </c>
      <c r="F100" s="8">
        <f t="shared" si="66"/>
        <v>4.5</v>
      </c>
      <c r="G100" t="str">
        <f t="shared" si="52"/>
        <v>TARAPOTO|PRODUCCIÓN / COCINA|GARIBALDI GRIS</v>
      </c>
    </row>
    <row r="101" spans="1:7" x14ac:dyDescent="0.2">
      <c r="A101" s="12" t="s">
        <v>22</v>
      </c>
      <c r="B101" s="12" t="s">
        <v>3866</v>
      </c>
      <c r="C101" t="s">
        <v>47</v>
      </c>
      <c r="D101" s="8">
        <f>32.5/2</f>
        <v>16.25</v>
      </c>
      <c r="E101" s="8">
        <f t="shared" ref="E101" si="67">32.5/2</f>
        <v>16.25</v>
      </c>
      <c r="F101" s="8">
        <f>34.5/2</f>
        <v>17.25</v>
      </c>
      <c r="G101" t="str">
        <f t="shared" si="52"/>
        <v>TARAPOTO|PRODUCCIÓN / COCINA|CHAQUETA DRILL BLANCO</v>
      </c>
    </row>
    <row r="102" spans="1:7" x14ac:dyDescent="0.2">
      <c r="A102" s="12" t="s">
        <v>22</v>
      </c>
      <c r="B102" s="12" t="s">
        <v>3866</v>
      </c>
      <c r="C102" t="s">
        <v>3862</v>
      </c>
      <c r="D102" s="8">
        <f>15/2</f>
        <v>7.5</v>
      </c>
      <c r="E102" s="8">
        <f t="shared" ref="E102" si="68">15/2</f>
        <v>7.5</v>
      </c>
      <c r="F102" s="8">
        <f>17/2</f>
        <v>8.5</v>
      </c>
      <c r="G102" t="str">
        <f t="shared" si="52"/>
        <v>TARAPOTO|PRODUCCIÓN / COCINA|POLO 30/1 GRIS</v>
      </c>
    </row>
    <row r="103" spans="1:7" ht="11" customHeight="1" x14ac:dyDescent="0.2">
      <c r="A103" s="13" t="s">
        <v>24</v>
      </c>
      <c r="B103" s="13" t="s">
        <v>110</v>
      </c>
      <c r="C103" t="s">
        <v>4230</v>
      </c>
      <c r="D103" s="8">
        <f>27/2</f>
        <v>13.5</v>
      </c>
      <c r="E103" s="8">
        <f t="shared" ref="E103:E106" si="69">27/2</f>
        <v>13.5</v>
      </c>
      <c r="F103" s="8">
        <f>30/2</f>
        <v>15</v>
      </c>
      <c r="G103" t="str">
        <f t="shared" si="52"/>
        <v>PATIO DE COMIDA|COUNTER|POLO PIQUÉ CONCHE VINO, MANGA CORTA COUNTER</v>
      </c>
    </row>
    <row r="104" spans="1:7" x14ac:dyDescent="0.2">
      <c r="A104" s="13" t="s">
        <v>24</v>
      </c>
      <c r="B104" s="13" t="s">
        <v>110</v>
      </c>
      <c r="C104" t="s">
        <v>4231</v>
      </c>
      <c r="D104" s="8">
        <f>10/2</f>
        <v>5</v>
      </c>
      <c r="E104" s="8">
        <f t="shared" ref="E104:F107" si="70">10/2</f>
        <v>5</v>
      </c>
      <c r="F104" s="8">
        <f t="shared" si="70"/>
        <v>5</v>
      </c>
      <c r="G104" t="str">
        <f t="shared" si="52"/>
        <v>PATIO DE COMIDA|COUNTER|GORRO JOCKEY CONCHE VINO COUNTER</v>
      </c>
    </row>
    <row r="105" spans="1:7" x14ac:dyDescent="0.2">
      <c r="A105" s="13" t="s">
        <v>24</v>
      </c>
      <c r="B105" s="13" t="s">
        <v>110</v>
      </c>
      <c r="C105" t="s">
        <v>4238</v>
      </c>
      <c r="D105" s="8">
        <v>39</v>
      </c>
      <c r="E105" s="8">
        <v>39</v>
      </c>
      <c r="F105" s="8">
        <v>41</v>
      </c>
      <c r="G105" t="str">
        <f t="shared" si="52"/>
        <v>PATIO DE COMIDA|COUNTER|CASACA COUNTER</v>
      </c>
    </row>
    <row r="106" spans="1:7" ht="13.5" customHeight="1" x14ac:dyDescent="0.2">
      <c r="A106" s="13" t="s">
        <v>24</v>
      </c>
      <c r="B106" s="13" t="s">
        <v>4207</v>
      </c>
      <c r="C106" t="s">
        <v>4232</v>
      </c>
      <c r="D106" s="8">
        <f>27/2</f>
        <v>13.5</v>
      </c>
      <c r="E106" s="8">
        <f t="shared" si="69"/>
        <v>13.5</v>
      </c>
      <c r="F106" s="8">
        <f>30/2</f>
        <v>15</v>
      </c>
      <c r="G106" t="str">
        <f t="shared" ref="G106:G108" si="71">IF( OR(A106="",B106="",C106=""), "",
   CLEAN(TRIM(A106)) &amp; "|" &amp;
   CLEAN(TRIM(B106)) &amp; "|" &amp;
   CLEAN(TRIM(C106))
)</f>
        <v>PATIO DE COMIDA|CAJA|POLO PIQUÉ CONCHE VINO, MANGA CORTA CAJA</v>
      </c>
    </row>
    <row r="107" spans="1:7" x14ac:dyDescent="0.2">
      <c r="A107" s="13" t="s">
        <v>24</v>
      </c>
      <c r="B107" s="13" t="s">
        <v>4207</v>
      </c>
      <c r="C107" t="s">
        <v>4233</v>
      </c>
      <c r="D107" s="8">
        <f>10/2</f>
        <v>5</v>
      </c>
      <c r="E107" s="8">
        <f t="shared" si="70"/>
        <v>5</v>
      </c>
      <c r="F107" s="8">
        <f t="shared" si="70"/>
        <v>5</v>
      </c>
      <c r="G107" t="str">
        <f t="shared" si="71"/>
        <v>PATIO DE COMIDA|CAJA|GORRO JOCKEY CONCHE VINO CAJA</v>
      </c>
    </row>
    <row r="108" spans="1:7" x14ac:dyDescent="0.2">
      <c r="A108" s="13" t="s">
        <v>24</v>
      </c>
      <c r="B108" s="13" t="s">
        <v>4207</v>
      </c>
      <c r="C108" t="s">
        <v>4237</v>
      </c>
      <c r="D108" s="8">
        <v>39</v>
      </c>
      <c r="E108" s="8">
        <v>39</v>
      </c>
      <c r="F108" s="8">
        <v>41</v>
      </c>
      <c r="G108" t="str">
        <f t="shared" si="71"/>
        <v>PATIO DE COMIDA|CAJA|CASACA CAJA</v>
      </c>
    </row>
    <row r="109" spans="1:7" x14ac:dyDescent="0.2">
      <c r="A109" s="13" t="s">
        <v>24</v>
      </c>
      <c r="B109" s="13" t="s">
        <v>3872</v>
      </c>
      <c r="C109" t="s">
        <v>4490</v>
      </c>
      <c r="D109" s="8">
        <v>15</v>
      </c>
      <c r="E109" s="8">
        <v>15</v>
      </c>
      <c r="F109" s="8">
        <v>16</v>
      </c>
      <c r="G109" t="str">
        <f t="shared" si="52"/>
        <v>PATIO DE COMIDA|STAFF ADMINISTRATIVO|POLO PIQUÉ PIZARRA RX, MANGA CORTA ADMI</v>
      </c>
    </row>
    <row r="110" spans="1:7" x14ac:dyDescent="0.2">
      <c r="A110" s="13" t="s">
        <v>24</v>
      </c>
      <c r="B110" s="13" t="s">
        <v>3872</v>
      </c>
      <c r="C110" t="s">
        <v>4236</v>
      </c>
      <c r="D110" s="8">
        <v>39</v>
      </c>
      <c r="E110" s="8">
        <v>39</v>
      </c>
      <c r="F110" s="8">
        <v>41</v>
      </c>
      <c r="G110" t="str">
        <f t="shared" si="52"/>
        <v>PATIO DE COMIDA|STAFF ADMINISTRATIVO|CASACA ADM</v>
      </c>
    </row>
    <row r="111" spans="1:7" x14ac:dyDescent="0.2">
      <c r="A111" s="13" t="s">
        <v>24</v>
      </c>
      <c r="B111" s="13" t="s">
        <v>3872</v>
      </c>
      <c r="C111" t="s">
        <v>3846</v>
      </c>
      <c r="D111" s="8">
        <f>36/2</f>
        <v>18</v>
      </c>
      <c r="E111" s="8">
        <f>36/2</f>
        <v>18</v>
      </c>
      <c r="F111" s="8">
        <f>38/2</f>
        <v>19</v>
      </c>
      <c r="G111" t="str">
        <f t="shared" si="52"/>
        <v>PATIO DE COMIDA|STAFF ADMINISTRATIVO|CAMISA OXFORD CELESTE</v>
      </c>
    </row>
    <row r="112" spans="1:7" x14ac:dyDescent="0.2">
      <c r="A112" s="13" t="s">
        <v>24</v>
      </c>
      <c r="B112" s="13" t="s">
        <v>3872</v>
      </c>
      <c r="C112" t="s">
        <v>3877</v>
      </c>
      <c r="D112" s="8">
        <f>36/2</f>
        <v>18</v>
      </c>
      <c r="E112" s="8">
        <f>36/2</f>
        <v>18</v>
      </c>
      <c r="F112" s="8">
        <f>38/2</f>
        <v>19</v>
      </c>
      <c r="G112" t="str">
        <f t="shared" si="52"/>
        <v>PATIO DE COMIDA|STAFF ADMINISTRATIVO|BLUSA OXFORD CELESTE</v>
      </c>
    </row>
    <row r="113" spans="1:7" x14ac:dyDescent="0.2">
      <c r="A113" s="13" t="s">
        <v>24</v>
      </c>
      <c r="B113" s="13" t="s">
        <v>3872</v>
      </c>
      <c r="C113" t="s">
        <v>4493</v>
      </c>
      <c r="D113" s="8">
        <f>10/2</f>
        <v>5</v>
      </c>
      <c r="E113" s="8">
        <f t="shared" ref="E113:F113" si="72">10/2</f>
        <v>5</v>
      </c>
      <c r="F113" s="8">
        <f t="shared" si="72"/>
        <v>5</v>
      </c>
      <c r="G113" t="str">
        <f t="shared" si="52"/>
        <v>PATIO DE COMIDA|STAFF ADMINISTRATIVO|GORRO NEGRO ADM</v>
      </c>
    </row>
    <row r="114" spans="1:7" x14ac:dyDescent="0.2">
      <c r="A114" s="13" t="s">
        <v>24</v>
      </c>
      <c r="B114" s="13" t="s">
        <v>3866</v>
      </c>
      <c r="C114" t="s">
        <v>3867</v>
      </c>
      <c r="D114" s="8">
        <f>22/2</f>
        <v>11</v>
      </c>
      <c r="E114" s="8">
        <f t="shared" ref="E114" si="73">22/2</f>
        <v>11</v>
      </c>
      <c r="F114" s="8">
        <f>23/2</f>
        <v>11.5</v>
      </c>
      <c r="G114" t="str">
        <f t="shared" si="52"/>
        <v>PATIO DE COMIDA|PRODUCCIÓN / COCINA|PANTALÓN SAL Y PIMIENTA</v>
      </c>
    </row>
    <row r="115" spans="1:7" x14ac:dyDescent="0.2">
      <c r="A115" s="13" t="s">
        <v>24</v>
      </c>
      <c r="B115" s="13" t="s">
        <v>3866</v>
      </c>
      <c r="C115" t="s">
        <v>3868</v>
      </c>
      <c r="D115" s="8">
        <f>13/2</f>
        <v>6.5</v>
      </c>
      <c r="E115" s="8">
        <f t="shared" ref="E115:F115" si="74">13/2</f>
        <v>6.5</v>
      </c>
      <c r="F115" s="8">
        <f t="shared" si="74"/>
        <v>6.5</v>
      </c>
      <c r="G115" t="str">
        <f t="shared" si="52"/>
        <v>PATIO DE COMIDA|PRODUCCIÓN / COCINA|PECHERA GRIS EN DRILL</v>
      </c>
    </row>
    <row r="116" spans="1:7" x14ac:dyDescent="0.2">
      <c r="A116" s="13" t="s">
        <v>24</v>
      </c>
      <c r="B116" s="13" t="s">
        <v>3866</v>
      </c>
      <c r="C116" t="s">
        <v>3869</v>
      </c>
      <c r="D116" s="8">
        <f>9/2</f>
        <v>4.5</v>
      </c>
      <c r="E116" s="8">
        <f t="shared" ref="E116:F116" si="75">9/2</f>
        <v>4.5</v>
      </c>
      <c r="F116" s="8">
        <f t="shared" si="75"/>
        <v>4.5</v>
      </c>
      <c r="G116" t="str">
        <f t="shared" si="52"/>
        <v>PATIO DE COMIDA|PRODUCCIÓN / COCINA|GARIBALDI GRIS</v>
      </c>
    </row>
    <row r="117" spans="1:7" x14ac:dyDescent="0.2">
      <c r="A117" s="13" t="s">
        <v>24</v>
      </c>
      <c r="B117" s="13" t="s">
        <v>3866</v>
      </c>
      <c r="C117" t="s">
        <v>47</v>
      </c>
      <c r="D117" s="8">
        <f>32.5/2</f>
        <v>16.25</v>
      </c>
      <c r="E117" s="8">
        <f t="shared" ref="E117" si="76">32.5/2</f>
        <v>16.25</v>
      </c>
      <c r="F117" s="8">
        <f>34.5/2</f>
        <v>17.25</v>
      </c>
      <c r="G117" t="str">
        <f t="shared" si="52"/>
        <v>PATIO DE COMIDA|PRODUCCIÓN / COCINA|CHAQUETA DRILL BLANCO</v>
      </c>
    </row>
    <row r="118" spans="1:7" x14ac:dyDescent="0.2">
      <c r="A118" s="13" t="s">
        <v>24</v>
      </c>
      <c r="B118" s="13" t="s">
        <v>3866</v>
      </c>
      <c r="C118" t="s">
        <v>3862</v>
      </c>
      <c r="D118" s="8">
        <f>15/2</f>
        <v>7.5</v>
      </c>
      <c r="E118" s="8">
        <f t="shared" ref="E118" si="77">15/2</f>
        <v>7.5</v>
      </c>
      <c r="F118" s="8">
        <f>17/2</f>
        <v>8.5</v>
      </c>
      <c r="G118" t="str">
        <f t="shared" si="52"/>
        <v>PATIO DE COMIDA|PRODUCCIÓN / COCINA|POLO 30/1 GRIS</v>
      </c>
    </row>
    <row r="119" spans="1:7" x14ac:dyDescent="0.2">
      <c r="A119" s="13" t="s">
        <v>24</v>
      </c>
      <c r="B119" s="13" t="s">
        <v>126</v>
      </c>
      <c r="C119" t="s">
        <v>4227</v>
      </c>
      <c r="D119" s="8">
        <f>27/2</f>
        <v>13.5</v>
      </c>
      <c r="E119" s="8">
        <f t="shared" ref="E119" si="78">27/2</f>
        <v>13.5</v>
      </c>
      <c r="F119" s="8">
        <f>30/2</f>
        <v>15</v>
      </c>
      <c r="G119" t="str">
        <f t="shared" si="52"/>
        <v>PATIO DE COMIDA|MOTORIZADO|POLO PIQUÉ CONCHE VINO, MANGA CORTA MOTORIZADO</v>
      </c>
    </row>
    <row r="120" spans="1:7" x14ac:dyDescent="0.2">
      <c r="A120" s="13" t="s">
        <v>24</v>
      </c>
      <c r="B120" s="13" t="s">
        <v>126</v>
      </c>
      <c r="C120" t="s">
        <v>4228</v>
      </c>
      <c r="D120" s="8">
        <f>10/2</f>
        <v>5</v>
      </c>
      <c r="E120" s="8">
        <f t="shared" ref="E120:F120" si="79">10/2</f>
        <v>5</v>
      </c>
      <c r="F120" s="8">
        <f t="shared" si="79"/>
        <v>5</v>
      </c>
      <c r="G120" t="str">
        <f t="shared" si="52"/>
        <v>PATIO DE COMIDA|MOTORIZADO|GORRO JOCKEY CONCHE VINO MOTORIZADO</v>
      </c>
    </row>
    <row r="121" spans="1:7" x14ac:dyDescent="0.2">
      <c r="A121" s="13" t="s">
        <v>24</v>
      </c>
      <c r="B121" s="13" t="s">
        <v>126</v>
      </c>
      <c r="C121" t="s">
        <v>4229</v>
      </c>
      <c r="D121" s="8">
        <v>39</v>
      </c>
      <c r="E121" s="8">
        <v>39</v>
      </c>
      <c r="F121" s="8">
        <v>41</v>
      </c>
      <c r="G121" t="str">
        <f t="shared" si="52"/>
        <v>PATIO DE COMIDA|MOTORIZADO|CASACA NEGRA CON REFLECTIVOS MOTORIZADO</v>
      </c>
    </row>
    <row r="122" spans="1:7" x14ac:dyDescent="0.2">
      <c r="A122" s="14" t="s">
        <v>74</v>
      </c>
      <c r="B122" s="14" t="s">
        <v>29</v>
      </c>
      <c r="C122" t="s">
        <v>4234</v>
      </c>
      <c r="D122" s="8">
        <f>43/2</f>
        <v>21.5</v>
      </c>
      <c r="E122" s="8">
        <f t="shared" ref="E122" si="80">43/2</f>
        <v>21.5</v>
      </c>
      <c r="F122" s="8">
        <f>46/2</f>
        <v>23</v>
      </c>
      <c r="G122" t="str">
        <f t="shared" si="52"/>
        <v>VILLA STEAKHOUSE|MOZO|CAMISA OXFORD BLANCA CON RAYAS MOZO</v>
      </c>
    </row>
    <row r="123" spans="1:7" x14ac:dyDescent="0.2">
      <c r="A123" s="14" t="s">
        <v>74</v>
      </c>
      <c r="B123" s="14" t="s">
        <v>29</v>
      </c>
      <c r="C123" t="s">
        <v>3873</v>
      </c>
      <c r="D123" s="8">
        <f>3.5/2</f>
        <v>1.75</v>
      </c>
      <c r="E123" s="8">
        <f t="shared" ref="E123:F123" si="81">3.5/2</f>
        <v>1.75</v>
      </c>
      <c r="F123" s="8">
        <f t="shared" si="81"/>
        <v>1.75</v>
      </c>
      <c r="G123" t="str">
        <f t="shared" si="52"/>
        <v>VILLA STEAKHOUSE|MOZO|ANDARIN NEGRO</v>
      </c>
    </row>
    <row r="124" spans="1:7" x14ac:dyDescent="0.2">
      <c r="A124" s="14" t="s">
        <v>74</v>
      </c>
      <c r="B124" s="14" t="s">
        <v>29</v>
      </c>
      <c r="C124" t="s">
        <v>3874</v>
      </c>
      <c r="D124" s="8">
        <f>24/2</f>
        <v>12</v>
      </c>
      <c r="E124" s="8">
        <f t="shared" ref="E124:F124" si="82">24/2</f>
        <v>12</v>
      </c>
      <c r="F124" s="8">
        <f t="shared" si="82"/>
        <v>12</v>
      </c>
      <c r="G124" t="str">
        <f t="shared" si="52"/>
        <v>VILLA STEAKHOUSE|MOZO|PECHERA GUINDA</v>
      </c>
    </row>
    <row r="125" spans="1:7" x14ac:dyDescent="0.2">
      <c r="A125" s="14" t="s">
        <v>74</v>
      </c>
      <c r="B125" s="14" t="s">
        <v>127</v>
      </c>
      <c r="C125" t="s">
        <v>3875</v>
      </c>
      <c r="D125" s="8">
        <f>43/2</f>
        <v>21.5</v>
      </c>
      <c r="E125" s="8">
        <f t="shared" ref="E125" si="83">43/2</f>
        <v>21.5</v>
      </c>
      <c r="F125" s="8">
        <f>46/2</f>
        <v>23</v>
      </c>
      <c r="G125" t="str">
        <f t="shared" si="52"/>
        <v>VILLA STEAKHOUSE|AZAFATA|BLUSA OXFORD BLANCA CON RAYAS</v>
      </c>
    </row>
    <row r="126" spans="1:7" x14ac:dyDescent="0.2">
      <c r="A126" s="14" t="s">
        <v>74</v>
      </c>
      <c r="B126" s="14" t="s">
        <v>127</v>
      </c>
      <c r="C126" t="s">
        <v>3873</v>
      </c>
      <c r="D126" s="8">
        <f>3.5/2</f>
        <v>1.75</v>
      </c>
      <c r="E126" s="8">
        <f t="shared" ref="E126:F126" si="84">3.5/2</f>
        <v>1.75</v>
      </c>
      <c r="F126" s="8">
        <f t="shared" si="84"/>
        <v>1.75</v>
      </c>
      <c r="G126" t="str">
        <f t="shared" si="52"/>
        <v>VILLA STEAKHOUSE|AZAFATA|ANDARIN NEGRO</v>
      </c>
    </row>
    <row r="127" spans="1:7" x14ac:dyDescent="0.2">
      <c r="A127" s="14" t="s">
        <v>74</v>
      </c>
      <c r="B127" s="14" t="s">
        <v>127</v>
      </c>
      <c r="C127" t="s">
        <v>3874</v>
      </c>
      <c r="D127" s="8">
        <f>24/2</f>
        <v>12</v>
      </c>
      <c r="E127" s="8">
        <f t="shared" ref="E127:F127" si="85">24/2</f>
        <v>12</v>
      </c>
      <c r="F127" s="8">
        <f t="shared" si="85"/>
        <v>12</v>
      </c>
      <c r="G127" t="str">
        <f t="shared" si="52"/>
        <v>VILLA STEAKHOUSE|AZAFATA|PECHERA GUINDA</v>
      </c>
    </row>
    <row r="128" spans="1:7" x14ac:dyDescent="0.2">
      <c r="A128" s="14" t="s">
        <v>74</v>
      </c>
      <c r="B128" s="14" t="s">
        <v>3844</v>
      </c>
      <c r="C128" t="s">
        <v>4235</v>
      </c>
      <c r="D128" s="8">
        <f>43/2</f>
        <v>21.5</v>
      </c>
      <c r="E128" s="8">
        <f t="shared" ref="E128" si="86">43/2</f>
        <v>21.5</v>
      </c>
      <c r="F128" s="8">
        <f>46/2</f>
        <v>23</v>
      </c>
      <c r="G128" t="str">
        <f t="shared" si="52"/>
        <v>VILLA STEAKHOUSE|CORREDOR|CAMISA OXFORD BLANCA CON RAYAS CORREDOR</v>
      </c>
    </row>
    <row r="129" spans="1:7" x14ac:dyDescent="0.2">
      <c r="A129" s="14" t="s">
        <v>74</v>
      </c>
      <c r="B129" s="14" t="s">
        <v>3844</v>
      </c>
      <c r="C129" t="s">
        <v>3873</v>
      </c>
      <c r="D129" s="8">
        <f>3.5/2</f>
        <v>1.75</v>
      </c>
      <c r="E129" s="8">
        <f t="shared" ref="E129:F129" si="87">3.5/2</f>
        <v>1.75</v>
      </c>
      <c r="F129" s="8">
        <f t="shared" si="87"/>
        <v>1.75</v>
      </c>
      <c r="G129" t="str">
        <f t="shared" si="52"/>
        <v>VILLA STEAKHOUSE|CORREDOR|ANDARIN NEGRO</v>
      </c>
    </row>
    <row r="130" spans="1:7" x14ac:dyDescent="0.2">
      <c r="A130" s="14" t="s">
        <v>74</v>
      </c>
      <c r="B130" s="14" t="s">
        <v>3844</v>
      </c>
      <c r="C130" t="s">
        <v>4494</v>
      </c>
      <c r="D130" s="8">
        <v>24</v>
      </c>
      <c r="E130" s="8">
        <v>24</v>
      </c>
      <c r="F130" s="8">
        <v>24</v>
      </c>
      <c r="G130" t="str">
        <f t="shared" si="52"/>
        <v>VILLA STEAKHOUSE|CORREDOR|PECHERA GUINDA CORREDOR</v>
      </c>
    </row>
    <row r="133" spans="1:7" x14ac:dyDescent="0.2">
      <c r="G133" t="str">
        <f t="shared" ref="G133:G155" si="88">IF(OR(A133="",B133="",C133=""),"",A133&amp;"|"&amp;B133&amp;"|"&amp;C133)</f>
        <v/>
      </c>
    </row>
    <row r="134" spans="1:7" x14ac:dyDescent="0.2">
      <c r="G134" t="str">
        <f t="shared" si="88"/>
        <v/>
      </c>
    </row>
    <row r="135" spans="1:7" x14ac:dyDescent="0.2">
      <c r="G135" t="str">
        <f t="shared" si="88"/>
        <v/>
      </c>
    </row>
    <row r="136" spans="1:7" x14ac:dyDescent="0.2">
      <c r="G136" t="str">
        <f t="shared" si="88"/>
        <v/>
      </c>
    </row>
    <row r="137" spans="1:7" x14ac:dyDescent="0.2">
      <c r="G137" t="str">
        <f t="shared" si="88"/>
        <v/>
      </c>
    </row>
    <row r="138" spans="1:7" x14ac:dyDescent="0.2">
      <c r="G138" t="str">
        <f t="shared" si="88"/>
        <v/>
      </c>
    </row>
    <row r="139" spans="1:7" x14ac:dyDescent="0.2">
      <c r="G139" t="str">
        <f t="shared" si="88"/>
        <v/>
      </c>
    </row>
    <row r="140" spans="1:7" x14ac:dyDescent="0.2">
      <c r="G140" t="str">
        <f t="shared" si="88"/>
        <v/>
      </c>
    </row>
    <row r="141" spans="1:7" x14ac:dyDescent="0.2">
      <c r="G141" t="str">
        <f t="shared" si="88"/>
        <v/>
      </c>
    </row>
    <row r="142" spans="1:7" x14ac:dyDescent="0.2">
      <c r="G142" t="str">
        <f t="shared" si="88"/>
        <v/>
      </c>
    </row>
    <row r="143" spans="1:7" x14ac:dyDescent="0.2">
      <c r="G143" t="str">
        <f t="shared" si="88"/>
        <v/>
      </c>
    </row>
    <row r="144" spans="1:7" x14ac:dyDescent="0.2">
      <c r="G144" t="str">
        <f t="shared" si="88"/>
        <v/>
      </c>
    </row>
    <row r="145" spans="7:7" x14ac:dyDescent="0.2">
      <c r="G145" t="str">
        <f t="shared" si="88"/>
        <v/>
      </c>
    </row>
    <row r="146" spans="7:7" x14ac:dyDescent="0.2">
      <c r="G146" t="str">
        <f t="shared" si="88"/>
        <v/>
      </c>
    </row>
    <row r="147" spans="7:7" x14ac:dyDescent="0.2">
      <c r="G147" t="str">
        <f t="shared" si="88"/>
        <v/>
      </c>
    </row>
    <row r="148" spans="7:7" x14ac:dyDescent="0.2">
      <c r="G148" t="str">
        <f t="shared" si="88"/>
        <v/>
      </c>
    </row>
    <row r="149" spans="7:7" x14ac:dyDescent="0.2">
      <c r="G149" t="str">
        <f t="shared" si="88"/>
        <v/>
      </c>
    </row>
    <row r="150" spans="7:7" x14ac:dyDescent="0.2">
      <c r="G150" t="str">
        <f t="shared" si="88"/>
        <v/>
      </c>
    </row>
    <row r="151" spans="7:7" x14ac:dyDescent="0.2">
      <c r="G151" t="str">
        <f t="shared" si="88"/>
        <v/>
      </c>
    </row>
    <row r="152" spans="7:7" x14ac:dyDescent="0.2">
      <c r="G152" t="str">
        <f t="shared" si="88"/>
        <v/>
      </c>
    </row>
    <row r="153" spans="7:7" x14ac:dyDescent="0.2">
      <c r="G153" t="str">
        <f t="shared" si="88"/>
        <v/>
      </c>
    </row>
    <row r="154" spans="7:7" x14ac:dyDescent="0.2">
      <c r="G154" t="str">
        <f t="shared" si="88"/>
        <v/>
      </c>
    </row>
    <row r="155" spans="7:7" x14ac:dyDescent="0.2">
      <c r="G155" t="str">
        <f t="shared" si="88"/>
        <v/>
      </c>
    </row>
    <row r="156" spans="7:7" x14ac:dyDescent="0.2">
      <c r="G156" t="str">
        <f t="shared" ref="G156:G219" si="89">IF(OR(A156="",B156="",C156=""),"",A156&amp;"|"&amp;B156&amp;"|"&amp;C156)</f>
        <v/>
      </c>
    </row>
    <row r="157" spans="7:7" x14ac:dyDescent="0.2">
      <c r="G157" t="str">
        <f t="shared" si="89"/>
        <v/>
      </c>
    </row>
    <row r="158" spans="7:7" x14ac:dyDescent="0.2">
      <c r="G158" t="str">
        <f t="shared" si="89"/>
        <v/>
      </c>
    </row>
    <row r="159" spans="7:7" x14ac:dyDescent="0.2">
      <c r="G159" t="str">
        <f t="shared" si="89"/>
        <v/>
      </c>
    </row>
    <row r="160" spans="7:7" x14ac:dyDescent="0.2">
      <c r="G160" t="str">
        <f t="shared" si="89"/>
        <v/>
      </c>
    </row>
    <row r="161" spans="7:7" x14ac:dyDescent="0.2">
      <c r="G161" t="str">
        <f t="shared" si="89"/>
        <v/>
      </c>
    </row>
    <row r="162" spans="7:7" x14ac:dyDescent="0.2">
      <c r="G162" t="str">
        <f t="shared" si="89"/>
        <v/>
      </c>
    </row>
    <row r="163" spans="7:7" x14ac:dyDescent="0.2">
      <c r="G163" t="str">
        <f t="shared" si="89"/>
        <v/>
      </c>
    </row>
    <row r="164" spans="7:7" x14ac:dyDescent="0.2">
      <c r="G164" t="str">
        <f t="shared" si="89"/>
        <v/>
      </c>
    </row>
    <row r="165" spans="7:7" x14ac:dyDescent="0.2">
      <c r="G165" t="str">
        <f t="shared" si="89"/>
        <v/>
      </c>
    </row>
    <row r="166" spans="7:7" x14ac:dyDescent="0.2">
      <c r="G166" t="str">
        <f t="shared" si="89"/>
        <v/>
      </c>
    </row>
    <row r="167" spans="7:7" x14ac:dyDescent="0.2">
      <c r="G167" t="str">
        <f t="shared" si="89"/>
        <v/>
      </c>
    </row>
    <row r="168" spans="7:7" x14ac:dyDescent="0.2">
      <c r="G168" t="str">
        <f t="shared" si="89"/>
        <v/>
      </c>
    </row>
    <row r="169" spans="7:7" x14ac:dyDescent="0.2">
      <c r="G169" t="str">
        <f t="shared" si="89"/>
        <v/>
      </c>
    </row>
    <row r="170" spans="7:7" x14ac:dyDescent="0.2">
      <c r="G170" t="str">
        <f t="shared" si="89"/>
        <v/>
      </c>
    </row>
    <row r="171" spans="7:7" x14ac:dyDescent="0.2">
      <c r="G171" t="str">
        <f t="shared" si="89"/>
        <v/>
      </c>
    </row>
    <row r="172" spans="7:7" x14ac:dyDescent="0.2">
      <c r="G172" t="str">
        <f t="shared" si="89"/>
        <v/>
      </c>
    </row>
    <row r="173" spans="7:7" x14ac:dyDescent="0.2">
      <c r="G173" t="str">
        <f t="shared" si="89"/>
        <v/>
      </c>
    </row>
    <row r="174" spans="7:7" x14ac:dyDescent="0.2">
      <c r="G174" t="str">
        <f t="shared" si="89"/>
        <v/>
      </c>
    </row>
    <row r="175" spans="7:7" x14ac:dyDescent="0.2">
      <c r="G175" t="str">
        <f t="shared" si="89"/>
        <v/>
      </c>
    </row>
    <row r="176" spans="7:7" x14ac:dyDescent="0.2">
      <c r="G176" t="str">
        <f t="shared" si="89"/>
        <v/>
      </c>
    </row>
    <row r="177" spans="7:7" x14ac:dyDescent="0.2">
      <c r="G177" t="str">
        <f t="shared" si="89"/>
        <v/>
      </c>
    </row>
    <row r="178" spans="7:7" x14ac:dyDescent="0.2">
      <c r="G178" t="str">
        <f t="shared" si="89"/>
        <v/>
      </c>
    </row>
    <row r="179" spans="7:7" x14ac:dyDescent="0.2">
      <c r="G179" t="str">
        <f t="shared" si="89"/>
        <v/>
      </c>
    </row>
    <row r="180" spans="7:7" x14ac:dyDescent="0.2">
      <c r="G180" t="str">
        <f t="shared" si="89"/>
        <v/>
      </c>
    </row>
    <row r="181" spans="7:7" x14ac:dyDescent="0.2">
      <c r="G181" t="str">
        <f t="shared" si="89"/>
        <v/>
      </c>
    </row>
    <row r="182" spans="7:7" x14ac:dyDescent="0.2">
      <c r="G182" t="str">
        <f t="shared" si="89"/>
        <v/>
      </c>
    </row>
    <row r="183" spans="7:7" x14ac:dyDescent="0.2">
      <c r="G183" t="str">
        <f t="shared" si="89"/>
        <v/>
      </c>
    </row>
    <row r="184" spans="7:7" x14ac:dyDescent="0.2">
      <c r="G184" t="str">
        <f t="shared" si="89"/>
        <v/>
      </c>
    </row>
    <row r="185" spans="7:7" x14ac:dyDescent="0.2">
      <c r="G185" t="str">
        <f t="shared" si="89"/>
        <v/>
      </c>
    </row>
    <row r="186" spans="7:7" x14ac:dyDescent="0.2">
      <c r="G186" t="str">
        <f t="shared" si="89"/>
        <v/>
      </c>
    </row>
    <row r="187" spans="7:7" x14ac:dyDescent="0.2">
      <c r="G187" t="str">
        <f t="shared" si="89"/>
        <v/>
      </c>
    </row>
    <row r="188" spans="7:7" x14ac:dyDescent="0.2">
      <c r="G188" t="str">
        <f t="shared" si="89"/>
        <v/>
      </c>
    </row>
    <row r="189" spans="7:7" x14ac:dyDescent="0.2">
      <c r="G189" t="str">
        <f t="shared" si="89"/>
        <v/>
      </c>
    </row>
    <row r="190" spans="7:7" x14ac:dyDescent="0.2">
      <c r="G190" t="str">
        <f t="shared" si="89"/>
        <v/>
      </c>
    </row>
    <row r="191" spans="7:7" x14ac:dyDescent="0.2">
      <c r="G191" t="str">
        <f t="shared" si="89"/>
        <v/>
      </c>
    </row>
    <row r="192" spans="7:7" x14ac:dyDescent="0.2">
      <c r="G192" t="str">
        <f t="shared" si="89"/>
        <v/>
      </c>
    </row>
    <row r="193" spans="7:7" x14ac:dyDescent="0.2">
      <c r="G193" t="str">
        <f t="shared" si="89"/>
        <v/>
      </c>
    </row>
    <row r="194" spans="7:7" x14ac:dyDescent="0.2">
      <c r="G194" t="str">
        <f t="shared" si="89"/>
        <v/>
      </c>
    </row>
    <row r="195" spans="7:7" x14ac:dyDescent="0.2">
      <c r="G195" t="str">
        <f t="shared" si="89"/>
        <v/>
      </c>
    </row>
    <row r="196" spans="7:7" x14ac:dyDescent="0.2">
      <c r="G196" t="str">
        <f t="shared" si="89"/>
        <v/>
      </c>
    </row>
    <row r="197" spans="7:7" x14ac:dyDescent="0.2">
      <c r="G197" t="str">
        <f t="shared" si="89"/>
        <v/>
      </c>
    </row>
    <row r="198" spans="7:7" x14ac:dyDescent="0.2">
      <c r="G198" t="str">
        <f t="shared" si="89"/>
        <v/>
      </c>
    </row>
    <row r="199" spans="7:7" x14ac:dyDescent="0.2">
      <c r="G199" t="str">
        <f t="shared" si="89"/>
        <v/>
      </c>
    </row>
    <row r="200" spans="7:7" x14ac:dyDescent="0.2">
      <c r="G200" t="str">
        <f t="shared" si="89"/>
        <v/>
      </c>
    </row>
    <row r="201" spans="7:7" x14ac:dyDescent="0.2">
      <c r="G201" t="str">
        <f t="shared" si="89"/>
        <v/>
      </c>
    </row>
    <row r="202" spans="7:7" x14ac:dyDescent="0.2">
      <c r="G202" t="str">
        <f t="shared" si="89"/>
        <v/>
      </c>
    </row>
    <row r="203" spans="7:7" x14ac:dyDescent="0.2">
      <c r="G203" t="str">
        <f t="shared" si="89"/>
        <v/>
      </c>
    </row>
    <row r="204" spans="7:7" x14ac:dyDescent="0.2">
      <c r="G204" t="str">
        <f t="shared" si="89"/>
        <v/>
      </c>
    </row>
    <row r="205" spans="7:7" x14ac:dyDescent="0.2">
      <c r="G205" t="str">
        <f t="shared" si="89"/>
        <v/>
      </c>
    </row>
    <row r="206" spans="7:7" x14ac:dyDescent="0.2">
      <c r="G206" t="str">
        <f t="shared" si="89"/>
        <v/>
      </c>
    </row>
    <row r="207" spans="7:7" x14ac:dyDescent="0.2">
      <c r="G207" t="str">
        <f t="shared" si="89"/>
        <v/>
      </c>
    </row>
    <row r="208" spans="7:7" x14ac:dyDescent="0.2">
      <c r="G208" t="str">
        <f t="shared" si="89"/>
        <v/>
      </c>
    </row>
    <row r="209" spans="7:7" x14ac:dyDescent="0.2">
      <c r="G209" t="str">
        <f t="shared" si="89"/>
        <v/>
      </c>
    </row>
    <row r="210" spans="7:7" x14ac:dyDescent="0.2">
      <c r="G210" t="str">
        <f t="shared" si="89"/>
        <v/>
      </c>
    </row>
    <row r="211" spans="7:7" x14ac:dyDescent="0.2">
      <c r="G211" t="str">
        <f t="shared" si="89"/>
        <v/>
      </c>
    </row>
    <row r="212" spans="7:7" x14ac:dyDescent="0.2">
      <c r="G212" t="str">
        <f t="shared" si="89"/>
        <v/>
      </c>
    </row>
    <row r="213" spans="7:7" x14ac:dyDescent="0.2">
      <c r="G213" t="str">
        <f t="shared" si="89"/>
        <v/>
      </c>
    </row>
    <row r="214" spans="7:7" x14ac:dyDescent="0.2">
      <c r="G214" t="str">
        <f t="shared" si="89"/>
        <v/>
      </c>
    </row>
    <row r="215" spans="7:7" x14ac:dyDescent="0.2">
      <c r="G215" t="str">
        <f t="shared" si="89"/>
        <v/>
      </c>
    </row>
    <row r="216" spans="7:7" x14ac:dyDescent="0.2">
      <c r="G216" t="str">
        <f t="shared" si="89"/>
        <v/>
      </c>
    </row>
    <row r="217" spans="7:7" x14ac:dyDescent="0.2">
      <c r="G217" t="str">
        <f t="shared" si="89"/>
        <v/>
      </c>
    </row>
    <row r="218" spans="7:7" x14ac:dyDescent="0.2">
      <c r="G218" t="str">
        <f t="shared" si="89"/>
        <v/>
      </c>
    </row>
    <row r="219" spans="7:7" x14ac:dyDescent="0.2">
      <c r="G219" t="str">
        <f t="shared" si="89"/>
        <v/>
      </c>
    </row>
    <row r="220" spans="7:7" x14ac:dyDescent="0.2">
      <c r="G220" t="str">
        <f t="shared" ref="G220:G283" si="90">IF(OR(A220="",B220="",C220=""),"",A220&amp;"|"&amp;B220&amp;"|"&amp;C220)</f>
        <v/>
      </c>
    </row>
    <row r="221" spans="7:7" x14ac:dyDescent="0.2">
      <c r="G221" t="str">
        <f t="shared" si="90"/>
        <v/>
      </c>
    </row>
    <row r="222" spans="7:7" x14ac:dyDescent="0.2">
      <c r="G222" t="str">
        <f t="shared" si="90"/>
        <v/>
      </c>
    </row>
    <row r="223" spans="7:7" x14ac:dyDescent="0.2">
      <c r="G223" t="str">
        <f t="shared" si="90"/>
        <v/>
      </c>
    </row>
    <row r="224" spans="7:7" x14ac:dyDescent="0.2">
      <c r="G224" t="str">
        <f t="shared" si="90"/>
        <v/>
      </c>
    </row>
    <row r="225" spans="7:7" x14ac:dyDescent="0.2">
      <c r="G225" t="str">
        <f t="shared" si="90"/>
        <v/>
      </c>
    </row>
    <row r="226" spans="7:7" x14ac:dyDescent="0.2">
      <c r="G226" t="str">
        <f t="shared" si="90"/>
        <v/>
      </c>
    </row>
    <row r="227" spans="7:7" x14ac:dyDescent="0.2">
      <c r="G227" t="str">
        <f t="shared" si="90"/>
        <v/>
      </c>
    </row>
    <row r="228" spans="7:7" x14ac:dyDescent="0.2">
      <c r="G228" t="str">
        <f t="shared" si="90"/>
        <v/>
      </c>
    </row>
    <row r="229" spans="7:7" x14ac:dyDescent="0.2">
      <c r="G229" t="str">
        <f t="shared" si="90"/>
        <v/>
      </c>
    </row>
    <row r="230" spans="7:7" x14ac:dyDescent="0.2">
      <c r="G230" t="str">
        <f t="shared" si="90"/>
        <v/>
      </c>
    </row>
    <row r="231" spans="7:7" x14ac:dyDescent="0.2">
      <c r="G231" t="str">
        <f t="shared" si="90"/>
        <v/>
      </c>
    </row>
    <row r="232" spans="7:7" x14ac:dyDescent="0.2">
      <c r="G232" t="str">
        <f t="shared" si="90"/>
        <v/>
      </c>
    </row>
    <row r="233" spans="7:7" x14ac:dyDescent="0.2">
      <c r="G233" t="str">
        <f t="shared" si="90"/>
        <v/>
      </c>
    </row>
    <row r="234" spans="7:7" x14ac:dyDescent="0.2">
      <c r="G234" t="str">
        <f t="shared" si="90"/>
        <v/>
      </c>
    </row>
    <row r="235" spans="7:7" x14ac:dyDescent="0.2">
      <c r="G235" t="str">
        <f t="shared" si="90"/>
        <v/>
      </c>
    </row>
    <row r="236" spans="7:7" x14ac:dyDescent="0.2">
      <c r="G236" t="str">
        <f t="shared" si="90"/>
        <v/>
      </c>
    </row>
    <row r="237" spans="7:7" x14ac:dyDescent="0.2">
      <c r="G237" t="str">
        <f t="shared" si="90"/>
        <v/>
      </c>
    </row>
    <row r="238" spans="7:7" x14ac:dyDescent="0.2">
      <c r="G238" t="str">
        <f t="shared" si="90"/>
        <v/>
      </c>
    </row>
    <row r="239" spans="7:7" x14ac:dyDescent="0.2">
      <c r="G239" t="str">
        <f t="shared" si="90"/>
        <v/>
      </c>
    </row>
    <row r="240" spans="7:7" x14ac:dyDescent="0.2">
      <c r="G240" t="str">
        <f t="shared" si="90"/>
        <v/>
      </c>
    </row>
    <row r="241" spans="7:7" x14ac:dyDescent="0.2">
      <c r="G241" t="str">
        <f t="shared" si="90"/>
        <v/>
      </c>
    </row>
    <row r="242" spans="7:7" x14ac:dyDescent="0.2">
      <c r="G242" t="str">
        <f t="shared" si="90"/>
        <v/>
      </c>
    </row>
    <row r="243" spans="7:7" x14ac:dyDescent="0.2">
      <c r="G243" t="str">
        <f t="shared" si="90"/>
        <v/>
      </c>
    </row>
    <row r="244" spans="7:7" x14ac:dyDescent="0.2">
      <c r="G244" t="str">
        <f t="shared" si="90"/>
        <v/>
      </c>
    </row>
    <row r="245" spans="7:7" x14ac:dyDescent="0.2">
      <c r="G245" t="str">
        <f t="shared" si="90"/>
        <v/>
      </c>
    </row>
    <row r="246" spans="7:7" x14ac:dyDescent="0.2">
      <c r="G246" t="str">
        <f t="shared" si="90"/>
        <v/>
      </c>
    </row>
    <row r="247" spans="7:7" x14ac:dyDescent="0.2">
      <c r="G247" t="str">
        <f t="shared" si="90"/>
        <v/>
      </c>
    </row>
    <row r="248" spans="7:7" x14ac:dyDescent="0.2">
      <c r="G248" t="str">
        <f t="shared" si="90"/>
        <v/>
      </c>
    </row>
    <row r="249" spans="7:7" x14ac:dyDescent="0.2">
      <c r="G249" t="str">
        <f t="shared" si="90"/>
        <v/>
      </c>
    </row>
    <row r="250" spans="7:7" x14ac:dyDescent="0.2">
      <c r="G250" t="str">
        <f t="shared" si="90"/>
        <v/>
      </c>
    </row>
    <row r="251" spans="7:7" x14ac:dyDescent="0.2">
      <c r="G251" t="str">
        <f t="shared" si="90"/>
        <v/>
      </c>
    </row>
    <row r="252" spans="7:7" x14ac:dyDescent="0.2">
      <c r="G252" t="str">
        <f t="shared" si="90"/>
        <v/>
      </c>
    </row>
    <row r="253" spans="7:7" x14ac:dyDescent="0.2">
      <c r="G253" t="str">
        <f t="shared" si="90"/>
        <v/>
      </c>
    </row>
    <row r="254" spans="7:7" x14ac:dyDescent="0.2">
      <c r="G254" t="str">
        <f t="shared" si="90"/>
        <v/>
      </c>
    </row>
    <row r="255" spans="7:7" x14ac:dyDescent="0.2">
      <c r="G255" t="str">
        <f t="shared" si="90"/>
        <v/>
      </c>
    </row>
    <row r="256" spans="7:7" x14ac:dyDescent="0.2">
      <c r="G256" t="str">
        <f t="shared" si="90"/>
        <v/>
      </c>
    </row>
    <row r="257" spans="7:7" x14ac:dyDescent="0.2">
      <c r="G257" t="str">
        <f t="shared" si="90"/>
        <v/>
      </c>
    </row>
    <row r="258" spans="7:7" x14ac:dyDescent="0.2">
      <c r="G258" t="str">
        <f t="shared" si="90"/>
        <v/>
      </c>
    </row>
    <row r="259" spans="7:7" x14ac:dyDescent="0.2">
      <c r="G259" t="str">
        <f t="shared" si="90"/>
        <v/>
      </c>
    </row>
    <row r="260" spans="7:7" x14ac:dyDescent="0.2">
      <c r="G260" t="str">
        <f t="shared" si="90"/>
        <v/>
      </c>
    </row>
    <row r="261" spans="7:7" x14ac:dyDescent="0.2">
      <c r="G261" t="str">
        <f t="shared" si="90"/>
        <v/>
      </c>
    </row>
    <row r="262" spans="7:7" x14ac:dyDescent="0.2">
      <c r="G262" t="str">
        <f t="shared" si="90"/>
        <v/>
      </c>
    </row>
    <row r="263" spans="7:7" x14ac:dyDescent="0.2">
      <c r="G263" t="str">
        <f t="shared" si="90"/>
        <v/>
      </c>
    </row>
    <row r="264" spans="7:7" x14ac:dyDescent="0.2">
      <c r="G264" t="str">
        <f t="shared" si="90"/>
        <v/>
      </c>
    </row>
    <row r="265" spans="7:7" x14ac:dyDescent="0.2">
      <c r="G265" t="str">
        <f t="shared" si="90"/>
        <v/>
      </c>
    </row>
    <row r="266" spans="7:7" x14ac:dyDescent="0.2">
      <c r="G266" t="str">
        <f t="shared" si="90"/>
        <v/>
      </c>
    </row>
    <row r="267" spans="7:7" x14ac:dyDescent="0.2">
      <c r="G267" t="str">
        <f t="shared" si="90"/>
        <v/>
      </c>
    </row>
    <row r="268" spans="7:7" x14ac:dyDescent="0.2">
      <c r="G268" t="str">
        <f t="shared" si="90"/>
        <v/>
      </c>
    </row>
    <row r="269" spans="7:7" x14ac:dyDescent="0.2">
      <c r="G269" t="str">
        <f t="shared" si="90"/>
        <v/>
      </c>
    </row>
    <row r="270" spans="7:7" x14ac:dyDescent="0.2">
      <c r="G270" t="str">
        <f t="shared" si="90"/>
        <v/>
      </c>
    </row>
    <row r="271" spans="7:7" x14ac:dyDescent="0.2">
      <c r="G271" t="str">
        <f t="shared" si="90"/>
        <v/>
      </c>
    </row>
    <row r="272" spans="7:7" x14ac:dyDescent="0.2">
      <c r="G272" t="str">
        <f t="shared" si="90"/>
        <v/>
      </c>
    </row>
    <row r="273" spans="7:7" x14ac:dyDescent="0.2">
      <c r="G273" t="str">
        <f t="shared" si="90"/>
        <v/>
      </c>
    </row>
    <row r="274" spans="7:7" x14ac:dyDescent="0.2">
      <c r="G274" t="str">
        <f t="shared" si="90"/>
        <v/>
      </c>
    </row>
    <row r="275" spans="7:7" x14ac:dyDescent="0.2">
      <c r="G275" t="str">
        <f t="shared" si="90"/>
        <v/>
      </c>
    </row>
    <row r="276" spans="7:7" x14ac:dyDescent="0.2">
      <c r="G276" t="str">
        <f t="shared" si="90"/>
        <v/>
      </c>
    </row>
    <row r="277" spans="7:7" x14ac:dyDescent="0.2">
      <c r="G277" t="str">
        <f t="shared" si="90"/>
        <v/>
      </c>
    </row>
    <row r="278" spans="7:7" x14ac:dyDescent="0.2">
      <c r="G278" t="str">
        <f t="shared" si="90"/>
        <v/>
      </c>
    </row>
    <row r="279" spans="7:7" x14ac:dyDescent="0.2">
      <c r="G279" t="str">
        <f t="shared" si="90"/>
        <v/>
      </c>
    </row>
    <row r="280" spans="7:7" x14ac:dyDescent="0.2">
      <c r="G280" t="str">
        <f t="shared" si="90"/>
        <v/>
      </c>
    </row>
    <row r="281" spans="7:7" x14ac:dyDescent="0.2">
      <c r="G281" t="str">
        <f t="shared" si="90"/>
        <v/>
      </c>
    </row>
    <row r="282" spans="7:7" x14ac:dyDescent="0.2">
      <c r="G282" t="str">
        <f t="shared" si="90"/>
        <v/>
      </c>
    </row>
    <row r="283" spans="7:7" x14ac:dyDescent="0.2">
      <c r="G283" t="str">
        <f t="shared" si="90"/>
        <v/>
      </c>
    </row>
    <row r="284" spans="7:7" x14ac:dyDescent="0.2">
      <c r="G284" t="str">
        <f t="shared" ref="G284:G347" si="91">IF(OR(A284="",B284="",C284=""),"",A284&amp;"|"&amp;B284&amp;"|"&amp;C284)</f>
        <v/>
      </c>
    </row>
    <row r="285" spans="7:7" x14ac:dyDescent="0.2">
      <c r="G285" t="str">
        <f t="shared" si="91"/>
        <v/>
      </c>
    </row>
    <row r="286" spans="7:7" x14ac:dyDescent="0.2">
      <c r="G286" t="str">
        <f t="shared" si="91"/>
        <v/>
      </c>
    </row>
    <row r="287" spans="7:7" x14ac:dyDescent="0.2">
      <c r="G287" t="str">
        <f t="shared" si="91"/>
        <v/>
      </c>
    </row>
    <row r="288" spans="7:7" x14ac:dyDescent="0.2">
      <c r="G288" t="str">
        <f t="shared" si="91"/>
        <v/>
      </c>
    </row>
    <row r="289" spans="7:7" x14ac:dyDescent="0.2">
      <c r="G289" t="str">
        <f t="shared" si="91"/>
        <v/>
      </c>
    </row>
    <row r="290" spans="7:7" x14ac:dyDescent="0.2">
      <c r="G290" t="str">
        <f t="shared" si="91"/>
        <v/>
      </c>
    </row>
    <row r="291" spans="7:7" x14ac:dyDescent="0.2">
      <c r="G291" t="str">
        <f t="shared" si="91"/>
        <v/>
      </c>
    </row>
    <row r="292" spans="7:7" x14ac:dyDescent="0.2">
      <c r="G292" t="str">
        <f t="shared" si="91"/>
        <v/>
      </c>
    </row>
    <row r="293" spans="7:7" x14ac:dyDescent="0.2">
      <c r="G293" t="str">
        <f t="shared" si="91"/>
        <v/>
      </c>
    </row>
    <row r="294" spans="7:7" x14ac:dyDescent="0.2">
      <c r="G294" t="str">
        <f t="shared" si="91"/>
        <v/>
      </c>
    </row>
    <row r="295" spans="7:7" x14ac:dyDescent="0.2">
      <c r="G295" t="str">
        <f t="shared" si="91"/>
        <v/>
      </c>
    </row>
    <row r="296" spans="7:7" x14ac:dyDescent="0.2">
      <c r="G296" t="str">
        <f t="shared" si="91"/>
        <v/>
      </c>
    </row>
    <row r="297" spans="7:7" x14ac:dyDescent="0.2">
      <c r="G297" t="str">
        <f t="shared" si="91"/>
        <v/>
      </c>
    </row>
    <row r="298" spans="7:7" x14ac:dyDescent="0.2">
      <c r="G298" t="str">
        <f t="shared" si="91"/>
        <v/>
      </c>
    </row>
    <row r="299" spans="7:7" x14ac:dyDescent="0.2">
      <c r="G299" t="str">
        <f t="shared" si="91"/>
        <v/>
      </c>
    </row>
    <row r="300" spans="7:7" x14ac:dyDescent="0.2">
      <c r="G300" t="str">
        <f t="shared" si="91"/>
        <v/>
      </c>
    </row>
    <row r="301" spans="7:7" x14ac:dyDescent="0.2">
      <c r="G301" t="str">
        <f t="shared" si="91"/>
        <v/>
      </c>
    </row>
    <row r="302" spans="7:7" x14ac:dyDescent="0.2">
      <c r="G302" t="str">
        <f t="shared" si="91"/>
        <v/>
      </c>
    </row>
    <row r="303" spans="7:7" x14ac:dyDescent="0.2">
      <c r="G303" t="str">
        <f t="shared" si="91"/>
        <v/>
      </c>
    </row>
    <row r="304" spans="7:7" x14ac:dyDescent="0.2">
      <c r="G304" t="str">
        <f t="shared" si="91"/>
        <v/>
      </c>
    </row>
    <row r="305" spans="7:7" x14ac:dyDescent="0.2">
      <c r="G305" t="str">
        <f t="shared" si="91"/>
        <v/>
      </c>
    </row>
    <row r="306" spans="7:7" x14ac:dyDescent="0.2">
      <c r="G306" t="str">
        <f t="shared" si="91"/>
        <v/>
      </c>
    </row>
    <row r="307" spans="7:7" x14ac:dyDescent="0.2">
      <c r="G307" t="str">
        <f t="shared" si="91"/>
        <v/>
      </c>
    </row>
    <row r="308" spans="7:7" x14ac:dyDescent="0.2">
      <c r="G308" t="str">
        <f t="shared" si="91"/>
        <v/>
      </c>
    </row>
    <row r="309" spans="7:7" x14ac:dyDescent="0.2">
      <c r="G309" t="str">
        <f t="shared" si="91"/>
        <v/>
      </c>
    </row>
    <row r="310" spans="7:7" x14ac:dyDescent="0.2">
      <c r="G310" t="str">
        <f t="shared" si="91"/>
        <v/>
      </c>
    </row>
    <row r="311" spans="7:7" x14ac:dyDescent="0.2">
      <c r="G311" t="str">
        <f t="shared" si="91"/>
        <v/>
      </c>
    </row>
    <row r="312" spans="7:7" x14ac:dyDescent="0.2">
      <c r="G312" t="str">
        <f t="shared" si="91"/>
        <v/>
      </c>
    </row>
    <row r="313" spans="7:7" x14ac:dyDescent="0.2">
      <c r="G313" t="str">
        <f t="shared" si="91"/>
        <v/>
      </c>
    </row>
    <row r="314" spans="7:7" x14ac:dyDescent="0.2">
      <c r="G314" t="str">
        <f t="shared" si="91"/>
        <v/>
      </c>
    </row>
    <row r="315" spans="7:7" x14ac:dyDescent="0.2">
      <c r="G315" t="str">
        <f t="shared" si="91"/>
        <v/>
      </c>
    </row>
    <row r="316" spans="7:7" x14ac:dyDescent="0.2">
      <c r="G316" t="str">
        <f t="shared" si="91"/>
        <v/>
      </c>
    </row>
    <row r="317" spans="7:7" x14ac:dyDescent="0.2">
      <c r="G317" t="str">
        <f t="shared" si="91"/>
        <v/>
      </c>
    </row>
    <row r="318" spans="7:7" x14ac:dyDescent="0.2">
      <c r="G318" t="str">
        <f t="shared" si="91"/>
        <v/>
      </c>
    </row>
    <row r="319" spans="7:7" x14ac:dyDescent="0.2">
      <c r="G319" t="str">
        <f t="shared" si="91"/>
        <v/>
      </c>
    </row>
    <row r="320" spans="7:7" x14ac:dyDescent="0.2">
      <c r="G320" t="str">
        <f t="shared" si="91"/>
        <v/>
      </c>
    </row>
    <row r="321" spans="7:7" x14ac:dyDescent="0.2">
      <c r="G321" t="str">
        <f t="shared" si="91"/>
        <v/>
      </c>
    </row>
    <row r="322" spans="7:7" x14ac:dyDescent="0.2">
      <c r="G322" t="str">
        <f t="shared" si="91"/>
        <v/>
      </c>
    </row>
    <row r="323" spans="7:7" x14ac:dyDescent="0.2">
      <c r="G323" t="str">
        <f t="shared" si="91"/>
        <v/>
      </c>
    </row>
    <row r="324" spans="7:7" x14ac:dyDescent="0.2">
      <c r="G324" t="str">
        <f t="shared" si="91"/>
        <v/>
      </c>
    </row>
    <row r="325" spans="7:7" x14ac:dyDescent="0.2">
      <c r="G325" t="str">
        <f t="shared" si="91"/>
        <v/>
      </c>
    </row>
    <row r="326" spans="7:7" x14ac:dyDescent="0.2">
      <c r="G326" t="str">
        <f t="shared" si="91"/>
        <v/>
      </c>
    </row>
    <row r="327" spans="7:7" x14ac:dyDescent="0.2">
      <c r="G327" t="str">
        <f t="shared" si="91"/>
        <v/>
      </c>
    </row>
    <row r="328" spans="7:7" x14ac:dyDescent="0.2">
      <c r="G328" t="str">
        <f t="shared" si="91"/>
        <v/>
      </c>
    </row>
    <row r="329" spans="7:7" x14ac:dyDescent="0.2">
      <c r="G329" t="str">
        <f t="shared" si="91"/>
        <v/>
      </c>
    </row>
    <row r="330" spans="7:7" x14ac:dyDescent="0.2">
      <c r="G330" t="str">
        <f t="shared" si="91"/>
        <v/>
      </c>
    </row>
    <row r="331" spans="7:7" x14ac:dyDescent="0.2">
      <c r="G331" t="str">
        <f t="shared" si="91"/>
        <v/>
      </c>
    </row>
    <row r="332" spans="7:7" x14ac:dyDescent="0.2">
      <c r="G332" t="str">
        <f t="shared" si="91"/>
        <v/>
      </c>
    </row>
    <row r="333" spans="7:7" x14ac:dyDescent="0.2">
      <c r="G333" t="str">
        <f t="shared" si="91"/>
        <v/>
      </c>
    </row>
    <row r="334" spans="7:7" x14ac:dyDescent="0.2">
      <c r="G334" t="str">
        <f t="shared" si="91"/>
        <v/>
      </c>
    </row>
    <row r="335" spans="7:7" x14ac:dyDescent="0.2">
      <c r="G335" t="str">
        <f t="shared" si="91"/>
        <v/>
      </c>
    </row>
    <row r="336" spans="7:7" x14ac:dyDescent="0.2">
      <c r="G336" t="str">
        <f t="shared" si="91"/>
        <v/>
      </c>
    </row>
    <row r="337" spans="7:7" x14ac:dyDescent="0.2">
      <c r="G337" t="str">
        <f t="shared" si="91"/>
        <v/>
      </c>
    </row>
    <row r="338" spans="7:7" x14ac:dyDescent="0.2">
      <c r="G338" t="str">
        <f t="shared" si="91"/>
        <v/>
      </c>
    </row>
    <row r="339" spans="7:7" x14ac:dyDescent="0.2">
      <c r="G339" t="str">
        <f t="shared" si="91"/>
        <v/>
      </c>
    </row>
    <row r="340" spans="7:7" x14ac:dyDescent="0.2">
      <c r="G340" t="str">
        <f t="shared" si="91"/>
        <v/>
      </c>
    </row>
    <row r="341" spans="7:7" x14ac:dyDescent="0.2">
      <c r="G341" t="str">
        <f t="shared" si="91"/>
        <v/>
      </c>
    </row>
    <row r="342" spans="7:7" x14ac:dyDescent="0.2">
      <c r="G342" t="str">
        <f t="shared" si="91"/>
        <v/>
      </c>
    </row>
    <row r="343" spans="7:7" x14ac:dyDescent="0.2">
      <c r="G343" t="str">
        <f t="shared" si="91"/>
        <v/>
      </c>
    </row>
    <row r="344" spans="7:7" x14ac:dyDescent="0.2">
      <c r="G344" t="str">
        <f t="shared" si="91"/>
        <v/>
      </c>
    </row>
    <row r="345" spans="7:7" x14ac:dyDescent="0.2">
      <c r="G345" t="str">
        <f t="shared" si="91"/>
        <v/>
      </c>
    </row>
    <row r="346" spans="7:7" x14ac:dyDescent="0.2">
      <c r="G346" t="str">
        <f t="shared" si="91"/>
        <v/>
      </c>
    </row>
    <row r="347" spans="7:7" x14ac:dyDescent="0.2">
      <c r="G347" t="str">
        <f t="shared" si="91"/>
        <v/>
      </c>
    </row>
    <row r="348" spans="7:7" x14ac:dyDescent="0.2">
      <c r="G348" t="str">
        <f t="shared" ref="G348:G411" si="92">IF(OR(A348="",B348="",C348=""),"",A348&amp;"|"&amp;B348&amp;"|"&amp;C348)</f>
        <v/>
      </c>
    </row>
    <row r="349" spans="7:7" x14ac:dyDescent="0.2">
      <c r="G349" t="str">
        <f t="shared" si="92"/>
        <v/>
      </c>
    </row>
    <row r="350" spans="7:7" x14ac:dyDescent="0.2">
      <c r="G350" t="str">
        <f t="shared" si="92"/>
        <v/>
      </c>
    </row>
    <row r="351" spans="7:7" x14ac:dyDescent="0.2">
      <c r="G351" t="str">
        <f t="shared" si="92"/>
        <v/>
      </c>
    </row>
    <row r="352" spans="7:7" x14ac:dyDescent="0.2">
      <c r="G352" t="str">
        <f t="shared" si="92"/>
        <v/>
      </c>
    </row>
    <row r="353" spans="7:7" x14ac:dyDescent="0.2">
      <c r="G353" t="str">
        <f t="shared" si="92"/>
        <v/>
      </c>
    </row>
    <row r="354" spans="7:7" x14ac:dyDescent="0.2">
      <c r="G354" t="str">
        <f t="shared" si="92"/>
        <v/>
      </c>
    </row>
    <row r="355" spans="7:7" x14ac:dyDescent="0.2">
      <c r="G355" t="str">
        <f t="shared" si="92"/>
        <v/>
      </c>
    </row>
    <row r="356" spans="7:7" x14ac:dyDescent="0.2">
      <c r="G356" t="str">
        <f t="shared" si="92"/>
        <v/>
      </c>
    </row>
    <row r="357" spans="7:7" x14ac:dyDescent="0.2">
      <c r="G357" t="str">
        <f t="shared" si="92"/>
        <v/>
      </c>
    </row>
    <row r="358" spans="7:7" x14ac:dyDescent="0.2">
      <c r="G358" t="str">
        <f t="shared" si="92"/>
        <v/>
      </c>
    </row>
    <row r="359" spans="7:7" x14ac:dyDescent="0.2">
      <c r="G359" t="str">
        <f t="shared" si="92"/>
        <v/>
      </c>
    </row>
    <row r="360" spans="7:7" x14ac:dyDescent="0.2">
      <c r="G360" t="str">
        <f t="shared" si="92"/>
        <v/>
      </c>
    </row>
    <row r="361" spans="7:7" x14ac:dyDescent="0.2">
      <c r="G361" t="str">
        <f t="shared" si="92"/>
        <v/>
      </c>
    </row>
    <row r="362" spans="7:7" x14ac:dyDescent="0.2">
      <c r="G362" t="str">
        <f t="shared" si="92"/>
        <v/>
      </c>
    </row>
    <row r="363" spans="7:7" x14ac:dyDescent="0.2">
      <c r="G363" t="str">
        <f t="shared" si="92"/>
        <v/>
      </c>
    </row>
    <row r="364" spans="7:7" x14ac:dyDescent="0.2">
      <c r="G364" t="str">
        <f t="shared" si="92"/>
        <v/>
      </c>
    </row>
    <row r="365" spans="7:7" x14ac:dyDescent="0.2">
      <c r="G365" t="str">
        <f t="shared" si="92"/>
        <v/>
      </c>
    </row>
    <row r="366" spans="7:7" x14ac:dyDescent="0.2">
      <c r="G366" t="str">
        <f t="shared" si="92"/>
        <v/>
      </c>
    </row>
    <row r="367" spans="7:7" x14ac:dyDescent="0.2">
      <c r="G367" t="str">
        <f t="shared" si="92"/>
        <v/>
      </c>
    </row>
    <row r="368" spans="7:7" x14ac:dyDescent="0.2">
      <c r="G368" t="str">
        <f t="shared" si="92"/>
        <v/>
      </c>
    </row>
    <row r="369" spans="7:7" x14ac:dyDescent="0.2">
      <c r="G369" t="str">
        <f t="shared" si="92"/>
        <v/>
      </c>
    </row>
    <row r="370" spans="7:7" x14ac:dyDescent="0.2">
      <c r="G370" t="str">
        <f t="shared" si="92"/>
        <v/>
      </c>
    </row>
    <row r="371" spans="7:7" x14ac:dyDescent="0.2">
      <c r="G371" t="str">
        <f t="shared" si="92"/>
        <v/>
      </c>
    </row>
    <row r="372" spans="7:7" x14ac:dyDescent="0.2">
      <c r="G372" t="str">
        <f t="shared" si="92"/>
        <v/>
      </c>
    </row>
    <row r="373" spans="7:7" x14ac:dyDescent="0.2">
      <c r="G373" t="str">
        <f t="shared" si="92"/>
        <v/>
      </c>
    </row>
    <row r="374" spans="7:7" x14ac:dyDescent="0.2">
      <c r="G374" t="str">
        <f t="shared" si="92"/>
        <v/>
      </c>
    </row>
    <row r="375" spans="7:7" x14ac:dyDescent="0.2">
      <c r="G375" t="str">
        <f t="shared" si="92"/>
        <v/>
      </c>
    </row>
    <row r="376" spans="7:7" x14ac:dyDescent="0.2">
      <c r="G376" t="str">
        <f t="shared" si="92"/>
        <v/>
      </c>
    </row>
    <row r="377" spans="7:7" x14ac:dyDescent="0.2">
      <c r="G377" t="str">
        <f t="shared" si="92"/>
        <v/>
      </c>
    </row>
    <row r="378" spans="7:7" x14ac:dyDescent="0.2">
      <c r="G378" t="str">
        <f t="shared" si="92"/>
        <v/>
      </c>
    </row>
    <row r="379" spans="7:7" x14ac:dyDescent="0.2">
      <c r="G379" t="str">
        <f t="shared" si="92"/>
        <v/>
      </c>
    </row>
    <row r="380" spans="7:7" x14ac:dyDescent="0.2">
      <c r="G380" t="str">
        <f t="shared" si="92"/>
        <v/>
      </c>
    </row>
    <row r="381" spans="7:7" x14ac:dyDescent="0.2">
      <c r="G381" t="str">
        <f t="shared" si="92"/>
        <v/>
      </c>
    </row>
    <row r="382" spans="7:7" x14ac:dyDescent="0.2">
      <c r="G382" t="str">
        <f t="shared" si="92"/>
        <v/>
      </c>
    </row>
    <row r="383" spans="7:7" x14ac:dyDescent="0.2">
      <c r="G383" t="str">
        <f t="shared" si="92"/>
        <v/>
      </c>
    </row>
    <row r="384" spans="7:7" x14ac:dyDescent="0.2">
      <c r="G384" t="str">
        <f t="shared" si="92"/>
        <v/>
      </c>
    </row>
    <row r="385" spans="7:7" x14ac:dyDescent="0.2">
      <c r="G385" t="str">
        <f t="shared" si="92"/>
        <v/>
      </c>
    </row>
    <row r="386" spans="7:7" x14ac:dyDescent="0.2">
      <c r="G386" t="str">
        <f t="shared" si="92"/>
        <v/>
      </c>
    </row>
    <row r="387" spans="7:7" x14ac:dyDescent="0.2">
      <c r="G387" t="str">
        <f t="shared" si="92"/>
        <v/>
      </c>
    </row>
    <row r="388" spans="7:7" x14ac:dyDescent="0.2">
      <c r="G388" t="str">
        <f t="shared" si="92"/>
        <v/>
      </c>
    </row>
    <row r="389" spans="7:7" x14ac:dyDescent="0.2">
      <c r="G389" t="str">
        <f t="shared" si="92"/>
        <v/>
      </c>
    </row>
    <row r="390" spans="7:7" x14ac:dyDescent="0.2">
      <c r="G390" t="str">
        <f t="shared" si="92"/>
        <v/>
      </c>
    </row>
    <row r="391" spans="7:7" x14ac:dyDescent="0.2">
      <c r="G391" t="str">
        <f t="shared" si="92"/>
        <v/>
      </c>
    </row>
    <row r="392" spans="7:7" x14ac:dyDescent="0.2">
      <c r="G392" t="str">
        <f t="shared" si="92"/>
        <v/>
      </c>
    </row>
    <row r="393" spans="7:7" x14ac:dyDescent="0.2">
      <c r="G393" t="str">
        <f t="shared" si="92"/>
        <v/>
      </c>
    </row>
    <row r="394" spans="7:7" x14ac:dyDescent="0.2">
      <c r="G394" t="str">
        <f t="shared" si="92"/>
        <v/>
      </c>
    </row>
    <row r="395" spans="7:7" x14ac:dyDescent="0.2">
      <c r="G395" t="str">
        <f t="shared" si="92"/>
        <v/>
      </c>
    </row>
    <row r="396" spans="7:7" x14ac:dyDescent="0.2">
      <c r="G396" t="str">
        <f t="shared" si="92"/>
        <v/>
      </c>
    </row>
    <row r="397" spans="7:7" x14ac:dyDescent="0.2">
      <c r="G397" t="str">
        <f t="shared" si="92"/>
        <v/>
      </c>
    </row>
    <row r="398" spans="7:7" x14ac:dyDescent="0.2">
      <c r="G398" t="str">
        <f t="shared" si="92"/>
        <v/>
      </c>
    </row>
    <row r="399" spans="7:7" x14ac:dyDescent="0.2">
      <c r="G399" t="str">
        <f t="shared" si="92"/>
        <v/>
      </c>
    </row>
    <row r="400" spans="7:7" x14ac:dyDescent="0.2">
      <c r="G400" t="str">
        <f t="shared" si="92"/>
        <v/>
      </c>
    </row>
    <row r="401" spans="7:7" x14ac:dyDescent="0.2">
      <c r="G401" t="str">
        <f t="shared" si="92"/>
        <v/>
      </c>
    </row>
    <row r="402" spans="7:7" x14ac:dyDescent="0.2">
      <c r="G402" t="str">
        <f t="shared" si="92"/>
        <v/>
      </c>
    </row>
    <row r="403" spans="7:7" x14ac:dyDescent="0.2">
      <c r="G403" t="str">
        <f t="shared" si="92"/>
        <v/>
      </c>
    </row>
    <row r="404" spans="7:7" x14ac:dyDescent="0.2">
      <c r="G404" t="str">
        <f t="shared" si="92"/>
        <v/>
      </c>
    </row>
    <row r="405" spans="7:7" x14ac:dyDescent="0.2">
      <c r="G405" t="str">
        <f t="shared" si="92"/>
        <v/>
      </c>
    </row>
    <row r="406" spans="7:7" x14ac:dyDescent="0.2">
      <c r="G406" t="str">
        <f t="shared" si="92"/>
        <v/>
      </c>
    </row>
    <row r="407" spans="7:7" x14ac:dyDescent="0.2">
      <c r="G407" t="str">
        <f t="shared" si="92"/>
        <v/>
      </c>
    </row>
    <row r="408" spans="7:7" x14ac:dyDescent="0.2">
      <c r="G408" t="str">
        <f t="shared" si="92"/>
        <v/>
      </c>
    </row>
    <row r="409" spans="7:7" x14ac:dyDescent="0.2">
      <c r="G409" t="str">
        <f t="shared" si="92"/>
        <v/>
      </c>
    </row>
    <row r="410" spans="7:7" x14ac:dyDescent="0.2">
      <c r="G410" t="str">
        <f t="shared" si="92"/>
        <v/>
      </c>
    </row>
    <row r="411" spans="7:7" x14ac:dyDescent="0.2">
      <c r="G411" t="str">
        <f t="shared" si="92"/>
        <v/>
      </c>
    </row>
    <row r="412" spans="7:7" x14ac:dyDescent="0.2">
      <c r="G412" t="str">
        <f t="shared" ref="G412:G475" si="93">IF(OR(A412="",B412="",C412=""),"",A412&amp;"|"&amp;B412&amp;"|"&amp;C412)</f>
        <v/>
      </c>
    </row>
    <row r="413" spans="7:7" x14ac:dyDescent="0.2">
      <c r="G413" t="str">
        <f t="shared" si="93"/>
        <v/>
      </c>
    </row>
    <row r="414" spans="7:7" x14ac:dyDescent="0.2">
      <c r="G414" t="str">
        <f t="shared" si="93"/>
        <v/>
      </c>
    </row>
    <row r="415" spans="7:7" x14ac:dyDescent="0.2">
      <c r="G415" t="str">
        <f t="shared" si="93"/>
        <v/>
      </c>
    </row>
    <row r="416" spans="7:7" x14ac:dyDescent="0.2">
      <c r="G416" t="str">
        <f t="shared" si="93"/>
        <v/>
      </c>
    </row>
    <row r="417" spans="7:7" x14ac:dyDescent="0.2">
      <c r="G417" t="str">
        <f t="shared" si="93"/>
        <v/>
      </c>
    </row>
    <row r="418" spans="7:7" x14ac:dyDescent="0.2">
      <c r="G418" t="str">
        <f t="shared" si="93"/>
        <v/>
      </c>
    </row>
    <row r="419" spans="7:7" x14ac:dyDescent="0.2">
      <c r="G419" t="str">
        <f t="shared" si="93"/>
        <v/>
      </c>
    </row>
    <row r="420" spans="7:7" x14ac:dyDescent="0.2">
      <c r="G420" t="str">
        <f t="shared" si="93"/>
        <v/>
      </c>
    </row>
    <row r="421" spans="7:7" x14ac:dyDescent="0.2">
      <c r="G421" t="str">
        <f t="shared" si="93"/>
        <v/>
      </c>
    </row>
    <row r="422" spans="7:7" x14ac:dyDescent="0.2">
      <c r="G422" t="str">
        <f t="shared" si="93"/>
        <v/>
      </c>
    </row>
    <row r="423" spans="7:7" x14ac:dyDescent="0.2">
      <c r="G423" t="str">
        <f t="shared" si="93"/>
        <v/>
      </c>
    </row>
    <row r="424" spans="7:7" x14ac:dyDescent="0.2">
      <c r="G424" t="str">
        <f t="shared" si="93"/>
        <v/>
      </c>
    </row>
    <row r="425" spans="7:7" x14ac:dyDescent="0.2">
      <c r="G425" t="str">
        <f t="shared" si="93"/>
        <v/>
      </c>
    </row>
    <row r="426" spans="7:7" x14ac:dyDescent="0.2">
      <c r="G426" t="str">
        <f t="shared" si="93"/>
        <v/>
      </c>
    </row>
    <row r="427" spans="7:7" x14ac:dyDescent="0.2">
      <c r="G427" t="str">
        <f t="shared" si="93"/>
        <v/>
      </c>
    </row>
    <row r="428" spans="7:7" x14ac:dyDescent="0.2">
      <c r="G428" t="str">
        <f t="shared" si="93"/>
        <v/>
      </c>
    </row>
    <row r="429" spans="7:7" x14ac:dyDescent="0.2">
      <c r="G429" t="str">
        <f t="shared" si="93"/>
        <v/>
      </c>
    </row>
    <row r="430" spans="7:7" x14ac:dyDescent="0.2">
      <c r="G430" t="str">
        <f t="shared" si="93"/>
        <v/>
      </c>
    </row>
    <row r="431" spans="7:7" x14ac:dyDescent="0.2">
      <c r="G431" t="str">
        <f t="shared" si="93"/>
        <v/>
      </c>
    </row>
    <row r="432" spans="7:7" x14ac:dyDescent="0.2">
      <c r="G432" t="str">
        <f t="shared" si="93"/>
        <v/>
      </c>
    </row>
    <row r="433" spans="7:7" x14ac:dyDescent="0.2">
      <c r="G433" t="str">
        <f t="shared" si="93"/>
        <v/>
      </c>
    </row>
    <row r="434" spans="7:7" x14ac:dyDescent="0.2">
      <c r="G434" t="str">
        <f t="shared" si="93"/>
        <v/>
      </c>
    </row>
    <row r="435" spans="7:7" x14ac:dyDescent="0.2">
      <c r="G435" t="str">
        <f t="shared" si="93"/>
        <v/>
      </c>
    </row>
    <row r="436" spans="7:7" x14ac:dyDescent="0.2">
      <c r="G436" t="str">
        <f t="shared" si="93"/>
        <v/>
      </c>
    </row>
    <row r="437" spans="7:7" x14ac:dyDescent="0.2">
      <c r="G437" t="str">
        <f t="shared" si="93"/>
        <v/>
      </c>
    </row>
    <row r="438" spans="7:7" x14ac:dyDescent="0.2">
      <c r="G438" t="str">
        <f t="shared" si="93"/>
        <v/>
      </c>
    </row>
    <row r="439" spans="7:7" x14ac:dyDescent="0.2">
      <c r="G439" t="str">
        <f t="shared" si="93"/>
        <v/>
      </c>
    </row>
    <row r="440" spans="7:7" x14ac:dyDescent="0.2">
      <c r="G440" t="str">
        <f t="shared" si="93"/>
        <v/>
      </c>
    </row>
    <row r="441" spans="7:7" x14ac:dyDescent="0.2">
      <c r="G441" t="str">
        <f t="shared" si="93"/>
        <v/>
      </c>
    </row>
    <row r="442" spans="7:7" x14ac:dyDescent="0.2">
      <c r="G442" t="str">
        <f t="shared" si="93"/>
        <v/>
      </c>
    </row>
    <row r="443" spans="7:7" x14ac:dyDescent="0.2">
      <c r="G443" t="str">
        <f t="shared" si="93"/>
        <v/>
      </c>
    </row>
    <row r="444" spans="7:7" x14ac:dyDescent="0.2">
      <c r="G444" t="str">
        <f t="shared" si="93"/>
        <v/>
      </c>
    </row>
    <row r="445" spans="7:7" x14ac:dyDescent="0.2">
      <c r="G445" t="str">
        <f t="shared" si="93"/>
        <v/>
      </c>
    </row>
    <row r="446" spans="7:7" x14ac:dyDescent="0.2">
      <c r="G446" t="str">
        <f t="shared" si="93"/>
        <v/>
      </c>
    </row>
    <row r="447" spans="7:7" x14ac:dyDescent="0.2">
      <c r="G447" t="str">
        <f t="shared" si="93"/>
        <v/>
      </c>
    </row>
    <row r="448" spans="7:7" x14ac:dyDescent="0.2">
      <c r="G448" t="str">
        <f t="shared" si="93"/>
        <v/>
      </c>
    </row>
    <row r="449" spans="7:7" x14ac:dyDescent="0.2">
      <c r="G449" t="str">
        <f t="shared" si="93"/>
        <v/>
      </c>
    </row>
    <row r="450" spans="7:7" x14ac:dyDescent="0.2">
      <c r="G450" t="str">
        <f t="shared" si="93"/>
        <v/>
      </c>
    </row>
    <row r="451" spans="7:7" x14ac:dyDescent="0.2">
      <c r="G451" t="str">
        <f t="shared" si="93"/>
        <v/>
      </c>
    </row>
    <row r="452" spans="7:7" x14ac:dyDescent="0.2">
      <c r="G452" t="str">
        <f t="shared" si="93"/>
        <v/>
      </c>
    </row>
    <row r="453" spans="7:7" x14ac:dyDescent="0.2">
      <c r="G453" t="str">
        <f t="shared" si="93"/>
        <v/>
      </c>
    </row>
    <row r="454" spans="7:7" x14ac:dyDescent="0.2">
      <c r="G454" t="str">
        <f t="shared" si="93"/>
        <v/>
      </c>
    </row>
    <row r="455" spans="7:7" x14ac:dyDescent="0.2">
      <c r="G455" t="str">
        <f t="shared" si="93"/>
        <v/>
      </c>
    </row>
    <row r="456" spans="7:7" x14ac:dyDescent="0.2">
      <c r="G456" t="str">
        <f t="shared" si="93"/>
        <v/>
      </c>
    </row>
    <row r="457" spans="7:7" x14ac:dyDescent="0.2">
      <c r="G457" t="str">
        <f t="shared" si="93"/>
        <v/>
      </c>
    </row>
    <row r="458" spans="7:7" x14ac:dyDescent="0.2">
      <c r="G458" t="str">
        <f t="shared" si="93"/>
        <v/>
      </c>
    </row>
    <row r="459" spans="7:7" x14ac:dyDescent="0.2">
      <c r="G459" t="str">
        <f t="shared" si="93"/>
        <v/>
      </c>
    </row>
    <row r="460" spans="7:7" x14ac:dyDescent="0.2">
      <c r="G460" t="str">
        <f t="shared" si="93"/>
        <v/>
      </c>
    </row>
    <row r="461" spans="7:7" x14ac:dyDescent="0.2">
      <c r="G461" t="str">
        <f t="shared" si="93"/>
        <v/>
      </c>
    </row>
    <row r="462" spans="7:7" x14ac:dyDescent="0.2">
      <c r="G462" t="str">
        <f t="shared" si="93"/>
        <v/>
      </c>
    </row>
    <row r="463" spans="7:7" x14ac:dyDescent="0.2">
      <c r="G463" t="str">
        <f t="shared" si="93"/>
        <v/>
      </c>
    </row>
    <row r="464" spans="7:7" x14ac:dyDescent="0.2">
      <c r="G464" t="str">
        <f t="shared" si="93"/>
        <v/>
      </c>
    </row>
    <row r="465" spans="7:7" x14ac:dyDescent="0.2">
      <c r="G465" t="str">
        <f t="shared" si="93"/>
        <v/>
      </c>
    </row>
    <row r="466" spans="7:7" x14ac:dyDescent="0.2">
      <c r="G466" t="str">
        <f t="shared" si="93"/>
        <v/>
      </c>
    </row>
    <row r="467" spans="7:7" x14ac:dyDescent="0.2">
      <c r="G467" t="str">
        <f t="shared" si="93"/>
        <v/>
      </c>
    </row>
    <row r="468" spans="7:7" x14ac:dyDescent="0.2">
      <c r="G468" t="str">
        <f t="shared" si="93"/>
        <v/>
      </c>
    </row>
    <row r="469" spans="7:7" x14ac:dyDescent="0.2">
      <c r="G469" t="str">
        <f t="shared" si="93"/>
        <v/>
      </c>
    </row>
    <row r="470" spans="7:7" x14ac:dyDescent="0.2">
      <c r="G470" t="str">
        <f t="shared" si="93"/>
        <v/>
      </c>
    </row>
    <row r="471" spans="7:7" x14ac:dyDescent="0.2">
      <c r="G471" t="str">
        <f t="shared" si="93"/>
        <v/>
      </c>
    </row>
    <row r="472" spans="7:7" x14ac:dyDescent="0.2">
      <c r="G472" t="str">
        <f t="shared" si="93"/>
        <v/>
      </c>
    </row>
    <row r="473" spans="7:7" x14ac:dyDescent="0.2">
      <c r="G473" t="str">
        <f t="shared" si="93"/>
        <v/>
      </c>
    </row>
    <row r="474" spans="7:7" x14ac:dyDescent="0.2">
      <c r="G474" t="str">
        <f t="shared" si="93"/>
        <v/>
      </c>
    </row>
    <row r="475" spans="7:7" x14ac:dyDescent="0.2">
      <c r="G475" t="str">
        <f t="shared" si="93"/>
        <v/>
      </c>
    </row>
    <row r="476" spans="7:7" x14ac:dyDescent="0.2">
      <c r="G476" t="str">
        <f t="shared" ref="G476:G539" si="94">IF(OR(A476="",B476="",C476=""),"",A476&amp;"|"&amp;B476&amp;"|"&amp;C476)</f>
        <v/>
      </c>
    </row>
    <row r="477" spans="7:7" x14ac:dyDescent="0.2">
      <c r="G477" t="str">
        <f t="shared" si="94"/>
        <v/>
      </c>
    </row>
    <row r="478" spans="7:7" x14ac:dyDescent="0.2">
      <c r="G478" t="str">
        <f t="shared" si="94"/>
        <v/>
      </c>
    </row>
    <row r="479" spans="7:7" x14ac:dyDescent="0.2">
      <c r="G479" t="str">
        <f t="shared" si="94"/>
        <v/>
      </c>
    </row>
    <row r="480" spans="7:7" x14ac:dyDescent="0.2">
      <c r="G480" t="str">
        <f t="shared" si="94"/>
        <v/>
      </c>
    </row>
    <row r="481" spans="7:7" x14ac:dyDescent="0.2">
      <c r="G481" t="str">
        <f t="shared" si="94"/>
        <v/>
      </c>
    </row>
    <row r="482" spans="7:7" x14ac:dyDescent="0.2">
      <c r="G482" t="str">
        <f t="shared" si="94"/>
        <v/>
      </c>
    </row>
    <row r="483" spans="7:7" x14ac:dyDescent="0.2">
      <c r="G483" t="str">
        <f t="shared" si="94"/>
        <v/>
      </c>
    </row>
    <row r="484" spans="7:7" x14ac:dyDescent="0.2">
      <c r="G484" t="str">
        <f t="shared" si="94"/>
        <v/>
      </c>
    </row>
    <row r="485" spans="7:7" x14ac:dyDescent="0.2">
      <c r="G485" t="str">
        <f t="shared" si="94"/>
        <v/>
      </c>
    </row>
    <row r="486" spans="7:7" x14ac:dyDescent="0.2">
      <c r="G486" t="str">
        <f t="shared" si="94"/>
        <v/>
      </c>
    </row>
    <row r="487" spans="7:7" x14ac:dyDescent="0.2">
      <c r="G487" t="str">
        <f t="shared" si="94"/>
        <v/>
      </c>
    </row>
    <row r="488" spans="7:7" x14ac:dyDescent="0.2">
      <c r="G488" t="str">
        <f t="shared" si="94"/>
        <v/>
      </c>
    </row>
    <row r="489" spans="7:7" x14ac:dyDescent="0.2">
      <c r="G489" t="str">
        <f t="shared" si="94"/>
        <v/>
      </c>
    </row>
    <row r="490" spans="7:7" x14ac:dyDescent="0.2">
      <c r="G490" t="str">
        <f t="shared" si="94"/>
        <v/>
      </c>
    </row>
    <row r="491" spans="7:7" x14ac:dyDescent="0.2">
      <c r="G491" t="str">
        <f t="shared" si="94"/>
        <v/>
      </c>
    </row>
    <row r="492" spans="7:7" x14ac:dyDescent="0.2">
      <c r="G492" t="str">
        <f t="shared" si="94"/>
        <v/>
      </c>
    </row>
    <row r="493" spans="7:7" x14ac:dyDescent="0.2">
      <c r="G493" t="str">
        <f t="shared" si="94"/>
        <v/>
      </c>
    </row>
    <row r="494" spans="7:7" x14ac:dyDescent="0.2">
      <c r="G494" t="str">
        <f t="shared" si="94"/>
        <v/>
      </c>
    </row>
    <row r="495" spans="7:7" x14ac:dyDescent="0.2">
      <c r="G495" t="str">
        <f t="shared" si="94"/>
        <v/>
      </c>
    </row>
    <row r="496" spans="7:7" x14ac:dyDescent="0.2">
      <c r="G496" t="str">
        <f t="shared" si="94"/>
        <v/>
      </c>
    </row>
    <row r="497" spans="7:7" x14ac:dyDescent="0.2">
      <c r="G497" t="str">
        <f t="shared" si="94"/>
        <v/>
      </c>
    </row>
    <row r="498" spans="7:7" x14ac:dyDescent="0.2">
      <c r="G498" t="str">
        <f t="shared" si="94"/>
        <v/>
      </c>
    </row>
    <row r="499" spans="7:7" x14ac:dyDescent="0.2">
      <c r="G499" t="str">
        <f t="shared" si="94"/>
        <v/>
      </c>
    </row>
    <row r="500" spans="7:7" x14ac:dyDescent="0.2">
      <c r="G500" t="str">
        <f t="shared" si="94"/>
        <v/>
      </c>
    </row>
    <row r="501" spans="7:7" x14ac:dyDescent="0.2">
      <c r="G501" t="str">
        <f t="shared" si="94"/>
        <v/>
      </c>
    </row>
    <row r="502" spans="7:7" x14ac:dyDescent="0.2">
      <c r="G502" t="str">
        <f t="shared" si="94"/>
        <v/>
      </c>
    </row>
    <row r="503" spans="7:7" x14ac:dyDescent="0.2">
      <c r="G503" t="str">
        <f t="shared" si="94"/>
        <v/>
      </c>
    </row>
    <row r="504" spans="7:7" x14ac:dyDescent="0.2">
      <c r="G504" t="str">
        <f t="shared" si="94"/>
        <v/>
      </c>
    </row>
    <row r="505" spans="7:7" x14ac:dyDescent="0.2">
      <c r="G505" t="str">
        <f t="shared" si="94"/>
        <v/>
      </c>
    </row>
    <row r="506" spans="7:7" x14ac:dyDescent="0.2">
      <c r="G506" t="str">
        <f t="shared" si="94"/>
        <v/>
      </c>
    </row>
    <row r="507" spans="7:7" x14ac:dyDescent="0.2">
      <c r="G507" t="str">
        <f t="shared" si="94"/>
        <v/>
      </c>
    </row>
    <row r="508" spans="7:7" x14ac:dyDescent="0.2">
      <c r="G508" t="str">
        <f t="shared" si="94"/>
        <v/>
      </c>
    </row>
    <row r="509" spans="7:7" x14ac:dyDescent="0.2">
      <c r="G509" t="str">
        <f t="shared" si="94"/>
        <v/>
      </c>
    </row>
    <row r="510" spans="7:7" x14ac:dyDescent="0.2">
      <c r="G510" t="str">
        <f t="shared" si="94"/>
        <v/>
      </c>
    </row>
    <row r="511" spans="7:7" x14ac:dyDescent="0.2">
      <c r="G511" t="str">
        <f t="shared" si="94"/>
        <v/>
      </c>
    </row>
    <row r="512" spans="7:7" x14ac:dyDescent="0.2">
      <c r="G512" t="str">
        <f t="shared" si="94"/>
        <v/>
      </c>
    </row>
    <row r="513" spans="7:7" x14ac:dyDescent="0.2">
      <c r="G513" t="str">
        <f t="shared" si="94"/>
        <v/>
      </c>
    </row>
    <row r="514" spans="7:7" x14ac:dyDescent="0.2">
      <c r="G514" t="str">
        <f t="shared" si="94"/>
        <v/>
      </c>
    </row>
    <row r="515" spans="7:7" x14ac:dyDescent="0.2">
      <c r="G515" t="str">
        <f t="shared" si="94"/>
        <v/>
      </c>
    </row>
    <row r="516" spans="7:7" x14ac:dyDescent="0.2">
      <c r="G516" t="str">
        <f t="shared" si="94"/>
        <v/>
      </c>
    </row>
    <row r="517" spans="7:7" x14ac:dyDescent="0.2">
      <c r="G517" t="str">
        <f t="shared" si="94"/>
        <v/>
      </c>
    </row>
    <row r="518" spans="7:7" x14ac:dyDescent="0.2">
      <c r="G518" t="str">
        <f t="shared" si="94"/>
        <v/>
      </c>
    </row>
    <row r="519" spans="7:7" x14ac:dyDescent="0.2">
      <c r="G519" t="str">
        <f t="shared" si="94"/>
        <v/>
      </c>
    </row>
    <row r="520" spans="7:7" x14ac:dyDescent="0.2">
      <c r="G520" t="str">
        <f t="shared" si="94"/>
        <v/>
      </c>
    </row>
    <row r="521" spans="7:7" x14ac:dyDescent="0.2">
      <c r="G521" t="str">
        <f t="shared" si="94"/>
        <v/>
      </c>
    </row>
    <row r="522" spans="7:7" x14ac:dyDescent="0.2">
      <c r="G522" t="str">
        <f t="shared" si="94"/>
        <v/>
      </c>
    </row>
    <row r="523" spans="7:7" x14ac:dyDescent="0.2">
      <c r="G523" t="str">
        <f t="shared" si="94"/>
        <v/>
      </c>
    </row>
    <row r="524" spans="7:7" x14ac:dyDescent="0.2">
      <c r="G524" t="str">
        <f t="shared" si="94"/>
        <v/>
      </c>
    </row>
    <row r="525" spans="7:7" x14ac:dyDescent="0.2">
      <c r="G525" t="str">
        <f t="shared" si="94"/>
        <v/>
      </c>
    </row>
    <row r="526" spans="7:7" x14ac:dyDescent="0.2">
      <c r="G526" t="str">
        <f t="shared" si="94"/>
        <v/>
      </c>
    </row>
    <row r="527" spans="7:7" x14ac:dyDescent="0.2">
      <c r="G527" t="str">
        <f t="shared" si="94"/>
        <v/>
      </c>
    </row>
    <row r="528" spans="7:7" x14ac:dyDescent="0.2">
      <c r="G528" t="str">
        <f t="shared" si="94"/>
        <v/>
      </c>
    </row>
    <row r="529" spans="7:7" x14ac:dyDescent="0.2">
      <c r="G529" t="str">
        <f t="shared" si="94"/>
        <v/>
      </c>
    </row>
    <row r="530" spans="7:7" x14ac:dyDescent="0.2">
      <c r="G530" t="str">
        <f t="shared" si="94"/>
        <v/>
      </c>
    </row>
    <row r="531" spans="7:7" x14ac:dyDescent="0.2">
      <c r="G531" t="str">
        <f t="shared" si="94"/>
        <v/>
      </c>
    </row>
    <row r="532" spans="7:7" x14ac:dyDescent="0.2">
      <c r="G532" t="str">
        <f t="shared" si="94"/>
        <v/>
      </c>
    </row>
    <row r="533" spans="7:7" x14ac:dyDescent="0.2">
      <c r="G533" t="str">
        <f t="shared" si="94"/>
        <v/>
      </c>
    </row>
    <row r="534" spans="7:7" x14ac:dyDescent="0.2">
      <c r="G534" t="str">
        <f t="shared" si="94"/>
        <v/>
      </c>
    </row>
    <row r="535" spans="7:7" x14ac:dyDescent="0.2">
      <c r="G535" t="str">
        <f t="shared" si="94"/>
        <v/>
      </c>
    </row>
    <row r="536" spans="7:7" x14ac:dyDescent="0.2">
      <c r="G536" t="str">
        <f t="shared" si="94"/>
        <v/>
      </c>
    </row>
    <row r="537" spans="7:7" x14ac:dyDescent="0.2">
      <c r="G537" t="str">
        <f t="shared" si="94"/>
        <v/>
      </c>
    </row>
    <row r="538" spans="7:7" x14ac:dyDescent="0.2">
      <c r="G538" t="str">
        <f t="shared" si="94"/>
        <v/>
      </c>
    </row>
    <row r="539" spans="7:7" x14ac:dyDescent="0.2">
      <c r="G539" t="str">
        <f t="shared" si="94"/>
        <v/>
      </c>
    </row>
    <row r="540" spans="7:7" x14ac:dyDescent="0.2">
      <c r="G540" t="str">
        <f t="shared" ref="G540:G603" si="95">IF(OR(A540="",B540="",C540=""),"",A540&amp;"|"&amp;B540&amp;"|"&amp;C540)</f>
        <v/>
      </c>
    </row>
    <row r="541" spans="7:7" x14ac:dyDescent="0.2">
      <c r="G541" t="str">
        <f t="shared" si="95"/>
        <v/>
      </c>
    </row>
    <row r="542" spans="7:7" x14ac:dyDescent="0.2">
      <c r="G542" t="str">
        <f t="shared" si="95"/>
        <v/>
      </c>
    </row>
    <row r="543" spans="7:7" x14ac:dyDescent="0.2">
      <c r="G543" t="str">
        <f t="shared" si="95"/>
        <v/>
      </c>
    </row>
    <row r="544" spans="7:7" x14ac:dyDescent="0.2">
      <c r="G544" t="str">
        <f t="shared" si="95"/>
        <v/>
      </c>
    </row>
    <row r="545" spans="7:7" x14ac:dyDescent="0.2">
      <c r="G545" t="str">
        <f t="shared" si="95"/>
        <v/>
      </c>
    </row>
    <row r="546" spans="7:7" x14ac:dyDescent="0.2">
      <c r="G546" t="str">
        <f t="shared" si="95"/>
        <v/>
      </c>
    </row>
    <row r="547" spans="7:7" x14ac:dyDescent="0.2">
      <c r="G547" t="str">
        <f t="shared" si="95"/>
        <v/>
      </c>
    </row>
    <row r="548" spans="7:7" x14ac:dyDescent="0.2">
      <c r="G548" t="str">
        <f t="shared" si="95"/>
        <v/>
      </c>
    </row>
    <row r="549" spans="7:7" x14ac:dyDescent="0.2">
      <c r="G549" t="str">
        <f t="shared" si="95"/>
        <v/>
      </c>
    </row>
    <row r="550" spans="7:7" x14ac:dyDescent="0.2">
      <c r="G550" t="str">
        <f t="shared" si="95"/>
        <v/>
      </c>
    </row>
    <row r="551" spans="7:7" x14ac:dyDescent="0.2">
      <c r="G551" t="str">
        <f t="shared" si="95"/>
        <v/>
      </c>
    </row>
    <row r="552" spans="7:7" x14ac:dyDescent="0.2">
      <c r="G552" t="str">
        <f t="shared" si="95"/>
        <v/>
      </c>
    </row>
    <row r="553" spans="7:7" x14ac:dyDescent="0.2">
      <c r="G553" t="str">
        <f t="shared" si="95"/>
        <v/>
      </c>
    </row>
    <row r="554" spans="7:7" x14ac:dyDescent="0.2">
      <c r="G554" t="str">
        <f t="shared" si="95"/>
        <v/>
      </c>
    </row>
    <row r="555" spans="7:7" x14ac:dyDescent="0.2">
      <c r="G555" t="str">
        <f t="shared" si="95"/>
        <v/>
      </c>
    </row>
    <row r="556" spans="7:7" x14ac:dyDescent="0.2">
      <c r="G556" t="str">
        <f t="shared" si="95"/>
        <v/>
      </c>
    </row>
    <row r="557" spans="7:7" x14ac:dyDescent="0.2">
      <c r="G557" t="str">
        <f t="shared" si="95"/>
        <v/>
      </c>
    </row>
    <row r="558" spans="7:7" x14ac:dyDescent="0.2">
      <c r="G558" t="str">
        <f t="shared" si="95"/>
        <v/>
      </c>
    </row>
    <row r="559" spans="7:7" x14ac:dyDescent="0.2">
      <c r="G559" t="str">
        <f t="shared" si="95"/>
        <v/>
      </c>
    </row>
    <row r="560" spans="7:7" x14ac:dyDescent="0.2">
      <c r="G560" t="str">
        <f t="shared" si="95"/>
        <v/>
      </c>
    </row>
    <row r="561" spans="7:7" x14ac:dyDescent="0.2">
      <c r="G561" t="str">
        <f t="shared" si="95"/>
        <v/>
      </c>
    </row>
    <row r="562" spans="7:7" x14ac:dyDescent="0.2">
      <c r="G562" t="str">
        <f t="shared" si="95"/>
        <v/>
      </c>
    </row>
    <row r="563" spans="7:7" x14ac:dyDescent="0.2">
      <c r="G563" t="str">
        <f t="shared" si="95"/>
        <v/>
      </c>
    </row>
    <row r="564" spans="7:7" x14ac:dyDescent="0.2">
      <c r="G564" t="str">
        <f t="shared" si="95"/>
        <v/>
      </c>
    </row>
    <row r="565" spans="7:7" x14ac:dyDescent="0.2">
      <c r="G565" t="str">
        <f t="shared" si="95"/>
        <v/>
      </c>
    </row>
    <row r="566" spans="7:7" x14ac:dyDescent="0.2">
      <c r="G566" t="str">
        <f t="shared" si="95"/>
        <v/>
      </c>
    </row>
    <row r="567" spans="7:7" x14ac:dyDescent="0.2">
      <c r="G567" t="str">
        <f t="shared" si="95"/>
        <v/>
      </c>
    </row>
    <row r="568" spans="7:7" x14ac:dyDescent="0.2">
      <c r="G568" t="str">
        <f t="shared" si="95"/>
        <v/>
      </c>
    </row>
    <row r="569" spans="7:7" x14ac:dyDescent="0.2">
      <c r="G569" t="str">
        <f t="shared" si="95"/>
        <v/>
      </c>
    </row>
    <row r="570" spans="7:7" x14ac:dyDescent="0.2">
      <c r="G570" t="str">
        <f t="shared" si="95"/>
        <v/>
      </c>
    </row>
    <row r="571" spans="7:7" x14ac:dyDescent="0.2">
      <c r="G571" t="str">
        <f t="shared" si="95"/>
        <v/>
      </c>
    </row>
    <row r="572" spans="7:7" x14ac:dyDescent="0.2">
      <c r="G572" t="str">
        <f t="shared" si="95"/>
        <v/>
      </c>
    </row>
    <row r="573" spans="7:7" x14ac:dyDescent="0.2">
      <c r="G573" t="str">
        <f t="shared" si="95"/>
        <v/>
      </c>
    </row>
    <row r="574" spans="7:7" x14ac:dyDescent="0.2">
      <c r="G574" t="str">
        <f t="shared" si="95"/>
        <v/>
      </c>
    </row>
    <row r="575" spans="7:7" x14ac:dyDescent="0.2">
      <c r="G575" t="str">
        <f t="shared" si="95"/>
        <v/>
      </c>
    </row>
    <row r="576" spans="7:7" x14ac:dyDescent="0.2">
      <c r="G576" t="str">
        <f t="shared" si="95"/>
        <v/>
      </c>
    </row>
    <row r="577" spans="7:7" x14ac:dyDescent="0.2">
      <c r="G577" t="str">
        <f t="shared" si="95"/>
        <v/>
      </c>
    </row>
    <row r="578" spans="7:7" x14ac:dyDescent="0.2">
      <c r="G578" t="str">
        <f t="shared" si="95"/>
        <v/>
      </c>
    </row>
    <row r="579" spans="7:7" x14ac:dyDescent="0.2">
      <c r="G579" t="str">
        <f t="shared" si="95"/>
        <v/>
      </c>
    </row>
    <row r="580" spans="7:7" x14ac:dyDescent="0.2">
      <c r="G580" t="str">
        <f t="shared" si="95"/>
        <v/>
      </c>
    </row>
    <row r="581" spans="7:7" x14ac:dyDescent="0.2">
      <c r="G581" t="str">
        <f t="shared" si="95"/>
        <v/>
      </c>
    </row>
    <row r="582" spans="7:7" x14ac:dyDescent="0.2">
      <c r="G582" t="str">
        <f t="shared" si="95"/>
        <v/>
      </c>
    </row>
    <row r="583" spans="7:7" x14ac:dyDescent="0.2">
      <c r="G583" t="str">
        <f t="shared" si="95"/>
        <v/>
      </c>
    </row>
    <row r="584" spans="7:7" x14ac:dyDescent="0.2">
      <c r="G584" t="str">
        <f t="shared" si="95"/>
        <v/>
      </c>
    </row>
    <row r="585" spans="7:7" x14ac:dyDescent="0.2">
      <c r="G585" t="str">
        <f t="shared" si="95"/>
        <v/>
      </c>
    </row>
    <row r="586" spans="7:7" x14ac:dyDescent="0.2">
      <c r="G586" t="str">
        <f t="shared" si="95"/>
        <v/>
      </c>
    </row>
    <row r="587" spans="7:7" x14ac:dyDescent="0.2">
      <c r="G587" t="str">
        <f t="shared" si="95"/>
        <v/>
      </c>
    </row>
    <row r="588" spans="7:7" x14ac:dyDescent="0.2">
      <c r="G588" t="str">
        <f t="shared" si="95"/>
        <v/>
      </c>
    </row>
    <row r="589" spans="7:7" x14ac:dyDescent="0.2">
      <c r="G589" t="str">
        <f t="shared" si="95"/>
        <v/>
      </c>
    </row>
    <row r="590" spans="7:7" x14ac:dyDescent="0.2">
      <c r="G590" t="str">
        <f t="shared" si="95"/>
        <v/>
      </c>
    </row>
    <row r="591" spans="7:7" x14ac:dyDescent="0.2">
      <c r="G591" t="str">
        <f t="shared" si="95"/>
        <v/>
      </c>
    </row>
    <row r="592" spans="7:7" x14ac:dyDescent="0.2">
      <c r="G592" t="str">
        <f t="shared" si="95"/>
        <v/>
      </c>
    </row>
    <row r="593" spans="7:7" x14ac:dyDescent="0.2">
      <c r="G593" t="str">
        <f t="shared" si="95"/>
        <v/>
      </c>
    </row>
    <row r="594" spans="7:7" x14ac:dyDescent="0.2">
      <c r="G594" t="str">
        <f t="shared" si="95"/>
        <v/>
      </c>
    </row>
    <row r="595" spans="7:7" x14ac:dyDescent="0.2">
      <c r="G595" t="str">
        <f t="shared" si="95"/>
        <v/>
      </c>
    </row>
    <row r="596" spans="7:7" x14ac:dyDescent="0.2">
      <c r="G596" t="str">
        <f t="shared" si="95"/>
        <v/>
      </c>
    </row>
    <row r="597" spans="7:7" x14ac:dyDescent="0.2">
      <c r="G597" t="str">
        <f t="shared" si="95"/>
        <v/>
      </c>
    </row>
    <row r="598" spans="7:7" x14ac:dyDescent="0.2">
      <c r="G598" t="str">
        <f t="shared" si="95"/>
        <v/>
      </c>
    </row>
    <row r="599" spans="7:7" x14ac:dyDescent="0.2">
      <c r="G599" t="str">
        <f t="shared" si="95"/>
        <v/>
      </c>
    </row>
    <row r="600" spans="7:7" x14ac:dyDescent="0.2">
      <c r="G600" t="str">
        <f t="shared" si="95"/>
        <v/>
      </c>
    </row>
    <row r="601" spans="7:7" x14ac:dyDescent="0.2">
      <c r="G601" t="str">
        <f t="shared" si="95"/>
        <v/>
      </c>
    </row>
    <row r="602" spans="7:7" x14ac:dyDescent="0.2">
      <c r="G602" t="str">
        <f t="shared" si="95"/>
        <v/>
      </c>
    </row>
    <row r="603" spans="7:7" x14ac:dyDescent="0.2">
      <c r="G603" t="str">
        <f t="shared" si="95"/>
        <v/>
      </c>
    </row>
    <row r="604" spans="7:7" x14ac:dyDescent="0.2">
      <c r="G604" t="str">
        <f t="shared" ref="G604:G667" si="96">IF(OR(A604="",B604="",C604=""),"",A604&amp;"|"&amp;B604&amp;"|"&amp;C604)</f>
        <v/>
      </c>
    </row>
    <row r="605" spans="7:7" x14ac:dyDescent="0.2">
      <c r="G605" t="str">
        <f t="shared" si="96"/>
        <v/>
      </c>
    </row>
    <row r="606" spans="7:7" x14ac:dyDescent="0.2">
      <c r="G606" t="str">
        <f t="shared" si="96"/>
        <v/>
      </c>
    </row>
    <row r="607" spans="7:7" x14ac:dyDescent="0.2">
      <c r="G607" t="str">
        <f t="shared" si="96"/>
        <v/>
      </c>
    </row>
    <row r="608" spans="7:7" x14ac:dyDescent="0.2">
      <c r="G608" t="str">
        <f t="shared" si="96"/>
        <v/>
      </c>
    </row>
    <row r="609" spans="7:7" x14ac:dyDescent="0.2">
      <c r="G609" t="str">
        <f t="shared" si="96"/>
        <v/>
      </c>
    </row>
    <row r="610" spans="7:7" x14ac:dyDescent="0.2">
      <c r="G610" t="str">
        <f t="shared" si="96"/>
        <v/>
      </c>
    </row>
    <row r="611" spans="7:7" x14ac:dyDescent="0.2">
      <c r="G611" t="str">
        <f t="shared" si="96"/>
        <v/>
      </c>
    </row>
    <row r="612" spans="7:7" x14ac:dyDescent="0.2">
      <c r="G612" t="str">
        <f t="shared" si="96"/>
        <v/>
      </c>
    </row>
    <row r="613" spans="7:7" x14ac:dyDescent="0.2">
      <c r="G613" t="str">
        <f t="shared" si="96"/>
        <v/>
      </c>
    </row>
    <row r="614" spans="7:7" x14ac:dyDescent="0.2">
      <c r="G614" t="str">
        <f t="shared" si="96"/>
        <v/>
      </c>
    </row>
    <row r="615" spans="7:7" x14ac:dyDescent="0.2">
      <c r="G615" t="str">
        <f t="shared" si="96"/>
        <v/>
      </c>
    </row>
    <row r="616" spans="7:7" x14ac:dyDescent="0.2">
      <c r="G616" t="str">
        <f t="shared" si="96"/>
        <v/>
      </c>
    </row>
    <row r="617" spans="7:7" x14ac:dyDescent="0.2">
      <c r="G617" t="str">
        <f t="shared" si="96"/>
        <v/>
      </c>
    </row>
    <row r="618" spans="7:7" x14ac:dyDescent="0.2">
      <c r="G618" t="str">
        <f t="shared" si="96"/>
        <v/>
      </c>
    </row>
    <row r="619" spans="7:7" x14ac:dyDescent="0.2">
      <c r="G619" t="str">
        <f t="shared" si="96"/>
        <v/>
      </c>
    </row>
    <row r="620" spans="7:7" x14ac:dyDescent="0.2">
      <c r="G620" t="str">
        <f t="shared" si="96"/>
        <v/>
      </c>
    </row>
    <row r="621" spans="7:7" x14ac:dyDescent="0.2">
      <c r="G621" t="str">
        <f t="shared" si="96"/>
        <v/>
      </c>
    </row>
    <row r="622" spans="7:7" x14ac:dyDescent="0.2">
      <c r="G622" t="str">
        <f t="shared" si="96"/>
        <v/>
      </c>
    </row>
    <row r="623" spans="7:7" x14ac:dyDescent="0.2">
      <c r="G623" t="str">
        <f t="shared" si="96"/>
        <v/>
      </c>
    </row>
    <row r="624" spans="7:7" x14ac:dyDescent="0.2">
      <c r="G624" t="str">
        <f t="shared" si="96"/>
        <v/>
      </c>
    </row>
    <row r="625" spans="7:7" x14ac:dyDescent="0.2">
      <c r="G625" t="str">
        <f t="shared" si="96"/>
        <v/>
      </c>
    </row>
    <row r="626" spans="7:7" x14ac:dyDescent="0.2">
      <c r="G626" t="str">
        <f t="shared" si="96"/>
        <v/>
      </c>
    </row>
    <row r="627" spans="7:7" x14ac:dyDescent="0.2">
      <c r="G627" t="str">
        <f t="shared" si="96"/>
        <v/>
      </c>
    </row>
    <row r="628" spans="7:7" x14ac:dyDescent="0.2">
      <c r="G628" t="str">
        <f t="shared" si="96"/>
        <v/>
      </c>
    </row>
    <row r="629" spans="7:7" x14ac:dyDescent="0.2">
      <c r="G629" t="str">
        <f t="shared" si="96"/>
        <v/>
      </c>
    </row>
    <row r="630" spans="7:7" x14ac:dyDescent="0.2">
      <c r="G630" t="str">
        <f t="shared" si="96"/>
        <v/>
      </c>
    </row>
    <row r="631" spans="7:7" x14ac:dyDescent="0.2">
      <c r="G631" t="str">
        <f t="shared" si="96"/>
        <v/>
      </c>
    </row>
    <row r="632" spans="7:7" x14ac:dyDescent="0.2">
      <c r="G632" t="str">
        <f t="shared" si="96"/>
        <v/>
      </c>
    </row>
    <row r="633" spans="7:7" x14ac:dyDescent="0.2">
      <c r="G633" t="str">
        <f t="shared" si="96"/>
        <v/>
      </c>
    </row>
    <row r="634" spans="7:7" x14ac:dyDescent="0.2">
      <c r="G634" t="str">
        <f t="shared" si="96"/>
        <v/>
      </c>
    </row>
    <row r="635" spans="7:7" x14ac:dyDescent="0.2">
      <c r="G635" t="str">
        <f t="shared" si="96"/>
        <v/>
      </c>
    </row>
    <row r="636" spans="7:7" x14ac:dyDescent="0.2">
      <c r="G636" t="str">
        <f t="shared" si="96"/>
        <v/>
      </c>
    </row>
    <row r="637" spans="7:7" x14ac:dyDescent="0.2">
      <c r="G637" t="str">
        <f t="shared" si="96"/>
        <v/>
      </c>
    </row>
    <row r="638" spans="7:7" x14ac:dyDescent="0.2">
      <c r="G638" t="str">
        <f t="shared" si="96"/>
        <v/>
      </c>
    </row>
    <row r="639" spans="7:7" x14ac:dyDescent="0.2">
      <c r="G639" t="str">
        <f t="shared" si="96"/>
        <v/>
      </c>
    </row>
    <row r="640" spans="7:7" x14ac:dyDescent="0.2">
      <c r="G640" t="str">
        <f t="shared" si="96"/>
        <v/>
      </c>
    </row>
    <row r="641" spans="7:7" x14ac:dyDescent="0.2">
      <c r="G641" t="str">
        <f t="shared" si="96"/>
        <v/>
      </c>
    </row>
    <row r="642" spans="7:7" x14ac:dyDescent="0.2">
      <c r="G642" t="str">
        <f t="shared" si="96"/>
        <v/>
      </c>
    </row>
    <row r="643" spans="7:7" x14ac:dyDescent="0.2">
      <c r="G643" t="str">
        <f t="shared" si="96"/>
        <v/>
      </c>
    </row>
    <row r="644" spans="7:7" x14ac:dyDescent="0.2">
      <c r="G644" t="str">
        <f t="shared" si="96"/>
        <v/>
      </c>
    </row>
    <row r="645" spans="7:7" x14ac:dyDescent="0.2">
      <c r="G645" t="str">
        <f t="shared" si="96"/>
        <v/>
      </c>
    </row>
    <row r="646" spans="7:7" x14ac:dyDescent="0.2">
      <c r="G646" t="str">
        <f t="shared" si="96"/>
        <v/>
      </c>
    </row>
    <row r="647" spans="7:7" x14ac:dyDescent="0.2">
      <c r="G647" t="str">
        <f t="shared" si="96"/>
        <v/>
      </c>
    </row>
    <row r="648" spans="7:7" x14ac:dyDescent="0.2">
      <c r="G648" t="str">
        <f t="shared" si="96"/>
        <v/>
      </c>
    </row>
    <row r="649" spans="7:7" x14ac:dyDescent="0.2">
      <c r="G649" t="str">
        <f t="shared" si="96"/>
        <v/>
      </c>
    </row>
    <row r="650" spans="7:7" x14ac:dyDescent="0.2">
      <c r="G650" t="str">
        <f t="shared" si="96"/>
        <v/>
      </c>
    </row>
    <row r="651" spans="7:7" x14ac:dyDescent="0.2">
      <c r="G651" t="str">
        <f t="shared" si="96"/>
        <v/>
      </c>
    </row>
    <row r="652" spans="7:7" x14ac:dyDescent="0.2">
      <c r="G652" t="str">
        <f t="shared" si="96"/>
        <v/>
      </c>
    </row>
    <row r="653" spans="7:7" x14ac:dyDescent="0.2">
      <c r="G653" t="str">
        <f t="shared" si="96"/>
        <v/>
      </c>
    </row>
    <row r="654" spans="7:7" x14ac:dyDescent="0.2">
      <c r="G654" t="str">
        <f t="shared" si="96"/>
        <v/>
      </c>
    </row>
    <row r="655" spans="7:7" x14ac:dyDescent="0.2">
      <c r="G655" t="str">
        <f t="shared" si="96"/>
        <v/>
      </c>
    </row>
    <row r="656" spans="7:7" x14ac:dyDescent="0.2">
      <c r="G656" t="str">
        <f t="shared" si="96"/>
        <v/>
      </c>
    </row>
    <row r="657" spans="7:7" x14ac:dyDescent="0.2">
      <c r="G657" t="str">
        <f t="shared" si="96"/>
        <v/>
      </c>
    </row>
    <row r="658" spans="7:7" x14ac:dyDescent="0.2">
      <c r="G658" t="str">
        <f t="shared" si="96"/>
        <v/>
      </c>
    </row>
    <row r="659" spans="7:7" x14ac:dyDescent="0.2">
      <c r="G659" t="str">
        <f t="shared" si="96"/>
        <v/>
      </c>
    </row>
    <row r="660" spans="7:7" x14ac:dyDescent="0.2">
      <c r="G660" t="str">
        <f t="shared" si="96"/>
        <v/>
      </c>
    </row>
    <row r="661" spans="7:7" x14ac:dyDescent="0.2">
      <c r="G661" t="str">
        <f t="shared" si="96"/>
        <v/>
      </c>
    </row>
    <row r="662" spans="7:7" x14ac:dyDescent="0.2">
      <c r="G662" t="str">
        <f t="shared" si="96"/>
        <v/>
      </c>
    </row>
    <row r="663" spans="7:7" x14ac:dyDescent="0.2">
      <c r="G663" t="str">
        <f t="shared" si="96"/>
        <v/>
      </c>
    </row>
    <row r="664" spans="7:7" x14ac:dyDescent="0.2">
      <c r="G664" t="str">
        <f t="shared" si="96"/>
        <v/>
      </c>
    </row>
    <row r="665" spans="7:7" x14ac:dyDescent="0.2">
      <c r="G665" t="str">
        <f t="shared" si="96"/>
        <v/>
      </c>
    </row>
    <row r="666" spans="7:7" x14ac:dyDescent="0.2">
      <c r="G666" t="str">
        <f t="shared" si="96"/>
        <v/>
      </c>
    </row>
    <row r="667" spans="7:7" x14ac:dyDescent="0.2">
      <c r="G667" t="str">
        <f t="shared" si="96"/>
        <v/>
      </c>
    </row>
    <row r="668" spans="7:7" x14ac:dyDescent="0.2">
      <c r="G668" t="str">
        <f t="shared" ref="G668:G731" si="97">IF(OR(A668="",B668="",C668=""),"",A668&amp;"|"&amp;B668&amp;"|"&amp;C668)</f>
        <v/>
      </c>
    </row>
    <row r="669" spans="7:7" x14ac:dyDescent="0.2">
      <c r="G669" t="str">
        <f t="shared" si="97"/>
        <v/>
      </c>
    </row>
    <row r="670" spans="7:7" x14ac:dyDescent="0.2">
      <c r="G670" t="str">
        <f t="shared" si="97"/>
        <v/>
      </c>
    </row>
    <row r="671" spans="7:7" x14ac:dyDescent="0.2">
      <c r="G671" t="str">
        <f t="shared" si="97"/>
        <v/>
      </c>
    </row>
    <row r="672" spans="7:7" x14ac:dyDescent="0.2">
      <c r="G672" t="str">
        <f t="shared" si="97"/>
        <v/>
      </c>
    </row>
    <row r="673" spans="7:7" x14ac:dyDescent="0.2">
      <c r="G673" t="str">
        <f t="shared" si="97"/>
        <v/>
      </c>
    </row>
    <row r="674" spans="7:7" x14ac:dyDescent="0.2">
      <c r="G674" t="str">
        <f t="shared" si="97"/>
        <v/>
      </c>
    </row>
    <row r="675" spans="7:7" x14ac:dyDescent="0.2">
      <c r="G675" t="str">
        <f t="shared" si="97"/>
        <v/>
      </c>
    </row>
    <row r="676" spans="7:7" x14ac:dyDescent="0.2">
      <c r="G676" t="str">
        <f t="shared" si="97"/>
        <v/>
      </c>
    </row>
    <row r="677" spans="7:7" x14ac:dyDescent="0.2">
      <c r="G677" t="str">
        <f t="shared" si="97"/>
        <v/>
      </c>
    </row>
    <row r="678" spans="7:7" x14ac:dyDescent="0.2">
      <c r="G678" t="str">
        <f t="shared" si="97"/>
        <v/>
      </c>
    </row>
    <row r="679" spans="7:7" x14ac:dyDescent="0.2">
      <c r="G679" t="str">
        <f t="shared" si="97"/>
        <v/>
      </c>
    </row>
    <row r="680" spans="7:7" x14ac:dyDescent="0.2">
      <c r="G680" t="str">
        <f t="shared" si="97"/>
        <v/>
      </c>
    </row>
    <row r="681" spans="7:7" x14ac:dyDescent="0.2">
      <c r="G681" t="str">
        <f t="shared" si="97"/>
        <v/>
      </c>
    </row>
    <row r="682" spans="7:7" x14ac:dyDescent="0.2">
      <c r="G682" t="str">
        <f t="shared" si="97"/>
        <v/>
      </c>
    </row>
    <row r="683" spans="7:7" x14ac:dyDescent="0.2">
      <c r="G683" t="str">
        <f t="shared" si="97"/>
        <v/>
      </c>
    </row>
    <row r="684" spans="7:7" x14ac:dyDescent="0.2">
      <c r="G684" t="str">
        <f t="shared" si="97"/>
        <v/>
      </c>
    </row>
    <row r="685" spans="7:7" x14ac:dyDescent="0.2">
      <c r="G685" t="str">
        <f t="shared" si="97"/>
        <v/>
      </c>
    </row>
    <row r="686" spans="7:7" x14ac:dyDescent="0.2">
      <c r="G686" t="str">
        <f t="shared" si="97"/>
        <v/>
      </c>
    </row>
    <row r="687" spans="7:7" x14ac:dyDescent="0.2">
      <c r="G687" t="str">
        <f t="shared" si="97"/>
        <v/>
      </c>
    </row>
    <row r="688" spans="7:7" x14ac:dyDescent="0.2">
      <c r="G688" t="str">
        <f t="shared" si="97"/>
        <v/>
      </c>
    </row>
    <row r="689" spans="7:7" x14ac:dyDescent="0.2">
      <c r="G689" t="str">
        <f t="shared" si="97"/>
        <v/>
      </c>
    </row>
    <row r="690" spans="7:7" x14ac:dyDescent="0.2">
      <c r="G690" t="str">
        <f t="shared" si="97"/>
        <v/>
      </c>
    </row>
    <row r="691" spans="7:7" x14ac:dyDescent="0.2">
      <c r="G691" t="str">
        <f t="shared" si="97"/>
        <v/>
      </c>
    </row>
    <row r="692" spans="7:7" x14ac:dyDescent="0.2">
      <c r="G692" t="str">
        <f t="shared" si="97"/>
        <v/>
      </c>
    </row>
    <row r="693" spans="7:7" x14ac:dyDescent="0.2">
      <c r="G693" t="str">
        <f t="shared" si="97"/>
        <v/>
      </c>
    </row>
    <row r="694" spans="7:7" x14ac:dyDescent="0.2">
      <c r="G694" t="str">
        <f t="shared" si="97"/>
        <v/>
      </c>
    </row>
    <row r="695" spans="7:7" x14ac:dyDescent="0.2">
      <c r="G695" t="str">
        <f t="shared" si="97"/>
        <v/>
      </c>
    </row>
    <row r="696" spans="7:7" x14ac:dyDescent="0.2">
      <c r="G696" t="str">
        <f t="shared" si="97"/>
        <v/>
      </c>
    </row>
    <row r="697" spans="7:7" x14ac:dyDescent="0.2">
      <c r="G697" t="str">
        <f t="shared" si="97"/>
        <v/>
      </c>
    </row>
    <row r="698" spans="7:7" x14ac:dyDescent="0.2">
      <c r="G698" t="str">
        <f t="shared" si="97"/>
        <v/>
      </c>
    </row>
    <row r="699" spans="7:7" x14ac:dyDescent="0.2">
      <c r="G699" t="str">
        <f t="shared" si="97"/>
        <v/>
      </c>
    </row>
    <row r="700" spans="7:7" x14ac:dyDescent="0.2">
      <c r="G700" t="str">
        <f t="shared" si="97"/>
        <v/>
      </c>
    </row>
    <row r="701" spans="7:7" x14ac:dyDescent="0.2">
      <c r="G701" t="str">
        <f t="shared" si="97"/>
        <v/>
      </c>
    </row>
    <row r="702" spans="7:7" x14ac:dyDescent="0.2">
      <c r="G702" t="str">
        <f t="shared" si="97"/>
        <v/>
      </c>
    </row>
    <row r="703" spans="7:7" x14ac:dyDescent="0.2">
      <c r="G703" t="str">
        <f t="shared" si="97"/>
        <v/>
      </c>
    </row>
    <row r="704" spans="7:7" x14ac:dyDescent="0.2">
      <c r="G704" t="str">
        <f t="shared" si="97"/>
        <v/>
      </c>
    </row>
    <row r="705" spans="7:7" x14ac:dyDescent="0.2">
      <c r="G705" t="str">
        <f t="shared" si="97"/>
        <v/>
      </c>
    </row>
    <row r="706" spans="7:7" x14ac:dyDescent="0.2">
      <c r="G706" t="str">
        <f t="shared" si="97"/>
        <v/>
      </c>
    </row>
    <row r="707" spans="7:7" x14ac:dyDescent="0.2">
      <c r="G707" t="str">
        <f t="shared" si="97"/>
        <v/>
      </c>
    </row>
    <row r="708" spans="7:7" x14ac:dyDescent="0.2">
      <c r="G708" t="str">
        <f t="shared" si="97"/>
        <v/>
      </c>
    </row>
    <row r="709" spans="7:7" x14ac:dyDescent="0.2">
      <c r="G709" t="str">
        <f t="shared" si="97"/>
        <v/>
      </c>
    </row>
    <row r="710" spans="7:7" x14ac:dyDescent="0.2">
      <c r="G710" t="str">
        <f t="shared" si="97"/>
        <v/>
      </c>
    </row>
    <row r="711" spans="7:7" x14ac:dyDescent="0.2">
      <c r="G711" t="str">
        <f t="shared" si="97"/>
        <v/>
      </c>
    </row>
    <row r="712" spans="7:7" x14ac:dyDescent="0.2">
      <c r="G712" t="str">
        <f t="shared" si="97"/>
        <v/>
      </c>
    </row>
    <row r="713" spans="7:7" x14ac:dyDescent="0.2">
      <c r="G713" t="str">
        <f t="shared" si="97"/>
        <v/>
      </c>
    </row>
    <row r="714" spans="7:7" x14ac:dyDescent="0.2">
      <c r="G714" t="str">
        <f t="shared" si="97"/>
        <v/>
      </c>
    </row>
    <row r="715" spans="7:7" x14ac:dyDescent="0.2">
      <c r="G715" t="str">
        <f t="shared" si="97"/>
        <v/>
      </c>
    </row>
    <row r="716" spans="7:7" x14ac:dyDescent="0.2">
      <c r="G716" t="str">
        <f t="shared" si="97"/>
        <v/>
      </c>
    </row>
    <row r="717" spans="7:7" x14ac:dyDescent="0.2">
      <c r="G717" t="str">
        <f t="shared" si="97"/>
        <v/>
      </c>
    </row>
    <row r="718" spans="7:7" x14ac:dyDescent="0.2">
      <c r="G718" t="str">
        <f t="shared" si="97"/>
        <v/>
      </c>
    </row>
    <row r="719" spans="7:7" x14ac:dyDescent="0.2">
      <c r="G719" t="str">
        <f t="shared" si="97"/>
        <v/>
      </c>
    </row>
    <row r="720" spans="7:7" x14ac:dyDescent="0.2">
      <c r="G720" t="str">
        <f t="shared" si="97"/>
        <v/>
      </c>
    </row>
    <row r="721" spans="7:7" x14ac:dyDescent="0.2">
      <c r="G721" t="str">
        <f t="shared" si="97"/>
        <v/>
      </c>
    </row>
    <row r="722" spans="7:7" x14ac:dyDescent="0.2">
      <c r="G722" t="str">
        <f t="shared" si="97"/>
        <v/>
      </c>
    </row>
    <row r="723" spans="7:7" x14ac:dyDescent="0.2">
      <c r="G723" t="str">
        <f t="shared" si="97"/>
        <v/>
      </c>
    </row>
    <row r="724" spans="7:7" x14ac:dyDescent="0.2">
      <c r="G724" t="str">
        <f t="shared" si="97"/>
        <v/>
      </c>
    </row>
    <row r="725" spans="7:7" x14ac:dyDescent="0.2">
      <c r="G725" t="str">
        <f t="shared" si="97"/>
        <v/>
      </c>
    </row>
    <row r="726" spans="7:7" x14ac:dyDescent="0.2">
      <c r="G726" t="str">
        <f t="shared" si="97"/>
        <v/>
      </c>
    </row>
    <row r="727" spans="7:7" x14ac:dyDescent="0.2">
      <c r="G727" t="str">
        <f t="shared" si="97"/>
        <v/>
      </c>
    </row>
    <row r="728" spans="7:7" x14ac:dyDescent="0.2">
      <c r="G728" t="str">
        <f t="shared" si="97"/>
        <v/>
      </c>
    </row>
    <row r="729" spans="7:7" x14ac:dyDescent="0.2">
      <c r="G729" t="str">
        <f t="shared" si="97"/>
        <v/>
      </c>
    </row>
    <row r="730" spans="7:7" x14ac:dyDescent="0.2">
      <c r="G730" t="str">
        <f t="shared" si="97"/>
        <v/>
      </c>
    </row>
    <row r="731" spans="7:7" x14ac:dyDescent="0.2">
      <c r="G731" t="str">
        <f t="shared" si="97"/>
        <v/>
      </c>
    </row>
    <row r="732" spans="7:7" x14ac:dyDescent="0.2">
      <c r="G732" t="str">
        <f t="shared" ref="G732:G795" si="98">IF(OR(A732="",B732="",C732=""),"",A732&amp;"|"&amp;B732&amp;"|"&amp;C732)</f>
        <v/>
      </c>
    </row>
    <row r="733" spans="7:7" x14ac:dyDescent="0.2">
      <c r="G733" t="str">
        <f t="shared" si="98"/>
        <v/>
      </c>
    </row>
    <row r="734" spans="7:7" x14ac:dyDescent="0.2">
      <c r="G734" t="str">
        <f t="shared" si="98"/>
        <v/>
      </c>
    </row>
    <row r="735" spans="7:7" x14ac:dyDescent="0.2">
      <c r="G735" t="str">
        <f t="shared" si="98"/>
        <v/>
      </c>
    </row>
    <row r="736" spans="7:7" x14ac:dyDescent="0.2">
      <c r="G736" t="str">
        <f t="shared" si="98"/>
        <v/>
      </c>
    </row>
    <row r="737" spans="7:7" x14ac:dyDescent="0.2">
      <c r="G737" t="str">
        <f t="shared" si="98"/>
        <v/>
      </c>
    </row>
    <row r="738" spans="7:7" x14ac:dyDescent="0.2">
      <c r="G738" t="str">
        <f t="shared" si="98"/>
        <v/>
      </c>
    </row>
    <row r="739" spans="7:7" x14ac:dyDescent="0.2">
      <c r="G739" t="str">
        <f t="shared" si="98"/>
        <v/>
      </c>
    </row>
    <row r="740" spans="7:7" x14ac:dyDescent="0.2">
      <c r="G740" t="str">
        <f t="shared" si="98"/>
        <v/>
      </c>
    </row>
    <row r="741" spans="7:7" x14ac:dyDescent="0.2">
      <c r="G741" t="str">
        <f t="shared" si="98"/>
        <v/>
      </c>
    </row>
    <row r="742" spans="7:7" x14ac:dyDescent="0.2">
      <c r="G742" t="str">
        <f t="shared" si="98"/>
        <v/>
      </c>
    </row>
    <row r="743" spans="7:7" x14ac:dyDescent="0.2">
      <c r="G743" t="str">
        <f t="shared" si="98"/>
        <v/>
      </c>
    </row>
    <row r="744" spans="7:7" x14ac:dyDescent="0.2">
      <c r="G744" t="str">
        <f t="shared" si="98"/>
        <v/>
      </c>
    </row>
    <row r="745" spans="7:7" x14ac:dyDescent="0.2">
      <c r="G745" t="str">
        <f t="shared" si="98"/>
        <v/>
      </c>
    </row>
    <row r="746" spans="7:7" x14ac:dyDescent="0.2">
      <c r="G746" t="str">
        <f t="shared" si="98"/>
        <v/>
      </c>
    </row>
    <row r="747" spans="7:7" x14ac:dyDescent="0.2">
      <c r="G747" t="str">
        <f t="shared" si="98"/>
        <v/>
      </c>
    </row>
    <row r="748" spans="7:7" x14ac:dyDescent="0.2">
      <c r="G748" t="str">
        <f t="shared" si="98"/>
        <v/>
      </c>
    </row>
    <row r="749" spans="7:7" x14ac:dyDescent="0.2">
      <c r="G749" t="str">
        <f t="shared" si="98"/>
        <v/>
      </c>
    </row>
    <row r="750" spans="7:7" x14ac:dyDescent="0.2">
      <c r="G750" t="str">
        <f t="shared" si="98"/>
        <v/>
      </c>
    </row>
    <row r="751" spans="7:7" x14ac:dyDescent="0.2">
      <c r="G751" t="str">
        <f t="shared" si="98"/>
        <v/>
      </c>
    </row>
    <row r="752" spans="7:7" x14ac:dyDescent="0.2">
      <c r="G752" t="str">
        <f t="shared" si="98"/>
        <v/>
      </c>
    </row>
    <row r="753" spans="7:7" x14ac:dyDescent="0.2">
      <c r="G753" t="str">
        <f t="shared" si="98"/>
        <v/>
      </c>
    </row>
    <row r="754" spans="7:7" x14ac:dyDescent="0.2">
      <c r="G754" t="str">
        <f t="shared" si="98"/>
        <v/>
      </c>
    </row>
    <row r="755" spans="7:7" x14ac:dyDescent="0.2">
      <c r="G755" t="str">
        <f t="shared" si="98"/>
        <v/>
      </c>
    </row>
    <row r="756" spans="7:7" x14ac:dyDescent="0.2">
      <c r="G756" t="str">
        <f t="shared" si="98"/>
        <v/>
      </c>
    </row>
    <row r="757" spans="7:7" x14ac:dyDescent="0.2">
      <c r="G757" t="str">
        <f t="shared" si="98"/>
        <v/>
      </c>
    </row>
    <row r="758" spans="7:7" x14ac:dyDescent="0.2">
      <c r="G758" t="str">
        <f t="shared" si="98"/>
        <v/>
      </c>
    </row>
    <row r="759" spans="7:7" x14ac:dyDescent="0.2">
      <c r="G759" t="str">
        <f t="shared" si="98"/>
        <v/>
      </c>
    </row>
    <row r="760" spans="7:7" x14ac:dyDescent="0.2">
      <c r="G760" t="str">
        <f t="shared" si="98"/>
        <v/>
      </c>
    </row>
    <row r="761" spans="7:7" x14ac:dyDescent="0.2">
      <c r="G761" t="str">
        <f t="shared" si="98"/>
        <v/>
      </c>
    </row>
    <row r="762" spans="7:7" x14ac:dyDescent="0.2">
      <c r="G762" t="str">
        <f t="shared" si="98"/>
        <v/>
      </c>
    </row>
    <row r="763" spans="7:7" x14ac:dyDescent="0.2">
      <c r="G763" t="str">
        <f t="shared" si="98"/>
        <v/>
      </c>
    </row>
    <row r="764" spans="7:7" x14ac:dyDescent="0.2">
      <c r="G764" t="str">
        <f t="shared" si="98"/>
        <v/>
      </c>
    </row>
    <row r="765" spans="7:7" x14ac:dyDescent="0.2">
      <c r="G765" t="str">
        <f t="shared" si="98"/>
        <v/>
      </c>
    </row>
    <row r="766" spans="7:7" x14ac:dyDescent="0.2">
      <c r="G766" t="str">
        <f t="shared" si="98"/>
        <v/>
      </c>
    </row>
    <row r="767" spans="7:7" x14ac:dyDescent="0.2">
      <c r="G767" t="str">
        <f t="shared" si="98"/>
        <v/>
      </c>
    </row>
    <row r="768" spans="7:7" x14ac:dyDescent="0.2">
      <c r="G768" t="str">
        <f t="shared" si="98"/>
        <v/>
      </c>
    </row>
    <row r="769" spans="7:7" x14ac:dyDescent="0.2">
      <c r="G769" t="str">
        <f t="shared" si="98"/>
        <v/>
      </c>
    </row>
    <row r="770" spans="7:7" x14ac:dyDescent="0.2">
      <c r="G770" t="str">
        <f t="shared" si="98"/>
        <v/>
      </c>
    </row>
    <row r="771" spans="7:7" x14ac:dyDescent="0.2">
      <c r="G771" t="str">
        <f t="shared" si="98"/>
        <v/>
      </c>
    </row>
    <row r="772" spans="7:7" x14ac:dyDescent="0.2">
      <c r="G772" t="str">
        <f t="shared" si="98"/>
        <v/>
      </c>
    </row>
    <row r="773" spans="7:7" x14ac:dyDescent="0.2">
      <c r="G773" t="str">
        <f t="shared" si="98"/>
        <v/>
      </c>
    </row>
    <row r="774" spans="7:7" x14ac:dyDescent="0.2">
      <c r="G774" t="str">
        <f t="shared" si="98"/>
        <v/>
      </c>
    </row>
    <row r="775" spans="7:7" x14ac:dyDescent="0.2">
      <c r="G775" t="str">
        <f t="shared" si="98"/>
        <v/>
      </c>
    </row>
    <row r="776" spans="7:7" x14ac:dyDescent="0.2">
      <c r="G776" t="str">
        <f t="shared" si="98"/>
        <v/>
      </c>
    </row>
    <row r="777" spans="7:7" x14ac:dyDescent="0.2">
      <c r="G777" t="str">
        <f t="shared" si="98"/>
        <v/>
      </c>
    </row>
    <row r="778" spans="7:7" x14ac:dyDescent="0.2">
      <c r="G778" t="str">
        <f t="shared" si="98"/>
        <v/>
      </c>
    </row>
    <row r="779" spans="7:7" x14ac:dyDescent="0.2">
      <c r="G779" t="str">
        <f t="shared" si="98"/>
        <v/>
      </c>
    </row>
    <row r="780" spans="7:7" x14ac:dyDescent="0.2">
      <c r="G780" t="str">
        <f t="shared" si="98"/>
        <v/>
      </c>
    </row>
    <row r="781" spans="7:7" x14ac:dyDescent="0.2">
      <c r="G781" t="str">
        <f t="shared" si="98"/>
        <v/>
      </c>
    </row>
    <row r="782" spans="7:7" x14ac:dyDescent="0.2">
      <c r="G782" t="str">
        <f t="shared" si="98"/>
        <v/>
      </c>
    </row>
    <row r="783" spans="7:7" x14ac:dyDescent="0.2">
      <c r="G783" t="str">
        <f t="shared" si="98"/>
        <v/>
      </c>
    </row>
    <row r="784" spans="7:7" x14ac:dyDescent="0.2">
      <c r="G784" t="str">
        <f t="shared" si="98"/>
        <v/>
      </c>
    </row>
    <row r="785" spans="7:7" x14ac:dyDescent="0.2">
      <c r="G785" t="str">
        <f t="shared" si="98"/>
        <v/>
      </c>
    </row>
    <row r="786" spans="7:7" x14ac:dyDescent="0.2">
      <c r="G786" t="str">
        <f t="shared" si="98"/>
        <v/>
      </c>
    </row>
    <row r="787" spans="7:7" x14ac:dyDescent="0.2">
      <c r="G787" t="str">
        <f t="shared" si="98"/>
        <v/>
      </c>
    </row>
    <row r="788" spans="7:7" x14ac:dyDescent="0.2">
      <c r="G788" t="str">
        <f t="shared" si="98"/>
        <v/>
      </c>
    </row>
    <row r="789" spans="7:7" x14ac:dyDescent="0.2">
      <c r="G789" t="str">
        <f t="shared" si="98"/>
        <v/>
      </c>
    </row>
    <row r="790" spans="7:7" x14ac:dyDescent="0.2">
      <c r="G790" t="str">
        <f t="shared" si="98"/>
        <v/>
      </c>
    </row>
    <row r="791" spans="7:7" x14ac:dyDescent="0.2">
      <c r="G791" t="str">
        <f t="shared" si="98"/>
        <v/>
      </c>
    </row>
    <row r="792" spans="7:7" x14ac:dyDescent="0.2">
      <c r="G792" t="str">
        <f t="shared" si="98"/>
        <v/>
      </c>
    </row>
    <row r="793" spans="7:7" x14ac:dyDescent="0.2">
      <c r="G793" t="str">
        <f t="shared" si="98"/>
        <v/>
      </c>
    </row>
    <row r="794" spans="7:7" x14ac:dyDescent="0.2">
      <c r="G794" t="str">
        <f t="shared" si="98"/>
        <v/>
      </c>
    </row>
    <row r="795" spans="7:7" x14ac:dyDescent="0.2">
      <c r="G795" t="str">
        <f t="shared" si="98"/>
        <v/>
      </c>
    </row>
    <row r="796" spans="7:7" x14ac:dyDescent="0.2">
      <c r="G796" t="str">
        <f t="shared" ref="G796:G859" si="99">IF(OR(A796="",B796="",C796=""),"",A796&amp;"|"&amp;B796&amp;"|"&amp;C796)</f>
        <v/>
      </c>
    </row>
    <row r="797" spans="7:7" x14ac:dyDescent="0.2">
      <c r="G797" t="str">
        <f t="shared" si="99"/>
        <v/>
      </c>
    </row>
    <row r="798" spans="7:7" x14ac:dyDescent="0.2">
      <c r="G798" t="str">
        <f t="shared" si="99"/>
        <v/>
      </c>
    </row>
    <row r="799" spans="7:7" x14ac:dyDescent="0.2">
      <c r="G799" t="str">
        <f t="shared" si="99"/>
        <v/>
      </c>
    </row>
    <row r="800" spans="7:7" x14ac:dyDescent="0.2">
      <c r="G800" t="str">
        <f t="shared" si="99"/>
        <v/>
      </c>
    </row>
    <row r="801" spans="7:7" x14ac:dyDescent="0.2">
      <c r="G801" t="str">
        <f t="shared" si="99"/>
        <v/>
      </c>
    </row>
    <row r="802" spans="7:7" x14ac:dyDescent="0.2">
      <c r="G802" t="str">
        <f t="shared" si="99"/>
        <v/>
      </c>
    </row>
    <row r="803" spans="7:7" x14ac:dyDescent="0.2">
      <c r="G803" t="str">
        <f t="shared" si="99"/>
        <v/>
      </c>
    </row>
    <row r="804" spans="7:7" x14ac:dyDescent="0.2">
      <c r="G804" t="str">
        <f t="shared" si="99"/>
        <v/>
      </c>
    </row>
    <row r="805" spans="7:7" x14ac:dyDescent="0.2">
      <c r="G805" t="str">
        <f t="shared" si="99"/>
        <v/>
      </c>
    </row>
    <row r="806" spans="7:7" x14ac:dyDescent="0.2">
      <c r="G806" t="str">
        <f t="shared" si="99"/>
        <v/>
      </c>
    </row>
    <row r="807" spans="7:7" x14ac:dyDescent="0.2">
      <c r="G807" t="str">
        <f t="shared" si="99"/>
        <v/>
      </c>
    </row>
    <row r="808" spans="7:7" x14ac:dyDescent="0.2">
      <c r="G808" t="str">
        <f t="shared" si="99"/>
        <v/>
      </c>
    </row>
    <row r="809" spans="7:7" x14ac:dyDescent="0.2">
      <c r="G809" t="str">
        <f t="shared" si="99"/>
        <v/>
      </c>
    </row>
    <row r="810" spans="7:7" x14ac:dyDescent="0.2">
      <c r="G810" t="str">
        <f t="shared" si="99"/>
        <v/>
      </c>
    </row>
    <row r="811" spans="7:7" x14ac:dyDescent="0.2">
      <c r="G811" t="str">
        <f t="shared" si="99"/>
        <v/>
      </c>
    </row>
    <row r="812" spans="7:7" x14ac:dyDescent="0.2">
      <c r="G812" t="str">
        <f t="shared" si="99"/>
        <v/>
      </c>
    </row>
    <row r="813" spans="7:7" x14ac:dyDescent="0.2">
      <c r="G813" t="str">
        <f t="shared" si="99"/>
        <v/>
      </c>
    </row>
    <row r="814" spans="7:7" x14ac:dyDescent="0.2">
      <c r="G814" t="str">
        <f t="shared" si="99"/>
        <v/>
      </c>
    </row>
    <row r="815" spans="7:7" x14ac:dyDescent="0.2">
      <c r="G815" t="str">
        <f t="shared" si="99"/>
        <v/>
      </c>
    </row>
    <row r="816" spans="7:7" x14ac:dyDescent="0.2">
      <c r="G816" t="str">
        <f t="shared" si="99"/>
        <v/>
      </c>
    </row>
    <row r="817" spans="7:7" x14ac:dyDescent="0.2">
      <c r="G817" t="str">
        <f t="shared" si="99"/>
        <v/>
      </c>
    </row>
    <row r="818" spans="7:7" x14ac:dyDescent="0.2">
      <c r="G818" t="str">
        <f t="shared" si="99"/>
        <v/>
      </c>
    </row>
    <row r="819" spans="7:7" x14ac:dyDescent="0.2">
      <c r="G819" t="str">
        <f t="shared" si="99"/>
        <v/>
      </c>
    </row>
    <row r="820" spans="7:7" x14ac:dyDescent="0.2">
      <c r="G820" t="str">
        <f t="shared" si="99"/>
        <v/>
      </c>
    </row>
    <row r="821" spans="7:7" x14ac:dyDescent="0.2">
      <c r="G821" t="str">
        <f t="shared" si="99"/>
        <v/>
      </c>
    </row>
    <row r="822" spans="7:7" x14ac:dyDescent="0.2">
      <c r="G822" t="str">
        <f t="shared" si="99"/>
        <v/>
      </c>
    </row>
    <row r="823" spans="7:7" x14ac:dyDescent="0.2">
      <c r="G823" t="str">
        <f t="shared" si="99"/>
        <v/>
      </c>
    </row>
    <row r="824" spans="7:7" x14ac:dyDescent="0.2">
      <c r="G824" t="str">
        <f t="shared" si="99"/>
        <v/>
      </c>
    </row>
    <row r="825" spans="7:7" x14ac:dyDescent="0.2">
      <c r="G825" t="str">
        <f t="shared" si="99"/>
        <v/>
      </c>
    </row>
    <row r="826" spans="7:7" x14ac:dyDescent="0.2">
      <c r="G826" t="str">
        <f t="shared" si="99"/>
        <v/>
      </c>
    </row>
    <row r="827" spans="7:7" x14ac:dyDescent="0.2">
      <c r="G827" t="str">
        <f t="shared" si="99"/>
        <v/>
      </c>
    </row>
    <row r="828" spans="7:7" x14ac:dyDescent="0.2">
      <c r="G828" t="str">
        <f t="shared" si="99"/>
        <v/>
      </c>
    </row>
    <row r="829" spans="7:7" x14ac:dyDescent="0.2">
      <c r="G829" t="str">
        <f t="shared" si="99"/>
        <v/>
      </c>
    </row>
    <row r="830" spans="7:7" x14ac:dyDescent="0.2">
      <c r="G830" t="str">
        <f t="shared" si="99"/>
        <v/>
      </c>
    </row>
    <row r="831" spans="7:7" x14ac:dyDescent="0.2">
      <c r="G831" t="str">
        <f t="shared" si="99"/>
        <v/>
      </c>
    </row>
    <row r="832" spans="7:7" x14ac:dyDescent="0.2">
      <c r="G832" t="str">
        <f t="shared" si="99"/>
        <v/>
      </c>
    </row>
    <row r="833" spans="7:7" x14ac:dyDescent="0.2">
      <c r="G833" t="str">
        <f t="shared" si="99"/>
        <v/>
      </c>
    </row>
    <row r="834" spans="7:7" x14ac:dyDescent="0.2">
      <c r="G834" t="str">
        <f t="shared" si="99"/>
        <v/>
      </c>
    </row>
    <row r="835" spans="7:7" x14ac:dyDescent="0.2">
      <c r="G835" t="str">
        <f t="shared" si="99"/>
        <v/>
      </c>
    </row>
    <row r="836" spans="7:7" x14ac:dyDescent="0.2">
      <c r="G836" t="str">
        <f t="shared" si="99"/>
        <v/>
      </c>
    </row>
    <row r="837" spans="7:7" x14ac:dyDescent="0.2">
      <c r="G837" t="str">
        <f t="shared" si="99"/>
        <v/>
      </c>
    </row>
    <row r="838" spans="7:7" x14ac:dyDescent="0.2">
      <c r="G838" t="str">
        <f t="shared" si="99"/>
        <v/>
      </c>
    </row>
    <row r="839" spans="7:7" x14ac:dyDescent="0.2">
      <c r="G839" t="str">
        <f t="shared" si="99"/>
        <v/>
      </c>
    </row>
    <row r="840" spans="7:7" x14ac:dyDescent="0.2">
      <c r="G840" t="str">
        <f t="shared" si="99"/>
        <v/>
      </c>
    </row>
    <row r="841" spans="7:7" x14ac:dyDescent="0.2">
      <c r="G841" t="str">
        <f t="shared" si="99"/>
        <v/>
      </c>
    </row>
    <row r="842" spans="7:7" x14ac:dyDescent="0.2">
      <c r="G842" t="str">
        <f t="shared" si="99"/>
        <v/>
      </c>
    </row>
    <row r="843" spans="7:7" x14ac:dyDescent="0.2">
      <c r="G843" t="str">
        <f t="shared" si="99"/>
        <v/>
      </c>
    </row>
    <row r="844" spans="7:7" x14ac:dyDescent="0.2">
      <c r="G844" t="str">
        <f t="shared" si="99"/>
        <v/>
      </c>
    </row>
    <row r="845" spans="7:7" x14ac:dyDescent="0.2">
      <c r="G845" t="str">
        <f t="shared" si="99"/>
        <v/>
      </c>
    </row>
    <row r="846" spans="7:7" x14ac:dyDescent="0.2">
      <c r="G846" t="str">
        <f t="shared" si="99"/>
        <v/>
      </c>
    </row>
    <row r="847" spans="7:7" x14ac:dyDescent="0.2">
      <c r="G847" t="str">
        <f t="shared" si="99"/>
        <v/>
      </c>
    </row>
    <row r="848" spans="7:7" x14ac:dyDescent="0.2">
      <c r="G848" t="str">
        <f t="shared" si="99"/>
        <v/>
      </c>
    </row>
    <row r="849" spans="7:7" x14ac:dyDescent="0.2">
      <c r="G849" t="str">
        <f t="shared" si="99"/>
        <v/>
      </c>
    </row>
    <row r="850" spans="7:7" x14ac:dyDescent="0.2">
      <c r="G850" t="str">
        <f t="shared" si="99"/>
        <v/>
      </c>
    </row>
    <row r="851" spans="7:7" x14ac:dyDescent="0.2">
      <c r="G851" t="str">
        <f t="shared" si="99"/>
        <v/>
      </c>
    </row>
    <row r="852" spans="7:7" x14ac:dyDescent="0.2">
      <c r="G852" t="str">
        <f t="shared" si="99"/>
        <v/>
      </c>
    </row>
    <row r="853" spans="7:7" x14ac:dyDescent="0.2">
      <c r="G853" t="str">
        <f t="shared" si="99"/>
        <v/>
      </c>
    </row>
    <row r="854" spans="7:7" x14ac:dyDescent="0.2">
      <c r="G854" t="str">
        <f t="shared" si="99"/>
        <v/>
      </c>
    </row>
    <row r="855" spans="7:7" x14ac:dyDescent="0.2">
      <c r="G855" t="str">
        <f t="shared" si="99"/>
        <v/>
      </c>
    </row>
    <row r="856" spans="7:7" x14ac:dyDescent="0.2">
      <c r="G856" t="str">
        <f t="shared" si="99"/>
        <v/>
      </c>
    </row>
    <row r="857" spans="7:7" x14ac:dyDescent="0.2">
      <c r="G857" t="str">
        <f t="shared" si="99"/>
        <v/>
      </c>
    </row>
    <row r="858" spans="7:7" x14ac:dyDescent="0.2">
      <c r="G858" t="str">
        <f t="shared" si="99"/>
        <v/>
      </c>
    </row>
    <row r="859" spans="7:7" x14ac:dyDescent="0.2">
      <c r="G859" t="str">
        <f t="shared" si="99"/>
        <v/>
      </c>
    </row>
    <row r="860" spans="7:7" x14ac:dyDescent="0.2">
      <c r="G860" t="str">
        <f t="shared" ref="G860:G923" si="100">IF(OR(A860="",B860="",C860=""),"",A860&amp;"|"&amp;B860&amp;"|"&amp;C860)</f>
        <v/>
      </c>
    </row>
    <row r="861" spans="7:7" x14ac:dyDescent="0.2">
      <c r="G861" t="str">
        <f t="shared" si="100"/>
        <v/>
      </c>
    </row>
    <row r="862" spans="7:7" x14ac:dyDescent="0.2">
      <c r="G862" t="str">
        <f t="shared" si="100"/>
        <v/>
      </c>
    </row>
    <row r="863" spans="7:7" x14ac:dyDescent="0.2">
      <c r="G863" t="str">
        <f t="shared" si="100"/>
        <v/>
      </c>
    </row>
    <row r="864" spans="7:7" x14ac:dyDescent="0.2">
      <c r="G864" t="str">
        <f t="shared" si="100"/>
        <v/>
      </c>
    </row>
    <row r="865" spans="7:7" x14ac:dyDescent="0.2">
      <c r="G865" t="str">
        <f t="shared" si="100"/>
        <v/>
      </c>
    </row>
    <row r="866" spans="7:7" x14ac:dyDescent="0.2">
      <c r="G866" t="str">
        <f t="shared" si="100"/>
        <v/>
      </c>
    </row>
    <row r="867" spans="7:7" x14ac:dyDescent="0.2">
      <c r="G867" t="str">
        <f t="shared" si="100"/>
        <v/>
      </c>
    </row>
    <row r="868" spans="7:7" x14ac:dyDescent="0.2">
      <c r="G868" t="str">
        <f t="shared" si="100"/>
        <v/>
      </c>
    </row>
    <row r="869" spans="7:7" x14ac:dyDescent="0.2">
      <c r="G869" t="str">
        <f t="shared" si="100"/>
        <v/>
      </c>
    </row>
    <row r="870" spans="7:7" x14ac:dyDescent="0.2">
      <c r="G870" t="str">
        <f t="shared" si="100"/>
        <v/>
      </c>
    </row>
    <row r="871" spans="7:7" x14ac:dyDescent="0.2">
      <c r="G871" t="str">
        <f t="shared" si="100"/>
        <v/>
      </c>
    </row>
    <row r="872" spans="7:7" x14ac:dyDescent="0.2">
      <c r="G872" t="str">
        <f t="shared" si="100"/>
        <v/>
      </c>
    </row>
    <row r="873" spans="7:7" x14ac:dyDescent="0.2">
      <c r="G873" t="str">
        <f t="shared" si="100"/>
        <v/>
      </c>
    </row>
    <row r="874" spans="7:7" x14ac:dyDescent="0.2">
      <c r="G874" t="str">
        <f t="shared" si="100"/>
        <v/>
      </c>
    </row>
    <row r="875" spans="7:7" x14ac:dyDescent="0.2">
      <c r="G875" t="str">
        <f t="shared" si="100"/>
        <v/>
      </c>
    </row>
    <row r="876" spans="7:7" x14ac:dyDescent="0.2">
      <c r="G876" t="str">
        <f t="shared" si="100"/>
        <v/>
      </c>
    </row>
    <row r="877" spans="7:7" x14ac:dyDescent="0.2">
      <c r="G877" t="str">
        <f t="shared" si="100"/>
        <v/>
      </c>
    </row>
    <row r="878" spans="7:7" x14ac:dyDescent="0.2">
      <c r="G878" t="str">
        <f t="shared" si="100"/>
        <v/>
      </c>
    </row>
    <row r="879" spans="7:7" x14ac:dyDescent="0.2">
      <c r="G879" t="str">
        <f t="shared" si="100"/>
        <v/>
      </c>
    </row>
    <row r="880" spans="7:7" x14ac:dyDescent="0.2">
      <c r="G880" t="str">
        <f t="shared" si="100"/>
        <v/>
      </c>
    </row>
    <row r="881" spans="7:7" x14ac:dyDescent="0.2">
      <c r="G881" t="str">
        <f t="shared" si="100"/>
        <v/>
      </c>
    </row>
    <row r="882" spans="7:7" x14ac:dyDescent="0.2">
      <c r="G882" t="str">
        <f t="shared" si="100"/>
        <v/>
      </c>
    </row>
    <row r="883" spans="7:7" x14ac:dyDescent="0.2">
      <c r="G883" t="str">
        <f t="shared" si="100"/>
        <v/>
      </c>
    </row>
    <row r="884" spans="7:7" x14ac:dyDescent="0.2">
      <c r="G884" t="str">
        <f t="shared" si="100"/>
        <v/>
      </c>
    </row>
    <row r="885" spans="7:7" x14ac:dyDescent="0.2">
      <c r="G885" t="str">
        <f t="shared" si="100"/>
        <v/>
      </c>
    </row>
    <row r="886" spans="7:7" x14ac:dyDescent="0.2">
      <c r="G886" t="str">
        <f t="shared" si="100"/>
        <v/>
      </c>
    </row>
    <row r="887" spans="7:7" x14ac:dyDescent="0.2">
      <c r="G887" t="str">
        <f t="shared" si="100"/>
        <v/>
      </c>
    </row>
    <row r="888" spans="7:7" x14ac:dyDescent="0.2">
      <c r="G888" t="str">
        <f t="shared" si="100"/>
        <v/>
      </c>
    </row>
    <row r="889" spans="7:7" x14ac:dyDescent="0.2">
      <c r="G889" t="str">
        <f t="shared" si="100"/>
        <v/>
      </c>
    </row>
    <row r="890" spans="7:7" x14ac:dyDescent="0.2">
      <c r="G890" t="str">
        <f t="shared" si="100"/>
        <v/>
      </c>
    </row>
    <row r="891" spans="7:7" x14ac:dyDescent="0.2">
      <c r="G891" t="str">
        <f t="shared" si="100"/>
        <v/>
      </c>
    </row>
    <row r="892" spans="7:7" x14ac:dyDescent="0.2">
      <c r="G892" t="str">
        <f t="shared" si="100"/>
        <v/>
      </c>
    </row>
    <row r="893" spans="7:7" x14ac:dyDescent="0.2">
      <c r="G893" t="str">
        <f t="shared" si="100"/>
        <v/>
      </c>
    </row>
    <row r="894" spans="7:7" x14ac:dyDescent="0.2">
      <c r="G894" t="str">
        <f t="shared" si="100"/>
        <v/>
      </c>
    </row>
    <row r="895" spans="7:7" x14ac:dyDescent="0.2">
      <c r="G895" t="str">
        <f t="shared" si="100"/>
        <v/>
      </c>
    </row>
    <row r="896" spans="7:7" x14ac:dyDescent="0.2">
      <c r="G896" t="str">
        <f t="shared" si="100"/>
        <v/>
      </c>
    </row>
    <row r="897" spans="7:7" x14ac:dyDescent="0.2">
      <c r="G897" t="str">
        <f t="shared" si="100"/>
        <v/>
      </c>
    </row>
    <row r="898" spans="7:7" x14ac:dyDescent="0.2">
      <c r="G898" t="str">
        <f t="shared" si="100"/>
        <v/>
      </c>
    </row>
    <row r="899" spans="7:7" x14ac:dyDescent="0.2">
      <c r="G899" t="str">
        <f t="shared" si="100"/>
        <v/>
      </c>
    </row>
    <row r="900" spans="7:7" x14ac:dyDescent="0.2">
      <c r="G900" t="str">
        <f t="shared" si="100"/>
        <v/>
      </c>
    </row>
    <row r="901" spans="7:7" x14ac:dyDescent="0.2">
      <c r="G901" t="str">
        <f t="shared" si="100"/>
        <v/>
      </c>
    </row>
    <row r="902" spans="7:7" x14ac:dyDescent="0.2">
      <c r="G902" t="str">
        <f t="shared" si="100"/>
        <v/>
      </c>
    </row>
    <row r="903" spans="7:7" x14ac:dyDescent="0.2">
      <c r="G903" t="str">
        <f t="shared" si="100"/>
        <v/>
      </c>
    </row>
    <row r="904" spans="7:7" x14ac:dyDescent="0.2">
      <c r="G904" t="str">
        <f t="shared" si="100"/>
        <v/>
      </c>
    </row>
    <row r="905" spans="7:7" x14ac:dyDescent="0.2">
      <c r="G905" t="str">
        <f t="shared" si="100"/>
        <v/>
      </c>
    </row>
    <row r="906" spans="7:7" x14ac:dyDescent="0.2">
      <c r="G906" t="str">
        <f t="shared" si="100"/>
        <v/>
      </c>
    </row>
    <row r="907" spans="7:7" x14ac:dyDescent="0.2">
      <c r="G907" t="str">
        <f t="shared" si="100"/>
        <v/>
      </c>
    </row>
    <row r="908" spans="7:7" x14ac:dyDescent="0.2">
      <c r="G908" t="str">
        <f t="shared" si="100"/>
        <v/>
      </c>
    </row>
    <row r="909" spans="7:7" x14ac:dyDescent="0.2">
      <c r="G909" t="str">
        <f t="shared" si="100"/>
        <v/>
      </c>
    </row>
    <row r="910" spans="7:7" x14ac:dyDescent="0.2">
      <c r="G910" t="str">
        <f t="shared" si="100"/>
        <v/>
      </c>
    </row>
    <row r="911" spans="7:7" x14ac:dyDescent="0.2">
      <c r="G911" t="str">
        <f t="shared" si="100"/>
        <v/>
      </c>
    </row>
    <row r="912" spans="7:7" x14ac:dyDescent="0.2">
      <c r="G912" t="str">
        <f t="shared" si="100"/>
        <v/>
      </c>
    </row>
    <row r="913" spans="7:7" x14ac:dyDescent="0.2">
      <c r="G913" t="str">
        <f t="shared" si="100"/>
        <v/>
      </c>
    </row>
    <row r="914" spans="7:7" x14ac:dyDescent="0.2">
      <c r="G914" t="str">
        <f t="shared" si="100"/>
        <v/>
      </c>
    </row>
    <row r="915" spans="7:7" x14ac:dyDescent="0.2">
      <c r="G915" t="str">
        <f t="shared" si="100"/>
        <v/>
      </c>
    </row>
    <row r="916" spans="7:7" x14ac:dyDescent="0.2">
      <c r="G916" t="str">
        <f t="shared" si="100"/>
        <v/>
      </c>
    </row>
    <row r="917" spans="7:7" x14ac:dyDescent="0.2">
      <c r="G917" t="str">
        <f t="shared" si="100"/>
        <v/>
      </c>
    </row>
    <row r="918" spans="7:7" x14ac:dyDescent="0.2">
      <c r="G918" t="str">
        <f t="shared" si="100"/>
        <v/>
      </c>
    </row>
    <row r="919" spans="7:7" x14ac:dyDescent="0.2">
      <c r="G919" t="str">
        <f t="shared" si="100"/>
        <v/>
      </c>
    </row>
    <row r="920" spans="7:7" x14ac:dyDescent="0.2">
      <c r="G920" t="str">
        <f t="shared" si="100"/>
        <v/>
      </c>
    </row>
    <row r="921" spans="7:7" x14ac:dyDescent="0.2">
      <c r="G921" t="str">
        <f t="shared" si="100"/>
        <v/>
      </c>
    </row>
    <row r="922" spans="7:7" x14ac:dyDescent="0.2">
      <c r="G922" t="str">
        <f t="shared" si="100"/>
        <v/>
      </c>
    </row>
    <row r="923" spans="7:7" x14ac:dyDescent="0.2">
      <c r="G923" t="str">
        <f t="shared" si="100"/>
        <v/>
      </c>
    </row>
    <row r="924" spans="7:7" x14ac:dyDescent="0.2">
      <c r="G924" t="str">
        <f t="shared" ref="G924:G987" si="101">IF(OR(A924="",B924="",C924=""),"",A924&amp;"|"&amp;B924&amp;"|"&amp;C924)</f>
        <v/>
      </c>
    </row>
    <row r="925" spans="7:7" x14ac:dyDescent="0.2">
      <c r="G925" t="str">
        <f t="shared" si="101"/>
        <v/>
      </c>
    </row>
    <row r="926" spans="7:7" x14ac:dyDescent="0.2">
      <c r="G926" t="str">
        <f t="shared" si="101"/>
        <v/>
      </c>
    </row>
    <row r="927" spans="7:7" x14ac:dyDescent="0.2">
      <c r="G927" t="str">
        <f t="shared" si="101"/>
        <v/>
      </c>
    </row>
    <row r="928" spans="7:7" x14ac:dyDescent="0.2">
      <c r="G928" t="str">
        <f t="shared" si="101"/>
        <v/>
      </c>
    </row>
    <row r="929" spans="7:7" x14ac:dyDescent="0.2">
      <c r="G929" t="str">
        <f t="shared" si="101"/>
        <v/>
      </c>
    </row>
    <row r="930" spans="7:7" x14ac:dyDescent="0.2">
      <c r="G930" t="str">
        <f t="shared" si="101"/>
        <v/>
      </c>
    </row>
    <row r="931" spans="7:7" x14ac:dyDescent="0.2">
      <c r="G931" t="str">
        <f t="shared" si="101"/>
        <v/>
      </c>
    </row>
    <row r="932" spans="7:7" x14ac:dyDescent="0.2">
      <c r="G932" t="str">
        <f t="shared" si="101"/>
        <v/>
      </c>
    </row>
    <row r="933" spans="7:7" x14ac:dyDescent="0.2">
      <c r="G933" t="str">
        <f t="shared" si="101"/>
        <v/>
      </c>
    </row>
    <row r="934" spans="7:7" x14ac:dyDescent="0.2">
      <c r="G934" t="str">
        <f t="shared" si="101"/>
        <v/>
      </c>
    </row>
    <row r="935" spans="7:7" x14ac:dyDescent="0.2">
      <c r="G935" t="str">
        <f t="shared" si="101"/>
        <v/>
      </c>
    </row>
    <row r="936" spans="7:7" x14ac:dyDescent="0.2">
      <c r="G936" t="str">
        <f t="shared" si="101"/>
        <v/>
      </c>
    </row>
    <row r="937" spans="7:7" x14ac:dyDescent="0.2">
      <c r="G937" t="str">
        <f t="shared" si="101"/>
        <v/>
      </c>
    </row>
    <row r="938" spans="7:7" x14ac:dyDescent="0.2">
      <c r="G938" t="str">
        <f t="shared" si="101"/>
        <v/>
      </c>
    </row>
    <row r="939" spans="7:7" x14ac:dyDescent="0.2">
      <c r="G939" t="str">
        <f t="shared" si="101"/>
        <v/>
      </c>
    </row>
    <row r="940" spans="7:7" x14ac:dyDescent="0.2">
      <c r="G940" t="str">
        <f t="shared" si="101"/>
        <v/>
      </c>
    </row>
    <row r="941" spans="7:7" x14ac:dyDescent="0.2">
      <c r="G941" t="str">
        <f t="shared" si="101"/>
        <v/>
      </c>
    </row>
    <row r="942" spans="7:7" x14ac:dyDescent="0.2">
      <c r="G942" t="str">
        <f t="shared" si="101"/>
        <v/>
      </c>
    </row>
    <row r="943" spans="7:7" x14ac:dyDescent="0.2">
      <c r="G943" t="str">
        <f t="shared" si="101"/>
        <v/>
      </c>
    </row>
    <row r="944" spans="7:7" x14ac:dyDescent="0.2">
      <c r="G944" t="str">
        <f t="shared" si="101"/>
        <v/>
      </c>
    </row>
    <row r="945" spans="7:7" x14ac:dyDescent="0.2">
      <c r="G945" t="str">
        <f t="shared" si="101"/>
        <v/>
      </c>
    </row>
    <row r="946" spans="7:7" x14ac:dyDescent="0.2">
      <c r="G946" t="str">
        <f t="shared" si="101"/>
        <v/>
      </c>
    </row>
    <row r="947" spans="7:7" x14ac:dyDescent="0.2">
      <c r="G947" t="str">
        <f t="shared" si="101"/>
        <v/>
      </c>
    </row>
    <row r="948" spans="7:7" x14ac:dyDescent="0.2">
      <c r="G948" t="str">
        <f t="shared" si="101"/>
        <v/>
      </c>
    </row>
    <row r="949" spans="7:7" x14ac:dyDescent="0.2">
      <c r="G949" t="str">
        <f t="shared" si="101"/>
        <v/>
      </c>
    </row>
    <row r="950" spans="7:7" x14ac:dyDescent="0.2">
      <c r="G950" t="str">
        <f t="shared" si="101"/>
        <v/>
      </c>
    </row>
    <row r="951" spans="7:7" x14ac:dyDescent="0.2">
      <c r="G951" t="str">
        <f t="shared" si="101"/>
        <v/>
      </c>
    </row>
    <row r="952" spans="7:7" x14ac:dyDescent="0.2">
      <c r="G952" t="str">
        <f t="shared" si="101"/>
        <v/>
      </c>
    </row>
    <row r="953" spans="7:7" x14ac:dyDescent="0.2">
      <c r="G953" t="str">
        <f t="shared" si="101"/>
        <v/>
      </c>
    </row>
    <row r="954" spans="7:7" x14ac:dyDescent="0.2">
      <c r="G954" t="str">
        <f t="shared" si="101"/>
        <v/>
      </c>
    </row>
    <row r="955" spans="7:7" x14ac:dyDescent="0.2">
      <c r="G955" t="str">
        <f t="shared" si="101"/>
        <v/>
      </c>
    </row>
    <row r="956" spans="7:7" x14ac:dyDescent="0.2">
      <c r="G956" t="str">
        <f t="shared" si="101"/>
        <v/>
      </c>
    </row>
    <row r="957" spans="7:7" x14ac:dyDescent="0.2">
      <c r="G957" t="str">
        <f t="shared" si="101"/>
        <v/>
      </c>
    </row>
    <row r="958" spans="7:7" x14ac:dyDescent="0.2">
      <c r="G958" t="str">
        <f t="shared" si="101"/>
        <v/>
      </c>
    </row>
    <row r="959" spans="7:7" x14ac:dyDescent="0.2">
      <c r="G959" t="str">
        <f t="shared" si="101"/>
        <v/>
      </c>
    </row>
    <row r="960" spans="7:7" x14ac:dyDescent="0.2">
      <c r="G960" t="str">
        <f t="shared" si="101"/>
        <v/>
      </c>
    </row>
    <row r="961" spans="7:7" x14ac:dyDescent="0.2">
      <c r="G961" t="str">
        <f t="shared" si="101"/>
        <v/>
      </c>
    </row>
    <row r="962" spans="7:7" x14ac:dyDescent="0.2">
      <c r="G962" t="str">
        <f t="shared" si="101"/>
        <v/>
      </c>
    </row>
    <row r="963" spans="7:7" x14ac:dyDescent="0.2">
      <c r="G963" t="str">
        <f t="shared" si="101"/>
        <v/>
      </c>
    </row>
    <row r="964" spans="7:7" x14ac:dyDescent="0.2">
      <c r="G964" t="str">
        <f t="shared" si="101"/>
        <v/>
      </c>
    </row>
    <row r="965" spans="7:7" x14ac:dyDescent="0.2">
      <c r="G965" t="str">
        <f t="shared" si="101"/>
        <v/>
      </c>
    </row>
    <row r="966" spans="7:7" x14ac:dyDescent="0.2">
      <c r="G966" t="str">
        <f t="shared" si="101"/>
        <v/>
      </c>
    </row>
    <row r="967" spans="7:7" x14ac:dyDescent="0.2">
      <c r="G967" t="str">
        <f t="shared" si="101"/>
        <v/>
      </c>
    </row>
    <row r="968" spans="7:7" x14ac:dyDescent="0.2">
      <c r="G968" t="str">
        <f t="shared" si="101"/>
        <v/>
      </c>
    </row>
    <row r="969" spans="7:7" x14ac:dyDescent="0.2">
      <c r="G969" t="str">
        <f t="shared" si="101"/>
        <v/>
      </c>
    </row>
    <row r="970" spans="7:7" x14ac:dyDescent="0.2">
      <c r="G970" t="str">
        <f t="shared" si="101"/>
        <v/>
      </c>
    </row>
    <row r="971" spans="7:7" x14ac:dyDescent="0.2">
      <c r="G971" t="str">
        <f t="shared" si="101"/>
        <v/>
      </c>
    </row>
    <row r="972" spans="7:7" x14ac:dyDescent="0.2">
      <c r="G972" t="str">
        <f t="shared" si="101"/>
        <v/>
      </c>
    </row>
    <row r="973" spans="7:7" x14ac:dyDescent="0.2">
      <c r="G973" t="str">
        <f t="shared" si="101"/>
        <v/>
      </c>
    </row>
    <row r="974" spans="7:7" x14ac:dyDescent="0.2">
      <c r="G974" t="str">
        <f t="shared" si="101"/>
        <v/>
      </c>
    </row>
    <row r="975" spans="7:7" x14ac:dyDescent="0.2">
      <c r="G975" t="str">
        <f t="shared" si="101"/>
        <v/>
      </c>
    </row>
    <row r="976" spans="7:7" x14ac:dyDescent="0.2">
      <c r="G976" t="str">
        <f t="shared" si="101"/>
        <v/>
      </c>
    </row>
    <row r="977" spans="7:7" x14ac:dyDescent="0.2">
      <c r="G977" t="str">
        <f t="shared" si="101"/>
        <v/>
      </c>
    </row>
    <row r="978" spans="7:7" x14ac:dyDescent="0.2">
      <c r="G978" t="str">
        <f t="shared" si="101"/>
        <v/>
      </c>
    </row>
    <row r="979" spans="7:7" x14ac:dyDescent="0.2">
      <c r="G979" t="str">
        <f t="shared" si="101"/>
        <v/>
      </c>
    </row>
    <row r="980" spans="7:7" x14ac:dyDescent="0.2">
      <c r="G980" t="str">
        <f t="shared" si="101"/>
        <v/>
      </c>
    </row>
    <row r="981" spans="7:7" x14ac:dyDescent="0.2">
      <c r="G981" t="str">
        <f t="shared" si="101"/>
        <v/>
      </c>
    </row>
    <row r="982" spans="7:7" x14ac:dyDescent="0.2">
      <c r="G982" t="str">
        <f t="shared" si="101"/>
        <v/>
      </c>
    </row>
    <row r="983" spans="7:7" x14ac:dyDescent="0.2">
      <c r="G983" t="str">
        <f t="shared" si="101"/>
        <v/>
      </c>
    </row>
    <row r="984" spans="7:7" x14ac:dyDescent="0.2">
      <c r="G984" t="str">
        <f t="shared" si="101"/>
        <v/>
      </c>
    </row>
    <row r="985" spans="7:7" x14ac:dyDescent="0.2">
      <c r="G985" t="str">
        <f t="shared" si="101"/>
        <v/>
      </c>
    </row>
    <row r="986" spans="7:7" x14ac:dyDescent="0.2">
      <c r="G986" t="str">
        <f t="shared" si="101"/>
        <v/>
      </c>
    </row>
    <row r="987" spans="7:7" x14ac:dyDescent="0.2">
      <c r="G987" t="str">
        <f t="shared" si="101"/>
        <v/>
      </c>
    </row>
    <row r="988" spans="7:7" x14ac:dyDescent="0.2">
      <c r="G988" t="str">
        <f t="shared" ref="G988:G1023" si="102">IF(OR(A988="",B988="",C988=""),"",A988&amp;"|"&amp;B988&amp;"|"&amp;C988)</f>
        <v/>
      </c>
    </row>
    <row r="989" spans="7:7" x14ac:dyDescent="0.2">
      <c r="G989" t="str">
        <f t="shared" si="102"/>
        <v/>
      </c>
    </row>
    <row r="990" spans="7:7" x14ac:dyDescent="0.2">
      <c r="G990" t="str">
        <f t="shared" si="102"/>
        <v/>
      </c>
    </row>
    <row r="991" spans="7:7" x14ac:dyDescent="0.2">
      <c r="G991" t="str">
        <f t="shared" si="102"/>
        <v/>
      </c>
    </row>
    <row r="992" spans="7:7" x14ac:dyDescent="0.2">
      <c r="G992" t="str">
        <f t="shared" si="102"/>
        <v/>
      </c>
    </row>
    <row r="993" spans="7:7" x14ac:dyDescent="0.2">
      <c r="G993" t="str">
        <f t="shared" si="102"/>
        <v/>
      </c>
    </row>
    <row r="994" spans="7:7" x14ac:dyDescent="0.2">
      <c r="G994" t="str">
        <f t="shared" si="102"/>
        <v/>
      </c>
    </row>
    <row r="995" spans="7:7" x14ac:dyDescent="0.2">
      <c r="G995" t="str">
        <f t="shared" si="102"/>
        <v/>
      </c>
    </row>
    <row r="996" spans="7:7" x14ac:dyDescent="0.2">
      <c r="G996" t="str">
        <f t="shared" si="102"/>
        <v/>
      </c>
    </row>
    <row r="997" spans="7:7" x14ac:dyDescent="0.2">
      <c r="G997" t="str">
        <f t="shared" si="102"/>
        <v/>
      </c>
    </row>
    <row r="998" spans="7:7" x14ac:dyDescent="0.2">
      <c r="G998" t="str">
        <f t="shared" si="102"/>
        <v/>
      </c>
    </row>
    <row r="999" spans="7:7" x14ac:dyDescent="0.2">
      <c r="G999" t="str">
        <f t="shared" si="102"/>
        <v/>
      </c>
    </row>
    <row r="1000" spans="7:7" x14ac:dyDescent="0.2">
      <c r="G1000" t="str">
        <f t="shared" si="102"/>
        <v/>
      </c>
    </row>
    <row r="1001" spans="7:7" x14ac:dyDescent="0.2">
      <c r="G1001" t="str">
        <f t="shared" si="102"/>
        <v/>
      </c>
    </row>
    <row r="1002" spans="7:7" x14ac:dyDescent="0.2">
      <c r="G1002" t="str">
        <f t="shared" si="102"/>
        <v/>
      </c>
    </row>
    <row r="1003" spans="7:7" x14ac:dyDescent="0.2">
      <c r="G1003" t="str">
        <f t="shared" si="102"/>
        <v/>
      </c>
    </row>
    <row r="1004" spans="7:7" x14ac:dyDescent="0.2">
      <c r="G1004" t="str">
        <f t="shared" si="102"/>
        <v/>
      </c>
    </row>
    <row r="1005" spans="7:7" x14ac:dyDescent="0.2">
      <c r="G1005" t="str">
        <f t="shared" si="102"/>
        <v/>
      </c>
    </row>
    <row r="1006" spans="7:7" x14ac:dyDescent="0.2">
      <c r="G1006" t="str">
        <f t="shared" si="102"/>
        <v/>
      </c>
    </row>
    <row r="1007" spans="7:7" x14ac:dyDescent="0.2">
      <c r="G1007" t="str">
        <f t="shared" si="102"/>
        <v/>
      </c>
    </row>
    <row r="1008" spans="7:7" x14ac:dyDescent="0.2">
      <c r="G1008" t="str">
        <f t="shared" si="102"/>
        <v/>
      </c>
    </row>
    <row r="1009" spans="7:7" x14ac:dyDescent="0.2">
      <c r="G1009" t="str">
        <f t="shared" si="102"/>
        <v/>
      </c>
    </row>
    <row r="1010" spans="7:7" x14ac:dyDescent="0.2">
      <c r="G1010" t="str">
        <f t="shared" si="102"/>
        <v/>
      </c>
    </row>
    <row r="1011" spans="7:7" x14ac:dyDescent="0.2">
      <c r="G1011" t="str">
        <f t="shared" si="102"/>
        <v/>
      </c>
    </row>
    <row r="1012" spans="7:7" x14ac:dyDescent="0.2">
      <c r="G1012" t="str">
        <f t="shared" si="102"/>
        <v/>
      </c>
    </row>
    <row r="1013" spans="7:7" x14ac:dyDescent="0.2">
      <c r="G1013" t="str">
        <f t="shared" si="102"/>
        <v/>
      </c>
    </row>
    <row r="1014" spans="7:7" x14ac:dyDescent="0.2">
      <c r="G1014" t="str">
        <f t="shared" si="102"/>
        <v/>
      </c>
    </row>
    <row r="1015" spans="7:7" x14ac:dyDescent="0.2">
      <c r="G1015" t="str">
        <f t="shared" si="102"/>
        <v/>
      </c>
    </row>
    <row r="1016" spans="7:7" x14ac:dyDescent="0.2">
      <c r="G1016" t="str">
        <f t="shared" si="102"/>
        <v/>
      </c>
    </row>
    <row r="1017" spans="7:7" x14ac:dyDescent="0.2">
      <c r="G1017" t="str">
        <f t="shared" si="102"/>
        <v/>
      </c>
    </row>
    <row r="1018" spans="7:7" x14ac:dyDescent="0.2">
      <c r="G1018" t="str">
        <f t="shared" si="102"/>
        <v/>
      </c>
    </row>
    <row r="1019" spans="7:7" x14ac:dyDescent="0.2">
      <c r="G1019" t="str">
        <f t="shared" si="102"/>
        <v/>
      </c>
    </row>
    <row r="1020" spans="7:7" x14ac:dyDescent="0.2">
      <c r="G1020" t="str">
        <f t="shared" si="102"/>
        <v/>
      </c>
    </row>
    <row r="1021" spans="7:7" x14ac:dyDescent="0.2">
      <c r="G1021" t="str">
        <f t="shared" si="102"/>
        <v/>
      </c>
    </row>
    <row r="1022" spans="7:7" x14ac:dyDescent="0.2">
      <c r="G1022" t="str">
        <f t="shared" si="102"/>
        <v/>
      </c>
    </row>
    <row r="1023" spans="7:7" x14ac:dyDescent="0.2">
      <c r="G1023" t="str">
        <f t="shared" si="102"/>
        <v/>
      </c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G2000"/>
  <sheetViews>
    <sheetView zoomScale="73" workbookViewId="0">
      <selection activeCell="B29" sqref="B29"/>
    </sheetView>
  </sheetViews>
  <sheetFormatPr baseColWidth="10" defaultColWidth="8.6640625" defaultRowHeight="15" x14ac:dyDescent="0.2"/>
  <cols>
    <col min="1" max="1" width="12.6640625" customWidth="1"/>
    <col min="2" max="2" width="24.6640625" customWidth="1"/>
    <col min="3" max="3" width="21.6640625" customWidth="1"/>
    <col min="4" max="4" width="24.6640625" customWidth="1"/>
    <col min="5" max="5" width="50.6640625" customWidth="1"/>
    <col min="6" max="6" width="10.6640625" customWidth="1"/>
    <col min="7" max="7" width="16.6640625" customWidth="1"/>
  </cols>
  <sheetData>
    <row r="1" spans="1:7" x14ac:dyDescent="0.2">
      <c r="A1" s="1" t="s">
        <v>48</v>
      </c>
      <c r="B1" s="1" t="s">
        <v>0</v>
      </c>
      <c r="C1" s="1" t="s">
        <v>49</v>
      </c>
      <c r="D1" s="1" t="s">
        <v>40</v>
      </c>
      <c r="E1" s="1" t="s">
        <v>41</v>
      </c>
      <c r="F1" s="1" t="s">
        <v>50</v>
      </c>
      <c r="G1" s="1" t="s">
        <v>51</v>
      </c>
    </row>
    <row r="2" spans="1:7" x14ac:dyDescent="0.2">
      <c r="A2" s="15"/>
      <c r="C2" t="str" cm="1">
        <f t="array" ref="C2">IFERROR(_xlfn.XLOOKUP(B2,Locales!$A:$A,Locales!$B:$B,""),"")</f>
        <v/>
      </c>
    </row>
    <row r="3" spans="1:7" x14ac:dyDescent="0.2">
      <c r="C3" t="str" cm="1">
        <f t="array" ref="C3">IFERROR(_xlfn.XLOOKUP(B3,Locales!$A:$A,Locales!$B:$B,""),"")</f>
        <v/>
      </c>
    </row>
    <row r="4" spans="1:7" x14ac:dyDescent="0.2">
      <c r="C4" t="str" cm="1">
        <f t="array" ref="C4">IFERROR(_xlfn.XLOOKUP(B4,Locales!$A:$A,Locales!$B:$B,""),"")</f>
        <v/>
      </c>
    </row>
    <row r="5" spans="1:7" x14ac:dyDescent="0.2">
      <c r="C5" t="str" cm="1">
        <f t="array" ref="C5">IFERROR(_xlfn.XLOOKUP(B5,Locales!$A:$A,Locales!$B:$B,""),"")</f>
        <v/>
      </c>
    </row>
    <row r="6" spans="1:7" x14ac:dyDescent="0.2">
      <c r="C6" t="str" cm="1">
        <f t="array" ref="C6">IFERROR(_xlfn.XLOOKUP(B6,Locales!$A:$A,Locales!$B:$B,""),"")</f>
        <v/>
      </c>
    </row>
    <row r="7" spans="1:7" x14ac:dyDescent="0.2">
      <c r="C7" t="str" cm="1">
        <f t="array" ref="C7">IFERROR(_xlfn.XLOOKUP(B7,Locales!$A:$A,Locales!$B:$B,""),"")</f>
        <v/>
      </c>
    </row>
    <row r="8" spans="1:7" x14ac:dyDescent="0.2">
      <c r="C8" t="str" cm="1">
        <f t="array" ref="C8">IFERROR(_xlfn.XLOOKUP(B8,Locales!$A:$A,Locales!$B:$B,""),"")</f>
        <v/>
      </c>
    </row>
    <row r="9" spans="1:7" x14ac:dyDescent="0.2">
      <c r="C9" t="str" cm="1">
        <f t="array" ref="C9">IFERROR(_xlfn.XLOOKUP(B9,Locales!$A:$A,Locales!$B:$B,""),"")</f>
        <v/>
      </c>
    </row>
    <row r="10" spans="1:7" x14ac:dyDescent="0.2">
      <c r="C10" t="str" cm="1">
        <f t="array" ref="C10">IFERROR(_xlfn.XLOOKUP(B10,Locales!$A:$A,Locales!$B:$B,""),"")</f>
        <v/>
      </c>
    </row>
    <row r="11" spans="1:7" x14ac:dyDescent="0.2">
      <c r="C11" t="str" cm="1">
        <f t="array" ref="C11">IFERROR(_xlfn.XLOOKUP(B11,Locales!$A:$A,Locales!$B:$B,""),"")</f>
        <v/>
      </c>
    </row>
    <row r="12" spans="1:7" x14ac:dyDescent="0.2">
      <c r="C12" t="str" cm="1">
        <f t="array" ref="C12">IFERROR(_xlfn.XLOOKUP(B12,Locales!$A:$A,Locales!$B:$B,""),"")</f>
        <v/>
      </c>
    </row>
    <row r="13" spans="1:7" x14ac:dyDescent="0.2">
      <c r="C13" t="str" cm="1">
        <f t="array" ref="C13">IFERROR(_xlfn.XLOOKUP(B13,Locales!$A:$A,Locales!$B:$B,""),"")</f>
        <v/>
      </c>
    </row>
    <row r="14" spans="1:7" x14ac:dyDescent="0.2">
      <c r="C14" t="str" cm="1">
        <f t="array" ref="C14">IFERROR(_xlfn.XLOOKUP(B14,Locales!$A:$A,Locales!$B:$B,""),"")</f>
        <v/>
      </c>
    </row>
    <row r="15" spans="1:7" x14ac:dyDescent="0.2">
      <c r="C15" t="str" cm="1">
        <f t="array" ref="C15">IFERROR(_xlfn.XLOOKUP(B15,Locales!$A:$A,Locales!$B:$B,""),"")</f>
        <v/>
      </c>
    </row>
    <row r="16" spans="1:7" x14ac:dyDescent="0.2">
      <c r="C16" t="str" cm="1">
        <f t="array" ref="C16">IFERROR(_xlfn.XLOOKUP(B16,Locales!$A:$A,Locales!$B:$B,""),"")</f>
        <v/>
      </c>
    </row>
    <row r="17" spans="3:3" x14ac:dyDescent="0.2">
      <c r="C17" t="str" cm="1">
        <f t="array" ref="C17">IFERROR(_xlfn.XLOOKUP(B17,Locales!$A:$A,Locales!$B:$B,""),"")</f>
        <v/>
      </c>
    </row>
    <row r="18" spans="3:3" x14ac:dyDescent="0.2">
      <c r="C18" t="str" cm="1">
        <f t="array" ref="C18">IFERROR(_xlfn.XLOOKUP(B18,Locales!$A:$A,Locales!$B:$B,""),"")</f>
        <v/>
      </c>
    </row>
    <row r="19" spans="3:3" x14ac:dyDescent="0.2">
      <c r="C19" t="str" cm="1">
        <f t="array" ref="C19">IFERROR(_xlfn.XLOOKUP(B19,Locales!$A:$A,Locales!$B:$B,""),"")</f>
        <v/>
      </c>
    </row>
    <row r="20" spans="3:3" x14ac:dyDescent="0.2">
      <c r="C20" t="str" cm="1">
        <f t="array" ref="C20">IFERROR(_xlfn.XLOOKUP(B20,Locales!$A:$A,Locales!$B:$B,""),"")</f>
        <v/>
      </c>
    </row>
    <row r="21" spans="3:3" x14ac:dyDescent="0.2">
      <c r="C21" t="str" cm="1">
        <f t="array" ref="C21">IFERROR(_xlfn.XLOOKUP(B21,Locales!$A:$A,Locales!$B:$B,""),"")</f>
        <v/>
      </c>
    </row>
    <row r="22" spans="3:3" x14ac:dyDescent="0.2">
      <c r="C22" t="str" cm="1">
        <f t="array" ref="C22">IFERROR(_xlfn.XLOOKUP(B22,Locales!$A:$A,Locales!$B:$B,""),"")</f>
        <v/>
      </c>
    </row>
    <row r="23" spans="3:3" x14ac:dyDescent="0.2">
      <c r="C23" t="str" cm="1">
        <f t="array" ref="C23">IFERROR(_xlfn.XLOOKUP(B23,Locales!$A:$A,Locales!$B:$B,""),"")</f>
        <v/>
      </c>
    </row>
    <row r="24" spans="3:3" x14ac:dyDescent="0.2">
      <c r="C24" t="str" cm="1">
        <f t="array" ref="C24">IFERROR(_xlfn.XLOOKUP(B24,Locales!$A:$A,Locales!$B:$B,""),"")</f>
        <v/>
      </c>
    </row>
    <row r="25" spans="3:3" x14ac:dyDescent="0.2">
      <c r="C25" t="str" cm="1">
        <f t="array" ref="C25">IFERROR(_xlfn.XLOOKUP(B25,Locales!$A:$A,Locales!$B:$B,""),"")</f>
        <v/>
      </c>
    </row>
    <row r="26" spans="3:3" x14ac:dyDescent="0.2">
      <c r="C26" t="str" cm="1">
        <f t="array" ref="C26">IFERROR(_xlfn.XLOOKUP(B26,Locales!$A:$A,Locales!$B:$B,""),"")</f>
        <v/>
      </c>
    </row>
    <row r="27" spans="3:3" x14ac:dyDescent="0.2">
      <c r="C27" t="str" cm="1">
        <f t="array" ref="C27">IFERROR(_xlfn.XLOOKUP(B27,Locales!$A:$A,Locales!$B:$B,""),"")</f>
        <v/>
      </c>
    </row>
    <row r="28" spans="3:3" x14ac:dyDescent="0.2">
      <c r="C28" t="str" cm="1">
        <f t="array" ref="C28">IFERROR(_xlfn.XLOOKUP(B28,Locales!$A:$A,Locales!$B:$B,""),"")</f>
        <v/>
      </c>
    </row>
    <row r="29" spans="3:3" x14ac:dyDescent="0.2">
      <c r="C29" t="str" cm="1">
        <f t="array" ref="C29">IFERROR(_xlfn.XLOOKUP(B29,Locales!$A:$A,Locales!$B:$B,""),"")</f>
        <v/>
      </c>
    </row>
    <row r="30" spans="3:3" x14ac:dyDescent="0.2">
      <c r="C30" t="str" cm="1">
        <f t="array" ref="C30">IFERROR(_xlfn.XLOOKUP(B30,Locales!$A:$A,Locales!$B:$B,""),"")</f>
        <v/>
      </c>
    </row>
    <row r="31" spans="3:3" x14ac:dyDescent="0.2">
      <c r="C31" t="str" cm="1">
        <f t="array" ref="C31">IFERROR(_xlfn.XLOOKUP(B31,Locales!$A:$A,Locales!$B:$B,""),"")</f>
        <v/>
      </c>
    </row>
    <row r="32" spans="3:3" x14ac:dyDescent="0.2">
      <c r="C32" t="str" cm="1">
        <f t="array" ref="C32">IFERROR(_xlfn.XLOOKUP(B32,Locales!$A:$A,Locales!$B:$B,""),"")</f>
        <v/>
      </c>
    </row>
    <row r="33" spans="3:3" x14ac:dyDescent="0.2">
      <c r="C33" t="str" cm="1">
        <f t="array" ref="C33">IFERROR(_xlfn.XLOOKUP(B33,Locales!$A:$A,Locales!$B:$B,""),"")</f>
        <v/>
      </c>
    </row>
    <row r="34" spans="3:3" x14ac:dyDescent="0.2">
      <c r="C34" t="str" cm="1">
        <f t="array" ref="C34">IFERROR(_xlfn.XLOOKUP(B34,Locales!$A:$A,Locales!$B:$B,""),"")</f>
        <v/>
      </c>
    </row>
    <row r="35" spans="3:3" x14ac:dyDescent="0.2">
      <c r="C35" t="str" cm="1">
        <f t="array" ref="C35">IFERROR(_xlfn.XLOOKUP(B35,Locales!$A:$A,Locales!$B:$B,""),"")</f>
        <v/>
      </c>
    </row>
    <row r="36" spans="3:3" x14ac:dyDescent="0.2">
      <c r="C36" t="str" cm="1">
        <f t="array" ref="C36">IFERROR(_xlfn.XLOOKUP(B36,Locales!$A:$A,Locales!$B:$B,""),"")</f>
        <v/>
      </c>
    </row>
    <row r="37" spans="3:3" x14ac:dyDescent="0.2">
      <c r="C37" cm="1">
        <f t="array" ref="C37">IFERROR(_xlfn.XLOOKUP(B37,Locales!$A:$A,Locales!$B:$B,""),"")</f>
        <v>0</v>
      </c>
    </row>
    <row r="38" spans="3:3" x14ac:dyDescent="0.2">
      <c r="C38" t="str" cm="1">
        <f t="array" ref="C38">IFERROR(_xlfn.XLOOKUP(B38,Locales!$A:$A,Locales!$B:$B,""),"")</f>
        <v/>
      </c>
    </row>
    <row r="39" spans="3:3" x14ac:dyDescent="0.2">
      <c r="C39" t="str" cm="1">
        <f t="array" ref="C39">IFERROR(_xlfn.XLOOKUP(B39,Locales!$A:$A,Locales!$B:$B,""),"")</f>
        <v/>
      </c>
    </row>
    <row r="40" spans="3:3" x14ac:dyDescent="0.2">
      <c r="C40" t="str" cm="1">
        <f t="array" ref="C40">IFERROR(_xlfn.XLOOKUP(B40,Locales!$A:$A,Locales!$B:$B,""),"")</f>
        <v/>
      </c>
    </row>
    <row r="41" spans="3:3" x14ac:dyDescent="0.2">
      <c r="C41" t="str" cm="1">
        <f t="array" ref="C41">IFERROR(_xlfn.XLOOKUP(B41,Locales!$A:$A,Locales!$B:$B,""),"")</f>
        <v/>
      </c>
    </row>
    <row r="42" spans="3:3" x14ac:dyDescent="0.2">
      <c r="C42" t="str" cm="1">
        <f t="array" ref="C42">IFERROR(_xlfn.XLOOKUP(B42,Locales!$A:$A,Locales!$B:$B,""),"")</f>
        <v/>
      </c>
    </row>
    <row r="43" spans="3:3" x14ac:dyDescent="0.2">
      <c r="C43" t="str" cm="1">
        <f t="array" ref="C43">IFERROR(_xlfn.XLOOKUP(B43,Locales!$A:$A,Locales!$B:$B,""),"")</f>
        <v/>
      </c>
    </row>
    <row r="44" spans="3:3" x14ac:dyDescent="0.2">
      <c r="C44" t="str" cm="1">
        <f t="array" ref="C44">IFERROR(_xlfn.XLOOKUP(B44,Locales!$A:$A,Locales!$B:$B,""),"")</f>
        <v/>
      </c>
    </row>
    <row r="45" spans="3:3" x14ac:dyDescent="0.2">
      <c r="C45" t="str" cm="1">
        <f t="array" ref="C45">IFERROR(_xlfn.XLOOKUP(B45,Locales!$A:$A,Locales!$B:$B,""),"")</f>
        <v/>
      </c>
    </row>
    <row r="46" spans="3:3" x14ac:dyDescent="0.2">
      <c r="C46" t="str" cm="1">
        <f t="array" ref="C46">IFERROR(_xlfn.XLOOKUP(B46,Locales!$A:$A,Locales!$B:$B,""),"")</f>
        <v/>
      </c>
    </row>
    <row r="47" spans="3:3" x14ac:dyDescent="0.2">
      <c r="C47" t="str" cm="1">
        <f t="array" ref="C47">IFERROR(_xlfn.XLOOKUP(B47,Locales!$A:$A,Locales!$B:$B,""),"")</f>
        <v/>
      </c>
    </row>
    <row r="48" spans="3:3" x14ac:dyDescent="0.2">
      <c r="C48" t="str" cm="1">
        <f t="array" ref="C48">IFERROR(_xlfn.XLOOKUP(B48,Locales!$A:$A,Locales!$B:$B,""),"")</f>
        <v/>
      </c>
    </row>
    <row r="49" spans="3:3" x14ac:dyDescent="0.2">
      <c r="C49" t="str" cm="1">
        <f t="array" ref="C49">IFERROR(_xlfn.XLOOKUP(B49,Locales!$A:$A,Locales!$B:$B,""),"")</f>
        <v/>
      </c>
    </row>
    <row r="50" spans="3:3" x14ac:dyDescent="0.2">
      <c r="C50" t="str" cm="1">
        <f t="array" ref="C50">IFERROR(_xlfn.XLOOKUP(B50,Locales!$A:$A,Locales!$B:$B,""),"")</f>
        <v/>
      </c>
    </row>
    <row r="51" spans="3:3" x14ac:dyDescent="0.2">
      <c r="C51" t="str" cm="1">
        <f t="array" ref="C51">IFERROR(_xlfn.XLOOKUP(B51,Locales!$A:$A,Locales!$B:$B,""),"")</f>
        <v/>
      </c>
    </row>
    <row r="52" spans="3:3" x14ac:dyDescent="0.2">
      <c r="C52" t="str" cm="1">
        <f t="array" ref="C52">IFERROR(_xlfn.XLOOKUP(B52,Locales!$A:$A,Locales!$B:$B,""),"")</f>
        <v/>
      </c>
    </row>
    <row r="53" spans="3:3" x14ac:dyDescent="0.2">
      <c r="C53" t="str" cm="1">
        <f t="array" ref="C53">IFERROR(_xlfn.XLOOKUP(B53,Locales!$A:$A,Locales!$B:$B,""),"")</f>
        <v/>
      </c>
    </row>
    <row r="54" spans="3:3" x14ac:dyDescent="0.2">
      <c r="C54" t="str" cm="1">
        <f t="array" ref="C54">IFERROR(_xlfn.XLOOKUP(B54,Locales!$A:$A,Locales!$B:$B,""),"")</f>
        <v/>
      </c>
    </row>
    <row r="55" spans="3:3" x14ac:dyDescent="0.2">
      <c r="C55" t="str" cm="1">
        <f t="array" ref="C55">IFERROR(_xlfn.XLOOKUP(B55,Locales!$A:$A,Locales!$B:$B,""),"")</f>
        <v/>
      </c>
    </row>
    <row r="56" spans="3:3" x14ac:dyDescent="0.2">
      <c r="C56" t="str" cm="1">
        <f t="array" ref="C56">IFERROR(_xlfn.XLOOKUP(B56,Locales!$A:$A,Locales!$B:$B,""),"")</f>
        <v/>
      </c>
    </row>
    <row r="57" spans="3:3" x14ac:dyDescent="0.2">
      <c r="C57" t="str" cm="1">
        <f t="array" ref="C57">IFERROR(_xlfn.XLOOKUP(B57,Locales!$A:$A,Locales!$B:$B,""),"")</f>
        <v/>
      </c>
    </row>
    <row r="58" spans="3:3" x14ac:dyDescent="0.2">
      <c r="C58" t="str" cm="1">
        <f t="array" ref="C58">IFERROR(_xlfn.XLOOKUP(B58,Locales!$A:$A,Locales!$B:$B,""),"")</f>
        <v/>
      </c>
    </row>
    <row r="59" spans="3:3" x14ac:dyDescent="0.2">
      <c r="C59" t="str" cm="1">
        <f t="array" ref="C59">IFERROR(_xlfn.XLOOKUP(B59,Locales!$A:$A,Locales!$B:$B,""),"")</f>
        <v/>
      </c>
    </row>
    <row r="60" spans="3:3" x14ac:dyDescent="0.2">
      <c r="C60" t="str" cm="1">
        <f t="array" ref="C60">IFERROR(_xlfn.XLOOKUP(B60,Locales!$A:$A,Locales!$B:$B,""),"")</f>
        <v/>
      </c>
    </row>
    <row r="61" spans="3:3" x14ac:dyDescent="0.2">
      <c r="C61" t="str" cm="1">
        <f t="array" ref="C61">IFERROR(_xlfn.XLOOKUP(B61,Locales!$A:$A,Locales!$B:$B,""),"")</f>
        <v/>
      </c>
    </row>
    <row r="62" spans="3:3" x14ac:dyDescent="0.2">
      <c r="C62" t="str" cm="1">
        <f t="array" ref="C62">IFERROR(_xlfn.XLOOKUP(B62,Locales!$A:$A,Locales!$B:$B,""),"")</f>
        <v/>
      </c>
    </row>
    <row r="63" spans="3:3" x14ac:dyDescent="0.2">
      <c r="C63" t="str" cm="1">
        <f t="array" ref="C63">IFERROR(_xlfn.XLOOKUP(B63,Locales!$A:$A,Locales!$B:$B,""),"")</f>
        <v/>
      </c>
    </row>
    <row r="64" spans="3:3" x14ac:dyDescent="0.2">
      <c r="C64" t="str" cm="1">
        <f t="array" ref="C64">IFERROR(_xlfn.XLOOKUP(B64,Locales!$A:$A,Locales!$B:$B,""),"")</f>
        <v/>
      </c>
    </row>
    <row r="65" spans="3:3" x14ac:dyDescent="0.2">
      <c r="C65" t="str" cm="1">
        <f t="array" ref="C65">IFERROR(_xlfn.XLOOKUP(B65,Locales!$A:$A,Locales!$B:$B,""),"")</f>
        <v/>
      </c>
    </row>
    <row r="66" spans="3:3" x14ac:dyDescent="0.2">
      <c r="C66" t="str" cm="1">
        <f t="array" ref="C66">IFERROR(_xlfn.XLOOKUP(B66,Locales!$A:$A,Locales!$B:$B,""),"")</f>
        <v/>
      </c>
    </row>
    <row r="67" spans="3:3" x14ac:dyDescent="0.2">
      <c r="C67" t="str" cm="1">
        <f t="array" ref="C67">IFERROR(_xlfn.XLOOKUP(B67,Locales!$A:$A,Locales!$B:$B,""),"")</f>
        <v/>
      </c>
    </row>
    <row r="68" spans="3:3" x14ac:dyDescent="0.2">
      <c r="C68" t="str" cm="1">
        <f t="array" ref="C68">IFERROR(_xlfn.XLOOKUP(B68,Locales!$A:$A,Locales!$B:$B,""),"")</f>
        <v/>
      </c>
    </row>
    <row r="69" spans="3:3" x14ac:dyDescent="0.2">
      <c r="C69" t="str" cm="1">
        <f t="array" ref="C69">IFERROR(_xlfn.XLOOKUP(B69,Locales!$A:$A,Locales!$B:$B,""),"")</f>
        <v/>
      </c>
    </row>
    <row r="70" spans="3:3" x14ac:dyDescent="0.2">
      <c r="C70" t="str" cm="1">
        <f t="array" ref="C70">IFERROR(_xlfn.XLOOKUP(B70,Locales!$A:$A,Locales!$B:$B,""),"")</f>
        <v/>
      </c>
    </row>
    <row r="71" spans="3:3" x14ac:dyDescent="0.2">
      <c r="C71" t="str" cm="1">
        <f t="array" ref="C71">IFERROR(_xlfn.XLOOKUP(B71,Locales!$A:$A,Locales!$B:$B,""),"")</f>
        <v/>
      </c>
    </row>
    <row r="72" spans="3:3" x14ac:dyDescent="0.2">
      <c r="C72" t="str" cm="1">
        <f t="array" ref="C72">IFERROR(_xlfn.XLOOKUP(B72,Locales!$A:$A,Locales!$B:$B,""),"")</f>
        <v/>
      </c>
    </row>
    <row r="73" spans="3:3" x14ac:dyDescent="0.2">
      <c r="C73" t="str" cm="1">
        <f t="array" ref="C73">IFERROR(_xlfn.XLOOKUP(B73,Locales!$A:$A,Locales!$B:$B,""),"")</f>
        <v/>
      </c>
    </row>
    <row r="74" spans="3:3" x14ac:dyDescent="0.2">
      <c r="C74" t="str" cm="1">
        <f t="array" ref="C74">IFERROR(_xlfn.XLOOKUP(B74,Locales!$A:$A,Locales!$B:$B,""),"")</f>
        <v/>
      </c>
    </row>
    <row r="75" spans="3:3" x14ac:dyDescent="0.2">
      <c r="C75" t="str" cm="1">
        <f t="array" ref="C75">IFERROR(_xlfn.XLOOKUP(B75,Locales!$A:$A,Locales!$B:$B,""),"")</f>
        <v/>
      </c>
    </row>
    <row r="76" spans="3:3" x14ac:dyDescent="0.2">
      <c r="C76" t="str" cm="1">
        <f t="array" ref="C76">IFERROR(_xlfn.XLOOKUP(B76,Locales!$A:$A,Locales!$B:$B,""),"")</f>
        <v/>
      </c>
    </row>
    <row r="77" spans="3:3" x14ac:dyDescent="0.2">
      <c r="C77" t="str" cm="1">
        <f t="array" ref="C77">IFERROR(_xlfn.XLOOKUP(B77,Locales!$A:$A,Locales!$B:$B,""),"")</f>
        <v/>
      </c>
    </row>
    <row r="78" spans="3:3" x14ac:dyDescent="0.2">
      <c r="C78" t="str" cm="1">
        <f t="array" ref="C78">IFERROR(_xlfn.XLOOKUP(B78,Locales!$A:$A,Locales!$B:$B,""),"")</f>
        <v/>
      </c>
    </row>
    <row r="79" spans="3:3" x14ac:dyDescent="0.2">
      <c r="C79" t="str" cm="1">
        <f t="array" ref="C79">IFERROR(_xlfn.XLOOKUP(B79,Locales!$A:$A,Locales!$B:$B,""),"")</f>
        <v/>
      </c>
    </row>
    <row r="80" spans="3:3" x14ac:dyDescent="0.2">
      <c r="C80" t="str" cm="1">
        <f t="array" ref="C80">IFERROR(_xlfn.XLOOKUP(B80,Locales!$A:$A,Locales!$B:$B,""),"")</f>
        <v/>
      </c>
    </row>
    <row r="81" spans="3:3" x14ac:dyDescent="0.2">
      <c r="C81" t="str" cm="1">
        <f t="array" ref="C81">IFERROR(_xlfn.XLOOKUP(B81,Locales!$A:$A,Locales!$B:$B,""),"")</f>
        <v/>
      </c>
    </row>
    <row r="82" spans="3:3" x14ac:dyDescent="0.2">
      <c r="C82" t="str" cm="1">
        <f t="array" ref="C82">IFERROR(_xlfn.XLOOKUP(B82,Locales!$A:$A,Locales!$B:$B,""),"")</f>
        <v/>
      </c>
    </row>
    <row r="83" spans="3:3" x14ac:dyDescent="0.2">
      <c r="C83" t="str" cm="1">
        <f t="array" ref="C83">IFERROR(_xlfn.XLOOKUP(B83,Locales!$A:$A,Locales!$B:$B,""),"")</f>
        <v/>
      </c>
    </row>
    <row r="84" spans="3:3" x14ac:dyDescent="0.2">
      <c r="C84" t="str" cm="1">
        <f t="array" ref="C84">IFERROR(_xlfn.XLOOKUP(B84,Locales!$A:$A,Locales!$B:$B,""),"")</f>
        <v/>
      </c>
    </row>
    <row r="85" spans="3:3" x14ac:dyDescent="0.2">
      <c r="C85" t="str" cm="1">
        <f t="array" ref="C85">IFERROR(_xlfn.XLOOKUP(B85,Locales!$A:$A,Locales!$B:$B,""),"")</f>
        <v/>
      </c>
    </row>
    <row r="86" spans="3:3" x14ac:dyDescent="0.2">
      <c r="C86" t="str" cm="1">
        <f t="array" ref="C86">IFERROR(_xlfn.XLOOKUP(B86,Locales!$A:$A,Locales!$B:$B,""),"")</f>
        <v/>
      </c>
    </row>
    <row r="87" spans="3:3" x14ac:dyDescent="0.2">
      <c r="C87" t="str" cm="1">
        <f t="array" ref="C87">IFERROR(_xlfn.XLOOKUP(B87,Locales!$A:$A,Locales!$B:$B,""),"")</f>
        <v/>
      </c>
    </row>
    <row r="88" spans="3:3" x14ac:dyDescent="0.2">
      <c r="C88" t="str" cm="1">
        <f t="array" ref="C88">IFERROR(_xlfn.XLOOKUP(B88,Locales!$A:$A,Locales!$B:$B,""),"")</f>
        <v/>
      </c>
    </row>
    <row r="89" spans="3:3" x14ac:dyDescent="0.2">
      <c r="C89" t="str" cm="1">
        <f t="array" ref="C89">IFERROR(_xlfn.XLOOKUP(B89,Locales!$A:$A,Locales!$B:$B,""),"")</f>
        <v/>
      </c>
    </row>
    <row r="90" spans="3:3" x14ac:dyDescent="0.2">
      <c r="C90" t="str" cm="1">
        <f t="array" ref="C90">IFERROR(_xlfn.XLOOKUP(B90,Locales!$A:$A,Locales!$B:$B,""),"")</f>
        <v/>
      </c>
    </row>
    <row r="91" spans="3:3" x14ac:dyDescent="0.2">
      <c r="C91" t="str" cm="1">
        <f t="array" ref="C91">IFERROR(_xlfn.XLOOKUP(B91,Locales!$A:$A,Locales!$B:$B,""),"")</f>
        <v/>
      </c>
    </row>
    <row r="92" spans="3:3" x14ac:dyDescent="0.2">
      <c r="C92" t="str" cm="1">
        <f t="array" ref="C92">IFERROR(_xlfn.XLOOKUP(B92,Locales!$A:$A,Locales!$B:$B,""),"")</f>
        <v/>
      </c>
    </row>
    <row r="93" spans="3:3" x14ac:dyDescent="0.2">
      <c r="C93" t="str" cm="1">
        <f t="array" ref="C93">IFERROR(_xlfn.XLOOKUP(B93,Locales!$A:$A,Locales!$B:$B,""),"")</f>
        <v/>
      </c>
    </row>
    <row r="94" spans="3:3" x14ac:dyDescent="0.2">
      <c r="C94" t="str" cm="1">
        <f t="array" ref="C94">IFERROR(_xlfn.XLOOKUP(B94,Locales!$A:$A,Locales!$B:$B,""),"")</f>
        <v/>
      </c>
    </row>
    <row r="95" spans="3:3" x14ac:dyDescent="0.2">
      <c r="C95" t="str" cm="1">
        <f t="array" ref="C95">IFERROR(_xlfn.XLOOKUP(B95,Locales!$A:$A,Locales!$B:$B,""),"")</f>
        <v/>
      </c>
    </row>
    <row r="96" spans="3:3" x14ac:dyDescent="0.2">
      <c r="C96" t="str" cm="1">
        <f t="array" ref="C96">IFERROR(_xlfn.XLOOKUP(B96,Locales!$A:$A,Locales!$B:$B,""),"")</f>
        <v/>
      </c>
    </row>
    <row r="97" spans="3:3" x14ac:dyDescent="0.2">
      <c r="C97" t="str" cm="1">
        <f t="array" ref="C97">IFERROR(_xlfn.XLOOKUP(B97,Locales!$A:$A,Locales!$B:$B,""),"")</f>
        <v/>
      </c>
    </row>
    <row r="98" spans="3:3" x14ac:dyDescent="0.2">
      <c r="C98" t="str" cm="1">
        <f t="array" ref="C98">IFERROR(_xlfn.XLOOKUP(B98,Locales!$A:$A,Locales!$B:$B,""),"")</f>
        <v/>
      </c>
    </row>
    <row r="99" spans="3:3" x14ac:dyDescent="0.2">
      <c r="C99" t="str" cm="1">
        <f t="array" ref="C99">IFERROR(_xlfn.XLOOKUP(B99,Locales!$A:$A,Locales!$B:$B,""),"")</f>
        <v/>
      </c>
    </row>
    <row r="100" spans="3:3" x14ac:dyDescent="0.2">
      <c r="C100" t="str" cm="1">
        <f t="array" ref="C100">IFERROR(_xlfn.XLOOKUP(B100,Locales!$A:$A,Locales!$B:$B,""),"")</f>
        <v/>
      </c>
    </row>
    <row r="101" spans="3:3" x14ac:dyDescent="0.2">
      <c r="C101" t="str" cm="1">
        <f t="array" ref="C101">IFERROR(_xlfn.XLOOKUP(B101,Locales!$A:$A,Locales!$B:$B,""),"")</f>
        <v/>
      </c>
    </row>
    <row r="102" spans="3:3" x14ac:dyDescent="0.2">
      <c r="C102" t="str" cm="1">
        <f t="array" ref="C102">IFERROR(_xlfn.XLOOKUP(B102,Locales!$A:$A,Locales!$B:$B,""),"")</f>
        <v/>
      </c>
    </row>
    <row r="103" spans="3:3" x14ac:dyDescent="0.2">
      <c r="C103" t="str" cm="1">
        <f t="array" ref="C103">IFERROR(_xlfn.XLOOKUP(B103,Locales!$A:$A,Locales!$B:$B,""),"")</f>
        <v/>
      </c>
    </row>
    <row r="104" spans="3:3" x14ac:dyDescent="0.2">
      <c r="C104" t="str" cm="1">
        <f t="array" ref="C104">IFERROR(_xlfn.XLOOKUP(B104,Locales!$A:$A,Locales!$B:$B,""),"")</f>
        <v/>
      </c>
    </row>
    <row r="105" spans="3:3" x14ac:dyDescent="0.2">
      <c r="C105" t="str" cm="1">
        <f t="array" ref="C105">IFERROR(_xlfn.XLOOKUP(B105,Locales!$A:$A,Locales!$B:$B,""),"")</f>
        <v/>
      </c>
    </row>
    <row r="106" spans="3:3" x14ac:dyDescent="0.2">
      <c r="C106" t="str" cm="1">
        <f t="array" ref="C106">IFERROR(_xlfn.XLOOKUP(B106,Locales!$A:$A,Locales!$B:$B,""),"")</f>
        <v/>
      </c>
    </row>
    <row r="107" spans="3:3" x14ac:dyDescent="0.2">
      <c r="C107" t="str" cm="1">
        <f t="array" ref="C107">IFERROR(_xlfn.XLOOKUP(B107,Locales!$A:$A,Locales!$B:$B,""),"")</f>
        <v/>
      </c>
    </row>
    <row r="108" spans="3:3" x14ac:dyDescent="0.2">
      <c r="C108" t="str" cm="1">
        <f t="array" ref="C108">IFERROR(_xlfn.XLOOKUP(B108,Locales!$A:$A,Locales!$B:$B,""),"")</f>
        <v/>
      </c>
    </row>
    <row r="109" spans="3:3" x14ac:dyDescent="0.2">
      <c r="C109" t="str" cm="1">
        <f t="array" ref="C109">IFERROR(_xlfn.XLOOKUP(B109,Locales!$A:$A,Locales!$B:$B,""),"")</f>
        <v/>
      </c>
    </row>
    <row r="110" spans="3:3" x14ac:dyDescent="0.2">
      <c r="C110" t="str" cm="1">
        <f t="array" ref="C110">IFERROR(_xlfn.XLOOKUP(B110,Locales!$A:$A,Locales!$B:$B,""),"")</f>
        <v/>
      </c>
    </row>
    <row r="111" spans="3:3" x14ac:dyDescent="0.2">
      <c r="C111" t="str" cm="1">
        <f t="array" ref="C111">IFERROR(_xlfn.XLOOKUP(B111,Locales!$A:$A,Locales!$B:$B,""),"")</f>
        <v/>
      </c>
    </row>
    <row r="112" spans="3:3" x14ac:dyDescent="0.2">
      <c r="C112" t="str" cm="1">
        <f t="array" ref="C112">IFERROR(_xlfn.XLOOKUP(B112,Locales!$A:$A,Locales!$B:$B,""),"")</f>
        <v/>
      </c>
    </row>
    <row r="113" spans="3:3" x14ac:dyDescent="0.2">
      <c r="C113" t="str" cm="1">
        <f t="array" ref="C113">IFERROR(_xlfn.XLOOKUP(B113,Locales!$A:$A,Locales!$B:$B,""),"")</f>
        <v/>
      </c>
    </row>
    <row r="114" spans="3:3" x14ac:dyDescent="0.2">
      <c r="C114" t="str" cm="1">
        <f t="array" ref="C114">IFERROR(_xlfn.XLOOKUP(B114,Locales!$A:$A,Locales!$B:$B,""),"")</f>
        <v/>
      </c>
    </row>
    <row r="115" spans="3:3" x14ac:dyDescent="0.2">
      <c r="C115" t="str" cm="1">
        <f t="array" ref="C115">IFERROR(_xlfn.XLOOKUP(B115,Locales!$A:$A,Locales!$B:$B,""),"")</f>
        <v/>
      </c>
    </row>
    <row r="116" spans="3:3" x14ac:dyDescent="0.2">
      <c r="C116" t="str" cm="1">
        <f t="array" ref="C116">IFERROR(_xlfn.XLOOKUP(B116,Locales!$A:$A,Locales!$B:$B,""),"")</f>
        <v/>
      </c>
    </row>
    <row r="117" spans="3:3" x14ac:dyDescent="0.2">
      <c r="C117" t="str" cm="1">
        <f t="array" ref="C117">IFERROR(_xlfn.XLOOKUP(B117,Locales!$A:$A,Locales!$B:$B,""),"")</f>
        <v/>
      </c>
    </row>
    <row r="118" spans="3:3" x14ac:dyDescent="0.2">
      <c r="C118" t="str" cm="1">
        <f t="array" ref="C118">IFERROR(_xlfn.XLOOKUP(B118,Locales!$A:$A,Locales!$B:$B,""),"")</f>
        <v/>
      </c>
    </row>
    <row r="119" spans="3:3" x14ac:dyDescent="0.2">
      <c r="C119" t="str" cm="1">
        <f t="array" ref="C119">IFERROR(_xlfn.XLOOKUP(B119,Locales!$A:$A,Locales!$B:$B,""),"")</f>
        <v/>
      </c>
    </row>
    <row r="120" spans="3:3" x14ac:dyDescent="0.2">
      <c r="C120" t="str" cm="1">
        <f t="array" ref="C120">IFERROR(_xlfn.XLOOKUP(B120,Locales!$A:$A,Locales!$B:$B,""),"")</f>
        <v/>
      </c>
    </row>
    <row r="121" spans="3:3" x14ac:dyDescent="0.2">
      <c r="C121" t="str" cm="1">
        <f t="array" ref="C121">IFERROR(_xlfn.XLOOKUP(B121,Locales!$A:$A,Locales!$B:$B,""),"")</f>
        <v/>
      </c>
    </row>
    <row r="122" spans="3:3" x14ac:dyDescent="0.2">
      <c r="C122" t="str" cm="1">
        <f t="array" ref="C122">IFERROR(_xlfn.XLOOKUP(B122,Locales!$A:$A,Locales!$B:$B,""),"")</f>
        <v/>
      </c>
    </row>
    <row r="123" spans="3:3" x14ac:dyDescent="0.2">
      <c r="C123" t="str" cm="1">
        <f t="array" ref="C123">IFERROR(_xlfn.XLOOKUP(B123,Locales!$A:$A,Locales!$B:$B,""),"")</f>
        <v/>
      </c>
    </row>
    <row r="124" spans="3:3" x14ac:dyDescent="0.2">
      <c r="C124" t="str" cm="1">
        <f t="array" ref="C124">IFERROR(_xlfn.XLOOKUP(B124,Locales!$A:$A,Locales!$B:$B,""),"")</f>
        <v/>
      </c>
    </row>
    <row r="125" spans="3:3" x14ac:dyDescent="0.2">
      <c r="C125" cm="1">
        <f t="array" ref="C125">IFERROR(_xlfn.XLOOKUP(B125,Locales!$A:$A,Locales!$B:$B,""),"")</f>
        <v>0</v>
      </c>
    </row>
    <row r="126" spans="3:3" x14ac:dyDescent="0.2">
      <c r="C126" t="str" cm="1">
        <f t="array" ref="C126">IFERROR(_xlfn.XLOOKUP(B126,Locales!$A:$A,Locales!$B:$B,""),"")</f>
        <v/>
      </c>
    </row>
    <row r="127" spans="3:3" x14ac:dyDescent="0.2">
      <c r="C127" t="str" cm="1">
        <f t="array" ref="C127">IFERROR(_xlfn.XLOOKUP(B127,Locales!$A:$A,Locales!$B:$B,""),"")</f>
        <v/>
      </c>
    </row>
    <row r="128" spans="3:3" x14ac:dyDescent="0.2">
      <c r="C128" t="str" cm="1">
        <f t="array" ref="C128">IFERROR(_xlfn.XLOOKUP(B128,Locales!$A:$A,Locales!$B:$B,""),"")</f>
        <v/>
      </c>
    </row>
    <row r="129" spans="3:3" x14ac:dyDescent="0.2">
      <c r="C129" t="str" cm="1">
        <f t="array" ref="C129">IFERROR(_xlfn.XLOOKUP(B129,Locales!$A:$A,Locales!$B:$B,""),"")</f>
        <v/>
      </c>
    </row>
    <row r="130" spans="3:3" x14ac:dyDescent="0.2">
      <c r="C130" t="str" cm="1">
        <f t="array" ref="C130">IFERROR(_xlfn.XLOOKUP(B130,Locales!$A:$A,Locales!$B:$B,""),"")</f>
        <v/>
      </c>
    </row>
    <row r="131" spans="3:3" x14ac:dyDescent="0.2">
      <c r="C131" t="str" cm="1">
        <f t="array" ref="C131">IFERROR(_xlfn.XLOOKUP(B131,Locales!$A:$A,Locales!$B:$B,""),"")</f>
        <v/>
      </c>
    </row>
    <row r="132" spans="3:3" x14ac:dyDescent="0.2">
      <c r="C132" t="str" cm="1">
        <f t="array" ref="C132">IFERROR(_xlfn.XLOOKUP(B132,Locales!$A:$A,Locales!$B:$B,""),"")</f>
        <v/>
      </c>
    </row>
    <row r="133" spans="3:3" x14ac:dyDescent="0.2">
      <c r="C133" t="str" cm="1">
        <f t="array" ref="C133">IFERROR(_xlfn.XLOOKUP(B133,Locales!$A:$A,Locales!$B:$B,""),"")</f>
        <v/>
      </c>
    </row>
    <row r="134" spans="3:3" x14ac:dyDescent="0.2">
      <c r="C134" t="str" cm="1">
        <f t="array" ref="C134">IFERROR(_xlfn.XLOOKUP(B134,Locales!$A:$A,Locales!$B:$B,""),"")</f>
        <v/>
      </c>
    </row>
    <row r="135" spans="3:3" x14ac:dyDescent="0.2">
      <c r="C135" t="str" cm="1">
        <f t="array" ref="C135">IFERROR(_xlfn.XLOOKUP(B135,Locales!$A:$A,Locales!$B:$B,""),"")</f>
        <v/>
      </c>
    </row>
    <row r="136" spans="3:3" x14ac:dyDescent="0.2">
      <c r="C136" t="str" cm="1">
        <f t="array" ref="C136">IFERROR(_xlfn.XLOOKUP(B136,Locales!$A:$A,Locales!$B:$B,""),"")</f>
        <v/>
      </c>
    </row>
    <row r="137" spans="3:3" x14ac:dyDescent="0.2">
      <c r="C137" t="str" cm="1">
        <f t="array" ref="C137">IFERROR(_xlfn.XLOOKUP(B137,Locales!$A:$A,Locales!$B:$B,""),"")</f>
        <v/>
      </c>
    </row>
    <row r="138" spans="3:3" x14ac:dyDescent="0.2">
      <c r="C138" t="str" cm="1">
        <f t="array" ref="C138">IFERROR(_xlfn.XLOOKUP(B138,Locales!$A:$A,Locales!$B:$B,""),"")</f>
        <v/>
      </c>
    </row>
    <row r="139" spans="3:3" x14ac:dyDescent="0.2">
      <c r="C139" t="str" cm="1">
        <f t="array" ref="C139">IFERROR(_xlfn.XLOOKUP(B139,Locales!$A:$A,Locales!$B:$B,""),"")</f>
        <v/>
      </c>
    </row>
    <row r="140" spans="3:3" x14ac:dyDescent="0.2">
      <c r="C140" t="str" cm="1">
        <f t="array" ref="C140">IFERROR(_xlfn.XLOOKUP(B140,Locales!$A:$A,Locales!$B:$B,""),"")</f>
        <v/>
      </c>
    </row>
    <row r="141" spans="3:3" x14ac:dyDescent="0.2">
      <c r="C141" t="str" cm="1">
        <f t="array" ref="C141">IFERROR(_xlfn.XLOOKUP(B141,Locales!$A:$A,Locales!$B:$B,""),"")</f>
        <v/>
      </c>
    </row>
    <row r="142" spans="3:3" x14ac:dyDescent="0.2">
      <c r="C142" t="str" cm="1">
        <f t="array" ref="C142">IFERROR(_xlfn.XLOOKUP(B142,Locales!$A:$A,Locales!$B:$B,""),"")</f>
        <v/>
      </c>
    </row>
    <row r="143" spans="3:3" x14ac:dyDescent="0.2">
      <c r="C143" t="str" cm="1">
        <f t="array" ref="C143">IFERROR(_xlfn.XLOOKUP(B143,Locales!$A:$A,Locales!$B:$B,""),"")</f>
        <v/>
      </c>
    </row>
    <row r="144" spans="3:3" x14ac:dyDescent="0.2">
      <c r="C144" t="str" cm="1">
        <f t="array" ref="C144">IFERROR(_xlfn.XLOOKUP(B144,Locales!$A:$A,Locales!$B:$B,""),"")</f>
        <v/>
      </c>
    </row>
    <row r="145" spans="3:3" x14ac:dyDescent="0.2">
      <c r="C145" t="str" cm="1">
        <f t="array" ref="C145">IFERROR(_xlfn.XLOOKUP(B145,Locales!$A:$A,Locales!$B:$B,""),"")</f>
        <v/>
      </c>
    </row>
    <row r="146" spans="3:3" x14ac:dyDescent="0.2">
      <c r="C146" t="str" cm="1">
        <f t="array" ref="C146">IFERROR(_xlfn.XLOOKUP(B146,Locales!$A:$A,Locales!$B:$B,""),"")</f>
        <v/>
      </c>
    </row>
    <row r="147" spans="3:3" x14ac:dyDescent="0.2">
      <c r="C147" t="str" cm="1">
        <f t="array" ref="C147">IFERROR(_xlfn.XLOOKUP(B147,Locales!$A:$A,Locales!$B:$B,""),"")</f>
        <v/>
      </c>
    </row>
    <row r="148" spans="3:3" x14ac:dyDescent="0.2">
      <c r="C148" t="str" cm="1">
        <f t="array" ref="C148">IFERROR(_xlfn.XLOOKUP(B148,Locales!$A:$A,Locales!$B:$B,""),"")</f>
        <v/>
      </c>
    </row>
    <row r="149" spans="3:3" x14ac:dyDescent="0.2">
      <c r="C149" t="str" cm="1">
        <f t="array" ref="C149">IFERROR(_xlfn.XLOOKUP(B149,Locales!$A:$A,Locales!$B:$B,""),"")</f>
        <v/>
      </c>
    </row>
    <row r="150" spans="3:3" x14ac:dyDescent="0.2">
      <c r="C150" t="str" cm="1">
        <f t="array" ref="C150">IFERROR(_xlfn.XLOOKUP(B150,Locales!$A:$A,Locales!$B:$B,""),"")</f>
        <v/>
      </c>
    </row>
    <row r="151" spans="3:3" x14ac:dyDescent="0.2">
      <c r="C151" t="str" cm="1">
        <f t="array" ref="C151">IFERROR(_xlfn.XLOOKUP(B151,Locales!$A:$A,Locales!$B:$B,""),"")</f>
        <v/>
      </c>
    </row>
    <row r="152" spans="3:3" x14ac:dyDescent="0.2">
      <c r="C152" t="str" cm="1">
        <f t="array" ref="C152">IFERROR(_xlfn.XLOOKUP(B152,Locales!$A:$A,Locales!$B:$B,""),"")</f>
        <v/>
      </c>
    </row>
    <row r="153" spans="3:3" x14ac:dyDescent="0.2">
      <c r="C153" t="str" cm="1">
        <f t="array" ref="C153">IFERROR(_xlfn.XLOOKUP(B153,Locales!$A:$A,Locales!$B:$B,""),"")</f>
        <v/>
      </c>
    </row>
    <row r="154" spans="3:3" x14ac:dyDescent="0.2">
      <c r="C154" t="str" cm="1">
        <f t="array" ref="C154">IFERROR(_xlfn.XLOOKUP(B154,Locales!$A:$A,Locales!$B:$B,""),"")</f>
        <v/>
      </c>
    </row>
    <row r="155" spans="3:3" x14ac:dyDescent="0.2">
      <c r="C155" t="str" cm="1">
        <f t="array" ref="C155">IFERROR(_xlfn.XLOOKUP(B155,Locales!$A:$A,Locales!$B:$B,""),"")</f>
        <v/>
      </c>
    </row>
    <row r="156" spans="3:3" x14ac:dyDescent="0.2">
      <c r="C156" t="str" cm="1">
        <f t="array" ref="C156">IFERROR(_xlfn.XLOOKUP(B156,Locales!$A:$A,Locales!$B:$B,""),"")</f>
        <v/>
      </c>
    </row>
    <row r="157" spans="3:3" x14ac:dyDescent="0.2">
      <c r="C157" t="str" cm="1">
        <f t="array" ref="C157">IFERROR(_xlfn.XLOOKUP(B157,Locales!$A:$A,Locales!$B:$B,""),"")</f>
        <v/>
      </c>
    </row>
    <row r="158" spans="3:3" x14ac:dyDescent="0.2">
      <c r="C158" t="str" cm="1">
        <f t="array" ref="C158">IFERROR(_xlfn.XLOOKUP(B158,Locales!$A:$A,Locales!$B:$B,""),"")</f>
        <v/>
      </c>
    </row>
    <row r="159" spans="3:3" x14ac:dyDescent="0.2">
      <c r="C159" t="str" cm="1">
        <f t="array" ref="C159">IFERROR(_xlfn.XLOOKUP(B159,Locales!$A:$A,Locales!$B:$B,""),"")</f>
        <v/>
      </c>
    </row>
    <row r="160" spans="3:3" x14ac:dyDescent="0.2">
      <c r="C160" t="str" cm="1">
        <f t="array" ref="C160">IFERROR(_xlfn.XLOOKUP(B160,Locales!$A:$A,Locales!$B:$B,""),"")</f>
        <v/>
      </c>
    </row>
    <row r="161" spans="3:3" x14ac:dyDescent="0.2">
      <c r="C161" t="str" cm="1">
        <f t="array" ref="C161">IFERROR(_xlfn.XLOOKUP(B161,Locales!$A:$A,Locales!$B:$B,""),"")</f>
        <v/>
      </c>
    </row>
    <row r="162" spans="3:3" x14ac:dyDescent="0.2">
      <c r="C162" t="str" cm="1">
        <f t="array" ref="C162">IFERROR(_xlfn.XLOOKUP(B162,Locales!$A:$A,Locales!$B:$B,""),"")</f>
        <v/>
      </c>
    </row>
    <row r="163" spans="3:3" x14ac:dyDescent="0.2">
      <c r="C163" t="str" cm="1">
        <f t="array" ref="C163">IFERROR(_xlfn.XLOOKUP(B163,Locales!$A:$A,Locales!$B:$B,""),"")</f>
        <v/>
      </c>
    </row>
    <row r="164" spans="3:3" x14ac:dyDescent="0.2">
      <c r="C164" t="str" cm="1">
        <f t="array" ref="C164">IFERROR(_xlfn.XLOOKUP(B164,Locales!$A:$A,Locales!$B:$B,""),"")</f>
        <v/>
      </c>
    </row>
    <row r="165" spans="3:3" x14ac:dyDescent="0.2">
      <c r="C165" t="str" cm="1">
        <f t="array" ref="C165">IFERROR(_xlfn.XLOOKUP(B165,Locales!$A:$A,Locales!$B:$B,""),"")</f>
        <v/>
      </c>
    </row>
    <row r="166" spans="3:3" x14ac:dyDescent="0.2">
      <c r="C166" t="str" cm="1">
        <f t="array" ref="C166">IFERROR(_xlfn.XLOOKUP(B166,Locales!$A:$A,Locales!$B:$B,""),"")</f>
        <v/>
      </c>
    </row>
    <row r="167" spans="3:3" x14ac:dyDescent="0.2">
      <c r="C167" t="str" cm="1">
        <f t="array" ref="C167">IFERROR(_xlfn.XLOOKUP(B167,Locales!$A:$A,Locales!$B:$B,""),"")</f>
        <v/>
      </c>
    </row>
    <row r="168" spans="3:3" x14ac:dyDescent="0.2">
      <c r="C168" t="str" cm="1">
        <f t="array" ref="C168">IFERROR(_xlfn.XLOOKUP(B168,Locales!$A:$A,Locales!$B:$B,""),"")</f>
        <v/>
      </c>
    </row>
    <row r="169" spans="3:3" x14ac:dyDescent="0.2">
      <c r="C169" t="str" cm="1">
        <f t="array" ref="C169">IFERROR(_xlfn.XLOOKUP(B169,Locales!$A:$A,Locales!$B:$B,""),"")</f>
        <v/>
      </c>
    </row>
    <row r="170" spans="3:3" x14ac:dyDescent="0.2">
      <c r="C170" t="str" cm="1">
        <f t="array" ref="C170">IFERROR(_xlfn.XLOOKUP(B170,Locales!$A:$A,Locales!$B:$B,""),"")</f>
        <v/>
      </c>
    </row>
    <row r="171" spans="3:3" x14ac:dyDescent="0.2">
      <c r="C171" t="str" cm="1">
        <f t="array" ref="C171">IFERROR(_xlfn.XLOOKUP(B171,Locales!$A:$A,Locales!$B:$B,""),"")</f>
        <v/>
      </c>
    </row>
    <row r="172" spans="3:3" x14ac:dyDescent="0.2">
      <c r="C172" t="str" cm="1">
        <f t="array" ref="C172">IFERROR(_xlfn.XLOOKUP(B172,Locales!$A:$A,Locales!$B:$B,""),"")</f>
        <v/>
      </c>
    </row>
    <row r="173" spans="3:3" x14ac:dyDescent="0.2">
      <c r="C173" t="str" cm="1">
        <f t="array" ref="C173">IFERROR(_xlfn.XLOOKUP(B173,Locales!$A:$A,Locales!$B:$B,""),"")</f>
        <v/>
      </c>
    </row>
    <row r="174" spans="3:3" x14ac:dyDescent="0.2">
      <c r="C174" t="str" cm="1">
        <f t="array" ref="C174">IFERROR(_xlfn.XLOOKUP(B174,Locales!$A:$A,Locales!$B:$B,""),"")</f>
        <v/>
      </c>
    </row>
    <row r="175" spans="3:3" x14ac:dyDescent="0.2">
      <c r="C175" t="str" cm="1">
        <f t="array" ref="C175">IFERROR(_xlfn.XLOOKUP(B175,Locales!$A:$A,Locales!$B:$B,""),"")</f>
        <v/>
      </c>
    </row>
    <row r="176" spans="3:3" x14ac:dyDescent="0.2">
      <c r="C176" t="str" cm="1">
        <f t="array" ref="C176">IFERROR(_xlfn.XLOOKUP(B176,Locales!$A:$A,Locales!$B:$B,""),"")</f>
        <v/>
      </c>
    </row>
    <row r="177" spans="3:3" x14ac:dyDescent="0.2">
      <c r="C177" t="str" cm="1">
        <f t="array" ref="C177">IFERROR(_xlfn.XLOOKUP(B177,Locales!$A:$A,Locales!$B:$B,""),"")</f>
        <v/>
      </c>
    </row>
    <row r="178" spans="3:3" x14ac:dyDescent="0.2">
      <c r="C178" t="str" cm="1">
        <f t="array" ref="C178">IFERROR(_xlfn.XLOOKUP(B178,Locales!$A:$A,Locales!$B:$B,""),"")</f>
        <v/>
      </c>
    </row>
    <row r="179" spans="3:3" x14ac:dyDescent="0.2">
      <c r="C179" t="str" cm="1">
        <f t="array" ref="C179">IFERROR(_xlfn.XLOOKUP(B179,Locales!$A:$A,Locales!$B:$B,""),"")</f>
        <v/>
      </c>
    </row>
    <row r="180" spans="3:3" x14ac:dyDescent="0.2">
      <c r="C180" t="str" cm="1">
        <f t="array" ref="C180">IFERROR(_xlfn.XLOOKUP(B180,Locales!$A:$A,Locales!$B:$B,""),"")</f>
        <v/>
      </c>
    </row>
    <row r="181" spans="3:3" x14ac:dyDescent="0.2">
      <c r="C181" t="str" cm="1">
        <f t="array" ref="C181">IFERROR(_xlfn.XLOOKUP(B181,Locales!$A:$A,Locales!$B:$B,""),"")</f>
        <v/>
      </c>
    </row>
    <row r="182" spans="3:3" x14ac:dyDescent="0.2">
      <c r="C182" t="str" cm="1">
        <f t="array" ref="C182">IFERROR(_xlfn.XLOOKUP(B182,Locales!$A:$A,Locales!$B:$B,""),"")</f>
        <v/>
      </c>
    </row>
    <row r="183" spans="3:3" x14ac:dyDescent="0.2">
      <c r="C183" t="str" cm="1">
        <f t="array" ref="C183">IFERROR(_xlfn.XLOOKUP(B183,Locales!$A:$A,Locales!$B:$B,""),"")</f>
        <v/>
      </c>
    </row>
    <row r="184" spans="3:3" x14ac:dyDescent="0.2">
      <c r="C184" t="str" cm="1">
        <f t="array" ref="C184">IFERROR(_xlfn.XLOOKUP(B184,Locales!$A:$A,Locales!$B:$B,""),"")</f>
        <v/>
      </c>
    </row>
    <row r="185" spans="3:3" x14ac:dyDescent="0.2">
      <c r="C185" t="str" cm="1">
        <f t="array" ref="C185">IFERROR(_xlfn.XLOOKUP(B185,Locales!$A:$A,Locales!$B:$B,""),"")</f>
        <v/>
      </c>
    </row>
    <row r="186" spans="3:3" x14ac:dyDescent="0.2">
      <c r="C186" t="str" cm="1">
        <f t="array" ref="C186">IFERROR(_xlfn.XLOOKUP(B186,Locales!$A:$A,Locales!$B:$B,""),"")</f>
        <v/>
      </c>
    </row>
    <row r="187" spans="3:3" x14ac:dyDescent="0.2">
      <c r="C187" t="str" cm="1">
        <f t="array" ref="C187">IFERROR(_xlfn.XLOOKUP(B187,Locales!$A:$A,Locales!$B:$B,""),"")</f>
        <v/>
      </c>
    </row>
    <row r="188" spans="3:3" x14ac:dyDescent="0.2">
      <c r="C188" t="str" cm="1">
        <f t="array" ref="C188">IFERROR(_xlfn.XLOOKUP(B188,Locales!$A:$A,Locales!$B:$B,""),"")</f>
        <v/>
      </c>
    </row>
    <row r="189" spans="3:3" x14ac:dyDescent="0.2">
      <c r="C189" t="str" cm="1">
        <f t="array" ref="C189">IFERROR(_xlfn.XLOOKUP(B189,Locales!$A:$A,Locales!$B:$B,""),"")</f>
        <v/>
      </c>
    </row>
    <row r="190" spans="3:3" x14ac:dyDescent="0.2">
      <c r="C190" t="str" cm="1">
        <f t="array" ref="C190">IFERROR(_xlfn.XLOOKUP(B190,Locales!$A:$A,Locales!$B:$B,""),"")</f>
        <v/>
      </c>
    </row>
    <row r="191" spans="3:3" x14ac:dyDescent="0.2">
      <c r="C191" t="str" cm="1">
        <f t="array" ref="C191">IFERROR(_xlfn.XLOOKUP(B191,Locales!$A:$A,Locales!$B:$B,""),"")</f>
        <v/>
      </c>
    </row>
    <row r="192" spans="3:3" x14ac:dyDescent="0.2">
      <c r="C192" t="str" cm="1">
        <f t="array" ref="C192">IFERROR(_xlfn.XLOOKUP(B192,Locales!$A:$A,Locales!$B:$B,""),"")</f>
        <v/>
      </c>
    </row>
    <row r="193" spans="3:3" x14ac:dyDescent="0.2">
      <c r="C193" t="str" cm="1">
        <f t="array" ref="C193">IFERROR(_xlfn.XLOOKUP(B193,Locales!$A:$A,Locales!$B:$B,""),"")</f>
        <v/>
      </c>
    </row>
    <row r="194" spans="3:3" x14ac:dyDescent="0.2">
      <c r="C194" t="str" cm="1">
        <f t="array" ref="C194">IFERROR(_xlfn.XLOOKUP(B194,Locales!$A:$A,Locales!$B:$B,""),"")</f>
        <v/>
      </c>
    </row>
    <row r="195" spans="3:3" x14ac:dyDescent="0.2">
      <c r="C195" t="str" cm="1">
        <f t="array" ref="C195">IFERROR(_xlfn.XLOOKUP(B195,Locales!$A:$A,Locales!$B:$B,""),"")</f>
        <v/>
      </c>
    </row>
    <row r="196" spans="3:3" x14ac:dyDescent="0.2">
      <c r="C196" t="str" cm="1">
        <f t="array" ref="C196">IFERROR(_xlfn.XLOOKUP(B196,Locales!$A:$A,Locales!$B:$B,""),"")</f>
        <v/>
      </c>
    </row>
    <row r="197" spans="3:3" x14ac:dyDescent="0.2">
      <c r="C197" t="str" cm="1">
        <f t="array" ref="C197">IFERROR(_xlfn.XLOOKUP(B197,Locales!$A:$A,Locales!$B:$B,""),"")</f>
        <v/>
      </c>
    </row>
    <row r="198" spans="3:3" x14ac:dyDescent="0.2">
      <c r="C198" t="str" cm="1">
        <f t="array" ref="C198">IFERROR(_xlfn.XLOOKUP(B198,Locales!$A:$A,Locales!$B:$B,""),"")</f>
        <v/>
      </c>
    </row>
    <row r="199" spans="3:3" x14ac:dyDescent="0.2">
      <c r="C199" t="str" cm="1">
        <f t="array" ref="C199">IFERROR(_xlfn.XLOOKUP(B199,Locales!$A:$A,Locales!$B:$B,""),"")</f>
        <v/>
      </c>
    </row>
    <row r="200" spans="3:3" x14ac:dyDescent="0.2">
      <c r="C200" t="str" cm="1">
        <f t="array" ref="C200">IFERROR(_xlfn.XLOOKUP(B200,Locales!$A:$A,Locales!$B:$B,""),"")</f>
        <v/>
      </c>
    </row>
    <row r="201" spans="3:3" x14ac:dyDescent="0.2">
      <c r="C201" t="str" cm="1">
        <f t="array" ref="C201">IFERROR(_xlfn.XLOOKUP(B201,Locales!$A:$A,Locales!$B:$B,""),"")</f>
        <v/>
      </c>
    </row>
    <row r="202" spans="3:3" x14ac:dyDescent="0.2">
      <c r="C202" t="str" cm="1">
        <f t="array" ref="C202">IFERROR(_xlfn.XLOOKUP(B202,Locales!$A:$A,Locales!$B:$B,""),"")</f>
        <v/>
      </c>
    </row>
    <row r="203" spans="3:3" x14ac:dyDescent="0.2">
      <c r="C203" t="str" cm="1">
        <f t="array" ref="C203">IFERROR(_xlfn.XLOOKUP(B203,Locales!$A:$A,Locales!$B:$B,""),"")</f>
        <v/>
      </c>
    </row>
    <row r="204" spans="3:3" x14ac:dyDescent="0.2">
      <c r="C204" t="str" cm="1">
        <f t="array" ref="C204">IFERROR(_xlfn.XLOOKUP(B204,Locales!$A:$A,Locales!$B:$B,""),"")</f>
        <v/>
      </c>
    </row>
    <row r="205" spans="3:3" x14ac:dyDescent="0.2">
      <c r="C205" t="str" cm="1">
        <f t="array" ref="C205">IFERROR(_xlfn.XLOOKUP(B205,Locales!$A:$A,Locales!$B:$B,""),"")</f>
        <v/>
      </c>
    </row>
    <row r="206" spans="3:3" x14ac:dyDescent="0.2">
      <c r="C206" t="str" cm="1">
        <f t="array" ref="C206">IFERROR(_xlfn.XLOOKUP(B206,Locales!$A:$A,Locales!$B:$B,""),"")</f>
        <v/>
      </c>
    </row>
    <row r="207" spans="3:3" x14ac:dyDescent="0.2">
      <c r="C207" t="str" cm="1">
        <f t="array" ref="C207">IFERROR(_xlfn.XLOOKUP(B207,Locales!$A:$A,Locales!$B:$B,""),"")</f>
        <v/>
      </c>
    </row>
    <row r="208" spans="3:3" x14ac:dyDescent="0.2">
      <c r="C208" t="str" cm="1">
        <f t="array" ref="C208">IFERROR(_xlfn.XLOOKUP(B208,Locales!$A:$A,Locales!$B:$B,""),"")</f>
        <v/>
      </c>
    </row>
    <row r="209" spans="3:3" x14ac:dyDescent="0.2">
      <c r="C209" t="str" cm="1">
        <f t="array" ref="C209">IFERROR(_xlfn.XLOOKUP(B209,Locales!$A:$A,Locales!$B:$B,""),"")</f>
        <v/>
      </c>
    </row>
    <row r="210" spans="3:3" x14ac:dyDescent="0.2">
      <c r="C210" t="str" cm="1">
        <f t="array" ref="C210">IFERROR(_xlfn.XLOOKUP(B210,Locales!$A:$A,Locales!$B:$B,""),"")</f>
        <v/>
      </c>
    </row>
    <row r="211" spans="3:3" x14ac:dyDescent="0.2">
      <c r="C211" t="str" cm="1">
        <f t="array" ref="C211">IFERROR(_xlfn.XLOOKUP(B211,Locales!$A:$A,Locales!$B:$B,""),"")</f>
        <v/>
      </c>
    </row>
    <row r="212" spans="3:3" x14ac:dyDescent="0.2">
      <c r="C212" t="str" cm="1">
        <f t="array" ref="C212">IFERROR(_xlfn.XLOOKUP(B212,Locales!$A:$A,Locales!$B:$B,""),"")</f>
        <v/>
      </c>
    </row>
    <row r="213" spans="3:3" x14ac:dyDescent="0.2">
      <c r="C213" t="str" cm="1">
        <f t="array" ref="C213">IFERROR(_xlfn.XLOOKUP(B213,Locales!$A:$A,Locales!$B:$B,""),"")</f>
        <v/>
      </c>
    </row>
    <row r="214" spans="3:3" x14ac:dyDescent="0.2">
      <c r="C214" t="str" cm="1">
        <f t="array" ref="C214">IFERROR(_xlfn.XLOOKUP(B214,Locales!$A:$A,Locales!$B:$B,""),"")</f>
        <v/>
      </c>
    </row>
    <row r="215" spans="3:3" x14ac:dyDescent="0.2">
      <c r="C215" t="str" cm="1">
        <f t="array" ref="C215">IFERROR(_xlfn.XLOOKUP(B215,Locales!$A:$A,Locales!$B:$B,""),"")</f>
        <v/>
      </c>
    </row>
    <row r="216" spans="3:3" x14ac:dyDescent="0.2">
      <c r="C216" t="str" cm="1">
        <f t="array" ref="C216">IFERROR(_xlfn.XLOOKUP(B216,Locales!$A:$A,Locales!$B:$B,""),"")</f>
        <v/>
      </c>
    </row>
    <row r="217" spans="3:3" x14ac:dyDescent="0.2">
      <c r="C217" t="str" cm="1">
        <f t="array" ref="C217">IFERROR(_xlfn.XLOOKUP(B217,Locales!$A:$A,Locales!$B:$B,""),"")</f>
        <v/>
      </c>
    </row>
    <row r="218" spans="3:3" x14ac:dyDescent="0.2">
      <c r="C218" t="str" cm="1">
        <f t="array" ref="C218">IFERROR(_xlfn.XLOOKUP(B218,Locales!$A:$A,Locales!$B:$B,""),"")</f>
        <v/>
      </c>
    </row>
    <row r="219" spans="3:3" x14ac:dyDescent="0.2">
      <c r="C219" t="str" cm="1">
        <f t="array" ref="C219">IFERROR(_xlfn.XLOOKUP(B219,Locales!$A:$A,Locales!$B:$B,""),"")</f>
        <v/>
      </c>
    </row>
    <row r="220" spans="3:3" x14ac:dyDescent="0.2">
      <c r="C220" t="str" cm="1">
        <f t="array" ref="C220">IFERROR(_xlfn.XLOOKUP(B220,Locales!$A:$A,Locales!$B:$B,""),"")</f>
        <v/>
      </c>
    </row>
    <row r="221" spans="3:3" x14ac:dyDescent="0.2">
      <c r="C221" t="str" cm="1">
        <f t="array" ref="C221">IFERROR(_xlfn.XLOOKUP(B221,Locales!$A:$A,Locales!$B:$B,""),"")</f>
        <v/>
      </c>
    </row>
    <row r="222" spans="3:3" x14ac:dyDescent="0.2">
      <c r="C222" t="str" cm="1">
        <f t="array" ref="C222">IFERROR(_xlfn.XLOOKUP(B222,Locales!$A:$A,Locales!$B:$B,""),"")</f>
        <v/>
      </c>
    </row>
    <row r="223" spans="3:3" x14ac:dyDescent="0.2">
      <c r="C223" t="str" cm="1">
        <f t="array" ref="C223">IFERROR(_xlfn.XLOOKUP(B223,Locales!$A:$A,Locales!$B:$B,""),"")</f>
        <v/>
      </c>
    </row>
    <row r="224" spans="3:3" x14ac:dyDescent="0.2">
      <c r="C224" t="str" cm="1">
        <f t="array" ref="C224">IFERROR(_xlfn.XLOOKUP(B224,Locales!$A:$A,Locales!$B:$B,""),"")</f>
        <v/>
      </c>
    </row>
    <row r="225" spans="3:3" x14ac:dyDescent="0.2">
      <c r="C225" t="str" cm="1">
        <f t="array" ref="C225">IFERROR(_xlfn.XLOOKUP(B225,Locales!$A:$A,Locales!$B:$B,""),"")</f>
        <v/>
      </c>
    </row>
    <row r="226" spans="3:3" x14ac:dyDescent="0.2">
      <c r="C226" t="str" cm="1">
        <f t="array" ref="C226">IFERROR(_xlfn.XLOOKUP(B226,Locales!$A:$A,Locales!$B:$B,""),"")</f>
        <v/>
      </c>
    </row>
    <row r="227" spans="3:3" x14ac:dyDescent="0.2">
      <c r="C227" t="str" cm="1">
        <f t="array" ref="C227">IFERROR(_xlfn.XLOOKUP(B227,Locales!$A:$A,Locales!$B:$B,""),"")</f>
        <v/>
      </c>
    </row>
    <row r="228" spans="3:3" x14ac:dyDescent="0.2">
      <c r="C228" t="str" cm="1">
        <f t="array" ref="C228">IFERROR(_xlfn.XLOOKUP(B228,Locales!$A:$A,Locales!$B:$B,""),"")</f>
        <v/>
      </c>
    </row>
    <row r="229" spans="3:3" x14ac:dyDescent="0.2">
      <c r="C229" t="str" cm="1">
        <f t="array" ref="C229">IFERROR(_xlfn.XLOOKUP(B229,Locales!$A:$A,Locales!$B:$B,""),"")</f>
        <v/>
      </c>
    </row>
    <row r="230" spans="3:3" x14ac:dyDescent="0.2">
      <c r="C230" t="str" cm="1">
        <f t="array" ref="C230">IFERROR(_xlfn.XLOOKUP(B230,Locales!$A:$A,Locales!$B:$B,""),"")</f>
        <v/>
      </c>
    </row>
    <row r="231" spans="3:3" x14ac:dyDescent="0.2">
      <c r="C231" t="str" cm="1">
        <f t="array" ref="C231">IFERROR(_xlfn.XLOOKUP(B231,Locales!$A:$A,Locales!$B:$B,""),"")</f>
        <v/>
      </c>
    </row>
    <row r="232" spans="3:3" x14ac:dyDescent="0.2">
      <c r="C232" t="str" cm="1">
        <f t="array" ref="C232">IFERROR(_xlfn.XLOOKUP(B232,Locales!$A:$A,Locales!$B:$B,""),"")</f>
        <v/>
      </c>
    </row>
    <row r="233" spans="3:3" x14ac:dyDescent="0.2">
      <c r="C233" t="str" cm="1">
        <f t="array" ref="C233">IFERROR(_xlfn.XLOOKUP(B233,Locales!$A:$A,Locales!$B:$B,""),"")</f>
        <v/>
      </c>
    </row>
    <row r="234" spans="3:3" x14ac:dyDescent="0.2">
      <c r="C234" t="str" cm="1">
        <f t="array" ref="C234">IFERROR(_xlfn.XLOOKUP(B234,Locales!$A:$A,Locales!$B:$B,""),"")</f>
        <v/>
      </c>
    </row>
    <row r="235" spans="3:3" x14ac:dyDescent="0.2">
      <c r="C235" t="str" cm="1">
        <f t="array" ref="C235">IFERROR(_xlfn.XLOOKUP(B235,Locales!$A:$A,Locales!$B:$B,""),"")</f>
        <v/>
      </c>
    </row>
    <row r="236" spans="3:3" x14ac:dyDescent="0.2">
      <c r="C236" t="str" cm="1">
        <f t="array" ref="C236">IFERROR(_xlfn.XLOOKUP(B236,Locales!$A:$A,Locales!$B:$B,""),"")</f>
        <v/>
      </c>
    </row>
    <row r="237" spans="3:3" x14ac:dyDescent="0.2">
      <c r="C237" t="str" cm="1">
        <f t="array" ref="C237">IFERROR(_xlfn.XLOOKUP(B237,Locales!$A:$A,Locales!$B:$B,""),"")</f>
        <v/>
      </c>
    </row>
    <row r="238" spans="3:3" x14ac:dyDescent="0.2">
      <c r="C238" t="str" cm="1">
        <f t="array" ref="C238">IFERROR(_xlfn.XLOOKUP(B238,Locales!$A:$A,Locales!$B:$B,""),"")</f>
        <v/>
      </c>
    </row>
    <row r="239" spans="3:3" x14ac:dyDescent="0.2">
      <c r="C239" t="str" cm="1">
        <f t="array" ref="C239">IFERROR(_xlfn.XLOOKUP(B239,Locales!$A:$A,Locales!$B:$B,""),"")</f>
        <v/>
      </c>
    </row>
    <row r="240" spans="3:3" x14ac:dyDescent="0.2">
      <c r="C240" t="str" cm="1">
        <f t="array" ref="C240">IFERROR(_xlfn.XLOOKUP(B240,Locales!$A:$A,Locales!$B:$B,""),"")</f>
        <v/>
      </c>
    </row>
    <row r="241" spans="3:3" x14ac:dyDescent="0.2">
      <c r="C241" t="str" cm="1">
        <f t="array" ref="C241">IFERROR(_xlfn.XLOOKUP(B241,Locales!$A:$A,Locales!$B:$B,""),"")</f>
        <v/>
      </c>
    </row>
    <row r="242" spans="3:3" x14ac:dyDescent="0.2">
      <c r="C242" t="str" cm="1">
        <f t="array" ref="C242">IFERROR(_xlfn.XLOOKUP(B242,Locales!$A:$A,Locales!$B:$B,""),"")</f>
        <v/>
      </c>
    </row>
    <row r="243" spans="3:3" x14ac:dyDescent="0.2">
      <c r="C243" t="str" cm="1">
        <f t="array" ref="C243">IFERROR(_xlfn.XLOOKUP(B243,Locales!$A:$A,Locales!$B:$B,""),"")</f>
        <v/>
      </c>
    </row>
    <row r="244" spans="3:3" x14ac:dyDescent="0.2">
      <c r="C244" t="str" cm="1">
        <f t="array" ref="C244">IFERROR(_xlfn.XLOOKUP(B244,Locales!$A:$A,Locales!$B:$B,""),"")</f>
        <v/>
      </c>
    </row>
    <row r="245" spans="3:3" x14ac:dyDescent="0.2">
      <c r="C245" t="str" cm="1">
        <f t="array" ref="C245">IFERROR(_xlfn.XLOOKUP(B245,Locales!$A:$A,Locales!$B:$B,""),"")</f>
        <v/>
      </c>
    </row>
    <row r="246" spans="3:3" x14ac:dyDescent="0.2">
      <c r="C246" t="str" cm="1">
        <f t="array" ref="C246">IFERROR(_xlfn.XLOOKUP(B246,Locales!$A:$A,Locales!$B:$B,""),"")</f>
        <v/>
      </c>
    </row>
    <row r="247" spans="3:3" x14ac:dyDescent="0.2">
      <c r="C247" t="str" cm="1">
        <f t="array" ref="C247">IFERROR(_xlfn.XLOOKUP(B247,Locales!$A:$A,Locales!$B:$B,""),"")</f>
        <v/>
      </c>
    </row>
    <row r="248" spans="3:3" x14ac:dyDescent="0.2">
      <c r="C248" t="str" cm="1">
        <f t="array" ref="C248">IFERROR(_xlfn.XLOOKUP(B248,Locales!$A:$A,Locales!$B:$B,""),"")</f>
        <v/>
      </c>
    </row>
    <row r="249" spans="3:3" x14ac:dyDescent="0.2">
      <c r="C249" t="str" cm="1">
        <f t="array" ref="C249">IFERROR(_xlfn.XLOOKUP(B249,Locales!$A:$A,Locales!$B:$B,""),"")</f>
        <v/>
      </c>
    </row>
    <row r="250" spans="3:3" x14ac:dyDescent="0.2">
      <c r="C250" t="str" cm="1">
        <f t="array" ref="C250">IFERROR(_xlfn.XLOOKUP(B250,Locales!$A:$A,Locales!$B:$B,""),"")</f>
        <v/>
      </c>
    </row>
    <row r="251" spans="3:3" x14ac:dyDescent="0.2">
      <c r="C251" t="str" cm="1">
        <f t="array" ref="C251">IFERROR(_xlfn.XLOOKUP(B251,Locales!$A:$A,Locales!$B:$B,""),"")</f>
        <v/>
      </c>
    </row>
    <row r="252" spans="3:3" x14ac:dyDescent="0.2">
      <c r="C252" t="str" cm="1">
        <f t="array" ref="C252">IFERROR(_xlfn.XLOOKUP(B252,Locales!$A:$A,Locales!$B:$B,""),"")</f>
        <v/>
      </c>
    </row>
    <row r="253" spans="3:3" x14ac:dyDescent="0.2">
      <c r="C253" t="str" cm="1">
        <f t="array" ref="C253">IFERROR(_xlfn.XLOOKUP(B253,Locales!$A:$A,Locales!$B:$B,""),"")</f>
        <v/>
      </c>
    </row>
    <row r="254" spans="3:3" x14ac:dyDescent="0.2">
      <c r="C254" t="str" cm="1">
        <f t="array" ref="C254">IFERROR(_xlfn.XLOOKUP(B254,Locales!$A:$A,Locales!$B:$B,""),"")</f>
        <v/>
      </c>
    </row>
    <row r="255" spans="3:3" x14ac:dyDescent="0.2">
      <c r="C255" t="str" cm="1">
        <f t="array" ref="C255">IFERROR(_xlfn.XLOOKUP(B255,Locales!$A:$A,Locales!$B:$B,""),"")</f>
        <v/>
      </c>
    </row>
    <row r="256" spans="3:3" x14ac:dyDescent="0.2">
      <c r="C256" t="str" cm="1">
        <f t="array" ref="C256">IFERROR(_xlfn.XLOOKUP(B256,Locales!$A:$A,Locales!$B:$B,""),"")</f>
        <v/>
      </c>
    </row>
    <row r="257" spans="3:3" x14ac:dyDescent="0.2">
      <c r="C257" t="str" cm="1">
        <f t="array" ref="C257">IFERROR(_xlfn.XLOOKUP(B257,Locales!$A:$A,Locales!$B:$B,""),"")</f>
        <v/>
      </c>
    </row>
    <row r="258" spans="3:3" x14ac:dyDescent="0.2">
      <c r="C258" t="str" cm="1">
        <f t="array" ref="C258">IFERROR(_xlfn.XLOOKUP(B258,Locales!$A:$A,Locales!$B:$B,""),"")</f>
        <v/>
      </c>
    </row>
    <row r="259" spans="3:3" x14ac:dyDescent="0.2">
      <c r="C259" t="str" cm="1">
        <f t="array" ref="C259">IFERROR(_xlfn.XLOOKUP(B259,Locales!$A:$A,Locales!$B:$B,""),"")</f>
        <v/>
      </c>
    </row>
    <row r="260" spans="3:3" x14ac:dyDescent="0.2">
      <c r="C260" t="str" cm="1">
        <f t="array" ref="C260">IFERROR(_xlfn.XLOOKUP(B260,Locales!$A:$A,Locales!$B:$B,""),"")</f>
        <v/>
      </c>
    </row>
    <row r="261" spans="3:3" x14ac:dyDescent="0.2">
      <c r="C261" t="str" cm="1">
        <f t="array" ref="C261">IFERROR(_xlfn.XLOOKUP(B261,Locales!$A:$A,Locales!$B:$B,""),"")</f>
        <v/>
      </c>
    </row>
    <row r="262" spans="3:3" x14ac:dyDescent="0.2">
      <c r="C262" t="str" cm="1">
        <f t="array" ref="C262">IFERROR(_xlfn.XLOOKUP(B262,Locales!$A:$A,Locales!$B:$B,""),"")</f>
        <v/>
      </c>
    </row>
    <row r="263" spans="3:3" x14ac:dyDescent="0.2">
      <c r="C263" t="str" cm="1">
        <f t="array" ref="C263">IFERROR(_xlfn.XLOOKUP(B263,Locales!$A:$A,Locales!$B:$B,""),"")</f>
        <v/>
      </c>
    </row>
    <row r="264" spans="3:3" x14ac:dyDescent="0.2">
      <c r="C264" t="str" cm="1">
        <f t="array" ref="C264">IFERROR(_xlfn.XLOOKUP(B264,Locales!$A:$A,Locales!$B:$B,""),"")</f>
        <v/>
      </c>
    </row>
    <row r="265" spans="3:3" x14ac:dyDescent="0.2">
      <c r="C265" t="str" cm="1">
        <f t="array" ref="C265">IFERROR(_xlfn.XLOOKUP(B265,Locales!$A:$A,Locales!$B:$B,""),"")</f>
        <v/>
      </c>
    </row>
    <row r="266" spans="3:3" x14ac:dyDescent="0.2">
      <c r="C266" t="str" cm="1">
        <f t="array" ref="C266">IFERROR(_xlfn.XLOOKUP(B266,Locales!$A:$A,Locales!$B:$B,""),"")</f>
        <v/>
      </c>
    </row>
    <row r="267" spans="3:3" x14ac:dyDescent="0.2">
      <c r="C267" t="str" cm="1">
        <f t="array" ref="C267">IFERROR(_xlfn.XLOOKUP(B267,Locales!$A:$A,Locales!$B:$B,""),"")</f>
        <v/>
      </c>
    </row>
    <row r="268" spans="3:3" x14ac:dyDescent="0.2">
      <c r="C268" t="str" cm="1">
        <f t="array" ref="C268">IFERROR(_xlfn.XLOOKUP(B268,Locales!$A:$A,Locales!$B:$B,""),"")</f>
        <v/>
      </c>
    </row>
    <row r="269" spans="3:3" x14ac:dyDescent="0.2">
      <c r="C269" t="str" cm="1">
        <f t="array" ref="C269">IFERROR(_xlfn.XLOOKUP(B269,Locales!$A:$A,Locales!$B:$B,""),"")</f>
        <v/>
      </c>
    </row>
    <row r="270" spans="3:3" x14ac:dyDescent="0.2">
      <c r="C270" t="str" cm="1">
        <f t="array" ref="C270">IFERROR(_xlfn.XLOOKUP(B270,Locales!$A:$A,Locales!$B:$B,""),"")</f>
        <v/>
      </c>
    </row>
    <row r="271" spans="3:3" x14ac:dyDescent="0.2">
      <c r="C271" t="str" cm="1">
        <f t="array" ref="C271">IFERROR(_xlfn.XLOOKUP(B271,Locales!$A:$A,Locales!$B:$B,""),"")</f>
        <v/>
      </c>
    </row>
    <row r="272" spans="3:3" x14ac:dyDescent="0.2">
      <c r="C272" t="str" cm="1">
        <f t="array" ref="C272">IFERROR(_xlfn.XLOOKUP(B272,Locales!$A:$A,Locales!$B:$B,""),"")</f>
        <v/>
      </c>
    </row>
    <row r="273" spans="3:3" x14ac:dyDescent="0.2">
      <c r="C273" t="str" cm="1">
        <f t="array" ref="C273">IFERROR(_xlfn.XLOOKUP(B273,Locales!$A:$A,Locales!$B:$B,""),"")</f>
        <v/>
      </c>
    </row>
    <row r="274" spans="3:3" x14ac:dyDescent="0.2">
      <c r="C274" t="str" cm="1">
        <f t="array" ref="C274">IFERROR(_xlfn.XLOOKUP(B274,Locales!$A:$A,Locales!$B:$B,""),"")</f>
        <v/>
      </c>
    </row>
    <row r="275" spans="3:3" x14ac:dyDescent="0.2">
      <c r="C275" t="str" cm="1">
        <f t="array" ref="C275">IFERROR(_xlfn.XLOOKUP(B275,Locales!$A:$A,Locales!$B:$B,""),"")</f>
        <v/>
      </c>
    </row>
    <row r="276" spans="3:3" x14ac:dyDescent="0.2">
      <c r="C276" t="str" cm="1">
        <f t="array" ref="C276">IFERROR(_xlfn.XLOOKUP(B276,Locales!$A:$A,Locales!$B:$B,""),"")</f>
        <v/>
      </c>
    </row>
    <row r="277" spans="3:3" x14ac:dyDescent="0.2">
      <c r="C277" t="str" cm="1">
        <f t="array" ref="C277">IFERROR(_xlfn.XLOOKUP(B277,Locales!$A:$A,Locales!$B:$B,""),"")</f>
        <v/>
      </c>
    </row>
    <row r="278" spans="3:3" x14ac:dyDescent="0.2">
      <c r="C278" t="str" cm="1">
        <f t="array" ref="C278">IFERROR(_xlfn.XLOOKUP(B278,Locales!$A:$A,Locales!$B:$B,""),"")</f>
        <v/>
      </c>
    </row>
    <row r="279" spans="3:3" x14ac:dyDescent="0.2">
      <c r="C279" t="str" cm="1">
        <f t="array" ref="C279">IFERROR(_xlfn.XLOOKUP(B279,Locales!$A:$A,Locales!$B:$B,""),"")</f>
        <v/>
      </c>
    </row>
    <row r="280" spans="3:3" x14ac:dyDescent="0.2">
      <c r="C280" t="str" cm="1">
        <f t="array" ref="C280">IFERROR(_xlfn.XLOOKUP(B280,Locales!$A:$A,Locales!$B:$B,""),"")</f>
        <v/>
      </c>
    </row>
    <row r="281" spans="3:3" x14ac:dyDescent="0.2">
      <c r="C281" t="str" cm="1">
        <f t="array" ref="C281">IFERROR(_xlfn.XLOOKUP(B281,Locales!$A:$A,Locales!$B:$B,""),"")</f>
        <v/>
      </c>
    </row>
    <row r="282" spans="3:3" x14ac:dyDescent="0.2">
      <c r="C282" t="str" cm="1">
        <f t="array" ref="C282">IFERROR(_xlfn.XLOOKUP(B282,Locales!$A:$A,Locales!$B:$B,""),"")</f>
        <v/>
      </c>
    </row>
    <row r="283" spans="3:3" x14ac:dyDescent="0.2">
      <c r="C283" t="str" cm="1">
        <f t="array" ref="C283">IFERROR(_xlfn.XLOOKUP(B283,Locales!$A:$A,Locales!$B:$B,""),"")</f>
        <v/>
      </c>
    </row>
    <row r="284" spans="3:3" x14ac:dyDescent="0.2">
      <c r="C284" t="str" cm="1">
        <f t="array" ref="C284">IFERROR(_xlfn.XLOOKUP(B284,Locales!$A:$A,Locales!$B:$B,""),"")</f>
        <v/>
      </c>
    </row>
    <row r="285" spans="3:3" x14ac:dyDescent="0.2">
      <c r="C285" t="str" cm="1">
        <f t="array" ref="C285">IFERROR(_xlfn.XLOOKUP(B285,Locales!$A:$A,Locales!$B:$B,""),"")</f>
        <v/>
      </c>
    </row>
    <row r="286" spans="3:3" x14ac:dyDescent="0.2">
      <c r="C286" t="str" cm="1">
        <f t="array" ref="C286">IFERROR(_xlfn.XLOOKUP(B286,Locales!$A:$A,Locales!$B:$B,""),"")</f>
        <v/>
      </c>
    </row>
    <row r="287" spans="3:3" x14ac:dyDescent="0.2">
      <c r="C287" t="str" cm="1">
        <f t="array" ref="C287">IFERROR(_xlfn.XLOOKUP(B287,Locales!$A:$A,Locales!$B:$B,""),"")</f>
        <v/>
      </c>
    </row>
    <row r="288" spans="3:3" x14ac:dyDescent="0.2">
      <c r="C288" t="str" cm="1">
        <f t="array" ref="C288">IFERROR(_xlfn.XLOOKUP(B288,Locales!$A:$A,Locales!$B:$B,""),"")</f>
        <v/>
      </c>
    </row>
    <row r="289" spans="3:3" x14ac:dyDescent="0.2">
      <c r="C289" t="str" cm="1">
        <f t="array" ref="C289">IFERROR(_xlfn.XLOOKUP(B289,Locales!$A:$A,Locales!$B:$B,""),"")</f>
        <v/>
      </c>
    </row>
    <row r="290" spans="3:3" x14ac:dyDescent="0.2">
      <c r="C290" t="str" cm="1">
        <f t="array" ref="C290">IFERROR(_xlfn.XLOOKUP(B290,Locales!$A:$A,Locales!$B:$B,""),"")</f>
        <v/>
      </c>
    </row>
    <row r="291" spans="3:3" x14ac:dyDescent="0.2">
      <c r="C291" t="str" cm="1">
        <f t="array" ref="C291">IFERROR(_xlfn.XLOOKUP(B291,Locales!$A:$A,Locales!$B:$B,""),"")</f>
        <v/>
      </c>
    </row>
    <row r="292" spans="3:3" x14ac:dyDescent="0.2">
      <c r="C292" t="str" cm="1">
        <f t="array" ref="C292">IFERROR(_xlfn.XLOOKUP(B292,Locales!$A:$A,Locales!$B:$B,""),"")</f>
        <v/>
      </c>
    </row>
    <row r="293" spans="3:3" x14ac:dyDescent="0.2">
      <c r="C293" t="str" cm="1">
        <f t="array" ref="C293">IFERROR(_xlfn.XLOOKUP(B293,Locales!$A:$A,Locales!$B:$B,""),"")</f>
        <v/>
      </c>
    </row>
    <row r="294" spans="3:3" x14ac:dyDescent="0.2">
      <c r="C294" t="str" cm="1">
        <f t="array" ref="C294">IFERROR(_xlfn.XLOOKUP(B294,Locales!$A:$A,Locales!$B:$B,""),"")</f>
        <v/>
      </c>
    </row>
    <row r="295" spans="3:3" x14ac:dyDescent="0.2">
      <c r="C295" t="str" cm="1">
        <f t="array" ref="C295">IFERROR(_xlfn.XLOOKUP(B295,Locales!$A:$A,Locales!$B:$B,""),"")</f>
        <v/>
      </c>
    </row>
    <row r="296" spans="3:3" x14ac:dyDescent="0.2">
      <c r="C296" t="str" cm="1">
        <f t="array" ref="C296">IFERROR(_xlfn.XLOOKUP(B296,Locales!$A:$A,Locales!$B:$B,""),"")</f>
        <v/>
      </c>
    </row>
    <row r="297" spans="3:3" x14ac:dyDescent="0.2">
      <c r="C297" t="str" cm="1">
        <f t="array" ref="C297">IFERROR(_xlfn.XLOOKUP(B297,Locales!$A:$A,Locales!$B:$B,""),"")</f>
        <v/>
      </c>
    </row>
    <row r="298" spans="3:3" x14ac:dyDescent="0.2">
      <c r="C298" t="str" cm="1">
        <f t="array" ref="C298">IFERROR(_xlfn.XLOOKUP(B298,Locales!$A:$A,Locales!$B:$B,""),"")</f>
        <v/>
      </c>
    </row>
    <row r="299" spans="3:3" x14ac:dyDescent="0.2">
      <c r="C299" t="str" cm="1">
        <f t="array" ref="C299">IFERROR(_xlfn.XLOOKUP(B299,Locales!$A:$A,Locales!$B:$B,""),"")</f>
        <v/>
      </c>
    </row>
    <row r="300" spans="3:3" x14ac:dyDescent="0.2">
      <c r="C300" t="str" cm="1">
        <f t="array" ref="C300">IFERROR(_xlfn.XLOOKUP(B300,Locales!$A:$A,Locales!$B:$B,""),"")</f>
        <v/>
      </c>
    </row>
    <row r="301" spans="3:3" x14ac:dyDescent="0.2">
      <c r="C301" cm="1">
        <f t="array" ref="C301">IFERROR(_xlfn.XLOOKUP(B301,Locales!$A:$A,Locales!$B:$B,""),"")</f>
        <v>0</v>
      </c>
    </row>
    <row r="302" spans="3:3" x14ac:dyDescent="0.2">
      <c r="C302" t="str" cm="1">
        <f t="array" ref="C302">IFERROR(_xlfn.XLOOKUP(B302,Locales!$A:$A,Locales!$B:$B,""),"")</f>
        <v/>
      </c>
    </row>
    <row r="303" spans="3:3" x14ac:dyDescent="0.2">
      <c r="C303" t="str" cm="1">
        <f t="array" ref="C303">IFERROR(_xlfn.XLOOKUP(B303,Locales!$A:$A,Locales!$B:$B,""),"")</f>
        <v/>
      </c>
    </row>
    <row r="304" spans="3:3" x14ac:dyDescent="0.2">
      <c r="C304" t="str" cm="1">
        <f t="array" ref="C304">IFERROR(_xlfn.XLOOKUP(B304,Locales!$A:$A,Locales!$B:$B,""),"")</f>
        <v/>
      </c>
    </row>
    <row r="305" spans="3:3" x14ac:dyDescent="0.2">
      <c r="C305" t="str" cm="1">
        <f t="array" ref="C305">IFERROR(_xlfn.XLOOKUP(B305,Locales!$A:$A,Locales!$B:$B,""),"")</f>
        <v/>
      </c>
    </row>
    <row r="306" spans="3:3" x14ac:dyDescent="0.2">
      <c r="C306" t="str" cm="1">
        <f t="array" ref="C306">IFERROR(_xlfn.XLOOKUP(B306,Locales!$A:$A,Locales!$B:$B,""),"")</f>
        <v/>
      </c>
    </row>
    <row r="307" spans="3:3" x14ac:dyDescent="0.2">
      <c r="C307" t="str" cm="1">
        <f t="array" ref="C307">IFERROR(_xlfn.XLOOKUP(B307,Locales!$A:$A,Locales!$B:$B,""),"")</f>
        <v/>
      </c>
    </row>
    <row r="308" spans="3:3" x14ac:dyDescent="0.2">
      <c r="C308" t="str" cm="1">
        <f t="array" ref="C308">IFERROR(_xlfn.XLOOKUP(B308,Locales!$A:$A,Locales!$B:$B,""),"")</f>
        <v/>
      </c>
    </row>
    <row r="309" spans="3:3" x14ac:dyDescent="0.2">
      <c r="C309" t="str" cm="1">
        <f t="array" ref="C309">IFERROR(_xlfn.XLOOKUP(B309,Locales!$A:$A,Locales!$B:$B,""),"")</f>
        <v/>
      </c>
    </row>
    <row r="310" spans="3:3" x14ac:dyDescent="0.2">
      <c r="C310" t="str" cm="1">
        <f t="array" ref="C310">IFERROR(_xlfn.XLOOKUP(B310,Locales!$A:$A,Locales!$B:$B,""),"")</f>
        <v/>
      </c>
    </row>
    <row r="311" spans="3:3" x14ac:dyDescent="0.2">
      <c r="C311" t="str" cm="1">
        <f t="array" ref="C311">IFERROR(_xlfn.XLOOKUP(B311,Locales!$A:$A,Locales!$B:$B,""),"")</f>
        <v/>
      </c>
    </row>
    <row r="312" spans="3:3" x14ac:dyDescent="0.2">
      <c r="C312" t="str" cm="1">
        <f t="array" ref="C312">IFERROR(_xlfn.XLOOKUP(B312,Locales!$A:$A,Locales!$B:$B,""),"")</f>
        <v/>
      </c>
    </row>
    <row r="313" spans="3:3" x14ac:dyDescent="0.2">
      <c r="C313" t="str" cm="1">
        <f t="array" ref="C313">IFERROR(_xlfn.XLOOKUP(B313,Locales!$A:$A,Locales!$B:$B,""),"")</f>
        <v/>
      </c>
    </row>
    <row r="314" spans="3:3" x14ac:dyDescent="0.2">
      <c r="C314" t="str" cm="1">
        <f t="array" ref="C314">IFERROR(_xlfn.XLOOKUP(B314,Locales!$A:$A,Locales!$B:$B,""),"")</f>
        <v/>
      </c>
    </row>
    <row r="315" spans="3:3" x14ac:dyDescent="0.2">
      <c r="C315" t="str" cm="1">
        <f t="array" ref="C315">IFERROR(_xlfn.XLOOKUP(B315,Locales!$A:$A,Locales!$B:$B,""),"")</f>
        <v/>
      </c>
    </row>
    <row r="316" spans="3:3" x14ac:dyDescent="0.2">
      <c r="C316" t="str" cm="1">
        <f t="array" ref="C316">IFERROR(_xlfn.XLOOKUP(B316,Locales!$A:$A,Locales!$B:$B,""),"")</f>
        <v/>
      </c>
    </row>
    <row r="317" spans="3:3" x14ac:dyDescent="0.2">
      <c r="C317" t="str" cm="1">
        <f t="array" ref="C317">IFERROR(_xlfn.XLOOKUP(B317,Locales!$A:$A,Locales!$B:$B,""),"")</f>
        <v/>
      </c>
    </row>
    <row r="318" spans="3:3" x14ac:dyDescent="0.2">
      <c r="C318" t="str" cm="1">
        <f t="array" ref="C318">IFERROR(_xlfn.XLOOKUP(B318,Locales!$A:$A,Locales!$B:$B,""),"")</f>
        <v/>
      </c>
    </row>
    <row r="319" spans="3:3" x14ac:dyDescent="0.2">
      <c r="C319" t="str" cm="1">
        <f t="array" ref="C319">IFERROR(_xlfn.XLOOKUP(B319,Locales!$A:$A,Locales!$B:$B,""),"")</f>
        <v/>
      </c>
    </row>
    <row r="320" spans="3:3" x14ac:dyDescent="0.2">
      <c r="C320" t="str" cm="1">
        <f t="array" ref="C320">IFERROR(_xlfn.XLOOKUP(B320,Locales!$A:$A,Locales!$B:$B,""),"")</f>
        <v/>
      </c>
    </row>
    <row r="321" spans="3:3" x14ac:dyDescent="0.2">
      <c r="C321" t="str" cm="1">
        <f t="array" ref="C321">IFERROR(_xlfn.XLOOKUP(B321,Locales!$A:$A,Locales!$B:$B,""),"")</f>
        <v/>
      </c>
    </row>
    <row r="322" spans="3:3" x14ac:dyDescent="0.2">
      <c r="C322" t="str" cm="1">
        <f t="array" ref="C322">IFERROR(_xlfn.XLOOKUP(B322,Locales!$A:$A,Locales!$B:$B,""),"")</f>
        <v/>
      </c>
    </row>
    <row r="323" spans="3:3" x14ac:dyDescent="0.2">
      <c r="C323" t="str" cm="1">
        <f t="array" ref="C323">IFERROR(_xlfn.XLOOKUP(B323,Locales!$A:$A,Locales!$B:$B,""),"")</f>
        <v/>
      </c>
    </row>
    <row r="324" spans="3:3" x14ac:dyDescent="0.2">
      <c r="C324" t="str" cm="1">
        <f t="array" ref="C324">IFERROR(_xlfn.XLOOKUP(B324,Locales!$A:$A,Locales!$B:$B,""),"")</f>
        <v/>
      </c>
    </row>
    <row r="325" spans="3:3" x14ac:dyDescent="0.2">
      <c r="C325" cm="1">
        <f t="array" ref="C325">IFERROR(_xlfn.XLOOKUP(B325,Locales!$A:$A,Locales!$B:$B,""),"")</f>
        <v>0</v>
      </c>
    </row>
    <row r="326" spans="3:3" x14ac:dyDescent="0.2">
      <c r="C326" t="str" cm="1">
        <f t="array" ref="C326">IFERROR(_xlfn.XLOOKUP(B326,Locales!$A:$A,Locales!$B:$B,""),"")</f>
        <v/>
      </c>
    </row>
    <row r="327" spans="3:3" x14ac:dyDescent="0.2">
      <c r="C327" t="str" cm="1">
        <f t="array" ref="C327">IFERROR(_xlfn.XLOOKUP(B327,Locales!$A:$A,Locales!$B:$B,""),"")</f>
        <v/>
      </c>
    </row>
    <row r="328" spans="3:3" x14ac:dyDescent="0.2">
      <c r="C328" t="str" cm="1">
        <f t="array" ref="C328">IFERROR(_xlfn.XLOOKUP(B328,Locales!$A:$A,Locales!$B:$B,""),"")</f>
        <v/>
      </c>
    </row>
    <row r="329" spans="3:3" x14ac:dyDescent="0.2">
      <c r="C329" t="str" cm="1">
        <f t="array" ref="C329">IFERROR(_xlfn.XLOOKUP(B329,Locales!$A:$A,Locales!$B:$B,""),"")</f>
        <v/>
      </c>
    </row>
    <row r="330" spans="3:3" x14ac:dyDescent="0.2">
      <c r="C330" t="str" cm="1">
        <f t="array" ref="C330">IFERROR(_xlfn.XLOOKUP(B330,Locales!$A:$A,Locales!$B:$B,""),"")</f>
        <v/>
      </c>
    </row>
    <row r="331" spans="3:3" x14ac:dyDescent="0.2">
      <c r="C331" t="str" cm="1">
        <f t="array" ref="C331">IFERROR(_xlfn.XLOOKUP(B331,Locales!$A:$A,Locales!$B:$B,""),"")</f>
        <v/>
      </c>
    </row>
    <row r="332" spans="3:3" x14ac:dyDescent="0.2">
      <c r="C332" t="str" cm="1">
        <f t="array" ref="C332">IFERROR(_xlfn.XLOOKUP(B332,Locales!$A:$A,Locales!$B:$B,""),"")</f>
        <v/>
      </c>
    </row>
    <row r="333" spans="3:3" x14ac:dyDescent="0.2">
      <c r="C333" t="str" cm="1">
        <f t="array" ref="C333">IFERROR(_xlfn.XLOOKUP(B333,Locales!$A:$A,Locales!$B:$B,""),"")</f>
        <v/>
      </c>
    </row>
    <row r="334" spans="3:3" x14ac:dyDescent="0.2">
      <c r="C334" t="str" cm="1">
        <f t="array" ref="C334">IFERROR(_xlfn.XLOOKUP(B334,Locales!$A:$A,Locales!$B:$B,""),"")</f>
        <v/>
      </c>
    </row>
    <row r="335" spans="3:3" x14ac:dyDescent="0.2">
      <c r="C335" t="str" cm="1">
        <f t="array" ref="C335">IFERROR(_xlfn.XLOOKUP(B335,Locales!$A:$A,Locales!$B:$B,""),"")</f>
        <v/>
      </c>
    </row>
    <row r="336" spans="3:3" x14ac:dyDescent="0.2">
      <c r="C336" t="str" cm="1">
        <f t="array" ref="C336">IFERROR(_xlfn.XLOOKUP(B336,Locales!$A:$A,Locales!$B:$B,""),"")</f>
        <v/>
      </c>
    </row>
    <row r="337" spans="3:3" x14ac:dyDescent="0.2">
      <c r="C337" t="str" cm="1">
        <f t="array" ref="C337">IFERROR(_xlfn.XLOOKUP(B337,Locales!$A:$A,Locales!$B:$B,""),"")</f>
        <v/>
      </c>
    </row>
    <row r="338" spans="3:3" x14ac:dyDescent="0.2">
      <c r="C338" t="str" cm="1">
        <f t="array" ref="C338">IFERROR(_xlfn.XLOOKUP(B338,Locales!$A:$A,Locales!$B:$B,""),"")</f>
        <v/>
      </c>
    </row>
    <row r="339" spans="3:3" x14ac:dyDescent="0.2">
      <c r="C339" t="str" cm="1">
        <f t="array" ref="C339">IFERROR(_xlfn.XLOOKUP(B339,Locales!$A:$A,Locales!$B:$B,""),"")</f>
        <v/>
      </c>
    </row>
    <row r="340" spans="3:3" x14ac:dyDescent="0.2">
      <c r="C340" t="str" cm="1">
        <f t="array" ref="C340">IFERROR(_xlfn.XLOOKUP(B340,Locales!$A:$A,Locales!$B:$B,""),"")</f>
        <v/>
      </c>
    </row>
    <row r="341" spans="3:3" x14ac:dyDescent="0.2">
      <c r="C341" t="str" cm="1">
        <f t="array" ref="C341">IFERROR(_xlfn.XLOOKUP(B341,Locales!$A:$A,Locales!$B:$B,""),"")</f>
        <v/>
      </c>
    </row>
    <row r="342" spans="3:3" x14ac:dyDescent="0.2">
      <c r="C342" t="str" cm="1">
        <f t="array" ref="C342">IFERROR(_xlfn.XLOOKUP(B342,Locales!$A:$A,Locales!$B:$B,""),"")</f>
        <v/>
      </c>
    </row>
    <row r="343" spans="3:3" x14ac:dyDescent="0.2">
      <c r="C343" t="str" cm="1">
        <f t="array" ref="C343">IFERROR(_xlfn.XLOOKUP(B343,Locales!$A:$A,Locales!$B:$B,""),"")</f>
        <v/>
      </c>
    </row>
    <row r="344" spans="3:3" x14ac:dyDescent="0.2">
      <c r="C344" t="str" cm="1">
        <f t="array" ref="C344">IFERROR(_xlfn.XLOOKUP(B344,Locales!$A:$A,Locales!$B:$B,""),"")</f>
        <v/>
      </c>
    </row>
    <row r="345" spans="3:3" x14ac:dyDescent="0.2">
      <c r="C345" t="str" cm="1">
        <f t="array" ref="C345">IFERROR(_xlfn.XLOOKUP(B345,Locales!$A:$A,Locales!$B:$B,""),"")</f>
        <v/>
      </c>
    </row>
    <row r="346" spans="3:3" x14ac:dyDescent="0.2">
      <c r="C346" t="str" cm="1">
        <f t="array" ref="C346">IFERROR(_xlfn.XLOOKUP(B346,Locales!$A:$A,Locales!$B:$B,""),"")</f>
        <v/>
      </c>
    </row>
    <row r="347" spans="3:3" x14ac:dyDescent="0.2">
      <c r="C347" t="str" cm="1">
        <f t="array" ref="C347">IFERROR(_xlfn.XLOOKUP(B347,Locales!$A:$A,Locales!$B:$B,""),"")</f>
        <v/>
      </c>
    </row>
    <row r="348" spans="3:3" x14ac:dyDescent="0.2">
      <c r="C348" t="str" cm="1">
        <f t="array" ref="C348">IFERROR(_xlfn.XLOOKUP(B348,Locales!$A:$A,Locales!$B:$B,""),"")</f>
        <v/>
      </c>
    </row>
    <row r="349" spans="3:3" x14ac:dyDescent="0.2">
      <c r="C349" cm="1">
        <f t="array" ref="C349">IFERROR(_xlfn.XLOOKUP(B349,Locales!$A:$A,Locales!$B:$B,""),"")</f>
        <v>0</v>
      </c>
    </row>
    <row r="350" spans="3:3" x14ac:dyDescent="0.2">
      <c r="C350" t="str" cm="1">
        <f t="array" ref="C350">IFERROR(_xlfn.XLOOKUP(B350,Locales!$A:$A,Locales!$B:$B,""),"")</f>
        <v/>
      </c>
    </row>
    <row r="351" spans="3:3" x14ac:dyDescent="0.2">
      <c r="C351" t="str" cm="1">
        <f t="array" ref="C351">IFERROR(_xlfn.XLOOKUP(B351,Locales!$A:$A,Locales!$B:$B,""),"")</f>
        <v/>
      </c>
    </row>
    <row r="352" spans="3:3" x14ac:dyDescent="0.2">
      <c r="C352" t="str" cm="1">
        <f t="array" ref="C352">IFERROR(_xlfn.XLOOKUP(B352,Locales!$A:$A,Locales!$B:$B,""),"")</f>
        <v/>
      </c>
    </row>
    <row r="353" spans="3:3" x14ac:dyDescent="0.2">
      <c r="C353" t="str" cm="1">
        <f t="array" ref="C353">IFERROR(_xlfn.XLOOKUP(B353,Locales!$A:$A,Locales!$B:$B,""),"")</f>
        <v/>
      </c>
    </row>
    <row r="354" spans="3:3" x14ac:dyDescent="0.2">
      <c r="C354" t="str" cm="1">
        <f t="array" ref="C354">IFERROR(_xlfn.XLOOKUP(B354,Locales!$A:$A,Locales!$B:$B,""),"")</f>
        <v/>
      </c>
    </row>
    <row r="355" spans="3:3" x14ac:dyDescent="0.2">
      <c r="C355" t="str" cm="1">
        <f t="array" ref="C355">IFERROR(_xlfn.XLOOKUP(B355,Locales!$A:$A,Locales!$B:$B,""),"")</f>
        <v/>
      </c>
    </row>
    <row r="356" spans="3:3" x14ac:dyDescent="0.2">
      <c r="C356" t="str" cm="1">
        <f t="array" ref="C356">IFERROR(_xlfn.XLOOKUP(B356,Locales!$A:$A,Locales!$B:$B,""),"")</f>
        <v/>
      </c>
    </row>
    <row r="357" spans="3:3" x14ac:dyDescent="0.2">
      <c r="C357" t="str" cm="1">
        <f t="array" ref="C357">IFERROR(_xlfn.XLOOKUP(B357,Locales!$A:$A,Locales!$B:$B,""),"")</f>
        <v/>
      </c>
    </row>
    <row r="358" spans="3:3" x14ac:dyDescent="0.2">
      <c r="C358" t="str" cm="1">
        <f t="array" ref="C358">IFERROR(_xlfn.XLOOKUP(B358,Locales!$A:$A,Locales!$B:$B,""),"")</f>
        <v/>
      </c>
    </row>
    <row r="359" spans="3:3" x14ac:dyDescent="0.2">
      <c r="C359" t="str" cm="1">
        <f t="array" ref="C359">IFERROR(_xlfn.XLOOKUP(B359,Locales!$A:$A,Locales!$B:$B,""),"")</f>
        <v/>
      </c>
    </row>
    <row r="360" spans="3:3" x14ac:dyDescent="0.2">
      <c r="C360" t="str" cm="1">
        <f t="array" ref="C360">IFERROR(_xlfn.XLOOKUP(B360,Locales!$A:$A,Locales!$B:$B,""),"")</f>
        <v/>
      </c>
    </row>
    <row r="361" spans="3:3" x14ac:dyDescent="0.2">
      <c r="C361" t="str" cm="1">
        <f t="array" ref="C361">IFERROR(_xlfn.XLOOKUP(B361,Locales!$A:$A,Locales!$B:$B,""),"")</f>
        <v/>
      </c>
    </row>
    <row r="362" spans="3:3" x14ac:dyDescent="0.2">
      <c r="C362" t="str" cm="1">
        <f t="array" ref="C362">IFERROR(_xlfn.XLOOKUP(B362,Locales!$A:$A,Locales!$B:$B,""),"")</f>
        <v/>
      </c>
    </row>
    <row r="363" spans="3:3" x14ac:dyDescent="0.2">
      <c r="C363" t="str" cm="1">
        <f t="array" ref="C363">IFERROR(_xlfn.XLOOKUP(B363,Locales!$A:$A,Locales!$B:$B,""),"")</f>
        <v/>
      </c>
    </row>
    <row r="364" spans="3:3" x14ac:dyDescent="0.2">
      <c r="C364" t="str" cm="1">
        <f t="array" ref="C364">IFERROR(_xlfn.XLOOKUP(B364,Locales!$A:$A,Locales!$B:$B,""),"")</f>
        <v/>
      </c>
    </row>
    <row r="365" spans="3:3" x14ac:dyDescent="0.2">
      <c r="C365" t="str" cm="1">
        <f t="array" ref="C365">IFERROR(_xlfn.XLOOKUP(B365,Locales!$A:$A,Locales!$B:$B,""),"")</f>
        <v/>
      </c>
    </row>
    <row r="366" spans="3:3" x14ac:dyDescent="0.2">
      <c r="C366" t="str" cm="1">
        <f t="array" ref="C366">IFERROR(_xlfn.XLOOKUP(B366,Locales!$A:$A,Locales!$B:$B,""),"")</f>
        <v/>
      </c>
    </row>
    <row r="367" spans="3:3" x14ac:dyDescent="0.2">
      <c r="C367" t="str" cm="1">
        <f t="array" ref="C367">IFERROR(_xlfn.XLOOKUP(B367,Locales!$A:$A,Locales!$B:$B,""),"")</f>
        <v/>
      </c>
    </row>
    <row r="368" spans="3:3" x14ac:dyDescent="0.2">
      <c r="C368" t="str" cm="1">
        <f t="array" ref="C368">IFERROR(_xlfn.XLOOKUP(B368,Locales!$A:$A,Locales!$B:$B,""),"")</f>
        <v/>
      </c>
    </row>
    <row r="369" spans="3:3" x14ac:dyDescent="0.2">
      <c r="C369" t="str" cm="1">
        <f t="array" ref="C369">IFERROR(_xlfn.XLOOKUP(B369,Locales!$A:$A,Locales!$B:$B,""),"")</f>
        <v/>
      </c>
    </row>
    <row r="370" spans="3:3" x14ac:dyDescent="0.2">
      <c r="C370" t="str" cm="1">
        <f t="array" ref="C370">IFERROR(_xlfn.XLOOKUP(B370,Locales!$A:$A,Locales!$B:$B,""),"")</f>
        <v/>
      </c>
    </row>
    <row r="371" spans="3:3" x14ac:dyDescent="0.2">
      <c r="C371" t="str" cm="1">
        <f t="array" ref="C371">IFERROR(_xlfn.XLOOKUP(B371,Locales!$A:$A,Locales!$B:$B,""),"")</f>
        <v/>
      </c>
    </row>
    <row r="372" spans="3:3" x14ac:dyDescent="0.2">
      <c r="C372" t="str" cm="1">
        <f t="array" ref="C372">IFERROR(_xlfn.XLOOKUP(B372,Locales!$A:$A,Locales!$B:$B,""),"")</f>
        <v/>
      </c>
    </row>
    <row r="373" spans="3:3" x14ac:dyDescent="0.2">
      <c r="C373" t="str" cm="1">
        <f t="array" ref="C373">IFERROR(_xlfn.XLOOKUP(B373,Locales!$A:$A,Locales!$B:$B,""),"")</f>
        <v/>
      </c>
    </row>
    <row r="374" spans="3:3" x14ac:dyDescent="0.2">
      <c r="C374" t="str" cm="1">
        <f t="array" ref="C374">IFERROR(_xlfn.XLOOKUP(B374,Locales!$A:$A,Locales!$B:$B,""),"")</f>
        <v/>
      </c>
    </row>
    <row r="375" spans="3:3" x14ac:dyDescent="0.2">
      <c r="C375" t="str" cm="1">
        <f t="array" ref="C375">IFERROR(_xlfn.XLOOKUP(B375,Locales!$A:$A,Locales!$B:$B,""),"")</f>
        <v/>
      </c>
    </row>
    <row r="376" spans="3:3" x14ac:dyDescent="0.2">
      <c r="C376" t="str" cm="1">
        <f t="array" ref="C376">IFERROR(_xlfn.XLOOKUP(B376,Locales!$A:$A,Locales!$B:$B,""),"")</f>
        <v/>
      </c>
    </row>
    <row r="377" spans="3:3" x14ac:dyDescent="0.2">
      <c r="C377" t="str" cm="1">
        <f t="array" ref="C377">IFERROR(_xlfn.XLOOKUP(B377,Locales!$A:$A,Locales!$B:$B,""),"")</f>
        <v/>
      </c>
    </row>
    <row r="378" spans="3:3" x14ac:dyDescent="0.2">
      <c r="C378" t="str" cm="1">
        <f t="array" ref="C378">IFERROR(_xlfn.XLOOKUP(B378,Locales!$A:$A,Locales!$B:$B,""),"")</f>
        <v/>
      </c>
    </row>
    <row r="379" spans="3:3" x14ac:dyDescent="0.2">
      <c r="C379" t="str" cm="1">
        <f t="array" ref="C379">IFERROR(_xlfn.XLOOKUP(B379,Locales!$A:$A,Locales!$B:$B,""),"")</f>
        <v/>
      </c>
    </row>
    <row r="380" spans="3:3" x14ac:dyDescent="0.2">
      <c r="C380" t="str" cm="1">
        <f t="array" ref="C380">IFERROR(_xlfn.XLOOKUP(B380,Locales!$A:$A,Locales!$B:$B,""),"")</f>
        <v/>
      </c>
    </row>
    <row r="381" spans="3:3" x14ac:dyDescent="0.2">
      <c r="C381" cm="1">
        <f t="array" ref="C381">IFERROR(_xlfn.XLOOKUP(B381,Locales!$A:$A,Locales!$B:$B,""),"")</f>
        <v>0</v>
      </c>
    </row>
    <row r="382" spans="3:3" x14ac:dyDescent="0.2">
      <c r="C382" t="str" cm="1">
        <f t="array" ref="C382">IFERROR(_xlfn.XLOOKUP(B382,Locales!$A:$A,Locales!$B:$B,""),"")</f>
        <v/>
      </c>
    </row>
    <row r="383" spans="3:3" x14ac:dyDescent="0.2">
      <c r="C383" t="str" cm="1">
        <f t="array" ref="C383">IFERROR(_xlfn.XLOOKUP(B383,Locales!$A:$A,Locales!$B:$B,""),"")</f>
        <v/>
      </c>
    </row>
    <row r="384" spans="3:3" x14ac:dyDescent="0.2">
      <c r="C384" t="str" cm="1">
        <f t="array" ref="C384">IFERROR(_xlfn.XLOOKUP(B384,Locales!$A:$A,Locales!$B:$B,""),"")</f>
        <v/>
      </c>
    </row>
    <row r="385" spans="3:3" x14ac:dyDescent="0.2">
      <c r="C385" t="str" cm="1">
        <f t="array" ref="C385">IFERROR(_xlfn.XLOOKUP(B385,Locales!$A:$A,Locales!$B:$B,""),"")</f>
        <v/>
      </c>
    </row>
    <row r="386" spans="3:3" x14ac:dyDescent="0.2">
      <c r="C386" t="str" cm="1">
        <f t="array" ref="C386">IFERROR(_xlfn.XLOOKUP(B386,Locales!$A:$A,Locales!$B:$B,""),"")</f>
        <v/>
      </c>
    </row>
    <row r="387" spans="3:3" x14ac:dyDescent="0.2">
      <c r="C387" t="str" cm="1">
        <f t="array" ref="C387">IFERROR(_xlfn.XLOOKUP(B387,Locales!$A:$A,Locales!$B:$B,""),"")</f>
        <v/>
      </c>
    </row>
    <row r="388" spans="3:3" x14ac:dyDescent="0.2">
      <c r="C388" t="str" cm="1">
        <f t="array" ref="C388">IFERROR(_xlfn.XLOOKUP(B388,Locales!$A:$A,Locales!$B:$B,""),"")</f>
        <v/>
      </c>
    </row>
    <row r="389" spans="3:3" x14ac:dyDescent="0.2">
      <c r="C389" cm="1">
        <f t="array" ref="C389">IFERROR(_xlfn.XLOOKUP(B389,Locales!$A:$A,Locales!$B:$B,""),"")</f>
        <v>0</v>
      </c>
    </row>
    <row r="390" spans="3:3" x14ac:dyDescent="0.2">
      <c r="C390" t="str" cm="1">
        <f t="array" ref="C390">IFERROR(_xlfn.XLOOKUP(B390,Locales!$A:$A,Locales!$B:$B,""),"")</f>
        <v/>
      </c>
    </row>
    <row r="391" spans="3:3" x14ac:dyDescent="0.2">
      <c r="C391" t="str" cm="1">
        <f t="array" ref="C391">IFERROR(_xlfn.XLOOKUP(B391,Locales!$A:$A,Locales!$B:$B,""),"")</f>
        <v/>
      </c>
    </row>
    <row r="392" spans="3:3" x14ac:dyDescent="0.2">
      <c r="C392" t="str" cm="1">
        <f t="array" ref="C392">IFERROR(_xlfn.XLOOKUP(B392,Locales!$A:$A,Locales!$B:$B,""),"")</f>
        <v/>
      </c>
    </row>
    <row r="393" spans="3:3" x14ac:dyDescent="0.2">
      <c r="C393" t="str" cm="1">
        <f t="array" ref="C393">IFERROR(_xlfn.XLOOKUP(B393,Locales!$A:$A,Locales!$B:$B,""),"")</f>
        <v/>
      </c>
    </row>
    <row r="394" spans="3:3" x14ac:dyDescent="0.2">
      <c r="C394" t="str" cm="1">
        <f t="array" ref="C394">IFERROR(_xlfn.XLOOKUP(B394,Locales!$A:$A,Locales!$B:$B,""),"")</f>
        <v/>
      </c>
    </row>
    <row r="395" spans="3:3" x14ac:dyDescent="0.2">
      <c r="C395" t="str" cm="1">
        <f t="array" ref="C395">IFERROR(_xlfn.XLOOKUP(B395,Locales!$A:$A,Locales!$B:$B,""),"")</f>
        <v/>
      </c>
    </row>
    <row r="396" spans="3:3" x14ac:dyDescent="0.2">
      <c r="C396" t="str" cm="1">
        <f t="array" ref="C396">IFERROR(_xlfn.XLOOKUP(B396,Locales!$A:$A,Locales!$B:$B,""),"")</f>
        <v/>
      </c>
    </row>
    <row r="397" spans="3:3" x14ac:dyDescent="0.2">
      <c r="C397" t="str" cm="1">
        <f t="array" ref="C397">IFERROR(_xlfn.XLOOKUP(B397,Locales!$A:$A,Locales!$B:$B,""),"")</f>
        <v/>
      </c>
    </row>
    <row r="398" spans="3:3" x14ac:dyDescent="0.2">
      <c r="C398" t="str" cm="1">
        <f t="array" ref="C398">IFERROR(_xlfn.XLOOKUP(B398,Locales!$A:$A,Locales!$B:$B,""),"")</f>
        <v/>
      </c>
    </row>
    <row r="399" spans="3:3" x14ac:dyDescent="0.2">
      <c r="C399" t="str" cm="1">
        <f t="array" ref="C399">IFERROR(_xlfn.XLOOKUP(B399,Locales!$A:$A,Locales!$B:$B,""),"")</f>
        <v/>
      </c>
    </row>
    <row r="400" spans="3:3" x14ac:dyDescent="0.2">
      <c r="C400" t="str" cm="1">
        <f t="array" ref="C400">IFERROR(_xlfn.XLOOKUP(B400,Locales!$A:$A,Locales!$B:$B,""),"")</f>
        <v/>
      </c>
    </row>
    <row r="401" spans="3:3" x14ac:dyDescent="0.2">
      <c r="C401" t="str" cm="1">
        <f t="array" ref="C401">IFERROR(_xlfn.XLOOKUP(B401,Locales!$A:$A,Locales!$B:$B,""),"")</f>
        <v/>
      </c>
    </row>
    <row r="402" spans="3:3" x14ac:dyDescent="0.2">
      <c r="C402" t="str" cm="1">
        <f t="array" ref="C402">IFERROR(_xlfn.XLOOKUP(B402,Locales!$A:$A,Locales!$B:$B,""),"")</f>
        <v/>
      </c>
    </row>
    <row r="403" spans="3:3" x14ac:dyDescent="0.2">
      <c r="C403" t="str" cm="1">
        <f t="array" ref="C403">IFERROR(_xlfn.XLOOKUP(B403,Locales!$A:$A,Locales!$B:$B,""),"")</f>
        <v/>
      </c>
    </row>
    <row r="404" spans="3:3" x14ac:dyDescent="0.2">
      <c r="C404" t="str" cm="1">
        <f t="array" ref="C404">IFERROR(_xlfn.XLOOKUP(B404,Locales!$A:$A,Locales!$B:$B,""),"")</f>
        <v/>
      </c>
    </row>
    <row r="405" spans="3:3" x14ac:dyDescent="0.2">
      <c r="C405" t="str" cm="1">
        <f t="array" ref="C405">IFERROR(_xlfn.XLOOKUP(B405,Locales!$A:$A,Locales!$B:$B,""),"")</f>
        <v/>
      </c>
    </row>
    <row r="406" spans="3:3" x14ac:dyDescent="0.2">
      <c r="C406" t="str" cm="1">
        <f t="array" ref="C406">IFERROR(_xlfn.XLOOKUP(B406,Locales!$A:$A,Locales!$B:$B,""),"")</f>
        <v/>
      </c>
    </row>
    <row r="407" spans="3:3" x14ac:dyDescent="0.2">
      <c r="C407" t="str" cm="1">
        <f t="array" ref="C407">IFERROR(_xlfn.XLOOKUP(B407,Locales!$A:$A,Locales!$B:$B,""),"")</f>
        <v/>
      </c>
    </row>
    <row r="408" spans="3:3" x14ac:dyDescent="0.2">
      <c r="C408" t="str" cm="1">
        <f t="array" ref="C408">IFERROR(_xlfn.XLOOKUP(B408,Locales!$A:$A,Locales!$B:$B,""),"")</f>
        <v/>
      </c>
    </row>
    <row r="409" spans="3:3" x14ac:dyDescent="0.2">
      <c r="C409" t="str" cm="1">
        <f t="array" ref="C409">IFERROR(_xlfn.XLOOKUP(B409,Locales!$A:$A,Locales!$B:$B,""),"")</f>
        <v/>
      </c>
    </row>
    <row r="410" spans="3:3" x14ac:dyDescent="0.2">
      <c r="C410" t="str" cm="1">
        <f t="array" ref="C410">IFERROR(_xlfn.XLOOKUP(B410,Locales!$A:$A,Locales!$B:$B,""),"")</f>
        <v/>
      </c>
    </row>
    <row r="411" spans="3:3" x14ac:dyDescent="0.2">
      <c r="C411" t="str" cm="1">
        <f t="array" ref="C411">IFERROR(_xlfn.XLOOKUP(B411,Locales!$A:$A,Locales!$B:$B,""),"")</f>
        <v/>
      </c>
    </row>
    <row r="412" spans="3:3" x14ac:dyDescent="0.2">
      <c r="C412" t="str" cm="1">
        <f t="array" ref="C412">IFERROR(_xlfn.XLOOKUP(B412,Locales!$A:$A,Locales!$B:$B,""),"")</f>
        <v/>
      </c>
    </row>
    <row r="413" spans="3:3" x14ac:dyDescent="0.2">
      <c r="C413" cm="1">
        <f t="array" ref="C413">IFERROR(_xlfn.XLOOKUP(B413,Locales!$A:$A,Locales!$B:$B,""),"")</f>
        <v>0</v>
      </c>
    </row>
    <row r="414" spans="3:3" x14ac:dyDescent="0.2">
      <c r="C414" t="str" cm="1">
        <f t="array" ref="C414">IFERROR(_xlfn.XLOOKUP(B414,Locales!$A:$A,Locales!$B:$B,""),"")</f>
        <v/>
      </c>
    </row>
    <row r="415" spans="3:3" x14ac:dyDescent="0.2">
      <c r="C415" t="str" cm="1">
        <f t="array" ref="C415">IFERROR(_xlfn.XLOOKUP(B415,Locales!$A:$A,Locales!$B:$B,""),"")</f>
        <v/>
      </c>
    </row>
    <row r="416" spans="3:3" x14ac:dyDescent="0.2">
      <c r="C416" t="str" cm="1">
        <f t="array" ref="C416">IFERROR(_xlfn.XLOOKUP(B416,Locales!$A:$A,Locales!$B:$B,""),"")</f>
        <v/>
      </c>
    </row>
    <row r="417" spans="3:3" x14ac:dyDescent="0.2">
      <c r="C417" t="str" cm="1">
        <f t="array" ref="C417">IFERROR(_xlfn.XLOOKUP(B417,Locales!$A:$A,Locales!$B:$B,""),"")</f>
        <v/>
      </c>
    </row>
    <row r="418" spans="3:3" x14ac:dyDescent="0.2">
      <c r="C418" t="str" cm="1">
        <f t="array" ref="C418">IFERROR(_xlfn.XLOOKUP(B418,Locales!$A:$A,Locales!$B:$B,""),"")</f>
        <v/>
      </c>
    </row>
    <row r="419" spans="3:3" x14ac:dyDescent="0.2">
      <c r="C419" t="str" cm="1">
        <f t="array" ref="C419">IFERROR(_xlfn.XLOOKUP(B419,Locales!$A:$A,Locales!$B:$B,""),"")</f>
        <v/>
      </c>
    </row>
    <row r="420" spans="3:3" x14ac:dyDescent="0.2">
      <c r="C420" t="str" cm="1">
        <f t="array" ref="C420">IFERROR(_xlfn.XLOOKUP(B420,Locales!$A:$A,Locales!$B:$B,""),"")</f>
        <v/>
      </c>
    </row>
    <row r="421" spans="3:3" x14ac:dyDescent="0.2">
      <c r="C421" t="str" cm="1">
        <f t="array" ref="C421">IFERROR(_xlfn.XLOOKUP(B421,Locales!$A:$A,Locales!$B:$B,""),"")</f>
        <v/>
      </c>
    </row>
    <row r="422" spans="3:3" x14ac:dyDescent="0.2">
      <c r="C422" t="str" cm="1">
        <f t="array" ref="C422">IFERROR(_xlfn.XLOOKUP(B422,Locales!$A:$A,Locales!$B:$B,""),"")</f>
        <v/>
      </c>
    </row>
    <row r="423" spans="3:3" x14ac:dyDescent="0.2">
      <c r="C423" t="str" cm="1">
        <f t="array" ref="C423">IFERROR(_xlfn.XLOOKUP(B423,Locales!$A:$A,Locales!$B:$B,""),"")</f>
        <v/>
      </c>
    </row>
    <row r="424" spans="3:3" x14ac:dyDescent="0.2">
      <c r="C424" t="str" cm="1">
        <f t="array" ref="C424">IFERROR(_xlfn.XLOOKUP(B424,Locales!$A:$A,Locales!$B:$B,""),"")</f>
        <v/>
      </c>
    </row>
    <row r="425" spans="3:3" x14ac:dyDescent="0.2">
      <c r="C425" t="str" cm="1">
        <f t="array" ref="C425">IFERROR(_xlfn.XLOOKUP(B425,Locales!$A:$A,Locales!$B:$B,""),"")</f>
        <v/>
      </c>
    </row>
    <row r="426" spans="3:3" x14ac:dyDescent="0.2">
      <c r="C426" t="str" cm="1">
        <f t="array" ref="C426">IFERROR(_xlfn.XLOOKUP(B426,Locales!$A:$A,Locales!$B:$B,""),"")</f>
        <v/>
      </c>
    </row>
    <row r="427" spans="3:3" x14ac:dyDescent="0.2">
      <c r="C427" t="str" cm="1">
        <f t="array" ref="C427">IFERROR(_xlfn.XLOOKUP(B427,Locales!$A:$A,Locales!$B:$B,""),"")</f>
        <v/>
      </c>
    </row>
    <row r="428" spans="3:3" x14ac:dyDescent="0.2">
      <c r="C428" t="str" cm="1">
        <f t="array" ref="C428">IFERROR(_xlfn.XLOOKUP(B428,Locales!$A:$A,Locales!$B:$B,""),"")</f>
        <v/>
      </c>
    </row>
    <row r="429" spans="3:3" x14ac:dyDescent="0.2">
      <c r="C429" t="str" cm="1">
        <f t="array" ref="C429">IFERROR(_xlfn.XLOOKUP(B429,Locales!$A:$A,Locales!$B:$B,""),"")</f>
        <v/>
      </c>
    </row>
    <row r="430" spans="3:3" x14ac:dyDescent="0.2">
      <c r="C430" t="str" cm="1">
        <f t="array" ref="C430">IFERROR(_xlfn.XLOOKUP(B430,Locales!$A:$A,Locales!$B:$B,""),"")</f>
        <v/>
      </c>
    </row>
    <row r="431" spans="3:3" x14ac:dyDescent="0.2">
      <c r="C431" t="str" cm="1">
        <f t="array" ref="C431">IFERROR(_xlfn.XLOOKUP(B431,Locales!$A:$A,Locales!$B:$B,""),"")</f>
        <v/>
      </c>
    </row>
    <row r="432" spans="3:3" x14ac:dyDescent="0.2">
      <c r="C432" t="str" cm="1">
        <f t="array" ref="C432">IFERROR(_xlfn.XLOOKUP(B432,Locales!$A:$A,Locales!$B:$B,""),"")</f>
        <v/>
      </c>
    </row>
    <row r="433" spans="3:3" x14ac:dyDescent="0.2">
      <c r="C433" t="str" cm="1">
        <f t="array" ref="C433">IFERROR(_xlfn.XLOOKUP(B433,Locales!$A:$A,Locales!$B:$B,""),"")</f>
        <v/>
      </c>
    </row>
    <row r="434" spans="3:3" x14ac:dyDescent="0.2">
      <c r="C434" t="str" cm="1">
        <f t="array" ref="C434">IFERROR(_xlfn.XLOOKUP(B434,Locales!$A:$A,Locales!$B:$B,""),"")</f>
        <v/>
      </c>
    </row>
    <row r="435" spans="3:3" x14ac:dyDescent="0.2">
      <c r="C435" t="str" cm="1">
        <f t="array" ref="C435">IFERROR(_xlfn.XLOOKUP(B435,Locales!$A:$A,Locales!$B:$B,""),"")</f>
        <v/>
      </c>
    </row>
    <row r="436" spans="3:3" x14ac:dyDescent="0.2">
      <c r="C436" t="str" cm="1">
        <f t="array" ref="C436">IFERROR(_xlfn.XLOOKUP(B436,Locales!$A:$A,Locales!$B:$B,""),"")</f>
        <v/>
      </c>
    </row>
    <row r="437" spans="3:3" x14ac:dyDescent="0.2">
      <c r="C437" cm="1">
        <f t="array" ref="C437">IFERROR(_xlfn.XLOOKUP(B437,Locales!$A:$A,Locales!$B:$B,""),"")</f>
        <v>0</v>
      </c>
    </row>
    <row r="438" spans="3:3" x14ac:dyDescent="0.2">
      <c r="C438" t="str" cm="1">
        <f t="array" ref="C438">IFERROR(_xlfn.XLOOKUP(B438,Locales!$A:$A,Locales!$B:$B,""),"")</f>
        <v/>
      </c>
    </row>
    <row r="439" spans="3:3" x14ac:dyDescent="0.2">
      <c r="C439" t="str" cm="1">
        <f t="array" ref="C439">IFERROR(_xlfn.XLOOKUP(B439,Locales!$A:$A,Locales!$B:$B,""),"")</f>
        <v/>
      </c>
    </row>
    <row r="440" spans="3:3" x14ac:dyDescent="0.2">
      <c r="C440" t="str" cm="1">
        <f t="array" ref="C440">IFERROR(_xlfn.XLOOKUP(B440,Locales!$A:$A,Locales!$B:$B,""),"")</f>
        <v/>
      </c>
    </row>
    <row r="441" spans="3:3" x14ac:dyDescent="0.2">
      <c r="C441" t="str" cm="1">
        <f t="array" ref="C441">IFERROR(_xlfn.XLOOKUP(B441,Locales!$A:$A,Locales!$B:$B,""),"")</f>
        <v/>
      </c>
    </row>
    <row r="442" spans="3:3" x14ac:dyDescent="0.2">
      <c r="C442" t="str" cm="1">
        <f t="array" ref="C442">IFERROR(_xlfn.XLOOKUP(B442,Locales!$A:$A,Locales!$B:$B,""),"")</f>
        <v/>
      </c>
    </row>
    <row r="443" spans="3:3" x14ac:dyDescent="0.2">
      <c r="C443" t="str" cm="1">
        <f t="array" ref="C443">IFERROR(_xlfn.XLOOKUP(B443,Locales!$A:$A,Locales!$B:$B,""),"")</f>
        <v/>
      </c>
    </row>
    <row r="444" spans="3:3" x14ac:dyDescent="0.2">
      <c r="C444" t="str" cm="1">
        <f t="array" ref="C444">IFERROR(_xlfn.XLOOKUP(B444,Locales!$A:$A,Locales!$B:$B,""),"")</f>
        <v/>
      </c>
    </row>
    <row r="445" spans="3:3" x14ac:dyDescent="0.2">
      <c r="C445" t="str" cm="1">
        <f t="array" ref="C445">IFERROR(_xlfn.XLOOKUP(B445,Locales!$A:$A,Locales!$B:$B,""),"")</f>
        <v/>
      </c>
    </row>
    <row r="446" spans="3:3" x14ac:dyDescent="0.2">
      <c r="C446" t="str" cm="1">
        <f t="array" ref="C446">IFERROR(_xlfn.XLOOKUP(B446,Locales!$A:$A,Locales!$B:$B,""),"")</f>
        <v/>
      </c>
    </row>
    <row r="447" spans="3:3" x14ac:dyDescent="0.2">
      <c r="C447" t="str" cm="1">
        <f t="array" ref="C447">IFERROR(_xlfn.XLOOKUP(B447,Locales!$A:$A,Locales!$B:$B,""),"")</f>
        <v/>
      </c>
    </row>
    <row r="448" spans="3:3" x14ac:dyDescent="0.2">
      <c r="C448" t="str" cm="1">
        <f t="array" ref="C448">IFERROR(_xlfn.XLOOKUP(B448,Locales!$A:$A,Locales!$B:$B,""),"")</f>
        <v/>
      </c>
    </row>
    <row r="449" spans="3:3" x14ac:dyDescent="0.2">
      <c r="C449" t="str" cm="1">
        <f t="array" ref="C449">IFERROR(_xlfn.XLOOKUP(B449,Locales!$A:$A,Locales!$B:$B,""),"")</f>
        <v/>
      </c>
    </row>
    <row r="450" spans="3:3" x14ac:dyDescent="0.2">
      <c r="C450" t="str" cm="1">
        <f t="array" ref="C450">IFERROR(_xlfn.XLOOKUP(B450,Locales!$A:$A,Locales!$B:$B,""),"")</f>
        <v/>
      </c>
    </row>
    <row r="451" spans="3:3" x14ac:dyDescent="0.2">
      <c r="C451" t="str" cm="1">
        <f t="array" ref="C451">IFERROR(_xlfn.XLOOKUP(B451,Locales!$A:$A,Locales!$B:$B,""),"")</f>
        <v/>
      </c>
    </row>
    <row r="452" spans="3:3" x14ac:dyDescent="0.2">
      <c r="C452" t="str" cm="1">
        <f t="array" ref="C452">IFERROR(_xlfn.XLOOKUP(B452,Locales!$A:$A,Locales!$B:$B,""),"")</f>
        <v/>
      </c>
    </row>
    <row r="453" spans="3:3" x14ac:dyDescent="0.2">
      <c r="C453" t="str" cm="1">
        <f t="array" ref="C453">IFERROR(_xlfn.XLOOKUP(B453,Locales!$A:$A,Locales!$B:$B,""),"")</f>
        <v/>
      </c>
    </row>
    <row r="454" spans="3:3" x14ac:dyDescent="0.2">
      <c r="C454" t="str" cm="1">
        <f t="array" ref="C454">IFERROR(_xlfn.XLOOKUP(B454,Locales!$A:$A,Locales!$B:$B,""),"")</f>
        <v/>
      </c>
    </row>
    <row r="455" spans="3:3" x14ac:dyDescent="0.2">
      <c r="C455" t="str" cm="1">
        <f t="array" ref="C455">IFERROR(_xlfn.XLOOKUP(B455,Locales!$A:$A,Locales!$B:$B,""),"")</f>
        <v/>
      </c>
    </row>
    <row r="456" spans="3:3" x14ac:dyDescent="0.2">
      <c r="C456" t="str" cm="1">
        <f t="array" ref="C456">IFERROR(_xlfn.XLOOKUP(B456,Locales!$A:$A,Locales!$B:$B,""),"")</f>
        <v/>
      </c>
    </row>
    <row r="457" spans="3:3" x14ac:dyDescent="0.2">
      <c r="C457" t="str" cm="1">
        <f t="array" ref="C457">IFERROR(_xlfn.XLOOKUP(B457,Locales!$A:$A,Locales!$B:$B,""),"")</f>
        <v/>
      </c>
    </row>
    <row r="458" spans="3:3" x14ac:dyDescent="0.2">
      <c r="C458" t="str" cm="1">
        <f t="array" ref="C458">IFERROR(_xlfn.XLOOKUP(B458,Locales!$A:$A,Locales!$B:$B,""),"")</f>
        <v/>
      </c>
    </row>
    <row r="459" spans="3:3" x14ac:dyDescent="0.2">
      <c r="C459" t="str" cm="1">
        <f t="array" ref="C459">IFERROR(_xlfn.XLOOKUP(B459,Locales!$A:$A,Locales!$B:$B,""),"")</f>
        <v/>
      </c>
    </row>
    <row r="460" spans="3:3" x14ac:dyDescent="0.2">
      <c r="C460" t="str" cm="1">
        <f t="array" ref="C460">IFERROR(_xlfn.XLOOKUP(B460,Locales!$A:$A,Locales!$B:$B,""),"")</f>
        <v/>
      </c>
    </row>
    <row r="461" spans="3:3" x14ac:dyDescent="0.2">
      <c r="C461" cm="1">
        <f t="array" ref="C461">IFERROR(_xlfn.XLOOKUP(B461,Locales!$A:$A,Locales!$B:$B,""),"")</f>
        <v>0</v>
      </c>
    </row>
    <row r="462" spans="3:3" x14ac:dyDescent="0.2">
      <c r="C462" t="str" cm="1">
        <f t="array" ref="C462">IFERROR(_xlfn.XLOOKUP(B462,Locales!$A:$A,Locales!$B:$B,""),"")</f>
        <v/>
      </c>
    </row>
    <row r="463" spans="3:3" x14ac:dyDescent="0.2">
      <c r="C463" t="str" cm="1">
        <f t="array" ref="C463">IFERROR(_xlfn.XLOOKUP(B463,Locales!$A:$A,Locales!$B:$B,""),"")</f>
        <v/>
      </c>
    </row>
    <row r="464" spans="3:3" x14ac:dyDescent="0.2">
      <c r="C464" t="str" cm="1">
        <f t="array" ref="C464">IFERROR(_xlfn.XLOOKUP(B464,Locales!$A:$A,Locales!$B:$B,""),"")</f>
        <v/>
      </c>
    </row>
    <row r="465" spans="3:3" x14ac:dyDescent="0.2">
      <c r="C465" t="str" cm="1">
        <f t="array" ref="C465">IFERROR(_xlfn.XLOOKUP(B465,Locales!$A:$A,Locales!$B:$B,""),"")</f>
        <v/>
      </c>
    </row>
    <row r="466" spans="3:3" x14ac:dyDescent="0.2">
      <c r="C466" t="str" cm="1">
        <f t="array" ref="C466">IFERROR(_xlfn.XLOOKUP(B466,Locales!$A:$A,Locales!$B:$B,""),"")</f>
        <v/>
      </c>
    </row>
    <row r="467" spans="3:3" x14ac:dyDescent="0.2">
      <c r="C467" t="str" cm="1">
        <f t="array" ref="C467">IFERROR(_xlfn.XLOOKUP(B467,Locales!$A:$A,Locales!$B:$B,""),"")</f>
        <v/>
      </c>
    </row>
    <row r="468" spans="3:3" x14ac:dyDescent="0.2">
      <c r="C468" t="str" cm="1">
        <f t="array" ref="C468">IFERROR(_xlfn.XLOOKUP(B468,Locales!$A:$A,Locales!$B:$B,""),"")</f>
        <v/>
      </c>
    </row>
    <row r="469" spans="3:3" x14ac:dyDescent="0.2">
      <c r="C469" cm="1">
        <f t="array" ref="C469">IFERROR(_xlfn.XLOOKUP(B469,Locales!$A:$A,Locales!$B:$B,""),"")</f>
        <v>0</v>
      </c>
    </row>
    <row r="470" spans="3:3" x14ac:dyDescent="0.2">
      <c r="C470" t="str" cm="1">
        <f t="array" ref="C470">IFERROR(_xlfn.XLOOKUP(B470,Locales!$A:$A,Locales!$B:$B,""),"")</f>
        <v/>
      </c>
    </row>
    <row r="471" spans="3:3" x14ac:dyDescent="0.2">
      <c r="C471" t="str" cm="1">
        <f t="array" ref="C471">IFERROR(_xlfn.XLOOKUP(B471,Locales!$A:$A,Locales!$B:$B,""),"")</f>
        <v/>
      </c>
    </row>
    <row r="472" spans="3:3" x14ac:dyDescent="0.2">
      <c r="C472" t="str" cm="1">
        <f t="array" ref="C472">IFERROR(_xlfn.XLOOKUP(B472,Locales!$A:$A,Locales!$B:$B,""),"")</f>
        <v/>
      </c>
    </row>
    <row r="473" spans="3:3" x14ac:dyDescent="0.2">
      <c r="C473" t="str" cm="1">
        <f t="array" ref="C473">IFERROR(_xlfn.XLOOKUP(B473,Locales!$A:$A,Locales!$B:$B,""),"")</f>
        <v/>
      </c>
    </row>
    <row r="474" spans="3:3" x14ac:dyDescent="0.2">
      <c r="C474" t="str" cm="1">
        <f t="array" ref="C474">IFERROR(_xlfn.XLOOKUP(B474,Locales!$A:$A,Locales!$B:$B,""),"")</f>
        <v/>
      </c>
    </row>
    <row r="475" spans="3:3" x14ac:dyDescent="0.2">
      <c r="C475" t="str" cm="1">
        <f t="array" ref="C475">IFERROR(_xlfn.XLOOKUP(B475,Locales!$A:$A,Locales!$B:$B,""),"")</f>
        <v/>
      </c>
    </row>
    <row r="476" spans="3:3" x14ac:dyDescent="0.2">
      <c r="C476" t="str" cm="1">
        <f t="array" ref="C476">IFERROR(_xlfn.XLOOKUP(B476,Locales!$A:$A,Locales!$B:$B,""),"")</f>
        <v/>
      </c>
    </row>
    <row r="477" spans="3:3" x14ac:dyDescent="0.2">
      <c r="C477" t="str" cm="1">
        <f t="array" ref="C477">IFERROR(_xlfn.XLOOKUP(B477,Locales!$A:$A,Locales!$B:$B,""),"")</f>
        <v/>
      </c>
    </row>
    <row r="478" spans="3:3" x14ac:dyDescent="0.2">
      <c r="C478" t="str" cm="1">
        <f t="array" ref="C478">IFERROR(_xlfn.XLOOKUP(B478,Locales!$A:$A,Locales!$B:$B,""),"")</f>
        <v/>
      </c>
    </row>
    <row r="479" spans="3:3" x14ac:dyDescent="0.2">
      <c r="C479" t="str" cm="1">
        <f t="array" ref="C479">IFERROR(_xlfn.XLOOKUP(B479,Locales!$A:$A,Locales!$B:$B,""),"")</f>
        <v/>
      </c>
    </row>
    <row r="480" spans="3:3" x14ac:dyDescent="0.2">
      <c r="C480" t="str" cm="1">
        <f t="array" ref="C480">IFERROR(_xlfn.XLOOKUP(B480,Locales!$A:$A,Locales!$B:$B,""),"")</f>
        <v/>
      </c>
    </row>
    <row r="481" spans="3:3" x14ac:dyDescent="0.2">
      <c r="C481" t="str" cm="1">
        <f t="array" ref="C481">IFERROR(_xlfn.XLOOKUP(B481,Locales!$A:$A,Locales!$B:$B,""),"")</f>
        <v/>
      </c>
    </row>
    <row r="482" spans="3:3" x14ac:dyDescent="0.2">
      <c r="C482" t="str" cm="1">
        <f t="array" ref="C482">IFERROR(_xlfn.XLOOKUP(B482,Locales!$A:$A,Locales!$B:$B,""),"")</f>
        <v/>
      </c>
    </row>
    <row r="483" spans="3:3" x14ac:dyDescent="0.2">
      <c r="C483" t="str" cm="1">
        <f t="array" ref="C483">IFERROR(_xlfn.XLOOKUP(B483,Locales!$A:$A,Locales!$B:$B,""),"")</f>
        <v/>
      </c>
    </row>
    <row r="484" spans="3:3" x14ac:dyDescent="0.2">
      <c r="C484" t="str" cm="1">
        <f t="array" ref="C484">IFERROR(_xlfn.XLOOKUP(B484,Locales!$A:$A,Locales!$B:$B,""),"")</f>
        <v/>
      </c>
    </row>
    <row r="485" spans="3:3" x14ac:dyDescent="0.2">
      <c r="C485" t="str" cm="1">
        <f t="array" ref="C485">IFERROR(_xlfn.XLOOKUP(B485,Locales!$A:$A,Locales!$B:$B,""),"")</f>
        <v/>
      </c>
    </row>
    <row r="486" spans="3:3" x14ac:dyDescent="0.2">
      <c r="C486" t="str" cm="1">
        <f t="array" ref="C486">IFERROR(_xlfn.XLOOKUP(B486,Locales!$A:$A,Locales!$B:$B,""),"")</f>
        <v/>
      </c>
    </row>
    <row r="487" spans="3:3" x14ac:dyDescent="0.2">
      <c r="C487" t="str" cm="1">
        <f t="array" ref="C487">IFERROR(_xlfn.XLOOKUP(B487,Locales!$A:$A,Locales!$B:$B,""),"")</f>
        <v/>
      </c>
    </row>
    <row r="488" spans="3:3" x14ac:dyDescent="0.2">
      <c r="C488" t="str" cm="1">
        <f t="array" ref="C488">IFERROR(_xlfn.XLOOKUP(B488,Locales!$A:$A,Locales!$B:$B,""),"")</f>
        <v/>
      </c>
    </row>
    <row r="489" spans="3:3" x14ac:dyDescent="0.2">
      <c r="C489" t="str" cm="1">
        <f t="array" ref="C489">IFERROR(_xlfn.XLOOKUP(B489,Locales!$A:$A,Locales!$B:$B,""),"")</f>
        <v/>
      </c>
    </row>
    <row r="490" spans="3:3" x14ac:dyDescent="0.2">
      <c r="C490" t="str" cm="1">
        <f t="array" ref="C490">IFERROR(_xlfn.XLOOKUP(B490,Locales!$A:$A,Locales!$B:$B,""),"")</f>
        <v/>
      </c>
    </row>
    <row r="491" spans="3:3" x14ac:dyDescent="0.2">
      <c r="C491" t="str" cm="1">
        <f t="array" ref="C491">IFERROR(_xlfn.XLOOKUP(B491,Locales!$A:$A,Locales!$B:$B,""),"")</f>
        <v/>
      </c>
    </row>
    <row r="492" spans="3:3" x14ac:dyDescent="0.2">
      <c r="C492" t="str" cm="1">
        <f t="array" ref="C492">IFERROR(_xlfn.XLOOKUP(B492,Locales!$A:$A,Locales!$B:$B,""),"")</f>
        <v/>
      </c>
    </row>
    <row r="493" spans="3:3" x14ac:dyDescent="0.2">
      <c r="C493" cm="1">
        <f t="array" ref="C493">IFERROR(_xlfn.XLOOKUP(B493,Locales!$A:$A,Locales!$B:$B,""),"")</f>
        <v>0</v>
      </c>
    </row>
    <row r="494" spans="3:3" x14ac:dyDescent="0.2">
      <c r="C494" t="str" cm="1">
        <f t="array" ref="C494">IFERROR(_xlfn.XLOOKUP(B494,Locales!$A:$A,Locales!$B:$B,""),"")</f>
        <v/>
      </c>
    </row>
    <row r="495" spans="3:3" x14ac:dyDescent="0.2">
      <c r="C495" t="str" cm="1">
        <f t="array" ref="C495">IFERROR(_xlfn.XLOOKUP(B495,Locales!$A:$A,Locales!$B:$B,""),"")</f>
        <v/>
      </c>
    </row>
    <row r="496" spans="3:3" x14ac:dyDescent="0.2">
      <c r="C496" t="str" cm="1">
        <f t="array" ref="C496">IFERROR(_xlfn.XLOOKUP(B496,Locales!$A:$A,Locales!$B:$B,""),"")</f>
        <v/>
      </c>
    </row>
    <row r="497" spans="3:3" x14ac:dyDescent="0.2">
      <c r="C497" t="str" cm="1">
        <f t="array" ref="C497">IFERROR(_xlfn.XLOOKUP(B497,Locales!$A:$A,Locales!$B:$B,""),"")</f>
        <v/>
      </c>
    </row>
    <row r="498" spans="3:3" x14ac:dyDescent="0.2">
      <c r="C498" t="str" cm="1">
        <f t="array" ref="C498">IFERROR(_xlfn.XLOOKUP(B498,Locales!$A:$A,Locales!$B:$B,""),"")</f>
        <v/>
      </c>
    </row>
    <row r="499" spans="3:3" x14ac:dyDescent="0.2">
      <c r="C499" t="str" cm="1">
        <f t="array" ref="C499">IFERROR(_xlfn.XLOOKUP(B499,Locales!$A:$A,Locales!$B:$B,""),"")</f>
        <v/>
      </c>
    </row>
    <row r="500" spans="3:3" x14ac:dyDescent="0.2">
      <c r="C500" t="str" cm="1">
        <f t="array" ref="C500">IFERROR(_xlfn.XLOOKUP(B500,Locales!$A:$A,Locales!$B:$B,""),"")</f>
        <v/>
      </c>
    </row>
    <row r="501" spans="3:3" x14ac:dyDescent="0.2">
      <c r="C501" t="str" cm="1">
        <f t="array" ref="C501">IFERROR(_xlfn.XLOOKUP(B501,Locales!$A:$A,Locales!$B:$B,""),"")</f>
        <v/>
      </c>
    </row>
    <row r="502" spans="3:3" x14ac:dyDescent="0.2">
      <c r="C502" t="str" cm="1">
        <f t="array" ref="C502">IFERROR(_xlfn.XLOOKUP(B502,Locales!$A:$A,Locales!$B:$B,""),"")</f>
        <v/>
      </c>
    </row>
    <row r="503" spans="3:3" x14ac:dyDescent="0.2">
      <c r="C503" t="str" cm="1">
        <f t="array" ref="C503">IFERROR(_xlfn.XLOOKUP(B503,Locales!$A:$A,Locales!$B:$B,""),"")</f>
        <v/>
      </c>
    </row>
    <row r="504" spans="3:3" x14ac:dyDescent="0.2">
      <c r="C504" t="str" cm="1">
        <f t="array" ref="C504">IFERROR(_xlfn.XLOOKUP(B504,Locales!$A:$A,Locales!$B:$B,""),"")</f>
        <v/>
      </c>
    </row>
    <row r="505" spans="3:3" x14ac:dyDescent="0.2">
      <c r="C505" t="str" cm="1">
        <f t="array" ref="C505">IFERROR(_xlfn.XLOOKUP(B505,Locales!$A:$A,Locales!$B:$B,""),"")</f>
        <v/>
      </c>
    </row>
    <row r="506" spans="3:3" x14ac:dyDescent="0.2">
      <c r="C506" t="str" cm="1">
        <f t="array" ref="C506">IFERROR(_xlfn.XLOOKUP(B506,Locales!$A:$A,Locales!$B:$B,""),"")</f>
        <v/>
      </c>
    </row>
    <row r="507" spans="3:3" x14ac:dyDescent="0.2">
      <c r="C507" t="str" cm="1">
        <f t="array" ref="C507">IFERROR(_xlfn.XLOOKUP(B507,Locales!$A:$A,Locales!$B:$B,""),"")</f>
        <v/>
      </c>
    </row>
    <row r="508" spans="3:3" x14ac:dyDescent="0.2">
      <c r="C508" t="str" cm="1">
        <f t="array" ref="C508">IFERROR(_xlfn.XLOOKUP(B508,Locales!$A:$A,Locales!$B:$B,""),"")</f>
        <v/>
      </c>
    </row>
    <row r="509" spans="3:3" x14ac:dyDescent="0.2">
      <c r="C509" t="str" cm="1">
        <f t="array" ref="C509">IFERROR(_xlfn.XLOOKUP(B509,Locales!$A:$A,Locales!$B:$B,""),"")</f>
        <v/>
      </c>
    </row>
    <row r="510" spans="3:3" x14ac:dyDescent="0.2">
      <c r="C510" t="str" cm="1">
        <f t="array" ref="C510">IFERROR(_xlfn.XLOOKUP(B510,Locales!$A:$A,Locales!$B:$B,""),"")</f>
        <v/>
      </c>
    </row>
    <row r="511" spans="3:3" x14ac:dyDescent="0.2">
      <c r="C511" t="str" cm="1">
        <f t="array" ref="C511">IFERROR(_xlfn.XLOOKUP(B511,Locales!$A:$A,Locales!$B:$B,""),"")</f>
        <v/>
      </c>
    </row>
    <row r="512" spans="3:3" x14ac:dyDescent="0.2">
      <c r="C512" t="str" cm="1">
        <f t="array" ref="C512">IFERROR(_xlfn.XLOOKUP(B512,Locales!$A:$A,Locales!$B:$B,""),"")</f>
        <v/>
      </c>
    </row>
    <row r="513" spans="3:3" x14ac:dyDescent="0.2">
      <c r="C513" t="str" cm="1">
        <f t="array" ref="C513">IFERROR(_xlfn.XLOOKUP(B513,Locales!$A:$A,Locales!$B:$B,""),"")</f>
        <v/>
      </c>
    </row>
    <row r="514" spans="3:3" x14ac:dyDescent="0.2">
      <c r="C514" t="str" cm="1">
        <f t="array" ref="C514">IFERROR(_xlfn.XLOOKUP(B514,Locales!$A:$A,Locales!$B:$B,""),"")</f>
        <v/>
      </c>
    </row>
    <row r="515" spans="3:3" x14ac:dyDescent="0.2">
      <c r="C515" t="str" cm="1">
        <f t="array" ref="C515">IFERROR(_xlfn.XLOOKUP(B515,Locales!$A:$A,Locales!$B:$B,""),"")</f>
        <v/>
      </c>
    </row>
    <row r="516" spans="3:3" x14ac:dyDescent="0.2">
      <c r="C516" t="str" cm="1">
        <f t="array" ref="C516">IFERROR(_xlfn.XLOOKUP(B516,Locales!$A:$A,Locales!$B:$B,""),"")</f>
        <v/>
      </c>
    </row>
    <row r="517" spans="3:3" x14ac:dyDescent="0.2">
      <c r="C517" cm="1">
        <f t="array" ref="C517">IFERROR(_xlfn.XLOOKUP(B517,Locales!$A:$A,Locales!$B:$B,""),"")</f>
        <v>0</v>
      </c>
    </row>
    <row r="518" spans="3:3" x14ac:dyDescent="0.2">
      <c r="C518" t="str" cm="1">
        <f t="array" ref="C518">IFERROR(_xlfn.XLOOKUP(B518,Locales!$A:$A,Locales!$B:$B,""),"")</f>
        <v/>
      </c>
    </row>
    <row r="519" spans="3:3" x14ac:dyDescent="0.2">
      <c r="C519" t="str" cm="1">
        <f t="array" ref="C519">IFERROR(_xlfn.XLOOKUP(B519,Locales!$A:$A,Locales!$B:$B,""),"")</f>
        <v/>
      </c>
    </row>
    <row r="520" spans="3:3" x14ac:dyDescent="0.2">
      <c r="C520" t="str" cm="1">
        <f t="array" ref="C520">IFERROR(_xlfn.XLOOKUP(B520,Locales!$A:$A,Locales!$B:$B,""),"")</f>
        <v/>
      </c>
    </row>
    <row r="521" spans="3:3" x14ac:dyDescent="0.2">
      <c r="C521" t="str" cm="1">
        <f t="array" ref="C521">IFERROR(_xlfn.XLOOKUP(B521,Locales!$A:$A,Locales!$B:$B,""),"")</f>
        <v/>
      </c>
    </row>
    <row r="522" spans="3:3" x14ac:dyDescent="0.2">
      <c r="C522" t="str" cm="1">
        <f t="array" ref="C522">IFERROR(_xlfn.XLOOKUP(B522,Locales!$A:$A,Locales!$B:$B,""),"")</f>
        <v/>
      </c>
    </row>
    <row r="523" spans="3:3" x14ac:dyDescent="0.2">
      <c r="C523" t="str" cm="1">
        <f t="array" ref="C523">IFERROR(_xlfn.XLOOKUP(B523,Locales!$A:$A,Locales!$B:$B,""),"")</f>
        <v/>
      </c>
    </row>
    <row r="524" spans="3:3" x14ac:dyDescent="0.2">
      <c r="C524" t="str" cm="1">
        <f t="array" ref="C524">IFERROR(_xlfn.XLOOKUP(B524,Locales!$A:$A,Locales!$B:$B,""),"")</f>
        <v/>
      </c>
    </row>
    <row r="525" spans="3:3" x14ac:dyDescent="0.2">
      <c r="C525" cm="1">
        <f t="array" ref="C525">IFERROR(_xlfn.XLOOKUP(B525,Locales!$A:$A,Locales!$B:$B,""),"")</f>
        <v>0</v>
      </c>
    </row>
    <row r="526" spans="3:3" x14ac:dyDescent="0.2">
      <c r="C526" t="str" cm="1">
        <f t="array" ref="C526">IFERROR(_xlfn.XLOOKUP(B526,Locales!$A:$A,Locales!$B:$B,""),"")</f>
        <v/>
      </c>
    </row>
    <row r="527" spans="3:3" x14ac:dyDescent="0.2">
      <c r="C527" t="str" cm="1">
        <f t="array" ref="C527">IFERROR(_xlfn.XLOOKUP(B527,Locales!$A:$A,Locales!$B:$B,""),"")</f>
        <v/>
      </c>
    </row>
    <row r="528" spans="3:3" x14ac:dyDescent="0.2">
      <c r="C528" t="str" cm="1">
        <f t="array" ref="C528">IFERROR(_xlfn.XLOOKUP(B528,Locales!$A:$A,Locales!$B:$B,""),"")</f>
        <v/>
      </c>
    </row>
    <row r="529" spans="3:3" x14ac:dyDescent="0.2">
      <c r="C529" t="str" cm="1">
        <f t="array" ref="C529">IFERROR(_xlfn.XLOOKUP(B529,Locales!$A:$A,Locales!$B:$B,""),"")</f>
        <v/>
      </c>
    </row>
    <row r="530" spans="3:3" x14ac:dyDescent="0.2">
      <c r="C530" t="str" cm="1">
        <f t="array" ref="C530">IFERROR(_xlfn.XLOOKUP(B530,Locales!$A:$A,Locales!$B:$B,""),"")</f>
        <v/>
      </c>
    </row>
    <row r="531" spans="3:3" x14ac:dyDescent="0.2">
      <c r="C531" t="str" cm="1">
        <f t="array" ref="C531">IFERROR(_xlfn.XLOOKUP(B531,Locales!$A:$A,Locales!$B:$B,""),"")</f>
        <v/>
      </c>
    </row>
    <row r="532" spans="3:3" x14ac:dyDescent="0.2">
      <c r="C532" t="str" cm="1">
        <f t="array" ref="C532">IFERROR(_xlfn.XLOOKUP(B532,Locales!$A:$A,Locales!$B:$B,""),"")</f>
        <v/>
      </c>
    </row>
    <row r="533" spans="3:3" x14ac:dyDescent="0.2">
      <c r="C533" t="str" cm="1">
        <f t="array" ref="C533">IFERROR(_xlfn.XLOOKUP(B533,Locales!$A:$A,Locales!$B:$B,""),"")</f>
        <v/>
      </c>
    </row>
    <row r="534" spans="3:3" x14ac:dyDescent="0.2">
      <c r="C534" t="str" cm="1">
        <f t="array" ref="C534">IFERROR(_xlfn.XLOOKUP(B534,Locales!$A:$A,Locales!$B:$B,""),"")</f>
        <v/>
      </c>
    </row>
    <row r="535" spans="3:3" x14ac:dyDescent="0.2">
      <c r="C535" t="str" cm="1">
        <f t="array" ref="C535">IFERROR(_xlfn.XLOOKUP(B535,Locales!$A:$A,Locales!$B:$B,""),"")</f>
        <v/>
      </c>
    </row>
    <row r="536" spans="3:3" x14ac:dyDescent="0.2">
      <c r="C536" t="str" cm="1">
        <f t="array" ref="C536">IFERROR(_xlfn.XLOOKUP(B536,Locales!$A:$A,Locales!$B:$B,""),"")</f>
        <v/>
      </c>
    </row>
    <row r="537" spans="3:3" x14ac:dyDescent="0.2">
      <c r="C537" t="str" cm="1">
        <f t="array" ref="C537">IFERROR(_xlfn.XLOOKUP(B537,Locales!$A:$A,Locales!$B:$B,""),"")</f>
        <v/>
      </c>
    </row>
    <row r="538" spans="3:3" x14ac:dyDescent="0.2">
      <c r="C538" t="str" cm="1">
        <f t="array" ref="C538">IFERROR(_xlfn.XLOOKUP(B538,Locales!$A:$A,Locales!$B:$B,""),"")</f>
        <v/>
      </c>
    </row>
    <row r="539" spans="3:3" x14ac:dyDescent="0.2">
      <c r="C539" t="str" cm="1">
        <f t="array" ref="C539">IFERROR(_xlfn.XLOOKUP(B539,Locales!$A:$A,Locales!$B:$B,""),"")</f>
        <v/>
      </c>
    </row>
    <row r="540" spans="3:3" x14ac:dyDescent="0.2">
      <c r="C540" t="str" cm="1">
        <f t="array" ref="C540">IFERROR(_xlfn.XLOOKUP(B540,Locales!$A:$A,Locales!$B:$B,""),"")</f>
        <v/>
      </c>
    </row>
    <row r="541" spans="3:3" x14ac:dyDescent="0.2">
      <c r="C541" t="str" cm="1">
        <f t="array" ref="C541">IFERROR(_xlfn.XLOOKUP(B541,Locales!$A:$A,Locales!$B:$B,""),"")</f>
        <v/>
      </c>
    </row>
    <row r="542" spans="3:3" x14ac:dyDescent="0.2">
      <c r="C542" t="str" cm="1">
        <f t="array" ref="C542">IFERROR(_xlfn.XLOOKUP(B542,Locales!$A:$A,Locales!$B:$B,""),"")</f>
        <v/>
      </c>
    </row>
    <row r="543" spans="3:3" x14ac:dyDescent="0.2">
      <c r="C543" t="str" cm="1">
        <f t="array" ref="C543">IFERROR(_xlfn.XLOOKUP(B543,Locales!$A:$A,Locales!$B:$B,""),"")</f>
        <v/>
      </c>
    </row>
    <row r="544" spans="3:3" x14ac:dyDescent="0.2">
      <c r="C544" t="str" cm="1">
        <f t="array" ref="C544">IFERROR(_xlfn.XLOOKUP(B544,Locales!$A:$A,Locales!$B:$B,""),"")</f>
        <v/>
      </c>
    </row>
    <row r="545" spans="3:3" x14ac:dyDescent="0.2">
      <c r="C545" t="str" cm="1">
        <f t="array" ref="C545">IFERROR(_xlfn.XLOOKUP(B545,Locales!$A:$A,Locales!$B:$B,""),"")</f>
        <v/>
      </c>
    </row>
    <row r="546" spans="3:3" x14ac:dyDescent="0.2">
      <c r="C546" t="str" cm="1">
        <f t="array" ref="C546">IFERROR(_xlfn.XLOOKUP(B546,Locales!$A:$A,Locales!$B:$B,""),"")</f>
        <v/>
      </c>
    </row>
    <row r="547" spans="3:3" x14ac:dyDescent="0.2">
      <c r="C547" t="str" cm="1">
        <f t="array" ref="C547">IFERROR(_xlfn.XLOOKUP(B547,Locales!$A:$A,Locales!$B:$B,""),"")</f>
        <v/>
      </c>
    </row>
    <row r="548" spans="3:3" x14ac:dyDescent="0.2">
      <c r="C548" t="str" cm="1">
        <f t="array" ref="C548">IFERROR(_xlfn.XLOOKUP(B548,Locales!$A:$A,Locales!$B:$B,""),"")</f>
        <v/>
      </c>
    </row>
    <row r="549" spans="3:3" x14ac:dyDescent="0.2">
      <c r="C549" cm="1">
        <f t="array" ref="C549">IFERROR(_xlfn.XLOOKUP(B549,Locales!$A:$A,Locales!$B:$B,""),"")</f>
        <v>0</v>
      </c>
    </row>
    <row r="550" spans="3:3" x14ac:dyDescent="0.2">
      <c r="C550" t="str" cm="1">
        <f t="array" ref="C550">IFERROR(_xlfn.XLOOKUP(B550,Locales!$A:$A,Locales!$B:$B,""),"")</f>
        <v/>
      </c>
    </row>
    <row r="551" spans="3:3" x14ac:dyDescent="0.2">
      <c r="C551" t="str" cm="1">
        <f t="array" ref="C551">IFERROR(_xlfn.XLOOKUP(B551,Locales!$A:$A,Locales!$B:$B,""),"")</f>
        <v/>
      </c>
    </row>
    <row r="552" spans="3:3" x14ac:dyDescent="0.2">
      <c r="C552" t="str" cm="1">
        <f t="array" ref="C552">IFERROR(_xlfn.XLOOKUP(B552,Locales!$A:$A,Locales!$B:$B,""),"")</f>
        <v/>
      </c>
    </row>
    <row r="553" spans="3:3" x14ac:dyDescent="0.2">
      <c r="C553" t="str" cm="1">
        <f t="array" ref="C553">IFERROR(_xlfn.XLOOKUP(B553,Locales!$A:$A,Locales!$B:$B,""),"")</f>
        <v/>
      </c>
    </row>
    <row r="554" spans="3:3" x14ac:dyDescent="0.2">
      <c r="C554" t="str" cm="1">
        <f t="array" ref="C554">IFERROR(_xlfn.XLOOKUP(B554,Locales!$A:$A,Locales!$B:$B,""),"")</f>
        <v/>
      </c>
    </row>
    <row r="555" spans="3:3" x14ac:dyDescent="0.2">
      <c r="C555" t="str" cm="1">
        <f t="array" ref="C555">IFERROR(_xlfn.XLOOKUP(B555,Locales!$A:$A,Locales!$B:$B,""),"")</f>
        <v/>
      </c>
    </row>
    <row r="556" spans="3:3" x14ac:dyDescent="0.2">
      <c r="C556" t="str" cm="1">
        <f t="array" ref="C556">IFERROR(_xlfn.XLOOKUP(B556,Locales!$A:$A,Locales!$B:$B,""),"")</f>
        <v/>
      </c>
    </row>
    <row r="557" spans="3:3" x14ac:dyDescent="0.2">
      <c r="C557" t="str" cm="1">
        <f t="array" ref="C557">IFERROR(_xlfn.XLOOKUP(B557,Locales!$A:$A,Locales!$B:$B,""),"")</f>
        <v/>
      </c>
    </row>
    <row r="558" spans="3:3" x14ac:dyDescent="0.2">
      <c r="C558" t="str" cm="1">
        <f t="array" ref="C558">IFERROR(_xlfn.XLOOKUP(B558,Locales!$A:$A,Locales!$B:$B,""),"")</f>
        <v/>
      </c>
    </row>
    <row r="559" spans="3:3" x14ac:dyDescent="0.2">
      <c r="C559" t="str" cm="1">
        <f t="array" ref="C559">IFERROR(_xlfn.XLOOKUP(B559,Locales!$A:$A,Locales!$B:$B,""),"")</f>
        <v/>
      </c>
    </row>
    <row r="560" spans="3:3" x14ac:dyDescent="0.2">
      <c r="C560" t="str" cm="1">
        <f t="array" ref="C560">IFERROR(_xlfn.XLOOKUP(B560,Locales!$A:$A,Locales!$B:$B,""),"")</f>
        <v/>
      </c>
    </row>
    <row r="561" spans="3:3" x14ac:dyDescent="0.2">
      <c r="C561" t="str" cm="1">
        <f t="array" ref="C561">IFERROR(_xlfn.XLOOKUP(B561,Locales!$A:$A,Locales!$B:$B,""),"")</f>
        <v/>
      </c>
    </row>
    <row r="562" spans="3:3" x14ac:dyDescent="0.2">
      <c r="C562" t="str" cm="1">
        <f t="array" ref="C562">IFERROR(_xlfn.XLOOKUP(B562,Locales!$A:$A,Locales!$B:$B,""),"")</f>
        <v/>
      </c>
    </row>
    <row r="563" spans="3:3" x14ac:dyDescent="0.2">
      <c r="C563" t="str" cm="1">
        <f t="array" ref="C563">IFERROR(_xlfn.XLOOKUP(B563,Locales!$A:$A,Locales!$B:$B,""),"")</f>
        <v/>
      </c>
    </row>
    <row r="564" spans="3:3" x14ac:dyDescent="0.2">
      <c r="C564" t="str" cm="1">
        <f t="array" ref="C564">IFERROR(_xlfn.XLOOKUP(B564,Locales!$A:$A,Locales!$B:$B,""),"")</f>
        <v/>
      </c>
    </row>
    <row r="565" spans="3:3" x14ac:dyDescent="0.2">
      <c r="C565" t="str" cm="1">
        <f t="array" ref="C565">IFERROR(_xlfn.XLOOKUP(B565,Locales!$A:$A,Locales!$B:$B,""),"")</f>
        <v/>
      </c>
    </row>
    <row r="566" spans="3:3" x14ac:dyDescent="0.2">
      <c r="C566" t="str" cm="1">
        <f t="array" ref="C566">IFERROR(_xlfn.XLOOKUP(B566,Locales!$A:$A,Locales!$B:$B,""),"")</f>
        <v/>
      </c>
    </row>
    <row r="567" spans="3:3" x14ac:dyDescent="0.2">
      <c r="C567" t="str" cm="1">
        <f t="array" ref="C567">IFERROR(_xlfn.XLOOKUP(B567,Locales!$A:$A,Locales!$B:$B,""),"")</f>
        <v/>
      </c>
    </row>
    <row r="568" spans="3:3" x14ac:dyDescent="0.2">
      <c r="C568" t="str" cm="1">
        <f t="array" ref="C568">IFERROR(_xlfn.XLOOKUP(B568,Locales!$A:$A,Locales!$B:$B,""),"")</f>
        <v/>
      </c>
    </row>
    <row r="569" spans="3:3" x14ac:dyDescent="0.2">
      <c r="C569" t="str" cm="1">
        <f t="array" ref="C569">IFERROR(_xlfn.XLOOKUP(B569,Locales!$A:$A,Locales!$B:$B,""),"")</f>
        <v/>
      </c>
    </row>
    <row r="570" spans="3:3" x14ac:dyDescent="0.2">
      <c r="C570" t="str" cm="1">
        <f t="array" ref="C570">IFERROR(_xlfn.XLOOKUP(B570,Locales!$A:$A,Locales!$B:$B,""),"")</f>
        <v/>
      </c>
    </row>
    <row r="571" spans="3:3" x14ac:dyDescent="0.2">
      <c r="C571" t="str" cm="1">
        <f t="array" ref="C571">IFERROR(_xlfn.XLOOKUP(B571,Locales!$A:$A,Locales!$B:$B,""),"")</f>
        <v/>
      </c>
    </row>
    <row r="572" spans="3:3" x14ac:dyDescent="0.2">
      <c r="C572" t="str" cm="1">
        <f t="array" ref="C572">IFERROR(_xlfn.XLOOKUP(B572,Locales!$A:$A,Locales!$B:$B,""),"")</f>
        <v/>
      </c>
    </row>
    <row r="573" spans="3:3" x14ac:dyDescent="0.2">
      <c r="C573" cm="1">
        <f t="array" ref="C573">IFERROR(_xlfn.XLOOKUP(B573,Locales!$A:$A,Locales!$B:$B,""),"")</f>
        <v>0</v>
      </c>
    </row>
    <row r="574" spans="3:3" x14ac:dyDescent="0.2">
      <c r="C574" t="str" cm="1">
        <f t="array" ref="C574">IFERROR(_xlfn.XLOOKUP(B574,Locales!$A:$A,Locales!$B:$B,""),"")</f>
        <v/>
      </c>
    </row>
    <row r="575" spans="3:3" x14ac:dyDescent="0.2">
      <c r="C575" t="str" cm="1">
        <f t="array" ref="C575">IFERROR(_xlfn.XLOOKUP(B575,Locales!$A:$A,Locales!$B:$B,""),"")</f>
        <v/>
      </c>
    </row>
    <row r="576" spans="3:3" x14ac:dyDescent="0.2">
      <c r="C576" t="str" cm="1">
        <f t="array" ref="C576">IFERROR(_xlfn.XLOOKUP(B576,Locales!$A:$A,Locales!$B:$B,""),"")</f>
        <v/>
      </c>
    </row>
    <row r="577" spans="3:3" x14ac:dyDescent="0.2">
      <c r="C577" t="str" cm="1">
        <f t="array" ref="C577">IFERROR(_xlfn.XLOOKUP(B577,Locales!$A:$A,Locales!$B:$B,""),"")</f>
        <v/>
      </c>
    </row>
    <row r="578" spans="3:3" x14ac:dyDescent="0.2">
      <c r="C578" t="str" cm="1">
        <f t="array" ref="C578">IFERROR(_xlfn.XLOOKUP(B578,Locales!$A:$A,Locales!$B:$B,""),"")</f>
        <v/>
      </c>
    </row>
    <row r="579" spans="3:3" x14ac:dyDescent="0.2">
      <c r="C579" t="str" cm="1">
        <f t="array" ref="C579">IFERROR(_xlfn.XLOOKUP(B579,Locales!$A:$A,Locales!$B:$B,""),"")</f>
        <v/>
      </c>
    </row>
    <row r="580" spans="3:3" x14ac:dyDescent="0.2">
      <c r="C580" t="str" cm="1">
        <f t="array" ref="C580">IFERROR(_xlfn.XLOOKUP(B580,Locales!$A:$A,Locales!$B:$B,""),"")</f>
        <v/>
      </c>
    </row>
    <row r="581" spans="3:3" x14ac:dyDescent="0.2">
      <c r="C581" cm="1">
        <f t="array" ref="C581">IFERROR(_xlfn.XLOOKUP(B581,Locales!$A:$A,Locales!$B:$B,""),"")</f>
        <v>0</v>
      </c>
    </row>
    <row r="582" spans="3:3" x14ac:dyDescent="0.2">
      <c r="C582" t="str" cm="1">
        <f t="array" ref="C582">IFERROR(_xlfn.XLOOKUP(B582,Locales!$A:$A,Locales!$B:$B,""),"")</f>
        <v/>
      </c>
    </row>
    <row r="583" spans="3:3" x14ac:dyDescent="0.2">
      <c r="C583" t="str" cm="1">
        <f t="array" ref="C583">IFERROR(_xlfn.XLOOKUP(B583,Locales!$A:$A,Locales!$B:$B,""),"")</f>
        <v/>
      </c>
    </row>
    <row r="584" spans="3:3" x14ac:dyDescent="0.2">
      <c r="C584" t="str" cm="1">
        <f t="array" ref="C584">IFERROR(_xlfn.XLOOKUP(B584,Locales!$A:$A,Locales!$B:$B,""),"")</f>
        <v/>
      </c>
    </row>
    <row r="585" spans="3:3" x14ac:dyDescent="0.2">
      <c r="C585" t="str" cm="1">
        <f t="array" ref="C585">IFERROR(_xlfn.XLOOKUP(B585,Locales!$A:$A,Locales!$B:$B,""),"")</f>
        <v/>
      </c>
    </row>
    <row r="586" spans="3:3" x14ac:dyDescent="0.2">
      <c r="C586" t="str" cm="1">
        <f t="array" ref="C586">IFERROR(_xlfn.XLOOKUP(B586,Locales!$A:$A,Locales!$B:$B,""),"")</f>
        <v/>
      </c>
    </row>
    <row r="587" spans="3:3" x14ac:dyDescent="0.2">
      <c r="C587" t="str" cm="1">
        <f t="array" ref="C587">IFERROR(_xlfn.XLOOKUP(B587,Locales!$A:$A,Locales!$B:$B,""),"")</f>
        <v/>
      </c>
    </row>
    <row r="588" spans="3:3" x14ac:dyDescent="0.2">
      <c r="C588" t="str" cm="1">
        <f t="array" ref="C588">IFERROR(_xlfn.XLOOKUP(B588,Locales!$A:$A,Locales!$B:$B,""),"")</f>
        <v/>
      </c>
    </row>
    <row r="589" spans="3:3" x14ac:dyDescent="0.2">
      <c r="C589" t="str" cm="1">
        <f t="array" ref="C589">IFERROR(_xlfn.XLOOKUP(B589,Locales!$A:$A,Locales!$B:$B,""),"")</f>
        <v/>
      </c>
    </row>
    <row r="590" spans="3:3" x14ac:dyDescent="0.2">
      <c r="C590" t="str" cm="1">
        <f t="array" ref="C590">IFERROR(_xlfn.XLOOKUP(B590,Locales!$A:$A,Locales!$B:$B,""),"")</f>
        <v/>
      </c>
    </row>
    <row r="591" spans="3:3" x14ac:dyDescent="0.2">
      <c r="C591" t="str" cm="1">
        <f t="array" ref="C591">IFERROR(_xlfn.XLOOKUP(B591,Locales!$A:$A,Locales!$B:$B,""),"")</f>
        <v/>
      </c>
    </row>
    <row r="592" spans="3:3" x14ac:dyDescent="0.2">
      <c r="C592" t="str" cm="1">
        <f t="array" ref="C592">IFERROR(_xlfn.XLOOKUP(B592,Locales!$A:$A,Locales!$B:$B,""),"")</f>
        <v/>
      </c>
    </row>
    <row r="593" spans="3:3" x14ac:dyDescent="0.2">
      <c r="C593" t="str" cm="1">
        <f t="array" ref="C593">IFERROR(_xlfn.XLOOKUP(B593,Locales!$A:$A,Locales!$B:$B,""),"")</f>
        <v/>
      </c>
    </row>
    <row r="594" spans="3:3" x14ac:dyDescent="0.2">
      <c r="C594" t="str" cm="1">
        <f t="array" ref="C594">IFERROR(_xlfn.XLOOKUP(B594,Locales!$A:$A,Locales!$B:$B,""),"")</f>
        <v/>
      </c>
    </row>
    <row r="595" spans="3:3" x14ac:dyDescent="0.2">
      <c r="C595" t="str" cm="1">
        <f t="array" ref="C595">IFERROR(_xlfn.XLOOKUP(B595,Locales!$A:$A,Locales!$B:$B,""),"")</f>
        <v/>
      </c>
    </row>
    <row r="596" spans="3:3" x14ac:dyDescent="0.2">
      <c r="C596" t="str" cm="1">
        <f t="array" ref="C596">IFERROR(_xlfn.XLOOKUP(B596,Locales!$A:$A,Locales!$B:$B,""),"")</f>
        <v/>
      </c>
    </row>
    <row r="597" spans="3:3" x14ac:dyDescent="0.2">
      <c r="C597" t="str" cm="1">
        <f t="array" ref="C597">IFERROR(_xlfn.XLOOKUP(B597,Locales!$A:$A,Locales!$B:$B,""),"")</f>
        <v/>
      </c>
    </row>
    <row r="598" spans="3:3" x14ac:dyDescent="0.2">
      <c r="C598" t="str" cm="1">
        <f t="array" ref="C598">IFERROR(_xlfn.XLOOKUP(B598,Locales!$A:$A,Locales!$B:$B,""),"")</f>
        <v/>
      </c>
    </row>
    <row r="599" spans="3:3" x14ac:dyDescent="0.2">
      <c r="C599" t="str" cm="1">
        <f t="array" ref="C599">IFERROR(_xlfn.XLOOKUP(B599,Locales!$A:$A,Locales!$B:$B,""),"")</f>
        <v/>
      </c>
    </row>
    <row r="600" spans="3:3" x14ac:dyDescent="0.2">
      <c r="C600" t="str" cm="1">
        <f t="array" ref="C600">IFERROR(_xlfn.XLOOKUP(B600,Locales!$A:$A,Locales!$B:$B,""),"")</f>
        <v/>
      </c>
    </row>
    <row r="601" spans="3:3" x14ac:dyDescent="0.2">
      <c r="C601" t="str" cm="1">
        <f t="array" ref="C601">IFERROR(_xlfn.XLOOKUP(B601,Locales!$A:$A,Locales!$B:$B,""),"")</f>
        <v/>
      </c>
    </row>
    <row r="602" spans="3:3" x14ac:dyDescent="0.2">
      <c r="C602" t="str" cm="1">
        <f t="array" ref="C602">IFERROR(_xlfn.XLOOKUP(B602,Locales!$A:$A,Locales!$B:$B,""),"")</f>
        <v/>
      </c>
    </row>
    <row r="603" spans="3:3" x14ac:dyDescent="0.2">
      <c r="C603" t="str" cm="1">
        <f t="array" ref="C603">IFERROR(_xlfn.XLOOKUP(B603,Locales!$A:$A,Locales!$B:$B,""),"")</f>
        <v/>
      </c>
    </row>
    <row r="604" spans="3:3" x14ac:dyDescent="0.2">
      <c r="C604" t="str" cm="1">
        <f t="array" ref="C604">IFERROR(_xlfn.XLOOKUP(B604,Locales!$A:$A,Locales!$B:$B,""),"")</f>
        <v/>
      </c>
    </row>
    <row r="605" spans="3:3" x14ac:dyDescent="0.2">
      <c r="C605" cm="1">
        <f t="array" ref="C605">IFERROR(_xlfn.XLOOKUP(B605,Locales!$A:$A,Locales!$B:$B,""),"")</f>
        <v>0</v>
      </c>
    </row>
    <row r="606" spans="3:3" x14ac:dyDescent="0.2">
      <c r="C606" t="str" cm="1">
        <f t="array" ref="C606">IFERROR(_xlfn.XLOOKUP(B606,Locales!$A:$A,Locales!$B:$B,""),"")</f>
        <v/>
      </c>
    </row>
    <row r="607" spans="3:3" x14ac:dyDescent="0.2">
      <c r="C607" t="str" cm="1">
        <f t="array" ref="C607">IFERROR(_xlfn.XLOOKUP(B607,Locales!$A:$A,Locales!$B:$B,""),"")</f>
        <v/>
      </c>
    </row>
    <row r="608" spans="3:3" x14ac:dyDescent="0.2">
      <c r="C608" t="str" cm="1">
        <f t="array" ref="C608">IFERROR(_xlfn.XLOOKUP(B608,Locales!$A:$A,Locales!$B:$B,""),"")</f>
        <v/>
      </c>
    </row>
    <row r="609" spans="3:3" x14ac:dyDescent="0.2">
      <c r="C609" t="str" cm="1">
        <f t="array" ref="C609">IFERROR(_xlfn.XLOOKUP(B609,Locales!$A:$A,Locales!$B:$B,""),"")</f>
        <v/>
      </c>
    </row>
    <row r="610" spans="3:3" x14ac:dyDescent="0.2">
      <c r="C610" t="str" cm="1">
        <f t="array" ref="C610">IFERROR(_xlfn.XLOOKUP(B610,Locales!$A:$A,Locales!$B:$B,""),"")</f>
        <v/>
      </c>
    </row>
    <row r="611" spans="3:3" x14ac:dyDescent="0.2">
      <c r="C611" t="str" cm="1">
        <f t="array" ref="C611">IFERROR(_xlfn.XLOOKUP(B611,Locales!$A:$A,Locales!$B:$B,""),"")</f>
        <v/>
      </c>
    </row>
    <row r="612" spans="3:3" x14ac:dyDescent="0.2">
      <c r="C612" t="str" cm="1">
        <f t="array" ref="C612">IFERROR(_xlfn.XLOOKUP(B612,Locales!$A:$A,Locales!$B:$B,""),"")</f>
        <v/>
      </c>
    </row>
    <row r="613" spans="3:3" x14ac:dyDescent="0.2">
      <c r="C613" cm="1">
        <f t="array" ref="C613">IFERROR(_xlfn.XLOOKUP(B613,Locales!$A:$A,Locales!$B:$B,""),"")</f>
        <v>0</v>
      </c>
    </row>
    <row r="614" spans="3:3" x14ac:dyDescent="0.2">
      <c r="C614" t="str" cm="1">
        <f t="array" ref="C614">IFERROR(_xlfn.XLOOKUP(B614,Locales!$A:$A,Locales!$B:$B,""),"")</f>
        <v/>
      </c>
    </row>
    <row r="615" spans="3:3" x14ac:dyDescent="0.2">
      <c r="C615" t="str" cm="1">
        <f t="array" ref="C615">IFERROR(_xlfn.XLOOKUP(B615,Locales!$A:$A,Locales!$B:$B,""),"")</f>
        <v/>
      </c>
    </row>
    <row r="616" spans="3:3" x14ac:dyDescent="0.2">
      <c r="C616" t="str" cm="1">
        <f t="array" ref="C616">IFERROR(_xlfn.XLOOKUP(B616,Locales!$A:$A,Locales!$B:$B,""),"")</f>
        <v/>
      </c>
    </row>
    <row r="617" spans="3:3" x14ac:dyDescent="0.2">
      <c r="C617" t="str" cm="1">
        <f t="array" ref="C617">IFERROR(_xlfn.XLOOKUP(B617,Locales!$A:$A,Locales!$B:$B,""),"")</f>
        <v/>
      </c>
    </row>
    <row r="618" spans="3:3" x14ac:dyDescent="0.2">
      <c r="C618" t="str" cm="1">
        <f t="array" ref="C618">IFERROR(_xlfn.XLOOKUP(B618,Locales!$A:$A,Locales!$B:$B,""),"")</f>
        <v/>
      </c>
    </row>
    <row r="619" spans="3:3" x14ac:dyDescent="0.2">
      <c r="C619" t="str" cm="1">
        <f t="array" ref="C619">IFERROR(_xlfn.XLOOKUP(B619,Locales!$A:$A,Locales!$B:$B,""),"")</f>
        <v/>
      </c>
    </row>
    <row r="620" spans="3:3" x14ac:dyDescent="0.2">
      <c r="C620" t="str" cm="1">
        <f t="array" ref="C620">IFERROR(_xlfn.XLOOKUP(B620,Locales!$A:$A,Locales!$B:$B,""),"")</f>
        <v/>
      </c>
    </row>
    <row r="621" spans="3:3" x14ac:dyDescent="0.2">
      <c r="C621" t="str" cm="1">
        <f t="array" ref="C621">IFERROR(_xlfn.XLOOKUP(B621,Locales!$A:$A,Locales!$B:$B,""),"")</f>
        <v/>
      </c>
    </row>
    <row r="622" spans="3:3" x14ac:dyDescent="0.2">
      <c r="C622" t="str" cm="1">
        <f t="array" ref="C622">IFERROR(_xlfn.XLOOKUP(B622,Locales!$A:$A,Locales!$B:$B,""),"")</f>
        <v/>
      </c>
    </row>
    <row r="623" spans="3:3" x14ac:dyDescent="0.2">
      <c r="C623" t="str" cm="1">
        <f t="array" ref="C623">IFERROR(_xlfn.XLOOKUP(B623,Locales!$A:$A,Locales!$B:$B,""),"")</f>
        <v/>
      </c>
    </row>
    <row r="624" spans="3:3" x14ac:dyDescent="0.2">
      <c r="C624" t="str" cm="1">
        <f t="array" ref="C624">IFERROR(_xlfn.XLOOKUP(B624,Locales!$A:$A,Locales!$B:$B,""),"")</f>
        <v/>
      </c>
    </row>
    <row r="625" spans="3:3" x14ac:dyDescent="0.2">
      <c r="C625" t="str" cm="1">
        <f t="array" ref="C625">IFERROR(_xlfn.XLOOKUP(B625,Locales!$A:$A,Locales!$B:$B,""),"")</f>
        <v/>
      </c>
    </row>
    <row r="626" spans="3:3" x14ac:dyDescent="0.2">
      <c r="C626" t="str" cm="1">
        <f t="array" ref="C626">IFERROR(_xlfn.XLOOKUP(B626,Locales!$A:$A,Locales!$B:$B,""),"")</f>
        <v/>
      </c>
    </row>
    <row r="627" spans="3:3" x14ac:dyDescent="0.2">
      <c r="C627" t="str" cm="1">
        <f t="array" ref="C627">IFERROR(_xlfn.XLOOKUP(B627,Locales!$A:$A,Locales!$B:$B,""),"")</f>
        <v/>
      </c>
    </row>
    <row r="628" spans="3:3" x14ac:dyDescent="0.2">
      <c r="C628" t="str" cm="1">
        <f t="array" ref="C628">IFERROR(_xlfn.XLOOKUP(B628,Locales!$A:$A,Locales!$B:$B,""),"")</f>
        <v/>
      </c>
    </row>
    <row r="629" spans="3:3" x14ac:dyDescent="0.2">
      <c r="C629" t="str" cm="1">
        <f t="array" ref="C629">IFERROR(_xlfn.XLOOKUP(B629,Locales!$A:$A,Locales!$B:$B,""),"")</f>
        <v/>
      </c>
    </row>
    <row r="630" spans="3:3" x14ac:dyDescent="0.2">
      <c r="C630" t="str" cm="1">
        <f t="array" ref="C630">IFERROR(_xlfn.XLOOKUP(B630,Locales!$A:$A,Locales!$B:$B,""),"")</f>
        <v/>
      </c>
    </row>
    <row r="631" spans="3:3" x14ac:dyDescent="0.2">
      <c r="C631" t="str" cm="1">
        <f t="array" ref="C631">IFERROR(_xlfn.XLOOKUP(B631,Locales!$A:$A,Locales!$B:$B,""),"")</f>
        <v/>
      </c>
    </row>
    <row r="632" spans="3:3" x14ac:dyDescent="0.2">
      <c r="C632" t="str" cm="1">
        <f t="array" ref="C632">IFERROR(_xlfn.XLOOKUP(B632,Locales!$A:$A,Locales!$B:$B,""),"")</f>
        <v/>
      </c>
    </row>
    <row r="633" spans="3:3" x14ac:dyDescent="0.2">
      <c r="C633" t="str" cm="1">
        <f t="array" ref="C633">IFERROR(_xlfn.XLOOKUP(B633,Locales!$A:$A,Locales!$B:$B,""),"")</f>
        <v/>
      </c>
    </row>
    <row r="634" spans="3:3" x14ac:dyDescent="0.2">
      <c r="C634" t="str" cm="1">
        <f t="array" ref="C634">IFERROR(_xlfn.XLOOKUP(B634,Locales!$A:$A,Locales!$B:$B,""),"")</f>
        <v/>
      </c>
    </row>
    <row r="635" spans="3:3" x14ac:dyDescent="0.2">
      <c r="C635" t="str" cm="1">
        <f t="array" ref="C635">IFERROR(_xlfn.XLOOKUP(B635,Locales!$A:$A,Locales!$B:$B,""),"")</f>
        <v/>
      </c>
    </row>
    <row r="636" spans="3:3" x14ac:dyDescent="0.2">
      <c r="C636" t="str" cm="1">
        <f t="array" ref="C636">IFERROR(_xlfn.XLOOKUP(B636,Locales!$A:$A,Locales!$B:$B,""),"")</f>
        <v/>
      </c>
    </row>
    <row r="637" spans="3:3" x14ac:dyDescent="0.2">
      <c r="C637" t="str" cm="1">
        <f t="array" ref="C637">IFERROR(_xlfn.XLOOKUP(B637,Locales!$A:$A,Locales!$B:$B,""),"")</f>
        <v/>
      </c>
    </row>
    <row r="638" spans="3:3" x14ac:dyDescent="0.2">
      <c r="C638" t="str" cm="1">
        <f t="array" ref="C638">IFERROR(_xlfn.XLOOKUP(B638,Locales!$A:$A,Locales!$B:$B,""),"")</f>
        <v/>
      </c>
    </row>
    <row r="639" spans="3:3" x14ac:dyDescent="0.2">
      <c r="C639" t="str" cm="1">
        <f t="array" ref="C639">IFERROR(_xlfn.XLOOKUP(B639,Locales!$A:$A,Locales!$B:$B,""),"")</f>
        <v/>
      </c>
    </row>
    <row r="640" spans="3:3" x14ac:dyDescent="0.2">
      <c r="C640" t="str" cm="1">
        <f t="array" ref="C640">IFERROR(_xlfn.XLOOKUP(B640,Locales!$A:$A,Locales!$B:$B,""),"")</f>
        <v/>
      </c>
    </row>
    <row r="641" spans="3:3" x14ac:dyDescent="0.2">
      <c r="C641" t="str" cm="1">
        <f t="array" ref="C641">IFERROR(_xlfn.XLOOKUP(B641,Locales!$A:$A,Locales!$B:$B,""),"")</f>
        <v/>
      </c>
    </row>
    <row r="642" spans="3:3" x14ac:dyDescent="0.2">
      <c r="C642" t="str" cm="1">
        <f t="array" ref="C642">IFERROR(_xlfn.XLOOKUP(B642,Locales!$A:$A,Locales!$B:$B,""),"")</f>
        <v/>
      </c>
    </row>
    <row r="643" spans="3:3" x14ac:dyDescent="0.2">
      <c r="C643" t="str" cm="1">
        <f t="array" ref="C643">IFERROR(_xlfn.XLOOKUP(B643,Locales!$A:$A,Locales!$B:$B,""),"")</f>
        <v/>
      </c>
    </row>
    <row r="644" spans="3:3" x14ac:dyDescent="0.2">
      <c r="C644" t="str" cm="1">
        <f t="array" ref="C644">IFERROR(_xlfn.XLOOKUP(B644,Locales!$A:$A,Locales!$B:$B,""),"")</f>
        <v/>
      </c>
    </row>
    <row r="645" spans="3:3" x14ac:dyDescent="0.2">
      <c r="C645" cm="1">
        <f t="array" ref="C645">IFERROR(_xlfn.XLOOKUP(B645,Locales!$A:$A,Locales!$B:$B,""),"")</f>
        <v>0</v>
      </c>
    </row>
    <row r="646" spans="3:3" x14ac:dyDescent="0.2">
      <c r="C646" t="str" cm="1">
        <f t="array" ref="C646">IFERROR(_xlfn.XLOOKUP(B646,Locales!$A:$A,Locales!$B:$B,""),"")</f>
        <v/>
      </c>
    </row>
    <row r="647" spans="3:3" x14ac:dyDescent="0.2">
      <c r="C647" t="str" cm="1">
        <f t="array" ref="C647">IFERROR(_xlfn.XLOOKUP(B647,Locales!$A:$A,Locales!$B:$B,""),"")</f>
        <v/>
      </c>
    </row>
    <row r="648" spans="3:3" x14ac:dyDescent="0.2">
      <c r="C648" t="str" cm="1">
        <f t="array" ref="C648">IFERROR(_xlfn.XLOOKUP(B648,Locales!$A:$A,Locales!$B:$B,""),"")</f>
        <v/>
      </c>
    </row>
    <row r="649" spans="3:3" x14ac:dyDescent="0.2">
      <c r="C649" t="str" cm="1">
        <f t="array" ref="C649">IFERROR(_xlfn.XLOOKUP(B649,Locales!$A:$A,Locales!$B:$B,""),"")</f>
        <v/>
      </c>
    </row>
    <row r="650" spans="3:3" x14ac:dyDescent="0.2">
      <c r="C650" t="str" cm="1">
        <f t="array" ref="C650">IFERROR(_xlfn.XLOOKUP(B650,Locales!$A:$A,Locales!$B:$B,""),"")</f>
        <v/>
      </c>
    </row>
    <row r="651" spans="3:3" x14ac:dyDescent="0.2">
      <c r="C651" t="str" cm="1">
        <f t="array" ref="C651">IFERROR(_xlfn.XLOOKUP(B651,Locales!$A:$A,Locales!$B:$B,""),"")</f>
        <v/>
      </c>
    </row>
    <row r="652" spans="3:3" x14ac:dyDescent="0.2">
      <c r="C652" t="str" cm="1">
        <f t="array" ref="C652">IFERROR(_xlfn.XLOOKUP(B652,Locales!$A:$A,Locales!$B:$B,""),"")</f>
        <v/>
      </c>
    </row>
    <row r="653" spans="3:3" x14ac:dyDescent="0.2">
      <c r="C653" cm="1">
        <f t="array" ref="C653">IFERROR(_xlfn.XLOOKUP(B653,Locales!$A:$A,Locales!$B:$B,""),"")</f>
        <v>0</v>
      </c>
    </row>
    <row r="654" spans="3:3" x14ac:dyDescent="0.2">
      <c r="C654" t="str" cm="1">
        <f t="array" ref="C654">IFERROR(_xlfn.XLOOKUP(B654,Locales!$A:$A,Locales!$B:$B,""),"")</f>
        <v/>
      </c>
    </row>
    <row r="655" spans="3:3" x14ac:dyDescent="0.2">
      <c r="C655" t="str" cm="1">
        <f t="array" ref="C655">IFERROR(_xlfn.XLOOKUP(B655,Locales!$A:$A,Locales!$B:$B,""),"")</f>
        <v/>
      </c>
    </row>
    <row r="656" spans="3:3" x14ac:dyDescent="0.2">
      <c r="C656" t="str" cm="1">
        <f t="array" ref="C656">IFERROR(_xlfn.XLOOKUP(B656,Locales!$A:$A,Locales!$B:$B,""),"")</f>
        <v/>
      </c>
    </row>
    <row r="657" spans="3:3" x14ac:dyDescent="0.2">
      <c r="C657" t="str" cm="1">
        <f t="array" ref="C657">IFERROR(_xlfn.XLOOKUP(B657,Locales!$A:$A,Locales!$B:$B,""),"")</f>
        <v/>
      </c>
    </row>
    <row r="658" spans="3:3" x14ac:dyDescent="0.2">
      <c r="C658" t="str" cm="1">
        <f t="array" ref="C658">IFERROR(_xlfn.XLOOKUP(B658,Locales!$A:$A,Locales!$B:$B,""),"")</f>
        <v/>
      </c>
    </row>
    <row r="659" spans="3:3" x14ac:dyDescent="0.2">
      <c r="C659" t="str" cm="1">
        <f t="array" ref="C659">IFERROR(_xlfn.XLOOKUP(B659,Locales!$A:$A,Locales!$B:$B,""),"")</f>
        <v/>
      </c>
    </row>
    <row r="660" spans="3:3" x14ac:dyDescent="0.2">
      <c r="C660" t="str" cm="1">
        <f t="array" ref="C660">IFERROR(_xlfn.XLOOKUP(B660,Locales!$A:$A,Locales!$B:$B,""),"")</f>
        <v/>
      </c>
    </row>
    <row r="661" spans="3:3" x14ac:dyDescent="0.2">
      <c r="C661" t="str" cm="1">
        <f t="array" ref="C661">IFERROR(_xlfn.XLOOKUP(B661,Locales!$A:$A,Locales!$B:$B,""),"")</f>
        <v/>
      </c>
    </row>
    <row r="662" spans="3:3" x14ac:dyDescent="0.2">
      <c r="C662" t="str" cm="1">
        <f t="array" ref="C662">IFERROR(_xlfn.XLOOKUP(B662,Locales!$A:$A,Locales!$B:$B,""),"")</f>
        <v/>
      </c>
    </row>
    <row r="663" spans="3:3" x14ac:dyDescent="0.2">
      <c r="C663" t="str" cm="1">
        <f t="array" ref="C663">IFERROR(_xlfn.XLOOKUP(B663,Locales!$A:$A,Locales!$B:$B,""),"")</f>
        <v/>
      </c>
    </row>
    <row r="664" spans="3:3" x14ac:dyDescent="0.2">
      <c r="C664" t="str" cm="1">
        <f t="array" ref="C664">IFERROR(_xlfn.XLOOKUP(B664,Locales!$A:$A,Locales!$B:$B,""),"")</f>
        <v/>
      </c>
    </row>
    <row r="665" spans="3:3" x14ac:dyDescent="0.2">
      <c r="C665" t="str" cm="1">
        <f t="array" ref="C665">IFERROR(_xlfn.XLOOKUP(B665,Locales!$A:$A,Locales!$B:$B,""),"")</f>
        <v/>
      </c>
    </row>
    <row r="666" spans="3:3" x14ac:dyDescent="0.2">
      <c r="C666" t="str" cm="1">
        <f t="array" ref="C666">IFERROR(_xlfn.XLOOKUP(B666,Locales!$A:$A,Locales!$B:$B,""),"")</f>
        <v/>
      </c>
    </row>
    <row r="667" spans="3:3" x14ac:dyDescent="0.2">
      <c r="C667" t="str" cm="1">
        <f t="array" ref="C667">IFERROR(_xlfn.XLOOKUP(B667,Locales!$A:$A,Locales!$B:$B,""),"")</f>
        <v/>
      </c>
    </row>
    <row r="668" spans="3:3" x14ac:dyDescent="0.2">
      <c r="C668" t="str" cm="1">
        <f t="array" ref="C668">IFERROR(_xlfn.XLOOKUP(B668,Locales!$A:$A,Locales!$B:$B,""),"")</f>
        <v/>
      </c>
    </row>
    <row r="669" spans="3:3" x14ac:dyDescent="0.2">
      <c r="C669" t="str" cm="1">
        <f t="array" ref="C669">IFERROR(_xlfn.XLOOKUP(B669,Locales!$A:$A,Locales!$B:$B,""),"")</f>
        <v/>
      </c>
    </row>
    <row r="670" spans="3:3" x14ac:dyDescent="0.2">
      <c r="C670" t="str" cm="1">
        <f t="array" ref="C670">IFERROR(_xlfn.XLOOKUP(B670,Locales!$A:$A,Locales!$B:$B,""),"")</f>
        <v/>
      </c>
    </row>
    <row r="671" spans="3:3" x14ac:dyDescent="0.2">
      <c r="C671" t="str" cm="1">
        <f t="array" ref="C671">IFERROR(_xlfn.XLOOKUP(B671,Locales!$A:$A,Locales!$B:$B,""),"")</f>
        <v/>
      </c>
    </row>
    <row r="672" spans="3:3" x14ac:dyDescent="0.2">
      <c r="C672" t="str" cm="1">
        <f t="array" ref="C672">IFERROR(_xlfn.XLOOKUP(B672,Locales!$A:$A,Locales!$B:$B,""),"")</f>
        <v/>
      </c>
    </row>
    <row r="673" spans="3:3" x14ac:dyDescent="0.2">
      <c r="C673" t="str" cm="1">
        <f t="array" ref="C673">IFERROR(_xlfn.XLOOKUP(B673,Locales!$A:$A,Locales!$B:$B,""),"")</f>
        <v/>
      </c>
    </row>
    <row r="674" spans="3:3" x14ac:dyDescent="0.2">
      <c r="C674" t="str" cm="1">
        <f t="array" ref="C674">IFERROR(_xlfn.XLOOKUP(B674,Locales!$A:$A,Locales!$B:$B,""),"")</f>
        <v/>
      </c>
    </row>
    <row r="675" spans="3:3" x14ac:dyDescent="0.2">
      <c r="C675" t="str" cm="1">
        <f t="array" ref="C675">IFERROR(_xlfn.XLOOKUP(B675,Locales!$A:$A,Locales!$B:$B,""),"")</f>
        <v/>
      </c>
    </row>
    <row r="676" spans="3:3" x14ac:dyDescent="0.2">
      <c r="C676" t="str" cm="1">
        <f t="array" ref="C676">IFERROR(_xlfn.XLOOKUP(B676,Locales!$A:$A,Locales!$B:$B,""),"")</f>
        <v/>
      </c>
    </row>
    <row r="677" spans="3:3" x14ac:dyDescent="0.2">
      <c r="C677" cm="1">
        <f t="array" ref="C677">IFERROR(_xlfn.XLOOKUP(B677,Locales!$A:$A,Locales!$B:$B,""),"")</f>
        <v>0</v>
      </c>
    </row>
    <row r="678" spans="3:3" x14ac:dyDescent="0.2">
      <c r="C678" t="str" cm="1">
        <f t="array" ref="C678">IFERROR(_xlfn.XLOOKUP(B678,Locales!$A:$A,Locales!$B:$B,""),"")</f>
        <v/>
      </c>
    </row>
    <row r="679" spans="3:3" x14ac:dyDescent="0.2">
      <c r="C679" t="str" cm="1">
        <f t="array" ref="C679">IFERROR(_xlfn.XLOOKUP(B679,Locales!$A:$A,Locales!$B:$B,""),"")</f>
        <v/>
      </c>
    </row>
    <row r="680" spans="3:3" x14ac:dyDescent="0.2">
      <c r="C680" t="str" cm="1">
        <f t="array" ref="C680">IFERROR(_xlfn.XLOOKUP(B680,Locales!$A:$A,Locales!$B:$B,""),"")</f>
        <v/>
      </c>
    </row>
    <row r="681" spans="3:3" x14ac:dyDescent="0.2">
      <c r="C681" t="str" cm="1">
        <f t="array" ref="C681">IFERROR(_xlfn.XLOOKUP(B681,Locales!$A:$A,Locales!$B:$B,""),"")</f>
        <v/>
      </c>
    </row>
    <row r="682" spans="3:3" x14ac:dyDescent="0.2">
      <c r="C682" t="str" cm="1">
        <f t="array" ref="C682">IFERROR(_xlfn.XLOOKUP(B682,Locales!$A:$A,Locales!$B:$B,""),"")</f>
        <v/>
      </c>
    </row>
    <row r="683" spans="3:3" x14ac:dyDescent="0.2">
      <c r="C683" t="str" cm="1">
        <f t="array" ref="C683">IFERROR(_xlfn.XLOOKUP(B683,Locales!$A:$A,Locales!$B:$B,""),"")</f>
        <v/>
      </c>
    </row>
    <row r="684" spans="3:3" x14ac:dyDescent="0.2">
      <c r="C684" t="str" cm="1">
        <f t="array" ref="C684">IFERROR(_xlfn.XLOOKUP(B684,Locales!$A:$A,Locales!$B:$B,""),"")</f>
        <v/>
      </c>
    </row>
    <row r="685" spans="3:3" x14ac:dyDescent="0.2">
      <c r="C685" cm="1">
        <f t="array" ref="C685">IFERROR(_xlfn.XLOOKUP(B685,Locales!$A:$A,Locales!$B:$B,""),"")</f>
        <v>0</v>
      </c>
    </row>
    <row r="686" spans="3:3" x14ac:dyDescent="0.2">
      <c r="C686" t="str" cm="1">
        <f t="array" ref="C686">IFERROR(_xlfn.XLOOKUP(B686,Locales!$A:$A,Locales!$B:$B,""),"")</f>
        <v/>
      </c>
    </row>
    <row r="687" spans="3:3" x14ac:dyDescent="0.2">
      <c r="C687" t="str" cm="1">
        <f t="array" ref="C687">IFERROR(_xlfn.XLOOKUP(B687,Locales!$A:$A,Locales!$B:$B,""),"")</f>
        <v/>
      </c>
    </row>
    <row r="688" spans="3:3" x14ac:dyDescent="0.2">
      <c r="C688" t="str" cm="1">
        <f t="array" ref="C688">IFERROR(_xlfn.XLOOKUP(B688,Locales!$A:$A,Locales!$B:$B,""),"")</f>
        <v/>
      </c>
    </row>
    <row r="689" spans="3:3" x14ac:dyDescent="0.2">
      <c r="C689" t="str" cm="1">
        <f t="array" ref="C689">IFERROR(_xlfn.XLOOKUP(B689,Locales!$A:$A,Locales!$B:$B,""),"")</f>
        <v/>
      </c>
    </row>
    <row r="690" spans="3:3" x14ac:dyDescent="0.2">
      <c r="C690" t="str" cm="1">
        <f t="array" ref="C690">IFERROR(_xlfn.XLOOKUP(B690,Locales!$A:$A,Locales!$B:$B,""),"")</f>
        <v/>
      </c>
    </row>
    <row r="691" spans="3:3" x14ac:dyDescent="0.2">
      <c r="C691" t="str" cm="1">
        <f t="array" ref="C691">IFERROR(_xlfn.XLOOKUP(B691,Locales!$A:$A,Locales!$B:$B,""),"")</f>
        <v/>
      </c>
    </row>
    <row r="692" spans="3:3" x14ac:dyDescent="0.2">
      <c r="C692" t="str" cm="1">
        <f t="array" ref="C692">IFERROR(_xlfn.XLOOKUP(B692,Locales!$A:$A,Locales!$B:$B,""),"")</f>
        <v/>
      </c>
    </row>
    <row r="693" spans="3:3" x14ac:dyDescent="0.2">
      <c r="C693" t="str" cm="1">
        <f t="array" ref="C693">IFERROR(_xlfn.XLOOKUP(B693,Locales!$A:$A,Locales!$B:$B,""),"")</f>
        <v/>
      </c>
    </row>
    <row r="694" spans="3:3" x14ac:dyDescent="0.2">
      <c r="C694" t="str" cm="1">
        <f t="array" ref="C694">IFERROR(_xlfn.XLOOKUP(B694,Locales!$A:$A,Locales!$B:$B,""),"")</f>
        <v/>
      </c>
    </row>
    <row r="695" spans="3:3" x14ac:dyDescent="0.2">
      <c r="C695" t="str" cm="1">
        <f t="array" ref="C695">IFERROR(_xlfn.XLOOKUP(B695,Locales!$A:$A,Locales!$B:$B,""),"")</f>
        <v/>
      </c>
    </row>
    <row r="696" spans="3:3" x14ac:dyDescent="0.2">
      <c r="C696" t="str" cm="1">
        <f t="array" ref="C696">IFERROR(_xlfn.XLOOKUP(B696,Locales!$A:$A,Locales!$B:$B,""),"")</f>
        <v/>
      </c>
    </row>
    <row r="697" spans="3:3" x14ac:dyDescent="0.2">
      <c r="C697" t="str" cm="1">
        <f t="array" ref="C697">IFERROR(_xlfn.XLOOKUP(B697,Locales!$A:$A,Locales!$B:$B,""),"")</f>
        <v/>
      </c>
    </row>
    <row r="698" spans="3:3" x14ac:dyDescent="0.2">
      <c r="C698" t="str" cm="1">
        <f t="array" ref="C698">IFERROR(_xlfn.XLOOKUP(B698,Locales!$A:$A,Locales!$B:$B,""),"")</f>
        <v/>
      </c>
    </row>
    <row r="699" spans="3:3" x14ac:dyDescent="0.2">
      <c r="C699" t="str" cm="1">
        <f t="array" ref="C699">IFERROR(_xlfn.XLOOKUP(B699,Locales!$A:$A,Locales!$B:$B,""),"")</f>
        <v/>
      </c>
    </row>
    <row r="700" spans="3:3" x14ac:dyDescent="0.2">
      <c r="C700" t="str" cm="1">
        <f t="array" ref="C700">IFERROR(_xlfn.XLOOKUP(B700,Locales!$A:$A,Locales!$B:$B,""),"")</f>
        <v/>
      </c>
    </row>
    <row r="701" spans="3:3" x14ac:dyDescent="0.2">
      <c r="C701" t="str" cm="1">
        <f t="array" ref="C701">IFERROR(_xlfn.XLOOKUP(B701,Locales!$A:$A,Locales!$B:$B,""),"")</f>
        <v/>
      </c>
    </row>
    <row r="702" spans="3:3" x14ac:dyDescent="0.2">
      <c r="C702" t="str" cm="1">
        <f t="array" ref="C702">IFERROR(_xlfn.XLOOKUP(B702,Locales!$A:$A,Locales!$B:$B,""),"")</f>
        <v/>
      </c>
    </row>
    <row r="703" spans="3:3" x14ac:dyDescent="0.2">
      <c r="C703" t="str" cm="1">
        <f t="array" ref="C703">IFERROR(_xlfn.XLOOKUP(B703,Locales!$A:$A,Locales!$B:$B,""),"")</f>
        <v/>
      </c>
    </row>
    <row r="704" spans="3:3" x14ac:dyDescent="0.2">
      <c r="C704" t="str" cm="1">
        <f t="array" ref="C704">IFERROR(_xlfn.XLOOKUP(B704,Locales!$A:$A,Locales!$B:$B,""),"")</f>
        <v/>
      </c>
    </row>
    <row r="705" spans="3:3" x14ac:dyDescent="0.2">
      <c r="C705" t="str" cm="1">
        <f t="array" ref="C705">IFERROR(_xlfn.XLOOKUP(B705,Locales!$A:$A,Locales!$B:$B,""),"")</f>
        <v/>
      </c>
    </row>
    <row r="706" spans="3:3" x14ac:dyDescent="0.2">
      <c r="C706" t="str" cm="1">
        <f t="array" ref="C706">IFERROR(_xlfn.XLOOKUP(B706,Locales!$A:$A,Locales!$B:$B,""),"")</f>
        <v/>
      </c>
    </row>
    <row r="707" spans="3:3" x14ac:dyDescent="0.2">
      <c r="C707" t="str" cm="1">
        <f t="array" ref="C707">IFERROR(_xlfn.XLOOKUP(B707,Locales!$A:$A,Locales!$B:$B,""),"")</f>
        <v/>
      </c>
    </row>
    <row r="708" spans="3:3" x14ac:dyDescent="0.2">
      <c r="C708" t="str" cm="1">
        <f t="array" ref="C708">IFERROR(_xlfn.XLOOKUP(B708,Locales!$A:$A,Locales!$B:$B,""),"")</f>
        <v/>
      </c>
    </row>
    <row r="709" spans="3:3" x14ac:dyDescent="0.2">
      <c r="C709" t="str" cm="1">
        <f t="array" ref="C709">IFERROR(_xlfn.XLOOKUP(B709,Locales!$A:$A,Locales!$B:$B,""),"")</f>
        <v/>
      </c>
    </row>
    <row r="710" spans="3:3" x14ac:dyDescent="0.2">
      <c r="C710" t="str" cm="1">
        <f t="array" ref="C710">IFERROR(_xlfn.XLOOKUP(B710,Locales!$A:$A,Locales!$B:$B,""),"")</f>
        <v/>
      </c>
    </row>
    <row r="711" spans="3:3" x14ac:dyDescent="0.2">
      <c r="C711" t="str" cm="1">
        <f t="array" ref="C711">IFERROR(_xlfn.XLOOKUP(B711,Locales!$A:$A,Locales!$B:$B,""),"")</f>
        <v/>
      </c>
    </row>
    <row r="712" spans="3:3" x14ac:dyDescent="0.2">
      <c r="C712" t="str" cm="1">
        <f t="array" ref="C712">IFERROR(_xlfn.XLOOKUP(B712,Locales!$A:$A,Locales!$B:$B,""),"")</f>
        <v/>
      </c>
    </row>
    <row r="713" spans="3:3" x14ac:dyDescent="0.2">
      <c r="C713" t="str" cm="1">
        <f t="array" ref="C713">IFERROR(_xlfn.XLOOKUP(B713,Locales!$A:$A,Locales!$B:$B,""),"")</f>
        <v/>
      </c>
    </row>
    <row r="714" spans="3:3" x14ac:dyDescent="0.2">
      <c r="C714" t="str" cm="1">
        <f t="array" ref="C714">IFERROR(_xlfn.XLOOKUP(B714,Locales!$A:$A,Locales!$B:$B,""),"")</f>
        <v/>
      </c>
    </row>
    <row r="715" spans="3:3" x14ac:dyDescent="0.2">
      <c r="C715" t="str" cm="1">
        <f t="array" ref="C715">IFERROR(_xlfn.XLOOKUP(B715,Locales!$A:$A,Locales!$B:$B,""),"")</f>
        <v/>
      </c>
    </row>
    <row r="716" spans="3:3" x14ac:dyDescent="0.2">
      <c r="C716" t="str" cm="1">
        <f t="array" ref="C716">IFERROR(_xlfn.XLOOKUP(B716,Locales!$A:$A,Locales!$B:$B,""),"")</f>
        <v/>
      </c>
    </row>
    <row r="717" spans="3:3" x14ac:dyDescent="0.2">
      <c r="C717" t="str" cm="1">
        <f t="array" ref="C717">IFERROR(_xlfn.XLOOKUP(B717,Locales!$A:$A,Locales!$B:$B,""),"")</f>
        <v/>
      </c>
    </row>
    <row r="718" spans="3:3" x14ac:dyDescent="0.2">
      <c r="C718" t="str" cm="1">
        <f t="array" ref="C718">IFERROR(_xlfn.XLOOKUP(B718,Locales!$A:$A,Locales!$B:$B,""),"")</f>
        <v/>
      </c>
    </row>
    <row r="719" spans="3:3" x14ac:dyDescent="0.2">
      <c r="C719" t="str" cm="1">
        <f t="array" ref="C719">IFERROR(_xlfn.XLOOKUP(B719,Locales!$A:$A,Locales!$B:$B,""),"")</f>
        <v/>
      </c>
    </row>
    <row r="720" spans="3:3" x14ac:dyDescent="0.2">
      <c r="C720" t="str" cm="1">
        <f t="array" ref="C720">IFERROR(_xlfn.XLOOKUP(B720,Locales!$A:$A,Locales!$B:$B,""),"")</f>
        <v/>
      </c>
    </row>
    <row r="721" spans="3:3" x14ac:dyDescent="0.2">
      <c r="C721" t="str" cm="1">
        <f t="array" ref="C721">IFERROR(_xlfn.XLOOKUP(B721,Locales!$A:$A,Locales!$B:$B,""),"")</f>
        <v/>
      </c>
    </row>
    <row r="722" spans="3:3" x14ac:dyDescent="0.2">
      <c r="C722" t="str" cm="1">
        <f t="array" ref="C722">IFERROR(_xlfn.XLOOKUP(B722,Locales!$A:$A,Locales!$B:$B,""),"")</f>
        <v/>
      </c>
    </row>
    <row r="723" spans="3:3" x14ac:dyDescent="0.2">
      <c r="C723" t="str" cm="1">
        <f t="array" ref="C723">IFERROR(_xlfn.XLOOKUP(B723,Locales!$A:$A,Locales!$B:$B,""),"")</f>
        <v/>
      </c>
    </row>
    <row r="724" spans="3:3" x14ac:dyDescent="0.2">
      <c r="C724" t="str" cm="1">
        <f t="array" ref="C724">IFERROR(_xlfn.XLOOKUP(B724,Locales!$A:$A,Locales!$B:$B,""),"")</f>
        <v/>
      </c>
    </row>
    <row r="725" spans="3:3" x14ac:dyDescent="0.2">
      <c r="C725" cm="1">
        <f t="array" ref="C725">IFERROR(_xlfn.XLOOKUP(B725,Locales!$A:$A,Locales!$B:$B,""),"")</f>
        <v>0</v>
      </c>
    </row>
    <row r="726" spans="3:3" x14ac:dyDescent="0.2">
      <c r="C726" t="str" cm="1">
        <f t="array" ref="C726">IFERROR(_xlfn.XLOOKUP(B726,Locales!$A:$A,Locales!$B:$B,""),"")</f>
        <v/>
      </c>
    </row>
    <row r="727" spans="3:3" x14ac:dyDescent="0.2">
      <c r="C727" t="str" cm="1">
        <f t="array" ref="C727">IFERROR(_xlfn.XLOOKUP(B727,Locales!$A:$A,Locales!$B:$B,""),"")</f>
        <v/>
      </c>
    </row>
    <row r="728" spans="3:3" x14ac:dyDescent="0.2">
      <c r="C728" t="str" cm="1">
        <f t="array" ref="C728">IFERROR(_xlfn.XLOOKUP(B728,Locales!$A:$A,Locales!$B:$B,""),"")</f>
        <v/>
      </c>
    </row>
    <row r="729" spans="3:3" x14ac:dyDescent="0.2">
      <c r="C729" t="str" cm="1">
        <f t="array" ref="C729">IFERROR(_xlfn.XLOOKUP(B729,Locales!$A:$A,Locales!$B:$B,""),"")</f>
        <v/>
      </c>
    </row>
    <row r="730" spans="3:3" x14ac:dyDescent="0.2">
      <c r="C730" t="str" cm="1">
        <f t="array" ref="C730">IFERROR(_xlfn.XLOOKUP(B730,Locales!$A:$A,Locales!$B:$B,""),"")</f>
        <v/>
      </c>
    </row>
    <row r="731" spans="3:3" x14ac:dyDescent="0.2">
      <c r="C731" t="str" cm="1">
        <f t="array" ref="C731">IFERROR(_xlfn.XLOOKUP(B731,Locales!$A:$A,Locales!$B:$B,""),"")</f>
        <v/>
      </c>
    </row>
    <row r="732" spans="3:3" x14ac:dyDescent="0.2">
      <c r="C732" t="str" cm="1">
        <f t="array" ref="C732">IFERROR(_xlfn.XLOOKUP(B732,Locales!$A:$A,Locales!$B:$B,""),"")</f>
        <v/>
      </c>
    </row>
    <row r="733" spans="3:3" x14ac:dyDescent="0.2">
      <c r="C733" cm="1">
        <f t="array" ref="C733">IFERROR(_xlfn.XLOOKUP(B733,Locales!$A:$A,Locales!$B:$B,""),"")</f>
        <v>0</v>
      </c>
    </row>
    <row r="734" spans="3:3" x14ac:dyDescent="0.2">
      <c r="C734" t="str" cm="1">
        <f t="array" ref="C734">IFERROR(_xlfn.XLOOKUP(B734,Locales!$A:$A,Locales!$B:$B,""),"")</f>
        <v/>
      </c>
    </row>
    <row r="735" spans="3:3" x14ac:dyDescent="0.2">
      <c r="C735" t="str" cm="1">
        <f t="array" ref="C735">IFERROR(_xlfn.XLOOKUP(B735,Locales!$A:$A,Locales!$B:$B,""),"")</f>
        <v/>
      </c>
    </row>
    <row r="736" spans="3:3" x14ac:dyDescent="0.2">
      <c r="C736" t="str" cm="1">
        <f t="array" ref="C736">IFERROR(_xlfn.XLOOKUP(B736,Locales!$A:$A,Locales!$B:$B,""),"")</f>
        <v/>
      </c>
    </row>
    <row r="737" spans="3:3" x14ac:dyDescent="0.2">
      <c r="C737" t="str" cm="1">
        <f t="array" ref="C737">IFERROR(_xlfn.XLOOKUP(B737,Locales!$A:$A,Locales!$B:$B,""),"")</f>
        <v/>
      </c>
    </row>
    <row r="738" spans="3:3" x14ac:dyDescent="0.2">
      <c r="C738" t="str" cm="1">
        <f t="array" ref="C738">IFERROR(_xlfn.XLOOKUP(B738,Locales!$A:$A,Locales!$B:$B,""),"")</f>
        <v/>
      </c>
    </row>
    <row r="739" spans="3:3" x14ac:dyDescent="0.2">
      <c r="C739" t="str" cm="1">
        <f t="array" ref="C739">IFERROR(_xlfn.XLOOKUP(B739,Locales!$A:$A,Locales!$B:$B,""),"")</f>
        <v/>
      </c>
    </row>
    <row r="740" spans="3:3" x14ac:dyDescent="0.2">
      <c r="C740" t="str" cm="1">
        <f t="array" ref="C740">IFERROR(_xlfn.XLOOKUP(B740,Locales!$A:$A,Locales!$B:$B,""),"")</f>
        <v/>
      </c>
    </row>
    <row r="741" spans="3:3" x14ac:dyDescent="0.2">
      <c r="C741" t="str" cm="1">
        <f t="array" ref="C741">IFERROR(_xlfn.XLOOKUP(B741,Locales!$A:$A,Locales!$B:$B,""),"")</f>
        <v/>
      </c>
    </row>
    <row r="742" spans="3:3" x14ac:dyDescent="0.2">
      <c r="C742" t="str" cm="1">
        <f t="array" ref="C742">IFERROR(_xlfn.XLOOKUP(B742,Locales!$A:$A,Locales!$B:$B,""),"")</f>
        <v/>
      </c>
    </row>
    <row r="743" spans="3:3" x14ac:dyDescent="0.2">
      <c r="C743" t="str" cm="1">
        <f t="array" ref="C743">IFERROR(_xlfn.XLOOKUP(B743,Locales!$A:$A,Locales!$B:$B,""),"")</f>
        <v/>
      </c>
    </row>
    <row r="744" spans="3:3" x14ac:dyDescent="0.2">
      <c r="C744" t="str" cm="1">
        <f t="array" ref="C744">IFERROR(_xlfn.XLOOKUP(B744,Locales!$A:$A,Locales!$B:$B,""),"")</f>
        <v/>
      </c>
    </row>
    <row r="745" spans="3:3" x14ac:dyDescent="0.2">
      <c r="C745" t="str" cm="1">
        <f t="array" ref="C745">IFERROR(_xlfn.XLOOKUP(B745,Locales!$A:$A,Locales!$B:$B,""),"")</f>
        <v/>
      </c>
    </row>
    <row r="746" spans="3:3" x14ac:dyDescent="0.2">
      <c r="C746" t="str" cm="1">
        <f t="array" ref="C746">IFERROR(_xlfn.XLOOKUP(B746,Locales!$A:$A,Locales!$B:$B,""),"")</f>
        <v/>
      </c>
    </row>
    <row r="747" spans="3:3" x14ac:dyDescent="0.2">
      <c r="C747" t="str" cm="1">
        <f t="array" ref="C747">IFERROR(_xlfn.XLOOKUP(B747,Locales!$A:$A,Locales!$B:$B,""),"")</f>
        <v/>
      </c>
    </row>
    <row r="748" spans="3:3" x14ac:dyDescent="0.2">
      <c r="C748" t="str" cm="1">
        <f t="array" ref="C748">IFERROR(_xlfn.XLOOKUP(B748,Locales!$A:$A,Locales!$B:$B,""),"")</f>
        <v/>
      </c>
    </row>
    <row r="749" spans="3:3" x14ac:dyDescent="0.2">
      <c r="C749" t="str" cm="1">
        <f t="array" ref="C749">IFERROR(_xlfn.XLOOKUP(B749,Locales!$A:$A,Locales!$B:$B,""),"")</f>
        <v/>
      </c>
    </row>
    <row r="750" spans="3:3" x14ac:dyDescent="0.2">
      <c r="C750" t="str" cm="1">
        <f t="array" ref="C750">IFERROR(_xlfn.XLOOKUP(B750,Locales!$A:$A,Locales!$B:$B,""),"")</f>
        <v/>
      </c>
    </row>
    <row r="751" spans="3:3" x14ac:dyDescent="0.2">
      <c r="C751" t="str" cm="1">
        <f t="array" ref="C751">IFERROR(_xlfn.XLOOKUP(B751,Locales!$A:$A,Locales!$B:$B,""),"")</f>
        <v/>
      </c>
    </row>
    <row r="752" spans="3:3" x14ac:dyDescent="0.2">
      <c r="C752" t="str" cm="1">
        <f t="array" ref="C752">IFERROR(_xlfn.XLOOKUP(B752,Locales!$A:$A,Locales!$B:$B,""),"")</f>
        <v/>
      </c>
    </row>
    <row r="753" spans="3:3" x14ac:dyDescent="0.2">
      <c r="C753" t="str" cm="1">
        <f t="array" ref="C753">IFERROR(_xlfn.XLOOKUP(B753,Locales!$A:$A,Locales!$B:$B,""),"")</f>
        <v/>
      </c>
    </row>
    <row r="754" spans="3:3" x14ac:dyDescent="0.2">
      <c r="C754" t="str" cm="1">
        <f t="array" ref="C754">IFERROR(_xlfn.XLOOKUP(B754,Locales!$A:$A,Locales!$B:$B,""),"")</f>
        <v/>
      </c>
    </row>
    <row r="755" spans="3:3" x14ac:dyDescent="0.2">
      <c r="C755" t="str" cm="1">
        <f t="array" ref="C755">IFERROR(_xlfn.XLOOKUP(B755,Locales!$A:$A,Locales!$B:$B,""),"")</f>
        <v/>
      </c>
    </row>
    <row r="756" spans="3:3" x14ac:dyDescent="0.2">
      <c r="C756" t="str" cm="1">
        <f t="array" ref="C756">IFERROR(_xlfn.XLOOKUP(B756,Locales!$A:$A,Locales!$B:$B,""),"")</f>
        <v/>
      </c>
    </row>
    <row r="757" spans="3:3" x14ac:dyDescent="0.2">
      <c r="C757" cm="1">
        <f t="array" ref="C757">IFERROR(_xlfn.XLOOKUP(B757,Locales!$A:$A,Locales!$B:$B,""),"")</f>
        <v>0</v>
      </c>
    </row>
    <row r="758" spans="3:3" x14ac:dyDescent="0.2">
      <c r="C758" t="str" cm="1">
        <f t="array" ref="C758">IFERROR(_xlfn.XLOOKUP(B758,Locales!$A:$A,Locales!$B:$B,""),"")</f>
        <v/>
      </c>
    </row>
    <row r="759" spans="3:3" x14ac:dyDescent="0.2">
      <c r="C759" t="str" cm="1">
        <f t="array" ref="C759">IFERROR(_xlfn.XLOOKUP(B759,Locales!$A:$A,Locales!$B:$B,""),"")</f>
        <v/>
      </c>
    </row>
    <row r="760" spans="3:3" x14ac:dyDescent="0.2">
      <c r="C760" t="str" cm="1">
        <f t="array" ref="C760">IFERROR(_xlfn.XLOOKUP(B760,Locales!$A:$A,Locales!$B:$B,""),"")</f>
        <v/>
      </c>
    </row>
    <row r="761" spans="3:3" x14ac:dyDescent="0.2">
      <c r="C761" t="str" cm="1">
        <f t="array" ref="C761">IFERROR(_xlfn.XLOOKUP(B761,Locales!$A:$A,Locales!$B:$B,""),"")</f>
        <v/>
      </c>
    </row>
    <row r="762" spans="3:3" x14ac:dyDescent="0.2">
      <c r="C762" t="str" cm="1">
        <f t="array" ref="C762">IFERROR(_xlfn.XLOOKUP(B762,Locales!$A:$A,Locales!$B:$B,""),"")</f>
        <v/>
      </c>
    </row>
    <row r="763" spans="3:3" x14ac:dyDescent="0.2">
      <c r="C763" t="str" cm="1">
        <f t="array" ref="C763">IFERROR(_xlfn.XLOOKUP(B763,Locales!$A:$A,Locales!$B:$B,""),"")</f>
        <v/>
      </c>
    </row>
    <row r="764" spans="3:3" x14ac:dyDescent="0.2">
      <c r="C764" t="str" cm="1">
        <f t="array" ref="C764">IFERROR(_xlfn.XLOOKUP(B764,Locales!$A:$A,Locales!$B:$B,""),"")</f>
        <v/>
      </c>
    </row>
    <row r="765" spans="3:3" x14ac:dyDescent="0.2">
      <c r="C765" t="str" cm="1">
        <f t="array" ref="C765">IFERROR(_xlfn.XLOOKUP(B765,Locales!$A:$A,Locales!$B:$B,""),"")</f>
        <v/>
      </c>
    </row>
    <row r="766" spans="3:3" x14ac:dyDescent="0.2">
      <c r="C766" t="str" cm="1">
        <f t="array" ref="C766">IFERROR(_xlfn.XLOOKUP(B766,Locales!$A:$A,Locales!$B:$B,""),"")</f>
        <v/>
      </c>
    </row>
    <row r="767" spans="3:3" x14ac:dyDescent="0.2">
      <c r="C767" t="str" cm="1">
        <f t="array" ref="C767">IFERROR(_xlfn.XLOOKUP(B767,Locales!$A:$A,Locales!$B:$B,""),"")</f>
        <v/>
      </c>
    </row>
    <row r="768" spans="3:3" x14ac:dyDescent="0.2">
      <c r="C768" t="str" cm="1">
        <f t="array" ref="C768">IFERROR(_xlfn.XLOOKUP(B768,Locales!$A:$A,Locales!$B:$B,""),"")</f>
        <v/>
      </c>
    </row>
    <row r="769" spans="3:3" x14ac:dyDescent="0.2">
      <c r="C769" t="str" cm="1">
        <f t="array" ref="C769">IFERROR(_xlfn.XLOOKUP(B769,Locales!$A:$A,Locales!$B:$B,""),"")</f>
        <v/>
      </c>
    </row>
    <row r="770" spans="3:3" x14ac:dyDescent="0.2">
      <c r="C770" t="str" cm="1">
        <f t="array" ref="C770">IFERROR(_xlfn.XLOOKUP(B770,Locales!$A:$A,Locales!$B:$B,""),"")</f>
        <v/>
      </c>
    </row>
    <row r="771" spans="3:3" x14ac:dyDescent="0.2">
      <c r="C771" t="str" cm="1">
        <f t="array" ref="C771">IFERROR(_xlfn.XLOOKUP(B771,Locales!$A:$A,Locales!$B:$B,""),"")</f>
        <v/>
      </c>
    </row>
    <row r="772" spans="3:3" x14ac:dyDescent="0.2">
      <c r="C772" t="str" cm="1">
        <f t="array" ref="C772">IFERROR(_xlfn.XLOOKUP(B772,Locales!$A:$A,Locales!$B:$B,""),"")</f>
        <v/>
      </c>
    </row>
    <row r="773" spans="3:3" x14ac:dyDescent="0.2">
      <c r="C773" t="str" cm="1">
        <f t="array" ref="C773">IFERROR(_xlfn.XLOOKUP(B773,Locales!$A:$A,Locales!$B:$B,""),"")</f>
        <v/>
      </c>
    </row>
    <row r="774" spans="3:3" x14ac:dyDescent="0.2">
      <c r="C774" t="str" cm="1">
        <f t="array" ref="C774">IFERROR(_xlfn.XLOOKUP(B774,Locales!$A:$A,Locales!$B:$B,""),"")</f>
        <v/>
      </c>
    </row>
    <row r="775" spans="3:3" x14ac:dyDescent="0.2">
      <c r="C775" t="str" cm="1">
        <f t="array" ref="C775">IFERROR(_xlfn.XLOOKUP(B775,Locales!$A:$A,Locales!$B:$B,""),"")</f>
        <v/>
      </c>
    </row>
    <row r="776" spans="3:3" x14ac:dyDescent="0.2">
      <c r="C776" t="str" cm="1">
        <f t="array" ref="C776">IFERROR(_xlfn.XLOOKUP(B776,Locales!$A:$A,Locales!$B:$B,""),"")</f>
        <v/>
      </c>
    </row>
    <row r="777" spans="3:3" x14ac:dyDescent="0.2">
      <c r="C777" t="str" cm="1">
        <f t="array" ref="C777">IFERROR(_xlfn.XLOOKUP(B777,Locales!$A:$A,Locales!$B:$B,""),"")</f>
        <v/>
      </c>
    </row>
    <row r="778" spans="3:3" x14ac:dyDescent="0.2">
      <c r="C778" t="str" cm="1">
        <f t="array" ref="C778">IFERROR(_xlfn.XLOOKUP(B778,Locales!$A:$A,Locales!$B:$B,""),"")</f>
        <v/>
      </c>
    </row>
    <row r="779" spans="3:3" x14ac:dyDescent="0.2">
      <c r="C779" t="str" cm="1">
        <f t="array" ref="C779">IFERROR(_xlfn.XLOOKUP(B779,Locales!$A:$A,Locales!$B:$B,""),"")</f>
        <v/>
      </c>
    </row>
    <row r="780" spans="3:3" x14ac:dyDescent="0.2">
      <c r="C780" t="str" cm="1">
        <f t="array" ref="C780">IFERROR(_xlfn.XLOOKUP(B780,Locales!$A:$A,Locales!$B:$B,""),"")</f>
        <v/>
      </c>
    </row>
    <row r="781" spans="3:3" x14ac:dyDescent="0.2">
      <c r="C781" t="str" cm="1">
        <f t="array" ref="C781">IFERROR(_xlfn.XLOOKUP(B781,Locales!$A:$A,Locales!$B:$B,""),"")</f>
        <v/>
      </c>
    </row>
    <row r="782" spans="3:3" x14ac:dyDescent="0.2">
      <c r="C782" t="str" cm="1">
        <f t="array" ref="C782">IFERROR(_xlfn.XLOOKUP(B782,Locales!$A:$A,Locales!$B:$B,""),"")</f>
        <v/>
      </c>
    </row>
    <row r="783" spans="3:3" x14ac:dyDescent="0.2">
      <c r="C783" t="str" cm="1">
        <f t="array" ref="C783">IFERROR(_xlfn.XLOOKUP(B783,Locales!$A:$A,Locales!$B:$B,""),"")</f>
        <v/>
      </c>
    </row>
    <row r="784" spans="3:3" x14ac:dyDescent="0.2">
      <c r="C784" t="str" cm="1">
        <f t="array" ref="C784">IFERROR(_xlfn.XLOOKUP(B784,Locales!$A:$A,Locales!$B:$B,""),"")</f>
        <v/>
      </c>
    </row>
    <row r="785" spans="3:3" x14ac:dyDescent="0.2">
      <c r="C785" t="str" cm="1">
        <f t="array" ref="C785">IFERROR(_xlfn.XLOOKUP(B785,Locales!$A:$A,Locales!$B:$B,""),"")</f>
        <v/>
      </c>
    </row>
    <row r="786" spans="3:3" x14ac:dyDescent="0.2">
      <c r="C786" t="str" cm="1">
        <f t="array" ref="C786">IFERROR(_xlfn.XLOOKUP(B786,Locales!$A:$A,Locales!$B:$B,""),"")</f>
        <v/>
      </c>
    </row>
    <row r="787" spans="3:3" x14ac:dyDescent="0.2">
      <c r="C787" t="str" cm="1">
        <f t="array" ref="C787">IFERROR(_xlfn.XLOOKUP(B787,Locales!$A:$A,Locales!$B:$B,""),"")</f>
        <v/>
      </c>
    </row>
    <row r="788" spans="3:3" x14ac:dyDescent="0.2">
      <c r="C788" t="str" cm="1">
        <f t="array" ref="C788">IFERROR(_xlfn.XLOOKUP(B788,Locales!$A:$A,Locales!$B:$B,""),"")</f>
        <v/>
      </c>
    </row>
    <row r="789" spans="3:3" x14ac:dyDescent="0.2">
      <c r="C789" cm="1">
        <f t="array" ref="C789">IFERROR(_xlfn.XLOOKUP(B789,Locales!$A:$A,Locales!$B:$B,""),"")</f>
        <v>0</v>
      </c>
    </row>
    <row r="790" spans="3:3" x14ac:dyDescent="0.2">
      <c r="C790" t="str" cm="1">
        <f t="array" ref="C790">IFERROR(_xlfn.XLOOKUP(B790,Locales!$A:$A,Locales!$B:$B,""),"")</f>
        <v/>
      </c>
    </row>
    <row r="791" spans="3:3" x14ac:dyDescent="0.2">
      <c r="C791" t="str" cm="1">
        <f t="array" ref="C791">IFERROR(_xlfn.XLOOKUP(B791,Locales!$A:$A,Locales!$B:$B,""),"")</f>
        <v/>
      </c>
    </row>
    <row r="792" spans="3:3" x14ac:dyDescent="0.2">
      <c r="C792" t="str" cm="1">
        <f t="array" ref="C792">IFERROR(_xlfn.XLOOKUP(B792,Locales!$A:$A,Locales!$B:$B,""),"")</f>
        <v/>
      </c>
    </row>
    <row r="793" spans="3:3" x14ac:dyDescent="0.2">
      <c r="C793" t="str" cm="1">
        <f t="array" ref="C793">IFERROR(_xlfn.XLOOKUP(B793,Locales!$A:$A,Locales!$B:$B,""),"")</f>
        <v/>
      </c>
    </row>
    <row r="794" spans="3:3" x14ac:dyDescent="0.2">
      <c r="C794" t="str" cm="1">
        <f t="array" ref="C794">IFERROR(_xlfn.XLOOKUP(B794,Locales!$A:$A,Locales!$B:$B,""),"")</f>
        <v/>
      </c>
    </row>
    <row r="795" spans="3:3" x14ac:dyDescent="0.2">
      <c r="C795" t="str" cm="1">
        <f t="array" ref="C795">IFERROR(_xlfn.XLOOKUP(B795,Locales!$A:$A,Locales!$B:$B,""),"")</f>
        <v/>
      </c>
    </row>
    <row r="796" spans="3:3" x14ac:dyDescent="0.2">
      <c r="C796" t="str" cm="1">
        <f t="array" ref="C796">IFERROR(_xlfn.XLOOKUP(B796,Locales!$A:$A,Locales!$B:$B,""),"")</f>
        <v/>
      </c>
    </row>
    <row r="797" spans="3:3" x14ac:dyDescent="0.2">
      <c r="C797" t="str" cm="1">
        <f t="array" ref="C797">IFERROR(_xlfn.XLOOKUP(B797,Locales!$A:$A,Locales!$B:$B,""),"")</f>
        <v/>
      </c>
    </row>
    <row r="798" spans="3:3" x14ac:dyDescent="0.2">
      <c r="C798" t="str" cm="1">
        <f t="array" ref="C798">IFERROR(_xlfn.XLOOKUP(B798,Locales!$A:$A,Locales!$B:$B,""),"")</f>
        <v/>
      </c>
    </row>
    <row r="799" spans="3:3" x14ac:dyDescent="0.2">
      <c r="C799" t="str" cm="1">
        <f t="array" ref="C799">IFERROR(_xlfn.XLOOKUP(B799,Locales!$A:$A,Locales!$B:$B,""),"")</f>
        <v/>
      </c>
    </row>
    <row r="800" spans="3:3" x14ac:dyDescent="0.2">
      <c r="C800" t="str" cm="1">
        <f t="array" ref="C800">IFERROR(_xlfn.XLOOKUP(B800,Locales!$A:$A,Locales!$B:$B,""),"")</f>
        <v/>
      </c>
    </row>
    <row r="801" spans="3:3" x14ac:dyDescent="0.2">
      <c r="C801" t="str" cm="1">
        <f t="array" ref="C801">IFERROR(_xlfn.XLOOKUP(B801,Locales!$A:$A,Locales!$B:$B,""),"")</f>
        <v/>
      </c>
    </row>
    <row r="802" spans="3:3" x14ac:dyDescent="0.2">
      <c r="C802" t="str" cm="1">
        <f t="array" ref="C802">IFERROR(_xlfn.XLOOKUP(B802,Locales!$A:$A,Locales!$B:$B,""),"")</f>
        <v/>
      </c>
    </row>
    <row r="803" spans="3:3" x14ac:dyDescent="0.2">
      <c r="C803" t="str" cm="1">
        <f t="array" ref="C803">IFERROR(_xlfn.XLOOKUP(B803,Locales!$A:$A,Locales!$B:$B,""),"")</f>
        <v/>
      </c>
    </row>
    <row r="804" spans="3:3" x14ac:dyDescent="0.2">
      <c r="C804" t="str" cm="1">
        <f t="array" ref="C804">IFERROR(_xlfn.XLOOKUP(B804,Locales!$A:$A,Locales!$B:$B,""),"")</f>
        <v/>
      </c>
    </row>
    <row r="805" spans="3:3" x14ac:dyDescent="0.2">
      <c r="C805" t="str" cm="1">
        <f t="array" ref="C805">IFERROR(_xlfn.XLOOKUP(B805,Locales!$A:$A,Locales!$B:$B,""),"")</f>
        <v/>
      </c>
    </row>
    <row r="806" spans="3:3" x14ac:dyDescent="0.2">
      <c r="C806" t="str" cm="1">
        <f t="array" ref="C806">IFERROR(_xlfn.XLOOKUP(B806,Locales!$A:$A,Locales!$B:$B,""),"")</f>
        <v/>
      </c>
    </row>
    <row r="807" spans="3:3" x14ac:dyDescent="0.2">
      <c r="C807" t="str" cm="1">
        <f t="array" ref="C807">IFERROR(_xlfn.XLOOKUP(B807,Locales!$A:$A,Locales!$B:$B,""),"")</f>
        <v/>
      </c>
    </row>
    <row r="808" spans="3:3" x14ac:dyDescent="0.2">
      <c r="C808" t="str" cm="1">
        <f t="array" ref="C808">IFERROR(_xlfn.XLOOKUP(B808,Locales!$A:$A,Locales!$B:$B,""),"")</f>
        <v/>
      </c>
    </row>
    <row r="809" spans="3:3" x14ac:dyDescent="0.2">
      <c r="C809" t="str" cm="1">
        <f t="array" ref="C809">IFERROR(_xlfn.XLOOKUP(B809,Locales!$A:$A,Locales!$B:$B,""),"")</f>
        <v/>
      </c>
    </row>
    <row r="810" spans="3:3" x14ac:dyDescent="0.2">
      <c r="C810" t="str" cm="1">
        <f t="array" ref="C810">IFERROR(_xlfn.XLOOKUP(B810,Locales!$A:$A,Locales!$B:$B,""),"")</f>
        <v/>
      </c>
    </row>
    <row r="811" spans="3:3" x14ac:dyDescent="0.2">
      <c r="C811" t="str" cm="1">
        <f t="array" ref="C811">IFERROR(_xlfn.XLOOKUP(B811,Locales!$A:$A,Locales!$B:$B,""),"")</f>
        <v/>
      </c>
    </row>
    <row r="812" spans="3:3" x14ac:dyDescent="0.2">
      <c r="C812" t="str" cm="1">
        <f t="array" ref="C812">IFERROR(_xlfn.XLOOKUP(B812,Locales!$A:$A,Locales!$B:$B,""),"")</f>
        <v/>
      </c>
    </row>
    <row r="813" spans="3:3" x14ac:dyDescent="0.2">
      <c r="C813" t="str" cm="1">
        <f t="array" ref="C813">IFERROR(_xlfn.XLOOKUP(B813,Locales!$A:$A,Locales!$B:$B,""),"")</f>
        <v/>
      </c>
    </row>
    <row r="814" spans="3:3" x14ac:dyDescent="0.2">
      <c r="C814" t="str" cm="1">
        <f t="array" ref="C814">IFERROR(_xlfn.XLOOKUP(B814,Locales!$A:$A,Locales!$B:$B,""),"")</f>
        <v/>
      </c>
    </row>
    <row r="815" spans="3:3" x14ac:dyDescent="0.2">
      <c r="C815" t="str" cm="1">
        <f t="array" ref="C815">IFERROR(_xlfn.XLOOKUP(B815,Locales!$A:$A,Locales!$B:$B,""),"")</f>
        <v/>
      </c>
    </row>
    <row r="816" spans="3:3" x14ac:dyDescent="0.2">
      <c r="C816" t="str" cm="1">
        <f t="array" ref="C816">IFERROR(_xlfn.XLOOKUP(B816,Locales!$A:$A,Locales!$B:$B,""),"")</f>
        <v/>
      </c>
    </row>
    <row r="817" spans="3:3" x14ac:dyDescent="0.2">
      <c r="C817" t="str" cm="1">
        <f t="array" ref="C817">IFERROR(_xlfn.XLOOKUP(B817,Locales!$A:$A,Locales!$B:$B,""),"")</f>
        <v/>
      </c>
    </row>
    <row r="818" spans="3:3" x14ac:dyDescent="0.2">
      <c r="C818" t="str" cm="1">
        <f t="array" ref="C818">IFERROR(_xlfn.XLOOKUP(B818,Locales!$A:$A,Locales!$B:$B,""),"")</f>
        <v/>
      </c>
    </row>
    <row r="819" spans="3:3" x14ac:dyDescent="0.2">
      <c r="C819" t="str" cm="1">
        <f t="array" ref="C819">IFERROR(_xlfn.XLOOKUP(B819,Locales!$A:$A,Locales!$B:$B,""),"")</f>
        <v/>
      </c>
    </row>
    <row r="820" spans="3:3" x14ac:dyDescent="0.2">
      <c r="C820" t="str" cm="1">
        <f t="array" ref="C820">IFERROR(_xlfn.XLOOKUP(B820,Locales!$A:$A,Locales!$B:$B,""),"")</f>
        <v/>
      </c>
    </row>
    <row r="821" spans="3:3" x14ac:dyDescent="0.2">
      <c r="C821" t="str" cm="1">
        <f t="array" ref="C821">IFERROR(_xlfn.XLOOKUP(B821,Locales!$A:$A,Locales!$B:$B,""),"")</f>
        <v/>
      </c>
    </row>
    <row r="822" spans="3:3" x14ac:dyDescent="0.2">
      <c r="C822" t="str" cm="1">
        <f t="array" ref="C822">IFERROR(_xlfn.XLOOKUP(B822,Locales!$A:$A,Locales!$B:$B,""),"")</f>
        <v/>
      </c>
    </row>
    <row r="823" spans="3:3" x14ac:dyDescent="0.2">
      <c r="C823" t="str" cm="1">
        <f t="array" ref="C823">IFERROR(_xlfn.XLOOKUP(B823,Locales!$A:$A,Locales!$B:$B,""),"")</f>
        <v/>
      </c>
    </row>
    <row r="824" spans="3:3" x14ac:dyDescent="0.2">
      <c r="C824" t="str" cm="1">
        <f t="array" ref="C824">IFERROR(_xlfn.XLOOKUP(B824,Locales!$A:$A,Locales!$B:$B,""),"")</f>
        <v/>
      </c>
    </row>
    <row r="825" spans="3:3" x14ac:dyDescent="0.2">
      <c r="C825" t="str" cm="1">
        <f t="array" ref="C825">IFERROR(_xlfn.XLOOKUP(B825,Locales!$A:$A,Locales!$B:$B,""),"")</f>
        <v/>
      </c>
    </row>
    <row r="826" spans="3:3" x14ac:dyDescent="0.2">
      <c r="C826" t="str" cm="1">
        <f t="array" ref="C826">IFERROR(_xlfn.XLOOKUP(B826,Locales!$A:$A,Locales!$B:$B,""),"")</f>
        <v/>
      </c>
    </row>
    <row r="827" spans="3:3" x14ac:dyDescent="0.2">
      <c r="C827" t="str" cm="1">
        <f t="array" ref="C827">IFERROR(_xlfn.XLOOKUP(B827,Locales!$A:$A,Locales!$B:$B,""),"")</f>
        <v/>
      </c>
    </row>
    <row r="828" spans="3:3" x14ac:dyDescent="0.2">
      <c r="C828" t="str" cm="1">
        <f t="array" ref="C828">IFERROR(_xlfn.XLOOKUP(B828,Locales!$A:$A,Locales!$B:$B,""),"")</f>
        <v/>
      </c>
    </row>
    <row r="829" spans="3:3" x14ac:dyDescent="0.2">
      <c r="C829" t="str" cm="1">
        <f t="array" ref="C829">IFERROR(_xlfn.XLOOKUP(B829,Locales!$A:$A,Locales!$B:$B,""),"")</f>
        <v/>
      </c>
    </row>
    <row r="830" spans="3:3" x14ac:dyDescent="0.2">
      <c r="C830" t="str" cm="1">
        <f t="array" ref="C830">IFERROR(_xlfn.XLOOKUP(B830,Locales!$A:$A,Locales!$B:$B,""),"")</f>
        <v/>
      </c>
    </row>
    <row r="831" spans="3:3" x14ac:dyDescent="0.2">
      <c r="C831" t="str" cm="1">
        <f t="array" ref="C831">IFERROR(_xlfn.XLOOKUP(B831,Locales!$A:$A,Locales!$B:$B,""),"")</f>
        <v/>
      </c>
    </row>
    <row r="832" spans="3:3" x14ac:dyDescent="0.2">
      <c r="C832" t="str" cm="1">
        <f t="array" ref="C832">IFERROR(_xlfn.XLOOKUP(B832,Locales!$A:$A,Locales!$B:$B,""),"")</f>
        <v/>
      </c>
    </row>
    <row r="833" spans="3:3" x14ac:dyDescent="0.2">
      <c r="C833" t="str" cm="1">
        <f t="array" ref="C833">IFERROR(_xlfn.XLOOKUP(B833,Locales!$A:$A,Locales!$B:$B,""),"")</f>
        <v/>
      </c>
    </row>
    <row r="834" spans="3:3" x14ac:dyDescent="0.2">
      <c r="C834" t="str" cm="1">
        <f t="array" ref="C834">IFERROR(_xlfn.XLOOKUP(B834,Locales!$A:$A,Locales!$B:$B,""),"")</f>
        <v/>
      </c>
    </row>
    <row r="835" spans="3:3" x14ac:dyDescent="0.2">
      <c r="C835" t="str" cm="1">
        <f t="array" ref="C835">IFERROR(_xlfn.XLOOKUP(B835,Locales!$A:$A,Locales!$B:$B,""),"")</f>
        <v/>
      </c>
    </row>
    <row r="836" spans="3:3" x14ac:dyDescent="0.2">
      <c r="C836" t="str" cm="1">
        <f t="array" ref="C836">IFERROR(_xlfn.XLOOKUP(B836,Locales!$A:$A,Locales!$B:$B,""),"")</f>
        <v/>
      </c>
    </row>
    <row r="837" spans="3:3" x14ac:dyDescent="0.2">
      <c r="C837" cm="1">
        <f t="array" ref="C837">IFERROR(_xlfn.XLOOKUP(B837,Locales!$A:$A,Locales!$B:$B,""),"")</f>
        <v>0</v>
      </c>
    </row>
    <row r="838" spans="3:3" x14ac:dyDescent="0.2">
      <c r="C838" t="str" cm="1">
        <f t="array" ref="C838">IFERROR(_xlfn.XLOOKUP(B838,Locales!$A:$A,Locales!$B:$B,""),"")</f>
        <v/>
      </c>
    </row>
    <row r="839" spans="3:3" x14ac:dyDescent="0.2">
      <c r="C839" t="str" cm="1">
        <f t="array" ref="C839">IFERROR(_xlfn.XLOOKUP(B839,Locales!$A:$A,Locales!$B:$B,""),"")</f>
        <v/>
      </c>
    </row>
    <row r="840" spans="3:3" x14ac:dyDescent="0.2">
      <c r="C840" t="str" cm="1">
        <f t="array" ref="C840">IFERROR(_xlfn.XLOOKUP(B840,Locales!$A:$A,Locales!$B:$B,""),"")</f>
        <v/>
      </c>
    </row>
    <row r="841" spans="3:3" x14ac:dyDescent="0.2">
      <c r="C841" t="str" cm="1">
        <f t="array" ref="C841">IFERROR(_xlfn.XLOOKUP(B841,Locales!$A:$A,Locales!$B:$B,""),"")</f>
        <v/>
      </c>
    </row>
    <row r="842" spans="3:3" x14ac:dyDescent="0.2">
      <c r="C842" t="str" cm="1">
        <f t="array" ref="C842">IFERROR(_xlfn.XLOOKUP(B842,Locales!$A:$A,Locales!$B:$B,""),"")</f>
        <v/>
      </c>
    </row>
    <row r="843" spans="3:3" x14ac:dyDescent="0.2">
      <c r="C843" t="str" cm="1">
        <f t="array" ref="C843">IFERROR(_xlfn.XLOOKUP(B843,Locales!$A:$A,Locales!$B:$B,""),"")</f>
        <v/>
      </c>
    </row>
    <row r="844" spans="3:3" x14ac:dyDescent="0.2">
      <c r="C844" t="str" cm="1">
        <f t="array" ref="C844">IFERROR(_xlfn.XLOOKUP(B844,Locales!$A:$A,Locales!$B:$B,""),"")</f>
        <v/>
      </c>
    </row>
    <row r="845" spans="3:3" x14ac:dyDescent="0.2">
      <c r="C845" t="str" cm="1">
        <f t="array" ref="C845">IFERROR(_xlfn.XLOOKUP(B845,Locales!$A:$A,Locales!$B:$B,""),"")</f>
        <v/>
      </c>
    </row>
    <row r="846" spans="3:3" x14ac:dyDescent="0.2">
      <c r="C846" t="str" cm="1">
        <f t="array" ref="C846">IFERROR(_xlfn.XLOOKUP(B846,Locales!$A:$A,Locales!$B:$B,""),"")</f>
        <v/>
      </c>
    </row>
    <row r="847" spans="3:3" x14ac:dyDescent="0.2">
      <c r="C847" t="str" cm="1">
        <f t="array" ref="C847">IFERROR(_xlfn.XLOOKUP(B847,Locales!$A:$A,Locales!$B:$B,""),"")</f>
        <v/>
      </c>
    </row>
    <row r="848" spans="3:3" x14ac:dyDescent="0.2">
      <c r="C848" t="str" cm="1">
        <f t="array" ref="C848">IFERROR(_xlfn.XLOOKUP(B848,Locales!$A:$A,Locales!$B:$B,""),"")</f>
        <v/>
      </c>
    </row>
    <row r="849" spans="3:3" x14ac:dyDescent="0.2">
      <c r="C849" t="str" cm="1">
        <f t="array" ref="C849">IFERROR(_xlfn.XLOOKUP(B849,Locales!$A:$A,Locales!$B:$B,""),"")</f>
        <v/>
      </c>
    </row>
    <row r="850" spans="3:3" x14ac:dyDescent="0.2">
      <c r="C850" t="str" cm="1">
        <f t="array" ref="C850">IFERROR(_xlfn.XLOOKUP(B850,Locales!$A:$A,Locales!$B:$B,""),"")</f>
        <v/>
      </c>
    </row>
    <row r="851" spans="3:3" x14ac:dyDescent="0.2">
      <c r="C851" t="str" cm="1">
        <f t="array" ref="C851">IFERROR(_xlfn.XLOOKUP(B851,Locales!$A:$A,Locales!$B:$B,""),"")</f>
        <v/>
      </c>
    </row>
    <row r="852" spans="3:3" x14ac:dyDescent="0.2">
      <c r="C852" t="str" cm="1">
        <f t="array" ref="C852">IFERROR(_xlfn.XLOOKUP(B852,Locales!$A:$A,Locales!$B:$B,""),"")</f>
        <v/>
      </c>
    </row>
    <row r="853" spans="3:3" x14ac:dyDescent="0.2">
      <c r="C853" t="str" cm="1">
        <f t="array" ref="C853">IFERROR(_xlfn.XLOOKUP(B853,Locales!$A:$A,Locales!$B:$B,""),"")</f>
        <v/>
      </c>
    </row>
    <row r="854" spans="3:3" x14ac:dyDescent="0.2">
      <c r="C854" t="str" cm="1">
        <f t="array" ref="C854">IFERROR(_xlfn.XLOOKUP(B854,Locales!$A:$A,Locales!$B:$B,""),"")</f>
        <v/>
      </c>
    </row>
    <row r="855" spans="3:3" x14ac:dyDescent="0.2">
      <c r="C855" t="str" cm="1">
        <f t="array" ref="C855">IFERROR(_xlfn.XLOOKUP(B855,Locales!$A:$A,Locales!$B:$B,""),"")</f>
        <v/>
      </c>
    </row>
    <row r="856" spans="3:3" x14ac:dyDescent="0.2">
      <c r="C856" t="str" cm="1">
        <f t="array" ref="C856">IFERROR(_xlfn.XLOOKUP(B856,Locales!$A:$A,Locales!$B:$B,""),"")</f>
        <v/>
      </c>
    </row>
    <row r="857" spans="3:3" x14ac:dyDescent="0.2">
      <c r="C857" t="str" cm="1">
        <f t="array" ref="C857">IFERROR(_xlfn.XLOOKUP(B857,Locales!$A:$A,Locales!$B:$B,""),"")</f>
        <v/>
      </c>
    </row>
    <row r="858" spans="3:3" x14ac:dyDescent="0.2">
      <c r="C858" t="str" cm="1">
        <f t="array" ref="C858">IFERROR(_xlfn.XLOOKUP(B858,Locales!$A:$A,Locales!$B:$B,""),"")</f>
        <v/>
      </c>
    </row>
    <row r="859" spans="3:3" x14ac:dyDescent="0.2">
      <c r="C859" t="str" cm="1">
        <f t="array" ref="C859">IFERROR(_xlfn.XLOOKUP(B859,Locales!$A:$A,Locales!$B:$B,""),"")</f>
        <v/>
      </c>
    </row>
    <row r="860" spans="3:3" x14ac:dyDescent="0.2">
      <c r="C860" t="str" cm="1">
        <f t="array" ref="C860">IFERROR(_xlfn.XLOOKUP(B860,Locales!$A:$A,Locales!$B:$B,""),"")</f>
        <v/>
      </c>
    </row>
    <row r="861" spans="3:3" x14ac:dyDescent="0.2">
      <c r="C861" t="str" cm="1">
        <f t="array" ref="C861">IFERROR(_xlfn.XLOOKUP(B861,Locales!$A:$A,Locales!$B:$B,""),"")</f>
        <v/>
      </c>
    </row>
    <row r="862" spans="3:3" x14ac:dyDescent="0.2">
      <c r="C862" t="str" cm="1">
        <f t="array" ref="C862">IFERROR(_xlfn.XLOOKUP(B862,Locales!$A:$A,Locales!$B:$B,""),"")</f>
        <v/>
      </c>
    </row>
    <row r="863" spans="3:3" x14ac:dyDescent="0.2">
      <c r="C863" t="str" cm="1">
        <f t="array" ref="C863">IFERROR(_xlfn.XLOOKUP(B863,Locales!$A:$A,Locales!$B:$B,""),"")</f>
        <v/>
      </c>
    </row>
    <row r="864" spans="3:3" x14ac:dyDescent="0.2">
      <c r="C864" t="str" cm="1">
        <f t="array" ref="C864">IFERROR(_xlfn.XLOOKUP(B864,Locales!$A:$A,Locales!$B:$B,""),"")</f>
        <v/>
      </c>
    </row>
    <row r="865" spans="3:3" x14ac:dyDescent="0.2">
      <c r="C865" t="str" cm="1">
        <f t="array" ref="C865">IFERROR(_xlfn.XLOOKUP(B865,Locales!$A:$A,Locales!$B:$B,""),"")</f>
        <v/>
      </c>
    </row>
    <row r="866" spans="3:3" x14ac:dyDescent="0.2">
      <c r="C866" t="str" cm="1">
        <f t="array" ref="C866">IFERROR(_xlfn.XLOOKUP(B866,Locales!$A:$A,Locales!$B:$B,""),"")</f>
        <v/>
      </c>
    </row>
    <row r="867" spans="3:3" x14ac:dyDescent="0.2">
      <c r="C867" t="str" cm="1">
        <f t="array" ref="C867">IFERROR(_xlfn.XLOOKUP(B867,Locales!$A:$A,Locales!$B:$B,""),"")</f>
        <v/>
      </c>
    </row>
    <row r="868" spans="3:3" x14ac:dyDescent="0.2">
      <c r="C868" t="str" cm="1">
        <f t="array" ref="C868">IFERROR(_xlfn.XLOOKUP(B868,Locales!$A:$A,Locales!$B:$B,""),"")</f>
        <v/>
      </c>
    </row>
    <row r="869" spans="3:3" x14ac:dyDescent="0.2">
      <c r="C869" cm="1">
        <f t="array" ref="C869">IFERROR(_xlfn.XLOOKUP(B869,Locales!$A:$A,Locales!$B:$B,""),"")</f>
        <v>0</v>
      </c>
    </row>
    <row r="870" spans="3:3" x14ac:dyDescent="0.2">
      <c r="C870" t="str" cm="1">
        <f t="array" ref="C870">IFERROR(_xlfn.XLOOKUP(B870,Locales!$A:$A,Locales!$B:$B,""),"")</f>
        <v/>
      </c>
    </row>
    <row r="871" spans="3:3" x14ac:dyDescent="0.2">
      <c r="C871" t="str" cm="1">
        <f t="array" ref="C871">IFERROR(_xlfn.XLOOKUP(B871,Locales!$A:$A,Locales!$B:$B,""),"")</f>
        <v/>
      </c>
    </row>
    <row r="872" spans="3:3" x14ac:dyDescent="0.2">
      <c r="C872" t="str" cm="1">
        <f t="array" ref="C872">IFERROR(_xlfn.XLOOKUP(B872,Locales!$A:$A,Locales!$B:$B,""),"")</f>
        <v/>
      </c>
    </row>
    <row r="873" spans="3:3" x14ac:dyDescent="0.2">
      <c r="C873" t="str" cm="1">
        <f t="array" ref="C873">IFERROR(_xlfn.XLOOKUP(B873,Locales!$A:$A,Locales!$B:$B,""),"")</f>
        <v/>
      </c>
    </row>
    <row r="874" spans="3:3" x14ac:dyDescent="0.2">
      <c r="C874" t="str" cm="1">
        <f t="array" ref="C874">IFERROR(_xlfn.XLOOKUP(B874,Locales!$A:$A,Locales!$B:$B,""),"")</f>
        <v/>
      </c>
    </row>
    <row r="875" spans="3:3" x14ac:dyDescent="0.2">
      <c r="C875" t="str" cm="1">
        <f t="array" ref="C875">IFERROR(_xlfn.XLOOKUP(B875,Locales!$A:$A,Locales!$B:$B,""),"")</f>
        <v/>
      </c>
    </row>
    <row r="876" spans="3:3" x14ac:dyDescent="0.2">
      <c r="C876" t="str" cm="1">
        <f t="array" ref="C876">IFERROR(_xlfn.XLOOKUP(B876,Locales!$A:$A,Locales!$B:$B,""),"")</f>
        <v/>
      </c>
    </row>
    <row r="877" spans="3:3" x14ac:dyDescent="0.2">
      <c r="C877" t="str" cm="1">
        <f t="array" ref="C877">IFERROR(_xlfn.XLOOKUP(B877,Locales!$A:$A,Locales!$B:$B,""),"")</f>
        <v/>
      </c>
    </row>
    <row r="878" spans="3:3" x14ac:dyDescent="0.2">
      <c r="C878" t="str" cm="1">
        <f t="array" ref="C878">IFERROR(_xlfn.XLOOKUP(B878,Locales!$A:$A,Locales!$B:$B,""),"")</f>
        <v/>
      </c>
    </row>
    <row r="879" spans="3:3" x14ac:dyDescent="0.2">
      <c r="C879" t="str" cm="1">
        <f t="array" ref="C879">IFERROR(_xlfn.XLOOKUP(B879,Locales!$A:$A,Locales!$B:$B,""),"")</f>
        <v/>
      </c>
    </row>
    <row r="880" spans="3:3" x14ac:dyDescent="0.2">
      <c r="C880" t="str" cm="1">
        <f t="array" ref="C880">IFERROR(_xlfn.XLOOKUP(B880,Locales!$A:$A,Locales!$B:$B,""),"")</f>
        <v/>
      </c>
    </row>
    <row r="881" spans="3:3" x14ac:dyDescent="0.2">
      <c r="C881" t="str" cm="1">
        <f t="array" ref="C881">IFERROR(_xlfn.XLOOKUP(B881,Locales!$A:$A,Locales!$B:$B,""),"")</f>
        <v/>
      </c>
    </row>
    <row r="882" spans="3:3" x14ac:dyDescent="0.2">
      <c r="C882" t="str" cm="1">
        <f t="array" ref="C882">IFERROR(_xlfn.XLOOKUP(B882,Locales!$A:$A,Locales!$B:$B,""),"")</f>
        <v/>
      </c>
    </row>
    <row r="883" spans="3:3" x14ac:dyDescent="0.2">
      <c r="C883" t="str" cm="1">
        <f t="array" ref="C883">IFERROR(_xlfn.XLOOKUP(B883,Locales!$A:$A,Locales!$B:$B,""),"")</f>
        <v/>
      </c>
    </row>
    <row r="884" spans="3:3" x14ac:dyDescent="0.2">
      <c r="C884" t="str" cm="1">
        <f t="array" ref="C884">IFERROR(_xlfn.XLOOKUP(B884,Locales!$A:$A,Locales!$B:$B,""),"")</f>
        <v/>
      </c>
    </row>
    <row r="885" spans="3:3" x14ac:dyDescent="0.2">
      <c r="C885" t="str" cm="1">
        <f t="array" ref="C885">IFERROR(_xlfn.XLOOKUP(B885,Locales!$A:$A,Locales!$B:$B,""),"")</f>
        <v/>
      </c>
    </row>
    <row r="886" spans="3:3" x14ac:dyDescent="0.2">
      <c r="C886" t="str" cm="1">
        <f t="array" ref="C886">IFERROR(_xlfn.XLOOKUP(B886,Locales!$A:$A,Locales!$B:$B,""),"")</f>
        <v/>
      </c>
    </row>
    <row r="887" spans="3:3" x14ac:dyDescent="0.2">
      <c r="C887" t="str" cm="1">
        <f t="array" ref="C887">IFERROR(_xlfn.XLOOKUP(B887,Locales!$A:$A,Locales!$B:$B,""),"")</f>
        <v/>
      </c>
    </row>
    <row r="888" spans="3:3" x14ac:dyDescent="0.2">
      <c r="C888" t="str" cm="1">
        <f t="array" ref="C888">IFERROR(_xlfn.XLOOKUP(B888,Locales!$A:$A,Locales!$B:$B,""),"")</f>
        <v/>
      </c>
    </row>
    <row r="889" spans="3:3" x14ac:dyDescent="0.2">
      <c r="C889" t="str" cm="1">
        <f t="array" ref="C889">IFERROR(_xlfn.XLOOKUP(B889,Locales!$A:$A,Locales!$B:$B,""),"")</f>
        <v/>
      </c>
    </row>
    <row r="890" spans="3:3" x14ac:dyDescent="0.2">
      <c r="C890" t="str" cm="1">
        <f t="array" ref="C890">IFERROR(_xlfn.XLOOKUP(B890,Locales!$A:$A,Locales!$B:$B,""),"")</f>
        <v/>
      </c>
    </row>
    <row r="891" spans="3:3" x14ac:dyDescent="0.2">
      <c r="C891" t="str" cm="1">
        <f t="array" ref="C891">IFERROR(_xlfn.XLOOKUP(B891,Locales!$A:$A,Locales!$B:$B,""),"")</f>
        <v/>
      </c>
    </row>
    <row r="892" spans="3:3" x14ac:dyDescent="0.2">
      <c r="C892" t="str" cm="1">
        <f t="array" ref="C892">IFERROR(_xlfn.XLOOKUP(B892,Locales!$A:$A,Locales!$B:$B,""),"")</f>
        <v/>
      </c>
    </row>
    <row r="893" spans="3:3" x14ac:dyDescent="0.2">
      <c r="C893" t="str" cm="1">
        <f t="array" ref="C893">IFERROR(_xlfn.XLOOKUP(B893,Locales!$A:$A,Locales!$B:$B,""),"")</f>
        <v/>
      </c>
    </row>
    <row r="894" spans="3:3" x14ac:dyDescent="0.2">
      <c r="C894" t="str" cm="1">
        <f t="array" ref="C894">IFERROR(_xlfn.XLOOKUP(B894,Locales!$A:$A,Locales!$B:$B,""),"")</f>
        <v/>
      </c>
    </row>
    <row r="895" spans="3:3" x14ac:dyDescent="0.2">
      <c r="C895" t="str" cm="1">
        <f t="array" ref="C895">IFERROR(_xlfn.XLOOKUP(B895,Locales!$A:$A,Locales!$B:$B,""),"")</f>
        <v/>
      </c>
    </row>
    <row r="896" spans="3:3" x14ac:dyDescent="0.2">
      <c r="C896" t="str" cm="1">
        <f t="array" ref="C896">IFERROR(_xlfn.XLOOKUP(B896,Locales!$A:$A,Locales!$B:$B,""),"")</f>
        <v/>
      </c>
    </row>
    <row r="897" spans="3:3" x14ac:dyDescent="0.2">
      <c r="C897" t="str" cm="1">
        <f t="array" ref="C897">IFERROR(_xlfn.XLOOKUP(B897,Locales!$A:$A,Locales!$B:$B,""),"")</f>
        <v/>
      </c>
    </row>
    <row r="898" spans="3:3" x14ac:dyDescent="0.2">
      <c r="C898" t="str" cm="1">
        <f t="array" ref="C898">IFERROR(_xlfn.XLOOKUP(B898,Locales!$A:$A,Locales!$B:$B,""),"")</f>
        <v/>
      </c>
    </row>
    <row r="899" spans="3:3" x14ac:dyDescent="0.2">
      <c r="C899" t="str" cm="1">
        <f t="array" ref="C899">IFERROR(_xlfn.XLOOKUP(B899,Locales!$A:$A,Locales!$B:$B,""),"")</f>
        <v/>
      </c>
    </row>
    <row r="900" spans="3:3" x14ac:dyDescent="0.2">
      <c r="C900" t="str" cm="1">
        <f t="array" ref="C900">IFERROR(_xlfn.XLOOKUP(B900,Locales!$A:$A,Locales!$B:$B,""),"")</f>
        <v/>
      </c>
    </row>
    <row r="901" spans="3:3" x14ac:dyDescent="0.2">
      <c r="C901" cm="1">
        <f t="array" ref="C901">IFERROR(_xlfn.XLOOKUP(B901,Locales!$A:$A,Locales!$B:$B,""),"")</f>
        <v>0</v>
      </c>
    </row>
    <row r="902" spans="3:3" x14ac:dyDescent="0.2">
      <c r="C902" t="str" cm="1">
        <f t="array" ref="C902">IFERROR(_xlfn.XLOOKUP(B902,Locales!$A:$A,Locales!$B:$B,""),"")</f>
        <v/>
      </c>
    </row>
    <row r="903" spans="3:3" x14ac:dyDescent="0.2">
      <c r="C903" t="str" cm="1">
        <f t="array" ref="C903">IFERROR(_xlfn.XLOOKUP(B903,Locales!$A:$A,Locales!$B:$B,""),"")</f>
        <v/>
      </c>
    </row>
    <row r="904" spans="3:3" x14ac:dyDescent="0.2">
      <c r="C904" t="str" cm="1">
        <f t="array" ref="C904">IFERROR(_xlfn.XLOOKUP(B904,Locales!$A:$A,Locales!$B:$B,""),"")</f>
        <v/>
      </c>
    </row>
    <row r="905" spans="3:3" x14ac:dyDescent="0.2">
      <c r="C905" t="str" cm="1">
        <f t="array" ref="C905">IFERROR(_xlfn.XLOOKUP(B905,Locales!$A:$A,Locales!$B:$B,""),"")</f>
        <v/>
      </c>
    </row>
    <row r="906" spans="3:3" x14ac:dyDescent="0.2">
      <c r="C906" t="str" cm="1">
        <f t="array" ref="C906">IFERROR(_xlfn.XLOOKUP(B906,Locales!$A:$A,Locales!$B:$B,""),"")</f>
        <v/>
      </c>
    </row>
    <row r="907" spans="3:3" x14ac:dyDescent="0.2">
      <c r="C907" t="str" cm="1">
        <f t="array" ref="C907">IFERROR(_xlfn.XLOOKUP(B907,Locales!$A:$A,Locales!$B:$B,""),"")</f>
        <v/>
      </c>
    </row>
    <row r="908" spans="3:3" x14ac:dyDescent="0.2">
      <c r="C908" t="str" cm="1">
        <f t="array" ref="C908">IFERROR(_xlfn.XLOOKUP(B908,Locales!$A:$A,Locales!$B:$B,""),"")</f>
        <v/>
      </c>
    </row>
    <row r="909" spans="3:3" x14ac:dyDescent="0.2">
      <c r="C909" t="str" cm="1">
        <f t="array" ref="C909">IFERROR(_xlfn.XLOOKUP(B909,Locales!$A:$A,Locales!$B:$B,""),"")</f>
        <v/>
      </c>
    </row>
    <row r="910" spans="3:3" x14ac:dyDescent="0.2">
      <c r="C910" t="str" cm="1">
        <f t="array" ref="C910">IFERROR(_xlfn.XLOOKUP(B910,Locales!$A:$A,Locales!$B:$B,""),"")</f>
        <v/>
      </c>
    </row>
    <row r="911" spans="3:3" x14ac:dyDescent="0.2">
      <c r="C911" t="str" cm="1">
        <f t="array" ref="C911">IFERROR(_xlfn.XLOOKUP(B911,Locales!$A:$A,Locales!$B:$B,""),"")</f>
        <v/>
      </c>
    </row>
    <row r="912" spans="3:3" x14ac:dyDescent="0.2">
      <c r="C912" t="str" cm="1">
        <f t="array" ref="C912">IFERROR(_xlfn.XLOOKUP(B912,Locales!$A:$A,Locales!$B:$B,""),"")</f>
        <v/>
      </c>
    </row>
    <row r="913" spans="3:3" x14ac:dyDescent="0.2">
      <c r="C913" t="str" cm="1">
        <f t="array" ref="C913">IFERROR(_xlfn.XLOOKUP(B913,Locales!$A:$A,Locales!$B:$B,""),"")</f>
        <v/>
      </c>
    </row>
    <row r="914" spans="3:3" x14ac:dyDescent="0.2">
      <c r="C914" t="str" cm="1">
        <f t="array" ref="C914">IFERROR(_xlfn.XLOOKUP(B914,Locales!$A:$A,Locales!$B:$B,""),"")</f>
        <v/>
      </c>
    </row>
    <row r="915" spans="3:3" x14ac:dyDescent="0.2">
      <c r="C915" t="str" cm="1">
        <f t="array" ref="C915">IFERROR(_xlfn.XLOOKUP(B915,Locales!$A:$A,Locales!$B:$B,""),"")</f>
        <v/>
      </c>
    </row>
    <row r="916" spans="3:3" x14ac:dyDescent="0.2">
      <c r="C916" t="str" cm="1">
        <f t="array" ref="C916">IFERROR(_xlfn.XLOOKUP(B916,Locales!$A:$A,Locales!$B:$B,""),"")</f>
        <v/>
      </c>
    </row>
    <row r="917" spans="3:3" x14ac:dyDescent="0.2">
      <c r="C917" t="str" cm="1">
        <f t="array" ref="C917">IFERROR(_xlfn.XLOOKUP(B917,Locales!$A:$A,Locales!$B:$B,""),"")</f>
        <v/>
      </c>
    </row>
    <row r="918" spans="3:3" x14ac:dyDescent="0.2">
      <c r="C918" t="str" cm="1">
        <f t="array" ref="C918">IFERROR(_xlfn.XLOOKUP(B918,Locales!$A:$A,Locales!$B:$B,""),"")</f>
        <v/>
      </c>
    </row>
    <row r="919" spans="3:3" x14ac:dyDescent="0.2">
      <c r="C919" t="str" cm="1">
        <f t="array" ref="C919">IFERROR(_xlfn.XLOOKUP(B919,Locales!$A:$A,Locales!$B:$B,""),"")</f>
        <v/>
      </c>
    </row>
    <row r="920" spans="3:3" x14ac:dyDescent="0.2">
      <c r="C920" t="str" cm="1">
        <f t="array" ref="C920">IFERROR(_xlfn.XLOOKUP(B920,Locales!$A:$A,Locales!$B:$B,""),"")</f>
        <v/>
      </c>
    </row>
    <row r="921" spans="3:3" x14ac:dyDescent="0.2">
      <c r="C921" t="str" cm="1">
        <f t="array" ref="C921">IFERROR(_xlfn.XLOOKUP(B921,Locales!$A:$A,Locales!$B:$B,""),"")</f>
        <v/>
      </c>
    </row>
    <row r="922" spans="3:3" x14ac:dyDescent="0.2">
      <c r="C922" t="str" cm="1">
        <f t="array" ref="C922">IFERROR(_xlfn.XLOOKUP(B922,Locales!$A:$A,Locales!$B:$B,""),"")</f>
        <v/>
      </c>
    </row>
    <row r="923" spans="3:3" x14ac:dyDescent="0.2">
      <c r="C923" t="str" cm="1">
        <f t="array" ref="C923">IFERROR(_xlfn.XLOOKUP(B923,Locales!$A:$A,Locales!$B:$B,""),"")</f>
        <v/>
      </c>
    </row>
    <row r="924" spans="3:3" x14ac:dyDescent="0.2">
      <c r="C924" t="str" cm="1">
        <f t="array" ref="C924">IFERROR(_xlfn.XLOOKUP(B924,Locales!$A:$A,Locales!$B:$B,""),"")</f>
        <v/>
      </c>
    </row>
    <row r="925" spans="3:3" x14ac:dyDescent="0.2">
      <c r="C925" t="str" cm="1">
        <f t="array" ref="C925">IFERROR(_xlfn.XLOOKUP(B925,Locales!$A:$A,Locales!$B:$B,""),"")</f>
        <v/>
      </c>
    </row>
    <row r="926" spans="3:3" x14ac:dyDescent="0.2">
      <c r="C926" t="str" cm="1">
        <f t="array" ref="C926">IFERROR(_xlfn.XLOOKUP(B926,Locales!$A:$A,Locales!$B:$B,""),"")</f>
        <v/>
      </c>
    </row>
    <row r="927" spans="3:3" x14ac:dyDescent="0.2">
      <c r="C927" t="str" cm="1">
        <f t="array" ref="C927">IFERROR(_xlfn.XLOOKUP(B927,Locales!$A:$A,Locales!$B:$B,""),"")</f>
        <v/>
      </c>
    </row>
    <row r="928" spans="3:3" x14ac:dyDescent="0.2">
      <c r="C928" t="str" cm="1">
        <f t="array" ref="C928">IFERROR(_xlfn.XLOOKUP(B928,Locales!$A:$A,Locales!$B:$B,""),"")</f>
        <v/>
      </c>
    </row>
    <row r="929" spans="3:3" x14ac:dyDescent="0.2">
      <c r="C929" t="str" cm="1">
        <f t="array" ref="C929">IFERROR(_xlfn.XLOOKUP(B929,Locales!$A:$A,Locales!$B:$B,""),"")</f>
        <v/>
      </c>
    </row>
    <row r="930" spans="3:3" x14ac:dyDescent="0.2">
      <c r="C930" t="str" cm="1">
        <f t="array" ref="C930">IFERROR(_xlfn.XLOOKUP(B930,Locales!$A:$A,Locales!$B:$B,""),"")</f>
        <v/>
      </c>
    </row>
    <row r="931" spans="3:3" x14ac:dyDescent="0.2">
      <c r="C931" t="str" cm="1">
        <f t="array" ref="C931">IFERROR(_xlfn.XLOOKUP(B931,Locales!$A:$A,Locales!$B:$B,""),"")</f>
        <v/>
      </c>
    </row>
    <row r="932" spans="3:3" x14ac:dyDescent="0.2">
      <c r="C932" t="str" cm="1">
        <f t="array" ref="C932">IFERROR(_xlfn.XLOOKUP(B932,Locales!$A:$A,Locales!$B:$B,""),"")</f>
        <v/>
      </c>
    </row>
    <row r="933" spans="3:3" x14ac:dyDescent="0.2">
      <c r="C933" cm="1">
        <f t="array" ref="C933">IFERROR(_xlfn.XLOOKUP(B933,Locales!$A:$A,Locales!$B:$B,""),"")</f>
        <v>0</v>
      </c>
    </row>
    <row r="934" spans="3:3" x14ac:dyDescent="0.2">
      <c r="C934" t="str" cm="1">
        <f t="array" ref="C934">IFERROR(_xlfn.XLOOKUP(B934,Locales!$A:$A,Locales!$B:$B,""),"")</f>
        <v/>
      </c>
    </row>
    <row r="935" spans="3:3" x14ac:dyDescent="0.2">
      <c r="C935" t="str" cm="1">
        <f t="array" ref="C935">IFERROR(_xlfn.XLOOKUP(B935,Locales!$A:$A,Locales!$B:$B,""),"")</f>
        <v/>
      </c>
    </row>
    <row r="936" spans="3:3" x14ac:dyDescent="0.2">
      <c r="C936" t="str" cm="1">
        <f t="array" ref="C936">IFERROR(_xlfn.XLOOKUP(B936,Locales!$A:$A,Locales!$B:$B,""),"")</f>
        <v/>
      </c>
    </row>
    <row r="937" spans="3:3" x14ac:dyDescent="0.2">
      <c r="C937" t="str" cm="1">
        <f t="array" ref="C937">IFERROR(_xlfn.XLOOKUP(B937,Locales!$A:$A,Locales!$B:$B,""),"")</f>
        <v/>
      </c>
    </row>
    <row r="938" spans="3:3" x14ac:dyDescent="0.2">
      <c r="C938" t="str" cm="1">
        <f t="array" ref="C938">IFERROR(_xlfn.XLOOKUP(B938,Locales!$A:$A,Locales!$B:$B,""),"")</f>
        <v/>
      </c>
    </row>
    <row r="939" spans="3:3" x14ac:dyDescent="0.2">
      <c r="C939" t="str" cm="1">
        <f t="array" ref="C939">IFERROR(_xlfn.XLOOKUP(B939,Locales!$A:$A,Locales!$B:$B,""),"")</f>
        <v/>
      </c>
    </row>
    <row r="940" spans="3:3" x14ac:dyDescent="0.2">
      <c r="C940" t="str" cm="1">
        <f t="array" ref="C940">IFERROR(_xlfn.XLOOKUP(B940,Locales!$A:$A,Locales!$B:$B,""),"")</f>
        <v/>
      </c>
    </row>
    <row r="941" spans="3:3" x14ac:dyDescent="0.2">
      <c r="C941" t="str" cm="1">
        <f t="array" ref="C941">IFERROR(_xlfn.XLOOKUP(B941,Locales!$A:$A,Locales!$B:$B,""),"")</f>
        <v/>
      </c>
    </row>
    <row r="942" spans="3:3" x14ac:dyDescent="0.2">
      <c r="C942" t="str" cm="1">
        <f t="array" ref="C942">IFERROR(_xlfn.XLOOKUP(B942,Locales!$A:$A,Locales!$B:$B,""),"")</f>
        <v/>
      </c>
    </row>
    <row r="943" spans="3:3" x14ac:dyDescent="0.2">
      <c r="C943" t="str" cm="1">
        <f t="array" ref="C943">IFERROR(_xlfn.XLOOKUP(B943,Locales!$A:$A,Locales!$B:$B,""),"")</f>
        <v/>
      </c>
    </row>
    <row r="944" spans="3:3" x14ac:dyDescent="0.2">
      <c r="C944" t="str" cm="1">
        <f t="array" ref="C944">IFERROR(_xlfn.XLOOKUP(B944,Locales!$A:$A,Locales!$B:$B,""),"")</f>
        <v/>
      </c>
    </row>
    <row r="945" spans="3:3" x14ac:dyDescent="0.2">
      <c r="C945" t="str" cm="1">
        <f t="array" ref="C945">IFERROR(_xlfn.XLOOKUP(B945,Locales!$A:$A,Locales!$B:$B,""),"")</f>
        <v/>
      </c>
    </row>
    <row r="946" spans="3:3" x14ac:dyDescent="0.2">
      <c r="C946" t="str" cm="1">
        <f t="array" ref="C946">IFERROR(_xlfn.XLOOKUP(B946,Locales!$A:$A,Locales!$B:$B,""),"")</f>
        <v/>
      </c>
    </row>
    <row r="947" spans="3:3" x14ac:dyDescent="0.2">
      <c r="C947" t="str" cm="1">
        <f t="array" ref="C947">IFERROR(_xlfn.XLOOKUP(B947,Locales!$A:$A,Locales!$B:$B,""),"")</f>
        <v/>
      </c>
    </row>
    <row r="948" spans="3:3" x14ac:dyDescent="0.2">
      <c r="C948" t="str" cm="1">
        <f t="array" ref="C948">IFERROR(_xlfn.XLOOKUP(B948,Locales!$A:$A,Locales!$B:$B,""),"")</f>
        <v/>
      </c>
    </row>
    <row r="949" spans="3:3" x14ac:dyDescent="0.2">
      <c r="C949" t="str" cm="1">
        <f t="array" ref="C949">IFERROR(_xlfn.XLOOKUP(B949,Locales!$A:$A,Locales!$B:$B,""),"")</f>
        <v/>
      </c>
    </row>
    <row r="950" spans="3:3" x14ac:dyDescent="0.2">
      <c r="C950" t="str" cm="1">
        <f t="array" ref="C950">IFERROR(_xlfn.XLOOKUP(B950,Locales!$A:$A,Locales!$B:$B,""),"")</f>
        <v/>
      </c>
    </row>
    <row r="951" spans="3:3" x14ac:dyDescent="0.2">
      <c r="C951" t="str" cm="1">
        <f t="array" ref="C951">IFERROR(_xlfn.XLOOKUP(B951,Locales!$A:$A,Locales!$B:$B,""),"")</f>
        <v/>
      </c>
    </row>
    <row r="952" spans="3:3" x14ac:dyDescent="0.2">
      <c r="C952" t="str" cm="1">
        <f t="array" ref="C952">IFERROR(_xlfn.XLOOKUP(B952,Locales!$A:$A,Locales!$B:$B,""),"")</f>
        <v/>
      </c>
    </row>
    <row r="953" spans="3:3" x14ac:dyDescent="0.2">
      <c r="C953" t="str" cm="1">
        <f t="array" ref="C953">IFERROR(_xlfn.XLOOKUP(B953,Locales!$A:$A,Locales!$B:$B,""),"")</f>
        <v/>
      </c>
    </row>
    <row r="954" spans="3:3" x14ac:dyDescent="0.2">
      <c r="C954" t="str" cm="1">
        <f t="array" ref="C954">IFERROR(_xlfn.XLOOKUP(B954,Locales!$A:$A,Locales!$B:$B,""),"")</f>
        <v/>
      </c>
    </row>
    <row r="955" spans="3:3" x14ac:dyDescent="0.2">
      <c r="C955" t="str" cm="1">
        <f t="array" ref="C955">IFERROR(_xlfn.XLOOKUP(B955,Locales!$A:$A,Locales!$B:$B,""),"")</f>
        <v/>
      </c>
    </row>
    <row r="956" spans="3:3" x14ac:dyDescent="0.2">
      <c r="C956" t="str" cm="1">
        <f t="array" ref="C956">IFERROR(_xlfn.XLOOKUP(B956,Locales!$A:$A,Locales!$B:$B,""),"")</f>
        <v/>
      </c>
    </row>
    <row r="957" spans="3:3" x14ac:dyDescent="0.2">
      <c r="C957" t="str" cm="1">
        <f t="array" ref="C957">IFERROR(_xlfn.XLOOKUP(B957,Locales!$A:$A,Locales!$B:$B,""),"")</f>
        <v/>
      </c>
    </row>
    <row r="958" spans="3:3" x14ac:dyDescent="0.2">
      <c r="C958" t="str" cm="1">
        <f t="array" ref="C958">IFERROR(_xlfn.XLOOKUP(B958,Locales!$A:$A,Locales!$B:$B,""),"")</f>
        <v/>
      </c>
    </row>
    <row r="959" spans="3:3" x14ac:dyDescent="0.2">
      <c r="C959" t="str" cm="1">
        <f t="array" ref="C959">IFERROR(_xlfn.XLOOKUP(B959,Locales!$A:$A,Locales!$B:$B,""),"")</f>
        <v/>
      </c>
    </row>
    <row r="960" spans="3:3" x14ac:dyDescent="0.2">
      <c r="C960" t="str" cm="1">
        <f t="array" ref="C960">IFERROR(_xlfn.XLOOKUP(B960,Locales!$A:$A,Locales!$B:$B,""),"")</f>
        <v/>
      </c>
    </row>
    <row r="961" spans="3:3" x14ac:dyDescent="0.2">
      <c r="C961" t="str" cm="1">
        <f t="array" ref="C961">IFERROR(_xlfn.XLOOKUP(B961,Locales!$A:$A,Locales!$B:$B,""),"")</f>
        <v/>
      </c>
    </row>
    <row r="962" spans="3:3" x14ac:dyDescent="0.2">
      <c r="C962" t="str" cm="1">
        <f t="array" ref="C962">IFERROR(_xlfn.XLOOKUP(B962,Locales!$A:$A,Locales!$B:$B,""),"")</f>
        <v/>
      </c>
    </row>
    <row r="963" spans="3:3" x14ac:dyDescent="0.2">
      <c r="C963" t="str" cm="1">
        <f t="array" ref="C963">IFERROR(_xlfn.XLOOKUP(B963,Locales!$A:$A,Locales!$B:$B,""),"")</f>
        <v/>
      </c>
    </row>
    <row r="964" spans="3:3" x14ac:dyDescent="0.2">
      <c r="C964" t="str" cm="1">
        <f t="array" ref="C964">IFERROR(_xlfn.XLOOKUP(B964,Locales!$A:$A,Locales!$B:$B,""),"")</f>
        <v/>
      </c>
    </row>
    <row r="965" spans="3:3" x14ac:dyDescent="0.2">
      <c r="C965" cm="1">
        <f t="array" ref="C965">IFERROR(_xlfn.XLOOKUP(B965,Locales!$A:$A,Locales!$B:$B,""),"")</f>
        <v>0</v>
      </c>
    </row>
    <row r="966" spans="3:3" x14ac:dyDescent="0.2">
      <c r="C966" t="str" cm="1">
        <f t="array" ref="C966">IFERROR(_xlfn.XLOOKUP(B966,Locales!$A:$A,Locales!$B:$B,""),"")</f>
        <v/>
      </c>
    </row>
    <row r="967" spans="3:3" x14ac:dyDescent="0.2">
      <c r="C967" t="str" cm="1">
        <f t="array" ref="C967">IFERROR(_xlfn.XLOOKUP(B967,Locales!$A:$A,Locales!$B:$B,""),"")</f>
        <v/>
      </c>
    </row>
    <row r="968" spans="3:3" x14ac:dyDescent="0.2">
      <c r="C968" t="str" cm="1">
        <f t="array" ref="C968">IFERROR(_xlfn.XLOOKUP(B968,Locales!$A:$A,Locales!$B:$B,""),"")</f>
        <v/>
      </c>
    </row>
    <row r="969" spans="3:3" x14ac:dyDescent="0.2">
      <c r="C969" t="str" cm="1">
        <f t="array" ref="C969">IFERROR(_xlfn.XLOOKUP(B969,Locales!$A:$A,Locales!$B:$B,""),"")</f>
        <v/>
      </c>
    </row>
    <row r="970" spans="3:3" x14ac:dyDescent="0.2">
      <c r="C970" t="str" cm="1">
        <f t="array" ref="C970">IFERROR(_xlfn.XLOOKUP(B970,Locales!$A:$A,Locales!$B:$B,""),"")</f>
        <v/>
      </c>
    </row>
    <row r="971" spans="3:3" x14ac:dyDescent="0.2">
      <c r="C971" t="str" cm="1">
        <f t="array" ref="C971">IFERROR(_xlfn.XLOOKUP(B971,Locales!$A:$A,Locales!$B:$B,""),"")</f>
        <v/>
      </c>
    </row>
    <row r="972" spans="3:3" x14ac:dyDescent="0.2">
      <c r="C972" t="str" cm="1">
        <f t="array" ref="C972">IFERROR(_xlfn.XLOOKUP(B972,Locales!$A:$A,Locales!$B:$B,""),"")</f>
        <v/>
      </c>
    </row>
    <row r="973" spans="3:3" x14ac:dyDescent="0.2">
      <c r="C973" t="str" cm="1">
        <f t="array" ref="C973">IFERROR(_xlfn.XLOOKUP(B973,Locales!$A:$A,Locales!$B:$B,""),"")</f>
        <v/>
      </c>
    </row>
    <row r="974" spans="3:3" x14ac:dyDescent="0.2">
      <c r="C974" t="str" cm="1">
        <f t="array" ref="C974">IFERROR(_xlfn.XLOOKUP(B974,Locales!$A:$A,Locales!$B:$B,""),"")</f>
        <v/>
      </c>
    </row>
    <row r="975" spans="3:3" x14ac:dyDescent="0.2">
      <c r="C975" t="str" cm="1">
        <f t="array" ref="C975">IFERROR(_xlfn.XLOOKUP(B975,Locales!$A:$A,Locales!$B:$B,""),"")</f>
        <v/>
      </c>
    </row>
    <row r="976" spans="3:3" x14ac:dyDescent="0.2">
      <c r="C976" t="str" cm="1">
        <f t="array" ref="C976">IFERROR(_xlfn.XLOOKUP(B976,Locales!$A:$A,Locales!$B:$B,""),"")</f>
        <v/>
      </c>
    </row>
    <row r="977" spans="3:3" x14ac:dyDescent="0.2">
      <c r="C977" t="str" cm="1">
        <f t="array" ref="C977">IFERROR(_xlfn.XLOOKUP(B977,Locales!$A:$A,Locales!$B:$B,""),"")</f>
        <v/>
      </c>
    </row>
    <row r="978" spans="3:3" x14ac:dyDescent="0.2">
      <c r="C978" t="str" cm="1">
        <f t="array" ref="C978">IFERROR(_xlfn.XLOOKUP(B978,Locales!$A:$A,Locales!$B:$B,""),"")</f>
        <v/>
      </c>
    </row>
    <row r="979" spans="3:3" x14ac:dyDescent="0.2">
      <c r="C979" t="str" cm="1">
        <f t="array" ref="C979">IFERROR(_xlfn.XLOOKUP(B979,Locales!$A:$A,Locales!$B:$B,""),"")</f>
        <v/>
      </c>
    </row>
    <row r="980" spans="3:3" x14ac:dyDescent="0.2">
      <c r="C980" t="str" cm="1">
        <f t="array" ref="C980">IFERROR(_xlfn.XLOOKUP(B980,Locales!$A:$A,Locales!$B:$B,""),"")</f>
        <v/>
      </c>
    </row>
    <row r="981" spans="3:3" x14ac:dyDescent="0.2">
      <c r="C981" t="str" cm="1">
        <f t="array" ref="C981">IFERROR(_xlfn.XLOOKUP(B981,Locales!$A:$A,Locales!$B:$B,""),"")</f>
        <v/>
      </c>
    </row>
    <row r="982" spans="3:3" x14ac:dyDescent="0.2">
      <c r="C982" t="str" cm="1">
        <f t="array" ref="C982">IFERROR(_xlfn.XLOOKUP(B982,Locales!$A:$A,Locales!$B:$B,""),"")</f>
        <v/>
      </c>
    </row>
    <row r="983" spans="3:3" x14ac:dyDescent="0.2">
      <c r="C983" t="str" cm="1">
        <f t="array" ref="C983">IFERROR(_xlfn.XLOOKUP(B983,Locales!$A:$A,Locales!$B:$B,""),"")</f>
        <v/>
      </c>
    </row>
    <row r="984" spans="3:3" x14ac:dyDescent="0.2">
      <c r="C984" t="str" cm="1">
        <f t="array" ref="C984">IFERROR(_xlfn.XLOOKUP(B984,Locales!$A:$A,Locales!$B:$B,""),"")</f>
        <v/>
      </c>
    </row>
    <row r="985" spans="3:3" x14ac:dyDescent="0.2">
      <c r="C985" t="str" cm="1">
        <f t="array" ref="C985">IFERROR(_xlfn.XLOOKUP(B985,Locales!$A:$A,Locales!$B:$B,""),"")</f>
        <v/>
      </c>
    </row>
    <row r="986" spans="3:3" x14ac:dyDescent="0.2">
      <c r="C986" t="str" cm="1">
        <f t="array" ref="C986">IFERROR(_xlfn.XLOOKUP(B986,Locales!$A:$A,Locales!$B:$B,""),"")</f>
        <v/>
      </c>
    </row>
    <row r="987" spans="3:3" x14ac:dyDescent="0.2">
      <c r="C987" t="str" cm="1">
        <f t="array" ref="C987">IFERROR(_xlfn.XLOOKUP(B987,Locales!$A:$A,Locales!$B:$B,""),"")</f>
        <v/>
      </c>
    </row>
    <row r="988" spans="3:3" x14ac:dyDescent="0.2">
      <c r="C988" t="str" cm="1">
        <f t="array" ref="C988">IFERROR(_xlfn.XLOOKUP(B988,Locales!$A:$A,Locales!$B:$B,""),"")</f>
        <v/>
      </c>
    </row>
    <row r="989" spans="3:3" x14ac:dyDescent="0.2">
      <c r="C989" t="str" cm="1">
        <f t="array" ref="C989">IFERROR(_xlfn.XLOOKUP(B989,Locales!$A:$A,Locales!$B:$B,""),"")</f>
        <v/>
      </c>
    </row>
    <row r="990" spans="3:3" x14ac:dyDescent="0.2">
      <c r="C990" t="str" cm="1">
        <f t="array" ref="C990">IFERROR(_xlfn.XLOOKUP(B990,Locales!$A:$A,Locales!$B:$B,""),"")</f>
        <v/>
      </c>
    </row>
    <row r="991" spans="3:3" x14ac:dyDescent="0.2">
      <c r="C991" t="str" cm="1">
        <f t="array" ref="C991">IFERROR(_xlfn.XLOOKUP(B991,Locales!$A:$A,Locales!$B:$B,""),"")</f>
        <v/>
      </c>
    </row>
    <row r="992" spans="3:3" x14ac:dyDescent="0.2">
      <c r="C992" t="str" cm="1">
        <f t="array" ref="C992">IFERROR(_xlfn.XLOOKUP(B992,Locales!$A:$A,Locales!$B:$B,""),"")</f>
        <v/>
      </c>
    </row>
    <row r="993" spans="3:3" x14ac:dyDescent="0.2">
      <c r="C993" t="str" cm="1">
        <f t="array" ref="C993">IFERROR(_xlfn.XLOOKUP(B993,Locales!$A:$A,Locales!$B:$B,""),"")</f>
        <v/>
      </c>
    </row>
    <row r="994" spans="3:3" x14ac:dyDescent="0.2">
      <c r="C994" t="str" cm="1">
        <f t="array" ref="C994">IFERROR(_xlfn.XLOOKUP(B994,Locales!$A:$A,Locales!$B:$B,""),"")</f>
        <v/>
      </c>
    </row>
    <row r="995" spans="3:3" x14ac:dyDescent="0.2">
      <c r="C995" t="str" cm="1">
        <f t="array" ref="C995">IFERROR(_xlfn.XLOOKUP(B995,Locales!$A:$A,Locales!$B:$B,""),"")</f>
        <v/>
      </c>
    </row>
    <row r="996" spans="3:3" x14ac:dyDescent="0.2">
      <c r="C996" t="str" cm="1">
        <f t="array" ref="C996">IFERROR(_xlfn.XLOOKUP(B996,Locales!$A:$A,Locales!$B:$B,""),"")</f>
        <v/>
      </c>
    </row>
    <row r="997" spans="3:3" x14ac:dyDescent="0.2">
      <c r="C997" t="str" cm="1">
        <f t="array" ref="C997">IFERROR(_xlfn.XLOOKUP(B997,Locales!$A:$A,Locales!$B:$B,""),"")</f>
        <v/>
      </c>
    </row>
    <row r="998" spans="3:3" x14ac:dyDescent="0.2">
      <c r="C998" t="str" cm="1">
        <f t="array" ref="C998">IFERROR(_xlfn.XLOOKUP(B998,Locales!$A:$A,Locales!$B:$B,""),"")</f>
        <v/>
      </c>
    </row>
    <row r="999" spans="3:3" x14ac:dyDescent="0.2">
      <c r="C999" t="str" cm="1">
        <f t="array" ref="C999">IFERROR(_xlfn.XLOOKUP(B999,Locales!$A:$A,Locales!$B:$B,""),"")</f>
        <v/>
      </c>
    </row>
    <row r="1000" spans="3:3" x14ac:dyDescent="0.2">
      <c r="C1000" t="str" cm="1">
        <f t="array" ref="C1000">IFERROR(_xlfn.XLOOKUP(B1000,Locales!$A:$A,Locales!$B:$B,""),"")</f>
        <v/>
      </c>
    </row>
    <row r="1001" spans="3:3" x14ac:dyDescent="0.2">
      <c r="C1001" t="str" cm="1">
        <f t="array" ref="C1001">IFERROR(_xlfn.XLOOKUP(B1001,Locales!$A:$A,Locales!$B:$B,""),"")</f>
        <v/>
      </c>
    </row>
    <row r="1002" spans="3:3" x14ac:dyDescent="0.2">
      <c r="C1002" t="str" cm="1">
        <f t="array" ref="C1002">IFERROR(_xlfn.XLOOKUP(B1002,Locales!$A:$A,Locales!$B:$B,""),"")</f>
        <v/>
      </c>
    </row>
    <row r="1003" spans="3:3" x14ac:dyDescent="0.2">
      <c r="C1003" t="str" cm="1">
        <f t="array" ref="C1003">IFERROR(_xlfn.XLOOKUP(B1003,Locales!$A:$A,Locales!$B:$B,""),"")</f>
        <v/>
      </c>
    </row>
    <row r="1004" spans="3:3" x14ac:dyDescent="0.2">
      <c r="C1004" t="str" cm="1">
        <f t="array" ref="C1004">IFERROR(_xlfn.XLOOKUP(B1004,Locales!$A:$A,Locales!$B:$B,""),"")</f>
        <v/>
      </c>
    </row>
    <row r="1005" spans="3:3" x14ac:dyDescent="0.2">
      <c r="C1005" t="str" cm="1">
        <f t="array" ref="C1005">IFERROR(_xlfn.XLOOKUP(B1005,Locales!$A:$A,Locales!$B:$B,""),"")</f>
        <v/>
      </c>
    </row>
    <row r="1006" spans="3:3" x14ac:dyDescent="0.2">
      <c r="C1006" t="str" cm="1">
        <f t="array" ref="C1006">IFERROR(_xlfn.XLOOKUP(B1006,Locales!$A:$A,Locales!$B:$B,""),"")</f>
        <v/>
      </c>
    </row>
    <row r="1007" spans="3:3" x14ac:dyDescent="0.2">
      <c r="C1007" t="str" cm="1">
        <f t="array" ref="C1007">IFERROR(_xlfn.XLOOKUP(B1007,Locales!$A:$A,Locales!$B:$B,""),"")</f>
        <v/>
      </c>
    </row>
    <row r="1008" spans="3:3" x14ac:dyDescent="0.2">
      <c r="C1008" t="str" cm="1">
        <f t="array" ref="C1008">IFERROR(_xlfn.XLOOKUP(B1008,Locales!$A:$A,Locales!$B:$B,""),"")</f>
        <v/>
      </c>
    </row>
    <row r="1009" spans="3:3" x14ac:dyDescent="0.2">
      <c r="C1009" t="str" cm="1">
        <f t="array" ref="C1009">IFERROR(_xlfn.XLOOKUP(B1009,Locales!$A:$A,Locales!$B:$B,""),"")</f>
        <v/>
      </c>
    </row>
    <row r="1010" spans="3:3" x14ac:dyDescent="0.2">
      <c r="C1010" t="str" cm="1">
        <f t="array" ref="C1010">IFERROR(_xlfn.XLOOKUP(B1010,Locales!$A:$A,Locales!$B:$B,""),"")</f>
        <v/>
      </c>
    </row>
    <row r="1011" spans="3:3" x14ac:dyDescent="0.2">
      <c r="C1011" t="str" cm="1">
        <f t="array" ref="C1011">IFERROR(_xlfn.XLOOKUP(B1011,Locales!$A:$A,Locales!$B:$B,""),"")</f>
        <v/>
      </c>
    </row>
    <row r="1012" spans="3:3" x14ac:dyDescent="0.2">
      <c r="C1012" t="str" cm="1">
        <f t="array" ref="C1012">IFERROR(_xlfn.XLOOKUP(B1012,Locales!$A:$A,Locales!$B:$B,""),"")</f>
        <v/>
      </c>
    </row>
    <row r="1013" spans="3:3" x14ac:dyDescent="0.2">
      <c r="C1013" cm="1">
        <f t="array" ref="C1013">IFERROR(_xlfn.XLOOKUP(B1013,Locales!$A:$A,Locales!$B:$B,""),"")</f>
        <v>0</v>
      </c>
    </row>
    <row r="1014" spans="3:3" x14ac:dyDescent="0.2">
      <c r="C1014" t="str" cm="1">
        <f t="array" ref="C1014">IFERROR(_xlfn.XLOOKUP(B1014,Locales!$A:$A,Locales!$B:$B,""),"")</f>
        <v/>
      </c>
    </row>
    <row r="1015" spans="3:3" x14ac:dyDescent="0.2">
      <c r="C1015" t="str" cm="1">
        <f t="array" ref="C1015">IFERROR(_xlfn.XLOOKUP(B1015,Locales!$A:$A,Locales!$B:$B,""),"")</f>
        <v/>
      </c>
    </row>
    <row r="1016" spans="3:3" x14ac:dyDescent="0.2">
      <c r="C1016" t="str" cm="1">
        <f t="array" ref="C1016">IFERROR(_xlfn.XLOOKUP(B1016,Locales!$A:$A,Locales!$B:$B,""),"")</f>
        <v/>
      </c>
    </row>
    <row r="1017" spans="3:3" x14ac:dyDescent="0.2">
      <c r="C1017" t="str" cm="1">
        <f t="array" ref="C1017">IFERROR(_xlfn.XLOOKUP(B1017,Locales!$A:$A,Locales!$B:$B,""),"")</f>
        <v/>
      </c>
    </row>
    <row r="1018" spans="3:3" x14ac:dyDescent="0.2">
      <c r="C1018" t="str" cm="1">
        <f t="array" ref="C1018">IFERROR(_xlfn.XLOOKUP(B1018,Locales!$A:$A,Locales!$B:$B,""),"")</f>
        <v/>
      </c>
    </row>
    <row r="1019" spans="3:3" x14ac:dyDescent="0.2">
      <c r="C1019" t="str" cm="1">
        <f t="array" ref="C1019">IFERROR(_xlfn.XLOOKUP(B1019,Locales!$A:$A,Locales!$B:$B,""),"")</f>
        <v/>
      </c>
    </row>
    <row r="1020" spans="3:3" x14ac:dyDescent="0.2">
      <c r="C1020" t="str" cm="1">
        <f t="array" ref="C1020">IFERROR(_xlfn.XLOOKUP(B1020,Locales!$A:$A,Locales!$B:$B,""),"")</f>
        <v/>
      </c>
    </row>
    <row r="1021" spans="3:3" x14ac:dyDescent="0.2">
      <c r="C1021" t="str" cm="1">
        <f t="array" ref="C1021">IFERROR(_xlfn.XLOOKUP(B1021,Locales!$A:$A,Locales!$B:$B,""),"")</f>
        <v/>
      </c>
    </row>
    <row r="1022" spans="3:3" x14ac:dyDescent="0.2">
      <c r="C1022" t="str" cm="1">
        <f t="array" ref="C1022">IFERROR(_xlfn.XLOOKUP(B1022,Locales!$A:$A,Locales!$B:$B,""),"")</f>
        <v/>
      </c>
    </row>
    <row r="1023" spans="3:3" x14ac:dyDescent="0.2">
      <c r="C1023" t="str" cm="1">
        <f t="array" ref="C1023">IFERROR(_xlfn.XLOOKUP(B1023,Locales!$A:$A,Locales!$B:$B,""),"")</f>
        <v/>
      </c>
    </row>
    <row r="1024" spans="3:3" x14ac:dyDescent="0.2">
      <c r="C1024" t="str" cm="1">
        <f t="array" ref="C1024">IFERROR(_xlfn.XLOOKUP(B1024,Locales!$A:$A,Locales!$B:$B,""),"")</f>
        <v/>
      </c>
    </row>
    <row r="1025" spans="3:3" x14ac:dyDescent="0.2">
      <c r="C1025" t="str" cm="1">
        <f t="array" ref="C1025">IFERROR(_xlfn.XLOOKUP(B1025,Locales!$A:$A,Locales!$B:$B,""),"")</f>
        <v/>
      </c>
    </row>
    <row r="1026" spans="3:3" x14ac:dyDescent="0.2">
      <c r="C1026" t="str" cm="1">
        <f t="array" ref="C1026">IFERROR(_xlfn.XLOOKUP(B1026,Locales!$A:$A,Locales!$B:$B,""),"")</f>
        <v/>
      </c>
    </row>
    <row r="1027" spans="3:3" x14ac:dyDescent="0.2">
      <c r="C1027" t="str" cm="1">
        <f t="array" ref="C1027">IFERROR(_xlfn.XLOOKUP(B1027,Locales!$A:$A,Locales!$B:$B,""),"")</f>
        <v/>
      </c>
    </row>
    <row r="1028" spans="3:3" x14ac:dyDescent="0.2">
      <c r="C1028" t="str" cm="1">
        <f t="array" ref="C1028">IFERROR(_xlfn.XLOOKUP(B1028,Locales!$A:$A,Locales!$B:$B,""),"")</f>
        <v/>
      </c>
    </row>
    <row r="1029" spans="3:3" x14ac:dyDescent="0.2">
      <c r="C1029" t="str" cm="1">
        <f t="array" ref="C1029">IFERROR(_xlfn.XLOOKUP(B1029,Locales!$A:$A,Locales!$B:$B,""),"")</f>
        <v/>
      </c>
    </row>
    <row r="1030" spans="3:3" x14ac:dyDescent="0.2">
      <c r="C1030" t="str" cm="1">
        <f t="array" ref="C1030">IFERROR(_xlfn.XLOOKUP(B1030,Locales!$A:$A,Locales!$B:$B,""),"")</f>
        <v/>
      </c>
    </row>
    <row r="1031" spans="3:3" x14ac:dyDescent="0.2">
      <c r="C1031" t="str" cm="1">
        <f t="array" ref="C1031">IFERROR(_xlfn.XLOOKUP(B1031,Locales!$A:$A,Locales!$B:$B,""),"")</f>
        <v/>
      </c>
    </row>
    <row r="1032" spans="3:3" x14ac:dyDescent="0.2">
      <c r="C1032" t="str" cm="1">
        <f t="array" ref="C1032">IFERROR(_xlfn.XLOOKUP(B1032,Locales!$A:$A,Locales!$B:$B,""),"")</f>
        <v/>
      </c>
    </row>
    <row r="1033" spans="3:3" x14ac:dyDescent="0.2">
      <c r="C1033" t="str" cm="1">
        <f t="array" ref="C1033">IFERROR(_xlfn.XLOOKUP(B1033,Locales!$A:$A,Locales!$B:$B,""),"")</f>
        <v/>
      </c>
    </row>
    <row r="1034" spans="3:3" x14ac:dyDescent="0.2">
      <c r="C1034" t="str" cm="1">
        <f t="array" ref="C1034">IFERROR(_xlfn.XLOOKUP(B1034,Locales!$A:$A,Locales!$B:$B,""),"")</f>
        <v/>
      </c>
    </row>
    <row r="1035" spans="3:3" x14ac:dyDescent="0.2">
      <c r="C1035" t="str" cm="1">
        <f t="array" ref="C1035">IFERROR(_xlfn.XLOOKUP(B1035,Locales!$A:$A,Locales!$B:$B,""),"")</f>
        <v/>
      </c>
    </row>
    <row r="1036" spans="3:3" x14ac:dyDescent="0.2">
      <c r="C1036" t="str" cm="1">
        <f t="array" ref="C1036">IFERROR(_xlfn.XLOOKUP(B1036,Locales!$A:$A,Locales!$B:$B,""),"")</f>
        <v/>
      </c>
    </row>
    <row r="1037" spans="3:3" x14ac:dyDescent="0.2">
      <c r="C1037" t="str" cm="1">
        <f t="array" ref="C1037">IFERROR(_xlfn.XLOOKUP(B1037,Locales!$A:$A,Locales!$B:$B,""),"")</f>
        <v/>
      </c>
    </row>
    <row r="1038" spans="3:3" x14ac:dyDescent="0.2">
      <c r="C1038" t="str" cm="1">
        <f t="array" ref="C1038">IFERROR(_xlfn.XLOOKUP(B1038,Locales!$A:$A,Locales!$B:$B,""),"")</f>
        <v/>
      </c>
    </row>
    <row r="1039" spans="3:3" x14ac:dyDescent="0.2">
      <c r="C1039" t="str" cm="1">
        <f t="array" ref="C1039">IFERROR(_xlfn.XLOOKUP(B1039,Locales!$A:$A,Locales!$B:$B,""),"")</f>
        <v/>
      </c>
    </row>
    <row r="1040" spans="3:3" x14ac:dyDescent="0.2">
      <c r="C1040" t="str" cm="1">
        <f t="array" ref="C1040">IFERROR(_xlfn.XLOOKUP(B1040,Locales!$A:$A,Locales!$B:$B,""),"")</f>
        <v/>
      </c>
    </row>
    <row r="1041" spans="3:3" x14ac:dyDescent="0.2">
      <c r="C1041" t="str" cm="1">
        <f t="array" ref="C1041">IFERROR(_xlfn.XLOOKUP(B1041,Locales!$A:$A,Locales!$B:$B,""),"")</f>
        <v/>
      </c>
    </row>
    <row r="1042" spans="3:3" x14ac:dyDescent="0.2">
      <c r="C1042" t="str" cm="1">
        <f t="array" ref="C1042">IFERROR(_xlfn.XLOOKUP(B1042,Locales!$A:$A,Locales!$B:$B,""),"")</f>
        <v/>
      </c>
    </row>
    <row r="1043" spans="3:3" x14ac:dyDescent="0.2">
      <c r="C1043" t="str" cm="1">
        <f t="array" ref="C1043">IFERROR(_xlfn.XLOOKUP(B1043,Locales!$A:$A,Locales!$B:$B,""),"")</f>
        <v/>
      </c>
    </row>
    <row r="1044" spans="3:3" x14ac:dyDescent="0.2">
      <c r="C1044" t="str" cm="1">
        <f t="array" ref="C1044">IFERROR(_xlfn.XLOOKUP(B1044,Locales!$A:$A,Locales!$B:$B,""),"")</f>
        <v/>
      </c>
    </row>
    <row r="1045" spans="3:3" x14ac:dyDescent="0.2">
      <c r="C1045" cm="1">
        <f t="array" ref="C1045">IFERROR(_xlfn.XLOOKUP(B1045,Locales!$A:$A,Locales!$B:$B,""),"")</f>
        <v>0</v>
      </c>
    </row>
    <row r="1046" spans="3:3" x14ac:dyDescent="0.2">
      <c r="C1046" t="str" cm="1">
        <f t="array" ref="C1046">IFERROR(_xlfn.XLOOKUP(B1046,Locales!$A:$A,Locales!$B:$B,""),"")</f>
        <v/>
      </c>
    </row>
    <row r="1047" spans="3:3" x14ac:dyDescent="0.2">
      <c r="C1047" t="str" cm="1">
        <f t="array" ref="C1047">IFERROR(_xlfn.XLOOKUP(B1047,Locales!$A:$A,Locales!$B:$B,""),"")</f>
        <v/>
      </c>
    </row>
    <row r="1048" spans="3:3" x14ac:dyDescent="0.2">
      <c r="C1048" t="str" cm="1">
        <f t="array" ref="C1048">IFERROR(_xlfn.XLOOKUP(B1048,Locales!$A:$A,Locales!$B:$B,""),"")</f>
        <v/>
      </c>
    </row>
    <row r="1049" spans="3:3" x14ac:dyDescent="0.2">
      <c r="C1049" t="str" cm="1">
        <f t="array" ref="C1049">IFERROR(_xlfn.XLOOKUP(B1049,Locales!$A:$A,Locales!$B:$B,""),"")</f>
        <v/>
      </c>
    </row>
    <row r="1050" spans="3:3" x14ac:dyDescent="0.2">
      <c r="C1050" t="str" cm="1">
        <f t="array" ref="C1050">IFERROR(_xlfn.XLOOKUP(B1050,Locales!$A:$A,Locales!$B:$B,""),"")</f>
        <v/>
      </c>
    </row>
    <row r="1051" spans="3:3" x14ac:dyDescent="0.2">
      <c r="C1051" t="str" cm="1">
        <f t="array" ref="C1051">IFERROR(_xlfn.XLOOKUP(B1051,Locales!$A:$A,Locales!$B:$B,""),"")</f>
        <v/>
      </c>
    </row>
    <row r="1052" spans="3:3" x14ac:dyDescent="0.2">
      <c r="C1052" t="str" cm="1">
        <f t="array" ref="C1052">IFERROR(_xlfn.XLOOKUP(B1052,Locales!$A:$A,Locales!$B:$B,""),"")</f>
        <v/>
      </c>
    </row>
    <row r="1053" spans="3:3" x14ac:dyDescent="0.2">
      <c r="C1053" t="str" cm="1">
        <f t="array" ref="C1053">IFERROR(_xlfn.XLOOKUP(B1053,Locales!$A:$A,Locales!$B:$B,""),"")</f>
        <v/>
      </c>
    </row>
    <row r="1054" spans="3:3" x14ac:dyDescent="0.2">
      <c r="C1054" t="str" cm="1">
        <f t="array" ref="C1054">IFERROR(_xlfn.XLOOKUP(B1054,Locales!$A:$A,Locales!$B:$B,""),"")</f>
        <v/>
      </c>
    </row>
    <row r="1055" spans="3:3" x14ac:dyDescent="0.2">
      <c r="C1055" t="str" cm="1">
        <f t="array" ref="C1055">IFERROR(_xlfn.XLOOKUP(B1055,Locales!$A:$A,Locales!$B:$B,""),"")</f>
        <v/>
      </c>
    </row>
    <row r="1056" spans="3:3" x14ac:dyDescent="0.2">
      <c r="C1056" t="str" cm="1">
        <f t="array" ref="C1056">IFERROR(_xlfn.XLOOKUP(B1056,Locales!$A:$A,Locales!$B:$B,""),"")</f>
        <v/>
      </c>
    </row>
    <row r="1057" spans="3:3" x14ac:dyDescent="0.2">
      <c r="C1057" t="str" cm="1">
        <f t="array" ref="C1057">IFERROR(_xlfn.XLOOKUP(B1057,Locales!$A:$A,Locales!$B:$B,""),"")</f>
        <v/>
      </c>
    </row>
    <row r="1058" spans="3:3" x14ac:dyDescent="0.2">
      <c r="C1058" t="str" cm="1">
        <f t="array" ref="C1058">IFERROR(_xlfn.XLOOKUP(B1058,Locales!$A:$A,Locales!$B:$B,""),"")</f>
        <v/>
      </c>
    </row>
    <row r="1059" spans="3:3" x14ac:dyDescent="0.2">
      <c r="C1059" t="str" cm="1">
        <f t="array" ref="C1059">IFERROR(_xlfn.XLOOKUP(B1059,Locales!$A:$A,Locales!$B:$B,""),"")</f>
        <v/>
      </c>
    </row>
    <row r="1060" spans="3:3" x14ac:dyDescent="0.2">
      <c r="C1060" t="str" cm="1">
        <f t="array" ref="C1060">IFERROR(_xlfn.XLOOKUP(B1060,Locales!$A:$A,Locales!$B:$B,""),"")</f>
        <v/>
      </c>
    </row>
    <row r="1061" spans="3:3" x14ac:dyDescent="0.2">
      <c r="C1061" t="str" cm="1">
        <f t="array" ref="C1061">IFERROR(_xlfn.XLOOKUP(B1061,Locales!$A:$A,Locales!$B:$B,""),"")</f>
        <v/>
      </c>
    </row>
    <row r="1062" spans="3:3" x14ac:dyDescent="0.2">
      <c r="C1062" t="str" cm="1">
        <f t="array" ref="C1062">IFERROR(_xlfn.XLOOKUP(B1062,Locales!$A:$A,Locales!$B:$B,""),"")</f>
        <v/>
      </c>
    </row>
    <row r="1063" spans="3:3" x14ac:dyDescent="0.2">
      <c r="C1063" t="str" cm="1">
        <f t="array" ref="C1063">IFERROR(_xlfn.XLOOKUP(B1063,Locales!$A:$A,Locales!$B:$B,""),"")</f>
        <v/>
      </c>
    </row>
    <row r="1064" spans="3:3" x14ac:dyDescent="0.2">
      <c r="C1064" t="str" cm="1">
        <f t="array" ref="C1064">IFERROR(_xlfn.XLOOKUP(B1064,Locales!$A:$A,Locales!$B:$B,""),"")</f>
        <v/>
      </c>
    </row>
    <row r="1065" spans="3:3" x14ac:dyDescent="0.2">
      <c r="C1065" t="str" cm="1">
        <f t="array" ref="C1065">IFERROR(_xlfn.XLOOKUP(B1065,Locales!$A:$A,Locales!$B:$B,""),"")</f>
        <v/>
      </c>
    </row>
    <row r="1066" spans="3:3" x14ac:dyDescent="0.2">
      <c r="C1066" t="str" cm="1">
        <f t="array" ref="C1066">IFERROR(_xlfn.XLOOKUP(B1066,Locales!$A:$A,Locales!$B:$B,""),"")</f>
        <v/>
      </c>
    </row>
    <row r="1067" spans="3:3" x14ac:dyDescent="0.2">
      <c r="C1067" t="str" cm="1">
        <f t="array" ref="C1067">IFERROR(_xlfn.XLOOKUP(B1067,Locales!$A:$A,Locales!$B:$B,""),"")</f>
        <v/>
      </c>
    </row>
    <row r="1068" spans="3:3" x14ac:dyDescent="0.2">
      <c r="C1068" t="str" cm="1">
        <f t="array" ref="C1068">IFERROR(_xlfn.XLOOKUP(B1068,Locales!$A:$A,Locales!$B:$B,""),"")</f>
        <v/>
      </c>
    </row>
    <row r="1069" spans="3:3" x14ac:dyDescent="0.2">
      <c r="C1069" t="str" cm="1">
        <f t="array" ref="C1069">IFERROR(_xlfn.XLOOKUP(B1069,Locales!$A:$A,Locales!$B:$B,""),"")</f>
        <v/>
      </c>
    </row>
    <row r="1070" spans="3:3" x14ac:dyDescent="0.2">
      <c r="C1070" t="str" cm="1">
        <f t="array" ref="C1070">IFERROR(_xlfn.XLOOKUP(B1070,Locales!$A:$A,Locales!$B:$B,""),"")</f>
        <v/>
      </c>
    </row>
    <row r="1071" spans="3:3" x14ac:dyDescent="0.2">
      <c r="C1071" t="str" cm="1">
        <f t="array" ref="C1071">IFERROR(_xlfn.XLOOKUP(B1071,Locales!$A:$A,Locales!$B:$B,""),"")</f>
        <v/>
      </c>
    </row>
    <row r="1072" spans="3:3" x14ac:dyDescent="0.2">
      <c r="C1072" t="str" cm="1">
        <f t="array" ref="C1072">IFERROR(_xlfn.XLOOKUP(B1072,Locales!$A:$A,Locales!$B:$B,""),"")</f>
        <v/>
      </c>
    </row>
    <row r="1073" spans="3:3" x14ac:dyDescent="0.2">
      <c r="C1073" t="str" cm="1">
        <f t="array" ref="C1073">IFERROR(_xlfn.XLOOKUP(B1073,Locales!$A:$A,Locales!$B:$B,""),"")</f>
        <v/>
      </c>
    </row>
    <row r="1074" spans="3:3" x14ac:dyDescent="0.2">
      <c r="C1074" t="str" cm="1">
        <f t="array" ref="C1074">IFERROR(_xlfn.XLOOKUP(B1074,Locales!$A:$A,Locales!$B:$B,""),"")</f>
        <v/>
      </c>
    </row>
    <row r="1075" spans="3:3" x14ac:dyDescent="0.2">
      <c r="C1075" t="str" cm="1">
        <f t="array" ref="C1075">IFERROR(_xlfn.XLOOKUP(B1075,Locales!$A:$A,Locales!$B:$B,""),"")</f>
        <v/>
      </c>
    </row>
    <row r="1076" spans="3:3" x14ac:dyDescent="0.2">
      <c r="C1076" t="str" cm="1">
        <f t="array" ref="C1076">IFERROR(_xlfn.XLOOKUP(B1076,Locales!$A:$A,Locales!$B:$B,""),"")</f>
        <v/>
      </c>
    </row>
    <row r="1077" spans="3:3" x14ac:dyDescent="0.2">
      <c r="C1077" cm="1">
        <f t="array" ref="C1077">IFERROR(_xlfn.XLOOKUP(B1077,Locales!$A:$A,Locales!$B:$B,""),"")</f>
        <v>0</v>
      </c>
    </row>
    <row r="1078" spans="3:3" x14ac:dyDescent="0.2">
      <c r="C1078" t="str" cm="1">
        <f t="array" ref="C1078">IFERROR(_xlfn.XLOOKUP(B1078,Locales!$A:$A,Locales!$B:$B,""),"")</f>
        <v/>
      </c>
    </row>
    <row r="1079" spans="3:3" x14ac:dyDescent="0.2">
      <c r="C1079" t="str" cm="1">
        <f t="array" ref="C1079">IFERROR(_xlfn.XLOOKUP(B1079,Locales!$A:$A,Locales!$B:$B,""),"")</f>
        <v/>
      </c>
    </row>
    <row r="1080" spans="3:3" x14ac:dyDescent="0.2">
      <c r="C1080" t="str" cm="1">
        <f t="array" ref="C1080">IFERROR(_xlfn.XLOOKUP(B1080,Locales!$A:$A,Locales!$B:$B,""),"")</f>
        <v/>
      </c>
    </row>
    <row r="1081" spans="3:3" x14ac:dyDescent="0.2">
      <c r="C1081" t="str" cm="1">
        <f t="array" ref="C1081">IFERROR(_xlfn.XLOOKUP(B1081,Locales!$A:$A,Locales!$B:$B,""),"")</f>
        <v/>
      </c>
    </row>
    <row r="1082" spans="3:3" x14ac:dyDescent="0.2">
      <c r="C1082" t="str" cm="1">
        <f t="array" ref="C1082">IFERROR(_xlfn.XLOOKUP(B1082,Locales!$A:$A,Locales!$B:$B,""),"")</f>
        <v/>
      </c>
    </row>
    <row r="1083" spans="3:3" x14ac:dyDescent="0.2">
      <c r="C1083" t="str" cm="1">
        <f t="array" ref="C1083">IFERROR(_xlfn.XLOOKUP(B1083,Locales!$A:$A,Locales!$B:$B,""),"")</f>
        <v/>
      </c>
    </row>
    <row r="1084" spans="3:3" x14ac:dyDescent="0.2">
      <c r="C1084" t="str" cm="1">
        <f t="array" ref="C1084">IFERROR(_xlfn.XLOOKUP(B1084,Locales!$A:$A,Locales!$B:$B,""),"")</f>
        <v/>
      </c>
    </row>
    <row r="1085" spans="3:3" x14ac:dyDescent="0.2">
      <c r="C1085" t="str" cm="1">
        <f t="array" ref="C1085">IFERROR(_xlfn.XLOOKUP(B1085,Locales!$A:$A,Locales!$B:$B,""),"")</f>
        <v/>
      </c>
    </row>
    <row r="1086" spans="3:3" x14ac:dyDescent="0.2">
      <c r="C1086" t="str" cm="1">
        <f t="array" ref="C1086">IFERROR(_xlfn.XLOOKUP(B1086,Locales!$A:$A,Locales!$B:$B,""),"")</f>
        <v/>
      </c>
    </row>
    <row r="1087" spans="3:3" x14ac:dyDescent="0.2">
      <c r="C1087" t="str" cm="1">
        <f t="array" ref="C1087">IFERROR(_xlfn.XLOOKUP(B1087,Locales!$A:$A,Locales!$B:$B,""),"")</f>
        <v/>
      </c>
    </row>
    <row r="1088" spans="3:3" x14ac:dyDescent="0.2">
      <c r="C1088" t="str" cm="1">
        <f t="array" ref="C1088">IFERROR(_xlfn.XLOOKUP(B1088,Locales!$A:$A,Locales!$B:$B,""),"")</f>
        <v/>
      </c>
    </row>
    <row r="1089" spans="3:3" x14ac:dyDescent="0.2">
      <c r="C1089" t="str" cm="1">
        <f t="array" ref="C1089">IFERROR(_xlfn.XLOOKUP(B1089,Locales!$A:$A,Locales!$B:$B,""),"")</f>
        <v/>
      </c>
    </row>
    <row r="1090" spans="3:3" x14ac:dyDescent="0.2">
      <c r="C1090" t="str" cm="1">
        <f t="array" ref="C1090">IFERROR(_xlfn.XLOOKUP(B1090,Locales!$A:$A,Locales!$B:$B,""),"")</f>
        <v/>
      </c>
    </row>
    <row r="1091" spans="3:3" x14ac:dyDescent="0.2">
      <c r="C1091" t="str" cm="1">
        <f t="array" ref="C1091">IFERROR(_xlfn.XLOOKUP(B1091,Locales!$A:$A,Locales!$B:$B,""),"")</f>
        <v/>
      </c>
    </row>
    <row r="1092" spans="3:3" x14ac:dyDescent="0.2">
      <c r="C1092" t="str" cm="1">
        <f t="array" ref="C1092">IFERROR(_xlfn.XLOOKUP(B1092,Locales!$A:$A,Locales!$B:$B,""),"")</f>
        <v/>
      </c>
    </row>
    <row r="1093" spans="3:3" x14ac:dyDescent="0.2">
      <c r="C1093" t="str" cm="1">
        <f t="array" ref="C1093">IFERROR(_xlfn.XLOOKUP(B1093,Locales!$A:$A,Locales!$B:$B,""),"")</f>
        <v/>
      </c>
    </row>
    <row r="1094" spans="3:3" x14ac:dyDescent="0.2">
      <c r="C1094" t="str" cm="1">
        <f t="array" ref="C1094">IFERROR(_xlfn.XLOOKUP(B1094,Locales!$A:$A,Locales!$B:$B,""),"")</f>
        <v/>
      </c>
    </row>
    <row r="1095" spans="3:3" x14ac:dyDescent="0.2">
      <c r="C1095" t="str" cm="1">
        <f t="array" ref="C1095">IFERROR(_xlfn.XLOOKUP(B1095,Locales!$A:$A,Locales!$B:$B,""),"")</f>
        <v/>
      </c>
    </row>
    <row r="1096" spans="3:3" x14ac:dyDescent="0.2">
      <c r="C1096" t="str" cm="1">
        <f t="array" ref="C1096">IFERROR(_xlfn.XLOOKUP(B1096,Locales!$A:$A,Locales!$B:$B,""),"")</f>
        <v/>
      </c>
    </row>
    <row r="1097" spans="3:3" x14ac:dyDescent="0.2">
      <c r="C1097" t="str" cm="1">
        <f t="array" ref="C1097">IFERROR(_xlfn.XLOOKUP(B1097,Locales!$A:$A,Locales!$B:$B,""),"")</f>
        <v/>
      </c>
    </row>
    <row r="1098" spans="3:3" x14ac:dyDescent="0.2">
      <c r="C1098" t="str" cm="1">
        <f t="array" ref="C1098">IFERROR(_xlfn.XLOOKUP(B1098,Locales!$A:$A,Locales!$B:$B,""),"")</f>
        <v/>
      </c>
    </row>
    <row r="1099" spans="3:3" x14ac:dyDescent="0.2">
      <c r="C1099" t="str" cm="1">
        <f t="array" ref="C1099">IFERROR(_xlfn.XLOOKUP(B1099,Locales!$A:$A,Locales!$B:$B,""),"")</f>
        <v/>
      </c>
    </row>
    <row r="1100" spans="3:3" x14ac:dyDescent="0.2">
      <c r="C1100" t="str" cm="1">
        <f t="array" ref="C1100">IFERROR(_xlfn.XLOOKUP(B1100,Locales!$A:$A,Locales!$B:$B,""),"")</f>
        <v/>
      </c>
    </row>
    <row r="1101" spans="3:3" x14ac:dyDescent="0.2">
      <c r="C1101" t="str" cm="1">
        <f t="array" ref="C1101">IFERROR(_xlfn.XLOOKUP(B1101,Locales!$A:$A,Locales!$B:$B,""),"")</f>
        <v/>
      </c>
    </row>
    <row r="1102" spans="3:3" x14ac:dyDescent="0.2">
      <c r="C1102" t="str" cm="1">
        <f t="array" ref="C1102">IFERROR(_xlfn.XLOOKUP(B1102,Locales!$A:$A,Locales!$B:$B,""),"")</f>
        <v/>
      </c>
    </row>
    <row r="1103" spans="3:3" x14ac:dyDescent="0.2">
      <c r="C1103" t="str" cm="1">
        <f t="array" ref="C1103">IFERROR(_xlfn.XLOOKUP(B1103,Locales!$A:$A,Locales!$B:$B,""),"")</f>
        <v/>
      </c>
    </row>
    <row r="1104" spans="3:3" x14ac:dyDescent="0.2">
      <c r="C1104" t="str" cm="1">
        <f t="array" ref="C1104">IFERROR(_xlfn.XLOOKUP(B1104,Locales!$A:$A,Locales!$B:$B,""),"")</f>
        <v/>
      </c>
    </row>
    <row r="1105" spans="3:3" x14ac:dyDescent="0.2">
      <c r="C1105" t="str" cm="1">
        <f t="array" ref="C1105">IFERROR(_xlfn.XLOOKUP(B1105,Locales!$A:$A,Locales!$B:$B,""),"")</f>
        <v/>
      </c>
    </row>
    <row r="1106" spans="3:3" x14ac:dyDescent="0.2">
      <c r="C1106" t="str" cm="1">
        <f t="array" ref="C1106">IFERROR(_xlfn.XLOOKUP(B1106,Locales!$A:$A,Locales!$B:$B,""),"")</f>
        <v/>
      </c>
    </row>
    <row r="1107" spans="3:3" x14ac:dyDescent="0.2">
      <c r="C1107" t="str" cm="1">
        <f t="array" ref="C1107">IFERROR(_xlfn.XLOOKUP(B1107,Locales!$A:$A,Locales!$B:$B,""),"")</f>
        <v/>
      </c>
    </row>
    <row r="1108" spans="3:3" x14ac:dyDescent="0.2">
      <c r="C1108" t="str" cm="1">
        <f t="array" ref="C1108">IFERROR(_xlfn.XLOOKUP(B1108,Locales!$A:$A,Locales!$B:$B,""),"")</f>
        <v/>
      </c>
    </row>
    <row r="1109" spans="3:3" x14ac:dyDescent="0.2">
      <c r="C1109" cm="1">
        <f t="array" ref="C1109">IFERROR(_xlfn.XLOOKUP(B1109,Locales!$A:$A,Locales!$B:$B,""),"")</f>
        <v>0</v>
      </c>
    </row>
    <row r="1110" spans="3:3" x14ac:dyDescent="0.2">
      <c r="C1110" t="str" cm="1">
        <f t="array" ref="C1110">IFERROR(_xlfn.XLOOKUP(B1110,Locales!$A:$A,Locales!$B:$B,""),"")</f>
        <v/>
      </c>
    </row>
    <row r="1111" spans="3:3" x14ac:dyDescent="0.2">
      <c r="C1111" t="str" cm="1">
        <f t="array" ref="C1111">IFERROR(_xlfn.XLOOKUP(B1111,Locales!$A:$A,Locales!$B:$B,""),"")</f>
        <v/>
      </c>
    </row>
    <row r="1112" spans="3:3" x14ac:dyDescent="0.2">
      <c r="C1112" t="str" cm="1">
        <f t="array" ref="C1112">IFERROR(_xlfn.XLOOKUP(B1112,Locales!$A:$A,Locales!$B:$B,""),"")</f>
        <v/>
      </c>
    </row>
    <row r="1113" spans="3:3" x14ac:dyDescent="0.2">
      <c r="C1113" t="str" cm="1">
        <f t="array" ref="C1113">IFERROR(_xlfn.XLOOKUP(B1113,Locales!$A:$A,Locales!$B:$B,""),"")</f>
        <v/>
      </c>
    </row>
    <row r="1114" spans="3:3" x14ac:dyDescent="0.2">
      <c r="C1114" t="str" cm="1">
        <f t="array" ref="C1114">IFERROR(_xlfn.XLOOKUP(B1114,Locales!$A:$A,Locales!$B:$B,""),"")</f>
        <v/>
      </c>
    </row>
    <row r="1115" spans="3:3" x14ac:dyDescent="0.2">
      <c r="C1115" t="str" cm="1">
        <f t="array" ref="C1115">IFERROR(_xlfn.XLOOKUP(B1115,Locales!$A:$A,Locales!$B:$B,""),"")</f>
        <v/>
      </c>
    </row>
    <row r="1116" spans="3:3" x14ac:dyDescent="0.2">
      <c r="C1116" t="str" cm="1">
        <f t="array" ref="C1116">IFERROR(_xlfn.XLOOKUP(B1116,Locales!$A:$A,Locales!$B:$B,""),"")</f>
        <v/>
      </c>
    </row>
    <row r="1117" spans="3:3" x14ac:dyDescent="0.2">
      <c r="C1117" t="str" cm="1">
        <f t="array" ref="C1117">IFERROR(_xlfn.XLOOKUP(B1117,Locales!$A:$A,Locales!$B:$B,""),"")</f>
        <v/>
      </c>
    </row>
    <row r="1118" spans="3:3" x14ac:dyDescent="0.2">
      <c r="C1118" t="str" cm="1">
        <f t="array" ref="C1118">IFERROR(_xlfn.XLOOKUP(B1118,Locales!$A:$A,Locales!$B:$B,""),"")</f>
        <v/>
      </c>
    </row>
    <row r="1119" spans="3:3" x14ac:dyDescent="0.2">
      <c r="C1119" t="str" cm="1">
        <f t="array" ref="C1119">IFERROR(_xlfn.XLOOKUP(B1119,Locales!$A:$A,Locales!$B:$B,""),"")</f>
        <v/>
      </c>
    </row>
    <row r="1120" spans="3:3" x14ac:dyDescent="0.2">
      <c r="C1120" t="str" cm="1">
        <f t="array" ref="C1120">IFERROR(_xlfn.XLOOKUP(B1120,Locales!$A:$A,Locales!$B:$B,""),"")</f>
        <v/>
      </c>
    </row>
    <row r="1121" spans="3:3" x14ac:dyDescent="0.2">
      <c r="C1121" t="str" cm="1">
        <f t="array" ref="C1121">IFERROR(_xlfn.XLOOKUP(B1121,Locales!$A:$A,Locales!$B:$B,""),"")</f>
        <v/>
      </c>
    </row>
    <row r="1122" spans="3:3" x14ac:dyDescent="0.2">
      <c r="C1122" t="str" cm="1">
        <f t="array" ref="C1122">IFERROR(_xlfn.XLOOKUP(B1122,Locales!$A:$A,Locales!$B:$B,""),"")</f>
        <v/>
      </c>
    </row>
    <row r="1123" spans="3:3" x14ac:dyDescent="0.2">
      <c r="C1123" t="str" cm="1">
        <f t="array" ref="C1123">IFERROR(_xlfn.XLOOKUP(B1123,Locales!$A:$A,Locales!$B:$B,""),"")</f>
        <v/>
      </c>
    </row>
    <row r="1124" spans="3:3" x14ac:dyDescent="0.2">
      <c r="C1124" t="str" cm="1">
        <f t="array" ref="C1124">IFERROR(_xlfn.XLOOKUP(B1124,Locales!$A:$A,Locales!$B:$B,""),"")</f>
        <v/>
      </c>
    </row>
    <row r="1125" spans="3:3" x14ac:dyDescent="0.2">
      <c r="C1125" t="str" cm="1">
        <f t="array" ref="C1125">IFERROR(_xlfn.XLOOKUP(B1125,Locales!$A:$A,Locales!$B:$B,""),"")</f>
        <v/>
      </c>
    </row>
    <row r="1126" spans="3:3" x14ac:dyDescent="0.2">
      <c r="C1126" t="str" cm="1">
        <f t="array" ref="C1126">IFERROR(_xlfn.XLOOKUP(B1126,Locales!$A:$A,Locales!$B:$B,""),"")</f>
        <v/>
      </c>
    </row>
    <row r="1127" spans="3:3" x14ac:dyDescent="0.2">
      <c r="C1127" t="str" cm="1">
        <f t="array" ref="C1127">IFERROR(_xlfn.XLOOKUP(B1127,Locales!$A:$A,Locales!$B:$B,""),"")</f>
        <v/>
      </c>
    </row>
    <row r="1128" spans="3:3" x14ac:dyDescent="0.2">
      <c r="C1128" t="str" cm="1">
        <f t="array" ref="C1128">IFERROR(_xlfn.XLOOKUP(B1128,Locales!$A:$A,Locales!$B:$B,""),"")</f>
        <v/>
      </c>
    </row>
    <row r="1129" spans="3:3" x14ac:dyDescent="0.2">
      <c r="C1129" t="str" cm="1">
        <f t="array" ref="C1129">IFERROR(_xlfn.XLOOKUP(B1129,Locales!$A:$A,Locales!$B:$B,""),"")</f>
        <v/>
      </c>
    </row>
    <row r="1130" spans="3:3" x14ac:dyDescent="0.2">
      <c r="C1130" t="str" cm="1">
        <f t="array" ref="C1130">IFERROR(_xlfn.XLOOKUP(B1130,Locales!$A:$A,Locales!$B:$B,""),"")</f>
        <v/>
      </c>
    </row>
    <row r="1131" spans="3:3" x14ac:dyDescent="0.2">
      <c r="C1131" t="str" cm="1">
        <f t="array" ref="C1131">IFERROR(_xlfn.XLOOKUP(B1131,Locales!$A:$A,Locales!$B:$B,""),"")</f>
        <v/>
      </c>
    </row>
    <row r="1132" spans="3:3" x14ac:dyDescent="0.2">
      <c r="C1132" t="str" cm="1">
        <f t="array" ref="C1132">IFERROR(_xlfn.XLOOKUP(B1132,Locales!$A:$A,Locales!$B:$B,""),"")</f>
        <v/>
      </c>
    </row>
    <row r="1133" spans="3:3" x14ac:dyDescent="0.2">
      <c r="C1133" t="str" cm="1">
        <f t="array" ref="C1133">IFERROR(_xlfn.XLOOKUP(B1133,Locales!$A:$A,Locales!$B:$B,""),"")</f>
        <v/>
      </c>
    </row>
    <row r="1134" spans="3:3" x14ac:dyDescent="0.2">
      <c r="C1134" t="str" cm="1">
        <f t="array" ref="C1134">IFERROR(_xlfn.XLOOKUP(B1134,Locales!$A:$A,Locales!$B:$B,""),"")</f>
        <v/>
      </c>
    </row>
    <row r="1135" spans="3:3" x14ac:dyDescent="0.2">
      <c r="C1135" t="str" cm="1">
        <f t="array" ref="C1135">IFERROR(_xlfn.XLOOKUP(B1135,Locales!$A:$A,Locales!$B:$B,""),"")</f>
        <v/>
      </c>
    </row>
    <row r="1136" spans="3:3" x14ac:dyDescent="0.2">
      <c r="C1136" t="str" cm="1">
        <f t="array" ref="C1136">IFERROR(_xlfn.XLOOKUP(B1136,Locales!$A:$A,Locales!$B:$B,""),"")</f>
        <v/>
      </c>
    </row>
    <row r="1137" spans="3:3" x14ac:dyDescent="0.2">
      <c r="C1137" t="str" cm="1">
        <f t="array" ref="C1137">IFERROR(_xlfn.XLOOKUP(B1137,Locales!$A:$A,Locales!$B:$B,""),"")</f>
        <v/>
      </c>
    </row>
    <row r="1138" spans="3:3" x14ac:dyDescent="0.2">
      <c r="C1138" t="str" cm="1">
        <f t="array" ref="C1138">IFERROR(_xlfn.XLOOKUP(B1138,Locales!$A:$A,Locales!$B:$B,""),"")</f>
        <v/>
      </c>
    </row>
    <row r="1139" spans="3:3" x14ac:dyDescent="0.2">
      <c r="C1139" t="str" cm="1">
        <f t="array" ref="C1139">IFERROR(_xlfn.XLOOKUP(B1139,Locales!$A:$A,Locales!$B:$B,""),"")</f>
        <v/>
      </c>
    </row>
    <row r="1140" spans="3:3" x14ac:dyDescent="0.2">
      <c r="C1140" t="str" cm="1">
        <f t="array" ref="C1140">IFERROR(_xlfn.XLOOKUP(B1140,Locales!$A:$A,Locales!$B:$B,""),"")</f>
        <v/>
      </c>
    </row>
    <row r="1141" spans="3:3" x14ac:dyDescent="0.2">
      <c r="C1141" cm="1">
        <f t="array" ref="C1141">IFERROR(_xlfn.XLOOKUP(B1141,Locales!$A:$A,Locales!$B:$B,""),"")</f>
        <v>0</v>
      </c>
    </row>
    <row r="1142" spans="3:3" x14ac:dyDescent="0.2">
      <c r="C1142" t="str" cm="1">
        <f t="array" ref="C1142">IFERROR(_xlfn.XLOOKUP(B1142,Locales!$A:$A,Locales!$B:$B,""),"")</f>
        <v/>
      </c>
    </row>
    <row r="1143" spans="3:3" x14ac:dyDescent="0.2">
      <c r="C1143" t="str" cm="1">
        <f t="array" ref="C1143">IFERROR(_xlfn.XLOOKUP(B1143,Locales!$A:$A,Locales!$B:$B,""),"")</f>
        <v/>
      </c>
    </row>
    <row r="1144" spans="3:3" x14ac:dyDescent="0.2">
      <c r="C1144" t="str" cm="1">
        <f t="array" ref="C1144">IFERROR(_xlfn.XLOOKUP(B1144,Locales!$A:$A,Locales!$B:$B,""),"")</f>
        <v/>
      </c>
    </row>
    <row r="1145" spans="3:3" x14ac:dyDescent="0.2">
      <c r="C1145" t="str" cm="1">
        <f t="array" ref="C1145">IFERROR(_xlfn.XLOOKUP(B1145,Locales!$A:$A,Locales!$B:$B,""),"")</f>
        <v/>
      </c>
    </row>
    <row r="1146" spans="3:3" x14ac:dyDescent="0.2">
      <c r="C1146" t="str" cm="1">
        <f t="array" ref="C1146">IFERROR(_xlfn.XLOOKUP(B1146,Locales!$A:$A,Locales!$B:$B,""),"")</f>
        <v/>
      </c>
    </row>
    <row r="1147" spans="3:3" x14ac:dyDescent="0.2">
      <c r="C1147" t="str" cm="1">
        <f t="array" ref="C1147">IFERROR(_xlfn.XLOOKUP(B1147,Locales!$A:$A,Locales!$B:$B,""),"")</f>
        <v/>
      </c>
    </row>
    <row r="1148" spans="3:3" x14ac:dyDescent="0.2">
      <c r="C1148" t="str" cm="1">
        <f t="array" ref="C1148">IFERROR(_xlfn.XLOOKUP(B1148,Locales!$A:$A,Locales!$B:$B,""),"")</f>
        <v/>
      </c>
    </row>
    <row r="1149" spans="3:3" x14ac:dyDescent="0.2">
      <c r="C1149" t="str" cm="1">
        <f t="array" ref="C1149">IFERROR(_xlfn.XLOOKUP(B1149,Locales!$A:$A,Locales!$B:$B,""),"")</f>
        <v/>
      </c>
    </row>
    <row r="1150" spans="3:3" x14ac:dyDescent="0.2">
      <c r="C1150" t="str" cm="1">
        <f t="array" ref="C1150">IFERROR(_xlfn.XLOOKUP(B1150,Locales!$A:$A,Locales!$B:$B,""),"")</f>
        <v/>
      </c>
    </row>
    <row r="1151" spans="3:3" x14ac:dyDescent="0.2">
      <c r="C1151" t="str" cm="1">
        <f t="array" ref="C1151">IFERROR(_xlfn.XLOOKUP(B1151,Locales!$A:$A,Locales!$B:$B,""),"")</f>
        <v/>
      </c>
    </row>
    <row r="1152" spans="3:3" x14ac:dyDescent="0.2">
      <c r="C1152" t="str" cm="1">
        <f t="array" ref="C1152">IFERROR(_xlfn.XLOOKUP(B1152,Locales!$A:$A,Locales!$B:$B,""),"")</f>
        <v/>
      </c>
    </row>
    <row r="1153" spans="3:3" x14ac:dyDescent="0.2">
      <c r="C1153" t="str" cm="1">
        <f t="array" ref="C1153">IFERROR(_xlfn.XLOOKUP(B1153,Locales!$A:$A,Locales!$B:$B,""),"")</f>
        <v/>
      </c>
    </row>
    <row r="1154" spans="3:3" x14ac:dyDescent="0.2">
      <c r="C1154" t="str" cm="1">
        <f t="array" ref="C1154">IFERROR(_xlfn.XLOOKUP(B1154,Locales!$A:$A,Locales!$B:$B,""),"")</f>
        <v/>
      </c>
    </row>
    <row r="1155" spans="3:3" x14ac:dyDescent="0.2">
      <c r="C1155" t="str" cm="1">
        <f t="array" ref="C1155">IFERROR(_xlfn.XLOOKUP(B1155,Locales!$A:$A,Locales!$B:$B,""),"")</f>
        <v/>
      </c>
    </row>
    <row r="1156" spans="3:3" x14ac:dyDescent="0.2">
      <c r="C1156" t="str" cm="1">
        <f t="array" ref="C1156">IFERROR(_xlfn.XLOOKUP(B1156,Locales!$A:$A,Locales!$B:$B,""),"")</f>
        <v/>
      </c>
    </row>
    <row r="1157" spans="3:3" x14ac:dyDescent="0.2">
      <c r="C1157" t="str" cm="1">
        <f t="array" ref="C1157">IFERROR(_xlfn.XLOOKUP(B1157,Locales!$A:$A,Locales!$B:$B,""),"")</f>
        <v/>
      </c>
    </row>
    <row r="1158" spans="3:3" x14ac:dyDescent="0.2">
      <c r="C1158" t="str" cm="1">
        <f t="array" ref="C1158">IFERROR(_xlfn.XLOOKUP(B1158,Locales!$A:$A,Locales!$B:$B,""),"")</f>
        <v/>
      </c>
    </row>
    <row r="1159" spans="3:3" x14ac:dyDescent="0.2">
      <c r="C1159" t="str" cm="1">
        <f t="array" ref="C1159">IFERROR(_xlfn.XLOOKUP(B1159,Locales!$A:$A,Locales!$B:$B,""),"")</f>
        <v/>
      </c>
    </row>
    <row r="1160" spans="3:3" x14ac:dyDescent="0.2">
      <c r="C1160" t="str" cm="1">
        <f t="array" ref="C1160">IFERROR(_xlfn.XLOOKUP(B1160,Locales!$A:$A,Locales!$B:$B,""),"")</f>
        <v/>
      </c>
    </row>
    <row r="1161" spans="3:3" x14ac:dyDescent="0.2">
      <c r="C1161" t="str" cm="1">
        <f t="array" ref="C1161">IFERROR(_xlfn.XLOOKUP(B1161,Locales!$A:$A,Locales!$B:$B,""),"")</f>
        <v/>
      </c>
    </row>
    <row r="1162" spans="3:3" x14ac:dyDescent="0.2">
      <c r="C1162" t="str" cm="1">
        <f t="array" ref="C1162">IFERROR(_xlfn.XLOOKUP(B1162,Locales!$A:$A,Locales!$B:$B,""),"")</f>
        <v/>
      </c>
    </row>
    <row r="1163" spans="3:3" x14ac:dyDescent="0.2">
      <c r="C1163" t="str" cm="1">
        <f t="array" ref="C1163">IFERROR(_xlfn.XLOOKUP(B1163,Locales!$A:$A,Locales!$B:$B,""),"")</f>
        <v/>
      </c>
    </row>
    <row r="1164" spans="3:3" x14ac:dyDescent="0.2">
      <c r="C1164" t="str" cm="1">
        <f t="array" ref="C1164">IFERROR(_xlfn.XLOOKUP(B1164,Locales!$A:$A,Locales!$B:$B,""),"")</f>
        <v/>
      </c>
    </row>
    <row r="1165" spans="3:3" x14ac:dyDescent="0.2">
      <c r="C1165" t="str" cm="1">
        <f t="array" ref="C1165">IFERROR(_xlfn.XLOOKUP(B1165,Locales!$A:$A,Locales!$B:$B,""),"")</f>
        <v/>
      </c>
    </row>
    <row r="1166" spans="3:3" x14ac:dyDescent="0.2">
      <c r="C1166" t="str" cm="1">
        <f t="array" ref="C1166">IFERROR(_xlfn.XLOOKUP(B1166,Locales!$A:$A,Locales!$B:$B,""),"")</f>
        <v/>
      </c>
    </row>
    <row r="1167" spans="3:3" x14ac:dyDescent="0.2">
      <c r="C1167" t="str" cm="1">
        <f t="array" ref="C1167">IFERROR(_xlfn.XLOOKUP(B1167,Locales!$A:$A,Locales!$B:$B,""),"")</f>
        <v/>
      </c>
    </row>
    <row r="1168" spans="3:3" x14ac:dyDescent="0.2">
      <c r="C1168" t="str" cm="1">
        <f t="array" ref="C1168">IFERROR(_xlfn.XLOOKUP(B1168,Locales!$A:$A,Locales!$B:$B,""),"")</f>
        <v/>
      </c>
    </row>
    <row r="1169" spans="3:3" x14ac:dyDescent="0.2">
      <c r="C1169" t="str" cm="1">
        <f t="array" ref="C1169">IFERROR(_xlfn.XLOOKUP(B1169,Locales!$A:$A,Locales!$B:$B,""),"")</f>
        <v/>
      </c>
    </row>
    <row r="1170" spans="3:3" x14ac:dyDescent="0.2">
      <c r="C1170" t="str" cm="1">
        <f t="array" ref="C1170">IFERROR(_xlfn.XLOOKUP(B1170,Locales!$A:$A,Locales!$B:$B,""),"")</f>
        <v/>
      </c>
    </row>
    <row r="1171" spans="3:3" x14ac:dyDescent="0.2">
      <c r="C1171" t="str" cm="1">
        <f t="array" ref="C1171">IFERROR(_xlfn.XLOOKUP(B1171,Locales!$A:$A,Locales!$B:$B,""),"")</f>
        <v/>
      </c>
    </row>
    <row r="1172" spans="3:3" x14ac:dyDescent="0.2">
      <c r="C1172" t="str" cm="1">
        <f t="array" ref="C1172">IFERROR(_xlfn.XLOOKUP(B1172,Locales!$A:$A,Locales!$B:$B,""),"")</f>
        <v/>
      </c>
    </row>
    <row r="1173" spans="3:3" x14ac:dyDescent="0.2">
      <c r="C1173" cm="1">
        <f t="array" ref="C1173">IFERROR(_xlfn.XLOOKUP(B1173,Locales!$A:$A,Locales!$B:$B,""),"")</f>
        <v>0</v>
      </c>
    </row>
    <row r="1174" spans="3:3" x14ac:dyDescent="0.2">
      <c r="C1174" t="str" cm="1">
        <f t="array" ref="C1174">IFERROR(_xlfn.XLOOKUP(B1174,Locales!$A:$A,Locales!$B:$B,""),"")</f>
        <v/>
      </c>
    </row>
    <row r="1175" spans="3:3" x14ac:dyDescent="0.2">
      <c r="C1175" t="str" cm="1">
        <f t="array" ref="C1175">IFERROR(_xlfn.XLOOKUP(B1175,Locales!$A:$A,Locales!$B:$B,""),"")</f>
        <v/>
      </c>
    </row>
    <row r="1176" spans="3:3" x14ac:dyDescent="0.2">
      <c r="C1176" t="str" cm="1">
        <f t="array" ref="C1176">IFERROR(_xlfn.XLOOKUP(B1176,Locales!$A:$A,Locales!$B:$B,""),"")</f>
        <v/>
      </c>
    </row>
    <row r="1177" spans="3:3" x14ac:dyDescent="0.2">
      <c r="C1177" t="str" cm="1">
        <f t="array" ref="C1177">IFERROR(_xlfn.XLOOKUP(B1177,Locales!$A:$A,Locales!$B:$B,""),"")</f>
        <v/>
      </c>
    </row>
    <row r="1178" spans="3:3" x14ac:dyDescent="0.2">
      <c r="C1178" t="str" cm="1">
        <f t="array" ref="C1178">IFERROR(_xlfn.XLOOKUP(B1178,Locales!$A:$A,Locales!$B:$B,""),"")</f>
        <v/>
      </c>
    </row>
    <row r="1179" spans="3:3" x14ac:dyDescent="0.2">
      <c r="C1179" t="str" cm="1">
        <f t="array" ref="C1179">IFERROR(_xlfn.XLOOKUP(B1179,Locales!$A:$A,Locales!$B:$B,""),"")</f>
        <v/>
      </c>
    </row>
    <row r="1180" spans="3:3" x14ac:dyDescent="0.2">
      <c r="C1180" t="str" cm="1">
        <f t="array" ref="C1180">IFERROR(_xlfn.XLOOKUP(B1180,Locales!$A:$A,Locales!$B:$B,""),"")</f>
        <v/>
      </c>
    </row>
    <row r="1181" spans="3:3" x14ac:dyDescent="0.2">
      <c r="C1181" t="str" cm="1">
        <f t="array" ref="C1181">IFERROR(_xlfn.XLOOKUP(B1181,Locales!$A:$A,Locales!$B:$B,""),"")</f>
        <v/>
      </c>
    </row>
    <row r="1182" spans="3:3" x14ac:dyDescent="0.2">
      <c r="C1182" t="str" cm="1">
        <f t="array" ref="C1182">IFERROR(_xlfn.XLOOKUP(B1182,Locales!$A:$A,Locales!$B:$B,""),"")</f>
        <v/>
      </c>
    </row>
    <row r="1183" spans="3:3" x14ac:dyDescent="0.2">
      <c r="C1183" t="str" cm="1">
        <f t="array" ref="C1183">IFERROR(_xlfn.XLOOKUP(B1183,Locales!$A:$A,Locales!$B:$B,""),"")</f>
        <v/>
      </c>
    </row>
    <row r="1184" spans="3:3" x14ac:dyDescent="0.2">
      <c r="C1184" t="str" cm="1">
        <f t="array" ref="C1184">IFERROR(_xlfn.XLOOKUP(B1184,Locales!$A:$A,Locales!$B:$B,""),"")</f>
        <v/>
      </c>
    </row>
    <row r="1185" spans="3:3" x14ac:dyDescent="0.2">
      <c r="C1185" t="str" cm="1">
        <f t="array" ref="C1185">IFERROR(_xlfn.XLOOKUP(B1185,Locales!$A:$A,Locales!$B:$B,""),"")</f>
        <v/>
      </c>
    </row>
    <row r="1186" spans="3:3" x14ac:dyDescent="0.2">
      <c r="C1186" t="str" cm="1">
        <f t="array" ref="C1186">IFERROR(_xlfn.XLOOKUP(B1186,Locales!$A:$A,Locales!$B:$B,""),"")</f>
        <v/>
      </c>
    </row>
    <row r="1187" spans="3:3" x14ac:dyDescent="0.2">
      <c r="C1187" t="str" cm="1">
        <f t="array" ref="C1187">IFERROR(_xlfn.XLOOKUP(B1187,Locales!$A:$A,Locales!$B:$B,""),"")</f>
        <v/>
      </c>
    </row>
    <row r="1188" spans="3:3" x14ac:dyDescent="0.2">
      <c r="C1188" t="str" cm="1">
        <f t="array" ref="C1188">IFERROR(_xlfn.XLOOKUP(B1188,Locales!$A:$A,Locales!$B:$B,""),"")</f>
        <v/>
      </c>
    </row>
    <row r="1189" spans="3:3" x14ac:dyDescent="0.2">
      <c r="C1189" t="str" cm="1">
        <f t="array" ref="C1189">IFERROR(_xlfn.XLOOKUP(B1189,Locales!$A:$A,Locales!$B:$B,""),"")</f>
        <v/>
      </c>
    </row>
    <row r="1190" spans="3:3" x14ac:dyDescent="0.2">
      <c r="C1190" t="str" cm="1">
        <f t="array" ref="C1190">IFERROR(_xlfn.XLOOKUP(B1190,Locales!$A:$A,Locales!$B:$B,""),"")</f>
        <v/>
      </c>
    </row>
    <row r="1191" spans="3:3" x14ac:dyDescent="0.2">
      <c r="C1191" t="str" cm="1">
        <f t="array" ref="C1191">IFERROR(_xlfn.XLOOKUP(B1191,Locales!$A:$A,Locales!$B:$B,""),"")</f>
        <v/>
      </c>
    </row>
    <row r="1192" spans="3:3" x14ac:dyDescent="0.2">
      <c r="C1192" t="str" cm="1">
        <f t="array" ref="C1192">IFERROR(_xlfn.XLOOKUP(B1192,Locales!$A:$A,Locales!$B:$B,""),"")</f>
        <v/>
      </c>
    </row>
    <row r="1193" spans="3:3" x14ac:dyDescent="0.2">
      <c r="C1193" t="str" cm="1">
        <f t="array" ref="C1193">IFERROR(_xlfn.XLOOKUP(B1193,Locales!$A:$A,Locales!$B:$B,""),"")</f>
        <v/>
      </c>
    </row>
    <row r="1194" spans="3:3" x14ac:dyDescent="0.2">
      <c r="C1194" t="str" cm="1">
        <f t="array" ref="C1194">IFERROR(_xlfn.XLOOKUP(B1194,Locales!$A:$A,Locales!$B:$B,""),"")</f>
        <v/>
      </c>
    </row>
    <row r="1195" spans="3:3" x14ac:dyDescent="0.2">
      <c r="C1195" t="str" cm="1">
        <f t="array" ref="C1195">IFERROR(_xlfn.XLOOKUP(B1195,Locales!$A:$A,Locales!$B:$B,""),"")</f>
        <v/>
      </c>
    </row>
    <row r="1196" spans="3:3" x14ac:dyDescent="0.2">
      <c r="C1196" t="str" cm="1">
        <f t="array" ref="C1196">IFERROR(_xlfn.XLOOKUP(B1196,Locales!$A:$A,Locales!$B:$B,""),"")</f>
        <v/>
      </c>
    </row>
    <row r="1197" spans="3:3" x14ac:dyDescent="0.2">
      <c r="C1197" t="str" cm="1">
        <f t="array" ref="C1197">IFERROR(_xlfn.XLOOKUP(B1197,Locales!$A:$A,Locales!$B:$B,""),"")</f>
        <v/>
      </c>
    </row>
    <row r="1198" spans="3:3" x14ac:dyDescent="0.2">
      <c r="C1198" t="str" cm="1">
        <f t="array" ref="C1198">IFERROR(_xlfn.XLOOKUP(B1198,Locales!$A:$A,Locales!$B:$B,""),"")</f>
        <v/>
      </c>
    </row>
    <row r="1199" spans="3:3" x14ac:dyDescent="0.2">
      <c r="C1199" t="str" cm="1">
        <f t="array" ref="C1199">IFERROR(_xlfn.XLOOKUP(B1199,Locales!$A:$A,Locales!$B:$B,""),"")</f>
        <v/>
      </c>
    </row>
    <row r="1200" spans="3:3" x14ac:dyDescent="0.2">
      <c r="C1200" t="str" cm="1">
        <f t="array" ref="C1200">IFERROR(_xlfn.XLOOKUP(B1200,Locales!$A:$A,Locales!$B:$B,""),"")</f>
        <v/>
      </c>
    </row>
    <row r="1201" spans="3:3" x14ac:dyDescent="0.2">
      <c r="C1201" t="str" cm="1">
        <f t="array" ref="C1201">IFERROR(_xlfn.XLOOKUP(B1201,Locales!$A:$A,Locales!$B:$B,""),"")</f>
        <v/>
      </c>
    </row>
    <row r="1202" spans="3:3" x14ac:dyDescent="0.2">
      <c r="C1202" t="str" cm="1">
        <f t="array" ref="C1202">IFERROR(_xlfn.XLOOKUP(B1202,Locales!$A:$A,Locales!$B:$B,""),"")</f>
        <v/>
      </c>
    </row>
    <row r="1203" spans="3:3" x14ac:dyDescent="0.2">
      <c r="C1203" t="str" cm="1">
        <f t="array" ref="C1203">IFERROR(_xlfn.XLOOKUP(B1203,Locales!$A:$A,Locales!$B:$B,""),"")</f>
        <v/>
      </c>
    </row>
    <row r="1204" spans="3:3" x14ac:dyDescent="0.2">
      <c r="C1204" t="str" cm="1">
        <f t="array" ref="C1204">IFERROR(_xlfn.XLOOKUP(B1204,Locales!$A:$A,Locales!$B:$B,""),"")</f>
        <v/>
      </c>
    </row>
    <row r="1205" spans="3:3" x14ac:dyDescent="0.2">
      <c r="C1205" t="str" cm="1">
        <f t="array" ref="C1205">IFERROR(_xlfn.XLOOKUP(B1205,Locales!$A:$A,Locales!$B:$B,""),"")</f>
        <v/>
      </c>
    </row>
    <row r="1206" spans="3:3" x14ac:dyDescent="0.2">
      <c r="C1206" t="str" cm="1">
        <f t="array" ref="C1206">IFERROR(_xlfn.XLOOKUP(B1206,Locales!$A:$A,Locales!$B:$B,""),"")</f>
        <v/>
      </c>
    </row>
    <row r="1207" spans="3:3" x14ac:dyDescent="0.2">
      <c r="C1207" t="str" cm="1">
        <f t="array" ref="C1207">IFERROR(_xlfn.XLOOKUP(B1207,Locales!$A:$A,Locales!$B:$B,""),"")</f>
        <v/>
      </c>
    </row>
    <row r="1208" spans="3:3" x14ac:dyDescent="0.2">
      <c r="C1208" t="str" cm="1">
        <f t="array" ref="C1208">IFERROR(_xlfn.XLOOKUP(B1208,Locales!$A:$A,Locales!$B:$B,""),"")</f>
        <v/>
      </c>
    </row>
    <row r="1209" spans="3:3" x14ac:dyDescent="0.2">
      <c r="C1209" t="str" cm="1">
        <f t="array" ref="C1209">IFERROR(_xlfn.XLOOKUP(B1209,Locales!$A:$A,Locales!$B:$B,""),"")</f>
        <v/>
      </c>
    </row>
    <row r="1210" spans="3:3" x14ac:dyDescent="0.2">
      <c r="C1210" t="str" cm="1">
        <f t="array" ref="C1210">IFERROR(_xlfn.XLOOKUP(B1210,Locales!$A:$A,Locales!$B:$B,""),"")</f>
        <v/>
      </c>
    </row>
    <row r="1211" spans="3:3" x14ac:dyDescent="0.2">
      <c r="C1211" t="str" cm="1">
        <f t="array" ref="C1211">IFERROR(_xlfn.XLOOKUP(B1211,Locales!$A:$A,Locales!$B:$B,""),"")</f>
        <v/>
      </c>
    </row>
    <row r="1212" spans="3:3" x14ac:dyDescent="0.2">
      <c r="C1212" t="str" cm="1">
        <f t="array" ref="C1212">IFERROR(_xlfn.XLOOKUP(B1212,Locales!$A:$A,Locales!$B:$B,""),"")</f>
        <v/>
      </c>
    </row>
    <row r="1213" spans="3:3" x14ac:dyDescent="0.2">
      <c r="C1213" t="str" cm="1">
        <f t="array" ref="C1213">IFERROR(_xlfn.XLOOKUP(B1213,Locales!$A:$A,Locales!$B:$B,""),"")</f>
        <v/>
      </c>
    </row>
    <row r="1214" spans="3:3" x14ac:dyDescent="0.2">
      <c r="C1214" t="str" cm="1">
        <f t="array" ref="C1214">IFERROR(_xlfn.XLOOKUP(B1214,Locales!$A:$A,Locales!$B:$B,""),"")</f>
        <v/>
      </c>
    </row>
    <row r="1215" spans="3:3" x14ac:dyDescent="0.2">
      <c r="C1215" t="str" cm="1">
        <f t="array" ref="C1215">IFERROR(_xlfn.XLOOKUP(B1215,Locales!$A:$A,Locales!$B:$B,""),"")</f>
        <v/>
      </c>
    </row>
    <row r="1216" spans="3:3" x14ac:dyDescent="0.2">
      <c r="C1216" t="str" cm="1">
        <f t="array" ref="C1216">IFERROR(_xlfn.XLOOKUP(B1216,Locales!$A:$A,Locales!$B:$B,""),"")</f>
        <v/>
      </c>
    </row>
    <row r="1217" spans="3:3" x14ac:dyDescent="0.2">
      <c r="C1217" t="str" cm="1">
        <f t="array" ref="C1217">IFERROR(_xlfn.XLOOKUP(B1217,Locales!$A:$A,Locales!$B:$B,""),"")</f>
        <v/>
      </c>
    </row>
    <row r="1218" spans="3:3" x14ac:dyDescent="0.2">
      <c r="C1218" t="str" cm="1">
        <f t="array" ref="C1218">IFERROR(_xlfn.XLOOKUP(B1218,Locales!$A:$A,Locales!$B:$B,""),"")</f>
        <v/>
      </c>
    </row>
    <row r="1219" spans="3:3" x14ac:dyDescent="0.2">
      <c r="C1219" t="str" cm="1">
        <f t="array" ref="C1219">IFERROR(_xlfn.XLOOKUP(B1219,Locales!$A:$A,Locales!$B:$B,""),"")</f>
        <v/>
      </c>
    </row>
    <row r="1220" spans="3:3" x14ac:dyDescent="0.2">
      <c r="C1220" t="str" cm="1">
        <f t="array" ref="C1220">IFERROR(_xlfn.XLOOKUP(B1220,Locales!$A:$A,Locales!$B:$B,""),"")</f>
        <v/>
      </c>
    </row>
    <row r="1221" spans="3:3" x14ac:dyDescent="0.2">
      <c r="C1221" cm="1">
        <f t="array" ref="C1221">IFERROR(_xlfn.XLOOKUP(B1221,Locales!$A:$A,Locales!$B:$B,""),"")</f>
        <v>0</v>
      </c>
    </row>
    <row r="1222" spans="3:3" x14ac:dyDescent="0.2">
      <c r="C1222" t="str" cm="1">
        <f t="array" ref="C1222">IFERROR(_xlfn.XLOOKUP(B1222,Locales!$A:$A,Locales!$B:$B,""),"")</f>
        <v/>
      </c>
    </row>
    <row r="1223" spans="3:3" x14ac:dyDescent="0.2">
      <c r="C1223" t="str" cm="1">
        <f t="array" ref="C1223">IFERROR(_xlfn.XLOOKUP(B1223,Locales!$A:$A,Locales!$B:$B,""),"")</f>
        <v/>
      </c>
    </row>
    <row r="1224" spans="3:3" x14ac:dyDescent="0.2">
      <c r="C1224" t="str" cm="1">
        <f t="array" ref="C1224">IFERROR(_xlfn.XLOOKUP(B1224,Locales!$A:$A,Locales!$B:$B,""),"")</f>
        <v/>
      </c>
    </row>
    <row r="1225" spans="3:3" x14ac:dyDescent="0.2">
      <c r="C1225" t="str" cm="1">
        <f t="array" ref="C1225">IFERROR(_xlfn.XLOOKUP(B1225,Locales!$A:$A,Locales!$B:$B,""),"")</f>
        <v/>
      </c>
    </row>
    <row r="1226" spans="3:3" x14ac:dyDescent="0.2">
      <c r="C1226" t="str" cm="1">
        <f t="array" ref="C1226">IFERROR(_xlfn.XLOOKUP(B1226,Locales!$A:$A,Locales!$B:$B,""),"")</f>
        <v/>
      </c>
    </row>
    <row r="1227" spans="3:3" x14ac:dyDescent="0.2">
      <c r="C1227" t="str" cm="1">
        <f t="array" ref="C1227">IFERROR(_xlfn.XLOOKUP(B1227,Locales!$A:$A,Locales!$B:$B,""),"")</f>
        <v/>
      </c>
    </row>
    <row r="1228" spans="3:3" x14ac:dyDescent="0.2">
      <c r="C1228" t="str" cm="1">
        <f t="array" ref="C1228">IFERROR(_xlfn.XLOOKUP(B1228,Locales!$A:$A,Locales!$B:$B,""),"")</f>
        <v/>
      </c>
    </row>
    <row r="1229" spans="3:3" x14ac:dyDescent="0.2">
      <c r="C1229" t="str" cm="1">
        <f t="array" ref="C1229">IFERROR(_xlfn.XLOOKUP(B1229,Locales!$A:$A,Locales!$B:$B,""),"")</f>
        <v/>
      </c>
    </row>
    <row r="1230" spans="3:3" x14ac:dyDescent="0.2">
      <c r="C1230" t="str" cm="1">
        <f t="array" ref="C1230">IFERROR(_xlfn.XLOOKUP(B1230,Locales!$A:$A,Locales!$B:$B,""),"")</f>
        <v/>
      </c>
    </row>
    <row r="1231" spans="3:3" x14ac:dyDescent="0.2">
      <c r="C1231" t="str" cm="1">
        <f t="array" ref="C1231">IFERROR(_xlfn.XLOOKUP(B1231,Locales!$A:$A,Locales!$B:$B,""),"")</f>
        <v/>
      </c>
    </row>
    <row r="1232" spans="3:3" x14ac:dyDescent="0.2">
      <c r="C1232" t="str" cm="1">
        <f t="array" ref="C1232">IFERROR(_xlfn.XLOOKUP(B1232,Locales!$A:$A,Locales!$B:$B,""),"")</f>
        <v/>
      </c>
    </row>
    <row r="1233" spans="3:3" x14ac:dyDescent="0.2">
      <c r="C1233" t="str" cm="1">
        <f t="array" ref="C1233">IFERROR(_xlfn.XLOOKUP(B1233,Locales!$A:$A,Locales!$B:$B,""),"")</f>
        <v/>
      </c>
    </row>
    <row r="1234" spans="3:3" x14ac:dyDescent="0.2">
      <c r="C1234" t="str" cm="1">
        <f t="array" ref="C1234">IFERROR(_xlfn.XLOOKUP(B1234,Locales!$A:$A,Locales!$B:$B,""),"")</f>
        <v/>
      </c>
    </row>
    <row r="1235" spans="3:3" x14ac:dyDescent="0.2">
      <c r="C1235" t="str" cm="1">
        <f t="array" ref="C1235">IFERROR(_xlfn.XLOOKUP(B1235,Locales!$A:$A,Locales!$B:$B,""),"")</f>
        <v/>
      </c>
    </row>
    <row r="1236" spans="3:3" x14ac:dyDescent="0.2">
      <c r="C1236" t="str" cm="1">
        <f t="array" ref="C1236">IFERROR(_xlfn.XLOOKUP(B1236,Locales!$A:$A,Locales!$B:$B,""),"")</f>
        <v/>
      </c>
    </row>
    <row r="1237" spans="3:3" x14ac:dyDescent="0.2">
      <c r="C1237" t="str" cm="1">
        <f t="array" ref="C1237">IFERROR(_xlfn.XLOOKUP(B1237,Locales!$A:$A,Locales!$B:$B,""),"")</f>
        <v/>
      </c>
    </row>
    <row r="1238" spans="3:3" x14ac:dyDescent="0.2">
      <c r="C1238" t="str" cm="1">
        <f t="array" ref="C1238">IFERROR(_xlfn.XLOOKUP(B1238,Locales!$A:$A,Locales!$B:$B,""),"")</f>
        <v/>
      </c>
    </row>
    <row r="1239" spans="3:3" x14ac:dyDescent="0.2">
      <c r="C1239" t="str" cm="1">
        <f t="array" ref="C1239">IFERROR(_xlfn.XLOOKUP(B1239,Locales!$A:$A,Locales!$B:$B,""),"")</f>
        <v/>
      </c>
    </row>
    <row r="1240" spans="3:3" x14ac:dyDescent="0.2">
      <c r="C1240" t="str" cm="1">
        <f t="array" ref="C1240">IFERROR(_xlfn.XLOOKUP(B1240,Locales!$A:$A,Locales!$B:$B,""),"")</f>
        <v/>
      </c>
    </row>
    <row r="1241" spans="3:3" x14ac:dyDescent="0.2">
      <c r="C1241" t="str" cm="1">
        <f t="array" ref="C1241">IFERROR(_xlfn.XLOOKUP(B1241,Locales!$A:$A,Locales!$B:$B,""),"")</f>
        <v/>
      </c>
    </row>
    <row r="1242" spans="3:3" x14ac:dyDescent="0.2">
      <c r="C1242" t="str" cm="1">
        <f t="array" ref="C1242">IFERROR(_xlfn.XLOOKUP(B1242,Locales!$A:$A,Locales!$B:$B,""),"")</f>
        <v/>
      </c>
    </row>
    <row r="1243" spans="3:3" x14ac:dyDescent="0.2">
      <c r="C1243" t="str" cm="1">
        <f t="array" ref="C1243">IFERROR(_xlfn.XLOOKUP(B1243,Locales!$A:$A,Locales!$B:$B,""),"")</f>
        <v/>
      </c>
    </row>
    <row r="1244" spans="3:3" x14ac:dyDescent="0.2">
      <c r="C1244" t="str" cm="1">
        <f t="array" ref="C1244">IFERROR(_xlfn.XLOOKUP(B1244,Locales!$A:$A,Locales!$B:$B,""),"")</f>
        <v/>
      </c>
    </row>
    <row r="1245" spans="3:3" x14ac:dyDescent="0.2">
      <c r="C1245" t="str" cm="1">
        <f t="array" ref="C1245">IFERROR(_xlfn.XLOOKUP(B1245,Locales!$A:$A,Locales!$B:$B,""),"")</f>
        <v/>
      </c>
    </row>
    <row r="1246" spans="3:3" x14ac:dyDescent="0.2">
      <c r="C1246" t="str" cm="1">
        <f t="array" ref="C1246">IFERROR(_xlfn.XLOOKUP(B1246,Locales!$A:$A,Locales!$B:$B,""),"")</f>
        <v/>
      </c>
    </row>
    <row r="1247" spans="3:3" x14ac:dyDescent="0.2">
      <c r="C1247" t="str" cm="1">
        <f t="array" ref="C1247">IFERROR(_xlfn.XLOOKUP(B1247,Locales!$A:$A,Locales!$B:$B,""),"")</f>
        <v/>
      </c>
    </row>
    <row r="1248" spans="3:3" x14ac:dyDescent="0.2">
      <c r="C1248" t="str" cm="1">
        <f t="array" ref="C1248">IFERROR(_xlfn.XLOOKUP(B1248,Locales!$A:$A,Locales!$B:$B,""),"")</f>
        <v/>
      </c>
    </row>
    <row r="1249" spans="3:3" x14ac:dyDescent="0.2">
      <c r="C1249" t="str" cm="1">
        <f t="array" ref="C1249">IFERROR(_xlfn.XLOOKUP(B1249,Locales!$A:$A,Locales!$B:$B,""),"")</f>
        <v/>
      </c>
    </row>
    <row r="1250" spans="3:3" x14ac:dyDescent="0.2">
      <c r="C1250" t="str" cm="1">
        <f t="array" ref="C1250">IFERROR(_xlfn.XLOOKUP(B1250,Locales!$A:$A,Locales!$B:$B,""),"")</f>
        <v/>
      </c>
    </row>
    <row r="1251" spans="3:3" x14ac:dyDescent="0.2">
      <c r="C1251" t="str" cm="1">
        <f t="array" ref="C1251">IFERROR(_xlfn.XLOOKUP(B1251,Locales!$A:$A,Locales!$B:$B,""),"")</f>
        <v/>
      </c>
    </row>
    <row r="1252" spans="3:3" x14ac:dyDescent="0.2">
      <c r="C1252" t="str" cm="1">
        <f t="array" ref="C1252">IFERROR(_xlfn.XLOOKUP(B1252,Locales!$A:$A,Locales!$B:$B,""),"")</f>
        <v/>
      </c>
    </row>
    <row r="1253" spans="3:3" x14ac:dyDescent="0.2">
      <c r="C1253" cm="1">
        <f t="array" ref="C1253">IFERROR(_xlfn.XLOOKUP(B1253,Locales!$A:$A,Locales!$B:$B,""),"")</f>
        <v>0</v>
      </c>
    </row>
    <row r="1254" spans="3:3" x14ac:dyDescent="0.2">
      <c r="C1254" t="str" cm="1">
        <f t="array" ref="C1254">IFERROR(_xlfn.XLOOKUP(B1254,Locales!$A:$A,Locales!$B:$B,""),"")</f>
        <v/>
      </c>
    </row>
    <row r="1255" spans="3:3" x14ac:dyDescent="0.2">
      <c r="C1255" t="str" cm="1">
        <f t="array" ref="C1255">IFERROR(_xlfn.XLOOKUP(B1255,Locales!$A:$A,Locales!$B:$B,""),"")</f>
        <v/>
      </c>
    </row>
    <row r="1256" spans="3:3" x14ac:dyDescent="0.2">
      <c r="C1256" t="str" cm="1">
        <f t="array" ref="C1256">IFERROR(_xlfn.XLOOKUP(B1256,Locales!$A:$A,Locales!$B:$B,""),"")</f>
        <v/>
      </c>
    </row>
    <row r="1257" spans="3:3" x14ac:dyDescent="0.2">
      <c r="C1257" t="str" cm="1">
        <f t="array" ref="C1257">IFERROR(_xlfn.XLOOKUP(B1257,Locales!$A:$A,Locales!$B:$B,""),"")</f>
        <v/>
      </c>
    </row>
    <row r="1258" spans="3:3" x14ac:dyDescent="0.2">
      <c r="C1258" t="str" cm="1">
        <f t="array" ref="C1258">IFERROR(_xlfn.XLOOKUP(B1258,Locales!$A:$A,Locales!$B:$B,""),"")</f>
        <v/>
      </c>
    </row>
    <row r="1259" spans="3:3" x14ac:dyDescent="0.2">
      <c r="C1259" t="str" cm="1">
        <f t="array" ref="C1259">IFERROR(_xlfn.XLOOKUP(B1259,Locales!$A:$A,Locales!$B:$B,""),"")</f>
        <v/>
      </c>
    </row>
    <row r="1260" spans="3:3" x14ac:dyDescent="0.2">
      <c r="C1260" t="str" cm="1">
        <f t="array" ref="C1260">IFERROR(_xlfn.XLOOKUP(B1260,Locales!$A:$A,Locales!$B:$B,""),"")</f>
        <v/>
      </c>
    </row>
    <row r="1261" spans="3:3" x14ac:dyDescent="0.2">
      <c r="C1261" t="str" cm="1">
        <f t="array" ref="C1261">IFERROR(_xlfn.XLOOKUP(B1261,Locales!$A:$A,Locales!$B:$B,""),"")</f>
        <v/>
      </c>
    </row>
    <row r="1262" spans="3:3" x14ac:dyDescent="0.2">
      <c r="C1262" t="str" cm="1">
        <f t="array" ref="C1262">IFERROR(_xlfn.XLOOKUP(B1262,Locales!$A:$A,Locales!$B:$B,""),"")</f>
        <v/>
      </c>
    </row>
    <row r="1263" spans="3:3" x14ac:dyDescent="0.2">
      <c r="C1263" t="str" cm="1">
        <f t="array" ref="C1263">IFERROR(_xlfn.XLOOKUP(B1263,Locales!$A:$A,Locales!$B:$B,""),"")</f>
        <v/>
      </c>
    </row>
    <row r="1264" spans="3:3" x14ac:dyDescent="0.2">
      <c r="C1264" t="str" cm="1">
        <f t="array" ref="C1264">IFERROR(_xlfn.XLOOKUP(B1264,Locales!$A:$A,Locales!$B:$B,""),"")</f>
        <v/>
      </c>
    </row>
    <row r="1265" spans="3:3" x14ac:dyDescent="0.2">
      <c r="C1265" t="str" cm="1">
        <f t="array" ref="C1265">IFERROR(_xlfn.XLOOKUP(B1265,Locales!$A:$A,Locales!$B:$B,""),"")</f>
        <v/>
      </c>
    </row>
    <row r="1266" spans="3:3" x14ac:dyDescent="0.2">
      <c r="C1266" t="str" cm="1">
        <f t="array" ref="C1266">IFERROR(_xlfn.XLOOKUP(B1266,Locales!$A:$A,Locales!$B:$B,""),"")</f>
        <v/>
      </c>
    </row>
    <row r="1267" spans="3:3" x14ac:dyDescent="0.2">
      <c r="C1267" t="str" cm="1">
        <f t="array" ref="C1267">IFERROR(_xlfn.XLOOKUP(B1267,Locales!$A:$A,Locales!$B:$B,""),"")</f>
        <v/>
      </c>
    </row>
    <row r="1268" spans="3:3" x14ac:dyDescent="0.2">
      <c r="C1268" t="str" cm="1">
        <f t="array" ref="C1268">IFERROR(_xlfn.XLOOKUP(B1268,Locales!$A:$A,Locales!$B:$B,""),"")</f>
        <v/>
      </c>
    </row>
    <row r="1269" spans="3:3" x14ac:dyDescent="0.2">
      <c r="C1269" t="str" cm="1">
        <f t="array" ref="C1269">IFERROR(_xlfn.XLOOKUP(B1269,Locales!$A:$A,Locales!$B:$B,""),"")</f>
        <v/>
      </c>
    </row>
    <row r="1270" spans="3:3" x14ac:dyDescent="0.2">
      <c r="C1270" t="str" cm="1">
        <f t="array" ref="C1270">IFERROR(_xlfn.XLOOKUP(B1270,Locales!$A:$A,Locales!$B:$B,""),"")</f>
        <v/>
      </c>
    </row>
    <row r="1271" spans="3:3" x14ac:dyDescent="0.2">
      <c r="C1271" t="str" cm="1">
        <f t="array" ref="C1271">IFERROR(_xlfn.XLOOKUP(B1271,Locales!$A:$A,Locales!$B:$B,""),"")</f>
        <v/>
      </c>
    </row>
    <row r="1272" spans="3:3" x14ac:dyDescent="0.2">
      <c r="C1272" t="str" cm="1">
        <f t="array" ref="C1272">IFERROR(_xlfn.XLOOKUP(B1272,Locales!$A:$A,Locales!$B:$B,""),"")</f>
        <v/>
      </c>
    </row>
    <row r="1273" spans="3:3" x14ac:dyDescent="0.2">
      <c r="C1273" t="str" cm="1">
        <f t="array" ref="C1273">IFERROR(_xlfn.XLOOKUP(B1273,Locales!$A:$A,Locales!$B:$B,""),"")</f>
        <v/>
      </c>
    </row>
    <row r="1274" spans="3:3" x14ac:dyDescent="0.2">
      <c r="C1274" t="str" cm="1">
        <f t="array" ref="C1274">IFERROR(_xlfn.XLOOKUP(B1274,Locales!$A:$A,Locales!$B:$B,""),"")</f>
        <v/>
      </c>
    </row>
    <row r="1275" spans="3:3" x14ac:dyDescent="0.2">
      <c r="C1275" t="str" cm="1">
        <f t="array" ref="C1275">IFERROR(_xlfn.XLOOKUP(B1275,Locales!$A:$A,Locales!$B:$B,""),"")</f>
        <v/>
      </c>
    </row>
    <row r="1276" spans="3:3" x14ac:dyDescent="0.2">
      <c r="C1276" t="str" cm="1">
        <f t="array" ref="C1276">IFERROR(_xlfn.XLOOKUP(B1276,Locales!$A:$A,Locales!$B:$B,""),"")</f>
        <v/>
      </c>
    </row>
    <row r="1277" spans="3:3" x14ac:dyDescent="0.2">
      <c r="C1277" t="str" cm="1">
        <f t="array" ref="C1277">IFERROR(_xlfn.XLOOKUP(B1277,Locales!$A:$A,Locales!$B:$B,""),"")</f>
        <v/>
      </c>
    </row>
    <row r="1278" spans="3:3" x14ac:dyDescent="0.2">
      <c r="C1278" t="str" cm="1">
        <f t="array" ref="C1278">IFERROR(_xlfn.XLOOKUP(B1278,Locales!$A:$A,Locales!$B:$B,""),"")</f>
        <v/>
      </c>
    </row>
    <row r="1279" spans="3:3" x14ac:dyDescent="0.2">
      <c r="C1279" t="str" cm="1">
        <f t="array" ref="C1279">IFERROR(_xlfn.XLOOKUP(B1279,Locales!$A:$A,Locales!$B:$B,""),"")</f>
        <v/>
      </c>
    </row>
    <row r="1280" spans="3:3" x14ac:dyDescent="0.2">
      <c r="C1280" t="str" cm="1">
        <f t="array" ref="C1280">IFERROR(_xlfn.XLOOKUP(B1280,Locales!$A:$A,Locales!$B:$B,""),"")</f>
        <v/>
      </c>
    </row>
    <row r="1281" spans="3:3" x14ac:dyDescent="0.2">
      <c r="C1281" t="str" cm="1">
        <f t="array" ref="C1281">IFERROR(_xlfn.XLOOKUP(B1281,Locales!$A:$A,Locales!$B:$B,""),"")</f>
        <v/>
      </c>
    </row>
    <row r="1282" spans="3:3" x14ac:dyDescent="0.2">
      <c r="C1282" t="str" cm="1">
        <f t="array" ref="C1282">IFERROR(_xlfn.XLOOKUP(B1282,Locales!$A:$A,Locales!$B:$B,""),"")</f>
        <v/>
      </c>
    </row>
    <row r="1283" spans="3:3" x14ac:dyDescent="0.2">
      <c r="C1283" t="str" cm="1">
        <f t="array" ref="C1283">IFERROR(_xlfn.XLOOKUP(B1283,Locales!$A:$A,Locales!$B:$B,""),"")</f>
        <v/>
      </c>
    </row>
    <row r="1284" spans="3:3" x14ac:dyDescent="0.2">
      <c r="C1284" t="str" cm="1">
        <f t="array" ref="C1284">IFERROR(_xlfn.XLOOKUP(B1284,Locales!$A:$A,Locales!$B:$B,""),"")</f>
        <v/>
      </c>
    </row>
    <row r="1285" spans="3:3" x14ac:dyDescent="0.2">
      <c r="C1285" cm="1">
        <f t="array" ref="C1285">IFERROR(_xlfn.XLOOKUP(B1285,Locales!$A:$A,Locales!$B:$B,""),"")</f>
        <v>0</v>
      </c>
    </row>
    <row r="1286" spans="3:3" x14ac:dyDescent="0.2">
      <c r="C1286" t="str" cm="1">
        <f t="array" ref="C1286">IFERROR(_xlfn.XLOOKUP(B1286,Locales!$A:$A,Locales!$B:$B,""),"")</f>
        <v/>
      </c>
    </row>
    <row r="1287" spans="3:3" x14ac:dyDescent="0.2">
      <c r="C1287" t="str" cm="1">
        <f t="array" ref="C1287">IFERROR(_xlfn.XLOOKUP(B1287,Locales!$A:$A,Locales!$B:$B,""),"")</f>
        <v/>
      </c>
    </row>
    <row r="1288" spans="3:3" x14ac:dyDescent="0.2">
      <c r="C1288" t="str" cm="1">
        <f t="array" ref="C1288">IFERROR(_xlfn.XLOOKUP(B1288,Locales!$A:$A,Locales!$B:$B,""),"")</f>
        <v/>
      </c>
    </row>
    <row r="1289" spans="3:3" x14ac:dyDescent="0.2">
      <c r="C1289" t="str" cm="1">
        <f t="array" ref="C1289">IFERROR(_xlfn.XLOOKUP(B1289,Locales!$A:$A,Locales!$B:$B,""),"")</f>
        <v/>
      </c>
    </row>
    <row r="1290" spans="3:3" x14ac:dyDescent="0.2">
      <c r="C1290" t="str" cm="1">
        <f t="array" ref="C1290">IFERROR(_xlfn.XLOOKUP(B1290,Locales!$A:$A,Locales!$B:$B,""),"")</f>
        <v/>
      </c>
    </row>
    <row r="1291" spans="3:3" x14ac:dyDescent="0.2">
      <c r="C1291" t="str" cm="1">
        <f t="array" ref="C1291">IFERROR(_xlfn.XLOOKUP(B1291,Locales!$A:$A,Locales!$B:$B,""),"")</f>
        <v/>
      </c>
    </row>
    <row r="1292" spans="3:3" x14ac:dyDescent="0.2">
      <c r="C1292" t="str" cm="1">
        <f t="array" ref="C1292">IFERROR(_xlfn.XLOOKUP(B1292,Locales!$A:$A,Locales!$B:$B,""),"")</f>
        <v/>
      </c>
    </row>
    <row r="1293" spans="3:3" x14ac:dyDescent="0.2">
      <c r="C1293" t="str" cm="1">
        <f t="array" ref="C1293">IFERROR(_xlfn.XLOOKUP(B1293,Locales!$A:$A,Locales!$B:$B,""),"")</f>
        <v/>
      </c>
    </row>
    <row r="1294" spans="3:3" x14ac:dyDescent="0.2">
      <c r="C1294" t="str" cm="1">
        <f t="array" ref="C1294">IFERROR(_xlfn.XLOOKUP(B1294,Locales!$A:$A,Locales!$B:$B,""),"")</f>
        <v/>
      </c>
    </row>
    <row r="1295" spans="3:3" x14ac:dyDescent="0.2">
      <c r="C1295" t="str" cm="1">
        <f t="array" ref="C1295">IFERROR(_xlfn.XLOOKUP(B1295,Locales!$A:$A,Locales!$B:$B,""),"")</f>
        <v/>
      </c>
    </row>
    <row r="1296" spans="3:3" x14ac:dyDescent="0.2">
      <c r="C1296" t="str" cm="1">
        <f t="array" ref="C1296">IFERROR(_xlfn.XLOOKUP(B1296,Locales!$A:$A,Locales!$B:$B,""),"")</f>
        <v/>
      </c>
    </row>
    <row r="1297" spans="3:3" x14ac:dyDescent="0.2">
      <c r="C1297" t="str" cm="1">
        <f t="array" ref="C1297">IFERROR(_xlfn.XLOOKUP(B1297,Locales!$A:$A,Locales!$B:$B,""),"")</f>
        <v/>
      </c>
    </row>
    <row r="1298" spans="3:3" x14ac:dyDescent="0.2">
      <c r="C1298" t="str" cm="1">
        <f t="array" ref="C1298">IFERROR(_xlfn.XLOOKUP(B1298,Locales!$A:$A,Locales!$B:$B,""),"")</f>
        <v/>
      </c>
    </row>
    <row r="1299" spans="3:3" x14ac:dyDescent="0.2">
      <c r="C1299" t="str" cm="1">
        <f t="array" ref="C1299">IFERROR(_xlfn.XLOOKUP(B1299,Locales!$A:$A,Locales!$B:$B,""),"")</f>
        <v/>
      </c>
    </row>
    <row r="1300" spans="3:3" x14ac:dyDescent="0.2">
      <c r="C1300" t="str" cm="1">
        <f t="array" ref="C1300">IFERROR(_xlfn.XLOOKUP(B1300,Locales!$A:$A,Locales!$B:$B,""),"")</f>
        <v/>
      </c>
    </row>
    <row r="1301" spans="3:3" x14ac:dyDescent="0.2">
      <c r="C1301" t="str" cm="1">
        <f t="array" ref="C1301">IFERROR(_xlfn.XLOOKUP(B1301,Locales!$A:$A,Locales!$B:$B,""),"")</f>
        <v/>
      </c>
    </row>
    <row r="1302" spans="3:3" x14ac:dyDescent="0.2">
      <c r="C1302" t="str" cm="1">
        <f t="array" ref="C1302">IFERROR(_xlfn.XLOOKUP(B1302,Locales!$A:$A,Locales!$B:$B,""),"")</f>
        <v/>
      </c>
    </row>
    <row r="1303" spans="3:3" x14ac:dyDescent="0.2">
      <c r="C1303" t="str" cm="1">
        <f t="array" ref="C1303">IFERROR(_xlfn.XLOOKUP(B1303,Locales!$A:$A,Locales!$B:$B,""),"")</f>
        <v/>
      </c>
    </row>
    <row r="1304" spans="3:3" x14ac:dyDescent="0.2">
      <c r="C1304" t="str" cm="1">
        <f t="array" ref="C1304">IFERROR(_xlfn.XLOOKUP(B1304,Locales!$A:$A,Locales!$B:$B,""),"")</f>
        <v/>
      </c>
    </row>
    <row r="1305" spans="3:3" x14ac:dyDescent="0.2">
      <c r="C1305" t="str" cm="1">
        <f t="array" ref="C1305">IFERROR(_xlfn.XLOOKUP(B1305,Locales!$A:$A,Locales!$B:$B,""),"")</f>
        <v/>
      </c>
    </row>
    <row r="1306" spans="3:3" x14ac:dyDescent="0.2">
      <c r="C1306" t="str" cm="1">
        <f t="array" ref="C1306">IFERROR(_xlfn.XLOOKUP(B1306,Locales!$A:$A,Locales!$B:$B,""),"")</f>
        <v/>
      </c>
    </row>
    <row r="1307" spans="3:3" x14ac:dyDescent="0.2">
      <c r="C1307" t="str" cm="1">
        <f t="array" ref="C1307">IFERROR(_xlfn.XLOOKUP(B1307,Locales!$A:$A,Locales!$B:$B,""),"")</f>
        <v/>
      </c>
    </row>
    <row r="1308" spans="3:3" x14ac:dyDescent="0.2">
      <c r="C1308" t="str" cm="1">
        <f t="array" ref="C1308">IFERROR(_xlfn.XLOOKUP(B1308,Locales!$A:$A,Locales!$B:$B,""),"")</f>
        <v/>
      </c>
    </row>
    <row r="1309" spans="3:3" x14ac:dyDescent="0.2">
      <c r="C1309" t="str" cm="1">
        <f t="array" ref="C1309">IFERROR(_xlfn.XLOOKUP(B1309,Locales!$A:$A,Locales!$B:$B,""),"")</f>
        <v/>
      </c>
    </row>
    <row r="1310" spans="3:3" x14ac:dyDescent="0.2">
      <c r="C1310" t="str" cm="1">
        <f t="array" ref="C1310">IFERROR(_xlfn.XLOOKUP(B1310,Locales!$A:$A,Locales!$B:$B,""),"")</f>
        <v/>
      </c>
    </row>
    <row r="1311" spans="3:3" x14ac:dyDescent="0.2">
      <c r="C1311" t="str" cm="1">
        <f t="array" ref="C1311">IFERROR(_xlfn.XLOOKUP(B1311,Locales!$A:$A,Locales!$B:$B,""),"")</f>
        <v/>
      </c>
    </row>
    <row r="1312" spans="3:3" x14ac:dyDescent="0.2">
      <c r="C1312" t="str" cm="1">
        <f t="array" ref="C1312">IFERROR(_xlfn.XLOOKUP(B1312,Locales!$A:$A,Locales!$B:$B,""),"")</f>
        <v/>
      </c>
    </row>
    <row r="1313" spans="3:3" x14ac:dyDescent="0.2">
      <c r="C1313" t="str" cm="1">
        <f t="array" ref="C1313">IFERROR(_xlfn.XLOOKUP(B1313,Locales!$A:$A,Locales!$B:$B,""),"")</f>
        <v/>
      </c>
    </row>
    <row r="1314" spans="3:3" x14ac:dyDescent="0.2">
      <c r="C1314" t="str" cm="1">
        <f t="array" ref="C1314">IFERROR(_xlfn.XLOOKUP(B1314,Locales!$A:$A,Locales!$B:$B,""),"")</f>
        <v/>
      </c>
    </row>
    <row r="1315" spans="3:3" x14ac:dyDescent="0.2">
      <c r="C1315" t="str" cm="1">
        <f t="array" ref="C1315">IFERROR(_xlfn.XLOOKUP(B1315,Locales!$A:$A,Locales!$B:$B,""),"")</f>
        <v/>
      </c>
    </row>
    <row r="1316" spans="3:3" x14ac:dyDescent="0.2">
      <c r="C1316" t="str" cm="1">
        <f t="array" ref="C1316">IFERROR(_xlfn.XLOOKUP(B1316,Locales!$A:$A,Locales!$B:$B,""),"")</f>
        <v/>
      </c>
    </row>
    <row r="1317" spans="3:3" x14ac:dyDescent="0.2">
      <c r="C1317" cm="1">
        <f t="array" ref="C1317">IFERROR(_xlfn.XLOOKUP(B1317,Locales!$A:$A,Locales!$B:$B,""),"")</f>
        <v>0</v>
      </c>
    </row>
    <row r="1318" spans="3:3" x14ac:dyDescent="0.2">
      <c r="C1318" t="str" cm="1">
        <f t="array" ref="C1318">IFERROR(_xlfn.XLOOKUP(B1318,Locales!$A:$A,Locales!$B:$B,""),"")</f>
        <v/>
      </c>
    </row>
    <row r="1319" spans="3:3" x14ac:dyDescent="0.2">
      <c r="C1319" t="str" cm="1">
        <f t="array" ref="C1319">IFERROR(_xlfn.XLOOKUP(B1319,Locales!$A:$A,Locales!$B:$B,""),"")</f>
        <v/>
      </c>
    </row>
    <row r="1320" spans="3:3" x14ac:dyDescent="0.2">
      <c r="C1320" t="str" cm="1">
        <f t="array" ref="C1320">IFERROR(_xlfn.XLOOKUP(B1320,Locales!$A:$A,Locales!$B:$B,""),"")</f>
        <v/>
      </c>
    </row>
    <row r="1321" spans="3:3" x14ac:dyDescent="0.2">
      <c r="C1321" t="str" cm="1">
        <f t="array" ref="C1321">IFERROR(_xlfn.XLOOKUP(B1321,Locales!$A:$A,Locales!$B:$B,""),"")</f>
        <v/>
      </c>
    </row>
    <row r="1322" spans="3:3" x14ac:dyDescent="0.2">
      <c r="C1322" t="str" cm="1">
        <f t="array" ref="C1322">IFERROR(_xlfn.XLOOKUP(B1322,Locales!$A:$A,Locales!$B:$B,""),"")</f>
        <v/>
      </c>
    </row>
    <row r="1323" spans="3:3" x14ac:dyDescent="0.2">
      <c r="C1323" t="str" cm="1">
        <f t="array" ref="C1323">IFERROR(_xlfn.XLOOKUP(B1323,Locales!$A:$A,Locales!$B:$B,""),"")</f>
        <v/>
      </c>
    </row>
    <row r="1324" spans="3:3" x14ac:dyDescent="0.2">
      <c r="C1324" t="str" cm="1">
        <f t="array" ref="C1324">IFERROR(_xlfn.XLOOKUP(B1324,Locales!$A:$A,Locales!$B:$B,""),"")</f>
        <v/>
      </c>
    </row>
    <row r="1325" spans="3:3" x14ac:dyDescent="0.2">
      <c r="C1325" t="str" cm="1">
        <f t="array" ref="C1325">IFERROR(_xlfn.XLOOKUP(B1325,Locales!$A:$A,Locales!$B:$B,""),"")</f>
        <v/>
      </c>
    </row>
    <row r="1326" spans="3:3" x14ac:dyDescent="0.2">
      <c r="C1326" t="str" cm="1">
        <f t="array" ref="C1326">IFERROR(_xlfn.XLOOKUP(B1326,Locales!$A:$A,Locales!$B:$B,""),"")</f>
        <v/>
      </c>
    </row>
    <row r="1327" spans="3:3" x14ac:dyDescent="0.2">
      <c r="C1327" t="str" cm="1">
        <f t="array" ref="C1327">IFERROR(_xlfn.XLOOKUP(B1327,Locales!$A:$A,Locales!$B:$B,""),"")</f>
        <v/>
      </c>
    </row>
    <row r="1328" spans="3:3" x14ac:dyDescent="0.2">
      <c r="C1328" t="str" cm="1">
        <f t="array" ref="C1328">IFERROR(_xlfn.XLOOKUP(B1328,Locales!$A:$A,Locales!$B:$B,""),"")</f>
        <v/>
      </c>
    </row>
    <row r="1329" spans="3:3" x14ac:dyDescent="0.2">
      <c r="C1329" t="str" cm="1">
        <f t="array" ref="C1329">IFERROR(_xlfn.XLOOKUP(B1329,Locales!$A:$A,Locales!$B:$B,""),"")</f>
        <v/>
      </c>
    </row>
    <row r="1330" spans="3:3" x14ac:dyDescent="0.2">
      <c r="C1330" t="str" cm="1">
        <f t="array" ref="C1330">IFERROR(_xlfn.XLOOKUP(B1330,Locales!$A:$A,Locales!$B:$B,""),"")</f>
        <v/>
      </c>
    </row>
    <row r="1331" spans="3:3" x14ac:dyDescent="0.2">
      <c r="C1331" t="str" cm="1">
        <f t="array" ref="C1331">IFERROR(_xlfn.XLOOKUP(B1331,Locales!$A:$A,Locales!$B:$B,""),"")</f>
        <v/>
      </c>
    </row>
    <row r="1332" spans="3:3" x14ac:dyDescent="0.2">
      <c r="C1332" t="str" cm="1">
        <f t="array" ref="C1332">IFERROR(_xlfn.XLOOKUP(B1332,Locales!$A:$A,Locales!$B:$B,""),"")</f>
        <v/>
      </c>
    </row>
    <row r="1333" spans="3:3" x14ac:dyDescent="0.2">
      <c r="C1333" t="str" cm="1">
        <f t="array" ref="C1333">IFERROR(_xlfn.XLOOKUP(B1333,Locales!$A:$A,Locales!$B:$B,""),"")</f>
        <v/>
      </c>
    </row>
    <row r="1334" spans="3:3" x14ac:dyDescent="0.2">
      <c r="C1334" t="str" cm="1">
        <f t="array" ref="C1334">IFERROR(_xlfn.XLOOKUP(B1334,Locales!$A:$A,Locales!$B:$B,""),"")</f>
        <v/>
      </c>
    </row>
    <row r="1335" spans="3:3" x14ac:dyDescent="0.2">
      <c r="C1335" t="str" cm="1">
        <f t="array" ref="C1335">IFERROR(_xlfn.XLOOKUP(B1335,Locales!$A:$A,Locales!$B:$B,""),"")</f>
        <v/>
      </c>
    </row>
    <row r="1336" spans="3:3" x14ac:dyDescent="0.2">
      <c r="C1336" t="str" cm="1">
        <f t="array" ref="C1336">IFERROR(_xlfn.XLOOKUP(B1336,Locales!$A:$A,Locales!$B:$B,""),"")</f>
        <v/>
      </c>
    </row>
    <row r="1337" spans="3:3" x14ac:dyDescent="0.2">
      <c r="C1337" t="str" cm="1">
        <f t="array" ref="C1337">IFERROR(_xlfn.XLOOKUP(B1337,Locales!$A:$A,Locales!$B:$B,""),"")</f>
        <v/>
      </c>
    </row>
    <row r="1338" spans="3:3" x14ac:dyDescent="0.2">
      <c r="C1338" t="str" cm="1">
        <f t="array" ref="C1338">IFERROR(_xlfn.XLOOKUP(B1338,Locales!$A:$A,Locales!$B:$B,""),"")</f>
        <v/>
      </c>
    </row>
    <row r="1339" spans="3:3" x14ac:dyDescent="0.2">
      <c r="C1339" t="str" cm="1">
        <f t="array" ref="C1339">IFERROR(_xlfn.XLOOKUP(B1339,Locales!$A:$A,Locales!$B:$B,""),"")</f>
        <v/>
      </c>
    </row>
    <row r="1340" spans="3:3" x14ac:dyDescent="0.2">
      <c r="C1340" t="str" cm="1">
        <f t="array" ref="C1340">IFERROR(_xlfn.XLOOKUP(B1340,Locales!$A:$A,Locales!$B:$B,""),"")</f>
        <v/>
      </c>
    </row>
    <row r="1341" spans="3:3" x14ac:dyDescent="0.2">
      <c r="C1341" t="str" cm="1">
        <f t="array" ref="C1341">IFERROR(_xlfn.XLOOKUP(B1341,Locales!$A:$A,Locales!$B:$B,""),"")</f>
        <v/>
      </c>
    </row>
    <row r="1342" spans="3:3" x14ac:dyDescent="0.2">
      <c r="C1342" t="str" cm="1">
        <f t="array" ref="C1342">IFERROR(_xlfn.XLOOKUP(B1342,Locales!$A:$A,Locales!$B:$B,""),"")</f>
        <v/>
      </c>
    </row>
    <row r="1343" spans="3:3" x14ac:dyDescent="0.2">
      <c r="C1343" t="str" cm="1">
        <f t="array" ref="C1343">IFERROR(_xlfn.XLOOKUP(B1343,Locales!$A:$A,Locales!$B:$B,""),"")</f>
        <v/>
      </c>
    </row>
    <row r="1344" spans="3:3" x14ac:dyDescent="0.2">
      <c r="C1344" t="str" cm="1">
        <f t="array" ref="C1344">IFERROR(_xlfn.XLOOKUP(B1344,Locales!$A:$A,Locales!$B:$B,""),"")</f>
        <v/>
      </c>
    </row>
    <row r="1345" spans="3:3" x14ac:dyDescent="0.2">
      <c r="C1345" t="str" cm="1">
        <f t="array" ref="C1345">IFERROR(_xlfn.XLOOKUP(B1345,Locales!$A:$A,Locales!$B:$B,""),"")</f>
        <v/>
      </c>
    </row>
    <row r="1346" spans="3:3" x14ac:dyDescent="0.2">
      <c r="C1346" t="str" cm="1">
        <f t="array" ref="C1346">IFERROR(_xlfn.XLOOKUP(B1346,Locales!$A:$A,Locales!$B:$B,""),"")</f>
        <v/>
      </c>
    </row>
    <row r="1347" spans="3:3" x14ac:dyDescent="0.2">
      <c r="C1347" t="str" cm="1">
        <f t="array" ref="C1347">IFERROR(_xlfn.XLOOKUP(B1347,Locales!$A:$A,Locales!$B:$B,""),"")</f>
        <v/>
      </c>
    </row>
    <row r="1348" spans="3:3" x14ac:dyDescent="0.2">
      <c r="C1348" t="str" cm="1">
        <f t="array" ref="C1348">IFERROR(_xlfn.XLOOKUP(B1348,Locales!$A:$A,Locales!$B:$B,""),"")</f>
        <v/>
      </c>
    </row>
    <row r="1349" spans="3:3" x14ac:dyDescent="0.2">
      <c r="C1349" cm="1">
        <f t="array" ref="C1349">IFERROR(_xlfn.XLOOKUP(B1349,Locales!$A:$A,Locales!$B:$B,""),"")</f>
        <v>0</v>
      </c>
    </row>
    <row r="1350" spans="3:3" x14ac:dyDescent="0.2">
      <c r="C1350" t="str" cm="1">
        <f t="array" ref="C1350">IFERROR(_xlfn.XLOOKUP(B1350,Locales!$A:$A,Locales!$B:$B,""),"")</f>
        <v/>
      </c>
    </row>
    <row r="1351" spans="3:3" x14ac:dyDescent="0.2">
      <c r="C1351" t="str" cm="1">
        <f t="array" ref="C1351">IFERROR(_xlfn.XLOOKUP(B1351,Locales!$A:$A,Locales!$B:$B,""),"")</f>
        <v/>
      </c>
    </row>
    <row r="1352" spans="3:3" x14ac:dyDescent="0.2">
      <c r="C1352" t="str" cm="1">
        <f t="array" ref="C1352">IFERROR(_xlfn.XLOOKUP(B1352,Locales!$A:$A,Locales!$B:$B,""),"")</f>
        <v/>
      </c>
    </row>
    <row r="1353" spans="3:3" x14ac:dyDescent="0.2">
      <c r="C1353" t="str" cm="1">
        <f t="array" ref="C1353">IFERROR(_xlfn.XLOOKUP(B1353,Locales!$A:$A,Locales!$B:$B,""),"")</f>
        <v/>
      </c>
    </row>
    <row r="1354" spans="3:3" x14ac:dyDescent="0.2">
      <c r="C1354" t="str" cm="1">
        <f t="array" ref="C1354">IFERROR(_xlfn.XLOOKUP(B1354,Locales!$A:$A,Locales!$B:$B,""),"")</f>
        <v/>
      </c>
    </row>
    <row r="1355" spans="3:3" x14ac:dyDescent="0.2">
      <c r="C1355" t="str" cm="1">
        <f t="array" ref="C1355">IFERROR(_xlfn.XLOOKUP(B1355,Locales!$A:$A,Locales!$B:$B,""),"")</f>
        <v/>
      </c>
    </row>
    <row r="1356" spans="3:3" x14ac:dyDescent="0.2">
      <c r="C1356" t="str" cm="1">
        <f t="array" ref="C1356">IFERROR(_xlfn.XLOOKUP(B1356,Locales!$A:$A,Locales!$B:$B,""),"")</f>
        <v/>
      </c>
    </row>
    <row r="1357" spans="3:3" x14ac:dyDescent="0.2">
      <c r="C1357" t="str" cm="1">
        <f t="array" ref="C1357">IFERROR(_xlfn.XLOOKUP(B1357,Locales!$A:$A,Locales!$B:$B,""),"")</f>
        <v/>
      </c>
    </row>
    <row r="1358" spans="3:3" x14ac:dyDescent="0.2">
      <c r="C1358" t="str" cm="1">
        <f t="array" ref="C1358">IFERROR(_xlfn.XLOOKUP(B1358,Locales!$A:$A,Locales!$B:$B,""),"")</f>
        <v/>
      </c>
    </row>
    <row r="1359" spans="3:3" x14ac:dyDescent="0.2">
      <c r="C1359" t="str" cm="1">
        <f t="array" ref="C1359">IFERROR(_xlfn.XLOOKUP(B1359,Locales!$A:$A,Locales!$B:$B,""),"")</f>
        <v/>
      </c>
    </row>
    <row r="1360" spans="3:3" x14ac:dyDescent="0.2">
      <c r="C1360" t="str" cm="1">
        <f t="array" ref="C1360">IFERROR(_xlfn.XLOOKUP(B1360,Locales!$A:$A,Locales!$B:$B,""),"")</f>
        <v/>
      </c>
    </row>
    <row r="1361" spans="3:3" x14ac:dyDescent="0.2">
      <c r="C1361" t="str" cm="1">
        <f t="array" ref="C1361">IFERROR(_xlfn.XLOOKUP(B1361,Locales!$A:$A,Locales!$B:$B,""),"")</f>
        <v/>
      </c>
    </row>
    <row r="1362" spans="3:3" x14ac:dyDescent="0.2">
      <c r="C1362" t="str" cm="1">
        <f t="array" ref="C1362">IFERROR(_xlfn.XLOOKUP(B1362,Locales!$A:$A,Locales!$B:$B,""),"")</f>
        <v/>
      </c>
    </row>
    <row r="1363" spans="3:3" x14ac:dyDescent="0.2">
      <c r="C1363" t="str" cm="1">
        <f t="array" ref="C1363">IFERROR(_xlfn.XLOOKUP(B1363,Locales!$A:$A,Locales!$B:$B,""),"")</f>
        <v/>
      </c>
    </row>
    <row r="1364" spans="3:3" x14ac:dyDescent="0.2">
      <c r="C1364" t="str" cm="1">
        <f t="array" ref="C1364">IFERROR(_xlfn.XLOOKUP(B1364,Locales!$A:$A,Locales!$B:$B,""),"")</f>
        <v/>
      </c>
    </row>
    <row r="1365" spans="3:3" x14ac:dyDescent="0.2">
      <c r="C1365" t="str" cm="1">
        <f t="array" ref="C1365">IFERROR(_xlfn.XLOOKUP(B1365,Locales!$A:$A,Locales!$B:$B,""),"")</f>
        <v/>
      </c>
    </row>
    <row r="1366" spans="3:3" x14ac:dyDescent="0.2">
      <c r="C1366" t="str" cm="1">
        <f t="array" ref="C1366">IFERROR(_xlfn.XLOOKUP(B1366,Locales!$A:$A,Locales!$B:$B,""),"")</f>
        <v/>
      </c>
    </row>
    <row r="1367" spans="3:3" x14ac:dyDescent="0.2">
      <c r="C1367" t="str" cm="1">
        <f t="array" ref="C1367">IFERROR(_xlfn.XLOOKUP(B1367,Locales!$A:$A,Locales!$B:$B,""),"")</f>
        <v/>
      </c>
    </row>
    <row r="1368" spans="3:3" x14ac:dyDescent="0.2">
      <c r="C1368" t="str" cm="1">
        <f t="array" ref="C1368">IFERROR(_xlfn.XLOOKUP(B1368,Locales!$A:$A,Locales!$B:$B,""),"")</f>
        <v/>
      </c>
    </row>
    <row r="1369" spans="3:3" x14ac:dyDescent="0.2">
      <c r="C1369" t="str" cm="1">
        <f t="array" ref="C1369">IFERROR(_xlfn.XLOOKUP(B1369,Locales!$A:$A,Locales!$B:$B,""),"")</f>
        <v/>
      </c>
    </row>
    <row r="1370" spans="3:3" x14ac:dyDescent="0.2">
      <c r="C1370" t="str" cm="1">
        <f t="array" ref="C1370">IFERROR(_xlfn.XLOOKUP(B1370,Locales!$A:$A,Locales!$B:$B,""),"")</f>
        <v/>
      </c>
    </row>
    <row r="1371" spans="3:3" x14ac:dyDescent="0.2">
      <c r="C1371" t="str" cm="1">
        <f t="array" ref="C1371">IFERROR(_xlfn.XLOOKUP(B1371,Locales!$A:$A,Locales!$B:$B,""),"")</f>
        <v/>
      </c>
    </row>
    <row r="1372" spans="3:3" x14ac:dyDescent="0.2">
      <c r="C1372" t="str" cm="1">
        <f t="array" ref="C1372">IFERROR(_xlfn.XLOOKUP(B1372,Locales!$A:$A,Locales!$B:$B,""),"")</f>
        <v/>
      </c>
    </row>
    <row r="1373" spans="3:3" x14ac:dyDescent="0.2">
      <c r="C1373" t="str" cm="1">
        <f t="array" ref="C1373">IFERROR(_xlfn.XLOOKUP(B1373,Locales!$A:$A,Locales!$B:$B,""),"")</f>
        <v/>
      </c>
    </row>
    <row r="1374" spans="3:3" x14ac:dyDescent="0.2">
      <c r="C1374" t="str" cm="1">
        <f t="array" ref="C1374">IFERROR(_xlfn.XLOOKUP(B1374,Locales!$A:$A,Locales!$B:$B,""),"")</f>
        <v/>
      </c>
    </row>
    <row r="1375" spans="3:3" x14ac:dyDescent="0.2">
      <c r="C1375" t="str" cm="1">
        <f t="array" ref="C1375">IFERROR(_xlfn.XLOOKUP(B1375,Locales!$A:$A,Locales!$B:$B,""),"")</f>
        <v/>
      </c>
    </row>
    <row r="1376" spans="3:3" x14ac:dyDescent="0.2">
      <c r="C1376" t="str" cm="1">
        <f t="array" ref="C1376">IFERROR(_xlfn.XLOOKUP(B1376,Locales!$A:$A,Locales!$B:$B,""),"")</f>
        <v/>
      </c>
    </row>
    <row r="1377" spans="3:3" x14ac:dyDescent="0.2">
      <c r="C1377" t="str" cm="1">
        <f t="array" ref="C1377">IFERROR(_xlfn.XLOOKUP(B1377,Locales!$A:$A,Locales!$B:$B,""),"")</f>
        <v/>
      </c>
    </row>
    <row r="1378" spans="3:3" x14ac:dyDescent="0.2">
      <c r="C1378" t="str" cm="1">
        <f t="array" ref="C1378">IFERROR(_xlfn.XLOOKUP(B1378,Locales!$A:$A,Locales!$B:$B,""),"")</f>
        <v/>
      </c>
    </row>
    <row r="1379" spans="3:3" x14ac:dyDescent="0.2">
      <c r="C1379" t="str" cm="1">
        <f t="array" ref="C1379">IFERROR(_xlfn.XLOOKUP(B1379,Locales!$A:$A,Locales!$B:$B,""),"")</f>
        <v/>
      </c>
    </row>
    <row r="1380" spans="3:3" x14ac:dyDescent="0.2">
      <c r="C1380" t="str" cm="1">
        <f t="array" ref="C1380">IFERROR(_xlfn.XLOOKUP(B1380,Locales!$A:$A,Locales!$B:$B,""),"")</f>
        <v/>
      </c>
    </row>
    <row r="1381" spans="3:3" x14ac:dyDescent="0.2">
      <c r="C1381" t="str" cm="1">
        <f t="array" ref="C1381">IFERROR(_xlfn.XLOOKUP(B1381,Locales!$A:$A,Locales!$B:$B,""),"")</f>
        <v/>
      </c>
    </row>
    <row r="1382" spans="3:3" x14ac:dyDescent="0.2">
      <c r="C1382" t="str" cm="1">
        <f t="array" ref="C1382">IFERROR(_xlfn.XLOOKUP(B1382,Locales!$A:$A,Locales!$B:$B,""),"")</f>
        <v/>
      </c>
    </row>
    <row r="1383" spans="3:3" x14ac:dyDescent="0.2">
      <c r="C1383" t="str" cm="1">
        <f t="array" ref="C1383">IFERROR(_xlfn.XLOOKUP(B1383,Locales!$A:$A,Locales!$B:$B,""),"")</f>
        <v/>
      </c>
    </row>
    <row r="1384" spans="3:3" x14ac:dyDescent="0.2">
      <c r="C1384" t="str" cm="1">
        <f t="array" ref="C1384">IFERROR(_xlfn.XLOOKUP(B1384,Locales!$A:$A,Locales!$B:$B,""),"")</f>
        <v/>
      </c>
    </row>
    <row r="1385" spans="3:3" x14ac:dyDescent="0.2">
      <c r="C1385" t="str" cm="1">
        <f t="array" ref="C1385">IFERROR(_xlfn.XLOOKUP(B1385,Locales!$A:$A,Locales!$B:$B,""),"")</f>
        <v/>
      </c>
    </row>
    <row r="1386" spans="3:3" x14ac:dyDescent="0.2">
      <c r="C1386" t="str" cm="1">
        <f t="array" ref="C1386">IFERROR(_xlfn.XLOOKUP(B1386,Locales!$A:$A,Locales!$B:$B,""),"")</f>
        <v/>
      </c>
    </row>
    <row r="1387" spans="3:3" x14ac:dyDescent="0.2">
      <c r="C1387" t="str" cm="1">
        <f t="array" ref="C1387">IFERROR(_xlfn.XLOOKUP(B1387,Locales!$A:$A,Locales!$B:$B,""),"")</f>
        <v/>
      </c>
    </row>
    <row r="1388" spans="3:3" x14ac:dyDescent="0.2">
      <c r="C1388" t="str" cm="1">
        <f t="array" ref="C1388">IFERROR(_xlfn.XLOOKUP(B1388,Locales!$A:$A,Locales!$B:$B,""),"")</f>
        <v/>
      </c>
    </row>
    <row r="1389" spans="3:3" x14ac:dyDescent="0.2">
      <c r="C1389" t="str" cm="1">
        <f t="array" ref="C1389">IFERROR(_xlfn.XLOOKUP(B1389,Locales!$A:$A,Locales!$B:$B,""),"")</f>
        <v/>
      </c>
    </row>
    <row r="1390" spans="3:3" x14ac:dyDescent="0.2">
      <c r="C1390" t="str" cm="1">
        <f t="array" ref="C1390">IFERROR(_xlfn.XLOOKUP(B1390,Locales!$A:$A,Locales!$B:$B,""),"")</f>
        <v/>
      </c>
    </row>
    <row r="1391" spans="3:3" x14ac:dyDescent="0.2">
      <c r="C1391" t="str" cm="1">
        <f t="array" ref="C1391">IFERROR(_xlfn.XLOOKUP(B1391,Locales!$A:$A,Locales!$B:$B,""),"")</f>
        <v/>
      </c>
    </row>
    <row r="1392" spans="3:3" x14ac:dyDescent="0.2">
      <c r="C1392" t="str" cm="1">
        <f t="array" ref="C1392">IFERROR(_xlfn.XLOOKUP(B1392,Locales!$A:$A,Locales!$B:$B,""),"")</f>
        <v/>
      </c>
    </row>
    <row r="1393" spans="3:3" x14ac:dyDescent="0.2">
      <c r="C1393" t="str" cm="1">
        <f t="array" ref="C1393">IFERROR(_xlfn.XLOOKUP(B1393,Locales!$A:$A,Locales!$B:$B,""),"")</f>
        <v/>
      </c>
    </row>
    <row r="1394" spans="3:3" x14ac:dyDescent="0.2">
      <c r="C1394" t="str" cm="1">
        <f t="array" ref="C1394">IFERROR(_xlfn.XLOOKUP(B1394,Locales!$A:$A,Locales!$B:$B,""),"")</f>
        <v/>
      </c>
    </row>
    <row r="1395" spans="3:3" x14ac:dyDescent="0.2">
      <c r="C1395" t="str" cm="1">
        <f t="array" ref="C1395">IFERROR(_xlfn.XLOOKUP(B1395,Locales!$A:$A,Locales!$B:$B,""),"")</f>
        <v/>
      </c>
    </row>
    <row r="1396" spans="3:3" x14ac:dyDescent="0.2">
      <c r="C1396" t="str" cm="1">
        <f t="array" ref="C1396">IFERROR(_xlfn.XLOOKUP(B1396,Locales!$A:$A,Locales!$B:$B,""),"")</f>
        <v/>
      </c>
    </row>
    <row r="1397" spans="3:3" x14ac:dyDescent="0.2">
      <c r="C1397" cm="1">
        <f t="array" ref="C1397">IFERROR(_xlfn.XLOOKUP(B1397,Locales!$A:$A,Locales!$B:$B,""),"")</f>
        <v>0</v>
      </c>
    </row>
    <row r="1398" spans="3:3" x14ac:dyDescent="0.2">
      <c r="C1398" t="str" cm="1">
        <f t="array" ref="C1398">IFERROR(_xlfn.XLOOKUP(B1398,Locales!$A:$A,Locales!$B:$B,""),"")</f>
        <v/>
      </c>
    </row>
    <row r="1399" spans="3:3" x14ac:dyDescent="0.2">
      <c r="C1399" t="str" cm="1">
        <f t="array" ref="C1399">IFERROR(_xlfn.XLOOKUP(B1399,Locales!$A:$A,Locales!$B:$B,""),"")</f>
        <v/>
      </c>
    </row>
    <row r="1400" spans="3:3" x14ac:dyDescent="0.2">
      <c r="C1400" t="str" cm="1">
        <f t="array" ref="C1400">IFERROR(_xlfn.XLOOKUP(B1400,Locales!$A:$A,Locales!$B:$B,""),"")</f>
        <v/>
      </c>
    </row>
    <row r="1401" spans="3:3" x14ac:dyDescent="0.2">
      <c r="C1401" t="str" cm="1">
        <f t="array" ref="C1401">IFERROR(_xlfn.XLOOKUP(B1401,Locales!$A:$A,Locales!$B:$B,""),"")</f>
        <v/>
      </c>
    </row>
    <row r="1402" spans="3:3" x14ac:dyDescent="0.2">
      <c r="C1402" t="str" cm="1">
        <f t="array" ref="C1402">IFERROR(_xlfn.XLOOKUP(B1402,Locales!$A:$A,Locales!$B:$B,""),"")</f>
        <v/>
      </c>
    </row>
    <row r="1403" spans="3:3" x14ac:dyDescent="0.2">
      <c r="C1403" t="str" cm="1">
        <f t="array" ref="C1403">IFERROR(_xlfn.XLOOKUP(B1403,Locales!$A:$A,Locales!$B:$B,""),"")</f>
        <v/>
      </c>
    </row>
    <row r="1404" spans="3:3" x14ac:dyDescent="0.2">
      <c r="C1404" t="str" cm="1">
        <f t="array" ref="C1404">IFERROR(_xlfn.XLOOKUP(B1404,Locales!$A:$A,Locales!$B:$B,""),"")</f>
        <v/>
      </c>
    </row>
    <row r="1405" spans="3:3" x14ac:dyDescent="0.2">
      <c r="C1405" t="str" cm="1">
        <f t="array" ref="C1405">IFERROR(_xlfn.XLOOKUP(B1405,Locales!$A:$A,Locales!$B:$B,""),"")</f>
        <v/>
      </c>
    </row>
    <row r="1406" spans="3:3" x14ac:dyDescent="0.2">
      <c r="C1406" t="str" cm="1">
        <f t="array" ref="C1406">IFERROR(_xlfn.XLOOKUP(B1406,Locales!$A:$A,Locales!$B:$B,""),"")</f>
        <v/>
      </c>
    </row>
    <row r="1407" spans="3:3" x14ac:dyDescent="0.2">
      <c r="C1407" t="str" cm="1">
        <f t="array" ref="C1407">IFERROR(_xlfn.XLOOKUP(B1407,Locales!$A:$A,Locales!$B:$B,""),"")</f>
        <v/>
      </c>
    </row>
    <row r="1408" spans="3:3" x14ac:dyDescent="0.2">
      <c r="C1408" t="str" cm="1">
        <f t="array" ref="C1408">IFERROR(_xlfn.XLOOKUP(B1408,Locales!$A:$A,Locales!$B:$B,""),"")</f>
        <v/>
      </c>
    </row>
    <row r="1409" spans="3:3" x14ac:dyDescent="0.2">
      <c r="C1409" t="str" cm="1">
        <f t="array" ref="C1409">IFERROR(_xlfn.XLOOKUP(B1409,Locales!$A:$A,Locales!$B:$B,""),"")</f>
        <v/>
      </c>
    </row>
    <row r="1410" spans="3:3" x14ac:dyDescent="0.2">
      <c r="C1410" t="str" cm="1">
        <f t="array" ref="C1410">IFERROR(_xlfn.XLOOKUP(B1410,Locales!$A:$A,Locales!$B:$B,""),"")</f>
        <v/>
      </c>
    </row>
    <row r="1411" spans="3:3" x14ac:dyDescent="0.2">
      <c r="C1411" t="str" cm="1">
        <f t="array" ref="C1411">IFERROR(_xlfn.XLOOKUP(B1411,Locales!$A:$A,Locales!$B:$B,""),"")</f>
        <v/>
      </c>
    </row>
    <row r="1412" spans="3:3" x14ac:dyDescent="0.2">
      <c r="C1412" t="str" cm="1">
        <f t="array" ref="C1412">IFERROR(_xlfn.XLOOKUP(B1412,Locales!$A:$A,Locales!$B:$B,""),"")</f>
        <v/>
      </c>
    </row>
    <row r="1413" spans="3:3" x14ac:dyDescent="0.2">
      <c r="C1413" t="str" cm="1">
        <f t="array" ref="C1413">IFERROR(_xlfn.XLOOKUP(B1413,Locales!$A:$A,Locales!$B:$B,""),"")</f>
        <v/>
      </c>
    </row>
    <row r="1414" spans="3:3" x14ac:dyDescent="0.2">
      <c r="C1414" t="str" cm="1">
        <f t="array" ref="C1414">IFERROR(_xlfn.XLOOKUP(B1414,Locales!$A:$A,Locales!$B:$B,""),"")</f>
        <v/>
      </c>
    </row>
    <row r="1415" spans="3:3" x14ac:dyDescent="0.2">
      <c r="C1415" t="str" cm="1">
        <f t="array" ref="C1415">IFERROR(_xlfn.XLOOKUP(B1415,Locales!$A:$A,Locales!$B:$B,""),"")</f>
        <v/>
      </c>
    </row>
    <row r="1416" spans="3:3" x14ac:dyDescent="0.2">
      <c r="C1416" t="str" cm="1">
        <f t="array" ref="C1416">IFERROR(_xlfn.XLOOKUP(B1416,Locales!$A:$A,Locales!$B:$B,""),"")</f>
        <v/>
      </c>
    </row>
    <row r="1417" spans="3:3" x14ac:dyDescent="0.2">
      <c r="C1417" t="str" cm="1">
        <f t="array" ref="C1417">IFERROR(_xlfn.XLOOKUP(B1417,Locales!$A:$A,Locales!$B:$B,""),"")</f>
        <v/>
      </c>
    </row>
    <row r="1418" spans="3:3" x14ac:dyDescent="0.2">
      <c r="C1418" t="str" cm="1">
        <f t="array" ref="C1418">IFERROR(_xlfn.XLOOKUP(B1418,Locales!$A:$A,Locales!$B:$B,""),"")</f>
        <v/>
      </c>
    </row>
    <row r="1419" spans="3:3" x14ac:dyDescent="0.2">
      <c r="C1419" t="str" cm="1">
        <f t="array" ref="C1419">IFERROR(_xlfn.XLOOKUP(B1419,Locales!$A:$A,Locales!$B:$B,""),"")</f>
        <v/>
      </c>
    </row>
    <row r="1420" spans="3:3" x14ac:dyDescent="0.2">
      <c r="C1420" t="str" cm="1">
        <f t="array" ref="C1420">IFERROR(_xlfn.XLOOKUP(B1420,Locales!$A:$A,Locales!$B:$B,""),"")</f>
        <v/>
      </c>
    </row>
    <row r="1421" spans="3:3" x14ac:dyDescent="0.2">
      <c r="C1421" t="str" cm="1">
        <f t="array" ref="C1421">IFERROR(_xlfn.XLOOKUP(B1421,Locales!$A:$A,Locales!$B:$B,""),"")</f>
        <v/>
      </c>
    </row>
    <row r="1422" spans="3:3" x14ac:dyDescent="0.2">
      <c r="C1422" t="str" cm="1">
        <f t="array" ref="C1422">IFERROR(_xlfn.XLOOKUP(B1422,Locales!$A:$A,Locales!$B:$B,""),"")</f>
        <v/>
      </c>
    </row>
    <row r="1423" spans="3:3" x14ac:dyDescent="0.2">
      <c r="C1423" t="str" cm="1">
        <f t="array" ref="C1423">IFERROR(_xlfn.XLOOKUP(B1423,Locales!$A:$A,Locales!$B:$B,""),"")</f>
        <v/>
      </c>
    </row>
    <row r="1424" spans="3:3" x14ac:dyDescent="0.2">
      <c r="C1424" t="str" cm="1">
        <f t="array" ref="C1424">IFERROR(_xlfn.XLOOKUP(B1424,Locales!$A:$A,Locales!$B:$B,""),"")</f>
        <v/>
      </c>
    </row>
    <row r="1425" spans="3:3" x14ac:dyDescent="0.2">
      <c r="C1425" t="str" cm="1">
        <f t="array" ref="C1425">IFERROR(_xlfn.XLOOKUP(B1425,Locales!$A:$A,Locales!$B:$B,""),"")</f>
        <v/>
      </c>
    </row>
    <row r="1426" spans="3:3" x14ac:dyDescent="0.2">
      <c r="C1426" t="str" cm="1">
        <f t="array" ref="C1426">IFERROR(_xlfn.XLOOKUP(B1426,Locales!$A:$A,Locales!$B:$B,""),"")</f>
        <v/>
      </c>
    </row>
    <row r="1427" spans="3:3" x14ac:dyDescent="0.2">
      <c r="C1427" t="str" cm="1">
        <f t="array" ref="C1427">IFERROR(_xlfn.XLOOKUP(B1427,Locales!$A:$A,Locales!$B:$B,""),"")</f>
        <v/>
      </c>
    </row>
    <row r="1428" spans="3:3" x14ac:dyDescent="0.2">
      <c r="C1428" t="str" cm="1">
        <f t="array" ref="C1428">IFERROR(_xlfn.XLOOKUP(B1428,Locales!$A:$A,Locales!$B:$B,""),"")</f>
        <v/>
      </c>
    </row>
    <row r="1429" spans="3:3" x14ac:dyDescent="0.2">
      <c r="C1429" cm="1">
        <f t="array" ref="C1429">IFERROR(_xlfn.XLOOKUP(B1429,Locales!$A:$A,Locales!$B:$B,""),"")</f>
        <v>0</v>
      </c>
    </row>
    <row r="1430" spans="3:3" x14ac:dyDescent="0.2">
      <c r="C1430" t="str" cm="1">
        <f t="array" ref="C1430">IFERROR(_xlfn.XLOOKUP(B1430,Locales!$A:$A,Locales!$B:$B,""),"")</f>
        <v/>
      </c>
    </row>
    <row r="1431" spans="3:3" x14ac:dyDescent="0.2">
      <c r="C1431" t="str" cm="1">
        <f t="array" ref="C1431">IFERROR(_xlfn.XLOOKUP(B1431,Locales!$A:$A,Locales!$B:$B,""),"")</f>
        <v/>
      </c>
    </row>
    <row r="1432" spans="3:3" x14ac:dyDescent="0.2">
      <c r="C1432" t="str" cm="1">
        <f t="array" ref="C1432">IFERROR(_xlfn.XLOOKUP(B1432,Locales!$A:$A,Locales!$B:$B,""),"")</f>
        <v/>
      </c>
    </row>
    <row r="1433" spans="3:3" x14ac:dyDescent="0.2">
      <c r="C1433" t="str" cm="1">
        <f t="array" ref="C1433">IFERROR(_xlfn.XLOOKUP(B1433,Locales!$A:$A,Locales!$B:$B,""),"")</f>
        <v/>
      </c>
    </row>
    <row r="1434" spans="3:3" x14ac:dyDescent="0.2">
      <c r="C1434" t="str" cm="1">
        <f t="array" ref="C1434">IFERROR(_xlfn.XLOOKUP(B1434,Locales!$A:$A,Locales!$B:$B,""),"")</f>
        <v/>
      </c>
    </row>
    <row r="1435" spans="3:3" x14ac:dyDescent="0.2">
      <c r="C1435" t="str" cm="1">
        <f t="array" ref="C1435">IFERROR(_xlfn.XLOOKUP(B1435,Locales!$A:$A,Locales!$B:$B,""),"")</f>
        <v/>
      </c>
    </row>
    <row r="1436" spans="3:3" x14ac:dyDescent="0.2">
      <c r="C1436" t="str" cm="1">
        <f t="array" ref="C1436">IFERROR(_xlfn.XLOOKUP(B1436,Locales!$A:$A,Locales!$B:$B,""),"")</f>
        <v/>
      </c>
    </row>
    <row r="1437" spans="3:3" x14ac:dyDescent="0.2">
      <c r="C1437" t="str" cm="1">
        <f t="array" ref="C1437">IFERROR(_xlfn.XLOOKUP(B1437,Locales!$A:$A,Locales!$B:$B,""),"")</f>
        <v/>
      </c>
    </row>
    <row r="1438" spans="3:3" x14ac:dyDescent="0.2">
      <c r="C1438" t="str" cm="1">
        <f t="array" ref="C1438">IFERROR(_xlfn.XLOOKUP(B1438,Locales!$A:$A,Locales!$B:$B,""),"")</f>
        <v/>
      </c>
    </row>
    <row r="1439" spans="3:3" x14ac:dyDescent="0.2">
      <c r="C1439" t="str" cm="1">
        <f t="array" ref="C1439">IFERROR(_xlfn.XLOOKUP(B1439,Locales!$A:$A,Locales!$B:$B,""),"")</f>
        <v/>
      </c>
    </row>
    <row r="1440" spans="3:3" x14ac:dyDescent="0.2">
      <c r="C1440" t="str" cm="1">
        <f t="array" ref="C1440">IFERROR(_xlfn.XLOOKUP(B1440,Locales!$A:$A,Locales!$B:$B,""),"")</f>
        <v/>
      </c>
    </row>
    <row r="1441" spans="3:3" x14ac:dyDescent="0.2">
      <c r="C1441" t="str" cm="1">
        <f t="array" ref="C1441">IFERROR(_xlfn.XLOOKUP(B1441,Locales!$A:$A,Locales!$B:$B,""),"")</f>
        <v/>
      </c>
    </row>
    <row r="1442" spans="3:3" x14ac:dyDescent="0.2">
      <c r="C1442" t="str" cm="1">
        <f t="array" ref="C1442">IFERROR(_xlfn.XLOOKUP(B1442,Locales!$A:$A,Locales!$B:$B,""),"")</f>
        <v/>
      </c>
    </row>
    <row r="1443" spans="3:3" x14ac:dyDescent="0.2">
      <c r="C1443" t="str" cm="1">
        <f t="array" ref="C1443">IFERROR(_xlfn.XLOOKUP(B1443,Locales!$A:$A,Locales!$B:$B,""),"")</f>
        <v/>
      </c>
    </row>
    <row r="1444" spans="3:3" x14ac:dyDescent="0.2">
      <c r="C1444" t="str" cm="1">
        <f t="array" ref="C1444">IFERROR(_xlfn.XLOOKUP(B1444,Locales!$A:$A,Locales!$B:$B,""),"")</f>
        <v/>
      </c>
    </row>
    <row r="1445" spans="3:3" x14ac:dyDescent="0.2">
      <c r="C1445" t="str" cm="1">
        <f t="array" ref="C1445">IFERROR(_xlfn.XLOOKUP(B1445,Locales!$A:$A,Locales!$B:$B,""),"")</f>
        <v/>
      </c>
    </row>
    <row r="1446" spans="3:3" x14ac:dyDescent="0.2">
      <c r="C1446" t="str" cm="1">
        <f t="array" ref="C1446">IFERROR(_xlfn.XLOOKUP(B1446,Locales!$A:$A,Locales!$B:$B,""),"")</f>
        <v/>
      </c>
    </row>
    <row r="1447" spans="3:3" x14ac:dyDescent="0.2">
      <c r="C1447" t="str" cm="1">
        <f t="array" ref="C1447">IFERROR(_xlfn.XLOOKUP(B1447,Locales!$A:$A,Locales!$B:$B,""),"")</f>
        <v/>
      </c>
    </row>
    <row r="1448" spans="3:3" x14ac:dyDescent="0.2">
      <c r="C1448" t="str" cm="1">
        <f t="array" ref="C1448">IFERROR(_xlfn.XLOOKUP(B1448,Locales!$A:$A,Locales!$B:$B,""),"")</f>
        <v/>
      </c>
    </row>
    <row r="1449" spans="3:3" x14ac:dyDescent="0.2">
      <c r="C1449" t="str" cm="1">
        <f t="array" ref="C1449">IFERROR(_xlfn.XLOOKUP(B1449,Locales!$A:$A,Locales!$B:$B,""),"")</f>
        <v/>
      </c>
    </row>
    <row r="1450" spans="3:3" x14ac:dyDescent="0.2">
      <c r="C1450" t="str" cm="1">
        <f t="array" ref="C1450">IFERROR(_xlfn.XLOOKUP(B1450,Locales!$A:$A,Locales!$B:$B,""),"")</f>
        <v/>
      </c>
    </row>
    <row r="1451" spans="3:3" x14ac:dyDescent="0.2">
      <c r="C1451" t="str" cm="1">
        <f t="array" ref="C1451">IFERROR(_xlfn.XLOOKUP(B1451,Locales!$A:$A,Locales!$B:$B,""),"")</f>
        <v/>
      </c>
    </row>
    <row r="1452" spans="3:3" x14ac:dyDescent="0.2">
      <c r="C1452" t="str" cm="1">
        <f t="array" ref="C1452">IFERROR(_xlfn.XLOOKUP(B1452,Locales!$A:$A,Locales!$B:$B,""),"")</f>
        <v/>
      </c>
    </row>
    <row r="1453" spans="3:3" x14ac:dyDescent="0.2">
      <c r="C1453" t="str" cm="1">
        <f t="array" ref="C1453">IFERROR(_xlfn.XLOOKUP(B1453,Locales!$A:$A,Locales!$B:$B,""),"")</f>
        <v/>
      </c>
    </row>
    <row r="1454" spans="3:3" x14ac:dyDescent="0.2">
      <c r="C1454" t="str" cm="1">
        <f t="array" ref="C1454">IFERROR(_xlfn.XLOOKUP(B1454,Locales!$A:$A,Locales!$B:$B,""),"")</f>
        <v/>
      </c>
    </row>
    <row r="1455" spans="3:3" x14ac:dyDescent="0.2">
      <c r="C1455" t="str" cm="1">
        <f t="array" ref="C1455">IFERROR(_xlfn.XLOOKUP(B1455,Locales!$A:$A,Locales!$B:$B,""),"")</f>
        <v/>
      </c>
    </row>
    <row r="1456" spans="3:3" x14ac:dyDescent="0.2">
      <c r="C1456" t="str" cm="1">
        <f t="array" ref="C1456">IFERROR(_xlfn.XLOOKUP(B1456,Locales!$A:$A,Locales!$B:$B,""),"")</f>
        <v/>
      </c>
    </row>
    <row r="1457" spans="3:3" x14ac:dyDescent="0.2">
      <c r="C1457" t="str" cm="1">
        <f t="array" ref="C1457">IFERROR(_xlfn.XLOOKUP(B1457,Locales!$A:$A,Locales!$B:$B,""),"")</f>
        <v/>
      </c>
    </row>
    <row r="1458" spans="3:3" x14ac:dyDescent="0.2">
      <c r="C1458" t="str" cm="1">
        <f t="array" ref="C1458">IFERROR(_xlfn.XLOOKUP(B1458,Locales!$A:$A,Locales!$B:$B,""),"")</f>
        <v/>
      </c>
    </row>
    <row r="1459" spans="3:3" x14ac:dyDescent="0.2">
      <c r="C1459" t="str" cm="1">
        <f t="array" ref="C1459">IFERROR(_xlfn.XLOOKUP(B1459,Locales!$A:$A,Locales!$B:$B,""),"")</f>
        <v/>
      </c>
    </row>
    <row r="1460" spans="3:3" x14ac:dyDescent="0.2">
      <c r="C1460" t="str" cm="1">
        <f t="array" ref="C1460">IFERROR(_xlfn.XLOOKUP(B1460,Locales!$A:$A,Locales!$B:$B,""),"")</f>
        <v/>
      </c>
    </row>
    <row r="1461" spans="3:3" x14ac:dyDescent="0.2">
      <c r="C1461" cm="1">
        <f t="array" ref="C1461">IFERROR(_xlfn.XLOOKUP(B1461,Locales!$A:$A,Locales!$B:$B,""),"")</f>
        <v>0</v>
      </c>
    </row>
    <row r="1462" spans="3:3" x14ac:dyDescent="0.2">
      <c r="C1462" t="str" cm="1">
        <f t="array" ref="C1462">IFERROR(_xlfn.XLOOKUP(B1462,Locales!$A:$A,Locales!$B:$B,""),"")</f>
        <v/>
      </c>
    </row>
    <row r="1463" spans="3:3" x14ac:dyDescent="0.2">
      <c r="C1463" t="str" cm="1">
        <f t="array" ref="C1463">IFERROR(_xlfn.XLOOKUP(B1463,Locales!$A:$A,Locales!$B:$B,""),"")</f>
        <v/>
      </c>
    </row>
    <row r="1464" spans="3:3" x14ac:dyDescent="0.2">
      <c r="C1464" t="str" cm="1">
        <f t="array" ref="C1464">IFERROR(_xlfn.XLOOKUP(B1464,Locales!$A:$A,Locales!$B:$B,""),"")</f>
        <v/>
      </c>
    </row>
    <row r="1465" spans="3:3" x14ac:dyDescent="0.2">
      <c r="C1465" t="str" cm="1">
        <f t="array" ref="C1465">IFERROR(_xlfn.XLOOKUP(B1465,Locales!$A:$A,Locales!$B:$B,""),"")</f>
        <v/>
      </c>
    </row>
    <row r="1466" spans="3:3" x14ac:dyDescent="0.2">
      <c r="C1466" t="str" cm="1">
        <f t="array" ref="C1466">IFERROR(_xlfn.XLOOKUP(B1466,Locales!$A:$A,Locales!$B:$B,""),"")</f>
        <v/>
      </c>
    </row>
    <row r="1467" spans="3:3" x14ac:dyDescent="0.2">
      <c r="C1467" t="str" cm="1">
        <f t="array" ref="C1467">IFERROR(_xlfn.XLOOKUP(B1467,Locales!$A:$A,Locales!$B:$B,""),"")</f>
        <v/>
      </c>
    </row>
    <row r="1468" spans="3:3" x14ac:dyDescent="0.2">
      <c r="C1468" t="str" cm="1">
        <f t="array" ref="C1468">IFERROR(_xlfn.XLOOKUP(B1468,Locales!$A:$A,Locales!$B:$B,""),"")</f>
        <v/>
      </c>
    </row>
    <row r="1469" spans="3:3" x14ac:dyDescent="0.2">
      <c r="C1469" t="str" cm="1">
        <f t="array" ref="C1469">IFERROR(_xlfn.XLOOKUP(B1469,Locales!$A:$A,Locales!$B:$B,""),"")</f>
        <v/>
      </c>
    </row>
    <row r="1470" spans="3:3" x14ac:dyDescent="0.2">
      <c r="C1470" t="str" cm="1">
        <f t="array" ref="C1470">IFERROR(_xlfn.XLOOKUP(B1470,Locales!$A:$A,Locales!$B:$B,""),"")</f>
        <v/>
      </c>
    </row>
    <row r="1471" spans="3:3" x14ac:dyDescent="0.2">
      <c r="C1471" t="str" cm="1">
        <f t="array" ref="C1471">IFERROR(_xlfn.XLOOKUP(B1471,Locales!$A:$A,Locales!$B:$B,""),"")</f>
        <v/>
      </c>
    </row>
    <row r="1472" spans="3:3" x14ac:dyDescent="0.2">
      <c r="C1472" t="str" cm="1">
        <f t="array" ref="C1472">IFERROR(_xlfn.XLOOKUP(B1472,Locales!$A:$A,Locales!$B:$B,""),"")</f>
        <v/>
      </c>
    </row>
    <row r="1473" spans="3:3" x14ac:dyDescent="0.2">
      <c r="C1473" t="str" cm="1">
        <f t="array" ref="C1473">IFERROR(_xlfn.XLOOKUP(B1473,Locales!$A:$A,Locales!$B:$B,""),"")</f>
        <v/>
      </c>
    </row>
    <row r="1474" spans="3:3" x14ac:dyDescent="0.2">
      <c r="C1474" t="str" cm="1">
        <f t="array" ref="C1474">IFERROR(_xlfn.XLOOKUP(B1474,Locales!$A:$A,Locales!$B:$B,""),"")</f>
        <v/>
      </c>
    </row>
    <row r="1475" spans="3:3" x14ac:dyDescent="0.2">
      <c r="C1475" t="str" cm="1">
        <f t="array" ref="C1475">IFERROR(_xlfn.XLOOKUP(B1475,Locales!$A:$A,Locales!$B:$B,""),"")</f>
        <v/>
      </c>
    </row>
    <row r="1476" spans="3:3" x14ac:dyDescent="0.2">
      <c r="C1476" t="str" cm="1">
        <f t="array" ref="C1476">IFERROR(_xlfn.XLOOKUP(B1476,Locales!$A:$A,Locales!$B:$B,""),"")</f>
        <v/>
      </c>
    </row>
    <row r="1477" spans="3:3" x14ac:dyDescent="0.2">
      <c r="C1477" t="str" cm="1">
        <f t="array" ref="C1477">IFERROR(_xlfn.XLOOKUP(B1477,Locales!$A:$A,Locales!$B:$B,""),"")</f>
        <v/>
      </c>
    </row>
    <row r="1478" spans="3:3" x14ac:dyDescent="0.2">
      <c r="C1478" t="str" cm="1">
        <f t="array" ref="C1478">IFERROR(_xlfn.XLOOKUP(B1478,Locales!$A:$A,Locales!$B:$B,""),"")</f>
        <v/>
      </c>
    </row>
    <row r="1479" spans="3:3" x14ac:dyDescent="0.2">
      <c r="C1479" t="str" cm="1">
        <f t="array" ref="C1479">IFERROR(_xlfn.XLOOKUP(B1479,Locales!$A:$A,Locales!$B:$B,""),"")</f>
        <v/>
      </c>
    </row>
    <row r="1480" spans="3:3" x14ac:dyDescent="0.2">
      <c r="C1480" t="str" cm="1">
        <f t="array" ref="C1480">IFERROR(_xlfn.XLOOKUP(B1480,Locales!$A:$A,Locales!$B:$B,""),"")</f>
        <v/>
      </c>
    </row>
    <row r="1481" spans="3:3" x14ac:dyDescent="0.2">
      <c r="C1481" t="str" cm="1">
        <f t="array" ref="C1481">IFERROR(_xlfn.XLOOKUP(B1481,Locales!$A:$A,Locales!$B:$B,""),"")</f>
        <v/>
      </c>
    </row>
    <row r="1482" spans="3:3" x14ac:dyDescent="0.2">
      <c r="C1482" t="str" cm="1">
        <f t="array" ref="C1482">IFERROR(_xlfn.XLOOKUP(B1482,Locales!$A:$A,Locales!$B:$B,""),"")</f>
        <v/>
      </c>
    </row>
    <row r="1483" spans="3:3" x14ac:dyDescent="0.2">
      <c r="C1483" t="str" cm="1">
        <f t="array" ref="C1483">IFERROR(_xlfn.XLOOKUP(B1483,Locales!$A:$A,Locales!$B:$B,""),"")</f>
        <v/>
      </c>
    </row>
    <row r="1484" spans="3:3" x14ac:dyDescent="0.2">
      <c r="C1484" t="str" cm="1">
        <f t="array" ref="C1484">IFERROR(_xlfn.XLOOKUP(B1484,Locales!$A:$A,Locales!$B:$B,""),"")</f>
        <v/>
      </c>
    </row>
    <row r="1485" spans="3:3" x14ac:dyDescent="0.2">
      <c r="C1485" t="str" cm="1">
        <f t="array" ref="C1485">IFERROR(_xlfn.XLOOKUP(B1485,Locales!$A:$A,Locales!$B:$B,""),"")</f>
        <v/>
      </c>
    </row>
    <row r="1486" spans="3:3" x14ac:dyDescent="0.2">
      <c r="C1486" t="str" cm="1">
        <f t="array" ref="C1486">IFERROR(_xlfn.XLOOKUP(B1486,Locales!$A:$A,Locales!$B:$B,""),"")</f>
        <v/>
      </c>
    </row>
    <row r="1487" spans="3:3" x14ac:dyDescent="0.2">
      <c r="C1487" t="str" cm="1">
        <f t="array" ref="C1487">IFERROR(_xlfn.XLOOKUP(B1487,Locales!$A:$A,Locales!$B:$B,""),"")</f>
        <v/>
      </c>
    </row>
    <row r="1488" spans="3:3" x14ac:dyDescent="0.2">
      <c r="C1488" t="str" cm="1">
        <f t="array" ref="C1488">IFERROR(_xlfn.XLOOKUP(B1488,Locales!$A:$A,Locales!$B:$B,""),"")</f>
        <v/>
      </c>
    </row>
    <row r="1489" spans="3:3" x14ac:dyDescent="0.2">
      <c r="C1489" t="str" cm="1">
        <f t="array" ref="C1489">IFERROR(_xlfn.XLOOKUP(B1489,Locales!$A:$A,Locales!$B:$B,""),"")</f>
        <v/>
      </c>
    </row>
    <row r="1490" spans="3:3" x14ac:dyDescent="0.2">
      <c r="C1490" t="str" cm="1">
        <f t="array" ref="C1490">IFERROR(_xlfn.XLOOKUP(B1490,Locales!$A:$A,Locales!$B:$B,""),"")</f>
        <v/>
      </c>
    </row>
    <row r="1491" spans="3:3" x14ac:dyDescent="0.2">
      <c r="C1491" t="str" cm="1">
        <f t="array" ref="C1491">IFERROR(_xlfn.XLOOKUP(B1491,Locales!$A:$A,Locales!$B:$B,""),"")</f>
        <v/>
      </c>
    </row>
    <row r="1492" spans="3:3" x14ac:dyDescent="0.2">
      <c r="C1492" t="str" cm="1">
        <f t="array" ref="C1492">IFERROR(_xlfn.XLOOKUP(B1492,Locales!$A:$A,Locales!$B:$B,""),"")</f>
        <v/>
      </c>
    </row>
    <row r="1493" spans="3:3" x14ac:dyDescent="0.2">
      <c r="C1493" cm="1">
        <f t="array" ref="C1493">IFERROR(_xlfn.XLOOKUP(B1493,Locales!$A:$A,Locales!$B:$B,""),"")</f>
        <v>0</v>
      </c>
    </row>
    <row r="1494" spans="3:3" x14ac:dyDescent="0.2">
      <c r="C1494" t="str" cm="1">
        <f t="array" ref="C1494">IFERROR(_xlfn.XLOOKUP(B1494,Locales!$A:$A,Locales!$B:$B,""),"")</f>
        <v/>
      </c>
    </row>
    <row r="1495" spans="3:3" x14ac:dyDescent="0.2">
      <c r="C1495" t="str" cm="1">
        <f t="array" ref="C1495">IFERROR(_xlfn.XLOOKUP(B1495,Locales!$A:$A,Locales!$B:$B,""),"")</f>
        <v/>
      </c>
    </row>
    <row r="1496" spans="3:3" x14ac:dyDescent="0.2">
      <c r="C1496" t="str" cm="1">
        <f t="array" ref="C1496">IFERROR(_xlfn.XLOOKUP(B1496,Locales!$A:$A,Locales!$B:$B,""),"")</f>
        <v/>
      </c>
    </row>
    <row r="1497" spans="3:3" x14ac:dyDescent="0.2">
      <c r="C1497" t="str" cm="1">
        <f t="array" ref="C1497">IFERROR(_xlfn.XLOOKUP(B1497,Locales!$A:$A,Locales!$B:$B,""),"")</f>
        <v/>
      </c>
    </row>
    <row r="1498" spans="3:3" x14ac:dyDescent="0.2">
      <c r="C1498" t="str" cm="1">
        <f t="array" ref="C1498">IFERROR(_xlfn.XLOOKUP(B1498,Locales!$A:$A,Locales!$B:$B,""),"")</f>
        <v/>
      </c>
    </row>
    <row r="1499" spans="3:3" x14ac:dyDescent="0.2">
      <c r="C1499" t="str" cm="1">
        <f t="array" ref="C1499">IFERROR(_xlfn.XLOOKUP(B1499,Locales!$A:$A,Locales!$B:$B,""),"")</f>
        <v/>
      </c>
    </row>
    <row r="1500" spans="3:3" x14ac:dyDescent="0.2">
      <c r="C1500" t="str" cm="1">
        <f t="array" ref="C1500">IFERROR(_xlfn.XLOOKUP(B1500,Locales!$A:$A,Locales!$B:$B,""),"")</f>
        <v/>
      </c>
    </row>
    <row r="1501" spans="3:3" x14ac:dyDescent="0.2">
      <c r="C1501" t="str" cm="1">
        <f t="array" ref="C1501">IFERROR(_xlfn.XLOOKUP(B1501,Locales!$A:$A,Locales!$B:$B,""),"")</f>
        <v/>
      </c>
    </row>
    <row r="1502" spans="3:3" x14ac:dyDescent="0.2">
      <c r="C1502" t="str" cm="1">
        <f t="array" ref="C1502">IFERROR(_xlfn.XLOOKUP(B1502,Locales!$A:$A,Locales!$B:$B,""),"")</f>
        <v/>
      </c>
    </row>
    <row r="1503" spans="3:3" x14ac:dyDescent="0.2">
      <c r="C1503" t="str" cm="1">
        <f t="array" ref="C1503">IFERROR(_xlfn.XLOOKUP(B1503,Locales!$A:$A,Locales!$B:$B,""),"")</f>
        <v/>
      </c>
    </row>
    <row r="1504" spans="3:3" x14ac:dyDescent="0.2">
      <c r="C1504" t="str" cm="1">
        <f t="array" ref="C1504">IFERROR(_xlfn.XLOOKUP(B1504,Locales!$A:$A,Locales!$B:$B,""),"")</f>
        <v/>
      </c>
    </row>
    <row r="1505" spans="3:3" x14ac:dyDescent="0.2">
      <c r="C1505" t="str" cm="1">
        <f t="array" ref="C1505">IFERROR(_xlfn.XLOOKUP(B1505,Locales!$A:$A,Locales!$B:$B,""),"")</f>
        <v/>
      </c>
    </row>
    <row r="1506" spans="3:3" x14ac:dyDescent="0.2">
      <c r="C1506" t="str" cm="1">
        <f t="array" ref="C1506">IFERROR(_xlfn.XLOOKUP(B1506,Locales!$A:$A,Locales!$B:$B,""),"")</f>
        <v/>
      </c>
    </row>
    <row r="1507" spans="3:3" x14ac:dyDescent="0.2">
      <c r="C1507" t="str" cm="1">
        <f t="array" ref="C1507">IFERROR(_xlfn.XLOOKUP(B1507,Locales!$A:$A,Locales!$B:$B,""),"")</f>
        <v/>
      </c>
    </row>
    <row r="1508" spans="3:3" x14ac:dyDescent="0.2">
      <c r="C1508" t="str" cm="1">
        <f t="array" ref="C1508">IFERROR(_xlfn.XLOOKUP(B1508,Locales!$A:$A,Locales!$B:$B,""),"")</f>
        <v/>
      </c>
    </row>
    <row r="1509" spans="3:3" x14ac:dyDescent="0.2">
      <c r="C1509" t="str" cm="1">
        <f t="array" ref="C1509">IFERROR(_xlfn.XLOOKUP(B1509,Locales!$A:$A,Locales!$B:$B,""),"")</f>
        <v/>
      </c>
    </row>
    <row r="1510" spans="3:3" x14ac:dyDescent="0.2">
      <c r="C1510" t="str" cm="1">
        <f t="array" ref="C1510">IFERROR(_xlfn.XLOOKUP(B1510,Locales!$A:$A,Locales!$B:$B,""),"")</f>
        <v/>
      </c>
    </row>
    <row r="1511" spans="3:3" x14ac:dyDescent="0.2">
      <c r="C1511" t="str" cm="1">
        <f t="array" ref="C1511">IFERROR(_xlfn.XLOOKUP(B1511,Locales!$A:$A,Locales!$B:$B,""),"")</f>
        <v/>
      </c>
    </row>
    <row r="1512" spans="3:3" x14ac:dyDescent="0.2">
      <c r="C1512" t="str" cm="1">
        <f t="array" ref="C1512">IFERROR(_xlfn.XLOOKUP(B1512,Locales!$A:$A,Locales!$B:$B,""),"")</f>
        <v/>
      </c>
    </row>
    <row r="1513" spans="3:3" x14ac:dyDescent="0.2">
      <c r="C1513" t="str" cm="1">
        <f t="array" ref="C1513">IFERROR(_xlfn.XLOOKUP(B1513,Locales!$A:$A,Locales!$B:$B,""),"")</f>
        <v/>
      </c>
    </row>
    <row r="1514" spans="3:3" x14ac:dyDescent="0.2">
      <c r="C1514" t="str" cm="1">
        <f t="array" ref="C1514">IFERROR(_xlfn.XLOOKUP(B1514,Locales!$A:$A,Locales!$B:$B,""),"")</f>
        <v/>
      </c>
    </row>
    <row r="1515" spans="3:3" x14ac:dyDescent="0.2">
      <c r="C1515" t="str" cm="1">
        <f t="array" ref="C1515">IFERROR(_xlfn.XLOOKUP(B1515,Locales!$A:$A,Locales!$B:$B,""),"")</f>
        <v/>
      </c>
    </row>
    <row r="1516" spans="3:3" x14ac:dyDescent="0.2">
      <c r="C1516" t="str" cm="1">
        <f t="array" ref="C1516">IFERROR(_xlfn.XLOOKUP(B1516,Locales!$A:$A,Locales!$B:$B,""),"")</f>
        <v/>
      </c>
    </row>
    <row r="1517" spans="3:3" x14ac:dyDescent="0.2">
      <c r="C1517" t="str" cm="1">
        <f t="array" ref="C1517">IFERROR(_xlfn.XLOOKUP(B1517,Locales!$A:$A,Locales!$B:$B,""),"")</f>
        <v/>
      </c>
    </row>
    <row r="1518" spans="3:3" x14ac:dyDescent="0.2">
      <c r="C1518" t="str" cm="1">
        <f t="array" ref="C1518">IFERROR(_xlfn.XLOOKUP(B1518,Locales!$A:$A,Locales!$B:$B,""),"")</f>
        <v/>
      </c>
    </row>
    <row r="1519" spans="3:3" x14ac:dyDescent="0.2">
      <c r="C1519" t="str" cm="1">
        <f t="array" ref="C1519">IFERROR(_xlfn.XLOOKUP(B1519,Locales!$A:$A,Locales!$B:$B,""),"")</f>
        <v/>
      </c>
    </row>
    <row r="1520" spans="3:3" x14ac:dyDescent="0.2">
      <c r="C1520" t="str" cm="1">
        <f t="array" ref="C1520">IFERROR(_xlfn.XLOOKUP(B1520,Locales!$A:$A,Locales!$B:$B,""),"")</f>
        <v/>
      </c>
    </row>
    <row r="1521" spans="3:3" x14ac:dyDescent="0.2">
      <c r="C1521" t="str" cm="1">
        <f t="array" ref="C1521">IFERROR(_xlfn.XLOOKUP(B1521,Locales!$A:$A,Locales!$B:$B,""),"")</f>
        <v/>
      </c>
    </row>
    <row r="1522" spans="3:3" x14ac:dyDescent="0.2">
      <c r="C1522" t="str" cm="1">
        <f t="array" ref="C1522">IFERROR(_xlfn.XLOOKUP(B1522,Locales!$A:$A,Locales!$B:$B,""),"")</f>
        <v/>
      </c>
    </row>
    <row r="1523" spans="3:3" x14ac:dyDescent="0.2">
      <c r="C1523" t="str" cm="1">
        <f t="array" ref="C1523">IFERROR(_xlfn.XLOOKUP(B1523,Locales!$A:$A,Locales!$B:$B,""),"")</f>
        <v/>
      </c>
    </row>
    <row r="1524" spans="3:3" x14ac:dyDescent="0.2">
      <c r="C1524" t="str" cm="1">
        <f t="array" ref="C1524">IFERROR(_xlfn.XLOOKUP(B1524,Locales!$A:$A,Locales!$B:$B,""),"")</f>
        <v/>
      </c>
    </row>
    <row r="1525" spans="3:3" x14ac:dyDescent="0.2">
      <c r="C1525" cm="1">
        <f t="array" ref="C1525">IFERROR(_xlfn.XLOOKUP(B1525,Locales!$A:$A,Locales!$B:$B,""),"")</f>
        <v>0</v>
      </c>
    </row>
    <row r="1526" spans="3:3" x14ac:dyDescent="0.2">
      <c r="C1526" t="str" cm="1">
        <f t="array" ref="C1526">IFERROR(_xlfn.XLOOKUP(B1526,Locales!$A:$A,Locales!$B:$B,""),"")</f>
        <v/>
      </c>
    </row>
    <row r="1527" spans="3:3" x14ac:dyDescent="0.2">
      <c r="C1527" t="str" cm="1">
        <f t="array" ref="C1527">IFERROR(_xlfn.XLOOKUP(B1527,Locales!$A:$A,Locales!$B:$B,""),"")</f>
        <v/>
      </c>
    </row>
    <row r="1528" spans="3:3" x14ac:dyDescent="0.2">
      <c r="C1528" t="str" cm="1">
        <f t="array" ref="C1528">IFERROR(_xlfn.XLOOKUP(B1528,Locales!$A:$A,Locales!$B:$B,""),"")</f>
        <v/>
      </c>
    </row>
    <row r="1529" spans="3:3" x14ac:dyDescent="0.2">
      <c r="C1529" t="str" cm="1">
        <f t="array" ref="C1529">IFERROR(_xlfn.XLOOKUP(B1529,Locales!$A:$A,Locales!$B:$B,""),"")</f>
        <v/>
      </c>
    </row>
    <row r="1530" spans="3:3" x14ac:dyDescent="0.2">
      <c r="C1530" t="str" cm="1">
        <f t="array" ref="C1530">IFERROR(_xlfn.XLOOKUP(B1530,Locales!$A:$A,Locales!$B:$B,""),"")</f>
        <v/>
      </c>
    </row>
    <row r="1531" spans="3:3" x14ac:dyDescent="0.2">
      <c r="C1531" t="str" cm="1">
        <f t="array" ref="C1531">IFERROR(_xlfn.XLOOKUP(B1531,Locales!$A:$A,Locales!$B:$B,""),"")</f>
        <v/>
      </c>
    </row>
    <row r="1532" spans="3:3" x14ac:dyDescent="0.2">
      <c r="C1532" t="str" cm="1">
        <f t="array" ref="C1532">IFERROR(_xlfn.XLOOKUP(B1532,Locales!$A:$A,Locales!$B:$B,""),"")</f>
        <v/>
      </c>
    </row>
    <row r="1533" spans="3:3" x14ac:dyDescent="0.2">
      <c r="C1533" t="str" cm="1">
        <f t="array" ref="C1533">IFERROR(_xlfn.XLOOKUP(B1533,Locales!$A:$A,Locales!$B:$B,""),"")</f>
        <v/>
      </c>
    </row>
    <row r="1534" spans="3:3" x14ac:dyDescent="0.2">
      <c r="C1534" t="str" cm="1">
        <f t="array" ref="C1534">IFERROR(_xlfn.XLOOKUP(B1534,Locales!$A:$A,Locales!$B:$B,""),"")</f>
        <v/>
      </c>
    </row>
    <row r="1535" spans="3:3" x14ac:dyDescent="0.2">
      <c r="C1535" t="str" cm="1">
        <f t="array" ref="C1535">IFERROR(_xlfn.XLOOKUP(B1535,Locales!$A:$A,Locales!$B:$B,""),"")</f>
        <v/>
      </c>
    </row>
    <row r="1536" spans="3:3" x14ac:dyDescent="0.2">
      <c r="C1536" t="str" cm="1">
        <f t="array" ref="C1536">IFERROR(_xlfn.XLOOKUP(B1536,Locales!$A:$A,Locales!$B:$B,""),"")</f>
        <v/>
      </c>
    </row>
    <row r="1537" spans="3:3" x14ac:dyDescent="0.2">
      <c r="C1537" t="str" cm="1">
        <f t="array" ref="C1537">IFERROR(_xlfn.XLOOKUP(B1537,Locales!$A:$A,Locales!$B:$B,""),"")</f>
        <v/>
      </c>
    </row>
    <row r="1538" spans="3:3" x14ac:dyDescent="0.2">
      <c r="C1538" t="str" cm="1">
        <f t="array" ref="C1538">IFERROR(_xlfn.XLOOKUP(B1538,Locales!$A:$A,Locales!$B:$B,""),"")</f>
        <v/>
      </c>
    </row>
    <row r="1539" spans="3:3" x14ac:dyDescent="0.2">
      <c r="C1539" t="str" cm="1">
        <f t="array" ref="C1539">IFERROR(_xlfn.XLOOKUP(B1539,Locales!$A:$A,Locales!$B:$B,""),"")</f>
        <v/>
      </c>
    </row>
    <row r="1540" spans="3:3" x14ac:dyDescent="0.2">
      <c r="C1540" t="str" cm="1">
        <f t="array" ref="C1540">IFERROR(_xlfn.XLOOKUP(B1540,Locales!$A:$A,Locales!$B:$B,""),"")</f>
        <v/>
      </c>
    </row>
    <row r="1541" spans="3:3" x14ac:dyDescent="0.2">
      <c r="C1541" t="str" cm="1">
        <f t="array" ref="C1541">IFERROR(_xlfn.XLOOKUP(B1541,Locales!$A:$A,Locales!$B:$B,""),"")</f>
        <v/>
      </c>
    </row>
    <row r="1542" spans="3:3" x14ac:dyDescent="0.2">
      <c r="C1542" t="str" cm="1">
        <f t="array" ref="C1542">IFERROR(_xlfn.XLOOKUP(B1542,Locales!$A:$A,Locales!$B:$B,""),"")</f>
        <v/>
      </c>
    </row>
    <row r="1543" spans="3:3" x14ac:dyDescent="0.2">
      <c r="C1543" t="str" cm="1">
        <f t="array" ref="C1543">IFERROR(_xlfn.XLOOKUP(B1543,Locales!$A:$A,Locales!$B:$B,""),"")</f>
        <v/>
      </c>
    </row>
    <row r="1544" spans="3:3" x14ac:dyDescent="0.2">
      <c r="C1544" t="str" cm="1">
        <f t="array" ref="C1544">IFERROR(_xlfn.XLOOKUP(B1544,Locales!$A:$A,Locales!$B:$B,""),"")</f>
        <v/>
      </c>
    </row>
    <row r="1545" spans="3:3" x14ac:dyDescent="0.2">
      <c r="C1545" t="str" cm="1">
        <f t="array" ref="C1545">IFERROR(_xlfn.XLOOKUP(B1545,Locales!$A:$A,Locales!$B:$B,""),"")</f>
        <v/>
      </c>
    </row>
    <row r="1546" spans="3:3" x14ac:dyDescent="0.2">
      <c r="C1546" t="str" cm="1">
        <f t="array" ref="C1546">IFERROR(_xlfn.XLOOKUP(B1546,Locales!$A:$A,Locales!$B:$B,""),"")</f>
        <v/>
      </c>
    </row>
    <row r="1547" spans="3:3" x14ac:dyDescent="0.2">
      <c r="C1547" t="str" cm="1">
        <f t="array" ref="C1547">IFERROR(_xlfn.XLOOKUP(B1547,Locales!$A:$A,Locales!$B:$B,""),"")</f>
        <v/>
      </c>
    </row>
    <row r="1548" spans="3:3" x14ac:dyDescent="0.2">
      <c r="C1548" t="str" cm="1">
        <f t="array" ref="C1548">IFERROR(_xlfn.XLOOKUP(B1548,Locales!$A:$A,Locales!$B:$B,""),"")</f>
        <v/>
      </c>
    </row>
    <row r="1549" spans="3:3" x14ac:dyDescent="0.2">
      <c r="C1549" t="str" cm="1">
        <f t="array" ref="C1549">IFERROR(_xlfn.XLOOKUP(B1549,Locales!$A:$A,Locales!$B:$B,""),"")</f>
        <v/>
      </c>
    </row>
    <row r="1550" spans="3:3" x14ac:dyDescent="0.2">
      <c r="C1550" t="str" cm="1">
        <f t="array" ref="C1550">IFERROR(_xlfn.XLOOKUP(B1550,Locales!$A:$A,Locales!$B:$B,""),"")</f>
        <v/>
      </c>
    </row>
    <row r="1551" spans="3:3" x14ac:dyDescent="0.2">
      <c r="C1551" t="str" cm="1">
        <f t="array" ref="C1551">IFERROR(_xlfn.XLOOKUP(B1551,Locales!$A:$A,Locales!$B:$B,""),"")</f>
        <v/>
      </c>
    </row>
    <row r="1552" spans="3:3" x14ac:dyDescent="0.2">
      <c r="C1552" t="str" cm="1">
        <f t="array" ref="C1552">IFERROR(_xlfn.XLOOKUP(B1552,Locales!$A:$A,Locales!$B:$B,""),"")</f>
        <v/>
      </c>
    </row>
    <row r="1553" spans="3:3" x14ac:dyDescent="0.2">
      <c r="C1553" t="str" cm="1">
        <f t="array" ref="C1553">IFERROR(_xlfn.XLOOKUP(B1553,Locales!$A:$A,Locales!$B:$B,""),"")</f>
        <v/>
      </c>
    </row>
    <row r="1554" spans="3:3" x14ac:dyDescent="0.2">
      <c r="C1554" t="str" cm="1">
        <f t="array" ref="C1554">IFERROR(_xlfn.XLOOKUP(B1554,Locales!$A:$A,Locales!$B:$B,""),"")</f>
        <v/>
      </c>
    </row>
    <row r="1555" spans="3:3" x14ac:dyDescent="0.2">
      <c r="C1555" t="str" cm="1">
        <f t="array" ref="C1555">IFERROR(_xlfn.XLOOKUP(B1555,Locales!$A:$A,Locales!$B:$B,""),"")</f>
        <v/>
      </c>
    </row>
    <row r="1556" spans="3:3" x14ac:dyDescent="0.2">
      <c r="C1556" t="str" cm="1">
        <f t="array" ref="C1556">IFERROR(_xlfn.XLOOKUP(B1556,Locales!$A:$A,Locales!$B:$B,""),"")</f>
        <v/>
      </c>
    </row>
    <row r="1557" spans="3:3" x14ac:dyDescent="0.2">
      <c r="C1557" cm="1">
        <f t="array" ref="C1557">IFERROR(_xlfn.XLOOKUP(B1557,Locales!$A:$A,Locales!$B:$B,""),"")</f>
        <v>0</v>
      </c>
    </row>
    <row r="1558" spans="3:3" x14ac:dyDescent="0.2">
      <c r="C1558" t="str" cm="1">
        <f t="array" ref="C1558">IFERROR(_xlfn.XLOOKUP(B1558,Locales!$A:$A,Locales!$B:$B,""),"")</f>
        <v/>
      </c>
    </row>
    <row r="1559" spans="3:3" x14ac:dyDescent="0.2">
      <c r="C1559" t="str" cm="1">
        <f t="array" ref="C1559">IFERROR(_xlfn.XLOOKUP(B1559,Locales!$A:$A,Locales!$B:$B,""),"")</f>
        <v/>
      </c>
    </row>
    <row r="1560" spans="3:3" x14ac:dyDescent="0.2">
      <c r="C1560" t="str" cm="1">
        <f t="array" ref="C1560">IFERROR(_xlfn.XLOOKUP(B1560,Locales!$A:$A,Locales!$B:$B,""),"")</f>
        <v/>
      </c>
    </row>
    <row r="1561" spans="3:3" x14ac:dyDescent="0.2">
      <c r="C1561" t="str" cm="1">
        <f t="array" ref="C1561">IFERROR(_xlfn.XLOOKUP(B1561,Locales!$A:$A,Locales!$B:$B,""),"")</f>
        <v/>
      </c>
    </row>
    <row r="1562" spans="3:3" x14ac:dyDescent="0.2">
      <c r="C1562" t="str" cm="1">
        <f t="array" ref="C1562">IFERROR(_xlfn.XLOOKUP(B1562,Locales!$A:$A,Locales!$B:$B,""),"")</f>
        <v/>
      </c>
    </row>
    <row r="1563" spans="3:3" x14ac:dyDescent="0.2">
      <c r="C1563" t="str" cm="1">
        <f t="array" ref="C1563">IFERROR(_xlfn.XLOOKUP(B1563,Locales!$A:$A,Locales!$B:$B,""),"")</f>
        <v/>
      </c>
    </row>
    <row r="1564" spans="3:3" x14ac:dyDescent="0.2">
      <c r="C1564" t="str" cm="1">
        <f t="array" ref="C1564">IFERROR(_xlfn.XLOOKUP(B1564,Locales!$A:$A,Locales!$B:$B,""),"")</f>
        <v/>
      </c>
    </row>
    <row r="1565" spans="3:3" x14ac:dyDescent="0.2">
      <c r="C1565" t="str" cm="1">
        <f t="array" ref="C1565">IFERROR(_xlfn.XLOOKUP(B1565,Locales!$A:$A,Locales!$B:$B,""),"")</f>
        <v/>
      </c>
    </row>
    <row r="1566" spans="3:3" x14ac:dyDescent="0.2">
      <c r="C1566" t="str" cm="1">
        <f t="array" ref="C1566">IFERROR(_xlfn.XLOOKUP(B1566,Locales!$A:$A,Locales!$B:$B,""),"")</f>
        <v/>
      </c>
    </row>
    <row r="1567" spans="3:3" x14ac:dyDescent="0.2">
      <c r="C1567" t="str" cm="1">
        <f t="array" ref="C1567">IFERROR(_xlfn.XLOOKUP(B1567,Locales!$A:$A,Locales!$B:$B,""),"")</f>
        <v/>
      </c>
    </row>
    <row r="1568" spans="3:3" x14ac:dyDescent="0.2">
      <c r="C1568" t="str" cm="1">
        <f t="array" ref="C1568">IFERROR(_xlfn.XLOOKUP(B1568,Locales!$A:$A,Locales!$B:$B,""),"")</f>
        <v/>
      </c>
    </row>
    <row r="1569" spans="3:3" x14ac:dyDescent="0.2">
      <c r="C1569" t="str" cm="1">
        <f t="array" ref="C1569">IFERROR(_xlfn.XLOOKUP(B1569,Locales!$A:$A,Locales!$B:$B,""),"")</f>
        <v/>
      </c>
    </row>
    <row r="1570" spans="3:3" x14ac:dyDescent="0.2">
      <c r="C1570" t="str" cm="1">
        <f t="array" ref="C1570">IFERROR(_xlfn.XLOOKUP(B1570,Locales!$A:$A,Locales!$B:$B,""),"")</f>
        <v/>
      </c>
    </row>
    <row r="1571" spans="3:3" x14ac:dyDescent="0.2">
      <c r="C1571" t="str" cm="1">
        <f t="array" ref="C1571">IFERROR(_xlfn.XLOOKUP(B1571,Locales!$A:$A,Locales!$B:$B,""),"")</f>
        <v/>
      </c>
    </row>
    <row r="1572" spans="3:3" x14ac:dyDescent="0.2">
      <c r="C1572" t="str" cm="1">
        <f t="array" ref="C1572">IFERROR(_xlfn.XLOOKUP(B1572,Locales!$A:$A,Locales!$B:$B,""),"")</f>
        <v/>
      </c>
    </row>
    <row r="1573" spans="3:3" x14ac:dyDescent="0.2">
      <c r="C1573" t="str" cm="1">
        <f t="array" ref="C1573">IFERROR(_xlfn.XLOOKUP(B1573,Locales!$A:$A,Locales!$B:$B,""),"")</f>
        <v/>
      </c>
    </row>
    <row r="1574" spans="3:3" x14ac:dyDescent="0.2">
      <c r="C1574" t="str" cm="1">
        <f t="array" ref="C1574">IFERROR(_xlfn.XLOOKUP(B1574,Locales!$A:$A,Locales!$B:$B,""),"")</f>
        <v/>
      </c>
    </row>
    <row r="1575" spans="3:3" x14ac:dyDescent="0.2">
      <c r="C1575" t="str" cm="1">
        <f t="array" ref="C1575">IFERROR(_xlfn.XLOOKUP(B1575,Locales!$A:$A,Locales!$B:$B,""),"")</f>
        <v/>
      </c>
    </row>
    <row r="1576" spans="3:3" x14ac:dyDescent="0.2">
      <c r="C1576" t="str" cm="1">
        <f t="array" ref="C1576">IFERROR(_xlfn.XLOOKUP(B1576,Locales!$A:$A,Locales!$B:$B,""),"")</f>
        <v/>
      </c>
    </row>
    <row r="1577" spans="3:3" x14ac:dyDescent="0.2">
      <c r="C1577" t="str" cm="1">
        <f t="array" ref="C1577">IFERROR(_xlfn.XLOOKUP(B1577,Locales!$A:$A,Locales!$B:$B,""),"")</f>
        <v/>
      </c>
    </row>
    <row r="1578" spans="3:3" x14ac:dyDescent="0.2">
      <c r="C1578" t="str" cm="1">
        <f t="array" ref="C1578">IFERROR(_xlfn.XLOOKUP(B1578,Locales!$A:$A,Locales!$B:$B,""),"")</f>
        <v/>
      </c>
    </row>
    <row r="1579" spans="3:3" x14ac:dyDescent="0.2">
      <c r="C1579" t="str" cm="1">
        <f t="array" ref="C1579">IFERROR(_xlfn.XLOOKUP(B1579,Locales!$A:$A,Locales!$B:$B,""),"")</f>
        <v/>
      </c>
    </row>
    <row r="1580" spans="3:3" x14ac:dyDescent="0.2">
      <c r="C1580" t="str" cm="1">
        <f t="array" ref="C1580">IFERROR(_xlfn.XLOOKUP(B1580,Locales!$A:$A,Locales!$B:$B,""),"")</f>
        <v/>
      </c>
    </row>
    <row r="1581" spans="3:3" x14ac:dyDescent="0.2">
      <c r="C1581" t="str" cm="1">
        <f t="array" ref="C1581">IFERROR(_xlfn.XLOOKUP(B1581,Locales!$A:$A,Locales!$B:$B,""),"")</f>
        <v/>
      </c>
    </row>
    <row r="1582" spans="3:3" x14ac:dyDescent="0.2">
      <c r="C1582" t="str" cm="1">
        <f t="array" ref="C1582">IFERROR(_xlfn.XLOOKUP(B1582,Locales!$A:$A,Locales!$B:$B,""),"")</f>
        <v/>
      </c>
    </row>
    <row r="1583" spans="3:3" x14ac:dyDescent="0.2">
      <c r="C1583" t="str" cm="1">
        <f t="array" ref="C1583">IFERROR(_xlfn.XLOOKUP(B1583,Locales!$A:$A,Locales!$B:$B,""),"")</f>
        <v/>
      </c>
    </row>
    <row r="1584" spans="3:3" x14ac:dyDescent="0.2">
      <c r="C1584" t="str" cm="1">
        <f t="array" ref="C1584">IFERROR(_xlfn.XLOOKUP(B1584,Locales!$A:$A,Locales!$B:$B,""),"")</f>
        <v/>
      </c>
    </row>
    <row r="1585" spans="3:3" x14ac:dyDescent="0.2">
      <c r="C1585" t="str" cm="1">
        <f t="array" ref="C1585">IFERROR(_xlfn.XLOOKUP(B1585,Locales!$A:$A,Locales!$B:$B,""),"")</f>
        <v/>
      </c>
    </row>
    <row r="1586" spans="3:3" x14ac:dyDescent="0.2">
      <c r="C1586" t="str" cm="1">
        <f t="array" ref="C1586">IFERROR(_xlfn.XLOOKUP(B1586,Locales!$A:$A,Locales!$B:$B,""),"")</f>
        <v/>
      </c>
    </row>
    <row r="1587" spans="3:3" x14ac:dyDescent="0.2">
      <c r="C1587" t="str" cm="1">
        <f t="array" ref="C1587">IFERROR(_xlfn.XLOOKUP(B1587,Locales!$A:$A,Locales!$B:$B,""),"")</f>
        <v/>
      </c>
    </row>
    <row r="1588" spans="3:3" x14ac:dyDescent="0.2">
      <c r="C1588" t="str" cm="1">
        <f t="array" ref="C1588">IFERROR(_xlfn.XLOOKUP(B1588,Locales!$A:$A,Locales!$B:$B,""),"")</f>
        <v/>
      </c>
    </row>
    <row r="1589" spans="3:3" x14ac:dyDescent="0.2">
      <c r="C1589" cm="1">
        <f t="array" ref="C1589">IFERROR(_xlfn.XLOOKUP(B1589,Locales!$A:$A,Locales!$B:$B,""),"")</f>
        <v>0</v>
      </c>
    </row>
    <row r="1590" spans="3:3" x14ac:dyDescent="0.2">
      <c r="C1590" t="str" cm="1">
        <f t="array" ref="C1590">IFERROR(_xlfn.XLOOKUP(B1590,Locales!$A:$A,Locales!$B:$B,""),"")</f>
        <v/>
      </c>
    </row>
    <row r="1591" spans="3:3" x14ac:dyDescent="0.2">
      <c r="C1591" t="str" cm="1">
        <f t="array" ref="C1591">IFERROR(_xlfn.XLOOKUP(B1591,Locales!$A:$A,Locales!$B:$B,""),"")</f>
        <v/>
      </c>
    </row>
    <row r="1592" spans="3:3" x14ac:dyDescent="0.2">
      <c r="C1592" t="str" cm="1">
        <f t="array" ref="C1592">IFERROR(_xlfn.XLOOKUP(B1592,Locales!$A:$A,Locales!$B:$B,""),"")</f>
        <v/>
      </c>
    </row>
    <row r="1593" spans="3:3" x14ac:dyDescent="0.2">
      <c r="C1593" t="str" cm="1">
        <f t="array" ref="C1593">IFERROR(_xlfn.XLOOKUP(B1593,Locales!$A:$A,Locales!$B:$B,""),"")</f>
        <v/>
      </c>
    </row>
    <row r="1594" spans="3:3" x14ac:dyDescent="0.2">
      <c r="C1594" t="str" cm="1">
        <f t="array" ref="C1594">IFERROR(_xlfn.XLOOKUP(B1594,Locales!$A:$A,Locales!$B:$B,""),"")</f>
        <v/>
      </c>
    </row>
    <row r="1595" spans="3:3" x14ac:dyDescent="0.2">
      <c r="C1595" t="str" cm="1">
        <f t="array" ref="C1595">IFERROR(_xlfn.XLOOKUP(B1595,Locales!$A:$A,Locales!$B:$B,""),"")</f>
        <v/>
      </c>
    </row>
    <row r="1596" spans="3:3" x14ac:dyDescent="0.2">
      <c r="C1596" t="str" cm="1">
        <f t="array" ref="C1596">IFERROR(_xlfn.XLOOKUP(B1596,Locales!$A:$A,Locales!$B:$B,""),"")</f>
        <v/>
      </c>
    </row>
    <row r="1597" spans="3:3" x14ac:dyDescent="0.2">
      <c r="C1597" t="str" cm="1">
        <f t="array" ref="C1597">IFERROR(_xlfn.XLOOKUP(B1597,Locales!$A:$A,Locales!$B:$B,""),"")</f>
        <v/>
      </c>
    </row>
    <row r="1598" spans="3:3" x14ac:dyDescent="0.2">
      <c r="C1598" t="str" cm="1">
        <f t="array" ref="C1598">IFERROR(_xlfn.XLOOKUP(B1598,Locales!$A:$A,Locales!$B:$B,""),"")</f>
        <v/>
      </c>
    </row>
    <row r="1599" spans="3:3" x14ac:dyDescent="0.2">
      <c r="C1599" t="str" cm="1">
        <f t="array" ref="C1599">IFERROR(_xlfn.XLOOKUP(B1599,Locales!$A:$A,Locales!$B:$B,""),"")</f>
        <v/>
      </c>
    </row>
    <row r="1600" spans="3:3" x14ac:dyDescent="0.2">
      <c r="C1600" t="str" cm="1">
        <f t="array" ref="C1600">IFERROR(_xlfn.XLOOKUP(B1600,Locales!$A:$A,Locales!$B:$B,""),"")</f>
        <v/>
      </c>
    </row>
    <row r="1601" spans="3:3" x14ac:dyDescent="0.2">
      <c r="C1601" t="str" cm="1">
        <f t="array" ref="C1601">IFERROR(_xlfn.XLOOKUP(B1601,Locales!$A:$A,Locales!$B:$B,""),"")</f>
        <v/>
      </c>
    </row>
    <row r="1602" spans="3:3" x14ac:dyDescent="0.2">
      <c r="C1602" t="str" cm="1">
        <f t="array" ref="C1602">IFERROR(_xlfn.XLOOKUP(B1602,Locales!$A:$A,Locales!$B:$B,""),"")</f>
        <v/>
      </c>
    </row>
    <row r="1603" spans="3:3" x14ac:dyDescent="0.2">
      <c r="C1603" t="str" cm="1">
        <f t="array" ref="C1603">IFERROR(_xlfn.XLOOKUP(B1603,Locales!$A:$A,Locales!$B:$B,""),"")</f>
        <v/>
      </c>
    </row>
    <row r="1604" spans="3:3" x14ac:dyDescent="0.2">
      <c r="C1604" t="str" cm="1">
        <f t="array" ref="C1604">IFERROR(_xlfn.XLOOKUP(B1604,Locales!$A:$A,Locales!$B:$B,""),"")</f>
        <v/>
      </c>
    </row>
    <row r="1605" spans="3:3" x14ac:dyDescent="0.2">
      <c r="C1605" t="str" cm="1">
        <f t="array" ref="C1605">IFERROR(_xlfn.XLOOKUP(B1605,Locales!$A:$A,Locales!$B:$B,""),"")</f>
        <v/>
      </c>
    </row>
    <row r="1606" spans="3:3" x14ac:dyDescent="0.2">
      <c r="C1606" t="str" cm="1">
        <f t="array" ref="C1606">IFERROR(_xlfn.XLOOKUP(B1606,Locales!$A:$A,Locales!$B:$B,""),"")</f>
        <v/>
      </c>
    </row>
    <row r="1607" spans="3:3" x14ac:dyDescent="0.2">
      <c r="C1607" t="str" cm="1">
        <f t="array" ref="C1607">IFERROR(_xlfn.XLOOKUP(B1607,Locales!$A:$A,Locales!$B:$B,""),"")</f>
        <v/>
      </c>
    </row>
    <row r="1608" spans="3:3" x14ac:dyDescent="0.2">
      <c r="C1608" t="str" cm="1">
        <f t="array" ref="C1608">IFERROR(_xlfn.XLOOKUP(B1608,Locales!$A:$A,Locales!$B:$B,""),"")</f>
        <v/>
      </c>
    </row>
    <row r="1609" spans="3:3" x14ac:dyDescent="0.2">
      <c r="C1609" t="str" cm="1">
        <f t="array" ref="C1609">IFERROR(_xlfn.XLOOKUP(B1609,Locales!$A:$A,Locales!$B:$B,""),"")</f>
        <v/>
      </c>
    </row>
    <row r="1610" spans="3:3" x14ac:dyDescent="0.2">
      <c r="C1610" t="str" cm="1">
        <f t="array" ref="C1610">IFERROR(_xlfn.XLOOKUP(B1610,Locales!$A:$A,Locales!$B:$B,""),"")</f>
        <v/>
      </c>
    </row>
    <row r="1611" spans="3:3" x14ac:dyDescent="0.2">
      <c r="C1611" t="str" cm="1">
        <f t="array" ref="C1611">IFERROR(_xlfn.XLOOKUP(B1611,Locales!$A:$A,Locales!$B:$B,""),"")</f>
        <v/>
      </c>
    </row>
    <row r="1612" spans="3:3" x14ac:dyDescent="0.2">
      <c r="C1612" t="str" cm="1">
        <f t="array" ref="C1612">IFERROR(_xlfn.XLOOKUP(B1612,Locales!$A:$A,Locales!$B:$B,""),"")</f>
        <v/>
      </c>
    </row>
    <row r="1613" spans="3:3" x14ac:dyDescent="0.2">
      <c r="C1613" t="str" cm="1">
        <f t="array" ref="C1613">IFERROR(_xlfn.XLOOKUP(B1613,Locales!$A:$A,Locales!$B:$B,""),"")</f>
        <v/>
      </c>
    </row>
    <row r="1614" spans="3:3" x14ac:dyDescent="0.2">
      <c r="C1614" t="str" cm="1">
        <f t="array" ref="C1614">IFERROR(_xlfn.XLOOKUP(B1614,Locales!$A:$A,Locales!$B:$B,""),"")</f>
        <v/>
      </c>
    </row>
    <row r="1615" spans="3:3" x14ac:dyDescent="0.2">
      <c r="C1615" t="str" cm="1">
        <f t="array" ref="C1615">IFERROR(_xlfn.XLOOKUP(B1615,Locales!$A:$A,Locales!$B:$B,""),"")</f>
        <v/>
      </c>
    </row>
    <row r="1616" spans="3:3" x14ac:dyDescent="0.2">
      <c r="C1616" t="str" cm="1">
        <f t="array" ref="C1616">IFERROR(_xlfn.XLOOKUP(B1616,Locales!$A:$A,Locales!$B:$B,""),"")</f>
        <v/>
      </c>
    </row>
    <row r="1617" spans="3:3" x14ac:dyDescent="0.2">
      <c r="C1617" t="str" cm="1">
        <f t="array" ref="C1617">IFERROR(_xlfn.XLOOKUP(B1617,Locales!$A:$A,Locales!$B:$B,""),"")</f>
        <v/>
      </c>
    </row>
    <row r="1618" spans="3:3" x14ac:dyDescent="0.2">
      <c r="C1618" t="str" cm="1">
        <f t="array" ref="C1618">IFERROR(_xlfn.XLOOKUP(B1618,Locales!$A:$A,Locales!$B:$B,""),"")</f>
        <v/>
      </c>
    </row>
    <row r="1619" spans="3:3" x14ac:dyDescent="0.2">
      <c r="C1619" t="str" cm="1">
        <f t="array" ref="C1619">IFERROR(_xlfn.XLOOKUP(B1619,Locales!$A:$A,Locales!$B:$B,""),"")</f>
        <v/>
      </c>
    </row>
    <row r="1620" spans="3:3" x14ac:dyDescent="0.2">
      <c r="C1620" t="str" cm="1">
        <f t="array" ref="C1620">IFERROR(_xlfn.XLOOKUP(B1620,Locales!$A:$A,Locales!$B:$B,""),"")</f>
        <v/>
      </c>
    </row>
    <row r="1621" spans="3:3" x14ac:dyDescent="0.2">
      <c r="C1621" t="str" cm="1">
        <f t="array" ref="C1621">IFERROR(_xlfn.XLOOKUP(B1621,Locales!$A:$A,Locales!$B:$B,""),"")</f>
        <v/>
      </c>
    </row>
    <row r="1622" spans="3:3" x14ac:dyDescent="0.2">
      <c r="C1622" t="str" cm="1">
        <f t="array" ref="C1622">IFERROR(_xlfn.XLOOKUP(B1622,Locales!$A:$A,Locales!$B:$B,""),"")</f>
        <v/>
      </c>
    </row>
    <row r="1623" spans="3:3" x14ac:dyDescent="0.2">
      <c r="C1623" t="str" cm="1">
        <f t="array" ref="C1623">IFERROR(_xlfn.XLOOKUP(B1623,Locales!$A:$A,Locales!$B:$B,""),"")</f>
        <v/>
      </c>
    </row>
    <row r="1624" spans="3:3" x14ac:dyDescent="0.2">
      <c r="C1624" t="str" cm="1">
        <f t="array" ref="C1624">IFERROR(_xlfn.XLOOKUP(B1624,Locales!$A:$A,Locales!$B:$B,""),"")</f>
        <v/>
      </c>
    </row>
    <row r="1625" spans="3:3" x14ac:dyDescent="0.2">
      <c r="C1625" t="str" cm="1">
        <f t="array" ref="C1625">IFERROR(_xlfn.XLOOKUP(B1625,Locales!$A:$A,Locales!$B:$B,""),"")</f>
        <v/>
      </c>
    </row>
    <row r="1626" spans="3:3" x14ac:dyDescent="0.2">
      <c r="C1626" t="str" cm="1">
        <f t="array" ref="C1626">IFERROR(_xlfn.XLOOKUP(B1626,Locales!$A:$A,Locales!$B:$B,""),"")</f>
        <v/>
      </c>
    </row>
    <row r="1627" spans="3:3" x14ac:dyDescent="0.2">
      <c r="C1627" t="str" cm="1">
        <f t="array" ref="C1627">IFERROR(_xlfn.XLOOKUP(B1627,Locales!$A:$A,Locales!$B:$B,""),"")</f>
        <v/>
      </c>
    </row>
    <row r="1628" spans="3:3" x14ac:dyDescent="0.2">
      <c r="C1628" t="str" cm="1">
        <f t="array" ref="C1628">IFERROR(_xlfn.XLOOKUP(B1628,Locales!$A:$A,Locales!$B:$B,""),"")</f>
        <v/>
      </c>
    </row>
    <row r="1629" spans="3:3" x14ac:dyDescent="0.2">
      <c r="C1629" t="str" cm="1">
        <f t="array" ref="C1629">IFERROR(_xlfn.XLOOKUP(B1629,Locales!$A:$A,Locales!$B:$B,""),"")</f>
        <v/>
      </c>
    </row>
    <row r="1630" spans="3:3" x14ac:dyDescent="0.2">
      <c r="C1630" t="str" cm="1">
        <f t="array" ref="C1630">IFERROR(_xlfn.XLOOKUP(B1630,Locales!$A:$A,Locales!$B:$B,""),"")</f>
        <v/>
      </c>
    </row>
    <row r="1631" spans="3:3" x14ac:dyDescent="0.2">
      <c r="C1631" t="str" cm="1">
        <f t="array" ref="C1631">IFERROR(_xlfn.XLOOKUP(B1631,Locales!$A:$A,Locales!$B:$B,""),"")</f>
        <v/>
      </c>
    </row>
    <row r="1632" spans="3:3" x14ac:dyDescent="0.2">
      <c r="C1632" t="str" cm="1">
        <f t="array" ref="C1632">IFERROR(_xlfn.XLOOKUP(B1632,Locales!$A:$A,Locales!$B:$B,""),"")</f>
        <v/>
      </c>
    </row>
    <row r="1633" spans="3:3" x14ac:dyDescent="0.2">
      <c r="C1633" t="str" cm="1">
        <f t="array" ref="C1633">IFERROR(_xlfn.XLOOKUP(B1633,Locales!$A:$A,Locales!$B:$B,""),"")</f>
        <v/>
      </c>
    </row>
    <row r="1634" spans="3:3" x14ac:dyDescent="0.2">
      <c r="C1634" t="str" cm="1">
        <f t="array" ref="C1634">IFERROR(_xlfn.XLOOKUP(B1634,Locales!$A:$A,Locales!$B:$B,""),"")</f>
        <v/>
      </c>
    </row>
    <row r="1635" spans="3:3" x14ac:dyDescent="0.2">
      <c r="C1635" t="str" cm="1">
        <f t="array" ref="C1635">IFERROR(_xlfn.XLOOKUP(B1635,Locales!$A:$A,Locales!$B:$B,""),"")</f>
        <v/>
      </c>
    </row>
    <row r="1636" spans="3:3" x14ac:dyDescent="0.2">
      <c r="C1636" t="str" cm="1">
        <f t="array" ref="C1636">IFERROR(_xlfn.XLOOKUP(B1636,Locales!$A:$A,Locales!$B:$B,""),"")</f>
        <v/>
      </c>
    </row>
    <row r="1637" spans="3:3" x14ac:dyDescent="0.2">
      <c r="C1637" cm="1">
        <f t="array" ref="C1637">IFERROR(_xlfn.XLOOKUP(B1637,Locales!$A:$A,Locales!$B:$B,""),"")</f>
        <v>0</v>
      </c>
    </row>
    <row r="1638" spans="3:3" x14ac:dyDescent="0.2">
      <c r="C1638" t="str" cm="1">
        <f t="array" ref="C1638">IFERROR(_xlfn.XLOOKUP(B1638,Locales!$A:$A,Locales!$B:$B,""),"")</f>
        <v/>
      </c>
    </row>
    <row r="1639" spans="3:3" x14ac:dyDescent="0.2">
      <c r="C1639" t="str" cm="1">
        <f t="array" ref="C1639">IFERROR(_xlfn.XLOOKUP(B1639,Locales!$A:$A,Locales!$B:$B,""),"")</f>
        <v/>
      </c>
    </row>
    <row r="1640" spans="3:3" x14ac:dyDescent="0.2">
      <c r="C1640" t="str" cm="1">
        <f t="array" ref="C1640">IFERROR(_xlfn.XLOOKUP(B1640,Locales!$A:$A,Locales!$B:$B,""),"")</f>
        <v/>
      </c>
    </row>
    <row r="1641" spans="3:3" x14ac:dyDescent="0.2">
      <c r="C1641" t="str" cm="1">
        <f t="array" ref="C1641">IFERROR(_xlfn.XLOOKUP(B1641,Locales!$A:$A,Locales!$B:$B,""),"")</f>
        <v/>
      </c>
    </row>
    <row r="1642" spans="3:3" x14ac:dyDescent="0.2">
      <c r="C1642" t="str" cm="1">
        <f t="array" ref="C1642">IFERROR(_xlfn.XLOOKUP(B1642,Locales!$A:$A,Locales!$B:$B,""),"")</f>
        <v/>
      </c>
    </row>
    <row r="1643" spans="3:3" x14ac:dyDescent="0.2">
      <c r="C1643" t="str" cm="1">
        <f t="array" ref="C1643">IFERROR(_xlfn.XLOOKUP(B1643,Locales!$A:$A,Locales!$B:$B,""),"")</f>
        <v/>
      </c>
    </row>
    <row r="1644" spans="3:3" x14ac:dyDescent="0.2">
      <c r="C1644" t="str" cm="1">
        <f t="array" ref="C1644">IFERROR(_xlfn.XLOOKUP(B1644,Locales!$A:$A,Locales!$B:$B,""),"")</f>
        <v/>
      </c>
    </row>
    <row r="1645" spans="3:3" x14ac:dyDescent="0.2">
      <c r="C1645" t="str" cm="1">
        <f t="array" ref="C1645">IFERROR(_xlfn.XLOOKUP(B1645,Locales!$A:$A,Locales!$B:$B,""),"")</f>
        <v/>
      </c>
    </row>
    <row r="1646" spans="3:3" x14ac:dyDescent="0.2">
      <c r="C1646" t="str" cm="1">
        <f t="array" ref="C1646">IFERROR(_xlfn.XLOOKUP(B1646,Locales!$A:$A,Locales!$B:$B,""),"")</f>
        <v/>
      </c>
    </row>
    <row r="1647" spans="3:3" x14ac:dyDescent="0.2">
      <c r="C1647" t="str" cm="1">
        <f t="array" ref="C1647">IFERROR(_xlfn.XLOOKUP(B1647,Locales!$A:$A,Locales!$B:$B,""),"")</f>
        <v/>
      </c>
    </row>
    <row r="1648" spans="3:3" x14ac:dyDescent="0.2">
      <c r="C1648" t="str" cm="1">
        <f t="array" ref="C1648">IFERROR(_xlfn.XLOOKUP(B1648,Locales!$A:$A,Locales!$B:$B,""),"")</f>
        <v/>
      </c>
    </row>
    <row r="1649" spans="3:3" x14ac:dyDescent="0.2">
      <c r="C1649" t="str" cm="1">
        <f t="array" ref="C1649">IFERROR(_xlfn.XLOOKUP(B1649,Locales!$A:$A,Locales!$B:$B,""),"")</f>
        <v/>
      </c>
    </row>
    <row r="1650" spans="3:3" x14ac:dyDescent="0.2">
      <c r="C1650" t="str" cm="1">
        <f t="array" ref="C1650">IFERROR(_xlfn.XLOOKUP(B1650,Locales!$A:$A,Locales!$B:$B,""),"")</f>
        <v/>
      </c>
    </row>
    <row r="1651" spans="3:3" x14ac:dyDescent="0.2">
      <c r="C1651" t="str" cm="1">
        <f t="array" ref="C1651">IFERROR(_xlfn.XLOOKUP(B1651,Locales!$A:$A,Locales!$B:$B,""),"")</f>
        <v/>
      </c>
    </row>
    <row r="1652" spans="3:3" x14ac:dyDescent="0.2">
      <c r="C1652" t="str" cm="1">
        <f t="array" ref="C1652">IFERROR(_xlfn.XLOOKUP(B1652,Locales!$A:$A,Locales!$B:$B,""),"")</f>
        <v/>
      </c>
    </row>
    <row r="1653" spans="3:3" x14ac:dyDescent="0.2">
      <c r="C1653" t="str" cm="1">
        <f t="array" ref="C1653">IFERROR(_xlfn.XLOOKUP(B1653,Locales!$A:$A,Locales!$B:$B,""),"")</f>
        <v/>
      </c>
    </row>
    <row r="1654" spans="3:3" x14ac:dyDescent="0.2">
      <c r="C1654" t="str" cm="1">
        <f t="array" ref="C1654">IFERROR(_xlfn.XLOOKUP(B1654,Locales!$A:$A,Locales!$B:$B,""),"")</f>
        <v/>
      </c>
    </row>
    <row r="1655" spans="3:3" x14ac:dyDescent="0.2">
      <c r="C1655" t="str" cm="1">
        <f t="array" ref="C1655">IFERROR(_xlfn.XLOOKUP(B1655,Locales!$A:$A,Locales!$B:$B,""),"")</f>
        <v/>
      </c>
    </row>
    <row r="1656" spans="3:3" x14ac:dyDescent="0.2">
      <c r="C1656" t="str" cm="1">
        <f t="array" ref="C1656">IFERROR(_xlfn.XLOOKUP(B1656,Locales!$A:$A,Locales!$B:$B,""),"")</f>
        <v/>
      </c>
    </row>
    <row r="1657" spans="3:3" x14ac:dyDescent="0.2">
      <c r="C1657" t="str" cm="1">
        <f t="array" ref="C1657">IFERROR(_xlfn.XLOOKUP(B1657,Locales!$A:$A,Locales!$B:$B,""),"")</f>
        <v/>
      </c>
    </row>
    <row r="1658" spans="3:3" x14ac:dyDescent="0.2">
      <c r="C1658" t="str" cm="1">
        <f t="array" ref="C1658">IFERROR(_xlfn.XLOOKUP(B1658,Locales!$A:$A,Locales!$B:$B,""),"")</f>
        <v/>
      </c>
    </row>
    <row r="1659" spans="3:3" x14ac:dyDescent="0.2">
      <c r="C1659" t="str" cm="1">
        <f t="array" ref="C1659">IFERROR(_xlfn.XLOOKUP(B1659,Locales!$A:$A,Locales!$B:$B,""),"")</f>
        <v/>
      </c>
    </row>
    <row r="1660" spans="3:3" x14ac:dyDescent="0.2">
      <c r="C1660" t="str" cm="1">
        <f t="array" ref="C1660">IFERROR(_xlfn.XLOOKUP(B1660,Locales!$A:$A,Locales!$B:$B,""),"")</f>
        <v/>
      </c>
    </row>
    <row r="1661" spans="3:3" x14ac:dyDescent="0.2">
      <c r="C1661" t="str" cm="1">
        <f t="array" ref="C1661">IFERROR(_xlfn.XLOOKUP(B1661,Locales!$A:$A,Locales!$B:$B,""),"")</f>
        <v/>
      </c>
    </row>
    <row r="1662" spans="3:3" x14ac:dyDescent="0.2">
      <c r="C1662" t="str" cm="1">
        <f t="array" ref="C1662">IFERROR(_xlfn.XLOOKUP(B1662,Locales!$A:$A,Locales!$B:$B,""),"")</f>
        <v/>
      </c>
    </row>
    <row r="1663" spans="3:3" x14ac:dyDescent="0.2">
      <c r="C1663" t="str" cm="1">
        <f t="array" ref="C1663">IFERROR(_xlfn.XLOOKUP(B1663,Locales!$A:$A,Locales!$B:$B,""),"")</f>
        <v/>
      </c>
    </row>
    <row r="1664" spans="3:3" x14ac:dyDescent="0.2">
      <c r="C1664" t="str" cm="1">
        <f t="array" ref="C1664">IFERROR(_xlfn.XLOOKUP(B1664,Locales!$A:$A,Locales!$B:$B,""),"")</f>
        <v/>
      </c>
    </row>
    <row r="1665" spans="3:3" x14ac:dyDescent="0.2">
      <c r="C1665" t="str" cm="1">
        <f t="array" ref="C1665">IFERROR(_xlfn.XLOOKUP(B1665,Locales!$A:$A,Locales!$B:$B,""),"")</f>
        <v/>
      </c>
    </row>
    <row r="1666" spans="3:3" x14ac:dyDescent="0.2">
      <c r="C1666" t="str" cm="1">
        <f t="array" ref="C1666">IFERROR(_xlfn.XLOOKUP(B1666,Locales!$A:$A,Locales!$B:$B,""),"")</f>
        <v/>
      </c>
    </row>
    <row r="1667" spans="3:3" x14ac:dyDescent="0.2">
      <c r="C1667" t="str" cm="1">
        <f t="array" ref="C1667">IFERROR(_xlfn.XLOOKUP(B1667,Locales!$A:$A,Locales!$B:$B,""),"")</f>
        <v/>
      </c>
    </row>
    <row r="1668" spans="3:3" x14ac:dyDescent="0.2">
      <c r="C1668" t="str" cm="1">
        <f t="array" ref="C1668">IFERROR(_xlfn.XLOOKUP(B1668,Locales!$A:$A,Locales!$B:$B,""),"")</f>
        <v/>
      </c>
    </row>
    <row r="1669" spans="3:3" x14ac:dyDescent="0.2">
      <c r="C1669" cm="1">
        <f t="array" ref="C1669">IFERROR(_xlfn.XLOOKUP(B1669,Locales!$A:$A,Locales!$B:$B,""),"")</f>
        <v>0</v>
      </c>
    </row>
    <row r="1670" spans="3:3" x14ac:dyDescent="0.2">
      <c r="C1670" t="str" cm="1">
        <f t="array" ref="C1670">IFERROR(_xlfn.XLOOKUP(B1670,Locales!$A:$A,Locales!$B:$B,""),"")</f>
        <v/>
      </c>
    </row>
    <row r="1671" spans="3:3" x14ac:dyDescent="0.2">
      <c r="C1671" t="str" cm="1">
        <f t="array" ref="C1671">IFERROR(_xlfn.XLOOKUP(B1671,Locales!$A:$A,Locales!$B:$B,""),"")</f>
        <v/>
      </c>
    </row>
    <row r="1672" spans="3:3" x14ac:dyDescent="0.2">
      <c r="C1672" t="str" cm="1">
        <f t="array" ref="C1672">IFERROR(_xlfn.XLOOKUP(B1672,Locales!$A:$A,Locales!$B:$B,""),"")</f>
        <v/>
      </c>
    </row>
    <row r="1673" spans="3:3" x14ac:dyDescent="0.2">
      <c r="C1673" t="str" cm="1">
        <f t="array" ref="C1673">IFERROR(_xlfn.XLOOKUP(B1673,Locales!$A:$A,Locales!$B:$B,""),"")</f>
        <v/>
      </c>
    </row>
    <row r="1674" spans="3:3" x14ac:dyDescent="0.2">
      <c r="C1674" t="str" cm="1">
        <f t="array" ref="C1674">IFERROR(_xlfn.XLOOKUP(B1674,Locales!$A:$A,Locales!$B:$B,""),"")</f>
        <v/>
      </c>
    </row>
    <row r="1675" spans="3:3" x14ac:dyDescent="0.2">
      <c r="C1675" t="str" cm="1">
        <f t="array" ref="C1675">IFERROR(_xlfn.XLOOKUP(B1675,Locales!$A:$A,Locales!$B:$B,""),"")</f>
        <v/>
      </c>
    </row>
    <row r="1676" spans="3:3" x14ac:dyDescent="0.2">
      <c r="C1676" t="str" cm="1">
        <f t="array" ref="C1676">IFERROR(_xlfn.XLOOKUP(B1676,Locales!$A:$A,Locales!$B:$B,""),"")</f>
        <v/>
      </c>
    </row>
    <row r="1677" spans="3:3" x14ac:dyDescent="0.2">
      <c r="C1677" t="str" cm="1">
        <f t="array" ref="C1677">IFERROR(_xlfn.XLOOKUP(B1677,Locales!$A:$A,Locales!$B:$B,""),"")</f>
        <v/>
      </c>
    </row>
    <row r="1678" spans="3:3" x14ac:dyDescent="0.2">
      <c r="C1678" t="str" cm="1">
        <f t="array" ref="C1678">IFERROR(_xlfn.XLOOKUP(B1678,Locales!$A:$A,Locales!$B:$B,""),"")</f>
        <v/>
      </c>
    </row>
    <row r="1679" spans="3:3" x14ac:dyDescent="0.2">
      <c r="C1679" t="str" cm="1">
        <f t="array" ref="C1679">IFERROR(_xlfn.XLOOKUP(B1679,Locales!$A:$A,Locales!$B:$B,""),"")</f>
        <v/>
      </c>
    </row>
    <row r="1680" spans="3:3" x14ac:dyDescent="0.2">
      <c r="C1680" t="str" cm="1">
        <f t="array" ref="C1680">IFERROR(_xlfn.XLOOKUP(B1680,Locales!$A:$A,Locales!$B:$B,""),"")</f>
        <v/>
      </c>
    </row>
    <row r="1681" spans="3:3" x14ac:dyDescent="0.2">
      <c r="C1681" t="str" cm="1">
        <f t="array" ref="C1681">IFERROR(_xlfn.XLOOKUP(B1681,Locales!$A:$A,Locales!$B:$B,""),"")</f>
        <v/>
      </c>
    </row>
    <row r="1682" spans="3:3" x14ac:dyDescent="0.2">
      <c r="C1682" t="str" cm="1">
        <f t="array" ref="C1682">IFERROR(_xlfn.XLOOKUP(B1682,Locales!$A:$A,Locales!$B:$B,""),"")</f>
        <v/>
      </c>
    </row>
    <row r="1683" spans="3:3" x14ac:dyDescent="0.2">
      <c r="C1683" t="str" cm="1">
        <f t="array" ref="C1683">IFERROR(_xlfn.XLOOKUP(B1683,Locales!$A:$A,Locales!$B:$B,""),"")</f>
        <v/>
      </c>
    </row>
    <row r="1684" spans="3:3" x14ac:dyDescent="0.2">
      <c r="C1684" t="str" cm="1">
        <f t="array" ref="C1684">IFERROR(_xlfn.XLOOKUP(B1684,Locales!$A:$A,Locales!$B:$B,""),"")</f>
        <v/>
      </c>
    </row>
    <row r="1685" spans="3:3" x14ac:dyDescent="0.2">
      <c r="C1685" t="str" cm="1">
        <f t="array" ref="C1685">IFERROR(_xlfn.XLOOKUP(B1685,Locales!$A:$A,Locales!$B:$B,""),"")</f>
        <v/>
      </c>
    </row>
    <row r="1686" spans="3:3" x14ac:dyDescent="0.2">
      <c r="C1686" t="str" cm="1">
        <f t="array" ref="C1686">IFERROR(_xlfn.XLOOKUP(B1686,Locales!$A:$A,Locales!$B:$B,""),"")</f>
        <v/>
      </c>
    </row>
    <row r="1687" spans="3:3" x14ac:dyDescent="0.2">
      <c r="C1687" t="str" cm="1">
        <f t="array" ref="C1687">IFERROR(_xlfn.XLOOKUP(B1687,Locales!$A:$A,Locales!$B:$B,""),"")</f>
        <v/>
      </c>
    </row>
    <row r="1688" spans="3:3" x14ac:dyDescent="0.2">
      <c r="C1688" t="str" cm="1">
        <f t="array" ref="C1688">IFERROR(_xlfn.XLOOKUP(B1688,Locales!$A:$A,Locales!$B:$B,""),"")</f>
        <v/>
      </c>
    </row>
    <row r="1689" spans="3:3" x14ac:dyDescent="0.2">
      <c r="C1689" t="str" cm="1">
        <f t="array" ref="C1689">IFERROR(_xlfn.XLOOKUP(B1689,Locales!$A:$A,Locales!$B:$B,""),"")</f>
        <v/>
      </c>
    </row>
    <row r="1690" spans="3:3" x14ac:dyDescent="0.2">
      <c r="C1690" t="str" cm="1">
        <f t="array" ref="C1690">IFERROR(_xlfn.XLOOKUP(B1690,Locales!$A:$A,Locales!$B:$B,""),"")</f>
        <v/>
      </c>
    </row>
    <row r="1691" spans="3:3" x14ac:dyDescent="0.2">
      <c r="C1691" t="str" cm="1">
        <f t="array" ref="C1691">IFERROR(_xlfn.XLOOKUP(B1691,Locales!$A:$A,Locales!$B:$B,""),"")</f>
        <v/>
      </c>
    </row>
    <row r="1692" spans="3:3" x14ac:dyDescent="0.2">
      <c r="C1692" t="str" cm="1">
        <f t="array" ref="C1692">IFERROR(_xlfn.XLOOKUP(B1692,Locales!$A:$A,Locales!$B:$B,""),"")</f>
        <v/>
      </c>
    </row>
    <row r="1693" spans="3:3" x14ac:dyDescent="0.2">
      <c r="C1693" t="str" cm="1">
        <f t="array" ref="C1693">IFERROR(_xlfn.XLOOKUP(B1693,Locales!$A:$A,Locales!$B:$B,""),"")</f>
        <v/>
      </c>
    </row>
    <row r="1694" spans="3:3" x14ac:dyDescent="0.2">
      <c r="C1694" t="str" cm="1">
        <f t="array" ref="C1694">IFERROR(_xlfn.XLOOKUP(B1694,Locales!$A:$A,Locales!$B:$B,""),"")</f>
        <v/>
      </c>
    </row>
    <row r="1695" spans="3:3" x14ac:dyDescent="0.2">
      <c r="C1695" t="str" cm="1">
        <f t="array" ref="C1695">IFERROR(_xlfn.XLOOKUP(B1695,Locales!$A:$A,Locales!$B:$B,""),"")</f>
        <v/>
      </c>
    </row>
    <row r="1696" spans="3:3" x14ac:dyDescent="0.2">
      <c r="C1696" t="str" cm="1">
        <f t="array" ref="C1696">IFERROR(_xlfn.XLOOKUP(B1696,Locales!$A:$A,Locales!$B:$B,""),"")</f>
        <v/>
      </c>
    </row>
    <row r="1697" spans="3:3" x14ac:dyDescent="0.2">
      <c r="C1697" t="str" cm="1">
        <f t="array" ref="C1697">IFERROR(_xlfn.XLOOKUP(B1697,Locales!$A:$A,Locales!$B:$B,""),"")</f>
        <v/>
      </c>
    </row>
    <row r="1698" spans="3:3" x14ac:dyDescent="0.2">
      <c r="C1698" t="str" cm="1">
        <f t="array" ref="C1698">IFERROR(_xlfn.XLOOKUP(B1698,Locales!$A:$A,Locales!$B:$B,""),"")</f>
        <v/>
      </c>
    </row>
    <row r="1699" spans="3:3" x14ac:dyDescent="0.2">
      <c r="C1699" t="str" cm="1">
        <f t="array" ref="C1699">IFERROR(_xlfn.XLOOKUP(B1699,Locales!$A:$A,Locales!$B:$B,""),"")</f>
        <v/>
      </c>
    </row>
    <row r="1700" spans="3:3" x14ac:dyDescent="0.2">
      <c r="C1700" t="str" cm="1">
        <f t="array" ref="C1700">IFERROR(_xlfn.XLOOKUP(B1700,Locales!$A:$A,Locales!$B:$B,""),"")</f>
        <v/>
      </c>
    </row>
    <row r="1701" spans="3:3" x14ac:dyDescent="0.2">
      <c r="C1701" cm="1">
        <f t="array" ref="C1701">IFERROR(_xlfn.XLOOKUP(B1701,Locales!$A:$A,Locales!$B:$B,""),"")</f>
        <v>0</v>
      </c>
    </row>
    <row r="1702" spans="3:3" x14ac:dyDescent="0.2">
      <c r="C1702" t="str" cm="1">
        <f t="array" ref="C1702">IFERROR(_xlfn.XLOOKUP(B1702,Locales!$A:$A,Locales!$B:$B,""),"")</f>
        <v/>
      </c>
    </row>
    <row r="1703" spans="3:3" x14ac:dyDescent="0.2">
      <c r="C1703" t="str" cm="1">
        <f t="array" ref="C1703">IFERROR(_xlfn.XLOOKUP(B1703,Locales!$A:$A,Locales!$B:$B,""),"")</f>
        <v/>
      </c>
    </row>
    <row r="1704" spans="3:3" x14ac:dyDescent="0.2">
      <c r="C1704" t="str" cm="1">
        <f t="array" ref="C1704">IFERROR(_xlfn.XLOOKUP(B1704,Locales!$A:$A,Locales!$B:$B,""),"")</f>
        <v/>
      </c>
    </row>
    <row r="1705" spans="3:3" x14ac:dyDescent="0.2">
      <c r="C1705" t="str" cm="1">
        <f t="array" ref="C1705">IFERROR(_xlfn.XLOOKUP(B1705,Locales!$A:$A,Locales!$B:$B,""),"")</f>
        <v/>
      </c>
    </row>
    <row r="1706" spans="3:3" x14ac:dyDescent="0.2">
      <c r="C1706" t="str" cm="1">
        <f t="array" ref="C1706">IFERROR(_xlfn.XLOOKUP(B1706,Locales!$A:$A,Locales!$B:$B,""),"")</f>
        <v/>
      </c>
    </row>
    <row r="1707" spans="3:3" x14ac:dyDescent="0.2">
      <c r="C1707" t="str" cm="1">
        <f t="array" ref="C1707">IFERROR(_xlfn.XLOOKUP(B1707,Locales!$A:$A,Locales!$B:$B,""),"")</f>
        <v/>
      </c>
    </row>
    <row r="1708" spans="3:3" x14ac:dyDescent="0.2">
      <c r="C1708" t="str" cm="1">
        <f t="array" ref="C1708">IFERROR(_xlfn.XLOOKUP(B1708,Locales!$A:$A,Locales!$B:$B,""),"")</f>
        <v/>
      </c>
    </row>
    <row r="1709" spans="3:3" x14ac:dyDescent="0.2">
      <c r="C1709" t="str" cm="1">
        <f t="array" ref="C1709">IFERROR(_xlfn.XLOOKUP(B1709,Locales!$A:$A,Locales!$B:$B,""),"")</f>
        <v/>
      </c>
    </row>
    <row r="1710" spans="3:3" x14ac:dyDescent="0.2">
      <c r="C1710" t="str" cm="1">
        <f t="array" ref="C1710">IFERROR(_xlfn.XLOOKUP(B1710,Locales!$A:$A,Locales!$B:$B,""),"")</f>
        <v/>
      </c>
    </row>
    <row r="1711" spans="3:3" x14ac:dyDescent="0.2">
      <c r="C1711" t="str" cm="1">
        <f t="array" ref="C1711">IFERROR(_xlfn.XLOOKUP(B1711,Locales!$A:$A,Locales!$B:$B,""),"")</f>
        <v/>
      </c>
    </row>
    <row r="1712" spans="3:3" x14ac:dyDescent="0.2">
      <c r="C1712" t="str" cm="1">
        <f t="array" ref="C1712">IFERROR(_xlfn.XLOOKUP(B1712,Locales!$A:$A,Locales!$B:$B,""),"")</f>
        <v/>
      </c>
    </row>
    <row r="1713" spans="3:3" x14ac:dyDescent="0.2">
      <c r="C1713" t="str" cm="1">
        <f t="array" ref="C1713">IFERROR(_xlfn.XLOOKUP(B1713,Locales!$A:$A,Locales!$B:$B,""),"")</f>
        <v/>
      </c>
    </row>
    <row r="1714" spans="3:3" x14ac:dyDescent="0.2">
      <c r="C1714" t="str" cm="1">
        <f t="array" ref="C1714">IFERROR(_xlfn.XLOOKUP(B1714,Locales!$A:$A,Locales!$B:$B,""),"")</f>
        <v/>
      </c>
    </row>
    <row r="1715" spans="3:3" x14ac:dyDescent="0.2">
      <c r="C1715" t="str" cm="1">
        <f t="array" ref="C1715">IFERROR(_xlfn.XLOOKUP(B1715,Locales!$A:$A,Locales!$B:$B,""),"")</f>
        <v/>
      </c>
    </row>
    <row r="1716" spans="3:3" x14ac:dyDescent="0.2">
      <c r="C1716" t="str" cm="1">
        <f t="array" ref="C1716">IFERROR(_xlfn.XLOOKUP(B1716,Locales!$A:$A,Locales!$B:$B,""),"")</f>
        <v/>
      </c>
    </row>
    <row r="1717" spans="3:3" x14ac:dyDescent="0.2">
      <c r="C1717" t="str" cm="1">
        <f t="array" ref="C1717">IFERROR(_xlfn.XLOOKUP(B1717,Locales!$A:$A,Locales!$B:$B,""),"")</f>
        <v/>
      </c>
    </row>
    <row r="1718" spans="3:3" x14ac:dyDescent="0.2">
      <c r="C1718" t="str" cm="1">
        <f t="array" ref="C1718">IFERROR(_xlfn.XLOOKUP(B1718,Locales!$A:$A,Locales!$B:$B,""),"")</f>
        <v/>
      </c>
    </row>
    <row r="1719" spans="3:3" x14ac:dyDescent="0.2">
      <c r="C1719" t="str" cm="1">
        <f t="array" ref="C1719">IFERROR(_xlfn.XLOOKUP(B1719,Locales!$A:$A,Locales!$B:$B,""),"")</f>
        <v/>
      </c>
    </row>
    <row r="1720" spans="3:3" x14ac:dyDescent="0.2">
      <c r="C1720" t="str" cm="1">
        <f t="array" ref="C1720">IFERROR(_xlfn.XLOOKUP(B1720,Locales!$A:$A,Locales!$B:$B,""),"")</f>
        <v/>
      </c>
    </row>
    <row r="1721" spans="3:3" x14ac:dyDescent="0.2">
      <c r="C1721" t="str" cm="1">
        <f t="array" ref="C1721">IFERROR(_xlfn.XLOOKUP(B1721,Locales!$A:$A,Locales!$B:$B,""),"")</f>
        <v/>
      </c>
    </row>
    <row r="1722" spans="3:3" x14ac:dyDescent="0.2">
      <c r="C1722" t="str" cm="1">
        <f t="array" ref="C1722">IFERROR(_xlfn.XLOOKUP(B1722,Locales!$A:$A,Locales!$B:$B,""),"")</f>
        <v/>
      </c>
    </row>
    <row r="1723" spans="3:3" x14ac:dyDescent="0.2">
      <c r="C1723" t="str" cm="1">
        <f t="array" ref="C1723">IFERROR(_xlfn.XLOOKUP(B1723,Locales!$A:$A,Locales!$B:$B,""),"")</f>
        <v/>
      </c>
    </row>
    <row r="1724" spans="3:3" x14ac:dyDescent="0.2">
      <c r="C1724" t="str" cm="1">
        <f t="array" ref="C1724">IFERROR(_xlfn.XLOOKUP(B1724,Locales!$A:$A,Locales!$B:$B,""),"")</f>
        <v/>
      </c>
    </row>
    <row r="1725" spans="3:3" x14ac:dyDescent="0.2">
      <c r="C1725" t="str" cm="1">
        <f t="array" ref="C1725">IFERROR(_xlfn.XLOOKUP(B1725,Locales!$A:$A,Locales!$B:$B,""),"")</f>
        <v/>
      </c>
    </row>
    <row r="1726" spans="3:3" x14ac:dyDescent="0.2">
      <c r="C1726" t="str" cm="1">
        <f t="array" ref="C1726">IFERROR(_xlfn.XLOOKUP(B1726,Locales!$A:$A,Locales!$B:$B,""),"")</f>
        <v/>
      </c>
    </row>
    <row r="1727" spans="3:3" x14ac:dyDescent="0.2">
      <c r="C1727" t="str" cm="1">
        <f t="array" ref="C1727">IFERROR(_xlfn.XLOOKUP(B1727,Locales!$A:$A,Locales!$B:$B,""),"")</f>
        <v/>
      </c>
    </row>
    <row r="1728" spans="3:3" x14ac:dyDescent="0.2">
      <c r="C1728" t="str" cm="1">
        <f t="array" ref="C1728">IFERROR(_xlfn.XLOOKUP(B1728,Locales!$A:$A,Locales!$B:$B,""),"")</f>
        <v/>
      </c>
    </row>
    <row r="1729" spans="3:3" x14ac:dyDescent="0.2">
      <c r="C1729" t="str" cm="1">
        <f t="array" ref="C1729">IFERROR(_xlfn.XLOOKUP(B1729,Locales!$A:$A,Locales!$B:$B,""),"")</f>
        <v/>
      </c>
    </row>
    <row r="1730" spans="3:3" x14ac:dyDescent="0.2">
      <c r="C1730" t="str" cm="1">
        <f t="array" ref="C1730">IFERROR(_xlfn.XLOOKUP(B1730,Locales!$A:$A,Locales!$B:$B,""),"")</f>
        <v/>
      </c>
    </row>
    <row r="1731" spans="3:3" x14ac:dyDescent="0.2">
      <c r="C1731" t="str" cm="1">
        <f t="array" ref="C1731">IFERROR(_xlfn.XLOOKUP(B1731,Locales!$A:$A,Locales!$B:$B,""),"")</f>
        <v/>
      </c>
    </row>
    <row r="1732" spans="3:3" x14ac:dyDescent="0.2">
      <c r="C1732" t="str" cm="1">
        <f t="array" ref="C1732">IFERROR(_xlfn.XLOOKUP(B1732,Locales!$A:$A,Locales!$B:$B,""),"")</f>
        <v/>
      </c>
    </row>
    <row r="1733" spans="3:3" x14ac:dyDescent="0.2">
      <c r="C1733" cm="1">
        <f t="array" ref="C1733">IFERROR(_xlfn.XLOOKUP(B1733,Locales!$A:$A,Locales!$B:$B,""),"")</f>
        <v>0</v>
      </c>
    </row>
    <row r="1734" spans="3:3" x14ac:dyDescent="0.2">
      <c r="C1734" t="str" cm="1">
        <f t="array" ref="C1734">IFERROR(_xlfn.XLOOKUP(B1734,Locales!$A:$A,Locales!$B:$B,""),"")</f>
        <v/>
      </c>
    </row>
    <row r="1735" spans="3:3" x14ac:dyDescent="0.2">
      <c r="C1735" t="str" cm="1">
        <f t="array" ref="C1735">IFERROR(_xlfn.XLOOKUP(B1735,Locales!$A:$A,Locales!$B:$B,""),"")</f>
        <v/>
      </c>
    </row>
    <row r="1736" spans="3:3" x14ac:dyDescent="0.2">
      <c r="C1736" t="str" cm="1">
        <f t="array" ref="C1736">IFERROR(_xlfn.XLOOKUP(B1736,Locales!$A:$A,Locales!$B:$B,""),"")</f>
        <v/>
      </c>
    </row>
    <row r="1737" spans="3:3" x14ac:dyDescent="0.2">
      <c r="C1737" t="str" cm="1">
        <f t="array" ref="C1737">IFERROR(_xlfn.XLOOKUP(B1737,Locales!$A:$A,Locales!$B:$B,""),"")</f>
        <v/>
      </c>
    </row>
    <row r="1738" spans="3:3" x14ac:dyDescent="0.2">
      <c r="C1738" t="str" cm="1">
        <f t="array" ref="C1738">IFERROR(_xlfn.XLOOKUP(B1738,Locales!$A:$A,Locales!$B:$B,""),"")</f>
        <v/>
      </c>
    </row>
    <row r="1739" spans="3:3" x14ac:dyDescent="0.2">
      <c r="C1739" t="str" cm="1">
        <f t="array" ref="C1739">IFERROR(_xlfn.XLOOKUP(B1739,Locales!$A:$A,Locales!$B:$B,""),"")</f>
        <v/>
      </c>
    </row>
    <row r="1740" spans="3:3" x14ac:dyDescent="0.2">
      <c r="C1740" t="str" cm="1">
        <f t="array" ref="C1740">IFERROR(_xlfn.XLOOKUP(B1740,Locales!$A:$A,Locales!$B:$B,""),"")</f>
        <v/>
      </c>
    </row>
    <row r="1741" spans="3:3" x14ac:dyDescent="0.2">
      <c r="C1741" t="str" cm="1">
        <f t="array" ref="C1741">IFERROR(_xlfn.XLOOKUP(B1741,Locales!$A:$A,Locales!$B:$B,""),"")</f>
        <v/>
      </c>
    </row>
    <row r="1742" spans="3:3" x14ac:dyDescent="0.2">
      <c r="C1742" t="str" cm="1">
        <f t="array" ref="C1742">IFERROR(_xlfn.XLOOKUP(B1742,Locales!$A:$A,Locales!$B:$B,""),"")</f>
        <v/>
      </c>
    </row>
    <row r="1743" spans="3:3" x14ac:dyDescent="0.2">
      <c r="C1743" t="str" cm="1">
        <f t="array" ref="C1743">IFERROR(_xlfn.XLOOKUP(B1743,Locales!$A:$A,Locales!$B:$B,""),"")</f>
        <v/>
      </c>
    </row>
    <row r="1744" spans="3:3" x14ac:dyDescent="0.2">
      <c r="C1744" t="str" cm="1">
        <f t="array" ref="C1744">IFERROR(_xlfn.XLOOKUP(B1744,Locales!$A:$A,Locales!$B:$B,""),"")</f>
        <v/>
      </c>
    </row>
    <row r="1745" spans="3:3" x14ac:dyDescent="0.2">
      <c r="C1745" t="str" cm="1">
        <f t="array" ref="C1745">IFERROR(_xlfn.XLOOKUP(B1745,Locales!$A:$A,Locales!$B:$B,""),"")</f>
        <v/>
      </c>
    </row>
    <row r="1746" spans="3:3" x14ac:dyDescent="0.2">
      <c r="C1746" t="str" cm="1">
        <f t="array" ref="C1746">IFERROR(_xlfn.XLOOKUP(B1746,Locales!$A:$A,Locales!$B:$B,""),"")</f>
        <v/>
      </c>
    </row>
    <row r="1747" spans="3:3" x14ac:dyDescent="0.2">
      <c r="C1747" t="str" cm="1">
        <f t="array" ref="C1747">IFERROR(_xlfn.XLOOKUP(B1747,Locales!$A:$A,Locales!$B:$B,""),"")</f>
        <v/>
      </c>
    </row>
    <row r="1748" spans="3:3" x14ac:dyDescent="0.2">
      <c r="C1748" t="str" cm="1">
        <f t="array" ref="C1748">IFERROR(_xlfn.XLOOKUP(B1748,Locales!$A:$A,Locales!$B:$B,""),"")</f>
        <v/>
      </c>
    </row>
    <row r="1749" spans="3:3" x14ac:dyDescent="0.2">
      <c r="C1749" t="str" cm="1">
        <f t="array" ref="C1749">IFERROR(_xlfn.XLOOKUP(B1749,Locales!$A:$A,Locales!$B:$B,""),"")</f>
        <v/>
      </c>
    </row>
    <row r="1750" spans="3:3" x14ac:dyDescent="0.2">
      <c r="C1750" t="str" cm="1">
        <f t="array" ref="C1750">IFERROR(_xlfn.XLOOKUP(B1750,Locales!$A:$A,Locales!$B:$B,""),"")</f>
        <v/>
      </c>
    </row>
    <row r="1751" spans="3:3" x14ac:dyDescent="0.2">
      <c r="C1751" t="str" cm="1">
        <f t="array" ref="C1751">IFERROR(_xlfn.XLOOKUP(B1751,Locales!$A:$A,Locales!$B:$B,""),"")</f>
        <v/>
      </c>
    </row>
    <row r="1752" spans="3:3" x14ac:dyDescent="0.2">
      <c r="C1752" t="str" cm="1">
        <f t="array" ref="C1752">IFERROR(_xlfn.XLOOKUP(B1752,Locales!$A:$A,Locales!$B:$B,""),"")</f>
        <v/>
      </c>
    </row>
    <row r="1753" spans="3:3" x14ac:dyDescent="0.2">
      <c r="C1753" t="str" cm="1">
        <f t="array" ref="C1753">IFERROR(_xlfn.XLOOKUP(B1753,Locales!$A:$A,Locales!$B:$B,""),"")</f>
        <v/>
      </c>
    </row>
    <row r="1754" spans="3:3" x14ac:dyDescent="0.2">
      <c r="C1754" t="str" cm="1">
        <f t="array" ref="C1754">IFERROR(_xlfn.XLOOKUP(B1754,Locales!$A:$A,Locales!$B:$B,""),"")</f>
        <v/>
      </c>
    </row>
    <row r="1755" spans="3:3" x14ac:dyDescent="0.2">
      <c r="C1755" t="str" cm="1">
        <f t="array" ref="C1755">IFERROR(_xlfn.XLOOKUP(B1755,Locales!$A:$A,Locales!$B:$B,""),"")</f>
        <v/>
      </c>
    </row>
    <row r="1756" spans="3:3" x14ac:dyDescent="0.2">
      <c r="C1756" t="str" cm="1">
        <f t="array" ref="C1756">IFERROR(_xlfn.XLOOKUP(B1756,Locales!$A:$A,Locales!$B:$B,""),"")</f>
        <v/>
      </c>
    </row>
    <row r="1757" spans="3:3" x14ac:dyDescent="0.2">
      <c r="C1757" t="str" cm="1">
        <f t="array" ref="C1757">IFERROR(_xlfn.XLOOKUP(B1757,Locales!$A:$A,Locales!$B:$B,""),"")</f>
        <v/>
      </c>
    </row>
    <row r="1758" spans="3:3" x14ac:dyDescent="0.2">
      <c r="C1758" t="str" cm="1">
        <f t="array" ref="C1758">IFERROR(_xlfn.XLOOKUP(B1758,Locales!$A:$A,Locales!$B:$B,""),"")</f>
        <v/>
      </c>
    </row>
    <row r="1759" spans="3:3" x14ac:dyDescent="0.2">
      <c r="C1759" t="str" cm="1">
        <f t="array" ref="C1759">IFERROR(_xlfn.XLOOKUP(B1759,Locales!$A:$A,Locales!$B:$B,""),"")</f>
        <v/>
      </c>
    </row>
    <row r="1760" spans="3:3" x14ac:dyDescent="0.2">
      <c r="C1760" t="str" cm="1">
        <f t="array" ref="C1760">IFERROR(_xlfn.XLOOKUP(B1760,Locales!$A:$A,Locales!$B:$B,""),"")</f>
        <v/>
      </c>
    </row>
    <row r="1761" spans="3:3" x14ac:dyDescent="0.2">
      <c r="C1761" t="str" cm="1">
        <f t="array" ref="C1761">IFERROR(_xlfn.XLOOKUP(B1761,Locales!$A:$A,Locales!$B:$B,""),"")</f>
        <v/>
      </c>
    </row>
    <row r="1762" spans="3:3" x14ac:dyDescent="0.2">
      <c r="C1762" t="str" cm="1">
        <f t="array" ref="C1762">IFERROR(_xlfn.XLOOKUP(B1762,Locales!$A:$A,Locales!$B:$B,""),"")</f>
        <v/>
      </c>
    </row>
    <row r="1763" spans="3:3" x14ac:dyDescent="0.2">
      <c r="C1763" t="str" cm="1">
        <f t="array" ref="C1763">IFERROR(_xlfn.XLOOKUP(B1763,Locales!$A:$A,Locales!$B:$B,""),"")</f>
        <v/>
      </c>
    </row>
    <row r="1764" spans="3:3" x14ac:dyDescent="0.2">
      <c r="C1764" t="str" cm="1">
        <f t="array" ref="C1764">IFERROR(_xlfn.XLOOKUP(B1764,Locales!$A:$A,Locales!$B:$B,""),"")</f>
        <v/>
      </c>
    </row>
    <row r="1765" spans="3:3" x14ac:dyDescent="0.2">
      <c r="C1765" t="str" cm="1">
        <f t="array" ref="C1765">IFERROR(_xlfn.XLOOKUP(B1765,Locales!$A:$A,Locales!$B:$B,""),"")</f>
        <v/>
      </c>
    </row>
    <row r="1766" spans="3:3" x14ac:dyDescent="0.2">
      <c r="C1766" t="str" cm="1">
        <f t="array" ref="C1766">IFERROR(_xlfn.XLOOKUP(B1766,Locales!$A:$A,Locales!$B:$B,""),"")</f>
        <v/>
      </c>
    </row>
    <row r="1767" spans="3:3" x14ac:dyDescent="0.2">
      <c r="C1767" t="str" cm="1">
        <f t="array" ref="C1767">IFERROR(_xlfn.XLOOKUP(B1767,Locales!$A:$A,Locales!$B:$B,""),"")</f>
        <v/>
      </c>
    </row>
    <row r="1768" spans="3:3" x14ac:dyDescent="0.2">
      <c r="C1768" t="str" cm="1">
        <f t="array" ref="C1768">IFERROR(_xlfn.XLOOKUP(B1768,Locales!$A:$A,Locales!$B:$B,""),"")</f>
        <v/>
      </c>
    </row>
    <row r="1769" spans="3:3" x14ac:dyDescent="0.2">
      <c r="C1769" t="str" cm="1">
        <f t="array" ref="C1769">IFERROR(_xlfn.XLOOKUP(B1769,Locales!$A:$A,Locales!$B:$B,""),"")</f>
        <v/>
      </c>
    </row>
    <row r="1770" spans="3:3" x14ac:dyDescent="0.2">
      <c r="C1770" t="str" cm="1">
        <f t="array" ref="C1770">IFERROR(_xlfn.XLOOKUP(B1770,Locales!$A:$A,Locales!$B:$B,""),"")</f>
        <v/>
      </c>
    </row>
    <row r="1771" spans="3:3" x14ac:dyDescent="0.2">
      <c r="C1771" t="str" cm="1">
        <f t="array" ref="C1771">IFERROR(_xlfn.XLOOKUP(B1771,Locales!$A:$A,Locales!$B:$B,""),"")</f>
        <v/>
      </c>
    </row>
    <row r="1772" spans="3:3" x14ac:dyDescent="0.2">
      <c r="C1772" t="str" cm="1">
        <f t="array" ref="C1772">IFERROR(_xlfn.XLOOKUP(B1772,Locales!$A:$A,Locales!$B:$B,""),"")</f>
        <v/>
      </c>
    </row>
    <row r="1773" spans="3:3" x14ac:dyDescent="0.2">
      <c r="C1773" t="str" cm="1">
        <f t="array" ref="C1773">IFERROR(_xlfn.XLOOKUP(B1773,Locales!$A:$A,Locales!$B:$B,""),"")</f>
        <v/>
      </c>
    </row>
    <row r="1774" spans="3:3" x14ac:dyDescent="0.2">
      <c r="C1774" t="str" cm="1">
        <f t="array" ref="C1774">IFERROR(_xlfn.XLOOKUP(B1774,Locales!$A:$A,Locales!$B:$B,""),"")</f>
        <v/>
      </c>
    </row>
    <row r="1775" spans="3:3" x14ac:dyDescent="0.2">
      <c r="C1775" t="str" cm="1">
        <f t="array" ref="C1775">IFERROR(_xlfn.XLOOKUP(B1775,Locales!$A:$A,Locales!$B:$B,""),"")</f>
        <v/>
      </c>
    </row>
    <row r="1776" spans="3:3" x14ac:dyDescent="0.2">
      <c r="C1776" t="str" cm="1">
        <f t="array" ref="C1776">IFERROR(_xlfn.XLOOKUP(B1776,Locales!$A:$A,Locales!$B:$B,""),"")</f>
        <v/>
      </c>
    </row>
    <row r="1777" spans="3:3" x14ac:dyDescent="0.2">
      <c r="C1777" t="str" cm="1">
        <f t="array" ref="C1777">IFERROR(_xlfn.XLOOKUP(B1777,Locales!$A:$A,Locales!$B:$B,""),"")</f>
        <v/>
      </c>
    </row>
    <row r="1778" spans="3:3" x14ac:dyDescent="0.2">
      <c r="C1778" t="str" cm="1">
        <f t="array" ref="C1778">IFERROR(_xlfn.XLOOKUP(B1778,Locales!$A:$A,Locales!$B:$B,""),"")</f>
        <v/>
      </c>
    </row>
    <row r="1779" spans="3:3" x14ac:dyDescent="0.2">
      <c r="C1779" t="str" cm="1">
        <f t="array" ref="C1779">IFERROR(_xlfn.XLOOKUP(B1779,Locales!$A:$A,Locales!$B:$B,""),"")</f>
        <v/>
      </c>
    </row>
    <row r="1780" spans="3:3" x14ac:dyDescent="0.2">
      <c r="C1780" t="str" cm="1">
        <f t="array" ref="C1780">IFERROR(_xlfn.XLOOKUP(B1780,Locales!$A:$A,Locales!$B:$B,""),"")</f>
        <v/>
      </c>
    </row>
    <row r="1781" spans="3:3" x14ac:dyDescent="0.2">
      <c r="C1781" cm="1">
        <f t="array" ref="C1781">IFERROR(_xlfn.XLOOKUP(B1781,Locales!$A:$A,Locales!$B:$B,""),"")</f>
        <v>0</v>
      </c>
    </row>
    <row r="1782" spans="3:3" x14ac:dyDescent="0.2">
      <c r="C1782" t="str" cm="1">
        <f t="array" ref="C1782">IFERROR(_xlfn.XLOOKUP(B1782,Locales!$A:$A,Locales!$B:$B,""),"")</f>
        <v/>
      </c>
    </row>
    <row r="1783" spans="3:3" x14ac:dyDescent="0.2">
      <c r="C1783" t="str" cm="1">
        <f t="array" ref="C1783">IFERROR(_xlfn.XLOOKUP(B1783,Locales!$A:$A,Locales!$B:$B,""),"")</f>
        <v/>
      </c>
    </row>
    <row r="1784" spans="3:3" x14ac:dyDescent="0.2">
      <c r="C1784" t="str" cm="1">
        <f t="array" ref="C1784">IFERROR(_xlfn.XLOOKUP(B1784,Locales!$A:$A,Locales!$B:$B,""),"")</f>
        <v/>
      </c>
    </row>
    <row r="1785" spans="3:3" x14ac:dyDescent="0.2">
      <c r="C1785" t="str" cm="1">
        <f t="array" ref="C1785">IFERROR(_xlfn.XLOOKUP(B1785,Locales!$A:$A,Locales!$B:$B,""),"")</f>
        <v/>
      </c>
    </row>
    <row r="1786" spans="3:3" x14ac:dyDescent="0.2">
      <c r="C1786" t="str" cm="1">
        <f t="array" ref="C1786">IFERROR(_xlfn.XLOOKUP(B1786,Locales!$A:$A,Locales!$B:$B,""),"")</f>
        <v/>
      </c>
    </row>
    <row r="1787" spans="3:3" x14ac:dyDescent="0.2">
      <c r="C1787" t="str" cm="1">
        <f t="array" ref="C1787">IFERROR(_xlfn.XLOOKUP(B1787,Locales!$A:$A,Locales!$B:$B,""),"")</f>
        <v/>
      </c>
    </row>
    <row r="1788" spans="3:3" x14ac:dyDescent="0.2">
      <c r="C1788" t="str" cm="1">
        <f t="array" ref="C1788">IFERROR(_xlfn.XLOOKUP(B1788,Locales!$A:$A,Locales!$B:$B,""),"")</f>
        <v/>
      </c>
    </row>
    <row r="1789" spans="3:3" x14ac:dyDescent="0.2">
      <c r="C1789" t="str" cm="1">
        <f t="array" ref="C1789">IFERROR(_xlfn.XLOOKUP(B1789,Locales!$A:$A,Locales!$B:$B,""),"")</f>
        <v/>
      </c>
    </row>
    <row r="1790" spans="3:3" x14ac:dyDescent="0.2">
      <c r="C1790" t="str" cm="1">
        <f t="array" ref="C1790">IFERROR(_xlfn.XLOOKUP(B1790,Locales!$A:$A,Locales!$B:$B,""),"")</f>
        <v/>
      </c>
    </row>
    <row r="1791" spans="3:3" x14ac:dyDescent="0.2">
      <c r="C1791" t="str" cm="1">
        <f t="array" ref="C1791">IFERROR(_xlfn.XLOOKUP(B1791,Locales!$A:$A,Locales!$B:$B,""),"")</f>
        <v/>
      </c>
    </row>
    <row r="1792" spans="3:3" x14ac:dyDescent="0.2">
      <c r="C1792" t="str" cm="1">
        <f t="array" ref="C1792">IFERROR(_xlfn.XLOOKUP(B1792,Locales!$A:$A,Locales!$B:$B,""),"")</f>
        <v/>
      </c>
    </row>
    <row r="1793" spans="3:3" x14ac:dyDescent="0.2">
      <c r="C1793" t="str" cm="1">
        <f t="array" ref="C1793">IFERROR(_xlfn.XLOOKUP(B1793,Locales!$A:$A,Locales!$B:$B,""),"")</f>
        <v/>
      </c>
    </row>
    <row r="1794" spans="3:3" x14ac:dyDescent="0.2">
      <c r="C1794" t="str" cm="1">
        <f t="array" ref="C1794">IFERROR(_xlfn.XLOOKUP(B1794,Locales!$A:$A,Locales!$B:$B,""),"")</f>
        <v/>
      </c>
    </row>
    <row r="1795" spans="3:3" x14ac:dyDescent="0.2">
      <c r="C1795" t="str" cm="1">
        <f t="array" ref="C1795">IFERROR(_xlfn.XLOOKUP(B1795,Locales!$A:$A,Locales!$B:$B,""),"")</f>
        <v/>
      </c>
    </row>
    <row r="1796" spans="3:3" x14ac:dyDescent="0.2">
      <c r="C1796" t="str" cm="1">
        <f t="array" ref="C1796">IFERROR(_xlfn.XLOOKUP(B1796,Locales!$A:$A,Locales!$B:$B,""),"")</f>
        <v/>
      </c>
    </row>
    <row r="1797" spans="3:3" x14ac:dyDescent="0.2">
      <c r="C1797" t="str" cm="1">
        <f t="array" ref="C1797">IFERROR(_xlfn.XLOOKUP(B1797,Locales!$A:$A,Locales!$B:$B,""),"")</f>
        <v/>
      </c>
    </row>
    <row r="1798" spans="3:3" x14ac:dyDescent="0.2">
      <c r="C1798" t="str" cm="1">
        <f t="array" ref="C1798">IFERROR(_xlfn.XLOOKUP(B1798,Locales!$A:$A,Locales!$B:$B,""),"")</f>
        <v/>
      </c>
    </row>
    <row r="1799" spans="3:3" x14ac:dyDescent="0.2">
      <c r="C1799" t="str" cm="1">
        <f t="array" ref="C1799">IFERROR(_xlfn.XLOOKUP(B1799,Locales!$A:$A,Locales!$B:$B,""),"")</f>
        <v/>
      </c>
    </row>
    <row r="1800" spans="3:3" x14ac:dyDescent="0.2">
      <c r="C1800" t="str" cm="1">
        <f t="array" ref="C1800">IFERROR(_xlfn.XLOOKUP(B1800,Locales!$A:$A,Locales!$B:$B,""),"")</f>
        <v/>
      </c>
    </row>
    <row r="1801" spans="3:3" x14ac:dyDescent="0.2">
      <c r="C1801" t="str" cm="1">
        <f t="array" ref="C1801">IFERROR(_xlfn.XLOOKUP(B1801,Locales!$A:$A,Locales!$B:$B,""),"")</f>
        <v/>
      </c>
    </row>
    <row r="1802" spans="3:3" x14ac:dyDescent="0.2">
      <c r="C1802" t="str" cm="1">
        <f t="array" ref="C1802">IFERROR(_xlfn.XLOOKUP(B1802,Locales!$A:$A,Locales!$B:$B,""),"")</f>
        <v/>
      </c>
    </row>
    <row r="1803" spans="3:3" x14ac:dyDescent="0.2">
      <c r="C1803" t="str" cm="1">
        <f t="array" ref="C1803">IFERROR(_xlfn.XLOOKUP(B1803,Locales!$A:$A,Locales!$B:$B,""),"")</f>
        <v/>
      </c>
    </row>
    <row r="1804" spans="3:3" x14ac:dyDescent="0.2">
      <c r="C1804" t="str" cm="1">
        <f t="array" ref="C1804">IFERROR(_xlfn.XLOOKUP(B1804,Locales!$A:$A,Locales!$B:$B,""),"")</f>
        <v/>
      </c>
    </row>
    <row r="1805" spans="3:3" x14ac:dyDescent="0.2">
      <c r="C1805" t="str" cm="1">
        <f t="array" ref="C1805">IFERROR(_xlfn.XLOOKUP(B1805,Locales!$A:$A,Locales!$B:$B,""),"")</f>
        <v/>
      </c>
    </row>
    <row r="1806" spans="3:3" x14ac:dyDescent="0.2">
      <c r="C1806" t="str" cm="1">
        <f t="array" ref="C1806">IFERROR(_xlfn.XLOOKUP(B1806,Locales!$A:$A,Locales!$B:$B,""),"")</f>
        <v/>
      </c>
    </row>
    <row r="1807" spans="3:3" x14ac:dyDescent="0.2">
      <c r="C1807" t="str" cm="1">
        <f t="array" ref="C1807">IFERROR(_xlfn.XLOOKUP(B1807,Locales!$A:$A,Locales!$B:$B,""),"")</f>
        <v/>
      </c>
    </row>
    <row r="1808" spans="3:3" x14ac:dyDescent="0.2">
      <c r="C1808" t="str" cm="1">
        <f t="array" ref="C1808">IFERROR(_xlfn.XLOOKUP(B1808,Locales!$A:$A,Locales!$B:$B,""),"")</f>
        <v/>
      </c>
    </row>
    <row r="1809" spans="3:3" x14ac:dyDescent="0.2">
      <c r="C1809" t="str" cm="1">
        <f t="array" ref="C1809">IFERROR(_xlfn.XLOOKUP(B1809,Locales!$A:$A,Locales!$B:$B,""),"")</f>
        <v/>
      </c>
    </row>
    <row r="1810" spans="3:3" x14ac:dyDescent="0.2">
      <c r="C1810" t="str" cm="1">
        <f t="array" ref="C1810">IFERROR(_xlfn.XLOOKUP(B1810,Locales!$A:$A,Locales!$B:$B,""),"")</f>
        <v/>
      </c>
    </row>
    <row r="1811" spans="3:3" x14ac:dyDescent="0.2">
      <c r="C1811" t="str" cm="1">
        <f t="array" ref="C1811">IFERROR(_xlfn.XLOOKUP(B1811,Locales!$A:$A,Locales!$B:$B,""),"")</f>
        <v/>
      </c>
    </row>
    <row r="1812" spans="3:3" x14ac:dyDescent="0.2">
      <c r="C1812" t="str" cm="1">
        <f t="array" ref="C1812">IFERROR(_xlfn.XLOOKUP(B1812,Locales!$A:$A,Locales!$B:$B,""),"")</f>
        <v/>
      </c>
    </row>
    <row r="1813" spans="3:3" x14ac:dyDescent="0.2">
      <c r="C1813" cm="1">
        <f t="array" ref="C1813">IFERROR(_xlfn.XLOOKUP(B1813,Locales!$A:$A,Locales!$B:$B,""),"")</f>
        <v>0</v>
      </c>
    </row>
    <row r="1814" spans="3:3" x14ac:dyDescent="0.2">
      <c r="C1814" t="str" cm="1">
        <f t="array" ref="C1814">IFERROR(_xlfn.XLOOKUP(B1814,Locales!$A:$A,Locales!$B:$B,""),"")</f>
        <v/>
      </c>
    </row>
    <row r="1815" spans="3:3" x14ac:dyDescent="0.2">
      <c r="C1815" t="str" cm="1">
        <f t="array" ref="C1815">IFERROR(_xlfn.XLOOKUP(B1815,Locales!$A:$A,Locales!$B:$B,""),"")</f>
        <v/>
      </c>
    </row>
    <row r="1816" spans="3:3" x14ac:dyDescent="0.2">
      <c r="C1816" t="str" cm="1">
        <f t="array" ref="C1816">IFERROR(_xlfn.XLOOKUP(B1816,Locales!$A:$A,Locales!$B:$B,""),"")</f>
        <v/>
      </c>
    </row>
    <row r="1817" spans="3:3" x14ac:dyDescent="0.2">
      <c r="C1817" t="str" cm="1">
        <f t="array" ref="C1817">IFERROR(_xlfn.XLOOKUP(B1817,Locales!$A:$A,Locales!$B:$B,""),"")</f>
        <v/>
      </c>
    </row>
    <row r="1818" spans="3:3" x14ac:dyDescent="0.2">
      <c r="C1818" t="str" cm="1">
        <f t="array" ref="C1818">IFERROR(_xlfn.XLOOKUP(B1818,Locales!$A:$A,Locales!$B:$B,""),"")</f>
        <v/>
      </c>
    </row>
    <row r="1819" spans="3:3" x14ac:dyDescent="0.2">
      <c r="C1819" t="str" cm="1">
        <f t="array" ref="C1819">IFERROR(_xlfn.XLOOKUP(B1819,Locales!$A:$A,Locales!$B:$B,""),"")</f>
        <v/>
      </c>
    </row>
    <row r="1820" spans="3:3" x14ac:dyDescent="0.2">
      <c r="C1820" t="str" cm="1">
        <f t="array" ref="C1820">IFERROR(_xlfn.XLOOKUP(B1820,Locales!$A:$A,Locales!$B:$B,""),"")</f>
        <v/>
      </c>
    </row>
    <row r="1821" spans="3:3" x14ac:dyDescent="0.2">
      <c r="C1821" t="str" cm="1">
        <f t="array" ref="C1821">IFERROR(_xlfn.XLOOKUP(B1821,Locales!$A:$A,Locales!$B:$B,""),"")</f>
        <v/>
      </c>
    </row>
    <row r="1822" spans="3:3" x14ac:dyDescent="0.2">
      <c r="C1822" t="str" cm="1">
        <f t="array" ref="C1822">IFERROR(_xlfn.XLOOKUP(B1822,Locales!$A:$A,Locales!$B:$B,""),"")</f>
        <v/>
      </c>
    </row>
    <row r="1823" spans="3:3" x14ac:dyDescent="0.2">
      <c r="C1823" t="str" cm="1">
        <f t="array" ref="C1823">IFERROR(_xlfn.XLOOKUP(B1823,Locales!$A:$A,Locales!$B:$B,""),"")</f>
        <v/>
      </c>
    </row>
    <row r="1824" spans="3:3" x14ac:dyDescent="0.2">
      <c r="C1824" t="str" cm="1">
        <f t="array" ref="C1824">IFERROR(_xlfn.XLOOKUP(B1824,Locales!$A:$A,Locales!$B:$B,""),"")</f>
        <v/>
      </c>
    </row>
    <row r="1825" spans="3:3" x14ac:dyDescent="0.2">
      <c r="C1825" t="str" cm="1">
        <f t="array" ref="C1825">IFERROR(_xlfn.XLOOKUP(B1825,Locales!$A:$A,Locales!$B:$B,""),"")</f>
        <v/>
      </c>
    </row>
    <row r="1826" spans="3:3" x14ac:dyDescent="0.2">
      <c r="C1826" t="str" cm="1">
        <f t="array" ref="C1826">IFERROR(_xlfn.XLOOKUP(B1826,Locales!$A:$A,Locales!$B:$B,""),"")</f>
        <v/>
      </c>
    </row>
    <row r="1827" spans="3:3" x14ac:dyDescent="0.2">
      <c r="C1827" t="str" cm="1">
        <f t="array" ref="C1827">IFERROR(_xlfn.XLOOKUP(B1827,Locales!$A:$A,Locales!$B:$B,""),"")</f>
        <v/>
      </c>
    </row>
    <row r="1828" spans="3:3" x14ac:dyDescent="0.2">
      <c r="C1828" t="str" cm="1">
        <f t="array" ref="C1828">IFERROR(_xlfn.XLOOKUP(B1828,Locales!$A:$A,Locales!$B:$B,""),"")</f>
        <v/>
      </c>
    </row>
    <row r="1829" spans="3:3" x14ac:dyDescent="0.2">
      <c r="C1829" t="str" cm="1">
        <f t="array" ref="C1829">IFERROR(_xlfn.XLOOKUP(B1829,Locales!$A:$A,Locales!$B:$B,""),"")</f>
        <v/>
      </c>
    </row>
    <row r="1830" spans="3:3" x14ac:dyDescent="0.2">
      <c r="C1830" t="str" cm="1">
        <f t="array" ref="C1830">IFERROR(_xlfn.XLOOKUP(B1830,Locales!$A:$A,Locales!$B:$B,""),"")</f>
        <v/>
      </c>
    </row>
    <row r="1831" spans="3:3" x14ac:dyDescent="0.2">
      <c r="C1831" t="str" cm="1">
        <f t="array" ref="C1831">IFERROR(_xlfn.XLOOKUP(B1831,Locales!$A:$A,Locales!$B:$B,""),"")</f>
        <v/>
      </c>
    </row>
    <row r="1832" spans="3:3" x14ac:dyDescent="0.2">
      <c r="C1832" t="str" cm="1">
        <f t="array" ref="C1832">IFERROR(_xlfn.XLOOKUP(B1832,Locales!$A:$A,Locales!$B:$B,""),"")</f>
        <v/>
      </c>
    </row>
    <row r="1833" spans="3:3" x14ac:dyDescent="0.2">
      <c r="C1833" t="str" cm="1">
        <f t="array" ref="C1833">IFERROR(_xlfn.XLOOKUP(B1833,Locales!$A:$A,Locales!$B:$B,""),"")</f>
        <v/>
      </c>
    </row>
    <row r="1834" spans="3:3" x14ac:dyDescent="0.2">
      <c r="C1834" t="str" cm="1">
        <f t="array" ref="C1834">IFERROR(_xlfn.XLOOKUP(B1834,Locales!$A:$A,Locales!$B:$B,""),"")</f>
        <v/>
      </c>
    </row>
    <row r="1835" spans="3:3" x14ac:dyDescent="0.2">
      <c r="C1835" t="str" cm="1">
        <f t="array" ref="C1835">IFERROR(_xlfn.XLOOKUP(B1835,Locales!$A:$A,Locales!$B:$B,""),"")</f>
        <v/>
      </c>
    </row>
    <row r="1836" spans="3:3" x14ac:dyDescent="0.2">
      <c r="C1836" t="str" cm="1">
        <f t="array" ref="C1836">IFERROR(_xlfn.XLOOKUP(B1836,Locales!$A:$A,Locales!$B:$B,""),"")</f>
        <v/>
      </c>
    </row>
    <row r="1837" spans="3:3" x14ac:dyDescent="0.2">
      <c r="C1837" t="str" cm="1">
        <f t="array" ref="C1837">IFERROR(_xlfn.XLOOKUP(B1837,Locales!$A:$A,Locales!$B:$B,""),"")</f>
        <v/>
      </c>
    </row>
    <row r="1838" spans="3:3" x14ac:dyDescent="0.2">
      <c r="C1838" t="str" cm="1">
        <f t="array" ref="C1838">IFERROR(_xlfn.XLOOKUP(B1838,Locales!$A:$A,Locales!$B:$B,""),"")</f>
        <v/>
      </c>
    </row>
    <row r="1839" spans="3:3" x14ac:dyDescent="0.2">
      <c r="C1839" t="str" cm="1">
        <f t="array" ref="C1839">IFERROR(_xlfn.XLOOKUP(B1839,Locales!$A:$A,Locales!$B:$B,""),"")</f>
        <v/>
      </c>
    </row>
    <row r="1840" spans="3:3" x14ac:dyDescent="0.2">
      <c r="C1840" t="str" cm="1">
        <f t="array" ref="C1840">IFERROR(_xlfn.XLOOKUP(B1840,Locales!$A:$A,Locales!$B:$B,""),"")</f>
        <v/>
      </c>
    </row>
    <row r="1841" spans="3:3" x14ac:dyDescent="0.2">
      <c r="C1841" t="str" cm="1">
        <f t="array" ref="C1841">IFERROR(_xlfn.XLOOKUP(B1841,Locales!$A:$A,Locales!$B:$B,""),"")</f>
        <v/>
      </c>
    </row>
    <row r="1842" spans="3:3" x14ac:dyDescent="0.2">
      <c r="C1842" t="str" cm="1">
        <f t="array" ref="C1842">IFERROR(_xlfn.XLOOKUP(B1842,Locales!$A:$A,Locales!$B:$B,""),"")</f>
        <v/>
      </c>
    </row>
    <row r="1843" spans="3:3" x14ac:dyDescent="0.2">
      <c r="C1843" t="str" cm="1">
        <f t="array" ref="C1843">IFERROR(_xlfn.XLOOKUP(B1843,Locales!$A:$A,Locales!$B:$B,""),"")</f>
        <v/>
      </c>
    </row>
    <row r="1844" spans="3:3" x14ac:dyDescent="0.2">
      <c r="C1844" t="str" cm="1">
        <f t="array" ref="C1844">IFERROR(_xlfn.XLOOKUP(B1844,Locales!$A:$A,Locales!$B:$B,""),"")</f>
        <v/>
      </c>
    </row>
    <row r="1845" spans="3:3" x14ac:dyDescent="0.2">
      <c r="C1845" cm="1">
        <f t="array" ref="C1845">IFERROR(_xlfn.XLOOKUP(B1845,Locales!$A:$A,Locales!$B:$B,""),"")</f>
        <v>0</v>
      </c>
    </row>
    <row r="1846" spans="3:3" x14ac:dyDescent="0.2">
      <c r="C1846" t="str" cm="1">
        <f t="array" ref="C1846">IFERROR(_xlfn.XLOOKUP(B1846,Locales!$A:$A,Locales!$B:$B,""),"")</f>
        <v/>
      </c>
    </row>
    <row r="1847" spans="3:3" x14ac:dyDescent="0.2">
      <c r="C1847" t="str" cm="1">
        <f t="array" ref="C1847">IFERROR(_xlfn.XLOOKUP(B1847,Locales!$A:$A,Locales!$B:$B,""),"")</f>
        <v/>
      </c>
    </row>
    <row r="1848" spans="3:3" x14ac:dyDescent="0.2">
      <c r="C1848" t="str" cm="1">
        <f t="array" ref="C1848">IFERROR(_xlfn.XLOOKUP(B1848,Locales!$A:$A,Locales!$B:$B,""),"")</f>
        <v/>
      </c>
    </row>
    <row r="1849" spans="3:3" x14ac:dyDescent="0.2">
      <c r="C1849" t="str" cm="1">
        <f t="array" ref="C1849">IFERROR(_xlfn.XLOOKUP(B1849,Locales!$A:$A,Locales!$B:$B,""),"")</f>
        <v/>
      </c>
    </row>
    <row r="1850" spans="3:3" x14ac:dyDescent="0.2">
      <c r="C1850" t="str" cm="1">
        <f t="array" ref="C1850">IFERROR(_xlfn.XLOOKUP(B1850,Locales!$A:$A,Locales!$B:$B,""),"")</f>
        <v/>
      </c>
    </row>
    <row r="1851" spans="3:3" x14ac:dyDescent="0.2">
      <c r="C1851" t="str" cm="1">
        <f t="array" ref="C1851">IFERROR(_xlfn.XLOOKUP(B1851,Locales!$A:$A,Locales!$B:$B,""),"")</f>
        <v/>
      </c>
    </row>
    <row r="1852" spans="3:3" x14ac:dyDescent="0.2">
      <c r="C1852" t="str" cm="1">
        <f t="array" ref="C1852">IFERROR(_xlfn.XLOOKUP(B1852,Locales!$A:$A,Locales!$B:$B,""),"")</f>
        <v/>
      </c>
    </row>
    <row r="1853" spans="3:3" x14ac:dyDescent="0.2">
      <c r="C1853" t="str" cm="1">
        <f t="array" ref="C1853">IFERROR(_xlfn.XLOOKUP(B1853,Locales!$A:$A,Locales!$B:$B,""),"")</f>
        <v/>
      </c>
    </row>
    <row r="1854" spans="3:3" x14ac:dyDescent="0.2">
      <c r="C1854" t="str" cm="1">
        <f t="array" ref="C1854">IFERROR(_xlfn.XLOOKUP(B1854,Locales!$A:$A,Locales!$B:$B,""),"")</f>
        <v/>
      </c>
    </row>
    <row r="1855" spans="3:3" x14ac:dyDescent="0.2">
      <c r="C1855" t="str" cm="1">
        <f t="array" ref="C1855">IFERROR(_xlfn.XLOOKUP(B1855,Locales!$A:$A,Locales!$B:$B,""),"")</f>
        <v/>
      </c>
    </row>
    <row r="1856" spans="3:3" x14ac:dyDescent="0.2">
      <c r="C1856" t="str" cm="1">
        <f t="array" ref="C1856">IFERROR(_xlfn.XLOOKUP(B1856,Locales!$A:$A,Locales!$B:$B,""),"")</f>
        <v/>
      </c>
    </row>
    <row r="1857" spans="3:3" x14ac:dyDescent="0.2">
      <c r="C1857" t="str" cm="1">
        <f t="array" ref="C1857">IFERROR(_xlfn.XLOOKUP(B1857,Locales!$A:$A,Locales!$B:$B,""),"")</f>
        <v/>
      </c>
    </row>
    <row r="1858" spans="3:3" x14ac:dyDescent="0.2">
      <c r="C1858" t="str" cm="1">
        <f t="array" ref="C1858">IFERROR(_xlfn.XLOOKUP(B1858,Locales!$A:$A,Locales!$B:$B,""),"")</f>
        <v/>
      </c>
    </row>
    <row r="1859" spans="3:3" x14ac:dyDescent="0.2">
      <c r="C1859" t="str" cm="1">
        <f t="array" ref="C1859">IFERROR(_xlfn.XLOOKUP(B1859,Locales!$A:$A,Locales!$B:$B,""),"")</f>
        <v/>
      </c>
    </row>
    <row r="1860" spans="3:3" x14ac:dyDescent="0.2">
      <c r="C1860" t="str" cm="1">
        <f t="array" ref="C1860">IFERROR(_xlfn.XLOOKUP(B1860,Locales!$A:$A,Locales!$B:$B,""),"")</f>
        <v/>
      </c>
    </row>
    <row r="1861" spans="3:3" x14ac:dyDescent="0.2">
      <c r="C1861" t="str" cm="1">
        <f t="array" ref="C1861">IFERROR(_xlfn.XLOOKUP(B1861,Locales!$A:$A,Locales!$B:$B,""),"")</f>
        <v/>
      </c>
    </row>
    <row r="1862" spans="3:3" x14ac:dyDescent="0.2">
      <c r="C1862" t="str" cm="1">
        <f t="array" ref="C1862">IFERROR(_xlfn.XLOOKUP(B1862,Locales!$A:$A,Locales!$B:$B,""),"")</f>
        <v/>
      </c>
    </row>
    <row r="1863" spans="3:3" x14ac:dyDescent="0.2">
      <c r="C1863" t="str" cm="1">
        <f t="array" ref="C1863">IFERROR(_xlfn.XLOOKUP(B1863,Locales!$A:$A,Locales!$B:$B,""),"")</f>
        <v/>
      </c>
    </row>
    <row r="1864" spans="3:3" x14ac:dyDescent="0.2">
      <c r="C1864" t="str" cm="1">
        <f t="array" ref="C1864">IFERROR(_xlfn.XLOOKUP(B1864,Locales!$A:$A,Locales!$B:$B,""),"")</f>
        <v/>
      </c>
    </row>
    <row r="1865" spans="3:3" x14ac:dyDescent="0.2">
      <c r="C1865" t="str" cm="1">
        <f t="array" ref="C1865">IFERROR(_xlfn.XLOOKUP(B1865,Locales!$A:$A,Locales!$B:$B,""),"")</f>
        <v/>
      </c>
    </row>
    <row r="1866" spans="3:3" x14ac:dyDescent="0.2">
      <c r="C1866" t="str" cm="1">
        <f t="array" ref="C1866">IFERROR(_xlfn.XLOOKUP(B1866,Locales!$A:$A,Locales!$B:$B,""),"")</f>
        <v/>
      </c>
    </row>
    <row r="1867" spans="3:3" x14ac:dyDescent="0.2">
      <c r="C1867" t="str" cm="1">
        <f t="array" ref="C1867">IFERROR(_xlfn.XLOOKUP(B1867,Locales!$A:$A,Locales!$B:$B,""),"")</f>
        <v/>
      </c>
    </row>
    <row r="1868" spans="3:3" x14ac:dyDescent="0.2">
      <c r="C1868" t="str" cm="1">
        <f t="array" ref="C1868">IFERROR(_xlfn.XLOOKUP(B1868,Locales!$A:$A,Locales!$B:$B,""),"")</f>
        <v/>
      </c>
    </row>
    <row r="1869" spans="3:3" x14ac:dyDescent="0.2">
      <c r="C1869" t="str" cm="1">
        <f t="array" ref="C1869">IFERROR(_xlfn.XLOOKUP(B1869,Locales!$A:$A,Locales!$B:$B,""),"")</f>
        <v/>
      </c>
    </row>
    <row r="1870" spans="3:3" x14ac:dyDescent="0.2">
      <c r="C1870" t="str" cm="1">
        <f t="array" ref="C1870">IFERROR(_xlfn.XLOOKUP(B1870,Locales!$A:$A,Locales!$B:$B,""),"")</f>
        <v/>
      </c>
    </row>
    <row r="1871" spans="3:3" x14ac:dyDescent="0.2">
      <c r="C1871" t="str" cm="1">
        <f t="array" ref="C1871">IFERROR(_xlfn.XLOOKUP(B1871,Locales!$A:$A,Locales!$B:$B,""),"")</f>
        <v/>
      </c>
    </row>
    <row r="1872" spans="3:3" x14ac:dyDescent="0.2">
      <c r="C1872" t="str" cm="1">
        <f t="array" ref="C1872">IFERROR(_xlfn.XLOOKUP(B1872,Locales!$A:$A,Locales!$B:$B,""),"")</f>
        <v/>
      </c>
    </row>
    <row r="1873" spans="3:3" x14ac:dyDescent="0.2">
      <c r="C1873" t="str" cm="1">
        <f t="array" ref="C1873">IFERROR(_xlfn.XLOOKUP(B1873,Locales!$A:$A,Locales!$B:$B,""),"")</f>
        <v/>
      </c>
    </row>
    <row r="1874" spans="3:3" x14ac:dyDescent="0.2">
      <c r="C1874" t="str" cm="1">
        <f t="array" ref="C1874">IFERROR(_xlfn.XLOOKUP(B1874,Locales!$A:$A,Locales!$B:$B,""),"")</f>
        <v/>
      </c>
    </row>
    <row r="1875" spans="3:3" x14ac:dyDescent="0.2">
      <c r="C1875" t="str" cm="1">
        <f t="array" ref="C1875">IFERROR(_xlfn.XLOOKUP(B1875,Locales!$A:$A,Locales!$B:$B,""),"")</f>
        <v/>
      </c>
    </row>
    <row r="1876" spans="3:3" x14ac:dyDescent="0.2">
      <c r="C1876" t="str" cm="1">
        <f t="array" ref="C1876">IFERROR(_xlfn.XLOOKUP(B1876,Locales!$A:$A,Locales!$B:$B,""),"")</f>
        <v/>
      </c>
    </row>
    <row r="1877" spans="3:3" x14ac:dyDescent="0.2">
      <c r="C1877" cm="1">
        <f t="array" ref="C1877">IFERROR(_xlfn.XLOOKUP(B1877,Locales!$A:$A,Locales!$B:$B,""),"")</f>
        <v>0</v>
      </c>
    </row>
    <row r="1878" spans="3:3" x14ac:dyDescent="0.2">
      <c r="C1878" t="str" cm="1">
        <f t="array" ref="C1878">IFERROR(_xlfn.XLOOKUP(B1878,Locales!$A:$A,Locales!$B:$B,""),"")</f>
        <v/>
      </c>
    </row>
    <row r="1879" spans="3:3" x14ac:dyDescent="0.2">
      <c r="C1879" t="str" cm="1">
        <f t="array" ref="C1879">IFERROR(_xlfn.XLOOKUP(B1879,Locales!$A:$A,Locales!$B:$B,""),"")</f>
        <v/>
      </c>
    </row>
    <row r="1880" spans="3:3" x14ac:dyDescent="0.2">
      <c r="C1880" t="str" cm="1">
        <f t="array" ref="C1880">IFERROR(_xlfn.XLOOKUP(B1880,Locales!$A:$A,Locales!$B:$B,""),"")</f>
        <v/>
      </c>
    </row>
    <row r="1881" spans="3:3" x14ac:dyDescent="0.2">
      <c r="C1881" t="str" cm="1">
        <f t="array" ref="C1881">IFERROR(_xlfn.XLOOKUP(B1881,Locales!$A:$A,Locales!$B:$B,""),"")</f>
        <v/>
      </c>
    </row>
    <row r="1882" spans="3:3" x14ac:dyDescent="0.2">
      <c r="C1882" t="str" cm="1">
        <f t="array" ref="C1882">IFERROR(_xlfn.XLOOKUP(B1882,Locales!$A:$A,Locales!$B:$B,""),"")</f>
        <v/>
      </c>
    </row>
    <row r="1883" spans="3:3" x14ac:dyDescent="0.2">
      <c r="C1883" t="str" cm="1">
        <f t="array" ref="C1883">IFERROR(_xlfn.XLOOKUP(B1883,Locales!$A:$A,Locales!$B:$B,""),"")</f>
        <v/>
      </c>
    </row>
    <row r="1884" spans="3:3" x14ac:dyDescent="0.2">
      <c r="C1884" t="str" cm="1">
        <f t="array" ref="C1884">IFERROR(_xlfn.XLOOKUP(B1884,Locales!$A:$A,Locales!$B:$B,""),"")</f>
        <v/>
      </c>
    </row>
    <row r="1885" spans="3:3" x14ac:dyDescent="0.2">
      <c r="C1885" t="str" cm="1">
        <f t="array" ref="C1885">IFERROR(_xlfn.XLOOKUP(B1885,Locales!$A:$A,Locales!$B:$B,""),"")</f>
        <v/>
      </c>
    </row>
    <row r="1886" spans="3:3" x14ac:dyDescent="0.2">
      <c r="C1886" t="str" cm="1">
        <f t="array" ref="C1886">IFERROR(_xlfn.XLOOKUP(B1886,Locales!$A:$A,Locales!$B:$B,""),"")</f>
        <v/>
      </c>
    </row>
    <row r="1887" spans="3:3" x14ac:dyDescent="0.2">
      <c r="C1887" t="str" cm="1">
        <f t="array" ref="C1887">IFERROR(_xlfn.XLOOKUP(B1887,Locales!$A:$A,Locales!$B:$B,""),"")</f>
        <v/>
      </c>
    </row>
    <row r="1888" spans="3:3" x14ac:dyDescent="0.2">
      <c r="C1888" t="str" cm="1">
        <f t="array" ref="C1888">IFERROR(_xlfn.XLOOKUP(B1888,Locales!$A:$A,Locales!$B:$B,""),"")</f>
        <v/>
      </c>
    </row>
    <row r="1889" spans="3:3" x14ac:dyDescent="0.2">
      <c r="C1889" t="str" cm="1">
        <f t="array" ref="C1889">IFERROR(_xlfn.XLOOKUP(B1889,Locales!$A:$A,Locales!$B:$B,""),"")</f>
        <v/>
      </c>
    </row>
    <row r="1890" spans="3:3" x14ac:dyDescent="0.2">
      <c r="C1890" t="str" cm="1">
        <f t="array" ref="C1890">IFERROR(_xlfn.XLOOKUP(B1890,Locales!$A:$A,Locales!$B:$B,""),"")</f>
        <v/>
      </c>
    </row>
    <row r="1891" spans="3:3" x14ac:dyDescent="0.2">
      <c r="C1891" t="str" cm="1">
        <f t="array" ref="C1891">IFERROR(_xlfn.XLOOKUP(B1891,Locales!$A:$A,Locales!$B:$B,""),"")</f>
        <v/>
      </c>
    </row>
    <row r="1892" spans="3:3" x14ac:dyDescent="0.2">
      <c r="C1892" t="str" cm="1">
        <f t="array" ref="C1892">IFERROR(_xlfn.XLOOKUP(B1892,Locales!$A:$A,Locales!$B:$B,""),"")</f>
        <v/>
      </c>
    </row>
    <row r="1893" spans="3:3" x14ac:dyDescent="0.2">
      <c r="C1893" t="str" cm="1">
        <f t="array" ref="C1893">IFERROR(_xlfn.XLOOKUP(B1893,Locales!$A:$A,Locales!$B:$B,""),"")</f>
        <v/>
      </c>
    </row>
    <row r="1894" spans="3:3" x14ac:dyDescent="0.2">
      <c r="C1894" t="str" cm="1">
        <f t="array" ref="C1894">IFERROR(_xlfn.XLOOKUP(B1894,Locales!$A:$A,Locales!$B:$B,""),"")</f>
        <v/>
      </c>
    </row>
    <row r="1895" spans="3:3" x14ac:dyDescent="0.2">
      <c r="C1895" t="str" cm="1">
        <f t="array" ref="C1895">IFERROR(_xlfn.XLOOKUP(B1895,Locales!$A:$A,Locales!$B:$B,""),"")</f>
        <v/>
      </c>
    </row>
    <row r="1896" spans="3:3" x14ac:dyDescent="0.2">
      <c r="C1896" t="str" cm="1">
        <f t="array" ref="C1896">IFERROR(_xlfn.XLOOKUP(B1896,Locales!$A:$A,Locales!$B:$B,""),"")</f>
        <v/>
      </c>
    </row>
    <row r="1897" spans="3:3" x14ac:dyDescent="0.2">
      <c r="C1897" t="str" cm="1">
        <f t="array" ref="C1897">IFERROR(_xlfn.XLOOKUP(B1897,Locales!$A:$A,Locales!$B:$B,""),"")</f>
        <v/>
      </c>
    </row>
    <row r="1898" spans="3:3" x14ac:dyDescent="0.2">
      <c r="C1898" t="str" cm="1">
        <f t="array" ref="C1898">IFERROR(_xlfn.XLOOKUP(B1898,Locales!$A:$A,Locales!$B:$B,""),"")</f>
        <v/>
      </c>
    </row>
    <row r="1899" spans="3:3" x14ac:dyDescent="0.2">
      <c r="C1899" t="str" cm="1">
        <f t="array" ref="C1899">IFERROR(_xlfn.XLOOKUP(B1899,Locales!$A:$A,Locales!$B:$B,""),"")</f>
        <v/>
      </c>
    </row>
    <row r="1900" spans="3:3" x14ac:dyDescent="0.2">
      <c r="C1900" t="str" cm="1">
        <f t="array" ref="C1900">IFERROR(_xlfn.XLOOKUP(B1900,Locales!$A:$A,Locales!$B:$B,""),"")</f>
        <v/>
      </c>
    </row>
    <row r="1901" spans="3:3" x14ac:dyDescent="0.2">
      <c r="C1901" t="str" cm="1">
        <f t="array" ref="C1901">IFERROR(_xlfn.XLOOKUP(B1901,Locales!$A:$A,Locales!$B:$B,""),"")</f>
        <v/>
      </c>
    </row>
    <row r="1902" spans="3:3" x14ac:dyDescent="0.2">
      <c r="C1902" t="str" cm="1">
        <f t="array" ref="C1902">IFERROR(_xlfn.XLOOKUP(B1902,Locales!$A:$A,Locales!$B:$B,""),"")</f>
        <v/>
      </c>
    </row>
    <row r="1903" spans="3:3" x14ac:dyDescent="0.2">
      <c r="C1903" t="str" cm="1">
        <f t="array" ref="C1903">IFERROR(_xlfn.XLOOKUP(B1903,Locales!$A:$A,Locales!$B:$B,""),"")</f>
        <v/>
      </c>
    </row>
    <row r="1904" spans="3:3" x14ac:dyDescent="0.2">
      <c r="C1904" t="str" cm="1">
        <f t="array" ref="C1904">IFERROR(_xlfn.XLOOKUP(B1904,Locales!$A:$A,Locales!$B:$B,""),"")</f>
        <v/>
      </c>
    </row>
    <row r="1905" spans="3:3" x14ac:dyDescent="0.2">
      <c r="C1905" t="str" cm="1">
        <f t="array" ref="C1905">IFERROR(_xlfn.XLOOKUP(B1905,Locales!$A:$A,Locales!$B:$B,""),"")</f>
        <v/>
      </c>
    </row>
    <row r="1906" spans="3:3" x14ac:dyDescent="0.2">
      <c r="C1906" t="str" cm="1">
        <f t="array" ref="C1906">IFERROR(_xlfn.XLOOKUP(B1906,Locales!$A:$A,Locales!$B:$B,""),"")</f>
        <v/>
      </c>
    </row>
    <row r="1907" spans="3:3" x14ac:dyDescent="0.2">
      <c r="C1907" t="str" cm="1">
        <f t="array" ref="C1907">IFERROR(_xlfn.XLOOKUP(B1907,Locales!$A:$A,Locales!$B:$B,""),"")</f>
        <v/>
      </c>
    </row>
    <row r="1908" spans="3:3" x14ac:dyDescent="0.2">
      <c r="C1908" t="str" cm="1">
        <f t="array" ref="C1908">IFERROR(_xlfn.XLOOKUP(B1908,Locales!$A:$A,Locales!$B:$B,""),"")</f>
        <v/>
      </c>
    </row>
    <row r="1909" spans="3:3" x14ac:dyDescent="0.2">
      <c r="C1909" cm="1">
        <f t="array" ref="C1909">IFERROR(_xlfn.XLOOKUP(B1909,Locales!$A:$A,Locales!$B:$B,""),"")</f>
        <v>0</v>
      </c>
    </row>
    <row r="1910" spans="3:3" x14ac:dyDescent="0.2">
      <c r="C1910" t="str" cm="1">
        <f t="array" ref="C1910">IFERROR(_xlfn.XLOOKUP(B1910,Locales!$A:$A,Locales!$B:$B,""),"")</f>
        <v/>
      </c>
    </row>
    <row r="1911" spans="3:3" x14ac:dyDescent="0.2">
      <c r="C1911" t="str" cm="1">
        <f t="array" ref="C1911">IFERROR(_xlfn.XLOOKUP(B1911,Locales!$A:$A,Locales!$B:$B,""),"")</f>
        <v/>
      </c>
    </row>
    <row r="1912" spans="3:3" x14ac:dyDescent="0.2">
      <c r="C1912" t="str" cm="1">
        <f t="array" ref="C1912">IFERROR(_xlfn.XLOOKUP(B1912,Locales!$A:$A,Locales!$B:$B,""),"")</f>
        <v/>
      </c>
    </row>
    <row r="1913" spans="3:3" x14ac:dyDescent="0.2">
      <c r="C1913" t="str" cm="1">
        <f t="array" ref="C1913">IFERROR(_xlfn.XLOOKUP(B1913,Locales!$A:$A,Locales!$B:$B,""),"")</f>
        <v/>
      </c>
    </row>
    <row r="1914" spans="3:3" x14ac:dyDescent="0.2">
      <c r="C1914" t="str" cm="1">
        <f t="array" ref="C1914">IFERROR(_xlfn.XLOOKUP(B1914,Locales!$A:$A,Locales!$B:$B,""),"")</f>
        <v/>
      </c>
    </row>
    <row r="1915" spans="3:3" x14ac:dyDescent="0.2">
      <c r="C1915" t="str" cm="1">
        <f t="array" ref="C1915">IFERROR(_xlfn.XLOOKUP(B1915,Locales!$A:$A,Locales!$B:$B,""),"")</f>
        <v/>
      </c>
    </row>
    <row r="1916" spans="3:3" x14ac:dyDescent="0.2">
      <c r="C1916" t="str" cm="1">
        <f t="array" ref="C1916">IFERROR(_xlfn.XLOOKUP(B1916,Locales!$A:$A,Locales!$B:$B,""),"")</f>
        <v/>
      </c>
    </row>
    <row r="1917" spans="3:3" x14ac:dyDescent="0.2">
      <c r="C1917" t="str" cm="1">
        <f t="array" ref="C1917">IFERROR(_xlfn.XLOOKUP(B1917,Locales!$A:$A,Locales!$B:$B,""),"")</f>
        <v/>
      </c>
    </row>
    <row r="1918" spans="3:3" x14ac:dyDescent="0.2">
      <c r="C1918" t="str" cm="1">
        <f t="array" ref="C1918">IFERROR(_xlfn.XLOOKUP(B1918,Locales!$A:$A,Locales!$B:$B,""),"")</f>
        <v/>
      </c>
    </row>
    <row r="1919" spans="3:3" x14ac:dyDescent="0.2">
      <c r="C1919" t="str" cm="1">
        <f t="array" ref="C1919">IFERROR(_xlfn.XLOOKUP(B1919,Locales!$A:$A,Locales!$B:$B,""),"")</f>
        <v/>
      </c>
    </row>
    <row r="1920" spans="3:3" x14ac:dyDescent="0.2">
      <c r="C1920" t="str" cm="1">
        <f t="array" ref="C1920">IFERROR(_xlfn.XLOOKUP(B1920,Locales!$A:$A,Locales!$B:$B,""),"")</f>
        <v/>
      </c>
    </row>
    <row r="1921" spans="3:3" x14ac:dyDescent="0.2">
      <c r="C1921" t="str" cm="1">
        <f t="array" ref="C1921">IFERROR(_xlfn.XLOOKUP(B1921,Locales!$A:$A,Locales!$B:$B,""),"")</f>
        <v/>
      </c>
    </row>
    <row r="1922" spans="3:3" x14ac:dyDescent="0.2">
      <c r="C1922" t="str" cm="1">
        <f t="array" ref="C1922">IFERROR(_xlfn.XLOOKUP(B1922,Locales!$A:$A,Locales!$B:$B,""),"")</f>
        <v/>
      </c>
    </row>
    <row r="1923" spans="3:3" x14ac:dyDescent="0.2">
      <c r="C1923" t="str" cm="1">
        <f t="array" ref="C1923">IFERROR(_xlfn.XLOOKUP(B1923,Locales!$A:$A,Locales!$B:$B,""),"")</f>
        <v/>
      </c>
    </row>
    <row r="1924" spans="3:3" x14ac:dyDescent="0.2">
      <c r="C1924" t="str" cm="1">
        <f t="array" ref="C1924">IFERROR(_xlfn.XLOOKUP(B1924,Locales!$A:$A,Locales!$B:$B,""),"")</f>
        <v/>
      </c>
    </row>
    <row r="1925" spans="3:3" x14ac:dyDescent="0.2">
      <c r="C1925" t="str" cm="1">
        <f t="array" ref="C1925">IFERROR(_xlfn.XLOOKUP(B1925,Locales!$A:$A,Locales!$B:$B,""),"")</f>
        <v/>
      </c>
    </row>
    <row r="1926" spans="3:3" x14ac:dyDescent="0.2">
      <c r="C1926" t="str" cm="1">
        <f t="array" ref="C1926">IFERROR(_xlfn.XLOOKUP(B1926,Locales!$A:$A,Locales!$B:$B,""),"")</f>
        <v/>
      </c>
    </row>
    <row r="1927" spans="3:3" x14ac:dyDescent="0.2">
      <c r="C1927" t="str" cm="1">
        <f t="array" ref="C1927">IFERROR(_xlfn.XLOOKUP(B1927,Locales!$A:$A,Locales!$B:$B,""),"")</f>
        <v/>
      </c>
    </row>
    <row r="1928" spans="3:3" x14ac:dyDescent="0.2">
      <c r="C1928" t="str" cm="1">
        <f t="array" ref="C1928">IFERROR(_xlfn.XLOOKUP(B1928,Locales!$A:$A,Locales!$B:$B,""),"")</f>
        <v/>
      </c>
    </row>
    <row r="1929" spans="3:3" x14ac:dyDescent="0.2">
      <c r="C1929" t="str" cm="1">
        <f t="array" ref="C1929">IFERROR(_xlfn.XLOOKUP(B1929,Locales!$A:$A,Locales!$B:$B,""),"")</f>
        <v/>
      </c>
    </row>
    <row r="1930" spans="3:3" x14ac:dyDescent="0.2">
      <c r="C1930" t="str" cm="1">
        <f t="array" ref="C1930">IFERROR(_xlfn.XLOOKUP(B1930,Locales!$A:$A,Locales!$B:$B,""),"")</f>
        <v/>
      </c>
    </row>
    <row r="1931" spans="3:3" x14ac:dyDescent="0.2">
      <c r="C1931" t="str" cm="1">
        <f t="array" ref="C1931">IFERROR(_xlfn.XLOOKUP(B1931,Locales!$A:$A,Locales!$B:$B,""),"")</f>
        <v/>
      </c>
    </row>
    <row r="1932" spans="3:3" x14ac:dyDescent="0.2">
      <c r="C1932" t="str" cm="1">
        <f t="array" ref="C1932">IFERROR(_xlfn.XLOOKUP(B1932,Locales!$A:$A,Locales!$B:$B,""),"")</f>
        <v/>
      </c>
    </row>
    <row r="1933" spans="3:3" x14ac:dyDescent="0.2">
      <c r="C1933" t="str" cm="1">
        <f t="array" ref="C1933">IFERROR(_xlfn.XLOOKUP(B1933,Locales!$A:$A,Locales!$B:$B,""),"")</f>
        <v/>
      </c>
    </row>
    <row r="1934" spans="3:3" x14ac:dyDescent="0.2">
      <c r="C1934" t="str" cm="1">
        <f t="array" ref="C1934">IFERROR(_xlfn.XLOOKUP(B1934,Locales!$A:$A,Locales!$B:$B,""),"")</f>
        <v/>
      </c>
    </row>
    <row r="1935" spans="3:3" x14ac:dyDescent="0.2">
      <c r="C1935" t="str" cm="1">
        <f t="array" ref="C1935">IFERROR(_xlfn.XLOOKUP(B1935,Locales!$A:$A,Locales!$B:$B,""),"")</f>
        <v/>
      </c>
    </row>
    <row r="1936" spans="3:3" x14ac:dyDescent="0.2">
      <c r="C1936" t="str" cm="1">
        <f t="array" ref="C1936">IFERROR(_xlfn.XLOOKUP(B1936,Locales!$A:$A,Locales!$B:$B,""),"")</f>
        <v/>
      </c>
    </row>
    <row r="1937" spans="3:3" x14ac:dyDescent="0.2">
      <c r="C1937" t="str" cm="1">
        <f t="array" ref="C1937">IFERROR(_xlfn.XLOOKUP(B1937,Locales!$A:$A,Locales!$B:$B,""),"")</f>
        <v/>
      </c>
    </row>
    <row r="1938" spans="3:3" x14ac:dyDescent="0.2">
      <c r="C1938" t="str" cm="1">
        <f t="array" ref="C1938">IFERROR(_xlfn.XLOOKUP(B1938,Locales!$A:$A,Locales!$B:$B,""),"")</f>
        <v/>
      </c>
    </row>
    <row r="1939" spans="3:3" x14ac:dyDescent="0.2">
      <c r="C1939" t="str" cm="1">
        <f t="array" ref="C1939">IFERROR(_xlfn.XLOOKUP(B1939,Locales!$A:$A,Locales!$B:$B,""),"")</f>
        <v/>
      </c>
    </row>
    <row r="1940" spans="3:3" x14ac:dyDescent="0.2">
      <c r="C1940" t="str" cm="1">
        <f t="array" ref="C1940">IFERROR(_xlfn.XLOOKUP(B1940,Locales!$A:$A,Locales!$B:$B,""),"")</f>
        <v/>
      </c>
    </row>
    <row r="1941" spans="3:3" x14ac:dyDescent="0.2">
      <c r="C1941" cm="1">
        <f t="array" ref="C1941">IFERROR(_xlfn.XLOOKUP(B1941,Locales!$A:$A,Locales!$B:$B,""),"")</f>
        <v>0</v>
      </c>
    </row>
    <row r="1942" spans="3:3" x14ac:dyDescent="0.2">
      <c r="C1942" t="str" cm="1">
        <f t="array" ref="C1942">IFERROR(_xlfn.XLOOKUP(B1942,Locales!$A:$A,Locales!$B:$B,""),"")</f>
        <v/>
      </c>
    </row>
    <row r="1943" spans="3:3" x14ac:dyDescent="0.2">
      <c r="C1943" t="str" cm="1">
        <f t="array" ref="C1943">IFERROR(_xlfn.XLOOKUP(B1943,Locales!$A:$A,Locales!$B:$B,""),"")</f>
        <v/>
      </c>
    </row>
    <row r="1944" spans="3:3" x14ac:dyDescent="0.2">
      <c r="C1944" t="str" cm="1">
        <f t="array" ref="C1944">IFERROR(_xlfn.XLOOKUP(B1944,Locales!$A:$A,Locales!$B:$B,""),"")</f>
        <v/>
      </c>
    </row>
    <row r="1945" spans="3:3" x14ac:dyDescent="0.2">
      <c r="C1945" t="str" cm="1">
        <f t="array" ref="C1945">IFERROR(_xlfn.XLOOKUP(B1945,Locales!$A:$A,Locales!$B:$B,""),"")</f>
        <v/>
      </c>
    </row>
    <row r="1946" spans="3:3" x14ac:dyDescent="0.2">
      <c r="C1946" t="str" cm="1">
        <f t="array" ref="C1946">IFERROR(_xlfn.XLOOKUP(B1946,Locales!$A:$A,Locales!$B:$B,""),"")</f>
        <v/>
      </c>
    </row>
    <row r="1947" spans="3:3" x14ac:dyDescent="0.2">
      <c r="C1947" t="str" cm="1">
        <f t="array" ref="C1947">IFERROR(_xlfn.XLOOKUP(B1947,Locales!$A:$A,Locales!$B:$B,""),"")</f>
        <v/>
      </c>
    </row>
    <row r="1948" spans="3:3" x14ac:dyDescent="0.2">
      <c r="C1948" t="str" cm="1">
        <f t="array" ref="C1948">IFERROR(_xlfn.XLOOKUP(B1948,Locales!$A:$A,Locales!$B:$B,""),"")</f>
        <v/>
      </c>
    </row>
    <row r="1949" spans="3:3" x14ac:dyDescent="0.2">
      <c r="C1949" t="str" cm="1">
        <f t="array" ref="C1949">IFERROR(_xlfn.XLOOKUP(B1949,Locales!$A:$A,Locales!$B:$B,""),"")</f>
        <v/>
      </c>
    </row>
    <row r="1950" spans="3:3" x14ac:dyDescent="0.2">
      <c r="C1950" t="str" cm="1">
        <f t="array" ref="C1950">IFERROR(_xlfn.XLOOKUP(B1950,Locales!$A:$A,Locales!$B:$B,""),"")</f>
        <v/>
      </c>
    </row>
    <row r="1951" spans="3:3" x14ac:dyDescent="0.2">
      <c r="C1951" t="str" cm="1">
        <f t="array" ref="C1951">IFERROR(_xlfn.XLOOKUP(B1951,Locales!$A:$A,Locales!$B:$B,""),"")</f>
        <v/>
      </c>
    </row>
    <row r="1952" spans="3:3" x14ac:dyDescent="0.2">
      <c r="C1952" t="str" cm="1">
        <f t="array" ref="C1952">IFERROR(_xlfn.XLOOKUP(B1952,Locales!$A:$A,Locales!$B:$B,""),"")</f>
        <v/>
      </c>
    </row>
    <row r="1953" spans="3:3" x14ac:dyDescent="0.2">
      <c r="C1953" t="str" cm="1">
        <f t="array" ref="C1953">IFERROR(_xlfn.XLOOKUP(B1953,Locales!$A:$A,Locales!$B:$B,""),"")</f>
        <v/>
      </c>
    </row>
    <row r="1954" spans="3:3" x14ac:dyDescent="0.2">
      <c r="C1954" t="str" cm="1">
        <f t="array" ref="C1954">IFERROR(_xlfn.XLOOKUP(B1954,Locales!$A:$A,Locales!$B:$B,""),"")</f>
        <v/>
      </c>
    </row>
    <row r="1955" spans="3:3" x14ac:dyDescent="0.2">
      <c r="C1955" t="str" cm="1">
        <f t="array" ref="C1955">IFERROR(_xlfn.XLOOKUP(B1955,Locales!$A:$A,Locales!$B:$B,""),"")</f>
        <v/>
      </c>
    </row>
    <row r="1956" spans="3:3" x14ac:dyDescent="0.2">
      <c r="C1956" t="str" cm="1">
        <f t="array" ref="C1956">IFERROR(_xlfn.XLOOKUP(B1956,Locales!$A:$A,Locales!$B:$B,""),"")</f>
        <v/>
      </c>
    </row>
    <row r="1957" spans="3:3" x14ac:dyDescent="0.2">
      <c r="C1957" t="str" cm="1">
        <f t="array" ref="C1957">IFERROR(_xlfn.XLOOKUP(B1957,Locales!$A:$A,Locales!$B:$B,""),"")</f>
        <v/>
      </c>
    </row>
    <row r="1958" spans="3:3" x14ac:dyDescent="0.2">
      <c r="C1958" t="str" cm="1">
        <f t="array" ref="C1958">IFERROR(_xlfn.XLOOKUP(B1958,Locales!$A:$A,Locales!$B:$B,""),"")</f>
        <v/>
      </c>
    </row>
    <row r="1959" spans="3:3" x14ac:dyDescent="0.2">
      <c r="C1959" t="str" cm="1">
        <f t="array" ref="C1959">IFERROR(_xlfn.XLOOKUP(B1959,Locales!$A:$A,Locales!$B:$B,""),"")</f>
        <v/>
      </c>
    </row>
    <row r="1960" spans="3:3" x14ac:dyDescent="0.2">
      <c r="C1960" t="str" cm="1">
        <f t="array" ref="C1960">IFERROR(_xlfn.XLOOKUP(B1960,Locales!$A:$A,Locales!$B:$B,""),"")</f>
        <v/>
      </c>
    </row>
    <row r="1961" spans="3:3" x14ac:dyDescent="0.2">
      <c r="C1961" t="str" cm="1">
        <f t="array" ref="C1961">IFERROR(_xlfn.XLOOKUP(B1961,Locales!$A:$A,Locales!$B:$B,""),"")</f>
        <v/>
      </c>
    </row>
    <row r="1962" spans="3:3" x14ac:dyDescent="0.2">
      <c r="C1962" t="str" cm="1">
        <f t="array" ref="C1962">IFERROR(_xlfn.XLOOKUP(B1962,Locales!$A:$A,Locales!$B:$B,""),"")</f>
        <v/>
      </c>
    </row>
    <row r="1963" spans="3:3" x14ac:dyDescent="0.2">
      <c r="C1963" t="str" cm="1">
        <f t="array" ref="C1963">IFERROR(_xlfn.XLOOKUP(B1963,Locales!$A:$A,Locales!$B:$B,""),"")</f>
        <v/>
      </c>
    </row>
    <row r="1964" spans="3:3" x14ac:dyDescent="0.2">
      <c r="C1964" t="str" cm="1">
        <f t="array" ref="C1964">IFERROR(_xlfn.XLOOKUP(B1964,Locales!$A:$A,Locales!$B:$B,""),"")</f>
        <v/>
      </c>
    </row>
    <row r="1965" spans="3:3" x14ac:dyDescent="0.2">
      <c r="C1965" t="str" cm="1">
        <f t="array" ref="C1965">IFERROR(_xlfn.XLOOKUP(B1965,Locales!$A:$A,Locales!$B:$B,""),"")</f>
        <v/>
      </c>
    </row>
    <row r="1966" spans="3:3" x14ac:dyDescent="0.2">
      <c r="C1966" t="str" cm="1">
        <f t="array" ref="C1966">IFERROR(_xlfn.XLOOKUP(B1966,Locales!$A:$A,Locales!$B:$B,""),"")</f>
        <v/>
      </c>
    </row>
    <row r="1967" spans="3:3" x14ac:dyDescent="0.2">
      <c r="C1967" t="str" cm="1">
        <f t="array" ref="C1967">IFERROR(_xlfn.XLOOKUP(B1967,Locales!$A:$A,Locales!$B:$B,""),"")</f>
        <v/>
      </c>
    </row>
    <row r="1968" spans="3:3" x14ac:dyDescent="0.2">
      <c r="C1968" t="str" cm="1">
        <f t="array" ref="C1968">IFERROR(_xlfn.XLOOKUP(B1968,Locales!$A:$A,Locales!$B:$B,""),"")</f>
        <v/>
      </c>
    </row>
    <row r="1969" spans="3:3" x14ac:dyDescent="0.2">
      <c r="C1969" t="str" cm="1">
        <f t="array" ref="C1969">IFERROR(_xlfn.XLOOKUP(B1969,Locales!$A:$A,Locales!$B:$B,""),"")</f>
        <v/>
      </c>
    </row>
    <row r="1970" spans="3:3" x14ac:dyDescent="0.2">
      <c r="C1970" t="str" cm="1">
        <f t="array" ref="C1970">IFERROR(_xlfn.XLOOKUP(B1970,Locales!$A:$A,Locales!$B:$B,""),"")</f>
        <v/>
      </c>
    </row>
    <row r="1971" spans="3:3" x14ac:dyDescent="0.2">
      <c r="C1971" t="str" cm="1">
        <f t="array" ref="C1971">IFERROR(_xlfn.XLOOKUP(B1971,Locales!$A:$A,Locales!$B:$B,""),"")</f>
        <v/>
      </c>
    </row>
    <row r="1972" spans="3:3" x14ac:dyDescent="0.2">
      <c r="C1972" t="str" cm="1">
        <f t="array" ref="C1972">IFERROR(_xlfn.XLOOKUP(B1972,Locales!$A:$A,Locales!$B:$B,""),"")</f>
        <v/>
      </c>
    </row>
    <row r="1973" spans="3:3" x14ac:dyDescent="0.2">
      <c r="C1973" cm="1">
        <f t="array" ref="C1973">IFERROR(_xlfn.XLOOKUP(B1973,Locales!$A:$A,Locales!$B:$B,""),"")</f>
        <v>0</v>
      </c>
    </row>
    <row r="1974" spans="3:3" x14ac:dyDescent="0.2">
      <c r="C1974" t="str" cm="1">
        <f t="array" ref="C1974">IFERROR(_xlfn.XLOOKUP(B1974,Locales!$A:$A,Locales!$B:$B,""),"")</f>
        <v/>
      </c>
    </row>
    <row r="1975" spans="3:3" x14ac:dyDescent="0.2">
      <c r="C1975" t="str" cm="1">
        <f t="array" ref="C1975">IFERROR(_xlfn.XLOOKUP(B1975,Locales!$A:$A,Locales!$B:$B,""),"")</f>
        <v/>
      </c>
    </row>
    <row r="1976" spans="3:3" x14ac:dyDescent="0.2">
      <c r="C1976" t="str" cm="1">
        <f t="array" ref="C1976">IFERROR(_xlfn.XLOOKUP(B1976,Locales!$A:$A,Locales!$B:$B,""),"")</f>
        <v/>
      </c>
    </row>
    <row r="1977" spans="3:3" x14ac:dyDescent="0.2">
      <c r="C1977" t="str" cm="1">
        <f t="array" ref="C1977">IFERROR(_xlfn.XLOOKUP(B1977,Locales!$A:$A,Locales!$B:$B,""),"")</f>
        <v/>
      </c>
    </row>
    <row r="1978" spans="3:3" x14ac:dyDescent="0.2">
      <c r="C1978" t="str" cm="1">
        <f t="array" ref="C1978">IFERROR(_xlfn.XLOOKUP(B1978,Locales!$A:$A,Locales!$B:$B,""),"")</f>
        <v/>
      </c>
    </row>
    <row r="1979" spans="3:3" x14ac:dyDescent="0.2">
      <c r="C1979" t="str" cm="1">
        <f t="array" ref="C1979">IFERROR(_xlfn.XLOOKUP(B1979,Locales!$A:$A,Locales!$B:$B,""),"")</f>
        <v/>
      </c>
    </row>
    <row r="1980" spans="3:3" x14ac:dyDescent="0.2">
      <c r="C1980" t="str" cm="1">
        <f t="array" ref="C1980">IFERROR(_xlfn.XLOOKUP(B1980,Locales!$A:$A,Locales!$B:$B,""),"")</f>
        <v/>
      </c>
    </row>
    <row r="1981" spans="3:3" x14ac:dyDescent="0.2">
      <c r="C1981" t="str" cm="1">
        <f t="array" ref="C1981">IFERROR(_xlfn.XLOOKUP(B1981,Locales!$A:$A,Locales!$B:$B,""),"")</f>
        <v/>
      </c>
    </row>
    <row r="1982" spans="3:3" x14ac:dyDescent="0.2">
      <c r="C1982" t="str" cm="1">
        <f t="array" ref="C1982">IFERROR(_xlfn.XLOOKUP(B1982,Locales!$A:$A,Locales!$B:$B,""),"")</f>
        <v/>
      </c>
    </row>
    <row r="1983" spans="3:3" x14ac:dyDescent="0.2">
      <c r="C1983" t="str" cm="1">
        <f t="array" ref="C1983">IFERROR(_xlfn.XLOOKUP(B1983,Locales!$A:$A,Locales!$B:$B,""),"")</f>
        <v/>
      </c>
    </row>
    <row r="1984" spans="3:3" x14ac:dyDescent="0.2">
      <c r="C1984" t="str" cm="1">
        <f t="array" ref="C1984">IFERROR(_xlfn.XLOOKUP(B1984,Locales!$A:$A,Locales!$B:$B,""),"")</f>
        <v/>
      </c>
    </row>
    <row r="1985" spans="3:3" x14ac:dyDescent="0.2">
      <c r="C1985" t="str" cm="1">
        <f t="array" ref="C1985">IFERROR(_xlfn.XLOOKUP(B1985,Locales!$A:$A,Locales!$B:$B,""),"")</f>
        <v/>
      </c>
    </row>
    <row r="1986" spans="3:3" x14ac:dyDescent="0.2">
      <c r="C1986" t="str" cm="1">
        <f t="array" ref="C1986">IFERROR(_xlfn.XLOOKUP(B1986,Locales!$A:$A,Locales!$B:$B,""),"")</f>
        <v/>
      </c>
    </row>
    <row r="1987" spans="3:3" x14ac:dyDescent="0.2">
      <c r="C1987" t="str" cm="1">
        <f t="array" ref="C1987">IFERROR(_xlfn.XLOOKUP(B1987,Locales!$A:$A,Locales!$B:$B,""),"")</f>
        <v/>
      </c>
    </row>
    <row r="1988" spans="3:3" x14ac:dyDescent="0.2">
      <c r="C1988" t="str" cm="1">
        <f t="array" ref="C1988">IFERROR(_xlfn.XLOOKUP(B1988,Locales!$A:$A,Locales!$B:$B,""),"")</f>
        <v/>
      </c>
    </row>
    <row r="1989" spans="3:3" x14ac:dyDescent="0.2">
      <c r="C1989" t="str" cm="1">
        <f t="array" ref="C1989">IFERROR(_xlfn.XLOOKUP(B1989,Locales!$A:$A,Locales!$B:$B,""),"")</f>
        <v/>
      </c>
    </row>
    <row r="1990" spans="3:3" x14ac:dyDescent="0.2">
      <c r="C1990" t="str" cm="1">
        <f t="array" ref="C1990">IFERROR(_xlfn.XLOOKUP(B1990,Locales!$A:$A,Locales!$B:$B,""),"")</f>
        <v/>
      </c>
    </row>
    <row r="1991" spans="3:3" x14ac:dyDescent="0.2">
      <c r="C1991" t="str" cm="1">
        <f t="array" ref="C1991">IFERROR(_xlfn.XLOOKUP(B1991,Locales!$A:$A,Locales!$B:$B,""),"")</f>
        <v/>
      </c>
    </row>
    <row r="1992" spans="3:3" x14ac:dyDescent="0.2">
      <c r="C1992" t="str" cm="1">
        <f t="array" ref="C1992">IFERROR(_xlfn.XLOOKUP(B1992,Locales!$A:$A,Locales!$B:$B,""),"")</f>
        <v/>
      </c>
    </row>
    <row r="1993" spans="3:3" x14ac:dyDescent="0.2">
      <c r="C1993" t="str" cm="1">
        <f t="array" ref="C1993">IFERROR(_xlfn.XLOOKUP(B1993,Locales!$A:$A,Locales!$B:$B,""),"")</f>
        <v/>
      </c>
    </row>
    <row r="1994" spans="3:3" x14ac:dyDescent="0.2">
      <c r="C1994" t="str" cm="1">
        <f t="array" ref="C1994">IFERROR(_xlfn.XLOOKUP(B1994,Locales!$A:$A,Locales!$B:$B,""),"")</f>
        <v/>
      </c>
    </row>
    <row r="1995" spans="3:3" x14ac:dyDescent="0.2">
      <c r="C1995" t="str" cm="1">
        <f t="array" ref="C1995">IFERROR(_xlfn.XLOOKUP(B1995,Locales!$A:$A,Locales!$B:$B,""),"")</f>
        <v/>
      </c>
    </row>
    <row r="1996" spans="3:3" x14ac:dyDescent="0.2">
      <c r="C1996" t="str" cm="1">
        <f t="array" ref="C1996">IFERROR(_xlfn.XLOOKUP(B1996,Locales!$A:$A,Locales!$B:$B,""),"")</f>
        <v/>
      </c>
    </row>
    <row r="1997" spans="3:3" x14ac:dyDescent="0.2">
      <c r="C1997" t="str" cm="1">
        <f t="array" ref="C1997">IFERROR(_xlfn.XLOOKUP(B1997,Locales!$A:$A,Locales!$B:$B,""),"")</f>
        <v/>
      </c>
    </row>
    <row r="1998" spans="3:3" x14ac:dyDescent="0.2">
      <c r="C1998" t="str" cm="1">
        <f t="array" ref="C1998">IFERROR(_xlfn.XLOOKUP(B1998,Locales!$A:$A,Locales!$B:$B,""),"")</f>
        <v/>
      </c>
    </row>
    <row r="1999" spans="3:3" x14ac:dyDescent="0.2">
      <c r="C1999" t="str" cm="1">
        <f t="array" ref="C1999">IFERROR(_xlfn.XLOOKUP(B1999,Locales!$A:$A,Locales!$B:$B,""),"")</f>
        <v/>
      </c>
    </row>
    <row r="2000" spans="3:3" x14ac:dyDescent="0.2">
      <c r="C2000" t="str" cm="1">
        <f t="array" ref="C2000">IFERROR(_xlfn.XLOOKUP(B2000,Locales!$A:$A,Locales!$B:$B,""),"")</f>
        <v/>
      </c>
    </row>
  </sheetData>
  <dataValidations count="5">
    <dataValidation type="list" allowBlank="1" showInputMessage="1" showErrorMessage="1" sqref="B2:B2000" xr:uid="{00000000-0002-0000-0400-000000000000}">
      <formula1>ListaLocales</formula1>
    </dataValidation>
    <dataValidation type="list" allowBlank="1" showInputMessage="1" showErrorMessage="1" sqref="D2:D2000" xr:uid="{00000000-0002-0000-0400-000001000000}">
      <formula1>ListaCargosStd</formula1>
    </dataValidation>
    <dataValidation type="list" allowBlank="1" showInputMessage="1" showErrorMessage="1" sqref="E2:E2000" xr:uid="{00000000-0002-0000-0400-000002000000}">
      <formula1>ListaMateriales</formula1>
    </dataValidation>
    <dataValidation type="list" allowBlank="1" showInputMessage="1" showErrorMessage="1" sqref="F2:F2000" xr:uid="{00000000-0002-0000-0400-000003000000}">
      <formula1>"SML,XL,XXL"</formula1>
    </dataValidation>
    <dataValidation type="whole" operator="greaterThanOrEqual" allowBlank="1" showInputMessage="1" showErrorMessage="1" sqref="G2:G2000" xr:uid="{00000000-0002-0000-0400-000004000000}">
      <formula1>0</formula1>
    </dataValidation>
  </dataValidation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4" r:id="rId4" name="Button 2">
              <controlPr defaultSize="0" print="0" autoFill="0" autoPict="0" macro="[0]!ProcesarEntradas">
                <anchor moveWithCells="1" sizeWithCells="1">
                  <from>
                    <xdr:col>9</xdr:col>
                    <xdr:colOff>520700</xdr:colOff>
                    <xdr:row>1</xdr:row>
                    <xdr:rowOff>88900</xdr:rowOff>
                  </from>
                  <to>
                    <xdr:col>12</xdr:col>
                    <xdr:colOff>444500</xdr:colOff>
                    <xdr:row>4</xdr:row>
                    <xdr:rowOff>63500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/>
  <dimension ref="A1:O3229"/>
  <sheetViews>
    <sheetView topLeftCell="G1" zoomScale="71" workbookViewId="0">
      <pane ySplit="1" topLeftCell="A2" activePane="bottomLeft" state="frozen"/>
      <selection activeCell="B29" sqref="B29"/>
      <selection pane="bottomLeft" activeCell="B29" sqref="B29"/>
    </sheetView>
  </sheetViews>
  <sheetFormatPr baseColWidth="10" defaultColWidth="8.6640625" defaultRowHeight="15" x14ac:dyDescent="0.2"/>
  <cols>
    <col min="1" max="1" width="12.6640625" style="9" customWidth="1"/>
    <col min="2" max="2" width="14.6640625" style="9" customWidth="1"/>
    <col min="3" max="3" width="38.6640625" style="9" customWidth="1"/>
    <col min="4" max="4" width="22.6640625" style="9" customWidth="1"/>
    <col min="5" max="5" width="21.83203125" style="9" customWidth="1"/>
    <col min="6" max="6" width="31.83203125" style="9" customWidth="1"/>
    <col min="7" max="7" width="50.6640625" style="9" customWidth="1"/>
    <col min="8" max="8" width="10.6640625" style="9" customWidth="1"/>
    <col min="9" max="9" width="14.6640625" style="9" customWidth="1"/>
    <col min="10" max="10" width="10.6640625" style="9" customWidth="1"/>
    <col min="11" max="11" width="12.6640625" style="9" customWidth="1"/>
    <col min="12" max="12" width="14.6640625" style="9" customWidth="1"/>
    <col min="13" max="13" width="18.6640625" style="9" customWidth="1"/>
    <col min="14" max="14" width="89.5" style="9" customWidth="1"/>
  </cols>
  <sheetData>
    <row r="1" spans="1:15" x14ac:dyDescent="0.2">
      <c r="A1" s="1" t="s">
        <v>48</v>
      </c>
      <c r="B1" s="50" t="s">
        <v>34</v>
      </c>
      <c r="C1" s="1" t="s">
        <v>54</v>
      </c>
      <c r="D1" s="1" t="s">
        <v>55</v>
      </c>
      <c r="E1" s="1" t="s">
        <v>49</v>
      </c>
      <c r="F1" s="1" t="s">
        <v>38</v>
      </c>
      <c r="G1" s="1" t="s">
        <v>41</v>
      </c>
      <c r="H1" s="1" t="s">
        <v>50</v>
      </c>
      <c r="I1" s="1" t="s">
        <v>56</v>
      </c>
      <c r="J1" s="1" t="s">
        <v>51</v>
      </c>
      <c r="K1" s="1" t="s">
        <v>57</v>
      </c>
      <c r="L1" s="1" t="s">
        <v>58</v>
      </c>
      <c r="M1" s="1" t="s">
        <v>53</v>
      </c>
      <c r="N1" s="1" t="s">
        <v>45</v>
      </c>
    </row>
    <row r="2" spans="1:15" s="9" customFormat="1" x14ac:dyDescent="0.2">
      <c r="A2" s="49">
        <v>45974</v>
      </c>
      <c r="B2" s="51" t="s">
        <v>3965</v>
      </c>
      <c r="C2" s="9" t="str" cm="1">
        <f t="array" ref="C2">IFERROR(_xlfn.XLOOKUP(B2,Personal!$A:$A,Personal!$D:$D,""),"")</f>
        <v>GONZALES LOZANO JAIME JUNIOR</v>
      </c>
      <c r="D2" s="9" t="str" cm="1">
        <f t="array" ref="D2">IFERROR(_xlfn.XLOOKUP(B2,Personal!$A:$A,Personal!$C:$C,""),"")</f>
        <v>IQUITOS</v>
      </c>
      <c r="E2" s="9" t="str" cm="1">
        <f t="array" ref="E2">IFERROR(_xlfn.XLOOKUP(D2,Locales!$A:$A,Locales!$B:$B,""),"")</f>
        <v>PATIO DE COMIDA</v>
      </c>
      <c r="F2" s="9" t="str" cm="1">
        <f t="array" ref="F2">IFERROR(_xlfn.XLOOKUP(B2,Personal!$A:$A,Personal!$F:$F,""),"")</f>
        <v xml:space="preserve">CAJA </v>
      </c>
      <c r="G2" s="9" t="s">
        <v>4232</v>
      </c>
      <c r="H2" s="9" t="s">
        <v>3876</v>
      </c>
      <c r="I2" s="10" cm="1">
        <f t="array" ref="I2">IFERROR(INDEX(Precios!$D:$F,MATCH(N2, Precios!$G:$G, 0),CHOOSE(MATCH(H2, {"SML";"XL";"XXL"}, 0), 1, 2, 3)), 0)</f>
        <v>13.5</v>
      </c>
      <c r="J2" s="9">
        <v>2</v>
      </c>
      <c r="K2" s="10">
        <f t="shared" ref="K2" si="0">IFERROR(I2*J2,0)</f>
        <v>27</v>
      </c>
      <c r="L2" s="9" t="s">
        <v>4210</v>
      </c>
      <c r="N2" s="9" t="str">
        <f t="shared" ref="N2" si="1">IF( OR(E2="",F2="",G2=""), "",CLEAN(TRIM(E2)) &amp; "|" &amp; CLEAN(TRIM(F2)) &amp; "|" &amp; CLEAN(TRIM(G2)))</f>
        <v>PATIO DE COMIDA|CAJA|POLO PIQUÉ CONCHE VINO, MANGA CORTA CAJA</v>
      </c>
      <c r="O2" s="9" t="str">
        <f>IF(N2="","",IF(COUNTIF(Precios!$G:$G,N2)=0,"⚠ No coincide con Precios","OK"))</f>
        <v>OK</v>
      </c>
    </row>
    <row r="3" spans="1:15" x14ac:dyDescent="0.2">
      <c r="A3" s="49">
        <v>45974</v>
      </c>
      <c r="B3" s="51" t="s">
        <v>3968</v>
      </c>
      <c r="C3" s="9" t="str" cm="1">
        <f t="array" ref="C3">IFERROR(_xlfn.XLOOKUP(B3,Personal!$A:$A,Personal!$D:$D,""),"")</f>
        <v>DEL CASTILLO TELLO JULIA OTILIA</v>
      </c>
      <c r="D3" s="9" t="str" cm="1">
        <f t="array" ref="D3">IFERROR(_xlfn.XLOOKUP(B3,Personal!$A:$A,Personal!$C:$C,""),"")</f>
        <v>IQUITOS</v>
      </c>
      <c r="E3" s="9" t="str" cm="1">
        <f t="array" ref="E3">IFERROR(_xlfn.XLOOKUP(D3,Locales!$A:$A,Locales!$B:$B,""),"")</f>
        <v>PATIO DE COMIDA</v>
      </c>
      <c r="F3" s="9" t="str" cm="1">
        <f t="array" ref="F3">IFERROR(_xlfn.XLOOKUP(B3,Personal!$A:$A,Personal!$F:$F,""),"")</f>
        <v>COUNTER</v>
      </c>
      <c r="G3" s="9" t="s">
        <v>4230</v>
      </c>
      <c r="H3" s="9" t="s">
        <v>3876</v>
      </c>
      <c r="I3" s="10" cm="1">
        <f t="array" ref="I3">IFERROR(INDEX(Precios!$D:$F,MATCH(N3, Precios!$G:$G, 0),CHOOSE(MATCH(H3, {"SML";"XL";"XXL"}, 0), 1, 2, 3)), 0)</f>
        <v>13.5</v>
      </c>
      <c r="J3" s="9">
        <v>2</v>
      </c>
      <c r="K3" s="10">
        <f t="shared" ref="K3:K66" si="2">IFERROR(I3*J3,0)</f>
        <v>27</v>
      </c>
      <c r="L3" s="9" t="s">
        <v>4210</v>
      </c>
      <c r="N3" s="9" t="str">
        <f t="shared" ref="N3:N66" si="3">IF( OR(E3="",F3="",G3=""), "",CLEAN(TRIM(E3)) &amp; "|" &amp; CLEAN(TRIM(F3)) &amp; "|" &amp; CLEAN(TRIM(G3)))</f>
        <v>PATIO DE COMIDA|COUNTER|POLO PIQUÉ CONCHE VINO, MANGA CORTA COUNTER</v>
      </c>
      <c r="O3" s="9" t="str">
        <f>IF(N3="","",IF(COUNTIF(Precios!$G:$G,N3)=0,"⚠ No coincide con Precios","OK"))</f>
        <v>OK</v>
      </c>
    </row>
    <row r="4" spans="1:15" x14ac:dyDescent="0.2">
      <c r="A4" s="49">
        <v>45974</v>
      </c>
      <c r="B4" s="51" t="s">
        <v>3972</v>
      </c>
      <c r="C4" s="9" t="str" cm="1">
        <f t="array" ref="C4">IFERROR(_xlfn.XLOOKUP(B4,Personal!$A:$A,Personal!$D:$D,""),"")</f>
        <v>BABILONIA VEGA LINDA EBONY</v>
      </c>
      <c r="D4" s="9" t="str" cm="1">
        <f t="array" ref="D4">IFERROR(_xlfn.XLOOKUP(B4,Personal!$A:$A,Personal!$C:$C,""),"")</f>
        <v>IQUITOS</v>
      </c>
      <c r="E4" s="9" t="str" cm="1">
        <f t="array" ref="E4">IFERROR(_xlfn.XLOOKUP(D4,Locales!$A:$A,Locales!$B:$B,""),"")</f>
        <v>PATIO DE COMIDA</v>
      </c>
      <c r="F4" s="9" t="str" cm="1">
        <f t="array" ref="F4">IFERROR(_xlfn.XLOOKUP(B4,Personal!$A:$A,Personal!$F:$F,""),"")</f>
        <v>COUNTER</v>
      </c>
      <c r="G4" s="9" t="s">
        <v>4230</v>
      </c>
      <c r="H4" s="9" t="s">
        <v>3876</v>
      </c>
      <c r="I4" s="10" cm="1">
        <f t="array" ref="I4">IFERROR(INDEX(Precios!$D:$F,MATCH(N4, Precios!$G:$G, 0),CHOOSE(MATCH(H4, {"SML";"XL";"XXL"}, 0), 1, 2, 3)), 0)</f>
        <v>13.5</v>
      </c>
      <c r="J4" s="9">
        <v>2</v>
      </c>
      <c r="K4" s="10">
        <f t="shared" si="2"/>
        <v>27</v>
      </c>
      <c r="L4" s="9" t="s">
        <v>4210</v>
      </c>
      <c r="N4" s="9" t="str">
        <f t="shared" si="3"/>
        <v>PATIO DE COMIDA|COUNTER|POLO PIQUÉ CONCHE VINO, MANGA CORTA COUNTER</v>
      </c>
      <c r="O4" s="9" t="str">
        <f>IF(N4="","",IF(COUNTIF(Precios!$G:$G,N4)=0,"⚠ No coincide con Precios","OK"))</f>
        <v>OK</v>
      </c>
    </row>
    <row r="5" spans="1:15" x14ac:dyDescent="0.2">
      <c r="A5" s="49">
        <v>45974</v>
      </c>
      <c r="B5" s="51" t="s">
        <v>3973</v>
      </c>
      <c r="C5" s="9" t="str" cm="1">
        <f t="array" ref="C5">IFERROR(_xlfn.XLOOKUP(B5,Personal!$A:$A,Personal!$D:$D,""),"")</f>
        <v>ALVAN ESCOBEDO ROSA DEL CARMEN</v>
      </c>
      <c r="D5" s="9" t="str" cm="1">
        <f t="array" ref="D5">IFERROR(_xlfn.XLOOKUP(B5,Personal!$A:$A,Personal!$C:$C,""),"")</f>
        <v>IQUITOS</v>
      </c>
      <c r="E5" s="9" t="str" cm="1">
        <f t="array" ref="E5">IFERROR(_xlfn.XLOOKUP(D5,Locales!$A:$A,Locales!$B:$B,""),"")</f>
        <v>PATIO DE COMIDA</v>
      </c>
      <c r="F5" s="9" t="str" cm="1">
        <f t="array" ref="F5">IFERROR(_xlfn.XLOOKUP(B5,Personal!$A:$A,Personal!$F:$F,""),"")</f>
        <v>COUNTER</v>
      </c>
      <c r="G5" s="9" t="s">
        <v>4230</v>
      </c>
      <c r="H5" s="9" t="s">
        <v>3876</v>
      </c>
      <c r="I5" s="10" cm="1">
        <f t="array" ref="I5">IFERROR(INDEX(Precios!$D:$F,MATCH(N5, Precios!$G:$G, 0),CHOOSE(MATCH(H5, {"SML";"XL";"XXL"}, 0), 1, 2, 3)), 0)</f>
        <v>13.5</v>
      </c>
      <c r="J5" s="9">
        <v>2</v>
      </c>
      <c r="K5" s="10">
        <f t="shared" si="2"/>
        <v>27</v>
      </c>
      <c r="L5" s="9" t="s">
        <v>4210</v>
      </c>
      <c r="N5" s="9" t="str">
        <f t="shared" si="3"/>
        <v>PATIO DE COMIDA|COUNTER|POLO PIQUÉ CONCHE VINO, MANGA CORTA COUNTER</v>
      </c>
      <c r="O5" s="9" t="str">
        <f>IF(N5="","",IF(COUNTIF(Precios!$G:$G,N5)=0,"⚠ No coincide con Precios","OK"))</f>
        <v>OK</v>
      </c>
    </row>
    <row r="6" spans="1:15" x14ac:dyDescent="0.2">
      <c r="A6" s="49">
        <v>45974</v>
      </c>
      <c r="B6" s="51" t="s">
        <v>3941</v>
      </c>
      <c r="C6" s="9" t="str" cm="1">
        <f t="array" ref="C6">IFERROR(_xlfn.XLOOKUP(B6,Personal!$A:$A,Personal!$D:$D,""),"")</f>
        <v>SIAS MELENDEZ ROBIN</v>
      </c>
      <c r="D6" s="9" t="str" cm="1">
        <f t="array" ref="D6">IFERROR(_xlfn.XLOOKUP(B6,Personal!$A:$A,Personal!$C:$C,""),"")</f>
        <v>IQUITOS</v>
      </c>
      <c r="E6" s="9" t="str" cm="1">
        <f t="array" ref="E6">IFERROR(_xlfn.XLOOKUP(D6,Locales!$A:$A,Locales!$B:$B,""),"")</f>
        <v>PATIO DE COMIDA</v>
      </c>
      <c r="F6" s="9" t="str" cm="1">
        <f t="array" ref="F6">IFERROR(_xlfn.XLOOKUP(B6,Personal!$A:$A,Personal!$F:$F,""),"")</f>
        <v>PRODUCCIÓN / COCINA</v>
      </c>
      <c r="G6" s="9" t="s">
        <v>47</v>
      </c>
      <c r="H6" s="9" t="s">
        <v>3876</v>
      </c>
      <c r="I6" s="10" cm="1">
        <f t="array" ref="I6">IFERROR(INDEX(Precios!$D:$F,MATCH(N6, Precios!$G:$G, 0),CHOOSE(MATCH(H6, {"SML";"XL";"XXL"}, 0), 1, 2, 3)), 0)</f>
        <v>16.25</v>
      </c>
      <c r="J6" s="9">
        <v>2</v>
      </c>
      <c r="K6" s="10">
        <f t="shared" si="2"/>
        <v>32.5</v>
      </c>
      <c r="L6" s="9" t="s">
        <v>4210</v>
      </c>
      <c r="N6" s="9" t="str">
        <f t="shared" si="3"/>
        <v>PATIO DE COMIDA|PRODUCCIÓN / COCINA|CHAQUETA DRILL BLANCO</v>
      </c>
      <c r="O6" s="9" t="str">
        <f>IF(N6="","",IF(COUNTIF(Precios!$G:$G,N6)=0,"⚠ No coincide con Precios","OK"))</f>
        <v>OK</v>
      </c>
    </row>
    <row r="7" spans="1:15" x14ac:dyDescent="0.2">
      <c r="A7" s="49">
        <v>45974</v>
      </c>
      <c r="B7" s="51" t="s">
        <v>3941</v>
      </c>
      <c r="C7" s="9" t="str" cm="1">
        <f t="array" ref="C7">IFERROR(_xlfn.XLOOKUP(B7,Personal!$A:$A,Personal!$D:$D,""),"")</f>
        <v>SIAS MELENDEZ ROBIN</v>
      </c>
      <c r="D7" s="9" t="str" cm="1">
        <f t="array" ref="D7">IFERROR(_xlfn.XLOOKUP(B7,Personal!$A:$A,Personal!$C:$C,""),"")</f>
        <v>IQUITOS</v>
      </c>
      <c r="E7" s="9" t="str" cm="1">
        <f t="array" ref="E7">IFERROR(_xlfn.XLOOKUP(D7,Locales!$A:$A,Locales!$B:$B,""),"")</f>
        <v>PATIO DE COMIDA</v>
      </c>
      <c r="F7" s="9" t="str" cm="1">
        <f t="array" ref="F7">IFERROR(_xlfn.XLOOKUP(B7,Personal!$A:$A,Personal!$F:$F,""),"")</f>
        <v>PRODUCCIÓN / COCINA</v>
      </c>
      <c r="G7" s="9" t="s">
        <v>3867</v>
      </c>
      <c r="H7" s="9" t="s">
        <v>3876</v>
      </c>
      <c r="I7" s="10" cm="1">
        <f t="array" ref="I7">IFERROR(INDEX(Precios!$D:$F,MATCH(N7, Precios!$G:$G, 0),CHOOSE(MATCH(H7, {"SML";"XL";"XXL"}, 0), 1, 2, 3)), 0)</f>
        <v>11</v>
      </c>
      <c r="J7" s="9">
        <v>2</v>
      </c>
      <c r="K7" s="10">
        <f t="shared" si="2"/>
        <v>22</v>
      </c>
      <c r="L7" s="9" t="s">
        <v>4210</v>
      </c>
      <c r="N7" s="9" t="str">
        <f t="shared" si="3"/>
        <v>PATIO DE COMIDA|PRODUCCIÓN / COCINA|PANTALÓN SAL Y PIMIENTA</v>
      </c>
      <c r="O7" s="9" t="str">
        <f>IF(N7="","",IF(COUNTIF(Precios!$G:$G,N7)=0,"⚠ No coincide con Precios","OK"))</f>
        <v>OK</v>
      </c>
    </row>
    <row r="8" spans="1:15" x14ac:dyDescent="0.2">
      <c r="A8" s="49">
        <v>45974</v>
      </c>
      <c r="B8" s="51" t="s">
        <v>3941</v>
      </c>
      <c r="C8" s="9" t="str" cm="1">
        <f t="array" ref="C8">IFERROR(_xlfn.XLOOKUP(B8,Personal!$A:$A,Personal!$D:$D,""),"")</f>
        <v>SIAS MELENDEZ ROBIN</v>
      </c>
      <c r="D8" s="9" t="str" cm="1">
        <f t="array" ref="D8">IFERROR(_xlfn.XLOOKUP(B8,Personal!$A:$A,Personal!$C:$C,""),"")</f>
        <v>IQUITOS</v>
      </c>
      <c r="E8" s="9" t="str" cm="1">
        <f t="array" ref="E8">IFERROR(_xlfn.XLOOKUP(D8,Locales!$A:$A,Locales!$B:$B,""),"")</f>
        <v>PATIO DE COMIDA</v>
      </c>
      <c r="F8" s="9" t="str" cm="1">
        <f t="array" ref="F8">IFERROR(_xlfn.XLOOKUP(B8,Personal!$A:$A,Personal!$F:$F,""),"")</f>
        <v>PRODUCCIÓN / COCINA</v>
      </c>
      <c r="G8" s="9" t="s">
        <v>3868</v>
      </c>
      <c r="H8" s="9" t="s">
        <v>3876</v>
      </c>
      <c r="I8" s="10" cm="1">
        <f t="array" ref="I8">IFERROR(INDEX(Precios!$D:$F,MATCH(N8, Precios!$G:$G, 0),CHOOSE(MATCH(H8, {"SML";"XL";"XXL"}, 0), 1, 2, 3)), 0)</f>
        <v>6.5</v>
      </c>
      <c r="J8" s="9">
        <v>2</v>
      </c>
      <c r="K8" s="10">
        <f t="shared" si="2"/>
        <v>13</v>
      </c>
      <c r="L8" s="9" t="s">
        <v>4210</v>
      </c>
      <c r="N8" s="9" t="str">
        <f t="shared" si="3"/>
        <v>PATIO DE COMIDA|PRODUCCIÓN / COCINA|PECHERA GRIS EN DRILL</v>
      </c>
      <c r="O8" s="9" t="str">
        <f>IF(N8="","",IF(COUNTIF(Precios!$G:$G,N8)=0,"⚠ No coincide con Precios","OK"))</f>
        <v>OK</v>
      </c>
    </row>
    <row r="9" spans="1:15" x14ac:dyDescent="0.2">
      <c r="A9" s="49">
        <v>45974</v>
      </c>
      <c r="B9" s="51" t="s">
        <v>3941</v>
      </c>
      <c r="C9" s="9" t="str" cm="1">
        <f t="array" ref="C9">IFERROR(_xlfn.XLOOKUP(B9,Personal!$A:$A,Personal!$D:$D,""),"")</f>
        <v>SIAS MELENDEZ ROBIN</v>
      </c>
      <c r="D9" s="9" t="str" cm="1">
        <f t="array" ref="D9">IFERROR(_xlfn.XLOOKUP(B9,Personal!$A:$A,Personal!$C:$C,""),"")</f>
        <v>IQUITOS</v>
      </c>
      <c r="E9" s="9" t="str" cm="1">
        <f t="array" ref="E9">IFERROR(_xlfn.XLOOKUP(D9,Locales!$A:$A,Locales!$B:$B,""),"")</f>
        <v>PATIO DE COMIDA</v>
      </c>
      <c r="F9" s="9" t="str" cm="1">
        <f t="array" ref="F9">IFERROR(_xlfn.XLOOKUP(B9,Personal!$A:$A,Personal!$F:$F,""),"")</f>
        <v>PRODUCCIÓN / COCINA</v>
      </c>
      <c r="G9" s="9" t="s">
        <v>3869</v>
      </c>
      <c r="H9" s="9" t="s">
        <v>3876</v>
      </c>
      <c r="I9" s="10" cm="1">
        <f t="array" ref="I9">IFERROR(INDEX(Precios!$D:$F,MATCH(N9, Precios!$G:$G, 0),CHOOSE(MATCH(H9, {"SML";"XL";"XXL"}, 0), 1, 2, 3)), 0)</f>
        <v>4.5</v>
      </c>
      <c r="J9" s="9">
        <v>2</v>
      </c>
      <c r="K9" s="10">
        <f t="shared" si="2"/>
        <v>9</v>
      </c>
      <c r="L9" s="9" t="s">
        <v>4210</v>
      </c>
      <c r="N9" s="9" t="str">
        <f t="shared" si="3"/>
        <v>PATIO DE COMIDA|PRODUCCIÓN / COCINA|GARIBALDI GRIS</v>
      </c>
      <c r="O9" s="9" t="str">
        <f>IF(N9="","",IF(COUNTIF(Precios!$G:$G,N9)=0,"⚠ No coincide con Precios","OK"))</f>
        <v>OK</v>
      </c>
    </row>
    <row r="10" spans="1:15" x14ac:dyDescent="0.2">
      <c r="A10" s="49">
        <v>45974</v>
      </c>
      <c r="B10" s="51" t="s">
        <v>3941</v>
      </c>
      <c r="C10" s="9" t="str" cm="1">
        <f t="array" ref="C10">IFERROR(_xlfn.XLOOKUP(B10,Personal!$A:$A,Personal!$D:$D,""),"")</f>
        <v>SIAS MELENDEZ ROBIN</v>
      </c>
      <c r="D10" s="9" t="str" cm="1">
        <f t="array" ref="D10">IFERROR(_xlfn.XLOOKUP(B10,Personal!$A:$A,Personal!$C:$C,""),"")</f>
        <v>IQUITOS</v>
      </c>
      <c r="E10" s="9" t="str" cm="1">
        <f t="array" ref="E10">IFERROR(_xlfn.XLOOKUP(D10,Locales!$A:$A,Locales!$B:$B,""),"")</f>
        <v>PATIO DE COMIDA</v>
      </c>
      <c r="F10" s="9" t="str" cm="1">
        <f t="array" ref="F10">IFERROR(_xlfn.XLOOKUP(B10,Personal!$A:$A,Personal!$F:$F,""),"")</f>
        <v>PRODUCCIÓN / COCINA</v>
      </c>
      <c r="G10" s="9" t="s">
        <v>3862</v>
      </c>
      <c r="H10" s="9" t="s">
        <v>3876</v>
      </c>
      <c r="I10" s="10" cm="1">
        <f t="array" ref="I10">IFERROR(INDEX(Precios!$D:$F,MATCH(N10, Precios!$G:$G, 0),CHOOSE(MATCH(H10, {"SML";"XL";"XXL"}, 0), 1, 2, 3)), 0)</f>
        <v>7.5</v>
      </c>
      <c r="J10" s="9">
        <v>4</v>
      </c>
      <c r="K10" s="10">
        <f t="shared" si="2"/>
        <v>30</v>
      </c>
      <c r="L10" s="9" t="s">
        <v>4210</v>
      </c>
      <c r="N10" s="9" t="str">
        <f t="shared" si="3"/>
        <v>PATIO DE COMIDA|PRODUCCIÓN / COCINA|POLO 30/1 GRIS</v>
      </c>
      <c r="O10" s="9" t="str">
        <f>IF(N10="","",IF(COUNTIF(Precios!$G:$G,N10)=0,"⚠ No coincide con Precios","OK"))</f>
        <v>OK</v>
      </c>
    </row>
    <row r="11" spans="1:15" x14ac:dyDescent="0.2">
      <c r="A11" s="49">
        <v>45974</v>
      </c>
      <c r="B11" s="51" t="s">
        <v>3964</v>
      </c>
      <c r="C11" s="9" t="str" cm="1">
        <f t="array" ref="C11">IFERROR(_xlfn.XLOOKUP(B11,Personal!$A:$A,Personal!$D:$D,""),"")</f>
        <v>PACAYA CHOTA MAYCOL</v>
      </c>
      <c r="D11" s="9" t="str" cm="1">
        <f t="array" ref="D11">IFERROR(_xlfn.XLOOKUP(B11,Personal!$A:$A,Personal!$C:$C,""),"")</f>
        <v>IQUITOS</v>
      </c>
      <c r="E11" s="9" t="str" cm="1">
        <f t="array" ref="E11">IFERROR(_xlfn.XLOOKUP(D11,Locales!$A:$A,Locales!$B:$B,""),"")</f>
        <v>PATIO DE COMIDA</v>
      </c>
      <c r="F11" s="9" t="str" cm="1">
        <f t="array" ref="F11">IFERROR(_xlfn.XLOOKUP(B11,Personal!$A:$A,Personal!$F:$F,""),"")</f>
        <v>PRODUCCIÓN / COCINA</v>
      </c>
      <c r="G11" s="9" t="s">
        <v>47</v>
      </c>
      <c r="H11" s="9" t="s">
        <v>3876</v>
      </c>
      <c r="I11" s="10" cm="1">
        <f t="array" ref="I11">IFERROR(INDEX(Precios!$D:$F,MATCH(N11, Precios!$G:$G, 0),CHOOSE(MATCH(H11, {"SML";"XL";"XXL"}, 0), 1, 2, 3)), 0)</f>
        <v>16.25</v>
      </c>
      <c r="J11" s="9">
        <v>2</v>
      </c>
      <c r="K11" s="10">
        <f t="shared" si="2"/>
        <v>32.5</v>
      </c>
      <c r="L11" s="9" t="s">
        <v>4210</v>
      </c>
      <c r="N11" s="9" t="str">
        <f t="shared" si="3"/>
        <v>PATIO DE COMIDA|PRODUCCIÓN / COCINA|CHAQUETA DRILL BLANCO</v>
      </c>
      <c r="O11" s="9" t="str">
        <f>IF(N11="","",IF(COUNTIF(Precios!$G:$G,N11)=0,"⚠ No coincide con Precios","OK"))</f>
        <v>OK</v>
      </c>
    </row>
    <row r="12" spans="1:15" x14ac:dyDescent="0.2">
      <c r="A12" s="49">
        <v>45974</v>
      </c>
      <c r="B12" s="51" t="s">
        <v>3964</v>
      </c>
      <c r="C12" s="9" t="str" cm="1">
        <f t="array" ref="C12">IFERROR(_xlfn.XLOOKUP(B12,Personal!$A:$A,Personal!$D:$D,""),"")</f>
        <v>PACAYA CHOTA MAYCOL</v>
      </c>
      <c r="D12" s="9" t="str" cm="1">
        <f t="array" ref="D12">IFERROR(_xlfn.XLOOKUP(B12,Personal!$A:$A,Personal!$C:$C,""),"")</f>
        <v>IQUITOS</v>
      </c>
      <c r="E12" s="9" t="str" cm="1">
        <f t="array" ref="E12">IFERROR(_xlfn.XLOOKUP(D12,Locales!$A:$A,Locales!$B:$B,""),"")</f>
        <v>PATIO DE COMIDA</v>
      </c>
      <c r="F12" s="9" t="str" cm="1">
        <f t="array" ref="F12">IFERROR(_xlfn.XLOOKUP(B12,Personal!$A:$A,Personal!$F:$F,""),"")</f>
        <v>PRODUCCIÓN / COCINA</v>
      </c>
      <c r="G12" s="9" t="s">
        <v>3867</v>
      </c>
      <c r="H12" s="9" t="s">
        <v>3876</v>
      </c>
      <c r="I12" s="10" cm="1">
        <f t="array" ref="I12">IFERROR(INDEX(Precios!$D:$F,MATCH(N12, Precios!$G:$G, 0),CHOOSE(MATCH(H12, {"SML";"XL";"XXL"}, 0), 1, 2, 3)), 0)</f>
        <v>11</v>
      </c>
      <c r="J12" s="9">
        <v>2</v>
      </c>
      <c r="K12" s="10">
        <f t="shared" si="2"/>
        <v>22</v>
      </c>
      <c r="L12" s="9" t="s">
        <v>4210</v>
      </c>
      <c r="N12" s="9" t="str">
        <f t="shared" si="3"/>
        <v>PATIO DE COMIDA|PRODUCCIÓN / COCINA|PANTALÓN SAL Y PIMIENTA</v>
      </c>
      <c r="O12" s="9" t="str">
        <f>IF(N12="","",IF(COUNTIF(Precios!$G:$G,N12)=0,"⚠ No coincide con Precios","OK"))</f>
        <v>OK</v>
      </c>
    </row>
    <row r="13" spans="1:15" x14ac:dyDescent="0.2">
      <c r="A13" s="49">
        <v>45974</v>
      </c>
      <c r="B13" s="51" t="s">
        <v>3964</v>
      </c>
      <c r="C13" s="9" t="str" cm="1">
        <f t="array" ref="C13">IFERROR(_xlfn.XLOOKUP(B13,Personal!$A:$A,Personal!$D:$D,""),"")</f>
        <v>PACAYA CHOTA MAYCOL</v>
      </c>
      <c r="D13" s="9" t="str" cm="1">
        <f t="array" ref="D13">IFERROR(_xlfn.XLOOKUP(B13,Personal!$A:$A,Personal!$C:$C,""),"")</f>
        <v>IQUITOS</v>
      </c>
      <c r="E13" s="9" t="str" cm="1">
        <f t="array" ref="E13">IFERROR(_xlfn.XLOOKUP(D13,Locales!$A:$A,Locales!$B:$B,""),"")</f>
        <v>PATIO DE COMIDA</v>
      </c>
      <c r="F13" s="9" t="str" cm="1">
        <f t="array" ref="F13">IFERROR(_xlfn.XLOOKUP(B13,Personal!$A:$A,Personal!$F:$F,""),"")</f>
        <v>PRODUCCIÓN / COCINA</v>
      </c>
      <c r="G13" s="9" t="s">
        <v>3868</v>
      </c>
      <c r="H13" s="9" t="s">
        <v>3876</v>
      </c>
      <c r="I13" s="10" cm="1">
        <f t="array" ref="I13">IFERROR(INDEX(Precios!$D:$F,MATCH(N13, Precios!$G:$G, 0),CHOOSE(MATCH(H13, {"SML";"XL";"XXL"}, 0), 1, 2, 3)), 0)</f>
        <v>6.5</v>
      </c>
      <c r="J13" s="9">
        <v>2</v>
      </c>
      <c r="K13" s="10">
        <f t="shared" si="2"/>
        <v>13</v>
      </c>
      <c r="L13" s="9" t="s">
        <v>4210</v>
      </c>
      <c r="N13" s="9" t="str">
        <f t="shared" si="3"/>
        <v>PATIO DE COMIDA|PRODUCCIÓN / COCINA|PECHERA GRIS EN DRILL</v>
      </c>
      <c r="O13" s="9" t="str">
        <f>IF(N13="","",IF(COUNTIF(Precios!$G:$G,N13)=0,"⚠ No coincide con Precios","OK"))</f>
        <v>OK</v>
      </c>
    </row>
    <row r="14" spans="1:15" x14ac:dyDescent="0.2">
      <c r="A14" s="49">
        <v>45974</v>
      </c>
      <c r="B14" s="51" t="s">
        <v>3964</v>
      </c>
      <c r="C14" s="9" t="str" cm="1">
        <f t="array" ref="C14">IFERROR(_xlfn.XLOOKUP(B14,Personal!$A:$A,Personal!$D:$D,""),"")</f>
        <v>PACAYA CHOTA MAYCOL</v>
      </c>
      <c r="D14" s="9" t="str" cm="1">
        <f t="array" ref="D14">IFERROR(_xlfn.XLOOKUP(B14,Personal!$A:$A,Personal!$C:$C,""),"")</f>
        <v>IQUITOS</v>
      </c>
      <c r="E14" s="9" t="str" cm="1">
        <f t="array" ref="E14">IFERROR(_xlfn.XLOOKUP(D14,Locales!$A:$A,Locales!$B:$B,""),"")</f>
        <v>PATIO DE COMIDA</v>
      </c>
      <c r="F14" s="9" t="str" cm="1">
        <f t="array" ref="F14">IFERROR(_xlfn.XLOOKUP(B14,Personal!$A:$A,Personal!$F:$F,""),"")</f>
        <v>PRODUCCIÓN / COCINA</v>
      </c>
      <c r="G14" s="9" t="s">
        <v>3869</v>
      </c>
      <c r="H14" s="9" t="s">
        <v>3876</v>
      </c>
      <c r="I14" s="10" cm="1">
        <f t="array" ref="I14">IFERROR(INDEX(Precios!$D:$F,MATCH(N14, Precios!$G:$G, 0),CHOOSE(MATCH(H14, {"SML";"XL";"XXL"}, 0), 1, 2, 3)), 0)</f>
        <v>4.5</v>
      </c>
      <c r="J14" s="9">
        <v>2</v>
      </c>
      <c r="K14" s="10">
        <f t="shared" si="2"/>
        <v>9</v>
      </c>
      <c r="L14" s="9" t="s">
        <v>4210</v>
      </c>
      <c r="N14" s="9" t="str">
        <f t="shared" si="3"/>
        <v>PATIO DE COMIDA|PRODUCCIÓN / COCINA|GARIBALDI GRIS</v>
      </c>
      <c r="O14" s="9" t="str">
        <f>IF(N14="","",IF(COUNTIF(Precios!$G:$G,N14)=0,"⚠ No coincide con Precios","OK"))</f>
        <v>OK</v>
      </c>
    </row>
    <row r="15" spans="1:15" x14ac:dyDescent="0.2">
      <c r="A15" s="49">
        <v>45974</v>
      </c>
      <c r="B15" s="51" t="s">
        <v>3964</v>
      </c>
      <c r="C15" s="9" t="str" cm="1">
        <f t="array" ref="C15">IFERROR(_xlfn.XLOOKUP(B15,Personal!$A:$A,Personal!$D:$D,""),"")</f>
        <v>PACAYA CHOTA MAYCOL</v>
      </c>
      <c r="D15" s="9" t="str" cm="1">
        <f t="array" ref="D15">IFERROR(_xlfn.XLOOKUP(B15,Personal!$A:$A,Personal!$C:$C,""),"")</f>
        <v>IQUITOS</v>
      </c>
      <c r="E15" s="9" t="str" cm="1">
        <f t="array" ref="E15">IFERROR(_xlfn.XLOOKUP(D15,Locales!$A:$A,Locales!$B:$B,""),"")</f>
        <v>PATIO DE COMIDA</v>
      </c>
      <c r="F15" s="9" t="str" cm="1">
        <f t="array" ref="F15">IFERROR(_xlfn.XLOOKUP(B15,Personal!$A:$A,Personal!$F:$F,""),"")</f>
        <v>PRODUCCIÓN / COCINA</v>
      </c>
      <c r="G15" s="9" t="s">
        <v>3862</v>
      </c>
      <c r="H15" s="9" t="s">
        <v>3876</v>
      </c>
      <c r="I15" s="10" cm="1">
        <f t="array" ref="I15">IFERROR(INDEX(Precios!$D:$F,MATCH(N15, Precios!$G:$G, 0),CHOOSE(MATCH(H15, {"SML";"XL";"XXL"}, 0), 1, 2, 3)), 0)</f>
        <v>7.5</v>
      </c>
      <c r="J15" s="9">
        <v>4</v>
      </c>
      <c r="K15" s="10">
        <f t="shared" si="2"/>
        <v>30</v>
      </c>
      <c r="L15" s="9" t="s">
        <v>4210</v>
      </c>
      <c r="N15" s="9" t="str">
        <f t="shared" si="3"/>
        <v>PATIO DE COMIDA|PRODUCCIÓN / COCINA|POLO 30/1 GRIS</v>
      </c>
      <c r="O15" s="9" t="str">
        <f>IF(N15="","",IF(COUNTIF(Precios!$G:$G,N15)=0,"⚠ No coincide con Precios","OK"))</f>
        <v>OK</v>
      </c>
    </row>
    <row r="16" spans="1:15" x14ac:dyDescent="0.2">
      <c r="A16" s="49">
        <v>45974</v>
      </c>
      <c r="B16" s="51" t="s">
        <v>3967</v>
      </c>
      <c r="C16" s="9" t="str" cm="1">
        <f t="array" ref="C16">IFERROR(_xlfn.XLOOKUP(B16,Personal!$A:$A,Personal!$D:$D,""),"")</f>
        <v>FLORES SAQUIRAY MOISES</v>
      </c>
      <c r="D16" s="9" t="str" cm="1">
        <f t="array" ref="D16">IFERROR(_xlfn.XLOOKUP(B16,Personal!$A:$A,Personal!$C:$C,""),"")</f>
        <v>IQUITOS</v>
      </c>
      <c r="E16" s="9" t="str" cm="1">
        <f t="array" ref="E16">IFERROR(_xlfn.XLOOKUP(D16,Locales!$A:$A,Locales!$B:$B,""),"")</f>
        <v>PATIO DE COMIDA</v>
      </c>
      <c r="F16" s="9" t="str" cm="1">
        <f t="array" ref="F16">IFERROR(_xlfn.XLOOKUP(B16,Personal!$A:$A,Personal!$F:$F,""),"")</f>
        <v>PRODUCCIÓN / COCINA</v>
      </c>
      <c r="G16" s="9" t="s">
        <v>47</v>
      </c>
      <c r="H16" s="9" t="s">
        <v>3876</v>
      </c>
      <c r="I16" s="10" cm="1">
        <f t="array" ref="I16">IFERROR(INDEX(Precios!$D:$F,MATCH(N16, Precios!$G:$G, 0),CHOOSE(MATCH(H16, {"SML";"XL";"XXL"}, 0), 1, 2, 3)), 0)</f>
        <v>16.25</v>
      </c>
      <c r="J16" s="9">
        <v>2</v>
      </c>
      <c r="K16" s="10">
        <f t="shared" si="2"/>
        <v>32.5</v>
      </c>
      <c r="L16" s="9" t="s">
        <v>4210</v>
      </c>
      <c r="N16" s="9" t="str">
        <f t="shared" si="3"/>
        <v>PATIO DE COMIDA|PRODUCCIÓN / COCINA|CHAQUETA DRILL BLANCO</v>
      </c>
      <c r="O16" s="9" t="str">
        <f>IF(N16="","",IF(COUNTIF(Precios!$G:$G,N16)=0,"⚠ No coincide con Precios","OK"))</f>
        <v>OK</v>
      </c>
    </row>
    <row r="17" spans="1:15" x14ac:dyDescent="0.2">
      <c r="A17" s="49">
        <v>45974</v>
      </c>
      <c r="B17" s="51" t="s">
        <v>3967</v>
      </c>
      <c r="C17" s="9" t="str" cm="1">
        <f t="array" ref="C17">IFERROR(_xlfn.XLOOKUP(B17,Personal!$A:$A,Personal!$D:$D,""),"")</f>
        <v>FLORES SAQUIRAY MOISES</v>
      </c>
      <c r="D17" s="9" t="str" cm="1">
        <f t="array" ref="D17">IFERROR(_xlfn.XLOOKUP(B17,Personal!$A:$A,Personal!$C:$C,""),"")</f>
        <v>IQUITOS</v>
      </c>
      <c r="E17" s="9" t="str" cm="1">
        <f t="array" ref="E17">IFERROR(_xlfn.XLOOKUP(D17,Locales!$A:$A,Locales!$B:$B,""),"")</f>
        <v>PATIO DE COMIDA</v>
      </c>
      <c r="F17" s="9" t="str" cm="1">
        <f t="array" ref="F17">IFERROR(_xlfn.XLOOKUP(B17,Personal!$A:$A,Personal!$F:$F,""),"")</f>
        <v>PRODUCCIÓN / COCINA</v>
      </c>
      <c r="G17" s="9" t="s">
        <v>3867</v>
      </c>
      <c r="H17" s="9" t="s">
        <v>3876</v>
      </c>
      <c r="I17" s="10" cm="1">
        <f t="array" ref="I17">IFERROR(INDEX(Precios!$D:$F,MATCH(N17, Precios!$G:$G, 0),CHOOSE(MATCH(H17, {"SML";"XL";"XXL"}, 0), 1, 2, 3)), 0)</f>
        <v>11</v>
      </c>
      <c r="J17" s="9">
        <v>2</v>
      </c>
      <c r="K17" s="10">
        <f t="shared" si="2"/>
        <v>22</v>
      </c>
      <c r="L17" s="9" t="s">
        <v>4210</v>
      </c>
      <c r="N17" s="9" t="str">
        <f t="shared" si="3"/>
        <v>PATIO DE COMIDA|PRODUCCIÓN / COCINA|PANTALÓN SAL Y PIMIENTA</v>
      </c>
      <c r="O17" s="9" t="str">
        <f>IF(N17="","",IF(COUNTIF(Precios!$G:$G,N17)=0,"⚠ No coincide con Precios","OK"))</f>
        <v>OK</v>
      </c>
    </row>
    <row r="18" spans="1:15" x14ac:dyDescent="0.2">
      <c r="A18" s="49">
        <v>45974</v>
      </c>
      <c r="B18" s="51" t="s">
        <v>3967</v>
      </c>
      <c r="C18" s="9" t="str" cm="1">
        <f t="array" ref="C18">IFERROR(_xlfn.XLOOKUP(B18,Personal!$A:$A,Personal!$D:$D,""),"")</f>
        <v>FLORES SAQUIRAY MOISES</v>
      </c>
      <c r="D18" s="9" t="str" cm="1">
        <f t="array" ref="D18">IFERROR(_xlfn.XLOOKUP(B18,Personal!$A:$A,Personal!$C:$C,""),"")</f>
        <v>IQUITOS</v>
      </c>
      <c r="E18" s="9" t="str" cm="1">
        <f t="array" ref="E18">IFERROR(_xlfn.XLOOKUP(D18,Locales!$A:$A,Locales!$B:$B,""),"")</f>
        <v>PATIO DE COMIDA</v>
      </c>
      <c r="F18" s="9" t="str" cm="1">
        <f t="array" ref="F18">IFERROR(_xlfn.XLOOKUP(B18,Personal!$A:$A,Personal!$F:$F,""),"")</f>
        <v>PRODUCCIÓN / COCINA</v>
      </c>
      <c r="G18" s="9" t="s">
        <v>3868</v>
      </c>
      <c r="H18" s="9" t="s">
        <v>3876</v>
      </c>
      <c r="I18" s="10" cm="1">
        <f t="array" ref="I18">IFERROR(INDEX(Precios!$D:$F,MATCH(N18, Precios!$G:$G, 0),CHOOSE(MATCH(H18, {"SML";"XL";"XXL"}, 0), 1, 2, 3)), 0)</f>
        <v>6.5</v>
      </c>
      <c r="J18" s="9">
        <v>2</v>
      </c>
      <c r="K18" s="10">
        <f t="shared" si="2"/>
        <v>13</v>
      </c>
      <c r="L18" s="9" t="s">
        <v>4210</v>
      </c>
      <c r="N18" s="9" t="str">
        <f t="shared" si="3"/>
        <v>PATIO DE COMIDA|PRODUCCIÓN / COCINA|PECHERA GRIS EN DRILL</v>
      </c>
      <c r="O18" s="9" t="str">
        <f>IF(N18="","",IF(COUNTIF(Precios!$G:$G,N18)=0,"⚠ No coincide con Precios","OK"))</f>
        <v>OK</v>
      </c>
    </row>
    <row r="19" spans="1:15" x14ac:dyDescent="0.2">
      <c r="A19" s="49">
        <v>45974</v>
      </c>
      <c r="B19" s="51" t="s">
        <v>3967</v>
      </c>
      <c r="C19" s="9" t="str" cm="1">
        <f t="array" ref="C19">IFERROR(_xlfn.XLOOKUP(B19,Personal!$A:$A,Personal!$D:$D,""),"")</f>
        <v>FLORES SAQUIRAY MOISES</v>
      </c>
      <c r="D19" s="9" t="str" cm="1">
        <f t="array" ref="D19">IFERROR(_xlfn.XLOOKUP(B19,Personal!$A:$A,Personal!$C:$C,""),"")</f>
        <v>IQUITOS</v>
      </c>
      <c r="E19" s="9" t="str" cm="1">
        <f t="array" ref="E19">IFERROR(_xlfn.XLOOKUP(D19,Locales!$A:$A,Locales!$B:$B,""),"")</f>
        <v>PATIO DE COMIDA</v>
      </c>
      <c r="F19" s="9" t="str" cm="1">
        <f t="array" ref="F19">IFERROR(_xlfn.XLOOKUP(B19,Personal!$A:$A,Personal!$F:$F,""),"")</f>
        <v>PRODUCCIÓN / COCINA</v>
      </c>
      <c r="G19" s="9" t="s">
        <v>3869</v>
      </c>
      <c r="H19" s="9" t="s">
        <v>3876</v>
      </c>
      <c r="I19" s="10" cm="1">
        <f t="array" ref="I19">IFERROR(INDEX(Precios!$D:$F,MATCH(N19, Precios!$G:$G, 0),CHOOSE(MATCH(H19, {"SML";"XL";"XXL"}, 0), 1, 2, 3)), 0)</f>
        <v>4.5</v>
      </c>
      <c r="J19" s="9">
        <v>2</v>
      </c>
      <c r="K19" s="10">
        <f t="shared" si="2"/>
        <v>9</v>
      </c>
      <c r="L19" s="9" t="s">
        <v>4210</v>
      </c>
      <c r="N19" s="9" t="str">
        <f t="shared" si="3"/>
        <v>PATIO DE COMIDA|PRODUCCIÓN / COCINA|GARIBALDI GRIS</v>
      </c>
      <c r="O19" s="9" t="str">
        <f>IF(N19="","",IF(COUNTIF(Precios!$G:$G,N19)=0,"⚠ No coincide con Precios","OK"))</f>
        <v>OK</v>
      </c>
    </row>
    <row r="20" spans="1:15" x14ac:dyDescent="0.2">
      <c r="A20" s="49">
        <v>45974</v>
      </c>
      <c r="B20" s="51" t="s">
        <v>3967</v>
      </c>
      <c r="C20" s="9" t="str" cm="1">
        <f t="array" ref="C20">IFERROR(_xlfn.XLOOKUP(B20,Personal!$A:$A,Personal!$D:$D,""),"")</f>
        <v>FLORES SAQUIRAY MOISES</v>
      </c>
      <c r="D20" s="9" t="str" cm="1">
        <f t="array" ref="D20">IFERROR(_xlfn.XLOOKUP(B20,Personal!$A:$A,Personal!$C:$C,""),"")</f>
        <v>IQUITOS</v>
      </c>
      <c r="E20" s="9" t="str" cm="1">
        <f t="array" ref="E20">IFERROR(_xlfn.XLOOKUP(D20,Locales!$A:$A,Locales!$B:$B,""),"")</f>
        <v>PATIO DE COMIDA</v>
      </c>
      <c r="F20" s="9" t="str" cm="1">
        <f t="array" ref="F20">IFERROR(_xlfn.XLOOKUP(B20,Personal!$A:$A,Personal!$F:$F,""),"")</f>
        <v>PRODUCCIÓN / COCINA</v>
      </c>
      <c r="G20" s="9" t="s">
        <v>3862</v>
      </c>
      <c r="H20" s="9" t="s">
        <v>3876</v>
      </c>
      <c r="I20" s="10" cm="1">
        <f t="array" ref="I20">IFERROR(INDEX(Precios!$D:$F,MATCH(N20, Precios!$G:$G, 0),CHOOSE(MATCH(H20, {"SML";"XL";"XXL"}, 0), 1, 2, 3)), 0)</f>
        <v>7.5</v>
      </c>
      <c r="J20" s="9">
        <v>4</v>
      </c>
      <c r="K20" s="10">
        <f t="shared" si="2"/>
        <v>30</v>
      </c>
      <c r="L20" s="9" t="s">
        <v>4210</v>
      </c>
      <c r="N20" s="9" t="str">
        <f t="shared" si="3"/>
        <v>PATIO DE COMIDA|PRODUCCIÓN / COCINA|POLO 30/1 GRIS</v>
      </c>
      <c r="O20" s="9" t="str">
        <f>IF(N20="","",IF(COUNTIF(Precios!$G:$G,N20)=0,"⚠ No coincide con Precios","OK"))</f>
        <v>OK</v>
      </c>
    </row>
    <row r="21" spans="1:15" x14ac:dyDescent="0.2">
      <c r="A21" s="49">
        <v>45974</v>
      </c>
      <c r="B21" s="51" t="s">
        <v>3974</v>
      </c>
      <c r="C21" s="9" t="str" cm="1">
        <f t="array" ref="C21">IFERROR(_xlfn.XLOOKUP(B21,Personal!$A:$A,Personal!$D:$D,""),"")</f>
        <v>PACAYA CHOTA MARCIAL</v>
      </c>
      <c r="D21" s="9" t="str" cm="1">
        <f t="array" ref="D21">IFERROR(_xlfn.XLOOKUP(B21,Personal!$A:$A,Personal!$C:$C,""),"")</f>
        <v>IQUITOS</v>
      </c>
      <c r="E21" s="9" t="str" cm="1">
        <f t="array" ref="E21">IFERROR(_xlfn.XLOOKUP(D21,Locales!$A:$A,Locales!$B:$B,""),"")</f>
        <v>PATIO DE COMIDA</v>
      </c>
      <c r="F21" s="9" t="str" cm="1">
        <f t="array" ref="F21">IFERROR(_xlfn.XLOOKUP(B21,Personal!$A:$A,Personal!$F:$F,""),"")</f>
        <v>PRODUCCIÓN / COCINA</v>
      </c>
      <c r="G21" s="9" t="s">
        <v>47</v>
      </c>
      <c r="H21" s="9" t="s">
        <v>3876</v>
      </c>
      <c r="I21" s="10" cm="1">
        <f t="array" ref="I21">IFERROR(INDEX(Precios!$D:$F,MATCH(N21, Precios!$G:$G, 0),CHOOSE(MATCH(H21, {"SML";"XL";"XXL"}, 0), 1, 2, 3)), 0)</f>
        <v>16.25</v>
      </c>
      <c r="J21" s="9">
        <v>2</v>
      </c>
      <c r="K21" s="10">
        <f t="shared" si="2"/>
        <v>32.5</v>
      </c>
      <c r="L21" s="9" t="s">
        <v>4210</v>
      </c>
      <c r="N21" s="9" t="str">
        <f t="shared" si="3"/>
        <v>PATIO DE COMIDA|PRODUCCIÓN / COCINA|CHAQUETA DRILL BLANCO</v>
      </c>
      <c r="O21" s="9" t="str">
        <f>IF(N21="","",IF(COUNTIF(Precios!$G:$G,N21)=0,"⚠ No coincide con Precios","OK"))</f>
        <v>OK</v>
      </c>
    </row>
    <row r="22" spans="1:15" x14ac:dyDescent="0.2">
      <c r="A22" s="49">
        <v>45974</v>
      </c>
      <c r="B22" s="51" t="s">
        <v>3974</v>
      </c>
      <c r="C22" s="9" t="str" cm="1">
        <f t="array" ref="C22">IFERROR(_xlfn.XLOOKUP(B22,Personal!$A:$A,Personal!$D:$D,""),"")</f>
        <v>PACAYA CHOTA MARCIAL</v>
      </c>
      <c r="D22" s="9" t="str" cm="1">
        <f t="array" ref="D22">IFERROR(_xlfn.XLOOKUP(B22,Personal!$A:$A,Personal!$C:$C,""),"")</f>
        <v>IQUITOS</v>
      </c>
      <c r="E22" s="9" t="str" cm="1">
        <f t="array" ref="E22">IFERROR(_xlfn.XLOOKUP(D22,Locales!$A:$A,Locales!$B:$B,""),"")</f>
        <v>PATIO DE COMIDA</v>
      </c>
      <c r="F22" s="9" t="str" cm="1">
        <f t="array" ref="F22">IFERROR(_xlfn.XLOOKUP(B22,Personal!$A:$A,Personal!$F:$F,""),"")</f>
        <v>PRODUCCIÓN / COCINA</v>
      </c>
      <c r="G22" s="9" t="s">
        <v>3867</v>
      </c>
      <c r="H22" s="9" t="s">
        <v>3876</v>
      </c>
      <c r="I22" s="10" cm="1">
        <f t="array" ref="I22">IFERROR(INDEX(Precios!$D:$F,MATCH(N22, Precios!$G:$G, 0),CHOOSE(MATCH(H22, {"SML";"XL";"XXL"}, 0), 1, 2, 3)), 0)</f>
        <v>11</v>
      </c>
      <c r="J22" s="9">
        <v>2</v>
      </c>
      <c r="K22" s="10">
        <f t="shared" si="2"/>
        <v>22</v>
      </c>
      <c r="L22" s="9" t="s">
        <v>4210</v>
      </c>
      <c r="N22" s="9" t="str">
        <f t="shared" si="3"/>
        <v>PATIO DE COMIDA|PRODUCCIÓN / COCINA|PANTALÓN SAL Y PIMIENTA</v>
      </c>
      <c r="O22" s="9" t="str">
        <f>IF(N22="","",IF(COUNTIF(Precios!$G:$G,N22)=0,"⚠ No coincide con Precios","OK"))</f>
        <v>OK</v>
      </c>
    </row>
    <row r="23" spans="1:15" x14ac:dyDescent="0.2">
      <c r="A23" s="49">
        <v>45974</v>
      </c>
      <c r="B23" s="51" t="s">
        <v>3974</v>
      </c>
      <c r="C23" s="9" t="str" cm="1">
        <f t="array" ref="C23">IFERROR(_xlfn.XLOOKUP(B23,Personal!$A:$A,Personal!$D:$D,""),"")</f>
        <v>PACAYA CHOTA MARCIAL</v>
      </c>
      <c r="D23" s="9" t="str" cm="1">
        <f t="array" ref="D23">IFERROR(_xlfn.XLOOKUP(B23,Personal!$A:$A,Personal!$C:$C,""),"")</f>
        <v>IQUITOS</v>
      </c>
      <c r="E23" s="9" t="str" cm="1">
        <f t="array" ref="E23">IFERROR(_xlfn.XLOOKUP(D23,Locales!$A:$A,Locales!$B:$B,""),"")</f>
        <v>PATIO DE COMIDA</v>
      </c>
      <c r="F23" s="9" t="str" cm="1">
        <f t="array" ref="F23">IFERROR(_xlfn.XLOOKUP(B23,Personal!$A:$A,Personal!$F:$F,""),"")</f>
        <v>PRODUCCIÓN / COCINA</v>
      </c>
      <c r="G23" s="9" t="s">
        <v>3868</v>
      </c>
      <c r="H23" s="9" t="s">
        <v>3876</v>
      </c>
      <c r="I23" s="10" cm="1">
        <f t="array" ref="I23">IFERROR(INDEX(Precios!$D:$F,MATCH(N23, Precios!$G:$G, 0),CHOOSE(MATCH(H23, {"SML";"XL";"XXL"}, 0), 1, 2, 3)), 0)</f>
        <v>6.5</v>
      </c>
      <c r="J23" s="9">
        <v>2</v>
      </c>
      <c r="K23" s="10">
        <f t="shared" si="2"/>
        <v>13</v>
      </c>
      <c r="L23" s="9" t="s">
        <v>4210</v>
      </c>
      <c r="N23" s="9" t="str">
        <f t="shared" si="3"/>
        <v>PATIO DE COMIDA|PRODUCCIÓN / COCINA|PECHERA GRIS EN DRILL</v>
      </c>
      <c r="O23" s="9" t="str">
        <f>IF(N23="","",IF(COUNTIF(Precios!$G:$G,N23)=0,"⚠ No coincide con Precios","OK"))</f>
        <v>OK</v>
      </c>
    </row>
    <row r="24" spans="1:15" x14ac:dyDescent="0.2">
      <c r="A24" s="49">
        <v>45974</v>
      </c>
      <c r="B24" s="51" t="s">
        <v>3974</v>
      </c>
      <c r="C24" s="9" t="str" cm="1">
        <f t="array" ref="C24">IFERROR(_xlfn.XLOOKUP(B24,Personal!$A:$A,Personal!$D:$D,""),"")</f>
        <v>PACAYA CHOTA MARCIAL</v>
      </c>
      <c r="D24" s="9" t="str" cm="1">
        <f t="array" ref="D24">IFERROR(_xlfn.XLOOKUP(B24,Personal!$A:$A,Personal!$C:$C,""),"")</f>
        <v>IQUITOS</v>
      </c>
      <c r="E24" s="9" t="str" cm="1">
        <f t="array" ref="E24">IFERROR(_xlfn.XLOOKUP(D24,Locales!$A:$A,Locales!$B:$B,""),"")</f>
        <v>PATIO DE COMIDA</v>
      </c>
      <c r="F24" s="9" t="str" cm="1">
        <f t="array" ref="F24">IFERROR(_xlfn.XLOOKUP(B24,Personal!$A:$A,Personal!$F:$F,""),"")</f>
        <v>PRODUCCIÓN / COCINA</v>
      </c>
      <c r="G24" s="9" t="s">
        <v>3869</v>
      </c>
      <c r="H24" s="9" t="s">
        <v>3876</v>
      </c>
      <c r="I24" s="10" cm="1">
        <f t="array" ref="I24">IFERROR(INDEX(Precios!$D:$F,MATCH(N24, Precios!$G:$G, 0),CHOOSE(MATCH(H24, {"SML";"XL";"XXL"}, 0), 1, 2, 3)), 0)</f>
        <v>4.5</v>
      </c>
      <c r="J24" s="9">
        <v>2</v>
      </c>
      <c r="K24" s="10">
        <f t="shared" si="2"/>
        <v>9</v>
      </c>
      <c r="L24" s="9" t="s">
        <v>4210</v>
      </c>
      <c r="N24" s="9" t="str">
        <f t="shared" si="3"/>
        <v>PATIO DE COMIDA|PRODUCCIÓN / COCINA|GARIBALDI GRIS</v>
      </c>
      <c r="O24" s="9" t="str">
        <f>IF(N24="","",IF(COUNTIF(Precios!$G:$G,N24)=0,"⚠ No coincide con Precios","OK"))</f>
        <v>OK</v>
      </c>
    </row>
    <row r="25" spans="1:15" x14ac:dyDescent="0.2">
      <c r="A25" s="49">
        <v>45974</v>
      </c>
      <c r="B25" s="51" t="s">
        <v>3974</v>
      </c>
      <c r="C25" s="9" t="str" cm="1">
        <f t="array" ref="C25">IFERROR(_xlfn.XLOOKUP(B25,Personal!$A:$A,Personal!$D:$D,""),"")</f>
        <v>PACAYA CHOTA MARCIAL</v>
      </c>
      <c r="D25" s="9" t="str" cm="1">
        <f t="array" ref="D25">IFERROR(_xlfn.XLOOKUP(B25,Personal!$A:$A,Personal!$C:$C,""),"")</f>
        <v>IQUITOS</v>
      </c>
      <c r="E25" s="9" t="str" cm="1">
        <f t="array" ref="E25">IFERROR(_xlfn.XLOOKUP(D25,Locales!$A:$A,Locales!$B:$B,""),"")</f>
        <v>PATIO DE COMIDA</v>
      </c>
      <c r="F25" s="9" t="str" cm="1">
        <f t="array" ref="F25">IFERROR(_xlfn.XLOOKUP(B25,Personal!$A:$A,Personal!$F:$F,""),"")</f>
        <v>PRODUCCIÓN / COCINA</v>
      </c>
      <c r="G25" s="9" t="s">
        <v>3862</v>
      </c>
      <c r="H25" s="9" t="s">
        <v>3876</v>
      </c>
      <c r="I25" s="10" cm="1">
        <f t="array" ref="I25">IFERROR(INDEX(Precios!$D:$F,MATCH(N25, Precios!$G:$G, 0),CHOOSE(MATCH(H25, {"SML";"XL";"XXL"}, 0), 1, 2, 3)), 0)</f>
        <v>7.5</v>
      </c>
      <c r="J25" s="9">
        <v>4</v>
      </c>
      <c r="K25" s="10">
        <f t="shared" si="2"/>
        <v>30</v>
      </c>
      <c r="L25" s="9" t="s">
        <v>4210</v>
      </c>
      <c r="N25" s="9" t="str">
        <f t="shared" si="3"/>
        <v>PATIO DE COMIDA|PRODUCCIÓN / COCINA|POLO 30/1 GRIS</v>
      </c>
      <c r="O25" s="9" t="str">
        <f>IF(N25="","",IF(COUNTIF(Precios!$G:$G,N25)=0,"⚠ No coincide con Precios","OK"))</f>
        <v>OK</v>
      </c>
    </row>
    <row r="26" spans="1:15" x14ac:dyDescent="0.2">
      <c r="A26" s="49">
        <v>45974</v>
      </c>
      <c r="B26" s="51" t="s">
        <v>3314</v>
      </c>
      <c r="C26" s="9" t="str" cm="1">
        <f t="array" ref="C26">IFERROR(_xlfn.XLOOKUP(B26,Personal!$A:$A,Personal!$D:$D,""),"")</f>
        <v>BARDALES PASMIÑO DANNY AGUSTIN</v>
      </c>
      <c r="D26" s="9" t="str" cm="1">
        <f t="array" ref="D26">IFERROR(_xlfn.XLOOKUP(B26,Personal!$A:$A,Personal!$C:$C,""),"")</f>
        <v>IQUITOS</v>
      </c>
      <c r="E26" s="9" t="str" cm="1">
        <f t="array" ref="E26">IFERROR(_xlfn.XLOOKUP(D26,Locales!$A:$A,Locales!$B:$B,""),"")</f>
        <v>PATIO DE COMIDA</v>
      </c>
      <c r="F26" s="9" t="str" cm="1">
        <f t="array" ref="F26">IFERROR(_xlfn.XLOOKUP(B26,Personal!$A:$A,Personal!$F:$F,""),"")</f>
        <v>PRODUCCIÓN / COCINA</v>
      </c>
      <c r="G26" s="9" t="s">
        <v>47</v>
      </c>
      <c r="H26" s="9" t="s">
        <v>3876</v>
      </c>
      <c r="I26" s="10" cm="1">
        <f t="array" ref="I26">IFERROR(INDEX(Precios!$D:$F,MATCH(N26, Precios!$G:$G, 0),CHOOSE(MATCH(H26, {"SML";"XL";"XXL"}, 0), 1, 2, 3)), 0)</f>
        <v>16.25</v>
      </c>
      <c r="J26" s="9">
        <v>2</v>
      </c>
      <c r="K26" s="10">
        <f t="shared" si="2"/>
        <v>32.5</v>
      </c>
      <c r="L26" s="9" t="s">
        <v>4210</v>
      </c>
      <c r="N26" s="9" t="str">
        <f t="shared" si="3"/>
        <v>PATIO DE COMIDA|PRODUCCIÓN / COCINA|CHAQUETA DRILL BLANCO</v>
      </c>
      <c r="O26" s="9" t="str">
        <f>IF(N26="","",IF(COUNTIF(Precios!$G:$G,N26)=0,"⚠ No coincide con Precios","OK"))</f>
        <v>OK</v>
      </c>
    </row>
    <row r="27" spans="1:15" x14ac:dyDescent="0.2">
      <c r="A27" s="49">
        <v>45974</v>
      </c>
      <c r="B27" s="51" t="s">
        <v>3314</v>
      </c>
      <c r="C27" s="9" t="str" cm="1">
        <f t="array" ref="C27">IFERROR(_xlfn.XLOOKUP(B27,Personal!$A:$A,Personal!$D:$D,""),"")</f>
        <v>BARDALES PASMIÑO DANNY AGUSTIN</v>
      </c>
      <c r="D27" s="9" t="str" cm="1">
        <f t="array" ref="D27">IFERROR(_xlfn.XLOOKUP(B27,Personal!$A:$A,Personal!$C:$C,""),"")</f>
        <v>IQUITOS</v>
      </c>
      <c r="E27" s="9" t="str" cm="1">
        <f t="array" ref="E27">IFERROR(_xlfn.XLOOKUP(D27,Locales!$A:$A,Locales!$B:$B,""),"")</f>
        <v>PATIO DE COMIDA</v>
      </c>
      <c r="F27" s="9" t="str" cm="1">
        <f t="array" ref="F27">IFERROR(_xlfn.XLOOKUP(B27,Personal!$A:$A,Personal!$F:$F,""),"")</f>
        <v>PRODUCCIÓN / COCINA</v>
      </c>
      <c r="G27" s="9" t="s">
        <v>3867</v>
      </c>
      <c r="H27" s="9" t="s">
        <v>3876</v>
      </c>
      <c r="I27" s="10" cm="1">
        <f t="array" ref="I27">IFERROR(INDEX(Precios!$D:$F,MATCH(N27, Precios!$G:$G, 0),CHOOSE(MATCH(H27, {"SML";"XL";"XXL"}, 0), 1, 2, 3)), 0)</f>
        <v>11</v>
      </c>
      <c r="J27" s="9">
        <v>2</v>
      </c>
      <c r="K27" s="10">
        <f t="shared" si="2"/>
        <v>22</v>
      </c>
      <c r="L27" s="9" t="s">
        <v>4210</v>
      </c>
      <c r="N27" s="9" t="str">
        <f t="shared" si="3"/>
        <v>PATIO DE COMIDA|PRODUCCIÓN / COCINA|PANTALÓN SAL Y PIMIENTA</v>
      </c>
      <c r="O27" s="9" t="str">
        <f>IF(N27="","",IF(COUNTIF(Precios!$G:$G,N27)=0,"⚠ No coincide con Precios","OK"))</f>
        <v>OK</v>
      </c>
    </row>
    <row r="28" spans="1:15" x14ac:dyDescent="0.2">
      <c r="A28" s="49">
        <v>45974</v>
      </c>
      <c r="B28" s="51" t="s">
        <v>3314</v>
      </c>
      <c r="C28" s="9" t="str" cm="1">
        <f t="array" ref="C28">IFERROR(_xlfn.XLOOKUP(B28,Personal!$A:$A,Personal!$D:$D,""),"")</f>
        <v>BARDALES PASMIÑO DANNY AGUSTIN</v>
      </c>
      <c r="D28" s="9" t="str" cm="1">
        <f t="array" ref="D28">IFERROR(_xlfn.XLOOKUP(B28,Personal!$A:$A,Personal!$C:$C,""),"")</f>
        <v>IQUITOS</v>
      </c>
      <c r="E28" s="9" t="str" cm="1">
        <f t="array" ref="E28">IFERROR(_xlfn.XLOOKUP(D28,Locales!$A:$A,Locales!$B:$B,""),"")</f>
        <v>PATIO DE COMIDA</v>
      </c>
      <c r="F28" s="9" t="str" cm="1">
        <f t="array" ref="F28">IFERROR(_xlfn.XLOOKUP(B28,Personal!$A:$A,Personal!$F:$F,""),"")</f>
        <v>PRODUCCIÓN / COCINA</v>
      </c>
      <c r="G28" s="9" t="s">
        <v>3868</v>
      </c>
      <c r="H28" s="9" t="s">
        <v>3876</v>
      </c>
      <c r="I28" s="10" cm="1">
        <f t="array" ref="I28">IFERROR(INDEX(Precios!$D:$F,MATCH(N28, Precios!$G:$G, 0),CHOOSE(MATCH(H28, {"SML";"XL";"XXL"}, 0), 1, 2, 3)), 0)</f>
        <v>6.5</v>
      </c>
      <c r="J28" s="9">
        <v>2</v>
      </c>
      <c r="K28" s="10">
        <f t="shared" si="2"/>
        <v>13</v>
      </c>
      <c r="L28" s="9" t="s">
        <v>4210</v>
      </c>
      <c r="N28" s="9" t="str">
        <f t="shared" si="3"/>
        <v>PATIO DE COMIDA|PRODUCCIÓN / COCINA|PECHERA GRIS EN DRILL</v>
      </c>
      <c r="O28" s="9" t="str">
        <f>IF(N28="","",IF(COUNTIF(Precios!$G:$G,N28)=0,"⚠ No coincide con Precios","OK"))</f>
        <v>OK</v>
      </c>
    </row>
    <row r="29" spans="1:15" x14ac:dyDescent="0.2">
      <c r="A29" s="49">
        <v>45974</v>
      </c>
      <c r="B29" s="51" t="s">
        <v>3314</v>
      </c>
      <c r="C29" s="9" t="str" cm="1">
        <f t="array" ref="C29">IFERROR(_xlfn.XLOOKUP(B29,Personal!$A:$A,Personal!$D:$D,""),"")</f>
        <v>BARDALES PASMIÑO DANNY AGUSTIN</v>
      </c>
      <c r="D29" s="9" t="str" cm="1">
        <f t="array" ref="D29">IFERROR(_xlfn.XLOOKUP(B29,Personal!$A:$A,Personal!$C:$C,""),"")</f>
        <v>IQUITOS</v>
      </c>
      <c r="E29" s="9" t="str" cm="1">
        <f t="array" ref="E29">IFERROR(_xlfn.XLOOKUP(D29,Locales!$A:$A,Locales!$B:$B,""),"")</f>
        <v>PATIO DE COMIDA</v>
      </c>
      <c r="F29" s="9" t="str" cm="1">
        <f t="array" ref="F29">IFERROR(_xlfn.XLOOKUP(B29,Personal!$A:$A,Personal!$F:$F,""),"")</f>
        <v>PRODUCCIÓN / COCINA</v>
      </c>
      <c r="G29" s="9" t="s">
        <v>3869</v>
      </c>
      <c r="H29" s="9" t="s">
        <v>3876</v>
      </c>
      <c r="I29" s="10" cm="1">
        <f t="array" ref="I29">IFERROR(INDEX(Precios!$D:$F,MATCH(N29, Precios!$G:$G, 0),CHOOSE(MATCH(H29, {"SML";"XL";"XXL"}, 0), 1, 2, 3)), 0)</f>
        <v>4.5</v>
      </c>
      <c r="J29" s="9">
        <v>2</v>
      </c>
      <c r="K29" s="10">
        <f t="shared" si="2"/>
        <v>9</v>
      </c>
      <c r="L29" s="9" t="s">
        <v>4210</v>
      </c>
      <c r="N29" s="9" t="str">
        <f t="shared" si="3"/>
        <v>PATIO DE COMIDA|PRODUCCIÓN / COCINA|GARIBALDI GRIS</v>
      </c>
      <c r="O29" s="9" t="str">
        <f>IF(N29="","",IF(COUNTIF(Precios!$G:$G,N29)=0,"⚠ No coincide con Precios","OK"))</f>
        <v>OK</v>
      </c>
    </row>
    <row r="30" spans="1:15" x14ac:dyDescent="0.2">
      <c r="A30" s="49">
        <v>45974</v>
      </c>
      <c r="B30" s="51" t="s">
        <v>3314</v>
      </c>
      <c r="C30" s="9" t="str" cm="1">
        <f t="array" ref="C30">IFERROR(_xlfn.XLOOKUP(B30,Personal!$A:$A,Personal!$D:$D,""),"")</f>
        <v>BARDALES PASMIÑO DANNY AGUSTIN</v>
      </c>
      <c r="D30" s="9" t="str" cm="1">
        <f t="array" ref="D30">IFERROR(_xlfn.XLOOKUP(B30,Personal!$A:$A,Personal!$C:$C,""),"")</f>
        <v>IQUITOS</v>
      </c>
      <c r="E30" s="9" t="str" cm="1">
        <f t="array" ref="E30">IFERROR(_xlfn.XLOOKUP(D30,Locales!$A:$A,Locales!$B:$B,""),"")</f>
        <v>PATIO DE COMIDA</v>
      </c>
      <c r="F30" s="9" t="str" cm="1">
        <f t="array" ref="F30">IFERROR(_xlfn.XLOOKUP(B30,Personal!$A:$A,Personal!$F:$F,""),"")</f>
        <v>PRODUCCIÓN / COCINA</v>
      </c>
      <c r="G30" s="9" t="s">
        <v>3862</v>
      </c>
      <c r="H30" s="9" t="s">
        <v>3876</v>
      </c>
      <c r="I30" s="10" cm="1">
        <f t="array" ref="I30">IFERROR(INDEX(Precios!$D:$F,MATCH(N30, Precios!$G:$G, 0),CHOOSE(MATCH(H30, {"SML";"XL";"XXL"}, 0), 1, 2, 3)), 0)</f>
        <v>7.5</v>
      </c>
      <c r="J30" s="9">
        <v>4</v>
      </c>
      <c r="K30" s="10">
        <f t="shared" si="2"/>
        <v>30</v>
      </c>
      <c r="L30" s="9" t="s">
        <v>4210</v>
      </c>
      <c r="N30" s="9" t="str">
        <f t="shared" si="3"/>
        <v>PATIO DE COMIDA|PRODUCCIÓN / COCINA|POLO 30/1 GRIS</v>
      </c>
      <c r="O30" s="9" t="str">
        <f>IF(N30="","",IF(COUNTIF(Precios!$G:$G,N30)=0,"⚠ No coincide con Precios","OK"))</f>
        <v>OK</v>
      </c>
    </row>
    <row r="31" spans="1:15" x14ac:dyDescent="0.2">
      <c r="A31" s="49">
        <v>45974</v>
      </c>
      <c r="B31" s="51" t="s">
        <v>3962</v>
      </c>
      <c r="C31" s="9" t="str" cm="1">
        <f t="array" ref="C31">IFERROR(_xlfn.XLOOKUP(B31,Personal!$A:$A,Personal!$D:$D,""),"")</f>
        <v>PANDURO VELA MARCO ANTONIO</v>
      </c>
      <c r="D31" s="9" t="str" cm="1">
        <f t="array" ref="D31">IFERROR(_xlfn.XLOOKUP(B31,Personal!$A:$A,Personal!$C:$C,""),"")</f>
        <v>IQUITOS</v>
      </c>
      <c r="E31" s="9" t="str" cm="1">
        <f t="array" ref="E31">IFERROR(_xlfn.XLOOKUP(D31,Locales!$A:$A,Locales!$B:$B,""),"")</f>
        <v>PATIO DE COMIDA</v>
      </c>
      <c r="F31" s="9" t="str" cm="1">
        <f t="array" ref="F31">IFERROR(_xlfn.XLOOKUP(B31,Personal!$A:$A,Personal!$F:$F,""),"")</f>
        <v>PRODUCCIÓN / COCINA</v>
      </c>
      <c r="G31" s="9" t="s">
        <v>47</v>
      </c>
      <c r="H31" s="9" t="s">
        <v>3876</v>
      </c>
      <c r="I31" s="10" cm="1">
        <f t="array" ref="I31">IFERROR(INDEX(Precios!$D:$F,MATCH(N31, Precios!$G:$G, 0),CHOOSE(MATCH(H31, {"SML";"XL";"XXL"}, 0), 1, 2, 3)), 0)</f>
        <v>16.25</v>
      </c>
      <c r="J31" s="9">
        <v>2</v>
      </c>
      <c r="K31" s="10">
        <f t="shared" si="2"/>
        <v>32.5</v>
      </c>
      <c r="L31" s="9" t="s">
        <v>4210</v>
      </c>
      <c r="N31" s="9" t="str">
        <f t="shared" si="3"/>
        <v>PATIO DE COMIDA|PRODUCCIÓN / COCINA|CHAQUETA DRILL BLANCO</v>
      </c>
      <c r="O31" s="9" t="str">
        <f>IF(N31="","",IF(COUNTIF(Precios!$G:$G,N31)=0,"⚠ No coincide con Precios","OK"))</f>
        <v>OK</v>
      </c>
    </row>
    <row r="32" spans="1:15" x14ac:dyDescent="0.2">
      <c r="A32" s="49">
        <v>45974</v>
      </c>
      <c r="B32" s="51" t="s">
        <v>3962</v>
      </c>
      <c r="C32" s="9" t="str" cm="1">
        <f t="array" ref="C32">IFERROR(_xlfn.XLOOKUP(B32,Personal!$A:$A,Personal!$D:$D,""),"")</f>
        <v>PANDURO VELA MARCO ANTONIO</v>
      </c>
      <c r="D32" s="9" t="str" cm="1">
        <f t="array" ref="D32">IFERROR(_xlfn.XLOOKUP(B32,Personal!$A:$A,Personal!$C:$C,""),"")</f>
        <v>IQUITOS</v>
      </c>
      <c r="E32" s="9" t="str" cm="1">
        <f t="array" ref="E32">IFERROR(_xlfn.XLOOKUP(D32,Locales!$A:$A,Locales!$B:$B,""),"")</f>
        <v>PATIO DE COMIDA</v>
      </c>
      <c r="F32" s="9" t="str" cm="1">
        <f t="array" ref="F32">IFERROR(_xlfn.XLOOKUP(B32,Personal!$A:$A,Personal!$F:$F,""),"")</f>
        <v>PRODUCCIÓN / COCINA</v>
      </c>
      <c r="G32" s="9" t="s">
        <v>3867</v>
      </c>
      <c r="H32" s="9" t="s">
        <v>3876</v>
      </c>
      <c r="I32" s="10" cm="1">
        <f t="array" ref="I32">IFERROR(INDEX(Precios!$D:$F,MATCH(N32, Precios!$G:$G, 0),CHOOSE(MATCH(H32, {"SML";"XL";"XXL"}, 0), 1, 2, 3)), 0)</f>
        <v>11</v>
      </c>
      <c r="J32" s="9">
        <v>2</v>
      </c>
      <c r="K32" s="10">
        <f t="shared" si="2"/>
        <v>22</v>
      </c>
      <c r="L32" s="9" t="s">
        <v>4210</v>
      </c>
      <c r="N32" s="9" t="str">
        <f t="shared" si="3"/>
        <v>PATIO DE COMIDA|PRODUCCIÓN / COCINA|PANTALÓN SAL Y PIMIENTA</v>
      </c>
      <c r="O32" s="9" t="str">
        <f>IF(N32="","",IF(COUNTIF(Precios!$G:$G,N32)=0,"⚠ No coincide con Precios","OK"))</f>
        <v>OK</v>
      </c>
    </row>
    <row r="33" spans="1:15" x14ac:dyDescent="0.2">
      <c r="A33" s="49">
        <v>45974</v>
      </c>
      <c r="B33" s="51" t="s">
        <v>3962</v>
      </c>
      <c r="C33" s="9" t="str" cm="1">
        <f t="array" ref="C33">IFERROR(_xlfn.XLOOKUP(B33,Personal!$A:$A,Personal!$D:$D,""),"")</f>
        <v>PANDURO VELA MARCO ANTONIO</v>
      </c>
      <c r="D33" s="9" t="str" cm="1">
        <f t="array" ref="D33">IFERROR(_xlfn.XLOOKUP(B33,Personal!$A:$A,Personal!$C:$C,""),"")</f>
        <v>IQUITOS</v>
      </c>
      <c r="E33" s="9" t="str" cm="1">
        <f t="array" ref="E33">IFERROR(_xlfn.XLOOKUP(D33,Locales!$A:$A,Locales!$B:$B,""),"")</f>
        <v>PATIO DE COMIDA</v>
      </c>
      <c r="F33" s="9" t="str" cm="1">
        <f t="array" ref="F33">IFERROR(_xlfn.XLOOKUP(B33,Personal!$A:$A,Personal!$F:$F,""),"")</f>
        <v>PRODUCCIÓN / COCINA</v>
      </c>
      <c r="G33" s="9" t="s">
        <v>3868</v>
      </c>
      <c r="H33" s="9" t="s">
        <v>3876</v>
      </c>
      <c r="I33" s="10" cm="1">
        <f t="array" ref="I33">IFERROR(INDEX(Precios!$D:$F,MATCH(N33, Precios!$G:$G, 0),CHOOSE(MATCH(H33, {"SML";"XL";"XXL"}, 0), 1, 2, 3)), 0)</f>
        <v>6.5</v>
      </c>
      <c r="J33" s="9">
        <v>2</v>
      </c>
      <c r="K33" s="10">
        <f t="shared" si="2"/>
        <v>13</v>
      </c>
      <c r="L33" s="9" t="s">
        <v>4210</v>
      </c>
      <c r="N33" s="9" t="str">
        <f t="shared" si="3"/>
        <v>PATIO DE COMIDA|PRODUCCIÓN / COCINA|PECHERA GRIS EN DRILL</v>
      </c>
      <c r="O33" s="9" t="str">
        <f>IF(N33="","",IF(COUNTIF(Precios!$G:$G,N33)=0,"⚠ No coincide con Precios","OK"))</f>
        <v>OK</v>
      </c>
    </row>
    <row r="34" spans="1:15" x14ac:dyDescent="0.2">
      <c r="A34" s="49">
        <v>45974</v>
      </c>
      <c r="B34" s="51" t="s">
        <v>3962</v>
      </c>
      <c r="C34" s="9" t="str" cm="1">
        <f t="array" ref="C34">IFERROR(_xlfn.XLOOKUP(B34,Personal!$A:$A,Personal!$D:$D,""),"")</f>
        <v>PANDURO VELA MARCO ANTONIO</v>
      </c>
      <c r="D34" s="9" t="str" cm="1">
        <f t="array" ref="D34">IFERROR(_xlfn.XLOOKUP(B34,Personal!$A:$A,Personal!$C:$C,""),"")</f>
        <v>IQUITOS</v>
      </c>
      <c r="E34" s="9" t="str" cm="1">
        <f t="array" ref="E34">IFERROR(_xlfn.XLOOKUP(D34,Locales!$A:$A,Locales!$B:$B,""),"")</f>
        <v>PATIO DE COMIDA</v>
      </c>
      <c r="F34" s="9" t="str" cm="1">
        <f t="array" ref="F34">IFERROR(_xlfn.XLOOKUP(B34,Personal!$A:$A,Personal!$F:$F,""),"")</f>
        <v>PRODUCCIÓN / COCINA</v>
      </c>
      <c r="G34" s="9" t="s">
        <v>3869</v>
      </c>
      <c r="H34" s="9" t="s">
        <v>3876</v>
      </c>
      <c r="I34" s="10" cm="1">
        <f t="array" ref="I34">IFERROR(INDEX(Precios!$D:$F,MATCH(N34, Precios!$G:$G, 0),CHOOSE(MATCH(H34, {"SML";"XL";"XXL"}, 0), 1, 2, 3)), 0)</f>
        <v>4.5</v>
      </c>
      <c r="J34" s="9">
        <v>2</v>
      </c>
      <c r="K34" s="10">
        <f t="shared" si="2"/>
        <v>9</v>
      </c>
      <c r="L34" s="9" t="s">
        <v>4210</v>
      </c>
      <c r="N34" s="9" t="str">
        <f t="shared" si="3"/>
        <v>PATIO DE COMIDA|PRODUCCIÓN / COCINA|GARIBALDI GRIS</v>
      </c>
      <c r="O34" s="9" t="str">
        <f>IF(N34="","",IF(COUNTIF(Precios!$G:$G,N34)=0,"⚠ No coincide con Precios","OK"))</f>
        <v>OK</v>
      </c>
    </row>
    <row r="35" spans="1:15" x14ac:dyDescent="0.2">
      <c r="A35" s="49">
        <v>45974</v>
      </c>
      <c r="B35" s="51" t="s">
        <v>3962</v>
      </c>
      <c r="C35" s="9" t="str" cm="1">
        <f t="array" ref="C35">IFERROR(_xlfn.XLOOKUP(B35,Personal!$A:$A,Personal!$D:$D,""),"")</f>
        <v>PANDURO VELA MARCO ANTONIO</v>
      </c>
      <c r="D35" s="9" t="str" cm="1">
        <f t="array" ref="D35">IFERROR(_xlfn.XLOOKUP(B35,Personal!$A:$A,Personal!$C:$C,""),"")</f>
        <v>IQUITOS</v>
      </c>
      <c r="E35" s="9" t="str" cm="1">
        <f t="array" ref="E35">IFERROR(_xlfn.XLOOKUP(D35,Locales!$A:$A,Locales!$B:$B,""),"")</f>
        <v>PATIO DE COMIDA</v>
      </c>
      <c r="F35" s="9" t="str" cm="1">
        <f t="array" ref="F35">IFERROR(_xlfn.XLOOKUP(B35,Personal!$A:$A,Personal!$F:$F,""),"")</f>
        <v>PRODUCCIÓN / COCINA</v>
      </c>
      <c r="G35" s="9" t="s">
        <v>3862</v>
      </c>
      <c r="H35" s="9" t="s">
        <v>3876</v>
      </c>
      <c r="I35" s="10" cm="1">
        <f t="array" ref="I35">IFERROR(INDEX(Precios!$D:$F,MATCH(N35, Precios!$G:$G, 0),CHOOSE(MATCH(H35, {"SML";"XL";"XXL"}, 0), 1, 2, 3)), 0)</f>
        <v>7.5</v>
      </c>
      <c r="J35" s="9">
        <v>4</v>
      </c>
      <c r="K35" s="10">
        <f t="shared" si="2"/>
        <v>30</v>
      </c>
      <c r="L35" s="9" t="s">
        <v>4210</v>
      </c>
      <c r="N35" s="9" t="str">
        <f t="shared" si="3"/>
        <v>PATIO DE COMIDA|PRODUCCIÓN / COCINA|POLO 30/1 GRIS</v>
      </c>
      <c r="O35" s="9" t="str">
        <f>IF(N35="","",IF(COUNTIF(Precios!$G:$G,N35)=0,"⚠ No coincide con Precios","OK"))</f>
        <v>OK</v>
      </c>
    </row>
    <row r="36" spans="1:15" x14ac:dyDescent="0.2">
      <c r="A36" s="49">
        <v>45974</v>
      </c>
      <c r="B36" s="51" t="s">
        <v>3966</v>
      </c>
      <c r="C36" s="9" t="str" cm="1">
        <f t="array" ref="C36">IFERROR(_xlfn.XLOOKUP(B36,Personal!$A:$A,Personal!$D:$D,""),"")</f>
        <v>TORRES REATEGUI RICHARD JACKSON</v>
      </c>
      <c r="D36" s="9" t="str" cm="1">
        <f t="array" ref="D36">IFERROR(_xlfn.XLOOKUP(B36,Personal!$A:$A,Personal!$C:$C,""),"")</f>
        <v>IQUITOS</v>
      </c>
      <c r="E36" s="9" t="str" cm="1">
        <f t="array" ref="E36">IFERROR(_xlfn.XLOOKUP(D36,Locales!$A:$A,Locales!$B:$B,""),"")</f>
        <v>PATIO DE COMIDA</v>
      </c>
      <c r="F36" s="9" t="str" cm="1">
        <f t="array" ref="F36">IFERROR(_xlfn.XLOOKUP(B36,Personal!$A:$A,Personal!$F:$F,""),"")</f>
        <v>MOTORIZADO</v>
      </c>
      <c r="G36" s="9" t="s">
        <v>4227</v>
      </c>
      <c r="H36" s="9" t="s">
        <v>3876</v>
      </c>
      <c r="I36" s="10" cm="1">
        <f t="array" ref="I36">IFERROR(INDEX(Precios!$D:$F,MATCH(N36, Precios!$G:$G, 0),CHOOSE(MATCH(H36, {"SML";"XL";"XXL"}, 0), 1, 2, 3)), 0)</f>
        <v>13.5</v>
      </c>
      <c r="J36" s="9">
        <v>2</v>
      </c>
      <c r="K36" s="10">
        <f t="shared" si="2"/>
        <v>27</v>
      </c>
      <c r="L36" s="9" t="s">
        <v>4210</v>
      </c>
      <c r="N36" s="9" t="str">
        <f t="shared" si="3"/>
        <v>PATIO DE COMIDA|MOTORIZADO|POLO PIQUÉ CONCHE VINO, MANGA CORTA MOTORIZADO</v>
      </c>
      <c r="O36" s="9" t="str">
        <f>IF(N36="","",IF(COUNTIF(Precios!$G:$G,N36)=0,"⚠ No coincide con Precios","OK"))</f>
        <v>OK</v>
      </c>
    </row>
    <row r="37" spans="1:15" x14ac:dyDescent="0.2">
      <c r="A37" s="49">
        <v>45974</v>
      </c>
      <c r="B37" s="51" t="s">
        <v>3940</v>
      </c>
      <c r="C37" s="9" t="str" cm="1">
        <f t="array" ref="C37">IFERROR(_xlfn.XLOOKUP(B37,Personal!$A:$A,Personal!$D:$D,""),"")</f>
        <v>COTRINA CARDENAS MARIO GERMAN</v>
      </c>
      <c r="D37" s="9" t="str" cm="1">
        <f t="array" ref="D37">IFERROR(_xlfn.XLOOKUP(B37,Personal!$A:$A,Personal!$C:$C,""),"")</f>
        <v>IQUITOS</v>
      </c>
      <c r="E37" s="9" t="str" cm="1">
        <f t="array" ref="E37">IFERROR(_xlfn.XLOOKUP(D37,Locales!$A:$A,Locales!$B:$B,""),"")</f>
        <v>PATIO DE COMIDA</v>
      </c>
      <c r="F37" s="9" t="str" cm="1">
        <f t="array" ref="F37">IFERROR(_xlfn.XLOOKUP(B37,Personal!$A:$A,Personal!$F:$F,""),"")</f>
        <v>STAFF ADMINISTRATIVO</v>
      </c>
      <c r="G37" s="9" t="s">
        <v>4490</v>
      </c>
      <c r="H37" s="9" t="s">
        <v>3876</v>
      </c>
      <c r="I37" s="10" cm="1">
        <f t="array" ref="I37">IFERROR(INDEX(Precios!$D:$F,MATCH(N37, Precios!$G:$G, 0),CHOOSE(MATCH(H37, {"SML";"XL";"XXL"}, 0), 1, 2, 3)), 0)</f>
        <v>15</v>
      </c>
      <c r="J37" s="9">
        <v>2</v>
      </c>
      <c r="K37" s="10">
        <f t="shared" si="2"/>
        <v>30</v>
      </c>
      <c r="L37" s="9" t="s">
        <v>4210</v>
      </c>
      <c r="N37" s="9" t="str">
        <f t="shared" si="3"/>
        <v>PATIO DE COMIDA|STAFF ADMINISTRATIVO|POLO PIQUÉ PIZARRA RX, MANGA CORTA ADMI</v>
      </c>
      <c r="O37" s="9" t="str">
        <f>IF(N37="","",IF(COUNTIF(Precios!$G:$G,N37)=0,"⚠ No coincide con Precios","OK"))</f>
        <v>OK</v>
      </c>
    </row>
    <row r="38" spans="1:15" x14ac:dyDescent="0.2">
      <c r="A38" s="49">
        <v>45987</v>
      </c>
      <c r="B38" s="51" t="s">
        <v>3940</v>
      </c>
      <c r="C38" s="9" t="str" cm="1">
        <f t="array" ref="C38">IFERROR(_xlfn.XLOOKUP(B38,Personal!$A:$A,Personal!$D:$D,""),"")</f>
        <v>COTRINA CARDENAS MARIO GERMAN</v>
      </c>
      <c r="D38" s="9" t="str" cm="1">
        <f t="array" ref="D38">IFERROR(_xlfn.XLOOKUP(B38,Personal!$A:$A,Personal!$C:$C,""),"")</f>
        <v>IQUITOS</v>
      </c>
      <c r="E38" s="9" t="str" cm="1">
        <f t="array" ref="E38">IFERROR(_xlfn.XLOOKUP(D38,Locales!$A:$A,Locales!$B:$B,""),"")</f>
        <v>PATIO DE COMIDA</v>
      </c>
      <c r="F38" s="9" t="str" cm="1">
        <f t="array" ref="F38">IFERROR(_xlfn.XLOOKUP(B38,Personal!$A:$A,Personal!$F:$F,""),"")</f>
        <v>STAFF ADMINISTRATIVO</v>
      </c>
      <c r="G38" s="9" t="s">
        <v>4493</v>
      </c>
      <c r="H38" s="9" t="s">
        <v>3876</v>
      </c>
      <c r="I38" s="10" cm="1">
        <f t="array" ref="I38">IFERROR(INDEX(Precios!$D:$F,MATCH(N38, Precios!$G:$G, 0),CHOOSE(MATCH(H38, {"SML";"XL";"XXL"}, 0), 1, 2, 3)), 0)</f>
        <v>5</v>
      </c>
      <c r="J38" s="9">
        <v>2</v>
      </c>
      <c r="K38" s="10">
        <f t="shared" si="2"/>
        <v>10</v>
      </c>
      <c r="L38" s="9" t="s">
        <v>4210</v>
      </c>
      <c r="N38" s="9" t="str">
        <f t="shared" si="3"/>
        <v>PATIO DE COMIDA|STAFF ADMINISTRATIVO|GORRO NEGRO ADM</v>
      </c>
      <c r="O38" s="9" t="str">
        <f>IF(N38="","",IF(COUNTIF(Precios!$G:$G,N38)=0,"⚠ No coincide con Precios","OK"))</f>
        <v>OK</v>
      </c>
    </row>
    <row r="39" spans="1:15" x14ac:dyDescent="0.2">
      <c r="A39" s="49">
        <v>45974</v>
      </c>
      <c r="B39" s="51" t="s">
        <v>4276</v>
      </c>
      <c r="C39" s="9" t="str" cm="1">
        <f t="array" ref="C39">IFERROR(_xlfn.XLOOKUP(B39,Personal!$A:$A,Personal!$D:$D,""),"")</f>
        <v>ARIMUYA UPARI RUBEN</v>
      </c>
      <c r="D39" s="9" t="str" cm="1">
        <f t="array" ref="D39">IFERROR(_xlfn.XLOOKUP(B39,Personal!$A:$A,Personal!$C:$C,""),"")</f>
        <v>IQUITOS</v>
      </c>
      <c r="E39" s="9" t="str" cm="1">
        <f t="array" ref="E39">IFERROR(_xlfn.XLOOKUP(D39,Locales!$A:$A,Locales!$B:$B,""),"")</f>
        <v>PATIO DE COMIDA</v>
      </c>
      <c r="F39" s="9" t="str" cm="1">
        <f t="array" ref="F39">IFERROR(_xlfn.XLOOKUP(B39,Personal!$A:$A,Personal!$F:$F,""),"")</f>
        <v>STAFF ADMINISTRATIVO</v>
      </c>
      <c r="G39" s="9" t="s">
        <v>4490</v>
      </c>
      <c r="H39" s="9" t="s">
        <v>3876</v>
      </c>
      <c r="I39" s="10" cm="1">
        <f t="array" ref="I39">IFERROR(INDEX(Precios!$D:$F,MATCH(N39, Precios!$G:$G, 0),CHOOSE(MATCH(H39, {"SML";"XL";"XXL"}, 0), 1, 2, 3)), 0)</f>
        <v>15</v>
      </c>
      <c r="J39" s="9">
        <v>2</v>
      </c>
      <c r="K39" s="10">
        <f t="shared" si="2"/>
        <v>30</v>
      </c>
      <c r="L39" s="9" t="s">
        <v>4210</v>
      </c>
      <c r="N39" s="9" t="str">
        <f t="shared" si="3"/>
        <v>PATIO DE COMIDA|STAFF ADMINISTRATIVO|POLO PIQUÉ PIZARRA RX, MANGA CORTA ADMI</v>
      </c>
      <c r="O39" s="9" t="str">
        <f>IF(N39="","",IF(COUNTIF(Precios!$G:$G,N39)=0,"⚠ No coincide con Precios","OK"))</f>
        <v>OK</v>
      </c>
    </row>
    <row r="40" spans="1:15" x14ac:dyDescent="0.2">
      <c r="A40" s="49">
        <v>45987</v>
      </c>
      <c r="B40" s="51" t="s">
        <v>4276</v>
      </c>
      <c r="C40" s="9" t="str" cm="1">
        <f t="array" ref="C40">IFERROR(_xlfn.XLOOKUP(B40,Personal!$A:$A,Personal!$D:$D,""),"")</f>
        <v>ARIMUYA UPARI RUBEN</v>
      </c>
      <c r="D40" s="9" t="str" cm="1">
        <f t="array" ref="D40">IFERROR(_xlfn.XLOOKUP(B40,Personal!$A:$A,Personal!$C:$C,""),"")</f>
        <v>IQUITOS</v>
      </c>
      <c r="E40" s="9" t="str" cm="1">
        <f t="array" ref="E40">IFERROR(_xlfn.XLOOKUP(D40,Locales!$A:$A,Locales!$B:$B,""),"")</f>
        <v>PATIO DE COMIDA</v>
      </c>
      <c r="F40" s="9" t="str" cm="1">
        <f t="array" ref="F40">IFERROR(_xlfn.XLOOKUP(B40,Personal!$A:$A,Personal!$F:$F,""),"")</f>
        <v>STAFF ADMINISTRATIVO</v>
      </c>
      <c r="G40" s="9" t="s">
        <v>3846</v>
      </c>
      <c r="H40" s="9" t="s">
        <v>3876</v>
      </c>
      <c r="I40" s="10" cm="1">
        <f t="array" ref="I40">IFERROR(INDEX(Precios!$D:$F,MATCH(N40, Precios!$G:$G, 0),CHOOSE(MATCH(H40, {"SML";"XL";"XXL"}, 0), 1, 2, 3)), 0)</f>
        <v>18</v>
      </c>
      <c r="J40" s="9">
        <v>2</v>
      </c>
      <c r="K40" s="10">
        <f t="shared" si="2"/>
        <v>36</v>
      </c>
      <c r="L40" s="9" t="s">
        <v>4210</v>
      </c>
      <c r="N40" s="9" t="str">
        <f t="shared" si="3"/>
        <v>PATIO DE COMIDA|STAFF ADMINISTRATIVO|CAMISA OXFORD CELESTE</v>
      </c>
      <c r="O40" s="9" t="str">
        <f>IF(N40="","",IF(COUNTIF(Precios!$G:$G,N40)=0,"⚠ No coincide con Precios","OK"))</f>
        <v>OK</v>
      </c>
    </row>
    <row r="41" spans="1:15" x14ac:dyDescent="0.2">
      <c r="A41" s="49">
        <v>45987</v>
      </c>
      <c r="B41" s="51" t="s">
        <v>4276</v>
      </c>
      <c r="C41" s="9" t="str" cm="1">
        <f t="array" ref="C41">IFERROR(_xlfn.XLOOKUP(B41,Personal!$A:$A,Personal!$D:$D,""),"")</f>
        <v>ARIMUYA UPARI RUBEN</v>
      </c>
      <c r="D41" s="9" t="str" cm="1">
        <f t="array" ref="D41">IFERROR(_xlfn.XLOOKUP(B41,Personal!$A:$A,Personal!$C:$C,""),"")</f>
        <v>IQUITOS</v>
      </c>
      <c r="E41" s="9" t="str" cm="1">
        <f t="array" ref="E41">IFERROR(_xlfn.XLOOKUP(D41,Locales!$A:$A,Locales!$B:$B,""),"")</f>
        <v>PATIO DE COMIDA</v>
      </c>
      <c r="F41" s="9" t="str" cm="1">
        <f t="array" ref="F41">IFERROR(_xlfn.XLOOKUP(B41,Personal!$A:$A,Personal!$F:$F,""),"")</f>
        <v>STAFF ADMINISTRATIVO</v>
      </c>
      <c r="G41" s="9" t="s">
        <v>4493</v>
      </c>
      <c r="H41" s="9" t="s">
        <v>3876</v>
      </c>
      <c r="I41" s="10" cm="1">
        <f t="array" ref="I41">IFERROR(INDEX(Precios!$D:$F,MATCH(N41, Precios!$G:$G, 0),CHOOSE(MATCH(H41, {"SML";"XL";"XXL"}, 0), 1, 2, 3)), 0)</f>
        <v>5</v>
      </c>
      <c r="J41" s="9">
        <v>2</v>
      </c>
      <c r="K41" s="10">
        <f t="shared" si="2"/>
        <v>10</v>
      </c>
      <c r="L41" s="9" t="s">
        <v>4210</v>
      </c>
      <c r="N41" s="9" t="str">
        <f t="shared" si="3"/>
        <v>PATIO DE COMIDA|STAFF ADMINISTRATIVO|GORRO NEGRO ADM</v>
      </c>
      <c r="O41" s="9" t="str">
        <f>IF(N41="","",IF(COUNTIF(Precios!$G:$G,N41)=0,"⚠ No coincide con Precios","OK"))</f>
        <v>OK</v>
      </c>
    </row>
    <row r="42" spans="1:15" x14ac:dyDescent="0.2">
      <c r="A42" s="49">
        <v>45996</v>
      </c>
      <c r="B42" s="51" t="s">
        <v>4516</v>
      </c>
      <c r="C42" s="9" t="str" cm="1">
        <f t="array" ref="C42">IFERROR(_xlfn.XLOOKUP(B42,Personal!$A:$A,Personal!$D:$D,""),"")</f>
        <v>PEREZ DAVILA MILAGRITOS</v>
      </c>
      <c r="D42" s="9" t="str" cm="1">
        <f t="array" ref="D42">IFERROR(_xlfn.XLOOKUP(B42,Personal!$A:$A,Personal!$C:$C,""),"")</f>
        <v>MOLINA 2</v>
      </c>
      <c r="E42" s="9" t="str" cm="1">
        <f t="array" ref="E42">IFERROR(_xlfn.XLOOKUP(D42,Locales!$A:$A,Locales!$B:$B,""),"")</f>
        <v>LIMA E ICA PROVINCIA</v>
      </c>
      <c r="F42" s="9" t="str" cm="1">
        <f t="array" ref="F42">IFERROR(_xlfn.XLOOKUP(B42,Personal!$A:$A,Personal!$F:$F,""),"")</f>
        <v>AZAFATA</v>
      </c>
      <c r="G42" s="9" t="s">
        <v>3855</v>
      </c>
      <c r="H42" s="9" t="s">
        <v>3876</v>
      </c>
      <c r="I42" s="10" cm="1">
        <f t="array" ref="I42">IFERROR(INDEX(Precios!$D:$F,MATCH(N42, Precios!$G:$G, 0),CHOOSE(MATCH(H42, {"SML";"XL";"XXL"}, 0), 1, 2, 3)), 0)</f>
        <v>18.5</v>
      </c>
      <c r="J42" s="9">
        <v>2</v>
      </c>
      <c r="K42" s="10">
        <f t="shared" si="2"/>
        <v>37</v>
      </c>
      <c r="L42" s="9" t="s">
        <v>4210</v>
      </c>
      <c r="N42" s="9" t="str">
        <f t="shared" si="3"/>
        <v>LIMA E ICA PROVINCIA|AZAFATA|BLUSA BLANCA (MANGA LARGA)</v>
      </c>
      <c r="O42" s="9" t="str">
        <f>IF(N42="","",IF(COUNTIF(Precios!$G:$G,N42)=0,"⚠ No coincide con Precios","OK"))</f>
        <v>OK</v>
      </c>
    </row>
    <row r="43" spans="1:15" x14ac:dyDescent="0.2">
      <c r="A43" s="49">
        <v>45996</v>
      </c>
      <c r="B43" s="51" t="s">
        <v>4516</v>
      </c>
      <c r="C43" s="9" t="str" cm="1">
        <f t="array" ref="C43">IFERROR(_xlfn.XLOOKUP(B43,Personal!$A:$A,Personal!$D:$D,""),"")</f>
        <v>PEREZ DAVILA MILAGRITOS</v>
      </c>
      <c r="D43" s="9" t="str" cm="1">
        <f t="array" ref="D43">IFERROR(_xlfn.XLOOKUP(B43,Personal!$A:$A,Personal!$C:$C,""),"")</f>
        <v>MOLINA 2</v>
      </c>
      <c r="E43" s="9" t="str" cm="1">
        <f t="array" ref="E43">IFERROR(_xlfn.XLOOKUP(D43,Locales!$A:$A,Locales!$B:$B,""),"")</f>
        <v>LIMA E ICA PROVINCIA</v>
      </c>
      <c r="F43" s="9" t="str" cm="1">
        <f t="array" ref="F43">IFERROR(_xlfn.XLOOKUP(B43,Personal!$A:$A,Personal!$F:$F,""),"")</f>
        <v>AZAFATA</v>
      </c>
      <c r="G43" s="9" t="s">
        <v>3853</v>
      </c>
      <c r="H43" s="9" t="s">
        <v>3876</v>
      </c>
      <c r="I43" s="10" cm="1">
        <f t="array" ref="I43">IFERROR(INDEX(Precios!$D:$F,MATCH(N43, Precios!$G:$G, 0),CHOOSE(MATCH(H43, {"SML";"XL";"XXL"}, 0), 1, 2, 3)), 0)</f>
        <v>7</v>
      </c>
      <c r="J43" s="9">
        <v>2</v>
      </c>
      <c r="K43" s="10">
        <f t="shared" si="2"/>
        <v>14</v>
      </c>
      <c r="L43" s="9" t="s">
        <v>4210</v>
      </c>
      <c r="N43" s="9" t="str">
        <f t="shared" si="3"/>
        <v>LIMA E ICA PROVINCIA|AZAFATA|MANDILON DRILL NEGRO</v>
      </c>
      <c r="O43" s="9" t="str">
        <f>IF(N43="","",IF(COUNTIF(Precios!$G:$G,N43)=0,"⚠ No coincide con Precios","OK"))</f>
        <v>OK</v>
      </c>
    </row>
    <row r="44" spans="1:15" x14ac:dyDescent="0.2">
      <c r="A44" s="49">
        <v>45996</v>
      </c>
      <c r="B44" s="51" t="s">
        <v>4516</v>
      </c>
      <c r="C44" s="9" t="str" cm="1">
        <f t="array" ref="C44">IFERROR(_xlfn.XLOOKUP(B44,Personal!$A:$A,Personal!$D:$D,""),"")</f>
        <v>PEREZ DAVILA MILAGRITOS</v>
      </c>
      <c r="D44" s="9" t="str" cm="1">
        <f t="array" ref="D44">IFERROR(_xlfn.XLOOKUP(B44,Personal!$A:$A,Personal!$C:$C,""),"")</f>
        <v>MOLINA 2</v>
      </c>
      <c r="E44" s="9" t="str" cm="1">
        <f t="array" ref="E44">IFERROR(_xlfn.XLOOKUP(D44,Locales!$A:$A,Locales!$B:$B,""),"")</f>
        <v>LIMA E ICA PROVINCIA</v>
      </c>
      <c r="F44" s="9" t="str" cm="1">
        <f t="array" ref="F44">IFERROR(_xlfn.XLOOKUP(B44,Personal!$A:$A,Personal!$F:$F,""),"")</f>
        <v>AZAFATA</v>
      </c>
      <c r="G44" s="9" t="s">
        <v>3854</v>
      </c>
      <c r="H44" s="9" t="s">
        <v>3876</v>
      </c>
      <c r="I44" s="10" cm="1">
        <f t="array" ref="I44">IFERROR(INDEX(Precios!$D:$F,MATCH(N44, Precios!$G:$G, 0),CHOOSE(MATCH(H44, {"SML";"XL";"XXL"}, 0), 1, 2, 3)), 0)</f>
        <v>1.75</v>
      </c>
      <c r="J44" s="9">
        <v>2</v>
      </c>
      <c r="K44" s="10">
        <f t="shared" si="2"/>
        <v>3.5</v>
      </c>
      <c r="L44" s="9" t="s">
        <v>4210</v>
      </c>
      <c r="N44" s="9" t="str">
        <f t="shared" si="3"/>
        <v>LIMA E ICA PROVINCIA|AZAFATA|ANDARIN GRANATE</v>
      </c>
      <c r="O44" s="9" t="str">
        <f>IF(N44="","",IF(COUNTIF(Precios!$G:$G,N44)=0,"⚠ No coincide con Precios","OK"))</f>
        <v>OK</v>
      </c>
    </row>
    <row r="45" spans="1:15" x14ac:dyDescent="0.2">
      <c r="A45" s="49">
        <v>45988</v>
      </c>
      <c r="B45" s="51" t="s">
        <v>4260</v>
      </c>
      <c r="C45" s="9" t="str" cm="1">
        <f t="array" ref="C45">IFERROR(_xlfn.XLOOKUP(B45,Personal!$A:$A,Personal!$D:$D,""),"")</f>
        <v>TRANCON VALDIVIA PAULO CESAR</v>
      </c>
      <c r="D45" s="9" t="str" cm="1">
        <f t="array" ref="D45">IFERROR(_xlfn.XLOOKUP(B45,Personal!$A:$A,Personal!$C:$C,""),"")</f>
        <v>MOLINA 2</v>
      </c>
      <c r="E45" s="9" t="str" cm="1">
        <f t="array" ref="E45">IFERROR(_xlfn.XLOOKUP(D45,Locales!$A:$A,Locales!$B:$B,""),"")</f>
        <v>LIMA E ICA PROVINCIA</v>
      </c>
      <c r="F45" s="9" t="str" cm="1">
        <f t="array" ref="F45">IFERROR(_xlfn.XLOOKUP(B45,Personal!$A:$A,Personal!$F:$F,""),"")</f>
        <v>MOZO</v>
      </c>
      <c r="G45" s="9" t="s">
        <v>3852</v>
      </c>
      <c r="H45" s="9" t="s">
        <v>3876</v>
      </c>
      <c r="I45" s="10" cm="1">
        <f t="array" ref="I45">IFERROR(INDEX(Precios!$D:$F,MATCH(N45, Precios!$G:$G, 0),CHOOSE(MATCH(H45, {"SML";"XL";"XXL"}, 0), 1, 2, 3)), 0)</f>
        <v>18.5</v>
      </c>
      <c r="J45" s="9">
        <v>2</v>
      </c>
      <c r="K45" s="10">
        <f t="shared" si="2"/>
        <v>37</v>
      </c>
      <c r="L45" s="9" t="s">
        <v>4210</v>
      </c>
      <c r="N45" s="9" t="str">
        <f t="shared" si="3"/>
        <v>LIMA E ICA PROVINCIA|MOZO|CAMISA BLANCA (MANGA LARGA)</v>
      </c>
      <c r="O45" s="9" t="str">
        <f>IF(N45="","",IF(COUNTIF(Precios!$G:$G,N45)=0,"⚠ No coincide con Precios","OK"))</f>
        <v>OK</v>
      </c>
    </row>
    <row r="46" spans="1:15" x14ac:dyDescent="0.2">
      <c r="A46" s="49">
        <v>45988</v>
      </c>
      <c r="B46" s="51" t="s">
        <v>4260</v>
      </c>
      <c r="C46" s="9" t="str" cm="1">
        <f t="array" ref="C46">IFERROR(_xlfn.XLOOKUP(B46,Personal!$A:$A,Personal!$D:$D,""),"")</f>
        <v>TRANCON VALDIVIA PAULO CESAR</v>
      </c>
      <c r="D46" s="9" t="str" cm="1">
        <f t="array" ref="D46">IFERROR(_xlfn.XLOOKUP(B46,Personal!$A:$A,Personal!$C:$C,""),"")</f>
        <v>MOLINA 2</v>
      </c>
      <c r="E46" s="9" t="str" cm="1">
        <f t="array" ref="E46">IFERROR(_xlfn.XLOOKUP(D46,Locales!$A:$A,Locales!$B:$B,""),"")</f>
        <v>LIMA E ICA PROVINCIA</v>
      </c>
      <c r="F46" s="9" t="str" cm="1">
        <f t="array" ref="F46">IFERROR(_xlfn.XLOOKUP(B46,Personal!$A:$A,Personal!$F:$F,""),"")</f>
        <v>MOZO</v>
      </c>
      <c r="G46" s="9" t="s">
        <v>3853</v>
      </c>
      <c r="H46" s="9" t="s">
        <v>3876</v>
      </c>
      <c r="I46" s="10" cm="1">
        <f t="array" ref="I46">IFERROR(INDEX(Precios!$D:$F,MATCH(N46, Precios!$G:$G, 0),CHOOSE(MATCH(H46, {"SML";"XL";"XXL"}, 0), 1, 2, 3)), 0)</f>
        <v>7</v>
      </c>
      <c r="J46" s="9">
        <v>2</v>
      </c>
      <c r="K46" s="10">
        <f t="shared" si="2"/>
        <v>14</v>
      </c>
      <c r="L46" s="9" t="s">
        <v>4210</v>
      </c>
      <c r="N46" s="9" t="str">
        <f t="shared" si="3"/>
        <v>LIMA E ICA PROVINCIA|MOZO|MANDILON DRILL NEGRO</v>
      </c>
      <c r="O46" s="9" t="str">
        <f>IF(N46="","",IF(COUNTIF(Precios!$G:$G,N46)=0,"⚠ No coincide con Precios","OK"))</f>
        <v>OK</v>
      </c>
    </row>
    <row r="47" spans="1:15" x14ac:dyDescent="0.2">
      <c r="A47" s="49">
        <v>45988</v>
      </c>
      <c r="B47" s="51" t="s">
        <v>4260</v>
      </c>
      <c r="C47" s="9" t="str" cm="1">
        <f t="array" ref="C47">IFERROR(_xlfn.XLOOKUP(B47,Personal!$A:$A,Personal!$D:$D,""),"")</f>
        <v>TRANCON VALDIVIA PAULO CESAR</v>
      </c>
      <c r="D47" s="9" t="str" cm="1">
        <f t="array" ref="D47">IFERROR(_xlfn.XLOOKUP(B47,Personal!$A:$A,Personal!$C:$C,""),"")</f>
        <v>MOLINA 2</v>
      </c>
      <c r="E47" s="9" t="str" cm="1">
        <f t="array" ref="E47">IFERROR(_xlfn.XLOOKUP(D47,Locales!$A:$A,Locales!$B:$B,""),"")</f>
        <v>LIMA E ICA PROVINCIA</v>
      </c>
      <c r="F47" s="9" t="str" cm="1">
        <f t="array" ref="F47">IFERROR(_xlfn.XLOOKUP(B47,Personal!$A:$A,Personal!$F:$F,""),"")</f>
        <v>MOZO</v>
      </c>
      <c r="G47" s="9" t="s">
        <v>3854</v>
      </c>
      <c r="H47" s="9" t="s">
        <v>3876</v>
      </c>
      <c r="I47" s="10" cm="1">
        <f t="array" ref="I47">IFERROR(INDEX(Precios!$D:$F,MATCH(N47, Precios!$G:$G, 0),CHOOSE(MATCH(H47, {"SML";"XL";"XXL"}, 0), 1, 2, 3)), 0)</f>
        <v>1.75</v>
      </c>
      <c r="J47" s="9">
        <v>2</v>
      </c>
      <c r="K47" s="10">
        <f t="shared" si="2"/>
        <v>3.5</v>
      </c>
      <c r="L47" s="9" t="s">
        <v>4210</v>
      </c>
      <c r="N47" s="9" t="str">
        <f t="shared" si="3"/>
        <v>LIMA E ICA PROVINCIA|MOZO|ANDARIN GRANATE</v>
      </c>
      <c r="O47" s="9" t="str">
        <f>IF(N47="","",IF(COUNTIF(Precios!$G:$G,N47)=0,"⚠ No coincide con Precios","OK"))</f>
        <v>OK</v>
      </c>
    </row>
    <row r="48" spans="1:15" x14ac:dyDescent="0.2">
      <c r="A48" s="49">
        <v>45988</v>
      </c>
      <c r="B48" s="51" t="s">
        <v>4262</v>
      </c>
      <c r="C48" s="9" t="str" cm="1">
        <f t="array" ref="C48">IFERROR(_xlfn.XLOOKUP(B48,Personal!$A:$A,Personal!$D:$D,""),"")</f>
        <v>CAICEDO DIAZ NAYELI JAZMIN</v>
      </c>
      <c r="D48" s="9" t="str" cm="1">
        <f t="array" ref="D48">IFERROR(_xlfn.XLOOKUP(B48,Personal!$A:$A,Personal!$C:$C,""),"")</f>
        <v>MOLINA 2</v>
      </c>
      <c r="E48" s="9" t="str" cm="1">
        <f t="array" ref="E48">IFERROR(_xlfn.XLOOKUP(D48,Locales!$A:$A,Locales!$B:$B,""),"")</f>
        <v>LIMA E ICA PROVINCIA</v>
      </c>
      <c r="F48" s="9" t="str" cm="1">
        <f t="array" ref="F48">IFERROR(_xlfn.XLOOKUP(B48,Personal!$A:$A,Personal!$F:$F,""),"")</f>
        <v xml:space="preserve">ANFITRIONAJE </v>
      </c>
      <c r="G48" s="9" t="s">
        <v>3858</v>
      </c>
      <c r="H48" s="9" t="s">
        <v>3876</v>
      </c>
      <c r="I48" s="10" cm="1">
        <f t="array" ref="I48">IFERROR(INDEX(Precios!$D:$F,MATCH(N48, Precios!$G:$G, 0),CHOOSE(MATCH(H48, {"SML";"XL";"XXL"}, 0), 1, 2, 3)), 0)</f>
        <v>18</v>
      </c>
      <c r="J48" s="9">
        <v>2</v>
      </c>
      <c r="K48" s="10">
        <f t="shared" si="2"/>
        <v>36</v>
      </c>
      <c r="L48" s="9" t="s">
        <v>4210</v>
      </c>
      <c r="N48" s="9" t="str">
        <f t="shared" si="3"/>
        <v>LIMA E ICA PROVINCIA|ANFITRIONAJE|BLUSA COLOR NEGRO MANGA LARGA</v>
      </c>
      <c r="O48" s="9" t="str">
        <f>IF(N48="","",IF(COUNTIF(Precios!$G:$G,N48)=0,"⚠ No coincide con Precios","OK"))</f>
        <v>OK</v>
      </c>
    </row>
    <row r="49" spans="1:15" x14ac:dyDescent="0.2">
      <c r="A49" s="49">
        <v>45988</v>
      </c>
      <c r="B49" s="51" t="s">
        <v>4262</v>
      </c>
      <c r="C49" s="9" t="str" cm="1">
        <f t="array" ref="C49">IFERROR(_xlfn.XLOOKUP(B49,Personal!$A:$A,Personal!$D:$D,""),"")</f>
        <v>CAICEDO DIAZ NAYELI JAZMIN</v>
      </c>
      <c r="D49" s="9" t="str" cm="1">
        <f t="array" ref="D49">IFERROR(_xlfn.XLOOKUP(B49,Personal!$A:$A,Personal!$C:$C,""),"")</f>
        <v>MOLINA 2</v>
      </c>
      <c r="E49" s="9" t="str" cm="1">
        <f t="array" ref="E49">IFERROR(_xlfn.XLOOKUP(D49,Locales!$A:$A,Locales!$B:$B,""),"")</f>
        <v>LIMA E ICA PROVINCIA</v>
      </c>
      <c r="F49" s="9" t="str" cm="1">
        <f t="array" ref="F49">IFERROR(_xlfn.XLOOKUP(B49,Personal!$A:$A,Personal!$F:$F,""),"")</f>
        <v xml:space="preserve">ANFITRIONAJE </v>
      </c>
      <c r="G49" s="9" t="s">
        <v>4224</v>
      </c>
      <c r="H49" s="9" t="s">
        <v>3876</v>
      </c>
      <c r="I49" s="10" cm="1">
        <f t="array" ref="I49">IFERROR(INDEX(Precios!$D:$F,MATCH(N49, Precios!$G:$G, 0),CHOOSE(MATCH(H49, {"SML";"XL";"XXL"}, 0), 1, 2, 3)), 0)</f>
        <v>35</v>
      </c>
      <c r="J49" s="9">
        <v>1</v>
      </c>
      <c r="K49" s="10">
        <f t="shared" si="2"/>
        <v>35</v>
      </c>
      <c r="L49" s="9" t="s">
        <v>4210</v>
      </c>
      <c r="N49" s="9" t="str">
        <f t="shared" si="3"/>
        <v>LIMA E ICA PROVINCIA|ANFITRIONAJE|SACO NEGRO ANFITRIONAJE MUJER</v>
      </c>
      <c r="O49" s="9" t="str">
        <f>IF(N49="","",IF(COUNTIF(Precios!$G:$G,N49)=0,"⚠ No coincide con Precios","OK"))</f>
        <v>OK</v>
      </c>
    </row>
    <row r="50" spans="1:15" x14ac:dyDescent="0.2">
      <c r="A50" s="49">
        <v>45988</v>
      </c>
      <c r="B50" s="51" t="s">
        <v>278</v>
      </c>
      <c r="C50" s="9" t="str" cm="1">
        <f t="array" ref="C50">IFERROR(_xlfn.XLOOKUP(B50,Personal!$A:$A,Personal!$D:$D,""),"")</f>
        <v>ROJAS JULCA RIOL</v>
      </c>
      <c r="D50" s="9" t="str" cm="1">
        <f t="array" ref="D50">IFERROR(_xlfn.XLOOKUP(B50,Personal!$A:$A,Personal!$C:$C,""),"")</f>
        <v>MOLINA 2</v>
      </c>
      <c r="E50" s="9" t="str" cm="1">
        <f t="array" ref="E50">IFERROR(_xlfn.XLOOKUP(D50,Locales!$A:$A,Locales!$B:$B,""),"")</f>
        <v>LIMA E ICA PROVINCIA</v>
      </c>
      <c r="F50" s="9" t="str" cm="1">
        <f t="array" ref="F50">IFERROR(_xlfn.XLOOKUP(B50,Personal!$A:$A,Personal!$F:$F,""),"")</f>
        <v>PRODUCCIÓN / COCINA</v>
      </c>
      <c r="G50" s="9" t="s">
        <v>47</v>
      </c>
      <c r="H50" s="9" t="s">
        <v>3876</v>
      </c>
      <c r="I50" s="10" cm="1">
        <f t="array" ref="I50">IFERROR(INDEX(Precios!$D:$F,MATCH(N50, Precios!$G:$G, 0),CHOOSE(MATCH(H50, {"SML";"XL";"XXL"}, 0), 1, 2, 3)), 0)</f>
        <v>16.25</v>
      </c>
      <c r="J50" s="9">
        <v>2</v>
      </c>
      <c r="K50" s="10">
        <f t="shared" si="2"/>
        <v>32.5</v>
      </c>
      <c r="L50" s="9" t="s">
        <v>4210</v>
      </c>
      <c r="N50" s="9" t="str">
        <f t="shared" si="3"/>
        <v>LIMA E ICA PROVINCIA|PRODUCCIÓN / COCINA|CHAQUETA DRILL BLANCO</v>
      </c>
      <c r="O50" s="9" t="str">
        <f>IF(N50="","",IF(COUNTIF(Precios!$G:$G,N50)=0,"⚠ No coincide con Precios","OK"))</f>
        <v>OK</v>
      </c>
    </row>
    <row r="51" spans="1:15" x14ac:dyDescent="0.2">
      <c r="A51" s="49">
        <v>45988</v>
      </c>
      <c r="B51" s="51" t="s">
        <v>278</v>
      </c>
      <c r="C51" s="9" t="str" cm="1">
        <f t="array" ref="C51">IFERROR(_xlfn.XLOOKUP(B51,Personal!$A:$A,Personal!$D:$D,""),"")</f>
        <v>ROJAS JULCA RIOL</v>
      </c>
      <c r="D51" s="9" t="str" cm="1">
        <f t="array" ref="D51">IFERROR(_xlfn.XLOOKUP(B51,Personal!$A:$A,Personal!$C:$C,""),"")</f>
        <v>MOLINA 2</v>
      </c>
      <c r="E51" s="9" t="str" cm="1">
        <f t="array" ref="E51">IFERROR(_xlfn.XLOOKUP(D51,Locales!$A:$A,Locales!$B:$B,""),"")</f>
        <v>LIMA E ICA PROVINCIA</v>
      </c>
      <c r="F51" s="9" t="str" cm="1">
        <f t="array" ref="F51">IFERROR(_xlfn.XLOOKUP(B51,Personal!$A:$A,Personal!$F:$F,""),"")</f>
        <v>PRODUCCIÓN / COCINA</v>
      </c>
      <c r="G51" s="9" t="s">
        <v>3867</v>
      </c>
      <c r="H51" s="9" t="s">
        <v>3876</v>
      </c>
      <c r="I51" s="10" cm="1">
        <f t="array" ref="I51">IFERROR(INDEX(Precios!$D:$F,MATCH(N51, Precios!$G:$G, 0),CHOOSE(MATCH(H51, {"SML";"XL";"XXL"}, 0), 1, 2, 3)), 0)</f>
        <v>11</v>
      </c>
      <c r="J51" s="9">
        <v>2</v>
      </c>
      <c r="K51" s="10">
        <f t="shared" si="2"/>
        <v>22</v>
      </c>
      <c r="L51" s="9" t="s">
        <v>4210</v>
      </c>
      <c r="N51" s="9" t="str">
        <f t="shared" si="3"/>
        <v>LIMA E ICA PROVINCIA|PRODUCCIÓN / COCINA|PANTALÓN SAL Y PIMIENTA</v>
      </c>
      <c r="O51" s="9" t="str">
        <f>IF(N51="","",IF(COUNTIF(Precios!$G:$G,N51)=0,"⚠ No coincide con Precios","OK"))</f>
        <v>OK</v>
      </c>
    </row>
    <row r="52" spans="1:15" x14ac:dyDescent="0.2">
      <c r="A52" s="49">
        <v>45988</v>
      </c>
      <c r="B52" s="51" t="s">
        <v>278</v>
      </c>
      <c r="C52" s="9" t="str" cm="1">
        <f t="array" ref="C52">IFERROR(_xlfn.XLOOKUP(B52,Personal!$A:$A,Personal!$D:$D,""),"")</f>
        <v>ROJAS JULCA RIOL</v>
      </c>
      <c r="D52" s="9" t="str" cm="1">
        <f t="array" ref="D52">IFERROR(_xlfn.XLOOKUP(B52,Personal!$A:$A,Personal!$C:$C,""),"")</f>
        <v>MOLINA 2</v>
      </c>
      <c r="E52" s="9" t="str" cm="1">
        <f t="array" ref="E52">IFERROR(_xlfn.XLOOKUP(D52,Locales!$A:$A,Locales!$B:$B,""),"")</f>
        <v>LIMA E ICA PROVINCIA</v>
      </c>
      <c r="F52" s="9" t="str" cm="1">
        <f t="array" ref="F52">IFERROR(_xlfn.XLOOKUP(B52,Personal!$A:$A,Personal!$F:$F,""),"")</f>
        <v>PRODUCCIÓN / COCINA</v>
      </c>
      <c r="G52" s="9" t="s">
        <v>3868</v>
      </c>
      <c r="H52" s="9" t="s">
        <v>3876</v>
      </c>
      <c r="I52" s="10" cm="1">
        <f t="array" ref="I52">IFERROR(INDEX(Precios!$D:$F,MATCH(N52, Precios!$G:$G, 0),CHOOSE(MATCH(H52, {"SML";"XL";"XXL"}, 0), 1, 2, 3)), 0)</f>
        <v>6.5</v>
      </c>
      <c r="J52" s="9">
        <v>2</v>
      </c>
      <c r="K52" s="10">
        <f t="shared" si="2"/>
        <v>13</v>
      </c>
      <c r="L52" s="9" t="s">
        <v>4210</v>
      </c>
      <c r="N52" s="9" t="str">
        <f t="shared" si="3"/>
        <v>LIMA E ICA PROVINCIA|PRODUCCIÓN / COCINA|PECHERA GRIS EN DRILL</v>
      </c>
      <c r="O52" s="9" t="str">
        <f>IF(N52="","",IF(COUNTIF(Precios!$G:$G,N52)=0,"⚠ No coincide con Precios","OK"))</f>
        <v>OK</v>
      </c>
    </row>
    <row r="53" spans="1:15" x14ac:dyDescent="0.2">
      <c r="A53" s="49">
        <v>45988</v>
      </c>
      <c r="B53" s="51" t="s">
        <v>278</v>
      </c>
      <c r="C53" s="9" t="str" cm="1">
        <f t="array" ref="C53">IFERROR(_xlfn.XLOOKUP(B53,Personal!$A:$A,Personal!$D:$D,""),"")</f>
        <v>ROJAS JULCA RIOL</v>
      </c>
      <c r="D53" s="9" t="str" cm="1">
        <f t="array" ref="D53">IFERROR(_xlfn.XLOOKUP(B53,Personal!$A:$A,Personal!$C:$C,""),"")</f>
        <v>MOLINA 2</v>
      </c>
      <c r="E53" s="9" t="str" cm="1">
        <f t="array" ref="E53">IFERROR(_xlfn.XLOOKUP(D53,Locales!$A:$A,Locales!$B:$B,""),"")</f>
        <v>LIMA E ICA PROVINCIA</v>
      </c>
      <c r="F53" s="9" t="str" cm="1">
        <f t="array" ref="F53">IFERROR(_xlfn.XLOOKUP(B53,Personal!$A:$A,Personal!$F:$F,""),"")</f>
        <v>PRODUCCIÓN / COCINA</v>
      </c>
      <c r="G53" s="9" t="s">
        <v>3869</v>
      </c>
      <c r="H53" s="9" t="s">
        <v>3876</v>
      </c>
      <c r="I53" s="10" cm="1">
        <f t="array" ref="I53">IFERROR(INDEX(Precios!$D:$F,MATCH(N53, Precios!$G:$G, 0),CHOOSE(MATCH(H53, {"SML";"XL";"XXL"}, 0), 1, 2, 3)), 0)</f>
        <v>4.5</v>
      </c>
      <c r="J53" s="9">
        <v>2</v>
      </c>
      <c r="K53" s="10">
        <f t="shared" si="2"/>
        <v>9</v>
      </c>
      <c r="L53" s="9" t="s">
        <v>4210</v>
      </c>
      <c r="N53" s="9" t="str">
        <f t="shared" si="3"/>
        <v>LIMA E ICA PROVINCIA|PRODUCCIÓN / COCINA|GARIBALDI GRIS</v>
      </c>
      <c r="O53" s="9" t="str">
        <f>IF(N53="","",IF(COUNTIF(Precios!$G:$G,N53)=0,"⚠ No coincide con Precios","OK"))</f>
        <v>OK</v>
      </c>
    </row>
    <row r="54" spans="1:15" x14ac:dyDescent="0.2">
      <c r="A54" s="49">
        <v>45988</v>
      </c>
      <c r="B54" s="51" t="s">
        <v>278</v>
      </c>
      <c r="C54" s="9" t="str" cm="1">
        <f t="array" ref="C54">IFERROR(_xlfn.XLOOKUP(B54,Personal!$A:$A,Personal!$D:$D,""),"")</f>
        <v>ROJAS JULCA RIOL</v>
      </c>
      <c r="D54" s="9" t="str" cm="1">
        <f t="array" ref="D54">IFERROR(_xlfn.XLOOKUP(B54,Personal!$A:$A,Personal!$C:$C,""),"")</f>
        <v>MOLINA 2</v>
      </c>
      <c r="E54" s="9" t="str" cm="1">
        <f t="array" ref="E54">IFERROR(_xlfn.XLOOKUP(D54,Locales!$A:$A,Locales!$B:$B,""),"")</f>
        <v>LIMA E ICA PROVINCIA</v>
      </c>
      <c r="F54" s="9" t="str" cm="1">
        <f t="array" ref="F54">IFERROR(_xlfn.XLOOKUP(B54,Personal!$A:$A,Personal!$F:$F,""),"")</f>
        <v>PRODUCCIÓN / COCINA</v>
      </c>
      <c r="G54" s="9" t="s">
        <v>3862</v>
      </c>
      <c r="H54" s="9" t="s">
        <v>3876</v>
      </c>
      <c r="I54" s="10" cm="1">
        <f t="array" ref="I54">IFERROR(INDEX(Precios!$D:$F,MATCH(N54, Precios!$G:$G, 0),CHOOSE(MATCH(H54, {"SML";"XL";"XXL"}, 0), 1, 2, 3)), 0)</f>
        <v>7.5</v>
      </c>
      <c r="J54" s="9">
        <v>2</v>
      </c>
      <c r="K54" s="10">
        <f t="shared" si="2"/>
        <v>15</v>
      </c>
      <c r="L54" s="9" t="s">
        <v>4210</v>
      </c>
      <c r="N54" s="9" t="str">
        <f t="shared" si="3"/>
        <v>LIMA E ICA PROVINCIA|PRODUCCIÓN / COCINA|POLO 30/1 GRIS</v>
      </c>
      <c r="O54" s="9" t="str">
        <f>IF(N54="","",IF(COUNTIF(Precios!$G:$G,N54)=0,"⚠ No coincide con Precios","OK"))</f>
        <v>OK</v>
      </c>
    </row>
    <row r="55" spans="1:15" x14ac:dyDescent="0.2">
      <c r="A55" s="49">
        <v>45996</v>
      </c>
      <c r="B55" s="51" t="s">
        <v>480</v>
      </c>
      <c r="C55" s="9" t="str" cm="1">
        <f t="array" ref="C55">IFERROR(_xlfn.XLOOKUP(B55,Personal!$A:$A,Personal!$D:$D,""),"")</f>
        <v>HUASASQUICHE LAGOS FANNY ZORAIDA</v>
      </c>
      <c r="D55" s="9" t="str" cm="1">
        <f t="array" ref="D55">IFERROR(_xlfn.XLOOKUP(B55,Personal!$A:$A,Personal!$C:$C,""),"")</f>
        <v>MOLINA 2</v>
      </c>
      <c r="E55" s="9" t="str" cm="1">
        <f t="array" ref="E55">IFERROR(_xlfn.XLOOKUP(D55,Locales!$A:$A,Locales!$B:$B,""),"")</f>
        <v>LIMA E ICA PROVINCIA</v>
      </c>
      <c r="F55" s="9" t="str" cm="1">
        <f t="array" ref="F55">IFERROR(_xlfn.XLOOKUP(B55,Personal!$A:$A,Personal!$F:$F,""),"")</f>
        <v>PRODUCCIÓN / COCINA</v>
      </c>
      <c r="G55" s="9" t="s">
        <v>47</v>
      </c>
      <c r="H55" s="9" t="s">
        <v>3876</v>
      </c>
      <c r="I55" s="10" cm="1">
        <f t="array" ref="I55">IFERROR(INDEX(Precios!$D:$F,MATCH(N55, Precios!$G:$G, 0),CHOOSE(MATCH(H55, {"SML";"XL";"XXL"}, 0), 1, 2, 3)), 0)</f>
        <v>16.25</v>
      </c>
      <c r="J55" s="9">
        <v>2</v>
      </c>
      <c r="K55" s="10">
        <f t="shared" si="2"/>
        <v>32.5</v>
      </c>
      <c r="L55" s="9" t="s">
        <v>4210</v>
      </c>
      <c r="N55" s="9" t="str">
        <f t="shared" si="3"/>
        <v>LIMA E ICA PROVINCIA|PRODUCCIÓN / COCINA|CHAQUETA DRILL BLANCO</v>
      </c>
      <c r="O55" s="9" t="str">
        <f>IF(N55="","",IF(COUNTIF(Precios!$G:$G,N55)=0,"⚠ No coincide con Precios","OK"))</f>
        <v>OK</v>
      </c>
    </row>
    <row r="56" spans="1:15" x14ac:dyDescent="0.2">
      <c r="A56" s="49">
        <v>45996</v>
      </c>
      <c r="B56" s="51" t="s">
        <v>480</v>
      </c>
      <c r="C56" s="9" t="str" cm="1">
        <f t="array" ref="C56">IFERROR(_xlfn.XLOOKUP(B56,Personal!$A:$A,Personal!$D:$D,""),"")</f>
        <v>HUASASQUICHE LAGOS FANNY ZORAIDA</v>
      </c>
      <c r="D56" s="9" t="str" cm="1">
        <f t="array" ref="D56">IFERROR(_xlfn.XLOOKUP(B56,Personal!$A:$A,Personal!$C:$C,""),"")</f>
        <v>MOLINA 2</v>
      </c>
      <c r="E56" s="9" t="str" cm="1">
        <f t="array" ref="E56">IFERROR(_xlfn.XLOOKUP(D56,Locales!$A:$A,Locales!$B:$B,""),"")</f>
        <v>LIMA E ICA PROVINCIA</v>
      </c>
      <c r="F56" s="9" t="str" cm="1">
        <f t="array" ref="F56">IFERROR(_xlfn.XLOOKUP(B56,Personal!$A:$A,Personal!$F:$F,""),"")</f>
        <v>PRODUCCIÓN / COCINA</v>
      </c>
      <c r="G56" s="9" t="s">
        <v>3867</v>
      </c>
      <c r="H56" s="9" t="s">
        <v>3876</v>
      </c>
      <c r="I56" s="10" cm="1">
        <f t="array" ref="I56">IFERROR(INDEX(Precios!$D:$F,MATCH(N56, Precios!$G:$G, 0),CHOOSE(MATCH(H56, {"SML";"XL";"XXL"}, 0), 1, 2, 3)), 0)</f>
        <v>11</v>
      </c>
      <c r="J56" s="9">
        <v>2</v>
      </c>
      <c r="K56" s="10">
        <f t="shared" si="2"/>
        <v>22</v>
      </c>
      <c r="L56" s="9" t="s">
        <v>4210</v>
      </c>
      <c r="N56" s="9" t="str">
        <f t="shared" si="3"/>
        <v>LIMA E ICA PROVINCIA|PRODUCCIÓN / COCINA|PANTALÓN SAL Y PIMIENTA</v>
      </c>
      <c r="O56" s="9" t="str">
        <f>IF(N56="","",IF(COUNTIF(Precios!$G:$G,N56)=0,"⚠ No coincide con Precios","OK"))</f>
        <v>OK</v>
      </c>
    </row>
    <row r="57" spans="1:15" x14ac:dyDescent="0.2">
      <c r="A57" s="49">
        <v>45996</v>
      </c>
      <c r="B57" s="51" t="s">
        <v>480</v>
      </c>
      <c r="C57" s="9" t="str" cm="1">
        <f t="array" ref="C57">IFERROR(_xlfn.XLOOKUP(B57,Personal!$A:$A,Personal!$D:$D,""),"")</f>
        <v>HUASASQUICHE LAGOS FANNY ZORAIDA</v>
      </c>
      <c r="D57" s="9" t="str" cm="1">
        <f t="array" ref="D57">IFERROR(_xlfn.XLOOKUP(B57,Personal!$A:$A,Personal!$C:$C,""),"")</f>
        <v>MOLINA 2</v>
      </c>
      <c r="E57" s="9" t="str" cm="1">
        <f t="array" ref="E57">IFERROR(_xlfn.XLOOKUP(D57,Locales!$A:$A,Locales!$B:$B,""),"")</f>
        <v>LIMA E ICA PROVINCIA</v>
      </c>
      <c r="F57" s="9" t="str" cm="1">
        <f t="array" ref="F57">IFERROR(_xlfn.XLOOKUP(B57,Personal!$A:$A,Personal!$F:$F,""),"")</f>
        <v>PRODUCCIÓN / COCINA</v>
      </c>
      <c r="G57" s="9" t="s">
        <v>3868</v>
      </c>
      <c r="H57" s="9" t="s">
        <v>3876</v>
      </c>
      <c r="I57" s="10" cm="1">
        <f t="array" ref="I57">IFERROR(INDEX(Precios!$D:$F,MATCH(N57, Precios!$G:$G, 0),CHOOSE(MATCH(H57, {"SML";"XL";"XXL"}, 0), 1, 2, 3)), 0)</f>
        <v>6.5</v>
      </c>
      <c r="J57" s="9">
        <v>2</v>
      </c>
      <c r="K57" s="10">
        <f t="shared" si="2"/>
        <v>13</v>
      </c>
      <c r="L57" s="9" t="s">
        <v>4210</v>
      </c>
      <c r="N57" s="9" t="str">
        <f t="shared" si="3"/>
        <v>LIMA E ICA PROVINCIA|PRODUCCIÓN / COCINA|PECHERA GRIS EN DRILL</v>
      </c>
      <c r="O57" s="9" t="str">
        <f>IF(N57="","",IF(COUNTIF(Precios!$G:$G,N57)=0,"⚠ No coincide con Precios","OK"))</f>
        <v>OK</v>
      </c>
    </row>
    <row r="58" spans="1:15" x14ac:dyDescent="0.2">
      <c r="A58" s="49">
        <v>45996</v>
      </c>
      <c r="B58" s="51" t="s">
        <v>480</v>
      </c>
      <c r="C58" s="9" t="str" cm="1">
        <f t="array" ref="C58">IFERROR(_xlfn.XLOOKUP(B58,Personal!$A:$A,Personal!$D:$D,""),"")</f>
        <v>HUASASQUICHE LAGOS FANNY ZORAIDA</v>
      </c>
      <c r="D58" s="9" t="str" cm="1">
        <f t="array" ref="D58">IFERROR(_xlfn.XLOOKUP(B58,Personal!$A:$A,Personal!$C:$C,""),"")</f>
        <v>MOLINA 2</v>
      </c>
      <c r="E58" s="9" t="str" cm="1">
        <f t="array" ref="E58">IFERROR(_xlfn.XLOOKUP(D58,Locales!$A:$A,Locales!$B:$B,""),"")</f>
        <v>LIMA E ICA PROVINCIA</v>
      </c>
      <c r="F58" s="9" t="str" cm="1">
        <f t="array" ref="F58">IFERROR(_xlfn.XLOOKUP(B58,Personal!$A:$A,Personal!$F:$F,""),"")</f>
        <v>PRODUCCIÓN / COCINA</v>
      </c>
      <c r="G58" s="9" t="s">
        <v>3869</v>
      </c>
      <c r="H58" s="9" t="s">
        <v>3876</v>
      </c>
      <c r="I58" s="10" cm="1">
        <f t="array" ref="I58">IFERROR(INDEX(Precios!$D:$F,MATCH(N58, Precios!$G:$G, 0),CHOOSE(MATCH(H58, {"SML";"XL";"XXL"}, 0), 1, 2, 3)), 0)</f>
        <v>4.5</v>
      </c>
      <c r="J58" s="9">
        <v>2</v>
      </c>
      <c r="K58" s="10">
        <f t="shared" si="2"/>
        <v>9</v>
      </c>
      <c r="L58" s="9" t="s">
        <v>4210</v>
      </c>
      <c r="N58" s="9" t="str">
        <f t="shared" si="3"/>
        <v>LIMA E ICA PROVINCIA|PRODUCCIÓN / COCINA|GARIBALDI GRIS</v>
      </c>
      <c r="O58" s="9" t="str">
        <f>IF(N58="","",IF(COUNTIF(Precios!$G:$G,N58)=0,"⚠ No coincide con Precios","OK"))</f>
        <v>OK</v>
      </c>
    </row>
    <row r="59" spans="1:15" x14ac:dyDescent="0.2">
      <c r="A59" s="49">
        <v>45996</v>
      </c>
      <c r="B59" s="51" t="s">
        <v>480</v>
      </c>
      <c r="C59" s="9" t="str" cm="1">
        <f t="array" ref="C59">IFERROR(_xlfn.XLOOKUP(B59,Personal!$A:$A,Personal!$D:$D,""),"")</f>
        <v>HUASASQUICHE LAGOS FANNY ZORAIDA</v>
      </c>
      <c r="D59" s="9" t="str" cm="1">
        <f t="array" ref="D59">IFERROR(_xlfn.XLOOKUP(B59,Personal!$A:$A,Personal!$C:$C,""),"")</f>
        <v>MOLINA 2</v>
      </c>
      <c r="E59" s="9" t="str" cm="1">
        <f t="array" ref="E59">IFERROR(_xlfn.XLOOKUP(D59,Locales!$A:$A,Locales!$B:$B,""),"")</f>
        <v>LIMA E ICA PROVINCIA</v>
      </c>
      <c r="F59" s="9" t="str" cm="1">
        <f t="array" ref="F59">IFERROR(_xlfn.XLOOKUP(B59,Personal!$A:$A,Personal!$F:$F,""),"")</f>
        <v>PRODUCCIÓN / COCINA</v>
      </c>
      <c r="G59" s="9" t="s">
        <v>3862</v>
      </c>
      <c r="H59" s="9" t="s">
        <v>3876</v>
      </c>
      <c r="I59" s="10" cm="1">
        <f t="array" ref="I59">IFERROR(INDEX(Precios!$D:$F,MATCH(N59, Precios!$G:$G, 0),CHOOSE(MATCH(H59, {"SML";"XL";"XXL"}, 0), 1, 2, 3)), 0)</f>
        <v>7.5</v>
      </c>
      <c r="J59" s="9">
        <v>2</v>
      </c>
      <c r="K59" s="10">
        <f t="shared" si="2"/>
        <v>15</v>
      </c>
      <c r="L59" s="9" t="s">
        <v>4210</v>
      </c>
      <c r="N59" s="9" t="str">
        <f t="shared" si="3"/>
        <v>LIMA E ICA PROVINCIA|PRODUCCIÓN / COCINA|POLO 30/1 GRIS</v>
      </c>
      <c r="O59" s="9" t="str">
        <f>IF(N59="","",IF(COUNTIF(Precios!$G:$G,N59)=0,"⚠ No coincide con Precios","OK"))</f>
        <v>OK</v>
      </c>
    </row>
    <row r="60" spans="1:15" x14ac:dyDescent="0.2">
      <c r="A60" s="49">
        <v>45996</v>
      </c>
      <c r="B60" s="51" t="s">
        <v>380</v>
      </c>
      <c r="C60" s="9" t="str" cm="1">
        <f t="array" ref="C60">IFERROR(_xlfn.XLOOKUP(B60,Personal!$A:$A,Personal!$D:$D,""),"")</f>
        <v>MUNDACA ZABALETA WILDER</v>
      </c>
      <c r="D60" s="9" t="str" cm="1">
        <f t="array" ref="D60">IFERROR(_xlfn.XLOOKUP(B60,Personal!$A:$A,Personal!$C:$C,""),"")</f>
        <v>MOLINA 2</v>
      </c>
      <c r="E60" s="9" t="str" cm="1">
        <f t="array" ref="E60">IFERROR(_xlfn.XLOOKUP(D60,Locales!$A:$A,Locales!$B:$B,""),"")</f>
        <v>LIMA E ICA PROVINCIA</v>
      </c>
      <c r="F60" s="9" t="str" cm="1">
        <f t="array" ref="F60">IFERROR(_xlfn.XLOOKUP(B60,Personal!$A:$A,Personal!$F:$F,""),"")</f>
        <v>PRODUCCIÓN / COCINA</v>
      </c>
      <c r="G60" s="9" t="s">
        <v>47</v>
      </c>
      <c r="H60" s="9" t="s">
        <v>3876</v>
      </c>
      <c r="I60" s="10" cm="1">
        <f t="array" ref="I60">IFERROR(INDEX(Precios!$D:$F,MATCH(N60, Precios!$G:$G, 0),CHOOSE(MATCH(H60, {"SML";"XL";"XXL"}, 0), 1, 2, 3)), 0)</f>
        <v>16.25</v>
      </c>
      <c r="J60" s="9">
        <v>2</v>
      </c>
      <c r="K60" s="10">
        <f t="shared" si="2"/>
        <v>32.5</v>
      </c>
      <c r="L60" s="9" t="s">
        <v>4210</v>
      </c>
      <c r="N60" s="9" t="str">
        <f t="shared" si="3"/>
        <v>LIMA E ICA PROVINCIA|PRODUCCIÓN / COCINA|CHAQUETA DRILL BLANCO</v>
      </c>
      <c r="O60" s="9" t="str">
        <f>IF(N60="","",IF(COUNTIF(Precios!$G:$G,N60)=0,"⚠ No coincide con Precios","OK"))</f>
        <v>OK</v>
      </c>
    </row>
    <row r="61" spans="1:15" x14ac:dyDescent="0.2">
      <c r="A61" s="49">
        <v>45996</v>
      </c>
      <c r="B61" s="51" t="s">
        <v>380</v>
      </c>
      <c r="C61" s="9" t="str" cm="1">
        <f t="array" ref="C61">IFERROR(_xlfn.XLOOKUP(B61,Personal!$A:$A,Personal!$D:$D,""),"")</f>
        <v>MUNDACA ZABALETA WILDER</v>
      </c>
      <c r="D61" s="9" t="str" cm="1">
        <f t="array" ref="D61">IFERROR(_xlfn.XLOOKUP(B61,Personal!$A:$A,Personal!$C:$C,""),"")</f>
        <v>MOLINA 2</v>
      </c>
      <c r="E61" s="9" t="str" cm="1">
        <f t="array" ref="E61">IFERROR(_xlfn.XLOOKUP(D61,Locales!$A:$A,Locales!$B:$B,""),"")</f>
        <v>LIMA E ICA PROVINCIA</v>
      </c>
      <c r="F61" s="9" t="str" cm="1">
        <f t="array" ref="F61">IFERROR(_xlfn.XLOOKUP(B61,Personal!$A:$A,Personal!$F:$F,""),"")</f>
        <v>PRODUCCIÓN / COCINA</v>
      </c>
      <c r="G61" s="9" t="s">
        <v>3867</v>
      </c>
      <c r="H61" s="9" t="s">
        <v>3876</v>
      </c>
      <c r="I61" s="10" cm="1">
        <f t="array" ref="I61">IFERROR(INDEX(Precios!$D:$F,MATCH(N61, Precios!$G:$G, 0),CHOOSE(MATCH(H61, {"SML";"XL";"XXL"}, 0), 1, 2, 3)), 0)</f>
        <v>11</v>
      </c>
      <c r="J61" s="9">
        <v>2</v>
      </c>
      <c r="K61" s="10">
        <f t="shared" si="2"/>
        <v>22</v>
      </c>
      <c r="L61" s="9" t="s">
        <v>4210</v>
      </c>
      <c r="N61" s="9" t="str">
        <f t="shared" si="3"/>
        <v>LIMA E ICA PROVINCIA|PRODUCCIÓN / COCINA|PANTALÓN SAL Y PIMIENTA</v>
      </c>
      <c r="O61" s="9" t="str">
        <f>IF(N61="","",IF(COUNTIF(Precios!$G:$G,N61)=0,"⚠ No coincide con Precios","OK"))</f>
        <v>OK</v>
      </c>
    </row>
    <row r="62" spans="1:15" x14ac:dyDescent="0.2">
      <c r="A62" s="49">
        <v>45996</v>
      </c>
      <c r="B62" s="51" t="s">
        <v>380</v>
      </c>
      <c r="C62" s="9" t="str" cm="1">
        <f t="array" ref="C62">IFERROR(_xlfn.XLOOKUP(B62,Personal!$A:$A,Personal!$D:$D,""),"")</f>
        <v>MUNDACA ZABALETA WILDER</v>
      </c>
      <c r="D62" s="9" t="str" cm="1">
        <f t="array" ref="D62">IFERROR(_xlfn.XLOOKUP(B62,Personal!$A:$A,Personal!$C:$C,""),"")</f>
        <v>MOLINA 2</v>
      </c>
      <c r="E62" s="9" t="str" cm="1">
        <f t="array" ref="E62">IFERROR(_xlfn.XLOOKUP(D62,Locales!$A:$A,Locales!$B:$B,""),"")</f>
        <v>LIMA E ICA PROVINCIA</v>
      </c>
      <c r="F62" s="9" t="str" cm="1">
        <f t="array" ref="F62">IFERROR(_xlfn.XLOOKUP(B62,Personal!$A:$A,Personal!$F:$F,""),"")</f>
        <v>PRODUCCIÓN / COCINA</v>
      </c>
      <c r="G62" s="9" t="s">
        <v>3868</v>
      </c>
      <c r="H62" s="9" t="s">
        <v>3876</v>
      </c>
      <c r="I62" s="10" cm="1">
        <f t="array" ref="I62">IFERROR(INDEX(Precios!$D:$F,MATCH(N62, Precios!$G:$G, 0),CHOOSE(MATCH(H62, {"SML";"XL";"XXL"}, 0), 1, 2, 3)), 0)</f>
        <v>6.5</v>
      </c>
      <c r="J62" s="9">
        <v>2</v>
      </c>
      <c r="K62" s="10">
        <f t="shared" si="2"/>
        <v>13</v>
      </c>
      <c r="L62" s="9" t="s">
        <v>4210</v>
      </c>
      <c r="N62" s="9" t="str">
        <f t="shared" si="3"/>
        <v>LIMA E ICA PROVINCIA|PRODUCCIÓN / COCINA|PECHERA GRIS EN DRILL</v>
      </c>
      <c r="O62" s="9" t="str">
        <f>IF(N62="","",IF(COUNTIF(Precios!$G:$G,N62)=0,"⚠ No coincide con Precios","OK"))</f>
        <v>OK</v>
      </c>
    </row>
    <row r="63" spans="1:15" x14ac:dyDescent="0.2">
      <c r="A63" s="49">
        <v>45996</v>
      </c>
      <c r="B63" s="51" t="s">
        <v>380</v>
      </c>
      <c r="C63" s="9" t="str" cm="1">
        <f t="array" ref="C63">IFERROR(_xlfn.XLOOKUP(B63,Personal!$A:$A,Personal!$D:$D,""),"")</f>
        <v>MUNDACA ZABALETA WILDER</v>
      </c>
      <c r="D63" s="9" t="str" cm="1">
        <f t="array" ref="D63">IFERROR(_xlfn.XLOOKUP(B63,Personal!$A:$A,Personal!$C:$C,""),"")</f>
        <v>MOLINA 2</v>
      </c>
      <c r="E63" s="9" t="str" cm="1">
        <f t="array" ref="E63">IFERROR(_xlfn.XLOOKUP(D63,Locales!$A:$A,Locales!$B:$B,""),"")</f>
        <v>LIMA E ICA PROVINCIA</v>
      </c>
      <c r="F63" s="9" t="str" cm="1">
        <f t="array" ref="F63">IFERROR(_xlfn.XLOOKUP(B63,Personal!$A:$A,Personal!$F:$F,""),"")</f>
        <v>PRODUCCIÓN / COCINA</v>
      </c>
      <c r="G63" s="9" t="s">
        <v>3869</v>
      </c>
      <c r="H63" s="9" t="s">
        <v>3876</v>
      </c>
      <c r="I63" s="10" cm="1">
        <f t="array" ref="I63">IFERROR(INDEX(Precios!$D:$F,MATCH(N63, Precios!$G:$G, 0),CHOOSE(MATCH(H63, {"SML";"XL";"XXL"}, 0), 1, 2, 3)), 0)</f>
        <v>4.5</v>
      </c>
      <c r="J63" s="9">
        <v>2</v>
      </c>
      <c r="K63" s="10">
        <f t="shared" si="2"/>
        <v>9</v>
      </c>
      <c r="L63" s="9" t="s">
        <v>4210</v>
      </c>
      <c r="N63" s="9" t="str">
        <f t="shared" si="3"/>
        <v>LIMA E ICA PROVINCIA|PRODUCCIÓN / COCINA|GARIBALDI GRIS</v>
      </c>
      <c r="O63" s="9" t="str">
        <f>IF(N63="","",IF(COUNTIF(Precios!$G:$G,N63)=0,"⚠ No coincide con Precios","OK"))</f>
        <v>OK</v>
      </c>
    </row>
    <row r="64" spans="1:15" x14ac:dyDescent="0.2">
      <c r="A64" s="49">
        <v>45996</v>
      </c>
      <c r="B64" s="51" t="s">
        <v>380</v>
      </c>
      <c r="C64" s="9" t="str" cm="1">
        <f t="array" ref="C64">IFERROR(_xlfn.XLOOKUP(B64,Personal!$A:$A,Personal!$D:$D,""),"")</f>
        <v>MUNDACA ZABALETA WILDER</v>
      </c>
      <c r="D64" s="9" t="str" cm="1">
        <f t="array" ref="D64">IFERROR(_xlfn.XLOOKUP(B64,Personal!$A:$A,Personal!$C:$C,""),"")</f>
        <v>MOLINA 2</v>
      </c>
      <c r="E64" s="9" t="str" cm="1">
        <f t="array" ref="E64">IFERROR(_xlfn.XLOOKUP(D64,Locales!$A:$A,Locales!$B:$B,""),"")</f>
        <v>LIMA E ICA PROVINCIA</v>
      </c>
      <c r="F64" s="9" t="str" cm="1">
        <f t="array" ref="F64">IFERROR(_xlfn.XLOOKUP(B64,Personal!$A:$A,Personal!$F:$F,""),"")</f>
        <v>PRODUCCIÓN / COCINA</v>
      </c>
      <c r="G64" s="9" t="s">
        <v>3862</v>
      </c>
      <c r="H64" s="9" t="s">
        <v>3876</v>
      </c>
      <c r="I64" s="10" cm="1">
        <f t="array" ref="I64">IFERROR(INDEX(Precios!$D:$F,MATCH(N64, Precios!$G:$G, 0),CHOOSE(MATCH(H64, {"SML";"XL";"XXL"}, 0), 1, 2, 3)), 0)</f>
        <v>7.5</v>
      </c>
      <c r="J64" s="9">
        <v>2</v>
      </c>
      <c r="K64" s="10">
        <f t="shared" si="2"/>
        <v>15</v>
      </c>
      <c r="L64" s="9" t="s">
        <v>4210</v>
      </c>
      <c r="N64" s="9" t="str">
        <f t="shared" si="3"/>
        <v>LIMA E ICA PROVINCIA|PRODUCCIÓN / COCINA|POLO 30/1 GRIS</v>
      </c>
      <c r="O64" s="9" t="str">
        <f>IF(N64="","",IF(COUNTIF(Precios!$G:$G,N64)=0,"⚠ No coincide con Precios","OK"))</f>
        <v>OK</v>
      </c>
    </row>
    <row r="65" spans="1:15" x14ac:dyDescent="0.2">
      <c r="A65" s="49">
        <v>45996</v>
      </c>
      <c r="B65" s="51" t="s">
        <v>477</v>
      </c>
      <c r="C65" s="9" t="str" cm="1">
        <f t="array" ref="C65">IFERROR(_xlfn.XLOOKUP(B65,Personal!$A:$A,Personal!$D:$D,""),"")</f>
        <v xml:space="preserve">FUENTES  NOLLI  AMERICA LEONOR </v>
      </c>
      <c r="D65" s="9" t="str" cm="1">
        <f t="array" ref="D65">IFERROR(_xlfn.XLOOKUP(B65,Personal!$A:$A,Personal!$C:$C,""),"")</f>
        <v>MOLINA 2</v>
      </c>
      <c r="E65" s="9" t="str" cm="1">
        <f t="array" ref="E65">IFERROR(_xlfn.XLOOKUP(D65,Locales!$A:$A,Locales!$B:$B,""),"")</f>
        <v>LIMA E ICA PROVINCIA</v>
      </c>
      <c r="F65" s="9" t="str" cm="1">
        <f t="array" ref="F65">IFERROR(_xlfn.XLOOKUP(B65,Personal!$A:$A,Personal!$F:$F,""),"")</f>
        <v>PRODUCCIÓN / COCINA</v>
      </c>
      <c r="G65" s="9" t="s">
        <v>47</v>
      </c>
      <c r="H65" s="9" t="s">
        <v>3876</v>
      </c>
      <c r="I65" s="10" cm="1">
        <f t="array" ref="I65">IFERROR(INDEX(Precios!$D:$F,MATCH(N65, Precios!$G:$G, 0),CHOOSE(MATCH(H65, {"SML";"XL";"XXL"}, 0), 1, 2, 3)), 0)</f>
        <v>16.25</v>
      </c>
      <c r="J65" s="9">
        <v>2</v>
      </c>
      <c r="K65" s="10">
        <f t="shared" si="2"/>
        <v>32.5</v>
      </c>
      <c r="L65" s="9" t="s">
        <v>4210</v>
      </c>
      <c r="N65" s="9" t="str">
        <f t="shared" si="3"/>
        <v>LIMA E ICA PROVINCIA|PRODUCCIÓN / COCINA|CHAQUETA DRILL BLANCO</v>
      </c>
      <c r="O65" s="9" t="str">
        <f>IF(N65="","",IF(COUNTIF(Precios!$G:$G,N65)=0,"⚠ No coincide con Precios","OK"))</f>
        <v>OK</v>
      </c>
    </row>
    <row r="66" spans="1:15" x14ac:dyDescent="0.2">
      <c r="A66" s="49">
        <v>45996</v>
      </c>
      <c r="B66" s="51" t="s">
        <v>477</v>
      </c>
      <c r="C66" s="9" t="str" cm="1">
        <f t="array" ref="C66">IFERROR(_xlfn.XLOOKUP(B66,Personal!$A:$A,Personal!$D:$D,""),"")</f>
        <v xml:space="preserve">FUENTES  NOLLI  AMERICA LEONOR </v>
      </c>
      <c r="D66" s="9" t="str" cm="1">
        <f t="array" ref="D66">IFERROR(_xlfn.XLOOKUP(B66,Personal!$A:$A,Personal!$C:$C,""),"")</f>
        <v>MOLINA 2</v>
      </c>
      <c r="E66" s="9" t="str" cm="1">
        <f t="array" ref="E66">IFERROR(_xlfn.XLOOKUP(D66,Locales!$A:$A,Locales!$B:$B,""),"")</f>
        <v>LIMA E ICA PROVINCIA</v>
      </c>
      <c r="F66" s="9" t="str" cm="1">
        <f t="array" ref="F66">IFERROR(_xlfn.XLOOKUP(B66,Personal!$A:$A,Personal!$F:$F,""),"")</f>
        <v>PRODUCCIÓN / COCINA</v>
      </c>
      <c r="G66" s="9" t="s">
        <v>3867</v>
      </c>
      <c r="H66" s="9" t="s">
        <v>3876</v>
      </c>
      <c r="I66" s="10" cm="1">
        <f t="array" ref="I66">IFERROR(INDEX(Precios!$D:$F,MATCH(N66, Precios!$G:$G, 0),CHOOSE(MATCH(H66, {"SML";"XL";"XXL"}, 0), 1, 2, 3)), 0)</f>
        <v>11</v>
      </c>
      <c r="J66" s="9">
        <v>2</v>
      </c>
      <c r="K66" s="10">
        <f t="shared" si="2"/>
        <v>22</v>
      </c>
      <c r="L66" s="9" t="s">
        <v>4210</v>
      </c>
      <c r="N66" s="9" t="str">
        <f t="shared" si="3"/>
        <v>LIMA E ICA PROVINCIA|PRODUCCIÓN / COCINA|PANTALÓN SAL Y PIMIENTA</v>
      </c>
      <c r="O66" s="9" t="str">
        <f>IF(N66="","",IF(COUNTIF(Precios!$G:$G,N66)=0,"⚠ No coincide con Precios","OK"))</f>
        <v>OK</v>
      </c>
    </row>
    <row r="67" spans="1:15" x14ac:dyDescent="0.2">
      <c r="A67" s="49">
        <v>45996</v>
      </c>
      <c r="B67" s="51" t="s">
        <v>477</v>
      </c>
      <c r="C67" s="9" t="str" cm="1">
        <f t="array" ref="C67">IFERROR(_xlfn.XLOOKUP(B67,Personal!$A:$A,Personal!$D:$D,""),"")</f>
        <v xml:space="preserve">FUENTES  NOLLI  AMERICA LEONOR </v>
      </c>
      <c r="D67" s="9" t="str" cm="1">
        <f t="array" ref="D67">IFERROR(_xlfn.XLOOKUP(B67,Personal!$A:$A,Personal!$C:$C,""),"")</f>
        <v>MOLINA 2</v>
      </c>
      <c r="E67" s="9" t="str" cm="1">
        <f t="array" ref="E67">IFERROR(_xlfn.XLOOKUP(D67,Locales!$A:$A,Locales!$B:$B,""),"")</f>
        <v>LIMA E ICA PROVINCIA</v>
      </c>
      <c r="F67" s="9" t="str" cm="1">
        <f t="array" ref="F67">IFERROR(_xlfn.XLOOKUP(B67,Personal!$A:$A,Personal!$F:$F,""),"")</f>
        <v>PRODUCCIÓN / COCINA</v>
      </c>
      <c r="G67" s="9" t="s">
        <v>3868</v>
      </c>
      <c r="H67" s="9" t="s">
        <v>3876</v>
      </c>
      <c r="I67" s="10" cm="1">
        <f t="array" ref="I67">IFERROR(INDEX(Precios!$D:$F,MATCH(N67, Precios!$G:$G, 0),CHOOSE(MATCH(H67, {"SML";"XL";"XXL"}, 0), 1, 2, 3)), 0)</f>
        <v>6.5</v>
      </c>
      <c r="J67" s="9">
        <v>2</v>
      </c>
      <c r="K67" s="10">
        <f t="shared" ref="K67:K127" si="4">IFERROR(I67*J67,0)</f>
        <v>13</v>
      </c>
      <c r="L67" s="9" t="s">
        <v>4210</v>
      </c>
      <c r="N67" s="9" t="str">
        <f t="shared" ref="N67:N127" si="5">IF( OR(E67="",F67="",G67=""), "",CLEAN(TRIM(E67)) &amp; "|" &amp; CLEAN(TRIM(F67)) &amp; "|" &amp; CLEAN(TRIM(G67)))</f>
        <v>LIMA E ICA PROVINCIA|PRODUCCIÓN / COCINA|PECHERA GRIS EN DRILL</v>
      </c>
      <c r="O67" s="9" t="str">
        <f>IF(N67="","",IF(COUNTIF(Precios!$G:$G,N67)=0,"⚠ No coincide con Precios","OK"))</f>
        <v>OK</v>
      </c>
    </row>
    <row r="68" spans="1:15" x14ac:dyDescent="0.2">
      <c r="A68" s="49">
        <v>45996</v>
      </c>
      <c r="B68" s="51" t="s">
        <v>477</v>
      </c>
      <c r="C68" s="9" t="str" cm="1">
        <f t="array" ref="C68">IFERROR(_xlfn.XLOOKUP(B68,Personal!$A:$A,Personal!$D:$D,""),"")</f>
        <v xml:space="preserve">FUENTES  NOLLI  AMERICA LEONOR </v>
      </c>
      <c r="D68" s="9" t="str" cm="1">
        <f t="array" ref="D68">IFERROR(_xlfn.XLOOKUP(B68,Personal!$A:$A,Personal!$C:$C,""),"")</f>
        <v>MOLINA 2</v>
      </c>
      <c r="E68" s="9" t="str" cm="1">
        <f t="array" ref="E68">IFERROR(_xlfn.XLOOKUP(D68,Locales!$A:$A,Locales!$B:$B,""),"")</f>
        <v>LIMA E ICA PROVINCIA</v>
      </c>
      <c r="F68" s="9" t="str" cm="1">
        <f t="array" ref="F68">IFERROR(_xlfn.XLOOKUP(B68,Personal!$A:$A,Personal!$F:$F,""),"")</f>
        <v>PRODUCCIÓN / COCINA</v>
      </c>
      <c r="G68" s="9" t="s">
        <v>3869</v>
      </c>
      <c r="H68" s="9" t="s">
        <v>3876</v>
      </c>
      <c r="I68" s="10" cm="1">
        <f t="array" ref="I68">IFERROR(INDEX(Precios!$D:$F,MATCH(N68, Precios!$G:$G, 0),CHOOSE(MATCH(H68, {"SML";"XL";"XXL"}, 0), 1, 2, 3)), 0)</f>
        <v>4.5</v>
      </c>
      <c r="J68" s="9">
        <v>2</v>
      </c>
      <c r="K68" s="10">
        <f t="shared" si="4"/>
        <v>9</v>
      </c>
      <c r="L68" s="9" t="s">
        <v>4210</v>
      </c>
      <c r="N68" s="9" t="str">
        <f t="shared" si="5"/>
        <v>LIMA E ICA PROVINCIA|PRODUCCIÓN / COCINA|GARIBALDI GRIS</v>
      </c>
      <c r="O68" s="9" t="str">
        <f>IF(N68="","",IF(COUNTIF(Precios!$G:$G,N68)=0,"⚠ No coincide con Precios","OK"))</f>
        <v>OK</v>
      </c>
    </row>
    <row r="69" spans="1:15" x14ac:dyDescent="0.2">
      <c r="A69" s="49">
        <v>45996</v>
      </c>
      <c r="B69" s="51" t="s">
        <v>477</v>
      </c>
      <c r="C69" s="9" t="str" cm="1">
        <f t="array" ref="C69">IFERROR(_xlfn.XLOOKUP(B69,Personal!$A:$A,Personal!$D:$D,""),"")</f>
        <v xml:space="preserve">FUENTES  NOLLI  AMERICA LEONOR </v>
      </c>
      <c r="D69" s="9" t="str" cm="1">
        <f t="array" ref="D69">IFERROR(_xlfn.XLOOKUP(B69,Personal!$A:$A,Personal!$C:$C,""),"")</f>
        <v>MOLINA 2</v>
      </c>
      <c r="E69" s="9" t="str" cm="1">
        <f t="array" ref="E69">IFERROR(_xlfn.XLOOKUP(D69,Locales!$A:$A,Locales!$B:$B,""),"")</f>
        <v>LIMA E ICA PROVINCIA</v>
      </c>
      <c r="F69" s="9" t="str" cm="1">
        <f t="array" ref="F69">IFERROR(_xlfn.XLOOKUP(B69,Personal!$A:$A,Personal!$F:$F,""),"")</f>
        <v>PRODUCCIÓN / COCINA</v>
      </c>
      <c r="G69" s="9" t="s">
        <v>3862</v>
      </c>
      <c r="H69" s="9" t="s">
        <v>3876</v>
      </c>
      <c r="I69" s="10" cm="1">
        <f t="array" ref="I69">IFERROR(INDEX(Precios!$D:$F,MATCH(N69, Precios!$G:$G, 0),CHOOSE(MATCH(H69, {"SML";"XL";"XXL"}, 0), 1, 2, 3)), 0)</f>
        <v>7.5</v>
      </c>
      <c r="J69" s="9">
        <v>2</v>
      </c>
      <c r="K69" s="10">
        <f t="shared" si="4"/>
        <v>15</v>
      </c>
      <c r="L69" s="9" t="s">
        <v>4210</v>
      </c>
      <c r="N69" s="9" t="str">
        <f t="shared" si="5"/>
        <v>LIMA E ICA PROVINCIA|PRODUCCIÓN / COCINA|POLO 30/1 GRIS</v>
      </c>
      <c r="O69" s="9" t="str">
        <f>IF(N69="","",IF(COUNTIF(Precios!$G:$G,N69)=0,"⚠ No coincide con Precios","OK"))</f>
        <v>OK</v>
      </c>
    </row>
    <row r="70" spans="1:15" x14ac:dyDescent="0.2">
      <c r="A70" s="49">
        <v>45996</v>
      </c>
      <c r="B70" s="51" t="s">
        <v>422</v>
      </c>
      <c r="C70" s="9" t="str" cm="1">
        <f t="array" ref="C70">IFERROR(_xlfn.XLOOKUP(B70,Personal!$A:$A,Personal!$D:$D,""),"")</f>
        <v>HUANUQUEÑO COCA CAMEN</v>
      </c>
      <c r="D70" s="9" t="str" cm="1">
        <f t="array" ref="D70">IFERROR(_xlfn.XLOOKUP(B70,Personal!$A:$A,Personal!$C:$C,""),"")</f>
        <v>MOLINA 2</v>
      </c>
      <c r="E70" s="9" t="str" cm="1">
        <f t="array" ref="E70">IFERROR(_xlfn.XLOOKUP(D70,Locales!$A:$A,Locales!$B:$B,""),"")</f>
        <v>LIMA E ICA PROVINCIA</v>
      </c>
      <c r="F70" s="9" t="str" cm="1">
        <f t="array" ref="F70">IFERROR(_xlfn.XLOOKUP(B70,Personal!$A:$A,Personal!$F:$F,""),"")</f>
        <v>PRODUCCIÓN / COCINA</v>
      </c>
      <c r="G70" s="9" t="s">
        <v>47</v>
      </c>
      <c r="H70" s="9" t="s">
        <v>3876</v>
      </c>
      <c r="I70" s="10" cm="1">
        <f t="array" ref="I70">IFERROR(INDEX(Precios!$D:$F,MATCH(N70, Precios!$G:$G, 0),CHOOSE(MATCH(H70, {"SML";"XL";"XXL"}, 0), 1, 2, 3)), 0)</f>
        <v>16.25</v>
      </c>
      <c r="J70" s="9">
        <v>2</v>
      </c>
      <c r="K70" s="10">
        <f t="shared" si="4"/>
        <v>32.5</v>
      </c>
      <c r="L70" s="9" t="s">
        <v>4210</v>
      </c>
      <c r="N70" s="9" t="str">
        <f t="shared" si="5"/>
        <v>LIMA E ICA PROVINCIA|PRODUCCIÓN / COCINA|CHAQUETA DRILL BLANCO</v>
      </c>
      <c r="O70" s="9" t="str">
        <f>IF(N70="","",IF(COUNTIF(Precios!$G:$G,N70)=0,"⚠ No coincide con Precios","OK"))</f>
        <v>OK</v>
      </c>
    </row>
    <row r="71" spans="1:15" x14ac:dyDescent="0.2">
      <c r="A71" s="49">
        <v>45996</v>
      </c>
      <c r="B71" s="51" t="s">
        <v>422</v>
      </c>
      <c r="C71" s="9" t="str" cm="1">
        <f t="array" ref="C71">IFERROR(_xlfn.XLOOKUP(B71,Personal!$A:$A,Personal!$D:$D,""),"")</f>
        <v>HUANUQUEÑO COCA CAMEN</v>
      </c>
      <c r="D71" s="9" t="str" cm="1">
        <f t="array" ref="D71">IFERROR(_xlfn.XLOOKUP(B71,Personal!$A:$A,Personal!$C:$C,""),"")</f>
        <v>MOLINA 2</v>
      </c>
      <c r="E71" s="9" t="str" cm="1">
        <f t="array" ref="E71">IFERROR(_xlfn.XLOOKUP(D71,Locales!$A:$A,Locales!$B:$B,""),"")</f>
        <v>LIMA E ICA PROVINCIA</v>
      </c>
      <c r="F71" s="9" t="str" cm="1">
        <f t="array" ref="F71">IFERROR(_xlfn.XLOOKUP(B71,Personal!$A:$A,Personal!$F:$F,""),"")</f>
        <v>PRODUCCIÓN / COCINA</v>
      </c>
      <c r="G71" s="9" t="s">
        <v>3867</v>
      </c>
      <c r="H71" s="9" t="s">
        <v>3876</v>
      </c>
      <c r="I71" s="10" cm="1">
        <f t="array" ref="I71">IFERROR(INDEX(Precios!$D:$F,MATCH(N71, Precios!$G:$G, 0),CHOOSE(MATCH(H71, {"SML";"XL";"XXL"}, 0), 1, 2, 3)), 0)</f>
        <v>11</v>
      </c>
      <c r="J71" s="9">
        <v>2</v>
      </c>
      <c r="K71" s="10">
        <f t="shared" si="4"/>
        <v>22</v>
      </c>
      <c r="L71" s="9" t="s">
        <v>4210</v>
      </c>
      <c r="N71" s="9" t="str">
        <f t="shared" si="5"/>
        <v>LIMA E ICA PROVINCIA|PRODUCCIÓN / COCINA|PANTALÓN SAL Y PIMIENTA</v>
      </c>
      <c r="O71" s="9" t="str">
        <f>IF(N71="","",IF(COUNTIF(Precios!$G:$G,N71)=0,"⚠ No coincide con Precios","OK"))</f>
        <v>OK</v>
      </c>
    </row>
    <row r="72" spans="1:15" x14ac:dyDescent="0.2">
      <c r="A72" s="49">
        <v>45996</v>
      </c>
      <c r="B72" s="51" t="s">
        <v>422</v>
      </c>
      <c r="C72" s="9" t="str" cm="1">
        <f t="array" ref="C72">IFERROR(_xlfn.XLOOKUP(B72,Personal!$A:$A,Personal!$D:$D,""),"")</f>
        <v>HUANUQUEÑO COCA CAMEN</v>
      </c>
      <c r="D72" s="9" t="str" cm="1">
        <f t="array" ref="D72">IFERROR(_xlfn.XLOOKUP(B72,Personal!$A:$A,Personal!$C:$C,""),"")</f>
        <v>MOLINA 2</v>
      </c>
      <c r="E72" s="9" t="str" cm="1">
        <f t="array" ref="E72">IFERROR(_xlfn.XLOOKUP(D72,Locales!$A:$A,Locales!$B:$B,""),"")</f>
        <v>LIMA E ICA PROVINCIA</v>
      </c>
      <c r="F72" s="9" t="str" cm="1">
        <f t="array" ref="F72">IFERROR(_xlfn.XLOOKUP(B72,Personal!$A:$A,Personal!$F:$F,""),"")</f>
        <v>PRODUCCIÓN / COCINA</v>
      </c>
      <c r="G72" s="9" t="s">
        <v>3868</v>
      </c>
      <c r="H72" s="9" t="s">
        <v>3876</v>
      </c>
      <c r="I72" s="10" cm="1">
        <f t="array" ref="I72">IFERROR(INDEX(Precios!$D:$F,MATCH(N72, Precios!$G:$G, 0),CHOOSE(MATCH(H72, {"SML";"XL";"XXL"}, 0), 1, 2, 3)), 0)</f>
        <v>6.5</v>
      </c>
      <c r="J72" s="9">
        <v>2</v>
      </c>
      <c r="K72" s="10">
        <f t="shared" si="4"/>
        <v>13</v>
      </c>
      <c r="L72" s="9" t="s">
        <v>4210</v>
      </c>
      <c r="N72" s="9" t="str">
        <f t="shared" si="5"/>
        <v>LIMA E ICA PROVINCIA|PRODUCCIÓN / COCINA|PECHERA GRIS EN DRILL</v>
      </c>
      <c r="O72" s="9" t="str">
        <f>IF(N72="","",IF(COUNTIF(Precios!$G:$G,N72)=0,"⚠ No coincide con Precios","OK"))</f>
        <v>OK</v>
      </c>
    </row>
    <row r="73" spans="1:15" x14ac:dyDescent="0.2">
      <c r="A73" s="49">
        <v>45996</v>
      </c>
      <c r="B73" s="51" t="s">
        <v>422</v>
      </c>
      <c r="C73" s="9" t="str" cm="1">
        <f t="array" ref="C73">IFERROR(_xlfn.XLOOKUP(B73,Personal!$A:$A,Personal!$D:$D,""),"")</f>
        <v>HUANUQUEÑO COCA CAMEN</v>
      </c>
      <c r="D73" s="9" t="str" cm="1">
        <f t="array" ref="D73">IFERROR(_xlfn.XLOOKUP(B73,Personal!$A:$A,Personal!$C:$C,""),"")</f>
        <v>MOLINA 2</v>
      </c>
      <c r="E73" s="9" t="str" cm="1">
        <f t="array" ref="E73">IFERROR(_xlfn.XLOOKUP(D73,Locales!$A:$A,Locales!$B:$B,""),"")</f>
        <v>LIMA E ICA PROVINCIA</v>
      </c>
      <c r="F73" s="9" t="str" cm="1">
        <f t="array" ref="F73">IFERROR(_xlfn.XLOOKUP(B73,Personal!$A:$A,Personal!$F:$F,""),"")</f>
        <v>PRODUCCIÓN / COCINA</v>
      </c>
      <c r="G73" s="9" t="s">
        <v>3869</v>
      </c>
      <c r="H73" s="9" t="s">
        <v>3876</v>
      </c>
      <c r="I73" s="10" cm="1">
        <f t="array" ref="I73">IFERROR(INDEX(Precios!$D:$F,MATCH(N73, Precios!$G:$G, 0),CHOOSE(MATCH(H73, {"SML";"XL";"XXL"}, 0), 1, 2, 3)), 0)</f>
        <v>4.5</v>
      </c>
      <c r="J73" s="9">
        <v>2</v>
      </c>
      <c r="K73" s="10">
        <f t="shared" si="4"/>
        <v>9</v>
      </c>
      <c r="L73" s="9" t="s">
        <v>4210</v>
      </c>
      <c r="N73" s="9" t="str">
        <f t="shared" si="5"/>
        <v>LIMA E ICA PROVINCIA|PRODUCCIÓN / COCINA|GARIBALDI GRIS</v>
      </c>
      <c r="O73" s="9" t="str">
        <f>IF(N73="","",IF(COUNTIF(Precios!$G:$G,N73)=0,"⚠ No coincide con Precios","OK"))</f>
        <v>OK</v>
      </c>
    </row>
    <row r="74" spans="1:15" x14ac:dyDescent="0.2">
      <c r="A74" s="49">
        <v>45996</v>
      </c>
      <c r="B74" s="51" t="s">
        <v>422</v>
      </c>
      <c r="C74" s="9" t="str" cm="1">
        <f t="array" ref="C74">IFERROR(_xlfn.XLOOKUP(B74,Personal!$A:$A,Personal!$D:$D,""),"")</f>
        <v>HUANUQUEÑO COCA CAMEN</v>
      </c>
      <c r="D74" s="9" t="str" cm="1">
        <f t="array" ref="D74">IFERROR(_xlfn.XLOOKUP(B74,Personal!$A:$A,Personal!$C:$C,""),"")</f>
        <v>MOLINA 2</v>
      </c>
      <c r="E74" s="9" t="str" cm="1">
        <f t="array" ref="E74">IFERROR(_xlfn.XLOOKUP(D74,Locales!$A:$A,Locales!$B:$B,""),"")</f>
        <v>LIMA E ICA PROVINCIA</v>
      </c>
      <c r="F74" s="9" t="str" cm="1">
        <f t="array" ref="F74">IFERROR(_xlfn.XLOOKUP(B74,Personal!$A:$A,Personal!$F:$F,""),"")</f>
        <v>PRODUCCIÓN / COCINA</v>
      </c>
      <c r="G74" s="9" t="s">
        <v>3862</v>
      </c>
      <c r="H74" s="9" t="s">
        <v>3876</v>
      </c>
      <c r="I74" s="10" cm="1">
        <f t="array" ref="I74">IFERROR(INDEX(Precios!$D:$F,MATCH(N74, Precios!$G:$G, 0),CHOOSE(MATCH(H74, {"SML";"XL";"XXL"}, 0), 1, 2, 3)), 0)</f>
        <v>7.5</v>
      </c>
      <c r="J74" s="9">
        <v>2</v>
      </c>
      <c r="K74" s="10">
        <f t="shared" si="4"/>
        <v>15</v>
      </c>
      <c r="L74" s="9" t="s">
        <v>4210</v>
      </c>
      <c r="N74" s="9" t="str">
        <f t="shared" si="5"/>
        <v>LIMA E ICA PROVINCIA|PRODUCCIÓN / COCINA|POLO 30/1 GRIS</v>
      </c>
      <c r="O74" s="9" t="str">
        <f>IF(N74="","",IF(COUNTIF(Precios!$G:$G,N74)=0,"⚠ No coincide con Precios","OK"))</f>
        <v>OK</v>
      </c>
    </row>
    <row r="75" spans="1:15" x14ac:dyDescent="0.2">
      <c r="A75" s="49">
        <v>45996</v>
      </c>
      <c r="B75" s="51" t="s">
        <v>4253</v>
      </c>
      <c r="C75" s="9" t="str" cm="1">
        <f t="array" ref="C75">IFERROR(_xlfn.XLOOKUP(B75,Personal!$A:$A,Personal!$D:$D,""),"")</f>
        <v>BUENO MONDRAGON NOLBERTO</v>
      </c>
      <c r="D75" s="9" t="str" cm="1">
        <f t="array" ref="D75">IFERROR(_xlfn.XLOOKUP(B75,Personal!$A:$A,Personal!$C:$C,""),"")</f>
        <v>MOLINA 2</v>
      </c>
      <c r="E75" s="9" t="str" cm="1">
        <f t="array" ref="E75">IFERROR(_xlfn.XLOOKUP(D75,Locales!$A:$A,Locales!$B:$B,""),"")</f>
        <v>LIMA E ICA PROVINCIA</v>
      </c>
      <c r="F75" s="9" t="str" cm="1">
        <f t="array" ref="F75">IFERROR(_xlfn.XLOOKUP(B75,Personal!$A:$A,Personal!$F:$F,""),"")</f>
        <v>PRODUCCIÓN / COCINA</v>
      </c>
      <c r="G75" s="9" t="s">
        <v>47</v>
      </c>
      <c r="H75" s="9" t="s">
        <v>3876</v>
      </c>
      <c r="I75" s="10" cm="1">
        <f t="array" ref="I75">IFERROR(INDEX(Precios!$D:$F,MATCH(N75, Precios!$G:$G, 0),CHOOSE(MATCH(H75, {"SML";"XL";"XXL"}, 0), 1, 2, 3)), 0)</f>
        <v>16.25</v>
      </c>
      <c r="J75" s="9">
        <v>2</v>
      </c>
      <c r="K75" s="10">
        <f t="shared" si="4"/>
        <v>32.5</v>
      </c>
      <c r="L75" s="9" t="s">
        <v>4210</v>
      </c>
      <c r="N75" s="9" t="str">
        <f t="shared" si="5"/>
        <v>LIMA E ICA PROVINCIA|PRODUCCIÓN / COCINA|CHAQUETA DRILL BLANCO</v>
      </c>
      <c r="O75" s="9" t="str">
        <f>IF(N75="","",IF(COUNTIF(Precios!$G:$G,N75)=0,"⚠ No coincide con Precios","OK"))</f>
        <v>OK</v>
      </c>
    </row>
    <row r="76" spans="1:15" x14ac:dyDescent="0.2">
      <c r="A76" s="49">
        <v>45996</v>
      </c>
      <c r="B76" s="51" t="s">
        <v>4253</v>
      </c>
      <c r="C76" s="9" t="str" cm="1">
        <f t="array" ref="C76">IFERROR(_xlfn.XLOOKUP(B76,Personal!$A:$A,Personal!$D:$D,""),"")</f>
        <v>BUENO MONDRAGON NOLBERTO</v>
      </c>
      <c r="D76" s="9" t="str" cm="1">
        <f t="array" ref="D76">IFERROR(_xlfn.XLOOKUP(B76,Personal!$A:$A,Personal!$C:$C,""),"")</f>
        <v>MOLINA 2</v>
      </c>
      <c r="E76" s="9" t="str" cm="1">
        <f t="array" ref="E76">IFERROR(_xlfn.XLOOKUP(D76,Locales!$A:$A,Locales!$B:$B,""),"")</f>
        <v>LIMA E ICA PROVINCIA</v>
      </c>
      <c r="F76" s="9" t="str" cm="1">
        <f t="array" ref="F76">IFERROR(_xlfn.XLOOKUP(B76,Personal!$A:$A,Personal!$F:$F,""),"")</f>
        <v>PRODUCCIÓN / COCINA</v>
      </c>
      <c r="G76" s="9" t="s">
        <v>3867</v>
      </c>
      <c r="H76" s="9" t="s">
        <v>3876</v>
      </c>
      <c r="I76" s="10" cm="1">
        <f t="array" ref="I76">IFERROR(INDEX(Precios!$D:$F,MATCH(N76, Precios!$G:$G, 0),CHOOSE(MATCH(H76, {"SML";"XL";"XXL"}, 0), 1, 2, 3)), 0)</f>
        <v>11</v>
      </c>
      <c r="J76" s="9">
        <v>2</v>
      </c>
      <c r="K76" s="10">
        <f t="shared" si="4"/>
        <v>22</v>
      </c>
      <c r="L76" s="9" t="s">
        <v>4210</v>
      </c>
      <c r="N76" s="9" t="str">
        <f t="shared" si="5"/>
        <v>LIMA E ICA PROVINCIA|PRODUCCIÓN / COCINA|PANTALÓN SAL Y PIMIENTA</v>
      </c>
      <c r="O76" s="9" t="str">
        <f>IF(N76="","",IF(COUNTIF(Precios!$G:$G,N76)=0,"⚠ No coincide con Precios","OK"))</f>
        <v>OK</v>
      </c>
    </row>
    <row r="77" spans="1:15" x14ac:dyDescent="0.2">
      <c r="A77" s="49">
        <v>45996</v>
      </c>
      <c r="B77" s="51" t="s">
        <v>4253</v>
      </c>
      <c r="C77" s="9" t="str" cm="1">
        <f t="array" ref="C77">IFERROR(_xlfn.XLOOKUP(B77,Personal!$A:$A,Personal!$D:$D,""),"")</f>
        <v>BUENO MONDRAGON NOLBERTO</v>
      </c>
      <c r="D77" s="9" t="str" cm="1">
        <f t="array" ref="D77">IFERROR(_xlfn.XLOOKUP(B77,Personal!$A:$A,Personal!$C:$C,""),"")</f>
        <v>MOLINA 2</v>
      </c>
      <c r="E77" s="9" t="str" cm="1">
        <f t="array" ref="E77">IFERROR(_xlfn.XLOOKUP(D77,Locales!$A:$A,Locales!$B:$B,""),"")</f>
        <v>LIMA E ICA PROVINCIA</v>
      </c>
      <c r="F77" s="9" t="str" cm="1">
        <f t="array" ref="F77">IFERROR(_xlfn.XLOOKUP(B77,Personal!$A:$A,Personal!$F:$F,""),"")</f>
        <v>PRODUCCIÓN / COCINA</v>
      </c>
      <c r="G77" s="9" t="s">
        <v>3868</v>
      </c>
      <c r="H77" s="9" t="s">
        <v>3876</v>
      </c>
      <c r="I77" s="10" cm="1">
        <f t="array" ref="I77">IFERROR(INDEX(Precios!$D:$F,MATCH(N77, Precios!$G:$G, 0),CHOOSE(MATCH(H77, {"SML";"XL";"XXL"}, 0), 1, 2, 3)), 0)</f>
        <v>6.5</v>
      </c>
      <c r="J77" s="9">
        <v>2</v>
      </c>
      <c r="K77" s="10">
        <f t="shared" si="4"/>
        <v>13</v>
      </c>
      <c r="L77" s="9" t="s">
        <v>4210</v>
      </c>
      <c r="N77" s="9" t="str">
        <f t="shared" si="5"/>
        <v>LIMA E ICA PROVINCIA|PRODUCCIÓN / COCINA|PECHERA GRIS EN DRILL</v>
      </c>
      <c r="O77" s="9" t="str">
        <f>IF(N77="","",IF(COUNTIF(Precios!$G:$G,N77)=0,"⚠ No coincide con Precios","OK"))</f>
        <v>OK</v>
      </c>
    </row>
    <row r="78" spans="1:15" x14ac:dyDescent="0.2">
      <c r="A78" s="49">
        <v>45996</v>
      </c>
      <c r="B78" s="51" t="s">
        <v>4253</v>
      </c>
      <c r="C78" s="9" t="str" cm="1">
        <f t="array" ref="C78">IFERROR(_xlfn.XLOOKUP(B78,Personal!$A:$A,Personal!$D:$D,""),"")</f>
        <v>BUENO MONDRAGON NOLBERTO</v>
      </c>
      <c r="D78" s="9" t="str" cm="1">
        <f t="array" ref="D78">IFERROR(_xlfn.XLOOKUP(B78,Personal!$A:$A,Personal!$C:$C,""),"")</f>
        <v>MOLINA 2</v>
      </c>
      <c r="E78" s="9" t="str" cm="1">
        <f t="array" ref="E78">IFERROR(_xlfn.XLOOKUP(D78,Locales!$A:$A,Locales!$B:$B,""),"")</f>
        <v>LIMA E ICA PROVINCIA</v>
      </c>
      <c r="F78" s="9" t="str" cm="1">
        <f t="array" ref="F78">IFERROR(_xlfn.XLOOKUP(B78,Personal!$A:$A,Personal!$F:$F,""),"")</f>
        <v>PRODUCCIÓN / COCINA</v>
      </c>
      <c r="G78" s="9" t="s">
        <v>3869</v>
      </c>
      <c r="H78" s="9" t="s">
        <v>3876</v>
      </c>
      <c r="I78" s="10" cm="1">
        <f t="array" ref="I78">IFERROR(INDEX(Precios!$D:$F,MATCH(N78, Precios!$G:$G, 0),CHOOSE(MATCH(H78, {"SML";"XL";"XXL"}, 0), 1, 2, 3)), 0)</f>
        <v>4.5</v>
      </c>
      <c r="J78" s="9">
        <v>2</v>
      </c>
      <c r="K78" s="10">
        <f t="shared" si="4"/>
        <v>9</v>
      </c>
      <c r="L78" s="9" t="s">
        <v>4210</v>
      </c>
      <c r="N78" s="9" t="str">
        <f t="shared" si="5"/>
        <v>LIMA E ICA PROVINCIA|PRODUCCIÓN / COCINA|GARIBALDI GRIS</v>
      </c>
      <c r="O78" s="9" t="str">
        <f>IF(N78="","",IF(COUNTIF(Precios!$G:$G,N78)=0,"⚠ No coincide con Precios","OK"))</f>
        <v>OK</v>
      </c>
    </row>
    <row r="79" spans="1:15" x14ac:dyDescent="0.2">
      <c r="A79" s="49">
        <v>45996</v>
      </c>
      <c r="B79" s="51" t="s">
        <v>4253</v>
      </c>
      <c r="C79" s="9" t="str" cm="1">
        <f t="array" ref="C79">IFERROR(_xlfn.XLOOKUP(B79,Personal!$A:$A,Personal!$D:$D,""),"")</f>
        <v>BUENO MONDRAGON NOLBERTO</v>
      </c>
      <c r="D79" s="9" t="str" cm="1">
        <f t="array" ref="D79">IFERROR(_xlfn.XLOOKUP(B79,Personal!$A:$A,Personal!$C:$C,""),"")</f>
        <v>MOLINA 2</v>
      </c>
      <c r="E79" s="9" t="str" cm="1">
        <f t="array" ref="E79">IFERROR(_xlfn.XLOOKUP(D79,Locales!$A:$A,Locales!$B:$B,""),"")</f>
        <v>LIMA E ICA PROVINCIA</v>
      </c>
      <c r="F79" s="9" t="str" cm="1">
        <f t="array" ref="F79">IFERROR(_xlfn.XLOOKUP(B79,Personal!$A:$A,Personal!$F:$F,""),"")</f>
        <v>PRODUCCIÓN / COCINA</v>
      </c>
      <c r="G79" s="9" t="s">
        <v>3862</v>
      </c>
      <c r="H79" s="9" t="s">
        <v>3876</v>
      </c>
      <c r="I79" s="10" cm="1">
        <f t="array" ref="I79">IFERROR(INDEX(Precios!$D:$F,MATCH(N79, Precios!$G:$G, 0),CHOOSE(MATCH(H79, {"SML";"XL";"XXL"}, 0), 1, 2, 3)), 0)</f>
        <v>7.5</v>
      </c>
      <c r="J79" s="9">
        <v>2</v>
      </c>
      <c r="K79" s="10">
        <f t="shared" si="4"/>
        <v>15</v>
      </c>
      <c r="L79" s="9" t="s">
        <v>4210</v>
      </c>
      <c r="N79" s="9" t="str">
        <f t="shared" si="5"/>
        <v>LIMA E ICA PROVINCIA|PRODUCCIÓN / COCINA|POLO 30/1 GRIS</v>
      </c>
      <c r="O79" s="9" t="str">
        <f>IF(N79="","",IF(COUNTIF(Precios!$G:$G,N79)=0,"⚠ No coincide con Precios","OK"))</f>
        <v>OK</v>
      </c>
    </row>
    <row r="80" spans="1:15" x14ac:dyDescent="0.2">
      <c r="A80" s="49">
        <v>45996</v>
      </c>
      <c r="B80" s="51" t="s">
        <v>429</v>
      </c>
      <c r="C80" s="9" t="str" cm="1">
        <f t="array" ref="C80">IFERROR(_xlfn.XLOOKUP(B80,Personal!$A:$A,Personal!$D:$D,""),"")</f>
        <v>ATAHUAMAN JARA CARMEN ROSA</v>
      </c>
      <c r="D80" s="9" t="str" cm="1">
        <f t="array" ref="D80">IFERROR(_xlfn.XLOOKUP(B80,Personal!$A:$A,Personal!$C:$C,""),"")</f>
        <v>MOLINA 2</v>
      </c>
      <c r="E80" s="9" t="str" cm="1">
        <f t="array" ref="E80">IFERROR(_xlfn.XLOOKUP(D80,Locales!$A:$A,Locales!$B:$B,""),"")</f>
        <v>LIMA E ICA PROVINCIA</v>
      </c>
      <c r="F80" s="9" t="str" cm="1">
        <f t="array" ref="F80">IFERROR(_xlfn.XLOOKUP(B80,Personal!$A:$A,Personal!$F:$F,""),"")</f>
        <v>PRODUCCIÓN / COCINA</v>
      </c>
      <c r="G80" s="9" t="s">
        <v>47</v>
      </c>
      <c r="H80" s="9" t="s">
        <v>3876</v>
      </c>
      <c r="I80" s="10" cm="1">
        <f t="array" ref="I80">IFERROR(INDEX(Precios!$D:$F,MATCH(N80, Precios!$G:$G, 0),CHOOSE(MATCH(H80, {"SML";"XL";"XXL"}, 0), 1, 2, 3)), 0)</f>
        <v>16.25</v>
      </c>
      <c r="J80" s="9">
        <v>2</v>
      </c>
      <c r="K80" s="10">
        <f t="shared" si="4"/>
        <v>32.5</v>
      </c>
      <c r="L80" s="9" t="s">
        <v>4210</v>
      </c>
      <c r="N80" s="9" t="str">
        <f t="shared" si="5"/>
        <v>LIMA E ICA PROVINCIA|PRODUCCIÓN / COCINA|CHAQUETA DRILL BLANCO</v>
      </c>
      <c r="O80" s="9" t="str">
        <f>IF(N80="","",IF(COUNTIF(Precios!$G:$G,N80)=0,"⚠ No coincide con Precios","OK"))</f>
        <v>OK</v>
      </c>
    </row>
    <row r="81" spans="1:15" x14ac:dyDescent="0.2">
      <c r="A81" s="49">
        <v>45996</v>
      </c>
      <c r="B81" s="51" t="s">
        <v>429</v>
      </c>
      <c r="C81" s="9" t="str" cm="1">
        <f t="array" ref="C81">IFERROR(_xlfn.XLOOKUP(B81,Personal!$A:$A,Personal!$D:$D,""),"")</f>
        <v>ATAHUAMAN JARA CARMEN ROSA</v>
      </c>
      <c r="D81" s="9" t="str" cm="1">
        <f t="array" ref="D81">IFERROR(_xlfn.XLOOKUP(B81,Personal!$A:$A,Personal!$C:$C,""),"")</f>
        <v>MOLINA 2</v>
      </c>
      <c r="E81" s="9" t="str" cm="1">
        <f t="array" ref="E81">IFERROR(_xlfn.XLOOKUP(D81,Locales!$A:$A,Locales!$B:$B,""),"")</f>
        <v>LIMA E ICA PROVINCIA</v>
      </c>
      <c r="F81" s="9" t="str" cm="1">
        <f t="array" ref="F81">IFERROR(_xlfn.XLOOKUP(B81,Personal!$A:$A,Personal!$F:$F,""),"")</f>
        <v>PRODUCCIÓN / COCINA</v>
      </c>
      <c r="G81" s="9" t="s">
        <v>3867</v>
      </c>
      <c r="H81" s="9" t="s">
        <v>3876</v>
      </c>
      <c r="I81" s="10" cm="1">
        <f t="array" ref="I81">IFERROR(INDEX(Precios!$D:$F,MATCH(N81, Precios!$G:$G, 0),CHOOSE(MATCH(H81, {"SML";"XL";"XXL"}, 0), 1, 2, 3)), 0)</f>
        <v>11</v>
      </c>
      <c r="J81" s="9">
        <v>2</v>
      </c>
      <c r="K81" s="10">
        <f t="shared" si="4"/>
        <v>22</v>
      </c>
      <c r="L81" s="9" t="s">
        <v>4210</v>
      </c>
      <c r="N81" s="9" t="str">
        <f t="shared" si="5"/>
        <v>LIMA E ICA PROVINCIA|PRODUCCIÓN / COCINA|PANTALÓN SAL Y PIMIENTA</v>
      </c>
      <c r="O81" s="9" t="str">
        <f>IF(N81="","",IF(COUNTIF(Precios!$G:$G,N81)=0,"⚠ No coincide con Precios","OK"))</f>
        <v>OK</v>
      </c>
    </row>
    <row r="82" spans="1:15" x14ac:dyDescent="0.2">
      <c r="A82" s="49">
        <v>45996</v>
      </c>
      <c r="B82" s="51" t="s">
        <v>429</v>
      </c>
      <c r="C82" s="9" t="str" cm="1">
        <f t="array" ref="C82">IFERROR(_xlfn.XLOOKUP(B82,Personal!$A:$A,Personal!$D:$D,""),"")</f>
        <v>ATAHUAMAN JARA CARMEN ROSA</v>
      </c>
      <c r="D82" s="9" t="str" cm="1">
        <f t="array" ref="D82">IFERROR(_xlfn.XLOOKUP(B82,Personal!$A:$A,Personal!$C:$C,""),"")</f>
        <v>MOLINA 2</v>
      </c>
      <c r="E82" s="9" t="str" cm="1">
        <f t="array" ref="E82">IFERROR(_xlfn.XLOOKUP(D82,Locales!$A:$A,Locales!$B:$B,""),"")</f>
        <v>LIMA E ICA PROVINCIA</v>
      </c>
      <c r="F82" s="9" t="str" cm="1">
        <f t="array" ref="F82">IFERROR(_xlfn.XLOOKUP(B82,Personal!$A:$A,Personal!$F:$F,""),"")</f>
        <v>PRODUCCIÓN / COCINA</v>
      </c>
      <c r="G82" s="9" t="s">
        <v>3868</v>
      </c>
      <c r="H82" s="9" t="s">
        <v>3876</v>
      </c>
      <c r="I82" s="10" cm="1">
        <f t="array" ref="I82">IFERROR(INDEX(Precios!$D:$F,MATCH(N82, Precios!$G:$G, 0),CHOOSE(MATCH(H82, {"SML";"XL";"XXL"}, 0), 1, 2, 3)), 0)</f>
        <v>6.5</v>
      </c>
      <c r="J82" s="9">
        <v>2</v>
      </c>
      <c r="K82" s="10">
        <f t="shared" si="4"/>
        <v>13</v>
      </c>
      <c r="L82" s="9" t="s">
        <v>4210</v>
      </c>
      <c r="N82" s="9" t="str">
        <f t="shared" si="5"/>
        <v>LIMA E ICA PROVINCIA|PRODUCCIÓN / COCINA|PECHERA GRIS EN DRILL</v>
      </c>
      <c r="O82" s="9" t="str">
        <f>IF(N82="","",IF(COUNTIF(Precios!$G:$G,N82)=0,"⚠ No coincide con Precios","OK"))</f>
        <v>OK</v>
      </c>
    </row>
    <row r="83" spans="1:15" x14ac:dyDescent="0.2">
      <c r="A83" s="49">
        <v>45996</v>
      </c>
      <c r="B83" s="51" t="s">
        <v>429</v>
      </c>
      <c r="C83" s="9" t="str" cm="1">
        <f t="array" ref="C83">IFERROR(_xlfn.XLOOKUP(B83,Personal!$A:$A,Personal!$D:$D,""),"")</f>
        <v>ATAHUAMAN JARA CARMEN ROSA</v>
      </c>
      <c r="D83" s="9" t="str" cm="1">
        <f t="array" ref="D83">IFERROR(_xlfn.XLOOKUP(B83,Personal!$A:$A,Personal!$C:$C,""),"")</f>
        <v>MOLINA 2</v>
      </c>
      <c r="E83" s="9" t="str" cm="1">
        <f t="array" ref="E83">IFERROR(_xlfn.XLOOKUP(D83,Locales!$A:$A,Locales!$B:$B,""),"")</f>
        <v>LIMA E ICA PROVINCIA</v>
      </c>
      <c r="F83" s="9" t="str" cm="1">
        <f t="array" ref="F83">IFERROR(_xlfn.XLOOKUP(B83,Personal!$A:$A,Personal!$F:$F,""),"")</f>
        <v>PRODUCCIÓN / COCINA</v>
      </c>
      <c r="G83" s="9" t="s">
        <v>3869</v>
      </c>
      <c r="H83" s="9" t="s">
        <v>3876</v>
      </c>
      <c r="I83" s="10" cm="1">
        <f t="array" ref="I83">IFERROR(INDEX(Precios!$D:$F,MATCH(N83, Precios!$G:$G, 0),CHOOSE(MATCH(H83, {"SML";"XL";"XXL"}, 0), 1, 2, 3)), 0)</f>
        <v>4.5</v>
      </c>
      <c r="J83" s="9">
        <v>2</v>
      </c>
      <c r="K83" s="10">
        <f t="shared" si="4"/>
        <v>9</v>
      </c>
      <c r="L83" s="9" t="s">
        <v>4210</v>
      </c>
      <c r="N83" s="9" t="str">
        <f t="shared" si="5"/>
        <v>LIMA E ICA PROVINCIA|PRODUCCIÓN / COCINA|GARIBALDI GRIS</v>
      </c>
      <c r="O83" s="9" t="str">
        <f>IF(N83="","",IF(COUNTIF(Precios!$G:$G,N83)=0,"⚠ No coincide con Precios","OK"))</f>
        <v>OK</v>
      </c>
    </row>
    <row r="84" spans="1:15" x14ac:dyDescent="0.2">
      <c r="A84" s="49">
        <v>45996</v>
      </c>
      <c r="B84" s="51" t="s">
        <v>429</v>
      </c>
      <c r="C84" s="9" t="str" cm="1">
        <f t="array" ref="C84">IFERROR(_xlfn.XLOOKUP(B84,Personal!$A:$A,Personal!$D:$D,""),"")</f>
        <v>ATAHUAMAN JARA CARMEN ROSA</v>
      </c>
      <c r="D84" s="9" t="str" cm="1">
        <f t="array" ref="D84">IFERROR(_xlfn.XLOOKUP(B84,Personal!$A:$A,Personal!$C:$C,""),"")</f>
        <v>MOLINA 2</v>
      </c>
      <c r="E84" s="9" t="str" cm="1">
        <f t="array" ref="E84">IFERROR(_xlfn.XLOOKUP(D84,Locales!$A:$A,Locales!$B:$B,""),"")</f>
        <v>LIMA E ICA PROVINCIA</v>
      </c>
      <c r="F84" s="9" t="str" cm="1">
        <f t="array" ref="F84">IFERROR(_xlfn.XLOOKUP(B84,Personal!$A:$A,Personal!$F:$F,""),"")</f>
        <v>PRODUCCIÓN / COCINA</v>
      </c>
      <c r="G84" s="9" t="s">
        <v>3862</v>
      </c>
      <c r="H84" s="9" t="s">
        <v>3876</v>
      </c>
      <c r="I84" s="10" cm="1">
        <f t="array" ref="I84">IFERROR(INDEX(Precios!$D:$F,MATCH(N84, Precios!$G:$G, 0),CHOOSE(MATCH(H84, {"SML";"XL";"XXL"}, 0), 1, 2, 3)), 0)</f>
        <v>7.5</v>
      </c>
      <c r="J84" s="9">
        <v>2</v>
      </c>
      <c r="K84" s="10">
        <f t="shared" si="4"/>
        <v>15</v>
      </c>
      <c r="L84" s="9" t="s">
        <v>4210</v>
      </c>
      <c r="N84" s="9" t="str">
        <f t="shared" si="5"/>
        <v>LIMA E ICA PROVINCIA|PRODUCCIÓN / COCINA|POLO 30/1 GRIS</v>
      </c>
      <c r="O84" s="9" t="str">
        <f>IF(N84="","",IF(COUNTIF(Precios!$G:$G,N84)=0,"⚠ No coincide con Precios","OK"))</f>
        <v>OK</v>
      </c>
    </row>
    <row r="85" spans="1:15" x14ac:dyDescent="0.2">
      <c r="A85" s="49">
        <v>45975</v>
      </c>
      <c r="B85" s="51" t="s">
        <v>3995</v>
      </c>
      <c r="C85" s="9" t="str" cm="1">
        <f t="array" ref="C85">IFERROR(_xlfn.XLOOKUP(B85,Personal!$A:$A,Personal!$D:$D,""),"")</f>
        <v>SOLIS CONISLLA SHAYDA JHANELY</v>
      </c>
      <c r="D85" s="9" t="str" cm="1">
        <f t="array" ref="D85">IFERROR(_xlfn.XLOOKUP(B85,Personal!$A:$A,Personal!$C:$C,""),"")</f>
        <v>ICA</v>
      </c>
      <c r="E85" s="9" t="str" cm="1">
        <f t="array" ref="E85">IFERROR(_xlfn.XLOOKUP(D85,Locales!$A:$A,Locales!$B:$B,""),"")</f>
        <v>LIMA E ICA PROVINCIA</v>
      </c>
      <c r="F85" s="9" t="str" cm="1">
        <f t="array" ref="F85">IFERROR(_xlfn.XLOOKUP(B85,Personal!$A:$A,Personal!$F:$F,""),"")</f>
        <v xml:space="preserve">CAJA </v>
      </c>
      <c r="G85" s="9" t="s">
        <v>3851</v>
      </c>
      <c r="H85" s="9" t="s">
        <v>3876</v>
      </c>
      <c r="I85" s="10" cm="1">
        <f t="array" ref="I85">IFERROR(INDEX(Precios!$D:$F,MATCH(N85, Precios!$G:$G, 0),CHOOSE(MATCH(H85, {"SML";"XL";"XXL"}, 0), 1, 2, 3)), 0)</f>
        <v>18</v>
      </c>
      <c r="J85" s="9">
        <v>2</v>
      </c>
      <c r="K85" s="10">
        <f t="shared" si="4"/>
        <v>36</v>
      </c>
      <c r="L85" s="9" t="s">
        <v>4210</v>
      </c>
      <c r="N85" s="9" t="str">
        <f t="shared" si="5"/>
        <v>LIMA E ICA PROVINCIA|CAJA|BLUSA A RALLAS AZUL</v>
      </c>
      <c r="O85" s="9" t="str">
        <f>IF(N85="","",IF(COUNTIF(Precios!$G:$G,N85)=0,"⚠ No coincide con Precios","OK"))</f>
        <v>OK</v>
      </c>
    </row>
    <row r="86" spans="1:15" x14ac:dyDescent="0.2">
      <c r="A86" s="49">
        <v>45975</v>
      </c>
      <c r="B86" s="51" t="s">
        <v>4244</v>
      </c>
      <c r="C86" s="9" t="str" cm="1">
        <f t="array" ref="C86">IFERROR(_xlfn.XLOOKUP(B86,Personal!$A:$A,Personal!$D:$D,""),"")</f>
        <v>GALA ROCA YMELDA DAVIA</v>
      </c>
      <c r="D86" s="9" t="str" cm="1">
        <f t="array" ref="D86">IFERROR(_xlfn.XLOOKUP(B86,Personal!$A:$A,Personal!$C:$C,""),"")</f>
        <v>ICA</v>
      </c>
      <c r="E86" s="9" t="str" cm="1">
        <f t="array" ref="E86">IFERROR(_xlfn.XLOOKUP(D86,Locales!$A:$A,Locales!$B:$B,""),"")</f>
        <v>LIMA E ICA PROVINCIA</v>
      </c>
      <c r="F86" s="9" t="str" cm="1">
        <f t="array" ref="F86">IFERROR(_xlfn.XLOOKUP(B86,Personal!$A:$A,Personal!$F:$F,""),"")</f>
        <v>AZAFATA</v>
      </c>
      <c r="G86" s="9" t="s">
        <v>3855</v>
      </c>
      <c r="H86" s="9" t="s">
        <v>3876</v>
      </c>
      <c r="I86" s="10" cm="1">
        <f t="array" ref="I86">IFERROR(INDEX(Precios!$D:$F,MATCH(N86, Precios!$G:$G, 0),CHOOSE(MATCH(H86, {"SML";"XL";"XXL"}, 0), 1, 2, 3)), 0)</f>
        <v>18.5</v>
      </c>
      <c r="J86" s="9">
        <v>2</v>
      </c>
      <c r="K86" s="10">
        <f t="shared" si="4"/>
        <v>37</v>
      </c>
      <c r="L86" s="9" t="s">
        <v>4210</v>
      </c>
      <c r="N86" s="9" t="str">
        <f t="shared" si="5"/>
        <v>LIMA E ICA PROVINCIA|AZAFATA|BLUSA BLANCA (MANGA LARGA)</v>
      </c>
      <c r="O86" s="9" t="str">
        <f>IF(N86="","",IF(COUNTIF(Precios!$G:$G,N86)=0,"⚠ No coincide con Precios","OK"))</f>
        <v>OK</v>
      </c>
    </row>
    <row r="87" spans="1:15" x14ac:dyDescent="0.2">
      <c r="A87" s="49">
        <v>45975</v>
      </c>
      <c r="B87" s="51" t="s">
        <v>4244</v>
      </c>
      <c r="C87" s="9" t="str" cm="1">
        <f t="array" ref="C87">IFERROR(_xlfn.XLOOKUP(B87,Personal!$A:$A,Personal!$D:$D,""),"")</f>
        <v>GALA ROCA YMELDA DAVIA</v>
      </c>
      <c r="D87" s="9" t="str" cm="1">
        <f t="array" ref="D87">IFERROR(_xlfn.XLOOKUP(B87,Personal!$A:$A,Personal!$C:$C,""),"")</f>
        <v>ICA</v>
      </c>
      <c r="E87" s="9" t="str" cm="1">
        <f t="array" ref="E87">IFERROR(_xlfn.XLOOKUP(D87,Locales!$A:$A,Locales!$B:$B,""),"")</f>
        <v>LIMA E ICA PROVINCIA</v>
      </c>
      <c r="F87" s="9" t="str" cm="1">
        <f t="array" ref="F87">IFERROR(_xlfn.XLOOKUP(B87,Personal!$A:$A,Personal!$F:$F,""),"")</f>
        <v>AZAFATA</v>
      </c>
      <c r="G87" s="9" t="s">
        <v>3853</v>
      </c>
      <c r="H87" s="9" t="s">
        <v>3876</v>
      </c>
      <c r="I87" s="10" cm="1">
        <f t="array" ref="I87">IFERROR(INDEX(Precios!$D:$F,MATCH(N87, Precios!$G:$G, 0),CHOOSE(MATCH(H87, {"SML";"XL";"XXL"}, 0), 1, 2, 3)), 0)</f>
        <v>7</v>
      </c>
      <c r="J87" s="9">
        <v>2</v>
      </c>
      <c r="K87" s="10">
        <f t="shared" si="4"/>
        <v>14</v>
      </c>
      <c r="L87" s="9" t="s">
        <v>4210</v>
      </c>
      <c r="N87" s="9" t="str">
        <f t="shared" si="5"/>
        <v>LIMA E ICA PROVINCIA|AZAFATA|MANDILON DRILL NEGRO</v>
      </c>
      <c r="O87" s="9" t="str">
        <f>IF(N87="","",IF(COUNTIF(Precios!$G:$G,N87)=0,"⚠ No coincide con Precios","OK"))</f>
        <v>OK</v>
      </c>
    </row>
    <row r="88" spans="1:15" x14ac:dyDescent="0.2">
      <c r="A88" s="49">
        <v>45975</v>
      </c>
      <c r="B88" s="51" t="s">
        <v>4244</v>
      </c>
      <c r="C88" s="9" t="str" cm="1">
        <f t="array" ref="C88">IFERROR(_xlfn.XLOOKUP(B88,Personal!$A:$A,Personal!$D:$D,""),"")</f>
        <v>GALA ROCA YMELDA DAVIA</v>
      </c>
      <c r="D88" s="9" t="str" cm="1">
        <f t="array" ref="D88">IFERROR(_xlfn.XLOOKUP(B88,Personal!$A:$A,Personal!$C:$C,""),"")</f>
        <v>ICA</v>
      </c>
      <c r="E88" s="9" t="str" cm="1">
        <f t="array" ref="E88">IFERROR(_xlfn.XLOOKUP(D88,Locales!$A:$A,Locales!$B:$B,""),"")</f>
        <v>LIMA E ICA PROVINCIA</v>
      </c>
      <c r="F88" s="9" t="str" cm="1">
        <f t="array" ref="F88">IFERROR(_xlfn.XLOOKUP(B88,Personal!$A:$A,Personal!$F:$F,""),"")</f>
        <v>AZAFATA</v>
      </c>
      <c r="G88" s="9" t="s">
        <v>3854</v>
      </c>
      <c r="H88" s="9" t="s">
        <v>3876</v>
      </c>
      <c r="I88" s="10" cm="1">
        <f t="array" ref="I88">IFERROR(INDEX(Precios!$D:$F,MATCH(N88, Precios!$G:$G, 0),CHOOSE(MATCH(H88, {"SML";"XL";"XXL"}, 0), 1, 2, 3)), 0)</f>
        <v>1.75</v>
      </c>
      <c r="J88" s="9">
        <v>2</v>
      </c>
      <c r="K88" s="10">
        <f t="shared" si="4"/>
        <v>3.5</v>
      </c>
      <c r="L88" s="9" t="s">
        <v>4210</v>
      </c>
      <c r="N88" s="9" t="str">
        <f t="shared" si="5"/>
        <v>LIMA E ICA PROVINCIA|AZAFATA|ANDARIN GRANATE</v>
      </c>
      <c r="O88" s="9" t="str">
        <f>IF(N88="","",IF(COUNTIF(Precios!$G:$G,N88)=0,"⚠ No coincide con Precios","OK"))</f>
        <v>OK</v>
      </c>
    </row>
    <row r="89" spans="1:15" x14ac:dyDescent="0.2">
      <c r="A89" s="49">
        <v>45975</v>
      </c>
      <c r="B89" s="51" t="s">
        <v>2179</v>
      </c>
      <c r="C89" s="9" t="str" cm="1">
        <f t="array" ref="C89">IFERROR(_xlfn.XLOOKUP(B89,Personal!$A:$A,Personal!$D:$D,""),"")</f>
        <v>LEVANO TASAYCO ROBERTO JAVIER</v>
      </c>
      <c r="D89" s="9" t="str" cm="1">
        <f t="array" ref="D89">IFERROR(_xlfn.XLOOKUP(B89,Personal!$A:$A,Personal!$C:$C,""),"")</f>
        <v>ICA</v>
      </c>
      <c r="E89" s="9" t="str" cm="1">
        <f t="array" ref="E89">IFERROR(_xlfn.XLOOKUP(D89,Locales!$A:$A,Locales!$B:$B,""),"")</f>
        <v>LIMA E ICA PROVINCIA</v>
      </c>
      <c r="F89" s="9" t="str" cm="1">
        <f t="array" ref="F89">IFERROR(_xlfn.XLOOKUP(B89,Personal!$A:$A,Personal!$F:$F,""),"")</f>
        <v>PRODUCCIÓN / COCINA</v>
      </c>
      <c r="G89" s="9" t="s">
        <v>3862</v>
      </c>
      <c r="H89" s="9" t="s">
        <v>3876</v>
      </c>
      <c r="I89" s="10" cm="1">
        <f t="array" ref="I89">IFERROR(INDEX(Precios!$D:$F,MATCH(N89, Precios!$G:$G, 0),CHOOSE(MATCH(H89, {"SML";"XL";"XXL"}, 0), 1, 2, 3)), 0)</f>
        <v>7.5</v>
      </c>
      <c r="J89" s="9">
        <v>2</v>
      </c>
      <c r="K89" s="10">
        <f t="shared" si="4"/>
        <v>15</v>
      </c>
      <c r="L89" s="9" t="s">
        <v>4210</v>
      </c>
      <c r="N89" s="9" t="str">
        <f t="shared" si="5"/>
        <v>LIMA E ICA PROVINCIA|PRODUCCIÓN / COCINA|POLO 30/1 GRIS</v>
      </c>
      <c r="O89" s="9" t="str">
        <f>IF(N89="","",IF(COUNTIF(Precios!$G:$G,N89)=0,"⚠ No coincide con Precios","OK"))</f>
        <v>OK</v>
      </c>
    </row>
    <row r="90" spans="1:15" x14ac:dyDescent="0.2">
      <c r="A90" s="49">
        <v>45975</v>
      </c>
      <c r="B90" s="51" t="s">
        <v>2451</v>
      </c>
      <c r="C90" s="9" t="str" cm="1">
        <f t="array" ref="C90">IFERROR(_xlfn.XLOOKUP(B90,Personal!$A:$A,Personal!$D:$D,""),"")</f>
        <v xml:space="preserve">VARGAS FERNANDEZ JAHIR ALESSANDRO </v>
      </c>
      <c r="D90" s="9" t="str" cm="1">
        <f t="array" ref="D90">IFERROR(_xlfn.XLOOKUP(B90,Personal!$A:$A,Personal!$C:$C,""),"")</f>
        <v>ICA</v>
      </c>
      <c r="E90" s="9" t="str" cm="1">
        <f t="array" ref="E90">IFERROR(_xlfn.XLOOKUP(D90,Locales!$A:$A,Locales!$B:$B,""),"")</f>
        <v>LIMA E ICA PROVINCIA</v>
      </c>
      <c r="F90" s="9" t="str" cm="1">
        <f t="array" ref="F90">IFERROR(_xlfn.XLOOKUP(B90,Personal!$A:$A,Personal!$F:$F,""),"")</f>
        <v>STAFF ADMINISTRATIVO</v>
      </c>
      <c r="G90" s="9" t="s">
        <v>4490</v>
      </c>
      <c r="H90" s="9" t="s">
        <v>3876</v>
      </c>
      <c r="I90" s="10" cm="1">
        <f t="array" ref="I90">IFERROR(INDEX(Precios!$D:$F,MATCH(N90, Precios!$G:$G, 0),CHOOSE(MATCH(H90, {"SML";"XL";"XXL"}, 0), 1, 2, 3)), 0)</f>
        <v>15</v>
      </c>
      <c r="J90" s="9">
        <v>3</v>
      </c>
      <c r="K90" s="10">
        <f t="shared" si="4"/>
        <v>45</v>
      </c>
      <c r="L90" s="9" t="s">
        <v>4210</v>
      </c>
      <c r="N90" s="9" t="str">
        <f t="shared" si="5"/>
        <v>LIMA E ICA PROVINCIA|STAFF ADMINISTRATIVO|POLO PIQUÉ PIZARRA RX, MANGA CORTA ADMI</v>
      </c>
      <c r="O90" s="9" t="str">
        <f>IF(N90="","",IF(COUNTIF(Precios!$G:$G,N90)=0,"⚠ No coincide con Precios","OK"))</f>
        <v>OK</v>
      </c>
    </row>
    <row r="91" spans="1:15" x14ac:dyDescent="0.2">
      <c r="A91" s="49">
        <v>45975</v>
      </c>
      <c r="B91" s="51" t="s">
        <v>2507</v>
      </c>
      <c r="C91" s="9" t="str" cm="1">
        <f t="array" ref="C91">IFERROR(_xlfn.XLOOKUP(B91,Personal!$A:$A,Personal!$D:$D,""),"")</f>
        <v>VIZCARRA PALIZA YASHIRA BARBARELA</v>
      </c>
      <c r="D91" s="9" t="str" cm="1">
        <f t="array" ref="D91">IFERROR(_xlfn.XLOOKUP(B91,Personal!$A:$A,Personal!$C:$C,""),"")</f>
        <v>ICA</v>
      </c>
      <c r="E91" s="9" t="str" cm="1">
        <f t="array" ref="E91">IFERROR(_xlfn.XLOOKUP(D91,Locales!$A:$A,Locales!$B:$B,""),"")</f>
        <v>LIMA E ICA PROVINCIA</v>
      </c>
      <c r="F91" s="9" t="str" cm="1">
        <f t="array" ref="F91">IFERROR(_xlfn.XLOOKUP(B91,Personal!$A:$A,Personal!$F:$F,""),"")</f>
        <v>STAFF ADMINISTRATIVO</v>
      </c>
      <c r="G91" s="9" t="s">
        <v>4490</v>
      </c>
      <c r="H91" s="9" t="s">
        <v>3876</v>
      </c>
      <c r="I91" s="10" cm="1">
        <f t="array" ref="I91">IFERROR(INDEX(Precios!$D:$F,MATCH(N91, Precios!$G:$G, 0),CHOOSE(MATCH(H91, {"SML";"XL";"XXL"}, 0), 1, 2, 3)), 0)</f>
        <v>15</v>
      </c>
      <c r="J91" s="9">
        <v>3</v>
      </c>
      <c r="K91" s="10">
        <f t="shared" si="4"/>
        <v>45</v>
      </c>
      <c r="L91" s="9" t="s">
        <v>4210</v>
      </c>
      <c r="N91" s="9" t="str">
        <f t="shared" si="5"/>
        <v>LIMA E ICA PROVINCIA|STAFF ADMINISTRATIVO|POLO PIQUÉ PIZARRA RX, MANGA CORTA ADMI</v>
      </c>
      <c r="O91" s="9" t="str">
        <f>IF(N91="","",IF(COUNTIF(Precios!$G:$G,N91)=0,"⚠ No coincide con Precios","OK"))</f>
        <v>OK</v>
      </c>
    </row>
    <row r="92" spans="1:15" x14ac:dyDescent="0.2">
      <c r="A92" s="49">
        <v>45975</v>
      </c>
      <c r="B92" s="51" t="s">
        <v>2618</v>
      </c>
      <c r="C92" s="9" t="str" cm="1">
        <f t="array" ref="C92">IFERROR(_xlfn.XLOOKUP(B92,Personal!$A:$A,Personal!$D:$D,""),"")</f>
        <v>HUAMAN HUAROTE  JOHAO RONALDO</v>
      </c>
      <c r="D92" s="9" t="str" cm="1">
        <f t="array" ref="D92">IFERROR(_xlfn.XLOOKUP(B92,Personal!$A:$A,Personal!$C:$C,""),"")</f>
        <v>ICA</v>
      </c>
      <c r="E92" s="9" t="str" cm="1">
        <f t="array" ref="E92">IFERROR(_xlfn.XLOOKUP(D92,Locales!$A:$A,Locales!$B:$B,""),"")</f>
        <v>LIMA E ICA PROVINCIA</v>
      </c>
      <c r="F92" s="9" t="str" cm="1">
        <f t="array" ref="F92">IFERROR(_xlfn.XLOOKUP(B92,Personal!$A:$A,Personal!$F:$F,""),"")</f>
        <v>STAFF ADMINISTRATIVO</v>
      </c>
      <c r="G92" s="9" t="s">
        <v>4490</v>
      </c>
      <c r="H92" s="9" t="s">
        <v>3876</v>
      </c>
      <c r="I92" s="10" cm="1">
        <f t="array" ref="I92">IFERROR(INDEX(Precios!$D:$F,MATCH(N92, Precios!$G:$G, 0),CHOOSE(MATCH(H92, {"SML";"XL";"XXL"}, 0), 1, 2, 3)), 0)</f>
        <v>15</v>
      </c>
      <c r="J92" s="9">
        <v>3</v>
      </c>
      <c r="K92" s="10">
        <f t="shared" si="4"/>
        <v>45</v>
      </c>
      <c r="L92" s="9" t="s">
        <v>4210</v>
      </c>
      <c r="N92" s="9" t="str">
        <f t="shared" si="5"/>
        <v>LIMA E ICA PROVINCIA|STAFF ADMINISTRATIVO|POLO PIQUÉ PIZARRA RX, MANGA CORTA ADMI</v>
      </c>
      <c r="O92" s="9" t="str">
        <f>IF(N92="","",IF(COUNTIF(Precios!$G:$G,N92)=0,"⚠ No coincide con Precios","OK"))</f>
        <v>OK</v>
      </c>
    </row>
    <row r="93" spans="1:15" x14ac:dyDescent="0.2">
      <c r="A93" s="49">
        <v>45975</v>
      </c>
      <c r="B93" s="51" t="s">
        <v>4273</v>
      </c>
      <c r="C93" s="9" t="str" cm="1">
        <f t="array" ref="C93">IFERROR(_xlfn.XLOOKUP(B93,Personal!$A:$A,Personal!$D:$D,""),"")</f>
        <v>ECOS ROJAS ANDRE ALESSANDRO</v>
      </c>
      <c r="D93" s="9" t="str" cm="1">
        <f t="array" ref="D93">IFERROR(_xlfn.XLOOKUP(B93,Personal!$A:$A,Personal!$C:$C,""),"")</f>
        <v>ICA</v>
      </c>
      <c r="E93" s="9" t="str" cm="1">
        <f t="array" ref="E93">IFERROR(_xlfn.XLOOKUP(D93,Locales!$A:$A,Locales!$B:$B,""),"")</f>
        <v>LIMA E ICA PROVINCIA</v>
      </c>
      <c r="F93" s="9" t="str" cm="1">
        <f t="array" ref="F93">IFERROR(_xlfn.XLOOKUP(B93,Personal!$A:$A,Personal!$F:$F,""),"")</f>
        <v>BAR</v>
      </c>
      <c r="G93" s="9" t="s">
        <v>3864</v>
      </c>
      <c r="H93" s="9" t="s">
        <v>3876</v>
      </c>
      <c r="I93" s="10" cm="1">
        <f t="array" ref="I93">IFERROR(INDEX(Precios!$D:$F,MATCH(N93, Precios!$G:$G, 0),CHOOSE(MATCH(H93, {"SML";"XL";"XXL"}, 0), 1, 2, 3)), 0)</f>
        <v>16.5</v>
      </c>
      <c r="J93" s="9">
        <v>2</v>
      </c>
      <c r="K93" s="10">
        <f t="shared" si="4"/>
        <v>33</v>
      </c>
      <c r="L93" s="9" t="s">
        <v>4210</v>
      </c>
      <c r="N93" s="9" t="str">
        <f t="shared" si="5"/>
        <v>LIMA E ICA PROVINCIA|BAR|CAMISA NEGRA MANGA CORTA</v>
      </c>
      <c r="O93" s="9" t="str">
        <f>IF(N93="","",IF(COUNTIF(Precios!$G:$G,N93)=0,"⚠ No coincide con Precios","OK"))</f>
        <v>OK</v>
      </c>
    </row>
    <row r="94" spans="1:15" x14ac:dyDescent="0.2">
      <c r="A94" s="49">
        <v>45975</v>
      </c>
      <c r="B94" s="51" t="s">
        <v>4273</v>
      </c>
      <c r="C94" s="9" t="str" cm="1">
        <f t="array" ref="C94">IFERROR(_xlfn.XLOOKUP(B94,Personal!$A:$A,Personal!$D:$D,""),"")</f>
        <v>ECOS ROJAS ANDRE ALESSANDRO</v>
      </c>
      <c r="D94" s="9" t="str" cm="1">
        <f t="array" ref="D94">IFERROR(_xlfn.XLOOKUP(B94,Personal!$A:$A,Personal!$C:$C,""),"")</f>
        <v>ICA</v>
      </c>
      <c r="E94" s="9" t="str" cm="1">
        <f t="array" ref="E94">IFERROR(_xlfn.XLOOKUP(D94,Locales!$A:$A,Locales!$B:$B,""),"")</f>
        <v>LIMA E ICA PROVINCIA</v>
      </c>
      <c r="F94" s="9" t="str" cm="1">
        <f t="array" ref="F94">IFERROR(_xlfn.XLOOKUP(B94,Personal!$A:$A,Personal!$F:$F,""),"")</f>
        <v>BAR</v>
      </c>
      <c r="G94" s="9" t="s">
        <v>3865</v>
      </c>
      <c r="H94" s="9" t="s">
        <v>3876</v>
      </c>
      <c r="I94" s="10" cm="1">
        <f t="array" ref="I94">IFERROR(INDEX(Precios!$D:$F,MATCH(N94, Precios!$G:$G, 0),CHOOSE(MATCH(H94, {"SML";"XL";"XXL"}, 0), 1, 2, 3)), 0)</f>
        <v>19.5</v>
      </c>
      <c r="J94" s="9">
        <v>2</v>
      </c>
      <c r="K94" s="10">
        <f t="shared" si="4"/>
        <v>39</v>
      </c>
      <c r="L94" s="9" t="s">
        <v>4210</v>
      </c>
      <c r="N94" s="9" t="str">
        <f t="shared" si="5"/>
        <v>LIMA E ICA PROVINCIA|BAR|PECHERA NEGRA CUERINA</v>
      </c>
      <c r="O94" s="9" t="str">
        <f>IF(N94="","",IF(COUNTIF(Precios!$G:$G,N94)=0,"⚠ No coincide con Precios","OK"))</f>
        <v>OK</v>
      </c>
    </row>
    <row r="95" spans="1:15" x14ac:dyDescent="0.2">
      <c r="A95" s="49">
        <v>45975</v>
      </c>
      <c r="B95" s="51" t="s">
        <v>4273</v>
      </c>
      <c r="C95" s="9" t="str" cm="1">
        <f t="array" ref="C95">IFERROR(_xlfn.XLOOKUP(B95,Personal!$A:$A,Personal!$D:$D,""),"")</f>
        <v>ECOS ROJAS ANDRE ALESSANDRO</v>
      </c>
      <c r="D95" s="9" t="str" cm="1">
        <f t="array" ref="D95">IFERROR(_xlfn.XLOOKUP(B95,Personal!$A:$A,Personal!$C:$C,""),"")</f>
        <v>ICA</v>
      </c>
      <c r="E95" s="9" t="str" cm="1">
        <f t="array" ref="E95">IFERROR(_xlfn.XLOOKUP(D95,Locales!$A:$A,Locales!$B:$B,""),"")</f>
        <v>LIMA E ICA PROVINCIA</v>
      </c>
      <c r="F95" s="9" t="str" cm="1">
        <f t="array" ref="F95">IFERROR(_xlfn.XLOOKUP(B95,Personal!$A:$A,Personal!$F:$F,""),"")</f>
        <v>BAR</v>
      </c>
      <c r="G95" s="9" t="s">
        <v>3862</v>
      </c>
      <c r="H95" s="9" t="s">
        <v>3876</v>
      </c>
      <c r="I95" s="10" cm="1">
        <f t="array" ref="I95">IFERROR(INDEX(Precios!$D:$F,MATCH(N95, Precios!$G:$G, 0),CHOOSE(MATCH(H95, {"SML";"XL";"XXL"}, 0), 1, 2, 3)), 0)</f>
        <v>7.5</v>
      </c>
      <c r="J95" s="9">
        <v>2</v>
      </c>
      <c r="K95" s="10">
        <f t="shared" si="4"/>
        <v>15</v>
      </c>
      <c r="L95" s="9" t="s">
        <v>4210</v>
      </c>
      <c r="N95" s="9" t="str">
        <f t="shared" si="5"/>
        <v>LIMA E ICA PROVINCIA|BAR|POLO 30/1 GRIS</v>
      </c>
      <c r="O95" s="9" t="str">
        <f>IF(N95="","",IF(COUNTIF(Precios!$G:$G,N95)=0,"⚠ No coincide con Precios","OK"))</f>
        <v>OK</v>
      </c>
    </row>
    <row r="96" spans="1:15" x14ac:dyDescent="0.2">
      <c r="A96" s="49">
        <v>45975</v>
      </c>
      <c r="B96" s="51" t="s">
        <v>2424</v>
      </c>
      <c r="C96" s="9" t="str" cm="1">
        <f t="array" ref="C96">IFERROR(_xlfn.XLOOKUP(B96,Personal!$A:$A,Personal!$D:$D,""),"")</f>
        <v>LA TORRE BERLANGA JEFERSON JESUS</v>
      </c>
      <c r="D96" s="9" t="str" cm="1">
        <f t="array" ref="D96">IFERROR(_xlfn.XLOOKUP(B96,Personal!$A:$A,Personal!$C:$C,""),"")</f>
        <v>ICA</v>
      </c>
      <c r="E96" s="9" t="str" cm="1">
        <f t="array" ref="E96">IFERROR(_xlfn.XLOOKUP(D96,Locales!$A:$A,Locales!$B:$B,""),"")</f>
        <v>LIMA E ICA PROVINCIA</v>
      </c>
      <c r="F96" s="9" t="str" cm="1">
        <f t="array" ref="F96">IFERROR(_xlfn.XLOOKUP(B96,Personal!$A:$A,Personal!$F:$F,""),"")</f>
        <v>MOTORIZADO</v>
      </c>
      <c r="G96" s="9" t="s">
        <v>4217</v>
      </c>
      <c r="H96" s="9" t="s">
        <v>3876</v>
      </c>
      <c r="I96" s="10" cm="1">
        <f t="array" ref="I96">IFERROR(INDEX(Precios!$D:$F,MATCH(N96, Precios!$G:$G, 0),CHOOSE(MATCH(H96, {"SML";"XL";"XXL"}, 0), 1, 2, 3)), 0)</f>
        <v>17</v>
      </c>
      <c r="J96" s="9">
        <v>2</v>
      </c>
      <c r="K96" s="10">
        <f t="shared" si="4"/>
        <v>34</v>
      </c>
      <c r="L96" s="9" t="s">
        <v>4210</v>
      </c>
      <c r="N96" s="9" t="str">
        <f t="shared" si="5"/>
        <v>LIMA E ICA PROVINCIA|MOTORIZADO|POLO PIQUÉ PLOMO, MANGA LARGA MOTORIZADO</v>
      </c>
      <c r="O96" s="9" t="str">
        <f>IF(N96="","",IF(COUNTIF(Precios!$G:$G,N96)=0,"⚠ No coincide con Precios","OK"))</f>
        <v>OK</v>
      </c>
    </row>
    <row r="97" spans="1:15" x14ac:dyDescent="0.2">
      <c r="A97" s="49">
        <v>45975</v>
      </c>
      <c r="B97" s="51" t="s">
        <v>4242</v>
      </c>
      <c r="C97" s="9" t="str" cm="1">
        <f t="array" ref="C97">IFERROR(_xlfn.XLOOKUP(B97,Personal!$A:$A,Personal!$D:$D,""),"")</f>
        <v>HERRERA  MARQUEZ JOSE FABRISIO FARID</v>
      </c>
      <c r="D97" s="9" t="str" cm="1">
        <f t="array" ref="D97">IFERROR(_xlfn.XLOOKUP(B97,Personal!$A:$A,Personal!$C:$C,""),"")</f>
        <v>ICA</v>
      </c>
      <c r="E97" s="9" t="str" cm="1">
        <f t="array" ref="E97">IFERROR(_xlfn.XLOOKUP(D97,Locales!$A:$A,Locales!$B:$B,""),"")</f>
        <v>LIMA E ICA PROVINCIA</v>
      </c>
      <c r="F97" s="9" t="str" cm="1">
        <f t="array" ref="F97">IFERROR(_xlfn.XLOOKUP(B97,Personal!$A:$A,Personal!$F:$F,""),"")</f>
        <v>MOTORIZADO</v>
      </c>
      <c r="G97" s="9" t="s">
        <v>4217</v>
      </c>
      <c r="H97" s="9" t="s">
        <v>3876</v>
      </c>
      <c r="I97" s="10" cm="1">
        <f t="array" ref="I97">IFERROR(INDEX(Precios!$D:$F,MATCH(N97, Precios!$G:$G, 0),CHOOSE(MATCH(H97, {"SML";"XL";"XXL"}, 0), 1, 2, 3)), 0)</f>
        <v>17</v>
      </c>
      <c r="J97" s="9">
        <v>2</v>
      </c>
      <c r="K97" s="10">
        <f t="shared" si="4"/>
        <v>34</v>
      </c>
      <c r="L97" s="9" t="s">
        <v>4210</v>
      </c>
      <c r="N97" s="9" t="str">
        <f t="shared" si="5"/>
        <v>LIMA E ICA PROVINCIA|MOTORIZADO|POLO PIQUÉ PLOMO, MANGA LARGA MOTORIZADO</v>
      </c>
      <c r="O97" s="9" t="str">
        <f>IF(N97="","",IF(COUNTIF(Precios!$G:$G,N97)=0,"⚠ No coincide con Precios","OK"))</f>
        <v>OK</v>
      </c>
    </row>
    <row r="98" spans="1:15" x14ac:dyDescent="0.2">
      <c r="A98" s="49">
        <v>45975</v>
      </c>
      <c r="B98" s="51" t="s">
        <v>4242</v>
      </c>
      <c r="C98" s="9" t="str" cm="1">
        <f t="array" ref="C98">IFERROR(_xlfn.XLOOKUP(B98,Personal!$A:$A,Personal!$D:$D,""),"")</f>
        <v>HERRERA  MARQUEZ JOSE FABRISIO FARID</v>
      </c>
      <c r="D98" s="9" t="str" cm="1">
        <f t="array" ref="D98">IFERROR(_xlfn.XLOOKUP(B98,Personal!$A:$A,Personal!$C:$C,""),"")</f>
        <v>ICA</v>
      </c>
      <c r="E98" s="9" t="str" cm="1">
        <f t="array" ref="E98">IFERROR(_xlfn.XLOOKUP(D98,Locales!$A:$A,Locales!$B:$B,""),"")</f>
        <v>LIMA E ICA PROVINCIA</v>
      </c>
      <c r="F98" s="9" t="str" cm="1">
        <f t="array" ref="F98">IFERROR(_xlfn.XLOOKUP(B98,Personal!$A:$A,Personal!$F:$F,""),"")</f>
        <v>MOTORIZADO</v>
      </c>
      <c r="G98" s="9" t="s">
        <v>4229</v>
      </c>
      <c r="H98" s="9" t="s">
        <v>3876</v>
      </c>
      <c r="I98" s="10" cm="1">
        <f t="array" ref="I98">IFERROR(INDEX(Precios!$D:$F,MATCH(N98, Precios!$G:$G, 0),CHOOSE(MATCH(H98, {"SML";"XL";"XXL"}, 0), 1, 2, 3)), 0)</f>
        <v>39</v>
      </c>
      <c r="J98" s="9">
        <v>1</v>
      </c>
      <c r="K98" s="10">
        <f t="shared" si="4"/>
        <v>39</v>
      </c>
      <c r="L98" s="9" t="s">
        <v>4210</v>
      </c>
      <c r="N98" s="9" t="str">
        <f t="shared" si="5"/>
        <v>LIMA E ICA PROVINCIA|MOTORIZADO|CASACA NEGRA CON REFLECTIVOS MOTORIZADO</v>
      </c>
      <c r="O98" s="9" t="str">
        <f>IF(N98="","",IF(COUNTIF(Precios!$G:$G,N98)=0,"⚠ No coincide con Precios","OK"))</f>
        <v>OK</v>
      </c>
    </row>
    <row r="99" spans="1:15" x14ac:dyDescent="0.2">
      <c r="A99" s="49">
        <v>45975</v>
      </c>
      <c r="B99" s="51" t="s">
        <v>4272</v>
      </c>
      <c r="C99" s="9" t="str" cm="1">
        <f t="array" ref="C99">IFERROR(_xlfn.XLOOKUP(B99,Personal!$A:$A,Personal!$D:$D,""),"")</f>
        <v>SOTELO PACHACUTE MIGUEL ANGEL</v>
      </c>
      <c r="D99" s="9" t="str" cm="1">
        <f t="array" ref="D99">IFERROR(_xlfn.XLOOKUP(B99,Personal!$A:$A,Personal!$C:$C,""),"")</f>
        <v>ICA</v>
      </c>
      <c r="E99" s="9" t="str" cm="1">
        <f t="array" ref="E99">IFERROR(_xlfn.XLOOKUP(D99,Locales!$A:$A,Locales!$B:$B,""),"")</f>
        <v>LIMA E ICA PROVINCIA</v>
      </c>
      <c r="F99" s="9" t="str" cm="1">
        <f t="array" ref="F99">IFERROR(_xlfn.XLOOKUP(B99,Personal!$A:$A,Personal!$F:$F,""),"")</f>
        <v>MOTORIZADO</v>
      </c>
      <c r="G99" s="9" t="s">
        <v>4217</v>
      </c>
      <c r="H99" s="9" t="s">
        <v>3876</v>
      </c>
      <c r="I99" s="10" cm="1">
        <f t="array" ref="I99">IFERROR(INDEX(Precios!$D:$F,MATCH(N99, Precios!$G:$G, 0),CHOOSE(MATCH(H99, {"SML";"XL";"XXL"}, 0), 1, 2, 3)), 0)</f>
        <v>17</v>
      </c>
      <c r="J99" s="9">
        <v>2</v>
      </c>
      <c r="K99" s="10">
        <f t="shared" si="4"/>
        <v>34</v>
      </c>
      <c r="L99" s="9" t="s">
        <v>4210</v>
      </c>
      <c r="N99" s="9" t="str">
        <f t="shared" si="5"/>
        <v>LIMA E ICA PROVINCIA|MOTORIZADO|POLO PIQUÉ PLOMO, MANGA LARGA MOTORIZADO</v>
      </c>
      <c r="O99" s="9" t="str">
        <f>IF(N99="","",IF(COUNTIF(Precios!$G:$G,N99)=0,"⚠ No coincide con Precios","OK"))</f>
        <v>OK</v>
      </c>
    </row>
    <row r="100" spans="1:15" x14ac:dyDescent="0.2">
      <c r="A100" s="49">
        <v>45975</v>
      </c>
      <c r="B100" s="51" t="s">
        <v>4272</v>
      </c>
      <c r="C100" s="9" t="str" cm="1">
        <f t="array" ref="C100">IFERROR(_xlfn.XLOOKUP(B100,Personal!$A:$A,Personal!$D:$D,""),"")</f>
        <v>SOTELO PACHACUTE MIGUEL ANGEL</v>
      </c>
      <c r="D100" s="9" t="str" cm="1">
        <f t="array" ref="D100">IFERROR(_xlfn.XLOOKUP(B100,Personal!$A:$A,Personal!$C:$C,""),"")</f>
        <v>ICA</v>
      </c>
      <c r="E100" s="9" t="str" cm="1">
        <f t="array" ref="E100">IFERROR(_xlfn.XLOOKUP(D100,Locales!$A:$A,Locales!$B:$B,""),"")</f>
        <v>LIMA E ICA PROVINCIA</v>
      </c>
      <c r="F100" s="9" t="str" cm="1">
        <f t="array" ref="F100">IFERROR(_xlfn.XLOOKUP(B100,Personal!$A:$A,Personal!$F:$F,""),"")</f>
        <v>MOTORIZADO</v>
      </c>
      <c r="G100" s="9" t="s">
        <v>4229</v>
      </c>
      <c r="H100" s="9" t="s">
        <v>3876</v>
      </c>
      <c r="I100" s="10" cm="1">
        <f t="array" ref="I100">IFERROR(INDEX(Precios!$D:$F,MATCH(N100, Precios!$G:$G, 0),CHOOSE(MATCH(H100, {"SML";"XL";"XXL"}, 0), 1, 2, 3)), 0)</f>
        <v>39</v>
      </c>
      <c r="J100" s="9">
        <v>1</v>
      </c>
      <c r="K100" s="10">
        <f t="shared" si="4"/>
        <v>39</v>
      </c>
      <c r="L100" s="9" t="s">
        <v>4210</v>
      </c>
      <c r="N100" s="9" t="str">
        <f t="shared" si="5"/>
        <v>LIMA E ICA PROVINCIA|MOTORIZADO|CASACA NEGRA CON REFLECTIVOS MOTORIZADO</v>
      </c>
      <c r="O100" s="9" t="str">
        <f>IF(N100="","",IF(COUNTIF(Precios!$G:$G,N100)=0,"⚠ No coincide con Precios","OK"))</f>
        <v>OK</v>
      </c>
    </row>
    <row r="101" spans="1:15" x14ac:dyDescent="0.2">
      <c r="A101" s="49">
        <v>45975</v>
      </c>
      <c r="B101" s="51" t="s">
        <v>4272</v>
      </c>
      <c r="C101" s="9" t="str" cm="1">
        <f t="array" ref="C101">IFERROR(_xlfn.XLOOKUP(B101,Personal!$A:$A,Personal!$D:$D,""),"")</f>
        <v>SOTELO PACHACUTE MIGUEL ANGEL</v>
      </c>
      <c r="D101" s="9" t="str" cm="1">
        <f t="array" ref="D101">IFERROR(_xlfn.XLOOKUP(B101,Personal!$A:$A,Personal!$C:$C,""),"")</f>
        <v>ICA</v>
      </c>
      <c r="E101" s="9" t="str" cm="1">
        <f t="array" ref="E101">IFERROR(_xlfn.XLOOKUP(D101,Locales!$A:$A,Locales!$B:$B,""),"")</f>
        <v>LIMA E ICA PROVINCIA</v>
      </c>
      <c r="F101" s="9" t="str" cm="1">
        <f t="array" ref="F101">IFERROR(_xlfn.XLOOKUP(B101,Personal!$A:$A,Personal!$F:$F,""),"")</f>
        <v>MOTORIZADO</v>
      </c>
      <c r="G101" s="9" t="s">
        <v>4219</v>
      </c>
      <c r="H101" s="9" t="s">
        <v>3876</v>
      </c>
      <c r="I101" s="10" cm="1">
        <f t="array" ref="I101">IFERROR(INDEX(Precios!$D:$F,MATCH(N101, Precios!$G:$G, 0),CHOOSE(MATCH(H101, {"SML";"XL";"XXL"}, 0), 1, 2, 3)), 0)</f>
        <v>5</v>
      </c>
      <c r="J101" s="9">
        <v>2</v>
      </c>
      <c r="K101" s="10">
        <f t="shared" si="4"/>
        <v>10</v>
      </c>
      <c r="L101" s="9" t="s">
        <v>4210</v>
      </c>
      <c r="N101" s="9" t="str">
        <f t="shared" si="5"/>
        <v>LIMA E ICA PROVINCIA|MOTORIZADO|GORRO NEGRO MOTORIZADO</v>
      </c>
      <c r="O101" s="9" t="str">
        <f>IF(N101="","",IF(COUNTIF(Precios!$G:$G,N101)=0,"⚠ No coincide con Precios","OK"))</f>
        <v>OK</v>
      </c>
    </row>
    <row r="102" spans="1:15" x14ac:dyDescent="0.2">
      <c r="A102" s="49">
        <v>45987</v>
      </c>
      <c r="B102" s="51" t="s">
        <v>366</v>
      </c>
      <c r="C102" s="9" t="str" cm="1">
        <f t="array" ref="C102">IFERROR(_xlfn.XLOOKUP(B102,Personal!$A:$A,Personal!$D:$D,""),"")</f>
        <v>ELORREAGA REVILLA MARCO ANTONIO</v>
      </c>
      <c r="D102" s="9" t="str" cm="1">
        <f t="array" ref="D102">IFERROR(_xlfn.XLOOKUP(B102,Personal!$A:$A,Personal!$C:$C,""),"")</f>
        <v>MIRAFLORES</v>
      </c>
      <c r="E102" s="9" t="str" cm="1">
        <f t="array" ref="E102">IFERROR(_xlfn.XLOOKUP(D102,Locales!$A:$A,Locales!$B:$B,""),"")</f>
        <v>LIMA E ICA PROVINCIA</v>
      </c>
      <c r="F102" s="9" t="str" cm="1">
        <f t="array" ref="F102">IFERROR(_xlfn.XLOOKUP(B102,Personal!$A:$A,Personal!$F:$F,""),"")</f>
        <v>PRODUCCIÓN / COCINA</v>
      </c>
      <c r="G102" s="9" t="s">
        <v>47</v>
      </c>
      <c r="H102" s="9" t="s">
        <v>3876</v>
      </c>
      <c r="I102" s="10" cm="1">
        <f t="array" ref="I102">IFERROR(INDEX(Precios!$D:$F,MATCH(N102, Precios!$G:$G, 0),CHOOSE(MATCH(H102, {"SML";"XL";"XXL"}, 0), 1, 2, 3)), 0)</f>
        <v>16.25</v>
      </c>
      <c r="J102" s="9">
        <v>2</v>
      </c>
      <c r="K102" s="10">
        <f t="shared" si="4"/>
        <v>32.5</v>
      </c>
      <c r="L102" s="9" t="s">
        <v>4210</v>
      </c>
      <c r="N102" s="9" t="str">
        <f t="shared" si="5"/>
        <v>LIMA E ICA PROVINCIA|PRODUCCIÓN / COCINA|CHAQUETA DRILL BLANCO</v>
      </c>
      <c r="O102" s="9" t="str">
        <f>IF(N102="","",IF(COUNTIF(Precios!$G:$G,N102)=0,"⚠ No coincide con Precios","OK"))</f>
        <v>OK</v>
      </c>
    </row>
    <row r="103" spans="1:15" x14ac:dyDescent="0.2">
      <c r="A103" s="49">
        <v>45987</v>
      </c>
      <c r="B103" s="51" t="s">
        <v>366</v>
      </c>
      <c r="C103" s="9" t="str" cm="1">
        <f t="array" ref="C103">IFERROR(_xlfn.XLOOKUP(B103,Personal!$A:$A,Personal!$D:$D,""),"")</f>
        <v>ELORREAGA REVILLA MARCO ANTONIO</v>
      </c>
      <c r="D103" s="9" t="str" cm="1">
        <f t="array" ref="D103">IFERROR(_xlfn.XLOOKUP(B103,Personal!$A:$A,Personal!$C:$C,""),"")</f>
        <v>MIRAFLORES</v>
      </c>
      <c r="E103" s="9" t="str" cm="1">
        <f t="array" ref="E103">IFERROR(_xlfn.XLOOKUP(D103,Locales!$A:$A,Locales!$B:$B,""),"")</f>
        <v>LIMA E ICA PROVINCIA</v>
      </c>
      <c r="F103" s="9" t="str" cm="1">
        <f t="array" ref="F103">IFERROR(_xlfn.XLOOKUP(B103,Personal!$A:$A,Personal!$F:$F,""),"")</f>
        <v>PRODUCCIÓN / COCINA</v>
      </c>
      <c r="G103" s="9" t="s">
        <v>3867</v>
      </c>
      <c r="H103" s="9" t="s">
        <v>3876</v>
      </c>
      <c r="I103" s="10" cm="1">
        <f t="array" ref="I103">IFERROR(INDEX(Precios!$D:$F,MATCH(N103, Precios!$G:$G, 0),CHOOSE(MATCH(H103, {"SML";"XL";"XXL"}, 0), 1, 2, 3)), 0)</f>
        <v>11</v>
      </c>
      <c r="J103" s="9">
        <v>2</v>
      </c>
      <c r="K103" s="10">
        <f t="shared" si="4"/>
        <v>22</v>
      </c>
      <c r="L103" s="9" t="s">
        <v>4210</v>
      </c>
      <c r="N103" s="9" t="str">
        <f t="shared" si="5"/>
        <v>LIMA E ICA PROVINCIA|PRODUCCIÓN / COCINA|PANTALÓN SAL Y PIMIENTA</v>
      </c>
      <c r="O103" s="9" t="str">
        <f>IF(N103="","",IF(COUNTIF(Precios!$G:$G,N103)=0,"⚠ No coincide con Precios","OK"))</f>
        <v>OK</v>
      </c>
    </row>
    <row r="104" spans="1:15" x14ac:dyDescent="0.2">
      <c r="A104" s="49">
        <v>45987</v>
      </c>
      <c r="B104" s="51" t="s">
        <v>366</v>
      </c>
      <c r="C104" s="9" t="str" cm="1">
        <f t="array" ref="C104">IFERROR(_xlfn.XLOOKUP(B104,Personal!$A:$A,Personal!$D:$D,""),"")</f>
        <v>ELORREAGA REVILLA MARCO ANTONIO</v>
      </c>
      <c r="D104" s="9" t="str" cm="1">
        <f t="array" ref="D104">IFERROR(_xlfn.XLOOKUP(B104,Personal!$A:$A,Personal!$C:$C,""),"")</f>
        <v>MIRAFLORES</v>
      </c>
      <c r="E104" s="9" t="str" cm="1">
        <f t="array" ref="E104">IFERROR(_xlfn.XLOOKUP(D104,Locales!$A:$A,Locales!$B:$B,""),"")</f>
        <v>LIMA E ICA PROVINCIA</v>
      </c>
      <c r="F104" s="9" t="str" cm="1">
        <f t="array" ref="F104">IFERROR(_xlfn.XLOOKUP(B104,Personal!$A:$A,Personal!$F:$F,""),"")</f>
        <v>PRODUCCIÓN / COCINA</v>
      </c>
      <c r="G104" s="9" t="s">
        <v>3868</v>
      </c>
      <c r="H104" s="9" t="s">
        <v>3876</v>
      </c>
      <c r="I104" s="10" cm="1">
        <f t="array" ref="I104">IFERROR(INDEX(Precios!$D:$F,MATCH(N104, Precios!$G:$G, 0),CHOOSE(MATCH(H104, {"SML";"XL";"XXL"}, 0), 1, 2, 3)), 0)</f>
        <v>6.5</v>
      </c>
      <c r="J104" s="9">
        <v>2</v>
      </c>
      <c r="K104" s="10">
        <f t="shared" si="4"/>
        <v>13</v>
      </c>
      <c r="L104" s="9" t="s">
        <v>4210</v>
      </c>
      <c r="N104" s="9" t="str">
        <f t="shared" si="5"/>
        <v>LIMA E ICA PROVINCIA|PRODUCCIÓN / COCINA|PECHERA GRIS EN DRILL</v>
      </c>
      <c r="O104" s="9" t="str">
        <f>IF(N104="","",IF(COUNTIF(Precios!$G:$G,N104)=0,"⚠ No coincide con Precios","OK"))</f>
        <v>OK</v>
      </c>
    </row>
    <row r="105" spans="1:15" x14ac:dyDescent="0.2">
      <c r="A105" s="49">
        <v>45987</v>
      </c>
      <c r="B105" s="51" t="s">
        <v>366</v>
      </c>
      <c r="C105" s="9" t="str" cm="1">
        <f t="array" ref="C105">IFERROR(_xlfn.XLOOKUP(B105,Personal!$A:$A,Personal!$D:$D,""),"")</f>
        <v>ELORREAGA REVILLA MARCO ANTONIO</v>
      </c>
      <c r="D105" s="9" t="str" cm="1">
        <f t="array" ref="D105">IFERROR(_xlfn.XLOOKUP(B105,Personal!$A:$A,Personal!$C:$C,""),"")</f>
        <v>MIRAFLORES</v>
      </c>
      <c r="E105" s="9" t="str" cm="1">
        <f t="array" ref="E105">IFERROR(_xlfn.XLOOKUP(D105,Locales!$A:$A,Locales!$B:$B,""),"")</f>
        <v>LIMA E ICA PROVINCIA</v>
      </c>
      <c r="F105" s="9" t="str" cm="1">
        <f t="array" ref="F105">IFERROR(_xlfn.XLOOKUP(B105,Personal!$A:$A,Personal!$F:$F,""),"")</f>
        <v>PRODUCCIÓN / COCINA</v>
      </c>
      <c r="G105" s="9" t="s">
        <v>3869</v>
      </c>
      <c r="H105" s="9" t="s">
        <v>3876</v>
      </c>
      <c r="I105" s="10" cm="1">
        <f t="array" ref="I105">IFERROR(INDEX(Precios!$D:$F,MATCH(N105, Precios!$G:$G, 0),CHOOSE(MATCH(H105, {"SML";"XL";"XXL"}, 0), 1, 2, 3)), 0)</f>
        <v>4.5</v>
      </c>
      <c r="J105" s="9">
        <v>2</v>
      </c>
      <c r="K105" s="10">
        <f t="shared" si="4"/>
        <v>9</v>
      </c>
      <c r="L105" s="9" t="s">
        <v>4210</v>
      </c>
      <c r="N105" s="9" t="str">
        <f t="shared" si="5"/>
        <v>LIMA E ICA PROVINCIA|PRODUCCIÓN / COCINA|GARIBALDI GRIS</v>
      </c>
      <c r="O105" s="9" t="str">
        <f>IF(N105="","",IF(COUNTIF(Precios!$G:$G,N105)=0,"⚠ No coincide con Precios","OK"))</f>
        <v>OK</v>
      </c>
    </row>
    <row r="106" spans="1:15" x14ac:dyDescent="0.2">
      <c r="A106" s="49">
        <v>45987</v>
      </c>
      <c r="B106" s="51" t="s">
        <v>366</v>
      </c>
      <c r="C106" s="9" t="str" cm="1">
        <f t="array" ref="C106">IFERROR(_xlfn.XLOOKUP(B106,Personal!$A:$A,Personal!$D:$D,""),"")</f>
        <v>ELORREAGA REVILLA MARCO ANTONIO</v>
      </c>
      <c r="D106" s="9" t="str" cm="1">
        <f t="array" ref="D106">IFERROR(_xlfn.XLOOKUP(B106,Personal!$A:$A,Personal!$C:$C,""),"")</f>
        <v>MIRAFLORES</v>
      </c>
      <c r="E106" s="9" t="str" cm="1">
        <f t="array" ref="E106">IFERROR(_xlfn.XLOOKUP(D106,Locales!$A:$A,Locales!$B:$B,""),"")</f>
        <v>LIMA E ICA PROVINCIA</v>
      </c>
      <c r="F106" s="9" t="str" cm="1">
        <f t="array" ref="F106">IFERROR(_xlfn.XLOOKUP(B106,Personal!$A:$A,Personal!$F:$F,""),"")</f>
        <v>PRODUCCIÓN / COCINA</v>
      </c>
      <c r="G106" s="9" t="s">
        <v>3862</v>
      </c>
      <c r="H106" s="9" t="s">
        <v>3876</v>
      </c>
      <c r="I106" s="10" cm="1">
        <f t="array" ref="I106">IFERROR(INDEX(Precios!$D:$F,MATCH(N106, Precios!$G:$G, 0),CHOOSE(MATCH(H106, {"SML";"XL";"XXL"}, 0), 1, 2, 3)), 0)</f>
        <v>7.5</v>
      </c>
      <c r="J106" s="9">
        <v>2</v>
      </c>
      <c r="K106" s="10">
        <f t="shared" si="4"/>
        <v>15</v>
      </c>
      <c r="L106" s="9" t="s">
        <v>4210</v>
      </c>
      <c r="N106" s="9" t="str">
        <f t="shared" si="5"/>
        <v>LIMA E ICA PROVINCIA|PRODUCCIÓN / COCINA|POLO 30/1 GRIS</v>
      </c>
      <c r="O106" s="9" t="str">
        <f>IF(N106="","",IF(COUNTIF(Precios!$G:$G,N106)=0,"⚠ No coincide con Precios","OK"))</f>
        <v>OK</v>
      </c>
    </row>
    <row r="107" spans="1:15" x14ac:dyDescent="0.2">
      <c r="A107" s="49">
        <v>45987</v>
      </c>
      <c r="B107" s="51" t="s">
        <v>236</v>
      </c>
      <c r="C107" s="9" t="str" cm="1">
        <f t="array" ref="C107">IFERROR(_xlfn.XLOOKUP(B107,Personal!$A:$A,Personal!$D:$D,""),"")</f>
        <v>AZURIN LUQUE RUDY JOSIAS</v>
      </c>
      <c r="D107" s="9" t="str" cm="1">
        <f t="array" ref="D107">IFERROR(_xlfn.XLOOKUP(B107,Personal!$A:$A,Personal!$C:$C,""),"")</f>
        <v>MIRAFLORES</v>
      </c>
      <c r="E107" s="9" t="str" cm="1">
        <f t="array" ref="E107">IFERROR(_xlfn.XLOOKUP(D107,Locales!$A:$A,Locales!$B:$B,""),"")</f>
        <v>LIMA E ICA PROVINCIA</v>
      </c>
      <c r="F107" s="9" t="str" cm="1">
        <f t="array" ref="F107">IFERROR(_xlfn.XLOOKUP(B107,Personal!$A:$A,Personal!$F:$F,""),"")</f>
        <v>PRODUCCIÓN / COCINA</v>
      </c>
      <c r="G107" s="9" t="s">
        <v>47</v>
      </c>
      <c r="H107" s="9" t="s">
        <v>3876</v>
      </c>
      <c r="I107" s="10" cm="1">
        <f t="array" ref="I107">IFERROR(INDEX(Precios!$D:$F,MATCH(N107, Precios!$G:$G, 0),CHOOSE(MATCH(H107, {"SML";"XL";"XXL"}, 0), 1, 2, 3)), 0)</f>
        <v>16.25</v>
      </c>
      <c r="J107" s="9">
        <v>2</v>
      </c>
      <c r="K107" s="10">
        <f t="shared" si="4"/>
        <v>32.5</v>
      </c>
      <c r="L107" s="9" t="s">
        <v>4210</v>
      </c>
      <c r="N107" s="9" t="str">
        <f t="shared" si="5"/>
        <v>LIMA E ICA PROVINCIA|PRODUCCIÓN / COCINA|CHAQUETA DRILL BLANCO</v>
      </c>
      <c r="O107" s="9" t="str">
        <f>IF(N107="","",IF(COUNTIF(Precios!$G:$G,N107)=0,"⚠ No coincide con Precios","OK"))</f>
        <v>OK</v>
      </c>
    </row>
    <row r="108" spans="1:15" x14ac:dyDescent="0.2">
      <c r="A108" s="49">
        <v>45987</v>
      </c>
      <c r="B108" s="51" t="s">
        <v>236</v>
      </c>
      <c r="C108" s="9" t="str" cm="1">
        <f t="array" ref="C108">IFERROR(_xlfn.XLOOKUP(B108,Personal!$A:$A,Personal!$D:$D,""),"")</f>
        <v>AZURIN LUQUE RUDY JOSIAS</v>
      </c>
      <c r="D108" s="9" t="str" cm="1">
        <f t="array" ref="D108">IFERROR(_xlfn.XLOOKUP(B108,Personal!$A:$A,Personal!$C:$C,""),"")</f>
        <v>MIRAFLORES</v>
      </c>
      <c r="E108" s="9" t="str" cm="1">
        <f t="array" ref="E108">IFERROR(_xlfn.XLOOKUP(D108,Locales!$A:$A,Locales!$B:$B,""),"")</f>
        <v>LIMA E ICA PROVINCIA</v>
      </c>
      <c r="F108" s="9" t="str" cm="1">
        <f t="array" ref="F108">IFERROR(_xlfn.XLOOKUP(B108,Personal!$A:$A,Personal!$F:$F,""),"")</f>
        <v>PRODUCCIÓN / COCINA</v>
      </c>
      <c r="G108" s="9" t="s">
        <v>3867</v>
      </c>
      <c r="H108" s="9" t="s">
        <v>3876</v>
      </c>
      <c r="I108" s="10" cm="1">
        <f t="array" ref="I108">IFERROR(INDEX(Precios!$D:$F,MATCH(N108, Precios!$G:$G, 0),CHOOSE(MATCH(H108, {"SML";"XL";"XXL"}, 0), 1, 2, 3)), 0)</f>
        <v>11</v>
      </c>
      <c r="J108" s="9">
        <v>2</v>
      </c>
      <c r="K108" s="10">
        <f t="shared" si="4"/>
        <v>22</v>
      </c>
      <c r="L108" s="9" t="s">
        <v>4210</v>
      </c>
      <c r="N108" s="9" t="str">
        <f t="shared" si="5"/>
        <v>LIMA E ICA PROVINCIA|PRODUCCIÓN / COCINA|PANTALÓN SAL Y PIMIENTA</v>
      </c>
      <c r="O108" s="9" t="str">
        <f>IF(N108="","",IF(COUNTIF(Precios!$G:$G,N108)=0,"⚠ No coincide con Precios","OK"))</f>
        <v>OK</v>
      </c>
    </row>
    <row r="109" spans="1:15" x14ac:dyDescent="0.2">
      <c r="A109" s="49">
        <v>45987</v>
      </c>
      <c r="B109" s="51" t="s">
        <v>236</v>
      </c>
      <c r="C109" s="9" t="str" cm="1">
        <f t="array" ref="C109">IFERROR(_xlfn.XLOOKUP(B109,Personal!$A:$A,Personal!$D:$D,""),"")</f>
        <v>AZURIN LUQUE RUDY JOSIAS</v>
      </c>
      <c r="D109" s="9" t="str" cm="1">
        <f t="array" ref="D109">IFERROR(_xlfn.XLOOKUP(B109,Personal!$A:$A,Personal!$C:$C,""),"")</f>
        <v>MIRAFLORES</v>
      </c>
      <c r="E109" s="9" t="str" cm="1">
        <f t="array" ref="E109">IFERROR(_xlfn.XLOOKUP(D109,Locales!$A:$A,Locales!$B:$B,""),"")</f>
        <v>LIMA E ICA PROVINCIA</v>
      </c>
      <c r="F109" s="9" t="str" cm="1">
        <f t="array" ref="F109">IFERROR(_xlfn.XLOOKUP(B109,Personal!$A:$A,Personal!$F:$F,""),"")</f>
        <v>PRODUCCIÓN / COCINA</v>
      </c>
      <c r="G109" s="9" t="s">
        <v>3868</v>
      </c>
      <c r="H109" s="9" t="s">
        <v>3876</v>
      </c>
      <c r="I109" s="10" cm="1">
        <f t="array" ref="I109">IFERROR(INDEX(Precios!$D:$F,MATCH(N109, Precios!$G:$G, 0),CHOOSE(MATCH(H109, {"SML";"XL";"XXL"}, 0), 1, 2, 3)), 0)</f>
        <v>6.5</v>
      </c>
      <c r="J109" s="9">
        <v>2</v>
      </c>
      <c r="K109" s="10">
        <f t="shared" si="4"/>
        <v>13</v>
      </c>
      <c r="L109" s="9" t="s">
        <v>4210</v>
      </c>
      <c r="N109" s="9" t="str">
        <f t="shared" si="5"/>
        <v>LIMA E ICA PROVINCIA|PRODUCCIÓN / COCINA|PECHERA GRIS EN DRILL</v>
      </c>
      <c r="O109" s="9" t="str">
        <f>IF(N109="","",IF(COUNTIF(Precios!$G:$G,N109)=0,"⚠ No coincide con Precios","OK"))</f>
        <v>OK</v>
      </c>
    </row>
    <row r="110" spans="1:15" x14ac:dyDescent="0.2">
      <c r="A110" s="49">
        <v>45987</v>
      </c>
      <c r="B110" s="51" t="s">
        <v>236</v>
      </c>
      <c r="C110" s="9" t="str" cm="1">
        <f t="array" ref="C110">IFERROR(_xlfn.XLOOKUP(B110,Personal!$A:$A,Personal!$D:$D,""),"")</f>
        <v>AZURIN LUQUE RUDY JOSIAS</v>
      </c>
      <c r="D110" s="9" t="str" cm="1">
        <f t="array" ref="D110">IFERROR(_xlfn.XLOOKUP(B110,Personal!$A:$A,Personal!$C:$C,""),"")</f>
        <v>MIRAFLORES</v>
      </c>
      <c r="E110" s="9" t="str" cm="1">
        <f t="array" ref="E110">IFERROR(_xlfn.XLOOKUP(D110,Locales!$A:$A,Locales!$B:$B,""),"")</f>
        <v>LIMA E ICA PROVINCIA</v>
      </c>
      <c r="F110" s="9" t="str" cm="1">
        <f t="array" ref="F110">IFERROR(_xlfn.XLOOKUP(B110,Personal!$A:$A,Personal!$F:$F,""),"")</f>
        <v>PRODUCCIÓN / COCINA</v>
      </c>
      <c r="G110" s="9" t="s">
        <v>3869</v>
      </c>
      <c r="H110" s="9" t="s">
        <v>3876</v>
      </c>
      <c r="I110" s="10" cm="1">
        <f t="array" ref="I110">IFERROR(INDEX(Precios!$D:$F,MATCH(N110, Precios!$G:$G, 0),CHOOSE(MATCH(H110, {"SML";"XL";"XXL"}, 0), 1, 2, 3)), 0)</f>
        <v>4.5</v>
      </c>
      <c r="J110" s="9">
        <v>2</v>
      </c>
      <c r="K110" s="10">
        <f t="shared" si="4"/>
        <v>9</v>
      </c>
      <c r="L110" s="9" t="s">
        <v>4210</v>
      </c>
      <c r="N110" s="9" t="str">
        <f t="shared" si="5"/>
        <v>LIMA E ICA PROVINCIA|PRODUCCIÓN / COCINA|GARIBALDI GRIS</v>
      </c>
      <c r="O110" s="9" t="str">
        <f>IF(N110="","",IF(COUNTIF(Precios!$G:$G,N110)=0,"⚠ No coincide con Precios","OK"))</f>
        <v>OK</v>
      </c>
    </row>
    <row r="111" spans="1:15" x14ac:dyDescent="0.2">
      <c r="A111" s="49">
        <v>45987</v>
      </c>
      <c r="B111" s="51" t="s">
        <v>236</v>
      </c>
      <c r="C111" s="9" t="str" cm="1">
        <f t="array" ref="C111">IFERROR(_xlfn.XLOOKUP(B111,Personal!$A:$A,Personal!$D:$D,""),"")</f>
        <v>AZURIN LUQUE RUDY JOSIAS</v>
      </c>
      <c r="D111" s="9" t="str" cm="1">
        <f t="array" ref="D111">IFERROR(_xlfn.XLOOKUP(B111,Personal!$A:$A,Personal!$C:$C,""),"")</f>
        <v>MIRAFLORES</v>
      </c>
      <c r="E111" s="9" t="str" cm="1">
        <f t="array" ref="E111">IFERROR(_xlfn.XLOOKUP(D111,Locales!$A:$A,Locales!$B:$B,""),"")</f>
        <v>LIMA E ICA PROVINCIA</v>
      </c>
      <c r="F111" s="9" t="str" cm="1">
        <f t="array" ref="F111">IFERROR(_xlfn.XLOOKUP(B111,Personal!$A:$A,Personal!$F:$F,""),"")</f>
        <v>PRODUCCIÓN / COCINA</v>
      </c>
      <c r="G111" s="9" t="s">
        <v>3862</v>
      </c>
      <c r="H111" s="9" t="s">
        <v>3876</v>
      </c>
      <c r="I111" s="10" cm="1">
        <f t="array" ref="I111">IFERROR(INDEX(Precios!$D:$F,MATCH(N111, Precios!$G:$G, 0),CHOOSE(MATCH(H111, {"SML";"XL";"XXL"}, 0), 1, 2, 3)), 0)</f>
        <v>7.5</v>
      </c>
      <c r="J111" s="9">
        <v>2</v>
      </c>
      <c r="K111" s="10">
        <f t="shared" si="4"/>
        <v>15</v>
      </c>
      <c r="L111" s="9" t="s">
        <v>4210</v>
      </c>
      <c r="N111" s="9" t="str">
        <f t="shared" si="5"/>
        <v>LIMA E ICA PROVINCIA|PRODUCCIÓN / COCINA|POLO 30/1 GRIS</v>
      </c>
      <c r="O111" s="9" t="str">
        <f>IF(N111="","",IF(COUNTIF(Precios!$G:$G,N111)=0,"⚠ No coincide con Precios","OK"))</f>
        <v>OK</v>
      </c>
    </row>
    <row r="112" spans="1:15" x14ac:dyDescent="0.2">
      <c r="A112" s="49">
        <v>45987</v>
      </c>
      <c r="B112" s="51" t="s">
        <v>378</v>
      </c>
      <c r="C112" s="9" t="str" cm="1">
        <f t="array" ref="C112">IFERROR(_xlfn.XLOOKUP(B112,Personal!$A:$A,Personal!$D:$D,""),"")</f>
        <v xml:space="preserve">GUERRERO NAVARRO  WEISSER MANUEL </v>
      </c>
      <c r="D112" s="9" t="str" cm="1">
        <f t="array" ref="D112">IFERROR(_xlfn.XLOOKUP(B112,Personal!$A:$A,Personal!$C:$C,""),"")</f>
        <v>MIRAFLORES</v>
      </c>
      <c r="E112" s="9" t="str" cm="1">
        <f t="array" ref="E112">IFERROR(_xlfn.XLOOKUP(D112,Locales!$A:$A,Locales!$B:$B,""),"")</f>
        <v>LIMA E ICA PROVINCIA</v>
      </c>
      <c r="F112" s="9" t="str" cm="1">
        <f t="array" ref="F112">IFERROR(_xlfn.XLOOKUP(B112,Personal!$A:$A,Personal!$F:$F,""),"")</f>
        <v>PRODUCCIÓN / COCINA</v>
      </c>
      <c r="G112" s="9" t="s">
        <v>47</v>
      </c>
      <c r="H112" s="9" t="s">
        <v>3876</v>
      </c>
      <c r="I112" s="10" cm="1">
        <f t="array" ref="I112">IFERROR(INDEX(Precios!$D:$F,MATCH(N112, Precios!$G:$G, 0),CHOOSE(MATCH(H112, {"SML";"XL";"XXL"}, 0), 1, 2, 3)), 0)</f>
        <v>16.25</v>
      </c>
      <c r="J112" s="9">
        <v>2</v>
      </c>
      <c r="K112" s="10">
        <f t="shared" si="4"/>
        <v>32.5</v>
      </c>
      <c r="L112" s="9" t="s">
        <v>4210</v>
      </c>
      <c r="N112" s="9" t="str">
        <f t="shared" si="5"/>
        <v>LIMA E ICA PROVINCIA|PRODUCCIÓN / COCINA|CHAQUETA DRILL BLANCO</v>
      </c>
      <c r="O112" s="9" t="str">
        <f>IF(N112="","",IF(COUNTIF(Precios!$G:$G,N112)=0,"⚠ No coincide con Precios","OK"))</f>
        <v>OK</v>
      </c>
    </row>
    <row r="113" spans="1:15" x14ac:dyDescent="0.2">
      <c r="A113" s="49">
        <v>45987</v>
      </c>
      <c r="B113" s="51" t="s">
        <v>378</v>
      </c>
      <c r="C113" s="9" t="str" cm="1">
        <f t="array" ref="C113">IFERROR(_xlfn.XLOOKUP(B113,Personal!$A:$A,Personal!$D:$D,""),"")</f>
        <v xml:space="preserve">GUERRERO NAVARRO  WEISSER MANUEL </v>
      </c>
      <c r="D113" s="9" t="str" cm="1">
        <f t="array" ref="D113">IFERROR(_xlfn.XLOOKUP(B113,Personal!$A:$A,Personal!$C:$C,""),"")</f>
        <v>MIRAFLORES</v>
      </c>
      <c r="E113" s="9" t="str" cm="1">
        <f t="array" ref="E113">IFERROR(_xlfn.XLOOKUP(D113,Locales!$A:$A,Locales!$B:$B,""),"")</f>
        <v>LIMA E ICA PROVINCIA</v>
      </c>
      <c r="F113" s="9" t="str" cm="1">
        <f t="array" ref="F113">IFERROR(_xlfn.XLOOKUP(B113,Personal!$A:$A,Personal!$F:$F,""),"")</f>
        <v>PRODUCCIÓN / COCINA</v>
      </c>
      <c r="G113" s="9" t="s">
        <v>3867</v>
      </c>
      <c r="H113" s="9" t="s">
        <v>3876</v>
      </c>
      <c r="I113" s="10" cm="1">
        <f t="array" ref="I113">IFERROR(INDEX(Precios!$D:$F,MATCH(N113, Precios!$G:$G, 0),CHOOSE(MATCH(H113, {"SML";"XL";"XXL"}, 0), 1, 2, 3)), 0)</f>
        <v>11</v>
      </c>
      <c r="J113" s="9">
        <v>2</v>
      </c>
      <c r="K113" s="10">
        <f t="shared" si="4"/>
        <v>22</v>
      </c>
      <c r="L113" s="9" t="s">
        <v>4210</v>
      </c>
      <c r="N113" s="9" t="str">
        <f t="shared" si="5"/>
        <v>LIMA E ICA PROVINCIA|PRODUCCIÓN / COCINA|PANTALÓN SAL Y PIMIENTA</v>
      </c>
      <c r="O113" s="9" t="str">
        <f>IF(N113="","",IF(COUNTIF(Precios!$G:$G,N113)=0,"⚠ No coincide con Precios","OK"))</f>
        <v>OK</v>
      </c>
    </row>
    <row r="114" spans="1:15" x14ac:dyDescent="0.2">
      <c r="A114" s="49">
        <v>45987</v>
      </c>
      <c r="B114" s="51" t="s">
        <v>378</v>
      </c>
      <c r="C114" s="9" t="str" cm="1">
        <f t="array" ref="C114">IFERROR(_xlfn.XLOOKUP(B114,Personal!$A:$A,Personal!$D:$D,""),"")</f>
        <v xml:space="preserve">GUERRERO NAVARRO  WEISSER MANUEL </v>
      </c>
      <c r="D114" s="9" t="str" cm="1">
        <f t="array" ref="D114">IFERROR(_xlfn.XLOOKUP(B114,Personal!$A:$A,Personal!$C:$C,""),"")</f>
        <v>MIRAFLORES</v>
      </c>
      <c r="E114" s="9" t="str" cm="1">
        <f t="array" ref="E114">IFERROR(_xlfn.XLOOKUP(D114,Locales!$A:$A,Locales!$B:$B,""),"")</f>
        <v>LIMA E ICA PROVINCIA</v>
      </c>
      <c r="F114" s="9" t="str" cm="1">
        <f t="array" ref="F114">IFERROR(_xlfn.XLOOKUP(B114,Personal!$A:$A,Personal!$F:$F,""),"")</f>
        <v>PRODUCCIÓN / COCINA</v>
      </c>
      <c r="G114" s="9" t="s">
        <v>3868</v>
      </c>
      <c r="H114" s="9" t="s">
        <v>3876</v>
      </c>
      <c r="I114" s="10" cm="1">
        <f t="array" ref="I114">IFERROR(INDEX(Precios!$D:$F,MATCH(N114, Precios!$G:$G, 0),CHOOSE(MATCH(H114, {"SML";"XL";"XXL"}, 0), 1, 2, 3)), 0)</f>
        <v>6.5</v>
      </c>
      <c r="J114" s="9">
        <v>2</v>
      </c>
      <c r="K114" s="10">
        <f t="shared" si="4"/>
        <v>13</v>
      </c>
      <c r="L114" s="9" t="s">
        <v>4210</v>
      </c>
      <c r="N114" s="9" t="str">
        <f t="shared" si="5"/>
        <v>LIMA E ICA PROVINCIA|PRODUCCIÓN / COCINA|PECHERA GRIS EN DRILL</v>
      </c>
      <c r="O114" s="9" t="str">
        <f>IF(N114="","",IF(COUNTIF(Precios!$G:$G,N114)=0,"⚠ No coincide con Precios","OK"))</f>
        <v>OK</v>
      </c>
    </row>
    <row r="115" spans="1:15" x14ac:dyDescent="0.2">
      <c r="A115" s="49">
        <v>45987</v>
      </c>
      <c r="B115" s="51" t="s">
        <v>378</v>
      </c>
      <c r="C115" s="9" t="str" cm="1">
        <f t="array" ref="C115">IFERROR(_xlfn.XLOOKUP(B115,Personal!$A:$A,Personal!$D:$D,""),"")</f>
        <v xml:space="preserve">GUERRERO NAVARRO  WEISSER MANUEL </v>
      </c>
      <c r="D115" s="9" t="str" cm="1">
        <f t="array" ref="D115">IFERROR(_xlfn.XLOOKUP(B115,Personal!$A:$A,Personal!$C:$C,""),"")</f>
        <v>MIRAFLORES</v>
      </c>
      <c r="E115" s="9" t="str" cm="1">
        <f t="array" ref="E115">IFERROR(_xlfn.XLOOKUP(D115,Locales!$A:$A,Locales!$B:$B,""),"")</f>
        <v>LIMA E ICA PROVINCIA</v>
      </c>
      <c r="F115" s="9" t="str" cm="1">
        <f t="array" ref="F115">IFERROR(_xlfn.XLOOKUP(B115,Personal!$A:$A,Personal!$F:$F,""),"")</f>
        <v>PRODUCCIÓN / COCINA</v>
      </c>
      <c r="G115" s="9" t="s">
        <v>3869</v>
      </c>
      <c r="H115" s="9" t="s">
        <v>3876</v>
      </c>
      <c r="I115" s="10" cm="1">
        <f t="array" ref="I115">IFERROR(INDEX(Precios!$D:$F,MATCH(N115, Precios!$G:$G, 0),CHOOSE(MATCH(H115, {"SML";"XL";"XXL"}, 0), 1, 2, 3)), 0)</f>
        <v>4.5</v>
      </c>
      <c r="J115" s="9">
        <v>2</v>
      </c>
      <c r="K115" s="10">
        <f t="shared" si="4"/>
        <v>9</v>
      </c>
      <c r="L115" s="9" t="s">
        <v>4210</v>
      </c>
      <c r="N115" s="9" t="str">
        <f t="shared" si="5"/>
        <v>LIMA E ICA PROVINCIA|PRODUCCIÓN / COCINA|GARIBALDI GRIS</v>
      </c>
      <c r="O115" s="9" t="str">
        <f>IF(N115="","",IF(COUNTIF(Precios!$G:$G,N115)=0,"⚠ No coincide con Precios","OK"))</f>
        <v>OK</v>
      </c>
    </row>
    <row r="116" spans="1:15" x14ac:dyDescent="0.2">
      <c r="A116" s="49">
        <v>45987</v>
      </c>
      <c r="B116" s="51" t="s">
        <v>378</v>
      </c>
      <c r="C116" s="9" t="str" cm="1">
        <f t="array" ref="C116">IFERROR(_xlfn.XLOOKUP(B116,Personal!$A:$A,Personal!$D:$D,""),"")</f>
        <v xml:space="preserve">GUERRERO NAVARRO  WEISSER MANUEL </v>
      </c>
      <c r="D116" s="9" t="str" cm="1">
        <f t="array" ref="D116">IFERROR(_xlfn.XLOOKUP(B116,Personal!$A:$A,Personal!$C:$C,""),"")</f>
        <v>MIRAFLORES</v>
      </c>
      <c r="E116" s="9" t="str" cm="1">
        <f t="array" ref="E116">IFERROR(_xlfn.XLOOKUP(D116,Locales!$A:$A,Locales!$B:$B,""),"")</f>
        <v>LIMA E ICA PROVINCIA</v>
      </c>
      <c r="F116" s="9" t="str" cm="1">
        <f t="array" ref="F116">IFERROR(_xlfn.XLOOKUP(B116,Personal!$A:$A,Personal!$F:$F,""),"")</f>
        <v>PRODUCCIÓN / COCINA</v>
      </c>
      <c r="G116" s="9" t="s">
        <v>3862</v>
      </c>
      <c r="H116" s="9" t="s">
        <v>3876</v>
      </c>
      <c r="I116" s="10" cm="1">
        <f t="array" ref="I116">IFERROR(INDEX(Precios!$D:$F,MATCH(N116, Precios!$G:$G, 0),CHOOSE(MATCH(H116, {"SML";"XL";"XXL"}, 0), 1, 2, 3)), 0)</f>
        <v>7.5</v>
      </c>
      <c r="J116" s="9">
        <v>2</v>
      </c>
      <c r="K116" s="10">
        <f t="shared" si="4"/>
        <v>15</v>
      </c>
      <c r="L116" s="9" t="s">
        <v>4210</v>
      </c>
      <c r="N116" s="9" t="str">
        <f t="shared" si="5"/>
        <v>LIMA E ICA PROVINCIA|PRODUCCIÓN / COCINA|POLO 30/1 GRIS</v>
      </c>
      <c r="O116" s="9" t="str">
        <f>IF(N116="","",IF(COUNTIF(Precios!$G:$G,N116)=0,"⚠ No coincide con Precios","OK"))</f>
        <v>OK</v>
      </c>
    </row>
    <row r="117" spans="1:15" x14ac:dyDescent="0.2">
      <c r="A117" s="49">
        <v>45975</v>
      </c>
      <c r="B117" s="51">
        <v>46722628</v>
      </c>
      <c r="C117" s="9" t="str" cm="1">
        <f t="array" ref="C117">IFERROR(_xlfn.XLOOKUP(B117,Personal!$A:$A,Personal!$D:$D,""),"")</f>
        <v>REYES RAMIREZ DIANA YOLI</v>
      </c>
      <c r="D117" s="9" t="str" cm="1">
        <f t="array" ref="D117">IFERROR(_xlfn.XLOOKUP(B117,Personal!$A:$A,Personal!$C:$C,""),"")</f>
        <v>LARCOMAR</v>
      </c>
      <c r="E117" s="9" t="str" cm="1">
        <f t="array" ref="E117">IFERROR(_xlfn.XLOOKUP(D117,Locales!$A:$A,Locales!$B:$B,""),"")</f>
        <v>PATIO DE COMIDA</v>
      </c>
      <c r="F117" s="9" t="str" cm="1">
        <f t="array" ref="F117">IFERROR(_xlfn.XLOOKUP(B117,Personal!$A:$A,Personal!$F:$F,""),"")</f>
        <v xml:space="preserve">STAFF ADMINISTRATIVO </v>
      </c>
      <c r="G117" s="9" t="s">
        <v>4490</v>
      </c>
      <c r="H117" s="9" t="s">
        <v>3876</v>
      </c>
      <c r="I117" s="10" cm="1">
        <f t="array" ref="I117">IFERROR(INDEX(Precios!$D:$F,MATCH(N117, Precios!$G:$G, 0),CHOOSE(MATCH(H117, {"SML";"XL";"XXL"}, 0), 1, 2, 3)), 0)</f>
        <v>15</v>
      </c>
      <c r="J117" s="9">
        <v>2</v>
      </c>
      <c r="K117" s="10">
        <f t="shared" si="4"/>
        <v>30</v>
      </c>
      <c r="L117" s="9" t="s">
        <v>4210</v>
      </c>
      <c r="N117" s="9" t="str">
        <f t="shared" si="5"/>
        <v>PATIO DE COMIDA|STAFF ADMINISTRATIVO|POLO PIQUÉ PIZARRA RX, MANGA CORTA ADMI</v>
      </c>
      <c r="O117" s="9" t="str">
        <f>IF(N117="","",IF(COUNTIF(Precios!$G:$G,N117)=0,"⚠ No coincide con Precios","OK"))</f>
        <v>OK</v>
      </c>
    </row>
    <row r="118" spans="1:15" x14ac:dyDescent="0.2">
      <c r="A118" s="49">
        <v>45975</v>
      </c>
      <c r="B118" s="51">
        <v>46722628</v>
      </c>
      <c r="C118" s="9" t="str" cm="1">
        <f t="array" ref="C118">IFERROR(_xlfn.XLOOKUP(B118,Personal!$A:$A,Personal!$D:$D,""),"")</f>
        <v>REYES RAMIREZ DIANA YOLI</v>
      </c>
      <c r="D118" s="9" t="str" cm="1">
        <f t="array" ref="D118">IFERROR(_xlfn.XLOOKUP(B118,Personal!$A:$A,Personal!$C:$C,""),"")</f>
        <v>LARCOMAR</v>
      </c>
      <c r="E118" s="9" t="str" cm="1">
        <f t="array" ref="E118">IFERROR(_xlfn.XLOOKUP(D118,Locales!$A:$A,Locales!$B:$B,""),"")</f>
        <v>PATIO DE COMIDA</v>
      </c>
      <c r="F118" s="9" t="str" cm="1">
        <f t="array" ref="F118">IFERROR(_xlfn.XLOOKUP(B118,Personal!$A:$A,Personal!$F:$F,""),"")</f>
        <v xml:space="preserve">STAFF ADMINISTRATIVO </v>
      </c>
      <c r="G118" s="9" t="s">
        <v>4493</v>
      </c>
      <c r="H118" s="9" t="s">
        <v>3876</v>
      </c>
      <c r="I118" s="10" cm="1">
        <f t="array" ref="I118">IFERROR(INDEX(Precios!$D:$F,MATCH(N118, Precios!$G:$G, 0),CHOOSE(MATCH(H118, {"SML";"XL";"XXL"}, 0), 1, 2, 3)), 0)</f>
        <v>5</v>
      </c>
      <c r="J118" s="9">
        <v>2</v>
      </c>
      <c r="K118" s="10">
        <f t="shared" si="4"/>
        <v>10</v>
      </c>
      <c r="L118" s="9" t="s">
        <v>4210</v>
      </c>
      <c r="N118" s="9" t="str">
        <f t="shared" si="5"/>
        <v>PATIO DE COMIDA|STAFF ADMINISTRATIVO|GORRO NEGRO ADM</v>
      </c>
      <c r="O118" s="9" t="str">
        <f>IF(N118="","",IF(COUNTIF(Precios!$G:$G,N118)=0,"⚠ No coincide con Precios","OK"))</f>
        <v>OK</v>
      </c>
    </row>
    <row r="119" spans="1:15" x14ac:dyDescent="0.2">
      <c r="A119" s="49">
        <v>45975</v>
      </c>
      <c r="B119" s="51" t="s">
        <v>2597</v>
      </c>
      <c r="C119" s="9" t="str" cm="1">
        <f t="array" ref="C119">IFERROR(_xlfn.XLOOKUP(B119,Personal!$A:$A,Personal!$D:$D,""),"")</f>
        <v>PAREDES  MAGUIÑA  HUGO RAFAEL</v>
      </c>
      <c r="D119" s="9" t="str" cm="1">
        <f t="array" ref="D119">IFERROR(_xlfn.XLOOKUP(B119,Personal!$A:$A,Personal!$C:$C,""),"")</f>
        <v>LARCOMAR</v>
      </c>
      <c r="E119" s="9" t="str" cm="1">
        <f t="array" ref="E119">IFERROR(_xlfn.XLOOKUP(D119,Locales!$A:$A,Locales!$B:$B,""),"")</f>
        <v>PATIO DE COMIDA</v>
      </c>
      <c r="F119" s="9" t="str" cm="1">
        <f t="array" ref="F119">IFERROR(_xlfn.XLOOKUP(B119,Personal!$A:$A,Personal!$F:$F,""),"")</f>
        <v>STAFF ADMINISTRATIVO</v>
      </c>
      <c r="G119" s="9" t="s">
        <v>4493</v>
      </c>
      <c r="H119" s="9" t="s">
        <v>3876</v>
      </c>
      <c r="I119" s="10" cm="1">
        <f t="array" ref="I119">IFERROR(INDEX(Precios!$D:$F,MATCH(N119, Precios!$G:$G, 0),CHOOSE(MATCH(H119, {"SML";"XL";"XXL"}, 0), 1, 2, 3)), 0)</f>
        <v>5</v>
      </c>
      <c r="J119" s="9">
        <v>2</v>
      </c>
      <c r="K119" s="10">
        <f t="shared" si="4"/>
        <v>10</v>
      </c>
      <c r="L119" s="9" t="s">
        <v>4210</v>
      </c>
      <c r="N119" s="9" t="str">
        <f t="shared" si="5"/>
        <v>PATIO DE COMIDA|STAFF ADMINISTRATIVO|GORRO NEGRO ADM</v>
      </c>
      <c r="O119" s="9" t="str">
        <f>IF(N119="","",IF(COUNTIF(Precios!$G:$G,N119)=0,"⚠ No coincide con Precios","OK"))</f>
        <v>OK</v>
      </c>
    </row>
    <row r="120" spans="1:15" x14ac:dyDescent="0.2">
      <c r="A120" s="49">
        <v>45902</v>
      </c>
      <c r="B120" s="51" t="s">
        <v>2861</v>
      </c>
      <c r="C120" s="9" t="str" cm="1">
        <f t="array" ref="C120">IFERROR(_xlfn.XLOOKUP(B120,Personal!$A:$A,Personal!$D:$D,""),"")</f>
        <v>ZAPATA HERRERA FRANKLYN RICARDO</v>
      </c>
      <c r="D120" s="9" t="str" cm="1">
        <f t="array" ref="D120">IFERROR(_xlfn.XLOOKUP(B120,Personal!$A:$A,Personal!$C:$C,""),"")</f>
        <v>JESUS MARIA</v>
      </c>
      <c r="E120" s="9" t="str" cm="1">
        <f t="array" ref="E120">IFERROR(_xlfn.XLOOKUP(D120,Locales!$A:$A,Locales!$B:$B,""),"")</f>
        <v>LIMA E ICA PROVINCIA</v>
      </c>
      <c r="F120" s="9" t="str" cm="1">
        <f t="array" ref="F120">IFERROR(_xlfn.XLOOKUP(B120,Personal!$A:$A,Personal!$F:$F,""),"")</f>
        <v>MOZO</v>
      </c>
      <c r="G120" s="9" t="s">
        <v>3852</v>
      </c>
      <c r="H120" s="9" t="s">
        <v>3876</v>
      </c>
      <c r="I120" s="10" cm="1">
        <f t="array" ref="I120">IFERROR(INDEX(Precios!$D:$F,MATCH(N120, Precios!$G:$G, 0),CHOOSE(MATCH(H120, {"SML";"XL";"XXL"}, 0), 1, 2, 3)), 0)</f>
        <v>18.5</v>
      </c>
      <c r="J120" s="9">
        <v>2</v>
      </c>
      <c r="K120" s="10">
        <f t="shared" si="4"/>
        <v>37</v>
      </c>
      <c r="L120" s="9" t="s">
        <v>4210</v>
      </c>
      <c r="N120" s="9" t="str">
        <f t="shared" si="5"/>
        <v>LIMA E ICA PROVINCIA|MOZO|CAMISA BLANCA (MANGA LARGA)</v>
      </c>
      <c r="O120" s="9" t="str">
        <f>IF(N120="","",IF(COUNTIF(Precios!$G:$G,N120)=0,"⚠ No coincide con Precios","OK"))</f>
        <v>OK</v>
      </c>
    </row>
    <row r="121" spans="1:15" x14ac:dyDescent="0.2">
      <c r="A121" s="49">
        <v>45902</v>
      </c>
      <c r="B121" s="51" t="s">
        <v>2861</v>
      </c>
      <c r="C121" s="9" t="str" cm="1">
        <f t="array" ref="C121">IFERROR(_xlfn.XLOOKUP(B121,Personal!$A:$A,Personal!$D:$D,""),"")</f>
        <v>ZAPATA HERRERA FRANKLYN RICARDO</v>
      </c>
      <c r="D121" s="9" t="str" cm="1">
        <f t="array" ref="D121">IFERROR(_xlfn.XLOOKUP(B121,Personal!$A:$A,Personal!$C:$C,""),"")</f>
        <v>JESUS MARIA</v>
      </c>
      <c r="E121" s="9" t="str" cm="1">
        <f t="array" ref="E121">IFERROR(_xlfn.XLOOKUP(D121,Locales!$A:$A,Locales!$B:$B,""),"")</f>
        <v>LIMA E ICA PROVINCIA</v>
      </c>
      <c r="F121" s="9" t="str" cm="1">
        <f t="array" ref="F121">IFERROR(_xlfn.XLOOKUP(B121,Personal!$A:$A,Personal!$F:$F,""),"")</f>
        <v>MOZO</v>
      </c>
      <c r="G121" s="9" t="s">
        <v>3853</v>
      </c>
      <c r="H121" s="9" t="s">
        <v>3876</v>
      </c>
      <c r="I121" s="10" cm="1">
        <f t="array" ref="I121">IFERROR(INDEX(Precios!$D:$F,MATCH(N121, Precios!$G:$G, 0),CHOOSE(MATCH(H121, {"SML";"XL";"XXL"}, 0), 1, 2, 3)), 0)</f>
        <v>7</v>
      </c>
      <c r="J121" s="9">
        <v>2</v>
      </c>
      <c r="K121" s="10">
        <f t="shared" si="4"/>
        <v>14</v>
      </c>
      <c r="L121" s="9" t="s">
        <v>4210</v>
      </c>
      <c r="N121" s="9" t="str">
        <f t="shared" si="5"/>
        <v>LIMA E ICA PROVINCIA|MOZO|MANDILON DRILL NEGRO</v>
      </c>
      <c r="O121" s="9" t="str">
        <f>IF(N121="","",IF(COUNTIF(Precios!$G:$G,N121)=0,"⚠ No coincide con Precios","OK"))</f>
        <v>OK</v>
      </c>
    </row>
    <row r="122" spans="1:15" x14ac:dyDescent="0.2">
      <c r="A122" s="49">
        <v>45902</v>
      </c>
      <c r="B122" s="51" t="s">
        <v>2861</v>
      </c>
      <c r="C122" s="9" t="str" cm="1">
        <f t="array" ref="C122">IFERROR(_xlfn.XLOOKUP(B122,Personal!$A:$A,Personal!$D:$D,""),"")</f>
        <v>ZAPATA HERRERA FRANKLYN RICARDO</v>
      </c>
      <c r="D122" s="9" t="str" cm="1">
        <f t="array" ref="D122">IFERROR(_xlfn.XLOOKUP(B122,Personal!$A:$A,Personal!$C:$C,""),"")</f>
        <v>JESUS MARIA</v>
      </c>
      <c r="E122" s="9" t="str" cm="1">
        <f t="array" ref="E122">IFERROR(_xlfn.XLOOKUP(D122,Locales!$A:$A,Locales!$B:$B,""),"")</f>
        <v>LIMA E ICA PROVINCIA</v>
      </c>
      <c r="F122" s="9" t="str" cm="1">
        <f t="array" ref="F122">IFERROR(_xlfn.XLOOKUP(B122,Personal!$A:$A,Personal!$F:$F,""),"")</f>
        <v>MOZO</v>
      </c>
      <c r="G122" s="9" t="s">
        <v>3854</v>
      </c>
      <c r="H122" s="9" t="s">
        <v>3876</v>
      </c>
      <c r="I122" s="10" cm="1">
        <f t="array" ref="I122">IFERROR(INDEX(Precios!$D:$F,MATCH(N122, Precios!$G:$G, 0),CHOOSE(MATCH(H122, {"SML";"XL";"XXL"}, 0), 1, 2, 3)), 0)</f>
        <v>1.75</v>
      </c>
      <c r="J122" s="9">
        <v>2</v>
      </c>
      <c r="K122" s="10">
        <f t="shared" si="4"/>
        <v>3.5</v>
      </c>
      <c r="L122" s="9" t="s">
        <v>4210</v>
      </c>
      <c r="N122" s="9" t="str">
        <f t="shared" si="5"/>
        <v>LIMA E ICA PROVINCIA|MOZO|ANDARIN GRANATE</v>
      </c>
      <c r="O122" s="9" t="str">
        <f>IF(N122="","",IF(COUNTIF(Precios!$G:$G,N122)=0,"⚠ No coincide con Precios","OK"))</f>
        <v>OK</v>
      </c>
    </row>
    <row r="123" spans="1:15" x14ac:dyDescent="0.2">
      <c r="A123" s="49">
        <v>45973</v>
      </c>
      <c r="B123" s="51" t="s">
        <v>2198</v>
      </c>
      <c r="C123" s="9" t="str" cm="1">
        <f t="array" ref="C123">IFERROR(_xlfn.XLOOKUP(B123,Personal!$A:$A,Personal!$D:$D,""),"")</f>
        <v>JULCA DIAZ EDGAR</v>
      </c>
      <c r="D123" s="9" t="str" cm="1">
        <f t="array" ref="D123">IFERROR(_xlfn.XLOOKUP(B123,Personal!$A:$A,Personal!$C:$C,""),"")</f>
        <v>JESUS MARIA</v>
      </c>
      <c r="E123" s="9" t="str" cm="1">
        <f t="array" ref="E123">IFERROR(_xlfn.XLOOKUP(D123,Locales!$A:$A,Locales!$B:$B,""),"")</f>
        <v>LIMA E ICA PROVINCIA</v>
      </c>
      <c r="F123" s="9" t="str" cm="1">
        <f t="array" ref="F123">IFERROR(_xlfn.XLOOKUP(B123,Personal!$A:$A,Personal!$F:$F,""),"")</f>
        <v>PRODUCCIÓN / COCINA</v>
      </c>
      <c r="G123" s="9" t="s">
        <v>47</v>
      </c>
      <c r="H123" s="9" t="s">
        <v>3876</v>
      </c>
      <c r="I123" s="10" cm="1">
        <f t="array" ref="I123">IFERROR(INDEX(Precios!$D:$F,MATCH(N123, Precios!$G:$G, 0),CHOOSE(MATCH(H123, {"SML";"XL";"XXL"}, 0), 1, 2, 3)), 0)</f>
        <v>16.25</v>
      </c>
      <c r="J123" s="9">
        <v>2</v>
      </c>
      <c r="K123" s="10">
        <f t="shared" si="4"/>
        <v>32.5</v>
      </c>
      <c r="L123" s="9" t="s">
        <v>4210</v>
      </c>
      <c r="N123" s="9" t="str">
        <f t="shared" si="5"/>
        <v>LIMA E ICA PROVINCIA|PRODUCCIÓN / COCINA|CHAQUETA DRILL BLANCO</v>
      </c>
      <c r="O123" s="9" t="str">
        <f>IF(N123="","",IF(COUNTIF(Precios!$G:$G,N123)=0,"⚠ No coincide con Precios","OK"))</f>
        <v>OK</v>
      </c>
    </row>
    <row r="124" spans="1:15" x14ac:dyDescent="0.2">
      <c r="A124" s="49">
        <v>45973</v>
      </c>
      <c r="B124" s="51" t="s">
        <v>2198</v>
      </c>
      <c r="C124" s="9" t="str" cm="1">
        <f t="array" ref="C124">IFERROR(_xlfn.XLOOKUP(B124,Personal!$A:$A,Personal!$D:$D,""),"")</f>
        <v>JULCA DIAZ EDGAR</v>
      </c>
      <c r="D124" s="9" t="str" cm="1">
        <f t="array" ref="D124">IFERROR(_xlfn.XLOOKUP(B124,Personal!$A:$A,Personal!$C:$C,""),"")</f>
        <v>JESUS MARIA</v>
      </c>
      <c r="E124" s="9" t="str" cm="1">
        <f t="array" ref="E124">IFERROR(_xlfn.XLOOKUP(D124,Locales!$A:$A,Locales!$B:$B,""),"")</f>
        <v>LIMA E ICA PROVINCIA</v>
      </c>
      <c r="F124" s="9" t="str" cm="1">
        <f t="array" ref="F124">IFERROR(_xlfn.XLOOKUP(B124,Personal!$A:$A,Personal!$F:$F,""),"")</f>
        <v>PRODUCCIÓN / COCINA</v>
      </c>
      <c r="G124" s="9" t="s">
        <v>3867</v>
      </c>
      <c r="H124" s="9" t="s">
        <v>3876</v>
      </c>
      <c r="I124" s="10" cm="1">
        <f t="array" ref="I124">IFERROR(INDEX(Precios!$D:$F,MATCH(N124, Precios!$G:$G, 0),CHOOSE(MATCH(H124, {"SML";"XL";"XXL"}, 0), 1, 2, 3)), 0)</f>
        <v>11</v>
      </c>
      <c r="J124" s="9">
        <v>2</v>
      </c>
      <c r="K124" s="10">
        <f t="shared" si="4"/>
        <v>22</v>
      </c>
      <c r="L124" s="9" t="s">
        <v>4210</v>
      </c>
      <c r="N124" s="9" t="str">
        <f t="shared" si="5"/>
        <v>LIMA E ICA PROVINCIA|PRODUCCIÓN / COCINA|PANTALÓN SAL Y PIMIENTA</v>
      </c>
      <c r="O124" s="9" t="str">
        <f>IF(N124="","",IF(COUNTIF(Precios!$G:$G,N124)=0,"⚠ No coincide con Precios","OK"))</f>
        <v>OK</v>
      </c>
    </row>
    <row r="125" spans="1:15" x14ac:dyDescent="0.2">
      <c r="A125" s="49">
        <v>45973</v>
      </c>
      <c r="B125" s="51" t="s">
        <v>2198</v>
      </c>
      <c r="C125" s="9" t="str" cm="1">
        <f t="array" ref="C125">IFERROR(_xlfn.XLOOKUP(B125,Personal!$A:$A,Personal!$D:$D,""),"")</f>
        <v>JULCA DIAZ EDGAR</v>
      </c>
      <c r="D125" s="9" t="str" cm="1">
        <f t="array" ref="D125">IFERROR(_xlfn.XLOOKUP(B125,Personal!$A:$A,Personal!$C:$C,""),"")</f>
        <v>JESUS MARIA</v>
      </c>
      <c r="E125" s="9" t="str" cm="1">
        <f t="array" ref="E125">IFERROR(_xlfn.XLOOKUP(D125,Locales!$A:$A,Locales!$B:$B,""),"")</f>
        <v>LIMA E ICA PROVINCIA</v>
      </c>
      <c r="F125" s="9" t="str" cm="1">
        <f t="array" ref="F125">IFERROR(_xlfn.XLOOKUP(B125,Personal!$A:$A,Personal!$F:$F,""),"")</f>
        <v>PRODUCCIÓN / COCINA</v>
      </c>
      <c r="G125" s="9" t="s">
        <v>3868</v>
      </c>
      <c r="H125" s="9" t="s">
        <v>3876</v>
      </c>
      <c r="I125" s="10" cm="1">
        <f t="array" ref="I125">IFERROR(INDEX(Precios!$D:$F,MATCH(N125, Precios!$G:$G, 0),CHOOSE(MATCH(H125, {"SML";"XL";"XXL"}, 0), 1, 2, 3)), 0)</f>
        <v>6.5</v>
      </c>
      <c r="J125" s="9">
        <v>2</v>
      </c>
      <c r="K125" s="10">
        <f t="shared" si="4"/>
        <v>13</v>
      </c>
      <c r="L125" s="9" t="s">
        <v>4210</v>
      </c>
      <c r="N125" s="9" t="str">
        <f t="shared" si="5"/>
        <v>LIMA E ICA PROVINCIA|PRODUCCIÓN / COCINA|PECHERA GRIS EN DRILL</v>
      </c>
      <c r="O125" s="9" t="str">
        <f>IF(N125="","",IF(COUNTIF(Precios!$G:$G,N125)=0,"⚠ No coincide con Precios","OK"))</f>
        <v>OK</v>
      </c>
    </row>
    <row r="126" spans="1:15" x14ac:dyDescent="0.2">
      <c r="A126" s="49">
        <v>45973</v>
      </c>
      <c r="B126" s="51" t="s">
        <v>2198</v>
      </c>
      <c r="C126" s="9" t="str" cm="1">
        <f t="array" ref="C126">IFERROR(_xlfn.XLOOKUP(B126,Personal!$A:$A,Personal!$D:$D,""),"")</f>
        <v>JULCA DIAZ EDGAR</v>
      </c>
      <c r="D126" s="9" t="str" cm="1">
        <f t="array" ref="D126">IFERROR(_xlfn.XLOOKUP(B126,Personal!$A:$A,Personal!$C:$C,""),"")</f>
        <v>JESUS MARIA</v>
      </c>
      <c r="E126" s="9" t="str" cm="1">
        <f t="array" ref="E126">IFERROR(_xlfn.XLOOKUP(D126,Locales!$A:$A,Locales!$B:$B,""),"")</f>
        <v>LIMA E ICA PROVINCIA</v>
      </c>
      <c r="F126" s="9" t="str" cm="1">
        <f t="array" ref="F126">IFERROR(_xlfn.XLOOKUP(B126,Personal!$A:$A,Personal!$F:$F,""),"")</f>
        <v>PRODUCCIÓN / COCINA</v>
      </c>
      <c r="G126" s="9" t="s">
        <v>3869</v>
      </c>
      <c r="H126" s="9" t="s">
        <v>3876</v>
      </c>
      <c r="I126" s="10" cm="1">
        <f t="array" ref="I126">IFERROR(INDEX(Precios!$D:$F,MATCH(N126, Precios!$G:$G, 0),CHOOSE(MATCH(H126, {"SML";"XL";"XXL"}, 0), 1, 2, 3)), 0)</f>
        <v>4.5</v>
      </c>
      <c r="J126" s="9">
        <v>2</v>
      </c>
      <c r="K126" s="10">
        <f t="shared" si="4"/>
        <v>9</v>
      </c>
      <c r="L126" s="9" t="s">
        <v>4210</v>
      </c>
      <c r="N126" s="9" t="str">
        <f t="shared" si="5"/>
        <v>LIMA E ICA PROVINCIA|PRODUCCIÓN / COCINA|GARIBALDI GRIS</v>
      </c>
      <c r="O126" s="9" t="str">
        <f>IF(N126="","",IF(COUNTIF(Precios!$G:$G,N126)=0,"⚠ No coincide con Precios","OK"))</f>
        <v>OK</v>
      </c>
    </row>
    <row r="127" spans="1:15" x14ac:dyDescent="0.2">
      <c r="A127" s="49">
        <v>45973</v>
      </c>
      <c r="B127" s="51" t="s">
        <v>2198</v>
      </c>
      <c r="C127" s="9" t="str" cm="1">
        <f t="array" ref="C127">IFERROR(_xlfn.XLOOKUP(B127,Personal!$A:$A,Personal!$D:$D,""),"")</f>
        <v>JULCA DIAZ EDGAR</v>
      </c>
      <c r="D127" s="9" t="str" cm="1">
        <f t="array" ref="D127">IFERROR(_xlfn.XLOOKUP(B127,Personal!$A:$A,Personal!$C:$C,""),"")</f>
        <v>JESUS MARIA</v>
      </c>
      <c r="E127" s="9" t="str" cm="1">
        <f t="array" ref="E127">IFERROR(_xlfn.XLOOKUP(D127,Locales!$A:$A,Locales!$B:$B,""),"")</f>
        <v>LIMA E ICA PROVINCIA</v>
      </c>
      <c r="F127" s="9" t="str" cm="1">
        <f t="array" ref="F127">IFERROR(_xlfn.XLOOKUP(B127,Personal!$A:$A,Personal!$F:$F,""),"")</f>
        <v>PRODUCCIÓN / COCINA</v>
      </c>
      <c r="G127" s="9" t="s">
        <v>3862</v>
      </c>
      <c r="H127" s="9" t="s">
        <v>3876</v>
      </c>
      <c r="I127" s="10" cm="1">
        <f t="array" ref="I127">IFERROR(INDEX(Precios!$D:$F,MATCH(N127, Precios!$G:$G, 0),CHOOSE(MATCH(H127, {"SML";"XL";"XXL"}, 0), 1, 2, 3)), 0)</f>
        <v>7.5</v>
      </c>
      <c r="J127" s="9">
        <v>2</v>
      </c>
      <c r="K127" s="10">
        <f t="shared" si="4"/>
        <v>15</v>
      </c>
      <c r="L127" s="9" t="s">
        <v>4210</v>
      </c>
      <c r="N127" s="9" t="str">
        <f t="shared" si="5"/>
        <v>LIMA E ICA PROVINCIA|PRODUCCIÓN / COCINA|POLO 30/1 GRIS</v>
      </c>
      <c r="O127" s="9" t="str">
        <f>IF(N127="","",IF(COUNTIF(Precios!$G:$G,N127)=0,"⚠ No coincide con Precios","OK"))</f>
        <v>OK</v>
      </c>
    </row>
    <row r="128" spans="1:15" x14ac:dyDescent="0.2">
      <c r="A128" s="49">
        <v>45943</v>
      </c>
      <c r="B128" s="51" t="s">
        <v>2374</v>
      </c>
      <c r="C128" s="9" t="str" cm="1">
        <f t="array" ref="C128">IFERROR(_xlfn.XLOOKUP(B128,Personal!$A:$A,Personal!$D:$D,""),"")</f>
        <v>MUÑOZ TORRES MARTHA YNES</v>
      </c>
      <c r="D128" s="9" t="str" cm="1">
        <f t="array" ref="D128">IFERROR(_xlfn.XLOOKUP(B128,Personal!$A:$A,Personal!$C:$C,""),"")</f>
        <v>JESUS MARIA</v>
      </c>
      <c r="E128" s="9" t="str" cm="1">
        <f t="array" ref="E128">IFERROR(_xlfn.XLOOKUP(D128,Locales!$A:$A,Locales!$B:$B,""),"")</f>
        <v>LIMA E ICA PROVINCIA</v>
      </c>
      <c r="F128" s="9" t="str" cm="1">
        <f t="array" ref="F128">IFERROR(_xlfn.XLOOKUP(B128,Personal!$A:$A,Personal!$F:$F,""),"")</f>
        <v>PRODUCCIÓN / COCINA</v>
      </c>
      <c r="G128" s="9" t="s">
        <v>47</v>
      </c>
      <c r="H128" s="9" t="s">
        <v>3876</v>
      </c>
      <c r="I128" s="10" cm="1">
        <f t="array" ref="I128">IFERROR(INDEX(Precios!$D:$F,MATCH(N128, Precios!$G:$G, 0),CHOOSE(MATCH(H128, {"SML";"XL";"XXL"}, 0), 1, 2, 3)), 0)</f>
        <v>16.25</v>
      </c>
      <c r="J128" s="9">
        <v>2</v>
      </c>
      <c r="K128" s="10">
        <f t="shared" ref="K128:K191" si="6">IFERROR(I128*J128,0)</f>
        <v>32.5</v>
      </c>
      <c r="L128" s="9" t="s">
        <v>4210</v>
      </c>
      <c r="N128" s="9" t="str">
        <f t="shared" ref="N128:N191" si="7">IF( OR(E128="",F128="",G128=""), "",CLEAN(TRIM(E128)) &amp; "|" &amp; CLEAN(TRIM(F128)) &amp; "|" &amp; CLEAN(TRIM(G128)))</f>
        <v>LIMA E ICA PROVINCIA|PRODUCCIÓN / COCINA|CHAQUETA DRILL BLANCO</v>
      </c>
      <c r="O128" s="9" t="str">
        <f>IF(N128="","",IF(COUNTIF(Precios!$G:$G,N128)=0,"⚠ No coincide con Precios","OK"))</f>
        <v>OK</v>
      </c>
    </row>
    <row r="129" spans="1:15" x14ac:dyDescent="0.2">
      <c r="A129" s="49">
        <v>45943</v>
      </c>
      <c r="B129" s="51" t="s">
        <v>2374</v>
      </c>
      <c r="C129" s="9" t="str" cm="1">
        <f t="array" ref="C129">IFERROR(_xlfn.XLOOKUP(B129,Personal!$A:$A,Personal!$D:$D,""),"")</f>
        <v>MUÑOZ TORRES MARTHA YNES</v>
      </c>
      <c r="D129" s="9" t="str" cm="1">
        <f t="array" ref="D129">IFERROR(_xlfn.XLOOKUP(B129,Personal!$A:$A,Personal!$C:$C,""),"")</f>
        <v>JESUS MARIA</v>
      </c>
      <c r="E129" s="9" t="str" cm="1">
        <f t="array" ref="E129">IFERROR(_xlfn.XLOOKUP(D129,Locales!$A:$A,Locales!$B:$B,""),"")</f>
        <v>LIMA E ICA PROVINCIA</v>
      </c>
      <c r="F129" s="9" t="str" cm="1">
        <f t="array" ref="F129">IFERROR(_xlfn.XLOOKUP(B129,Personal!$A:$A,Personal!$F:$F,""),"")</f>
        <v>PRODUCCIÓN / COCINA</v>
      </c>
      <c r="G129" s="9" t="s">
        <v>3867</v>
      </c>
      <c r="H129" s="9" t="s">
        <v>3876</v>
      </c>
      <c r="I129" s="10" cm="1">
        <f t="array" ref="I129">IFERROR(INDEX(Precios!$D:$F,MATCH(N129, Precios!$G:$G, 0),CHOOSE(MATCH(H129, {"SML";"XL";"XXL"}, 0), 1, 2, 3)), 0)</f>
        <v>11</v>
      </c>
      <c r="J129" s="9">
        <v>2</v>
      </c>
      <c r="K129" s="10">
        <f t="shared" si="6"/>
        <v>22</v>
      </c>
      <c r="L129" s="9" t="s">
        <v>4210</v>
      </c>
      <c r="N129" s="9" t="str">
        <f t="shared" si="7"/>
        <v>LIMA E ICA PROVINCIA|PRODUCCIÓN / COCINA|PANTALÓN SAL Y PIMIENTA</v>
      </c>
      <c r="O129" s="9" t="str">
        <f>IF(N129="","",IF(COUNTIF(Precios!$G:$G,N129)=0,"⚠ No coincide con Precios","OK"))</f>
        <v>OK</v>
      </c>
    </row>
    <row r="130" spans="1:15" x14ac:dyDescent="0.2">
      <c r="A130" s="49">
        <v>45943</v>
      </c>
      <c r="B130" s="51" t="s">
        <v>2374</v>
      </c>
      <c r="C130" s="9" t="str" cm="1">
        <f t="array" ref="C130">IFERROR(_xlfn.XLOOKUP(B130,Personal!$A:$A,Personal!$D:$D,""),"")</f>
        <v>MUÑOZ TORRES MARTHA YNES</v>
      </c>
      <c r="D130" s="9" t="str" cm="1">
        <f t="array" ref="D130">IFERROR(_xlfn.XLOOKUP(B130,Personal!$A:$A,Personal!$C:$C,""),"")</f>
        <v>JESUS MARIA</v>
      </c>
      <c r="E130" s="9" t="str" cm="1">
        <f t="array" ref="E130">IFERROR(_xlfn.XLOOKUP(D130,Locales!$A:$A,Locales!$B:$B,""),"")</f>
        <v>LIMA E ICA PROVINCIA</v>
      </c>
      <c r="F130" s="9" t="str" cm="1">
        <f t="array" ref="F130">IFERROR(_xlfn.XLOOKUP(B130,Personal!$A:$A,Personal!$F:$F,""),"")</f>
        <v>PRODUCCIÓN / COCINA</v>
      </c>
      <c r="G130" s="9" t="s">
        <v>3868</v>
      </c>
      <c r="H130" s="9" t="s">
        <v>3876</v>
      </c>
      <c r="I130" s="10" cm="1">
        <f t="array" ref="I130">IFERROR(INDEX(Precios!$D:$F,MATCH(N130, Precios!$G:$G, 0),CHOOSE(MATCH(H130, {"SML";"XL";"XXL"}, 0), 1, 2, 3)), 0)</f>
        <v>6.5</v>
      </c>
      <c r="J130" s="9">
        <v>2</v>
      </c>
      <c r="K130" s="10">
        <f t="shared" si="6"/>
        <v>13</v>
      </c>
      <c r="L130" s="9" t="s">
        <v>4210</v>
      </c>
      <c r="N130" s="9" t="str">
        <f t="shared" si="7"/>
        <v>LIMA E ICA PROVINCIA|PRODUCCIÓN / COCINA|PECHERA GRIS EN DRILL</v>
      </c>
      <c r="O130" s="9" t="str">
        <f>IF(N130="","",IF(COUNTIF(Precios!$G:$G,N130)=0,"⚠ No coincide con Precios","OK"))</f>
        <v>OK</v>
      </c>
    </row>
    <row r="131" spans="1:15" x14ac:dyDescent="0.2">
      <c r="A131" s="49">
        <v>45943</v>
      </c>
      <c r="B131" s="51" t="s">
        <v>2374</v>
      </c>
      <c r="C131" s="9" t="str" cm="1">
        <f t="array" ref="C131">IFERROR(_xlfn.XLOOKUP(B131,Personal!$A:$A,Personal!$D:$D,""),"")</f>
        <v>MUÑOZ TORRES MARTHA YNES</v>
      </c>
      <c r="D131" s="9" t="str" cm="1">
        <f t="array" ref="D131">IFERROR(_xlfn.XLOOKUP(B131,Personal!$A:$A,Personal!$C:$C,""),"")</f>
        <v>JESUS MARIA</v>
      </c>
      <c r="E131" s="9" t="str" cm="1">
        <f t="array" ref="E131">IFERROR(_xlfn.XLOOKUP(D131,Locales!$A:$A,Locales!$B:$B,""),"")</f>
        <v>LIMA E ICA PROVINCIA</v>
      </c>
      <c r="F131" s="9" t="str" cm="1">
        <f t="array" ref="F131">IFERROR(_xlfn.XLOOKUP(B131,Personal!$A:$A,Personal!$F:$F,""),"")</f>
        <v>PRODUCCIÓN / COCINA</v>
      </c>
      <c r="G131" s="9" t="s">
        <v>3869</v>
      </c>
      <c r="H131" s="9" t="s">
        <v>3876</v>
      </c>
      <c r="I131" s="10" cm="1">
        <f t="array" ref="I131">IFERROR(INDEX(Precios!$D:$F,MATCH(N131, Precios!$G:$G, 0),CHOOSE(MATCH(H131, {"SML";"XL";"XXL"}, 0), 1, 2, 3)), 0)</f>
        <v>4.5</v>
      </c>
      <c r="J131" s="9">
        <v>2</v>
      </c>
      <c r="K131" s="10">
        <f t="shared" si="6"/>
        <v>9</v>
      </c>
      <c r="L131" s="9" t="s">
        <v>4210</v>
      </c>
      <c r="N131" s="9" t="str">
        <f t="shared" si="7"/>
        <v>LIMA E ICA PROVINCIA|PRODUCCIÓN / COCINA|GARIBALDI GRIS</v>
      </c>
      <c r="O131" s="9" t="str">
        <f>IF(N131="","",IF(COUNTIF(Precios!$G:$G,N131)=0,"⚠ No coincide con Precios","OK"))</f>
        <v>OK</v>
      </c>
    </row>
    <row r="132" spans="1:15" x14ac:dyDescent="0.2">
      <c r="A132" s="49">
        <v>45943</v>
      </c>
      <c r="B132" s="51" t="s">
        <v>2374</v>
      </c>
      <c r="C132" s="9" t="str" cm="1">
        <f t="array" ref="C132">IFERROR(_xlfn.XLOOKUP(B132,Personal!$A:$A,Personal!$D:$D,""),"")</f>
        <v>MUÑOZ TORRES MARTHA YNES</v>
      </c>
      <c r="D132" s="9" t="str" cm="1">
        <f t="array" ref="D132">IFERROR(_xlfn.XLOOKUP(B132,Personal!$A:$A,Personal!$C:$C,""),"")</f>
        <v>JESUS MARIA</v>
      </c>
      <c r="E132" s="9" t="str" cm="1">
        <f t="array" ref="E132">IFERROR(_xlfn.XLOOKUP(D132,Locales!$A:$A,Locales!$B:$B,""),"")</f>
        <v>LIMA E ICA PROVINCIA</v>
      </c>
      <c r="F132" s="9" t="str" cm="1">
        <f t="array" ref="F132">IFERROR(_xlfn.XLOOKUP(B132,Personal!$A:$A,Personal!$F:$F,""),"")</f>
        <v>PRODUCCIÓN / COCINA</v>
      </c>
      <c r="G132" s="9" t="s">
        <v>3862</v>
      </c>
      <c r="H132" s="9" t="s">
        <v>3876</v>
      </c>
      <c r="I132" s="10" cm="1">
        <f t="array" ref="I132">IFERROR(INDEX(Precios!$D:$F,MATCH(N132, Precios!$G:$G, 0),CHOOSE(MATCH(H132, {"SML";"XL";"XXL"}, 0), 1, 2, 3)), 0)</f>
        <v>7.5</v>
      </c>
      <c r="J132" s="9">
        <v>2</v>
      </c>
      <c r="K132" s="10">
        <f t="shared" si="6"/>
        <v>15</v>
      </c>
      <c r="L132" s="9" t="s">
        <v>4210</v>
      </c>
      <c r="N132" s="9" t="str">
        <f t="shared" si="7"/>
        <v>LIMA E ICA PROVINCIA|PRODUCCIÓN / COCINA|POLO 30/1 GRIS</v>
      </c>
      <c r="O132" s="9" t="str">
        <f>IF(N132="","",IF(COUNTIF(Precios!$G:$G,N132)=0,"⚠ No coincide con Precios","OK"))</f>
        <v>OK</v>
      </c>
    </row>
    <row r="133" spans="1:15" x14ac:dyDescent="0.2">
      <c r="A133" s="49">
        <v>45973</v>
      </c>
      <c r="B133" s="51" t="s">
        <v>4002</v>
      </c>
      <c r="C133" s="9" t="str" cm="1">
        <f t="array" ref="C133">IFERROR(_xlfn.XLOOKUP(B133,Personal!$A:$A,Personal!$D:$D,""),"")</f>
        <v>BLAS DOMINGUEZ BRYAN</v>
      </c>
      <c r="D133" s="9" t="str" cm="1">
        <f t="array" ref="D133">IFERROR(_xlfn.XLOOKUP(B133,Personal!$A:$A,Personal!$C:$C,""),"")</f>
        <v>SAN MIGUEL</v>
      </c>
      <c r="E133" s="9" t="str" cm="1">
        <f t="array" ref="E133">IFERROR(_xlfn.XLOOKUP(D133,Locales!$A:$A,Locales!$B:$B,""),"")</f>
        <v>LIMA E ICA PROVINCIA</v>
      </c>
      <c r="F133" s="9" t="str" cm="1">
        <f t="array" ref="F133">IFERROR(_xlfn.XLOOKUP(B133,Personal!$A:$A,Personal!$F:$F,""),"")</f>
        <v>MOZO</v>
      </c>
      <c r="G133" s="9" t="s">
        <v>3852</v>
      </c>
      <c r="H133" s="9" t="s">
        <v>4211</v>
      </c>
      <c r="I133" s="10" cm="1">
        <f t="array" ref="I133">IFERROR(INDEX(Precios!$D:$F,MATCH(N133, Precios!$G:$G, 0),CHOOSE(MATCH(H133, {"SML";"XL";"XXL"}, 0), 1, 2, 3)), 0)</f>
        <v>18.5</v>
      </c>
      <c r="J133" s="9">
        <v>2</v>
      </c>
      <c r="K133" s="10">
        <f t="shared" si="6"/>
        <v>37</v>
      </c>
      <c r="L133" s="9" t="s">
        <v>4210</v>
      </c>
      <c r="N133" s="9" t="str">
        <f t="shared" si="7"/>
        <v>LIMA E ICA PROVINCIA|MOZO|CAMISA BLANCA (MANGA LARGA)</v>
      </c>
      <c r="O133" s="9" t="str">
        <f>IF(N133="","",IF(COUNTIF(Precios!$G:$G,N133)=0,"⚠ No coincide con Precios","OK"))</f>
        <v>OK</v>
      </c>
    </row>
    <row r="134" spans="1:15" x14ac:dyDescent="0.2">
      <c r="A134" s="49">
        <v>45973</v>
      </c>
      <c r="B134" s="51" t="s">
        <v>4002</v>
      </c>
      <c r="C134" s="9" t="str" cm="1">
        <f t="array" ref="C134">IFERROR(_xlfn.XLOOKUP(B134,Personal!$A:$A,Personal!$D:$D,""),"")</f>
        <v>BLAS DOMINGUEZ BRYAN</v>
      </c>
      <c r="D134" s="9" t="str" cm="1">
        <f t="array" ref="D134">IFERROR(_xlfn.XLOOKUP(B134,Personal!$A:$A,Personal!$C:$C,""),"")</f>
        <v>SAN MIGUEL</v>
      </c>
      <c r="E134" s="9" t="str" cm="1">
        <f t="array" ref="E134">IFERROR(_xlfn.XLOOKUP(D134,Locales!$A:$A,Locales!$B:$B,""),"")</f>
        <v>LIMA E ICA PROVINCIA</v>
      </c>
      <c r="F134" s="9" t="str" cm="1">
        <f t="array" ref="F134">IFERROR(_xlfn.XLOOKUP(B134,Personal!$A:$A,Personal!$F:$F,""),"")</f>
        <v>MOZO</v>
      </c>
      <c r="G134" s="9" t="s">
        <v>3853</v>
      </c>
      <c r="H134" s="9" t="s">
        <v>4211</v>
      </c>
      <c r="I134" s="10" cm="1">
        <f t="array" ref="I134">IFERROR(INDEX(Precios!$D:$F,MATCH(N134, Precios!$G:$G, 0),CHOOSE(MATCH(H134, {"SML";"XL";"XXL"}, 0), 1, 2, 3)), 0)</f>
        <v>7</v>
      </c>
      <c r="J134" s="9">
        <v>2</v>
      </c>
      <c r="K134" s="10">
        <f t="shared" si="6"/>
        <v>14</v>
      </c>
      <c r="L134" s="9" t="s">
        <v>4210</v>
      </c>
      <c r="N134" s="9" t="str">
        <f t="shared" si="7"/>
        <v>LIMA E ICA PROVINCIA|MOZO|MANDILON DRILL NEGRO</v>
      </c>
      <c r="O134" s="9" t="str">
        <f>IF(N134="","",IF(COUNTIF(Precios!$G:$G,N134)=0,"⚠ No coincide con Precios","OK"))</f>
        <v>OK</v>
      </c>
    </row>
    <row r="135" spans="1:15" x14ac:dyDescent="0.2">
      <c r="A135" s="49">
        <v>45973</v>
      </c>
      <c r="B135" s="51" t="s">
        <v>4002</v>
      </c>
      <c r="C135" s="9" t="str" cm="1">
        <f t="array" ref="C135">IFERROR(_xlfn.XLOOKUP(B135,Personal!$A:$A,Personal!$D:$D,""),"")</f>
        <v>BLAS DOMINGUEZ BRYAN</v>
      </c>
      <c r="D135" s="9" t="str" cm="1">
        <f t="array" ref="D135">IFERROR(_xlfn.XLOOKUP(B135,Personal!$A:$A,Personal!$C:$C,""),"")</f>
        <v>SAN MIGUEL</v>
      </c>
      <c r="E135" s="9" t="str" cm="1">
        <f t="array" ref="E135">IFERROR(_xlfn.XLOOKUP(D135,Locales!$A:$A,Locales!$B:$B,""),"")</f>
        <v>LIMA E ICA PROVINCIA</v>
      </c>
      <c r="F135" s="9" t="str" cm="1">
        <f t="array" ref="F135">IFERROR(_xlfn.XLOOKUP(B135,Personal!$A:$A,Personal!$F:$F,""),"")</f>
        <v>MOZO</v>
      </c>
      <c r="G135" s="9" t="s">
        <v>3854</v>
      </c>
      <c r="H135" s="9" t="s">
        <v>4211</v>
      </c>
      <c r="I135" s="10" cm="1">
        <f t="array" ref="I135">IFERROR(INDEX(Precios!$D:$F,MATCH(N135, Precios!$G:$G, 0),CHOOSE(MATCH(H135, {"SML";"XL";"XXL"}, 0), 1, 2, 3)), 0)</f>
        <v>1.75</v>
      </c>
      <c r="J135" s="9">
        <v>2</v>
      </c>
      <c r="K135" s="10">
        <f t="shared" si="6"/>
        <v>3.5</v>
      </c>
      <c r="L135" s="9" t="s">
        <v>4210</v>
      </c>
      <c r="N135" s="9" t="str">
        <f t="shared" si="7"/>
        <v>LIMA E ICA PROVINCIA|MOZO|ANDARIN GRANATE</v>
      </c>
      <c r="O135" s="9" t="str">
        <f>IF(N135="","",IF(COUNTIF(Precios!$G:$G,N135)=0,"⚠ No coincide con Precios","OK"))</f>
        <v>OK</v>
      </c>
    </row>
    <row r="136" spans="1:15" x14ac:dyDescent="0.2">
      <c r="A136" s="49">
        <v>45944</v>
      </c>
      <c r="B136" s="51" t="s">
        <v>2372</v>
      </c>
      <c r="C136" s="9" t="str" cm="1">
        <f t="array" ref="C136">IFERROR(_xlfn.XLOOKUP(B136,Personal!$A:$A,Personal!$D:$D,""),"")</f>
        <v>TUANAMA INUMA ALBERTANO</v>
      </c>
      <c r="D136" s="9" t="str" cm="1">
        <f t="array" ref="D136">IFERROR(_xlfn.XLOOKUP(B136,Personal!$A:$A,Personal!$C:$C,""),"")</f>
        <v>SURCO</v>
      </c>
      <c r="E136" s="9" t="str" cm="1">
        <f t="array" ref="E136">IFERROR(_xlfn.XLOOKUP(D136,Locales!$A:$A,Locales!$B:$B,""),"")</f>
        <v>LIMA E ICA PROVINCIA</v>
      </c>
      <c r="F136" s="9" t="str" cm="1">
        <f t="array" ref="F136">IFERROR(_xlfn.XLOOKUP(B136,Personal!$A:$A,Personal!$F:$F,""),"")</f>
        <v>SEGURIDAD</v>
      </c>
      <c r="G136" s="9" t="s">
        <v>3856</v>
      </c>
      <c r="H136" s="9" t="s">
        <v>3876</v>
      </c>
      <c r="I136" s="10" cm="1">
        <f t="array" ref="I136">IFERROR(INDEX(Precios!$D:$F,MATCH(N136, Precios!$G:$G, 0),CHOOSE(MATCH(H136, {"SML";"XL";"XXL"}, 0), 1, 2, 3)), 0)</f>
        <v>18</v>
      </c>
      <c r="J136" s="9">
        <v>2</v>
      </c>
      <c r="K136" s="10">
        <f t="shared" si="6"/>
        <v>36</v>
      </c>
      <c r="L136" s="9" t="s">
        <v>4210</v>
      </c>
      <c r="N136" s="9" t="str">
        <f t="shared" si="7"/>
        <v>LIMA E ICA PROVINCIA|SEGURIDAD|CAMISA CHARCOL MANGA LARGA</v>
      </c>
      <c r="O136" s="9" t="str">
        <f>IF(N136="","",IF(COUNTIF(Precios!$G:$G,N136)=0,"⚠ No coincide con Precios","OK"))</f>
        <v>OK</v>
      </c>
    </row>
    <row r="137" spans="1:15" x14ac:dyDescent="0.2">
      <c r="A137" s="49">
        <v>45944</v>
      </c>
      <c r="B137" s="51" t="s">
        <v>2372</v>
      </c>
      <c r="C137" s="9" t="str" cm="1">
        <f t="array" ref="C137">IFERROR(_xlfn.XLOOKUP(B137,Personal!$A:$A,Personal!$D:$D,""),"")</f>
        <v>TUANAMA INUMA ALBERTANO</v>
      </c>
      <c r="D137" s="9" t="str" cm="1">
        <f t="array" ref="D137">IFERROR(_xlfn.XLOOKUP(B137,Personal!$A:$A,Personal!$C:$C,""),"")</f>
        <v>SURCO</v>
      </c>
      <c r="E137" s="9" t="str" cm="1">
        <f t="array" ref="E137">IFERROR(_xlfn.XLOOKUP(D137,Locales!$A:$A,Locales!$B:$B,""),"")</f>
        <v>LIMA E ICA PROVINCIA</v>
      </c>
      <c r="F137" s="9" t="str" cm="1">
        <f t="array" ref="F137">IFERROR(_xlfn.XLOOKUP(B137,Personal!$A:$A,Personal!$F:$F,""),"")</f>
        <v>SEGURIDAD</v>
      </c>
      <c r="G137" s="9" t="s">
        <v>4222</v>
      </c>
      <c r="H137" s="9" t="s">
        <v>3876</v>
      </c>
      <c r="I137" s="10" cm="1">
        <f t="array" ref="I137">IFERROR(INDEX(Precios!$D:$F,MATCH(N137, Precios!$G:$G, 0),CHOOSE(MATCH(H137, {"SML";"XL";"XXL"}, 0), 1, 2, 3)), 0)</f>
        <v>39</v>
      </c>
      <c r="J137" s="9">
        <v>1</v>
      </c>
      <c r="K137" s="10">
        <f t="shared" si="6"/>
        <v>39</v>
      </c>
      <c r="L137" s="9" t="s">
        <v>4210</v>
      </c>
      <c r="N137" s="9" t="str">
        <f t="shared" si="7"/>
        <v>LIMA E ICA PROVINCIA|SEGURIDAD|CASACA NEGRA SEGURIDAD</v>
      </c>
      <c r="O137" s="9" t="str">
        <f>IF(N137="","",IF(COUNTIF(Precios!$G:$G,N137)=0,"⚠ No coincide con Precios","OK"))</f>
        <v>OK</v>
      </c>
    </row>
    <row r="138" spans="1:15" x14ac:dyDescent="0.2">
      <c r="A138" s="49">
        <v>45944</v>
      </c>
      <c r="B138" s="51" t="s">
        <v>2975</v>
      </c>
      <c r="C138" s="9" t="str" cm="1">
        <f t="array" ref="C138">IFERROR(_xlfn.XLOOKUP(B138,Personal!$A:$A,Personal!$D:$D,""),"")</f>
        <v>JULCAMANYAN ÑACO YESSENIA</v>
      </c>
      <c r="D138" s="9" t="str" cm="1">
        <f t="array" ref="D138">IFERROR(_xlfn.XLOOKUP(B138,Personal!$A:$A,Personal!$C:$C,""),"")</f>
        <v>SURCO</v>
      </c>
      <c r="E138" s="9" t="str" cm="1">
        <f t="array" ref="E138">IFERROR(_xlfn.XLOOKUP(D138,Locales!$A:$A,Locales!$B:$B,""),"")</f>
        <v>LIMA E ICA PROVINCIA</v>
      </c>
      <c r="F138" s="9" t="str" cm="1">
        <f t="array" ref="F138">IFERROR(_xlfn.XLOOKUP(B138,Personal!$A:$A,Personal!$F:$F,""),"")</f>
        <v xml:space="preserve">ANFITRIONAJE </v>
      </c>
      <c r="G138" s="9" t="s">
        <v>3858</v>
      </c>
      <c r="H138" s="9" t="s">
        <v>3876</v>
      </c>
      <c r="I138" s="10" cm="1">
        <f t="array" ref="I138">IFERROR(INDEX(Precios!$D:$F,MATCH(N138, Precios!$G:$G, 0),CHOOSE(MATCH(H138, {"SML";"XL";"XXL"}, 0), 1, 2, 3)), 0)</f>
        <v>18</v>
      </c>
      <c r="J138" s="9">
        <v>2</v>
      </c>
      <c r="K138" s="10">
        <f t="shared" si="6"/>
        <v>36</v>
      </c>
      <c r="L138" s="9" t="s">
        <v>4210</v>
      </c>
      <c r="N138" s="9" t="str">
        <f t="shared" si="7"/>
        <v>LIMA E ICA PROVINCIA|ANFITRIONAJE|BLUSA COLOR NEGRO MANGA LARGA</v>
      </c>
      <c r="O138" s="9" t="str">
        <f>IF(N138="","",IF(COUNTIF(Precios!$G:$G,N138)=0,"⚠ No coincide con Precios","OK"))</f>
        <v>OK</v>
      </c>
    </row>
    <row r="139" spans="1:15" x14ac:dyDescent="0.2">
      <c r="A139" s="49">
        <v>45944</v>
      </c>
      <c r="B139" s="51" t="s">
        <v>2975</v>
      </c>
      <c r="C139" s="9" t="str" cm="1">
        <f t="array" ref="C139">IFERROR(_xlfn.XLOOKUP(B139,Personal!$A:$A,Personal!$D:$D,""),"")</f>
        <v>JULCAMANYAN ÑACO YESSENIA</v>
      </c>
      <c r="D139" s="9" t="str" cm="1">
        <f t="array" ref="D139">IFERROR(_xlfn.XLOOKUP(B139,Personal!$A:$A,Personal!$C:$C,""),"")</f>
        <v>SURCO</v>
      </c>
      <c r="E139" s="9" t="str" cm="1">
        <f t="array" ref="E139">IFERROR(_xlfn.XLOOKUP(D139,Locales!$A:$A,Locales!$B:$B,""),"")</f>
        <v>LIMA E ICA PROVINCIA</v>
      </c>
      <c r="F139" s="9" t="str" cm="1">
        <f t="array" ref="F139">IFERROR(_xlfn.XLOOKUP(B139,Personal!$A:$A,Personal!$F:$F,""),"")</f>
        <v xml:space="preserve">ANFITRIONAJE </v>
      </c>
      <c r="G139" s="9" t="s">
        <v>4224</v>
      </c>
      <c r="H139" s="9" t="s">
        <v>3876</v>
      </c>
      <c r="I139" s="10" cm="1">
        <f t="array" ref="I139">IFERROR(INDEX(Precios!$D:$F,MATCH(N139, Precios!$G:$G, 0),CHOOSE(MATCH(H139, {"SML";"XL";"XXL"}, 0), 1, 2, 3)), 0)</f>
        <v>35</v>
      </c>
      <c r="J139" s="9">
        <v>1</v>
      </c>
      <c r="K139" s="10">
        <f t="shared" si="6"/>
        <v>35</v>
      </c>
      <c r="L139" s="9" t="s">
        <v>4210</v>
      </c>
      <c r="N139" s="9" t="str">
        <f t="shared" si="7"/>
        <v>LIMA E ICA PROVINCIA|ANFITRIONAJE|SACO NEGRO ANFITRIONAJE MUJER</v>
      </c>
      <c r="O139" s="9" t="str">
        <f>IF(N139="","",IF(COUNTIF(Precios!$G:$G,N139)=0,"⚠ No coincide con Precios","OK"))</f>
        <v>OK</v>
      </c>
    </row>
    <row r="140" spans="1:15" x14ac:dyDescent="0.2">
      <c r="A140" s="49">
        <v>45944</v>
      </c>
      <c r="B140" s="51" t="s">
        <v>2557</v>
      </c>
      <c r="C140" s="9" t="str" cm="1">
        <f t="array" ref="C140">IFERROR(_xlfn.XLOOKUP(B140,Personal!$A:$A,Personal!$D:$D,""),"")</f>
        <v>FELIX ESCOVEDO XIOMARA WALESKA</v>
      </c>
      <c r="D140" s="9" t="str" cm="1">
        <f t="array" ref="D140">IFERROR(_xlfn.XLOOKUP(B140,Personal!$A:$A,Personal!$C:$C,""),"")</f>
        <v>SURCO</v>
      </c>
      <c r="E140" s="9" t="str" cm="1">
        <f t="array" ref="E140">IFERROR(_xlfn.XLOOKUP(D140,Locales!$A:$A,Locales!$B:$B,""),"")</f>
        <v>LIMA E ICA PROVINCIA</v>
      </c>
      <c r="F140" s="9" t="str" cm="1">
        <f t="array" ref="F140">IFERROR(_xlfn.XLOOKUP(B140,Personal!$A:$A,Personal!$F:$F,""),"")</f>
        <v xml:space="preserve">ANFITRIONAJE </v>
      </c>
      <c r="G140" s="9" t="s">
        <v>3858</v>
      </c>
      <c r="H140" s="9" t="s">
        <v>3876</v>
      </c>
      <c r="I140" s="10" cm="1">
        <f t="array" ref="I140">IFERROR(INDEX(Precios!$D:$F,MATCH(N140, Precios!$G:$G, 0),CHOOSE(MATCH(H140, {"SML";"XL";"XXL"}, 0), 1, 2, 3)), 0)</f>
        <v>18</v>
      </c>
      <c r="J140" s="9">
        <v>2</v>
      </c>
      <c r="K140" s="10">
        <f t="shared" si="6"/>
        <v>36</v>
      </c>
      <c r="L140" s="9" t="s">
        <v>4210</v>
      </c>
      <c r="N140" s="9" t="str">
        <f t="shared" si="7"/>
        <v>LIMA E ICA PROVINCIA|ANFITRIONAJE|BLUSA COLOR NEGRO MANGA LARGA</v>
      </c>
      <c r="O140" s="9" t="str">
        <f>IF(N140="","",IF(COUNTIF(Precios!$G:$G,N140)=0,"⚠ No coincide con Precios","OK"))</f>
        <v>OK</v>
      </c>
    </row>
    <row r="141" spans="1:15" x14ac:dyDescent="0.2">
      <c r="A141" s="49">
        <v>45944</v>
      </c>
      <c r="B141" s="51" t="s">
        <v>2557</v>
      </c>
      <c r="C141" s="9" t="str" cm="1">
        <f t="array" ref="C141">IFERROR(_xlfn.XLOOKUP(B141,Personal!$A:$A,Personal!$D:$D,""),"")</f>
        <v>FELIX ESCOVEDO XIOMARA WALESKA</v>
      </c>
      <c r="D141" s="9" t="str" cm="1">
        <f t="array" ref="D141">IFERROR(_xlfn.XLOOKUP(B141,Personal!$A:$A,Personal!$C:$C,""),"")</f>
        <v>SURCO</v>
      </c>
      <c r="E141" s="9" t="str" cm="1">
        <f t="array" ref="E141">IFERROR(_xlfn.XLOOKUP(D141,Locales!$A:$A,Locales!$B:$B,""),"")</f>
        <v>LIMA E ICA PROVINCIA</v>
      </c>
      <c r="F141" s="9" t="str" cm="1">
        <f t="array" ref="F141">IFERROR(_xlfn.XLOOKUP(B141,Personal!$A:$A,Personal!$F:$F,""),"")</f>
        <v xml:space="preserve">ANFITRIONAJE </v>
      </c>
      <c r="G141" s="9" t="s">
        <v>4224</v>
      </c>
      <c r="H141" s="9" t="s">
        <v>3876</v>
      </c>
      <c r="I141" s="10" cm="1">
        <f t="array" ref="I141">IFERROR(INDEX(Precios!$D:$F,MATCH(N141, Precios!$G:$G, 0),CHOOSE(MATCH(H141, {"SML";"XL";"XXL"}, 0), 1, 2, 3)), 0)</f>
        <v>35</v>
      </c>
      <c r="J141" s="9">
        <v>1</v>
      </c>
      <c r="K141" s="10">
        <f t="shared" si="6"/>
        <v>35</v>
      </c>
      <c r="L141" s="9" t="s">
        <v>4210</v>
      </c>
      <c r="N141" s="9" t="str">
        <f t="shared" si="7"/>
        <v>LIMA E ICA PROVINCIA|ANFITRIONAJE|SACO NEGRO ANFITRIONAJE MUJER</v>
      </c>
      <c r="O141" s="9" t="str">
        <f>IF(N141="","",IF(COUNTIF(Precios!$G:$G,N141)=0,"⚠ No coincide con Precios","OK"))</f>
        <v>OK</v>
      </c>
    </row>
    <row r="142" spans="1:15" x14ac:dyDescent="0.2">
      <c r="A142" s="49">
        <v>45944</v>
      </c>
      <c r="B142" s="51" t="s">
        <v>2449</v>
      </c>
      <c r="C142" s="9" t="str" cm="1">
        <f t="array" ref="C142">IFERROR(_xlfn.XLOOKUP(B142,Personal!$A:$A,Personal!$D:$D,""),"")</f>
        <v>IZUISA PEREZ KERVIN</v>
      </c>
      <c r="D142" s="9" t="str" cm="1">
        <f t="array" ref="D142">IFERROR(_xlfn.XLOOKUP(B142,Personal!$A:$A,Personal!$C:$C,""),"")</f>
        <v>SURCO</v>
      </c>
      <c r="E142" s="9" t="str" cm="1">
        <f t="array" ref="E142">IFERROR(_xlfn.XLOOKUP(D142,Locales!$A:$A,Locales!$B:$B,""),"")</f>
        <v>LIMA E ICA PROVINCIA</v>
      </c>
      <c r="F142" s="9" t="str" cm="1">
        <f t="array" ref="F142">IFERROR(_xlfn.XLOOKUP(B142,Personal!$A:$A,Personal!$F:$F,""),"")</f>
        <v>PRODUCCIÓN / COCINA</v>
      </c>
      <c r="G142" s="9" t="s">
        <v>47</v>
      </c>
      <c r="H142" s="9" t="s">
        <v>3876</v>
      </c>
      <c r="I142" s="10" cm="1">
        <f t="array" ref="I142">IFERROR(INDEX(Precios!$D:$F,MATCH(N142, Precios!$G:$G, 0),CHOOSE(MATCH(H142, {"SML";"XL";"XXL"}, 0), 1, 2, 3)), 0)</f>
        <v>16.25</v>
      </c>
      <c r="J142" s="9">
        <v>2</v>
      </c>
      <c r="K142" s="10">
        <f t="shared" si="6"/>
        <v>32.5</v>
      </c>
      <c r="L142" s="9" t="s">
        <v>4210</v>
      </c>
      <c r="N142" s="9" t="str">
        <f t="shared" si="7"/>
        <v>LIMA E ICA PROVINCIA|PRODUCCIÓN / COCINA|CHAQUETA DRILL BLANCO</v>
      </c>
      <c r="O142" s="9" t="str">
        <f>IF(N142="","",IF(COUNTIF(Precios!$G:$G,N142)=0,"⚠ No coincide con Precios","OK"))</f>
        <v>OK</v>
      </c>
    </row>
    <row r="143" spans="1:15" x14ac:dyDescent="0.2">
      <c r="A143" s="49">
        <v>45944</v>
      </c>
      <c r="B143" s="51" t="s">
        <v>2449</v>
      </c>
      <c r="C143" s="9" t="str" cm="1">
        <f t="array" ref="C143">IFERROR(_xlfn.XLOOKUP(B143,Personal!$A:$A,Personal!$D:$D,""),"")</f>
        <v>IZUISA PEREZ KERVIN</v>
      </c>
      <c r="D143" s="9" t="str" cm="1">
        <f t="array" ref="D143">IFERROR(_xlfn.XLOOKUP(B143,Personal!$A:$A,Personal!$C:$C,""),"")</f>
        <v>SURCO</v>
      </c>
      <c r="E143" s="9" t="str" cm="1">
        <f t="array" ref="E143">IFERROR(_xlfn.XLOOKUP(D143,Locales!$A:$A,Locales!$B:$B,""),"")</f>
        <v>LIMA E ICA PROVINCIA</v>
      </c>
      <c r="F143" s="9" t="str" cm="1">
        <f t="array" ref="F143">IFERROR(_xlfn.XLOOKUP(B143,Personal!$A:$A,Personal!$F:$F,""),"")</f>
        <v>PRODUCCIÓN / COCINA</v>
      </c>
      <c r="G143" s="9" t="s">
        <v>3867</v>
      </c>
      <c r="H143" s="9" t="s">
        <v>3876</v>
      </c>
      <c r="I143" s="10" cm="1">
        <f t="array" ref="I143">IFERROR(INDEX(Precios!$D:$F,MATCH(N143, Precios!$G:$G, 0),CHOOSE(MATCH(H143, {"SML";"XL";"XXL"}, 0), 1, 2, 3)), 0)</f>
        <v>11</v>
      </c>
      <c r="J143" s="9">
        <v>2</v>
      </c>
      <c r="K143" s="10">
        <f t="shared" si="6"/>
        <v>22</v>
      </c>
      <c r="L143" s="9" t="s">
        <v>4210</v>
      </c>
      <c r="N143" s="9" t="str">
        <f t="shared" si="7"/>
        <v>LIMA E ICA PROVINCIA|PRODUCCIÓN / COCINA|PANTALÓN SAL Y PIMIENTA</v>
      </c>
      <c r="O143" s="9" t="str">
        <f>IF(N143="","",IF(COUNTIF(Precios!$G:$G,N143)=0,"⚠ No coincide con Precios","OK"))</f>
        <v>OK</v>
      </c>
    </row>
    <row r="144" spans="1:15" x14ac:dyDescent="0.2">
      <c r="A144" s="49">
        <v>45944</v>
      </c>
      <c r="B144" s="51" t="s">
        <v>2449</v>
      </c>
      <c r="C144" s="9" t="str" cm="1">
        <f t="array" ref="C144">IFERROR(_xlfn.XLOOKUP(B144,Personal!$A:$A,Personal!$D:$D,""),"")</f>
        <v>IZUISA PEREZ KERVIN</v>
      </c>
      <c r="D144" s="9" t="str" cm="1">
        <f t="array" ref="D144">IFERROR(_xlfn.XLOOKUP(B144,Personal!$A:$A,Personal!$C:$C,""),"")</f>
        <v>SURCO</v>
      </c>
      <c r="E144" s="9" t="str" cm="1">
        <f t="array" ref="E144">IFERROR(_xlfn.XLOOKUP(D144,Locales!$A:$A,Locales!$B:$B,""),"")</f>
        <v>LIMA E ICA PROVINCIA</v>
      </c>
      <c r="F144" s="9" t="str" cm="1">
        <f t="array" ref="F144">IFERROR(_xlfn.XLOOKUP(B144,Personal!$A:$A,Personal!$F:$F,""),"")</f>
        <v>PRODUCCIÓN / COCINA</v>
      </c>
      <c r="G144" s="9" t="s">
        <v>3868</v>
      </c>
      <c r="H144" s="9" t="s">
        <v>3876</v>
      </c>
      <c r="I144" s="10" cm="1">
        <f t="array" ref="I144">IFERROR(INDEX(Precios!$D:$F,MATCH(N144, Precios!$G:$G, 0),CHOOSE(MATCH(H144, {"SML";"XL";"XXL"}, 0), 1, 2, 3)), 0)</f>
        <v>6.5</v>
      </c>
      <c r="J144" s="9">
        <v>2</v>
      </c>
      <c r="K144" s="10">
        <f t="shared" si="6"/>
        <v>13</v>
      </c>
      <c r="L144" s="9" t="s">
        <v>4210</v>
      </c>
      <c r="N144" s="9" t="str">
        <f t="shared" si="7"/>
        <v>LIMA E ICA PROVINCIA|PRODUCCIÓN / COCINA|PECHERA GRIS EN DRILL</v>
      </c>
      <c r="O144" s="9" t="str">
        <f>IF(N144="","",IF(COUNTIF(Precios!$G:$G,N144)=0,"⚠ No coincide con Precios","OK"))</f>
        <v>OK</v>
      </c>
    </row>
    <row r="145" spans="1:15" x14ac:dyDescent="0.2">
      <c r="A145" s="49">
        <v>45944</v>
      </c>
      <c r="B145" s="51" t="s">
        <v>2449</v>
      </c>
      <c r="C145" s="9" t="str" cm="1">
        <f t="array" ref="C145">IFERROR(_xlfn.XLOOKUP(B145,Personal!$A:$A,Personal!$D:$D,""),"")</f>
        <v>IZUISA PEREZ KERVIN</v>
      </c>
      <c r="D145" s="9" t="str" cm="1">
        <f t="array" ref="D145">IFERROR(_xlfn.XLOOKUP(B145,Personal!$A:$A,Personal!$C:$C,""),"")</f>
        <v>SURCO</v>
      </c>
      <c r="E145" s="9" t="str" cm="1">
        <f t="array" ref="E145">IFERROR(_xlfn.XLOOKUP(D145,Locales!$A:$A,Locales!$B:$B,""),"")</f>
        <v>LIMA E ICA PROVINCIA</v>
      </c>
      <c r="F145" s="9" t="str" cm="1">
        <f t="array" ref="F145">IFERROR(_xlfn.XLOOKUP(B145,Personal!$A:$A,Personal!$F:$F,""),"")</f>
        <v>PRODUCCIÓN / COCINA</v>
      </c>
      <c r="G145" s="9" t="s">
        <v>3869</v>
      </c>
      <c r="H145" s="9" t="s">
        <v>3876</v>
      </c>
      <c r="I145" s="10" cm="1">
        <f t="array" ref="I145">IFERROR(INDEX(Precios!$D:$F,MATCH(N145, Precios!$G:$G, 0),CHOOSE(MATCH(H145, {"SML";"XL";"XXL"}, 0), 1, 2, 3)), 0)</f>
        <v>4.5</v>
      </c>
      <c r="J145" s="9">
        <v>2</v>
      </c>
      <c r="K145" s="10">
        <f t="shared" si="6"/>
        <v>9</v>
      </c>
      <c r="L145" s="9" t="s">
        <v>4210</v>
      </c>
      <c r="N145" s="9" t="str">
        <f t="shared" si="7"/>
        <v>LIMA E ICA PROVINCIA|PRODUCCIÓN / COCINA|GARIBALDI GRIS</v>
      </c>
      <c r="O145" s="9" t="str">
        <f>IF(N145="","",IF(COUNTIF(Precios!$G:$G,N145)=0,"⚠ No coincide con Precios","OK"))</f>
        <v>OK</v>
      </c>
    </row>
    <row r="146" spans="1:15" x14ac:dyDescent="0.2">
      <c r="A146" s="49">
        <v>45944</v>
      </c>
      <c r="B146" s="51" t="s">
        <v>2449</v>
      </c>
      <c r="C146" s="9" t="str" cm="1">
        <f t="array" ref="C146">IFERROR(_xlfn.XLOOKUP(B146,Personal!$A:$A,Personal!$D:$D,""),"")</f>
        <v>IZUISA PEREZ KERVIN</v>
      </c>
      <c r="D146" s="9" t="str" cm="1">
        <f t="array" ref="D146">IFERROR(_xlfn.XLOOKUP(B146,Personal!$A:$A,Personal!$C:$C,""),"")</f>
        <v>SURCO</v>
      </c>
      <c r="E146" s="9" t="str" cm="1">
        <f t="array" ref="E146">IFERROR(_xlfn.XLOOKUP(D146,Locales!$A:$A,Locales!$B:$B,""),"")</f>
        <v>LIMA E ICA PROVINCIA</v>
      </c>
      <c r="F146" s="9" t="str" cm="1">
        <f t="array" ref="F146">IFERROR(_xlfn.XLOOKUP(B146,Personal!$A:$A,Personal!$F:$F,""),"")</f>
        <v>PRODUCCIÓN / COCINA</v>
      </c>
      <c r="G146" s="9" t="s">
        <v>3862</v>
      </c>
      <c r="H146" s="9" t="s">
        <v>3876</v>
      </c>
      <c r="I146" s="10" cm="1">
        <f t="array" ref="I146">IFERROR(INDEX(Precios!$D:$F,MATCH(N146, Precios!$G:$G, 0),CHOOSE(MATCH(H146, {"SML";"XL";"XXL"}, 0), 1, 2, 3)), 0)</f>
        <v>7.5</v>
      </c>
      <c r="J146" s="9">
        <v>2</v>
      </c>
      <c r="K146" s="10">
        <f t="shared" si="6"/>
        <v>15</v>
      </c>
      <c r="L146" s="9" t="s">
        <v>4210</v>
      </c>
      <c r="N146" s="9" t="str">
        <f t="shared" si="7"/>
        <v>LIMA E ICA PROVINCIA|PRODUCCIÓN / COCINA|POLO 30/1 GRIS</v>
      </c>
      <c r="O146" s="9" t="str">
        <f>IF(N146="","",IF(COUNTIF(Precios!$G:$G,N146)=0,"⚠ No coincide con Precios","OK"))</f>
        <v>OK</v>
      </c>
    </row>
    <row r="147" spans="1:15" x14ac:dyDescent="0.2">
      <c r="A147" s="49">
        <v>45944</v>
      </c>
      <c r="B147" s="51" t="s">
        <v>2081</v>
      </c>
      <c r="C147" s="9" t="str" cm="1">
        <f t="array" ref="C147">IFERROR(_xlfn.XLOOKUP(B147,Personal!$A:$A,Personal!$D:$D,""),"")</f>
        <v>FLORES TUCTO SEGUNDO ANDRES</v>
      </c>
      <c r="D147" s="9" t="str" cm="1">
        <f t="array" ref="D147">IFERROR(_xlfn.XLOOKUP(B147,Personal!$A:$A,Personal!$C:$C,""),"")</f>
        <v>SURCO</v>
      </c>
      <c r="E147" s="9" t="str" cm="1">
        <f t="array" ref="E147">IFERROR(_xlfn.XLOOKUP(D147,Locales!$A:$A,Locales!$B:$B,""),"")</f>
        <v>LIMA E ICA PROVINCIA</v>
      </c>
      <c r="F147" s="9" t="str" cm="1">
        <f t="array" ref="F147">IFERROR(_xlfn.XLOOKUP(B147,Personal!$A:$A,Personal!$F:$F,""),"")</f>
        <v>PRODUCCIÓN / COCINA</v>
      </c>
      <c r="G147" s="9" t="s">
        <v>47</v>
      </c>
      <c r="H147" s="9" t="s">
        <v>3876</v>
      </c>
      <c r="I147" s="10" cm="1">
        <f t="array" ref="I147">IFERROR(INDEX(Precios!$D:$F,MATCH(N147, Precios!$G:$G, 0),CHOOSE(MATCH(H147, {"SML";"XL";"XXL"}, 0), 1, 2, 3)), 0)</f>
        <v>16.25</v>
      </c>
      <c r="J147" s="9">
        <v>2</v>
      </c>
      <c r="K147" s="10">
        <f t="shared" si="6"/>
        <v>32.5</v>
      </c>
      <c r="L147" s="9" t="s">
        <v>4210</v>
      </c>
      <c r="N147" s="9" t="str">
        <f t="shared" si="7"/>
        <v>LIMA E ICA PROVINCIA|PRODUCCIÓN / COCINA|CHAQUETA DRILL BLANCO</v>
      </c>
      <c r="O147" s="9" t="str">
        <f>IF(N147="","",IF(COUNTIF(Precios!$G:$G,N147)=0,"⚠ No coincide con Precios","OK"))</f>
        <v>OK</v>
      </c>
    </row>
    <row r="148" spans="1:15" x14ac:dyDescent="0.2">
      <c r="A148" s="49">
        <v>45944</v>
      </c>
      <c r="B148" s="51" t="s">
        <v>2081</v>
      </c>
      <c r="C148" s="9" t="str" cm="1">
        <f t="array" ref="C148">IFERROR(_xlfn.XLOOKUP(B148,Personal!$A:$A,Personal!$D:$D,""),"")</f>
        <v>FLORES TUCTO SEGUNDO ANDRES</v>
      </c>
      <c r="D148" s="9" t="str" cm="1">
        <f t="array" ref="D148">IFERROR(_xlfn.XLOOKUP(B148,Personal!$A:$A,Personal!$C:$C,""),"")</f>
        <v>SURCO</v>
      </c>
      <c r="E148" s="9" t="str" cm="1">
        <f t="array" ref="E148">IFERROR(_xlfn.XLOOKUP(D148,Locales!$A:$A,Locales!$B:$B,""),"")</f>
        <v>LIMA E ICA PROVINCIA</v>
      </c>
      <c r="F148" s="9" t="str" cm="1">
        <f t="array" ref="F148">IFERROR(_xlfn.XLOOKUP(B148,Personal!$A:$A,Personal!$F:$F,""),"")</f>
        <v>PRODUCCIÓN / COCINA</v>
      </c>
      <c r="G148" s="9" t="s">
        <v>3867</v>
      </c>
      <c r="H148" s="9" t="s">
        <v>3876</v>
      </c>
      <c r="I148" s="10" cm="1">
        <f t="array" ref="I148">IFERROR(INDEX(Precios!$D:$F,MATCH(N148, Precios!$G:$G, 0),CHOOSE(MATCH(H148, {"SML";"XL";"XXL"}, 0), 1, 2, 3)), 0)</f>
        <v>11</v>
      </c>
      <c r="J148" s="9">
        <v>2</v>
      </c>
      <c r="K148" s="10">
        <f t="shared" si="6"/>
        <v>22</v>
      </c>
      <c r="L148" s="9" t="s">
        <v>4210</v>
      </c>
      <c r="N148" s="9" t="str">
        <f t="shared" si="7"/>
        <v>LIMA E ICA PROVINCIA|PRODUCCIÓN / COCINA|PANTALÓN SAL Y PIMIENTA</v>
      </c>
      <c r="O148" s="9" t="str">
        <f>IF(N148="","",IF(COUNTIF(Precios!$G:$G,N148)=0,"⚠ No coincide con Precios","OK"))</f>
        <v>OK</v>
      </c>
    </row>
    <row r="149" spans="1:15" x14ac:dyDescent="0.2">
      <c r="A149" s="49">
        <v>45944</v>
      </c>
      <c r="B149" s="51" t="s">
        <v>2081</v>
      </c>
      <c r="C149" s="9" t="str" cm="1">
        <f t="array" ref="C149">IFERROR(_xlfn.XLOOKUP(B149,Personal!$A:$A,Personal!$D:$D,""),"")</f>
        <v>FLORES TUCTO SEGUNDO ANDRES</v>
      </c>
      <c r="D149" s="9" t="str" cm="1">
        <f t="array" ref="D149">IFERROR(_xlfn.XLOOKUP(B149,Personal!$A:$A,Personal!$C:$C,""),"")</f>
        <v>SURCO</v>
      </c>
      <c r="E149" s="9" t="str" cm="1">
        <f t="array" ref="E149">IFERROR(_xlfn.XLOOKUP(D149,Locales!$A:$A,Locales!$B:$B,""),"")</f>
        <v>LIMA E ICA PROVINCIA</v>
      </c>
      <c r="F149" s="9" t="str" cm="1">
        <f t="array" ref="F149">IFERROR(_xlfn.XLOOKUP(B149,Personal!$A:$A,Personal!$F:$F,""),"")</f>
        <v>PRODUCCIÓN / COCINA</v>
      </c>
      <c r="G149" s="9" t="s">
        <v>3868</v>
      </c>
      <c r="H149" s="9" t="s">
        <v>3876</v>
      </c>
      <c r="I149" s="10" cm="1">
        <f t="array" ref="I149">IFERROR(INDEX(Precios!$D:$F,MATCH(N149, Precios!$G:$G, 0),CHOOSE(MATCH(H149, {"SML";"XL";"XXL"}, 0), 1, 2, 3)), 0)</f>
        <v>6.5</v>
      </c>
      <c r="J149" s="9">
        <v>2</v>
      </c>
      <c r="K149" s="10">
        <f t="shared" si="6"/>
        <v>13</v>
      </c>
      <c r="L149" s="9" t="s">
        <v>4210</v>
      </c>
      <c r="N149" s="9" t="str">
        <f t="shared" si="7"/>
        <v>LIMA E ICA PROVINCIA|PRODUCCIÓN / COCINA|PECHERA GRIS EN DRILL</v>
      </c>
      <c r="O149" s="9" t="str">
        <f>IF(N149="","",IF(COUNTIF(Precios!$G:$G,N149)=0,"⚠ No coincide con Precios","OK"))</f>
        <v>OK</v>
      </c>
    </row>
    <row r="150" spans="1:15" x14ac:dyDescent="0.2">
      <c r="A150" s="49">
        <v>45944</v>
      </c>
      <c r="B150" s="51" t="s">
        <v>2081</v>
      </c>
      <c r="C150" s="9" t="str" cm="1">
        <f t="array" ref="C150">IFERROR(_xlfn.XLOOKUP(B150,Personal!$A:$A,Personal!$D:$D,""),"")</f>
        <v>FLORES TUCTO SEGUNDO ANDRES</v>
      </c>
      <c r="D150" s="9" t="str" cm="1">
        <f t="array" ref="D150">IFERROR(_xlfn.XLOOKUP(B150,Personal!$A:$A,Personal!$C:$C,""),"")</f>
        <v>SURCO</v>
      </c>
      <c r="E150" s="9" t="str" cm="1">
        <f t="array" ref="E150">IFERROR(_xlfn.XLOOKUP(D150,Locales!$A:$A,Locales!$B:$B,""),"")</f>
        <v>LIMA E ICA PROVINCIA</v>
      </c>
      <c r="F150" s="9" t="str" cm="1">
        <f t="array" ref="F150">IFERROR(_xlfn.XLOOKUP(B150,Personal!$A:$A,Personal!$F:$F,""),"")</f>
        <v>PRODUCCIÓN / COCINA</v>
      </c>
      <c r="G150" s="9" t="s">
        <v>3869</v>
      </c>
      <c r="H150" s="9" t="s">
        <v>3876</v>
      </c>
      <c r="I150" s="10" cm="1">
        <f t="array" ref="I150">IFERROR(INDEX(Precios!$D:$F,MATCH(N150, Precios!$G:$G, 0),CHOOSE(MATCH(H150, {"SML";"XL";"XXL"}, 0), 1, 2, 3)), 0)</f>
        <v>4.5</v>
      </c>
      <c r="J150" s="9">
        <v>2</v>
      </c>
      <c r="K150" s="10">
        <f t="shared" si="6"/>
        <v>9</v>
      </c>
      <c r="L150" s="9" t="s">
        <v>4210</v>
      </c>
      <c r="N150" s="9" t="str">
        <f t="shared" si="7"/>
        <v>LIMA E ICA PROVINCIA|PRODUCCIÓN / COCINA|GARIBALDI GRIS</v>
      </c>
      <c r="O150" s="9" t="str">
        <f>IF(N150="","",IF(COUNTIF(Precios!$G:$G,N150)=0,"⚠ No coincide con Precios","OK"))</f>
        <v>OK</v>
      </c>
    </row>
    <row r="151" spans="1:15" x14ac:dyDescent="0.2">
      <c r="A151" s="49">
        <v>45944</v>
      </c>
      <c r="B151" s="51" t="s">
        <v>2081</v>
      </c>
      <c r="C151" s="9" t="str" cm="1">
        <f t="array" ref="C151">IFERROR(_xlfn.XLOOKUP(B151,Personal!$A:$A,Personal!$D:$D,""),"")</f>
        <v>FLORES TUCTO SEGUNDO ANDRES</v>
      </c>
      <c r="D151" s="9" t="str" cm="1">
        <f t="array" ref="D151">IFERROR(_xlfn.XLOOKUP(B151,Personal!$A:$A,Personal!$C:$C,""),"")</f>
        <v>SURCO</v>
      </c>
      <c r="E151" s="9" t="str" cm="1">
        <f t="array" ref="E151">IFERROR(_xlfn.XLOOKUP(D151,Locales!$A:$A,Locales!$B:$B,""),"")</f>
        <v>LIMA E ICA PROVINCIA</v>
      </c>
      <c r="F151" s="9" t="str" cm="1">
        <f t="array" ref="F151">IFERROR(_xlfn.XLOOKUP(B151,Personal!$A:$A,Personal!$F:$F,""),"")</f>
        <v>PRODUCCIÓN / COCINA</v>
      </c>
      <c r="G151" s="9" t="s">
        <v>3862</v>
      </c>
      <c r="H151" s="9" t="s">
        <v>3876</v>
      </c>
      <c r="I151" s="10" cm="1">
        <f t="array" ref="I151">IFERROR(INDEX(Precios!$D:$F,MATCH(N151, Precios!$G:$G, 0),CHOOSE(MATCH(H151, {"SML";"XL";"XXL"}, 0), 1, 2, 3)), 0)</f>
        <v>7.5</v>
      </c>
      <c r="J151" s="9">
        <v>2</v>
      </c>
      <c r="K151" s="10">
        <f t="shared" si="6"/>
        <v>15</v>
      </c>
      <c r="L151" s="9" t="s">
        <v>4210</v>
      </c>
      <c r="N151" s="9" t="str">
        <f t="shared" si="7"/>
        <v>LIMA E ICA PROVINCIA|PRODUCCIÓN / COCINA|POLO 30/1 GRIS</v>
      </c>
      <c r="O151" s="9" t="str">
        <f>IF(N151="","",IF(COUNTIF(Precios!$G:$G,N151)=0,"⚠ No coincide con Precios","OK"))</f>
        <v>OK</v>
      </c>
    </row>
    <row r="152" spans="1:15" x14ac:dyDescent="0.2">
      <c r="A152" s="49">
        <v>45944</v>
      </c>
      <c r="B152" s="51" t="s">
        <v>2295</v>
      </c>
      <c r="C152" s="9" t="str" cm="1">
        <f t="array" ref="C152">IFERROR(_xlfn.XLOOKUP(B152,Personal!$A:$A,Personal!$D:$D,""),"")</f>
        <v>CCANCCE HUAMANI RAUL ANGEL</v>
      </c>
      <c r="D152" s="9" t="str" cm="1">
        <f t="array" ref="D152">IFERROR(_xlfn.XLOOKUP(B152,Personal!$A:$A,Personal!$C:$C,""),"")</f>
        <v>SURCO</v>
      </c>
      <c r="E152" s="9" t="str" cm="1">
        <f t="array" ref="E152">IFERROR(_xlfn.XLOOKUP(D152,Locales!$A:$A,Locales!$B:$B,""),"")</f>
        <v>LIMA E ICA PROVINCIA</v>
      </c>
      <c r="F152" s="9" t="str" cm="1">
        <f t="array" ref="F152">IFERROR(_xlfn.XLOOKUP(B152,Personal!$A:$A,Personal!$F:$F,""),"")</f>
        <v>PRODUCCIÓN / COCINA</v>
      </c>
      <c r="G152" s="9" t="s">
        <v>47</v>
      </c>
      <c r="H152" s="9" t="s">
        <v>3876</v>
      </c>
      <c r="I152" s="10" cm="1">
        <f t="array" ref="I152">IFERROR(INDEX(Precios!$D:$F,MATCH(N152, Precios!$G:$G, 0),CHOOSE(MATCH(H152, {"SML";"XL";"XXL"}, 0), 1, 2, 3)), 0)</f>
        <v>16.25</v>
      </c>
      <c r="J152" s="9">
        <v>2</v>
      </c>
      <c r="K152" s="10">
        <f t="shared" si="6"/>
        <v>32.5</v>
      </c>
      <c r="L152" s="9" t="s">
        <v>4210</v>
      </c>
      <c r="N152" s="9" t="str">
        <f t="shared" si="7"/>
        <v>LIMA E ICA PROVINCIA|PRODUCCIÓN / COCINA|CHAQUETA DRILL BLANCO</v>
      </c>
      <c r="O152" s="9" t="str">
        <f>IF(N152="","",IF(COUNTIF(Precios!$G:$G,N152)=0,"⚠ No coincide con Precios","OK"))</f>
        <v>OK</v>
      </c>
    </row>
    <row r="153" spans="1:15" x14ac:dyDescent="0.2">
      <c r="A153" s="49">
        <v>45944</v>
      </c>
      <c r="B153" s="51" t="s">
        <v>2295</v>
      </c>
      <c r="C153" s="9" t="str" cm="1">
        <f t="array" ref="C153">IFERROR(_xlfn.XLOOKUP(B153,Personal!$A:$A,Personal!$D:$D,""),"")</f>
        <v>CCANCCE HUAMANI RAUL ANGEL</v>
      </c>
      <c r="D153" s="9" t="str" cm="1">
        <f t="array" ref="D153">IFERROR(_xlfn.XLOOKUP(B153,Personal!$A:$A,Personal!$C:$C,""),"")</f>
        <v>SURCO</v>
      </c>
      <c r="E153" s="9" t="str" cm="1">
        <f t="array" ref="E153">IFERROR(_xlfn.XLOOKUP(D153,Locales!$A:$A,Locales!$B:$B,""),"")</f>
        <v>LIMA E ICA PROVINCIA</v>
      </c>
      <c r="F153" s="9" t="str" cm="1">
        <f t="array" ref="F153">IFERROR(_xlfn.XLOOKUP(B153,Personal!$A:$A,Personal!$F:$F,""),"")</f>
        <v>PRODUCCIÓN / COCINA</v>
      </c>
      <c r="G153" s="9" t="s">
        <v>3867</v>
      </c>
      <c r="H153" s="9" t="s">
        <v>3876</v>
      </c>
      <c r="I153" s="10" cm="1">
        <f t="array" ref="I153">IFERROR(INDEX(Precios!$D:$F,MATCH(N153, Precios!$G:$G, 0),CHOOSE(MATCH(H153, {"SML";"XL";"XXL"}, 0), 1, 2, 3)), 0)</f>
        <v>11</v>
      </c>
      <c r="J153" s="9">
        <v>2</v>
      </c>
      <c r="K153" s="10">
        <f t="shared" si="6"/>
        <v>22</v>
      </c>
      <c r="L153" s="9" t="s">
        <v>4210</v>
      </c>
      <c r="N153" s="9" t="str">
        <f t="shared" si="7"/>
        <v>LIMA E ICA PROVINCIA|PRODUCCIÓN / COCINA|PANTALÓN SAL Y PIMIENTA</v>
      </c>
      <c r="O153" s="9" t="str">
        <f>IF(N153="","",IF(COUNTIF(Precios!$G:$G,N153)=0,"⚠ No coincide con Precios","OK"))</f>
        <v>OK</v>
      </c>
    </row>
    <row r="154" spans="1:15" x14ac:dyDescent="0.2">
      <c r="A154" s="49">
        <v>45944</v>
      </c>
      <c r="B154" s="51" t="s">
        <v>2295</v>
      </c>
      <c r="C154" s="9" t="str" cm="1">
        <f t="array" ref="C154">IFERROR(_xlfn.XLOOKUP(B154,Personal!$A:$A,Personal!$D:$D,""),"")</f>
        <v>CCANCCE HUAMANI RAUL ANGEL</v>
      </c>
      <c r="D154" s="9" t="str" cm="1">
        <f t="array" ref="D154">IFERROR(_xlfn.XLOOKUP(B154,Personal!$A:$A,Personal!$C:$C,""),"")</f>
        <v>SURCO</v>
      </c>
      <c r="E154" s="9" t="str" cm="1">
        <f t="array" ref="E154">IFERROR(_xlfn.XLOOKUP(D154,Locales!$A:$A,Locales!$B:$B,""),"")</f>
        <v>LIMA E ICA PROVINCIA</v>
      </c>
      <c r="F154" s="9" t="str" cm="1">
        <f t="array" ref="F154">IFERROR(_xlfn.XLOOKUP(B154,Personal!$A:$A,Personal!$F:$F,""),"")</f>
        <v>PRODUCCIÓN / COCINA</v>
      </c>
      <c r="G154" s="9" t="s">
        <v>3868</v>
      </c>
      <c r="H154" s="9" t="s">
        <v>3876</v>
      </c>
      <c r="I154" s="10" cm="1">
        <f t="array" ref="I154">IFERROR(INDEX(Precios!$D:$F,MATCH(N154, Precios!$G:$G, 0),CHOOSE(MATCH(H154, {"SML";"XL";"XXL"}, 0), 1, 2, 3)), 0)</f>
        <v>6.5</v>
      </c>
      <c r="J154" s="9">
        <v>2</v>
      </c>
      <c r="K154" s="10">
        <f t="shared" si="6"/>
        <v>13</v>
      </c>
      <c r="L154" s="9" t="s">
        <v>4210</v>
      </c>
      <c r="N154" s="9" t="str">
        <f t="shared" si="7"/>
        <v>LIMA E ICA PROVINCIA|PRODUCCIÓN / COCINA|PECHERA GRIS EN DRILL</v>
      </c>
      <c r="O154" s="9" t="str">
        <f>IF(N154="","",IF(COUNTIF(Precios!$G:$G,N154)=0,"⚠ No coincide con Precios","OK"))</f>
        <v>OK</v>
      </c>
    </row>
    <row r="155" spans="1:15" x14ac:dyDescent="0.2">
      <c r="A155" s="49">
        <v>45944</v>
      </c>
      <c r="B155" s="51" t="s">
        <v>2295</v>
      </c>
      <c r="C155" s="9" t="str" cm="1">
        <f t="array" ref="C155">IFERROR(_xlfn.XLOOKUP(B155,Personal!$A:$A,Personal!$D:$D,""),"")</f>
        <v>CCANCCE HUAMANI RAUL ANGEL</v>
      </c>
      <c r="D155" s="9" t="str" cm="1">
        <f t="array" ref="D155">IFERROR(_xlfn.XLOOKUP(B155,Personal!$A:$A,Personal!$C:$C,""),"")</f>
        <v>SURCO</v>
      </c>
      <c r="E155" s="9" t="str" cm="1">
        <f t="array" ref="E155">IFERROR(_xlfn.XLOOKUP(D155,Locales!$A:$A,Locales!$B:$B,""),"")</f>
        <v>LIMA E ICA PROVINCIA</v>
      </c>
      <c r="F155" s="9" t="str" cm="1">
        <f t="array" ref="F155">IFERROR(_xlfn.XLOOKUP(B155,Personal!$A:$A,Personal!$F:$F,""),"")</f>
        <v>PRODUCCIÓN / COCINA</v>
      </c>
      <c r="G155" s="9" t="s">
        <v>3869</v>
      </c>
      <c r="H155" s="9" t="s">
        <v>3876</v>
      </c>
      <c r="I155" s="10" cm="1">
        <f t="array" ref="I155">IFERROR(INDEX(Precios!$D:$F,MATCH(N155, Precios!$G:$G, 0),CHOOSE(MATCH(H155, {"SML";"XL";"XXL"}, 0), 1, 2, 3)), 0)</f>
        <v>4.5</v>
      </c>
      <c r="J155" s="9">
        <v>2</v>
      </c>
      <c r="K155" s="10">
        <f t="shared" si="6"/>
        <v>9</v>
      </c>
      <c r="L155" s="9" t="s">
        <v>4210</v>
      </c>
      <c r="N155" s="9" t="str">
        <f t="shared" si="7"/>
        <v>LIMA E ICA PROVINCIA|PRODUCCIÓN / COCINA|GARIBALDI GRIS</v>
      </c>
      <c r="O155" s="9" t="str">
        <f>IF(N155="","",IF(COUNTIF(Precios!$G:$G,N155)=0,"⚠ No coincide con Precios","OK"))</f>
        <v>OK</v>
      </c>
    </row>
    <row r="156" spans="1:15" x14ac:dyDescent="0.2">
      <c r="A156" s="49">
        <v>45944</v>
      </c>
      <c r="B156" s="51" t="s">
        <v>2295</v>
      </c>
      <c r="C156" s="9" t="str" cm="1">
        <f t="array" ref="C156">IFERROR(_xlfn.XLOOKUP(B156,Personal!$A:$A,Personal!$D:$D,""),"")</f>
        <v>CCANCCE HUAMANI RAUL ANGEL</v>
      </c>
      <c r="D156" s="9" t="str" cm="1">
        <f t="array" ref="D156">IFERROR(_xlfn.XLOOKUP(B156,Personal!$A:$A,Personal!$C:$C,""),"")</f>
        <v>SURCO</v>
      </c>
      <c r="E156" s="9" t="str" cm="1">
        <f t="array" ref="E156">IFERROR(_xlfn.XLOOKUP(D156,Locales!$A:$A,Locales!$B:$B,""),"")</f>
        <v>LIMA E ICA PROVINCIA</v>
      </c>
      <c r="F156" s="9" t="str" cm="1">
        <f t="array" ref="F156">IFERROR(_xlfn.XLOOKUP(B156,Personal!$A:$A,Personal!$F:$F,""),"")</f>
        <v>PRODUCCIÓN / COCINA</v>
      </c>
      <c r="G156" s="9" t="s">
        <v>3862</v>
      </c>
      <c r="H156" s="9" t="s">
        <v>3876</v>
      </c>
      <c r="I156" s="10" cm="1">
        <f t="array" ref="I156">IFERROR(INDEX(Precios!$D:$F,MATCH(N156, Precios!$G:$G, 0),CHOOSE(MATCH(H156, {"SML";"XL";"XXL"}, 0), 1, 2, 3)), 0)</f>
        <v>7.5</v>
      </c>
      <c r="J156" s="9">
        <v>2</v>
      </c>
      <c r="K156" s="10">
        <f t="shared" si="6"/>
        <v>15</v>
      </c>
      <c r="L156" s="9" t="s">
        <v>4210</v>
      </c>
      <c r="N156" s="9" t="str">
        <f t="shared" si="7"/>
        <v>LIMA E ICA PROVINCIA|PRODUCCIÓN / COCINA|POLO 30/1 GRIS</v>
      </c>
      <c r="O156" s="9" t="str">
        <f>IF(N156="","",IF(COUNTIF(Precios!$G:$G,N156)=0,"⚠ No coincide con Precios","OK"))</f>
        <v>OK</v>
      </c>
    </row>
    <row r="157" spans="1:15" x14ac:dyDescent="0.2">
      <c r="A157" s="49">
        <v>45944</v>
      </c>
      <c r="B157" s="51" t="s">
        <v>2699</v>
      </c>
      <c r="C157" s="9" t="str" cm="1">
        <f t="array" ref="C157">IFERROR(_xlfn.XLOOKUP(B157,Personal!$A:$A,Personal!$D:$D,""),"")</f>
        <v>RODRIGUEZ TUANAMA MARJORIE XIOMARA</v>
      </c>
      <c r="D157" s="9" t="str" cm="1">
        <f t="array" ref="D157">IFERROR(_xlfn.XLOOKUP(B157,Personal!$A:$A,Personal!$C:$C,""),"")</f>
        <v>SURCO</v>
      </c>
      <c r="E157" s="9" t="str" cm="1">
        <f t="array" ref="E157">IFERROR(_xlfn.XLOOKUP(D157,Locales!$A:$A,Locales!$B:$B,""),"")</f>
        <v>LIMA E ICA PROVINCIA</v>
      </c>
      <c r="F157" s="9" t="str" cm="1">
        <f t="array" ref="F157">IFERROR(_xlfn.XLOOKUP(B157,Personal!$A:$A,Personal!$F:$F,""),"")</f>
        <v>PRODUCCIÓN / COCINA</v>
      </c>
      <c r="G157" s="9" t="s">
        <v>47</v>
      </c>
      <c r="H157" s="9" t="s">
        <v>3876</v>
      </c>
      <c r="I157" s="10" cm="1">
        <f t="array" ref="I157">IFERROR(INDEX(Precios!$D:$F,MATCH(N157, Precios!$G:$G, 0),CHOOSE(MATCH(H157, {"SML";"XL";"XXL"}, 0), 1, 2, 3)), 0)</f>
        <v>16.25</v>
      </c>
      <c r="J157" s="9">
        <v>2</v>
      </c>
      <c r="K157" s="10">
        <f t="shared" si="6"/>
        <v>32.5</v>
      </c>
      <c r="L157" s="9" t="s">
        <v>4210</v>
      </c>
      <c r="N157" s="9" t="str">
        <f t="shared" si="7"/>
        <v>LIMA E ICA PROVINCIA|PRODUCCIÓN / COCINA|CHAQUETA DRILL BLANCO</v>
      </c>
      <c r="O157" s="9" t="str">
        <f>IF(N157="","",IF(COUNTIF(Precios!$G:$G,N157)=0,"⚠ No coincide con Precios","OK"))</f>
        <v>OK</v>
      </c>
    </row>
    <row r="158" spans="1:15" x14ac:dyDescent="0.2">
      <c r="A158" s="49">
        <v>45944</v>
      </c>
      <c r="B158" s="51" t="s">
        <v>2699</v>
      </c>
      <c r="C158" s="9" t="str" cm="1">
        <f t="array" ref="C158">IFERROR(_xlfn.XLOOKUP(B158,Personal!$A:$A,Personal!$D:$D,""),"")</f>
        <v>RODRIGUEZ TUANAMA MARJORIE XIOMARA</v>
      </c>
      <c r="D158" s="9" t="str" cm="1">
        <f t="array" ref="D158">IFERROR(_xlfn.XLOOKUP(B158,Personal!$A:$A,Personal!$C:$C,""),"")</f>
        <v>SURCO</v>
      </c>
      <c r="E158" s="9" t="str" cm="1">
        <f t="array" ref="E158">IFERROR(_xlfn.XLOOKUP(D158,Locales!$A:$A,Locales!$B:$B,""),"")</f>
        <v>LIMA E ICA PROVINCIA</v>
      </c>
      <c r="F158" s="9" t="str" cm="1">
        <f t="array" ref="F158">IFERROR(_xlfn.XLOOKUP(B158,Personal!$A:$A,Personal!$F:$F,""),"")</f>
        <v>PRODUCCIÓN / COCINA</v>
      </c>
      <c r="G158" s="9" t="s">
        <v>3867</v>
      </c>
      <c r="H158" s="9" t="s">
        <v>3876</v>
      </c>
      <c r="I158" s="10" cm="1">
        <f t="array" ref="I158">IFERROR(INDEX(Precios!$D:$F,MATCH(N158, Precios!$G:$G, 0),CHOOSE(MATCH(H158, {"SML";"XL";"XXL"}, 0), 1, 2, 3)), 0)</f>
        <v>11</v>
      </c>
      <c r="J158" s="9">
        <v>2</v>
      </c>
      <c r="K158" s="10">
        <f t="shared" si="6"/>
        <v>22</v>
      </c>
      <c r="L158" s="9" t="s">
        <v>4210</v>
      </c>
      <c r="N158" s="9" t="str">
        <f t="shared" si="7"/>
        <v>LIMA E ICA PROVINCIA|PRODUCCIÓN / COCINA|PANTALÓN SAL Y PIMIENTA</v>
      </c>
      <c r="O158" s="9" t="str">
        <f>IF(N158="","",IF(COUNTIF(Precios!$G:$G,N158)=0,"⚠ No coincide con Precios","OK"))</f>
        <v>OK</v>
      </c>
    </row>
    <row r="159" spans="1:15" x14ac:dyDescent="0.2">
      <c r="A159" s="49">
        <v>45944</v>
      </c>
      <c r="B159" s="51" t="s">
        <v>2699</v>
      </c>
      <c r="C159" s="9" t="str" cm="1">
        <f t="array" ref="C159">IFERROR(_xlfn.XLOOKUP(B159,Personal!$A:$A,Personal!$D:$D,""),"")</f>
        <v>RODRIGUEZ TUANAMA MARJORIE XIOMARA</v>
      </c>
      <c r="D159" s="9" t="str" cm="1">
        <f t="array" ref="D159">IFERROR(_xlfn.XLOOKUP(B159,Personal!$A:$A,Personal!$C:$C,""),"")</f>
        <v>SURCO</v>
      </c>
      <c r="E159" s="9" t="str" cm="1">
        <f t="array" ref="E159">IFERROR(_xlfn.XLOOKUP(D159,Locales!$A:$A,Locales!$B:$B,""),"")</f>
        <v>LIMA E ICA PROVINCIA</v>
      </c>
      <c r="F159" s="9" t="str" cm="1">
        <f t="array" ref="F159">IFERROR(_xlfn.XLOOKUP(B159,Personal!$A:$A,Personal!$F:$F,""),"")</f>
        <v>PRODUCCIÓN / COCINA</v>
      </c>
      <c r="G159" s="9" t="s">
        <v>3868</v>
      </c>
      <c r="H159" s="9" t="s">
        <v>3876</v>
      </c>
      <c r="I159" s="10" cm="1">
        <f t="array" ref="I159">IFERROR(INDEX(Precios!$D:$F,MATCH(N159, Precios!$G:$G, 0),CHOOSE(MATCH(H159, {"SML";"XL";"XXL"}, 0), 1, 2, 3)), 0)</f>
        <v>6.5</v>
      </c>
      <c r="J159" s="9">
        <v>2</v>
      </c>
      <c r="K159" s="10">
        <f t="shared" si="6"/>
        <v>13</v>
      </c>
      <c r="L159" s="9" t="s">
        <v>4210</v>
      </c>
      <c r="N159" s="9" t="str">
        <f t="shared" si="7"/>
        <v>LIMA E ICA PROVINCIA|PRODUCCIÓN / COCINA|PECHERA GRIS EN DRILL</v>
      </c>
      <c r="O159" s="9" t="str">
        <f>IF(N159="","",IF(COUNTIF(Precios!$G:$G,N159)=0,"⚠ No coincide con Precios","OK"))</f>
        <v>OK</v>
      </c>
    </row>
    <row r="160" spans="1:15" x14ac:dyDescent="0.2">
      <c r="A160" s="49">
        <v>45944</v>
      </c>
      <c r="B160" s="51" t="s">
        <v>2699</v>
      </c>
      <c r="C160" s="9" t="str" cm="1">
        <f t="array" ref="C160">IFERROR(_xlfn.XLOOKUP(B160,Personal!$A:$A,Personal!$D:$D,""),"")</f>
        <v>RODRIGUEZ TUANAMA MARJORIE XIOMARA</v>
      </c>
      <c r="D160" s="9" t="str" cm="1">
        <f t="array" ref="D160">IFERROR(_xlfn.XLOOKUP(B160,Personal!$A:$A,Personal!$C:$C,""),"")</f>
        <v>SURCO</v>
      </c>
      <c r="E160" s="9" t="str" cm="1">
        <f t="array" ref="E160">IFERROR(_xlfn.XLOOKUP(D160,Locales!$A:$A,Locales!$B:$B,""),"")</f>
        <v>LIMA E ICA PROVINCIA</v>
      </c>
      <c r="F160" s="9" t="str" cm="1">
        <f t="array" ref="F160">IFERROR(_xlfn.XLOOKUP(B160,Personal!$A:$A,Personal!$F:$F,""),"")</f>
        <v>PRODUCCIÓN / COCINA</v>
      </c>
      <c r="G160" s="9" t="s">
        <v>3869</v>
      </c>
      <c r="H160" s="9" t="s">
        <v>3876</v>
      </c>
      <c r="I160" s="10" cm="1">
        <f t="array" ref="I160">IFERROR(INDEX(Precios!$D:$F,MATCH(N160, Precios!$G:$G, 0),CHOOSE(MATCH(H160, {"SML";"XL";"XXL"}, 0), 1, 2, 3)), 0)</f>
        <v>4.5</v>
      </c>
      <c r="J160" s="9">
        <v>2</v>
      </c>
      <c r="K160" s="10">
        <f t="shared" si="6"/>
        <v>9</v>
      </c>
      <c r="L160" s="9" t="s">
        <v>4210</v>
      </c>
      <c r="N160" s="9" t="str">
        <f t="shared" si="7"/>
        <v>LIMA E ICA PROVINCIA|PRODUCCIÓN / COCINA|GARIBALDI GRIS</v>
      </c>
      <c r="O160" s="9" t="str">
        <f>IF(N160="","",IF(COUNTIF(Precios!$G:$G,N160)=0,"⚠ No coincide con Precios","OK"))</f>
        <v>OK</v>
      </c>
    </row>
    <row r="161" spans="1:15" x14ac:dyDescent="0.2">
      <c r="A161" s="49">
        <v>45944</v>
      </c>
      <c r="B161" s="51" t="s">
        <v>2699</v>
      </c>
      <c r="C161" s="9" t="str" cm="1">
        <f t="array" ref="C161">IFERROR(_xlfn.XLOOKUP(B161,Personal!$A:$A,Personal!$D:$D,""),"")</f>
        <v>RODRIGUEZ TUANAMA MARJORIE XIOMARA</v>
      </c>
      <c r="D161" s="9" t="str" cm="1">
        <f t="array" ref="D161">IFERROR(_xlfn.XLOOKUP(B161,Personal!$A:$A,Personal!$C:$C,""),"")</f>
        <v>SURCO</v>
      </c>
      <c r="E161" s="9" t="str" cm="1">
        <f t="array" ref="E161">IFERROR(_xlfn.XLOOKUP(D161,Locales!$A:$A,Locales!$B:$B,""),"")</f>
        <v>LIMA E ICA PROVINCIA</v>
      </c>
      <c r="F161" s="9" t="str" cm="1">
        <f t="array" ref="F161">IFERROR(_xlfn.XLOOKUP(B161,Personal!$A:$A,Personal!$F:$F,""),"")</f>
        <v>PRODUCCIÓN / COCINA</v>
      </c>
      <c r="G161" s="9" t="s">
        <v>3862</v>
      </c>
      <c r="H161" s="9" t="s">
        <v>3876</v>
      </c>
      <c r="I161" s="10" cm="1">
        <f t="array" ref="I161">IFERROR(INDEX(Precios!$D:$F,MATCH(N161, Precios!$G:$G, 0),CHOOSE(MATCH(H161, {"SML";"XL";"XXL"}, 0), 1, 2, 3)), 0)</f>
        <v>7.5</v>
      </c>
      <c r="J161" s="9">
        <v>2</v>
      </c>
      <c r="K161" s="10">
        <f t="shared" si="6"/>
        <v>15</v>
      </c>
      <c r="L161" s="9" t="s">
        <v>4210</v>
      </c>
      <c r="N161" s="9" t="str">
        <f t="shared" si="7"/>
        <v>LIMA E ICA PROVINCIA|PRODUCCIÓN / COCINA|POLO 30/1 GRIS</v>
      </c>
      <c r="O161" s="9" t="str">
        <f>IF(N161="","",IF(COUNTIF(Precios!$G:$G,N161)=0,"⚠ No coincide con Precios","OK"))</f>
        <v>OK</v>
      </c>
    </row>
    <row r="162" spans="1:15" x14ac:dyDescent="0.2">
      <c r="A162" s="49">
        <v>45944</v>
      </c>
      <c r="B162" s="51" t="s">
        <v>2430</v>
      </c>
      <c r="C162" s="9" t="str" cm="1">
        <f t="array" ref="C162">IFERROR(_xlfn.XLOOKUP(B162,Personal!$A:$A,Personal!$D:$D,""),"")</f>
        <v>TORRES MONDRAGON SANTOS NORVIL</v>
      </c>
      <c r="D162" s="9" t="str" cm="1">
        <f t="array" ref="D162">IFERROR(_xlfn.XLOOKUP(B162,Personal!$A:$A,Personal!$C:$C,""),"")</f>
        <v>SURCO</v>
      </c>
      <c r="E162" s="9" t="str" cm="1">
        <f t="array" ref="E162">IFERROR(_xlfn.XLOOKUP(D162,Locales!$A:$A,Locales!$B:$B,""),"")</f>
        <v>LIMA E ICA PROVINCIA</v>
      </c>
      <c r="F162" s="9" t="str" cm="1">
        <f t="array" ref="F162">IFERROR(_xlfn.XLOOKUP(B162,Personal!$A:$A,Personal!$F:$F,""),"")</f>
        <v>PRODUCCIÓN / COCINA</v>
      </c>
      <c r="G162" s="9" t="s">
        <v>47</v>
      </c>
      <c r="H162" s="9" t="s">
        <v>3876</v>
      </c>
      <c r="I162" s="10" cm="1">
        <f t="array" ref="I162">IFERROR(INDEX(Precios!$D:$F,MATCH(N162, Precios!$G:$G, 0),CHOOSE(MATCH(H162, {"SML";"XL";"XXL"}, 0), 1, 2, 3)), 0)</f>
        <v>16.25</v>
      </c>
      <c r="J162" s="9">
        <v>2</v>
      </c>
      <c r="K162" s="10">
        <f t="shared" si="6"/>
        <v>32.5</v>
      </c>
      <c r="L162" s="9" t="s">
        <v>4210</v>
      </c>
      <c r="N162" s="9" t="str">
        <f t="shared" si="7"/>
        <v>LIMA E ICA PROVINCIA|PRODUCCIÓN / COCINA|CHAQUETA DRILL BLANCO</v>
      </c>
      <c r="O162" s="9" t="str">
        <f>IF(N162="","",IF(COUNTIF(Precios!$G:$G,N162)=0,"⚠ No coincide con Precios","OK"))</f>
        <v>OK</v>
      </c>
    </row>
    <row r="163" spans="1:15" x14ac:dyDescent="0.2">
      <c r="A163" s="49">
        <v>45944</v>
      </c>
      <c r="B163" s="51" t="s">
        <v>2430</v>
      </c>
      <c r="C163" s="9" t="str" cm="1">
        <f t="array" ref="C163">IFERROR(_xlfn.XLOOKUP(B163,Personal!$A:$A,Personal!$D:$D,""),"")</f>
        <v>TORRES MONDRAGON SANTOS NORVIL</v>
      </c>
      <c r="D163" s="9" t="str" cm="1">
        <f t="array" ref="D163">IFERROR(_xlfn.XLOOKUP(B163,Personal!$A:$A,Personal!$C:$C,""),"")</f>
        <v>SURCO</v>
      </c>
      <c r="E163" s="9" t="str" cm="1">
        <f t="array" ref="E163">IFERROR(_xlfn.XLOOKUP(D163,Locales!$A:$A,Locales!$B:$B,""),"")</f>
        <v>LIMA E ICA PROVINCIA</v>
      </c>
      <c r="F163" s="9" t="str" cm="1">
        <f t="array" ref="F163">IFERROR(_xlfn.XLOOKUP(B163,Personal!$A:$A,Personal!$F:$F,""),"")</f>
        <v>PRODUCCIÓN / COCINA</v>
      </c>
      <c r="G163" s="9" t="s">
        <v>3867</v>
      </c>
      <c r="H163" s="9" t="s">
        <v>3876</v>
      </c>
      <c r="I163" s="10" cm="1">
        <f t="array" ref="I163">IFERROR(INDEX(Precios!$D:$F,MATCH(N163, Precios!$G:$G, 0),CHOOSE(MATCH(H163, {"SML";"XL";"XXL"}, 0), 1, 2, 3)), 0)</f>
        <v>11</v>
      </c>
      <c r="J163" s="9">
        <v>2</v>
      </c>
      <c r="K163" s="10">
        <f t="shared" si="6"/>
        <v>22</v>
      </c>
      <c r="L163" s="9" t="s">
        <v>4210</v>
      </c>
      <c r="N163" s="9" t="str">
        <f t="shared" si="7"/>
        <v>LIMA E ICA PROVINCIA|PRODUCCIÓN / COCINA|PANTALÓN SAL Y PIMIENTA</v>
      </c>
      <c r="O163" s="9" t="str">
        <f>IF(N163="","",IF(COUNTIF(Precios!$G:$G,N163)=0,"⚠ No coincide con Precios","OK"))</f>
        <v>OK</v>
      </c>
    </row>
    <row r="164" spans="1:15" x14ac:dyDescent="0.2">
      <c r="A164" s="49">
        <v>45944</v>
      </c>
      <c r="B164" s="51" t="s">
        <v>2430</v>
      </c>
      <c r="C164" s="9" t="str" cm="1">
        <f t="array" ref="C164">IFERROR(_xlfn.XLOOKUP(B164,Personal!$A:$A,Personal!$D:$D,""),"")</f>
        <v>TORRES MONDRAGON SANTOS NORVIL</v>
      </c>
      <c r="D164" s="9" t="str" cm="1">
        <f t="array" ref="D164">IFERROR(_xlfn.XLOOKUP(B164,Personal!$A:$A,Personal!$C:$C,""),"")</f>
        <v>SURCO</v>
      </c>
      <c r="E164" s="9" t="str" cm="1">
        <f t="array" ref="E164">IFERROR(_xlfn.XLOOKUP(D164,Locales!$A:$A,Locales!$B:$B,""),"")</f>
        <v>LIMA E ICA PROVINCIA</v>
      </c>
      <c r="F164" s="9" t="str" cm="1">
        <f t="array" ref="F164">IFERROR(_xlfn.XLOOKUP(B164,Personal!$A:$A,Personal!$F:$F,""),"")</f>
        <v>PRODUCCIÓN / COCINA</v>
      </c>
      <c r="G164" s="9" t="s">
        <v>3868</v>
      </c>
      <c r="H164" s="9" t="s">
        <v>3876</v>
      </c>
      <c r="I164" s="10" cm="1">
        <f t="array" ref="I164">IFERROR(INDEX(Precios!$D:$F,MATCH(N164, Precios!$G:$G, 0),CHOOSE(MATCH(H164, {"SML";"XL";"XXL"}, 0), 1, 2, 3)), 0)</f>
        <v>6.5</v>
      </c>
      <c r="J164" s="9">
        <v>2</v>
      </c>
      <c r="K164" s="10">
        <f t="shared" si="6"/>
        <v>13</v>
      </c>
      <c r="L164" s="9" t="s">
        <v>4210</v>
      </c>
      <c r="N164" s="9" t="str">
        <f t="shared" si="7"/>
        <v>LIMA E ICA PROVINCIA|PRODUCCIÓN / COCINA|PECHERA GRIS EN DRILL</v>
      </c>
      <c r="O164" s="9" t="str">
        <f>IF(N164="","",IF(COUNTIF(Precios!$G:$G,N164)=0,"⚠ No coincide con Precios","OK"))</f>
        <v>OK</v>
      </c>
    </row>
    <row r="165" spans="1:15" x14ac:dyDescent="0.2">
      <c r="A165" s="49">
        <v>45944</v>
      </c>
      <c r="B165" s="51" t="s">
        <v>2430</v>
      </c>
      <c r="C165" s="9" t="str" cm="1">
        <f t="array" ref="C165">IFERROR(_xlfn.XLOOKUP(B165,Personal!$A:$A,Personal!$D:$D,""),"")</f>
        <v>TORRES MONDRAGON SANTOS NORVIL</v>
      </c>
      <c r="D165" s="9" t="str" cm="1">
        <f t="array" ref="D165">IFERROR(_xlfn.XLOOKUP(B165,Personal!$A:$A,Personal!$C:$C,""),"")</f>
        <v>SURCO</v>
      </c>
      <c r="E165" s="9" t="str" cm="1">
        <f t="array" ref="E165">IFERROR(_xlfn.XLOOKUP(D165,Locales!$A:$A,Locales!$B:$B,""),"")</f>
        <v>LIMA E ICA PROVINCIA</v>
      </c>
      <c r="F165" s="9" t="str" cm="1">
        <f t="array" ref="F165">IFERROR(_xlfn.XLOOKUP(B165,Personal!$A:$A,Personal!$F:$F,""),"")</f>
        <v>PRODUCCIÓN / COCINA</v>
      </c>
      <c r="G165" s="9" t="s">
        <v>3869</v>
      </c>
      <c r="H165" s="9" t="s">
        <v>3876</v>
      </c>
      <c r="I165" s="10" cm="1">
        <f t="array" ref="I165">IFERROR(INDEX(Precios!$D:$F,MATCH(N165, Precios!$G:$G, 0),CHOOSE(MATCH(H165, {"SML";"XL";"XXL"}, 0), 1, 2, 3)), 0)</f>
        <v>4.5</v>
      </c>
      <c r="J165" s="9">
        <v>2</v>
      </c>
      <c r="K165" s="10">
        <f t="shared" si="6"/>
        <v>9</v>
      </c>
      <c r="L165" s="9" t="s">
        <v>4210</v>
      </c>
      <c r="N165" s="9" t="str">
        <f t="shared" si="7"/>
        <v>LIMA E ICA PROVINCIA|PRODUCCIÓN / COCINA|GARIBALDI GRIS</v>
      </c>
      <c r="O165" s="9" t="str">
        <f>IF(N165="","",IF(COUNTIF(Precios!$G:$G,N165)=0,"⚠ No coincide con Precios","OK"))</f>
        <v>OK</v>
      </c>
    </row>
    <row r="166" spans="1:15" x14ac:dyDescent="0.2">
      <c r="A166" s="49">
        <v>45944</v>
      </c>
      <c r="B166" s="51" t="s">
        <v>2430</v>
      </c>
      <c r="C166" s="9" t="str" cm="1">
        <f t="array" ref="C166">IFERROR(_xlfn.XLOOKUP(B166,Personal!$A:$A,Personal!$D:$D,""),"")</f>
        <v>TORRES MONDRAGON SANTOS NORVIL</v>
      </c>
      <c r="D166" s="9" t="str" cm="1">
        <f t="array" ref="D166">IFERROR(_xlfn.XLOOKUP(B166,Personal!$A:$A,Personal!$C:$C,""),"")</f>
        <v>SURCO</v>
      </c>
      <c r="E166" s="9" t="str" cm="1">
        <f t="array" ref="E166">IFERROR(_xlfn.XLOOKUP(D166,Locales!$A:$A,Locales!$B:$B,""),"")</f>
        <v>LIMA E ICA PROVINCIA</v>
      </c>
      <c r="F166" s="9" t="str" cm="1">
        <f t="array" ref="F166">IFERROR(_xlfn.XLOOKUP(B166,Personal!$A:$A,Personal!$F:$F,""),"")</f>
        <v>PRODUCCIÓN / COCINA</v>
      </c>
      <c r="G166" s="9" t="s">
        <v>3862</v>
      </c>
      <c r="H166" s="9" t="s">
        <v>3876</v>
      </c>
      <c r="I166" s="10" cm="1">
        <f t="array" ref="I166">IFERROR(INDEX(Precios!$D:$F,MATCH(N166, Precios!$G:$G, 0),CHOOSE(MATCH(H166, {"SML";"XL";"XXL"}, 0), 1, 2, 3)), 0)</f>
        <v>7.5</v>
      </c>
      <c r="J166" s="9">
        <v>2</v>
      </c>
      <c r="K166" s="10">
        <f t="shared" si="6"/>
        <v>15</v>
      </c>
      <c r="L166" s="9" t="s">
        <v>4210</v>
      </c>
      <c r="N166" s="9" t="str">
        <f t="shared" si="7"/>
        <v>LIMA E ICA PROVINCIA|PRODUCCIÓN / COCINA|POLO 30/1 GRIS</v>
      </c>
      <c r="O166" s="9" t="str">
        <f>IF(N166="","",IF(COUNTIF(Precios!$G:$G,N166)=0,"⚠ No coincide con Precios","OK"))</f>
        <v>OK</v>
      </c>
    </row>
    <row r="167" spans="1:15" x14ac:dyDescent="0.2">
      <c r="A167" s="49">
        <v>45944</v>
      </c>
      <c r="B167" s="51" t="s">
        <v>2591</v>
      </c>
      <c r="C167" s="9" t="str" cm="1">
        <f t="array" ref="C167">IFERROR(_xlfn.XLOOKUP(B167,Personal!$A:$A,Personal!$D:$D,""),"")</f>
        <v>TELLO MOSTACERO NICK FRANKLIN</v>
      </c>
      <c r="D167" s="9" t="str" cm="1">
        <f t="array" ref="D167">IFERROR(_xlfn.XLOOKUP(B167,Personal!$A:$A,Personal!$C:$C,""),"")</f>
        <v>SURCO</v>
      </c>
      <c r="E167" s="9" t="str" cm="1">
        <f t="array" ref="E167">IFERROR(_xlfn.XLOOKUP(D167,Locales!$A:$A,Locales!$B:$B,""),"")</f>
        <v>LIMA E ICA PROVINCIA</v>
      </c>
      <c r="F167" s="9" t="str" cm="1">
        <f t="array" ref="F167">IFERROR(_xlfn.XLOOKUP(B167,Personal!$A:$A,Personal!$F:$F,""),"")</f>
        <v>BAR</v>
      </c>
      <c r="G167" s="9" t="s">
        <v>3864</v>
      </c>
      <c r="H167" s="9" t="s">
        <v>3876</v>
      </c>
      <c r="I167" s="10" cm="1">
        <f t="array" ref="I167">IFERROR(INDEX(Precios!$D:$F,MATCH(N167, Precios!$G:$G, 0),CHOOSE(MATCH(H167, {"SML";"XL";"XXL"}, 0), 1, 2, 3)), 0)</f>
        <v>16.5</v>
      </c>
      <c r="J167" s="9">
        <v>2</v>
      </c>
      <c r="K167" s="10">
        <f t="shared" si="6"/>
        <v>33</v>
      </c>
      <c r="L167" s="9" t="s">
        <v>4210</v>
      </c>
      <c r="N167" s="9" t="str">
        <f t="shared" si="7"/>
        <v>LIMA E ICA PROVINCIA|BAR|CAMISA NEGRA MANGA CORTA</v>
      </c>
      <c r="O167" s="9" t="str">
        <f>IF(N167="","",IF(COUNTIF(Precios!$G:$G,N167)=0,"⚠ No coincide con Precios","OK"))</f>
        <v>OK</v>
      </c>
    </row>
    <row r="168" spans="1:15" x14ac:dyDescent="0.2">
      <c r="A168" s="49">
        <v>45944</v>
      </c>
      <c r="B168" s="51" t="s">
        <v>2591</v>
      </c>
      <c r="C168" s="9" t="str" cm="1">
        <f t="array" ref="C168">IFERROR(_xlfn.XLOOKUP(B168,Personal!$A:$A,Personal!$D:$D,""),"")</f>
        <v>TELLO MOSTACERO NICK FRANKLIN</v>
      </c>
      <c r="D168" s="9" t="str" cm="1">
        <f t="array" ref="D168">IFERROR(_xlfn.XLOOKUP(B168,Personal!$A:$A,Personal!$C:$C,""),"")</f>
        <v>SURCO</v>
      </c>
      <c r="E168" s="9" t="str" cm="1">
        <f t="array" ref="E168">IFERROR(_xlfn.XLOOKUP(D168,Locales!$A:$A,Locales!$B:$B,""),"")</f>
        <v>LIMA E ICA PROVINCIA</v>
      </c>
      <c r="F168" s="9" t="str" cm="1">
        <f t="array" ref="F168">IFERROR(_xlfn.XLOOKUP(B168,Personal!$A:$A,Personal!$F:$F,""),"")</f>
        <v>BAR</v>
      </c>
      <c r="G168" s="9" t="s">
        <v>3865</v>
      </c>
      <c r="H168" s="9" t="s">
        <v>3876</v>
      </c>
      <c r="I168" s="10" cm="1">
        <f t="array" ref="I168">IFERROR(INDEX(Precios!$D:$F,MATCH(N168, Precios!$G:$G, 0),CHOOSE(MATCH(H168, {"SML";"XL";"XXL"}, 0), 1, 2, 3)), 0)</f>
        <v>19.5</v>
      </c>
      <c r="J168" s="9">
        <v>2</v>
      </c>
      <c r="K168" s="10">
        <f t="shared" si="6"/>
        <v>39</v>
      </c>
      <c r="L168" s="9" t="s">
        <v>4210</v>
      </c>
      <c r="N168" s="9" t="str">
        <f t="shared" si="7"/>
        <v>LIMA E ICA PROVINCIA|BAR|PECHERA NEGRA CUERINA</v>
      </c>
      <c r="O168" s="9" t="str">
        <f>IF(N168="","",IF(COUNTIF(Precios!$G:$G,N168)=0,"⚠ No coincide con Precios","OK"))</f>
        <v>OK</v>
      </c>
    </row>
    <row r="169" spans="1:15" x14ac:dyDescent="0.2">
      <c r="A169" s="49">
        <v>45944</v>
      </c>
      <c r="B169" s="51" t="s">
        <v>2591</v>
      </c>
      <c r="C169" s="9" t="str" cm="1">
        <f t="array" ref="C169">IFERROR(_xlfn.XLOOKUP(B169,Personal!$A:$A,Personal!$D:$D,""),"")</f>
        <v>TELLO MOSTACERO NICK FRANKLIN</v>
      </c>
      <c r="D169" s="9" t="str" cm="1">
        <f t="array" ref="D169">IFERROR(_xlfn.XLOOKUP(B169,Personal!$A:$A,Personal!$C:$C,""),"")</f>
        <v>SURCO</v>
      </c>
      <c r="E169" s="9" t="str" cm="1">
        <f t="array" ref="E169">IFERROR(_xlfn.XLOOKUP(D169,Locales!$A:$A,Locales!$B:$B,""),"")</f>
        <v>LIMA E ICA PROVINCIA</v>
      </c>
      <c r="F169" s="9" t="str" cm="1">
        <f t="array" ref="F169">IFERROR(_xlfn.XLOOKUP(B169,Personal!$A:$A,Personal!$F:$F,""),"")</f>
        <v>BAR</v>
      </c>
      <c r="G169" s="9" t="s">
        <v>3862</v>
      </c>
      <c r="H169" s="9" t="s">
        <v>3876</v>
      </c>
      <c r="I169" s="10" cm="1">
        <f t="array" ref="I169">IFERROR(INDEX(Precios!$D:$F,MATCH(N169, Precios!$G:$G, 0),CHOOSE(MATCH(H169, {"SML";"XL";"XXL"}, 0), 1, 2, 3)), 0)</f>
        <v>7.5</v>
      </c>
      <c r="J169" s="9">
        <v>2</v>
      </c>
      <c r="K169" s="10">
        <f t="shared" si="6"/>
        <v>15</v>
      </c>
      <c r="L169" s="9" t="s">
        <v>4210</v>
      </c>
      <c r="N169" s="9" t="str">
        <f t="shared" si="7"/>
        <v>LIMA E ICA PROVINCIA|BAR|POLO 30/1 GRIS</v>
      </c>
      <c r="O169" s="9" t="str">
        <f>IF(N169="","",IF(COUNTIF(Precios!$G:$G,N169)=0,"⚠ No coincide con Precios","OK"))</f>
        <v>OK</v>
      </c>
    </row>
    <row r="170" spans="1:15" x14ac:dyDescent="0.2">
      <c r="A170" s="49">
        <v>45944</v>
      </c>
      <c r="B170" s="51" t="s">
        <v>2661</v>
      </c>
      <c r="C170" s="9" t="str" cm="1">
        <f t="array" ref="C170">IFERROR(_xlfn.XLOOKUP(B170,Personal!$A:$A,Personal!$D:$D,""),"")</f>
        <v xml:space="preserve">HUARI SALHUANA MEN LE GOHAN </v>
      </c>
      <c r="D170" s="9" t="str" cm="1">
        <f t="array" ref="D170">IFERROR(_xlfn.XLOOKUP(B170,Personal!$A:$A,Personal!$C:$C,""),"")</f>
        <v>SURCO</v>
      </c>
      <c r="E170" s="9" t="str" cm="1">
        <f t="array" ref="E170">IFERROR(_xlfn.XLOOKUP(D170,Locales!$A:$A,Locales!$B:$B,""),"")</f>
        <v>LIMA E ICA PROVINCIA</v>
      </c>
      <c r="F170" s="9" t="str" cm="1">
        <f t="array" ref="F170">IFERROR(_xlfn.XLOOKUP(B170,Personal!$A:$A,Personal!$F:$F,""),"")</f>
        <v>BAR</v>
      </c>
      <c r="G170" s="9" t="s">
        <v>3864</v>
      </c>
      <c r="H170" s="9" t="s">
        <v>3876</v>
      </c>
      <c r="I170" s="10" cm="1">
        <f t="array" ref="I170">IFERROR(INDEX(Precios!$D:$F,MATCH(N170, Precios!$G:$G, 0),CHOOSE(MATCH(H170, {"SML";"XL";"XXL"}, 0), 1, 2, 3)), 0)</f>
        <v>16.5</v>
      </c>
      <c r="J170" s="9">
        <v>2</v>
      </c>
      <c r="K170" s="10">
        <f t="shared" si="6"/>
        <v>33</v>
      </c>
      <c r="L170" s="9" t="s">
        <v>4210</v>
      </c>
      <c r="N170" s="9" t="str">
        <f t="shared" si="7"/>
        <v>LIMA E ICA PROVINCIA|BAR|CAMISA NEGRA MANGA CORTA</v>
      </c>
      <c r="O170" s="9" t="str">
        <f>IF(N170="","",IF(COUNTIF(Precios!$G:$G,N170)=0,"⚠ No coincide con Precios","OK"))</f>
        <v>OK</v>
      </c>
    </row>
    <row r="171" spans="1:15" x14ac:dyDescent="0.2">
      <c r="A171" s="49">
        <v>45944</v>
      </c>
      <c r="B171" s="51" t="s">
        <v>2661</v>
      </c>
      <c r="C171" s="9" t="str" cm="1">
        <f t="array" ref="C171">IFERROR(_xlfn.XLOOKUP(B171,Personal!$A:$A,Personal!$D:$D,""),"")</f>
        <v xml:space="preserve">HUARI SALHUANA MEN LE GOHAN </v>
      </c>
      <c r="D171" s="9" t="str" cm="1">
        <f t="array" ref="D171">IFERROR(_xlfn.XLOOKUP(B171,Personal!$A:$A,Personal!$C:$C,""),"")</f>
        <v>SURCO</v>
      </c>
      <c r="E171" s="9" t="str" cm="1">
        <f t="array" ref="E171">IFERROR(_xlfn.XLOOKUP(D171,Locales!$A:$A,Locales!$B:$B,""),"")</f>
        <v>LIMA E ICA PROVINCIA</v>
      </c>
      <c r="F171" s="9" t="str" cm="1">
        <f t="array" ref="F171">IFERROR(_xlfn.XLOOKUP(B171,Personal!$A:$A,Personal!$F:$F,""),"")</f>
        <v>BAR</v>
      </c>
      <c r="G171" s="9" t="s">
        <v>3865</v>
      </c>
      <c r="H171" s="9" t="s">
        <v>3876</v>
      </c>
      <c r="I171" s="10" cm="1">
        <f t="array" ref="I171">IFERROR(INDEX(Precios!$D:$F,MATCH(N171, Precios!$G:$G, 0),CHOOSE(MATCH(H171, {"SML";"XL";"XXL"}, 0), 1, 2, 3)), 0)</f>
        <v>19.5</v>
      </c>
      <c r="J171" s="9">
        <v>2</v>
      </c>
      <c r="K171" s="10">
        <f t="shared" si="6"/>
        <v>39</v>
      </c>
      <c r="L171" s="9" t="s">
        <v>4210</v>
      </c>
      <c r="N171" s="9" t="str">
        <f t="shared" si="7"/>
        <v>LIMA E ICA PROVINCIA|BAR|PECHERA NEGRA CUERINA</v>
      </c>
      <c r="O171" s="9" t="str">
        <f>IF(N171="","",IF(COUNTIF(Precios!$G:$G,N171)=0,"⚠ No coincide con Precios","OK"))</f>
        <v>OK</v>
      </c>
    </row>
    <row r="172" spans="1:15" x14ac:dyDescent="0.2">
      <c r="A172" s="49">
        <v>45944</v>
      </c>
      <c r="B172" s="51" t="s">
        <v>2661</v>
      </c>
      <c r="C172" s="9" t="str" cm="1">
        <f t="array" ref="C172">IFERROR(_xlfn.XLOOKUP(B172,Personal!$A:$A,Personal!$D:$D,""),"")</f>
        <v xml:space="preserve">HUARI SALHUANA MEN LE GOHAN </v>
      </c>
      <c r="D172" s="9" t="str" cm="1">
        <f t="array" ref="D172">IFERROR(_xlfn.XLOOKUP(B172,Personal!$A:$A,Personal!$C:$C,""),"")</f>
        <v>SURCO</v>
      </c>
      <c r="E172" s="9" t="str" cm="1">
        <f t="array" ref="E172">IFERROR(_xlfn.XLOOKUP(D172,Locales!$A:$A,Locales!$B:$B,""),"")</f>
        <v>LIMA E ICA PROVINCIA</v>
      </c>
      <c r="F172" s="9" t="str" cm="1">
        <f t="array" ref="F172">IFERROR(_xlfn.XLOOKUP(B172,Personal!$A:$A,Personal!$F:$F,""),"")</f>
        <v>BAR</v>
      </c>
      <c r="G172" s="9" t="s">
        <v>3862</v>
      </c>
      <c r="H172" s="9" t="s">
        <v>3876</v>
      </c>
      <c r="I172" s="10" cm="1">
        <f t="array" ref="I172">IFERROR(INDEX(Precios!$D:$F,MATCH(N172, Precios!$G:$G, 0),CHOOSE(MATCH(H172, {"SML";"XL";"XXL"}, 0), 1, 2, 3)), 0)</f>
        <v>7.5</v>
      </c>
      <c r="J172" s="9">
        <v>2</v>
      </c>
      <c r="K172" s="10">
        <f t="shared" si="6"/>
        <v>15</v>
      </c>
      <c r="L172" s="9" t="s">
        <v>4210</v>
      </c>
      <c r="N172" s="9" t="str">
        <f t="shared" si="7"/>
        <v>LIMA E ICA PROVINCIA|BAR|POLO 30/1 GRIS</v>
      </c>
      <c r="O172" s="9" t="str">
        <f>IF(N172="","",IF(COUNTIF(Precios!$G:$G,N172)=0,"⚠ No coincide con Precios","OK"))</f>
        <v>OK</v>
      </c>
    </row>
    <row r="173" spans="1:15" x14ac:dyDescent="0.2">
      <c r="A173" s="49">
        <v>45944</v>
      </c>
      <c r="B173" s="51" t="s">
        <v>2160</v>
      </c>
      <c r="C173" s="9" t="str" cm="1">
        <f t="array" ref="C173">IFERROR(_xlfn.XLOOKUP(B173,Personal!$A:$A,Personal!$D:$D,""),"")</f>
        <v>QUISPE POCO ANGEL SANTIAGO</v>
      </c>
      <c r="D173" s="9" t="str" cm="1">
        <f t="array" ref="D173">IFERROR(_xlfn.XLOOKUP(B173,Personal!$A:$A,Personal!$C:$C,""),"")</f>
        <v>SURCO</v>
      </c>
      <c r="E173" s="9" t="str" cm="1">
        <f t="array" ref="E173">IFERROR(_xlfn.XLOOKUP(D173,Locales!$A:$A,Locales!$B:$B,""),"")</f>
        <v>LIMA E ICA PROVINCIA</v>
      </c>
      <c r="F173" s="9" t="str" cm="1">
        <f t="array" ref="F173">IFERROR(_xlfn.XLOOKUP(B173,Personal!$A:$A,Personal!$F:$F,""),"")</f>
        <v>BAR</v>
      </c>
      <c r="G173" s="9" t="s">
        <v>3864</v>
      </c>
      <c r="H173" s="9" t="s">
        <v>3876</v>
      </c>
      <c r="I173" s="10" cm="1">
        <f t="array" ref="I173">IFERROR(INDEX(Precios!$D:$F,MATCH(N173, Precios!$G:$G, 0),CHOOSE(MATCH(H173, {"SML";"XL";"XXL"}, 0), 1, 2, 3)), 0)</f>
        <v>16.5</v>
      </c>
      <c r="J173" s="9">
        <v>2</v>
      </c>
      <c r="K173" s="10">
        <f t="shared" si="6"/>
        <v>33</v>
      </c>
      <c r="L173" s="9" t="s">
        <v>4210</v>
      </c>
      <c r="N173" s="9" t="str">
        <f t="shared" si="7"/>
        <v>LIMA E ICA PROVINCIA|BAR|CAMISA NEGRA MANGA CORTA</v>
      </c>
      <c r="O173" s="9" t="str">
        <f>IF(N173="","",IF(COUNTIF(Precios!$G:$G,N173)=0,"⚠ No coincide con Precios","OK"))</f>
        <v>OK</v>
      </c>
    </row>
    <row r="174" spans="1:15" x14ac:dyDescent="0.2">
      <c r="A174" s="49">
        <v>45944</v>
      </c>
      <c r="B174" s="51" t="s">
        <v>2160</v>
      </c>
      <c r="C174" s="9" t="str" cm="1">
        <f t="array" ref="C174">IFERROR(_xlfn.XLOOKUP(B174,Personal!$A:$A,Personal!$D:$D,""),"")</f>
        <v>QUISPE POCO ANGEL SANTIAGO</v>
      </c>
      <c r="D174" s="9" t="str" cm="1">
        <f t="array" ref="D174">IFERROR(_xlfn.XLOOKUP(B174,Personal!$A:$A,Personal!$C:$C,""),"")</f>
        <v>SURCO</v>
      </c>
      <c r="E174" s="9" t="str" cm="1">
        <f t="array" ref="E174">IFERROR(_xlfn.XLOOKUP(D174,Locales!$A:$A,Locales!$B:$B,""),"")</f>
        <v>LIMA E ICA PROVINCIA</v>
      </c>
      <c r="F174" s="9" t="str" cm="1">
        <f t="array" ref="F174">IFERROR(_xlfn.XLOOKUP(B174,Personal!$A:$A,Personal!$F:$F,""),"")</f>
        <v>BAR</v>
      </c>
      <c r="G174" s="9" t="s">
        <v>3865</v>
      </c>
      <c r="H174" s="9" t="s">
        <v>3876</v>
      </c>
      <c r="I174" s="10" cm="1">
        <f t="array" ref="I174">IFERROR(INDEX(Precios!$D:$F,MATCH(N174, Precios!$G:$G, 0),CHOOSE(MATCH(H174, {"SML";"XL";"XXL"}, 0), 1, 2, 3)), 0)</f>
        <v>19.5</v>
      </c>
      <c r="J174" s="9">
        <v>2</v>
      </c>
      <c r="K174" s="10">
        <f t="shared" si="6"/>
        <v>39</v>
      </c>
      <c r="L174" s="9" t="s">
        <v>4210</v>
      </c>
      <c r="N174" s="9" t="str">
        <f t="shared" si="7"/>
        <v>LIMA E ICA PROVINCIA|BAR|PECHERA NEGRA CUERINA</v>
      </c>
      <c r="O174" s="9" t="str">
        <f>IF(N174="","",IF(COUNTIF(Precios!$G:$G,N174)=0,"⚠ No coincide con Precios","OK"))</f>
        <v>OK</v>
      </c>
    </row>
    <row r="175" spans="1:15" x14ac:dyDescent="0.2">
      <c r="A175" s="49">
        <v>45944</v>
      </c>
      <c r="B175" s="51" t="s">
        <v>2160</v>
      </c>
      <c r="C175" s="9" t="str" cm="1">
        <f t="array" ref="C175">IFERROR(_xlfn.XLOOKUP(B175,Personal!$A:$A,Personal!$D:$D,""),"")</f>
        <v>QUISPE POCO ANGEL SANTIAGO</v>
      </c>
      <c r="D175" s="9" t="str" cm="1">
        <f t="array" ref="D175">IFERROR(_xlfn.XLOOKUP(B175,Personal!$A:$A,Personal!$C:$C,""),"")</f>
        <v>SURCO</v>
      </c>
      <c r="E175" s="9" t="str" cm="1">
        <f t="array" ref="E175">IFERROR(_xlfn.XLOOKUP(D175,Locales!$A:$A,Locales!$B:$B,""),"")</f>
        <v>LIMA E ICA PROVINCIA</v>
      </c>
      <c r="F175" s="9" t="str" cm="1">
        <f t="array" ref="F175">IFERROR(_xlfn.XLOOKUP(B175,Personal!$A:$A,Personal!$F:$F,""),"")</f>
        <v>BAR</v>
      </c>
      <c r="G175" s="9" t="s">
        <v>3862</v>
      </c>
      <c r="H175" s="9" t="s">
        <v>3876</v>
      </c>
      <c r="I175" s="10" cm="1">
        <f t="array" ref="I175">IFERROR(INDEX(Precios!$D:$F,MATCH(N175, Precios!$G:$G, 0),CHOOSE(MATCH(H175, {"SML";"XL";"XXL"}, 0), 1, 2, 3)), 0)</f>
        <v>7.5</v>
      </c>
      <c r="J175" s="9">
        <v>2</v>
      </c>
      <c r="K175" s="10">
        <f t="shared" si="6"/>
        <v>15</v>
      </c>
      <c r="L175" s="9" t="s">
        <v>4210</v>
      </c>
      <c r="N175" s="9" t="str">
        <f t="shared" si="7"/>
        <v>LIMA E ICA PROVINCIA|BAR|POLO 30/1 GRIS</v>
      </c>
      <c r="O175" s="9" t="str">
        <f>IF(N175="","",IF(COUNTIF(Precios!$G:$G,N175)=0,"⚠ No coincide con Precios","OK"))</f>
        <v>OK</v>
      </c>
    </row>
    <row r="176" spans="1:15" x14ac:dyDescent="0.2">
      <c r="A176" s="49">
        <v>45903</v>
      </c>
      <c r="B176" s="51" t="s">
        <v>4719</v>
      </c>
      <c r="C176" s="9" t="str" cm="1">
        <f t="array" ref="C176">IFERROR(_xlfn.XLOOKUP(B176,Personal!$A:$A,Personal!$D:$D,""),"")</f>
        <v>PANANA NAJARRO LUIS ENRIQUE</v>
      </c>
      <c r="D176" s="9" t="str" cm="1">
        <f t="array" ref="D176">IFERROR(_xlfn.XLOOKUP(B176,Personal!$A:$A,Personal!$C:$C,""),"")</f>
        <v>EJERCITO</v>
      </c>
      <c r="E176" s="9" t="str" cm="1">
        <f t="array" ref="E176">IFERROR(_xlfn.XLOOKUP(D176,Locales!$A:$A,Locales!$B:$B,""),"")</f>
        <v>LIMA E ICA PROVINCIA</v>
      </c>
      <c r="F176" s="9" t="str" cm="1">
        <f t="array" ref="F176">IFERROR(_xlfn.XLOOKUP(B176,Personal!$A:$A,Personal!$F:$F,""),"")</f>
        <v>MOTORIZADO</v>
      </c>
      <c r="G176" s="9" t="s">
        <v>4217</v>
      </c>
      <c r="H176" s="9" t="s">
        <v>3876</v>
      </c>
      <c r="I176" s="10" cm="1">
        <f t="array" ref="I176">IFERROR(INDEX(Precios!$D:$F,MATCH(N176, Precios!$G:$G, 0),CHOOSE(MATCH(H176, {"SML";"XL";"XXL"}, 0), 1, 2, 3)), 0)</f>
        <v>17</v>
      </c>
      <c r="J176" s="9">
        <v>2</v>
      </c>
      <c r="K176" s="10">
        <f t="shared" si="6"/>
        <v>34</v>
      </c>
      <c r="L176" s="9" t="s">
        <v>4210</v>
      </c>
      <c r="N176" s="9" t="str">
        <f t="shared" si="7"/>
        <v>LIMA E ICA PROVINCIA|MOTORIZADO|POLO PIQUÉ PLOMO, MANGA LARGA MOTORIZADO</v>
      </c>
      <c r="O176" s="9" t="str">
        <f>IF(N176="","",IF(COUNTIF(Precios!$G:$G,N176)=0,"⚠ No coincide con Precios","OK"))</f>
        <v>OK</v>
      </c>
    </row>
    <row r="177" spans="1:15" x14ac:dyDescent="0.2">
      <c r="A177" s="49">
        <v>45903</v>
      </c>
      <c r="B177" s="51" t="s">
        <v>4719</v>
      </c>
      <c r="C177" s="9" t="str" cm="1">
        <f t="array" ref="C177">IFERROR(_xlfn.XLOOKUP(B177,Personal!$A:$A,Personal!$D:$D,""),"")</f>
        <v>PANANA NAJARRO LUIS ENRIQUE</v>
      </c>
      <c r="D177" s="9" t="str" cm="1">
        <f t="array" ref="D177">IFERROR(_xlfn.XLOOKUP(B177,Personal!$A:$A,Personal!$C:$C,""),"")</f>
        <v>EJERCITO</v>
      </c>
      <c r="E177" s="9" t="str" cm="1">
        <f t="array" ref="E177">IFERROR(_xlfn.XLOOKUP(D177,Locales!$A:$A,Locales!$B:$B,""),"")</f>
        <v>LIMA E ICA PROVINCIA</v>
      </c>
      <c r="F177" s="9" t="str" cm="1">
        <f t="array" ref="F177">IFERROR(_xlfn.XLOOKUP(B177,Personal!$A:$A,Personal!$F:$F,""),"")</f>
        <v>MOTORIZADO</v>
      </c>
      <c r="G177" s="9" t="s">
        <v>4229</v>
      </c>
      <c r="H177" s="9" t="s">
        <v>3876</v>
      </c>
      <c r="I177" s="10" cm="1">
        <f t="array" ref="I177">IFERROR(INDEX(Precios!$D:$F,MATCH(N177, Precios!$G:$G, 0),CHOOSE(MATCH(H177, {"SML";"XL";"XXL"}, 0), 1, 2, 3)), 0)</f>
        <v>39</v>
      </c>
      <c r="J177" s="9">
        <v>1</v>
      </c>
      <c r="K177" s="10">
        <f t="shared" si="6"/>
        <v>39</v>
      </c>
      <c r="L177" s="9" t="s">
        <v>4210</v>
      </c>
      <c r="N177" s="9" t="str">
        <f t="shared" si="7"/>
        <v>LIMA E ICA PROVINCIA|MOTORIZADO|CASACA NEGRA CON REFLECTIVOS MOTORIZADO</v>
      </c>
      <c r="O177" s="9" t="str">
        <f>IF(N177="","",IF(COUNTIF(Precios!$G:$G,N177)=0,"⚠ No coincide con Precios","OK"))</f>
        <v>OK</v>
      </c>
    </row>
    <row r="178" spans="1:15" x14ac:dyDescent="0.2">
      <c r="A178" s="49">
        <v>45903</v>
      </c>
      <c r="B178" s="51" t="s">
        <v>4719</v>
      </c>
      <c r="C178" s="9" t="str" cm="1">
        <f t="array" ref="C178">IFERROR(_xlfn.XLOOKUP(B178,Personal!$A:$A,Personal!$D:$D,""),"")</f>
        <v>PANANA NAJARRO LUIS ENRIQUE</v>
      </c>
      <c r="D178" s="9" t="str" cm="1">
        <f t="array" ref="D178">IFERROR(_xlfn.XLOOKUP(B178,Personal!$A:$A,Personal!$C:$C,""),"")</f>
        <v>EJERCITO</v>
      </c>
      <c r="E178" s="9" t="str" cm="1">
        <f t="array" ref="E178">IFERROR(_xlfn.XLOOKUP(D178,Locales!$A:$A,Locales!$B:$B,""),"")</f>
        <v>LIMA E ICA PROVINCIA</v>
      </c>
      <c r="F178" s="9" t="str" cm="1">
        <f t="array" ref="F178">IFERROR(_xlfn.XLOOKUP(B178,Personal!$A:$A,Personal!$F:$F,""),"")</f>
        <v>MOTORIZADO</v>
      </c>
      <c r="G178" s="9" t="s">
        <v>4219</v>
      </c>
      <c r="H178" s="9" t="s">
        <v>3876</v>
      </c>
      <c r="I178" s="10" cm="1">
        <f t="array" ref="I178">IFERROR(INDEX(Precios!$D:$F,MATCH(N178, Precios!$G:$G, 0),CHOOSE(MATCH(H178, {"SML";"XL";"XXL"}, 0), 1, 2, 3)), 0)</f>
        <v>5</v>
      </c>
      <c r="J178" s="9">
        <v>2</v>
      </c>
      <c r="K178" s="10">
        <f t="shared" si="6"/>
        <v>10</v>
      </c>
      <c r="L178" s="9" t="s">
        <v>4210</v>
      </c>
      <c r="N178" s="9" t="str">
        <f t="shared" si="7"/>
        <v>LIMA E ICA PROVINCIA|MOTORIZADO|GORRO NEGRO MOTORIZADO</v>
      </c>
      <c r="O178" s="9" t="str">
        <f>IF(N178="","",IF(COUNTIF(Precios!$G:$G,N178)=0,"⚠ No coincide con Precios","OK"))</f>
        <v>OK</v>
      </c>
    </row>
    <row r="179" spans="1:15" x14ac:dyDescent="0.2">
      <c r="A179" s="49">
        <v>45951</v>
      </c>
      <c r="B179" s="51" t="s">
        <v>3420</v>
      </c>
      <c r="C179" s="9" t="str" cm="1">
        <f t="array" ref="C179">IFERROR(_xlfn.XLOOKUP(B179,Personal!$A:$A,Personal!$D:$D,""),"")</f>
        <v>BECERRA ACUÑA EVELYN MILAGROS</v>
      </c>
      <c r="D179" s="9" t="str" cm="1">
        <f t="array" ref="D179">IFERROR(_xlfn.XLOOKUP(B179,Personal!$A:$A,Personal!$C:$C,""),"")</f>
        <v>EJERCITO</v>
      </c>
      <c r="E179" s="9" t="str" cm="1">
        <f t="array" ref="E179">IFERROR(_xlfn.XLOOKUP(D179,Locales!$A:$A,Locales!$B:$B,""),"")</f>
        <v>LIMA E ICA PROVINCIA</v>
      </c>
      <c r="F179" s="9" t="str" cm="1">
        <f t="array" ref="F179">IFERROR(_xlfn.XLOOKUP(B179,Personal!$A:$A,Personal!$F:$F,""),"")</f>
        <v>AZAFATA</v>
      </c>
      <c r="G179" s="9" t="s">
        <v>3855</v>
      </c>
      <c r="H179" s="9" t="s">
        <v>3876</v>
      </c>
      <c r="I179" s="10" cm="1">
        <f t="array" ref="I179">IFERROR(INDEX(Precios!$D:$F,MATCH(N179, Precios!$G:$G, 0),CHOOSE(MATCH(H179, {"SML";"XL";"XXL"}, 0), 1, 2, 3)), 0)</f>
        <v>18.5</v>
      </c>
      <c r="J179" s="9">
        <v>2</v>
      </c>
      <c r="K179" s="10">
        <f t="shared" si="6"/>
        <v>37</v>
      </c>
      <c r="L179" s="9" t="s">
        <v>4210</v>
      </c>
      <c r="N179" s="9" t="str">
        <f t="shared" si="7"/>
        <v>LIMA E ICA PROVINCIA|AZAFATA|BLUSA BLANCA (MANGA LARGA)</v>
      </c>
      <c r="O179" s="9" t="str">
        <f>IF(N179="","",IF(COUNTIF(Precios!$G:$G,N179)=0,"⚠ No coincide con Precios","OK"))</f>
        <v>OK</v>
      </c>
    </row>
    <row r="180" spans="1:15" x14ac:dyDescent="0.2">
      <c r="A180" s="49">
        <v>45951</v>
      </c>
      <c r="B180" s="51" t="s">
        <v>3368</v>
      </c>
      <c r="C180" s="9" t="str" cm="1">
        <f t="array" ref="C180">IFERROR(_xlfn.XLOOKUP(B180,Personal!$A:$A,Personal!$D:$D,""),"")</f>
        <v>MONTALVAN FACHIN ANDRE EMANUEL</v>
      </c>
      <c r="D180" s="9" t="str" cm="1">
        <f t="array" ref="D180">IFERROR(_xlfn.XLOOKUP(B180,Personal!$A:$A,Personal!$C:$C,""),"")</f>
        <v>EJERCITO</v>
      </c>
      <c r="E180" s="9" t="str" cm="1">
        <f t="array" ref="E180">IFERROR(_xlfn.XLOOKUP(D180,Locales!$A:$A,Locales!$B:$B,""),"")</f>
        <v>LIMA E ICA PROVINCIA</v>
      </c>
      <c r="F180" s="9" t="str" cm="1">
        <f t="array" ref="F180">IFERROR(_xlfn.XLOOKUP(B180,Personal!$A:$A,Personal!$F:$F,""),"")</f>
        <v>BAR</v>
      </c>
      <c r="G180" s="9" t="s">
        <v>3864</v>
      </c>
      <c r="H180" s="9" t="s">
        <v>3876</v>
      </c>
      <c r="I180" s="10" cm="1">
        <f t="array" ref="I180">IFERROR(INDEX(Precios!$D:$F,MATCH(N180, Precios!$G:$G, 0),CHOOSE(MATCH(H180, {"SML";"XL";"XXL"}, 0), 1, 2, 3)), 0)</f>
        <v>16.5</v>
      </c>
      <c r="J180" s="9">
        <v>2</v>
      </c>
      <c r="K180" s="10">
        <f t="shared" si="6"/>
        <v>33</v>
      </c>
      <c r="L180" s="9" t="s">
        <v>4210</v>
      </c>
      <c r="N180" s="9" t="str">
        <f t="shared" si="7"/>
        <v>LIMA E ICA PROVINCIA|BAR|CAMISA NEGRA MANGA CORTA</v>
      </c>
      <c r="O180" s="9" t="str">
        <f>IF(N180="","",IF(COUNTIF(Precios!$G:$G,N180)=0,"⚠ No coincide con Precios","OK"))</f>
        <v>OK</v>
      </c>
    </row>
    <row r="181" spans="1:15" x14ac:dyDescent="0.2">
      <c r="A181" s="49">
        <v>45951</v>
      </c>
      <c r="B181" s="51" t="s">
        <v>3368</v>
      </c>
      <c r="C181" s="9" t="str" cm="1">
        <f t="array" ref="C181">IFERROR(_xlfn.XLOOKUP(B181,Personal!$A:$A,Personal!$D:$D,""),"")</f>
        <v>MONTALVAN FACHIN ANDRE EMANUEL</v>
      </c>
      <c r="D181" s="9" t="str" cm="1">
        <f t="array" ref="D181">IFERROR(_xlfn.XLOOKUP(B181,Personal!$A:$A,Personal!$C:$C,""),"")</f>
        <v>EJERCITO</v>
      </c>
      <c r="E181" s="9" t="str" cm="1">
        <f t="array" ref="E181">IFERROR(_xlfn.XLOOKUP(D181,Locales!$A:$A,Locales!$B:$B,""),"")</f>
        <v>LIMA E ICA PROVINCIA</v>
      </c>
      <c r="F181" s="9" t="str" cm="1">
        <f t="array" ref="F181">IFERROR(_xlfn.XLOOKUP(B181,Personal!$A:$A,Personal!$F:$F,""),"")</f>
        <v>BAR</v>
      </c>
      <c r="G181" s="9" t="s">
        <v>3865</v>
      </c>
      <c r="H181" s="9" t="s">
        <v>3876</v>
      </c>
      <c r="I181" s="10" cm="1">
        <f t="array" ref="I181">IFERROR(INDEX(Precios!$D:$F,MATCH(N181, Precios!$G:$G, 0),CHOOSE(MATCH(H181, {"SML";"XL";"XXL"}, 0), 1, 2, 3)), 0)</f>
        <v>19.5</v>
      </c>
      <c r="J181" s="9">
        <v>2</v>
      </c>
      <c r="K181" s="10">
        <f t="shared" si="6"/>
        <v>39</v>
      </c>
      <c r="L181" s="9" t="s">
        <v>4210</v>
      </c>
      <c r="N181" s="9" t="str">
        <f t="shared" si="7"/>
        <v>LIMA E ICA PROVINCIA|BAR|PECHERA NEGRA CUERINA</v>
      </c>
      <c r="O181" s="9" t="str">
        <f>IF(N181="","",IF(COUNTIF(Precios!$G:$G,N181)=0,"⚠ No coincide con Precios","OK"))</f>
        <v>OK</v>
      </c>
    </row>
    <row r="182" spans="1:15" x14ac:dyDescent="0.2">
      <c r="A182" s="49">
        <v>45951</v>
      </c>
      <c r="B182" s="51" t="s">
        <v>3368</v>
      </c>
      <c r="C182" s="9" t="str" cm="1">
        <f t="array" ref="C182">IFERROR(_xlfn.XLOOKUP(B182,Personal!$A:$A,Personal!$D:$D,""),"")</f>
        <v>MONTALVAN FACHIN ANDRE EMANUEL</v>
      </c>
      <c r="D182" s="9" t="str" cm="1">
        <f t="array" ref="D182">IFERROR(_xlfn.XLOOKUP(B182,Personal!$A:$A,Personal!$C:$C,""),"")</f>
        <v>EJERCITO</v>
      </c>
      <c r="E182" s="9" t="str" cm="1">
        <f t="array" ref="E182">IFERROR(_xlfn.XLOOKUP(D182,Locales!$A:$A,Locales!$B:$B,""),"")</f>
        <v>LIMA E ICA PROVINCIA</v>
      </c>
      <c r="F182" s="9" t="str" cm="1">
        <f t="array" ref="F182">IFERROR(_xlfn.XLOOKUP(B182,Personal!$A:$A,Personal!$F:$F,""),"")</f>
        <v>BAR</v>
      </c>
      <c r="G182" s="9" t="s">
        <v>3862</v>
      </c>
      <c r="H182" s="9" t="s">
        <v>3876</v>
      </c>
      <c r="I182" s="10" cm="1">
        <f t="array" ref="I182">IFERROR(INDEX(Precios!$D:$F,MATCH(N182, Precios!$G:$G, 0),CHOOSE(MATCH(H182, {"SML";"XL";"XXL"}, 0), 1, 2, 3)), 0)</f>
        <v>7.5</v>
      </c>
      <c r="J182" s="9">
        <v>2</v>
      </c>
      <c r="K182" s="10">
        <f t="shared" si="6"/>
        <v>15</v>
      </c>
      <c r="L182" s="9" t="s">
        <v>4210</v>
      </c>
      <c r="N182" s="9" t="str">
        <f t="shared" si="7"/>
        <v>LIMA E ICA PROVINCIA|BAR|POLO 30/1 GRIS</v>
      </c>
      <c r="O182" s="9" t="str">
        <f>IF(N182="","",IF(COUNTIF(Precios!$G:$G,N182)=0,"⚠ No coincide con Precios","OK"))</f>
        <v>OK</v>
      </c>
    </row>
    <row r="183" spans="1:15" x14ac:dyDescent="0.2">
      <c r="A183" s="49">
        <v>45951</v>
      </c>
      <c r="B183" s="51" t="s">
        <v>3390</v>
      </c>
      <c r="C183" s="9" t="str" cm="1">
        <f t="array" ref="C183">IFERROR(_xlfn.XLOOKUP(B183,Personal!$A:$A,Personal!$D:$D,""),"")</f>
        <v>BALDEON VASQUEZ BENJAMIN</v>
      </c>
      <c r="D183" s="9" t="str" cm="1">
        <f t="array" ref="D183">IFERROR(_xlfn.XLOOKUP(B183,Personal!$A:$A,Personal!$C:$C,""),"")</f>
        <v>EJERCITO</v>
      </c>
      <c r="E183" s="9" t="str" cm="1">
        <f t="array" ref="E183">IFERROR(_xlfn.XLOOKUP(D183,Locales!$A:$A,Locales!$B:$B,""),"")</f>
        <v>LIMA E ICA PROVINCIA</v>
      </c>
      <c r="F183" s="9" t="str" cm="1">
        <f t="array" ref="F183">IFERROR(_xlfn.XLOOKUP(B183,Personal!$A:$A,Personal!$F:$F,""),"")</f>
        <v>BAR</v>
      </c>
      <c r="G183" s="9" t="s">
        <v>3864</v>
      </c>
      <c r="H183" s="9" t="s">
        <v>3876</v>
      </c>
      <c r="I183" s="10" cm="1">
        <f t="array" ref="I183">IFERROR(INDEX(Precios!$D:$F,MATCH(N183, Precios!$G:$G, 0),CHOOSE(MATCH(H183, {"SML";"XL";"XXL"}, 0), 1, 2, 3)), 0)</f>
        <v>16.5</v>
      </c>
      <c r="J183" s="9">
        <v>2</v>
      </c>
      <c r="K183" s="10">
        <f t="shared" si="6"/>
        <v>33</v>
      </c>
      <c r="L183" s="9" t="s">
        <v>4210</v>
      </c>
      <c r="N183" s="9" t="str">
        <f t="shared" si="7"/>
        <v>LIMA E ICA PROVINCIA|BAR|CAMISA NEGRA MANGA CORTA</v>
      </c>
      <c r="O183" s="9" t="str">
        <f>IF(N183="","",IF(COUNTIF(Precios!$G:$G,N183)=0,"⚠ No coincide con Precios","OK"))</f>
        <v>OK</v>
      </c>
    </row>
    <row r="184" spans="1:15" x14ac:dyDescent="0.2">
      <c r="A184" s="49">
        <v>45951</v>
      </c>
      <c r="B184" s="51" t="s">
        <v>3390</v>
      </c>
      <c r="C184" s="9" t="str" cm="1">
        <f t="array" ref="C184">IFERROR(_xlfn.XLOOKUP(B184,Personal!$A:$A,Personal!$D:$D,""),"")</f>
        <v>BALDEON VASQUEZ BENJAMIN</v>
      </c>
      <c r="D184" s="9" t="str" cm="1">
        <f t="array" ref="D184">IFERROR(_xlfn.XLOOKUP(B184,Personal!$A:$A,Personal!$C:$C,""),"")</f>
        <v>EJERCITO</v>
      </c>
      <c r="E184" s="9" t="str" cm="1">
        <f t="array" ref="E184">IFERROR(_xlfn.XLOOKUP(D184,Locales!$A:$A,Locales!$B:$B,""),"")</f>
        <v>LIMA E ICA PROVINCIA</v>
      </c>
      <c r="F184" s="9" t="str" cm="1">
        <f t="array" ref="F184">IFERROR(_xlfn.XLOOKUP(B184,Personal!$A:$A,Personal!$F:$F,""),"")</f>
        <v>BAR</v>
      </c>
      <c r="G184" s="9" t="s">
        <v>3865</v>
      </c>
      <c r="H184" s="9" t="s">
        <v>3876</v>
      </c>
      <c r="I184" s="10" cm="1">
        <f t="array" ref="I184">IFERROR(INDEX(Precios!$D:$F,MATCH(N184, Precios!$G:$G, 0),CHOOSE(MATCH(H184, {"SML";"XL";"XXL"}, 0), 1, 2, 3)), 0)</f>
        <v>19.5</v>
      </c>
      <c r="J184" s="9">
        <v>2</v>
      </c>
      <c r="K184" s="10">
        <f t="shared" si="6"/>
        <v>39</v>
      </c>
      <c r="L184" s="9" t="s">
        <v>4210</v>
      </c>
      <c r="N184" s="9" t="str">
        <f t="shared" si="7"/>
        <v>LIMA E ICA PROVINCIA|BAR|PECHERA NEGRA CUERINA</v>
      </c>
      <c r="O184" s="9" t="str">
        <f>IF(N184="","",IF(COUNTIF(Precios!$G:$G,N184)=0,"⚠ No coincide con Precios","OK"))</f>
        <v>OK</v>
      </c>
    </row>
    <row r="185" spans="1:15" x14ac:dyDescent="0.2">
      <c r="A185" s="49">
        <v>45951</v>
      </c>
      <c r="B185" s="51" t="s">
        <v>3390</v>
      </c>
      <c r="C185" s="9" t="str" cm="1">
        <f t="array" ref="C185">IFERROR(_xlfn.XLOOKUP(B185,Personal!$A:$A,Personal!$D:$D,""),"")</f>
        <v>BALDEON VASQUEZ BENJAMIN</v>
      </c>
      <c r="D185" s="9" t="str" cm="1">
        <f t="array" ref="D185">IFERROR(_xlfn.XLOOKUP(B185,Personal!$A:$A,Personal!$C:$C,""),"")</f>
        <v>EJERCITO</v>
      </c>
      <c r="E185" s="9" t="str" cm="1">
        <f t="array" ref="E185">IFERROR(_xlfn.XLOOKUP(D185,Locales!$A:$A,Locales!$B:$B,""),"")</f>
        <v>LIMA E ICA PROVINCIA</v>
      </c>
      <c r="F185" s="9" t="str" cm="1">
        <f t="array" ref="F185">IFERROR(_xlfn.XLOOKUP(B185,Personal!$A:$A,Personal!$F:$F,""),"")</f>
        <v>BAR</v>
      </c>
      <c r="G185" s="9" t="s">
        <v>3862</v>
      </c>
      <c r="H185" s="9" t="s">
        <v>3876</v>
      </c>
      <c r="I185" s="10" cm="1">
        <f t="array" ref="I185">IFERROR(INDEX(Precios!$D:$F,MATCH(N185, Precios!$G:$G, 0),CHOOSE(MATCH(H185, {"SML";"XL";"XXL"}, 0), 1, 2, 3)), 0)</f>
        <v>7.5</v>
      </c>
      <c r="J185" s="9">
        <v>2</v>
      </c>
      <c r="K185" s="10">
        <f t="shared" si="6"/>
        <v>15</v>
      </c>
      <c r="L185" s="9" t="s">
        <v>4210</v>
      </c>
      <c r="N185" s="9" t="str">
        <f t="shared" si="7"/>
        <v>LIMA E ICA PROVINCIA|BAR|POLO 30/1 GRIS</v>
      </c>
      <c r="O185" s="9" t="str">
        <f>IF(N185="","",IF(COUNTIF(Precios!$G:$G,N185)=0,"⚠ No coincide con Precios","OK"))</f>
        <v>OK</v>
      </c>
    </row>
    <row r="186" spans="1:15" x14ac:dyDescent="0.2">
      <c r="A186" s="49">
        <v>45951</v>
      </c>
      <c r="B186" s="51" t="s">
        <v>625</v>
      </c>
      <c r="C186" s="9" t="str" cm="1">
        <f t="array" ref="C186">IFERROR(_xlfn.XLOOKUP(B186,Personal!$A:$A,Personal!$D:$D,""),"")</f>
        <v>DIAZ GUTIERREZ LOYDA REBECA</v>
      </c>
      <c r="D186" s="9" t="str" cm="1">
        <f t="array" ref="D186">IFERROR(_xlfn.XLOOKUP(B186,Personal!$A:$A,Personal!$C:$C,""),"")</f>
        <v>EJERCITO</v>
      </c>
      <c r="E186" s="9" t="str" cm="1">
        <f t="array" ref="E186">IFERROR(_xlfn.XLOOKUP(D186,Locales!$A:$A,Locales!$B:$B,""),"")</f>
        <v>LIMA E ICA PROVINCIA</v>
      </c>
      <c r="F186" s="9" t="str" cm="1">
        <f t="array" ref="F186">IFERROR(_xlfn.XLOOKUP(B186,Personal!$A:$A,Personal!$F:$F,""),"")</f>
        <v>PRODUCCIÓN / COCINA</v>
      </c>
      <c r="G186" s="9" t="s">
        <v>47</v>
      </c>
      <c r="H186" s="9" t="s">
        <v>3876</v>
      </c>
      <c r="I186" s="10" cm="1">
        <f t="array" ref="I186">IFERROR(INDEX(Precios!$D:$F,MATCH(N186, Precios!$G:$G, 0),CHOOSE(MATCH(H186, {"SML";"XL";"XXL"}, 0), 1, 2, 3)), 0)</f>
        <v>16.25</v>
      </c>
      <c r="J186" s="9">
        <v>2</v>
      </c>
      <c r="K186" s="10">
        <f t="shared" si="6"/>
        <v>32.5</v>
      </c>
      <c r="L186" s="9" t="s">
        <v>4210</v>
      </c>
      <c r="N186" s="9" t="str">
        <f t="shared" si="7"/>
        <v>LIMA E ICA PROVINCIA|PRODUCCIÓN / COCINA|CHAQUETA DRILL BLANCO</v>
      </c>
      <c r="O186" s="9" t="str">
        <f>IF(N186="","",IF(COUNTIF(Precios!$G:$G,N186)=0,"⚠ No coincide con Precios","OK"))</f>
        <v>OK</v>
      </c>
    </row>
    <row r="187" spans="1:15" x14ac:dyDescent="0.2">
      <c r="A187" s="49">
        <v>45951</v>
      </c>
      <c r="B187" s="51" t="s">
        <v>625</v>
      </c>
      <c r="C187" s="9" t="str" cm="1">
        <f t="array" ref="C187">IFERROR(_xlfn.XLOOKUP(B187,Personal!$A:$A,Personal!$D:$D,""),"")</f>
        <v>DIAZ GUTIERREZ LOYDA REBECA</v>
      </c>
      <c r="D187" s="9" t="str" cm="1">
        <f t="array" ref="D187">IFERROR(_xlfn.XLOOKUP(B187,Personal!$A:$A,Personal!$C:$C,""),"")</f>
        <v>EJERCITO</v>
      </c>
      <c r="E187" s="9" t="str" cm="1">
        <f t="array" ref="E187">IFERROR(_xlfn.XLOOKUP(D187,Locales!$A:$A,Locales!$B:$B,""),"")</f>
        <v>LIMA E ICA PROVINCIA</v>
      </c>
      <c r="F187" s="9" t="str" cm="1">
        <f t="array" ref="F187">IFERROR(_xlfn.XLOOKUP(B187,Personal!$A:$A,Personal!$F:$F,""),"")</f>
        <v>PRODUCCIÓN / COCINA</v>
      </c>
      <c r="G187" s="9" t="s">
        <v>3867</v>
      </c>
      <c r="H187" s="9" t="s">
        <v>3876</v>
      </c>
      <c r="I187" s="10" cm="1">
        <f t="array" ref="I187">IFERROR(INDEX(Precios!$D:$F,MATCH(N187, Precios!$G:$G, 0),CHOOSE(MATCH(H187, {"SML";"XL";"XXL"}, 0), 1, 2, 3)), 0)</f>
        <v>11</v>
      </c>
      <c r="J187" s="9">
        <v>2</v>
      </c>
      <c r="K187" s="10">
        <f t="shared" si="6"/>
        <v>22</v>
      </c>
      <c r="L187" s="9" t="s">
        <v>4210</v>
      </c>
      <c r="N187" s="9" t="str">
        <f t="shared" si="7"/>
        <v>LIMA E ICA PROVINCIA|PRODUCCIÓN / COCINA|PANTALÓN SAL Y PIMIENTA</v>
      </c>
      <c r="O187" s="9" t="str">
        <f>IF(N187="","",IF(COUNTIF(Precios!$G:$G,N187)=0,"⚠ No coincide con Precios","OK"))</f>
        <v>OK</v>
      </c>
    </row>
    <row r="188" spans="1:15" x14ac:dyDescent="0.2">
      <c r="A188" s="49">
        <v>45951</v>
      </c>
      <c r="B188" s="51" t="s">
        <v>625</v>
      </c>
      <c r="C188" s="9" t="str" cm="1">
        <f t="array" ref="C188">IFERROR(_xlfn.XLOOKUP(B188,Personal!$A:$A,Personal!$D:$D,""),"")</f>
        <v>DIAZ GUTIERREZ LOYDA REBECA</v>
      </c>
      <c r="D188" s="9" t="str" cm="1">
        <f t="array" ref="D188">IFERROR(_xlfn.XLOOKUP(B188,Personal!$A:$A,Personal!$C:$C,""),"")</f>
        <v>EJERCITO</v>
      </c>
      <c r="E188" s="9" t="str" cm="1">
        <f t="array" ref="E188">IFERROR(_xlfn.XLOOKUP(D188,Locales!$A:$A,Locales!$B:$B,""),"")</f>
        <v>LIMA E ICA PROVINCIA</v>
      </c>
      <c r="F188" s="9" t="str" cm="1">
        <f t="array" ref="F188">IFERROR(_xlfn.XLOOKUP(B188,Personal!$A:$A,Personal!$F:$F,""),"")</f>
        <v>PRODUCCIÓN / COCINA</v>
      </c>
      <c r="G188" s="9" t="s">
        <v>3868</v>
      </c>
      <c r="H188" s="9" t="s">
        <v>3876</v>
      </c>
      <c r="I188" s="10" cm="1">
        <f t="array" ref="I188">IFERROR(INDEX(Precios!$D:$F,MATCH(N188, Precios!$G:$G, 0),CHOOSE(MATCH(H188, {"SML";"XL";"XXL"}, 0), 1, 2, 3)), 0)</f>
        <v>6.5</v>
      </c>
      <c r="J188" s="9">
        <v>2</v>
      </c>
      <c r="K188" s="10">
        <f t="shared" si="6"/>
        <v>13</v>
      </c>
      <c r="L188" s="9" t="s">
        <v>4210</v>
      </c>
      <c r="N188" s="9" t="str">
        <f t="shared" si="7"/>
        <v>LIMA E ICA PROVINCIA|PRODUCCIÓN / COCINA|PECHERA GRIS EN DRILL</v>
      </c>
      <c r="O188" s="9" t="str">
        <f>IF(N188="","",IF(COUNTIF(Precios!$G:$G,N188)=0,"⚠ No coincide con Precios","OK"))</f>
        <v>OK</v>
      </c>
    </row>
    <row r="189" spans="1:15" x14ac:dyDescent="0.2">
      <c r="A189" s="49">
        <v>45951</v>
      </c>
      <c r="B189" s="51" t="s">
        <v>625</v>
      </c>
      <c r="C189" s="9" t="str" cm="1">
        <f t="array" ref="C189">IFERROR(_xlfn.XLOOKUP(B189,Personal!$A:$A,Personal!$D:$D,""),"")</f>
        <v>DIAZ GUTIERREZ LOYDA REBECA</v>
      </c>
      <c r="D189" s="9" t="str" cm="1">
        <f t="array" ref="D189">IFERROR(_xlfn.XLOOKUP(B189,Personal!$A:$A,Personal!$C:$C,""),"")</f>
        <v>EJERCITO</v>
      </c>
      <c r="E189" s="9" t="str" cm="1">
        <f t="array" ref="E189">IFERROR(_xlfn.XLOOKUP(D189,Locales!$A:$A,Locales!$B:$B,""),"")</f>
        <v>LIMA E ICA PROVINCIA</v>
      </c>
      <c r="F189" s="9" t="str" cm="1">
        <f t="array" ref="F189">IFERROR(_xlfn.XLOOKUP(B189,Personal!$A:$A,Personal!$F:$F,""),"")</f>
        <v>PRODUCCIÓN / COCINA</v>
      </c>
      <c r="G189" s="9" t="s">
        <v>3869</v>
      </c>
      <c r="H189" s="9" t="s">
        <v>3876</v>
      </c>
      <c r="I189" s="10" cm="1">
        <f t="array" ref="I189">IFERROR(INDEX(Precios!$D:$F,MATCH(N189, Precios!$G:$G, 0),CHOOSE(MATCH(H189, {"SML";"XL";"XXL"}, 0), 1, 2, 3)), 0)</f>
        <v>4.5</v>
      </c>
      <c r="J189" s="9">
        <v>2</v>
      </c>
      <c r="K189" s="10">
        <f t="shared" si="6"/>
        <v>9</v>
      </c>
      <c r="L189" s="9" t="s">
        <v>4210</v>
      </c>
      <c r="N189" s="9" t="str">
        <f t="shared" si="7"/>
        <v>LIMA E ICA PROVINCIA|PRODUCCIÓN / COCINA|GARIBALDI GRIS</v>
      </c>
      <c r="O189" s="9" t="str">
        <f>IF(N189="","",IF(COUNTIF(Precios!$G:$G,N189)=0,"⚠ No coincide con Precios","OK"))</f>
        <v>OK</v>
      </c>
    </row>
    <row r="190" spans="1:15" x14ac:dyDescent="0.2">
      <c r="A190" s="49">
        <v>45951</v>
      </c>
      <c r="B190" s="51" t="s">
        <v>625</v>
      </c>
      <c r="C190" s="9" t="str" cm="1">
        <f t="array" ref="C190">IFERROR(_xlfn.XLOOKUP(B190,Personal!$A:$A,Personal!$D:$D,""),"")</f>
        <v>DIAZ GUTIERREZ LOYDA REBECA</v>
      </c>
      <c r="D190" s="9" t="str" cm="1">
        <f t="array" ref="D190">IFERROR(_xlfn.XLOOKUP(B190,Personal!$A:$A,Personal!$C:$C,""),"")</f>
        <v>EJERCITO</v>
      </c>
      <c r="E190" s="9" t="str" cm="1">
        <f t="array" ref="E190">IFERROR(_xlfn.XLOOKUP(D190,Locales!$A:$A,Locales!$B:$B,""),"")</f>
        <v>LIMA E ICA PROVINCIA</v>
      </c>
      <c r="F190" s="9" t="str" cm="1">
        <f t="array" ref="F190">IFERROR(_xlfn.XLOOKUP(B190,Personal!$A:$A,Personal!$F:$F,""),"")</f>
        <v>PRODUCCIÓN / COCINA</v>
      </c>
      <c r="G190" s="9" t="s">
        <v>3862</v>
      </c>
      <c r="H190" s="9" t="s">
        <v>3876</v>
      </c>
      <c r="I190" s="10" cm="1">
        <f t="array" ref="I190">IFERROR(INDEX(Precios!$D:$F,MATCH(N190, Precios!$G:$G, 0),CHOOSE(MATCH(H190, {"SML";"XL";"XXL"}, 0), 1, 2, 3)), 0)</f>
        <v>7.5</v>
      </c>
      <c r="J190" s="9">
        <v>2</v>
      </c>
      <c r="K190" s="10">
        <f t="shared" si="6"/>
        <v>15</v>
      </c>
      <c r="L190" s="9" t="s">
        <v>4210</v>
      </c>
      <c r="N190" s="9" t="str">
        <f t="shared" si="7"/>
        <v>LIMA E ICA PROVINCIA|PRODUCCIÓN / COCINA|POLO 30/1 GRIS</v>
      </c>
      <c r="O190" s="9" t="str">
        <f>IF(N190="","",IF(COUNTIF(Precios!$G:$G,N190)=0,"⚠ No coincide con Precios","OK"))</f>
        <v>OK</v>
      </c>
    </row>
    <row r="191" spans="1:15" x14ac:dyDescent="0.2">
      <c r="A191" s="49">
        <v>46006</v>
      </c>
      <c r="B191" s="51" t="s">
        <v>3198</v>
      </c>
      <c r="C191" s="9" t="str" cm="1">
        <f t="array" ref="C191">IFERROR(_xlfn.XLOOKUP(B191,Personal!$A:$A,Personal!$D:$D,""),"")</f>
        <v>CABREJO SILVA JUAN MELCHOR</v>
      </c>
      <c r="D191" s="9" t="str" cm="1">
        <f t="array" ref="D191">IFERROR(_xlfn.XLOOKUP(B191,Personal!$A:$A,Personal!$C:$C,""),"")</f>
        <v>VI-ADM</v>
      </c>
      <c r="E191" s="9" t="str" cm="1">
        <f t="array" ref="E191">IFERROR(_xlfn.XLOOKUP(D191,Locales!$A:$A,Locales!$B:$B,""),"")</f>
        <v>LIMA E ICA PROVINCIA</v>
      </c>
      <c r="F191" s="9" t="str" cm="1">
        <f t="array" ref="F191">IFERROR(_xlfn.XLOOKUP(B191,Personal!$A:$A,Personal!$F:$F,""),"")</f>
        <v>AUDITORIA</v>
      </c>
      <c r="G191" s="9" t="s">
        <v>4722</v>
      </c>
      <c r="H191" s="9" t="s">
        <v>3876</v>
      </c>
      <c r="I191" s="10" cm="1">
        <f t="array" ref="I191">IFERROR(INDEX(Precios!$D:$F,MATCH(N191, Precios!$G:$G, 0),CHOOSE(MATCH(H191, {"SML";"XL";"XXL"}, 0), 1, 2, 3)), 0)</f>
        <v>13.5</v>
      </c>
      <c r="J191" s="9">
        <v>1</v>
      </c>
      <c r="K191" s="10">
        <f t="shared" si="6"/>
        <v>13.5</v>
      </c>
      <c r="L191" s="9" t="s">
        <v>4210</v>
      </c>
      <c r="N191" s="9" t="str">
        <f t="shared" si="7"/>
        <v>LIMA E ICA PROVINCIA|AUDITORIA|POLO PIQUÉ NEGRO RX AUDITORIA</v>
      </c>
      <c r="O191" s="9" t="str">
        <f>IF(N191="","",IF(COUNTIF(Precios!$G:$G,N191)=0,"⚠ No coincide con Precios","OK"))</f>
        <v>OK</v>
      </c>
    </row>
    <row r="192" spans="1:15" x14ac:dyDescent="0.2">
      <c r="A192" s="49">
        <v>46003</v>
      </c>
      <c r="B192" s="51" t="s">
        <v>3162</v>
      </c>
      <c r="C192" s="9" t="str" cm="1">
        <f t="array" ref="C192">IFERROR(_xlfn.XLOOKUP(B192,Personal!$A:$A,Personal!$D:$D,""),"")</f>
        <v>SULCA MOLINA RUSSBELL MOISES</v>
      </c>
      <c r="D192" s="9" t="str" cm="1">
        <f t="array" ref="D192">IFERROR(_xlfn.XLOOKUP(B192,Personal!$A:$A,Personal!$C:$C,""),"")</f>
        <v>RISSO</v>
      </c>
      <c r="E192" s="9" t="str" cm="1">
        <f t="array" ref="E192">IFERROR(_xlfn.XLOOKUP(D192,Locales!$A:$A,Locales!$B:$B,""),"")</f>
        <v>LIMA E ICA PROVINCIA</v>
      </c>
      <c r="F192" s="9" t="str" cm="1">
        <f t="array" ref="F192">IFERROR(_xlfn.XLOOKUP(B192,Personal!$A:$A,Personal!$F:$F,""),"")</f>
        <v>PRODUCCIÓN / COCINA</v>
      </c>
      <c r="G192" s="9" t="s">
        <v>47</v>
      </c>
      <c r="H192" s="9" t="s">
        <v>4491</v>
      </c>
      <c r="I192" s="10" cm="1">
        <f t="array" ref="I192">IFERROR(INDEX(Precios!$D:$F,MATCH(N192, Precios!$G:$G, 0),CHOOSE(MATCH(H192, {"SML";"XL";"XXL"}, 0), 1, 2, 3)), 0)</f>
        <v>17.25</v>
      </c>
      <c r="J192" s="9">
        <v>2</v>
      </c>
      <c r="K192" s="10">
        <f t="shared" ref="K192:K253" si="8">IFERROR(I192*J192,0)</f>
        <v>34.5</v>
      </c>
      <c r="L192" s="9" t="s">
        <v>4210</v>
      </c>
      <c r="N192" s="9" t="str">
        <f t="shared" ref="N192:N253" si="9">IF( OR(E192="",F192="",G192=""), "",CLEAN(TRIM(E192)) &amp; "|" &amp; CLEAN(TRIM(F192)) &amp; "|" &amp; CLEAN(TRIM(G192)))</f>
        <v>LIMA E ICA PROVINCIA|PRODUCCIÓN / COCINA|CHAQUETA DRILL BLANCO</v>
      </c>
      <c r="O192" s="9" t="str">
        <f>IF(N192="","",IF(COUNTIF(Precios!$G:$G,N192)=0,"⚠ No coincide con Precios","OK"))</f>
        <v>OK</v>
      </c>
    </row>
    <row r="193" spans="1:15" x14ac:dyDescent="0.2">
      <c r="A193" s="49">
        <v>46003</v>
      </c>
      <c r="B193" s="51" t="s">
        <v>3162</v>
      </c>
      <c r="C193" s="9" t="str" cm="1">
        <f t="array" ref="C193">IFERROR(_xlfn.XLOOKUP(B193,Personal!$A:$A,Personal!$D:$D,""),"")</f>
        <v>SULCA MOLINA RUSSBELL MOISES</v>
      </c>
      <c r="D193" s="9" t="str" cm="1">
        <f t="array" ref="D193">IFERROR(_xlfn.XLOOKUP(B193,Personal!$A:$A,Personal!$C:$C,""),"")</f>
        <v>RISSO</v>
      </c>
      <c r="E193" s="9" t="str" cm="1">
        <f t="array" ref="E193">IFERROR(_xlfn.XLOOKUP(D193,Locales!$A:$A,Locales!$B:$B,""),"")</f>
        <v>LIMA E ICA PROVINCIA</v>
      </c>
      <c r="F193" s="9" t="str" cm="1">
        <f t="array" ref="F193">IFERROR(_xlfn.XLOOKUP(B193,Personal!$A:$A,Personal!$F:$F,""),"")</f>
        <v>PRODUCCIÓN / COCINA</v>
      </c>
      <c r="G193" s="9" t="s">
        <v>3867</v>
      </c>
      <c r="H193" s="9" t="s">
        <v>4491</v>
      </c>
      <c r="I193" s="10" cm="1">
        <f t="array" ref="I193">IFERROR(INDEX(Precios!$D:$F,MATCH(N193, Precios!$G:$G, 0),CHOOSE(MATCH(H193, {"SML";"XL";"XXL"}, 0), 1, 2, 3)), 0)</f>
        <v>11.5</v>
      </c>
      <c r="J193" s="9">
        <v>2</v>
      </c>
      <c r="K193" s="10">
        <f t="shared" si="8"/>
        <v>23</v>
      </c>
      <c r="L193" s="9" t="s">
        <v>4210</v>
      </c>
      <c r="N193" s="9" t="str">
        <f t="shared" si="9"/>
        <v>LIMA E ICA PROVINCIA|PRODUCCIÓN / COCINA|PANTALÓN SAL Y PIMIENTA</v>
      </c>
      <c r="O193" s="9" t="str">
        <f>IF(N193="","",IF(COUNTIF(Precios!$G:$G,N193)=0,"⚠ No coincide con Precios","OK"))</f>
        <v>OK</v>
      </c>
    </row>
    <row r="194" spans="1:15" x14ac:dyDescent="0.2">
      <c r="A194" s="49">
        <v>46003</v>
      </c>
      <c r="B194" s="51" t="s">
        <v>3162</v>
      </c>
      <c r="C194" s="9" t="str" cm="1">
        <f t="array" ref="C194">IFERROR(_xlfn.XLOOKUP(B194,Personal!$A:$A,Personal!$D:$D,""),"")</f>
        <v>SULCA MOLINA RUSSBELL MOISES</v>
      </c>
      <c r="D194" s="9" t="str" cm="1">
        <f t="array" ref="D194">IFERROR(_xlfn.XLOOKUP(B194,Personal!$A:$A,Personal!$C:$C,""),"")</f>
        <v>RISSO</v>
      </c>
      <c r="E194" s="9" t="str" cm="1">
        <f t="array" ref="E194">IFERROR(_xlfn.XLOOKUP(D194,Locales!$A:$A,Locales!$B:$B,""),"")</f>
        <v>LIMA E ICA PROVINCIA</v>
      </c>
      <c r="F194" s="9" t="str" cm="1">
        <f t="array" ref="F194">IFERROR(_xlfn.XLOOKUP(B194,Personal!$A:$A,Personal!$F:$F,""),"")</f>
        <v>PRODUCCIÓN / COCINA</v>
      </c>
      <c r="G194" s="9" t="s">
        <v>3868</v>
      </c>
      <c r="H194" s="9" t="s">
        <v>4491</v>
      </c>
      <c r="I194" s="10" cm="1">
        <f t="array" ref="I194">IFERROR(INDEX(Precios!$D:$F,MATCH(N194, Precios!$G:$G, 0),CHOOSE(MATCH(H194, {"SML";"XL";"XXL"}, 0), 1, 2, 3)), 0)</f>
        <v>6.5</v>
      </c>
      <c r="J194" s="9">
        <v>2</v>
      </c>
      <c r="K194" s="10">
        <f t="shared" si="8"/>
        <v>13</v>
      </c>
      <c r="L194" s="9" t="s">
        <v>4210</v>
      </c>
      <c r="N194" s="9" t="str">
        <f t="shared" si="9"/>
        <v>LIMA E ICA PROVINCIA|PRODUCCIÓN / COCINA|PECHERA GRIS EN DRILL</v>
      </c>
      <c r="O194" s="9" t="str">
        <f>IF(N194="","",IF(COUNTIF(Precios!$G:$G,N194)=0,"⚠ No coincide con Precios","OK"))</f>
        <v>OK</v>
      </c>
    </row>
    <row r="195" spans="1:15" x14ac:dyDescent="0.2">
      <c r="A195" s="49">
        <v>46003</v>
      </c>
      <c r="B195" s="51" t="s">
        <v>3162</v>
      </c>
      <c r="C195" s="9" t="str" cm="1">
        <f t="array" ref="C195">IFERROR(_xlfn.XLOOKUP(B195,Personal!$A:$A,Personal!$D:$D,""),"")</f>
        <v>SULCA MOLINA RUSSBELL MOISES</v>
      </c>
      <c r="D195" s="9" t="str" cm="1">
        <f t="array" ref="D195">IFERROR(_xlfn.XLOOKUP(B195,Personal!$A:$A,Personal!$C:$C,""),"")</f>
        <v>RISSO</v>
      </c>
      <c r="E195" s="9" t="str" cm="1">
        <f t="array" ref="E195">IFERROR(_xlfn.XLOOKUP(D195,Locales!$A:$A,Locales!$B:$B,""),"")</f>
        <v>LIMA E ICA PROVINCIA</v>
      </c>
      <c r="F195" s="9" t="str" cm="1">
        <f t="array" ref="F195">IFERROR(_xlfn.XLOOKUP(B195,Personal!$A:$A,Personal!$F:$F,""),"")</f>
        <v>PRODUCCIÓN / COCINA</v>
      </c>
      <c r="G195" s="9" t="s">
        <v>3869</v>
      </c>
      <c r="H195" s="9" t="s">
        <v>4491</v>
      </c>
      <c r="I195" s="10" cm="1">
        <f t="array" ref="I195">IFERROR(INDEX(Precios!$D:$F,MATCH(N195, Precios!$G:$G, 0),CHOOSE(MATCH(H195, {"SML";"XL";"XXL"}, 0), 1, 2, 3)), 0)</f>
        <v>4.5</v>
      </c>
      <c r="J195" s="9">
        <v>2</v>
      </c>
      <c r="K195" s="10">
        <f t="shared" si="8"/>
        <v>9</v>
      </c>
      <c r="L195" s="9" t="s">
        <v>4210</v>
      </c>
      <c r="N195" s="9" t="str">
        <f t="shared" si="9"/>
        <v>LIMA E ICA PROVINCIA|PRODUCCIÓN / COCINA|GARIBALDI GRIS</v>
      </c>
      <c r="O195" s="9" t="str">
        <f>IF(N195="","",IF(COUNTIF(Precios!$G:$G,N195)=0,"⚠ No coincide con Precios","OK"))</f>
        <v>OK</v>
      </c>
    </row>
    <row r="196" spans="1:15" x14ac:dyDescent="0.2">
      <c r="A196" s="49">
        <v>46003</v>
      </c>
      <c r="B196" s="51" t="s">
        <v>3162</v>
      </c>
      <c r="C196" s="9" t="str" cm="1">
        <f t="array" ref="C196">IFERROR(_xlfn.XLOOKUP(B196,Personal!$A:$A,Personal!$D:$D,""),"")</f>
        <v>SULCA MOLINA RUSSBELL MOISES</v>
      </c>
      <c r="D196" s="9" t="str" cm="1">
        <f t="array" ref="D196">IFERROR(_xlfn.XLOOKUP(B196,Personal!$A:$A,Personal!$C:$C,""),"")</f>
        <v>RISSO</v>
      </c>
      <c r="E196" s="9" t="str" cm="1">
        <f t="array" ref="E196">IFERROR(_xlfn.XLOOKUP(D196,Locales!$A:$A,Locales!$B:$B,""),"")</f>
        <v>LIMA E ICA PROVINCIA</v>
      </c>
      <c r="F196" s="9" t="str" cm="1">
        <f t="array" ref="F196">IFERROR(_xlfn.XLOOKUP(B196,Personal!$A:$A,Personal!$F:$F,""),"")</f>
        <v>PRODUCCIÓN / COCINA</v>
      </c>
      <c r="G196" s="9" t="s">
        <v>3862</v>
      </c>
      <c r="H196" s="9" t="s">
        <v>4491</v>
      </c>
      <c r="I196" s="10" cm="1">
        <f t="array" ref="I196">IFERROR(INDEX(Precios!$D:$F,MATCH(N196, Precios!$G:$G, 0),CHOOSE(MATCH(H196, {"SML";"XL";"XXL"}, 0), 1, 2, 3)), 0)</f>
        <v>8.5</v>
      </c>
      <c r="J196" s="9">
        <v>2</v>
      </c>
      <c r="K196" s="10">
        <f t="shared" si="8"/>
        <v>17</v>
      </c>
      <c r="L196" s="9" t="s">
        <v>4210</v>
      </c>
      <c r="N196" s="9" t="str">
        <f t="shared" si="9"/>
        <v>LIMA E ICA PROVINCIA|PRODUCCIÓN / COCINA|POLO 30/1 GRIS</v>
      </c>
      <c r="O196" s="9" t="str">
        <f>IF(N196="","",IF(COUNTIF(Precios!$G:$G,N196)=0,"⚠ No coincide con Precios","OK"))</f>
        <v>OK</v>
      </c>
    </row>
    <row r="197" spans="1:15" x14ac:dyDescent="0.2">
      <c r="A197" s="49">
        <v>46003</v>
      </c>
      <c r="B197" s="51" t="s">
        <v>3334</v>
      </c>
      <c r="C197" s="9" t="str" cm="1">
        <f t="array" ref="C197">IFERROR(_xlfn.XLOOKUP(B197,Personal!$A:$A,Personal!$D:$D,""),"")</f>
        <v>CHINCHAY LOZANO LEILA MACLAINE</v>
      </c>
      <c r="D197" s="9" t="str" cm="1">
        <f t="array" ref="D197">IFERROR(_xlfn.XLOOKUP(B197,Personal!$A:$A,Personal!$C:$C,""),"")</f>
        <v>RISSO</v>
      </c>
      <c r="E197" s="9" t="str" cm="1">
        <f t="array" ref="E197">IFERROR(_xlfn.XLOOKUP(D197,Locales!$A:$A,Locales!$B:$B,""),"")</f>
        <v>LIMA E ICA PROVINCIA</v>
      </c>
      <c r="F197" s="9" t="str" cm="1">
        <f t="array" ref="F197">IFERROR(_xlfn.XLOOKUP(B197,Personal!$A:$A,Personal!$F:$F,""),"")</f>
        <v>PRODUCCIÓN / COCINA</v>
      </c>
      <c r="G197" s="9" t="s">
        <v>47</v>
      </c>
      <c r="H197" s="9" t="s">
        <v>3876</v>
      </c>
      <c r="I197" s="10" cm="1">
        <f t="array" ref="I197">IFERROR(INDEX(Precios!$D:$F,MATCH(N197, Precios!$G:$G, 0),CHOOSE(MATCH(H197, {"SML";"XL";"XXL"}, 0), 1, 2, 3)), 0)</f>
        <v>16.25</v>
      </c>
      <c r="J197" s="9">
        <v>2</v>
      </c>
      <c r="K197" s="10">
        <f t="shared" si="8"/>
        <v>32.5</v>
      </c>
      <c r="L197" s="9" t="s">
        <v>4210</v>
      </c>
      <c r="N197" s="9" t="str">
        <f t="shared" si="9"/>
        <v>LIMA E ICA PROVINCIA|PRODUCCIÓN / COCINA|CHAQUETA DRILL BLANCO</v>
      </c>
      <c r="O197" s="9" t="str">
        <f>IF(N197="","",IF(COUNTIF(Precios!$G:$G,N197)=0,"⚠ No coincide con Precios","OK"))</f>
        <v>OK</v>
      </c>
    </row>
    <row r="198" spans="1:15" x14ac:dyDescent="0.2">
      <c r="A198" s="49">
        <v>46003</v>
      </c>
      <c r="B198" s="51" t="s">
        <v>3334</v>
      </c>
      <c r="C198" s="9" t="str" cm="1">
        <f t="array" ref="C198">IFERROR(_xlfn.XLOOKUP(B198,Personal!$A:$A,Personal!$D:$D,""),"")</f>
        <v>CHINCHAY LOZANO LEILA MACLAINE</v>
      </c>
      <c r="D198" s="9" t="str" cm="1">
        <f t="array" ref="D198">IFERROR(_xlfn.XLOOKUP(B198,Personal!$A:$A,Personal!$C:$C,""),"")</f>
        <v>RISSO</v>
      </c>
      <c r="E198" s="9" t="str" cm="1">
        <f t="array" ref="E198">IFERROR(_xlfn.XLOOKUP(D198,Locales!$A:$A,Locales!$B:$B,""),"")</f>
        <v>LIMA E ICA PROVINCIA</v>
      </c>
      <c r="F198" s="9" t="str" cm="1">
        <f t="array" ref="F198">IFERROR(_xlfn.XLOOKUP(B198,Personal!$A:$A,Personal!$F:$F,""),"")</f>
        <v>PRODUCCIÓN / COCINA</v>
      </c>
      <c r="G198" s="9" t="s">
        <v>3867</v>
      </c>
      <c r="H198" s="9" t="s">
        <v>3876</v>
      </c>
      <c r="I198" s="10" cm="1">
        <f t="array" ref="I198">IFERROR(INDEX(Precios!$D:$F,MATCH(N198, Precios!$G:$G, 0),CHOOSE(MATCH(H198, {"SML";"XL";"XXL"}, 0), 1, 2, 3)), 0)</f>
        <v>11</v>
      </c>
      <c r="J198" s="9">
        <v>2</v>
      </c>
      <c r="K198" s="10">
        <f t="shared" si="8"/>
        <v>22</v>
      </c>
      <c r="L198" s="9" t="s">
        <v>4210</v>
      </c>
      <c r="N198" s="9" t="str">
        <f t="shared" si="9"/>
        <v>LIMA E ICA PROVINCIA|PRODUCCIÓN / COCINA|PANTALÓN SAL Y PIMIENTA</v>
      </c>
      <c r="O198" s="9" t="str">
        <f>IF(N198="","",IF(COUNTIF(Precios!$G:$G,N198)=0,"⚠ No coincide con Precios","OK"))</f>
        <v>OK</v>
      </c>
    </row>
    <row r="199" spans="1:15" x14ac:dyDescent="0.2">
      <c r="A199" s="49">
        <v>46003</v>
      </c>
      <c r="B199" s="51" t="s">
        <v>3334</v>
      </c>
      <c r="C199" s="9" t="str" cm="1">
        <f t="array" ref="C199">IFERROR(_xlfn.XLOOKUP(B199,Personal!$A:$A,Personal!$D:$D,""),"")</f>
        <v>CHINCHAY LOZANO LEILA MACLAINE</v>
      </c>
      <c r="D199" s="9" t="str" cm="1">
        <f t="array" ref="D199">IFERROR(_xlfn.XLOOKUP(B199,Personal!$A:$A,Personal!$C:$C,""),"")</f>
        <v>RISSO</v>
      </c>
      <c r="E199" s="9" t="str" cm="1">
        <f t="array" ref="E199">IFERROR(_xlfn.XLOOKUP(D199,Locales!$A:$A,Locales!$B:$B,""),"")</f>
        <v>LIMA E ICA PROVINCIA</v>
      </c>
      <c r="F199" s="9" t="str" cm="1">
        <f t="array" ref="F199">IFERROR(_xlfn.XLOOKUP(B199,Personal!$A:$A,Personal!$F:$F,""),"")</f>
        <v>PRODUCCIÓN / COCINA</v>
      </c>
      <c r="G199" s="9" t="s">
        <v>3868</v>
      </c>
      <c r="H199" s="9" t="s">
        <v>3876</v>
      </c>
      <c r="I199" s="10" cm="1">
        <f t="array" ref="I199">IFERROR(INDEX(Precios!$D:$F,MATCH(N199, Precios!$G:$G, 0),CHOOSE(MATCH(H199, {"SML";"XL";"XXL"}, 0), 1, 2, 3)), 0)</f>
        <v>6.5</v>
      </c>
      <c r="J199" s="9">
        <v>2</v>
      </c>
      <c r="K199" s="10">
        <f t="shared" si="8"/>
        <v>13</v>
      </c>
      <c r="L199" s="9" t="s">
        <v>4210</v>
      </c>
      <c r="N199" s="9" t="str">
        <f t="shared" si="9"/>
        <v>LIMA E ICA PROVINCIA|PRODUCCIÓN / COCINA|PECHERA GRIS EN DRILL</v>
      </c>
      <c r="O199" s="9" t="str">
        <f>IF(N199="","",IF(COUNTIF(Precios!$G:$G,N199)=0,"⚠ No coincide con Precios","OK"))</f>
        <v>OK</v>
      </c>
    </row>
    <row r="200" spans="1:15" x14ac:dyDescent="0.2">
      <c r="A200" s="49">
        <v>46003</v>
      </c>
      <c r="B200" s="51" t="s">
        <v>3334</v>
      </c>
      <c r="C200" s="9" t="str" cm="1">
        <f t="array" ref="C200">IFERROR(_xlfn.XLOOKUP(B200,Personal!$A:$A,Personal!$D:$D,""),"")</f>
        <v>CHINCHAY LOZANO LEILA MACLAINE</v>
      </c>
      <c r="D200" s="9" t="str" cm="1">
        <f t="array" ref="D200">IFERROR(_xlfn.XLOOKUP(B200,Personal!$A:$A,Personal!$C:$C,""),"")</f>
        <v>RISSO</v>
      </c>
      <c r="E200" s="9" t="str" cm="1">
        <f t="array" ref="E200">IFERROR(_xlfn.XLOOKUP(D200,Locales!$A:$A,Locales!$B:$B,""),"")</f>
        <v>LIMA E ICA PROVINCIA</v>
      </c>
      <c r="F200" s="9" t="str" cm="1">
        <f t="array" ref="F200">IFERROR(_xlfn.XLOOKUP(B200,Personal!$A:$A,Personal!$F:$F,""),"")</f>
        <v>PRODUCCIÓN / COCINA</v>
      </c>
      <c r="G200" s="9" t="s">
        <v>3869</v>
      </c>
      <c r="H200" s="9" t="s">
        <v>3876</v>
      </c>
      <c r="I200" s="10" cm="1">
        <f t="array" ref="I200">IFERROR(INDEX(Precios!$D:$F,MATCH(N200, Precios!$G:$G, 0),CHOOSE(MATCH(H200, {"SML";"XL";"XXL"}, 0), 1, 2, 3)), 0)</f>
        <v>4.5</v>
      </c>
      <c r="J200" s="9">
        <v>2</v>
      </c>
      <c r="K200" s="10">
        <f t="shared" si="8"/>
        <v>9</v>
      </c>
      <c r="L200" s="9" t="s">
        <v>4210</v>
      </c>
      <c r="N200" s="9" t="str">
        <f t="shared" si="9"/>
        <v>LIMA E ICA PROVINCIA|PRODUCCIÓN / COCINA|GARIBALDI GRIS</v>
      </c>
      <c r="O200" s="9" t="str">
        <f>IF(N200="","",IF(COUNTIF(Precios!$G:$G,N200)=0,"⚠ No coincide con Precios","OK"))</f>
        <v>OK</v>
      </c>
    </row>
    <row r="201" spans="1:15" x14ac:dyDescent="0.2">
      <c r="A201" s="49">
        <v>46003</v>
      </c>
      <c r="B201" s="51" t="s">
        <v>3334</v>
      </c>
      <c r="C201" s="9" t="str" cm="1">
        <f t="array" ref="C201">IFERROR(_xlfn.XLOOKUP(B201,Personal!$A:$A,Personal!$D:$D,""),"")</f>
        <v>CHINCHAY LOZANO LEILA MACLAINE</v>
      </c>
      <c r="D201" s="9" t="str" cm="1">
        <f t="array" ref="D201">IFERROR(_xlfn.XLOOKUP(B201,Personal!$A:$A,Personal!$C:$C,""),"")</f>
        <v>RISSO</v>
      </c>
      <c r="E201" s="9" t="str" cm="1">
        <f t="array" ref="E201">IFERROR(_xlfn.XLOOKUP(D201,Locales!$A:$A,Locales!$B:$B,""),"")</f>
        <v>LIMA E ICA PROVINCIA</v>
      </c>
      <c r="F201" s="9" t="str" cm="1">
        <f t="array" ref="F201">IFERROR(_xlfn.XLOOKUP(B201,Personal!$A:$A,Personal!$F:$F,""),"")</f>
        <v>PRODUCCIÓN / COCINA</v>
      </c>
      <c r="G201" s="9" t="s">
        <v>3862</v>
      </c>
      <c r="H201" s="9" t="s">
        <v>3876</v>
      </c>
      <c r="I201" s="10" cm="1">
        <f t="array" ref="I201">IFERROR(INDEX(Precios!$D:$F,MATCH(N201, Precios!$G:$G, 0),CHOOSE(MATCH(H201, {"SML";"XL";"XXL"}, 0), 1, 2, 3)), 0)</f>
        <v>7.5</v>
      </c>
      <c r="J201" s="9">
        <v>2</v>
      </c>
      <c r="K201" s="10">
        <f t="shared" si="8"/>
        <v>15</v>
      </c>
      <c r="L201" s="9" t="s">
        <v>4210</v>
      </c>
      <c r="N201" s="9" t="str">
        <f t="shared" si="9"/>
        <v>LIMA E ICA PROVINCIA|PRODUCCIÓN / COCINA|POLO 30/1 GRIS</v>
      </c>
      <c r="O201" s="9" t="str">
        <f>IF(N201="","",IF(COUNTIF(Precios!$G:$G,N201)=0,"⚠ No coincide con Precios","OK"))</f>
        <v>OK</v>
      </c>
    </row>
    <row r="202" spans="1:15" x14ac:dyDescent="0.2">
      <c r="A202" s="49">
        <v>46003</v>
      </c>
      <c r="B202" s="51" t="s">
        <v>4507</v>
      </c>
      <c r="C202" s="9" t="str" cm="1">
        <f t="array" ref="C202">IFERROR(_xlfn.XLOOKUP(B202,Personal!$A:$A,Personal!$D:$D,""),"")</f>
        <v>PANDURO GARCIA JUAN ESTEBAN</v>
      </c>
      <c r="D202" s="9" t="str" cm="1">
        <f t="array" ref="D202">IFERROR(_xlfn.XLOOKUP(B202,Personal!$A:$A,Personal!$C:$C,""),"")</f>
        <v>RISSO</v>
      </c>
      <c r="E202" s="9" t="str" cm="1">
        <f t="array" ref="E202">IFERROR(_xlfn.XLOOKUP(D202,Locales!$A:$A,Locales!$B:$B,""),"")</f>
        <v>LIMA E ICA PROVINCIA</v>
      </c>
      <c r="F202" s="9" t="str" cm="1">
        <f t="array" ref="F202">IFERROR(_xlfn.XLOOKUP(B202,Personal!$A:$A,Personal!$F:$F,""),"")</f>
        <v>PRODUCCIÓN / COCINA</v>
      </c>
      <c r="G202" s="9" t="s">
        <v>47</v>
      </c>
      <c r="H202" s="9" t="s">
        <v>3876</v>
      </c>
      <c r="I202" s="10" cm="1">
        <f t="array" ref="I202">IFERROR(INDEX(Precios!$D:$F,MATCH(N202, Precios!$G:$G, 0),CHOOSE(MATCH(H202, {"SML";"XL";"XXL"}, 0), 1, 2, 3)), 0)</f>
        <v>16.25</v>
      </c>
      <c r="J202" s="9">
        <v>2</v>
      </c>
      <c r="K202" s="10">
        <f t="shared" si="8"/>
        <v>32.5</v>
      </c>
      <c r="L202" s="9" t="s">
        <v>4210</v>
      </c>
      <c r="N202" s="9" t="str">
        <f t="shared" si="9"/>
        <v>LIMA E ICA PROVINCIA|PRODUCCIÓN / COCINA|CHAQUETA DRILL BLANCO</v>
      </c>
      <c r="O202" s="9" t="str">
        <f>IF(N202="","",IF(COUNTIF(Precios!$G:$G,N202)=0,"⚠ No coincide con Precios","OK"))</f>
        <v>OK</v>
      </c>
    </row>
    <row r="203" spans="1:15" x14ac:dyDescent="0.2">
      <c r="A203" s="49">
        <v>46003</v>
      </c>
      <c r="B203" s="51" t="s">
        <v>4507</v>
      </c>
      <c r="C203" s="9" t="str" cm="1">
        <f t="array" ref="C203">IFERROR(_xlfn.XLOOKUP(B203,Personal!$A:$A,Personal!$D:$D,""),"")</f>
        <v>PANDURO GARCIA JUAN ESTEBAN</v>
      </c>
      <c r="D203" s="9" t="str" cm="1">
        <f t="array" ref="D203">IFERROR(_xlfn.XLOOKUP(B203,Personal!$A:$A,Personal!$C:$C,""),"")</f>
        <v>RISSO</v>
      </c>
      <c r="E203" s="9" t="str" cm="1">
        <f t="array" ref="E203">IFERROR(_xlfn.XLOOKUP(D203,Locales!$A:$A,Locales!$B:$B,""),"")</f>
        <v>LIMA E ICA PROVINCIA</v>
      </c>
      <c r="F203" s="9" t="str" cm="1">
        <f t="array" ref="F203">IFERROR(_xlfn.XLOOKUP(B203,Personal!$A:$A,Personal!$F:$F,""),"")</f>
        <v>PRODUCCIÓN / COCINA</v>
      </c>
      <c r="G203" s="9" t="s">
        <v>3867</v>
      </c>
      <c r="H203" s="9" t="s">
        <v>3876</v>
      </c>
      <c r="I203" s="10" cm="1">
        <f t="array" ref="I203">IFERROR(INDEX(Precios!$D:$F,MATCH(N203, Precios!$G:$G, 0),CHOOSE(MATCH(H203, {"SML";"XL";"XXL"}, 0), 1, 2, 3)), 0)</f>
        <v>11</v>
      </c>
      <c r="J203" s="9">
        <v>2</v>
      </c>
      <c r="K203" s="10">
        <f t="shared" si="8"/>
        <v>22</v>
      </c>
      <c r="L203" s="9" t="s">
        <v>4210</v>
      </c>
      <c r="N203" s="9" t="str">
        <f t="shared" si="9"/>
        <v>LIMA E ICA PROVINCIA|PRODUCCIÓN / COCINA|PANTALÓN SAL Y PIMIENTA</v>
      </c>
      <c r="O203" s="9" t="str">
        <f>IF(N203="","",IF(COUNTIF(Precios!$G:$G,N203)=0,"⚠ No coincide con Precios","OK"))</f>
        <v>OK</v>
      </c>
    </row>
    <row r="204" spans="1:15" x14ac:dyDescent="0.2">
      <c r="A204" s="49">
        <v>46003</v>
      </c>
      <c r="B204" s="51" t="s">
        <v>4507</v>
      </c>
      <c r="C204" s="9" t="str" cm="1">
        <f t="array" ref="C204">IFERROR(_xlfn.XLOOKUP(B204,Personal!$A:$A,Personal!$D:$D,""),"")</f>
        <v>PANDURO GARCIA JUAN ESTEBAN</v>
      </c>
      <c r="D204" s="9" t="str" cm="1">
        <f t="array" ref="D204">IFERROR(_xlfn.XLOOKUP(B204,Personal!$A:$A,Personal!$C:$C,""),"")</f>
        <v>RISSO</v>
      </c>
      <c r="E204" s="9" t="str" cm="1">
        <f t="array" ref="E204">IFERROR(_xlfn.XLOOKUP(D204,Locales!$A:$A,Locales!$B:$B,""),"")</f>
        <v>LIMA E ICA PROVINCIA</v>
      </c>
      <c r="F204" s="9" t="str" cm="1">
        <f t="array" ref="F204">IFERROR(_xlfn.XLOOKUP(B204,Personal!$A:$A,Personal!$F:$F,""),"")</f>
        <v>PRODUCCIÓN / COCINA</v>
      </c>
      <c r="G204" s="9" t="s">
        <v>3868</v>
      </c>
      <c r="H204" s="9" t="s">
        <v>3876</v>
      </c>
      <c r="I204" s="10" cm="1">
        <f t="array" ref="I204">IFERROR(INDEX(Precios!$D:$F,MATCH(N204, Precios!$G:$G, 0),CHOOSE(MATCH(H204, {"SML";"XL";"XXL"}, 0), 1, 2, 3)), 0)</f>
        <v>6.5</v>
      </c>
      <c r="J204" s="9">
        <v>2</v>
      </c>
      <c r="K204" s="10">
        <f t="shared" si="8"/>
        <v>13</v>
      </c>
      <c r="L204" s="9" t="s">
        <v>4210</v>
      </c>
      <c r="N204" s="9" t="str">
        <f t="shared" si="9"/>
        <v>LIMA E ICA PROVINCIA|PRODUCCIÓN / COCINA|PECHERA GRIS EN DRILL</v>
      </c>
      <c r="O204" s="9" t="str">
        <f>IF(N204="","",IF(COUNTIF(Precios!$G:$G,N204)=0,"⚠ No coincide con Precios","OK"))</f>
        <v>OK</v>
      </c>
    </row>
    <row r="205" spans="1:15" x14ac:dyDescent="0.2">
      <c r="A205" s="49">
        <v>46003</v>
      </c>
      <c r="B205" s="51" t="s">
        <v>4507</v>
      </c>
      <c r="C205" s="9" t="str" cm="1">
        <f t="array" ref="C205">IFERROR(_xlfn.XLOOKUP(B205,Personal!$A:$A,Personal!$D:$D,""),"")</f>
        <v>PANDURO GARCIA JUAN ESTEBAN</v>
      </c>
      <c r="D205" s="9" t="str" cm="1">
        <f t="array" ref="D205">IFERROR(_xlfn.XLOOKUP(B205,Personal!$A:$A,Personal!$C:$C,""),"")</f>
        <v>RISSO</v>
      </c>
      <c r="E205" s="9" t="str" cm="1">
        <f t="array" ref="E205">IFERROR(_xlfn.XLOOKUP(D205,Locales!$A:$A,Locales!$B:$B,""),"")</f>
        <v>LIMA E ICA PROVINCIA</v>
      </c>
      <c r="F205" s="9" t="str" cm="1">
        <f t="array" ref="F205">IFERROR(_xlfn.XLOOKUP(B205,Personal!$A:$A,Personal!$F:$F,""),"")</f>
        <v>PRODUCCIÓN / COCINA</v>
      </c>
      <c r="G205" s="9" t="s">
        <v>3869</v>
      </c>
      <c r="H205" s="9" t="s">
        <v>3876</v>
      </c>
      <c r="I205" s="10" cm="1">
        <f t="array" ref="I205">IFERROR(INDEX(Precios!$D:$F,MATCH(N205, Precios!$G:$G, 0),CHOOSE(MATCH(H205, {"SML";"XL";"XXL"}, 0), 1, 2, 3)), 0)</f>
        <v>4.5</v>
      </c>
      <c r="J205" s="9">
        <v>2</v>
      </c>
      <c r="K205" s="10">
        <f t="shared" si="8"/>
        <v>9</v>
      </c>
      <c r="L205" s="9" t="s">
        <v>4210</v>
      </c>
      <c r="N205" s="9" t="str">
        <f t="shared" si="9"/>
        <v>LIMA E ICA PROVINCIA|PRODUCCIÓN / COCINA|GARIBALDI GRIS</v>
      </c>
      <c r="O205" s="9" t="str">
        <f>IF(N205="","",IF(COUNTIF(Precios!$G:$G,N205)=0,"⚠ No coincide con Precios","OK"))</f>
        <v>OK</v>
      </c>
    </row>
    <row r="206" spans="1:15" x14ac:dyDescent="0.2">
      <c r="A206" s="49">
        <v>46003</v>
      </c>
      <c r="B206" s="51" t="s">
        <v>4507</v>
      </c>
      <c r="C206" s="9" t="str" cm="1">
        <f t="array" ref="C206">IFERROR(_xlfn.XLOOKUP(B206,Personal!$A:$A,Personal!$D:$D,""),"")</f>
        <v>PANDURO GARCIA JUAN ESTEBAN</v>
      </c>
      <c r="D206" s="9" t="str" cm="1">
        <f t="array" ref="D206">IFERROR(_xlfn.XLOOKUP(B206,Personal!$A:$A,Personal!$C:$C,""),"")</f>
        <v>RISSO</v>
      </c>
      <c r="E206" s="9" t="str" cm="1">
        <f t="array" ref="E206">IFERROR(_xlfn.XLOOKUP(D206,Locales!$A:$A,Locales!$B:$B,""),"")</f>
        <v>LIMA E ICA PROVINCIA</v>
      </c>
      <c r="F206" s="9" t="str" cm="1">
        <f t="array" ref="F206">IFERROR(_xlfn.XLOOKUP(B206,Personal!$A:$A,Personal!$F:$F,""),"")</f>
        <v>PRODUCCIÓN / COCINA</v>
      </c>
      <c r="G206" s="9" t="s">
        <v>3862</v>
      </c>
      <c r="H206" s="9" t="s">
        <v>3876</v>
      </c>
      <c r="I206" s="10" cm="1">
        <f t="array" ref="I206">IFERROR(INDEX(Precios!$D:$F,MATCH(N206, Precios!$G:$G, 0),CHOOSE(MATCH(H206, {"SML";"XL";"XXL"}, 0), 1, 2, 3)), 0)</f>
        <v>7.5</v>
      </c>
      <c r="J206" s="9">
        <v>2</v>
      </c>
      <c r="K206" s="10">
        <f t="shared" si="8"/>
        <v>15</v>
      </c>
      <c r="L206" s="9" t="s">
        <v>4210</v>
      </c>
      <c r="N206" s="9" t="str">
        <f t="shared" si="9"/>
        <v>LIMA E ICA PROVINCIA|PRODUCCIÓN / COCINA|POLO 30/1 GRIS</v>
      </c>
      <c r="O206" s="9" t="str">
        <f>IF(N206="","",IF(COUNTIF(Precios!$G:$G,N206)=0,"⚠ No coincide con Precios","OK"))</f>
        <v>OK</v>
      </c>
    </row>
    <row r="207" spans="1:15" x14ac:dyDescent="0.2">
      <c r="A207" s="49">
        <v>46003</v>
      </c>
      <c r="B207" s="51" t="s">
        <v>4251</v>
      </c>
      <c r="C207" s="9" t="str" cm="1">
        <f t="array" ref="C207">IFERROR(_xlfn.XLOOKUP(B207,Personal!$A:$A,Personal!$D:$D,""),"")</f>
        <v>CHAPOÑAN VALDERA DIANA HAYDEE</v>
      </c>
      <c r="D207" s="9" t="str" cm="1">
        <f t="array" ref="D207">IFERROR(_xlfn.XLOOKUP(B207,Personal!$A:$A,Personal!$C:$C,""),"")</f>
        <v>RISSO</v>
      </c>
      <c r="E207" s="9" t="str" cm="1">
        <f t="array" ref="E207">IFERROR(_xlfn.XLOOKUP(D207,Locales!$A:$A,Locales!$B:$B,""),"")</f>
        <v>LIMA E ICA PROVINCIA</v>
      </c>
      <c r="F207" s="9" t="str" cm="1">
        <f t="array" ref="F207">IFERROR(_xlfn.XLOOKUP(B207,Personal!$A:$A,Personal!$F:$F,""),"")</f>
        <v>AZAFATA</v>
      </c>
      <c r="G207" s="9" t="s">
        <v>3855</v>
      </c>
      <c r="H207" s="9" t="s">
        <v>3876</v>
      </c>
      <c r="I207" s="10" cm="1">
        <f t="array" ref="I207">IFERROR(INDEX(Precios!$D:$F,MATCH(N207, Precios!$G:$G, 0),CHOOSE(MATCH(H207, {"SML";"XL";"XXL"}, 0), 1, 2, 3)), 0)</f>
        <v>18.5</v>
      </c>
      <c r="J207" s="9">
        <v>2</v>
      </c>
      <c r="K207" s="10">
        <f t="shared" si="8"/>
        <v>37</v>
      </c>
      <c r="L207" s="9" t="s">
        <v>4210</v>
      </c>
      <c r="N207" s="9" t="str">
        <f t="shared" si="9"/>
        <v>LIMA E ICA PROVINCIA|AZAFATA|BLUSA BLANCA (MANGA LARGA)</v>
      </c>
      <c r="O207" s="9" t="str">
        <f>IF(N207="","",IF(COUNTIF(Precios!$G:$G,N207)=0,"⚠ No coincide con Precios","OK"))</f>
        <v>OK</v>
      </c>
    </row>
    <row r="208" spans="1:15" x14ac:dyDescent="0.2">
      <c r="A208" s="49">
        <v>46003</v>
      </c>
      <c r="B208" s="51" t="s">
        <v>4251</v>
      </c>
      <c r="C208" s="9" t="str" cm="1">
        <f t="array" ref="C208">IFERROR(_xlfn.XLOOKUP(B208,Personal!$A:$A,Personal!$D:$D,""),"")</f>
        <v>CHAPOÑAN VALDERA DIANA HAYDEE</v>
      </c>
      <c r="D208" s="9" t="str" cm="1">
        <f t="array" ref="D208">IFERROR(_xlfn.XLOOKUP(B208,Personal!$A:$A,Personal!$C:$C,""),"")</f>
        <v>RISSO</v>
      </c>
      <c r="E208" s="9" t="str" cm="1">
        <f t="array" ref="E208">IFERROR(_xlfn.XLOOKUP(D208,Locales!$A:$A,Locales!$B:$B,""),"")</f>
        <v>LIMA E ICA PROVINCIA</v>
      </c>
      <c r="F208" s="9" t="str" cm="1">
        <f t="array" ref="F208">IFERROR(_xlfn.XLOOKUP(B208,Personal!$A:$A,Personal!$F:$F,""),"")</f>
        <v>AZAFATA</v>
      </c>
      <c r="G208" s="9" t="s">
        <v>3853</v>
      </c>
      <c r="H208" s="9" t="s">
        <v>3876</v>
      </c>
      <c r="I208" s="10" cm="1">
        <f t="array" ref="I208">IFERROR(INDEX(Precios!$D:$F,MATCH(N208, Precios!$G:$G, 0),CHOOSE(MATCH(H208, {"SML";"XL";"XXL"}, 0), 1, 2, 3)), 0)</f>
        <v>7</v>
      </c>
      <c r="J208" s="9">
        <v>2</v>
      </c>
      <c r="K208" s="10">
        <f t="shared" si="8"/>
        <v>14</v>
      </c>
      <c r="L208" s="9" t="s">
        <v>4210</v>
      </c>
      <c r="N208" s="9" t="str">
        <f t="shared" si="9"/>
        <v>LIMA E ICA PROVINCIA|AZAFATA|MANDILON DRILL NEGRO</v>
      </c>
      <c r="O208" s="9" t="str">
        <f>IF(N208="","",IF(COUNTIF(Precios!$G:$G,N208)=0,"⚠ No coincide con Precios","OK"))</f>
        <v>OK</v>
      </c>
    </row>
    <row r="209" spans="1:15" x14ac:dyDescent="0.2">
      <c r="A209" s="49">
        <v>46003</v>
      </c>
      <c r="B209" s="51" t="s">
        <v>4251</v>
      </c>
      <c r="C209" s="9" t="str" cm="1">
        <f t="array" ref="C209">IFERROR(_xlfn.XLOOKUP(B209,Personal!$A:$A,Personal!$D:$D,""),"")</f>
        <v>CHAPOÑAN VALDERA DIANA HAYDEE</v>
      </c>
      <c r="D209" s="9" t="str" cm="1">
        <f t="array" ref="D209">IFERROR(_xlfn.XLOOKUP(B209,Personal!$A:$A,Personal!$C:$C,""),"")</f>
        <v>RISSO</v>
      </c>
      <c r="E209" s="9" t="str" cm="1">
        <f t="array" ref="E209">IFERROR(_xlfn.XLOOKUP(D209,Locales!$A:$A,Locales!$B:$B,""),"")</f>
        <v>LIMA E ICA PROVINCIA</v>
      </c>
      <c r="F209" s="9" t="str" cm="1">
        <f t="array" ref="F209">IFERROR(_xlfn.XLOOKUP(B209,Personal!$A:$A,Personal!$F:$F,""),"")</f>
        <v>AZAFATA</v>
      </c>
      <c r="G209" s="9" t="s">
        <v>3854</v>
      </c>
      <c r="H209" s="9" t="s">
        <v>3876</v>
      </c>
      <c r="I209" s="10" cm="1">
        <f t="array" ref="I209">IFERROR(INDEX(Precios!$D:$F,MATCH(N209, Precios!$G:$G, 0),CHOOSE(MATCH(H209, {"SML";"XL";"XXL"}, 0), 1, 2, 3)), 0)</f>
        <v>1.75</v>
      </c>
      <c r="J209" s="9">
        <v>2</v>
      </c>
      <c r="K209" s="10">
        <f t="shared" si="8"/>
        <v>3.5</v>
      </c>
      <c r="L209" s="9" t="s">
        <v>4210</v>
      </c>
      <c r="N209" s="9" t="str">
        <f t="shared" si="9"/>
        <v>LIMA E ICA PROVINCIA|AZAFATA|ANDARIN GRANATE</v>
      </c>
      <c r="O209" s="9" t="str">
        <f>IF(N209="","",IF(COUNTIF(Precios!$G:$G,N209)=0,"⚠ No coincide con Precios","OK"))</f>
        <v>OK</v>
      </c>
    </row>
    <row r="210" spans="1:15" x14ac:dyDescent="0.2">
      <c r="A210" s="49">
        <v>46010</v>
      </c>
      <c r="B210" s="27" t="s">
        <v>471</v>
      </c>
      <c r="C210" s="9" t="str" cm="1">
        <f t="array" ref="C210">IFERROR(_xlfn.XLOOKUP(B210,Personal!$A:$A,Personal!$D:$D,""),"")</f>
        <v>AREVALO CONTRERAS CARLOS MANUEL</v>
      </c>
      <c r="D210" s="9" t="str" cm="1">
        <f t="array" ref="D210">IFERROR(_xlfn.XLOOKUP(B210,Personal!$A:$A,Personal!$C:$C,""),"")</f>
        <v>F&amp;B-ADM</v>
      </c>
      <c r="E210" s="9" t="str" cm="1">
        <f t="array" ref="E210">IFERROR(_xlfn.XLOOKUP(D210,Locales!$A:$A,Locales!$B:$B,""),"")</f>
        <v>LIMA E ICA PROVINCIA</v>
      </c>
      <c r="F210" s="9" t="str" cm="1">
        <f t="array" ref="F210">IFERROR(_xlfn.XLOOKUP(B210,Personal!$A:$A,Personal!$F:$F,""),"")</f>
        <v>BAR</v>
      </c>
      <c r="G210" s="9" t="s">
        <v>3864</v>
      </c>
      <c r="H210" s="9" t="s">
        <v>3876</v>
      </c>
      <c r="I210" s="10" cm="1">
        <f t="array" ref="I210">IFERROR(INDEX(Precios!$D:$F,MATCH(N210, Precios!$G:$G, 0),CHOOSE(MATCH(H210, {"SML";"XL";"XXL"}, 0), 1, 2, 3)), 0)</f>
        <v>16.5</v>
      </c>
      <c r="J210" s="9">
        <v>2</v>
      </c>
      <c r="K210" s="10">
        <f t="shared" si="8"/>
        <v>33</v>
      </c>
      <c r="L210" s="9" t="s">
        <v>4210</v>
      </c>
      <c r="N210" s="9" t="str">
        <f t="shared" si="9"/>
        <v>LIMA E ICA PROVINCIA|BAR|CAMISA NEGRA MANGA CORTA</v>
      </c>
      <c r="O210" s="9" t="str">
        <f>IF(N210="","",IF(COUNTIF(Precios!$G:$G,N210)=0,"⚠ No coincide con Precios","OK"))</f>
        <v>OK</v>
      </c>
    </row>
    <row r="211" spans="1:15" x14ac:dyDescent="0.2">
      <c r="A211" s="49">
        <v>46010</v>
      </c>
      <c r="B211" s="27" t="s">
        <v>471</v>
      </c>
      <c r="C211" s="9" t="str" cm="1">
        <f t="array" ref="C211">IFERROR(_xlfn.XLOOKUP(B211,Personal!$A:$A,Personal!$D:$D,""),"")</f>
        <v>AREVALO CONTRERAS CARLOS MANUEL</v>
      </c>
      <c r="D211" s="9" t="str" cm="1">
        <f t="array" ref="D211">IFERROR(_xlfn.XLOOKUP(B211,Personal!$A:$A,Personal!$C:$C,""),"")</f>
        <v>F&amp;B-ADM</v>
      </c>
      <c r="E211" s="9" t="str" cm="1">
        <f t="array" ref="E211">IFERROR(_xlfn.XLOOKUP(D211,Locales!$A:$A,Locales!$B:$B,""),"")</f>
        <v>LIMA E ICA PROVINCIA</v>
      </c>
      <c r="F211" s="9" t="str" cm="1">
        <f t="array" ref="F211">IFERROR(_xlfn.XLOOKUP(B211,Personal!$A:$A,Personal!$F:$F,""),"")</f>
        <v>BAR</v>
      </c>
      <c r="G211" s="9" t="s">
        <v>3865</v>
      </c>
      <c r="H211" s="9" t="s">
        <v>3876</v>
      </c>
      <c r="I211" s="10" cm="1">
        <f t="array" ref="I211">IFERROR(INDEX(Precios!$D:$F,MATCH(N211, Precios!$G:$G, 0),CHOOSE(MATCH(H211, {"SML";"XL";"XXL"}, 0), 1, 2, 3)), 0)</f>
        <v>19.5</v>
      </c>
      <c r="J211" s="9">
        <v>2</v>
      </c>
      <c r="K211" s="10">
        <f t="shared" si="8"/>
        <v>39</v>
      </c>
      <c r="L211" s="9" t="s">
        <v>4210</v>
      </c>
      <c r="N211" s="9" t="str">
        <f t="shared" si="9"/>
        <v>LIMA E ICA PROVINCIA|BAR|PECHERA NEGRA CUERINA</v>
      </c>
      <c r="O211" s="9" t="str">
        <f>IF(N211="","",IF(COUNTIF(Precios!$G:$G,N211)=0,"⚠ No coincide con Precios","OK"))</f>
        <v>OK</v>
      </c>
    </row>
    <row r="212" spans="1:15" x14ac:dyDescent="0.2">
      <c r="A212" s="49">
        <v>46010</v>
      </c>
      <c r="B212" s="27" t="s">
        <v>471</v>
      </c>
      <c r="C212" s="9" t="str" cm="1">
        <f t="array" ref="C212">IFERROR(_xlfn.XLOOKUP(B212,Personal!$A:$A,Personal!$D:$D,""),"")</f>
        <v>AREVALO CONTRERAS CARLOS MANUEL</v>
      </c>
      <c r="D212" s="9" t="str" cm="1">
        <f t="array" ref="D212">IFERROR(_xlfn.XLOOKUP(B212,Personal!$A:$A,Personal!$C:$C,""),"")</f>
        <v>F&amp;B-ADM</v>
      </c>
      <c r="E212" s="9" t="str" cm="1">
        <f t="array" ref="E212">IFERROR(_xlfn.XLOOKUP(D212,Locales!$A:$A,Locales!$B:$B,""),"")</f>
        <v>LIMA E ICA PROVINCIA</v>
      </c>
      <c r="F212" s="9" t="str" cm="1">
        <f t="array" ref="F212">IFERROR(_xlfn.XLOOKUP(B212,Personal!$A:$A,Personal!$F:$F,""),"")</f>
        <v>BAR</v>
      </c>
      <c r="G212" s="9" t="s">
        <v>3862</v>
      </c>
      <c r="H212" s="9" t="s">
        <v>3876</v>
      </c>
      <c r="I212" s="10" cm="1">
        <f t="array" ref="I212">IFERROR(INDEX(Precios!$D:$F,MATCH(N212, Precios!$G:$G, 0),CHOOSE(MATCH(H212, {"SML";"XL";"XXL"}, 0), 1, 2, 3)), 0)</f>
        <v>7.5</v>
      </c>
      <c r="J212" s="9">
        <v>2</v>
      </c>
      <c r="K212" s="10">
        <f t="shared" ref="K212" si="10">IFERROR(I212*J212,0)</f>
        <v>15</v>
      </c>
      <c r="L212" s="9" t="s">
        <v>4210</v>
      </c>
      <c r="N212" s="9" t="str">
        <f t="shared" ref="N212" si="11">IF( OR(E212="",F212="",G212=""), "",CLEAN(TRIM(E212)) &amp; "|" &amp; CLEAN(TRIM(F212)) &amp; "|" &amp; CLEAN(TRIM(G212)))</f>
        <v>LIMA E ICA PROVINCIA|BAR|POLO 30/1 GRIS</v>
      </c>
      <c r="O212" s="9" t="str">
        <f>IF(N212="","",IF(COUNTIF(Precios!$G:$G,N212)=0,"⚠ No coincide con Precios","OK"))</f>
        <v>OK</v>
      </c>
    </row>
    <row r="213" spans="1:15" x14ac:dyDescent="0.2">
      <c r="A213" s="49">
        <v>46010</v>
      </c>
      <c r="B213" s="27" t="s">
        <v>2535</v>
      </c>
      <c r="C213" s="9" t="str" cm="1">
        <f t="array" ref="C213">IFERROR(_xlfn.XLOOKUP(B213,Personal!$A:$A,Personal!$D:$D,""),"")</f>
        <v>SANCHEZ LLOCLLA ROGER YAISON</v>
      </c>
      <c r="D213" s="9" t="str" cm="1">
        <f t="array" ref="D213">IFERROR(_xlfn.XLOOKUP(B213,Personal!$A:$A,Personal!$C:$C,""),"")</f>
        <v>VCH-ADM</v>
      </c>
      <c r="E213" s="9" t="str" cm="1">
        <f t="array" ref="E213">IFERROR(_xlfn.XLOOKUP(D213,Locales!$A:$A,Locales!$B:$B,""),"")</f>
        <v>LIMA E ICA PROVINCIA</v>
      </c>
      <c r="F213" s="9" t="str" cm="1">
        <f t="array" ref="F213">IFERROR(_xlfn.XLOOKUP(B213,Personal!$A:$A,Personal!$F:$F,""),"")</f>
        <v>BAR</v>
      </c>
      <c r="G213" s="9" t="s">
        <v>3864</v>
      </c>
      <c r="H213" s="9" t="s">
        <v>3876</v>
      </c>
      <c r="I213" s="10" cm="1">
        <f t="array" ref="I213">IFERROR(INDEX(Precios!$D:$F,MATCH(N213, Precios!$G:$G, 0),CHOOSE(MATCH(H213, {"SML";"XL";"XXL"}, 0), 1, 2, 3)), 0)</f>
        <v>16.5</v>
      </c>
      <c r="J213" s="9">
        <v>2</v>
      </c>
      <c r="K213" s="10">
        <f t="shared" si="8"/>
        <v>33</v>
      </c>
      <c r="L213" s="9" t="s">
        <v>4210</v>
      </c>
      <c r="N213" s="9" t="str">
        <f t="shared" si="9"/>
        <v>LIMA E ICA PROVINCIA|BAR|CAMISA NEGRA MANGA CORTA</v>
      </c>
      <c r="O213" s="9" t="str">
        <f>IF(N213="","",IF(COUNTIF(Precios!$G:$G,N213)=0,"⚠ No coincide con Precios","OK"))</f>
        <v>OK</v>
      </c>
    </row>
    <row r="214" spans="1:15" x14ac:dyDescent="0.2">
      <c r="A214" s="49">
        <v>46010</v>
      </c>
      <c r="B214" s="27" t="s">
        <v>2535</v>
      </c>
      <c r="C214" s="9" t="str" cm="1">
        <f t="array" ref="C214">IFERROR(_xlfn.XLOOKUP(B214,Personal!$A:$A,Personal!$D:$D,""),"")</f>
        <v>SANCHEZ LLOCLLA ROGER YAISON</v>
      </c>
      <c r="D214" s="9" t="str" cm="1">
        <f t="array" ref="D214">IFERROR(_xlfn.XLOOKUP(B214,Personal!$A:$A,Personal!$C:$C,""),"")</f>
        <v>VCH-ADM</v>
      </c>
      <c r="E214" s="9" t="str" cm="1">
        <f t="array" ref="E214">IFERROR(_xlfn.XLOOKUP(D214,Locales!$A:$A,Locales!$B:$B,""),"")</f>
        <v>LIMA E ICA PROVINCIA</v>
      </c>
      <c r="F214" s="9" t="str" cm="1">
        <f t="array" ref="F214">IFERROR(_xlfn.XLOOKUP(B214,Personal!$A:$A,Personal!$F:$F,""),"")</f>
        <v>BAR</v>
      </c>
      <c r="G214" s="9" t="s">
        <v>3865</v>
      </c>
      <c r="H214" s="9" t="s">
        <v>3876</v>
      </c>
      <c r="I214" s="10" cm="1">
        <f t="array" ref="I214">IFERROR(INDEX(Precios!$D:$F,MATCH(N214, Precios!$G:$G, 0),CHOOSE(MATCH(H214, {"SML";"XL";"XXL"}, 0), 1, 2, 3)), 0)</f>
        <v>19.5</v>
      </c>
      <c r="J214" s="9">
        <v>2</v>
      </c>
      <c r="K214" s="10">
        <f t="shared" si="8"/>
        <v>39</v>
      </c>
      <c r="L214" s="9" t="s">
        <v>4210</v>
      </c>
      <c r="N214" s="9" t="str">
        <f t="shared" si="9"/>
        <v>LIMA E ICA PROVINCIA|BAR|PECHERA NEGRA CUERINA</v>
      </c>
      <c r="O214" s="9" t="str">
        <f>IF(N214="","",IF(COUNTIF(Precios!$G:$G,N214)=0,"⚠ No coincide con Precios","OK"))</f>
        <v>OK</v>
      </c>
    </row>
    <row r="215" spans="1:15" x14ac:dyDescent="0.2">
      <c r="A215" s="49">
        <v>46010</v>
      </c>
      <c r="B215" s="27" t="s">
        <v>2535</v>
      </c>
      <c r="C215" s="9" t="str" cm="1">
        <f t="array" ref="C215">IFERROR(_xlfn.XLOOKUP(B215,Personal!$A:$A,Personal!$D:$D,""),"")</f>
        <v>SANCHEZ LLOCLLA ROGER YAISON</v>
      </c>
      <c r="D215" s="9" t="str" cm="1">
        <f t="array" ref="D215">IFERROR(_xlfn.XLOOKUP(B215,Personal!$A:$A,Personal!$C:$C,""),"")</f>
        <v>VCH-ADM</v>
      </c>
      <c r="E215" s="9" t="str" cm="1">
        <f t="array" ref="E215">IFERROR(_xlfn.XLOOKUP(D215,Locales!$A:$A,Locales!$B:$B,""),"")</f>
        <v>LIMA E ICA PROVINCIA</v>
      </c>
      <c r="F215" s="9" t="str" cm="1">
        <f t="array" ref="F215">IFERROR(_xlfn.XLOOKUP(B215,Personal!$A:$A,Personal!$F:$F,""),"")</f>
        <v>BAR</v>
      </c>
      <c r="G215" s="9" t="s">
        <v>3862</v>
      </c>
      <c r="H215" s="9" t="s">
        <v>3876</v>
      </c>
      <c r="I215" s="10" cm="1">
        <f t="array" ref="I215">IFERROR(INDEX(Precios!$D:$F,MATCH(N215, Precios!$G:$G, 0),CHOOSE(MATCH(H215, {"SML";"XL";"XXL"}, 0), 1, 2, 3)), 0)</f>
        <v>7.5</v>
      </c>
      <c r="J215" s="9">
        <v>2</v>
      </c>
      <c r="K215" s="10">
        <f t="shared" ref="K215" si="12">IFERROR(I215*J215,0)</f>
        <v>15</v>
      </c>
      <c r="L215" s="9" t="s">
        <v>4210</v>
      </c>
      <c r="N215" s="9" t="str">
        <f t="shared" ref="N215" si="13">IF( OR(E215="",F215="",G215=""), "",CLEAN(TRIM(E215)) &amp; "|" &amp; CLEAN(TRIM(F215)) &amp; "|" &amp; CLEAN(TRIM(G215)))</f>
        <v>LIMA E ICA PROVINCIA|BAR|POLO 30/1 GRIS</v>
      </c>
      <c r="O215" s="9" t="str">
        <f>IF(N215="","",IF(COUNTIF(Precios!$G:$G,N215)=0,"⚠ No coincide con Precios","OK"))</f>
        <v>OK</v>
      </c>
    </row>
    <row r="216" spans="1:15" x14ac:dyDescent="0.2">
      <c r="C216" s="9" cm="1">
        <f t="array" ref="C216">IFERROR(_xlfn.XLOOKUP(B216,Personal!$A:$A,Personal!$D:$D,""),"")</f>
        <v>0</v>
      </c>
      <c r="D216" s="9" cm="1">
        <f t="array" ref="D216">IFERROR(_xlfn.XLOOKUP(B216,Personal!$A:$A,Personal!$C:$C,""),"")</f>
        <v>0</v>
      </c>
      <c r="E216" s="9" t="str" cm="1">
        <f t="array" ref="E216">IFERROR(_xlfn.XLOOKUP(D216,Locales!$A:$A,Locales!$B:$B,""),"")</f>
        <v/>
      </c>
      <c r="F216" s="9" cm="1">
        <f t="array" ref="F216">IFERROR(_xlfn.XLOOKUP(B216,Personal!$A:$A,Personal!$F:$F,""),"")</f>
        <v>0</v>
      </c>
      <c r="I216" s="10" cm="1">
        <f t="array" ref="I216">IFERROR(INDEX(Precios!$D:$F,MATCH(N216, Precios!$G:$G, 0),CHOOSE(MATCH(H216, {"SML";"XL";"XXL"}, 0), 1, 2, 3)), 0)</f>
        <v>0</v>
      </c>
      <c r="K216" s="10">
        <f t="shared" si="8"/>
        <v>0</v>
      </c>
      <c r="N216" s="9" t="str">
        <f t="shared" si="9"/>
        <v/>
      </c>
      <c r="O216" s="9" t="str">
        <f>IF(N216="","",IF(COUNTIF(Precios!$G:$G,N216)=0,"⚠ No coincide con Precios","OK"))</f>
        <v/>
      </c>
    </row>
    <row r="217" spans="1:15" x14ac:dyDescent="0.2">
      <c r="C217" s="9" cm="1">
        <f t="array" ref="C217">IFERROR(_xlfn.XLOOKUP(B217,Personal!$A:$A,Personal!$D:$D,""),"")</f>
        <v>0</v>
      </c>
      <c r="D217" s="9" cm="1">
        <f t="array" ref="D217">IFERROR(_xlfn.XLOOKUP(B217,Personal!$A:$A,Personal!$C:$C,""),"")</f>
        <v>0</v>
      </c>
      <c r="E217" s="9" t="str" cm="1">
        <f t="array" ref="E217">IFERROR(_xlfn.XLOOKUP(D217,Locales!$A:$A,Locales!$B:$B,""),"")</f>
        <v/>
      </c>
      <c r="F217" s="9" cm="1">
        <f t="array" ref="F217">IFERROR(_xlfn.XLOOKUP(B217,Personal!$A:$A,Personal!$F:$F,""),"")</f>
        <v>0</v>
      </c>
      <c r="I217" s="10" cm="1">
        <f t="array" ref="I217">IFERROR(INDEX(Precios!$D:$F,MATCH(N217, Precios!$G:$G, 0),CHOOSE(MATCH(H217, {"SML";"XL";"XXL"}, 0), 1, 2, 3)), 0)</f>
        <v>0</v>
      </c>
      <c r="K217" s="10">
        <f t="shared" si="8"/>
        <v>0</v>
      </c>
      <c r="N217" s="9" t="str">
        <f t="shared" si="9"/>
        <v/>
      </c>
      <c r="O217" s="9" t="str">
        <f>IF(N217="","",IF(COUNTIF(Precios!$G:$G,N217)=0,"⚠ No coincide con Precios","OK"))</f>
        <v/>
      </c>
    </row>
    <row r="218" spans="1:15" x14ac:dyDescent="0.2">
      <c r="C218" s="9" cm="1">
        <f t="array" ref="C218">IFERROR(_xlfn.XLOOKUP(B218,Personal!$A:$A,Personal!$D:$D,""),"")</f>
        <v>0</v>
      </c>
      <c r="D218" s="9" cm="1">
        <f t="array" ref="D218">IFERROR(_xlfn.XLOOKUP(B218,Personal!$A:$A,Personal!$C:$C,""),"")</f>
        <v>0</v>
      </c>
      <c r="E218" s="9" t="str" cm="1">
        <f t="array" ref="E218">IFERROR(_xlfn.XLOOKUP(D218,Locales!$A:$A,Locales!$B:$B,""),"")</f>
        <v/>
      </c>
      <c r="F218" s="9" cm="1">
        <f t="array" ref="F218">IFERROR(_xlfn.XLOOKUP(B218,Personal!$A:$A,Personal!$F:$F,""),"")</f>
        <v>0</v>
      </c>
      <c r="I218" s="10" cm="1">
        <f t="array" ref="I218">IFERROR(INDEX(Precios!$D:$F,MATCH(N218, Precios!$G:$G, 0),CHOOSE(MATCH(H218, {"SML";"XL";"XXL"}, 0), 1, 2, 3)), 0)</f>
        <v>0</v>
      </c>
      <c r="K218" s="10">
        <f t="shared" si="8"/>
        <v>0</v>
      </c>
      <c r="N218" s="9" t="str">
        <f t="shared" si="9"/>
        <v/>
      </c>
      <c r="O218" s="9" t="str">
        <f>IF(N218="","",IF(COUNTIF(Precios!$G:$G,N218)=0,"⚠ No coincide con Precios","OK"))</f>
        <v/>
      </c>
    </row>
    <row r="219" spans="1:15" x14ac:dyDescent="0.2">
      <c r="C219" s="9" cm="1">
        <f t="array" ref="C219">IFERROR(_xlfn.XLOOKUP(B219,Personal!$A:$A,Personal!$D:$D,""),"")</f>
        <v>0</v>
      </c>
      <c r="D219" s="9" cm="1">
        <f t="array" ref="D219">IFERROR(_xlfn.XLOOKUP(B219,Personal!$A:$A,Personal!$C:$C,""),"")</f>
        <v>0</v>
      </c>
      <c r="E219" s="9" t="str" cm="1">
        <f t="array" ref="E219">IFERROR(_xlfn.XLOOKUP(D219,Locales!$A:$A,Locales!$B:$B,""),"")</f>
        <v/>
      </c>
      <c r="F219" s="9" cm="1">
        <f t="array" ref="F219">IFERROR(_xlfn.XLOOKUP(B219,Personal!$A:$A,Personal!$F:$F,""),"")</f>
        <v>0</v>
      </c>
      <c r="I219" s="10" cm="1">
        <f t="array" ref="I219">IFERROR(INDEX(Precios!$D:$F,MATCH(N219, Precios!$G:$G, 0),CHOOSE(MATCH(H219, {"SML";"XL";"XXL"}, 0), 1, 2, 3)), 0)</f>
        <v>0</v>
      </c>
      <c r="K219" s="10">
        <f t="shared" si="8"/>
        <v>0</v>
      </c>
      <c r="N219" s="9" t="str">
        <f t="shared" si="9"/>
        <v/>
      </c>
      <c r="O219" s="9" t="str">
        <f>IF(N219="","",IF(COUNTIF(Precios!$G:$G,N219)=0,"⚠ No coincide con Precios","OK"))</f>
        <v/>
      </c>
    </row>
    <row r="220" spans="1:15" x14ac:dyDescent="0.2">
      <c r="C220" s="9" cm="1">
        <f t="array" ref="C220">IFERROR(_xlfn.XLOOKUP(B220,Personal!$A:$A,Personal!$D:$D,""),"")</f>
        <v>0</v>
      </c>
      <c r="D220" s="9" cm="1">
        <f t="array" ref="D220">IFERROR(_xlfn.XLOOKUP(B220,Personal!$A:$A,Personal!$C:$C,""),"")</f>
        <v>0</v>
      </c>
      <c r="E220" s="9" t="str" cm="1">
        <f t="array" ref="E220">IFERROR(_xlfn.XLOOKUP(D220,Locales!$A:$A,Locales!$B:$B,""),"")</f>
        <v/>
      </c>
      <c r="F220" s="9" cm="1">
        <f t="array" ref="F220">IFERROR(_xlfn.XLOOKUP(B220,Personal!$A:$A,Personal!$F:$F,""),"")</f>
        <v>0</v>
      </c>
      <c r="I220" s="10" cm="1">
        <f t="array" ref="I220">IFERROR(INDEX(Precios!$D:$F,MATCH(N220, Precios!$G:$G, 0),CHOOSE(MATCH(H220, {"SML";"XL";"XXL"}, 0), 1, 2, 3)), 0)</f>
        <v>0</v>
      </c>
      <c r="K220" s="10">
        <f t="shared" si="8"/>
        <v>0</v>
      </c>
      <c r="N220" s="9" t="str">
        <f t="shared" si="9"/>
        <v/>
      </c>
      <c r="O220" s="9" t="str">
        <f>IF(N220="","",IF(COUNTIF(Precios!$G:$G,N220)=0,"⚠ No coincide con Precios","OK"))</f>
        <v/>
      </c>
    </row>
    <row r="221" spans="1:15" x14ac:dyDescent="0.2">
      <c r="C221" s="9" cm="1">
        <f t="array" ref="C221">IFERROR(_xlfn.XLOOKUP(B221,Personal!$A:$A,Personal!$D:$D,""),"")</f>
        <v>0</v>
      </c>
      <c r="D221" s="9" cm="1">
        <f t="array" ref="D221">IFERROR(_xlfn.XLOOKUP(B221,Personal!$A:$A,Personal!$C:$C,""),"")</f>
        <v>0</v>
      </c>
      <c r="E221" s="9" t="str" cm="1">
        <f t="array" ref="E221">IFERROR(_xlfn.XLOOKUP(D221,Locales!$A:$A,Locales!$B:$B,""),"")</f>
        <v/>
      </c>
      <c r="F221" s="9" cm="1">
        <f t="array" ref="F221">IFERROR(_xlfn.XLOOKUP(B221,Personal!$A:$A,Personal!$F:$F,""),"")</f>
        <v>0</v>
      </c>
      <c r="I221" s="10" cm="1">
        <f t="array" ref="I221">IFERROR(INDEX(Precios!$D:$F,MATCH(N221, Precios!$G:$G, 0),CHOOSE(MATCH(H221, {"SML";"XL";"XXL"}, 0), 1, 2, 3)), 0)</f>
        <v>0</v>
      </c>
      <c r="K221" s="10">
        <f t="shared" si="8"/>
        <v>0</v>
      </c>
      <c r="N221" s="9" t="str">
        <f t="shared" si="9"/>
        <v/>
      </c>
      <c r="O221" s="9" t="str">
        <f>IF(N221="","",IF(COUNTIF(Precios!$G:$G,N221)=0,"⚠ No coincide con Precios","OK"))</f>
        <v/>
      </c>
    </row>
    <row r="222" spans="1:15" x14ac:dyDescent="0.2">
      <c r="C222" s="9" cm="1">
        <f t="array" ref="C222">IFERROR(_xlfn.XLOOKUP(B222,Personal!$A:$A,Personal!$D:$D,""),"")</f>
        <v>0</v>
      </c>
      <c r="D222" s="9" cm="1">
        <f t="array" ref="D222">IFERROR(_xlfn.XLOOKUP(B222,Personal!$A:$A,Personal!$C:$C,""),"")</f>
        <v>0</v>
      </c>
      <c r="E222" s="9" t="str" cm="1">
        <f t="array" ref="E222">IFERROR(_xlfn.XLOOKUP(D222,Locales!$A:$A,Locales!$B:$B,""),"")</f>
        <v/>
      </c>
      <c r="F222" s="9" cm="1">
        <f t="array" ref="F222">IFERROR(_xlfn.XLOOKUP(B222,Personal!$A:$A,Personal!$F:$F,""),"")</f>
        <v>0</v>
      </c>
      <c r="I222" s="10" cm="1">
        <f t="array" ref="I222">IFERROR(INDEX(Precios!$D:$F,MATCH(N222, Precios!$G:$G, 0),CHOOSE(MATCH(H222, {"SML";"XL";"XXL"}, 0), 1, 2, 3)), 0)</f>
        <v>0</v>
      </c>
      <c r="K222" s="10">
        <f t="shared" si="8"/>
        <v>0</v>
      </c>
      <c r="N222" s="9" t="str">
        <f t="shared" si="9"/>
        <v/>
      </c>
      <c r="O222" s="9" t="str">
        <f>IF(N222="","",IF(COUNTIF(Precios!$G:$G,N222)=0,"⚠ No coincide con Precios","OK"))</f>
        <v/>
      </c>
    </row>
    <row r="223" spans="1:15" x14ac:dyDescent="0.2">
      <c r="C223" s="9" cm="1">
        <f t="array" ref="C223">IFERROR(_xlfn.XLOOKUP(B223,Personal!$A:$A,Personal!$D:$D,""),"")</f>
        <v>0</v>
      </c>
      <c r="D223" s="9" cm="1">
        <f t="array" ref="D223">IFERROR(_xlfn.XLOOKUP(B223,Personal!$A:$A,Personal!$C:$C,""),"")</f>
        <v>0</v>
      </c>
      <c r="E223" s="9" t="str" cm="1">
        <f t="array" ref="E223">IFERROR(_xlfn.XLOOKUP(D223,Locales!$A:$A,Locales!$B:$B,""),"")</f>
        <v/>
      </c>
      <c r="F223" s="9" cm="1">
        <f t="array" ref="F223">IFERROR(_xlfn.XLOOKUP(B223,Personal!$A:$A,Personal!$F:$F,""),"")</f>
        <v>0</v>
      </c>
      <c r="I223" s="10" cm="1">
        <f t="array" ref="I223">IFERROR(INDEX(Precios!$D:$F,MATCH(N223, Precios!$G:$G, 0),CHOOSE(MATCH(H223, {"SML";"XL";"XXL"}, 0), 1, 2, 3)), 0)</f>
        <v>0</v>
      </c>
      <c r="K223" s="10">
        <f t="shared" si="8"/>
        <v>0</v>
      </c>
      <c r="N223" s="9" t="str">
        <f t="shared" si="9"/>
        <v/>
      </c>
      <c r="O223" s="9" t="str">
        <f>IF(N223="","",IF(COUNTIF(Precios!$G:$G,N223)=0,"⚠ No coincide con Precios","OK"))</f>
        <v/>
      </c>
    </row>
    <row r="224" spans="1:15" x14ac:dyDescent="0.2">
      <c r="C224" s="9" cm="1">
        <f t="array" ref="C224">IFERROR(_xlfn.XLOOKUP(B224,Personal!$A:$A,Personal!$D:$D,""),"")</f>
        <v>0</v>
      </c>
      <c r="D224" s="9" cm="1">
        <f t="array" ref="D224">IFERROR(_xlfn.XLOOKUP(B224,Personal!$A:$A,Personal!$C:$C,""),"")</f>
        <v>0</v>
      </c>
      <c r="E224" s="9" t="str" cm="1">
        <f t="array" ref="E224">IFERROR(_xlfn.XLOOKUP(D224,Locales!$A:$A,Locales!$B:$B,""),"")</f>
        <v/>
      </c>
      <c r="F224" s="9" cm="1">
        <f t="array" ref="F224">IFERROR(_xlfn.XLOOKUP(B224,Personal!$A:$A,Personal!$F:$F,""),"")</f>
        <v>0</v>
      </c>
      <c r="I224" s="10" cm="1">
        <f t="array" ref="I224">IFERROR(INDEX(Precios!$D:$F,MATCH(N224, Precios!$G:$G, 0),CHOOSE(MATCH(H224, {"SML";"XL";"XXL"}, 0), 1, 2, 3)), 0)</f>
        <v>0</v>
      </c>
      <c r="K224" s="10">
        <f t="shared" si="8"/>
        <v>0</v>
      </c>
      <c r="N224" s="9" t="str">
        <f t="shared" si="9"/>
        <v/>
      </c>
      <c r="O224" s="9" t="str">
        <f>IF(N224="","",IF(COUNTIF(Precios!$G:$G,N224)=0,"⚠ No coincide con Precios","OK"))</f>
        <v/>
      </c>
    </row>
    <row r="225" spans="3:15" x14ac:dyDescent="0.2">
      <c r="C225" s="9" cm="1">
        <f t="array" ref="C225">IFERROR(_xlfn.XLOOKUP(B225,Personal!$A:$A,Personal!$D:$D,""),"")</f>
        <v>0</v>
      </c>
      <c r="D225" s="9" cm="1">
        <f t="array" ref="D225">IFERROR(_xlfn.XLOOKUP(B225,Personal!$A:$A,Personal!$C:$C,""),"")</f>
        <v>0</v>
      </c>
      <c r="E225" s="9" t="str" cm="1">
        <f t="array" ref="E225">IFERROR(_xlfn.XLOOKUP(D225,Locales!$A:$A,Locales!$B:$B,""),"")</f>
        <v/>
      </c>
      <c r="F225" s="9" cm="1">
        <f t="array" ref="F225">IFERROR(_xlfn.XLOOKUP(B225,Personal!$A:$A,Personal!$F:$F,""),"")</f>
        <v>0</v>
      </c>
      <c r="I225" s="10" cm="1">
        <f t="array" ref="I225">IFERROR(INDEX(Precios!$D:$F,MATCH(N225, Precios!$G:$G, 0),CHOOSE(MATCH(H225, {"SML";"XL";"XXL"}, 0), 1, 2, 3)), 0)</f>
        <v>0</v>
      </c>
      <c r="K225" s="10">
        <f t="shared" si="8"/>
        <v>0</v>
      </c>
      <c r="N225" s="9" t="str">
        <f t="shared" si="9"/>
        <v/>
      </c>
      <c r="O225" s="9" t="str">
        <f>IF(N225="","",IF(COUNTIF(Precios!$G:$G,N225)=0,"⚠ No coincide con Precios","OK"))</f>
        <v/>
      </c>
    </row>
    <row r="226" spans="3:15" x14ac:dyDescent="0.2">
      <c r="C226" s="9" cm="1">
        <f t="array" ref="C226">IFERROR(_xlfn.XLOOKUP(B226,Personal!$A:$A,Personal!$D:$D,""),"")</f>
        <v>0</v>
      </c>
      <c r="D226" s="9" cm="1">
        <f t="array" ref="D226">IFERROR(_xlfn.XLOOKUP(B226,Personal!$A:$A,Personal!$C:$C,""),"")</f>
        <v>0</v>
      </c>
      <c r="E226" s="9" t="str" cm="1">
        <f t="array" ref="E226">IFERROR(_xlfn.XLOOKUP(D226,Locales!$A:$A,Locales!$B:$B,""),"")</f>
        <v/>
      </c>
      <c r="F226" s="9" cm="1">
        <f t="array" ref="F226">IFERROR(_xlfn.XLOOKUP(B226,Personal!$A:$A,Personal!$F:$F,""),"")</f>
        <v>0</v>
      </c>
      <c r="I226" s="10" cm="1">
        <f t="array" ref="I226">IFERROR(INDEX(Precios!$D:$F,MATCH(N226, Precios!$G:$G, 0),CHOOSE(MATCH(H226, {"SML";"XL";"XXL"}, 0), 1, 2, 3)), 0)</f>
        <v>0</v>
      </c>
      <c r="K226" s="10">
        <f t="shared" si="8"/>
        <v>0</v>
      </c>
      <c r="N226" s="9" t="str">
        <f t="shared" si="9"/>
        <v/>
      </c>
      <c r="O226" s="9" t="str">
        <f>IF(N226="","",IF(COUNTIF(Precios!$G:$G,N226)=0,"⚠ No coincide con Precios","OK"))</f>
        <v/>
      </c>
    </row>
    <row r="227" spans="3:15" x14ac:dyDescent="0.2">
      <c r="C227" s="9" cm="1">
        <f t="array" ref="C227">IFERROR(_xlfn.XLOOKUP(B227,Personal!$A:$A,Personal!$D:$D,""),"")</f>
        <v>0</v>
      </c>
      <c r="D227" s="9" cm="1">
        <f t="array" ref="D227">IFERROR(_xlfn.XLOOKUP(B227,Personal!$A:$A,Personal!$C:$C,""),"")</f>
        <v>0</v>
      </c>
      <c r="E227" s="9" t="str" cm="1">
        <f t="array" ref="E227">IFERROR(_xlfn.XLOOKUP(D227,Locales!$A:$A,Locales!$B:$B,""),"")</f>
        <v/>
      </c>
      <c r="F227" s="9" cm="1">
        <f t="array" ref="F227">IFERROR(_xlfn.XLOOKUP(B227,Personal!$A:$A,Personal!$F:$F,""),"")</f>
        <v>0</v>
      </c>
      <c r="I227" s="10" cm="1">
        <f t="array" ref="I227">IFERROR(INDEX(Precios!$D:$F,MATCH(N227, Precios!$G:$G, 0),CHOOSE(MATCH(H227, {"SML";"XL";"XXL"}, 0), 1, 2, 3)), 0)</f>
        <v>0</v>
      </c>
      <c r="K227" s="10">
        <f t="shared" si="8"/>
        <v>0</v>
      </c>
      <c r="N227" s="9" t="str">
        <f t="shared" si="9"/>
        <v/>
      </c>
      <c r="O227" s="9" t="str">
        <f>IF(N227="","",IF(COUNTIF(Precios!$G:$G,N227)=0,"⚠ No coincide con Precios","OK"))</f>
        <v/>
      </c>
    </row>
    <row r="228" spans="3:15" x14ac:dyDescent="0.2">
      <c r="C228" s="9" cm="1">
        <f t="array" ref="C228">IFERROR(_xlfn.XLOOKUP(B228,Personal!$A:$A,Personal!$D:$D,""),"")</f>
        <v>0</v>
      </c>
      <c r="D228" s="9" cm="1">
        <f t="array" ref="D228">IFERROR(_xlfn.XLOOKUP(B228,Personal!$A:$A,Personal!$C:$C,""),"")</f>
        <v>0</v>
      </c>
      <c r="E228" s="9" t="str" cm="1">
        <f t="array" ref="E228">IFERROR(_xlfn.XLOOKUP(D228,Locales!$A:$A,Locales!$B:$B,""),"")</f>
        <v/>
      </c>
      <c r="F228" s="9" cm="1">
        <f t="array" ref="F228">IFERROR(_xlfn.XLOOKUP(B228,Personal!$A:$A,Personal!$F:$F,""),"")</f>
        <v>0</v>
      </c>
      <c r="I228" s="10" cm="1">
        <f t="array" ref="I228">IFERROR(INDEX(Precios!$D:$F,MATCH(N228, Precios!$G:$G, 0),CHOOSE(MATCH(H228, {"SML";"XL";"XXL"}, 0), 1, 2, 3)), 0)</f>
        <v>0</v>
      </c>
      <c r="K228" s="10">
        <f t="shared" si="8"/>
        <v>0</v>
      </c>
      <c r="N228" s="9" t="str">
        <f t="shared" si="9"/>
        <v/>
      </c>
      <c r="O228" s="9" t="str">
        <f>IF(N228="","",IF(COUNTIF(Precios!$G:$G,N228)=0,"⚠ No coincide con Precios","OK"))</f>
        <v/>
      </c>
    </row>
    <row r="229" spans="3:15" x14ac:dyDescent="0.2">
      <c r="C229" s="9" cm="1">
        <f t="array" ref="C229">IFERROR(_xlfn.XLOOKUP(B229,Personal!$A:$A,Personal!$D:$D,""),"")</f>
        <v>0</v>
      </c>
      <c r="D229" s="9" cm="1">
        <f t="array" ref="D229">IFERROR(_xlfn.XLOOKUP(B229,Personal!$A:$A,Personal!$C:$C,""),"")</f>
        <v>0</v>
      </c>
      <c r="E229" s="9" t="str" cm="1">
        <f t="array" ref="E229">IFERROR(_xlfn.XLOOKUP(D229,Locales!$A:$A,Locales!$B:$B,""),"")</f>
        <v/>
      </c>
      <c r="F229" s="9" cm="1">
        <f t="array" ref="F229">IFERROR(_xlfn.XLOOKUP(B229,Personal!$A:$A,Personal!$F:$F,""),"")</f>
        <v>0</v>
      </c>
      <c r="I229" s="10" cm="1">
        <f t="array" ref="I229">IFERROR(INDEX(Precios!$D:$F,MATCH(N229, Precios!$G:$G, 0),CHOOSE(MATCH(H229, {"SML";"XL";"XXL"}, 0), 1, 2, 3)), 0)</f>
        <v>0</v>
      </c>
      <c r="K229" s="10">
        <f t="shared" si="8"/>
        <v>0</v>
      </c>
      <c r="N229" s="9" t="str">
        <f t="shared" si="9"/>
        <v/>
      </c>
      <c r="O229" s="9" t="str">
        <f>IF(N229="","",IF(COUNTIF(Precios!$G:$G,N229)=0,"⚠ No coincide con Precios","OK"))</f>
        <v/>
      </c>
    </row>
    <row r="230" spans="3:15" x14ac:dyDescent="0.2">
      <c r="C230" s="9" cm="1">
        <f t="array" ref="C230">IFERROR(_xlfn.XLOOKUP(B230,Personal!$A:$A,Personal!$D:$D,""),"")</f>
        <v>0</v>
      </c>
      <c r="D230" s="9" cm="1">
        <f t="array" ref="D230">IFERROR(_xlfn.XLOOKUP(B230,Personal!$A:$A,Personal!$C:$C,""),"")</f>
        <v>0</v>
      </c>
      <c r="E230" s="9" t="str" cm="1">
        <f t="array" ref="E230">IFERROR(_xlfn.XLOOKUP(D230,Locales!$A:$A,Locales!$B:$B,""),"")</f>
        <v/>
      </c>
      <c r="F230" s="9" cm="1">
        <f t="array" ref="F230">IFERROR(_xlfn.XLOOKUP(B230,Personal!$A:$A,Personal!$F:$F,""),"")</f>
        <v>0</v>
      </c>
      <c r="I230" s="10" cm="1">
        <f t="array" ref="I230">IFERROR(INDEX(Precios!$D:$F,MATCH(N230, Precios!$G:$G, 0),CHOOSE(MATCH(H230, {"SML";"XL";"XXL"}, 0), 1, 2, 3)), 0)</f>
        <v>0</v>
      </c>
      <c r="K230" s="10">
        <f t="shared" si="8"/>
        <v>0</v>
      </c>
      <c r="N230" s="9" t="str">
        <f t="shared" si="9"/>
        <v/>
      </c>
      <c r="O230" s="9" t="str">
        <f>IF(N230="","",IF(COUNTIF(Precios!$G:$G,N230)=0,"⚠ No coincide con Precios","OK"))</f>
        <v/>
      </c>
    </row>
    <row r="231" spans="3:15" x14ac:dyDescent="0.2">
      <c r="C231" s="9" cm="1">
        <f t="array" ref="C231">IFERROR(_xlfn.XLOOKUP(B231,Personal!$A:$A,Personal!$D:$D,""),"")</f>
        <v>0</v>
      </c>
      <c r="D231" s="9" cm="1">
        <f t="array" ref="D231">IFERROR(_xlfn.XLOOKUP(B231,Personal!$A:$A,Personal!$C:$C,""),"")</f>
        <v>0</v>
      </c>
      <c r="E231" s="9" t="str" cm="1">
        <f t="array" ref="E231">IFERROR(_xlfn.XLOOKUP(D231,Locales!$A:$A,Locales!$B:$B,""),"")</f>
        <v/>
      </c>
      <c r="F231" s="9" cm="1">
        <f t="array" ref="F231">IFERROR(_xlfn.XLOOKUP(B231,Personal!$A:$A,Personal!$F:$F,""),"")</f>
        <v>0</v>
      </c>
      <c r="I231" s="10" cm="1">
        <f t="array" ref="I231">IFERROR(INDEX(Precios!$D:$F,MATCH(N231, Precios!$G:$G, 0),CHOOSE(MATCH(H231, {"SML";"XL";"XXL"}, 0), 1, 2, 3)), 0)</f>
        <v>0</v>
      </c>
      <c r="K231" s="10">
        <f t="shared" si="8"/>
        <v>0</v>
      </c>
      <c r="N231" s="9" t="str">
        <f t="shared" si="9"/>
        <v/>
      </c>
      <c r="O231" s="9" t="str">
        <f>IF(N231="","",IF(COUNTIF(Precios!$G:$G,N231)=0,"⚠ No coincide con Precios","OK"))</f>
        <v/>
      </c>
    </row>
    <row r="232" spans="3:15" x14ac:dyDescent="0.2">
      <c r="C232" s="9" cm="1">
        <f t="array" ref="C232">IFERROR(_xlfn.XLOOKUP(B232,Personal!$A:$A,Personal!$D:$D,""),"")</f>
        <v>0</v>
      </c>
      <c r="D232" s="9" cm="1">
        <f t="array" ref="D232">IFERROR(_xlfn.XLOOKUP(B232,Personal!$A:$A,Personal!$C:$C,""),"")</f>
        <v>0</v>
      </c>
      <c r="E232" s="9" t="str" cm="1">
        <f t="array" ref="E232">IFERROR(_xlfn.XLOOKUP(D232,Locales!$A:$A,Locales!$B:$B,""),"")</f>
        <v/>
      </c>
      <c r="F232" s="9" cm="1">
        <f t="array" ref="F232">IFERROR(_xlfn.XLOOKUP(B232,Personal!$A:$A,Personal!$F:$F,""),"")</f>
        <v>0</v>
      </c>
      <c r="I232" s="10" cm="1">
        <f t="array" ref="I232">IFERROR(INDEX(Precios!$D:$F,MATCH(N232, Precios!$G:$G, 0),CHOOSE(MATCH(H232, {"SML";"XL";"XXL"}, 0), 1, 2, 3)), 0)</f>
        <v>0</v>
      </c>
      <c r="K232" s="10">
        <f t="shared" si="8"/>
        <v>0</v>
      </c>
      <c r="N232" s="9" t="str">
        <f t="shared" si="9"/>
        <v/>
      </c>
      <c r="O232" s="9" t="str">
        <f>IF(N232="","",IF(COUNTIF(Precios!$G:$G,N232)=0,"⚠ No coincide con Precios","OK"))</f>
        <v/>
      </c>
    </row>
    <row r="233" spans="3:15" x14ac:dyDescent="0.2">
      <c r="C233" s="9" cm="1">
        <f t="array" ref="C233">IFERROR(_xlfn.XLOOKUP(B233,Personal!$A:$A,Personal!$D:$D,""),"")</f>
        <v>0</v>
      </c>
      <c r="D233" s="9" cm="1">
        <f t="array" ref="D233">IFERROR(_xlfn.XLOOKUP(B233,Personal!$A:$A,Personal!$C:$C,""),"")</f>
        <v>0</v>
      </c>
      <c r="E233" s="9" t="str" cm="1">
        <f t="array" ref="E233">IFERROR(_xlfn.XLOOKUP(D233,Locales!$A:$A,Locales!$B:$B,""),"")</f>
        <v/>
      </c>
      <c r="F233" s="9" cm="1">
        <f t="array" ref="F233">IFERROR(_xlfn.XLOOKUP(B233,Personal!$A:$A,Personal!$F:$F,""),"")</f>
        <v>0</v>
      </c>
      <c r="I233" s="10" cm="1">
        <f t="array" ref="I233">IFERROR(INDEX(Precios!$D:$F,MATCH(N233, Precios!$G:$G, 0),CHOOSE(MATCH(H233, {"SML";"XL";"XXL"}, 0), 1, 2, 3)), 0)</f>
        <v>0</v>
      </c>
      <c r="K233" s="10">
        <f t="shared" si="8"/>
        <v>0</v>
      </c>
      <c r="N233" s="9" t="str">
        <f t="shared" si="9"/>
        <v/>
      </c>
      <c r="O233" s="9" t="str">
        <f>IF(N233="","",IF(COUNTIF(Precios!$G:$G,N233)=0,"⚠ No coincide con Precios","OK"))</f>
        <v/>
      </c>
    </row>
    <row r="234" spans="3:15" x14ac:dyDescent="0.2">
      <c r="C234" s="9" cm="1">
        <f t="array" ref="C234">IFERROR(_xlfn.XLOOKUP(B234,Personal!$A:$A,Personal!$D:$D,""),"")</f>
        <v>0</v>
      </c>
      <c r="D234" s="9" cm="1">
        <f t="array" ref="D234">IFERROR(_xlfn.XLOOKUP(B234,Personal!$A:$A,Personal!$C:$C,""),"")</f>
        <v>0</v>
      </c>
      <c r="E234" s="9" t="str" cm="1">
        <f t="array" ref="E234">IFERROR(_xlfn.XLOOKUP(D234,Locales!$A:$A,Locales!$B:$B,""),"")</f>
        <v/>
      </c>
      <c r="F234" s="9" cm="1">
        <f t="array" ref="F234">IFERROR(_xlfn.XLOOKUP(B234,Personal!$A:$A,Personal!$F:$F,""),"")</f>
        <v>0</v>
      </c>
      <c r="I234" s="10" cm="1">
        <f t="array" ref="I234">IFERROR(INDEX(Precios!$D:$F,MATCH(N234, Precios!$G:$G, 0),CHOOSE(MATCH(H234, {"SML";"XL";"XXL"}, 0), 1, 2, 3)), 0)</f>
        <v>0</v>
      </c>
      <c r="K234" s="10">
        <f t="shared" si="8"/>
        <v>0</v>
      </c>
      <c r="N234" s="9" t="str">
        <f t="shared" si="9"/>
        <v/>
      </c>
      <c r="O234" s="9" t="str">
        <f>IF(N234="","",IF(COUNTIF(Precios!$G:$G,N234)=0,"⚠ No coincide con Precios","OK"))</f>
        <v/>
      </c>
    </row>
    <row r="235" spans="3:15" x14ac:dyDescent="0.2">
      <c r="C235" s="9" cm="1">
        <f t="array" ref="C235">IFERROR(_xlfn.XLOOKUP(B235,Personal!$A:$A,Personal!$D:$D,""),"")</f>
        <v>0</v>
      </c>
      <c r="D235" s="9" cm="1">
        <f t="array" ref="D235">IFERROR(_xlfn.XLOOKUP(B235,Personal!$A:$A,Personal!$C:$C,""),"")</f>
        <v>0</v>
      </c>
      <c r="E235" s="9" t="str" cm="1">
        <f t="array" ref="E235">IFERROR(_xlfn.XLOOKUP(D235,Locales!$A:$A,Locales!$B:$B,""),"")</f>
        <v/>
      </c>
      <c r="F235" s="9" cm="1">
        <f t="array" ref="F235">IFERROR(_xlfn.XLOOKUP(B235,Personal!$A:$A,Personal!$F:$F,""),"")</f>
        <v>0</v>
      </c>
      <c r="I235" s="10" cm="1">
        <f t="array" ref="I235">IFERROR(INDEX(Precios!$D:$F,MATCH(N235, Precios!$G:$G, 0),CHOOSE(MATCH(H235, {"SML";"XL";"XXL"}, 0), 1, 2, 3)), 0)</f>
        <v>0</v>
      </c>
      <c r="K235" s="10">
        <f t="shared" si="8"/>
        <v>0</v>
      </c>
      <c r="N235" s="9" t="str">
        <f t="shared" si="9"/>
        <v/>
      </c>
      <c r="O235" s="9" t="str">
        <f>IF(N235="","",IF(COUNTIF(Precios!$G:$G,N235)=0,"⚠ No coincide con Precios","OK"))</f>
        <v/>
      </c>
    </row>
    <row r="236" spans="3:15" x14ac:dyDescent="0.2">
      <c r="C236" s="9" cm="1">
        <f t="array" ref="C236">IFERROR(_xlfn.XLOOKUP(B236,Personal!$A:$A,Personal!$D:$D,""),"")</f>
        <v>0</v>
      </c>
      <c r="D236" s="9" cm="1">
        <f t="array" ref="D236">IFERROR(_xlfn.XLOOKUP(B236,Personal!$A:$A,Personal!$C:$C,""),"")</f>
        <v>0</v>
      </c>
      <c r="E236" s="9" t="str" cm="1">
        <f t="array" ref="E236">IFERROR(_xlfn.XLOOKUP(D236,Locales!$A:$A,Locales!$B:$B,""),"")</f>
        <v/>
      </c>
      <c r="F236" s="9" cm="1">
        <f t="array" ref="F236">IFERROR(_xlfn.XLOOKUP(B236,Personal!$A:$A,Personal!$F:$F,""),"")</f>
        <v>0</v>
      </c>
      <c r="I236" s="10" cm="1">
        <f t="array" ref="I236">IFERROR(INDEX(Precios!$D:$F,MATCH(N236, Precios!$G:$G, 0),CHOOSE(MATCH(H236, {"SML";"XL";"XXL"}, 0), 1, 2, 3)), 0)</f>
        <v>0</v>
      </c>
      <c r="K236" s="10">
        <f t="shared" si="8"/>
        <v>0</v>
      </c>
      <c r="N236" s="9" t="str">
        <f t="shared" si="9"/>
        <v/>
      </c>
      <c r="O236" s="9" t="str">
        <f>IF(N236="","",IF(COUNTIF(Precios!$G:$G,N236)=0,"⚠ No coincide con Precios","OK"))</f>
        <v/>
      </c>
    </row>
    <row r="237" spans="3:15" x14ac:dyDescent="0.2">
      <c r="C237" s="9" cm="1">
        <f t="array" ref="C237">IFERROR(_xlfn.XLOOKUP(B237,Personal!$A:$A,Personal!$D:$D,""),"")</f>
        <v>0</v>
      </c>
      <c r="D237" s="9" cm="1">
        <f t="array" ref="D237">IFERROR(_xlfn.XLOOKUP(B237,Personal!$A:$A,Personal!$C:$C,""),"")</f>
        <v>0</v>
      </c>
      <c r="E237" s="9" t="str" cm="1">
        <f t="array" ref="E237">IFERROR(_xlfn.XLOOKUP(D237,Locales!$A:$A,Locales!$B:$B,""),"")</f>
        <v/>
      </c>
      <c r="F237" s="9" cm="1">
        <f t="array" ref="F237">IFERROR(_xlfn.XLOOKUP(B237,Personal!$A:$A,Personal!$F:$F,""),"")</f>
        <v>0</v>
      </c>
      <c r="I237" s="10" cm="1">
        <f t="array" ref="I237">IFERROR(INDEX(Precios!$D:$F,MATCH(N237, Precios!$G:$G, 0),CHOOSE(MATCH(H237, {"SML";"XL";"XXL"}, 0), 1, 2, 3)), 0)</f>
        <v>0</v>
      </c>
      <c r="K237" s="10">
        <f t="shared" si="8"/>
        <v>0</v>
      </c>
      <c r="N237" s="9" t="str">
        <f t="shared" si="9"/>
        <v/>
      </c>
      <c r="O237" s="9" t="str">
        <f>IF(N237="","",IF(COUNTIF(Precios!$G:$G,N237)=0,"⚠ No coincide con Precios","OK"))</f>
        <v/>
      </c>
    </row>
    <row r="238" spans="3:15" x14ac:dyDescent="0.2">
      <c r="C238" s="9" cm="1">
        <f t="array" ref="C238">IFERROR(_xlfn.XLOOKUP(B238,Personal!$A:$A,Personal!$D:$D,""),"")</f>
        <v>0</v>
      </c>
      <c r="D238" s="9" cm="1">
        <f t="array" ref="D238">IFERROR(_xlfn.XLOOKUP(B238,Personal!$A:$A,Personal!$C:$C,""),"")</f>
        <v>0</v>
      </c>
      <c r="E238" s="9" t="str" cm="1">
        <f t="array" ref="E238">IFERROR(_xlfn.XLOOKUP(D238,Locales!$A:$A,Locales!$B:$B,""),"")</f>
        <v/>
      </c>
      <c r="F238" s="9" cm="1">
        <f t="array" ref="F238">IFERROR(_xlfn.XLOOKUP(B238,Personal!$A:$A,Personal!$F:$F,""),"")</f>
        <v>0</v>
      </c>
      <c r="I238" s="10" cm="1">
        <f t="array" ref="I238">IFERROR(INDEX(Precios!$D:$F,MATCH(N238, Precios!$G:$G, 0),CHOOSE(MATCH(H238, {"SML";"XL";"XXL"}, 0), 1, 2, 3)), 0)</f>
        <v>0</v>
      </c>
      <c r="K238" s="10">
        <f t="shared" si="8"/>
        <v>0</v>
      </c>
      <c r="N238" s="9" t="str">
        <f t="shared" si="9"/>
        <v/>
      </c>
      <c r="O238" s="9" t="str">
        <f>IF(N238="","",IF(COUNTIF(Precios!$G:$G,N238)=0,"⚠ No coincide con Precios","OK"))</f>
        <v/>
      </c>
    </row>
    <row r="239" spans="3:15" x14ac:dyDescent="0.2">
      <c r="C239" s="9" cm="1">
        <f t="array" ref="C239">IFERROR(_xlfn.XLOOKUP(B239,Personal!$A:$A,Personal!$D:$D,""),"")</f>
        <v>0</v>
      </c>
      <c r="D239" s="9" cm="1">
        <f t="array" ref="D239">IFERROR(_xlfn.XLOOKUP(B239,Personal!$A:$A,Personal!$C:$C,""),"")</f>
        <v>0</v>
      </c>
      <c r="E239" s="9" t="str" cm="1">
        <f t="array" ref="E239">IFERROR(_xlfn.XLOOKUP(D239,Locales!$A:$A,Locales!$B:$B,""),"")</f>
        <v/>
      </c>
      <c r="F239" s="9" cm="1">
        <f t="array" ref="F239">IFERROR(_xlfn.XLOOKUP(B239,Personal!$A:$A,Personal!$F:$F,""),"")</f>
        <v>0</v>
      </c>
      <c r="I239" s="10" cm="1">
        <f t="array" ref="I239">IFERROR(INDEX(Precios!$D:$F,MATCH(N239, Precios!$G:$G, 0),CHOOSE(MATCH(H239, {"SML";"XL";"XXL"}, 0), 1, 2, 3)), 0)</f>
        <v>0</v>
      </c>
      <c r="K239" s="10">
        <f t="shared" si="8"/>
        <v>0</v>
      </c>
      <c r="N239" s="9" t="str">
        <f t="shared" si="9"/>
        <v/>
      </c>
      <c r="O239" s="9" t="str">
        <f>IF(N239="","",IF(COUNTIF(Precios!$G:$G,N239)=0,"⚠ No coincide con Precios","OK"))</f>
        <v/>
      </c>
    </row>
    <row r="240" spans="3:15" x14ac:dyDescent="0.2">
      <c r="C240" s="9" cm="1">
        <f t="array" ref="C240">IFERROR(_xlfn.XLOOKUP(B240,Personal!$A:$A,Personal!$D:$D,""),"")</f>
        <v>0</v>
      </c>
      <c r="D240" s="9" cm="1">
        <f t="array" ref="D240">IFERROR(_xlfn.XLOOKUP(B240,Personal!$A:$A,Personal!$C:$C,""),"")</f>
        <v>0</v>
      </c>
      <c r="E240" s="9" t="str" cm="1">
        <f t="array" ref="E240">IFERROR(_xlfn.XLOOKUP(D240,Locales!$A:$A,Locales!$B:$B,""),"")</f>
        <v/>
      </c>
      <c r="F240" s="9" cm="1">
        <f t="array" ref="F240">IFERROR(_xlfn.XLOOKUP(B240,Personal!$A:$A,Personal!$F:$F,""),"")</f>
        <v>0</v>
      </c>
      <c r="I240" s="10" cm="1">
        <f t="array" ref="I240">IFERROR(INDEX(Precios!$D:$F,MATCH(N240, Precios!$G:$G, 0),CHOOSE(MATCH(H240, {"SML";"XL";"XXL"}, 0), 1, 2, 3)), 0)</f>
        <v>0</v>
      </c>
      <c r="K240" s="10">
        <f t="shared" si="8"/>
        <v>0</v>
      </c>
      <c r="N240" s="9" t="str">
        <f t="shared" si="9"/>
        <v/>
      </c>
      <c r="O240" s="9" t="str">
        <f>IF(N240="","",IF(COUNTIF(Precios!$G:$G,N240)=0,"⚠ No coincide con Precios","OK"))</f>
        <v/>
      </c>
    </row>
    <row r="241" spans="3:15" x14ac:dyDescent="0.2">
      <c r="C241" s="9" cm="1">
        <f t="array" ref="C241">IFERROR(_xlfn.XLOOKUP(B241,Personal!$A:$A,Personal!$D:$D,""),"")</f>
        <v>0</v>
      </c>
      <c r="D241" s="9" cm="1">
        <f t="array" ref="D241">IFERROR(_xlfn.XLOOKUP(B241,Personal!$A:$A,Personal!$C:$C,""),"")</f>
        <v>0</v>
      </c>
      <c r="E241" s="9" t="str" cm="1">
        <f t="array" ref="E241">IFERROR(_xlfn.XLOOKUP(D241,Locales!$A:$A,Locales!$B:$B,""),"")</f>
        <v/>
      </c>
      <c r="F241" s="9" cm="1">
        <f t="array" ref="F241">IFERROR(_xlfn.XLOOKUP(B241,Personal!$A:$A,Personal!$F:$F,""),"")</f>
        <v>0</v>
      </c>
      <c r="I241" s="10" cm="1">
        <f t="array" ref="I241">IFERROR(INDEX(Precios!$D:$F,MATCH(N241, Precios!$G:$G, 0),CHOOSE(MATCH(H241, {"SML";"XL";"XXL"}, 0), 1, 2, 3)), 0)</f>
        <v>0</v>
      </c>
      <c r="K241" s="10">
        <f t="shared" si="8"/>
        <v>0</v>
      </c>
      <c r="N241" s="9" t="str">
        <f t="shared" si="9"/>
        <v/>
      </c>
      <c r="O241" s="9" t="str">
        <f>IF(N241="","",IF(COUNTIF(Precios!$G:$G,N241)=0,"⚠ No coincide con Precios","OK"))</f>
        <v/>
      </c>
    </row>
    <row r="242" spans="3:15" x14ac:dyDescent="0.2">
      <c r="C242" s="9" cm="1">
        <f t="array" ref="C242">IFERROR(_xlfn.XLOOKUP(B242,Personal!$A:$A,Personal!$D:$D,""),"")</f>
        <v>0</v>
      </c>
      <c r="D242" s="9" cm="1">
        <f t="array" ref="D242">IFERROR(_xlfn.XLOOKUP(B242,Personal!$A:$A,Personal!$C:$C,""),"")</f>
        <v>0</v>
      </c>
      <c r="E242" s="9" t="str" cm="1">
        <f t="array" ref="E242">IFERROR(_xlfn.XLOOKUP(D242,Locales!$A:$A,Locales!$B:$B,""),"")</f>
        <v/>
      </c>
      <c r="F242" s="9" cm="1">
        <f t="array" ref="F242">IFERROR(_xlfn.XLOOKUP(B242,Personal!$A:$A,Personal!$F:$F,""),"")</f>
        <v>0</v>
      </c>
      <c r="I242" s="10" cm="1">
        <f t="array" ref="I242">IFERROR(INDEX(Precios!$D:$F,MATCH(N242, Precios!$G:$G, 0),CHOOSE(MATCH(H242, {"SML";"XL";"XXL"}, 0), 1, 2, 3)), 0)</f>
        <v>0</v>
      </c>
      <c r="K242" s="10">
        <f t="shared" si="8"/>
        <v>0</v>
      </c>
      <c r="N242" s="9" t="str">
        <f t="shared" si="9"/>
        <v/>
      </c>
      <c r="O242" s="9" t="str">
        <f>IF(N242="","",IF(COUNTIF(Precios!$G:$G,N242)=0,"⚠ No coincide con Precios","OK"))</f>
        <v/>
      </c>
    </row>
    <row r="243" spans="3:15" x14ac:dyDescent="0.2">
      <c r="C243" s="9" cm="1">
        <f t="array" ref="C243">IFERROR(_xlfn.XLOOKUP(B243,Personal!$A:$A,Personal!$D:$D,""),"")</f>
        <v>0</v>
      </c>
      <c r="D243" s="9" cm="1">
        <f t="array" ref="D243">IFERROR(_xlfn.XLOOKUP(B243,Personal!$A:$A,Personal!$C:$C,""),"")</f>
        <v>0</v>
      </c>
      <c r="E243" s="9" t="str" cm="1">
        <f t="array" ref="E243">IFERROR(_xlfn.XLOOKUP(D243,Locales!$A:$A,Locales!$B:$B,""),"")</f>
        <v/>
      </c>
      <c r="F243" s="9" cm="1">
        <f t="array" ref="F243">IFERROR(_xlfn.XLOOKUP(B243,Personal!$A:$A,Personal!$F:$F,""),"")</f>
        <v>0</v>
      </c>
      <c r="I243" s="10" cm="1">
        <f t="array" ref="I243">IFERROR(INDEX(Precios!$D:$F,MATCH(N243, Precios!$G:$G, 0),CHOOSE(MATCH(H243, {"SML";"XL";"XXL"}, 0), 1, 2, 3)), 0)</f>
        <v>0</v>
      </c>
      <c r="K243" s="10">
        <f t="shared" si="8"/>
        <v>0</v>
      </c>
      <c r="N243" s="9" t="str">
        <f t="shared" si="9"/>
        <v/>
      </c>
      <c r="O243" s="9" t="str">
        <f>IF(N243="","",IF(COUNTIF(Precios!$G:$G,N243)=0,"⚠ No coincide con Precios","OK"))</f>
        <v/>
      </c>
    </row>
    <row r="244" spans="3:15" x14ac:dyDescent="0.2">
      <c r="C244" s="9" cm="1">
        <f t="array" ref="C244">IFERROR(_xlfn.XLOOKUP(B244,Personal!$A:$A,Personal!$D:$D,""),"")</f>
        <v>0</v>
      </c>
      <c r="D244" s="9" cm="1">
        <f t="array" ref="D244">IFERROR(_xlfn.XLOOKUP(B244,Personal!$A:$A,Personal!$C:$C,""),"")</f>
        <v>0</v>
      </c>
      <c r="E244" s="9" t="str" cm="1">
        <f t="array" ref="E244">IFERROR(_xlfn.XLOOKUP(D244,Locales!$A:$A,Locales!$B:$B,""),"")</f>
        <v/>
      </c>
      <c r="F244" s="9" cm="1">
        <f t="array" ref="F244">IFERROR(_xlfn.XLOOKUP(B244,Personal!$A:$A,Personal!$F:$F,""),"")</f>
        <v>0</v>
      </c>
      <c r="I244" s="10" cm="1">
        <f t="array" ref="I244">IFERROR(INDEX(Precios!$D:$F,MATCH(N244, Precios!$G:$G, 0),CHOOSE(MATCH(H244, {"SML";"XL";"XXL"}, 0), 1, 2, 3)), 0)</f>
        <v>0</v>
      </c>
      <c r="K244" s="10">
        <f t="shared" si="8"/>
        <v>0</v>
      </c>
      <c r="N244" s="9" t="str">
        <f t="shared" si="9"/>
        <v/>
      </c>
      <c r="O244" s="9" t="str">
        <f>IF(N244="","",IF(COUNTIF(Precios!$G:$G,N244)=0,"⚠ No coincide con Precios","OK"))</f>
        <v/>
      </c>
    </row>
    <row r="245" spans="3:15" x14ac:dyDescent="0.2">
      <c r="C245" s="9" cm="1">
        <f t="array" ref="C245">IFERROR(_xlfn.XLOOKUP(B245,Personal!$A:$A,Personal!$D:$D,""),"")</f>
        <v>0</v>
      </c>
      <c r="D245" s="9" cm="1">
        <f t="array" ref="D245">IFERROR(_xlfn.XLOOKUP(B245,Personal!$A:$A,Personal!$C:$C,""),"")</f>
        <v>0</v>
      </c>
      <c r="E245" s="9" t="str" cm="1">
        <f t="array" ref="E245">IFERROR(_xlfn.XLOOKUP(D245,Locales!$A:$A,Locales!$B:$B,""),"")</f>
        <v/>
      </c>
      <c r="F245" s="9" cm="1">
        <f t="array" ref="F245">IFERROR(_xlfn.XLOOKUP(B245,Personal!$A:$A,Personal!$F:$F,""),"")</f>
        <v>0</v>
      </c>
      <c r="I245" s="10" cm="1">
        <f t="array" ref="I245">IFERROR(INDEX(Precios!$D:$F,MATCH(N245, Precios!$G:$G, 0),CHOOSE(MATCH(H245, {"SML";"XL";"XXL"}, 0), 1, 2, 3)), 0)</f>
        <v>0</v>
      </c>
      <c r="K245" s="10">
        <f t="shared" si="8"/>
        <v>0</v>
      </c>
      <c r="N245" s="9" t="str">
        <f t="shared" si="9"/>
        <v/>
      </c>
      <c r="O245" s="9" t="str">
        <f>IF(N245="","",IF(COUNTIF(Precios!$G:$G,N245)=0,"⚠ No coincide con Precios","OK"))</f>
        <v/>
      </c>
    </row>
    <row r="246" spans="3:15" x14ac:dyDescent="0.2">
      <c r="C246" s="9" cm="1">
        <f t="array" ref="C246">IFERROR(_xlfn.XLOOKUP(B246,Personal!$A:$A,Personal!$D:$D,""),"")</f>
        <v>0</v>
      </c>
      <c r="D246" s="9" cm="1">
        <f t="array" ref="D246">IFERROR(_xlfn.XLOOKUP(B246,Personal!$A:$A,Personal!$C:$C,""),"")</f>
        <v>0</v>
      </c>
      <c r="E246" s="9" t="str" cm="1">
        <f t="array" ref="E246">IFERROR(_xlfn.XLOOKUP(D246,Locales!$A:$A,Locales!$B:$B,""),"")</f>
        <v/>
      </c>
      <c r="F246" s="9" cm="1">
        <f t="array" ref="F246">IFERROR(_xlfn.XLOOKUP(B246,Personal!$A:$A,Personal!$F:$F,""),"")</f>
        <v>0</v>
      </c>
      <c r="I246" s="10" cm="1">
        <f t="array" ref="I246">IFERROR(INDEX(Precios!$D:$F,MATCH(N246, Precios!$G:$G, 0),CHOOSE(MATCH(H246, {"SML";"XL";"XXL"}, 0), 1, 2, 3)), 0)</f>
        <v>0</v>
      </c>
      <c r="K246" s="10">
        <f t="shared" si="8"/>
        <v>0</v>
      </c>
      <c r="N246" s="9" t="str">
        <f t="shared" si="9"/>
        <v/>
      </c>
      <c r="O246" s="9" t="str">
        <f>IF(N246="","",IF(COUNTIF(Precios!$G:$G,N246)=0,"⚠ No coincide con Precios","OK"))</f>
        <v/>
      </c>
    </row>
    <row r="247" spans="3:15" x14ac:dyDescent="0.2">
      <c r="C247" s="9" cm="1">
        <f t="array" ref="C247">IFERROR(_xlfn.XLOOKUP(B247,Personal!$A:$A,Personal!$D:$D,""),"")</f>
        <v>0</v>
      </c>
      <c r="D247" s="9" cm="1">
        <f t="array" ref="D247">IFERROR(_xlfn.XLOOKUP(B247,Personal!$A:$A,Personal!$C:$C,""),"")</f>
        <v>0</v>
      </c>
      <c r="E247" s="9" t="str" cm="1">
        <f t="array" ref="E247">IFERROR(_xlfn.XLOOKUP(D247,Locales!$A:$A,Locales!$B:$B,""),"")</f>
        <v/>
      </c>
      <c r="F247" s="9" cm="1">
        <f t="array" ref="F247">IFERROR(_xlfn.XLOOKUP(B247,Personal!$A:$A,Personal!$F:$F,""),"")</f>
        <v>0</v>
      </c>
      <c r="I247" s="10" cm="1">
        <f t="array" ref="I247">IFERROR(INDEX(Precios!$D:$F,MATCH(N247, Precios!$G:$G, 0),CHOOSE(MATCH(H247, {"SML";"XL";"XXL"}, 0), 1, 2, 3)), 0)</f>
        <v>0</v>
      </c>
      <c r="K247" s="10">
        <f t="shared" si="8"/>
        <v>0</v>
      </c>
      <c r="N247" s="9" t="str">
        <f t="shared" si="9"/>
        <v/>
      </c>
      <c r="O247" s="9" t="str">
        <f>IF(N247="","",IF(COUNTIF(Precios!$G:$G,N247)=0,"⚠ No coincide con Precios","OK"))</f>
        <v/>
      </c>
    </row>
    <row r="248" spans="3:15" x14ac:dyDescent="0.2">
      <c r="C248" s="9" cm="1">
        <f t="array" ref="C248">IFERROR(_xlfn.XLOOKUP(B248,Personal!$A:$A,Personal!$D:$D,""),"")</f>
        <v>0</v>
      </c>
      <c r="D248" s="9" cm="1">
        <f t="array" ref="D248">IFERROR(_xlfn.XLOOKUP(B248,Personal!$A:$A,Personal!$C:$C,""),"")</f>
        <v>0</v>
      </c>
      <c r="E248" s="9" t="str" cm="1">
        <f t="array" ref="E248">IFERROR(_xlfn.XLOOKUP(D248,Locales!$A:$A,Locales!$B:$B,""),"")</f>
        <v/>
      </c>
      <c r="F248" s="9" cm="1">
        <f t="array" ref="F248">IFERROR(_xlfn.XLOOKUP(B248,Personal!$A:$A,Personal!$F:$F,""),"")</f>
        <v>0</v>
      </c>
      <c r="I248" s="10" cm="1">
        <f t="array" ref="I248">IFERROR(INDEX(Precios!$D:$F,MATCH(N248, Precios!$G:$G, 0),CHOOSE(MATCH(H248, {"SML";"XL";"XXL"}, 0), 1, 2, 3)), 0)</f>
        <v>0</v>
      </c>
      <c r="K248" s="10">
        <f t="shared" si="8"/>
        <v>0</v>
      </c>
      <c r="N248" s="9" t="str">
        <f t="shared" si="9"/>
        <v/>
      </c>
      <c r="O248" s="9" t="str">
        <f>IF(N248="","",IF(COUNTIF(Precios!$G:$G,N248)=0,"⚠ No coincide con Precios","OK"))</f>
        <v/>
      </c>
    </row>
    <row r="249" spans="3:15" x14ac:dyDescent="0.2">
      <c r="C249" s="9" cm="1">
        <f t="array" ref="C249">IFERROR(_xlfn.XLOOKUP(B249,Personal!$A:$A,Personal!$D:$D,""),"")</f>
        <v>0</v>
      </c>
      <c r="D249" s="9" cm="1">
        <f t="array" ref="D249">IFERROR(_xlfn.XLOOKUP(B249,Personal!$A:$A,Personal!$C:$C,""),"")</f>
        <v>0</v>
      </c>
      <c r="E249" s="9" t="str" cm="1">
        <f t="array" ref="E249">IFERROR(_xlfn.XLOOKUP(D249,Locales!$A:$A,Locales!$B:$B,""),"")</f>
        <v/>
      </c>
      <c r="F249" s="9" cm="1">
        <f t="array" ref="F249">IFERROR(_xlfn.XLOOKUP(B249,Personal!$A:$A,Personal!$F:$F,""),"")</f>
        <v>0</v>
      </c>
      <c r="I249" s="10" cm="1">
        <f t="array" ref="I249">IFERROR(INDEX(Precios!$D:$F,MATCH(N249, Precios!$G:$G, 0),CHOOSE(MATCH(H249, {"SML";"XL";"XXL"}, 0), 1, 2, 3)), 0)</f>
        <v>0</v>
      </c>
      <c r="K249" s="10">
        <f t="shared" si="8"/>
        <v>0</v>
      </c>
      <c r="N249" s="9" t="str">
        <f t="shared" si="9"/>
        <v/>
      </c>
      <c r="O249" s="9" t="str">
        <f>IF(N249="","",IF(COUNTIF(Precios!$G:$G,N249)=0,"⚠ No coincide con Precios","OK"))</f>
        <v/>
      </c>
    </row>
    <row r="250" spans="3:15" x14ac:dyDescent="0.2">
      <c r="C250" s="9" cm="1">
        <f t="array" ref="C250">IFERROR(_xlfn.XLOOKUP(B250,Personal!$A:$A,Personal!$D:$D,""),"")</f>
        <v>0</v>
      </c>
      <c r="D250" s="9" cm="1">
        <f t="array" ref="D250">IFERROR(_xlfn.XLOOKUP(B250,Personal!$A:$A,Personal!$C:$C,""),"")</f>
        <v>0</v>
      </c>
      <c r="E250" s="9" t="str" cm="1">
        <f t="array" ref="E250">IFERROR(_xlfn.XLOOKUP(D250,Locales!$A:$A,Locales!$B:$B,""),"")</f>
        <v/>
      </c>
      <c r="F250" s="9" cm="1">
        <f t="array" ref="F250">IFERROR(_xlfn.XLOOKUP(B250,Personal!$A:$A,Personal!$F:$F,""),"")</f>
        <v>0</v>
      </c>
      <c r="I250" s="10" cm="1">
        <f t="array" ref="I250">IFERROR(INDEX(Precios!$D:$F,MATCH(N250, Precios!$G:$G, 0),CHOOSE(MATCH(H250, {"SML";"XL";"XXL"}, 0), 1, 2, 3)), 0)</f>
        <v>0</v>
      </c>
      <c r="K250" s="10">
        <f t="shared" si="8"/>
        <v>0</v>
      </c>
      <c r="N250" s="9" t="str">
        <f t="shared" si="9"/>
        <v/>
      </c>
      <c r="O250" s="9" t="str">
        <f>IF(N250="","",IF(COUNTIF(Precios!$G:$G,N250)=0,"⚠ No coincide con Precios","OK"))</f>
        <v/>
      </c>
    </row>
    <row r="251" spans="3:15" x14ac:dyDescent="0.2">
      <c r="C251" s="9" cm="1">
        <f t="array" ref="C251">IFERROR(_xlfn.XLOOKUP(B251,Personal!$A:$A,Personal!$D:$D,""),"")</f>
        <v>0</v>
      </c>
      <c r="D251" s="9" cm="1">
        <f t="array" ref="D251">IFERROR(_xlfn.XLOOKUP(B251,Personal!$A:$A,Personal!$C:$C,""),"")</f>
        <v>0</v>
      </c>
      <c r="E251" s="9" t="str" cm="1">
        <f t="array" ref="E251">IFERROR(_xlfn.XLOOKUP(D251,Locales!$A:$A,Locales!$B:$B,""),"")</f>
        <v/>
      </c>
      <c r="F251" s="9" cm="1">
        <f t="array" ref="F251">IFERROR(_xlfn.XLOOKUP(B251,Personal!$A:$A,Personal!$F:$F,""),"")</f>
        <v>0</v>
      </c>
      <c r="I251" s="10" cm="1">
        <f t="array" ref="I251">IFERROR(INDEX(Precios!$D:$F,MATCH(N251, Precios!$G:$G, 0),CHOOSE(MATCH(H251, {"SML";"XL";"XXL"}, 0), 1, 2, 3)), 0)</f>
        <v>0</v>
      </c>
      <c r="K251" s="10">
        <f t="shared" si="8"/>
        <v>0</v>
      </c>
      <c r="N251" s="9" t="str">
        <f t="shared" si="9"/>
        <v/>
      </c>
      <c r="O251" s="9" t="str">
        <f>IF(N251="","",IF(COUNTIF(Precios!$G:$G,N251)=0,"⚠ No coincide con Precios","OK"))</f>
        <v/>
      </c>
    </row>
    <row r="252" spans="3:15" x14ac:dyDescent="0.2">
      <c r="C252" s="9" cm="1">
        <f t="array" ref="C252">IFERROR(_xlfn.XLOOKUP(B252,Personal!$A:$A,Personal!$D:$D,""),"")</f>
        <v>0</v>
      </c>
      <c r="D252" s="9" cm="1">
        <f t="array" ref="D252">IFERROR(_xlfn.XLOOKUP(B252,Personal!$A:$A,Personal!$C:$C,""),"")</f>
        <v>0</v>
      </c>
      <c r="E252" s="9" t="str" cm="1">
        <f t="array" ref="E252">IFERROR(_xlfn.XLOOKUP(D252,Locales!$A:$A,Locales!$B:$B,""),"")</f>
        <v/>
      </c>
      <c r="F252" s="9" cm="1">
        <f t="array" ref="F252">IFERROR(_xlfn.XLOOKUP(B252,Personal!$A:$A,Personal!$F:$F,""),"")</f>
        <v>0</v>
      </c>
      <c r="I252" s="10" cm="1">
        <f t="array" ref="I252">IFERROR(INDEX(Precios!$D:$F,MATCH(N252, Precios!$G:$G, 0),CHOOSE(MATCH(H252, {"SML";"XL";"XXL"}, 0), 1, 2, 3)), 0)</f>
        <v>0</v>
      </c>
      <c r="K252" s="10">
        <f t="shared" si="8"/>
        <v>0</v>
      </c>
      <c r="N252" s="9" t="str">
        <f t="shared" si="9"/>
        <v/>
      </c>
      <c r="O252" s="9" t="str">
        <f>IF(N252="","",IF(COUNTIF(Precios!$G:$G,N252)=0,"⚠ No coincide con Precios","OK"))</f>
        <v/>
      </c>
    </row>
    <row r="253" spans="3:15" x14ac:dyDescent="0.2">
      <c r="C253" s="9" cm="1">
        <f t="array" ref="C253">IFERROR(_xlfn.XLOOKUP(B253,Personal!$A:$A,Personal!$D:$D,""),"")</f>
        <v>0</v>
      </c>
      <c r="D253" s="9" cm="1">
        <f t="array" ref="D253">IFERROR(_xlfn.XLOOKUP(B253,Personal!$A:$A,Personal!$C:$C,""),"")</f>
        <v>0</v>
      </c>
      <c r="E253" s="9" t="str" cm="1">
        <f t="array" ref="E253">IFERROR(_xlfn.XLOOKUP(D253,Locales!$A:$A,Locales!$B:$B,""),"")</f>
        <v/>
      </c>
      <c r="F253" s="9" cm="1">
        <f t="array" ref="F253">IFERROR(_xlfn.XLOOKUP(B253,Personal!$A:$A,Personal!$F:$F,""),"")</f>
        <v>0</v>
      </c>
      <c r="I253" s="10" cm="1">
        <f t="array" ref="I253">IFERROR(INDEX(Precios!$D:$F,MATCH(N253, Precios!$G:$G, 0),CHOOSE(MATCH(H253, {"SML";"XL";"XXL"}, 0), 1, 2, 3)), 0)</f>
        <v>0</v>
      </c>
      <c r="K253" s="10">
        <f t="shared" si="8"/>
        <v>0</v>
      </c>
      <c r="N253" s="9" t="str">
        <f t="shared" si="9"/>
        <v/>
      </c>
      <c r="O253" s="9" t="str">
        <f>IF(N253="","",IF(COUNTIF(Precios!$G:$G,N253)=0,"⚠ No coincide con Precios","OK"))</f>
        <v/>
      </c>
    </row>
    <row r="254" spans="3:15" x14ac:dyDescent="0.2">
      <c r="C254" s="9" cm="1">
        <f t="array" ref="C254">IFERROR(_xlfn.XLOOKUP(B254,Personal!$A:$A,Personal!$D:$D,""),"")</f>
        <v>0</v>
      </c>
      <c r="D254" s="9" cm="1">
        <f t="array" ref="D254">IFERROR(_xlfn.XLOOKUP(B254,Personal!$A:$A,Personal!$C:$C,""),"")</f>
        <v>0</v>
      </c>
      <c r="E254" s="9" t="str" cm="1">
        <f t="array" ref="E254">IFERROR(_xlfn.XLOOKUP(D254,Locales!$A:$A,Locales!$B:$B,""),"")</f>
        <v/>
      </c>
      <c r="F254" s="9" cm="1">
        <f t="array" ref="F254">IFERROR(_xlfn.XLOOKUP(B254,Personal!$A:$A,Personal!$F:$F,""),"")</f>
        <v>0</v>
      </c>
      <c r="I254" s="10" cm="1">
        <f t="array" ref="I254">IFERROR(INDEX(Precios!$D:$F,MATCH(N254, Precios!$G:$G, 0),CHOOSE(MATCH(H254, {"SML";"XL";"XXL"}, 0), 1, 2, 3)), 0)</f>
        <v>0</v>
      </c>
      <c r="K254" s="10">
        <f t="shared" ref="K254:K317" si="14">IFERROR(I254*J254,0)</f>
        <v>0</v>
      </c>
      <c r="N254" s="9" t="str">
        <f t="shared" ref="N254:N317" si="15">IF( OR(E254="",F254="",G254=""), "",CLEAN(TRIM(E254)) &amp; "|" &amp; CLEAN(TRIM(F254)) &amp; "|" &amp; CLEAN(TRIM(G254)))</f>
        <v/>
      </c>
      <c r="O254" s="9" t="str">
        <f>IF(N254="","",IF(COUNTIF(Precios!$G:$G,N254)=0,"⚠ No coincide con Precios","OK"))</f>
        <v/>
      </c>
    </row>
    <row r="255" spans="3:15" x14ac:dyDescent="0.2">
      <c r="C255" s="9" cm="1">
        <f t="array" ref="C255">IFERROR(_xlfn.XLOOKUP(B255,Personal!$A:$A,Personal!$D:$D,""),"")</f>
        <v>0</v>
      </c>
      <c r="D255" s="9" cm="1">
        <f t="array" ref="D255">IFERROR(_xlfn.XLOOKUP(B255,Personal!$A:$A,Personal!$C:$C,""),"")</f>
        <v>0</v>
      </c>
      <c r="E255" s="9" t="str" cm="1">
        <f t="array" ref="E255">IFERROR(_xlfn.XLOOKUP(D255,Locales!$A:$A,Locales!$B:$B,""),"")</f>
        <v/>
      </c>
      <c r="F255" s="9" cm="1">
        <f t="array" ref="F255">IFERROR(_xlfn.XLOOKUP(B255,Personal!$A:$A,Personal!$F:$F,""),"")</f>
        <v>0</v>
      </c>
      <c r="I255" s="10" cm="1">
        <f t="array" ref="I255">IFERROR(INDEX(Precios!$D:$F,MATCH(N255, Precios!$G:$G, 0),CHOOSE(MATCH(H255, {"SML";"XL";"XXL"}, 0), 1, 2, 3)), 0)</f>
        <v>0</v>
      </c>
      <c r="K255" s="10">
        <f t="shared" si="14"/>
        <v>0</v>
      </c>
      <c r="N255" s="9" t="str">
        <f t="shared" si="15"/>
        <v/>
      </c>
      <c r="O255" s="9" t="str">
        <f>IF(N255="","",IF(COUNTIF(Precios!$G:$G,N255)=0,"⚠ No coincide con Precios","OK"))</f>
        <v/>
      </c>
    </row>
    <row r="256" spans="3:15" x14ac:dyDescent="0.2">
      <c r="C256" s="9" cm="1">
        <f t="array" ref="C256">IFERROR(_xlfn.XLOOKUP(B256,Personal!$A:$A,Personal!$D:$D,""),"")</f>
        <v>0</v>
      </c>
      <c r="D256" s="9" cm="1">
        <f t="array" ref="D256">IFERROR(_xlfn.XLOOKUP(B256,Personal!$A:$A,Personal!$C:$C,""),"")</f>
        <v>0</v>
      </c>
      <c r="E256" s="9" t="str" cm="1">
        <f t="array" ref="E256">IFERROR(_xlfn.XLOOKUP(D256,Locales!$A:$A,Locales!$B:$B,""),"")</f>
        <v/>
      </c>
      <c r="F256" s="9" cm="1">
        <f t="array" ref="F256">IFERROR(_xlfn.XLOOKUP(B256,Personal!$A:$A,Personal!$F:$F,""),"")</f>
        <v>0</v>
      </c>
      <c r="I256" s="10" cm="1">
        <f t="array" ref="I256">IFERROR(INDEX(Precios!$D:$F,MATCH(N256, Precios!$G:$G, 0),CHOOSE(MATCH(H256, {"SML";"XL";"XXL"}, 0), 1, 2, 3)), 0)</f>
        <v>0</v>
      </c>
      <c r="K256" s="10">
        <f t="shared" si="14"/>
        <v>0</v>
      </c>
      <c r="N256" s="9" t="str">
        <f t="shared" si="15"/>
        <v/>
      </c>
      <c r="O256" s="9" t="str">
        <f>IF(N256="","",IF(COUNTIF(Precios!$G:$G,N256)=0,"⚠ No coincide con Precios","OK"))</f>
        <v/>
      </c>
    </row>
    <row r="257" spans="3:15" x14ac:dyDescent="0.2">
      <c r="C257" s="9" cm="1">
        <f t="array" ref="C257">IFERROR(_xlfn.XLOOKUP(B257,Personal!$A:$A,Personal!$D:$D,""),"")</f>
        <v>0</v>
      </c>
      <c r="D257" s="9" cm="1">
        <f t="array" ref="D257">IFERROR(_xlfn.XLOOKUP(B257,Personal!$A:$A,Personal!$C:$C,""),"")</f>
        <v>0</v>
      </c>
      <c r="E257" s="9" t="str" cm="1">
        <f t="array" ref="E257">IFERROR(_xlfn.XLOOKUP(D257,Locales!$A:$A,Locales!$B:$B,""),"")</f>
        <v/>
      </c>
      <c r="F257" s="9" cm="1">
        <f t="array" ref="F257">IFERROR(_xlfn.XLOOKUP(B257,Personal!$A:$A,Personal!$F:$F,""),"")</f>
        <v>0</v>
      </c>
      <c r="I257" s="10" cm="1">
        <f t="array" ref="I257">IFERROR(INDEX(Precios!$D:$F,MATCH(N257, Precios!$G:$G, 0),CHOOSE(MATCH(H257, {"SML";"XL";"XXL"}, 0), 1, 2, 3)), 0)</f>
        <v>0</v>
      </c>
      <c r="K257" s="10">
        <f t="shared" si="14"/>
        <v>0</v>
      </c>
      <c r="N257" s="9" t="str">
        <f t="shared" si="15"/>
        <v/>
      </c>
      <c r="O257" s="9" t="str">
        <f>IF(N257="","",IF(COUNTIF(Precios!$G:$G,N257)=0,"⚠ No coincide con Precios","OK"))</f>
        <v/>
      </c>
    </row>
    <row r="258" spans="3:15" x14ac:dyDescent="0.2">
      <c r="C258" s="9" cm="1">
        <f t="array" ref="C258">IFERROR(_xlfn.XLOOKUP(B258,Personal!$A:$A,Personal!$D:$D,""),"")</f>
        <v>0</v>
      </c>
      <c r="D258" s="9" cm="1">
        <f t="array" ref="D258">IFERROR(_xlfn.XLOOKUP(B258,Personal!$A:$A,Personal!$C:$C,""),"")</f>
        <v>0</v>
      </c>
      <c r="E258" s="9" t="str" cm="1">
        <f t="array" ref="E258">IFERROR(_xlfn.XLOOKUP(D258,Locales!$A:$A,Locales!$B:$B,""),"")</f>
        <v/>
      </c>
      <c r="F258" s="9" cm="1">
        <f t="array" ref="F258">IFERROR(_xlfn.XLOOKUP(B258,Personal!$A:$A,Personal!$F:$F,""),"")</f>
        <v>0</v>
      </c>
      <c r="I258" s="10" cm="1">
        <f t="array" ref="I258">IFERROR(INDEX(Precios!$D:$F,MATCH(N258, Precios!$G:$G, 0),CHOOSE(MATCH(H258, {"SML";"XL";"XXL"}, 0), 1, 2, 3)), 0)</f>
        <v>0</v>
      </c>
      <c r="K258" s="10">
        <f t="shared" si="14"/>
        <v>0</v>
      </c>
      <c r="N258" s="9" t="str">
        <f t="shared" si="15"/>
        <v/>
      </c>
      <c r="O258" s="9" t="str">
        <f>IF(N258="","",IF(COUNTIF(Precios!$G:$G,N258)=0,"⚠ No coincide con Precios","OK"))</f>
        <v/>
      </c>
    </row>
    <row r="259" spans="3:15" x14ac:dyDescent="0.2">
      <c r="C259" s="9" cm="1">
        <f t="array" ref="C259">IFERROR(_xlfn.XLOOKUP(B259,Personal!$A:$A,Personal!$D:$D,""),"")</f>
        <v>0</v>
      </c>
      <c r="D259" s="9" cm="1">
        <f t="array" ref="D259">IFERROR(_xlfn.XLOOKUP(B259,Personal!$A:$A,Personal!$C:$C,""),"")</f>
        <v>0</v>
      </c>
      <c r="E259" s="9" t="str" cm="1">
        <f t="array" ref="E259">IFERROR(_xlfn.XLOOKUP(D259,Locales!$A:$A,Locales!$B:$B,""),"")</f>
        <v/>
      </c>
      <c r="F259" s="9" cm="1">
        <f t="array" ref="F259">IFERROR(_xlfn.XLOOKUP(B259,Personal!$A:$A,Personal!$F:$F,""),"")</f>
        <v>0</v>
      </c>
      <c r="I259" s="10" cm="1">
        <f t="array" ref="I259">IFERROR(INDEX(Precios!$D:$F,MATCH(N259, Precios!$G:$G, 0),CHOOSE(MATCH(H259, {"SML";"XL";"XXL"}, 0), 1, 2, 3)), 0)</f>
        <v>0</v>
      </c>
      <c r="K259" s="10">
        <f t="shared" si="14"/>
        <v>0</v>
      </c>
      <c r="N259" s="9" t="str">
        <f t="shared" si="15"/>
        <v/>
      </c>
      <c r="O259" s="9" t="str">
        <f>IF(N259="","",IF(COUNTIF(Precios!$G:$G,N259)=0,"⚠ No coincide con Precios","OK"))</f>
        <v/>
      </c>
    </row>
    <row r="260" spans="3:15" x14ac:dyDescent="0.2">
      <c r="C260" s="9" cm="1">
        <f t="array" ref="C260">IFERROR(_xlfn.XLOOKUP(B260,Personal!$A:$A,Personal!$D:$D,""),"")</f>
        <v>0</v>
      </c>
      <c r="D260" s="9" cm="1">
        <f t="array" ref="D260">IFERROR(_xlfn.XLOOKUP(B260,Personal!$A:$A,Personal!$C:$C,""),"")</f>
        <v>0</v>
      </c>
      <c r="E260" s="9" t="str" cm="1">
        <f t="array" ref="E260">IFERROR(_xlfn.XLOOKUP(D260,Locales!$A:$A,Locales!$B:$B,""),"")</f>
        <v/>
      </c>
      <c r="F260" s="9" cm="1">
        <f t="array" ref="F260">IFERROR(_xlfn.XLOOKUP(B260,Personal!$A:$A,Personal!$F:$F,""),"")</f>
        <v>0</v>
      </c>
      <c r="I260" s="10" cm="1">
        <f t="array" ref="I260">IFERROR(INDEX(Precios!$D:$F,MATCH(N260, Precios!$G:$G, 0),CHOOSE(MATCH(H260, {"SML";"XL";"XXL"}, 0), 1, 2, 3)), 0)</f>
        <v>0</v>
      </c>
      <c r="K260" s="10">
        <f t="shared" si="14"/>
        <v>0</v>
      </c>
      <c r="N260" s="9" t="str">
        <f t="shared" si="15"/>
        <v/>
      </c>
      <c r="O260" s="9" t="str">
        <f>IF(N260="","",IF(COUNTIF(Precios!$G:$G,N260)=0,"⚠ No coincide con Precios","OK"))</f>
        <v/>
      </c>
    </row>
    <row r="261" spans="3:15" x14ac:dyDescent="0.2">
      <c r="C261" s="9" cm="1">
        <f t="array" ref="C261">IFERROR(_xlfn.XLOOKUP(B261,Personal!$A:$A,Personal!$D:$D,""),"")</f>
        <v>0</v>
      </c>
      <c r="D261" s="9" cm="1">
        <f t="array" ref="D261">IFERROR(_xlfn.XLOOKUP(B261,Personal!$A:$A,Personal!$C:$C,""),"")</f>
        <v>0</v>
      </c>
      <c r="E261" s="9" t="str" cm="1">
        <f t="array" ref="E261">IFERROR(_xlfn.XLOOKUP(D261,Locales!$A:$A,Locales!$B:$B,""),"")</f>
        <v/>
      </c>
      <c r="F261" s="9" cm="1">
        <f t="array" ref="F261">IFERROR(_xlfn.XLOOKUP(B261,Personal!$A:$A,Personal!$F:$F,""),"")</f>
        <v>0</v>
      </c>
      <c r="I261" s="10" cm="1">
        <f t="array" ref="I261">IFERROR(INDEX(Precios!$D:$F,MATCH(N261, Precios!$G:$G, 0),CHOOSE(MATCH(H261, {"SML";"XL";"XXL"}, 0), 1, 2, 3)), 0)</f>
        <v>0</v>
      </c>
      <c r="K261" s="10">
        <f t="shared" si="14"/>
        <v>0</v>
      </c>
      <c r="N261" s="9" t="str">
        <f t="shared" si="15"/>
        <v/>
      </c>
      <c r="O261" s="9" t="str">
        <f>IF(N261="","",IF(COUNTIF(Precios!$G:$G,N261)=0,"⚠ No coincide con Precios","OK"))</f>
        <v/>
      </c>
    </row>
    <row r="262" spans="3:15" x14ac:dyDescent="0.2">
      <c r="C262" s="9" cm="1">
        <f t="array" ref="C262">IFERROR(_xlfn.XLOOKUP(B262,Personal!$A:$A,Personal!$D:$D,""),"")</f>
        <v>0</v>
      </c>
      <c r="D262" s="9" cm="1">
        <f t="array" ref="D262">IFERROR(_xlfn.XLOOKUP(B262,Personal!$A:$A,Personal!$C:$C,""),"")</f>
        <v>0</v>
      </c>
      <c r="E262" s="9" t="str" cm="1">
        <f t="array" ref="E262">IFERROR(_xlfn.XLOOKUP(D262,Locales!$A:$A,Locales!$B:$B,""),"")</f>
        <v/>
      </c>
      <c r="F262" s="9" cm="1">
        <f t="array" ref="F262">IFERROR(_xlfn.XLOOKUP(B262,Personal!$A:$A,Personal!$F:$F,""),"")</f>
        <v>0</v>
      </c>
      <c r="I262" s="10" cm="1">
        <f t="array" ref="I262">IFERROR(INDEX(Precios!$D:$F,MATCH(N262, Precios!$G:$G, 0),CHOOSE(MATCH(H262, {"SML";"XL";"XXL"}, 0), 1, 2, 3)), 0)</f>
        <v>0</v>
      </c>
      <c r="K262" s="10">
        <f t="shared" si="14"/>
        <v>0</v>
      </c>
      <c r="N262" s="9" t="str">
        <f t="shared" si="15"/>
        <v/>
      </c>
      <c r="O262" s="9" t="str">
        <f>IF(N262="","",IF(COUNTIF(Precios!$G:$G,N262)=0,"⚠ No coincide con Precios","OK"))</f>
        <v/>
      </c>
    </row>
    <row r="263" spans="3:15" x14ac:dyDescent="0.2">
      <c r="C263" s="9" cm="1">
        <f t="array" ref="C263">IFERROR(_xlfn.XLOOKUP(B263,Personal!$A:$A,Personal!$D:$D,""),"")</f>
        <v>0</v>
      </c>
      <c r="D263" s="9" cm="1">
        <f t="array" ref="D263">IFERROR(_xlfn.XLOOKUP(B263,Personal!$A:$A,Personal!$C:$C,""),"")</f>
        <v>0</v>
      </c>
      <c r="E263" s="9" t="str" cm="1">
        <f t="array" ref="E263">IFERROR(_xlfn.XLOOKUP(D263,Locales!$A:$A,Locales!$B:$B,""),"")</f>
        <v/>
      </c>
      <c r="F263" s="9" cm="1">
        <f t="array" ref="F263">IFERROR(_xlfn.XLOOKUP(B263,Personal!$A:$A,Personal!$F:$F,""),"")</f>
        <v>0</v>
      </c>
      <c r="I263" s="10" cm="1">
        <f t="array" ref="I263">IFERROR(INDEX(Precios!$D:$F,MATCH(N263, Precios!$G:$G, 0),CHOOSE(MATCH(H263, {"SML";"XL";"XXL"}, 0), 1, 2, 3)), 0)</f>
        <v>0</v>
      </c>
      <c r="K263" s="10">
        <f t="shared" si="14"/>
        <v>0</v>
      </c>
      <c r="N263" s="9" t="str">
        <f t="shared" si="15"/>
        <v/>
      </c>
      <c r="O263" s="9" t="str">
        <f>IF(N263="","",IF(COUNTIF(Precios!$G:$G,N263)=0,"⚠ No coincide con Precios","OK"))</f>
        <v/>
      </c>
    </row>
    <row r="264" spans="3:15" x14ac:dyDescent="0.2">
      <c r="C264" s="9" cm="1">
        <f t="array" ref="C264">IFERROR(_xlfn.XLOOKUP(B264,Personal!$A:$A,Personal!$D:$D,""),"")</f>
        <v>0</v>
      </c>
      <c r="D264" s="9" cm="1">
        <f t="array" ref="D264">IFERROR(_xlfn.XLOOKUP(B264,Personal!$A:$A,Personal!$C:$C,""),"")</f>
        <v>0</v>
      </c>
      <c r="E264" s="9" t="str" cm="1">
        <f t="array" ref="E264">IFERROR(_xlfn.XLOOKUP(D264,Locales!$A:$A,Locales!$B:$B,""),"")</f>
        <v/>
      </c>
      <c r="F264" s="9" cm="1">
        <f t="array" ref="F264">IFERROR(_xlfn.XLOOKUP(B264,Personal!$A:$A,Personal!$F:$F,""),"")</f>
        <v>0</v>
      </c>
      <c r="I264" s="10" cm="1">
        <f t="array" ref="I264">IFERROR(INDEX(Precios!$D:$F,MATCH(N264, Precios!$G:$G, 0),CHOOSE(MATCH(H264, {"SML";"XL";"XXL"}, 0), 1, 2, 3)), 0)</f>
        <v>0</v>
      </c>
      <c r="K264" s="10">
        <f t="shared" si="14"/>
        <v>0</v>
      </c>
      <c r="N264" s="9" t="str">
        <f t="shared" si="15"/>
        <v/>
      </c>
      <c r="O264" s="9" t="str">
        <f>IF(N264="","",IF(COUNTIF(Precios!$G:$G,N264)=0,"⚠ No coincide con Precios","OK"))</f>
        <v/>
      </c>
    </row>
    <row r="265" spans="3:15" x14ac:dyDescent="0.2">
      <c r="C265" s="9" cm="1">
        <f t="array" ref="C265">IFERROR(_xlfn.XLOOKUP(B265,Personal!$A:$A,Personal!$D:$D,""),"")</f>
        <v>0</v>
      </c>
      <c r="D265" s="9" cm="1">
        <f t="array" ref="D265">IFERROR(_xlfn.XLOOKUP(B265,Personal!$A:$A,Personal!$C:$C,""),"")</f>
        <v>0</v>
      </c>
      <c r="E265" s="9" t="str" cm="1">
        <f t="array" ref="E265">IFERROR(_xlfn.XLOOKUP(D265,Locales!$A:$A,Locales!$B:$B,""),"")</f>
        <v/>
      </c>
      <c r="F265" s="9" cm="1">
        <f t="array" ref="F265">IFERROR(_xlfn.XLOOKUP(B265,Personal!$A:$A,Personal!$F:$F,""),"")</f>
        <v>0</v>
      </c>
      <c r="I265" s="10" cm="1">
        <f t="array" ref="I265">IFERROR(INDEX(Precios!$D:$F,MATCH(N265, Precios!$G:$G, 0),CHOOSE(MATCH(H265, {"SML";"XL";"XXL"}, 0), 1, 2, 3)), 0)</f>
        <v>0</v>
      </c>
      <c r="K265" s="10">
        <f t="shared" si="14"/>
        <v>0</v>
      </c>
      <c r="N265" s="9" t="str">
        <f t="shared" si="15"/>
        <v/>
      </c>
      <c r="O265" s="9" t="str">
        <f>IF(N265="","",IF(COUNTIF(Precios!$G:$G,N265)=0,"⚠ No coincide con Precios","OK"))</f>
        <v/>
      </c>
    </row>
    <row r="266" spans="3:15" x14ac:dyDescent="0.2">
      <c r="C266" s="9" cm="1">
        <f t="array" ref="C266">IFERROR(_xlfn.XLOOKUP(B266,Personal!$A:$A,Personal!$D:$D,""),"")</f>
        <v>0</v>
      </c>
      <c r="D266" s="9" cm="1">
        <f t="array" ref="D266">IFERROR(_xlfn.XLOOKUP(B266,Personal!$A:$A,Personal!$C:$C,""),"")</f>
        <v>0</v>
      </c>
      <c r="E266" s="9" t="str" cm="1">
        <f t="array" ref="E266">IFERROR(_xlfn.XLOOKUP(D266,Locales!$A:$A,Locales!$B:$B,""),"")</f>
        <v/>
      </c>
      <c r="F266" s="9" cm="1">
        <f t="array" ref="F266">IFERROR(_xlfn.XLOOKUP(B266,Personal!$A:$A,Personal!$F:$F,""),"")</f>
        <v>0</v>
      </c>
      <c r="I266" s="10" cm="1">
        <f t="array" ref="I266">IFERROR(INDEX(Precios!$D:$F,MATCH(N266, Precios!$G:$G, 0),CHOOSE(MATCH(H266, {"SML";"XL";"XXL"}, 0), 1, 2, 3)), 0)</f>
        <v>0</v>
      </c>
      <c r="K266" s="10">
        <f t="shared" si="14"/>
        <v>0</v>
      </c>
      <c r="N266" s="9" t="str">
        <f t="shared" si="15"/>
        <v/>
      </c>
      <c r="O266" s="9" t="str">
        <f>IF(N266="","",IF(COUNTIF(Precios!$G:$G,N266)=0,"⚠ No coincide con Precios","OK"))</f>
        <v/>
      </c>
    </row>
    <row r="267" spans="3:15" x14ac:dyDescent="0.2">
      <c r="C267" s="9" cm="1">
        <f t="array" ref="C267">IFERROR(_xlfn.XLOOKUP(B267,Personal!$A:$A,Personal!$D:$D,""),"")</f>
        <v>0</v>
      </c>
      <c r="D267" s="9" cm="1">
        <f t="array" ref="D267">IFERROR(_xlfn.XLOOKUP(B267,Personal!$A:$A,Personal!$C:$C,""),"")</f>
        <v>0</v>
      </c>
      <c r="E267" s="9" t="str" cm="1">
        <f t="array" ref="E267">IFERROR(_xlfn.XLOOKUP(D267,Locales!$A:$A,Locales!$B:$B,""),"")</f>
        <v/>
      </c>
      <c r="F267" s="9" cm="1">
        <f t="array" ref="F267">IFERROR(_xlfn.XLOOKUP(B267,Personal!$A:$A,Personal!$F:$F,""),"")</f>
        <v>0</v>
      </c>
      <c r="I267" s="10" cm="1">
        <f t="array" ref="I267">IFERROR(INDEX(Precios!$D:$F,MATCH(N267, Precios!$G:$G, 0),CHOOSE(MATCH(H267, {"SML";"XL";"XXL"}, 0), 1, 2, 3)), 0)</f>
        <v>0</v>
      </c>
      <c r="K267" s="10">
        <f t="shared" si="14"/>
        <v>0</v>
      </c>
      <c r="N267" s="9" t="str">
        <f t="shared" si="15"/>
        <v/>
      </c>
      <c r="O267" s="9" t="str">
        <f>IF(N267="","",IF(COUNTIF(Precios!$G:$G,N267)=0,"⚠ No coincide con Precios","OK"))</f>
        <v/>
      </c>
    </row>
    <row r="268" spans="3:15" x14ac:dyDescent="0.2">
      <c r="C268" s="9" cm="1">
        <f t="array" ref="C268">IFERROR(_xlfn.XLOOKUP(B268,Personal!$A:$A,Personal!$D:$D,""),"")</f>
        <v>0</v>
      </c>
      <c r="D268" s="9" cm="1">
        <f t="array" ref="D268">IFERROR(_xlfn.XLOOKUP(B268,Personal!$A:$A,Personal!$C:$C,""),"")</f>
        <v>0</v>
      </c>
      <c r="E268" s="9" t="str" cm="1">
        <f t="array" ref="E268">IFERROR(_xlfn.XLOOKUP(D268,Locales!$A:$A,Locales!$B:$B,""),"")</f>
        <v/>
      </c>
      <c r="F268" s="9" cm="1">
        <f t="array" ref="F268">IFERROR(_xlfn.XLOOKUP(B268,Personal!$A:$A,Personal!$F:$F,""),"")</f>
        <v>0</v>
      </c>
      <c r="I268" s="10" cm="1">
        <f t="array" ref="I268">IFERROR(INDEX(Precios!$D:$F,MATCH(N268, Precios!$G:$G, 0),CHOOSE(MATCH(H268, {"SML";"XL";"XXL"}, 0), 1, 2, 3)), 0)</f>
        <v>0</v>
      </c>
      <c r="K268" s="10">
        <f t="shared" si="14"/>
        <v>0</v>
      </c>
      <c r="N268" s="9" t="str">
        <f t="shared" si="15"/>
        <v/>
      </c>
      <c r="O268" s="9" t="str">
        <f>IF(N268="","",IF(COUNTIF(Precios!$G:$G,N268)=0,"⚠ No coincide con Precios","OK"))</f>
        <v/>
      </c>
    </row>
    <row r="269" spans="3:15" x14ac:dyDescent="0.2">
      <c r="C269" s="9" cm="1">
        <f t="array" ref="C269">IFERROR(_xlfn.XLOOKUP(B269,Personal!$A:$A,Personal!$D:$D,""),"")</f>
        <v>0</v>
      </c>
      <c r="D269" s="9" cm="1">
        <f t="array" ref="D269">IFERROR(_xlfn.XLOOKUP(B269,Personal!$A:$A,Personal!$C:$C,""),"")</f>
        <v>0</v>
      </c>
      <c r="E269" s="9" t="str" cm="1">
        <f t="array" ref="E269">IFERROR(_xlfn.XLOOKUP(D269,Locales!$A:$A,Locales!$B:$B,""),"")</f>
        <v/>
      </c>
      <c r="F269" s="9" cm="1">
        <f t="array" ref="F269">IFERROR(_xlfn.XLOOKUP(B269,Personal!$A:$A,Personal!$F:$F,""),"")</f>
        <v>0</v>
      </c>
      <c r="I269" s="10" cm="1">
        <f t="array" ref="I269">IFERROR(INDEX(Precios!$D:$F,MATCH(N269, Precios!$G:$G, 0),CHOOSE(MATCH(H269, {"SML";"XL";"XXL"}, 0), 1, 2, 3)), 0)</f>
        <v>0</v>
      </c>
      <c r="K269" s="10">
        <f t="shared" si="14"/>
        <v>0</v>
      </c>
      <c r="N269" s="9" t="str">
        <f t="shared" si="15"/>
        <v/>
      </c>
      <c r="O269" s="9" t="str">
        <f>IF(N269="","",IF(COUNTIF(Precios!$G:$G,N269)=0,"⚠ No coincide con Precios","OK"))</f>
        <v/>
      </c>
    </row>
    <row r="270" spans="3:15" x14ac:dyDescent="0.2">
      <c r="C270" s="9" cm="1">
        <f t="array" ref="C270">IFERROR(_xlfn.XLOOKUP(B270,Personal!$A:$A,Personal!$D:$D,""),"")</f>
        <v>0</v>
      </c>
      <c r="D270" s="9" cm="1">
        <f t="array" ref="D270">IFERROR(_xlfn.XLOOKUP(B270,Personal!$A:$A,Personal!$C:$C,""),"")</f>
        <v>0</v>
      </c>
      <c r="E270" s="9" t="str" cm="1">
        <f t="array" ref="E270">IFERROR(_xlfn.XLOOKUP(D270,Locales!$A:$A,Locales!$B:$B,""),"")</f>
        <v/>
      </c>
      <c r="F270" s="9" cm="1">
        <f t="array" ref="F270">IFERROR(_xlfn.XLOOKUP(B270,Personal!$A:$A,Personal!$F:$F,""),"")</f>
        <v>0</v>
      </c>
      <c r="I270" s="10" cm="1">
        <f t="array" ref="I270">IFERROR(INDEX(Precios!$D:$F,MATCH(N270, Precios!$G:$G, 0),CHOOSE(MATCH(H270, {"SML";"XL";"XXL"}, 0), 1, 2, 3)), 0)</f>
        <v>0</v>
      </c>
      <c r="K270" s="10">
        <f t="shared" si="14"/>
        <v>0</v>
      </c>
      <c r="N270" s="9" t="str">
        <f t="shared" si="15"/>
        <v/>
      </c>
      <c r="O270" s="9" t="str">
        <f>IF(N270="","",IF(COUNTIF(Precios!$G:$G,N270)=0,"⚠ No coincide con Precios","OK"))</f>
        <v/>
      </c>
    </row>
    <row r="271" spans="3:15" x14ac:dyDescent="0.2">
      <c r="C271" s="9" cm="1">
        <f t="array" ref="C271">IFERROR(_xlfn.XLOOKUP(B271,Personal!$A:$A,Personal!$D:$D,""),"")</f>
        <v>0</v>
      </c>
      <c r="D271" s="9" cm="1">
        <f t="array" ref="D271">IFERROR(_xlfn.XLOOKUP(B271,Personal!$A:$A,Personal!$C:$C,""),"")</f>
        <v>0</v>
      </c>
      <c r="E271" s="9" t="str" cm="1">
        <f t="array" ref="E271">IFERROR(_xlfn.XLOOKUP(D271,Locales!$A:$A,Locales!$B:$B,""),"")</f>
        <v/>
      </c>
      <c r="F271" s="9" cm="1">
        <f t="array" ref="F271">IFERROR(_xlfn.XLOOKUP(B271,Personal!$A:$A,Personal!$F:$F,""),"")</f>
        <v>0</v>
      </c>
      <c r="I271" s="10" cm="1">
        <f t="array" ref="I271">IFERROR(INDEX(Precios!$D:$F,MATCH(N271, Precios!$G:$G, 0),CHOOSE(MATCH(H271, {"SML";"XL";"XXL"}, 0), 1, 2, 3)), 0)</f>
        <v>0</v>
      </c>
      <c r="K271" s="10">
        <f t="shared" si="14"/>
        <v>0</v>
      </c>
      <c r="N271" s="9" t="str">
        <f t="shared" si="15"/>
        <v/>
      </c>
      <c r="O271" s="9" t="str">
        <f>IF(N271="","",IF(COUNTIF(Precios!$G:$G,N271)=0,"⚠ No coincide con Precios","OK"))</f>
        <v/>
      </c>
    </row>
    <row r="272" spans="3:15" x14ac:dyDescent="0.2">
      <c r="C272" s="9" cm="1">
        <f t="array" ref="C272">IFERROR(_xlfn.XLOOKUP(B272,Personal!$A:$A,Personal!$D:$D,""),"")</f>
        <v>0</v>
      </c>
      <c r="D272" s="9" cm="1">
        <f t="array" ref="D272">IFERROR(_xlfn.XLOOKUP(B272,Personal!$A:$A,Personal!$C:$C,""),"")</f>
        <v>0</v>
      </c>
      <c r="E272" s="9" t="str" cm="1">
        <f t="array" ref="E272">IFERROR(_xlfn.XLOOKUP(D272,Locales!$A:$A,Locales!$B:$B,""),"")</f>
        <v/>
      </c>
      <c r="F272" s="9" cm="1">
        <f t="array" ref="F272">IFERROR(_xlfn.XLOOKUP(B272,Personal!$A:$A,Personal!$F:$F,""),"")</f>
        <v>0</v>
      </c>
      <c r="I272" s="10" cm="1">
        <f t="array" ref="I272">IFERROR(INDEX(Precios!$D:$F,MATCH(N272, Precios!$G:$G, 0),CHOOSE(MATCH(H272, {"SML";"XL";"XXL"}, 0), 1, 2, 3)), 0)</f>
        <v>0</v>
      </c>
      <c r="K272" s="10">
        <f t="shared" si="14"/>
        <v>0</v>
      </c>
      <c r="N272" s="9" t="str">
        <f t="shared" si="15"/>
        <v/>
      </c>
      <c r="O272" s="9" t="str">
        <f>IF(N272="","",IF(COUNTIF(Precios!$G:$G,N272)=0,"⚠ No coincide con Precios","OK"))</f>
        <v/>
      </c>
    </row>
    <row r="273" spans="3:15" x14ac:dyDescent="0.2">
      <c r="C273" s="9" cm="1">
        <f t="array" ref="C273">IFERROR(_xlfn.XLOOKUP(B273,Personal!$A:$A,Personal!$D:$D,""),"")</f>
        <v>0</v>
      </c>
      <c r="D273" s="9" cm="1">
        <f t="array" ref="D273">IFERROR(_xlfn.XLOOKUP(B273,Personal!$A:$A,Personal!$C:$C,""),"")</f>
        <v>0</v>
      </c>
      <c r="E273" s="9" t="str" cm="1">
        <f t="array" ref="E273">IFERROR(_xlfn.XLOOKUP(D273,Locales!$A:$A,Locales!$B:$B,""),"")</f>
        <v/>
      </c>
      <c r="F273" s="9" cm="1">
        <f t="array" ref="F273">IFERROR(_xlfn.XLOOKUP(B273,Personal!$A:$A,Personal!$F:$F,""),"")</f>
        <v>0</v>
      </c>
      <c r="I273" s="10" cm="1">
        <f t="array" ref="I273">IFERROR(INDEX(Precios!$D:$F,MATCH(N273, Precios!$G:$G, 0),CHOOSE(MATCH(H273, {"SML";"XL";"XXL"}, 0), 1, 2, 3)), 0)</f>
        <v>0</v>
      </c>
      <c r="K273" s="10">
        <f t="shared" si="14"/>
        <v>0</v>
      </c>
      <c r="N273" s="9" t="str">
        <f t="shared" si="15"/>
        <v/>
      </c>
      <c r="O273" s="9" t="str">
        <f>IF(N273="","",IF(COUNTIF(Precios!$G:$G,N273)=0,"⚠ No coincide con Precios","OK"))</f>
        <v/>
      </c>
    </row>
    <row r="274" spans="3:15" x14ac:dyDescent="0.2">
      <c r="C274" s="9" cm="1">
        <f t="array" ref="C274">IFERROR(_xlfn.XLOOKUP(B274,Personal!$A:$A,Personal!$D:$D,""),"")</f>
        <v>0</v>
      </c>
      <c r="D274" s="9" cm="1">
        <f t="array" ref="D274">IFERROR(_xlfn.XLOOKUP(B274,Personal!$A:$A,Personal!$C:$C,""),"")</f>
        <v>0</v>
      </c>
      <c r="E274" s="9" t="str" cm="1">
        <f t="array" ref="E274">IFERROR(_xlfn.XLOOKUP(D274,Locales!$A:$A,Locales!$B:$B,""),"")</f>
        <v/>
      </c>
      <c r="F274" s="9" cm="1">
        <f t="array" ref="F274">IFERROR(_xlfn.XLOOKUP(B274,Personal!$A:$A,Personal!$F:$F,""),"")</f>
        <v>0</v>
      </c>
      <c r="I274" s="10" cm="1">
        <f t="array" ref="I274">IFERROR(INDEX(Precios!$D:$F,MATCH(N274, Precios!$G:$G, 0),CHOOSE(MATCH(H274, {"SML";"XL";"XXL"}, 0), 1, 2, 3)), 0)</f>
        <v>0</v>
      </c>
      <c r="K274" s="10">
        <f t="shared" si="14"/>
        <v>0</v>
      </c>
      <c r="N274" s="9" t="str">
        <f t="shared" si="15"/>
        <v/>
      </c>
      <c r="O274" s="9" t="str">
        <f>IF(N274="","",IF(COUNTIF(Precios!$G:$G,N274)=0,"⚠ No coincide con Precios","OK"))</f>
        <v/>
      </c>
    </row>
    <row r="275" spans="3:15" x14ac:dyDescent="0.2">
      <c r="C275" s="9" cm="1">
        <f t="array" ref="C275">IFERROR(_xlfn.XLOOKUP(B275,Personal!$A:$A,Personal!$D:$D,""),"")</f>
        <v>0</v>
      </c>
      <c r="D275" s="9" cm="1">
        <f t="array" ref="D275">IFERROR(_xlfn.XLOOKUP(B275,Personal!$A:$A,Personal!$C:$C,""),"")</f>
        <v>0</v>
      </c>
      <c r="E275" s="9" t="str" cm="1">
        <f t="array" ref="E275">IFERROR(_xlfn.XLOOKUP(D275,Locales!$A:$A,Locales!$B:$B,""),"")</f>
        <v/>
      </c>
      <c r="F275" s="9" cm="1">
        <f t="array" ref="F275">IFERROR(_xlfn.XLOOKUP(B275,Personal!$A:$A,Personal!$F:$F,""),"")</f>
        <v>0</v>
      </c>
      <c r="I275" s="10" cm="1">
        <f t="array" ref="I275">IFERROR(INDEX(Precios!$D:$F,MATCH(N275, Precios!$G:$G, 0),CHOOSE(MATCH(H275, {"SML";"XL";"XXL"}, 0), 1, 2, 3)), 0)</f>
        <v>0</v>
      </c>
      <c r="K275" s="10">
        <f t="shared" si="14"/>
        <v>0</v>
      </c>
      <c r="N275" s="9" t="str">
        <f t="shared" si="15"/>
        <v/>
      </c>
      <c r="O275" s="9" t="str">
        <f>IF(N275="","",IF(COUNTIF(Precios!$G:$G,N275)=0,"⚠ No coincide con Precios","OK"))</f>
        <v/>
      </c>
    </row>
    <row r="276" spans="3:15" x14ac:dyDescent="0.2">
      <c r="C276" s="9" cm="1">
        <f t="array" ref="C276">IFERROR(_xlfn.XLOOKUP(B276,Personal!$A:$A,Personal!$D:$D,""),"")</f>
        <v>0</v>
      </c>
      <c r="D276" s="9" cm="1">
        <f t="array" ref="D276">IFERROR(_xlfn.XLOOKUP(B276,Personal!$A:$A,Personal!$C:$C,""),"")</f>
        <v>0</v>
      </c>
      <c r="E276" s="9" t="str" cm="1">
        <f t="array" ref="E276">IFERROR(_xlfn.XLOOKUP(D276,Locales!$A:$A,Locales!$B:$B,""),"")</f>
        <v/>
      </c>
      <c r="F276" s="9" cm="1">
        <f t="array" ref="F276">IFERROR(_xlfn.XLOOKUP(B276,Personal!$A:$A,Personal!$F:$F,""),"")</f>
        <v>0</v>
      </c>
      <c r="I276" s="10" cm="1">
        <f t="array" ref="I276">IFERROR(INDEX(Precios!$D:$F,MATCH(N276, Precios!$G:$G, 0),CHOOSE(MATCH(H276, {"SML";"XL";"XXL"}, 0), 1, 2, 3)), 0)</f>
        <v>0</v>
      </c>
      <c r="K276" s="10">
        <f t="shared" si="14"/>
        <v>0</v>
      </c>
      <c r="N276" s="9" t="str">
        <f t="shared" si="15"/>
        <v/>
      </c>
      <c r="O276" s="9" t="str">
        <f>IF(N276="","",IF(COUNTIF(Precios!$G:$G,N276)=0,"⚠ No coincide con Precios","OK"))</f>
        <v/>
      </c>
    </row>
    <row r="277" spans="3:15" x14ac:dyDescent="0.2">
      <c r="C277" s="9" cm="1">
        <f t="array" ref="C277">IFERROR(_xlfn.XLOOKUP(B277,Personal!$A:$A,Personal!$D:$D,""),"")</f>
        <v>0</v>
      </c>
      <c r="D277" s="9" cm="1">
        <f t="array" ref="D277">IFERROR(_xlfn.XLOOKUP(B277,Personal!$A:$A,Personal!$C:$C,""),"")</f>
        <v>0</v>
      </c>
      <c r="E277" s="9" t="str" cm="1">
        <f t="array" ref="E277">IFERROR(_xlfn.XLOOKUP(D277,Locales!$A:$A,Locales!$B:$B,""),"")</f>
        <v/>
      </c>
      <c r="F277" s="9" cm="1">
        <f t="array" ref="F277">IFERROR(_xlfn.XLOOKUP(B277,Personal!$A:$A,Personal!$F:$F,""),"")</f>
        <v>0</v>
      </c>
      <c r="I277" s="10" cm="1">
        <f t="array" ref="I277">IFERROR(INDEX(Precios!$D:$F,MATCH(N277, Precios!$G:$G, 0),CHOOSE(MATCH(H277, {"SML";"XL";"XXL"}, 0), 1, 2, 3)), 0)</f>
        <v>0</v>
      </c>
      <c r="K277" s="10">
        <f t="shared" si="14"/>
        <v>0</v>
      </c>
      <c r="N277" s="9" t="str">
        <f t="shared" si="15"/>
        <v/>
      </c>
      <c r="O277" s="9" t="str">
        <f>IF(N277="","",IF(COUNTIF(Precios!$G:$G,N277)=0,"⚠ No coincide con Precios","OK"))</f>
        <v/>
      </c>
    </row>
    <row r="278" spans="3:15" x14ac:dyDescent="0.2">
      <c r="C278" s="9" cm="1">
        <f t="array" ref="C278">IFERROR(_xlfn.XLOOKUP(B278,Personal!$A:$A,Personal!$D:$D,""),"")</f>
        <v>0</v>
      </c>
      <c r="D278" s="9" cm="1">
        <f t="array" ref="D278">IFERROR(_xlfn.XLOOKUP(B278,Personal!$A:$A,Personal!$C:$C,""),"")</f>
        <v>0</v>
      </c>
      <c r="E278" s="9" t="str" cm="1">
        <f t="array" ref="E278">IFERROR(_xlfn.XLOOKUP(D278,Locales!$A:$A,Locales!$B:$B,""),"")</f>
        <v/>
      </c>
      <c r="F278" s="9" cm="1">
        <f t="array" ref="F278">IFERROR(_xlfn.XLOOKUP(B278,Personal!$A:$A,Personal!$F:$F,""),"")</f>
        <v>0</v>
      </c>
      <c r="I278" s="10" cm="1">
        <f t="array" ref="I278">IFERROR(INDEX(Precios!$D:$F,MATCH(N278, Precios!$G:$G, 0),CHOOSE(MATCH(H278, {"SML";"XL";"XXL"}, 0), 1, 2, 3)), 0)</f>
        <v>0</v>
      </c>
      <c r="K278" s="10">
        <f t="shared" si="14"/>
        <v>0</v>
      </c>
      <c r="N278" s="9" t="str">
        <f t="shared" si="15"/>
        <v/>
      </c>
      <c r="O278" s="9" t="str">
        <f>IF(N278="","",IF(COUNTIF(Precios!$G:$G,N278)=0,"⚠ No coincide con Precios","OK"))</f>
        <v/>
      </c>
    </row>
    <row r="279" spans="3:15" x14ac:dyDescent="0.2">
      <c r="C279" s="9" cm="1">
        <f t="array" ref="C279">IFERROR(_xlfn.XLOOKUP(B279,Personal!$A:$A,Personal!$D:$D,""),"")</f>
        <v>0</v>
      </c>
      <c r="D279" s="9" cm="1">
        <f t="array" ref="D279">IFERROR(_xlfn.XLOOKUP(B279,Personal!$A:$A,Personal!$C:$C,""),"")</f>
        <v>0</v>
      </c>
      <c r="E279" s="9" t="str" cm="1">
        <f t="array" ref="E279">IFERROR(_xlfn.XLOOKUP(D279,Locales!$A:$A,Locales!$B:$B,""),"")</f>
        <v/>
      </c>
      <c r="F279" s="9" cm="1">
        <f t="array" ref="F279">IFERROR(_xlfn.XLOOKUP(B279,Personal!$A:$A,Personal!$F:$F,""),"")</f>
        <v>0</v>
      </c>
      <c r="I279" s="10" cm="1">
        <f t="array" ref="I279">IFERROR(INDEX(Precios!$D:$F,MATCH(N279, Precios!$G:$G, 0),CHOOSE(MATCH(H279, {"SML";"XL";"XXL"}, 0), 1, 2, 3)), 0)</f>
        <v>0</v>
      </c>
      <c r="K279" s="10">
        <f t="shared" si="14"/>
        <v>0</v>
      </c>
      <c r="N279" s="9" t="str">
        <f t="shared" si="15"/>
        <v/>
      </c>
      <c r="O279" s="9" t="str">
        <f>IF(N279="","",IF(COUNTIF(Precios!$G:$G,N279)=0,"⚠ No coincide con Precios","OK"))</f>
        <v/>
      </c>
    </row>
    <row r="280" spans="3:15" x14ac:dyDescent="0.2">
      <c r="C280" s="9" cm="1">
        <f t="array" ref="C280">IFERROR(_xlfn.XLOOKUP(B280,Personal!$A:$A,Personal!$D:$D,""),"")</f>
        <v>0</v>
      </c>
      <c r="D280" s="9" cm="1">
        <f t="array" ref="D280">IFERROR(_xlfn.XLOOKUP(B280,Personal!$A:$A,Personal!$C:$C,""),"")</f>
        <v>0</v>
      </c>
      <c r="E280" s="9" t="str" cm="1">
        <f t="array" ref="E280">IFERROR(_xlfn.XLOOKUP(D280,Locales!$A:$A,Locales!$B:$B,""),"")</f>
        <v/>
      </c>
      <c r="F280" s="9" cm="1">
        <f t="array" ref="F280">IFERROR(_xlfn.XLOOKUP(B280,Personal!$A:$A,Personal!$F:$F,""),"")</f>
        <v>0</v>
      </c>
      <c r="I280" s="10" cm="1">
        <f t="array" ref="I280">IFERROR(INDEX(Precios!$D:$F,MATCH(N280, Precios!$G:$G, 0),CHOOSE(MATCH(H280, {"SML";"XL";"XXL"}, 0), 1, 2, 3)), 0)</f>
        <v>0</v>
      </c>
      <c r="K280" s="10">
        <f t="shared" si="14"/>
        <v>0</v>
      </c>
      <c r="N280" s="9" t="str">
        <f t="shared" si="15"/>
        <v/>
      </c>
      <c r="O280" s="9" t="str">
        <f>IF(N280="","",IF(COUNTIF(Precios!$G:$G,N280)=0,"⚠ No coincide con Precios","OK"))</f>
        <v/>
      </c>
    </row>
    <row r="281" spans="3:15" x14ac:dyDescent="0.2">
      <c r="C281" s="9" cm="1">
        <f t="array" ref="C281">IFERROR(_xlfn.XLOOKUP(B281,Personal!$A:$A,Personal!$D:$D,""),"")</f>
        <v>0</v>
      </c>
      <c r="D281" s="9" cm="1">
        <f t="array" ref="D281">IFERROR(_xlfn.XLOOKUP(B281,Personal!$A:$A,Personal!$C:$C,""),"")</f>
        <v>0</v>
      </c>
      <c r="E281" s="9" t="str" cm="1">
        <f t="array" ref="E281">IFERROR(_xlfn.XLOOKUP(D281,Locales!$A:$A,Locales!$B:$B,""),"")</f>
        <v/>
      </c>
      <c r="F281" s="9" cm="1">
        <f t="array" ref="F281">IFERROR(_xlfn.XLOOKUP(B281,Personal!$A:$A,Personal!$F:$F,""),"")</f>
        <v>0</v>
      </c>
      <c r="I281" s="10" cm="1">
        <f t="array" ref="I281">IFERROR(INDEX(Precios!$D:$F,MATCH(N281, Precios!$G:$G, 0),CHOOSE(MATCH(H281, {"SML";"XL";"XXL"}, 0), 1, 2, 3)), 0)</f>
        <v>0</v>
      </c>
      <c r="K281" s="10">
        <f t="shared" si="14"/>
        <v>0</v>
      </c>
      <c r="N281" s="9" t="str">
        <f t="shared" si="15"/>
        <v/>
      </c>
      <c r="O281" s="9" t="str">
        <f>IF(N281="","",IF(COUNTIF(Precios!$G:$G,N281)=0,"⚠ No coincide con Precios","OK"))</f>
        <v/>
      </c>
    </row>
    <row r="282" spans="3:15" x14ac:dyDescent="0.2">
      <c r="C282" s="9" cm="1">
        <f t="array" ref="C282">IFERROR(_xlfn.XLOOKUP(B282,Personal!$A:$A,Personal!$D:$D,""),"")</f>
        <v>0</v>
      </c>
      <c r="D282" s="9" cm="1">
        <f t="array" ref="D282">IFERROR(_xlfn.XLOOKUP(B282,Personal!$A:$A,Personal!$C:$C,""),"")</f>
        <v>0</v>
      </c>
      <c r="E282" s="9" t="str" cm="1">
        <f t="array" ref="E282">IFERROR(_xlfn.XLOOKUP(D282,Locales!$A:$A,Locales!$B:$B,""),"")</f>
        <v/>
      </c>
      <c r="F282" s="9" cm="1">
        <f t="array" ref="F282">IFERROR(_xlfn.XLOOKUP(B282,Personal!$A:$A,Personal!$F:$F,""),"")</f>
        <v>0</v>
      </c>
      <c r="I282" s="10" cm="1">
        <f t="array" ref="I282">IFERROR(INDEX(Precios!$D:$F,MATCH(N282, Precios!$G:$G, 0),CHOOSE(MATCH(H282, {"SML";"XL";"XXL"}, 0), 1, 2, 3)), 0)</f>
        <v>0</v>
      </c>
      <c r="K282" s="10">
        <f t="shared" si="14"/>
        <v>0</v>
      </c>
      <c r="N282" s="9" t="str">
        <f t="shared" si="15"/>
        <v/>
      </c>
      <c r="O282" s="9" t="str">
        <f>IF(N282="","",IF(COUNTIF(Precios!$G:$G,N282)=0,"⚠ No coincide con Precios","OK"))</f>
        <v/>
      </c>
    </row>
    <row r="283" spans="3:15" x14ac:dyDescent="0.2">
      <c r="C283" s="9" cm="1">
        <f t="array" ref="C283">IFERROR(_xlfn.XLOOKUP(B283,Personal!$A:$A,Personal!$D:$D,""),"")</f>
        <v>0</v>
      </c>
      <c r="D283" s="9" cm="1">
        <f t="array" ref="D283">IFERROR(_xlfn.XLOOKUP(B283,Personal!$A:$A,Personal!$C:$C,""),"")</f>
        <v>0</v>
      </c>
      <c r="E283" s="9" t="str" cm="1">
        <f t="array" ref="E283">IFERROR(_xlfn.XLOOKUP(D283,Locales!$A:$A,Locales!$B:$B,""),"")</f>
        <v/>
      </c>
      <c r="F283" s="9" cm="1">
        <f t="array" ref="F283">IFERROR(_xlfn.XLOOKUP(B283,Personal!$A:$A,Personal!$F:$F,""),"")</f>
        <v>0</v>
      </c>
      <c r="I283" s="10" cm="1">
        <f t="array" ref="I283">IFERROR(INDEX(Precios!$D:$F,MATCH(N283, Precios!$G:$G, 0),CHOOSE(MATCH(H283, {"SML";"XL";"XXL"}, 0), 1, 2, 3)), 0)</f>
        <v>0</v>
      </c>
      <c r="K283" s="10">
        <f t="shared" si="14"/>
        <v>0</v>
      </c>
      <c r="N283" s="9" t="str">
        <f t="shared" si="15"/>
        <v/>
      </c>
      <c r="O283" s="9" t="str">
        <f>IF(N283="","",IF(COUNTIF(Precios!$G:$G,N283)=0,"⚠ No coincide con Precios","OK"))</f>
        <v/>
      </c>
    </row>
    <row r="284" spans="3:15" x14ac:dyDescent="0.2">
      <c r="C284" s="9" cm="1">
        <f t="array" ref="C284">IFERROR(_xlfn.XLOOKUP(B284,Personal!$A:$A,Personal!$D:$D,""),"")</f>
        <v>0</v>
      </c>
      <c r="D284" s="9" cm="1">
        <f t="array" ref="D284">IFERROR(_xlfn.XLOOKUP(B284,Personal!$A:$A,Personal!$C:$C,""),"")</f>
        <v>0</v>
      </c>
      <c r="E284" s="9" t="str" cm="1">
        <f t="array" ref="E284">IFERROR(_xlfn.XLOOKUP(D284,Locales!$A:$A,Locales!$B:$B,""),"")</f>
        <v/>
      </c>
      <c r="F284" s="9" cm="1">
        <f t="array" ref="F284">IFERROR(_xlfn.XLOOKUP(B284,Personal!$A:$A,Personal!$F:$F,""),"")</f>
        <v>0</v>
      </c>
      <c r="I284" s="10" cm="1">
        <f t="array" ref="I284">IFERROR(INDEX(Precios!$D:$F,MATCH(N284, Precios!$G:$G, 0),CHOOSE(MATCH(H284, {"SML";"XL";"XXL"}, 0), 1, 2, 3)), 0)</f>
        <v>0</v>
      </c>
      <c r="K284" s="10">
        <f t="shared" si="14"/>
        <v>0</v>
      </c>
      <c r="N284" s="9" t="str">
        <f t="shared" si="15"/>
        <v/>
      </c>
      <c r="O284" s="9" t="str">
        <f>IF(N284="","",IF(COUNTIF(Precios!$G:$G,N284)=0,"⚠ No coincide con Precios","OK"))</f>
        <v/>
      </c>
    </row>
    <row r="285" spans="3:15" x14ac:dyDescent="0.2">
      <c r="C285" s="9" cm="1">
        <f t="array" ref="C285">IFERROR(_xlfn.XLOOKUP(B285,Personal!$A:$A,Personal!$D:$D,""),"")</f>
        <v>0</v>
      </c>
      <c r="D285" s="9" cm="1">
        <f t="array" ref="D285">IFERROR(_xlfn.XLOOKUP(B285,Personal!$A:$A,Personal!$C:$C,""),"")</f>
        <v>0</v>
      </c>
      <c r="E285" s="9" t="str" cm="1">
        <f t="array" ref="E285">IFERROR(_xlfn.XLOOKUP(D285,Locales!$A:$A,Locales!$B:$B,""),"")</f>
        <v/>
      </c>
      <c r="F285" s="9" cm="1">
        <f t="array" ref="F285">IFERROR(_xlfn.XLOOKUP(B285,Personal!$A:$A,Personal!$F:$F,""),"")</f>
        <v>0</v>
      </c>
      <c r="I285" s="10" cm="1">
        <f t="array" ref="I285">IFERROR(INDEX(Precios!$D:$F,MATCH(N285, Precios!$G:$G, 0),CHOOSE(MATCH(H285, {"SML";"XL";"XXL"}, 0), 1, 2, 3)), 0)</f>
        <v>0</v>
      </c>
      <c r="K285" s="10">
        <f t="shared" si="14"/>
        <v>0</v>
      </c>
      <c r="N285" s="9" t="str">
        <f t="shared" si="15"/>
        <v/>
      </c>
      <c r="O285" s="9" t="str">
        <f>IF(N285="","",IF(COUNTIF(Precios!$G:$G,N285)=0,"⚠ No coincide con Precios","OK"))</f>
        <v/>
      </c>
    </row>
    <row r="286" spans="3:15" x14ac:dyDescent="0.2">
      <c r="C286" s="9" cm="1">
        <f t="array" ref="C286">IFERROR(_xlfn.XLOOKUP(B286,Personal!$A:$A,Personal!$D:$D,""),"")</f>
        <v>0</v>
      </c>
      <c r="D286" s="9" cm="1">
        <f t="array" ref="D286">IFERROR(_xlfn.XLOOKUP(B286,Personal!$A:$A,Personal!$C:$C,""),"")</f>
        <v>0</v>
      </c>
      <c r="E286" s="9" t="str" cm="1">
        <f t="array" ref="E286">IFERROR(_xlfn.XLOOKUP(D286,Locales!$A:$A,Locales!$B:$B,""),"")</f>
        <v/>
      </c>
      <c r="F286" s="9" cm="1">
        <f t="array" ref="F286">IFERROR(_xlfn.XLOOKUP(B286,Personal!$A:$A,Personal!$F:$F,""),"")</f>
        <v>0</v>
      </c>
      <c r="I286" s="10" cm="1">
        <f t="array" ref="I286">IFERROR(INDEX(Precios!$D:$F,MATCH(N286, Precios!$G:$G, 0),CHOOSE(MATCH(H286, {"SML";"XL";"XXL"}, 0), 1, 2, 3)), 0)</f>
        <v>0</v>
      </c>
      <c r="K286" s="10">
        <f t="shared" si="14"/>
        <v>0</v>
      </c>
      <c r="N286" s="9" t="str">
        <f t="shared" si="15"/>
        <v/>
      </c>
      <c r="O286" s="9" t="str">
        <f>IF(N286="","",IF(COUNTIF(Precios!$G:$G,N286)=0,"⚠ No coincide con Precios","OK"))</f>
        <v/>
      </c>
    </row>
    <row r="287" spans="3:15" x14ac:dyDescent="0.2">
      <c r="C287" s="9" cm="1">
        <f t="array" ref="C287">IFERROR(_xlfn.XLOOKUP(B287,Personal!$A:$A,Personal!$D:$D,""),"")</f>
        <v>0</v>
      </c>
      <c r="D287" s="9" cm="1">
        <f t="array" ref="D287">IFERROR(_xlfn.XLOOKUP(B287,Personal!$A:$A,Personal!$C:$C,""),"")</f>
        <v>0</v>
      </c>
      <c r="E287" s="9" t="str" cm="1">
        <f t="array" ref="E287">IFERROR(_xlfn.XLOOKUP(D287,Locales!$A:$A,Locales!$B:$B,""),"")</f>
        <v/>
      </c>
      <c r="F287" s="9" cm="1">
        <f t="array" ref="F287">IFERROR(_xlfn.XLOOKUP(B287,Personal!$A:$A,Personal!$F:$F,""),"")</f>
        <v>0</v>
      </c>
      <c r="I287" s="10" cm="1">
        <f t="array" ref="I287">IFERROR(INDEX(Precios!$D:$F,MATCH(N287, Precios!$G:$G, 0),CHOOSE(MATCH(H287, {"SML";"XL";"XXL"}, 0), 1, 2, 3)), 0)</f>
        <v>0</v>
      </c>
      <c r="K287" s="10">
        <f t="shared" si="14"/>
        <v>0</v>
      </c>
      <c r="N287" s="9" t="str">
        <f t="shared" si="15"/>
        <v/>
      </c>
      <c r="O287" s="9" t="str">
        <f>IF(N287="","",IF(COUNTIF(Precios!$G:$G,N287)=0,"⚠ No coincide con Precios","OK"))</f>
        <v/>
      </c>
    </row>
    <row r="288" spans="3:15" x14ac:dyDescent="0.2">
      <c r="C288" s="9" cm="1">
        <f t="array" ref="C288">IFERROR(_xlfn.XLOOKUP(B288,Personal!$A:$A,Personal!$D:$D,""),"")</f>
        <v>0</v>
      </c>
      <c r="D288" s="9" cm="1">
        <f t="array" ref="D288">IFERROR(_xlfn.XLOOKUP(B288,Personal!$A:$A,Personal!$C:$C,""),"")</f>
        <v>0</v>
      </c>
      <c r="E288" s="9" t="str" cm="1">
        <f t="array" ref="E288">IFERROR(_xlfn.XLOOKUP(D288,Locales!$A:$A,Locales!$B:$B,""),"")</f>
        <v/>
      </c>
      <c r="F288" s="9" cm="1">
        <f t="array" ref="F288">IFERROR(_xlfn.XLOOKUP(B288,Personal!$A:$A,Personal!$F:$F,""),"")</f>
        <v>0</v>
      </c>
      <c r="I288" s="10" cm="1">
        <f t="array" ref="I288">IFERROR(INDEX(Precios!$D:$F,MATCH(N288, Precios!$G:$G, 0),CHOOSE(MATCH(H288, {"SML";"XL";"XXL"}, 0), 1, 2, 3)), 0)</f>
        <v>0</v>
      </c>
      <c r="K288" s="10">
        <f t="shared" si="14"/>
        <v>0</v>
      </c>
      <c r="N288" s="9" t="str">
        <f t="shared" si="15"/>
        <v/>
      </c>
      <c r="O288" s="9" t="str">
        <f>IF(N288="","",IF(COUNTIF(Precios!$G:$G,N288)=0,"⚠ No coincide con Precios","OK"))</f>
        <v/>
      </c>
    </row>
    <row r="289" spans="3:15" x14ac:dyDescent="0.2">
      <c r="C289" s="9" cm="1">
        <f t="array" ref="C289">IFERROR(_xlfn.XLOOKUP(B289,Personal!$A:$A,Personal!$D:$D,""),"")</f>
        <v>0</v>
      </c>
      <c r="D289" s="9" cm="1">
        <f t="array" ref="D289">IFERROR(_xlfn.XLOOKUP(B289,Personal!$A:$A,Personal!$C:$C,""),"")</f>
        <v>0</v>
      </c>
      <c r="E289" s="9" t="str" cm="1">
        <f t="array" ref="E289">IFERROR(_xlfn.XLOOKUP(D289,Locales!$A:$A,Locales!$B:$B,""),"")</f>
        <v/>
      </c>
      <c r="F289" s="9" cm="1">
        <f t="array" ref="F289">IFERROR(_xlfn.XLOOKUP(B289,Personal!$A:$A,Personal!$F:$F,""),"")</f>
        <v>0</v>
      </c>
      <c r="I289" s="10" cm="1">
        <f t="array" ref="I289">IFERROR(INDEX(Precios!$D:$F,MATCH(N289, Precios!$G:$G, 0),CHOOSE(MATCH(H289, {"SML";"XL";"XXL"}, 0), 1, 2, 3)), 0)</f>
        <v>0</v>
      </c>
      <c r="K289" s="10">
        <f t="shared" si="14"/>
        <v>0</v>
      </c>
      <c r="N289" s="9" t="str">
        <f t="shared" si="15"/>
        <v/>
      </c>
      <c r="O289" s="9" t="str">
        <f>IF(N289="","",IF(COUNTIF(Precios!$G:$G,N289)=0,"⚠ No coincide con Precios","OK"))</f>
        <v/>
      </c>
    </row>
    <row r="290" spans="3:15" x14ac:dyDescent="0.2">
      <c r="C290" s="9" cm="1">
        <f t="array" ref="C290">IFERROR(_xlfn.XLOOKUP(B290,Personal!$A:$A,Personal!$D:$D,""),"")</f>
        <v>0</v>
      </c>
      <c r="D290" s="9" cm="1">
        <f t="array" ref="D290">IFERROR(_xlfn.XLOOKUP(B290,Personal!$A:$A,Personal!$C:$C,""),"")</f>
        <v>0</v>
      </c>
      <c r="E290" s="9" t="str" cm="1">
        <f t="array" ref="E290">IFERROR(_xlfn.XLOOKUP(D290,Locales!$A:$A,Locales!$B:$B,""),"")</f>
        <v/>
      </c>
      <c r="F290" s="9" cm="1">
        <f t="array" ref="F290">IFERROR(_xlfn.XLOOKUP(B290,Personal!$A:$A,Personal!$F:$F,""),"")</f>
        <v>0</v>
      </c>
      <c r="I290" s="10" cm="1">
        <f t="array" ref="I290">IFERROR(INDEX(Precios!$D:$F,MATCH(N290, Precios!$G:$G, 0),CHOOSE(MATCH(H290, {"SML";"XL";"XXL"}, 0), 1, 2, 3)), 0)</f>
        <v>0</v>
      </c>
      <c r="K290" s="10">
        <f t="shared" si="14"/>
        <v>0</v>
      </c>
      <c r="N290" s="9" t="str">
        <f t="shared" si="15"/>
        <v/>
      </c>
      <c r="O290" s="9" t="str">
        <f>IF(N290="","",IF(COUNTIF(Precios!$G:$G,N290)=0,"⚠ No coincide con Precios","OK"))</f>
        <v/>
      </c>
    </row>
    <row r="291" spans="3:15" x14ac:dyDescent="0.2">
      <c r="C291" s="9" cm="1">
        <f t="array" ref="C291">IFERROR(_xlfn.XLOOKUP(B291,Personal!$A:$A,Personal!$D:$D,""),"")</f>
        <v>0</v>
      </c>
      <c r="D291" s="9" cm="1">
        <f t="array" ref="D291">IFERROR(_xlfn.XLOOKUP(B291,Personal!$A:$A,Personal!$C:$C,""),"")</f>
        <v>0</v>
      </c>
      <c r="E291" s="9" t="str" cm="1">
        <f t="array" ref="E291">IFERROR(_xlfn.XLOOKUP(D291,Locales!$A:$A,Locales!$B:$B,""),"")</f>
        <v/>
      </c>
      <c r="F291" s="9" cm="1">
        <f t="array" ref="F291">IFERROR(_xlfn.XLOOKUP(B291,Personal!$A:$A,Personal!$F:$F,""),"")</f>
        <v>0</v>
      </c>
      <c r="I291" s="10" cm="1">
        <f t="array" ref="I291">IFERROR(INDEX(Precios!$D:$F,MATCH(N291, Precios!$G:$G, 0),CHOOSE(MATCH(H291, {"SML";"XL";"XXL"}, 0), 1, 2, 3)), 0)</f>
        <v>0</v>
      </c>
      <c r="K291" s="10">
        <f t="shared" si="14"/>
        <v>0</v>
      </c>
      <c r="N291" s="9" t="str">
        <f t="shared" si="15"/>
        <v/>
      </c>
      <c r="O291" s="9" t="str">
        <f>IF(N291="","",IF(COUNTIF(Precios!$G:$G,N291)=0,"⚠ No coincide con Precios","OK"))</f>
        <v/>
      </c>
    </row>
    <row r="292" spans="3:15" x14ac:dyDescent="0.2">
      <c r="C292" s="9" cm="1">
        <f t="array" ref="C292">IFERROR(_xlfn.XLOOKUP(B292,Personal!$A:$A,Personal!$D:$D,""),"")</f>
        <v>0</v>
      </c>
      <c r="D292" s="9" cm="1">
        <f t="array" ref="D292">IFERROR(_xlfn.XLOOKUP(B292,Personal!$A:$A,Personal!$C:$C,""),"")</f>
        <v>0</v>
      </c>
      <c r="E292" s="9" t="str" cm="1">
        <f t="array" ref="E292">IFERROR(_xlfn.XLOOKUP(D292,Locales!$A:$A,Locales!$B:$B,""),"")</f>
        <v/>
      </c>
      <c r="F292" s="9" cm="1">
        <f t="array" ref="F292">IFERROR(_xlfn.XLOOKUP(B292,Personal!$A:$A,Personal!$F:$F,""),"")</f>
        <v>0</v>
      </c>
      <c r="I292" s="10" cm="1">
        <f t="array" ref="I292">IFERROR(INDEX(Precios!$D:$F,MATCH(N292, Precios!$G:$G, 0),CHOOSE(MATCH(H292, {"SML";"XL";"XXL"}, 0), 1, 2, 3)), 0)</f>
        <v>0</v>
      </c>
      <c r="K292" s="10">
        <f t="shared" si="14"/>
        <v>0</v>
      </c>
      <c r="N292" s="9" t="str">
        <f t="shared" si="15"/>
        <v/>
      </c>
      <c r="O292" s="9" t="str">
        <f>IF(N292="","",IF(COUNTIF(Precios!$G:$G,N292)=0,"⚠ No coincide con Precios","OK"))</f>
        <v/>
      </c>
    </row>
    <row r="293" spans="3:15" x14ac:dyDescent="0.2">
      <c r="C293" s="9" cm="1">
        <f t="array" ref="C293">IFERROR(_xlfn.XLOOKUP(B293,Personal!$A:$A,Personal!$D:$D,""),"")</f>
        <v>0</v>
      </c>
      <c r="D293" s="9" cm="1">
        <f t="array" ref="D293">IFERROR(_xlfn.XLOOKUP(B293,Personal!$A:$A,Personal!$C:$C,""),"")</f>
        <v>0</v>
      </c>
      <c r="E293" s="9" t="str" cm="1">
        <f t="array" ref="E293">IFERROR(_xlfn.XLOOKUP(D293,Locales!$A:$A,Locales!$B:$B,""),"")</f>
        <v/>
      </c>
      <c r="F293" s="9" cm="1">
        <f t="array" ref="F293">IFERROR(_xlfn.XLOOKUP(B293,Personal!$A:$A,Personal!$F:$F,""),"")</f>
        <v>0</v>
      </c>
      <c r="I293" s="10" cm="1">
        <f t="array" ref="I293">IFERROR(INDEX(Precios!$D:$F,MATCH(N293, Precios!$G:$G, 0),CHOOSE(MATCH(H293, {"SML";"XL";"XXL"}, 0), 1, 2, 3)), 0)</f>
        <v>0</v>
      </c>
      <c r="K293" s="10">
        <f t="shared" si="14"/>
        <v>0</v>
      </c>
      <c r="N293" s="9" t="str">
        <f t="shared" si="15"/>
        <v/>
      </c>
      <c r="O293" s="9" t="str">
        <f>IF(N293="","",IF(COUNTIF(Precios!$G:$G,N293)=0,"⚠ No coincide con Precios","OK"))</f>
        <v/>
      </c>
    </row>
    <row r="294" spans="3:15" x14ac:dyDescent="0.2">
      <c r="C294" s="9" cm="1">
        <f t="array" ref="C294">IFERROR(_xlfn.XLOOKUP(B294,Personal!$A:$A,Personal!$D:$D,""),"")</f>
        <v>0</v>
      </c>
      <c r="D294" s="9" cm="1">
        <f t="array" ref="D294">IFERROR(_xlfn.XLOOKUP(B294,Personal!$A:$A,Personal!$C:$C,""),"")</f>
        <v>0</v>
      </c>
      <c r="E294" s="9" t="str" cm="1">
        <f t="array" ref="E294">IFERROR(_xlfn.XLOOKUP(D294,Locales!$A:$A,Locales!$B:$B,""),"")</f>
        <v/>
      </c>
      <c r="F294" s="9" cm="1">
        <f t="array" ref="F294">IFERROR(_xlfn.XLOOKUP(B294,Personal!$A:$A,Personal!$F:$F,""),"")</f>
        <v>0</v>
      </c>
      <c r="I294" s="10" cm="1">
        <f t="array" ref="I294">IFERROR(INDEX(Precios!$D:$F,MATCH(N294, Precios!$G:$G, 0),CHOOSE(MATCH(H294, {"SML";"XL";"XXL"}, 0), 1, 2, 3)), 0)</f>
        <v>0</v>
      </c>
      <c r="K294" s="10">
        <f t="shared" si="14"/>
        <v>0</v>
      </c>
      <c r="N294" s="9" t="str">
        <f t="shared" si="15"/>
        <v/>
      </c>
      <c r="O294" s="9" t="str">
        <f>IF(N294="","",IF(COUNTIF(Precios!$G:$G,N294)=0,"⚠ No coincide con Precios","OK"))</f>
        <v/>
      </c>
    </row>
    <row r="295" spans="3:15" x14ac:dyDescent="0.2">
      <c r="C295" s="9" cm="1">
        <f t="array" ref="C295">IFERROR(_xlfn.XLOOKUP(B295,Personal!$A:$A,Personal!$D:$D,""),"")</f>
        <v>0</v>
      </c>
      <c r="D295" s="9" cm="1">
        <f t="array" ref="D295">IFERROR(_xlfn.XLOOKUP(B295,Personal!$A:$A,Personal!$C:$C,""),"")</f>
        <v>0</v>
      </c>
      <c r="E295" s="9" t="str" cm="1">
        <f t="array" ref="E295">IFERROR(_xlfn.XLOOKUP(D295,Locales!$A:$A,Locales!$B:$B,""),"")</f>
        <v/>
      </c>
      <c r="F295" s="9" cm="1">
        <f t="array" ref="F295">IFERROR(_xlfn.XLOOKUP(B295,Personal!$A:$A,Personal!$F:$F,""),"")</f>
        <v>0</v>
      </c>
      <c r="I295" s="10" cm="1">
        <f t="array" ref="I295">IFERROR(INDEX(Precios!$D:$F,MATCH(N295, Precios!$G:$G, 0),CHOOSE(MATCH(H295, {"SML";"XL";"XXL"}, 0), 1, 2, 3)), 0)</f>
        <v>0</v>
      </c>
      <c r="K295" s="10">
        <f t="shared" si="14"/>
        <v>0</v>
      </c>
      <c r="N295" s="9" t="str">
        <f t="shared" si="15"/>
        <v/>
      </c>
      <c r="O295" s="9" t="str">
        <f>IF(N295="","",IF(COUNTIF(Precios!$G:$G,N295)=0,"⚠ No coincide con Precios","OK"))</f>
        <v/>
      </c>
    </row>
    <row r="296" spans="3:15" x14ac:dyDescent="0.2">
      <c r="C296" s="9" cm="1">
        <f t="array" ref="C296">IFERROR(_xlfn.XLOOKUP(B296,Personal!$A:$A,Personal!$D:$D,""),"")</f>
        <v>0</v>
      </c>
      <c r="D296" s="9" cm="1">
        <f t="array" ref="D296">IFERROR(_xlfn.XLOOKUP(B296,Personal!$A:$A,Personal!$C:$C,""),"")</f>
        <v>0</v>
      </c>
      <c r="E296" s="9" t="str" cm="1">
        <f t="array" ref="E296">IFERROR(_xlfn.XLOOKUP(D296,Locales!$A:$A,Locales!$B:$B,""),"")</f>
        <v/>
      </c>
      <c r="F296" s="9" cm="1">
        <f t="array" ref="F296">IFERROR(_xlfn.XLOOKUP(B296,Personal!$A:$A,Personal!$F:$F,""),"")</f>
        <v>0</v>
      </c>
      <c r="I296" s="10" cm="1">
        <f t="array" ref="I296">IFERROR(INDEX(Precios!$D:$F,MATCH(N296, Precios!$G:$G, 0),CHOOSE(MATCH(H296, {"SML";"XL";"XXL"}, 0), 1, 2, 3)), 0)</f>
        <v>0</v>
      </c>
      <c r="K296" s="10">
        <f t="shared" si="14"/>
        <v>0</v>
      </c>
      <c r="N296" s="9" t="str">
        <f t="shared" si="15"/>
        <v/>
      </c>
      <c r="O296" s="9" t="str">
        <f>IF(N296="","",IF(COUNTIF(Precios!$G:$G,N296)=0,"⚠ No coincide con Precios","OK"))</f>
        <v/>
      </c>
    </row>
    <row r="297" spans="3:15" x14ac:dyDescent="0.2">
      <c r="C297" s="9" cm="1">
        <f t="array" ref="C297">IFERROR(_xlfn.XLOOKUP(B297,Personal!$A:$A,Personal!$D:$D,""),"")</f>
        <v>0</v>
      </c>
      <c r="D297" s="9" cm="1">
        <f t="array" ref="D297">IFERROR(_xlfn.XLOOKUP(B297,Personal!$A:$A,Personal!$C:$C,""),"")</f>
        <v>0</v>
      </c>
      <c r="E297" s="9" t="str" cm="1">
        <f t="array" ref="E297">IFERROR(_xlfn.XLOOKUP(D297,Locales!$A:$A,Locales!$B:$B,""),"")</f>
        <v/>
      </c>
      <c r="F297" s="9" cm="1">
        <f t="array" ref="F297">IFERROR(_xlfn.XLOOKUP(B297,Personal!$A:$A,Personal!$F:$F,""),"")</f>
        <v>0</v>
      </c>
      <c r="I297" s="10" cm="1">
        <f t="array" ref="I297">IFERROR(INDEX(Precios!$D:$F,MATCH(N297, Precios!$G:$G, 0),CHOOSE(MATCH(H297, {"SML";"XL";"XXL"}, 0), 1, 2, 3)), 0)</f>
        <v>0</v>
      </c>
      <c r="K297" s="10">
        <f t="shared" si="14"/>
        <v>0</v>
      </c>
      <c r="N297" s="9" t="str">
        <f t="shared" si="15"/>
        <v/>
      </c>
      <c r="O297" s="9" t="str">
        <f>IF(N297="","",IF(COUNTIF(Precios!$G:$G,N297)=0,"⚠ No coincide con Precios","OK"))</f>
        <v/>
      </c>
    </row>
    <row r="298" spans="3:15" x14ac:dyDescent="0.2">
      <c r="C298" s="9" cm="1">
        <f t="array" ref="C298">IFERROR(_xlfn.XLOOKUP(B298,Personal!$A:$A,Personal!$D:$D,""),"")</f>
        <v>0</v>
      </c>
      <c r="D298" s="9" cm="1">
        <f t="array" ref="D298">IFERROR(_xlfn.XLOOKUP(B298,Personal!$A:$A,Personal!$C:$C,""),"")</f>
        <v>0</v>
      </c>
      <c r="E298" s="9" t="str" cm="1">
        <f t="array" ref="E298">IFERROR(_xlfn.XLOOKUP(D298,Locales!$A:$A,Locales!$B:$B,""),"")</f>
        <v/>
      </c>
      <c r="F298" s="9" cm="1">
        <f t="array" ref="F298">IFERROR(_xlfn.XLOOKUP(B298,Personal!$A:$A,Personal!$F:$F,""),"")</f>
        <v>0</v>
      </c>
      <c r="I298" s="10" cm="1">
        <f t="array" ref="I298">IFERROR(INDEX(Precios!$D:$F,MATCH(N298, Precios!$G:$G, 0),CHOOSE(MATCH(H298, {"SML";"XL";"XXL"}, 0), 1, 2, 3)), 0)</f>
        <v>0</v>
      </c>
      <c r="K298" s="10">
        <f t="shared" si="14"/>
        <v>0</v>
      </c>
      <c r="N298" s="9" t="str">
        <f t="shared" si="15"/>
        <v/>
      </c>
      <c r="O298" s="9" t="str">
        <f>IF(N298="","",IF(COUNTIF(Precios!$G:$G,N298)=0,"⚠ No coincide con Precios","OK"))</f>
        <v/>
      </c>
    </row>
    <row r="299" spans="3:15" x14ac:dyDescent="0.2">
      <c r="C299" s="9" cm="1">
        <f t="array" ref="C299">IFERROR(_xlfn.XLOOKUP(B299,Personal!$A:$A,Personal!$D:$D,""),"")</f>
        <v>0</v>
      </c>
      <c r="D299" s="9" cm="1">
        <f t="array" ref="D299">IFERROR(_xlfn.XLOOKUP(B299,Personal!$A:$A,Personal!$C:$C,""),"")</f>
        <v>0</v>
      </c>
      <c r="E299" s="9" t="str" cm="1">
        <f t="array" ref="E299">IFERROR(_xlfn.XLOOKUP(D299,Locales!$A:$A,Locales!$B:$B,""),"")</f>
        <v/>
      </c>
      <c r="F299" s="9" cm="1">
        <f t="array" ref="F299">IFERROR(_xlfn.XLOOKUP(B299,Personal!$A:$A,Personal!$F:$F,""),"")</f>
        <v>0</v>
      </c>
      <c r="I299" s="10" cm="1">
        <f t="array" ref="I299">IFERROR(INDEX(Precios!$D:$F,MATCH(N299, Precios!$G:$G, 0),CHOOSE(MATCH(H299, {"SML";"XL";"XXL"}, 0), 1, 2, 3)), 0)</f>
        <v>0</v>
      </c>
      <c r="K299" s="10">
        <f t="shared" si="14"/>
        <v>0</v>
      </c>
      <c r="N299" s="9" t="str">
        <f t="shared" si="15"/>
        <v/>
      </c>
      <c r="O299" s="9" t="str">
        <f>IF(N299="","",IF(COUNTIF(Precios!$G:$G,N299)=0,"⚠ No coincide con Precios","OK"))</f>
        <v/>
      </c>
    </row>
    <row r="300" spans="3:15" x14ac:dyDescent="0.2">
      <c r="C300" s="9" cm="1">
        <f t="array" ref="C300">IFERROR(_xlfn.XLOOKUP(B300,Personal!$A:$A,Personal!$D:$D,""),"")</f>
        <v>0</v>
      </c>
      <c r="D300" s="9" cm="1">
        <f t="array" ref="D300">IFERROR(_xlfn.XLOOKUP(B300,Personal!$A:$A,Personal!$C:$C,""),"")</f>
        <v>0</v>
      </c>
      <c r="E300" s="9" t="str" cm="1">
        <f t="array" ref="E300">IFERROR(_xlfn.XLOOKUP(D300,Locales!$A:$A,Locales!$B:$B,""),"")</f>
        <v/>
      </c>
      <c r="F300" s="9" cm="1">
        <f t="array" ref="F300">IFERROR(_xlfn.XLOOKUP(B300,Personal!$A:$A,Personal!$F:$F,""),"")</f>
        <v>0</v>
      </c>
      <c r="I300" s="10" cm="1">
        <f t="array" ref="I300">IFERROR(INDEX(Precios!$D:$F,MATCH(N300, Precios!$G:$G, 0),CHOOSE(MATCH(H300, {"SML";"XL";"XXL"}, 0), 1, 2, 3)), 0)</f>
        <v>0</v>
      </c>
      <c r="K300" s="10">
        <f t="shared" si="14"/>
        <v>0</v>
      </c>
      <c r="N300" s="9" t="str">
        <f t="shared" si="15"/>
        <v/>
      </c>
      <c r="O300" s="9" t="str">
        <f>IF(N300="","",IF(COUNTIF(Precios!$G:$G,N300)=0,"⚠ No coincide con Precios","OK"))</f>
        <v/>
      </c>
    </row>
    <row r="301" spans="3:15" x14ac:dyDescent="0.2">
      <c r="C301" s="9" cm="1">
        <f t="array" ref="C301">IFERROR(_xlfn.XLOOKUP(B301,Personal!$A:$A,Personal!$D:$D,""),"")</f>
        <v>0</v>
      </c>
      <c r="D301" s="9" cm="1">
        <f t="array" ref="D301">IFERROR(_xlfn.XLOOKUP(B301,Personal!$A:$A,Personal!$C:$C,""),"")</f>
        <v>0</v>
      </c>
      <c r="E301" s="9" t="str" cm="1">
        <f t="array" ref="E301">IFERROR(_xlfn.XLOOKUP(D301,Locales!$A:$A,Locales!$B:$B,""),"")</f>
        <v/>
      </c>
      <c r="F301" s="9" cm="1">
        <f t="array" ref="F301">IFERROR(_xlfn.XLOOKUP(B301,Personal!$A:$A,Personal!$F:$F,""),"")</f>
        <v>0</v>
      </c>
      <c r="I301" s="10" cm="1">
        <f t="array" ref="I301">IFERROR(INDEX(Precios!$D:$F,MATCH(N301, Precios!$G:$G, 0),CHOOSE(MATCH(H301, {"SML";"XL";"XXL"}, 0), 1, 2, 3)), 0)</f>
        <v>0</v>
      </c>
      <c r="K301" s="10">
        <f t="shared" si="14"/>
        <v>0</v>
      </c>
      <c r="N301" s="9" t="str">
        <f t="shared" si="15"/>
        <v/>
      </c>
      <c r="O301" s="9" t="str">
        <f>IF(N301="","",IF(COUNTIF(Precios!$G:$G,N301)=0,"⚠ No coincide con Precios","OK"))</f>
        <v/>
      </c>
    </row>
    <row r="302" spans="3:15" x14ac:dyDescent="0.2">
      <c r="C302" s="9" cm="1">
        <f t="array" ref="C302">IFERROR(_xlfn.XLOOKUP(B302,Personal!$A:$A,Personal!$D:$D,""),"")</f>
        <v>0</v>
      </c>
      <c r="D302" s="9" cm="1">
        <f t="array" ref="D302">IFERROR(_xlfn.XLOOKUP(B302,Personal!$A:$A,Personal!$C:$C,""),"")</f>
        <v>0</v>
      </c>
      <c r="E302" s="9" t="str" cm="1">
        <f t="array" ref="E302">IFERROR(_xlfn.XLOOKUP(D302,Locales!$A:$A,Locales!$B:$B,""),"")</f>
        <v/>
      </c>
      <c r="F302" s="9" cm="1">
        <f t="array" ref="F302">IFERROR(_xlfn.XLOOKUP(B302,Personal!$A:$A,Personal!$F:$F,""),"")</f>
        <v>0</v>
      </c>
      <c r="I302" s="10" cm="1">
        <f t="array" ref="I302">IFERROR(INDEX(Precios!$D:$F,MATCH(N302, Precios!$G:$G, 0),CHOOSE(MATCH(H302, {"SML";"XL";"XXL"}, 0), 1, 2, 3)), 0)</f>
        <v>0</v>
      </c>
      <c r="K302" s="10">
        <f t="shared" si="14"/>
        <v>0</v>
      </c>
      <c r="N302" s="9" t="str">
        <f t="shared" si="15"/>
        <v/>
      </c>
      <c r="O302" s="9" t="str">
        <f>IF(N302="","",IF(COUNTIF(Precios!$G:$G,N302)=0,"⚠ No coincide con Precios","OK"))</f>
        <v/>
      </c>
    </row>
    <row r="303" spans="3:15" x14ac:dyDescent="0.2">
      <c r="C303" s="9" cm="1">
        <f t="array" ref="C303">IFERROR(_xlfn.XLOOKUP(B303,Personal!$A:$A,Personal!$D:$D,""),"")</f>
        <v>0</v>
      </c>
      <c r="D303" s="9" cm="1">
        <f t="array" ref="D303">IFERROR(_xlfn.XLOOKUP(B303,Personal!$A:$A,Personal!$C:$C,""),"")</f>
        <v>0</v>
      </c>
      <c r="E303" s="9" t="str" cm="1">
        <f t="array" ref="E303">IFERROR(_xlfn.XLOOKUP(D303,Locales!$A:$A,Locales!$B:$B,""),"")</f>
        <v/>
      </c>
      <c r="F303" s="9" cm="1">
        <f t="array" ref="F303">IFERROR(_xlfn.XLOOKUP(B303,Personal!$A:$A,Personal!$F:$F,""),"")</f>
        <v>0</v>
      </c>
      <c r="I303" s="10" cm="1">
        <f t="array" ref="I303">IFERROR(INDEX(Precios!$D:$F,MATCH(N303, Precios!$G:$G, 0),CHOOSE(MATCH(H303, {"SML";"XL";"XXL"}, 0), 1, 2, 3)), 0)</f>
        <v>0</v>
      </c>
      <c r="K303" s="10">
        <f t="shared" si="14"/>
        <v>0</v>
      </c>
      <c r="N303" s="9" t="str">
        <f t="shared" si="15"/>
        <v/>
      </c>
      <c r="O303" s="9" t="str">
        <f>IF(N303="","",IF(COUNTIF(Precios!$G:$G,N303)=0,"⚠ No coincide con Precios","OK"))</f>
        <v/>
      </c>
    </row>
    <row r="304" spans="3:15" x14ac:dyDescent="0.2">
      <c r="C304" s="9" cm="1">
        <f t="array" ref="C304">IFERROR(_xlfn.XLOOKUP(B304,Personal!$A:$A,Personal!$D:$D,""),"")</f>
        <v>0</v>
      </c>
      <c r="D304" s="9" cm="1">
        <f t="array" ref="D304">IFERROR(_xlfn.XLOOKUP(B304,Personal!$A:$A,Personal!$C:$C,""),"")</f>
        <v>0</v>
      </c>
      <c r="E304" s="9" t="str" cm="1">
        <f t="array" ref="E304">IFERROR(_xlfn.XLOOKUP(D304,Locales!$A:$A,Locales!$B:$B,""),"")</f>
        <v/>
      </c>
      <c r="F304" s="9" cm="1">
        <f t="array" ref="F304">IFERROR(_xlfn.XLOOKUP(B304,Personal!$A:$A,Personal!$F:$F,""),"")</f>
        <v>0</v>
      </c>
      <c r="I304" s="10" cm="1">
        <f t="array" ref="I304">IFERROR(INDEX(Precios!$D:$F,MATCH(N304, Precios!$G:$G, 0),CHOOSE(MATCH(H304, {"SML";"XL";"XXL"}, 0), 1, 2, 3)), 0)</f>
        <v>0</v>
      </c>
      <c r="K304" s="10">
        <f t="shared" si="14"/>
        <v>0</v>
      </c>
      <c r="N304" s="9" t="str">
        <f t="shared" si="15"/>
        <v/>
      </c>
      <c r="O304" s="9" t="str">
        <f>IF(N304="","",IF(COUNTIF(Precios!$G:$G,N304)=0,"⚠ No coincide con Precios","OK"))</f>
        <v/>
      </c>
    </row>
    <row r="305" spans="3:15" x14ac:dyDescent="0.2">
      <c r="C305" s="9" cm="1">
        <f t="array" ref="C305">IFERROR(_xlfn.XLOOKUP(B305,Personal!$A:$A,Personal!$D:$D,""),"")</f>
        <v>0</v>
      </c>
      <c r="D305" s="9" cm="1">
        <f t="array" ref="D305">IFERROR(_xlfn.XLOOKUP(B305,Personal!$A:$A,Personal!$C:$C,""),"")</f>
        <v>0</v>
      </c>
      <c r="E305" s="9" t="str" cm="1">
        <f t="array" ref="E305">IFERROR(_xlfn.XLOOKUP(D305,Locales!$A:$A,Locales!$B:$B,""),"")</f>
        <v/>
      </c>
      <c r="F305" s="9" cm="1">
        <f t="array" ref="F305">IFERROR(_xlfn.XLOOKUP(B305,Personal!$A:$A,Personal!$F:$F,""),"")</f>
        <v>0</v>
      </c>
      <c r="I305" s="10" cm="1">
        <f t="array" ref="I305">IFERROR(INDEX(Precios!$D:$F,MATCH(N305, Precios!$G:$G, 0),CHOOSE(MATCH(H305, {"SML";"XL";"XXL"}, 0), 1, 2, 3)), 0)</f>
        <v>0</v>
      </c>
      <c r="K305" s="10">
        <f t="shared" si="14"/>
        <v>0</v>
      </c>
      <c r="N305" s="9" t="str">
        <f t="shared" si="15"/>
        <v/>
      </c>
      <c r="O305" s="9" t="str">
        <f>IF(N305="","",IF(COUNTIF(Precios!$G:$G,N305)=0,"⚠ No coincide con Precios","OK"))</f>
        <v/>
      </c>
    </row>
    <row r="306" spans="3:15" x14ac:dyDescent="0.2">
      <c r="C306" s="9" cm="1">
        <f t="array" ref="C306">IFERROR(_xlfn.XLOOKUP(B306,Personal!$A:$A,Personal!$D:$D,""),"")</f>
        <v>0</v>
      </c>
      <c r="D306" s="9" cm="1">
        <f t="array" ref="D306">IFERROR(_xlfn.XLOOKUP(B306,Personal!$A:$A,Personal!$C:$C,""),"")</f>
        <v>0</v>
      </c>
      <c r="E306" s="9" t="str" cm="1">
        <f t="array" ref="E306">IFERROR(_xlfn.XLOOKUP(D306,Locales!$A:$A,Locales!$B:$B,""),"")</f>
        <v/>
      </c>
      <c r="F306" s="9" cm="1">
        <f t="array" ref="F306">IFERROR(_xlfn.XLOOKUP(B306,Personal!$A:$A,Personal!$F:$F,""),"")</f>
        <v>0</v>
      </c>
      <c r="I306" s="10" cm="1">
        <f t="array" ref="I306">IFERROR(INDEX(Precios!$D:$F,MATCH(N306, Precios!$G:$G, 0),CHOOSE(MATCH(H306, {"SML";"XL";"XXL"}, 0), 1, 2, 3)), 0)</f>
        <v>0</v>
      </c>
      <c r="K306" s="10">
        <f t="shared" si="14"/>
        <v>0</v>
      </c>
      <c r="N306" s="9" t="str">
        <f t="shared" si="15"/>
        <v/>
      </c>
      <c r="O306" s="9" t="str">
        <f>IF(N306="","",IF(COUNTIF(Precios!$G:$G,N306)=0,"⚠ No coincide con Precios","OK"))</f>
        <v/>
      </c>
    </row>
    <row r="307" spans="3:15" x14ac:dyDescent="0.2">
      <c r="C307" s="9" cm="1">
        <f t="array" ref="C307">IFERROR(_xlfn.XLOOKUP(B307,Personal!$A:$A,Personal!$D:$D,""),"")</f>
        <v>0</v>
      </c>
      <c r="D307" s="9" cm="1">
        <f t="array" ref="D307">IFERROR(_xlfn.XLOOKUP(B307,Personal!$A:$A,Personal!$C:$C,""),"")</f>
        <v>0</v>
      </c>
      <c r="E307" s="9" t="str" cm="1">
        <f t="array" ref="E307">IFERROR(_xlfn.XLOOKUP(D307,Locales!$A:$A,Locales!$B:$B,""),"")</f>
        <v/>
      </c>
      <c r="F307" s="9" cm="1">
        <f t="array" ref="F307">IFERROR(_xlfn.XLOOKUP(B307,Personal!$A:$A,Personal!$F:$F,""),"")</f>
        <v>0</v>
      </c>
      <c r="I307" s="10" cm="1">
        <f t="array" ref="I307">IFERROR(INDEX(Precios!$D:$F,MATCH(N307, Precios!$G:$G, 0),CHOOSE(MATCH(H307, {"SML";"XL";"XXL"}, 0), 1, 2, 3)), 0)</f>
        <v>0</v>
      </c>
      <c r="K307" s="10">
        <f t="shared" si="14"/>
        <v>0</v>
      </c>
      <c r="N307" s="9" t="str">
        <f t="shared" si="15"/>
        <v/>
      </c>
      <c r="O307" s="9" t="str">
        <f>IF(N307="","",IF(COUNTIF(Precios!$G:$G,N307)=0,"⚠ No coincide con Precios","OK"))</f>
        <v/>
      </c>
    </row>
    <row r="308" spans="3:15" x14ac:dyDescent="0.2">
      <c r="C308" s="9" cm="1">
        <f t="array" ref="C308">IFERROR(_xlfn.XLOOKUP(B308,Personal!$A:$A,Personal!$D:$D,""),"")</f>
        <v>0</v>
      </c>
      <c r="D308" s="9" cm="1">
        <f t="array" ref="D308">IFERROR(_xlfn.XLOOKUP(B308,Personal!$A:$A,Personal!$C:$C,""),"")</f>
        <v>0</v>
      </c>
      <c r="E308" s="9" t="str" cm="1">
        <f t="array" ref="E308">IFERROR(_xlfn.XLOOKUP(D308,Locales!$A:$A,Locales!$B:$B,""),"")</f>
        <v/>
      </c>
      <c r="F308" s="9" cm="1">
        <f t="array" ref="F308">IFERROR(_xlfn.XLOOKUP(B308,Personal!$A:$A,Personal!$F:$F,""),"")</f>
        <v>0</v>
      </c>
      <c r="I308" s="10" cm="1">
        <f t="array" ref="I308">IFERROR(INDEX(Precios!$D:$F,MATCH(N308, Precios!$G:$G, 0),CHOOSE(MATCH(H308, {"SML";"XL";"XXL"}, 0), 1, 2, 3)), 0)</f>
        <v>0</v>
      </c>
      <c r="K308" s="10">
        <f t="shared" si="14"/>
        <v>0</v>
      </c>
      <c r="N308" s="9" t="str">
        <f t="shared" si="15"/>
        <v/>
      </c>
      <c r="O308" s="9" t="str">
        <f>IF(N308="","",IF(COUNTIF(Precios!$G:$G,N308)=0,"⚠ No coincide con Precios","OK"))</f>
        <v/>
      </c>
    </row>
    <row r="309" spans="3:15" x14ac:dyDescent="0.2">
      <c r="C309" s="9" cm="1">
        <f t="array" ref="C309">IFERROR(_xlfn.XLOOKUP(B309,Personal!$A:$A,Personal!$D:$D,""),"")</f>
        <v>0</v>
      </c>
      <c r="D309" s="9" cm="1">
        <f t="array" ref="D309">IFERROR(_xlfn.XLOOKUP(B309,Personal!$A:$A,Personal!$C:$C,""),"")</f>
        <v>0</v>
      </c>
      <c r="E309" s="9" t="str" cm="1">
        <f t="array" ref="E309">IFERROR(_xlfn.XLOOKUP(D309,Locales!$A:$A,Locales!$B:$B,""),"")</f>
        <v/>
      </c>
      <c r="F309" s="9" cm="1">
        <f t="array" ref="F309">IFERROR(_xlfn.XLOOKUP(B309,Personal!$A:$A,Personal!$F:$F,""),"")</f>
        <v>0</v>
      </c>
      <c r="I309" s="10" cm="1">
        <f t="array" ref="I309">IFERROR(INDEX(Precios!$D:$F,MATCH(N309, Precios!$G:$G, 0),CHOOSE(MATCH(H309, {"SML";"XL";"XXL"}, 0), 1, 2, 3)), 0)</f>
        <v>0</v>
      </c>
      <c r="K309" s="10">
        <f t="shared" si="14"/>
        <v>0</v>
      </c>
      <c r="N309" s="9" t="str">
        <f t="shared" si="15"/>
        <v/>
      </c>
      <c r="O309" s="9" t="str">
        <f>IF(N309="","",IF(COUNTIF(Precios!$G:$G,N309)=0,"⚠ No coincide con Precios","OK"))</f>
        <v/>
      </c>
    </row>
    <row r="310" spans="3:15" x14ac:dyDescent="0.2">
      <c r="C310" s="9" cm="1">
        <f t="array" ref="C310">IFERROR(_xlfn.XLOOKUP(B310,Personal!$A:$A,Personal!$D:$D,""),"")</f>
        <v>0</v>
      </c>
      <c r="D310" s="9" cm="1">
        <f t="array" ref="D310">IFERROR(_xlfn.XLOOKUP(B310,Personal!$A:$A,Personal!$C:$C,""),"")</f>
        <v>0</v>
      </c>
      <c r="E310" s="9" t="str" cm="1">
        <f t="array" ref="E310">IFERROR(_xlfn.XLOOKUP(D310,Locales!$A:$A,Locales!$B:$B,""),"")</f>
        <v/>
      </c>
      <c r="F310" s="9" cm="1">
        <f t="array" ref="F310">IFERROR(_xlfn.XLOOKUP(B310,Personal!$A:$A,Personal!$F:$F,""),"")</f>
        <v>0</v>
      </c>
      <c r="I310" s="10" cm="1">
        <f t="array" ref="I310">IFERROR(INDEX(Precios!$D:$F,MATCH(N310, Precios!$G:$G, 0),CHOOSE(MATCH(H310, {"SML";"XL";"XXL"}, 0), 1, 2, 3)), 0)</f>
        <v>0</v>
      </c>
      <c r="K310" s="10">
        <f t="shared" si="14"/>
        <v>0</v>
      </c>
      <c r="N310" s="9" t="str">
        <f t="shared" si="15"/>
        <v/>
      </c>
      <c r="O310" s="9" t="str">
        <f>IF(N310="","",IF(COUNTIF(Precios!$G:$G,N310)=0,"⚠ No coincide con Precios","OK"))</f>
        <v/>
      </c>
    </row>
    <row r="311" spans="3:15" x14ac:dyDescent="0.2">
      <c r="C311" s="9" cm="1">
        <f t="array" ref="C311">IFERROR(_xlfn.XLOOKUP(B311,Personal!$A:$A,Personal!$D:$D,""),"")</f>
        <v>0</v>
      </c>
      <c r="D311" s="9" cm="1">
        <f t="array" ref="D311">IFERROR(_xlfn.XLOOKUP(B311,Personal!$A:$A,Personal!$C:$C,""),"")</f>
        <v>0</v>
      </c>
      <c r="E311" s="9" t="str" cm="1">
        <f t="array" ref="E311">IFERROR(_xlfn.XLOOKUP(D311,Locales!$A:$A,Locales!$B:$B,""),"")</f>
        <v/>
      </c>
      <c r="F311" s="9" cm="1">
        <f t="array" ref="F311">IFERROR(_xlfn.XLOOKUP(B311,Personal!$A:$A,Personal!$F:$F,""),"")</f>
        <v>0</v>
      </c>
      <c r="I311" s="10" cm="1">
        <f t="array" ref="I311">IFERROR(INDEX(Precios!$D:$F,MATCH(N311, Precios!$G:$G, 0),CHOOSE(MATCH(H311, {"SML";"XL";"XXL"}, 0), 1, 2, 3)), 0)</f>
        <v>0</v>
      </c>
      <c r="K311" s="10">
        <f t="shared" si="14"/>
        <v>0</v>
      </c>
      <c r="N311" s="9" t="str">
        <f t="shared" si="15"/>
        <v/>
      </c>
      <c r="O311" s="9" t="str">
        <f>IF(N311="","",IF(COUNTIF(Precios!$G:$G,N311)=0,"⚠ No coincide con Precios","OK"))</f>
        <v/>
      </c>
    </row>
    <row r="312" spans="3:15" x14ac:dyDescent="0.2">
      <c r="C312" s="9" cm="1">
        <f t="array" ref="C312">IFERROR(_xlfn.XLOOKUP(B312,Personal!$A:$A,Personal!$D:$D,""),"")</f>
        <v>0</v>
      </c>
      <c r="D312" s="9" cm="1">
        <f t="array" ref="D312">IFERROR(_xlfn.XLOOKUP(B312,Personal!$A:$A,Personal!$C:$C,""),"")</f>
        <v>0</v>
      </c>
      <c r="E312" s="9" t="str" cm="1">
        <f t="array" ref="E312">IFERROR(_xlfn.XLOOKUP(D312,Locales!$A:$A,Locales!$B:$B,""),"")</f>
        <v/>
      </c>
      <c r="F312" s="9" cm="1">
        <f t="array" ref="F312">IFERROR(_xlfn.XLOOKUP(B312,Personal!$A:$A,Personal!$F:$F,""),"")</f>
        <v>0</v>
      </c>
      <c r="I312" s="10" cm="1">
        <f t="array" ref="I312">IFERROR(INDEX(Precios!$D:$F,MATCH(N312, Precios!$G:$G, 0),CHOOSE(MATCH(H312, {"SML";"XL";"XXL"}, 0), 1, 2, 3)), 0)</f>
        <v>0</v>
      </c>
      <c r="K312" s="10">
        <f t="shared" si="14"/>
        <v>0</v>
      </c>
      <c r="N312" s="9" t="str">
        <f t="shared" si="15"/>
        <v/>
      </c>
      <c r="O312" s="9" t="str">
        <f>IF(N312="","",IF(COUNTIF(Precios!$G:$G,N312)=0,"⚠ No coincide con Precios","OK"))</f>
        <v/>
      </c>
    </row>
    <row r="313" spans="3:15" x14ac:dyDescent="0.2">
      <c r="C313" s="9" cm="1">
        <f t="array" ref="C313">IFERROR(_xlfn.XLOOKUP(B313,Personal!$A:$A,Personal!$D:$D,""),"")</f>
        <v>0</v>
      </c>
      <c r="D313" s="9" cm="1">
        <f t="array" ref="D313">IFERROR(_xlfn.XLOOKUP(B313,Personal!$A:$A,Personal!$C:$C,""),"")</f>
        <v>0</v>
      </c>
      <c r="E313" s="9" t="str" cm="1">
        <f t="array" ref="E313">IFERROR(_xlfn.XLOOKUP(D313,Locales!$A:$A,Locales!$B:$B,""),"")</f>
        <v/>
      </c>
      <c r="F313" s="9" cm="1">
        <f t="array" ref="F313">IFERROR(_xlfn.XLOOKUP(B313,Personal!$A:$A,Personal!$F:$F,""),"")</f>
        <v>0</v>
      </c>
      <c r="I313" s="10" cm="1">
        <f t="array" ref="I313">IFERROR(INDEX(Precios!$D:$F,MATCH(N313, Precios!$G:$G, 0),CHOOSE(MATCH(H313, {"SML";"XL";"XXL"}, 0), 1, 2, 3)), 0)</f>
        <v>0</v>
      </c>
      <c r="K313" s="10">
        <f t="shared" si="14"/>
        <v>0</v>
      </c>
      <c r="N313" s="9" t="str">
        <f t="shared" si="15"/>
        <v/>
      </c>
      <c r="O313" s="9" t="str">
        <f>IF(N313="","",IF(COUNTIF(Precios!$G:$G,N313)=0,"⚠ No coincide con Precios","OK"))</f>
        <v/>
      </c>
    </row>
    <row r="314" spans="3:15" x14ac:dyDescent="0.2">
      <c r="C314" s="9" cm="1">
        <f t="array" ref="C314">IFERROR(_xlfn.XLOOKUP(B314,Personal!$A:$A,Personal!$D:$D,""),"")</f>
        <v>0</v>
      </c>
      <c r="D314" s="9" cm="1">
        <f t="array" ref="D314">IFERROR(_xlfn.XLOOKUP(B314,Personal!$A:$A,Personal!$C:$C,""),"")</f>
        <v>0</v>
      </c>
      <c r="E314" s="9" t="str" cm="1">
        <f t="array" ref="E314">IFERROR(_xlfn.XLOOKUP(D314,Locales!$A:$A,Locales!$B:$B,""),"")</f>
        <v/>
      </c>
      <c r="F314" s="9" cm="1">
        <f t="array" ref="F314">IFERROR(_xlfn.XLOOKUP(B314,Personal!$A:$A,Personal!$F:$F,""),"")</f>
        <v>0</v>
      </c>
      <c r="I314" s="10" cm="1">
        <f t="array" ref="I314">IFERROR(INDEX(Precios!$D:$F,MATCH(N314, Precios!$G:$G, 0),CHOOSE(MATCH(H314, {"SML";"XL";"XXL"}, 0), 1, 2, 3)), 0)</f>
        <v>0</v>
      </c>
      <c r="K314" s="10">
        <f t="shared" si="14"/>
        <v>0</v>
      </c>
      <c r="N314" s="9" t="str">
        <f t="shared" si="15"/>
        <v/>
      </c>
      <c r="O314" s="9" t="str">
        <f>IF(N314="","",IF(COUNTIF(Precios!$G:$G,N314)=0,"⚠ No coincide con Precios","OK"))</f>
        <v/>
      </c>
    </row>
    <row r="315" spans="3:15" x14ac:dyDescent="0.2">
      <c r="C315" s="9" cm="1">
        <f t="array" ref="C315">IFERROR(_xlfn.XLOOKUP(B315,Personal!$A:$A,Personal!$D:$D,""),"")</f>
        <v>0</v>
      </c>
      <c r="D315" s="9" cm="1">
        <f t="array" ref="D315">IFERROR(_xlfn.XLOOKUP(B315,Personal!$A:$A,Personal!$C:$C,""),"")</f>
        <v>0</v>
      </c>
      <c r="E315" s="9" t="str" cm="1">
        <f t="array" ref="E315">IFERROR(_xlfn.XLOOKUP(D315,Locales!$A:$A,Locales!$B:$B,""),"")</f>
        <v/>
      </c>
      <c r="F315" s="9" cm="1">
        <f t="array" ref="F315">IFERROR(_xlfn.XLOOKUP(B315,Personal!$A:$A,Personal!$F:$F,""),"")</f>
        <v>0</v>
      </c>
      <c r="I315" s="10" cm="1">
        <f t="array" ref="I315">IFERROR(INDEX(Precios!$D:$F,MATCH(N315, Precios!$G:$G, 0),CHOOSE(MATCH(H315, {"SML";"XL";"XXL"}, 0), 1, 2, 3)), 0)</f>
        <v>0</v>
      </c>
      <c r="K315" s="10">
        <f t="shared" si="14"/>
        <v>0</v>
      </c>
      <c r="N315" s="9" t="str">
        <f t="shared" si="15"/>
        <v/>
      </c>
      <c r="O315" s="9" t="str">
        <f>IF(N315="","",IF(COUNTIF(Precios!$G:$G,N315)=0,"⚠ No coincide con Precios","OK"))</f>
        <v/>
      </c>
    </row>
    <row r="316" spans="3:15" x14ac:dyDescent="0.2">
      <c r="C316" s="9" cm="1">
        <f t="array" ref="C316">IFERROR(_xlfn.XLOOKUP(B316,Personal!$A:$A,Personal!$D:$D,""),"")</f>
        <v>0</v>
      </c>
      <c r="D316" s="9" cm="1">
        <f t="array" ref="D316">IFERROR(_xlfn.XLOOKUP(B316,Personal!$A:$A,Personal!$C:$C,""),"")</f>
        <v>0</v>
      </c>
      <c r="E316" s="9" t="str" cm="1">
        <f t="array" ref="E316">IFERROR(_xlfn.XLOOKUP(D316,Locales!$A:$A,Locales!$B:$B,""),"")</f>
        <v/>
      </c>
      <c r="F316" s="9" cm="1">
        <f t="array" ref="F316">IFERROR(_xlfn.XLOOKUP(B316,Personal!$A:$A,Personal!$F:$F,""),"")</f>
        <v>0</v>
      </c>
      <c r="I316" s="10" cm="1">
        <f t="array" ref="I316">IFERROR(INDEX(Precios!$D:$F,MATCH(N316, Precios!$G:$G, 0),CHOOSE(MATCH(H316, {"SML";"XL";"XXL"}, 0), 1, 2, 3)), 0)</f>
        <v>0</v>
      </c>
      <c r="K316" s="10">
        <f t="shared" si="14"/>
        <v>0</v>
      </c>
      <c r="N316" s="9" t="str">
        <f t="shared" si="15"/>
        <v/>
      </c>
      <c r="O316" s="9" t="str">
        <f>IF(N316="","",IF(COUNTIF(Precios!$G:$G,N316)=0,"⚠ No coincide con Precios","OK"))</f>
        <v/>
      </c>
    </row>
    <row r="317" spans="3:15" x14ac:dyDescent="0.2">
      <c r="C317" s="9" cm="1">
        <f t="array" ref="C317">IFERROR(_xlfn.XLOOKUP(B317,Personal!$A:$A,Personal!$D:$D,""),"")</f>
        <v>0</v>
      </c>
      <c r="D317" s="9" cm="1">
        <f t="array" ref="D317">IFERROR(_xlfn.XLOOKUP(B317,Personal!$A:$A,Personal!$C:$C,""),"")</f>
        <v>0</v>
      </c>
      <c r="E317" s="9" t="str" cm="1">
        <f t="array" ref="E317">IFERROR(_xlfn.XLOOKUP(D317,Locales!$A:$A,Locales!$B:$B,""),"")</f>
        <v/>
      </c>
      <c r="F317" s="9" cm="1">
        <f t="array" ref="F317">IFERROR(_xlfn.XLOOKUP(B317,Personal!$A:$A,Personal!$F:$F,""),"")</f>
        <v>0</v>
      </c>
      <c r="I317" s="10" cm="1">
        <f t="array" ref="I317">IFERROR(INDEX(Precios!$D:$F,MATCH(N317, Precios!$G:$G, 0),CHOOSE(MATCH(H317, {"SML";"XL";"XXL"}, 0), 1, 2, 3)), 0)</f>
        <v>0</v>
      </c>
      <c r="K317" s="10">
        <f t="shared" si="14"/>
        <v>0</v>
      </c>
      <c r="N317" s="9" t="str">
        <f t="shared" si="15"/>
        <v/>
      </c>
      <c r="O317" s="9" t="str">
        <f>IF(N317="","",IF(COUNTIF(Precios!$G:$G,N317)=0,"⚠ No coincide con Precios","OK"))</f>
        <v/>
      </c>
    </row>
    <row r="318" spans="3:15" x14ac:dyDescent="0.2">
      <c r="C318" s="9" cm="1">
        <f t="array" ref="C318">IFERROR(_xlfn.XLOOKUP(B318,Personal!$A:$A,Personal!$D:$D,""),"")</f>
        <v>0</v>
      </c>
      <c r="D318" s="9" cm="1">
        <f t="array" ref="D318">IFERROR(_xlfn.XLOOKUP(B318,Personal!$A:$A,Personal!$C:$C,""),"")</f>
        <v>0</v>
      </c>
      <c r="E318" s="9" t="str" cm="1">
        <f t="array" ref="E318">IFERROR(_xlfn.XLOOKUP(D318,Locales!$A:$A,Locales!$B:$B,""),"")</f>
        <v/>
      </c>
      <c r="F318" s="9" cm="1">
        <f t="array" ref="F318">IFERROR(_xlfn.XLOOKUP(B318,Personal!$A:$A,Personal!$F:$F,""),"")</f>
        <v>0</v>
      </c>
      <c r="I318" s="10" cm="1">
        <f t="array" ref="I318">IFERROR(INDEX(Precios!$D:$F,MATCH(N318, Precios!$G:$G, 0),CHOOSE(MATCH(H318, {"SML";"XL";"XXL"}, 0), 1, 2, 3)), 0)</f>
        <v>0</v>
      </c>
      <c r="K318" s="10">
        <f t="shared" ref="K318:K381" si="16">IFERROR(I318*J318,0)</f>
        <v>0</v>
      </c>
      <c r="N318" s="9" t="str">
        <f t="shared" ref="N318:N381" si="17">IF( OR(E318="",F318="",G318=""), "",CLEAN(TRIM(E318)) &amp; "|" &amp; CLEAN(TRIM(F318)) &amp; "|" &amp; CLEAN(TRIM(G318)))</f>
        <v/>
      </c>
      <c r="O318" s="9" t="str">
        <f>IF(N318="","",IF(COUNTIF(Precios!$G:$G,N318)=0,"⚠ No coincide con Precios","OK"))</f>
        <v/>
      </c>
    </row>
    <row r="319" spans="3:15" x14ac:dyDescent="0.2">
      <c r="C319" s="9" cm="1">
        <f t="array" ref="C319">IFERROR(_xlfn.XLOOKUP(B319,Personal!$A:$A,Personal!$D:$D,""),"")</f>
        <v>0</v>
      </c>
      <c r="D319" s="9" cm="1">
        <f t="array" ref="D319">IFERROR(_xlfn.XLOOKUP(B319,Personal!$A:$A,Personal!$C:$C,""),"")</f>
        <v>0</v>
      </c>
      <c r="E319" s="9" t="str" cm="1">
        <f t="array" ref="E319">IFERROR(_xlfn.XLOOKUP(D319,Locales!$A:$A,Locales!$B:$B,""),"")</f>
        <v/>
      </c>
      <c r="F319" s="9" cm="1">
        <f t="array" ref="F319">IFERROR(_xlfn.XLOOKUP(B319,Personal!$A:$A,Personal!$F:$F,""),"")</f>
        <v>0</v>
      </c>
      <c r="I319" s="10" cm="1">
        <f t="array" ref="I319">IFERROR(INDEX(Precios!$D:$F,MATCH(N319, Precios!$G:$G, 0),CHOOSE(MATCH(H319, {"SML";"XL";"XXL"}, 0), 1, 2, 3)), 0)</f>
        <v>0</v>
      </c>
      <c r="K319" s="10">
        <f t="shared" si="16"/>
        <v>0</v>
      </c>
      <c r="N319" s="9" t="str">
        <f t="shared" si="17"/>
        <v/>
      </c>
      <c r="O319" s="9" t="str">
        <f>IF(N319="","",IF(COUNTIF(Precios!$G:$G,N319)=0,"⚠ No coincide con Precios","OK"))</f>
        <v/>
      </c>
    </row>
    <row r="320" spans="3:15" x14ac:dyDescent="0.2">
      <c r="C320" s="9" cm="1">
        <f t="array" ref="C320">IFERROR(_xlfn.XLOOKUP(B320,Personal!$A:$A,Personal!$D:$D,""),"")</f>
        <v>0</v>
      </c>
      <c r="D320" s="9" cm="1">
        <f t="array" ref="D320">IFERROR(_xlfn.XLOOKUP(B320,Personal!$A:$A,Personal!$C:$C,""),"")</f>
        <v>0</v>
      </c>
      <c r="E320" s="9" t="str" cm="1">
        <f t="array" ref="E320">IFERROR(_xlfn.XLOOKUP(D320,Locales!$A:$A,Locales!$B:$B,""),"")</f>
        <v/>
      </c>
      <c r="F320" s="9" cm="1">
        <f t="array" ref="F320">IFERROR(_xlfn.XLOOKUP(B320,Personal!$A:$A,Personal!$F:$F,""),"")</f>
        <v>0</v>
      </c>
      <c r="I320" s="10" cm="1">
        <f t="array" ref="I320">IFERROR(INDEX(Precios!$D:$F,MATCH(N320, Precios!$G:$G, 0),CHOOSE(MATCH(H320, {"SML";"XL";"XXL"}, 0), 1, 2, 3)), 0)</f>
        <v>0</v>
      </c>
      <c r="K320" s="10">
        <f t="shared" si="16"/>
        <v>0</v>
      </c>
      <c r="N320" s="9" t="str">
        <f t="shared" si="17"/>
        <v/>
      </c>
      <c r="O320" s="9" t="str">
        <f>IF(N320="","",IF(COUNTIF(Precios!$G:$G,N320)=0,"⚠ No coincide con Precios","OK"))</f>
        <v/>
      </c>
    </row>
    <row r="321" spans="3:15" x14ac:dyDescent="0.2">
      <c r="C321" s="9" cm="1">
        <f t="array" ref="C321">IFERROR(_xlfn.XLOOKUP(B321,Personal!$A:$A,Personal!$D:$D,""),"")</f>
        <v>0</v>
      </c>
      <c r="D321" s="9" cm="1">
        <f t="array" ref="D321">IFERROR(_xlfn.XLOOKUP(B321,Personal!$A:$A,Personal!$C:$C,""),"")</f>
        <v>0</v>
      </c>
      <c r="E321" s="9" t="str" cm="1">
        <f t="array" ref="E321">IFERROR(_xlfn.XLOOKUP(D321,Locales!$A:$A,Locales!$B:$B,""),"")</f>
        <v/>
      </c>
      <c r="F321" s="9" cm="1">
        <f t="array" ref="F321">IFERROR(_xlfn.XLOOKUP(B321,Personal!$A:$A,Personal!$F:$F,""),"")</f>
        <v>0</v>
      </c>
      <c r="I321" s="10" cm="1">
        <f t="array" ref="I321">IFERROR(INDEX(Precios!$D:$F,MATCH(N321, Precios!$G:$G, 0),CHOOSE(MATCH(H321, {"SML";"XL";"XXL"}, 0), 1, 2, 3)), 0)</f>
        <v>0</v>
      </c>
      <c r="K321" s="10">
        <f t="shared" si="16"/>
        <v>0</v>
      </c>
      <c r="N321" s="9" t="str">
        <f t="shared" si="17"/>
        <v/>
      </c>
      <c r="O321" s="9" t="str">
        <f>IF(N321="","",IF(COUNTIF(Precios!$G:$G,N321)=0,"⚠ No coincide con Precios","OK"))</f>
        <v/>
      </c>
    </row>
    <row r="322" spans="3:15" x14ac:dyDescent="0.2">
      <c r="C322" s="9" cm="1">
        <f t="array" ref="C322">IFERROR(_xlfn.XLOOKUP(B322,Personal!$A:$A,Personal!$D:$D,""),"")</f>
        <v>0</v>
      </c>
      <c r="D322" s="9" cm="1">
        <f t="array" ref="D322">IFERROR(_xlfn.XLOOKUP(B322,Personal!$A:$A,Personal!$C:$C,""),"")</f>
        <v>0</v>
      </c>
      <c r="E322" s="9" t="str" cm="1">
        <f t="array" ref="E322">IFERROR(_xlfn.XLOOKUP(D322,Locales!$A:$A,Locales!$B:$B,""),"")</f>
        <v/>
      </c>
      <c r="F322" s="9" cm="1">
        <f t="array" ref="F322">IFERROR(_xlfn.XLOOKUP(B322,Personal!$A:$A,Personal!$F:$F,""),"")</f>
        <v>0</v>
      </c>
      <c r="I322" s="10" cm="1">
        <f t="array" ref="I322">IFERROR(INDEX(Precios!$D:$F,MATCH(N322, Precios!$G:$G, 0),CHOOSE(MATCH(H322, {"SML";"XL";"XXL"}, 0), 1, 2, 3)), 0)</f>
        <v>0</v>
      </c>
      <c r="K322" s="10">
        <f t="shared" si="16"/>
        <v>0</v>
      </c>
      <c r="N322" s="9" t="str">
        <f t="shared" si="17"/>
        <v/>
      </c>
      <c r="O322" s="9" t="str">
        <f>IF(N322="","",IF(COUNTIF(Precios!$G:$G,N322)=0,"⚠ No coincide con Precios","OK"))</f>
        <v/>
      </c>
    </row>
    <row r="323" spans="3:15" x14ac:dyDescent="0.2">
      <c r="C323" s="9" cm="1">
        <f t="array" ref="C323">IFERROR(_xlfn.XLOOKUP(B323,Personal!$A:$A,Personal!$D:$D,""),"")</f>
        <v>0</v>
      </c>
      <c r="D323" s="9" cm="1">
        <f t="array" ref="D323">IFERROR(_xlfn.XLOOKUP(B323,Personal!$A:$A,Personal!$C:$C,""),"")</f>
        <v>0</v>
      </c>
      <c r="E323" s="9" t="str" cm="1">
        <f t="array" ref="E323">IFERROR(_xlfn.XLOOKUP(D323,Locales!$A:$A,Locales!$B:$B,""),"")</f>
        <v/>
      </c>
      <c r="F323" s="9" cm="1">
        <f t="array" ref="F323">IFERROR(_xlfn.XLOOKUP(B323,Personal!$A:$A,Personal!$F:$F,""),"")</f>
        <v>0</v>
      </c>
      <c r="I323" s="10" cm="1">
        <f t="array" ref="I323">IFERROR(INDEX(Precios!$D:$F,MATCH(N323, Precios!$G:$G, 0),CHOOSE(MATCH(H323, {"SML";"XL";"XXL"}, 0), 1, 2, 3)), 0)</f>
        <v>0</v>
      </c>
      <c r="K323" s="10">
        <f t="shared" si="16"/>
        <v>0</v>
      </c>
      <c r="N323" s="9" t="str">
        <f t="shared" si="17"/>
        <v/>
      </c>
      <c r="O323" s="9" t="str">
        <f>IF(N323="","",IF(COUNTIF(Precios!$G:$G,N323)=0,"⚠ No coincide con Precios","OK"))</f>
        <v/>
      </c>
    </row>
    <row r="324" spans="3:15" x14ac:dyDescent="0.2">
      <c r="C324" s="9" cm="1">
        <f t="array" ref="C324">IFERROR(_xlfn.XLOOKUP(B324,Personal!$A:$A,Personal!$D:$D,""),"")</f>
        <v>0</v>
      </c>
      <c r="D324" s="9" cm="1">
        <f t="array" ref="D324">IFERROR(_xlfn.XLOOKUP(B324,Personal!$A:$A,Personal!$C:$C,""),"")</f>
        <v>0</v>
      </c>
      <c r="E324" s="9" t="str" cm="1">
        <f t="array" ref="E324">IFERROR(_xlfn.XLOOKUP(D324,Locales!$A:$A,Locales!$B:$B,""),"")</f>
        <v/>
      </c>
      <c r="F324" s="9" cm="1">
        <f t="array" ref="F324">IFERROR(_xlfn.XLOOKUP(B324,Personal!$A:$A,Personal!$F:$F,""),"")</f>
        <v>0</v>
      </c>
      <c r="I324" s="10" cm="1">
        <f t="array" ref="I324">IFERROR(INDEX(Precios!$D:$F,MATCH(N324, Precios!$G:$G, 0),CHOOSE(MATCH(H324, {"SML";"XL";"XXL"}, 0), 1, 2, 3)), 0)</f>
        <v>0</v>
      </c>
      <c r="K324" s="10">
        <f t="shared" si="16"/>
        <v>0</v>
      </c>
      <c r="N324" s="9" t="str">
        <f t="shared" si="17"/>
        <v/>
      </c>
      <c r="O324" s="9" t="str">
        <f>IF(N324="","",IF(COUNTIF(Precios!$G:$G,N324)=0,"⚠ No coincide con Precios","OK"))</f>
        <v/>
      </c>
    </row>
    <row r="325" spans="3:15" x14ac:dyDescent="0.2">
      <c r="C325" s="9" cm="1">
        <f t="array" ref="C325">IFERROR(_xlfn.XLOOKUP(B325,Personal!$A:$A,Personal!$D:$D,""),"")</f>
        <v>0</v>
      </c>
      <c r="D325" s="9" cm="1">
        <f t="array" ref="D325">IFERROR(_xlfn.XLOOKUP(B325,Personal!$A:$A,Personal!$C:$C,""),"")</f>
        <v>0</v>
      </c>
      <c r="E325" s="9" t="str" cm="1">
        <f t="array" ref="E325">IFERROR(_xlfn.XLOOKUP(D325,Locales!$A:$A,Locales!$B:$B,""),"")</f>
        <v/>
      </c>
      <c r="F325" s="9" cm="1">
        <f t="array" ref="F325">IFERROR(_xlfn.XLOOKUP(B325,Personal!$A:$A,Personal!$F:$F,""),"")</f>
        <v>0</v>
      </c>
      <c r="I325" s="10" cm="1">
        <f t="array" ref="I325">IFERROR(INDEX(Precios!$D:$F,MATCH(N325, Precios!$G:$G, 0),CHOOSE(MATCH(H325, {"SML";"XL";"XXL"}, 0), 1, 2, 3)), 0)</f>
        <v>0</v>
      </c>
      <c r="K325" s="10">
        <f t="shared" si="16"/>
        <v>0</v>
      </c>
      <c r="N325" s="9" t="str">
        <f t="shared" si="17"/>
        <v/>
      </c>
      <c r="O325" s="9" t="str">
        <f>IF(N325="","",IF(COUNTIF(Precios!$G:$G,N325)=0,"⚠ No coincide con Precios","OK"))</f>
        <v/>
      </c>
    </row>
    <row r="326" spans="3:15" x14ac:dyDescent="0.2">
      <c r="C326" s="9" cm="1">
        <f t="array" ref="C326">IFERROR(_xlfn.XLOOKUP(B326,Personal!$A:$A,Personal!$D:$D,""),"")</f>
        <v>0</v>
      </c>
      <c r="D326" s="9" cm="1">
        <f t="array" ref="D326">IFERROR(_xlfn.XLOOKUP(B326,Personal!$A:$A,Personal!$C:$C,""),"")</f>
        <v>0</v>
      </c>
      <c r="E326" s="9" t="str" cm="1">
        <f t="array" ref="E326">IFERROR(_xlfn.XLOOKUP(D326,Locales!$A:$A,Locales!$B:$B,""),"")</f>
        <v/>
      </c>
      <c r="F326" s="9" cm="1">
        <f t="array" ref="F326">IFERROR(_xlfn.XLOOKUP(B326,Personal!$A:$A,Personal!$F:$F,""),"")</f>
        <v>0</v>
      </c>
      <c r="I326" s="10" cm="1">
        <f t="array" ref="I326">IFERROR(INDEX(Precios!$D:$F,MATCH(N326, Precios!$G:$G, 0),CHOOSE(MATCH(H326, {"SML";"XL";"XXL"}, 0), 1, 2, 3)), 0)</f>
        <v>0</v>
      </c>
      <c r="K326" s="10">
        <f t="shared" si="16"/>
        <v>0</v>
      </c>
      <c r="N326" s="9" t="str">
        <f t="shared" si="17"/>
        <v/>
      </c>
      <c r="O326" s="9" t="str">
        <f>IF(N326="","",IF(COUNTIF(Precios!$G:$G,N326)=0,"⚠ No coincide con Precios","OK"))</f>
        <v/>
      </c>
    </row>
    <row r="327" spans="3:15" x14ac:dyDescent="0.2">
      <c r="C327" s="9" cm="1">
        <f t="array" ref="C327">IFERROR(_xlfn.XLOOKUP(B327,Personal!$A:$A,Personal!$D:$D,""),"")</f>
        <v>0</v>
      </c>
      <c r="D327" s="9" cm="1">
        <f t="array" ref="D327">IFERROR(_xlfn.XLOOKUP(B327,Personal!$A:$A,Personal!$C:$C,""),"")</f>
        <v>0</v>
      </c>
      <c r="E327" s="9" t="str" cm="1">
        <f t="array" ref="E327">IFERROR(_xlfn.XLOOKUP(D327,Locales!$A:$A,Locales!$B:$B,""),"")</f>
        <v/>
      </c>
      <c r="F327" s="9" cm="1">
        <f t="array" ref="F327">IFERROR(_xlfn.XLOOKUP(B327,Personal!$A:$A,Personal!$F:$F,""),"")</f>
        <v>0</v>
      </c>
      <c r="I327" s="10" cm="1">
        <f t="array" ref="I327">IFERROR(INDEX(Precios!$D:$F,MATCH(N327, Precios!$G:$G, 0),CHOOSE(MATCH(H327, {"SML";"XL";"XXL"}, 0), 1, 2, 3)), 0)</f>
        <v>0</v>
      </c>
      <c r="K327" s="10">
        <f t="shared" si="16"/>
        <v>0</v>
      </c>
      <c r="N327" s="9" t="str">
        <f t="shared" si="17"/>
        <v/>
      </c>
      <c r="O327" s="9" t="str">
        <f>IF(N327="","",IF(COUNTIF(Precios!$G:$G,N327)=0,"⚠ No coincide con Precios","OK"))</f>
        <v/>
      </c>
    </row>
    <row r="328" spans="3:15" x14ac:dyDescent="0.2">
      <c r="C328" s="9" cm="1">
        <f t="array" ref="C328">IFERROR(_xlfn.XLOOKUP(B328,Personal!$A:$A,Personal!$D:$D,""),"")</f>
        <v>0</v>
      </c>
      <c r="D328" s="9" cm="1">
        <f t="array" ref="D328">IFERROR(_xlfn.XLOOKUP(B328,Personal!$A:$A,Personal!$C:$C,""),"")</f>
        <v>0</v>
      </c>
      <c r="E328" s="9" t="str" cm="1">
        <f t="array" ref="E328">IFERROR(_xlfn.XLOOKUP(D328,Locales!$A:$A,Locales!$B:$B,""),"")</f>
        <v/>
      </c>
      <c r="F328" s="9" cm="1">
        <f t="array" ref="F328">IFERROR(_xlfn.XLOOKUP(B328,Personal!$A:$A,Personal!$F:$F,""),"")</f>
        <v>0</v>
      </c>
      <c r="I328" s="10" cm="1">
        <f t="array" ref="I328">IFERROR(INDEX(Precios!$D:$F,MATCH(N328, Precios!$G:$G, 0),CHOOSE(MATCH(H328, {"SML";"XL";"XXL"}, 0), 1, 2, 3)), 0)</f>
        <v>0</v>
      </c>
      <c r="K328" s="10">
        <f t="shared" si="16"/>
        <v>0</v>
      </c>
      <c r="N328" s="9" t="str">
        <f t="shared" si="17"/>
        <v/>
      </c>
      <c r="O328" s="9" t="str">
        <f>IF(N328="","",IF(COUNTIF(Precios!$G:$G,N328)=0,"⚠ No coincide con Precios","OK"))</f>
        <v/>
      </c>
    </row>
    <row r="329" spans="3:15" x14ac:dyDescent="0.2">
      <c r="C329" s="9" cm="1">
        <f t="array" ref="C329">IFERROR(_xlfn.XLOOKUP(B329,Personal!$A:$A,Personal!$D:$D,""),"")</f>
        <v>0</v>
      </c>
      <c r="D329" s="9" cm="1">
        <f t="array" ref="D329">IFERROR(_xlfn.XLOOKUP(B329,Personal!$A:$A,Personal!$C:$C,""),"")</f>
        <v>0</v>
      </c>
      <c r="E329" s="9" t="str" cm="1">
        <f t="array" ref="E329">IFERROR(_xlfn.XLOOKUP(D329,Locales!$A:$A,Locales!$B:$B,""),"")</f>
        <v/>
      </c>
      <c r="F329" s="9" cm="1">
        <f t="array" ref="F329">IFERROR(_xlfn.XLOOKUP(B329,Personal!$A:$A,Personal!$F:$F,""),"")</f>
        <v>0</v>
      </c>
      <c r="I329" s="10" cm="1">
        <f t="array" ref="I329">IFERROR(INDEX(Precios!$D:$F,MATCH(N329, Precios!$G:$G, 0),CHOOSE(MATCH(H329, {"SML";"XL";"XXL"}, 0), 1, 2, 3)), 0)</f>
        <v>0</v>
      </c>
      <c r="K329" s="10">
        <f t="shared" si="16"/>
        <v>0</v>
      </c>
      <c r="N329" s="9" t="str">
        <f t="shared" si="17"/>
        <v/>
      </c>
      <c r="O329" s="9" t="str">
        <f>IF(N329="","",IF(COUNTIF(Precios!$G:$G,N329)=0,"⚠ No coincide con Precios","OK"))</f>
        <v/>
      </c>
    </row>
    <row r="330" spans="3:15" x14ac:dyDescent="0.2">
      <c r="C330" s="9" cm="1">
        <f t="array" ref="C330">IFERROR(_xlfn.XLOOKUP(B330,Personal!$A:$A,Personal!$D:$D,""),"")</f>
        <v>0</v>
      </c>
      <c r="D330" s="9" cm="1">
        <f t="array" ref="D330">IFERROR(_xlfn.XLOOKUP(B330,Personal!$A:$A,Personal!$C:$C,""),"")</f>
        <v>0</v>
      </c>
      <c r="E330" s="9" t="str" cm="1">
        <f t="array" ref="E330">IFERROR(_xlfn.XLOOKUP(D330,Locales!$A:$A,Locales!$B:$B,""),"")</f>
        <v/>
      </c>
      <c r="F330" s="9" cm="1">
        <f t="array" ref="F330">IFERROR(_xlfn.XLOOKUP(B330,Personal!$A:$A,Personal!$F:$F,""),"")</f>
        <v>0</v>
      </c>
      <c r="I330" s="10" cm="1">
        <f t="array" ref="I330">IFERROR(INDEX(Precios!$D:$F,MATCH(N330, Precios!$G:$G, 0),CHOOSE(MATCH(H330, {"SML";"XL";"XXL"}, 0), 1, 2, 3)), 0)</f>
        <v>0</v>
      </c>
      <c r="K330" s="10">
        <f t="shared" si="16"/>
        <v>0</v>
      </c>
      <c r="N330" s="9" t="str">
        <f t="shared" si="17"/>
        <v/>
      </c>
      <c r="O330" s="9" t="str">
        <f>IF(N330="","",IF(COUNTIF(Precios!$G:$G,N330)=0,"⚠ No coincide con Precios","OK"))</f>
        <v/>
      </c>
    </row>
    <row r="331" spans="3:15" x14ac:dyDescent="0.2">
      <c r="C331" s="9" cm="1">
        <f t="array" ref="C331">IFERROR(_xlfn.XLOOKUP(B331,Personal!$A:$A,Personal!$D:$D,""),"")</f>
        <v>0</v>
      </c>
      <c r="D331" s="9" cm="1">
        <f t="array" ref="D331">IFERROR(_xlfn.XLOOKUP(B331,Personal!$A:$A,Personal!$C:$C,""),"")</f>
        <v>0</v>
      </c>
      <c r="E331" s="9" t="str" cm="1">
        <f t="array" ref="E331">IFERROR(_xlfn.XLOOKUP(D331,Locales!$A:$A,Locales!$B:$B,""),"")</f>
        <v/>
      </c>
      <c r="F331" s="9" cm="1">
        <f t="array" ref="F331">IFERROR(_xlfn.XLOOKUP(B331,Personal!$A:$A,Personal!$F:$F,""),"")</f>
        <v>0</v>
      </c>
      <c r="I331" s="10" cm="1">
        <f t="array" ref="I331">IFERROR(INDEX(Precios!$D:$F,MATCH(N331, Precios!$G:$G, 0),CHOOSE(MATCH(H331, {"SML";"XL";"XXL"}, 0), 1, 2, 3)), 0)</f>
        <v>0</v>
      </c>
      <c r="K331" s="10">
        <f t="shared" si="16"/>
        <v>0</v>
      </c>
      <c r="N331" s="9" t="str">
        <f t="shared" si="17"/>
        <v/>
      </c>
      <c r="O331" s="9" t="str">
        <f>IF(N331="","",IF(COUNTIF(Precios!$G:$G,N331)=0,"⚠ No coincide con Precios","OK"))</f>
        <v/>
      </c>
    </row>
    <row r="332" spans="3:15" x14ac:dyDescent="0.2">
      <c r="C332" s="9" cm="1">
        <f t="array" ref="C332">IFERROR(_xlfn.XLOOKUP(B332,Personal!$A:$A,Personal!$D:$D,""),"")</f>
        <v>0</v>
      </c>
      <c r="D332" s="9" cm="1">
        <f t="array" ref="D332">IFERROR(_xlfn.XLOOKUP(B332,Personal!$A:$A,Personal!$C:$C,""),"")</f>
        <v>0</v>
      </c>
      <c r="E332" s="9" t="str" cm="1">
        <f t="array" ref="E332">IFERROR(_xlfn.XLOOKUP(D332,Locales!$A:$A,Locales!$B:$B,""),"")</f>
        <v/>
      </c>
      <c r="F332" s="9" cm="1">
        <f t="array" ref="F332">IFERROR(_xlfn.XLOOKUP(B332,Personal!$A:$A,Personal!$F:$F,""),"")</f>
        <v>0</v>
      </c>
      <c r="I332" s="10" cm="1">
        <f t="array" ref="I332">IFERROR(INDEX(Precios!$D:$F,MATCH(N332, Precios!$G:$G, 0),CHOOSE(MATCH(H332, {"SML";"XL";"XXL"}, 0), 1, 2, 3)), 0)</f>
        <v>0</v>
      </c>
      <c r="K332" s="10">
        <f t="shared" si="16"/>
        <v>0</v>
      </c>
      <c r="N332" s="9" t="str">
        <f t="shared" si="17"/>
        <v/>
      </c>
      <c r="O332" s="9" t="str">
        <f>IF(N332="","",IF(COUNTIF(Precios!$G:$G,N332)=0,"⚠ No coincide con Precios","OK"))</f>
        <v/>
      </c>
    </row>
    <row r="333" spans="3:15" x14ac:dyDescent="0.2">
      <c r="C333" s="9" cm="1">
        <f t="array" ref="C333">IFERROR(_xlfn.XLOOKUP(B333,Personal!$A:$A,Personal!$D:$D,""),"")</f>
        <v>0</v>
      </c>
      <c r="D333" s="9" cm="1">
        <f t="array" ref="D333">IFERROR(_xlfn.XLOOKUP(B333,Personal!$A:$A,Personal!$C:$C,""),"")</f>
        <v>0</v>
      </c>
      <c r="E333" s="9" t="str" cm="1">
        <f t="array" ref="E333">IFERROR(_xlfn.XLOOKUP(D333,Locales!$A:$A,Locales!$B:$B,""),"")</f>
        <v/>
      </c>
      <c r="F333" s="9" cm="1">
        <f t="array" ref="F333">IFERROR(_xlfn.XLOOKUP(B333,Personal!$A:$A,Personal!$F:$F,""),"")</f>
        <v>0</v>
      </c>
      <c r="I333" s="10" cm="1">
        <f t="array" ref="I333">IFERROR(INDEX(Precios!$D:$F,MATCH(N333, Precios!$G:$G, 0),CHOOSE(MATCH(H333, {"SML";"XL";"XXL"}, 0), 1, 2, 3)), 0)</f>
        <v>0</v>
      </c>
      <c r="K333" s="10">
        <f t="shared" si="16"/>
        <v>0</v>
      </c>
      <c r="N333" s="9" t="str">
        <f t="shared" si="17"/>
        <v/>
      </c>
      <c r="O333" s="9" t="str">
        <f>IF(N333="","",IF(COUNTIF(Precios!$G:$G,N333)=0,"⚠ No coincide con Precios","OK"))</f>
        <v/>
      </c>
    </row>
    <row r="334" spans="3:15" x14ac:dyDescent="0.2">
      <c r="C334" s="9" cm="1">
        <f t="array" ref="C334">IFERROR(_xlfn.XLOOKUP(B334,Personal!$A:$A,Personal!$D:$D,""),"")</f>
        <v>0</v>
      </c>
      <c r="D334" s="9" cm="1">
        <f t="array" ref="D334">IFERROR(_xlfn.XLOOKUP(B334,Personal!$A:$A,Personal!$C:$C,""),"")</f>
        <v>0</v>
      </c>
      <c r="E334" s="9" t="str" cm="1">
        <f t="array" ref="E334">IFERROR(_xlfn.XLOOKUP(D334,Locales!$A:$A,Locales!$B:$B,""),"")</f>
        <v/>
      </c>
      <c r="F334" s="9" cm="1">
        <f t="array" ref="F334">IFERROR(_xlfn.XLOOKUP(B334,Personal!$A:$A,Personal!$F:$F,""),"")</f>
        <v>0</v>
      </c>
      <c r="I334" s="10" cm="1">
        <f t="array" ref="I334">IFERROR(INDEX(Precios!$D:$F,MATCH(N334, Precios!$G:$G, 0),CHOOSE(MATCH(H334, {"SML";"XL";"XXL"}, 0), 1, 2, 3)), 0)</f>
        <v>0</v>
      </c>
      <c r="K334" s="10">
        <f t="shared" si="16"/>
        <v>0</v>
      </c>
      <c r="N334" s="9" t="str">
        <f t="shared" si="17"/>
        <v/>
      </c>
      <c r="O334" s="9" t="str">
        <f>IF(N334="","",IF(COUNTIF(Precios!$G:$G,N334)=0,"⚠ No coincide con Precios","OK"))</f>
        <v/>
      </c>
    </row>
    <row r="335" spans="3:15" x14ac:dyDescent="0.2">
      <c r="C335" s="9" cm="1">
        <f t="array" ref="C335">IFERROR(_xlfn.XLOOKUP(B335,Personal!$A:$A,Personal!$D:$D,""),"")</f>
        <v>0</v>
      </c>
      <c r="D335" s="9" cm="1">
        <f t="array" ref="D335">IFERROR(_xlfn.XLOOKUP(B335,Personal!$A:$A,Personal!$C:$C,""),"")</f>
        <v>0</v>
      </c>
      <c r="E335" s="9" t="str" cm="1">
        <f t="array" ref="E335">IFERROR(_xlfn.XLOOKUP(D335,Locales!$A:$A,Locales!$B:$B,""),"")</f>
        <v/>
      </c>
      <c r="F335" s="9" cm="1">
        <f t="array" ref="F335">IFERROR(_xlfn.XLOOKUP(B335,Personal!$A:$A,Personal!$F:$F,""),"")</f>
        <v>0</v>
      </c>
      <c r="I335" s="10" cm="1">
        <f t="array" ref="I335">IFERROR(INDEX(Precios!$D:$F,MATCH(N335, Precios!$G:$G, 0),CHOOSE(MATCH(H335, {"SML";"XL";"XXL"}, 0), 1, 2, 3)), 0)</f>
        <v>0</v>
      </c>
      <c r="K335" s="10">
        <f t="shared" si="16"/>
        <v>0</v>
      </c>
      <c r="N335" s="9" t="str">
        <f t="shared" si="17"/>
        <v/>
      </c>
      <c r="O335" s="9" t="str">
        <f>IF(N335="","",IF(COUNTIF(Precios!$G:$G,N335)=0,"⚠ No coincide con Precios","OK"))</f>
        <v/>
      </c>
    </row>
    <row r="336" spans="3:15" x14ac:dyDescent="0.2">
      <c r="C336" s="9" cm="1">
        <f t="array" ref="C336">IFERROR(_xlfn.XLOOKUP(B336,Personal!$A:$A,Personal!$D:$D,""),"")</f>
        <v>0</v>
      </c>
      <c r="D336" s="9" cm="1">
        <f t="array" ref="D336">IFERROR(_xlfn.XLOOKUP(B336,Personal!$A:$A,Personal!$C:$C,""),"")</f>
        <v>0</v>
      </c>
      <c r="E336" s="9" t="str" cm="1">
        <f t="array" ref="E336">IFERROR(_xlfn.XLOOKUP(D336,Locales!$A:$A,Locales!$B:$B,""),"")</f>
        <v/>
      </c>
      <c r="F336" s="9" cm="1">
        <f t="array" ref="F336">IFERROR(_xlfn.XLOOKUP(B336,Personal!$A:$A,Personal!$F:$F,""),"")</f>
        <v>0</v>
      </c>
      <c r="I336" s="10" cm="1">
        <f t="array" ref="I336">IFERROR(INDEX(Precios!$D:$F,MATCH(N336, Precios!$G:$G, 0),CHOOSE(MATCH(H336, {"SML";"XL";"XXL"}, 0), 1, 2, 3)), 0)</f>
        <v>0</v>
      </c>
      <c r="K336" s="10">
        <f t="shared" si="16"/>
        <v>0</v>
      </c>
      <c r="N336" s="9" t="str">
        <f t="shared" si="17"/>
        <v/>
      </c>
      <c r="O336" s="9" t="str">
        <f>IF(N336="","",IF(COUNTIF(Precios!$G:$G,N336)=0,"⚠ No coincide con Precios","OK"))</f>
        <v/>
      </c>
    </row>
    <row r="337" spans="3:15" x14ac:dyDescent="0.2">
      <c r="C337" s="9" cm="1">
        <f t="array" ref="C337">IFERROR(_xlfn.XLOOKUP(B337,Personal!$A:$A,Personal!$D:$D,""),"")</f>
        <v>0</v>
      </c>
      <c r="D337" s="9" cm="1">
        <f t="array" ref="D337">IFERROR(_xlfn.XLOOKUP(B337,Personal!$A:$A,Personal!$C:$C,""),"")</f>
        <v>0</v>
      </c>
      <c r="E337" s="9" t="str" cm="1">
        <f t="array" ref="E337">IFERROR(_xlfn.XLOOKUP(D337,Locales!$A:$A,Locales!$B:$B,""),"")</f>
        <v/>
      </c>
      <c r="F337" s="9" cm="1">
        <f t="array" ref="F337">IFERROR(_xlfn.XLOOKUP(B337,Personal!$A:$A,Personal!$F:$F,""),"")</f>
        <v>0</v>
      </c>
      <c r="I337" s="10" cm="1">
        <f t="array" ref="I337">IFERROR(INDEX(Precios!$D:$F,MATCH(N337, Precios!$G:$G, 0),CHOOSE(MATCH(H337, {"SML";"XL";"XXL"}, 0), 1, 2, 3)), 0)</f>
        <v>0</v>
      </c>
      <c r="K337" s="10">
        <f t="shared" si="16"/>
        <v>0</v>
      </c>
      <c r="N337" s="9" t="str">
        <f t="shared" si="17"/>
        <v/>
      </c>
      <c r="O337" s="9" t="str">
        <f>IF(N337="","",IF(COUNTIF(Precios!$G:$G,N337)=0,"⚠ No coincide con Precios","OK"))</f>
        <v/>
      </c>
    </row>
    <row r="338" spans="3:15" x14ac:dyDescent="0.2">
      <c r="C338" s="9" cm="1">
        <f t="array" ref="C338">IFERROR(_xlfn.XLOOKUP(B338,Personal!$A:$A,Personal!$D:$D,""),"")</f>
        <v>0</v>
      </c>
      <c r="D338" s="9" cm="1">
        <f t="array" ref="D338">IFERROR(_xlfn.XLOOKUP(B338,Personal!$A:$A,Personal!$C:$C,""),"")</f>
        <v>0</v>
      </c>
      <c r="E338" s="9" t="str" cm="1">
        <f t="array" ref="E338">IFERROR(_xlfn.XLOOKUP(D338,Locales!$A:$A,Locales!$B:$B,""),"")</f>
        <v/>
      </c>
      <c r="F338" s="9" cm="1">
        <f t="array" ref="F338">IFERROR(_xlfn.XLOOKUP(B338,Personal!$A:$A,Personal!$F:$F,""),"")</f>
        <v>0</v>
      </c>
      <c r="I338" s="10" cm="1">
        <f t="array" ref="I338">IFERROR(INDEX(Precios!$D:$F,MATCH(N338, Precios!$G:$G, 0),CHOOSE(MATCH(H338, {"SML";"XL";"XXL"}, 0), 1, 2, 3)), 0)</f>
        <v>0</v>
      </c>
      <c r="K338" s="10">
        <f t="shared" si="16"/>
        <v>0</v>
      </c>
      <c r="N338" s="9" t="str">
        <f t="shared" si="17"/>
        <v/>
      </c>
      <c r="O338" s="9" t="str">
        <f>IF(N338="","",IF(COUNTIF(Precios!$G:$G,N338)=0,"⚠ No coincide con Precios","OK"))</f>
        <v/>
      </c>
    </row>
    <row r="339" spans="3:15" x14ac:dyDescent="0.2">
      <c r="C339" s="9" cm="1">
        <f t="array" ref="C339">IFERROR(_xlfn.XLOOKUP(B339,Personal!$A:$A,Personal!$D:$D,""),"")</f>
        <v>0</v>
      </c>
      <c r="D339" s="9" cm="1">
        <f t="array" ref="D339">IFERROR(_xlfn.XLOOKUP(B339,Personal!$A:$A,Personal!$C:$C,""),"")</f>
        <v>0</v>
      </c>
      <c r="E339" s="9" t="str" cm="1">
        <f t="array" ref="E339">IFERROR(_xlfn.XLOOKUP(D339,Locales!$A:$A,Locales!$B:$B,""),"")</f>
        <v/>
      </c>
      <c r="F339" s="9" cm="1">
        <f t="array" ref="F339">IFERROR(_xlfn.XLOOKUP(B339,Personal!$A:$A,Personal!$F:$F,""),"")</f>
        <v>0</v>
      </c>
      <c r="I339" s="10" cm="1">
        <f t="array" ref="I339">IFERROR(INDEX(Precios!$D:$F,MATCH(N339, Precios!$G:$G, 0),CHOOSE(MATCH(H339, {"SML";"XL";"XXL"}, 0), 1, 2, 3)), 0)</f>
        <v>0</v>
      </c>
      <c r="K339" s="10">
        <f t="shared" si="16"/>
        <v>0</v>
      </c>
      <c r="N339" s="9" t="str">
        <f t="shared" si="17"/>
        <v/>
      </c>
      <c r="O339" s="9" t="str">
        <f>IF(N339="","",IF(COUNTIF(Precios!$G:$G,N339)=0,"⚠ No coincide con Precios","OK"))</f>
        <v/>
      </c>
    </row>
    <row r="340" spans="3:15" x14ac:dyDescent="0.2">
      <c r="C340" s="9" cm="1">
        <f t="array" ref="C340">IFERROR(_xlfn.XLOOKUP(B340,Personal!$A:$A,Personal!$D:$D,""),"")</f>
        <v>0</v>
      </c>
      <c r="D340" s="9" cm="1">
        <f t="array" ref="D340">IFERROR(_xlfn.XLOOKUP(B340,Personal!$A:$A,Personal!$C:$C,""),"")</f>
        <v>0</v>
      </c>
      <c r="E340" s="9" t="str" cm="1">
        <f t="array" ref="E340">IFERROR(_xlfn.XLOOKUP(D340,Locales!$A:$A,Locales!$B:$B,""),"")</f>
        <v/>
      </c>
      <c r="F340" s="9" cm="1">
        <f t="array" ref="F340">IFERROR(_xlfn.XLOOKUP(B340,Personal!$A:$A,Personal!$F:$F,""),"")</f>
        <v>0</v>
      </c>
      <c r="I340" s="10" cm="1">
        <f t="array" ref="I340">IFERROR(INDEX(Precios!$D:$F,MATCH(N340, Precios!$G:$G, 0),CHOOSE(MATCH(H340, {"SML";"XL";"XXL"}, 0), 1, 2, 3)), 0)</f>
        <v>0</v>
      </c>
      <c r="K340" s="10">
        <f t="shared" si="16"/>
        <v>0</v>
      </c>
      <c r="N340" s="9" t="str">
        <f t="shared" si="17"/>
        <v/>
      </c>
      <c r="O340" s="9" t="str">
        <f>IF(N340="","",IF(COUNTIF(Precios!$G:$G,N340)=0,"⚠ No coincide con Precios","OK"))</f>
        <v/>
      </c>
    </row>
    <row r="341" spans="3:15" x14ac:dyDescent="0.2">
      <c r="C341" s="9" cm="1">
        <f t="array" ref="C341">IFERROR(_xlfn.XLOOKUP(B341,Personal!$A:$A,Personal!$D:$D,""),"")</f>
        <v>0</v>
      </c>
      <c r="D341" s="9" cm="1">
        <f t="array" ref="D341">IFERROR(_xlfn.XLOOKUP(B341,Personal!$A:$A,Personal!$C:$C,""),"")</f>
        <v>0</v>
      </c>
      <c r="E341" s="9" t="str" cm="1">
        <f t="array" ref="E341">IFERROR(_xlfn.XLOOKUP(D341,Locales!$A:$A,Locales!$B:$B,""),"")</f>
        <v/>
      </c>
      <c r="F341" s="9" cm="1">
        <f t="array" ref="F341">IFERROR(_xlfn.XLOOKUP(B341,Personal!$A:$A,Personal!$F:$F,""),"")</f>
        <v>0</v>
      </c>
      <c r="I341" s="10" cm="1">
        <f t="array" ref="I341">IFERROR(INDEX(Precios!$D:$F,MATCH(N341, Precios!$G:$G, 0),CHOOSE(MATCH(H341, {"SML";"XL";"XXL"}, 0), 1, 2, 3)), 0)</f>
        <v>0</v>
      </c>
      <c r="K341" s="10">
        <f t="shared" si="16"/>
        <v>0</v>
      </c>
      <c r="N341" s="9" t="str">
        <f t="shared" si="17"/>
        <v/>
      </c>
      <c r="O341" s="9" t="str">
        <f>IF(N341="","",IF(COUNTIF(Precios!$G:$G,N341)=0,"⚠ No coincide con Precios","OK"))</f>
        <v/>
      </c>
    </row>
    <row r="342" spans="3:15" x14ac:dyDescent="0.2">
      <c r="C342" s="9" cm="1">
        <f t="array" ref="C342">IFERROR(_xlfn.XLOOKUP(B342,Personal!$A:$A,Personal!$D:$D,""),"")</f>
        <v>0</v>
      </c>
      <c r="D342" s="9" cm="1">
        <f t="array" ref="D342">IFERROR(_xlfn.XLOOKUP(B342,Personal!$A:$A,Personal!$C:$C,""),"")</f>
        <v>0</v>
      </c>
      <c r="E342" s="9" t="str" cm="1">
        <f t="array" ref="E342">IFERROR(_xlfn.XLOOKUP(D342,Locales!$A:$A,Locales!$B:$B,""),"")</f>
        <v/>
      </c>
      <c r="F342" s="9" cm="1">
        <f t="array" ref="F342">IFERROR(_xlfn.XLOOKUP(B342,Personal!$A:$A,Personal!$F:$F,""),"")</f>
        <v>0</v>
      </c>
      <c r="I342" s="10" cm="1">
        <f t="array" ref="I342">IFERROR(INDEX(Precios!$D:$F,MATCH(N342, Precios!$G:$G, 0),CHOOSE(MATCH(H342, {"SML";"XL";"XXL"}, 0), 1, 2, 3)), 0)</f>
        <v>0</v>
      </c>
      <c r="K342" s="10">
        <f t="shared" si="16"/>
        <v>0</v>
      </c>
      <c r="N342" s="9" t="str">
        <f t="shared" si="17"/>
        <v/>
      </c>
      <c r="O342" s="9" t="str">
        <f>IF(N342="","",IF(COUNTIF(Precios!$G:$G,N342)=0,"⚠ No coincide con Precios","OK"))</f>
        <v/>
      </c>
    </row>
    <row r="343" spans="3:15" x14ac:dyDescent="0.2">
      <c r="C343" s="9" cm="1">
        <f t="array" ref="C343">IFERROR(_xlfn.XLOOKUP(B343,Personal!$A:$A,Personal!$D:$D,""),"")</f>
        <v>0</v>
      </c>
      <c r="D343" s="9" cm="1">
        <f t="array" ref="D343">IFERROR(_xlfn.XLOOKUP(B343,Personal!$A:$A,Personal!$C:$C,""),"")</f>
        <v>0</v>
      </c>
      <c r="E343" s="9" t="str" cm="1">
        <f t="array" ref="E343">IFERROR(_xlfn.XLOOKUP(D343,Locales!$A:$A,Locales!$B:$B,""),"")</f>
        <v/>
      </c>
      <c r="F343" s="9" cm="1">
        <f t="array" ref="F343">IFERROR(_xlfn.XLOOKUP(B343,Personal!$A:$A,Personal!$F:$F,""),"")</f>
        <v>0</v>
      </c>
      <c r="I343" s="10" cm="1">
        <f t="array" ref="I343">IFERROR(INDEX(Precios!$D:$F,MATCH(N343, Precios!$G:$G, 0),CHOOSE(MATCH(H343, {"SML";"XL";"XXL"}, 0), 1, 2, 3)), 0)</f>
        <v>0</v>
      </c>
      <c r="K343" s="10">
        <f t="shared" si="16"/>
        <v>0</v>
      </c>
      <c r="N343" s="9" t="str">
        <f t="shared" si="17"/>
        <v/>
      </c>
      <c r="O343" s="9" t="str">
        <f>IF(N343="","",IF(COUNTIF(Precios!$G:$G,N343)=0,"⚠ No coincide con Precios","OK"))</f>
        <v/>
      </c>
    </row>
    <row r="344" spans="3:15" x14ac:dyDescent="0.2">
      <c r="C344" s="9" cm="1">
        <f t="array" ref="C344">IFERROR(_xlfn.XLOOKUP(B344,Personal!$A:$A,Personal!$D:$D,""),"")</f>
        <v>0</v>
      </c>
      <c r="D344" s="9" cm="1">
        <f t="array" ref="D344">IFERROR(_xlfn.XLOOKUP(B344,Personal!$A:$A,Personal!$C:$C,""),"")</f>
        <v>0</v>
      </c>
      <c r="E344" s="9" t="str" cm="1">
        <f t="array" ref="E344">IFERROR(_xlfn.XLOOKUP(D344,Locales!$A:$A,Locales!$B:$B,""),"")</f>
        <v/>
      </c>
      <c r="F344" s="9" cm="1">
        <f t="array" ref="F344">IFERROR(_xlfn.XLOOKUP(B344,Personal!$A:$A,Personal!$F:$F,""),"")</f>
        <v>0</v>
      </c>
      <c r="I344" s="10" cm="1">
        <f t="array" ref="I344">IFERROR(INDEX(Precios!$D:$F,MATCH(N344, Precios!$G:$G, 0),CHOOSE(MATCH(H344, {"SML";"XL";"XXL"}, 0), 1, 2, 3)), 0)</f>
        <v>0</v>
      </c>
      <c r="K344" s="10">
        <f t="shared" si="16"/>
        <v>0</v>
      </c>
      <c r="N344" s="9" t="str">
        <f t="shared" si="17"/>
        <v/>
      </c>
      <c r="O344" s="9" t="str">
        <f>IF(N344="","",IF(COUNTIF(Precios!$G:$G,N344)=0,"⚠ No coincide con Precios","OK"))</f>
        <v/>
      </c>
    </row>
    <row r="345" spans="3:15" x14ac:dyDescent="0.2">
      <c r="C345" s="9" cm="1">
        <f t="array" ref="C345">IFERROR(_xlfn.XLOOKUP(B345,Personal!$A:$A,Personal!$D:$D,""),"")</f>
        <v>0</v>
      </c>
      <c r="D345" s="9" cm="1">
        <f t="array" ref="D345">IFERROR(_xlfn.XLOOKUP(B345,Personal!$A:$A,Personal!$C:$C,""),"")</f>
        <v>0</v>
      </c>
      <c r="E345" s="9" t="str" cm="1">
        <f t="array" ref="E345">IFERROR(_xlfn.XLOOKUP(D345,Locales!$A:$A,Locales!$B:$B,""),"")</f>
        <v/>
      </c>
      <c r="F345" s="9" cm="1">
        <f t="array" ref="F345">IFERROR(_xlfn.XLOOKUP(B345,Personal!$A:$A,Personal!$F:$F,""),"")</f>
        <v>0</v>
      </c>
      <c r="I345" s="10" cm="1">
        <f t="array" ref="I345">IFERROR(INDEX(Precios!$D:$F,MATCH(N345, Precios!$G:$G, 0),CHOOSE(MATCH(H345, {"SML";"XL";"XXL"}, 0), 1, 2, 3)), 0)</f>
        <v>0</v>
      </c>
      <c r="K345" s="10">
        <f t="shared" si="16"/>
        <v>0</v>
      </c>
      <c r="N345" s="9" t="str">
        <f t="shared" si="17"/>
        <v/>
      </c>
      <c r="O345" s="9" t="str">
        <f>IF(N345="","",IF(COUNTIF(Precios!$G:$G,N345)=0,"⚠ No coincide con Precios","OK"))</f>
        <v/>
      </c>
    </row>
    <row r="346" spans="3:15" x14ac:dyDescent="0.2">
      <c r="C346" s="9" cm="1">
        <f t="array" ref="C346">IFERROR(_xlfn.XLOOKUP(B346,Personal!$A:$A,Personal!$D:$D,""),"")</f>
        <v>0</v>
      </c>
      <c r="D346" s="9" cm="1">
        <f t="array" ref="D346">IFERROR(_xlfn.XLOOKUP(B346,Personal!$A:$A,Personal!$C:$C,""),"")</f>
        <v>0</v>
      </c>
      <c r="E346" s="9" t="str" cm="1">
        <f t="array" ref="E346">IFERROR(_xlfn.XLOOKUP(D346,Locales!$A:$A,Locales!$B:$B,""),"")</f>
        <v/>
      </c>
      <c r="F346" s="9" cm="1">
        <f t="array" ref="F346">IFERROR(_xlfn.XLOOKUP(B346,Personal!$A:$A,Personal!$F:$F,""),"")</f>
        <v>0</v>
      </c>
      <c r="I346" s="10" cm="1">
        <f t="array" ref="I346">IFERROR(INDEX(Precios!$D:$F,MATCH(N346, Precios!$G:$G, 0),CHOOSE(MATCH(H346, {"SML";"XL";"XXL"}, 0), 1, 2, 3)), 0)</f>
        <v>0</v>
      </c>
      <c r="K346" s="10">
        <f t="shared" si="16"/>
        <v>0</v>
      </c>
      <c r="N346" s="9" t="str">
        <f t="shared" si="17"/>
        <v/>
      </c>
      <c r="O346" s="9" t="str">
        <f>IF(N346="","",IF(COUNTIF(Precios!$G:$G,N346)=0,"⚠ No coincide con Precios","OK"))</f>
        <v/>
      </c>
    </row>
    <row r="347" spans="3:15" x14ac:dyDescent="0.2">
      <c r="C347" s="9" cm="1">
        <f t="array" ref="C347">IFERROR(_xlfn.XLOOKUP(B347,Personal!$A:$A,Personal!$D:$D,""),"")</f>
        <v>0</v>
      </c>
      <c r="D347" s="9" cm="1">
        <f t="array" ref="D347">IFERROR(_xlfn.XLOOKUP(B347,Personal!$A:$A,Personal!$C:$C,""),"")</f>
        <v>0</v>
      </c>
      <c r="E347" s="9" t="str" cm="1">
        <f t="array" ref="E347">IFERROR(_xlfn.XLOOKUP(D347,Locales!$A:$A,Locales!$B:$B,""),"")</f>
        <v/>
      </c>
      <c r="F347" s="9" cm="1">
        <f t="array" ref="F347">IFERROR(_xlfn.XLOOKUP(B347,Personal!$A:$A,Personal!$F:$F,""),"")</f>
        <v>0</v>
      </c>
      <c r="I347" s="10" cm="1">
        <f t="array" ref="I347">IFERROR(INDEX(Precios!$D:$F,MATCH(N347, Precios!$G:$G, 0),CHOOSE(MATCH(H347, {"SML";"XL";"XXL"}, 0), 1, 2, 3)), 0)</f>
        <v>0</v>
      </c>
      <c r="K347" s="10">
        <f t="shared" si="16"/>
        <v>0</v>
      </c>
      <c r="N347" s="9" t="str">
        <f t="shared" si="17"/>
        <v/>
      </c>
      <c r="O347" s="9" t="str">
        <f>IF(N347="","",IF(COUNTIF(Precios!$G:$G,N347)=0,"⚠ No coincide con Precios","OK"))</f>
        <v/>
      </c>
    </row>
    <row r="348" spans="3:15" x14ac:dyDescent="0.2">
      <c r="C348" s="9" cm="1">
        <f t="array" ref="C348">IFERROR(_xlfn.XLOOKUP(B348,Personal!$A:$A,Personal!$D:$D,""),"")</f>
        <v>0</v>
      </c>
      <c r="D348" s="9" cm="1">
        <f t="array" ref="D348">IFERROR(_xlfn.XLOOKUP(B348,Personal!$A:$A,Personal!$C:$C,""),"")</f>
        <v>0</v>
      </c>
      <c r="E348" s="9" t="str" cm="1">
        <f t="array" ref="E348">IFERROR(_xlfn.XLOOKUP(D348,Locales!$A:$A,Locales!$B:$B,""),"")</f>
        <v/>
      </c>
      <c r="F348" s="9" cm="1">
        <f t="array" ref="F348">IFERROR(_xlfn.XLOOKUP(B348,Personal!$A:$A,Personal!$F:$F,""),"")</f>
        <v>0</v>
      </c>
      <c r="I348" s="10" cm="1">
        <f t="array" ref="I348">IFERROR(INDEX(Precios!$D:$F,MATCH(N348, Precios!$G:$G, 0),CHOOSE(MATCH(H348, {"SML";"XL";"XXL"}, 0), 1, 2, 3)), 0)</f>
        <v>0</v>
      </c>
      <c r="K348" s="10">
        <f t="shared" si="16"/>
        <v>0</v>
      </c>
      <c r="N348" s="9" t="str">
        <f t="shared" si="17"/>
        <v/>
      </c>
      <c r="O348" s="9" t="str">
        <f>IF(N348="","",IF(COUNTIF(Precios!$G:$G,N348)=0,"⚠ No coincide con Precios","OK"))</f>
        <v/>
      </c>
    </row>
    <row r="349" spans="3:15" x14ac:dyDescent="0.2">
      <c r="C349" s="9" cm="1">
        <f t="array" ref="C349">IFERROR(_xlfn.XLOOKUP(B349,Personal!$A:$A,Personal!$D:$D,""),"")</f>
        <v>0</v>
      </c>
      <c r="D349" s="9" cm="1">
        <f t="array" ref="D349">IFERROR(_xlfn.XLOOKUP(B349,Personal!$A:$A,Personal!$C:$C,""),"")</f>
        <v>0</v>
      </c>
      <c r="E349" s="9" t="str" cm="1">
        <f t="array" ref="E349">IFERROR(_xlfn.XLOOKUP(D349,Locales!$A:$A,Locales!$B:$B,""),"")</f>
        <v/>
      </c>
      <c r="F349" s="9" cm="1">
        <f t="array" ref="F349">IFERROR(_xlfn.XLOOKUP(B349,Personal!$A:$A,Personal!$F:$F,""),"")</f>
        <v>0</v>
      </c>
      <c r="I349" s="10" cm="1">
        <f t="array" ref="I349">IFERROR(INDEX(Precios!$D:$F,MATCH(N349, Precios!$G:$G, 0),CHOOSE(MATCH(H349, {"SML";"XL";"XXL"}, 0), 1, 2, 3)), 0)</f>
        <v>0</v>
      </c>
      <c r="K349" s="10">
        <f t="shared" si="16"/>
        <v>0</v>
      </c>
      <c r="N349" s="9" t="str">
        <f t="shared" si="17"/>
        <v/>
      </c>
      <c r="O349" s="9" t="str">
        <f>IF(N349="","",IF(COUNTIF(Precios!$G:$G,N349)=0,"⚠ No coincide con Precios","OK"))</f>
        <v/>
      </c>
    </row>
    <row r="350" spans="3:15" x14ac:dyDescent="0.2">
      <c r="C350" s="9" cm="1">
        <f t="array" ref="C350">IFERROR(_xlfn.XLOOKUP(B350,Personal!$A:$A,Personal!$D:$D,""),"")</f>
        <v>0</v>
      </c>
      <c r="D350" s="9" cm="1">
        <f t="array" ref="D350">IFERROR(_xlfn.XLOOKUP(B350,Personal!$A:$A,Personal!$C:$C,""),"")</f>
        <v>0</v>
      </c>
      <c r="E350" s="9" t="str" cm="1">
        <f t="array" ref="E350">IFERROR(_xlfn.XLOOKUP(D350,Locales!$A:$A,Locales!$B:$B,""),"")</f>
        <v/>
      </c>
      <c r="F350" s="9" cm="1">
        <f t="array" ref="F350">IFERROR(_xlfn.XLOOKUP(B350,Personal!$A:$A,Personal!$F:$F,""),"")</f>
        <v>0</v>
      </c>
      <c r="I350" s="10" cm="1">
        <f t="array" ref="I350">IFERROR(INDEX(Precios!$D:$F,MATCH(N350, Precios!$G:$G, 0),CHOOSE(MATCH(H350, {"SML";"XL";"XXL"}, 0), 1, 2, 3)), 0)</f>
        <v>0</v>
      </c>
      <c r="K350" s="10">
        <f t="shared" si="16"/>
        <v>0</v>
      </c>
      <c r="N350" s="9" t="str">
        <f t="shared" si="17"/>
        <v/>
      </c>
      <c r="O350" s="9" t="str">
        <f>IF(N350="","",IF(COUNTIF(Precios!$G:$G,N350)=0,"⚠ No coincide con Precios","OK"))</f>
        <v/>
      </c>
    </row>
    <row r="351" spans="3:15" x14ac:dyDescent="0.2">
      <c r="C351" s="9" cm="1">
        <f t="array" ref="C351">IFERROR(_xlfn.XLOOKUP(B351,Personal!$A:$A,Personal!$D:$D,""),"")</f>
        <v>0</v>
      </c>
      <c r="D351" s="9" cm="1">
        <f t="array" ref="D351">IFERROR(_xlfn.XLOOKUP(B351,Personal!$A:$A,Personal!$C:$C,""),"")</f>
        <v>0</v>
      </c>
      <c r="E351" s="9" t="str" cm="1">
        <f t="array" ref="E351">IFERROR(_xlfn.XLOOKUP(D351,Locales!$A:$A,Locales!$B:$B,""),"")</f>
        <v/>
      </c>
      <c r="F351" s="9" cm="1">
        <f t="array" ref="F351">IFERROR(_xlfn.XLOOKUP(B351,Personal!$A:$A,Personal!$F:$F,""),"")</f>
        <v>0</v>
      </c>
      <c r="I351" s="10" cm="1">
        <f t="array" ref="I351">IFERROR(INDEX(Precios!$D:$F,MATCH(N351, Precios!$G:$G, 0),CHOOSE(MATCH(H351, {"SML";"XL";"XXL"}, 0), 1, 2, 3)), 0)</f>
        <v>0</v>
      </c>
      <c r="K351" s="10">
        <f t="shared" si="16"/>
        <v>0</v>
      </c>
      <c r="N351" s="9" t="str">
        <f t="shared" si="17"/>
        <v/>
      </c>
      <c r="O351" s="9" t="str">
        <f>IF(N351="","",IF(COUNTIF(Precios!$G:$G,N351)=0,"⚠ No coincide con Precios","OK"))</f>
        <v/>
      </c>
    </row>
    <row r="352" spans="3:15" x14ac:dyDescent="0.2">
      <c r="C352" s="9" cm="1">
        <f t="array" ref="C352">IFERROR(_xlfn.XLOOKUP(B352,Personal!$A:$A,Personal!$D:$D,""),"")</f>
        <v>0</v>
      </c>
      <c r="D352" s="9" cm="1">
        <f t="array" ref="D352">IFERROR(_xlfn.XLOOKUP(B352,Personal!$A:$A,Personal!$C:$C,""),"")</f>
        <v>0</v>
      </c>
      <c r="E352" s="9" t="str" cm="1">
        <f t="array" ref="E352">IFERROR(_xlfn.XLOOKUP(D352,Locales!$A:$A,Locales!$B:$B,""),"")</f>
        <v/>
      </c>
      <c r="F352" s="9" cm="1">
        <f t="array" ref="F352">IFERROR(_xlfn.XLOOKUP(B352,Personal!$A:$A,Personal!$F:$F,""),"")</f>
        <v>0</v>
      </c>
      <c r="I352" s="10" cm="1">
        <f t="array" ref="I352">IFERROR(INDEX(Precios!$D:$F,MATCH(N352, Precios!$G:$G, 0),CHOOSE(MATCH(H352, {"SML";"XL";"XXL"}, 0), 1, 2, 3)), 0)</f>
        <v>0</v>
      </c>
      <c r="K352" s="10">
        <f t="shared" si="16"/>
        <v>0</v>
      </c>
      <c r="N352" s="9" t="str">
        <f t="shared" si="17"/>
        <v/>
      </c>
      <c r="O352" s="9" t="str">
        <f>IF(N352="","",IF(COUNTIF(Precios!$G:$G,N352)=0,"⚠ No coincide con Precios","OK"))</f>
        <v/>
      </c>
    </row>
    <row r="353" spans="3:15" x14ac:dyDescent="0.2">
      <c r="C353" s="9" cm="1">
        <f t="array" ref="C353">IFERROR(_xlfn.XLOOKUP(B353,Personal!$A:$A,Personal!$D:$D,""),"")</f>
        <v>0</v>
      </c>
      <c r="D353" s="9" cm="1">
        <f t="array" ref="D353">IFERROR(_xlfn.XLOOKUP(B353,Personal!$A:$A,Personal!$C:$C,""),"")</f>
        <v>0</v>
      </c>
      <c r="E353" s="9" t="str" cm="1">
        <f t="array" ref="E353">IFERROR(_xlfn.XLOOKUP(D353,Locales!$A:$A,Locales!$B:$B,""),"")</f>
        <v/>
      </c>
      <c r="F353" s="9" cm="1">
        <f t="array" ref="F353">IFERROR(_xlfn.XLOOKUP(B353,Personal!$A:$A,Personal!$F:$F,""),"")</f>
        <v>0</v>
      </c>
      <c r="I353" s="10" cm="1">
        <f t="array" ref="I353">IFERROR(INDEX(Precios!$D:$F,MATCH(N353, Precios!$G:$G, 0),CHOOSE(MATCH(H353, {"SML";"XL";"XXL"}, 0), 1, 2, 3)), 0)</f>
        <v>0</v>
      </c>
      <c r="K353" s="10">
        <f t="shared" si="16"/>
        <v>0</v>
      </c>
      <c r="N353" s="9" t="str">
        <f t="shared" si="17"/>
        <v/>
      </c>
      <c r="O353" s="9" t="str">
        <f>IF(N353="","",IF(COUNTIF(Precios!$G:$G,N353)=0,"⚠ No coincide con Precios","OK"))</f>
        <v/>
      </c>
    </row>
    <row r="354" spans="3:15" x14ac:dyDescent="0.2">
      <c r="C354" s="9" cm="1">
        <f t="array" ref="C354">IFERROR(_xlfn.XLOOKUP(B354,Personal!$A:$A,Personal!$D:$D,""),"")</f>
        <v>0</v>
      </c>
      <c r="D354" s="9" cm="1">
        <f t="array" ref="D354">IFERROR(_xlfn.XLOOKUP(B354,Personal!$A:$A,Personal!$C:$C,""),"")</f>
        <v>0</v>
      </c>
      <c r="E354" s="9" t="str" cm="1">
        <f t="array" ref="E354">IFERROR(_xlfn.XLOOKUP(D354,Locales!$A:$A,Locales!$B:$B,""),"")</f>
        <v/>
      </c>
      <c r="F354" s="9" cm="1">
        <f t="array" ref="F354">IFERROR(_xlfn.XLOOKUP(B354,Personal!$A:$A,Personal!$F:$F,""),"")</f>
        <v>0</v>
      </c>
      <c r="I354" s="10" cm="1">
        <f t="array" ref="I354">IFERROR(INDEX(Precios!$D:$F,MATCH(N354, Precios!$G:$G, 0),CHOOSE(MATCH(H354, {"SML";"XL";"XXL"}, 0), 1, 2, 3)), 0)</f>
        <v>0</v>
      </c>
      <c r="K354" s="10">
        <f t="shared" si="16"/>
        <v>0</v>
      </c>
      <c r="N354" s="9" t="str">
        <f t="shared" si="17"/>
        <v/>
      </c>
      <c r="O354" s="9" t="str">
        <f>IF(N354="","",IF(COUNTIF(Precios!$G:$G,N354)=0,"⚠ No coincide con Precios","OK"))</f>
        <v/>
      </c>
    </row>
    <row r="355" spans="3:15" x14ac:dyDescent="0.2">
      <c r="C355" s="9" cm="1">
        <f t="array" ref="C355">IFERROR(_xlfn.XLOOKUP(B355,Personal!$A:$A,Personal!$D:$D,""),"")</f>
        <v>0</v>
      </c>
      <c r="D355" s="9" cm="1">
        <f t="array" ref="D355">IFERROR(_xlfn.XLOOKUP(B355,Personal!$A:$A,Personal!$C:$C,""),"")</f>
        <v>0</v>
      </c>
      <c r="E355" s="9" t="str" cm="1">
        <f t="array" ref="E355">IFERROR(_xlfn.XLOOKUP(D355,Locales!$A:$A,Locales!$B:$B,""),"")</f>
        <v/>
      </c>
      <c r="F355" s="9" cm="1">
        <f t="array" ref="F355">IFERROR(_xlfn.XLOOKUP(B355,Personal!$A:$A,Personal!$F:$F,""),"")</f>
        <v>0</v>
      </c>
      <c r="I355" s="10" cm="1">
        <f t="array" ref="I355">IFERROR(INDEX(Precios!$D:$F,MATCH(N355, Precios!$G:$G, 0),CHOOSE(MATCH(H355, {"SML";"XL";"XXL"}, 0), 1, 2, 3)), 0)</f>
        <v>0</v>
      </c>
      <c r="K355" s="10">
        <f t="shared" si="16"/>
        <v>0</v>
      </c>
      <c r="N355" s="9" t="str">
        <f t="shared" si="17"/>
        <v/>
      </c>
      <c r="O355" s="9" t="str">
        <f>IF(N355="","",IF(COUNTIF(Precios!$G:$G,N355)=0,"⚠ No coincide con Precios","OK"))</f>
        <v/>
      </c>
    </row>
    <row r="356" spans="3:15" x14ac:dyDescent="0.2">
      <c r="C356" s="9" cm="1">
        <f t="array" ref="C356">IFERROR(_xlfn.XLOOKUP(B356,Personal!$A:$A,Personal!$D:$D,""),"")</f>
        <v>0</v>
      </c>
      <c r="D356" s="9" cm="1">
        <f t="array" ref="D356">IFERROR(_xlfn.XLOOKUP(B356,Personal!$A:$A,Personal!$C:$C,""),"")</f>
        <v>0</v>
      </c>
      <c r="E356" s="9" t="str" cm="1">
        <f t="array" ref="E356">IFERROR(_xlfn.XLOOKUP(D356,Locales!$A:$A,Locales!$B:$B,""),"")</f>
        <v/>
      </c>
      <c r="F356" s="9" cm="1">
        <f t="array" ref="F356">IFERROR(_xlfn.XLOOKUP(B356,Personal!$A:$A,Personal!$F:$F,""),"")</f>
        <v>0</v>
      </c>
      <c r="I356" s="10" cm="1">
        <f t="array" ref="I356">IFERROR(INDEX(Precios!$D:$F,MATCH(N356, Precios!$G:$G, 0),CHOOSE(MATCH(H356, {"SML";"XL";"XXL"}, 0), 1, 2, 3)), 0)</f>
        <v>0</v>
      </c>
      <c r="K356" s="10">
        <f t="shared" si="16"/>
        <v>0</v>
      </c>
      <c r="N356" s="9" t="str">
        <f t="shared" si="17"/>
        <v/>
      </c>
      <c r="O356" s="9" t="str">
        <f>IF(N356="","",IF(COUNTIF(Precios!$G:$G,N356)=0,"⚠ No coincide con Precios","OK"))</f>
        <v/>
      </c>
    </row>
    <row r="357" spans="3:15" x14ac:dyDescent="0.2">
      <c r="C357" s="9" cm="1">
        <f t="array" ref="C357">IFERROR(_xlfn.XLOOKUP(B357,Personal!$A:$A,Personal!$D:$D,""),"")</f>
        <v>0</v>
      </c>
      <c r="D357" s="9" cm="1">
        <f t="array" ref="D357">IFERROR(_xlfn.XLOOKUP(B357,Personal!$A:$A,Personal!$C:$C,""),"")</f>
        <v>0</v>
      </c>
      <c r="E357" s="9" t="str" cm="1">
        <f t="array" ref="E357">IFERROR(_xlfn.XLOOKUP(D357,Locales!$A:$A,Locales!$B:$B,""),"")</f>
        <v/>
      </c>
      <c r="F357" s="9" cm="1">
        <f t="array" ref="F357">IFERROR(_xlfn.XLOOKUP(B357,Personal!$A:$A,Personal!$F:$F,""),"")</f>
        <v>0</v>
      </c>
      <c r="I357" s="10" cm="1">
        <f t="array" ref="I357">IFERROR(INDEX(Precios!$D:$F,MATCH(N357, Precios!$G:$G, 0),CHOOSE(MATCH(H357, {"SML";"XL";"XXL"}, 0), 1, 2, 3)), 0)</f>
        <v>0</v>
      </c>
      <c r="K357" s="10">
        <f t="shared" si="16"/>
        <v>0</v>
      </c>
      <c r="N357" s="9" t="str">
        <f t="shared" si="17"/>
        <v/>
      </c>
      <c r="O357" s="9" t="str">
        <f>IF(N357="","",IF(COUNTIF(Precios!$G:$G,N357)=0,"⚠ No coincide con Precios","OK"))</f>
        <v/>
      </c>
    </row>
    <row r="358" spans="3:15" x14ac:dyDescent="0.2">
      <c r="C358" s="9" cm="1">
        <f t="array" ref="C358">IFERROR(_xlfn.XLOOKUP(B358,Personal!$A:$A,Personal!$D:$D,""),"")</f>
        <v>0</v>
      </c>
      <c r="D358" s="9" cm="1">
        <f t="array" ref="D358">IFERROR(_xlfn.XLOOKUP(B358,Personal!$A:$A,Personal!$C:$C,""),"")</f>
        <v>0</v>
      </c>
      <c r="E358" s="9" t="str" cm="1">
        <f t="array" ref="E358">IFERROR(_xlfn.XLOOKUP(D358,Locales!$A:$A,Locales!$B:$B,""),"")</f>
        <v/>
      </c>
      <c r="F358" s="9" cm="1">
        <f t="array" ref="F358">IFERROR(_xlfn.XLOOKUP(B358,Personal!$A:$A,Personal!$F:$F,""),"")</f>
        <v>0</v>
      </c>
      <c r="I358" s="10" cm="1">
        <f t="array" ref="I358">IFERROR(INDEX(Precios!$D:$F,MATCH(N358, Precios!$G:$G, 0),CHOOSE(MATCH(H358, {"SML";"XL";"XXL"}, 0), 1, 2, 3)), 0)</f>
        <v>0</v>
      </c>
      <c r="K358" s="10">
        <f t="shared" si="16"/>
        <v>0</v>
      </c>
      <c r="N358" s="9" t="str">
        <f t="shared" si="17"/>
        <v/>
      </c>
      <c r="O358" s="9" t="str">
        <f>IF(N358="","",IF(COUNTIF(Precios!$G:$G,N358)=0,"⚠ No coincide con Precios","OK"))</f>
        <v/>
      </c>
    </row>
    <row r="359" spans="3:15" x14ac:dyDescent="0.2">
      <c r="C359" s="9" cm="1">
        <f t="array" ref="C359">IFERROR(_xlfn.XLOOKUP(B359,Personal!$A:$A,Personal!$D:$D,""),"")</f>
        <v>0</v>
      </c>
      <c r="D359" s="9" cm="1">
        <f t="array" ref="D359">IFERROR(_xlfn.XLOOKUP(B359,Personal!$A:$A,Personal!$C:$C,""),"")</f>
        <v>0</v>
      </c>
      <c r="E359" s="9" t="str" cm="1">
        <f t="array" ref="E359">IFERROR(_xlfn.XLOOKUP(D359,Locales!$A:$A,Locales!$B:$B,""),"")</f>
        <v/>
      </c>
      <c r="F359" s="9" cm="1">
        <f t="array" ref="F359">IFERROR(_xlfn.XLOOKUP(B359,Personal!$A:$A,Personal!$F:$F,""),"")</f>
        <v>0</v>
      </c>
      <c r="I359" s="10" cm="1">
        <f t="array" ref="I359">IFERROR(INDEX(Precios!$D:$F,MATCH(N359, Precios!$G:$G, 0),CHOOSE(MATCH(H359, {"SML";"XL";"XXL"}, 0), 1, 2, 3)), 0)</f>
        <v>0</v>
      </c>
      <c r="K359" s="10">
        <f t="shared" si="16"/>
        <v>0</v>
      </c>
      <c r="N359" s="9" t="str">
        <f t="shared" si="17"/>
        <v/>
      </c>
      <c r="O359" s="9" t="str">
        <f>IF(N359="","",IF(COUNTIF(Precios!$G:$G,N359)=0,"⚠ No coincide con Precios","OK"))</f>
        <v/>
      </c>
    </row>
    <row r="360" spans="3:15" x14ac:dyDescent="0.2">
      <c r="C360" s="9" cm="1">
        <f t="array" ref="C360">IFERROR(_xlfn.XLOOKUP(B360,Personal!$A:$A,Personal!$D:$D,""),"")</f>
        <v>0</v>
      </c>
      <c r="D360" s="9" cm="1">
        <f t="array" ref="D360">IFERROR(_xlfn.XLOOKUP(B360,Personal!$A:$A,Personal!$C:$C,""),"")</f>
        <v>0</v>
      </c>
      <c r="E360" s="9" t="str" cm="1">
        <f t="array" ref="E360">IFERROR(_xlfn.XLOOKUP(D360,Locales!$A:$A,Locales!$B:$B,""),"")</f>
        <v/>
      </c>
      <c r="F360" s="9" cm="1">
        <f t="array" ref="F360">IFERROR(_xlfn.XLOOKUP(B360,Personal!$A:$A,Personal!$F:$F,""),"")</f>
        <v>0</v>
      </c>
      <c r="I360" s="10" cm="1">
        <f t="array" ref="I360">IFERROR(INDEX(Precios!$D:$F,MATCH(N360, Precios!$G:$G, 0),CHOOSE(MATCH(H360, {"SML";"XL";"XXL"}, 0), 1, 2, 3)), 0)</f>
        <v>0</v>
      </c>
      <c r="K360" s="10">
        <f t="shared" si="16"/>
        <v>0</v>
      </c>
      <c r="N360" s="9" t="str">
        <f t="shared" si="17"/>
        <v/>
      </c>
      <c r="O360" s="9" t="str">
        <f>IF(N360="","",IF(COUNTIF(Precios!$G:$G,N360)=0,"⚠ No coincide con Precios","OK"))</f>
        <v/>
      </c>
    </row>
    <row r="361" spans="3:15" x14ac:dyDescent="0.2">
      <c r="C361" s="9" cm="1">
        <f t="array" ref="C361">IFERROR(_xlfn.XLOOKUP(B361,Personal!$A:$A,Personal!$D:$D,""),"")</f>
        <v>0</v>
      </c>
      <c r="D361" s="9" cm="1">
        <f t="array" ref="D361">IFERROR(_xlfn.XLOOKUP(B361,Personal!$A:$A,Personal!$C:$C,""),"")</f>
        <v>0</v>
      </c>
      <c r="E361" s="9" t="str" cm="1">
        <f t="array" ref="E361">IFERROR(_xlfn.XLOOKUP(D361,Locales!$A:$A,Locales!$B:$B,""),"")</f>
        <v/>
      </c>
      <c r="F361" s="9" cm="1">
        <f t="array" ref="F361">IFERROR(_xlfn.XLOOKUP(B361,Personal!$A:$A,Personal!$F:$F,""),"")</f>
        <v>0</v>
      </c>
      <c r="I361" s="10" cm="1">
        <f t="array" ref="I361">IFERROR(INDEX(Precios!$D:$F,MATCH(N361, Precios!$G:$G, 0),CHOOSE(MATCH(H361, {"SML";"XL";"XXL"}, 0), 1, 2, 3)), 0)</f>
        <v>0</v>
      </c>
      <c r="K361" s="10">
        <f t="shared" si="16"/>
        <v>0</v>
      </c>
      <c r="N361" s="9" t="str">
        <f t="shared" si="17"/>
        <v/>
      </c>
      <c r="O361" s="9" t="str">
        <f>IF(N361="","",IF(COUNTIF(Precios!$G:$G,N361)=0,"⚠ No coincide con Precios","OK"))</f>
        <v/>
      </c>
    </row>
    <row r="362" spans="3:15" x14ac:dyDescent="0.2">
      <c r="C362" s="9" cm="1">
        <f t="array" ref="C362">IFERROR(_xlfn.XLOOKUP(B362,Personal!$A:$A,Personal!$D:$D,""),"")</f>
        <v>0</v>
      </c>
      <c r="D362" s="9" cm="1">
        <f t="array" ref="D362">IFERROR(_xlfn.XLOOKUP(B362,Personal!$A:$A,Personal!$C:$C,""),"")</f>
        <v>0</v>
      </c>
      <c r="E362" s="9" t="str" cm="1">
        <f t="array" ref="E362">IFERROR(_xlfn.XLOOKUP(D362,Locales!$A:$A,Locales!$B:$B,""),"")</f>
        <v/>
      </c>
      <c r="F362" s="9" cm="1">
        <f t="array" ref="F362">IFERROR(_xlfn.XLOOKUP(B362,Personal!$A:$A,Personal!$F:$F,""),"")</f>
        <v>0</v>
      </c>
      <c r="I362" s="10" cm="1">
        <f t="array" ref="I362">IFERROR(INDEX(Precios!$D:$F,MATCH(N362, Precios!$G:$G, 0),CHOOSE(MATCH(H362, {"SML";"XL";"XXL"}, 0), 1, 2, 3)), 0)</f>
        <v>0</v>
      </c>
      <c r="K362" s="10">
        <f t="shared" si="16"/>
        <v>0</v>
      </c>
      <c r="N362" s="9" t="str">
        <f t="shared" si="17"/>
        <v/>
      </c>
      <c r="O362" s="9" t="str">
        <f>IF(N362="","",IF(COUNTIF(Precios!$G:$G,N362)=0,"⚠ No coincide con Precios","OK"))</f>
        <v/>
      </c>
    </row>
    <row r="363" spans="3:15" x14ac:dyDescent="0.2">
      <c r="C363" s="9" cm="1">
        <f t="array" ref="C363">IFERROR(_xlfn.XLOOKUP(B363,Personal!$A:$A,Personal!$D:$D,""),"")</f>
        <v>0</v>
      </c>
      <c r="D363" s="9" cm="1">
        <f t="array" ref="D363">IFERROR(_xlfn.XLOOKUP(B363,Personal!$A:$A,Personal!$C:$C,""),"")</f>
        <v>0</v>
      </c>
      <c r="E363" s="9" t="str" cm="1">
        <f t="array" ref="E363">IFERROR(_xlfn.XLOOKUP(D363,Locales!$A:$A,Locales!$B:$B,""),"")</f>
        <v/>
      </c>
      <c r="F363" s="9" cm="1">
        <f t="array" ref="F363">IFERROR(_xlfn.XLOOKUP(B363,Personal!$A:$A,Personal!$F:$F,""),"")</f>
        <v>0</v>
      </c>
      <c r="I363" s="10" cm="1">
        <f t="array" ref="I363">IFERROR(INDEX(Precios!$D:$F,MATCH(N363, Precios!$G:$G, 0),CHOOSE(MATCH(H363, {"SML";"XL";"XXL"}, 0), 1, 2, 3)), 0)</f>
        <v>0</v>
      </c>
      <c r="K363" s="10">
        <f t="shared" si="16"/>
        <v>0</v>
      </c>
      <c r="N363" s="9" t="str">
        <f t="shared" si="17"/>
        <v/>
      </c>
      <c r="O363" s="9" t="str">
        <f>IF(N363="","",IF(COUNTIF(Precios!$G:$G,N363)=0,"⚠ No coincide con Precios","OK"))</f>
        <v/>
      </c>
    </row>
    <row r="364" spans="3:15" x14ac:dyDescent="0.2">
      <c r="C364" s="9" cm="1">
        <f t="array" ref="C364">IFERROR(_xlfn.XLOOKUP(B364,Personal!$A:$A,Personal!$D:$D,""),"")</f>
        <v>0</v>
      </c>
      <c r="D364" s="9" cm="1">
        <f t="array" ref="D364">IFERROR(_xlfn.XLOOKUP(B364,Personal!$A:$A,Personal!$C:$C,""),"")</f>
        <v>0</v>
      </c>
      <c r="E364" s="9" t="str" cm="1">
        <f t="array" ref="E364">IFERROR(_xlfn.XLOOKUP(D364,Locales!$A:$A,Locales!$B:$B,""),"")</f>
        <v/>
      </c>
      <c r="F364" s="9" cm="1">
        <f t="array" ref="F364">IFERROR(_xlfn.XLOOKUP(B364,Personal!$A:$A,Personal!$F:$F,""),"")</f>
        <v>0</v>
      </c>
      <c r="I364" s="10" cm="1">
        <f t="array" ref="I364">IFERROR(INDEX(Precios!$D:$F,MATCH(N364, Precios!$G:$G, 0),CHOOSE(MATCH(H364, {"SML";"XL";"XXL"}, 0), 1, 2, 3)), 0)</f>
        <v>0</v>
      </c>
      <c r="K364" s="10">
        <f t="shared" si="16"/>
        <v>0</v>
      </c>
      <c r="N364" s="9" t="str">
        <f t="shared" si="17"/>
        <v/>
      </c>
      <c r="O364" s="9" t="str">
        <f>IF(N364="","",IF(COUNTIF(Precios!$G:$G,N364)=0,"⚠ No coincide con Precios","OK"))</f>
        <v/>
      </c>
    </row>
    <row r="365" spans="3:15" x14ac:dyDescent="0.2">
      <c r="C365" s="9" cm="1">
        <f t="array" ref="C365">IFERROR(_xlfn.XLOOKUP(B365,Personal!$A:$A,Personal!$D:$D,""),"")</f>
        <v>0</v>
      </c>
      <c r="D365" s="9" cm="1">
        <f t="array" ref="D365">IFERROR(_xlfn.XLOOKUP(B365,Personal!$A:$A,Personal!$C:$C,""),"")</f>
        <v>0</v>
      </c>
      <c r="E365" s="9" t="str" cm="1">
        <f t="array" ref="E365">IFERROR(_xlfn.XLOOKUP(D365,Locales!$A:$A,Locales!$B:$B,""),"")</f>
        <v/>
      </c>
      <c r="F365" s="9" cm="1">
        <f t="array" ref="F365">IFERROR(_xlfn.XLOOKUP(B365,Personal!$A:$A,Personal!$F:$F,""),"")</f>
        <v>0</v>
      </c>
      <c r="I365" s="10" cm="1">
        <f t="array" ref="I365">IFERROR(INDEX(Precios!$D:$F,MATCH(N365, Precios!$G:$G, 0),CHOOSE(MATCH(H365, {"SML";"XL";"XXL"}, 0), 1, 2, 3)), 0)</f>
        <v>0</v>
      </c>
      <c r="K365" s="10">
        <f t="shared" si="16"/>
        <v>0</v>
      </c>
      <c r="N365" s="9" t="str">
        <f t="shared" si="17"/>
        <v/>
      </c>
      <c r="O365" s="9" t="str">
        <f>IF(N365="","",IF(COUNTIF(Precios!$G:$G,N365)=0,"⚠ No coincide con Precios","OK"))</f>
        <v/>
      </c>
    </row>
    <row r="366" spans="3:15" x14ac:dyDescent="0.2">
      <c r="C366" s="9" cm="1">
        <f t="array" ref="C366">IFERROR(_xlfn.XLOOKUP(B366,Personal!$A:$A,Personal!$D:$D,""),"")</f>
        <v>0</v>
      </c>
      <c r="D366" s="9" cm="1">
        <f t="array" ref="D366">IFERROR(_xlfn.XLOOKUP(B366,Personal!$A:$A,Personal!$C:$C,""),"")</f>
        <v>0</v>
      </c>
      <c r="E366" s="9" t="str" cm="1">
        <f t="array" ref="E366">IFERROR(_xlfn.XLOOKUP(D366,Locales!$A:$A,Locales!$B:$B,""),"")</f>
        <v/>
      </c>
      <c r="F366" s="9" cm="1">
        <f t="array" ref="F366">IFERROR(_xlfn.XLOOKUP(B366,Personal!$A:$A,Personal!$F:$F,""),"")</f>
        <v>0</v>
      </c>
      <c r="I366" s="10" cm="1">
        <f t="array" ref="I366">IFERROR(INDEX(Precios!$D:$F,MATCH(N366, Precios!$G:$G, 0),CHOOSE(MATCH(H366, {"SML";"XL";"XXL"}, 0), 1, 2, 3)), 0)</f>
        <v>0</v>
      </c>
      <c r="K366" s="10">
        <f t="shared" si="16"/>
        <v>0</v>
      </c>
      <c r="N366" s="9" t="str">
        <f t="shared" si="17"/>
        <v/>
      </c>
      <c r="O366" s="9" t="str">
        <f>IF(N366="","",IF(COUNTIF(Precios!$G:$G,N366)=0,"⚠ No coincide con Precios","OK"))</f>
        <v/>
      </c>
    </row>
    <row r="367" spans="3:15" x14ac:dyDescent="0.2">
      <c r="C367" s="9" cm="1">
        <f t="array" ref="C367">IFERROR(_xlfn.XLOOKUP(B367,Personal!$A:$A,Personal!$D:$D,""),"")</f>
        <v>0</v>
      </c>
      <c r="D367" s="9" cm="1">
        <f t="array" ref="D367">IFERROR(_xlfn.XLOOKUP(B367,Personal!$A:$A,Personal!$C:$C,""),"")</f>
        <v>0</v>
      </c>
      <c r="E367" s="9" t="str" cm="1">
        <f t="array" ref="E367">IFERROR(_xlfn.XLOOKUP(D367,Locales!$A:$A,Locales!$B:$B,""),"")</f>
        <v/>
      </c>
      <c r="F367" s="9" cm="1">
        <f t="array" ref="F367">IFERROR(_xlfn.XLOOKUP(B367,Personal!$A:$A,Personal!$F:$F,""),"")</f>
        <v>0</v>
      </c>
      <c r="I367" s="10" cm="1">
        <f t="array" ref="I367">IFERROR(INDEX(Precios!$D:$F,MATCH(N367, Precios!$G:$G, 0),CHOOSE(MATCH(H367, {"SML";"XL";"XXL"}, 0), 1, 2, 3)), 0)</f>
        <v>0</v>
      </c>
      <c r="K367" s="10">
        <f t="shared" si="16"/>
        <v>0</v>
      </c>
      <c r="N367" s="9" t="str">
        <f t="shared" si="17"/>
        <v/>
      </c>
      <c r="O367" s="9" t="str">
        <f>IF(N367="","",IF(COUNTIF(Precios!$G:$G,N367)=0,"⚠ No coincide con Precios","OK"))</f>
        <v/>
      </c>
    </row>
    <row r="368" spans="3:15" x14ac:dyDescent="0.2">
      <c r="C368" s="9" cm="1">
        <f t="array" ref="C368">IFERROR(_xlfn.XLOOKUP(B368,Personal!$A:$A,Personal!$D:$D,""),"")</f>
        <v>0</v>
      </c>
      <c r="D368" s="9" cm="1">
        <f t="array" ref="D368">IFERROR(_xlfn.XLOOKUP(B368,Personal!$A:$A,Personal!$C:$C,""),"")</f>
        <v>0</v>
      </c>
      <c r="E368" s="9" t="str" cm="1">
        <f t="array" ref="E368">IFERROR(_xlfn.XLOOKUP(D368,Locales!$A:$A,Locales!$B:$B,""),"")</f>
        <v/>
      </c>
      <c r="F368" s="9" cm="1">
        <f t="array" ref="F368">IFERROR(_xlfn.XLOOKUP(B368,Personal!$A:$A,Personal!$F:$F,""),"")</f>
        <v>0</v>
      </c>
      <c r="I368" s="10" cm="1">
        <f t="array" ref="I368">IFERROR(INDEX(Precios!$D:$F,MATCH(N368, Precios!$G:$G, 0),CHOOSE(MATCH(H368, {"SML";"XL";"XXL"}, 0), 1, 2, 3)), 0)</f>
        <v>0</v>
      </c>
      <c r="K368" s="10">
        <f t="shared" si="16"/>
        <v>0</v>
      </c>
      <c r="N368" s="9" t="str">
        <f t="shared" si="17"/>
        <v/>
      </c>
      <c r="O368" s="9" t="str">
        <f>IF(N368="","",IF(COUNTIF(Precios!$G:$G,N368)=0,"⚠ No coincide con Precios","OK"))</f>
        <v/>
      </c>
    </row>
    <row r="369" spans="3:15" x14ac:dyDescent="0.2">
      <c r="C369" s="9" cm="1">
        <f t="array" ref="C369">IFERROR(_xlfn.XLOOKUP(B369,Personal!$A:$A,Personal!$D:$D,""),"")</f>
        <v>0</v>
      </c>
      <c r="D369" s="9" cm="1">
        <f t="array" ref="D369">IFERROR(_xlfn.XLOOKUP(B369,Personal!$A:$A,Personal!$C:$C,""),"")</f>
        <v>0</v>
      </c>
      <c r="E369" s="9" t="str" cm="1">
        <f t="array" ref="E369">IFERROR(_xlfn.XLOOKUP(D369,Locales!$A:$A,Locales!$B:$B,""),"")</f>
        <v/>
      </c>
      <c r="F369" s="9" cm="1">
        <f t="array" ref="F369">IFERROR(_xlfn.XLOOKUP(B369,Personal!$A:$A,Personal!$F:$F,""),"")</f>
        <v>0</v>
      </c>
      <c r="I369" s="10" cm="1">
        <f t="array" ref="I369">IFERROR(INDEX(Precios!$D:$F,MATCH(N369, Precios!$G:$G, 0),CHOOSE(MATCH(H369, {"SML";"XL";"XXL"}, 0), 1, 2, 3)), 0)</f>
        <v>0</v>
      </c>
      <c r="K369" s="10">
        <f t="shared" si="16"/>
        <v>0</v>
      </c>
      <c r="N369" s="9" t="str">
        <f t="shared" si="17"/>
        <v/>
      </c>
      <c r="O369" s="9" t="str">
        <f>IF(N369="","",IF(COUNTIF(Precios!$G:$G,N369)=0,"⚠ No coincide con Precios","OK"))</f>
        <v/>
      </c>
    </row>
    <row r="370" spans="3:15" x14ac:dyDescent="0.2">
      <c r="C370" s="9" cm="1">
        <f t="array" ref="C370">IFERROR(_xlfn.XLOOKUP(B370,Personal!$A:$A,Personal!$D:$D,""),"")</f>
        <v>0</v>
      </c>
      <c r="D370" s="9" cm="1">
        <f t="array" ref="D370">IFERROR(_xlfn.XLOOKUP(B370,Personal!$A:$A,Personal!$C:$C,""),"")</f>
        <v>0</v>
      </c>
      <c r="E370" s="9" t="str" cm="1">
        <f t="array" ref="E370">IFERROR(_xlfn.XLOOKUP(D370,Locales!$A:$A,Locales!$B:$B,""),"")</f>
        <v/>
      </c>
      <c r="F370" s="9" cm="1">
        <f t="array" ref="F370">IFERROR(_xlfn.XLOOKUP(B370,Personal!$A:$A,Personal!$F:$F,""),"")</f>
        <v>0</v>
      </c>
      <c r="I370" s="10" cm="1">
        <f t="array" ref="I370">IFERROR(INDEX(Precios!$D:$F,MATCH(N370, Precios!$G:$G, 0),CHOOSE(MATCH(H370, {"SML";"XL";"XXL"}, 0), 1, 2, 3)), 0)</f>
        <v>0</v>
      </c>
      <c r="K370" s="10">
        <f t="shared" si="16"/>
        <v>0</v>
      </c>
      <c r="N370" s="9" t="str">
        <f t="shared" si="17"/>
        <v/>
      </c>
      <c r="O370" s="9" t="str">
        <f>IF(N370="","",IF(COUNTIF(Precios!$G:$G,N370)=0,"⚠ No coincide con Precios","OK"))</f>
        <v/>
      </c>
    </row>
    <row r="371" spans="3:15" x14ac:dyDescent="0.2">
      <c r="C371" s="9" cm="1">
        <f t="array" ref="C371">IFERROR(_xlfn.XLOOKUP(B371,Personal!$A:$A,Personal!$D:$D,""),"")</f>
        <v>0</v>
      </c>
      <c r="D371" s="9" cm="1">
        <f t="array" ref="D371">IFERROR(_xlfn.XLOOKUP(B371,Personal!$A:$A,Personal!$C:$C,""),"")</f>
        <v>0</v>
      </c>
      <c r="E371" s="9" t="str" cm="1">
        <f t="array" ref="E371">IFERROR(_xlfn.XLOOKUP(D371,Locales!$A:$A,Locales!$B:$B,""),"")</f>
        <v/>
      </c>
      <c r="F371" s="9" cm="1">
        <f t="array" ref="F371">IFERROR(_xlfn.XLOOKUP(B371,Personal!$A:$A,Personal!$F:$F,""),"")</f>
        <v>0</v>
      </c>
      <c r="I371" s="10" cm="1">
        <f t="array" ref="I371">IFERROR(INDEX(Precios!$D:$F,MATCH(N371, Precios!$G:$G, 0),CHOOSE(MATCH(H371, {"SML";"XL";"XXL"}, 0), 1, 2, 3)), 0)</f>
        <v>0</v>
      </c>
      <c r="K371" s="10">
        <f t="shared" si="16"/>
        <v>0</v>
      </c>
      <c r="N371" s="9" t="str">
        <f t="shared" si="17"/>
        <v/>
      </c>
      <c r="O371" s="9" t="str">
        <f>IF(N371="","",IF(COUNTIF(Precios!$G:$G,N371)=0,"⚠ No coincide con Precios","OK"))</f>
        <v/>
      </c>
    </row>
    <row r="372" spans="3:15" x14ac:dyDescent="0.2">
      <c r="C372" s="9" cm="1">
        <f t="array" ref="C372">IFERROR(_xlfn.XLOOKUP(B372,Personal!$A:$A,Personal!$D:$D,""),"")</f>
        <v>0</v>
      </c>
      <c r="D372" s="9" cm="1">
        <f t="array" ref="D372">IFERROR(_xlfn.XLOOKUP(B372,Personal!$A:$A,Personal!$C:$C,""),"")</f>
        <v>0</v>
      </c>
      <c r="E372" s="9" t="str" cm="1">
        <f t="array" ref="E372">IFERROR(_xlfn.XLOOKUP(D372,Locales!$A:$A,Locales!$B:$B,""),"")</f>
        <v/>
      </c>
      <c r="F372" s="9" cm="1">
        <f t="array" ref="F372">IFERROR(_xlfn.XLOOKUP(B372,Personal!$A:$A,Personal!$F:$F,""),"")</f>
        <v>0</v>
      </c>
      <c r="I372" s="10" cm="1">
        <f t="array" ref="I372">IFERROR(INDEX(Precios!$D:$F,MATCH(N372, Precios!$G:$G, 0),CHOOSE(MATCH(H372, {"SML";"XL";"XXL"}, 0), 1, 2, 3)), 0)</f>
        <v>0</v>
      </c>
      <c r="K372" s="10">
        <f t="shared" si="16"/>
        <v>0</v>
      </c>
      <c r="N372" s="9" t="str">
        <f t="shared" si="17"/>
        <v/>
      </c>
      <c r="O372" s="9" t="str">
        <f>IF(N372="","",IF(COUNTIF(Precios!$G:$G,N372)=0,"⚠ No coincide con Precios","OK"))</f>
        <v/>
      </c>
    </row>
    <row r="373" spans="3:15" x14ac:dyDescent="0.2">
      <c r="C373" s="9" cm="1">
        <f t="array" ref="C373">IFERROR(_xlfn.XLOOKUP(B373,Personal!$A:$A,Personal!$D:$D,""),"")</f>
        <v>0</v>
      </c>
      <c r="D373" s="9" cm="1">
        <f t="array" ref="D373">IFERROR(_xlfn.XLOOKUP(B373,Personal!$A:$A,Personal!$C:$C,""),"")</f>
        <v>0</v>
      </c>
      <c r="E373" s="9" t="str" cm="1">
        <f t="array" ref="E373">IFERROR(_xlfn.XLOOKUP(D373,Locales!$A:$A,Locales!$B:$B,""),"")</f>
        <v/>
      </c>
      <c r="F373" s="9" cm="1">
        <f t="array" ref="F373">IFERROR(_xlfn.XLOOKUP(B373,Personal!$A:$A,Personal!$F:$F,""),"")</f>
        <v>0</v>
      </c>
      <c r="I373" s="10" cm="1">
        <f t="array" ref="I373">IFERROR(INDEX(Precios!$D:$F,MATCH(N373, Precios!$G:$G, 0),CHOOSE(MATCH(H373, {"SML";"XL";"XXL"}, 0), 1, 2, 3)), 0)</f>
        <v>0</v>
      </c>
      <c r="K373" s="10">
        <f t="shared" si="16"/>
        <v>0</v>
      </c>
      <c r="N373" s="9" t="str">
        <f t="shared" si="17"/>
        <v/>
      </c>
      <c r="O373" s="9" t="str">
        <f>IF(N373="","",IF(COUNTIF(Precios!$G:$G,N373)=0,"⚠ No coincide con Precios","OK"))</f>
        <v/>
      </c>
    </row>
    <row r="374" spans="3:15" x14ac:dyDescent="0.2">
      <c r="C374" s="9" cm="1">
        <f t="array" ref="C374">IFERROR(_xlfn.XLOOKUP(B374,Personal!$A:$A,Personal!$D:$D,""),"")</f>
        <v>0</v>
      </c>
      <c r="D374" s="9" cm="1">
        <f t="array" ref="D374">IFERROR(_xlfn.XLOOKUP(B374,Personal!$A:$A,Personal!$C:$C,""),"")</f>
        <v>0</v>
      </c>
      <c r="E374" s="9" t="str" cm="1">
        <f t="array" ref="E374">IFERROR(_xlfn.XLOOKUP(D374,Locales!$A:$A,Locales!$B:$B,""),"")</f>
        <v/>
      </c>
      <c r="F374" s="9" cm="1">
        <f t="array" ref="F374">IFERROR(_xlfn.XLOOKUP(B374,Personal!$A:$A,Personal!$F:$F,""),"")</f>
        <v>0</v>
      </c>
      <c r="I374" s="10" cm="1">
        <f t="array" ref="I374">IFERROR(INDEX(Precios!$D:$F,MATCH(N374, Precios!$G:$G, 0),CHOOSE(MATCH(H374, {"SML";"XL";"XXL"}, 0), 1, 2, 3)), 0)</f>
        <v>0</v>
      </c>
      <c r="K374" s="10">
        <f t="shared" si="16"/>
        <v>0</v>
      </c>
      <c r="N374" s="9" t="str">
        <f t="shared" si="17"/>
        <v/>
      </c>
      <c r="O374" s="9" t="str">
        <f>IF(N374="","",IF(COUNTIF(Precios!$G:$G,N374)=0,"⚠ No coincide con Precios","OK"))</f>
        <v/>
      </c>
    </row>
    <row r="375" spans="3:15" x14ac:dyDescent="0.2">
      <c r="C375" s="9" cm="1">
        <f t="array" ref="C375">IFERROR(_xlfn.XLOOKUP(B375,Personal!$A:$A,Personal!$D:$D,""),"")</f>
        <v>0</v>
      </c>
      <c r="D375" s="9" cm="1">
        <f t="array" ref="D375">IFERROR(_xlfn.XLOOKUP(B375,Personal!$A:$A,Personal!$C:$C,""),"")</f>
        <v>0</v>
      </c>
      <c r="E375" s="9" t="str" cm="1">
        <f t="array" ref="E375">IFERROR(_xlfn.XLOOKUP(D375,Locales!$A:$A,Locales!$B:$B,""),"")</f>
        <v/>
      </c>
      <c r="F375" s="9" cm="1">
        <f t="array" ref="F375">IFERROR(_xlfn.XLOOKUP(B375,Personal!$A:$A,Personal!$F:$F,""),"")</f>
        <v>0</v>
      </c>
      <c r="I375" s="10" cm="1">
        <f t="array" ref="I375">IFERROR(INDEX(Precios!$D:$F,MATCH(N375, Precios!$G:$G, 0),CHOOSE(MATCH(H375, {"SML";"XL";"XXL"}, 0), 1, 2, 3)), 0)</f>
        <v>0</v>
      </c>
      <c r="K375" s="10">
        <f t="shared" si="16"/>
        <v>0</v>
      </c>
      <c r="N375" s="9" t="str">
        <f t="shared" si="17"/>
        <v/>
      </c>
      <c r="O375" s="9" t="str">
        <f>IF(N375="","",IF(COUNTIF(Precios!$G:$G,N375)=0,"⚠ No coincide con Precios","OK"))</f>
        <v/>
      </c>
    </row>
    <row r="376" spans="3:15" x14ac:dyDescent="0.2">
      <c r="C376" s="9" cm="1">
        <f t="array" ref="C376">IFERROR(_xlfn.XLOOKUP(B376,Personal!$A:$A,Personal!$D:$D,""),"")</f>
        <v>0</v>
      </c>
      <c r="D376" s="9" cm="1">
        <f t="array" ref="D376">IFERROR(_xlfn.XLOOKUP(B376,Personal!$A:$A,Personal!$C:$C,""),"")</f>
        <v>0</v>
      </c>
      <c r="E376" s="9" t="str" cm="1">
        <f t="array" ref="E376">IFERROR(_xlfn.XLOOKUP(D376,Locales!$A:$A,Locales!$B:$B,""),"")</f>
        <v/>
      </c>
      <c r="F376" s="9" cm="1">
        <f t="array" ref="F376">IFERROR(_xlfn.XLOOKUP(B376,Personal!$A:$A,Personal!$F:$F,""),"")</f>
        <v>0</v>
      </c>
      <c r="I376" s="10" cm="1">
        <f t="array" ref="I376">IFERROR(INDEX(Precios!$D:$F,MATCH(N376, Precios!$G:$G, 0),CHOOSE(MATCH(H376, {"SML";"XL";"XXL"}, 0), 1, 2, 3)), 0)</f>
        <v>0</v>
      </c>
      <c r="K376" s="10">
        <f t="shared" si="16"/>
        <v>0</v>
      </c>
      <c r="N376" s="9" t="str">
        <f t="shared" si="17"/>
        <v/>
      </c>
      <c r="O376" s="9" t="str">
        <f>IF(N376="","",IF(COUNTIF(Precios!$G:$G,N376)=0,"⚠ No coincide con Precios","OK"))</f>
        <v/>
      </c>
    </row>
    <row r="377" spans="3:15" x14ac:dyDescent="0.2">
      <c r="C377" s="9" cm="1">
        <f t="array" ref="C377">IFERROR(_xlfn.XLOOKUP(B377,Personal!$A:$A,Personal!$D:$D,""),"")</f>
        <v>0</v>
      </c>
      <c r="D377" s="9" cm="1">
        <f t="array" ref="D377">IFERROR(_xlfn.XLOOKUP(B377,Personal!$A:$A,Personal!$C:$C,""),"")</f>
        <v>0</v>
      </c>
      <c r="E377" s="9" t="str" cm="1">
        <f t="array" ref="E377">IFERROR(_xlfn.XLOOKUP(D377,Locales!$A:$A,Locales!$B:$B,""),"")</f>
        <v/>
      </c>
      <c r="F377" s="9" cm="1">
        <f t="array" ref="F377">IFERROR(_xlfn.XLOOKUP(B377,Personal!$A:$A,Personal!$F:$F,""),"")</f>
        <v>0</v>
      </c>
      <c r="I377" s="10" cm="1">
        <f t="array" ref="I377">IFERROR(INDEX(Precios!$D:$F,MATCH(N377, Precios!$G:$G, 0),CHOOSE(MATCH(H377, {"SML";"XL";"XXL"}, 0), 1, 2, 3)), 0)</f>
        <v>0</v>
      </c>
      <c r="K377" s="10">
        <f t="shared" si="16"/>
        <v>0</v>
      </c>
      <c r="N377" s="9" t="str">
        <f t="shared" si="17"/>
        <v/>
      </c>
      <c r="O377" s="9" t="str">
        <f>IF(N377="","",IF(COUNTIF(Precios!$G:$G,N377)=0,"⚠ No coincide con Precios","OK"))</f>
        <v/>
      </c>
    </row>
    <row r="378" spans="3:15" x14ac:dyDescent="0.2">
      <c r="C378" s="9" cm="1">
        <f t="array" ref="C378">IFERROR(_xlfn.XLOOKUP(B378,Personal!$A:$A,Personal!$D:$D,""),"")</f>
        <v>0</v>
      </c>
      <c r="D378" s="9" cm="1">
        <f t="array" ref="D378">IFERROR(_xlfn.XLOOKUP(B378,Personal!$A:$A,Personal!$C:$C,""),"")</f>
        <v>0</v>
      </c>
      <c r="E378" s="9" t="str" cm="1">
        <f t="array" ref="E378">IFERROR(_xlfn.XLOOKUP(D378,Locales!$A:$A,Locales!$B:$B,""),"")</f>
        <v/>
      </c>
      <c r="F378" s="9" cm="1">
        <f t="array" ref="F378">IFERROR(_xlfn.XLOOKUP(B378,Personal!$A:$A,Personal!$F:$F,""),"")</f>
        <v>0</v>
      </c>
      <c r="I378" s="10" cm="1">
        <f t="array" ref="I378">IFERROR(INDEX(Precios!$D:$F,MATCH(N378, Precios!$G:$G, 0),CHOOSE(MATCH(H378, {"SML";"XL";"XXL"}, 0), 1, 2, 3)), 0)</f>
        <v>0</v>
      </c>
      <c r="K378" s="10">
        <f t="shared" si="16"/>
        <v>0</v>
      </c>
      <c r="N378" s="9" t="str">
        <f t="shared" si="17"/>
        <v/>
      </c>
      <c r="O378" s="9" t="str">
        <f>IF(N378="","",IF(COUNTIF(Precios!$G:$G,N378)=0,"⚠ No coincide con Precios","OK"))</f>
        <v/>
      </c>
    </row>
    <row r="379" spans="3:15" x14ac:dyDescent="0.2">
      <c r="C379" s="9" cm="1">
        <f t="array" ref="C379">IFERROR(_xlfn.XLOOKUP(B379,Personal!$A:$A,Personal!$D:$D,""),"")</f>
        <v>0</v>
      </c>
      <c r="D379" s="9" cm="1">
        <f t="array" ref="D379">IFERROR(_xlfn.XLOOKUP(B379,Personal!$A:$A,Personal!$C:$C,""),"")</f>
        <v>0</v>
      </c>
      <c r="E379" s="9" t="str" cm="1">
        <f t="array" ref="E379">IFERROR(_xlfn.XLOOKUP(D379,Locales!$A:$A,Locales!$B:$B,""),"")</f>
        <v/>
      </c>
      <c r="F379" s="9" cm="1">
        <f t="array" ref="F379">IFERROR(_xlfn.XLOOKUP(B379,Personal!$A:$A,Personal!$F:$F,""),"")</f>
        <v>0</v>
      </c>
      <c r="I379" s="10" cm="1">
        <f t="array" ref="I379">IFERROR(INDEX(Precios!$D:$F,MATCH(N379, Precios!$G:$G, 0),CHOOSE(MATCH(H379, {"SML";"XL";"XXL"}, 0), 1, 2, 3)), 0)</f>
        <v>0</v>
      </c>
      <c r="K379" s="10">
        <f t="shared" si="16"/>
        <v>0</v>
      </c>
      <c r="N379" s="9" t="str">
        <f t="shared" si="17"/>
        <v/>
      </c>
      <c r="O379" s="9" t="str">
        <f>IF(N379="","",IF(COUNTIF(Precios!$G:$G,N379)=0,"⚠ No coincide con Precios","OK"))</f>
        <v/>
      </c>
    </row>
    <row r="380" spans="3:15" x14ac:dyDescent="0.2">
      <c r="C380" s="9" cm="1">
        <f t="array" ref="C380">IFERROR(_xlfn.XLOOKUP(B380,Personal!$A:$A,Personal!$D:$D,""),"")</f>
        <v>0</v>
      </c>
      <c r="D380" s="9" cm="1">
        <f t="array" ref="D380">IFERROR(_xlfn.XLOOKUP(B380,Personal!$A:$A,Personal!$C:$C,""),"")</f>
        <v>0</v>
      </c>
      <c r="E380" s="9" t="str" cm="1">
        <f t="array" ref="E380">IFERROR(_xlfn.XLOOKUP(D380,Locales!$A:$A,Locales!$B:$B,""),"")</f>
        <v/>
      </c>
      <c r="F380" s="9" cm="1">
        <f t="array" ref="F380">IFERROR(_xlfn.XLOOKUP(B380,Personal!$A:$A,Personal!$F:$F,""),"")</f>
        <v>0</v>
      </c>
      <c r="I380" s="10" cm="1">
        <f t="array" ref="I380">IFERROR(INDEX(Precios!$D:$F,MATCH(N380, Precios!$G:$G, 0),CHOOSE(MATCH(H380, {"SML";"XL";"XXL"}, 0), 1, 2, 3)), 0)</f>
        <v>0</v>
      </c>
      <c r="K380" s="10">
        <f t="shared" si="16"/>
        <v>0</v>
      </c>
      <c r="N380" s="9" t="str">
        <f t="shared" si="17"/>
        <v/>
      </c>
      <c r="O380" s="9" t="str">
        <f>IF(N380="","",IF(COUNTIF(Precios!$G:$G,N380)=0,"⚠ No coincide con Precios","OK"))</f>
        <v/>
      </c>
    </row>
    <row r="381" spans="3:15" x14ac:dyDescent="0.2">
      <c r="C381" s="9" cm="1">
        <f t="array" ref="C381">IFERROR(_xlfn.XLOOKUP(B381,Personal!$A:$A,Personal!$D:$D,""),"")</f>
        <v>0</v>
      </c>
      <c r="D381" s="9" cm="1">
        <f t="array" ref="D381">IFERROR(_xlfn.XLOOKUP(B381,Personal!$A:$A,Personal!$C:$C,""),"")</f>
        <v>0</v>
      </c>
      <c r="E381" s="9" t="str" cm="1">
        <f t="array" ref="E381">IFERROR(_xlfn.XLOOKUP(D381,Locales!$A:$A,Locales!$B:$B,""),"")</f>
        <v/>
      </c>
      <c r="F381" s="9" cm="1">
        <f t="array" ref="F381">IFERROR(_xlfn.XLOOKUP(B381,Personal!$A:$A,Personal!$F:$F,""),"")</f>
        <v>0</v>
      </c>
      <c r="I381" s="10" cm="1">
        <f t="array" ref="I381">IFERROR(INDEX(Precios!$D:$F,MATCH(N381, Precios!$G:$G, 0),CHOOSE(MATCH(H381, {"SML";"XL";"XXL"}, 0), 1, 2, 3)), 0)</f>
        <v>0</v>
      </c>
      <c r="K381" s="10">
        <f t="shared" si="16"/>
        <v>0</v>
      </c>
      <c r="N381" s="9" t="str">
        <f t="shared" si="17"/>
        <v/>
      </c>
      <c r="O381" s="9" t="str">
        <f>IF(N381="","",IF(COUNTIF(Precios!$G:$G,N381)=0,"⚠ No coincide con Precios","OK"))</f>
        <v/>
      </c>
    </row>
    <row r="382" spans="3:15" x14ac:dyDescent="0.2">
      <c r="C382" s="9" cm="1">
        <f t="array" ref="C382">IFERROR(_xlfn.XLOOKUP(B382,Personal!$A:$A,Personal!$D:$D,""),"")</f>
        <v>0</v>
      </c>
      <c r="D382" s="9" cm="1">
        <f t="array" ref="D382">IFERROR(_xlfn.XLOOKUP(B382,Personal!$A:$A,Personal!$C:$C,""),"")</f>
        <v>0</v>
      </c>
      <c r="E382" s="9" t="str" cm="1">
        <f t="array" ref="E382">IFERROR(_xlfn.XLOOKUP(D382,Locales!$A:$A,Locales!$B:$B,""),"")</f>
        <v/>
      </c>
      <c r="F382" s="9" cm="1">
        <f t="array" ref="F382">IFERROR(_xlfn.XLOOKUP(B382,Personal!$A:$A,Personal!$F:$F,""),"")</f>
        <v>0</v>
      </c>
      <c r="I382" s="10" cm="1">
        <f t="array" ref="I382">IFERROR(INDEX(Precios!$D:$F,MATCH(N382, Precios!$G:$G, 0),CHOOSE(MATCH(H382, {"SML";"XL";"XXL"}, 0), 1, 2, 3)), 0)</f>
        <v>0</v>
      </c>
      <c r="K382" s="10">
        <f t="shared" ref="K382:K445" si="18">IFERROR(I382*J382,0)</f>
        <v>0</v>
      </c>
      <c r="N382" s="9" t="str">
        <f t="shared" ref="N382:N445" si="19">IF( OR(E382="",F382="",G382=""), "",CLEAN(TRIM(E382)) &amp; "|" &amp; CLEAN(TRIM(F382)) &amp; "|" &amp; CLEAN(TRIM(G382)))</f>
        <v/>
      </c>
      <c r="O382" s="9" t="str">
        <f>IF(N382="","",IF(COUNTIF(Precios!$G:$G,N382)=0,"⚠ No coincide con Precios","OK"))</f>
        <v/>
      </c>
    </row>
    <row r="383" spans="3:15" x14ac:dyDescent="0.2">
      <c r="C383" s="9" cm="1">
        <f t="array" ref="C383">IFERROR(_xlfn.XLOOKUP(B383,Personal!$A:$A,Personal!$D:$D,""),"")</f>
        <v>0</v>
      </c>
      <c r="D383" s="9" cm="1">
        <f t="array" ref="D383">IFERROR(_xlfn.XLOOKUP(B383,Personal!$A:$A,Personal!$C:$C,""),"")</f>
        <v>0</v>
      </c>
      <c r="E383" s="9" t="str" cm="1">
        <f t="array" ref="E383">IFERROR(_xlfn.XLOOKUP(D383,Locales!$A:$A,Locales!$B:$B,""),"")</f>
        <v/>
      </c>
      <c r="F383" s="9" cm="1">
        <f t="array" ref="F383">IFERROR(_xlfn.XLOOKUP(B383,Personal!$A:$A,Personal!$F:$F,""),"")</f>
        <v>0</v>
      </c>
      <c r="I383" s="10" cm="1">
        <f t="array" ref="I383">IFERROR(INDEX(Precios!$D:$F,MATCH(N383, Precios!$G:$G, 0),CHOOSE(MATCH(H383, {"SML";"XL";"XXL"}, 0), 1, 2, 3)), 0)</f>
        <v>0</v>
      </c>
      <c r="K383" s="10">
        <f t="shared" si="18"/>
        <v>0</v>
      </c>
      <c r="N383" s="9" t="str">
        <f t="shared" si="19"/>
        <v/>
      </c>
      <c r="O383" s="9" t="str">
        <f>IF(N383="","",IF(COUNTIF(Precios!$G:$G,N383)=0,"⚠ No coincide con Precios","OK"))</f>
        <v/>
      </c>
    </row>
    <row r="384" spans="3:15" x14ac:dyDescent="0.2">
      <c r="C384" s="9" cm="1">
        <f t="array" ref="C384">IFERROR(_xlfn.XLOOKUP(B384,Personal!$A:$A,Personal!$D:$D,""),"")</f>
        <v>0</v>
      </c>
      <c r="D384" s="9" cm="1">
        <f t="array" ref="D384">IFERROR(_xlfn.XLOOKUP(B384,Personal!$A:$A,Personal!$C:$C,""),"")</f>
        <v>0</v>
      </c>
      <c r="E384" s="9" t="str" cm="1">
        <f t="array" ref="E384">IFERROR(_xlfn.XLOOKUP(D384,Locales!$A:$A,Locales!$B:$B,""),"")</f>
        <v/>
      </c>
      <c r="F384" s="9" cm="1">
        <f t="array" ref="F384">IFERROR(_xlfn.XLOOKUP(B384,Personal!$A:$A,Personal!$F:$F,""),"")</f>
        <v>0</v>
      </c>
      <c r="I384" s="10" cm="1">
        <f t="array" ref="I384">IFERROR(INDEX(Precios!$D:$F,MATCH(N384, Precios!$G:$G, 0),CHOOSE(MATCH(H384, {"SML";"XL";"XXL"}, 0), 1, 2, 3)), 0)</f>
        <v>0</v>
      </c>
      <c r="K384" s="10">
        <f t="shared" si="18"/>
        <v>0</v>
      </c>
      <c r="N384" s="9" t="str">
        <f t="shared" si="19"/>
        <v/>
      </c>
      <c r="O384" s="9" t="str">
        <f>IF(N384="","",IF(COUNTIF(Precios!$G:$G,N384)=0,"⚠ No coincide con Precios","OK"))</f>
        <v/>
      </c>
    </row>
    <row r="385" spans="3:15" x14ac:dyDescent="0.2">
      <c r="C385" s="9" cm="1">
        <f t="array" ref="C385">IFERROR(_xlfn.XLOOKUP(B385,Personal!$A:$A,Personal!$D:$D,""),"")</f>
        <v>0</v>
      </c>
      <c r="D385" s="9" cm="1">
        <f t="array" ref="D385">IFERROR(_xlfn.XLOOKUP(B385,Personal!$A:$A,Personal!$C:$C,""),"")</f>
        <v>0</v>
      </c>
      <c r="E385" s="9" t="str" cm="1">
        <f t="array" ref="E385">IFERROR(_xlfn.XLOOKUP(D385,Locales!$A:$A,Locales!$B:$B,""),"")</f>
        <v/>
      </c>
      <c r="F385" s="9" cm="1">
        <f t="array" ref="F385">IFERROR(_xlfn.XLOOKUP(B385,Personal!$A:$A,Personal!$F:$F,""),"")</f>
        <v>0</v>
      </c>
      <c r="I385" s="10" cm="1">
        <f t="array" ref="I385">IFERROR(INDEX(Precios!$D:$F,MATCH(N385, Precios!$G:$G, 0),CHOOSE(MATCH(H385, {"SML";"XL";"XXL"}, 0), 1, 2, 3)), 0)</f>
        <v>0</v>
      </c>
      <c r="K385" s="10">
        <f t="shared" si="18"/>
        <v>0</v>
      </c>
      <c r="N385" s="9" t="str">
        <f t="shared" si="19"/>
        <v/>
      </c>
      <c r="O385" s="9" t="str">
        <f>IF(N385="","",IF(COUNTIF(Precios!$G:$G,N385)=0,"⚠ No coincide con Precios","OK"))</f>
        <v/>
      </c>
    </row>
    <row r="386" spans="3:15" x14ac:dyDescent="0.2">
      <c r="C386" s="9" cm="1">
        <f t="array" ref="C386">IFERROR(_xlfn.XLOOKUP(B386,Personal!$A:$A,Personal!$D:$D,""),"")</f>
        <v>0</v>
      </c>
      <c r="D386" s="9" cm="1">
        <f t="array" ref="D386">IFERROR(_xlfn.XLOOKUP(B386,Personal!$A:$A,Personal!$C:$C,""),"")</f>
        <v>0</v>
      </c>
      <c r="E386" s="9" t="str" cm="1">
        <f t="array" ref="E386">IFERROR(_xlfn.XLOOKUP(D386,Locales!$A:$A,Locales!$B:$B,""),"")</f>
        <v/>
      </c>
      <c r="F386" s="9" cm="1">
        <f t="array" ref="F386">IFERROR(_xlfn.XLOOKUP(B386,Personal!$A:$A,Personal!$F:$F,""),"")</f>
        <v>0</v>
      </c>
      <c r="I386" s="10" cm="1">
        <f t="array" ref="I386">IFERROR(INDEX(Precios!$D:$F,MATCH(N386, Precios!$G:$G, 0),CHOOSE(MATCH(H386, {"SML";"XL";"XXL"}, 0), 1, 2, 3)), 0)</f>
        <v>0</v>
      </c>
      <c r="K386" s="10">
        <f t="shared" si="18"/>
        <v>0</v>
      </c>
      <c r="N386" s="9" t="str">
        <f t="shared" si="19"/>
        <v/>
      </c>
      <c r="O386" s="9" t="str">
        <f>IF(N386="","",IF(COUNTIF(Precios!$G:$G,N386)=0,"⚠ No coincide con Precios","OK"))</f>
        <v/>
      </c>
    </row>
    <row r="387" spans="3:15" x14ac:dyDescent="0.2">
      <c r="C387" s="9" cm="1">
        <f t="array" ref="C387">IFERROR(_xlfn.XLOOKUP(B387,Personal!$A:$A,Personal!$D:$D,""),"")</f>
        <v>0</v>
      </c>
      <c r="D387" s="9" cm="1">
        <f t="array" ref="D387">IFERROR(_xlfn.XLOOKUP(B387,Personal!$A:$A,Personal!$C:$C,""),"")</f>
        <v>0</v>
      </c>
      <c r="E387" s="9" t="str" cm="1">
        <f t="array" ref="E387">IFERROR(_xlfn.XLOOKUP(D387,Locales!$A:$A,Locales!$B:$B,""),"")</f>
        <v/>
      </c>
      <c r="F387" s="9" cm="1">
        <f t="array" ref="F387">IFERROR(_xlfn.XLOOKUP(B387,Personal!$A:$A,Personal!$F:$F,""),"")</f>
        <v>0</v>
      </c>
      <c r="I387" s="10" cm="1">
        <f t="array" ref="I387">IFERROR(INDEX(Precios!$D:$F,MATCH(N387, Precios!$G:$G, 0),CHOOSE(MATCH(H387, {"SML";"XL";"XXL"}, 0), 1, 2, 3)), 0)</f>
        <v>0</v>
      </c>
      <c r="K387" s="10">
        <f t="shared" si="18"/>
        <v>0</v>
      </c>
      <c r="N387" s="9" t="str">
        <f t="shared" si="19"/>
        <v/>
      </c>
      <c r="O387" s="9" t="str">
        <f>IF(N387="","",IF(COUNTIF(Precios!$G:$G,N387)=0,"⚠ No coincide con Precios","OK"))</f>
        <v/>
      </c>
    </row>
    <row r="388" spans="3:15" x14ac:dyDescent="0.2">
      <c r="C388" s="9" cm="1">
        <f t="array" ref="C388">IFERROR(_xlfn.XLOOKUP(B388,Personal!$A:$A,Personal!$D:$D,""),"")</f>
        <v>0</v>
      </c>
      <c r="D388" s="9" cm="1">
        <f t="array" ref="D388">IFERROR(_xlfn.XLOOKUP(B388,Personal!$A:$A,Personal!$C:$C,""),"")</f>
        <v>0</v>
      </c>
      <c r="E388" s="9" t="str" cm="1">
        <f t="array" ref="E388">IFERROR(_xlfn.XLOOKUP(D388,Locales!$A:$A,Locales!$B:$B,""),"")</f>
        <v/>
      </c>
      <c r="F388" s="9" cm="1">
        <f t="array" ref="F388">IFERROR(_xlfn.XLOOKUP(B388,Personal!$A:$A,Personal!$F:$F,""),"")</f>
        <v>0</v>
      </c>
      <c r="I388" s="10" cm="1">
        <f t="array" ref="I388">IFERROR(INDEX(Precios!$D:$F,MATCH(N388, Precios!$G:$G, 0),CHOOSE(MATCH(H388, {"SML";"XL";"XXL"}, 0), 1, 2, 3)), 0)</f>
        <v>0</v>
      </c>
      <c r="K388" s="10">
        <f t="shared" si="18"/>
        <v>0</v>
      </c>
      <c r="N388" s="9" t="str">
        <f t="shared" si="19"/>
        <v/>
      </c>
      <c r="O388" s="9" t="str">
        <f>IF(N388="","",IF(COUNTIF(Precios!$G:$G,N388)=0,"⚠ No coincide con Precios","OK"))</f>
        <v/>
      </c>
    </row>
    <row r="389" spans="3:15" x14ac:dyDescent="0.2">
      <c r="C389" s="9" cm="1">
        <f t="array" ref="C389">IFERROR(_xlfn.XLOOKUP(B389,Personal!$A:$A,Personal!$D:$D,""),"")</f>
        <v>0</v>
      </c>
      <c r="D389" s="9" cm="1">
        <f t="array" ref="D389">IFERROR(_xlfn.XLOOKUP(B389,Personal!$A:$A,Personal!$C:$C,""),"")</f>
        <v>0</v>
      </c>
      <c r="E389" s="9" t="str" cm="1">
        <f t="array" ref="E389">IFERROR(_xlfn.XLOOKUP(D389,Locales!$A:$A,Locales!$B:$B,""),"")</f>
        <v/>
      </c>
      <c r="F389" s="9" cm="1">
        <f t="array" ref="F389">IFERROR(_xlfn.XLOOKUP(B389,Personal!$A:$A,Personal!$F:$F,""),"")</f>
        <v>0</v>
      </c>
      <c r="I389" s="10" cm="1">
        <f t="array" ref="I389">IFERROR(INDEX(Precios!$D:$F,MATCH(N389, Precios!$G:$G, 0),CHOOSE(MATCH(H389, {"SML";"XL";"XXL"}, 0), 1, 2, 3)), 0)</f>
        <v>0</v>
      </c>
      <c r="K389" s="10">
        <f t="shared" si="18"/>
        <v>0</v>
      </c>
      <c r="N389" s="9" t="str">
        <f t="shared" si="19"/>
        <v/>
      </c>
      <c r="O389" s="9" t="str">
        <f>IF(N389="","",IF(COUNTIF(Precios!$G:$G,N389)=0,"⚠ No coincide con Precios","OK"))</f>
        <v/>
      </c>
    </row>
    <row r="390" spans="3:15" x14ac:dyDescent="0.2">
      <c r="C390" s="9" cm="1">
        <f t="array" ref="C390">IFERROR(_xlfn.XLOOKUP(B390,Personal!$A:$A,Personal!$D:$D,""),"")</f>
        <v>0</v>
      </c>
      <c r="D390" s="9" cm="1">
        <f t="array" ref="D390">IFERROR(_xlfn.XLOOKUP(B390,Personal!$A:$A,Personal!$C:$C,""),"")</f>
        <v>0</v>
      </c>
      <c r="E390" s="9" t="str" cm="1">
        <f t="array" ref="E390">IFERROR(_xlfn.XLOOKUP(D390,Locales!$A:$A,Locales!$B:$B,""),"")</f>
        <v/>
      </c>
      <c r="F390" s="9" cm="1">
        <f t="array" ref="F390">IFERROR(_xlfn.XLOOKUP(B390,Personal!$A:$A,Personal!$F:$F,""),"")</f>
        <v>0</v>
      </c>
      <c r="I390" s="10" cm="1">
        <f t="array" ref="I390">IFERROR(INDEX(Precios!$D:$F,MATCH(N390, Precios!$G:$G, 0),CHOOSE(MATCH(H390, {"SML";"XL";"XXL"}, 0), 1, 2, 3)), 0)</f>
        <v>0</v>
      </c>
      <c r="K390" s="10">
        <f t="shared" si="18"/>
        <v>0</v>
      </c>
      <c r="N390" s="9" t="str">
        <f t="shared" si="19"/>
        <v/>
      </c>
      <c r="O390" s="9" t="str">
        <f>IF(N390="","",IF(COUNTIF(Precios!$G:$G,N390)=0,"⚠ No coincide con Precios","OK"))</f>
        <v/>
      </c>
    </row>
    <row r="391" spans="3:15" x14ac:dyDescent="0.2">
      <c r="C391" s="9" cm="1">
        <f t="array" ref="C391">IFERROR(_xlfn.XLOOKUP(B391,Personal!$A:$A,Personal!$D:$D,""),"")</f>
        <v>0</v>
      </c>
      <c r="D391" s="9" cm="1">
        <f t="array" ref="D391">IFERROR(_xlfn.XLOOKUP(B391,Personal!$A:$A,Personal!$C:$C,""),"")</f>
        <v>0</v>
      </c>
      <c r="E391" s="9" t="str" cm="1">
        <f t="array" ref="E391">IFERROR(_xlfn.XLOOKUP(D391,Locales!$A:$A,Locales!$B:$B,""),"")</f>
        <v/>
      </c>
      <c r="F391" s="9" cm="1">
        <f t="array" ref="F391">IFERROR(_xlfn.XLOOKUP(B391,Personal!$A:$A,Personal!$F:$F,""),"")</f>
        <v>0</v>
      </c>
      <c r="I391" s="10" cm="1">
        <f t="array" ref="I391">IFERROR(INDEX(Precios!$D:$F,MATCH(N391, Precios!$G:$G, 0),CHOOSE(MATCH(H391, {"SML";"XL";"XXL"}, 0), 1, 2, 3)), 0)</f>
        <v>0</v>
      </c>
      <c r="K391" s="10">
        <f t="shared" si="18"/>
        <v>0</v>
      </c>
      <c r="N391" s="9" t="str">
        <f t="shared" si="19"/>
        <v/>
      </c>
      <c r="O391" s="9" t="str">
        <f>IF(N391="","",IF(COUNTIF(Precios!$G:$G,N391)=0,"⚠ No coincide con Precios","OK"))</f>
        <v/>
      </c>
    </row>
    <row r="392" spans="3:15" x14ac:dyDescent="0.2">
      <c r="C392" s="9" cm="1">
        <f t="array" ref="C392">IFERROR(_xlfn.XLOOKUP(B392,Personal!$A:$A,Personal!$D:$D,""),"")</f>
        <v>0</v>
      </c>
      <c r="D392" s="9" cm="1">
        <f t="array" ref="D392">IFERROR(_xlfn.XLOOKUP(B392,Personal!$A:$A,Personal!$C:$C,""),"")</f>
        <v>0</v>
      </c>
      <c r="E392" s="9" t="str" cm="1">
        <f t="array" ref="E392">IFERROR(_xlfn.XLOOKUP(D392,Locales!$A:$A,Locales!$B:$B,""),"")</f>
        <v/>
      </c>
      <c r="F392" s="9" cm="1">
        <f t="array" ref="F392">IFERROR(_xlfn.XLOOKUP(B392,Personal!$A:$A,Personal!$F:$F,""),"")</f>
        <v>0</v>
      </c>
      <c r="I392" s="10" cm="1">
        <f t="array" ref="I392">IFERROR(INDEX(Precios!$D:$F,MATCH(N392, Precios!$G:$G, 0),CHOOSE(MATCH(H392, {"SML";"XL";"XXL"}, 0), 1, 2, 3)), 0)</f>
        <v>0</v>
      </c>
      <c r="K392" s="10">
        <f t="shared" si="18"/>
        <v>0</v>
      </c>
      <c r="N392" s="9" t="str">
        <f t="shared" si="19"/>
        <v/>
      </c>
      <c r="O392" s="9" t="str">
        <f>IF(N392="","",IF(COUNTIF(Precios!$G:$G,N392)=0,"⚠ No coincide con Precios","OK"))</f>
        <v/>
      </c>
    </row>
    <row r="393" spans="3:15" x14ac:dyDescent="0.2">
      <c r="C393" s="9" cm="1">
        <f t="array" ref="C393">IFERROR(_xlfn.XLOOKUP(B393,Personal!$A:$A,Personal!$D:$D,""),"")</f>
        <v>0</v>
      </c>
      <c r="D393" s="9" cm="1">
        <f t="array" ref="D393">IFERROR(_xlfn.XLOOKUP(B393,Personal!$A:$A,Personal!$C:$C,""),"")</f>
        <v>0</v>
      </c>
      <c r="E393" s="9" t="str" cm="1">
        <f t="array" ref="E393">IFERROR(_xlfn.XLOOKUP(D393,Locales!$A:$A,Locales!$B:$B,""),"")</f>
        <v/>
      </c>
      <c r="F393" s="9" cm="1">
        <f t="array" ref="F393">IFERROR(_xlfn.XLOOKUP(B393,Personal!$A:$A,Personal!$F:$F,""),"")</f>
        <v>0</v>
      </c>
      <c r="I393" s="10" cm="1">
        <f t="array" ref="I393">IFERROR(INDEX(Precios!$D:$F,MATCH(N393, Precios!$G:$G, 0),CHOOSE(MATCH(H393, {"SML";"XL";"XXL"}, 0), 1, 2, 3)), 0)</f>
        <v>0</v>
      </c>
      <c r="K393" s="10">
        <f t="shared" si="18"/>
        <v>0</v>
      </c>
      <c r="N393" s="9" t="str">
        <f t="shared" si="19"/>
        <v/>
      </c>
      <c r="O393" s="9" t="str">
        <f>IF(N393="","",IF(COUNTIF(Precios!$G:$G,N393)=0,"⚠ No coincide con Precios","OK"))</f>
        <v/>
      </c>
    </row>
    <row r="394" spans="3:15" x14ac:dyDescent="0.2">
      <c r="C394" s="9" cm="1">
        <f t="array" ref="C394">IFERROR(_xlfn.XLOOKUP(B394,Personal!$A:$A,Personal!$D:$D,""),"")</f>
        <v>0</v>
      </c>
      <c r="D394" s="9" cm="1">
        <f t="array" ref="D394">IFERROR(_xlfn.XLOOKUP(B394,Personal!$A:$A,Personal!$C:$C,""),"")</f>
        <v>0</v>
      </c>
      <c r="E394" s="9" t="str" cm="1">
        <f t="array" ref="E394">IFERROR(_xlfn.XLOOKUP(D394,Locales!$A:$A,Locales!$B:$B,""),"")</f>
        <v/>
      </c>
      <c r="F394" s="9" cm="1">
        <f t="array" ref="F394">IFERROR(_xlfn.XLOOKUP(B394,Personal!$A:$A,Personal!$F:$F,""),"")</f>
        <v>0</v>
      </c>
      <c r="I394" s="10" cm="1">
        <f t="array" ref="I394">IFERROR(INDEX(Precios!$D:$F,MATCH(N394, Precios!$G:$G, 0),CHOOSE(MATCH(H394, {"SML";"XL";"XXL"}, 0), 1, 2, 3)), 0)</f>
        <v>0</v>
      </c>
      <c r="K394" s="10">
        <f t="shared" si="18"/>
        <v>0</v>
      </c>
      <c r="N394" s="9" t="str">
        <f t="shared" si="19"/>
        <v/>
      </c>
      <c r="O394" s="9" t="str">
        <f>IF(N394="","",IF(COUNTIF(Precios!$G:$G,N394)=0,"⚠ No coincide con Precios","OK"))</f>
        <v/>
      </c>
    </row>
    <row r="395" spans="3:15" x14ac:dyDescent="0.2">
      <c r="C395" s="9" cm="1">
        <f t="array" ref="C395">IFERROR(_xlfn.XLOOKUP(B395,Personal!$A:$A,Personal!$D:$D,""),"")</f>
        <v>0</v>
      </c>
      <c r="D395" s="9" cm="1">
        <f t="array" ref="D395">IFERROR(_xlfn.XLOOKUP(B395,Personal!$A:$A,Personal!$C:$C,""),"")</f>
        <v>0</v>
      </c>
      <c r="E395" s="9" t="str" cm="1">
        <f t="array" ref="E395">IFERROR(_xlfn.XLOOKUP(D395,Locales!$A:$A,Locales!$B:$B,""),"")</f>
        <v/>
      </c>
      <c r="F395" s="9" cm="1">
        <f t="array" ref="F395">IFERROR(_xlfn.XLOOKUP(B395,Personal!$A:$A,Personal!$F:$F,""),"")</f>
        <v>0</v>
      </c>
      <c r="I395" s="10" cm="1">
        <f t="array" ref="I395">IFERROR(INDEX(Precios!$D:$F,MATCH(N395, Precios!$G:$G, 0),CHOOSE(MATCH(H395, {"SML";"XL";"XXL"}, 0), 1, 2, 3)), 0)</f>
        <v>0</v>
      </c>
      <c r="K395" s="10">
        <f t="shared" si="18"/>
        <v>0</v>
      </c>
      <c r="N395" s="9" t="str">
        <f t="shared" si="19"/>
        <v/>
      </c>
      <c r="O395" s="9" t="str">
        <f>IF(N395="","",IF(COUNTIF(Precios!$G:$G,N395)=0,"⚠ No coincide con Precios","OK"))</f>
        <v/>
      </c>
    </row>
    <row r="396" spans="3:15" x14ac:dyDescent="0.2">
      <c r="C396" s="9" cm="1">
        <f t="array" ref="C396">IFERROR(_xlfn.XLOOKUP(B396,Personal!$A:$A,Personal!$D:$D,""),"")</f>
        <v>0</v>
      </c>
      <c r="D396" s="9" cm="1">
        <f t="array" ref="D396">IFERROR(_xlfn.XLOOKUP(B396,Personal!$A:$A,Personal!$C:$C,""),"")</f>
        <v>0</v>
      </c>
      <c r="E396" s="9" t="str" cm="1">
        <f t="array" ref="E396">IFERROR(_xlfn.XLOOKUP(D396,Locales!$A:$A,Locales!$B:$B,""),"")</f>
        <v/>
      </c>
      <c r="F396" s="9" cm="1">
        <f t="array" ref="F396">IFERROR(_xlfn.XLOOKUP(B396,Personal!$A:$A,Personal!$F:$F,""),"")</f>
        <v>0</v>
      </c>
      <c r="I396" s="10" cm="1">
        <f t="array" ref="I396">IFERROR(INDEX(Precios!$D:$F,MATCH(N396, Precios!$G:$G, 0),CHOOSE(MATCH(H396, {"SML";"XL";"XXL"}, 0), 1, 2, 3)), 0)</f>
        <v>0</v>
      </c>
      <c r="K396" s="10">
        <f t="shared" si="18"/>
        <v>0</v>
      </c>
      <c r="N396" s="9" t="str">
        <f t="shared" si="19"/>
        <v/>
      </c>
      <c r="O396" s="9" t="str">
        <f>IF(N396="","",IF(COUNTIF(Precios!$G:$G,N396)=0,"⚠ No coincide con Precios","OK"))</f>
        <v/>
      </c>
    </row>
    <row r="397" spans="3:15" x14ac:dyDescent="0.2">
      <c r="C397" s="9" cm="1">
        <f t="array" ref="C397">IFERROR(_xlfn.XLOOKUP(B397,Personal!$A:$A,Personal!$D:$D,""),"")</f>
        <v>0</v>
      </c>
      <c r="D397" s="9" cm="1">
        <f t="array" ref="D397">IFERROR(_xlfn.XLOOKUP(B397,Personal!$A:$A,Personal!$C:$C,""),"")</f>
        <v>0</v>
      </c>
      <c r="E397" s="9" t="str" cm="1">
        <f t="array" ref="E397">IFERROR(_xlfn.XLOOKUP(D397,Locales!$A:$A,Locales!$B:$B,""),"")</f>
        <v/>
      </c>
      <c r="F397" s="9" cm="1">
        <f t="array" ref="F397">IFERROR(_xlfn.XLOOKUP(B397,Personal!$A:$A,Personal!$F:$F,""),"")</f>
        <v>0</v>
      </c>
      <c r="I397" s="10" cm="1">
        <f t="array" ref="I397">IFERROR(INDEX(Precios!$D:$F,MATCH(N397, Precios!$G:$G, 0),CHOOSE(MATCH(H397, {"SML";"XL";"XXL"}, 0), 1, 2, 3)), 0)</f>
        <v>0</v>
      </c>
      <c r="K397" s="10">
        <f t="shared" si="18"/>
        <v>0</v>
      </c>
      <c r="N397" s="9" t="str">
        <f t="shared" si="19"/>
        <v/>
      </c>
      <c r="O397" s="9" t="str">
        <f>IF(N397="","",IF(COUNTIF(Precios!$G:$G,N397)=0,"⚠ No coincide con Precios","OK"))</f>
        <v/>
      </c>
    </row>
    <row r="398" spans="3:15" x14ac:dyDescent="0.2">
      <c r="C398" s="9" cm="1">
        <f t="array" ref="C398">IFERROR(_xlfn.XLOOKUP(B398,Personal!$A:$A,Personal!$D:$D,""),"")</f>
        <v>0</v>
      </c>
      <c r="D398" s="9" cm="1">
        <f t="array" ref="D398">IFERROR(_xlfn.XLOOKUP(B398,Personal!$A:$A,Personal!$C:$C,""),"")</f>
        <v>0</v>
      </c>
      <c r="E398" s="9" t="str" cm="1">
        <f t="array" ref="E398">IFERROR(_xlfn.XLOOKUP(D398,Locales!$A:$A,Locales!$B:$B,""),"")</f>
        <v/>
      </c>
      <c r="F398" s="9" cm="1">
        <f t="array" ref="F398">IFERROR(_xlfn.XLOOKUP(B398,Personal!$A:$A,Personal!$F:$F,""),"")</f>
        <v>0</v>
      </c>
      <c r="I398" s="10" cm="1">
        <f t="array" ref="I398">IFERROR(INDEX(Precios!$D:$F,MATCH(N398, Precios!$G:$G, 0),CHOOSE(MATCH(H398, {"SML";"XL";"XXL"}, 0), 1, 2, 3)), 0)</f>
        <v>0</v>
      </c>
      <c r="K398" s="10">
        <f t="shared" si="18"/>
        <v>0</v>
      </c>
      <c r="N398" s="9" t="str">
        <f t="shared" si="19"/>
        <v/>
      </c>
      <c r="O398" s="9" t="str">
        <f>IF(N398="","",IF(COUNTIF(Precios!$G:$G,N398)=0,"⚠ No coincide con Precios","OK"))</f>
        <v/>
      </c>
    </row>
    <row r="399" spans="3:15" x14ac:dyDescent="0.2">
      <c r="C399" s="9" cm="1">
        <f t="array" ref="C399">IFERROR(_xlfn.XLOOKUP(B399,Personal!$A:$A,Personal!$D:$D,""),"")</f>
        <v>0</v>
      </c>
      <c r="D399" s="9" cm="1">
        <f t="array" ref="D399">IFERROR(_xlfn.XLOOKUP(B399,Personal!$A:$A,Personal!$C:$C,""),"")</f>
        <v>0</v>
      </c>
      <c r="E399" s="9" t="str" cm="1">
        <f t="array" ref="E399">IFERROR(_xlfn.XLOOKUP(D399,Locales!$A:$A,Locales!$B:$B,""),"")</f>
        <v/>
      </c>
      <c r="F399" s="9" cm="1">
        <f t="array" ref="F399">IFERROR(_xlfn.XLOOKUP(B399,Personal!$A:$A,Personal!$F:$F,""),"")</f>
        <v>0</v>
      </c>
      <c r="I399" s="10" cm="1">
        <f t="array" ref="I399">IFERROR(INDEX(Precios!$D:$F,MATCH(N399, Precios!$G:$G, 0),CHOOSE(MATCH(H399, {"SML";"XL";"XXL"}, 0), 1, 2, 3)), 0)</f>
        <v>0</v>
      </c>
      <c r="K399" s="10">
        <f t="shared" si="18"/>
        <v>0</v>
      </c>
      <c r="N399" s="9" t="str">
        <f t="shared" si="19"/>
        <v/>
      </c>
      <c r="O399" s="9" t="str">
        <f>IF(N399="","",IF(COUNTIF(Precios!$G:$G,N399)=0,"⚠ No coincide con Precios","OK"))</f>
        <v/>
      </c>
    </row>
    <row r="400" spans="3:15" x14ac:dyDescent="0.2">
      <c r="C400" s="9" cm="1">
        <f t="array" ref="C400">IFERROR(_xlfn.XLOOKUP(B400,Personal!$A:$A,Personal!$D:$D,""),"")</f>
        <v>0</v>
      </c>
      <c r="D400" s="9" cm="1">
        <f t="array" ref="D400">IFERROR(_xlfn.XLOOKUP(B400,Personal!$A:$A,Personal!$C:$C,""),"")</f>
        <v>0</v>
      </c>
      <c r="E400" s="9" t="str" cm="1">
        <f t="array" ref="E400">IFERROR(_xlfn.XLOOKUP(D400,Locales!$A:$A,Locales!$B:$B,""),"")</f>
        <v/>
      </c>
      <c r="F400" s="9" cm="1">
        <f t="array" ref="F400">IFERROR(_xlfn.XLOOKUP(B400,Personal!$A:$A,Personal!$F:$F,""),"")</f>
        <v>0</v>
      </c>
      <c r="I400" s="10" cm="1">
        <f t="array" ref="I400">IFERROR(INDEX(Precios!$D:$F,MATCH(N400, Precios!$G:$G, 0),CHOOSE(MATCH(H400, {"SML";"XL";"XXL"}, 0), 1, 2, 3)), 0)</f>
        <v>0</v>
      </c>
      <c r="K400" s="10">
        <f t="shared" si="18"/>
        <v>0</v>
      </c>
      <c r="N400" s="9" t="str">
        <f t="shared" si="19"/>
        <v/>
      </c>
      <c r="O400" s="9" t="str">
        <f>IF(N400="","",IF(COUNTIF(Precios!$G:$G,N400)=0,"⚠ No coincide con Precios","OK"))</f>
        <v/>
      </c>
    </row>
    <row r="401" spans="3:15" x14ac:dyDescent="0.2">
      <c r="C401" s="9" cm="1">
        <f t="array" ref="C401">IFERROR(_xlfn.XLOOKUP(B401,Personal!$A:$A,Personal!$D:$D,""),"")</f>
        <v>0</v>
      </c>
      <c r="D401" s="9" cm="1">
        <f t="array" ref="D401">IFERROR(_xlfn.XLOOKUP(B401,Personal!$A:$A,Personal!$C:$C,""),"")</f>
        <v>0</v>
      </c>
      <c r="E401" s="9" t="str" cm="1">
        <f t="array" ref="E401">IFERROR(_xlfn.XLOOKUP(D401,Locales!$A:$A,Locales!$B:$B,""),"")</f>
        <v/>
      </c>
      <c r="F401" s="9" cm="1">
        <f t="array" ref="F401">IFERROR(_xlfn.XLOOKUP(B401,Personal!$A:$A,Personal!$F:$F,""),"")</f>
        <v>0</v>
      </c>
      <c r="I401" s="10" cm="1">
        <f t="array" ref="I401">IFERROR(INDEX(Precios!$D:$F,MATCH(N401, Precios!$G:$G, 0),CHOOSE(MATCH(H401, {"SML";"XL";"XXL"}, 0), 1, 2, 3)), 0)</f>
        <v>0</v>
      </c>
      <c r="K401" s="10">
        <f t="shared" si="18"/>
        <v>0</v>
      </c>
      <c r="N401" s="9" t="str">
        <f t="shared" si="19"/>
        <v/>
      </c>
      <c r="O401" s="9" t="str">
        <f>IF(N401="","",IF(COUNTIF(Precios!$G:$G,N401)=0,"⚠ No coincide con Precios","OK"))</f>
        <v/>
      </c>
    </row>
    <row r="402" spans="3:15" x14ac:dyDescent="0.2">
      <c r="C402" s="9" cm="1">
        <f t="array" ref="C402">IFERROR(_xlfn.XLOOKUP(B402,Personal!$A:$A,Personal!$D:$D,""),"")</f>
        <v>0</v>
      </c>
      <c r="D402" s="9" cm="1">
        <f t="array" ref="D402">IFERROR(_xlfn.XLOOKUP(B402,Personal!$A:$A,Personal!$C:$C,""),"")</f>
        <v>0</v>
      </c>
      <c r="E402" s="9" t="str" cm="1">
        <f t="array" ref="E402">IFERROR(_xlfn.XLOOKUP(D402,Locales!$A:$A,Locales!$B:$B,""),"")</f>
        <v/>
      </c>
      <c r="F402" s="9" cm="1">
        <f t="array" ref="F402">IFERROR(_xlfn.XLOOKUP(B402,Personal!$A:$A,Personal!$F:$F,""),"")</f>
        <v>0</v>
      </c>
      <c r="I402" s="10" cm="1">
        <f t="array" ref="I402">IFERROR(INDEX(Precios!$D:$F,MATCH(N402, Precios!$G:$G, 0),CHOOSE(MATCH(H402, {"SML";"XL";"XXL"}, 0), 1, 2, 3)), 0)</f>
        <v>0</v>
      </c>
      <c r="K402" s="10">
        <f t="shared" si="18"/>
        <v>0</v>
      </c>
      <c r="N402" s="9" t="str">
        <f t="shared" si="19"/>
        <v/>
      </c>
      <c r="O402" s="9" t="str">
        <f>IF(N402="","",IF(COUNTIF(Precios!$G:$G,N402)=0,"⚠ No coincide con Precios","OK"))</f>
        <v/>
      </c>
    </row>
    <row r="403" spans="3:15" x14ac:dyDescent="0.2">
      <c r="C403" s="9" cm="1">
        <f t="array" ref="C403">IFERROR(_xlfn.XLOOKUP(B403,Personal!$A:$A,Personal!$D:$D,""),"")</f>
        <v>0</v>
      </c>
      <c r="D403" s="9" cm="1">
        <f t="array" ref="D403">IFERROR(_xlfn.XLOOKUP(B403,Personal!$A:$A,Personal!$C:$C,""),"")</f>
        <v>0</v>
      </c>
      <c r="E403" s="9" t="str" cm="1">
        <f t="array" ref="E403">IFERROR(_xlfn.XLOOKUP(D403,Locales!$A:$A,Locales!$B:$B,""),"")</f>
        <v/>
      </c>
      <c r="F403" s="9" cm="1">
        <f t="array" ref="F403">IFERROR(_xlfn.XLOOKUP(B403,Personal!$A:$A,Personal!$F:$F,""),"")</f>
        <v>0</v>
      </c>
      <c r="I403" s="10" cm="1">
        <f t="array" ref="I403">IFERROR(INDEX(Precios!$D:$F,MATCH(N403, Precios!$G:$G, 0),CHOOSE(MATCH(H403, {"SML";"XL";"XXL"}, 0), 1, 2, 3)), 0)</f>
        <v>0</v>
      </c>
      <c r="K403" s="10">
        <f t="shared" si="18"/>
        <v>0</v>
      </c>
      <c r="N403" s="9" t="str">
        <f t="shared" si="19"/>
        <v/>
      </c>
      <c r="O403" s="9" t="str">
        <f>IF(N403="","",IF(COUNTIF(Precios!$G:$G,N403)=0,"⚠ No coincide con Precios","OK"))</f>
        <v/>
      </c>
    </row>
    <row r="404" spans="3:15" x14ac:dyDescent="0.2">
      <c r="C404" s="9" cm="1">
        <f t="array" ref="C404">IFERROR(_xlfn.XLOOKUP(B404,Personal!$A:$A,Personal!$D:$D,""),"")</f>
        <v>0</v>
      </c>
      <c r="D404" s="9" cm="1">
        <f t="array" ref="D404">IFERROR(_xlfn.XLOOKUP(B404,Personal!$A:$A,Personal!$C:$C,""),"")</f>
        <v>0</v>
      </c>
      <c r="E404" s="9" t="str" cm="1">
        <f t="array" ref="E404">IFERROR(_xlfn.XLOOKUP(D404,Locales!$A:$A,Locales!$B:$B,""),"")</f>
        <v/>
      </c>
      <c r="F404" s="9" cm="1">
        <f t="array" ref="F404">IFERROR(_xlfn.XLOOKUP(B404,Personal!$A:$A,Personal!$F:$F,""),"")</f>
        <v>0</v>
      </c>
      <c r="I404" s="10" cm="1">
        <f t="array" ref="I404">IFERROR(INDEX(Precios!$D:$F,MATCH(N404, Precios!$G:$G, 0),CHOOSE(MATCH(H404, {"SML";"XL";"XXL"}, 0), 1, 2, 3)), 0)</f>
        <v>0</v>
      </c>
      <c r="K404" s="10">
        <f t="shared" si="18"/>
        <v>0</v>
      </c>
      <c r="N404" s="9" t="str">
        <f t="shared" si="19"/>
        <v/>
      </c>
      <c r="O404" s="9" t="str">
        <f>IF(N404="","",IF(COUNTIF(Precios!$G:$G,N404)=0,"⚠ No coincide con Precios","OK"))</f>
        <v/>
      </c>
    </row>
    <row r="405" spans="3:15" x14ac:dyDescent="0.2">
      <c r="C405" s="9" cm="1">
        <f t="array" ref="C405">IFERROR(_xlfn.XLOOKUP(B405,Personal!$A:$A,Personal!$D:$D,""),"")</f>
        <v>0</v>
      </c>
      <c r="D405" s="9" cm="1">
        <f t="array" ref="D405">IFERROR(_xlfn.XLOOKUP(B405,Personal!$A:$A,Personal!$C:$C,""),"")</f>
        <v>0</v>
      </c>
      <c r="E405" s="9" t="str" cm="1">
        <f t="array" ref="E405">IFERROR(_xlfn.XLOOKUP(D405,Locales!$A:$A,Locales!$B:$B,""),"")</f>
        <v/>
      </c>
      <c r="F405" s="9" cm="1">
        <f t="array" ref="F405">IFERROR(_xlfn.XLOOKUP(B405,Personal!$A:$A,Personal!$F:$F,""),"")</f>
        <v>0</v>
      </c>
      <c r="I405" s="10" cm="1">
        <f t="array" ref="I405">IFERROR(INDEX(Precios!$D:$F,MATCH(N405, Precios!$G:$G, 0),CHOOSE(MATCH(H405, {"SML";"XL";"XXL"}, 0), 1, 2, 3)), 0)</f>
        <v>0</v>
      </c>
      <c r="K405" s="10">
        <f t="shared" si="18"/>
        <v>0</v>
      </c>
      <c r="N405" s="9" t="str">
        <f t="shared" si="19"/>
        <v/>
      </c>
      <c r="O405" s="9" t="str">
        <f>IF(N405="","",IF(COUNTIF(Precios!$G:$G,N405)=0,"⚠ No coincide con Precios","OK"))</f>
        <v/>
      </c>
    </row>
    <row r="406" spans="3:15" x14ac:dyDescent="0.2">
      <c r="C406" s="9" cm="1">
        <f t="array" ref="C406">IFERROR(_xlfn.XLOOKUP(B406,Personal!$A:$A,Personal!$D:$D,""),"")</f>
        <v>0</v>
      </c>
      <c r="D406" s="9" cm="1">
        <f t="array" ref="D406">IFERROR(_xlfn.XLOOKUP(B406,Personal!$A:$A,Personal!$C:$C,""),"")</f>
        <v>0</v>
      </c>
      <c r="E406" s="9" t="str" cm="1">
        <f t="array" ref="E406">IFERROR(_xlfn.XLOOKUP(D406,Locales!$A:$A,Locales!$B:$B,""),"")</f>
        <v/>
      </c>
      <c r="F406" s="9" cm="1">
        <f t="array" ref="F406">IFERROR(_xlfn.XLOOKUP(B406,Personal!$A:$A,Personal!$F:$F,""),"")</f>
        <v>0</v>
      </c>
      <c r="I406" s="10" cm="1">
        <f t="array" ref="I406">IFERROR(INDEX(Precios!$D:$F,MATCH(N406, Precios!$G:$G, 0),CHOOSE(MATCH(H406, {"SML";"XL";"XXL"}, 0), 1, 2, 3)), 0)</f>
        <v>0</v>
      </c>
      <c r="K406" s="10">
        <f t="shared" si="18"/>
        <v>0</v>
      </c>
      <c r="N406" s="9" t="str">
        <f t="shared" si="19"/>
        <v/>
      </c>
      <c r="O406" s="9" t="str">
        <f>IF(N406="","",IF(COUNTIF(Precios!$G:$G,N406)=0,"⚠ No coincide con Precios","OK"))</f>
        <v/>
      </c>
    </row>
    <row r="407" spans="3:15" x14ac:dyDescent="0.2">
      <c r="C407" s="9" cm="1">
        <f t="array" ref="C407">IFERROR(_xlfn.XLOOKUP(B407,Personal!$A:$A,Personal!$D:$D,""),"")</f>
        <v>0</v>
      </c>
      <c r="D407" s="9" cm="1">
        <f t="array" ref="D407">IFERROR(_xlfn.XLOOKUP(B407,Personal!$A:$A,Personal!$C:$C,""),"")</f>
        <v>0</v>
      </c>
      <c r="E407" s="9" t="str" cm="1">
        <f t="array" ref="E407">IFERROR(_xlfn.XLOOKUP(D407,Locales!$A:$A,Locales!$B:$B,""),"")</f>
        <v/>
      </c>
      <c r="F407" s="9" cm="1">
        <f t="array" ref="F407">IFERROR(_xlfn.XLOOKUP(B407,Personal!$A:$A,Personal!$F:$F,""),"")</f>
        <v>0</v>
      </c>
      <c r="I407" s="10" cm="1">
        <f t="array" ref="I407">IFERROR(INDEX(Precios!$D:$F,MATCH(N407, Precios!$G:$G, 0),CHOOSE(MATCH(H407, {"SML";"XL";"XXL"}, 0), 1, 2, 3)), 0)</f>
        <v>0</v>
      </c>
      <c r="K407" s="10">
        <f t="shared" si="18"/>
        <v>0</v>
      </c>
      <c r="N407" s="9" t="str">
        <f t="shared" si="19"/>
        <v/>
      </c>
      <c r="O407" s="9" t="str">
        <f>IF(N407="","",IF(COUNTIF(Precios!$G:$G,N407)=0,"⚠ No coincide con Precios","OK"))</f>
        <v/>
      </c>
    </row>
    <row r="408" spans="3:15" x14ac:dyDescent="0.2">
      <c r="C408" s="9" cm="1">
        <f t="array" ref="C408">IFERROR(_xlfn.XLOOKUP(B408,Personal!$A:$A,Personal!$D:$D,""),"")</f>
        <v>0</v>
      </c>
      <c r="D408" s="9" cm="1">
        <f t="array" ref="D408">IFERROR(_xlfn.XLOOKUP(B408,Personal!$A:$A,Personal!$C:$C,""),"")</f>
        <v>0</v>
      </c>
      <c r="E408" s="9" t="str" cm="1">
        <f t="array" ref="E408">IFERROR(_xlfn.XLOOKUP(D408,Locales!$A:$A,Locales!$B:$B,""),"")</f>
        <v/>
      </c>
      <c r="F408" s="9" cm="1">
        <f t="array" ref="F408">IFERROR(_xlfn.XLOOKUP(B408,Personal!$A:$A,Personal!$F:$F,""),"")</f>
        <v>0</v>
      </c>
      <c r="I408" s="10" cm="1">
        <f t="array" ref="I408">IFERROR(INDEX(Precios!$D:$F,MATCH(N408, Precios!$G:$G, 0),CHOOSE(MATCH(H408, {"SML";"XL";"XXL"}, 0), 1, 2, 3)), 0)</f>
        <v>0</v>
      </c>
      <c r="K408" s="10">
        <f t="shared" si="18"/>
        <v>0</v>
      </c>
      <c r="N408" s="9" t="str">
        <f t="shared" si="19"/>
        <v/>
      </c>
      <c r="O408" s="9" t="str">
        <f>IF(N408="","",IF(COUNTIF(Precios!$G:$G,N408)=0,"⚠ No coincide con Precios","OK"))</f>
        <v/>
      </c>
    </row>
    <row r="409" spans="3:15" x14ac:dyDescent="0.2">
      <c r="C409" s="9" cm="1">
        <f t="array" ref="C409">IFERROR(_xlfn.XLOOKUP(B409,Personal!$A:$A,Personal!$D:$D,""),"")</f>
        <v>0</v>
      </c>
      <c r="D409" s="9" cm="1">
        <f t="array" ref="D409">IFERROR(_xlfn.XLOOKUP(B409,Personal!$A:$A,Personal!$C:$C,""),"")</f>
        <v>0</v>
      </c>
      <c r="E409" s="9" t="str" cm="1">
        <f t="array" ref="E409">IFERROR(_xlfn.XLOOKUP(D409,Locales!$A:$A,Locales!$B:$B,""),"")</f>
        <v/>
      </c>
      <c r="F409" s="9" cm="1">
        <f t="array" ref="F409">IFERROR(_xlfn.XLOOKUP(B409,Personal!$A:$A,Personal!$F:$F,""),"")</f>
        <v>0</v>
      </c>
      <c r="I409" s="10" cm="1">
        <f t="array" ref="I409">IFERROR(INDEX(Precios!$D:$F,MATCH(N409, Precios!$G:$G, 0),CHOOSE(MATCH(H409, {"SML";"XL";"XXL"}, 0), 1, 2, 3)), 0)</f>
        <v>0</v>
      </c>
      <c r="K409" s="10">
        <f t="shared" si="18"/>
        <v>0</v>
      </c>
      <c r="N409" s="9" t="str">
        <f t="shared" si="19"/>
        <v/>
      </c>
      <c r="O409" s="9" t="str">
        <f>IF(N409="","",IF(COUNTIF(Precios!$G:$G,N409)=0,"⚠ No coincide con Precios","OK"))</f>
        <v/>
      </c>
    </row>
    <row r="410" spans="3:15" x14ac:dyDescent="0.2">
      <c r="C410" s="9" cm="1">
        <f t="array" ref="C410">IFERROR(_xlfn.XLOOKUP(B410,Personal!$A:$A,Personal!$D:$D,""),"")</f>
        <v>0</v>
      </c>
      <c r="D410" s="9" cm="1">
        <f t="array" ref="D410">IFERROR(_xlfn.XLOOKUP(B410,Personal!$A:$A,Personal!$C:$C,""),"")</f>
        <v>0</v>
      </c>
      <c r="E410" s="9" t="str" cm="1">
        <f t="array" ref="E410">IFERROR(_xlfn.XLOOKUP(D410,Locales!$A:$A,Locales!$B:$B,""),"")</f>
        <v/>
      </c>
      <c r="F410" s="9" cm="1">
        <f t="array" ref="F410">IFERROR(_xlfn.XLOOKUP(B410,Personal!$A:$A,Personal!$F:$F,""),"")</f>
        <v>0</v>
      </c>
      <c r="I410" s="10" cm="1">
        <f t="array" ref="I410">IFERROR(INDEX(Precios!$D:$F,MATCH(N410, Precios!$G:$G, 0),CHOOSE(MATCH(H410, {"SML";"XL";"XXL"}, 0), 1, 2, 3)), 0)</f>
        <v>0</v>
      </c>
      <c r="K410" s="10">
        <f t="shared" si="18"/>
        <v>0</v>
      </c>
      <c r="N410" s="9" t="str">
        <f t="shared" si="19"/>
        <v/>
      </c>
      <c r="O410" s="9" t="str">
        <f>IF(N410="","",IF(COUNTIF(Precios!$G:$G,N410)=0,"⚠ No coincide con Precios","OK"))</f>
        <v/>
      </c>
    </row>
    <row r="411" spans="3:15" x14ac:dyDescent="0.2">
      <c r="C411" s="9" cm="1">
        <f t="array" ref="C411">IFERROR(_xlfn.XLOOKUP(B411,Personal!$A:$A,Personal!$D:$D,""),"")</f>
        <v>0</v>
      </c>
      <c r="D411" s="9" cm="1">
        <f t="array" ref="D411">IFERROR(_xlfn.XLOOKUP(B411,Personal!$A:$A,Personal!$C:$C,""),"")</f>
        <v>0</v>
      </c>
      <c r="E411" s="9" t="str" cm="1">
        <f t="array" ref="E411">IFERROR(_xlfn.XLOOKUP(D411,Locales!$A:$A,Locales!$B:$B,""),"")</f>
        <v/>
      </c>
      <c r="F411" s="9" cm="1">
        <f t="array" ref="F411">IFERROR(_xlfn.XLOOKUP(B411,Personal!$A:$A,Personal!$F:$F,""),"")</f>
        <v>0</v>
      </c>
      <c r="I411" s="10" cm="1">
        <f t="array" ref="I411">IFERROR(INDEX(Precios!$D:$F,MATCH(N411, Precios!$G:$G, 0),CHOOSE(MATCH(H411, {"SML";"XL";"XXL"}, 0), 1, 2, 3)), 0)</f>
        <v>0</v>
      </c>
      <c r="K411" s="10">
        <f t="shared" si="18"/>
        <v>0</v>
      </c>
      <c r="N411" s="9" t="str">
        <f t="shared" si="19"/>
        <v/>
      </c>
      <c r="O411" s="9" t="str">
        <f>IF(N411="","",IF(COUNTIF(Precios!$G:$G,N411)=0,"⚠ No coincide con Precios","OK"))</f>
        <v/>
      </c>
    </row>
    <row r="412" spans="3:15" x14ac:dyDescent="0.2">
      <c r="C412" s="9" cm="1">
        <f t="array" ref="C412">IFERROR(_xlfn.XLOOKUP(B412,Personal!$A:$A,Personal!$D:$D,""),"")</f>
        <v>0</v>
      </c>
      <c r="D412" s="9" cm="1">
        <f t="array" ref="D412">IFERROR(_xlfn.XLOOKUP(B412,Personal!$A:$A,Personal!$C:$C,""),"")</f>
        <v>0</v>
      </c>
      <c r="E412" s="9" t="str" cm="1">
        <f t="array" ref="E412">IFERROR(_xlfn.XLOOKUP(D412,Locales!$A:$A,Locales!$B:$B,""),"")</f>
        <v/>
      </c>
      <c r="F412" s="9" cm="1">
        <f t="array" ref="F412">IFERROR(_xlfn.XLOOKUP(B412,Personal!$A:$A,Personal!$F:$F,""),"")</f>
        <v>0</v>
      </c>
      <c r="I412" s="10" cm="1">
        <f t="array" ref="I412">IFERROR(INDEX(Precios!$D:$F,MATCH(N412, Precios!$G:$G, 0),CHOOSE(MATCH(H412, {"SML";"XL";"XXL"}, 0), 1, 2, 3)), 0)</f>
        <v>0</v>
      </c>
      <c r="K412" s="10">
        <f t="shared" si="18"/>
        <v>0</v>
      </c>
      <c r="N412" s="9" t="str">
        <f t="shared" si="19"/>
        <v/>
      </c>
      <c r="O412" s="9" t="str">
        <f>IF(N412="","",IF(COUNTIF(Precios!$G:$G,N412)=0,"⚠ No coincide con Precios","OK"))</f>
        <v/>
      </c>
    </row>
    <row r="413" spans="3:15" x14ac:dyDescent="0.2">
      <c r="C413" s="9" cm="1">
        <f t="array" ref="C413">IFERROR(_xlfn.XLOOKUP(B413,Personal!$A:$A,Personal!$D:$D,""),"")</f>
        <v>0</v>
      </c>
      <c r="D413" s="9" cm="1">
        <f t="array" ref="D413">IFERROR(_xlfn.XLOOKUP(B413,Personal!$A:$A,Personal!$C:$C,""),"")</f>
        <v>0</v>
      </c>
      <c r="E413" s="9" t="str" cm="1">
        <f t="array" ref="E413">IFERROR(_xlfn.XLOOKUP(D413,Locales!$A:$A,Locales!$B:$B,""),"")</f>
        <v/>
      </c>
      <c r="F413" s="9" cm="1">
        <f t="array" ref="F413">IFERROR(_xlfn.XLOOKUP(B413,Personal!$A:$A,Personal!$F:$F,""),"")</f>
        <v>0</v>
      </c>
      <c r="I413" s="10" cm="1">
        <f t="array" ref="I413">IFERROR(INDEX(Precios!$D:$F,MATCH(N413, Precios!$G:$G, 0),CHOOSE(MATCH(H413, {"SML";"XL";"XXL"}, 0), 1, 2, 3)), 0)</f>
        <v>0</v>
      </c>
      <c r="K413" s="10">
        <f t="shared" si="18"/>
        <v>0</v>
      </c>
      <c r="N413" s="9" t="str">
        <f t="shared" si="19"/>
        <v/>
      </c>
      <c r="O413" s="9" t="str">
        <f>IF(N413="","",IF(COUNTIF(Precios!$G:$G,N413)=0,"⚠ No coincide con Precios","OK"))</f>
        <v/>
      </c>
    </row>
    <row r="414" spans="3:15" x14ac:dyDescent="0.2">
      <c r="C414" s="9" cm="1">
        <f t="array" ref="C414">IFERROR(_xlfn.XLOOKUP(B414,Personal!$A:$A,Personal!$D:$D,""),"")</f>
        <v>0</v>
      </c>
      <c r="D414" s="9" cm="1">
        <f t="array" ref="D414">IFERROR(_xlfn.XLOOKUP(B414,Personal!$A:$A,Personal!$C:$C,""),"")</f>
        <v>0</v>
      </c>
      <c r="E414" s="9" t="str" cm="1">
        <f t="array" ref="E414">IFERROR(_xlfn.XLOOKUP(D414,Locales!$A:$A,Locales!$B:$B,""),"")</f>
        <v/>
      </c>
      <c r="F414" s="9" cm="1">
        <f t="array" ref="F414">IFERROR(_xlfn.XLOOKUP(B414,Personal!$A:$A,Personal!$F:$F,""),"")</f>
        <v>0</v>
      </c>
      <c r="I414" s="10" cm="1">
        <f t="array" ref="I414">IFERROR(INDEX(Precios!$D:$F,MATCH(N414, Precios!$G:$G, 0),CHOOSE(MATCH(H414, {"SML";"XL";"XXL"}, 0), 1, 2, 3)), 0)</f>
        <v>0</v>
      </c>
      <c r="K414" s="10">
        <f t="shared" si="18"/>
        <v>0</v>
      </c>
      <c r="N414" s="9" t="str">
        <f t="shared" si="19"/>
        <v/>
      </c>
      <c r="O414" s="9" t="str">
        <f>IF(N414="","",IF(COUNTIF(Precios!$G:$G,N414)=0,"⚠ No coincide con Precios","OK"))</f>
        <v/>
      </c>
    </row>
    <row r="415" spans="3:15" x14ac:dyDescent="0.2">
      <c r="C415" s="9" cm="1">
        <f t="array" ref="C415">IFERROR(_xlfn.XLOOKUP(B415,Personal!$A:$A,Personal!$D:$D,""),"")</f>
        <v>0</v>
      </c>
      <c r="D415" s="9" cm="1">
        <f t="array" ref="D415">IFERROR(_xlfn.XLOOKUP(B415,Personal!$A:$A,Personal!$C:$C,""),"")</f>
        <v>0</v>
      </c>
      <c r="E415" s="9" t="str" cm="1">
        <f t="array" ref="E415">IFERROR(_xlfn.XLOOKUP(D415,Locales!$A:$A,Locales!$B:$B,""),"")</f>
        <v/>
      </c>
      <c r="F415" s="9" cm="1">
        <f t="array" ref="F415">IFERROR(_xlfn.XLOOKUP(B415,Personal!$A:$A,Personal!$F:$F,""),"")</f>
        <v>0</v>
      </c>
      <c r="I415" s="10" cm="1">
        <f t="array" ref="I415">IFERROR(INDEX(Precios!$D:$F,MATCH(N415, Precios!$G:$G, 0),CHOOSE(MATCH(H415, {"SML";"XL";"XXL"}, 0), 1, 2, 3)), 0)</f>
        <v>0</v>
      </c>
      <c r="K415" s="10">
        <f t="shared" si="18"/>
        <v>0</v>
      </c>
      <c r="N415" s="9" t="str">
        <f t="shared" si="19"/>
        <v/>
      </c>
      <c r="O415" s="9" t="str">
        <f>IF(N415="","",IF(COUNTIF(Precios!$G:$G,N415)=0,"⚠ No coincide con Precios","OK"))</f>
        <v/>
      </c>
    </row>
    <row r="416" spans="3:15" x14ac:dyDescent="0.2">
      <c r="C416" s="9" cm="1">
        <f t="array" ref="C416">IFERROR(_xlfn.XLOOKUP(B416,Personal!$A:$A,Personal!$D:$D,""),"")</f>
        <v>0</v>
      </c>
      <c r="D416" s="9" cm="1">
        <f t="array" ref="D416">IFERROR(_xlfn.XLOOKUP(B416,Personal!$A:$A,Personal!$C:$C,""),"")</f>
        <v>0</v>
      </c>
      <c r="E416" s="9" t="str" cm="1">
        <f t="array" ref="E416">IFERROR(_xlfn.XLOOKUP(D416,Locales!$A:$A,Locales!$B:$B,""),"")</f>
        <v/>
      </c>
      <c r="F416" s="9" cm="1">
        <f t="array" ref="F416">IFERROR(_xlfn.XLOOKUP(B416,Personal!$A:$A,Personal!$F:$F,""),"")</f>
        <v>0</v>
      </c>
      <c r="I416" s="10" cm="1">
        <f t="array" ref="I416">IFERROR(INDEX(Precios!$D:$F,MATCH(N416, Precios!$G:$G, 0),CHOOSE(MATCH(H416, {"SML";"XL";"XXL"}, 0), 1, 2, 3)), 0)</f>
        <v>0</v>
      </c>
      <c r="K416" s="10">
        <f t="shared" si="18"/>
        <v>0</v>
      </c>
      <c r="N416" s="9" t="str">
        <f t="shared" si="19"/>
        <v/>
      </c>
      <c r="O416" s="9" t="str">
        <f>IF(N416="","",IF(COUNTIF(Precios!$G:$G,N416)=0,"⚠ No coincide con Precios","OK"))</f>
        <v/>
      </c>
    </row>
    <row r="417" spans="3:15" x14ac:dyDescent="0.2">
      <c r="C417" s="9" cm="1">
        <f t="array" ref="C417">IFERROR(_xlfn.XLOOKUP(B417,Personal!$A:$A,Personal!$D:$D,""),"")</f>
        <v>0</v>
      </c>
      <c r="D417" s="9" cm="1">
        <f t="array" ref="D417">IFERROR(_xlfn.XLOOKUP(B417,Personal!$A:$A,Personal!$C:$C,""),"")</f>
        <v>0</v>
      </c>
      <c r="E417" s="9" t="str" cm="1">
        <f t="array" ref="E417">IFERROR(_xlfn.XLOOKUP(D417,Locales!$A:$A,Locales!$B:$B,""),"")</f>
        <v/>
      </c>
      <c r="F417" s="9" cm="1">
        <f t="array" ref="F417">IFERROR(_xlfn.XLOOKUP(B417,Personal!$A:$A,Personal!$F:$F,""),"")</f>
        <v>0</v>
      </c>
      <c r="I417" s="10" cm="1">
        <f t="array" ref="I417">IFERROR(INDEX(Precios!$D:$F,MATCH(N417, Precios!$G:$G, 0),CHOOSE(MATCH(H417, {"SML";"XL";"XXL"}, 0), 1, 2, 3)), 0)</f>
        <v>0</v>
      </c>
      <c r="K417" s="10">
        <f t="shared" si="18"/>
        <v>0</v>
      </c>
      <c r="N417" s="9" t="str">
        <f t="shared" si="19"/>
        <v/>
      </c>
      <c r="O417" s="9" t="str">
        <f>IF(N417="","",IF(COUNTIF(Precios!$G:$G,N417)=0,"⚠ No coincide con Precios","OK"))</f>
        <v/>
      </c>
    </row>
    <row r="418" spans="3:15" x14ac:dyDescent="0.2">
      <c r="C418" s="9" cm="1">
        <f t="array" ref="C418">IFERROR(_xlfn.XLOOKUP(B418,Personal!$A:$A,Personal!$D:$D,""),"")</f>
        <v>0</v>
      </c>
      <c r="D418" s="9" cm="1">
        <f t="array" ref="D418">IFERROR(_xlfn.XLOOKUP(B418,Personal!$A:$A,Personal!$C:$C,""),"")</f>
        <v>0</v>
      </c>
      <c r="E418" s="9" t="str" cm="1">
        <f t="array" ref="E418">IFERROR(_xlfn.XLOOKUP(D418,Locales!$A:$A,Locales!$B:$B,""),"")</f>
        <v/>
      </c>
      <c r="F418" s="9" cm="1">
        <f t="array" ref="F418">IFERROR(_xlfn.XLOOKUP(B418,Personal!$A:$A,Personal!$F:$F,""),"")</f>
        <v>0</v>
      </c>
      <c r="I418" s="10" cm="1">
        <f t="array" ref="I418">IFERROR(INDEX(Precios!$D:$F,MATCH(N418, Precios!$G:$G, 0),CHOOSE(MATCH(H418, {"SML";"XL";"XXL"}, 0), 1, 2, 3)), 0)</f>
        <v>0</v>
      </c>
      <c r="K418" s="10">
        <f t="shared" si="18"/>
        <v>0</v>
      </c>
      <c r="N418" s="9" t="str">
        <f t="shared" si="19"/>
        <v/>
      </c>
      <c r="O418" s="9" t="str">
        <f>IF(N418="","",IF(COUNTIF(Precios!$G:$G,N418)=0,"⚠ No coincide con Precios","OK"))</f>
        <v/>
      </c>
    </row>
    <row r="419" spans="3:15" x14ac:dyDescent="0.2">
      <c r="C419" s="9" cm="1">
        <f t="array" ref="C419">IFERROR(_xlfn.XLOOKUP(B419,Personal!$A:$A,Personal!$D:$D,""),"")</f>
        <v>0</v>
      </c>
      <c r="D419" s="9" cm="1">
        <f t="array" ref="D419">IFERROR(_xlfn.XLOOKUP(B419,Personal!$A:$A,Personal!$C:$C,""),"")</f>
        <v>0</v>
      </c>
      <c r="E419" s="9" t="str" cm="1">
        <f t="array" ref="E419">IFERROR(_xlfn.XLOOKUP(D419,Locales!$A:$A,Locales!$B:$B,""),"")</f>
        <v/>
      </c>
      <c r="F419" s="9" cm="1">
        <f t="array" ref="F419">IFERROR(_xlfn.XLOOKUP(B419,Personal!$A:$A,Personal!$F:$F,""),"")</f>
        <v>0</v>
      </c>
      <c r="I419" s="10" cm="1">
        <f t="array" ref="I419">IFERROR(INDEX(Precios!$D:$F,MATCH(N419, Precios!$G:$G, 0),CHOOSE(MATCH(H419, {"SML";"XL";"XXL"}, 0), 1, 2, 3)), 0)</f>
        <v>0</v>
      </c>
      <c r="K419" s="10">
        <f t="shared" si="18"/>
        <v>0</v>
      </c>
      <c r="N419" s="9" t="str">
        <f t="shared" si="19"/>
        <v/>
      </c>
      <c r="O419" s="9" t="str">
        <f>IF(N419="","",IF(COUNTIF(Precios!$G:$G,N419)=0,"⚠ No coincide con Precios","OK"))</f>
        <v/>
      </c>
    </row>
    <row r="420" spans="3:15" x14ac:dyDescent="0.2">
      <c r="C420" s="9" cm="1">
        <f t="array" ref="C420">IFERROR(_xlfn.XLOOKUP(B420,Personal!$A:$A,Personal!$D:$D,""),"")</f>
        <v>0</v>
      </c>
      <c r="D420" s="9" cm="1">
        <f t="array" ref="D420">IFERROR(_xlfn.XLOOKUP(B420,Personal!$A:$A,Personal!$C:$C,""),"")</f>
        <v>0</v>
      </c>
      <c r="E420" s="9" t="str" cm="1">
        <f t="array" ref="E420">IFERROR(_xlfn.XLOOKUP(D420,Locales!$A:$A,Locales!$B:$B,""),"")</f>
        <v/>
      </c>
      <c r="F420" s="9" cm="1">
        <f t="array" ref="F420">IFERROR(_xlfn.XLOOKUP(B420,Personal!$A:$A,Personal!$F:$F,""),"")</f>
        <v>0</v>
      </c>
      <c r="I420" s="10" cm="1">
        <f t="array" ref="I420">IFERROR(INDEX(Precios!$D:$F,MATCH(N420, Precios!$G:$G, 0),CHOOSE(MATCH(H420, {"SML";"XL";"XXL"}, 0), 1, 2, 3)), 0)</f>
        <v>0</v>
      </c>
      <c r="K420" s="10">
        <f t="shared" si="18"/>
        <v>0</v>
      </c>
      <c r="N420" s="9" t="str">
        <f t="shared" si="19"/>
        <v/>
      </c>
      <c r="O420" s="9" t="str">
        <f>IF(N420="","",IF(COUNTIF(Precios!$G:$G,N420)=0,"⚠ No coincide con Precios","OK"))</f>
        <v/>
      </c>
    </row>
    <row r="421" spans="3:15" x14ac:dyDescent="0.2">
      <c r="C421" s="9" cm="1">
        <f t="array" ref="C421">IFERROR(_xlfn.XLOOKUP(B421,Personal!$A:$A,Personal!$D:$D,""),"")</f>
        <v>0</v>
      </c>
      <c r="D421" s="9" cm="1">
        <f t="array" ref="D421">IFERROR(_xlfn.XLOOKUP(B421,Personal!$A:$A,Personal!$C:$C,""),"")</f>
        <v>0</v>
      </c>
      <c r="E421" s="9" t="str" cm="1">
        <f t="array" ref="E421">IFERROR(_xlfn.XLOOKUP(D421,Locales!$A:$A,Locales!$B:$B,""),"")</f>
        <v/>
      </c>
      <c r="F421" s="9" cm="1">
        <f t="array" ref="F421">IFERROR(_xlfn.XLOOKUP(B421,Personal!$A:$A,Personal!$F:$F,""),"")</f>
        <v>0</v>
      </c>
      <c r="I421" s="10" cm="1">
        <f t="array" ref="I421">IFERROR(INDEX(Precios!$D:$F,MATCH(N421, Precios!$G:$G, 0),CHOOSE(MATCH(H421, {"SML";"XL";"XXL"}, 0), 1, 2, 3)), 0)</f>
        <v>0</v>
      </c>
      <c r="K421" s="10">
        <f t="shared" si="18"/>
        <v>0</v>
      </c>
      <c r="N421" s="9" t="str">
        <f t="shared" si="19"/>
        <v/>
      </c>
      <c r="O421" s="9" t="str">
        <f>IF(N421="","",IF(COUNTIF(Precios!$G:$G,N421)=0,"⚠ No coincide con Precios","OK"))</f>
        <v/>
      </c>
    </row>
    <row r="422" spans="3:15" x14ac:dyDescent="0.2">
      <c r="C422" s="9" cm="1">
        <f t="array" ref="C422">IFERROR(_xlfn.XLOOKUP(B422,Personal!$A:$A,Personal!$D:$D,""),"")</f>
        <v>0</v>
      </c>
      <c r="D422" s="9" cm="1">
        <f t="array" ref="D422">IFERROR(_xlfn.XLOOKUP(B422,Personal!$A:$A,Personal!$C:$C,""),"")</f>
        <v>0</v>
      </c>
      <c r="E422" s="9" t="str" cm="1">
        <f t="array" ref="E422">IFERROR(_xlfn.XLOOKUP(D422,Locales!$A:$A,Locales!$B:$B,""),"")</f>
        <v/>
      </c>
      <c r="F422" s="9" cm="1">
        <f t="array" ref="F422">IFERROR(_xlfn.XLOOKUP(B422,Personal!$A:$A,Personal!$F:$F,""),"")</f>
        <v>0</v>
      </c>
      <c r="I422" s="10" cm="1">
        <f t="array" ref="I422">IFERROR(INDEX(Precios!$D:$F,MATCH(N422, Precios!$G:$G, 0),CHOOSE(MATCH(H422, {"SML";"XL";"XXL"}, 0), 1, 2, 3)), 0)</f>
        <v>0</v>
      </c>
      <c r="K422" s="10">
        <f t="shared" si="18"/>
        <v>0</v>
      </c>
      <c r="N422" s="9" t="str">
        <f t="shared" si="19"/>
        <v/>
      </c>
      <c r="O422" s="9" t="str">
        <f>IF(N422="","",IF(COUNTIF(Precios!$G:$G,N422)=0,"⚠ No coincide con Precios","OK"))</f>
        <v/>
      </c>
    </row>
    <row r="423" spans="3:15" x14ac:dyDescent="0.2">
      <c r="C423" s="9" cm="1">
        <f t="array" ref="C423">IFERROR(_xlfn.XLOOKUP(B423,Personal!$A:$A,Personal!$D:$D,""),"")</f>
        <v>0</v>
      </c>
      <c r="D423" s="9" cm="1">
        <f t="array" ref="D423">IFERROR(_xlfn.XLOOKUP(B423,Personal!$A:$A,Personal!$C:$C,""),"")</f>
        <v>0</v>
      </c>
      <c r="E423" s="9" t="str" cm="1">
        <f t="array" ref="E423">IFERROR(_xlfn.XLOOKUP(D423,Locales!$A:$A,Locales!$B:$B,""),"")</f>
        <v/>
      </c>
      <c r="F423" s="9" cm="1">
        <f t="array" ref="F423">IFERROR(_xlfn.XLOOKUP(B423,Personal!$A:$A,Personal!$F:$F,""),"")</f>
        <v>0</v>
      </c>
      <c r="I423" s="10" cm="1">
        <f t="array" ref="I423">IFERROR(INDEX(Precios!$D:$F,MATCH(N423, Precios!$G:$G, 0),CHOOSE(MATCH(H423, {"SML";"XL";"XXL"}, 0), 1, 2, 3)), 0)</f>
        <v>0</v>
      </c>
      <c r="K423" s="10">
        <f t="shared" si="18"/>
        <v>0</v>
      </c>
      <c r="N423" s="9" t="str">
        <f t="shared" si="19"/>
        <v/>
      </c>
      <c r="O423" s="9" t="str">
        <f>IF(N423="","",IF(COUNTIF(Precios!$G:$G,N423)=0,"⚠ No coincide con Precios","OK"))</f>
        <v/>
      </c>
    </row>
    <row r="424" spans="3:15" x14ac:dyDescent="0.2">
      <c r="C424" s="9" cm="1">
        <f t="array" ref="C424">IFERROR(_xlfn.XLOOKUP(B424,Personal!$A:$A,Personal!$D:$D,""),"")</f>
        <v>0</v>
      </c>
      <c r="D424" s="9" cm="1">
        <f t="array" ref="D424">IFERROR(_xlfn.XLOOKUP(B424,Personal!$A:$A,Personal!$C:$C,""),"")</f>
        <v>0</v>
      </c>
      <c r="E424" s="9" t="str" cm="1">
        <f t="array" ref="E424">IFERROR(_xlfn.XLOOKUP(D424,Locales!$A:$A,Locales!$B:$B,""),"")</f>
        <v/>
      </c>
      <c r="F424" s="9" cm="1">
        <f t="array" ref="F424">IFERROR(_xlfn.XLOOKUP(B424,Personal!$A:$A,Personal!$F:$F,""),"")</f>
        <v>0</v>
      </c>
      <c r="I424" s="10" cm="1">
        <f t="array" ref="I424">IFERROR(INDEX(Precios!$D:$F,MATCH(N424, Precios!$G:$G, 0),CHOOSE(MATCH(H424, {"SML";"XL";"XXL"}, 0), 1, 2, 3)), 0)</f>
        <v>0</v>
      </c>
      <c r="K424" s="10">
        <f t="shared" si="18"/>
        <v>0</v>
      </c>
      <c r="N424" s="9" t="str">
        <f t="shared" si="19"/>
        <v/>
      </c>
      <c r="O424" s="9" t="str">
        <f>IF(N424="","",IF(COUNTIF(Precios!$G:$G,N424)=0,"⚠ No coincide con Precios","OK"))</f>
        <v/>
      </c>
    </row>
    <row r="425" spans="3:15" x14ac:dyDescent="0.2">
      <c r="C425" s="9" cm="1">
        <f t="array" ref="C425">IFERROR(_xlfn.XLOOKUP(B425,Personal!$A:$A,Personal!$D:$D,""),"")</f>
        <v>0</v>
      </c>
      <c r="D425" s="9" cm="1">
        <f t="array" ref="D425">IFERROR(_xlfn.XLOOKUP(B425,Personal!$A:$A,Personal!$C:$C,""),"")</f>
        <v>0</v>
      </c>
      <c r="E425" s="9" t="str" cm="1">
        <f t="array" ref="E425">IFERROR(_xlfn.XLOOKUP(D425,Locales!$A:$A,Locales!$B:$B,""),"")</f>
        <v/>
      </c>
      <c r="F425" s="9" cm="1">
        <f t="array" ref="F425">IFERROR(_xlfn.XLOOKUP(B425,Personal!$A:$A,Personal!$F:$F,""),"")</f>
        <v>0</v>
      </c>
      <c r="I425" s="10" cm="1">
        <f t="array" ref="I425">IFERROR(INDEX(Precios!$D:$F,MATCH(N425, Precios!$G:$G, 0),CHOOSE(MATCH(H425, {"SML";"XL";"XXL"}, 0), 1, 2, 3)), 0)</f>
        <v>0</v>
      </c>
      <c r="K425" s="10">
        <f t="shared" si="18"/>
        <v>0</v>
      </c>
      <c r="N425" s="9" t="str">
        <f t="shared" si="19"/>
        <v/>
      </c>
      <c r="O425" s="9" t="str">
        <f>IF(N425="","",IF(COUNTIF(Precios!$G:$G,N425)=0,"⚠ No coincide con Precios","OK"))</f>
        <v/>
      </c>
    </row>
    <row r="426" spans="3:15" x14ac:dyDescent="0.2">
      <c r="C426" s="9" cm="1">
        <f t="array" ref="C426">IFERROR(_xlfn.XLOOKUP(B426,Personal!$A:$A,Personal!$D:$D,""),"")</f>
        <v>0</v>
      </c>
      <c r="D426" s="9" cm="1">
        <f t="array" ref="D426">IFERROR(_xlfn.XLOOKUP(B426,Personal!$A:$A,Personal!$C:$C,""),"")</f>
        <v>0</v>
      </c>
      <c r="E426" s="9" t="str" cm="1">
        <f t="array" ref="E426">IFERROR(_xlfn.XLOOKUP(D426,Locales!$A:$A,Locales!$B:$B,""),"")</f>
        <v/>
      </c>
      <c r="F426" s="9" cm="1">
        <f t="array" ref="F426">IFERROR(_xlfn.XLOOKUP(B426,Personal!$A:$A,Personal!$F:$F,""),"")</f>
        <v>0</v>
      </c>
      <c r="I426" s="10" cm="1">
        <f t="array" ref="I426">IFERROR(INDEX(Precios!$D:$F,MATCH(N426, Precios!$G:$G, 0),CHOOSE(MATCH(H426, {"SML";"XL";"XXL"}, 0), 1, 2, 3)), 0)</f>
        <v>0</v>
      </c>
      <c r="K426" s="10">
        <f t="shared" si="18"/>
        <v>0</v>
      </c>
      <c r="N426" s="9" t="str">
        <f t="shared" si="19"/>
        <v/>
      </c>
      <c r="O426" s="9" t="str">
        <f>IF(N426="","",IF(COUNTIF(Precios!$G:$G,N426)=0,"⚠ No coincide con Precios","OK"))</f>
        <v/>
      </c>
    </row>
    <row r="427" spans="3:15" x14ac:dyDescent="0.2">
      <c r="C427" s="9" cm="1">
        <f t="array" ref="C427">IFERROR(_xlfn.XLOOKUP(B427,Personal!$A:$A,Personal!$D:$D,""),"")</f>
        <v>0</v>
      </c>
      <c r="D427" s="9" cm="1">
        <f t="array" ref="D427">IFERROR(_xlfn.XLOOKUP(B427,Personal!$A:$A,Personal!$C:$C,""),"")</f>
        <v>0</v>
      </c>
      <c r="E427" s="9" t="str" cm="1">
        <f t="array" ref="E427">IFERROR(_xlfn.XLOOKUP(D427,Locales!$A:$A,Locales!$B:$B,""),"")</f>
        <v/>
      </c>
      <c r="F427" s="9" cm="1">
        <f t="array" ref="F427">IFERROR(_xlfn.XLOOKUP(B427,Personal!$A:$A,Personal!$F:$F,""),"")</f>
        <v>0</v>
      </c>
      <c r="I427" s="10" cm="1">
        <f t="array" ref="I427">IFERROR(INDEX(Precios!$D:$F,MATCH(N427, Precios!$G:$G, 0),CHOOSE(MATCH(H427, {"SML";"XL";"XXL"}, 0), 1, 2, 3)), 0)</f>
        <v>0</v>
      </c>
      <c r="K427" s="10">
        <f t="shared" si="18"/>
        <v>0</v>
      </c>
      <c r="N427" s="9" t="str">
        <f t="shared" si="19"/>
        <v/>
      </c>
      <c r="O427" s="9" t="str">
        <f>IF(N427="","",IF(COUNTIF(Precios!$G:$G,N427)=0,"⚠ No coincide con Precios","OK"))</f>
        <v/>
      </c>
    </row>
    <row r="428" spans="3:15" x14ac:dyDescent="0.2">
      <c r="C428" s="9" cm="1">
        <f t="array" ref="C428">IFERROR(_xlfn.XLOOKUP(B428,Personal!$A:$A,Personal!$D:$D,""),"")</f>
        <v>0</v>
      </c>
      <c r="D428" s="9" cm="1">
        <f t="array" ref="D428">IFERROR(_xlfn.XLOOKUP(B428,Personal!$A:$A,Personal!$C:$C,""),"")</f>
        <v>0</v>
      </c>
      <c r="E428" s="9" t="str" cm="1">
        <f t="array" ref="E428">IFERROR(_xlfn.XLOOKUP(D428,Locales!$A:$A,Locales!$B:$B,""),"")</f>
        <v/>
      </c>
      <c r="F428" s="9" cm="1">
        <f t="array" ref="F428">IFERROR(_xlfn.XLOOKUP(B428,Personal!$A:$A,Personal!$F:$F,""),"")</f>
        <v>0</v>
      </c>
      <c r="I428" s="10" cm="1">
        <f t="array" ref="I428">IFERROR(INDEX(Precios!$D:$F,MATCH(N428, Precios!$G:$G, 0),CHOOSE(MATCH(H428, {"SML";"XL";"XXL"}, 0), 1, 2, 3)), 0)</f>
        <v>0</v>
      </c>
      <c r="K428" s="10">
        <f t="shared" si="18"/>
        <v>0</v>
      </c>
      <c r="N428" s="9" t="str">
        <f t="shared" si="19"/>
        <v/>
      </c>
      <c r="O428" s="9" t="str">
        <f>IF(N428="","",IF(COUNTIF(Precios!$G:$G,N428)=0,"⚠ No coincide con Precios","OK"))</f>
        <v/>
      </c>
    </row>
    <row r="429" spans="3:15" x14ac:dyDescent="0.2">
      <c r="C429" s="9" cm="1">
        <f t="array" ref="C429">IFERROR(_xlfn.XLOOKUP(B429,Personal!$A:$A,Personal!$D:$D,""),"")</f>
        <v>0</v>
      </c>
      <c r="D429" s="9" cm="1">
        <f t="array" ref="D429">IFERROR(_xlfn.XLOOKUP(B429,Personal!$A:$A,Personal!$C:$C,""),"")</f>
        <v>0</v>
      </c>
      <c r="E429" s="9" t="str" cm="1">
        <f t="array" ref="E429">IFERROR(_xlfn.XLOOKUP(D429,Locales!$A:$A,Locales!$B:$B,""),"")</f>
        <v/>
      </c>
      <c r="F429" s="9" cm="1">
        <f t="array" ref="F429">IFERROR(_xlfn.XLOOKUP(B429,Personal!$A:$A,Personal!$F:$F,""),"")</f>
        <v>0</v>
      </c>
      <c r="I429" s="10" cm="1">
        <f t="array" ref="I429">IFERROR(INDEX(Precios!$D:$F,MATCH(N429, Precios!$G:$G, 0),CHOOSE(MATCH(H429, {"SML";"XL";"XXL"}, 0), 1, 2, 3)), 0)</f>
        <v>0</v>
      </c>
      <c r="K429" s="10">
        <f t="shared" si="18"/>
        <v>0</v>
      </c>
      <c r="N429" s="9" t="str">
        <f t="shared" si="19"/>
        <v/>
      </c>
      <c r="O429" s="9" t="str">
        <f>IF(N429="","",IF(COUNTIF(Precios!$G:$G,N429)=0,"⚠ No coincide con Precios","OK"))</f>
        <v/>
      </c>
    </row>
    <row r="430" spans="3:15" x14ac:dyDescent="0.2">
      <c r="C430" s="9" cm="1">
        <f t="array" ref="C430">IFERROR(_xlfn.XLOOKUP(B430,Personal!$A:$A,Personal!$D:$D,""),"")</f>
        <v>0</v>
      </c>
      <c r="D430" s="9" cm="1">
        <f t="array" ref="D430">IFERROR(_xlfn.XLOOKUP(B430,Personal!$A:$A,Personal!$C:$C,""),"")</f>
        <v>0</v>
      </c>
      <c r="E430" s="9" t="str" cm="1">
        <f t="array" ref="E430">IFERROR(_xlfn.XLOOKUP(D430,Locales!$A:$A,Locales!$B:$B,""),"")</f>
        <v/>
      </c>
      <c r="F430" s="9" cm="1">
        <f t="array" ref="F430">IFERROR(_xlfn.XLOOKUP(B430,Personal!$A:$A,Personal!$F:$F,""),"")</f>
        <v>0</v>
      </c>
      <c r="I430" s="10" cm="1">
        <f t="array" ref="I430">IFERROR(INDEX(Precios!$D:$F,MATCH(N430, Precios!$G:$G, 0),CHOOSE(MATCH(H430, {"SML";"XL";"XXL"}, 0), 1, 2, 3)), 0)</f>
        <v>0</v>
      </c>
      <c r="K430" s="10">
        <f t="shared" si="18"/>
        <v>0</v>
      </c>
      <c r="N430" s="9" t="str">
        <f t="shared" si="19"/>
        <v/>
      </c>
      <c r="O430" s="9" t="str">
        <f>IF(N430="","",IF(COUNTIF(Precios!$G:$G,N430)=0,"⚠ No coincide con Precios","OK"))</f>
        <v/>
      </c>
    </row>
    <row r="431" spans="3:15" x14ac:dyDescent="0.2">
      <c r="C431" s="9" cm="1">
        <f t="array" ref="C431">IFERROR(_xlfn.XLOOKUP(B431,Personal!$A:$A,Personal!$D:$D,""),"")</f>
        <v>0</v>
      </c>
      <c r="D431" s="9" cm="1">
        <f t="array" ref="D431">IFERROR(_xlfn.XLOOKUP(B431,Personal!$A:$A,Personal!$C:$C,""),"")</f>
        <v>0</v>
      </c>
      <c r="E431" s="9" t="str" cm="1">
        <f t="array" ref="E431">IFERROR(_xlfn.XLOOKUP(D431,Locales!$A:$A,Locales!$B:$B,""),"")</f>
        <v/>
      </c>
      <c r="F431" s="9" cm="1">
        <f t="array" ref="F431">IFERROR(_xlfn.XLOOKUP(B431,Personal!$A:$A,Personal!$F:$F,""),"")</f>
        <v>0</v>
      </c>
      <c r="I431" s="10" cm="1">
        <f t="array" ref="I431">IFERROR(INDEX(Precios!$D:$F,MATCH(N431, Precios!$G:$G, 0),CHOOSE(MATCH(H431, {"SML";"XL";"XXL"}, 0), 1, 2, 3)), 0)</f>
        <v>0</v>
      </c>
      <c r="K431" s="10">
        <f t="shared" si="18"/>
        <v>0</v>
      </c>
      <c r="N431" s="9" t="str">
        <f t="shared" si="19"/>
        <v/>
      </c>
      <c r="O431" s="9" t="str">
        <f>IF(N431="","",IF(COUNTIF(Precios!$G:$G,N431)=0,"⚠ No coincide con Precios","OK"))</f>
        <v/>
      </c>
    </row>
    <row r="432" spans="3:15" x14ac:dyDescent="0.2">
      <c r="C432" s="9" cm="1">
        <f t="array" ref="C432">IFERROR(_xlfn.XLOOKUP(B432,Personal!$A:$A,Personal!$D:$D,""),"")</f>
        <v>0</v>
      </c>
      <c r="D432" s="9" cm="1">
        <f t="array" ref="D432">IFERROR(_xlfn.XLOOKUP(B432,Personal!$A:$A,Personal!$C:$C,""),"")</f>
        <v>0</v>
      </c>
      <c r="E432" s="9" t="str" cm="1">
        <f t="array" ref="E432">IFERROR(_xlfn.XLOOKUP(D432,Locales!$A:$A,Locales!$B:$B,""),"")</f>
        <v/>
      </c>
      <c r="F432" s="9" cm="1">
        <f t="array" ref="F432">IFERROR(_xlfn.XLOOKUP(B432,Personal!$A:$A,Personal!$F:$F,""),"")</f>
        <v>0</v>
      </c>
      <c r="I432" s="10" cm="1">
        <f t="array" ref="I432">IFERROR(INDEX(Precios!$D:$F,MATCH(N432, Precios!$G:$G, 0),CHOOSE(MATCH(H432, {"SML";"XL";"XXL"}, 0), 1, 2, 3)), 0)</f>
        <v>0</v>
      </c>
      <c r="K432" s="10">
        <f t="shared" si="18"/>
        <v>0</v>
      </c>
      <c r="N432" s="9" t="str">
        <f t="shared" si="19"/>
        <v/>
      </c>
      <c r="O432" s="9" t="str">
        <f>IF(N432="","",IF(COUNTIF(Precios!$G:$G,N432)=0,"⚠ No coincide con Precios","OK"))</f>
        <v/>
      </c>
    </row>
    <row r="433" spans="3:15" x14ac:dyDescent="0.2">
      <c r="C433" s="9" cm="1">
        <f t="array" ref="C433">IFERROR(_xlfn.XLOOKUP(B433,Personal!$A:$A,Personal!$D:$D,""),"")</f>
        <v>0</v>
      </c>
      <c r="D433" s="9" cm="1">
        <f t="array" ref="D433">IFERROR(_xlfn.XLOOKUP(B433,Personal!$A:$A,Personal!$C:$C,""),"")</f>
        <v>0</v>
      </c>
      <c r="E433" s="9" t="str" cm="1">
        <f t="array" ref="E433">IFERROR(_xlfn.XLOOKUP(D433,Locales!$A:$A,Locales!$B:$B,""),"")</f>
        <v/>
      </c>
      <c r="F433" s="9" cm="1">
        <f t="array" ref="F433">IFERROR(_xlfn.XLOOKUP(B433,Personal!$A:$A,Personal!$F:$F,""),"")</f>
        <v>0</v>
      </c>
      <c r="I433" s="10" cm="1">
        <f t="array" ref="I433">IFERROR(INDEX(Precios!$D:$F,MATCH(N433, Precios!$G:$G, 0),CHOOSE(MATCH(H433, {"SML";"XL";"XXL"}, 0), 1, 2, 3)), 0)</f>
        <v>0</v>
      </c>
      <c r="K433" s="10">
        <f t="shared" si="18"/>
        <v>0</v>
      </c>
      <c r="N433" s="9" t="str">
        <f t="shared" si="19"/>
        <v/>
      </c>
      <c r="O433" s="9" t="str">
        <f>IF(N433="","",IF(COUNTIF(Precios!$G:$G,N433)=0,"⚠ No coincide con Precios","OK"))</f>
        <v/>
      </c>
    </row>
    <row r="434" spans="3:15" x14ac:dyDescent="0.2">
      <c r="C434" s="9" cm="1">
        <f t="array" ref="C434">IFERROR(_xlfn.XLOOKUP(B434,Personal!$A:$A,Personal!$D:$D,""),"")</f>
        <v>0</v>
      </c>
      <c r="D434" s="9" cm="1">
        <f t="array" ref="D434">IFERROR(_xlfn.XLOOKUP(B434,Personal!$A:$A,Personal!$C:$C,""),"")</f>
        <v>0</v>
      </c>
      <c r="E434" s="9" t="str" cm="1">
        <f t="array" ref="E434">IFERROR(_xlfn.XLOOKUP(D434,Locales!$A:$A,Locales!$B:$B,""),"")</f>
        <v/>
      </c>
      <c r="F434" s="9" cm="1">
        <f t="array" ref="F434">IFERROR(_xlfn.XLOOKUP(B434,Personal!$A:$A,Personal!$F:$F,""),"")</f>
        <v>0</v>
      </c>
      <c r="I434" s="10" cm="1">
        <f t="array" ref="I434">IFERROR(INDEX(Precios!$D:$F,MATCH(N434, Precios!$G:$G, 0),CHOOSE(MATCH(H434, {"SML";"XL";"XXL"}, 0), 1, 2, 3)), 0)</f>
        <v>0</v>
      </c>
      <c r="K434" s="10">
        <f t="shared" si="18"/>
        <v>0</v>
      </c>
      <c r="N434" s="9" t="str">
        <f t="shared" si="19"/>
        <v/>
      </c>
      <c r="O434" s="9" t="str">
        <f>IF(N434="","",IF(COUNTIF(Precios!$G:$G,N434)=0,"⚠ No coincide con Precios","OK"))</f>
        <v/>
      </c>
    </row>
    <row r="435" spans="3:15" x14ac:dyDescent="0.2">
      <c r="C435" s="9" cm="1">
        <f t="array" ref="C435">IFERROR(_xlfn.XLOOKUP(B435,Personal!$A:$A,Personal!$D:$D,""),"")</f>
        <v>0</v>
      </c>
      <c r="D435" s="9" cm="1">
        <f t="array" ref="D435">IFERROR(_xlfn.XLOOKUP(B435,Personal!$A:$A,Personal!$C:$C,""),"")</f>
        <v>0</v>
      </c>
      <c r="E435" s="9" t="str" cm="1">
        <f t="array" ref="E435">IFERROR(_xlfn.XLOOKUP(D435,Locales!$A:$A,Locales!$B:$B,""),"")</f>
        <v/>
      </c>
      <c r="F435" s="9" cm="1">
        <f t="array" ref="F435">IFERROR(_xlfn.XLOOKUP(B435,Personal!$A:$A,Personal!$F:$F,""),"")</f>
        <v>0</v>
      </c>
      <c r="I435" s="10" cm="1">
        <f t="array" ref="I435">IFERROR(INDEX(Precios!$D:$F,MATCH(N435, Precios!$G:$G, 0),CHOOSE(MATCH(H435, {"SML";"XL";"XXL"}, 0), 1, 2, 3)), 0)</f>
        <v>0</v>
      </c>
      <c r="K435" s="10">
        <f t="shared" si="18"/>
        <v>0</v>
      </c>
      <c r="N435" s="9" t="str">
        <f t="shared" si="19"/>
        <v/>
      </c>
      <c r="O435" s="9" t="str">
        <f>IF(N435="","",IF(COUNTIF(Precios!$G:$G,N435)=0,"⚠ No coincide con Precios","OK"))</f>
        <v/>
      </c>
    </row>
    <row r="436" spans="3:15" x14ac:dyDescent="0.2">
      <c r="C436" s="9" cm="1">
        <f t="array" ref="C436">IFERROR(_xlfn.XLOOKUP(B436,Personal!$A:$A,Personal!$D:$D,""),"")</f>
        <v>0</v>
      </c>
      <c r="D436" s="9" cm="1">
        <f t="array" ref="D436">IFERROR(_xlfn.XLOOKUP(B436,Personal!$A:$A,Personal!$C:$C,""),"")</f>
        <v>0</v>
      </c>
      <c r="E436" s="9" t="str" cm="1">
        <f t="array" ref="E436">IFERROR(_xlfn.XLOOKUP(D436,Locales!$A:$A,Locales!$B:$B,""),"")</f>
        <v/>
      </c>
      <c r="F436" s="9" cm="1">
        <f t="array" ref="F436">IFERROR(_xlfn.XLOOKUP(B436,Personal!$A:$A,Personal!$F:$F,""),"")</f>
        <v>0</v>
      </c>
      <c r="I436" s="10" cm="1">
        <f t="array" ref="I436">IFERROR(INDEX(Precios!$D:$F,MATCH(N436, Precios!$G:$G, 0),CHOOSE(MATCH(H436, {"SML";"XL";"XXL"}, 0), 1, 2, 3)), 0)</f>
        <v>0</v>
      </c>
      <c r="K436" s="10">
        <f t="shared" si="18"/>
        <v>0</v>
      </c>
      <c r="N436" s="9" t="str">
        <f t="shared" si="19"/>
        <v/>
      </c>
      <c r="O436" s="9" t="str">
        <f>IF(N436="","",IF(COUNTIF(Precios!$G:$G,N436)=0,"⚠ No coincide con Precios","OK"))</f>
        <v/>
      </c>
    </row>
    <row r="437" spans="3:15" x14ac:dyDescent="0.2">
      <c r="C437" s="9" cm="1">
        <f t="array" ref="C437">IFERROR(_xlfn.XLOOKUP(B437,Personal!$A:$A,Personal!$D:$D,""),"")</f>
        <v>0</v>
      </c>
      <c r="D437" s="9" cm="1">
        <f t="array" ref="D437">IFERROR(_xlfn.XLOOKUP(B437,Personal!$A:$A,Personal!$C:$C,""),"")</f>
        <v>0</v>
      </c>
      <c r="E437" s="9" t="str" cm="1">
        <f t="array" ref="E437">IFERROR(_xlfn.XLOOKUP(D437,Locales!$A:$A,Locales!$B:$B,""),"")</f>
        <v/>
      </c>
      <c r="F437" s="9" cm="1">
        <f t="array" ref="F437">IFERROR(_xlfn.XLOOKUP(B437,Personal!$A:$A,Personal!$F:$F,""),"")</f>
        <v>0</v>
      </c>
      <c r="I437" s="10" cm="1">
        <f t="array" ref="I437">IFERROR(INDEX(Precios!$D:$F,MATCH(N437, Precios!$G:$G, 0),CHOOSE(MATCH(H437, {"SML";"XL";"XXL"}, 0), 1, 2, 3)), 0)</f>
        <v>0</v>
      </c>
      <c r="K437" s="10">
        <f t="shared" si="18"/>
        <v>0</v>
      </c>
      <c r="N437" s="9" t="str">
        <f t="shared" si="19"/>
        <v/>
      </c>
      <c r="O437" s="9" t="str">
        <f>IF(N437="","",IF(COUNTIF(Precios!$G:$G,N437)=0,"⚠ No coincide con Precios","OK"))</f>
        <v/>
      </c>
    </row>
    <row r="438" spans="3:15" x14ac:dyDescent="0.2">
      <c r="C438" s="9" cm="1">
        <f t="array" ref="C438">IFERROR(_xlfn.XLOOKUP(B438,Personal!$A:$A,Personal!$D:$D,""),"")</f>
        <v>0</v>
      </c>
      <c r="D438" s="9" cm="1">
        <f t="array" ref="D438">IFERROR(_xlfn.XLOOKUP(B438,Personal!$A:$A,Personal!$C:$C,""),"")</f>
        <v>0</v>
      </c>
      <c r="E438" s="9" t="str" cm="1">
        <f t="array" ref="E438">IFERROR(_xlfn.XLOOKUP(D438,Locales!$A:$A,Locales!$B:$B,""),"")</f>
        <v/>
      </c>
      <c r="F438" s="9" cm="1">
        <f t="array" ref="F438">IFERROR(_xlfn.XLOOKUP(B438,Personal!$A:$A,Personal!$F:$F,""),"")</f>
        <v>0</v>
      </c>
      <c r="I438" s="10" cm="1">
        <f t="array" ref="I438">IFERROR(INDEX(Precios!$D:$F,MATCH(N438, Precios!$G:$G, 0),CHOOSE(MATCH(H438, {"SML";"XL";"XXL"}, 0), 1, 2, 3)), 0)</f>
        <v>0</v>
      </c>
      <c r="K438" s="10">
        <f t="shared" si="18"/>
        <v>0</v>
      </c>
      <c r="N438" s="9" t="str">
        <f t="shared" si="19"/>
        <v/>
      </c>
      <c r="O438" s="9" t="str">
        <f>IF(N438="","",IF(COUNTIF(Precios!$G:$G,N438)=0,"⚠ No coincide con Precios","OK"))</f>
        <v/>
      </c>
    </row>
    <row r="439" spans="3:15" x14ac:dyDescent="0.2">
      <c r="C439" s="9" cm="1">
        <f t="array" ref="C439">IFERROR(_xlfn.XLOOKUP(B439,Personal!$A:$A,Personal!$D:$D,""),"")</f>
        <v>0</v>
      </c>
      <c r="D439" s="9" cm="1">
        <f t="array" ref="D439">IFERROR(_xlfn.XLOOKUP(B439,Personal!$A:$A,Personal!$C:$C,""),"")</f>
        <v>0</v>
      </c>
      <c r="E439" s="9" t="str" cm="1">
        <f t="array" ref="E439">IFERROR(_xlfn.XLOOKUP(D439,Locales!$A:$A,Locales!$B:$B,""),"")</f>
        <v/>
      </c>
      <c r="F439" s="9" cm="1">
        <f t="array" ref="F439">IFERROR(_xlfn.XLOOKUP(B439,Personal!$A:$A,Personal!$F:$F,""),"")</f>
        <v>0</v>
      </c>
      <c r="I439" s="10" cm="1">
        <f t="array" ref="I439">IFERROR(INDEX(Precios!$D:$F,MATCH(N439, Precios!$G:$G, 0),CHOOSE(MATCH(H439, {"SML";"XL";"XXL"}, 0), 1, 2, 3)), 0)</f>
        <v>0</v>
      </c>
      <c r="K439" s="10">
        <f t="shared" si="18"/>
        <v>0</v>
      </c>
      <c r="N439" s="9" t="str">
        <f t="shared" si="19"/>
        <v/>
      </c>
      <c r="O439" s="9" t="str">
        <f>IF(N439="","",IF(COUNTIF(Precios!$G:$G,N439)=0,"⚠ No coincide con Precios","OK"))</f>
        <v/>
      </c>
    </row>
    <row r="440" spans="3:15" x14ac:dyDescent="0.2">
      <c r="C440" s="9" cm="1">
        <f t="array" ref="C440">IFERROR(_xlfn.XLOOKUP(B440,Personal!$A:$A,Personal!$D:$D,""),"")</f>
        <v>0</v>
      </c>
      <c r="D440" s="9" cm="1">
        <f t="array" ref="D440">IFERROR(_xlfn.XLOOKUP(B440,Personal!$A:$A,Personal!$C:$C,""),"")</f>
        <v>0</v>
      </c>
      <c r="E440" s="9" t="str" cm="1">
        <f t="array" ref="E440">IFERROR(_xlfn.XLOOKUP(D440,Locales!$A:$A,Locales!$B:$B,""),"")</f>
        <v/>
      </c>
      <c r="F440" s="9" cm="1">
        <f t="array" ref="F440">IFERROR(_xlfn.XLOOKUP(B440,Personal!$A:$A,Personal!$F:$F,""),"")</f>
        <v>0</v>
      </c>
      <c r="I440" s="10" cm="1">
        <f t="array" ref="I440">IFERROR(INDEX(Precios!$D:$F,MATCH(N440, Precios!$G:$G, 0),CHOOSE(MATCH(H440, {"SML";"XL";"XXL"}, 0), 1, 2, 3)), 0)</f>
        <v>0</v>
      </c>
      <c r="K440" s="10">
        <f t="shared" si="18"/>
        <v>0</v>
      </c>
      <c r="N440" s="9" t="str">
        <f t="shared" si="19"/>
        <v/>
      </c>
      <c r="O440" s="9" t="str">
        <f>IF(N440="","",IF(COUNTIF(Precios!$G:$G,N440)=0,"⚠ No coincide con Precios","OK"))</f>
        <v/>
      </c>
    </row>
    <row r="441" spans="3:15" x14ac:dyDescent="0.2">
      <c r="C441" s="9" cm="1">
        <f t="array" ref="C441">IFERROR(_xlfn.XLOOKUP(B441,Personal!$A:$A,Personal!$D:$D,""),"")</f>
        <v>0</v>
      </c>
      <c r="D441" s="9" cm="1">
        <f t="array" ref="D441">IFERROR(_xlfn.XLOOKUP(B441,Personal!$A:$A,Personal!$C:$C,""),"")</f>
        <v>0</v>
      </c>
      <c r="E441" s="9" t="str" cm="1">
        <f t="array" ref="E441">IFERROR(_xlfn.XLOOKUP(D441,Locales!$A:$A,Locales!$B:$B,""),"")</f>
        <v/>
      </c>
      <c r="F441" s="9" cm="1">
        <f t="array" ref="F441">IFERROR(_xlfn.XLOOKUP(B441,Personal!$A:$A,Personal!$F:$F,""),"")</f>
        <v>0</v>
      </c>
      <c r="I441" s="10" cm="1">
        <f t="array" ref="I441">IFERROR(INDEX(Precios!$D:$F,MATCH(N441, Precios!$G:$G, 0),CHOOSE(MATCH(H441, {"SML";"XL";"XXL"}, 0), 1, 2, 3)), 0)</f>
        <v>0</v>
      </c>
      <c r="K441" s="10">
        <f t="shared" si="18"/>
        <v>0</v>
      </c>
      <c r="N441" s="9" t="str">
        <f t="shared" si="19"/>
        <v/>
      </c>
      <c r="O441" s="9" t="str">
        <f>IF(N441="","",IF(COUNTIF(Precios!$G:$G,N441)=0,"⚠ No coincide con Precios","OK"))</f>
        <v/>
      </c>
    </row>
    <row r="442" spans="3:15" x14ac:dyDescent="0.2">
      <c r="C442" s="9" cm="1">
        <f t="array" ref="C442">IFERROR(_xlfn.XLOOKUP(B442,Personal!$A:$A,Personal!$D:$D,""),"")</f>
        <v>0</v>
      </c>
      <c r="D442" s="9" cm="1">
        <f t="array" ref="D442">IFERROR(_xlfn.XLOOKUP(B442,Personal!$A:$A,Personal!$C:$C,""),"")</f>
        <v>0</v>
      </c>
      <c r="E442" s="9" t="str" cm="1">
        <f t="array" ref="E442">IFERROR(_xlfn.XLOOKUP(D442,Locales!$A:$A,Locales!$B:$B,""),"")</f>
        <v/>
      </c>
      <c r="F442" s="9" cm="1">
        <f t="array" ref="F442">IFERROR(_xlfn.XLOOKUP(B442,Personal!$A:$A,Personal!$F:$F,""),"")</f>
        <v>0</v>
      </c>
      <c r="I442" s="10" cm="1">
        <f t="array" ref="I442">IFERROR(INDEX(Precios!$D:$F,MATCH(N442, Precios!$G:$G, 0),CHOOSE(MATCH(H442, {"SML";"XL";"XXL"}, 0), 1, 2, 3)), 0)</f>
        <v>0</v>
      </c>
      <c r="K442" s="10">
        <f t="shared" si="18"/>
        <v>0</v>
      </c>
      <c r="N442" s="9" t="str">
        <f t="shared" si="19"/>
        <v/>
      </c>
      <c r="O442" s="9" t="str">
        <f>IF(N442="","",IF(COUNTIF(Precios!$G:$G,N442)=0,"⚠ No coincide con Precios","OK"))</f>
        <v/>
      </c>
    </row>
    <row r="443" spans="3:15" x14ac:dyDescent="0.2">
      <c r="C443" s="9" cm="1">
        <f t="array" ref="C443">IFERROR(_xlfn.XLOOKUP(B443,Personal!$A:$A,Personal!$D:$D,""),"")</f>
        <v>0</v>
      </c>
      <c r="D443" s="9" cm="1">
        <f t="array" ref="D443">IFERROR(_xlfn.XLOOKUP(B443,Personal!$A:$A,Personal!$C:$C,""),"")</f>
        <v>0</v>
      </c>
      <c r="E443" s="9" t="str" cm="1">
        <f t="array" ref="E443">IFERROR(_xlfn.XLOOKUP(D443,Locales!$A:$A,Locales!$B:$B,""),"")</f>
        <v/>
      </c>
      <c r="F443" s="9" cm="1">
        <f t="array" ref="F443">IFERROR(_xlfn.XLOOKUP(B443,Personal!$A:$A,Personal!$F:$F,""),"")</f>
        <v>0</v>
      </c>
      <c r="I443" s="10" cm="1">
        <f t="array" ref="I443">IFERROR(INDEX(Precios!$D:$F,MATCH(N443, Precios!$G:$G, 0),CHOOSE(MATCH(H443, {"SML";"XL";"XXL"}, 0), 1, 2, 3)), 0)</f>
        <v>0</v>
      </c>
      <c r="K443" s="10">
        <f t="shared" si="18"/>
        <v>0</v>
      </c>
      <c r="N443" s="9" t="str">
        <f t="shared" si="19"/>
        <v/>
      </c>
      <c r="O443" s="9" t="str">
        <f>IF(N443="","",IF(COUNTIF(Precios!$G:$G,N443)=0,"⚠ No coincide con Precios","OK"))</f>
        <v/>
      </c>
    </row>
    <row r="444" spans="3:15" x14ac:dyDescent="0.2">
      <c r="C444" s="9" cm="1">
        <f t="array" ref="C444">IFERROR(_xlfn.XLOOKUP(B444,Personal!$A:$A,Personal!$D:$D,""),"")</f>
        <v>0</v>
      </c>
      <c r="D444" s="9" cm="1">
        <f t="array" ref="D444">IFERROR(_xlfn.XLOOKUP(B444,Personal!$A:$A,Personal!$C:$C,""),"")</f>
        <v>0</v>
      </c>
      <c r="E444" s="9" t="str" cm="1">
        <f t="array" ref="E444">IFERROR(_xlfn.XLOOKUP(D444,Locales!$A:$A,Locales!$B:$B,""),"")</f>
        <v/>
      </c>
      <c r="F444" s="9" cm="1">
        <f t="array" ref="F444">IFERROR(_xlfn.XLOOKUP(B444,Personal!$A:$A,Personal!$F:$F,""),"")</f>
        <v>0</v>
      </c>
      <c r="I444" s="10" cm="1">
        <f t="array" ref="I444">IFERROR(INDEX(Precios!$D:$F,MATCH(N444, Precios!$G:$G, 0),CHOOSE(MATCH(H444, {"SML";"XL";"XXL"}, 0), 1, 2, 3)), 0)</f>
        <v>0</v>
      </c>
      <c r="K444" s="10">
        <f t="shared" si="18"/>
        <v>0</v>
      </c>
      <c r="N444" s="9" t="str">
        <f t="shared" si="19"/>
        <v/>
      </c>
      <c r="O444" s="9" t="str">
        <f>IF(N444="","",IF(COUNTIF(Precios!$G:$G,N444)=0,"⚠ No coincide con Precios","OK"))</f>
        <v/>
      </c>
    </row>
    <row r="445" spans="3:15" x14ac:dyDescent="0.2">
      <c r="C445" s="9" cm="1">
        <f t="array" ref="C445">IFERROR(_xlfn.XLOOKUP(B445,Personal!$A:$A,Personal!$D:$D,""),"")</f>
        <v>0</v>
      </c>
      <c r="D445" s="9" cm="1">
        <f t="array" ref="D445">IFERROR(_xlfn.XLOOKUP(B445,Personal!$A:$A,Personal!$C:$C,""),"")</f>
        <v>0</v>
      </c>
      <c r="E445" s="9" t="str" cm="1">
        <f t="array" ref="E445">IFERROR(_xlfn.XLOOKUP(D445,Locales!$A:$A,Locales!$B:$B,""),"")</f>
        <v/>
      </c>
      <c r="F445" s="9" cm="1">
        <f t="array" ref="F445">IFERROR(_xlfn.XLOOKUP(B445,Personal!$A:$A,Personal!$F:$F,""),"")</f>
        <v>0</v>
      </c>
      <c r="I445" s="10" cm="1">
        <f t="array" ref="I445">IFERROR(INDEX(Precios!$D:$F,MATCH(N445, Precios!$G:$G, 0),CHOOSE(MATCH(H445, {"SML";"XL";"XXL"}, 0), 1, 2, 3)), 0)</f>
        <v>0</v>
      </c>
      <c r="K445" s="10">
        <f t="shared" si="18"/>
        <v>0</v>
      </c>
      <c r="N445" s="9" t="str">
        <f t="shared" si="19"/>
        <v/>
      </c>
      <c r="O445" s="9" t="str">
        <f>IF(N445="","",IF(COUNTIF(Precios!$G:$G,N445)=0,"⚠ No coincide con Precios","OK"))</f>
        <v/>
      </c>
    </row>
    <row r="446" spans="3:15" x14ac:dyDescent="0.2">
      <c r="C446" s="9" cm="1">
        <f t="array" ref="C446">IFERROR(_xlfn.XLOOKUP(B446,Personal!$A:$A,Personal!$D:$D,""),"")</f>
        <v>0</v>
      </c>
      <c r="D446" s="9" cm="1">
        <f t="array" ref="D446">IFERROR(_xlfn.XLOOKUP(B446,Personal!$A:$A,Personal!$C:$C,""),"")</f>
        <v>0</v>
      </c>
      <c r="E446" s="9" t="str" cm="1">
        <f t="array" ref="E446">IFERROR(_xlfn.XLOOKUP(D446,Locales!$A:$A,Locales!$B:$B,""),"")</f>
        <v/>
      </c>
      <c r="F446" s="9" cm="1">
        <f t="array" ref="F446">IFERROR(_xlfn.XLOOKUP(B446,Personal!$A:$A,Personal!$F:$F,""),"")</f>
        <v>0</v>
      </c>
      <c r="I446" s="10" cm="1">
        <f t="array" ref="I446">IFERROR(INDEX(Precios!$D:$F,MATCH(N446, Precios!$G:$G, 0),CHOOSE(MATCH(H446, {"SML";"XL";"XXL"}, 0), 1, 2, 3)), 0)</f>
        <v>0</v>
      </c>
      <c r="K446" s="10">
        <f t="shared" ref="K446:K509" si="20">IFERROR(I446*J446,0)</f>
        <v>0</v>
      </c>
      <c r="N446" s="9" t="str">
        <f t="shared" ref="N446:N509" si="21">IF( OR(E446="",F446="",G446=""), "",CLEAN(TRIM(E446)) &amp; "|" &amp; CLEAN(TRIM(F446)) &amp; "|" &amp; CLEAN(TRIM(G446)))</f>
        <v/>
      </c>
      <c r="O446" s="9" t="str">
        <f>IF(N446="","",IF(COUNTIF(Precios!$G:$G,N446)=0,"⚠ No coincide con Precios","OK"))</f>
        <v/>
      </c>
    </row>
    <row r="447" spans="3:15" x14ac:dyDescent="0.2">
      <c r="C447" s="9" cm="1">
        <f t="array" ref="C447">IFERROR(_xlfn.XLOOKUP(B447,Personal!$A:$A,Personal!$D:$D,""),"")</f>
        <v>0</v>
      </c>
      <c r="D447" s="9" cm="1">
        <f t="array" ref="D447">IFERROR(_xlfn.XLOOKUP(B447,Personal!$A:$A,Personal!$C:$C,""),"")</f>
        <v>0</v>
      </c>
      <c r="E447" s="9" t="str" cm="1">
        <f t="array" ref="E447">IFERROR(_xlfn.XLOOKUP(D447,Locales!$A:$A,Locales!$B:$B,""),"")</f>
        <v/>
      </c>
      <c r="F447" s="9" cm="1">
        <f t="array" ref="F447">IFERROR(_xlfn.XLOOKUP(B447,Personal!$A:$A,Personal!$F:$F,""),"")</f>
        <v>0</v>
      </c>
      <c r="I447" s="10" cm="1">
        <f t="array" ref="I447">IFERROR(INDEX(Precios!$D:$F,MATCH(N447, Precios!$G:$G, 0),CHOOSE(MATCH(H447, {"SML";"XL";"XXL"}, 0), 1, 2, 3)), 0)</f>
        <v>0</v>
      </c>
      <c r="K447" s="10">
        <f t="shared" si="20"/>
        <v>0</v>
      </c>
      <c r="N447" s="9" t="str">
        <f t="shared" si="21"/>
        <v/>
      </c>
      <c r="O447" s="9" t="str">
        <f>IF(N447="","",IF(COUNTIF(Precios!$G:$G,N447)=0,"⚠ No coincide con Precios","OK"))</f>
        <v/>
      </c>
    </row>
    <row r="448" spans="3:15" x14ac:dyDescent="0.2">
      <c r="C448" s="9" cm="1">
        <f t="array" ref="C448">IFERROR(_xlfn.XLOOKUP(B448,Personal!$A:$A,Personal!$D:$D,""),"")</f>
        <v>0</v>
      </c>
      <c r="D448" s="9" cm="1">
        <f t="array" ref="D448">IFERROR(_xlfn.XLOOKUP(B448,Personal!$A:$A,Personal!$C:$C,""),"")</f>
        <v>0</v>
      </c>
      <c r="E448" s="9" t="str" cm="1">
        <f t="array" ref="E448">IFERROR(_xlfn.XLOOKUP(D448,Locales!$A:$A,Locales!$B:$B,""),"")</f>
        <v/>
      </c>
      <c r="F448" s="9" cm="1">
        <f t="array" ref="F448">IFERROR(_xlfn.XLOOKUP(B448,Personal!$A:$A,Personal!$F:$F,""),"")</f>
        <v>0</v>
      </c>
      <c r="I448" s="10" cm="1">
        <f t="array" ref="I448">IFERROR(INDEX(Precios!$D:$F,MATCH(N448, Precios!$G:$G, 0),CHOOSE(MATCH(H448, {"SML";"XL";"XXL"}, 0), 1, 2, 3)), 0)</f>
        <v>0</v>
      </c>
      <c r="K448" s="10">
        <f t="shared" si="20"/>
        <v>0</v>
      </c>
      <c r="N448" s="9" t="str">
        <f t="shared" si="21"/>
        <v/>
      </c>
      <c r="O448" s="9" t="str">
        <f>IF(N448="","",IF(COUNTIF(Precios!$G:$G,N448)=0,"⚠ No coincide con Precios","OK"))</f>
        <v/>
      </c>
    </row>
    <row r="449" spans="3:15" x14ac:dyDescent="0.2">
      <c r="C449" s="9" cm="1">
        <f t="array" ref="C449">IFERROR(_xlfn.XLOOKUP(B449,Personal!$A:$A,Personal!$D:$D,""),"")</f>
        <v>0</v>
      </c>
      <c r="D449" s="9" cm="1">
        <f t="array" ref="D449">IFERROR(_xlfn.XLOOKUP(B449,Personal!$A:$A,Personal!$C:$C,""),"")</f>
        <v>0</v>
      </c>
      <c r="E449" s="9" t="str" cm="1">
        <f t="array" ref="E449">IFERROR(_xlfn.XLOOKUP(D449,Locales!$A:$A,Locales!$B:$B,""),"")</f>
        <v/>
      </c>
      <c r="F449" s="9" cm="1">
        <f t="array" ref="F449">IFERROR(_xlfn.XLOOKUP(B449,Personal!$A:$A,Personal!$F:$F,""),"")</f>
        <v>0</v>
      </c>
      <c r="I449" s="10" cm="1">
        <f t="array" ref="I449">IFERROR(INDEX(Precios!$D:$F,MATCH(N449, Precios!$G:$G, 0),CHOOSE(MATCH(H449, {"SML";"XL";"XXL"}, 0), 1, 2, 3)), 0)</f>
        <v>0</v>
      </c>
      <c r="K449" s="10">
        <f t="shared" si="20"/>
        <v>0</v>
      </c>
      <c r="N449" s="9" t="str">
        <f t="shared" si="21"/>
        <v/>
      </c>
      <c r="O449" s="9" t="str">
        <f>IF(N449="","",IF(COUNTIF(Precios!$G:$G,N449)=0,"⚠ No coincide con Precios","OK"))</f>
        <v/>
      </c>
    </row>
    <row r="450" spans="3:15" x14ac:dyDescent="0.2">
      <c r="C450" s="9" cm="1">
        <f t="array" ref="C450">IFERROR(_xlfn.XLOOKUP(B450,Personal!$A:$A,Personal!$D:$D,""),"")</f>
        <v>0</v>
      </c>
      <c r="D450" s="9" cm="1">
        <f t="array" ref="D450">IFERROR(_xlfn.XLOOKUP(B450,Personal!$A:$A,Personal!$C:$C,""),"")</f>
        <v>0</v>
      </c>
      <c r="E450" s="9" t="str" cm="1">
        <f t="array" ref="E450">IFERROR(_xlfn.XLOOKUP(D450,Locales!$A:$A,Locales!$B:$B,""),"")</f>
        <v/>
      </c>
      <c r="F450" s="9" cm="1">
        <f t="array" ref="F450">IFERROR(_xlfn.XLOOKUP(B450,Personal!$A:$A,Personal!$F:$F,""),"")</f>
        <v>0</v>
      </c>
      <c r="I450" s="10" cm="1">
        <f t="array" ref="I450">IFERROR(INDEX(Precios!$D:$F,MATCH(N450, Precios!$G:$G, 0),CHOOSE(MATCH(H450, {"SML";"XL";"XXL"}, 0), 1, 2, 3)), 0)</f>
        <v>0</v>
      </c>
      <c r="K450" s="10">
        <f t="shared" si="20"/>
        <v>0</v>
      </c>
      <c r="N450" s="9" t="str">
        <f t="shared" si="21"/>
        <v/>
      </c>
      <c r="O450" s="9" t="str">
        <f>IF(N450="","",IF(COUNTIF(Precios!$G:$G,N450)=0,"⚠ No coincide con Precios","OK"))</f>
        <v/>
      </c>
    </row>
    <row r="451" spans="3:15" x14ac:dyDescent="0.2">
      <c r="C451" s="9" cm="1">
        <f t="array" ref="C451">IFERROR(_xlfn.XLOOKUP(B451,Personal!$A:$A,Personal!$D:$D,""),"")</f>
        <v>0</v>
      </c>
      <c r="D451" s="9" cm="1">
        <f t="array" ref="D451">IFERROR(_xlfn.XLOOKUP(B451,Personal!$A:$A,Personal!$C:$C,""),"")</f>
        <v>0</v>
      </c>
      <c r="E451" s="9" t="str" cm="1">
        <f t="array" ref="E451">IFERROR(_xlfn.XLOOKUP(D451,Locales!$A:$A,Locales!$B:$B,""),"")</f>
        <v/>
      </c>
      <c r="F451" s="9" cm="1">
        <f t="array" ref="F451">IFERROR(_xlfn.XLOOKUP(B451,Personal!$A:$A,Personal!$F:$F,""),"")</f>
        <v>0</v>
      </c>
      <c r="I451" s="10" cm="1">
        <f t="array" ref="I451">IFERROR(INDEX(Precios!$D:$F,MATCH(N451, Precios!$G:$G, 0),CHOOSE(MATCH(H451, {"SML";"XL";"XXL"}, 0), 1, 2, 3)), 0)</f>
        <v>0</v>
      </c>
      <c r="K451" s="10">
        <f t="shared" si="20"/>
        <v>0</v>
      </c>
      <c r="N451" s="9" t="str">
        <f t="shared" si="21"/>
        <v/>
      </c>
      <c r="O451" s="9" t="str">
        <f>IF(N451="","",IF(COUNTIF(Precios!$G:$G,N451)=0,"⚠ No coincide con Precios","OK"))</f>
        <v/>
      </c>
    </row>
    <row r="452" spans="3:15" x14ac:dyDescent="0.2">
      <c r="C452" s="9" cm="1">
        <f t="array" ref="C452">IFERROR(_xlfn.XLOOKUP(B452,Personal!$A:$A,Personal!$D:$D,""),"")</f>
        <v>0</v>
      </c>
      <c r="D452" s="9" cm="1">
        <f t="array" ref="D452">IFERROR(_xlfn.XLOOKUP(B452,Personal!$A:$A,Personal!$C:$C,""),"")</f>
        <v>0</v>
      </c>
      <c r="E452" s="9" t="str" cm="1">
        <f t="array" ref="E452">IFERROR(_xlfn.XLOOKUP(D452,Locales!$A:$A,Locales!$B:$B,""),"")</f>
        <v/>
      </c>
      <c r="F452" s="9" cm="1">
        <f t="array" ref="F452">IFERROR(_xlfn.XLOOKUP(B452,Personal!$A:$A,Personal!$F:$F,""),"")</f>
        <v>0</v>
      </c>
      <c r="I452" s="10" cm="1">
        <f t="array" ref="I452">IFERROR(INDEX(Precios!$D:$F,MATCH(N452, Precios!$G:$G, 0),CHOOSE(MATCH(H452, {"SML";"XL";"XXL"}, 0), 1, 2, 3)), 0)</f>
        <v>0</v>
      </c>
      <c r="K452" s="10">
        <f t="shared" si="20"/>
        <v>0</v>
      </c>
      <c r="N452" s="9" t="str">
        <f t="shared" si="21"/>
        <v/>
      </c>
      <c r="O452" s="9" t="str">
        <f>IF(N452="","",IF(COUNTIF(Precios!$G:$G,N452)=0,"⚠ No coincide con Precios","OK"))</f>
        <v/>
      </c>
    </row>
    <row r="453" spans="3:15" x14ac:dyDescent="0.2">
      <c r="C453" s="9" cm="1">
        <f t="array" ref="C453">IFERROR(_xlfn.XLOOKUP(B453,Personal!$A:$A,Personal!$D:$D,""),"")</f>
        <v>0</v>
      </c>
      <c r="D453" s="9" cm="1">
        <f t="array" ref="D453">IFERROR(_xlfn.XLOOKUP(B453,Personal!$A:$A,Personal!$C:$C,""),"")</f>
        <v>0</v>
      </c>
      <c r="E453" s="9" t="str" cm="1">
        <f t="array" ref="E453">IFERROR(_xlfn.XLOOKUP(D453,Locales!$A:$A,Locales!$B:$B,""),"")</f>
        <v/>
      </c>
      <c r="F453" s="9" cm="1">
        <f t="array" ref="F453">IFERROR(_xlfn.XLOOKUP(B453,Personal!$A:$A,Personal!$F:$F,""),"")</f>
        <v>0</v>
      </c>
      <c r="I453" s="10" cm="1">
        <f t="array" ref="I453">IFERROR(INDEX(Precios!$D:$F,MATCH(N453, Precios!$G:$G, 0),CHOOSE(MATCH(H453, {"SML";"XL";"XXL"}, 0), 1, 2, 3)), 0)</f>
        <v>0</v>
      </c>
      <c r="K453" s="10">
        <f t="shared" si="20"/>
        <v>0</v>
      </c>
      <c r="N453" s="9" t="str">
        <f t="shared" si="21"/>
        <v/>
      </c>
      <c r="O453" s="9" t="str">
        <f>IF(N453="","",IF(COUNTIF(Precios!$G:$G,N453)=0,"⚠ No coincide con Precios","OK"))</f>
        <v/>
      </c>
    </row>
    <row r="454" spans="3:15" x14ac:dyDescent="0.2">
      <c r="C454" s="9" cm="1">
        <f t="array" ref="C454">IFERROR(_xlfn.XLOOKUP(B454,Personal!$A:$A,Personal!$D:$D,""),"")</f>
        <v>0</v>
      </c>
      <c r="D454" s="9" cm="1">
        <f t="array" ref="D454">IFERROR(_xlfn.XLOOKUP(B454,Personal!$A:$A,Personal!$C:$C,""),"")</f>
        <v>0</v>
      </c>
      <c r="E454" s="9" t="str" cm="1">
        <f t="array" ref="E454">IFERROR(_xlfn.XLOOKUP(D454,Locales!$A:$A,Locales!$B:$B,""),"")</f>
        <v/>
      </c>
      <c r="F454" s="9" cm="1">
        <f t="array" ref="F454">IFERROR(_xlfn.XLOOKUP(B454,Personal!$A:$A,Personal!$F:$F,""),"")</f>
        <v>0</v>
      </c>
      <c r="I454" s="10" cm="1">
        <f t="array" ref="I454">IFERROR(INDEX(Precios!$D:$F,MATCH(N454, Precios!$G:$G, 0),CHOOSE(MATCH(H454, {"SML";"XL";"XXL"}, 0), 1, 2, 3)), 0)</f>
        <v>0</v>
      </c>
      <c r="K454" s="10">
        <f t="shared" si="20"/>
        <v>0</v>
      </c>
      <c r="N454" s="9" t="str">
        <f t="shared" si="21"/>
        <v/>
      </c>
      <c r="O454" s="9" t="str">
        <f>IF(N454="","",IF(COUNTIF(Precios!$G:$G,N454)=0,"⚠ No coincide con Precios","OK"))</f>
        <v/>
      </c>
    </row>
    <row r="455" spans="3:15" x14ac:dyDescent="0.2">
      <c r="C455" s="9" cm="1">
        <f t="array" ref="C455">IFERROR(_xlfn.XLOOKUP(B455,Personal!$A:$A,Personal!$D:$D,""),"")</f>
        <v>0</v>
      </c>
      <c r="D455" s="9" cm="1">
        <f t="array" ref="D455">IFERROR(_xlfn.XLOOKUP(B455,Personal!$A:$A,Personal!$C:$C,""),"")</f>
        <v>0</v>
      </c>
      <c r="E455" s="9" t="str" cm="1">
        <f t="array" ref="E455">IFERROR(_xlfn.XLOOKUP(D455,Locales!$A:$A,Locales!$B:$B,""),"")</f>
        <v/>
      </c>
      <c r="F455" s="9" cm="1">
        <f t="array" ref="F455">IFERROR(_xlfn.XLOOKUP(B455,Personal!$A:$A,Personal!$F:$F,""),"")</f>
        <v>0</v>
      </c>
      <c r="I455" s="10" cm="1">
        <f t="array" ref="I455">IFERROR(INDEX(Precios!$D:$F,MATCH(N455, Precios!$G:$G, 0),CHOOSE(MATCH(H455, {"SML";"XL";"XXL"}, 0), 1, 2, 3)), 0)</f>
        <v>0</v>
      </c>
      <c r="K455" s="10">
        <f t="shared" si="20"/>
        <v>0</v>
      </c>
      <c r="N455" s="9" t="str">
        <f t="shared" si="21"/>
        <v/>
      </c>
      <c r="O455" s="9" t="str">
        <f>IF(N455="","",IF(COUNTIF(Precios!$G:$G,N455)=0,"⚠ No coincide con Precios","OK"))</f>
        <v/>
      </c>
    </row>
    <row r="456" spans="3:15" x14ac:dyDescent="0.2">
      <c r="C456" s="9" cm="1">
        <f t="array" ref="C456">IFERROR(_xlfn.XLOOKUP(B456,Personal!$A:$A,Personal!$D:$D,""),"")</f>
        <v>0</v>
      </c>
      <c r="D456" s="9" cm="1">
        <f t="array" ref="D456">IFERROR(_xlfn.XLOOKUP(B456,Personal!$A:$A,Personal!$C:$C,""),"")</f>
        <v>0</v>
      </c>
      <c r="E456" s="9" t="str" cm="1">
        <f t="array" ref="E456">IFERROR(_xlfn.XLOOKUP(D456,Locales!$A:$A,Locales!$B:$B,""),"")</f>
        <v/>
      </c>
      <c r="F456" s="9" cm="1">
        <f t="array" ref="F456">IFERROR(_xlfn.XLOOKUP(B456,Personal!$A:$A,Personal!$F:$F,""),"")</f>
        <v>0</v>
      </c>
      <c r="I456" s="10" cm="1">
        <f t="array" ref="I456">IFERROR(INDEX(Precios!$D:$F,MATCH(N456, Precios!$G:$G, 0),CHOOSE(MATCH(H456, {"SML";"XL";"XXL"}, 0), 1, 2, 3)), 0)</f>
        <v>0</v>
      </c>
      <c r="K456" s="10">
        <f t="shared" si="20"/>
        <v>0</v>
      </c>
      <c r="N456" s="9" t="str">
        <f t="shared" si="21"/>
        <v/>
      </c>
      <c r="O456" s="9" t="str">
        <f>IF(N456="","",IF(COUNTIF(Precios!$G:$G,N456)=0,"⚠ No coincide con Precios","OK"))</f>
        <v/>
      </c>
    </row>
    <row r="457" spans="3:15" x14ac:dyDescent="0.2">
      <c r="C457" s="9" cm="1">
        <f t="array" ref="C457">IFERROR(_xlfn.XLOOKUP(B457,Personal!$A:$A,Personal!$D:$D,""),"")</f>
        <v>0</v>
      </c>
      <c r="D457" s="9" cm="1">
        <f t="array" ref="D457">IFERROR(_xlfn.XLOOKUP(B457,Personal!$A:$A,Personal!$C:$C,""),"")</f>
        <v>0</v>
      </c>
      <c r="E457" s="9" t="str" cm="1">
        <f t="array" ref="E457">IFERROR(_xlfn.XLOOKUP(D457,Locales!$A:$A,Locales!$B:$B,""),"")</f>
        <v/>
      </c>
      <c r="F457" s="9" cm="1">
        <f t="array" ref="F457">IFERROR(_xlfn.XLOOKUP(B457,Personal!$A:$A,Personal!$F:$F,""),"")</f>
        <v>0</v>
      </c>
      <c r="I457" s="10" cm="1">
        <f t="array" ref="I457">IFERROR(INDEX(Precios!$D:$F,MATCH(N457, Precios!$G:$G, 0),CHOOSE(MATCH(H457, {"SML";"XL";"XXL"}, 0), 1, 2, 3)), 0)</f>
        <v>0</v>
      </c>
      <c r="K457" s="10">
        <f t="shared" si="20"/>
        <v>0</v>
      </c>
      <c r="N457" s="9" t="str">
        <f t="shared" si="21"/>
        <v/>
      </c>
      <c r="O457" s="9" t="str">
        <f>IF(N457="","",IF(COUNTIF(Precios!$G:$G,N457)=0,"⚠ No coincide con Precios","OK"))</f>
        <v/>
      </c>
    </row>
    <row r="458" spans="3:15" x14ac:dyDescent="0.2">
      <c r="C458" s="9" cm="1">
        <f t="array" ref="C458">IFERROR(_xlfn.XLOOKUP(B458,Personal!$A:$A,Personal!$D:$D,""),"")</f>
        <v>0</v>
      </c>
      <c r="D458" s="9" cm="1">
        <f t="array" ref="D458">IFERROR(_xlfn.XLOOKUP(B458,Personal!$A:$A,Personal!$C:$C,""),"")</f>
        <v>0</v>
      </c>
      <c r="E458" s="9" t="str" cm="1">
        <f t="array" ref="E458">IFERROR(_xlfn.XLOOKUP(D458,Locales!$A:$A,Locales!$B:$B,""),"")</f>
        <v/>
      </c>
      <c r="F458" s="9" cm="1">
        <f t="array" ref="F458">IFERROR(_xlfn.XLOOKUP(B458,Personal!$A:$A,Personal!$F:$F,""),"")</f>
        <v>0</v>
      </c>
      <c r="I458" s="10" cm="1">
        <f t="array" ref="I458">IFERROR(INDEX(Precios!$D:$F,MATCH(N458, Precios!$G:$G, 0),CHOOSE(MATCH(H458, {"SML";"XL";"XXL"}, 0), 1, 2, 3)), 0)</f>
        <v>0</v>
      </c>
      <c r="K458" s="10">
        <f t="shared" si="20"/>
        <v>0</v>
      </c>
      <c r="N458" s="9" t="str">
        <f t="shared" si="21"/>
        <v/>
      </c>
      <c r="O458" s="9" t="str">
        <f>IF(N458="","",IF(COUNTIF(Precios!$G:$G,N458)=0,"⚠ No coincide con Precios","OK"))</f>
        <v/>
      </c>
    </row>
    <row r="459" spans="3:15" x14ac:dyDescent="0.2">
      <c r="C459" s="9" cm="1">
        <f t="array" ref="C459">IFERROR(_xlfn.XLOOKUP(B459,Personal!$A:$A,Personal!$D:$D,""),"")</f>
        <v>0</v>
      </c>
      <c r="D459" s="9" cm="1">
        <f t="array" ref="D459">IFERROR(_xlfn.XLOOKUP(B459,Personal!$A:$A,Personal!$C:$C,""),"")</f>
        <v>0</v>
      </c>
      <c r="E459" s="9" t="str" cm="1">
        <f t="array" ref="E459">IFERROR(_xlfn.XLOOKUP(D459,Locales!$A:$A,Locales!$B:$B,""),"")</f>
        <v/>
      </c>
      <c r="F459" s="9" cm="1">
        <f t="array" ref="F459">IFERROR(_xlfn.XLOOKUP(B459,Personal!$A:$A,Personal!$F:$F,""),"")</f>
        <v>0</v>
      </c>
      <c r="I459" s="10" cm="1">
        <f t="array" ref="I459">IFERROR(INDEX(Precios!$D:$F,MATCH(N459, Precios!$G:$G, 0),CHOOSE(MATCH(H459, {"SML";"XL";"XXL"}, 0), 1, 2, 3)), 0)</f>
        <v>0</v>
      </c>
      <c r="K459" s="10">
        <f t="shared" si="20"/>
        <v>0</v>
      </c>
      <c r="N459" s="9" t="str">
        <f t="shared" si="21"/>
        <v/>
      </c>
      <c r="O459" s="9" t="str">
        <f>IF(N459="","",IF(COUNTIF(Precios!$G:$G,N459)=0,"⚠ No coincide con Precios","OK"))</f>
        <v/>
      </c>
    </row>
    <row r="460" spans="3:15" x14ac:dyDescent="0.2">
      <c r="C460" s="9" cm="1">
        <f t="array" ref="C460">IFERROR(_xlfn.XLOOKUP(B460,Personal!$A:$A,Personal!$D:$D,""),"")</f>
        <v>0</v>
      </c>
      <c r="D460" s="9" cm="1">
        <f t="array" ref="D460">IFERROR(_xlfn.XLOOKUP(B460,Personal!$A:$A,Personal!$C:$C,""),"")</f>
        <v>0</v>
      </c>
      <c r="E460" s="9" t="str" cm="1">
        <f t="array" ref="E460">IFERROR(_xlfn.XLOOKUP(D460,Locales!$A:$A,Locales!$B:$B,""),"")</f>
        <v/>
      </c>
      <c r="F460" s="9" cm="1">
        <f t="array" ref="F460">IFERROR(_xlfn.XLOOKUP(B460,Personal!$A:$A,Personal!$F:$F,""),"")</f>
        <v>0</v>
      </c>
      <c r="I460" s="10" cm="1">
        <f t="array" ref="I460">IFERROR(INDEX(Precios!$D:$F,MATCH(N460, Precios!$G:$G, 0),CHOOSE(MATCH(H460, {"SML";"XL";"XXL"}, 0), 1, 2, 3)), 0)</f>
        <v>0</v>
      </c>
      <c r="K460" s="10">
        <f t="shared" si="20"/>
        <v>0</v>
      </c>
      <c r="N460" s="9" t="str">
        <f t="shared" si="21"/>
        <v/>
      </c>
      <c r="O460" s="9" t="str">
        <f>IF(N460="","",IF(COUNTIF(Precios!$G:$G,N460)=0,"⚠ No coincide con Precios","OK"))</f>
        <v/>
      </c>
    </row>
    <row r="461" spans="3:15" x14ac:dyDescent="0.2">
      <c r="C461" s="9" cm="1">
        <f t="array" ref="C461">IFERROR(_xlfn.XLOOKUP(B461,Personal!$A:$A,Personal!$D:$D,""),"")</f>
        <v>0</v>
      </c>
      <c r="D461" s="9" cm="1">
        <f t="array" ref="D461">IFERROR(_xlfn.XLOOKUP(B461,Personal!$A:$A,Personal!$C:$C,""),"")</f>
        <v>0</v>
      </c>
      <c r="E461" s="9" t="str" cm="1">
        <f t="array" ref="E461">IFERROR(_xlfn.XLOOKUP(D461,Locales!$A:$A,Locales!$B:$B,""),"")</f>
        <v/>
      </c>
      <c r="F461" s="9" cm="1">
        <f t="array" ref="F461">IFERROR(_xlfn.XLOOKUP(B461,Personal!$A:$A,Personal!$F:$F,""),"")</f>
        <v>0</v>
      </c>
      <c r="I461" s="10" cm="1">
        <f t="array" ref="I461">IFERROR(INDEX(Precios!$D:$F,MATCH(N461, Precios!$G:$G, 0),CHOOSE(MATCH(H461, {"SML";"XL";"XXL"}, 0), 1, 2, 3)), 0)</f>
        <v>0</v>
      </c>
      <c r="K461" s="10">
        <f t="shared" si="20"/>
        <v>0</v>
      </c>
      <c r="N461" s="9" t="str">
        <f t="shared" si="21"/>
        <v/>
      </c>
      <c r="O461" s="9" t="str">
        <f>IF(N461="","",IF(COUNTIF(Precios!$G:$G,N461)=0,"⚠ No coincide con Precios","OK"))</f>
        <v/>
      </c>
    </row>
    <row r="462" spans="3:15" x14ac:dyDescent="0.2">
      <c r="C462" s="9" cm="1">
        <f t="array" ref="C462">IFERROR(_xlfn.XLOOKUP(B462,Personal!$A:$A,Personal!$D:$D,""),"")</f>
        <v>0</v>
      </c>
      <c r="D462" s="9" cm="1">
        <f t="array" ref="D462">IFERROR(_xlfn.XLOOKUP(B462,Personal!$A:$A,Personal!$C:$C,""),"")</f>
        <v>0</v>
      </c>
      <c r="E462" s="9" t="str" cm="1">
        <f t="array" ref="E462">IFERROR(_xlfn.XLOOKUP(D462,Locales!$A:$A,Locales!$B:$B,""),"")</f>
        <v/>
      </c>
      <c r="F462" s="9" cm="1">
        <f t="array" ref="F462">IFERROR(_xlfn.XLOOKUP(B462,Personal!$A:$A,Personal!$F:$F,""),"")</f>
        <v>0</v>
      </c>
      <c r="I462" s="10" cm="1">
        <f t="array" ref="I462">IFERROR(INDEX(Precios!$D:$F,MATCH(N462, Precios!$G:$G, 0),CHOOSE(MATCH(H462, {"SML";"XL";"XXL"}, 0), 1, 2, 3)), 0)</f>
        <v>0</v>
      </c>
      <c r="K462" s="10">
        <f t="shared" si="20"/>
        <v>0</v>
      </c>
      <c r="N462" s="9" t="str">
        <f t="shared" si="21"/>
        <v/>
      </c>
      <c r="O462" s="9" t="str">
        <f>IF(N462="","",IF(COUNTIF(Precios!$G:$G,N462)=0,"⚠ No coincide con Precios","OK"))</f>
        <v/>
      </c>
    </row>
    <row r="463" spans="3:15" x14ac:dyDescent="0.2">
      <c r="C463" s="9" cm="1">
        <f t="array" ref="C463">IFERROR(_xlfn.XLOOKUP(B463,Personal!$A:$A,Personal!$D:$D,""),"")</f>
        <v>0</v>
      </c>
      <c r="D463" s="9" cm="1">
        <f t="array" ref="D463">IFERROR(_xlfn.XLOOKUP(B463,Personal!$A:$A,Personal!$C:$C,""),"")</f>
        <v>0</v>
      </c>
      <c r="E463" s="9" t="str" cm="1">
        <f t="array" ref="E463">IFERROR(_xlfn.XLOOKUP(D463,Locales!$A:$A,Locales!$B:$B,""),"")</f>
        <v/>
      </c>
      <c r="F463" s="9" cm="1">
        <f t="array" ref="F463">IFERROR(_xlfn.XLOOKUP(B463,Personal!$A:$A,Personal!$F:$F,""),"")</f>
        <v>0</v>
      </c>
      <c r="I463" s="10" cm="1">
        <f t="array" ref="I463">IFERROR(INDEX(Precios!$D:$F,MATCH(N463, Precios!$G:$G, 0),CHOOSE(MATCH(H463, {"SML";"XL";"XXL"}, 0), 1, 2, 3)), 0)</f>
        <v>0</v>
      </c>
      <c r="K463" s="10">
        <f t="shared" si="20"/>
        <v>0</v>
      </c>
      <c r="N463" s="9" t="str">
        <f t="shared" si="21"/>
        <v/>
      </c>
      <c r="O463" s="9" t="str">
        <f>IF(N463="","",IF(COUNTIF(Precios!$G:$G,N463)=0,"⚠ No coincide con Precios","OK"))</f>
        <v/>
      </c>
    </row>
    <row r="464" spans="3:15" x14ac:dyDescent="0.2">
      <c r="C464" s="9" cm="1">
        <f t="array" ref="C464">IFERROR(_xlfn.XLOOKUP(B464,Personal!$A:$A,Personal!$D:$D,""),"")</f>
        <v>0</v>
      </c>
      <c r="D464" s="9" cm="1">
        <f t="array" ref="D464">IFERROR(_xlfn.XLOOKUP(B464,Personal!$A:$A,Personal!$C:$C,""),"")</f>
        <v>0</v>
      </c>
      <c r="E464" s="9" t="str" cm="1">
        <f t="array" ref="E464">IFERROR(_xlfn.XLOOKUP(D464,Locales!$A:$A,Locales!$B:$B,""),"")</f>
        <v/>
      </c>
      <c r="F464" s="9" cm="1">
        <f t="array" ref="F464">IFERROR(_xlfn.XLOOKUP(B464,Personal!$A:$A,Personal!$F:$F,""),"")</f>
        <v>0</v>
      </c>
      <c r="I464" s="10" cm="1">
        <f t="array" ref="I464">IFERROR(INDEX(Precios!$D:$F,MATCH(N464, Precios!$G:$G, 0),CHOOSE(MATCH(H464, {"SML";"XL";"XXL"}, 0), 1, 2, 3)), 0)</f>
        <v>0</v>
      </c>
      <c r="K464" s="10">
        <f t="shared" si="20"/>
        <v>0</v>
      </c>
      <c r="N464" s="9" t="str">
        <f t="shared" si="21"/>
        <v/>
      </c>
      <c r="O464" s="9" t="str">
        <f>IF(N464="","",IF(COUNTIF(Precios!$G:$G,N464)=0,"⚠ No coincide con Precios","OK"))</f>
        <v/>
      </c>
    </row>
    <row r="465" spans="3:15" x14ac:dyDescent="0.2">
      <c r="C465" s="9" cm="1">
        <f t="array" ref="C465">IFERROR(_xlfn.XLOOKUP(B465,Personal!$A:$A,Personal!$D:$D,""),"")</f>
        <v>0</v>
      </c>
      <c r="D465" s="9" cm="1">
        <f t="array" ref="D465">IFERROR(_xlfn.XLOOKUP(B465,Personal!$A:$A,Personal!$C:$C,""),"")</f>
        <v>0</v>
      </c>
      <c r="E465" s="9" t="str" cm="1">
        <f t="array" ref="E465">IFERROR(_xlfn.XLOOKUP(D465,Locales!$A:$A,Locales!$B:$B,""),"")</f>
        <v/>
      </c>
      <c r="F465" s="9" cm="1">
        <f t="array" ref="F465">IFERROR(_xlfn.XLOOKUP(B465,Personal!$A:$A,Personal!$F:$F,""),"")</f>
        <v>0</v>
      </c>
      <c r="I465" s="10" cm="1">
        <f t="array" ref="I465">IFERROR(INDEX(Precios!$D:$F,MATCH(N465, Precios!$G:$G, 0),CHOOSE(MATCH(H465, {"SML";"XL";"XXL"}, 0), 1, 2, 3)), 0)</f>
        <v>0</v>
      </c>
      <c r="K465" s="10">
        <f t="shared" si="20"/>
        <v>0</v>
      </c>
      <c r="N465" s="9" t="str">
        <f t="shared" si="21"/>
        <v/>
      </c>
      <c r="O465" s="9" t="str">
        <f>IF(N465="","",IF(COUNTIF(Precios!$G:$G,N465)=0,"⚠ No coincide con Precios","OK"))</f>
        <v/>
      </c>
    </row>
    <row r="466" spans="3:15" x14ac:dyDescent="0.2">
      <c r="C466" s="9" cm="1">
        <f t="array" ref="C466">IFERROR(_xlfn.XLOOKUP(B466,Personal!$A:$A,Personal!$D:$D,""),"")</f>
        <v>0</v>
      </c>
      <c r="D466" s="9" cm="1">
        <f t="array" ref="D466">IFERROR(_xlfn.XLOOKUP(B466,Personal!$A:$A,Personal!$C:$C,""),"")</f>
        <v>0</v>
      </c>
      <c r="E466" s="9" t="str" cm="1">
        <f t="array" ref="E466">IFERROR(_xlfn.XLOOKUP(D466,Locales!$A:$A,Locales!$B:$B,""),"")</f>
        <v/>
      </c>
      <c r="F466" s="9" cm="1">
        <f t="array" ref="F466">IFERROR(_xlfn.XLOOKUP(B466,Personal!$A:$A,Personal!$F:$F,""),"")</f>
        <v>0</v>
      </c>
      <c r="I466" s="10" cm="1">
        <f t="array" ref="I466">IFERROR(INDEX(Precios!$D:$F,MATCH(N466, Precios!$G:$G, 0),CHOOSE(MATCH(H466, {"SML";"XL";"XXL"}, 0), 1, 2, 3)), 0)</f>
        <v>0</v>
      </c>
      <c r="K466" s="10">
        <f t="shared" si="20"/>
        <v>0</v>
      </c>
      <c r="N466" s="9" t="str">
        <f t="shared" si="21"/>
        <v/>
      </c>
      <c r="O466" s="9" t="str">
        <f>IF(N466="","",IF(COUNTIF(Precios!$G:$G,N466)=0,"⚠ No coincide con Precios","OK"))</f>
        <v/>
      </c>
    </row>
    <row r="467" spans="3:15" x14ac:dyDescent="0.2">
      <c r="C467" s="9" cm="1">
        <f t="array" ref="C467">IFERROR(_xlfn.XLOOKUP(B467,Personal!$A:$A,Personal!$D:$D,""),"")</f>
        <v>0</v>
      </c>
      <c r="D467" s="9" cm="1">
        <f t="array" ref="D467">IFERROR(_xlfn.XLOOKUP(B467,Personal!$A:$A,Personal!$C:$C,""),"")</f>
        <v>0</v>
      </c>
      <c r="E467" s="9" t="str" cm="1">
        <f t="array" ref="E467">IFERROR(_xlfn.XLOOKUP(D467,Locales!$A:$A,Locales!$B:$B,""),"")</f>
        <v/>
      </c>
      <c r="F467" s="9" cm="1">
        <f t="array" ref="F467">IFERROR(_xlfn.XLOOKUP(B467,Personal!$A:$A,Personal!$F:$F,""),"")</f>
        <v>0</v>
      </c>
      <c r="I467" s="10" cm="1">
        <f t="array" ref="I467">IFERROR(INDEX(Precios!$D:$F,MATCH(N467, Precios!$G:$G, 0),CHOOSE(MATCH(H467, {"SML";"XL";"XXL"}, 0), 1, 2, 3)), 0)</f>
        <v>0</v>
      </c>
      <c r="K467" s="10">
        <f t="shared" si="20"/>
        <v>0</v>
      </c>
      <c r="N467" s="9" t="str">
        <f t="shared" si="21"/>
        <v/>
      </c>
      <c r="O467" s="9" t="str">
        <f>IF(N467="","",IF(COUNTIF(Precios!$G:$G,N467)=0,"⚠ No coincide con Precios","OK"))</f>
        <v/>
      </c>
    </row>
    <row r="468" spans="3:15" x14ac:dyDescent="0.2">
      <c r="C468" s="9" cm="1">
        <f t="array" ref="C468">IFERROR(_xlfn.XLOOKUP(B468,Personal!$A:$A,Personal!$D:$D,""),"")</f>
        <v>0</v>
      </c>
      <c r="D468" s="9" cm="1">
        <f t="array" ref="D468">IFERROR(_xlfn.XLOOKUP(B468,Personal!$A:$A,Personal!$C:$C,""),"")</f>
        <v>0</v>
      </c>
      <c r="E468" s="9" t="str" cm="1">
        <f t="array" ref="E468">IFERROR(_xlfn.XLOOKUP(D468,Locales!$A:$A,Locales!$B:$B,""),"")</f>
        <v/>
      </c>
      <c r="F468" s="9" cm="1">
        <f t="array" ref="F468">IFERROR(_xlfn.XLOOKUP(B468,Personal!$A:$A,Personal!$F:$F,""),"")</f>
        <v>0</v>
      </c>
      <c r="I468" s="10" cm="1">
        <f t="array" ref="I468">IFERROR(INDEX(Precios!$D:$F,MATCH(N468, Precios!$G:$G, 0),CHOOSE(MATCH(H468, {"SML";"XL";"XXL"}, 0), 1, 2, 3)), 0)</f>
        <v>0</v>
      </c>
      <c r="K468" s="10">
        <f t="shared" si="20"/>
        <v>0</v>
      </c>
      <c r="N468" s="9" t="str">
        <f t="shared" si="21"/>
        <v/>
      </c>
      <c r="O468" s="9" t="str">
        <f>IF(N468="","",IF(COUNTIF(Precios!$G:$G,N468)=0,"⚠ No coincide con Precios","OK"))</f>
        <v/>
      </c>
    </row>
    <row r="469" spans="3:15" x14ac:dyDescent="0.2">
      <c r="C469" s="9" cm="1">
        <f t="array" ref="C469">IFERROR(_xlfn.XLOOKUP(B469,Personal!$A:$A,Personal!$D:$D,""),"")</f>
        <v>0</v>
      </c>
      <c r="D469" s="9" cm="1">
        <f t="array" ref="D469">IFERROR(_xlfn.XLOOKUP(B469,Personal!$A:$A,Personal!$C:$C,""),"")</f>
        <v>0</v>
      </c>
      <c r="E469" s="9" t="str" cm="1">
        <f t="array" ref="E469">IFERROR(_xlfn.XLOOKUP(D469,Locales!$A:$A,Locales!$B:$B,""),"")</f>
        <v/>
      </c>
      <c r="F469" s="9" cm="1">
        <f t="array" ref="F469">IFERROR(_xlfn.XLOOKUP(B469,Personal!$A:$A,Personal!$F:$F,""),"")</f>
        <v>0</v>
      </c>
      <c r="I469" s="10" cm="1">
        <f t="array" ref="I469">IFERROR(INDEX(Precios!$D:$F,MATCH(N469, Precios!$G:$G, 0),CHOOSE(MATCH(H469, {"SML";"XL";"XXL"}, 0), 1, 2, 3)), 0)</f>
        <v>0</v>
      </c>
      <c r="K469" s="10">
        <f t="shared" si="20"/>
        <v>0</v>
      </c>
      <c r="N469" s="9" t="str">
        <f t="shared" si="21"/>
        <v/>
      </c>
      <c r="O469" s="9" t="str">
        <f>IF(N469="","",IF(COUNTIF(Precios!$G:$G,N469)=0,"⚠ No coincide con Precios","OK"))</f>
        <v/>
      </c>
    </row>
    <row r="470" spans="3:15" x14ac:dyDescent="0.2">
      <c r="C470" s="9" cm="1">
        <f t="array" ref="C470">IFERROR(_xlfn.XLOOKUP(B470,Personal!$A:$A,Personal!$D:$D,""),"")</f>
        <v>0</v>
      </c>
      <c r="D470" s="9" cm="1">
        <f t="array" ref="D470">IFERROR(_xlfn.XLOOKUP(B470,Personal!$A:$A,Personal!$C:$C,""),"")</f>
        <v>0</v>
      </c>
      <c r="E470" s="9" t="str" cm="1">
        <f t="array" ref="E470">IFERROR(_xlfn.XLOOKUP(D470,Locales!$A:$A,Locales!$B:$B,""),"")</f>
        <v/>
      </c>
      <c r="F470" s="9" cm="1">
        <f t="array" ref="F470">IFERROR(_xlfn.XLOOKUP(B470,Personal!$A:$A,Personal!$F:$F,""),"")</f>
        <v>0</v>
      </c>
      <c r="I470" s="10" cm="1">
        <f t="array" ref="I470">IFERROR(INDEX(Precios!$D:$F,MATCH(N470, Precios!$G:$G, 0),CHOOSE(MATCH(H470, {"SML";"XL";"XXL"}, 0), 1, 2, 3)), 0)</f>
        <v>0</v>
      </c>
      <c r="K470" s="10">
        <f t="shared" si="20"/>
        <v>0</v>
      </c>
      <c r="N470" s="9" t="str">
        <f t="shared" si="21"/>
        <v/>
      </c>
      <c r="O470" s="9" t="str">
        <f>IF(N470="","",IF(COUNTIF(Precios!$G:$G,N470)=0,"⚠ No coincide con Precios","OK"))</f>
        <v/>
      </c>
    </row>
    <row r="471" spans="3:15" x14ac:dyDescent="0.2">
      <c r="C471" s="9" cm="1">
        <f t="array" ref="C471">IFERROR(_xlfn.XLOOKUP(B471,Personal!$A:$A,Personal!$D:$D,""),"")</f>
        <v>0</v>
      </c>
      <c r="D471" s="9" cm="1">
        <f t="array" ref="D471">IFERROR(_xlfn.XLOOKUP(B471,Personal!$A:$A,Personal!$C:$C,""),"")</f>
        <v>0</v>
      </c>
      <c r="E471" s="9" t="str" cm="1">
        <f t="array" ref="E471">IFERROR(_xlfn.XLOOKUP(D471,Locales!$A:$A,Locales!$B:$B,""),"")</f>
        <v/>
      </c>
      <c r="F471" s="9" cm="1">
        <f t="array" ref="F471">IFERROR(_xlfn.XLOOKUP(B471,Personal!$A:$A,Personal!$F:$F,""),"")</f>
        <v>0</v>
      </c>
      <c r="I471" s="10" cm="1">
        <f t="array" ref="I471">IFERROR(INDEX(Precios!$D:$F,MATCH(N471, Precios!$G:$G, 0),CHOOSE(MATCH(H471, {"SML";"XL";"XXL"}, 0), 1, 2, 3)), 0)</f>
        <v>0</v>
      </c>
      <c r="K471" s="10">
        <f t="shared" si="20"/>
        <v>0</v>
      </c>
      <c r="N471" s="9" t="str">
        <f t="shared" si="21"/>
        <v/>
      </c>
      <c r="O471" s="9" t="str">
        <f>IF(N471="","",IF(COUNTIF(Precios!$G:$G,N471)=0,"⚠ No coincide con Precios","OK"))</f>
        <v/>
      </c>
    </row>
    <row r="472" spans="3:15" x14ac:dyDescent="0.2">
      <c r="C472" s="9" cm="1">
        <f t="array" ref="C472">IFERROR(_xlfn.XLOOKUP(B472,Personal!$A:$A,Personal!$D:$D,""),"")</f>
        <v>0</v>
      </c>
      <c r="D472" s="9" cm="1">
        <f t="array" ref="D472">IFERROR(_xlfn.XLOOKUP(B472,Personal!$A:$A,Personal!$C:$C,""),"")</f>
        <v>0</v>
      </c>
      <c r="E472" s="9" t="str" cm="1">
        <f t="array" ref="E472">IFERROR(_xlfn.XLOOKUP(D472,Locales!$A:$A,Locales!$B:$B,""),"")</f>
        <v/>
      </c>
      <c r="F472" s="9" cm="1">
        <f t="array" ref="F472">IFERROR(_xlfn.XLOOKUP(B472,Personal!$A:$A,Personal!$F:$F,""),"")</f>
        <v>0</v>
      </c>
      <c r="I472" s="10" cm="1">
        <f t="array" ref="I472">IFERROR(INDEX(Precios!$D:$F,MATCH(N472, Precios!$G:$G, 0),CHOOSE(MATCH(H472, {"SML";"XL";"XXL"}, 0), 1, 2, 3)), 0)</f>
        <v>0</v>
      </c>
      <c r="K472" s="10">
        <f t="shared" si="20"/>
        <v>0</v>
      </c>
      <c r="N472" s="9" t="str">
        <f t="shared" si="21"/>
        <v/>
      </c>
      <c r="O472" s="9" t="str">
        <f>IF(N472="","",IF(COUNTIF(Precios!$G:$G,N472)=0,"⚠ No coincide con Precios","OK"))</f>
        <v/>
      </c>
    </row>
    <row r="473" spans="3:15" x14ac:dyDescent="0.2">
      <c r="C473" s="9" cm="1">
        <f t="array" ref="C473">IFERROR(_xlfn.XLOOKUP(B473,Personal!$A:$A,Personal!$D:$D,""),"")</f>
        <v>0</v>
      </c>
      <c r="D473" s="9" cm="1">
        <f t="array" ref="D473">IFERROR(_xlfn.XLOOKUP(B473,Personal!$A:$A,Personal!$C:$C,""),"")</f>
        <v>0</v>
      </c>
      <c r="E473" s="9" t="str" cm="1">
        <f t="array" ref="E473">IFERROR(_xlfn.XLOOKUP(D473,Locales!$A:$A,Locales!$B:$B,""),"")</f>
        <v/>
      </c>
      <c r="F473" s="9" cm="1">
        <f t="array" ref="F473">IFERROR(_xlfn.XLOOKUP(B473,Personal!$A:$A,Personal!$F:$F,""),"")</f>
        <v>0</v>
      </c>
      <c r="I473" s="10" cm="1">
        <f t="array" ref="I473">IFERROR(INDEX(Precios!$D:$F,MATCH(N473, Precios!$G:$G, 0),CHOOSE(MATCH(H473, {"SML";"XL";"XXL"}, 0), 1, 2, 3)), 0)</f>
        <v>0</v>
      </c>
      <c r="K473" s="10">
        <f t="shared" si="20"/>
        <v>0</v>
      </c>
      <c r="N473" s="9" t="str">
        <f t="shared" si="21"/>
        <v/>
      </c>
      <c r="O473" s="9" t="str">
        <f>IF(N473="","",IF(COUNTIF(Precios!$G:$G,N473)=0,"⚠ No coincide con Precios","OK"))</f>
        <v/>
      </c>
    </row>
    <row r="474" spans="3:15" x14ac:dyDescent="0.2">
      <c r="C474" s="9" cm="1">
        <f t="array" ref="C474">IFERROR(_xlfn.XLOOKUP(B474,Personal!$A:$A,Personal!$D:$D,""),"")</f>
        <v>0</v>
      </c>
      <c r="D474" s="9" cm="1">
        <f t="array" ref="D474">IFERROR(_xlfn.XLOOKUP(B474,Personal!$A:$A,Personal!$C:$C,""),"")</f>
        <v>0</v>
      </c>
      <c r="E474" s="9" t="str" cm="1">
        <f t="array" ref="E474">IFERROR(_xlfn.XLOOKUP(D474,Locales!$A:$A,Locales!$B:$B,""),"")</f>
        <v/>
      </c>
      <c r="F474" s="9" cm="1">
        <f t="array" ref="F474">IFERROR(_xlfn.XLOOKUP(B474,Personal!$A:$A,Personal!$F:$F,""),"")</f>
        <v>0</v>
      </c>
      <c r="I474" s="10" cm="1">
        <f t="array" ref="I474">IFERROR(INDEX(Precios!$D:$F,MATCH(N474, Precios!$G:$G, 0),CHOOSE(MATCH(H474, {"SML";"XL";"XXL"}, 0), 1, 2, 3)), 0)</f>
        <v>0</v>
      </c>
      <c r="K474" s="10">
        <f t="shared" si="20"/>
        <v>0</v>
      </c>
      <c r="N474" s="9" t="str">
        <f t="shared" si="21"/>
        <v/>
      </c>
      <c r="O474" s="9" t="str">
        <f>IF(N474="","",IF(COUNTIF(Precios!$G:$G,N474)=0,"⚠ No coincide con Precios","OK"))</f>
        <v/>
      </c>
    </row>
    <row r="475" spans="3:15" x14ac:dyDescent="0.2">
      <c r="C475" s="9" cm="1">
        <f t="array" ref="C475">IFERROR(_xlfn.XLOOKUP(B475,Personal!$A:$A,Personal!$D:$D,""),"")</f>
        <v>0</v>
      </c>
      <c r="D475" s="9" cm="1">
        <f t="array" ref="D475">IFERROR(_xlfn.XLOOKUP(B475,Personal!$A:$A,Personal!$C:$C,""),"")</f>
        <v>0</v>
      </c>
      <c r="E475" s="9" t="str" cm="1">
        <f t="array" ref="E475">IFERROR(_xlfn.XLOOKUP(D475,Locales!$A:$A,Locales!$B:$B,""),"")</f>
        <v/>
      </c>
      <c r="F475" s="9" cm="1">
        <f t="array" ref="F475">IFERROR(_xlfn.XLOOKUP(B475,Personal!$A:$A,Personal!$F:$F,""),"")</f>
        <v>0</v>
      </c>
      <c r="I475" s="10" cm="1">
        <f t="array" ref="I475">IFERROR(INDEX(Precios!$D:$F,MATCH(N475, Precios!$G:$G, 0),CHOOSE(MATCH(H475, {"SML";"XL";"XXL"}, 0), 1, 2, 3)), 0)</f>
        <v>0</v>
      </c>
      <c r="K475" s="10">
        <f t="shared" si="20"/>
        <v>0</v>
      </c>
      <c r="N475" s="9" t="str">
        <f t="shared" si="21"/>
        <v/>
      </c>
      <c r="O475" s="9" t="str">
        <f>IF(N475="","",IF(COUNTIF(Precios!$G:$G,N475)=0,"⚠ No coincide con Precios","OK"))</f>
        <v/>
      </c>
    </row>
    <row r="476" spans="3:15" x14ac:dyDescent="0.2">
      <c r="C476" s="9" cm="1">
        <f t="array" ref="C476">IFERROR(_xlfn.XLOOKUP(B476,Personal!$A:$A,Personal!$D:$D,""),"")</f>
        <v>0</v>
      </c>
      <c r="D476" s="9" cm="1">
        <f t="array" ref="D476">IFERROR(_xlfn.XLOOKUP(B476,Personal!$A:$A,Personal!$C:$C,""),"")</f>
        <v>0</v>
      </c>
      <c r="E476" s="9" t="str" cm="1">
        <f t="array" ref="E476">IFERROR(_xlfn.XLOOKUP(D476,Locales!$A:$A,Locales!$B:$B,""),"")</f>
        <v/>
      </c>
      <c r="F476" s="9" cm="1">
        <f t="array" ref="F476">IFERROR(_xlfn.XLOOKUP(B476,Personal!$A:$A,Personal!$F:$F,""),"")</f>
        <v>0</v>
      </c>
      <c r="I476" s="10" cm="1">
        <f t="array" ref="I476">IFERROR(INDEX(Precios!$D:$F,MATCH(N476, Precios!$G:$G, 0),CHOOSE(MATCH(H476, {"SML";"XL";"XXL"}, 0), 1, 2, 3)), 0)</f>
        <v>0</v>
      </c>
      <c r="K476" s="10">
        <f t="shared" si="20"/>
        <v>0</v>
      </c>
      <c r="N476" s="9" t="str">
        <f t="shared" si="21"/>
        <v/>
      </c>
      <c r="O476" s="9" t="str">
        <f>IF(N476="","",IF(COUNTIF(Precios!$G:$G,N476)=0,"⚠ No coincide con Precios","OK"))</f>
        <v/>
      </c>
    </row>
    <row r="477" spans="3:15" x14ac:dyDescent="0.2">
      <c r="C477" s="9" cm="1">
        <f t="array" ref="C477">IFERROR(_xlfn.XLOOKUP(B477,Personal!$A:$A,Personal!$D:$D,""),"")</f>
        <v>0</v>
      </c>
      <c r="D477" s="9" cm="1">
        <f t="array" ref="D477">IFERROR(_xlfn.XLOOKUP(B477,Personal!$A:$A,Personal!$C:$C,""),"")</f>
        <v>0</v>
      </c>
      <c r="E477" s="9" t="str" cm="1">
        <f t="array" ref="E477">IFERROR(_xlfn.XLOOKUP(D477,Locales!$A:$A,Locales!$B:$B,""),"")</f>
        <v/>
      </c>
      <c r="F477" s="9" cm="1">
        <f t="array" ref="F477">IFERROR(_xlfn.XLOOKUP(B477,Personal!$A:$A,Personal!$F:$F,""),"")</f>
        <v>0</v>
      </c>
      <c r="I477" s="10" cm="1">
        <f t="array" ref="I477">IFERROR(INDEX(Precios!$D:$F,MATCH(N477, Precios!$G:$G, 0),CHOOSE(MATCH(H477, {"SML";"XL";"XXL"}, 0), 1, 2, 3)), 0)</f>
        <v>0</v>
      </c>
      <c r="K477" s="10">
        <f t="shared" si="20"/>
        <v>0</v>
      </c>
      <c r="N477" s="9" t="str">
        <f t="shared" si="21"/>
        <v/>
      </c>
      <c r="O477" s="9" t="str">
        <f>IF(N477="","",IF(COUNTIF(Precios!$G:$G,N477)=0,"⚠ No coincide con Precios","OK"))</f>
        <v/>
      </c>
    </row>
    <row r="478" spans="3:15" x14ac:dyDescent="0.2">
      <c r="C478" s="9" cm="1">
        <f t="array" ref="C478">IFERROR(_xlfn.XLOOKUP(B478,Personal!$A:$A,Personal!$D:$D,""),"")</f>
        <v>0</v>
      </c>
      <c r="D478" s="9" cm="1">
        <f t="array" ref="D478">IFERROR(_xlfn.XLOOKUP(B478,Personal!$A:$A,Personal!$C:$C,""),"")</f>
        <v>0</v>
      </c>
      <c r="E478" s="9" t="str" cm="1">
        <f t="array" ref="E478">IFERROR(_xlfn.XLOOKUP(D478,Locales!$A:$A,Locales!$B:$B,""),"")</f>
        <v/>
      </c>
      <c r="F478" s="9" cm="1">
        <f t="array" ref="F478">IFERROR(_xlfn.XLOOKUP(B478,Personal!$A:$A,Personal!$F:$F,""),"")</f>
        <v>0</v>
      </c>
      <c r="I478" s="10" cm="1">
        <f t="array" ref="I478">IFERROR(INDEX(Precios!$D:$F,MATCH(N478, Precios!$G:$G, 0),CHOOSE(MATCH(H478, {"SML";"XL";"XXL"}, 0), 1, 2, 3)), 0)</f>
        <v>0</v>
      </c>
      <c r="K478" s="10">
        <f t="shared" si="20"/>
        <v>0</v>
      </c>
      <c r="N478" s="9" t="str">
        <f t="shared" si="21"/>
        <v/>
      </c>
      <c r="O478" s="9" t="str">
        <f>IF(N478="","",IF(COUNTIF(Precios!$G:$G,N478)=0,"⚠ No coincide con Precios","OK"))</f>
        <v/>
      </c>
    </row>
    <row r="479" spans="3:15" x14ac:dyDescent="0.2">
      <c r="C479" s="9" cm="1">
        <f t="array" ref="C479">IFERROR(_xlfn.XLOOKUP(B479,Personal!$A:$A,Personal!$D:$D,""),"")</f>
        <v>0</v>
      </c>
      <c r="D479" s="9" cm="1">
        <f t="array" ref="D479">IFERROR(_xlfn.XLOOKUP(B479,Personal!$A:$A,Personal!$C:$C,""),"")</f>
        <v>0</v>
      </c>
      <c r="E479" s="9" t="str" cm="1">
        <f t="array" ref="E479">IFERROR(_xlfn.XLOOKUP(D479,Locales!$A:$A,Locales!$B:$B,""),"")</f>
        <v/>
      </c>
      <c r="F479" s="9" cm="1">
        <f t="array" ref="F479">IFERROR(_xlfn.XLOOKUP(B479,Personal!$A:$A,Personal!$F:$F,""),"")</f>
        <v>0</v>
      </c>
      <c r="I479" s="10" cm="1">
        <f t="array" ref="I479">IFERROR(INDEX(Precios!$D:$F,MATCH(N479, Precios!$G:$G, 0),CHOOSE(MATCH(H479, {"SML";"XL";"XXL"}, 0), 1, 2, 3)), 0)</f>
        <v>0</v>
      </c>
      <c r="K479" s="10">
        <f t="shared" si="20"/>
        <v>0</v>
      </c>
      <c r="N479" s="9" t="str">
        <f t="shared" si="21"/>
        <v/>
      </c>
      <c r="O479" s="9" t="str">
        <f>IF(N479="","",IF(COUNTIF(Precios!$G:$G,N479)=0,"⚠ No coincide con Precios","OK"))</f>
        <v/>
      </c>
    </row>
    <row r="480" spans="3:15" x14ac:dyDescent="0.2">
      <c r="C480" s="9" cm="1">
        <f t="array" ref="C480">IFERROR(_xlfn.XLOOKUP(B480,Personal!$A:$A,Personal!$D:$D,""),"")</f>
        <v>0</v>
      </c>
      <c r="D480" s="9" cm="1">
        <f t="array" ref="D480">IFERROR(_xlfn.XLOOKUP(B480,Personal!$A:$A,Personal!$C:$C,""),"")</f>
        <v>0</v>
      </c>
      <c r="E480" s="9" t="str" cm="1">
        <f t="array" ref="E480">IFERROR(_xlfn.XLOOKUP(D480,Locales!$A:$A,Locales!$B:$B,""),"")</f>
        <v/>
      </c>
      <c r="F480" s="9" cm="1">
        <f t="array" ref="F480">IFERROR(_xlfn.XLOOKUP(B480,Personal!$A:$A,Personal!$F:$F,""),"")</f>
        <v>0</v>
      </c>
      <c r="I480" s="10" cm="1">
        <f t="array" ref="I480">IFERROR(INDEX(Precios!$D:$F,MATCH(N480, Precios!$G:$G, 0),CHOOSE(MATCH(H480, {"SML";"XL";"XXL"}, 0), 1, 2, 3)), 0)</f>
        <v>0</v>
      </c>
      <c r="K480" s="10">
        <f t="shared" si="20"/>
        <v>0</v>
      </c>
      <c r="N480" s="9" t="str">
        <f t="shared" si="21"/>
        <v/>
      </c>
      <c r="O480" s="9" t="str">
        <f>IF(N480="","",IF(COUNTIF(Precios!$G:$G,N480)=0,"⚠ No coincide con Precios","OK"))</f>
        <v/>
      </c>
    </row>
    <row r="481" spans="3:15" x14ac:dyDescent="0.2">
      <c r="C481" s="9" cm="1">
        <f t="array" ref="C481">IFERROR(_xlfn.XLOOKUP(B481,Personal!$A:$A,Personal!$D:$D,""),"")</f>
        <v>0</v>
      </c>
      <c r="D481" s="9" cm="1">
        <f t="array" ref="D481">IFERROR(_xlfn.XLOOKUP(B481,Personal!$A:$A,Personal!$C:$C,""),"")</f>
        <v>0</v>
      </c>
      <c r="E481" s="9" t="str" cm="1">
        <f t="array" ref="E481">IFERROR(_xlfn.XLOOKUP(D481,Locales!$A:$A,Locales!$B:$B,""),"")</f>
        <v/>
      </c>
      <c r="F481" s="9" cm="1">
        <f t="array" ref="F481">IFERROR(_xlfn.XLOOKUP(B481,Personal!$A:$A,Personal!$F:$F,""),"")</f>
        <v>0</v>
      </c>
      <c r="I481" s="10" cm="1">
        <f t="array" ref="I481">IFERROR(INDEX(Precios!$D:$F,MATCH(N481, Precios!$G:$G, 0),CHOOSE(MATCH(H481, {"SML";"XL";"XXL"}, 0), 1, 2, 3)), 0)</f>
        <v>0</v>
      </c>
      <c r="K481" s="10">
        <f t="shared" si="20"/>
        <v>0</v>
      </c>
      <c r="N481" s="9" t="str">
        <f t="shared" si="21"/>
        <v/>
      </c>
      <c r="O481" s="9" t="str">
        <f>IF(N481="","",IF(COUNTIF(Precios!$G:$G,N481)=0,"⚠ No coincide con Precios","OK"))</f>
        <v/>
      </c>
    </row>
    <row r="482" spans="3:15" x14ac:dyDescent="0.2">
      <c r="C482" s="9" cm="1">
        <f t="array" ref="C482">IFERROR(_xlfn.XLOOKUP(B482,Personal!$A:$A,Personal!$D:$D,""),"")</f>
        <v>0</v>
      </c>
      <c r="D482" s="9" cm="1">
        <f t="array" ref="D482">IFERROR(_xlfn.XLOOKUP(B482,Personal!$A:$A,Personal!$C:$C,""),"")</f>
        <v>0</v>
      </c>
      <c r="E482" s="9" t="str" cm="1">
        <f t="array" ref="E482">IFERROR(_xlfn.XLOOKUP(D482,Locales!$A:$A,Locales!$B:$B,""),"")</f>
        <v/>
      </c>
      <c r="F482" s="9" cm="1">
        <f t="array" ref="F482">IFERROR(_xlfn.XLOOKUP(B482,Personal!$A:$A,Personal!$F:$F,""),"")</f>
        <v>0</v>
      </c>
      <c r="I482" s="10" cm="1">
        <f t="array" ref="I482">IFERROR(INDEX(Precios!$D:$F,MATCH(N482, Precios!$G:$G, 0),CHOOSE(MATCH(H482, {"SML";"XL";"XXL"}, 0), 1, 2, 3)), 0)</f>
        <v>0</v>
      </c>
      <c r="K482" s="10">
        <f t="shared" si="20"/>
        <v>0</v>
      </c>
      <c r="N482" s="9" t="str">
        <f t="shared" si="21"/>
        <v/>
      </c>
      <c r="O482" s="9" t="str">
        <f>IF(N482="","",IF(COUNTIF(Precios!$G:$G,N482)=0,"⚠ No coincide con Precios","OK"))</f>
        <v/>
      </c>
    </row>
    <row r="483" spans="3:15" x14ac:dyDescent="0.2">
      <c r="C483" s="9" cm="1">
        <f t="array" ref="C483">IFERROR(_xlfn.XLOOKUP(B483,Personal!$A:$A,Personal!$D:$D,""),"")</f>
        <v>0</v>
      </c>
      <c r="D483" s="9" cm="1">
        <f t="array" ref="D483">IFERROR(_xlfn.XLOOKUP(B483,Personal!$A:$A,Personal!$C:$C,""),"")</f>
        <v>0</v>
      </c>
      <c r="E483" s="9" t="str" cm="1">
        <f t="array" ref="E483">IFERROR(_xlfn.XLOOKUP(D483,Locales!$A:$A,Locales!$B:$B,""),"")</f>
        <v/>
      </c>
      <c r="F483" s="9" cm="1">
        <f t="array" ref="F483">IFERROR(_xlfn.XLOOKUP(B483,Personal!$A:$A,Personal!$F:$F,""),"")</f>
        <v>0</v>
      </c>
      <c r="I483" s="10" cm="1">
        <f t="array" ref="I483">IFERROR(INDEX(Precios!$D:$F,MATCH(N483, Precios!$G:$G, 0),CHOOSE(MATCH(H483, {"SML";"XL";"XXL"}, 0), 1, 2, 3)), 0)</f>
        <v>0</v>
      </c>
      <c r="K483" s="10">
        <f t="shared" si="20"/>
        <v>0</v>
      </c>
      <c r="N483" s="9" t="str">
        <f t="shared" si="21"/>
        <v/>
      </c>
      <c r="O483" s="9" t="str">
        <f>IF(N483="","",IF(COUNTIF(Precios!$G:$G,N483)=0,"⚠ No coincide con Precios","OK"))</f>
        <v/>
      </c>
    </row>
    <row r="484" spans="3:15" x14ac:dyDescent="0.2">
      <c r="C484" s="9" cm="1">
        <f t="array" ref="C484">IFERROR(_xlfn.XLOOKUP(B484,Personal!$A:$A,Personal!$D:$D,""),"")</f>
        <v>0</v>
      </c>
      <c r="D484" s="9" cm="1">
        <f t="array" ref="D484">IFERROR(_xlfn.XLOOKUP(B484,Personal!$A:$A,Personal!$C:$C,""),"")</f>
        <v>0</v>
      </c>
      <c r="E484" s="9" t="str" cm="1">
        <f t="array" ref="E484">IFERROR(_xlfn.XLOOKUP(D484,Locales!$A:$A,Locales!$B:$B,""),"")</f>
        <v/>
      </c>
      <c r="F484" s="9" cm="1">
        <f t="array" ref="F484">IFERROR(_xlfn.XLOOKUP(B484,Personal!$A:$A,Personal!$F:$F,""),"")</f>
        <v>0</v>
      </c>
      <c r="I484" s="10" cm="1">
        <f t="array" ref="I484">IFERROR(INDEX(Precios!$D:$F,MATCH(N484, Precios!$G:$G, 0),CHOOSE(MATCH(H484, {"SML";"XL";"XXL"}, 0), 1, 2, 3)), 0)</f>
        <v>0</v>
      </c>
      <c r="K484" s="10">
        <f t="shared" si="20"/>
        <v>0</v>
      </c>
      <c r="N484" s="9" t="str">
        <f t="shared" si="21"/>
        <v/>
      </c>
      <c r="O484" s="9" t="str">
        <f>IF(N484="","",IF(COUNTIF(Precios!$G:$G,N484)=0,"⚠ No coincide con Precios","OK"))</f>
        <v/>
      </c>
    </row>
    <row r="485" spans="3:15" x14ac:dyDescent="0.2">
      <c r="C485" s="9" cm="1">
        <f t="array" ref="C485">IFERROR(_xlfn.XLOOKUP(B485,Personal!$A:$A,Personal!$D:$D,""),"")</f>
        <v>0</v>
      </c>
      <c r="D485" s="9" cm="1">
        <f t="array" ref="D485">IFERROR(_xlfn.XLOOKUP(B485,Personal!$A:$A,Personal!$C:$C,""),"")</f>
        <v>0</v>
      </c>
      <c r="E485" s="9" t="str" cm="1">
        <f t="array" ref="E485">IFERROR(_xlfn.XLOOKUP(D485,Locales!$A:$A,Locales!$B:$B,""),"")</f>
        <v/>
      </c>
      <c r="F485" s="9" cm="1">
        <f t="array" ref="F485">IFERROR(_xlfn.XLOOKUP(B485,Personal!$A:$A,Personal!$F:$F,""),"")</f>
        <v>0</v>
      </c>
      <c r="I485" s="10" cm="1">
        <f t="array" ref="I485">IFERROR(INDEX(Precios!$D:$F,MATCH(N485, Precios!$G:$G, 0),CHOOSE(MATCH(H485, {"SML";"XL";"XXL"}, 0), 1, 2, 3)), 0)</f>
        <v>0</v>
      </c>
      <c r="K485" s="10">
        <f t="shared" si="20"/>
        <v>0</v>
      </c>
      <c r="N485" s="9" t="str">
        <f t="shared" si="21"/>
        <v/>
      </c>
      <c r="O485" s="9" t="str">
        <f>IF(N485="","",IF(COUNTIF(Precios!$G:$G,N485)=0,"⚠ No coincide con Precios","OK"))</f>
        <v/>
      </c>
    </row>
    <row r="486" spans="3:15" x14ac:dyDescent="0.2">
      <c r="C486" s="9" cm="1">
        <f t="array" ref="C486">IFERROR(_xlfn.XLOOKUP(B486,Personal!$A:$A,Personal!$D:$D,""),"")</f>
        <v>0</v>
      </c>
      <c r="D486" s="9" cm="1">
        <f t="array" ref="D486">IFERROR(_xlfn.XLOOKUP(B486,Personal!$A:$A,Personal!$C:$C,""),"")</f>
        <v>0</v>
      </c>
      <c r="E486" s="9" t="str" cm="1">
        <f t="array" ref="E486">IFERROR(_xlfn.XLOOKUP(D486,Locales!$A:$A,Locales!$B:$B,""),"")</f>
        <v/>
      </c>
      <c r="F486" s="9" cm="1">
        <f t="array" ref="F486">IFERROR(_xlfn.XLOOKUP(B486,Personal!$A:$A,Personal!$F:$F,""),"")</f>
        <v>0</v>
      </c>
      <c r="I486" s="10" cm="1">
        <f t="array" ref="I486">IFERROR(INDEX(Precios!$D:$F,MATCH(N486, Precios!$G:$G, 0),CHOOSE(MATCH(H486, {"SML";"XL";"XXL"}, 0), 1, 2, 3)), 0)</f>
        <v>0</v>
      </c>
      <c r="K486" s="10">
        <f t="shared" si="20"/>
        <v>0</v>
      </c>
      <c r="N486" s="9" t="str">
        <f t="shared" si="21"/>
        <v/>
      </c>
      <c r="O486" s="9" t="str">
        <f>IF(N486="","",IF(COUNTIF(Precios!$G:$G,N486)=0,"⚠ No coincide con Precios","OK"))</f>
        <v/>
      </c>
    </row>
    <row r="487" spans="3:15" x14ac:dyDescent="0.2">
      <c r="C487" s="9" cm="1">
        <f t="array" ref="C487">IFERROR(_xlfn.XLOOKUP(B487,Personal!$A:$A,Personal!$D:$D,""),"")</f>
        <v>0</v>
      </c>
      <c r="D487" s="9" cm="1">
        <f t="array" ref="D487">IFERROR(_xlfn.XLOOKUP(B487,Personal!$A:$A,Personal!$C:$C,""),"")</f>
        <v>0</v>
      </c>
      <c r="E487" s="9" t="str" cm="1">
        <f t="array" ref="E487">IFERROR(_xlfn.XLOOKUP(D487,Locales!$A:$A,Locales!$B:$B,""),"")</f>
        <v/>
      </c>
      <c r="F487" s="9" cm="1">
        <f t="array" ref="F487">IFERROR(_xlfn.XLOOKUP(B487,Personal!$A:$A,Personal!$F:$F,""),"")</f>
        <v>0</v>
      </c>
      <c r="I487" s="10" cm="1">
        <f t="array" ref="I487">IFERROR(INDEX(Precios!$D:$F,MATCH(N487, Precios!$G:$G, 0),CHOOSE(MATCH(H487, {"SML";"XL";"XXL"}, 0), 1, 2, 3)), 0)</f>
        <v>0</v>
      </c>
      <c r="K487" s="10">
        <f t="shared" si="20"/>
        <v>0</v>
      </c>
      <c r="N487" s="9" t="str">
        <f t="shared" si="21"/>
        <v/>
      </c>
      <c r="O487" s="9" t="str">
        <f>IF(N487="","",IF(COUNTIF(Precios!$G:$G,N487)=0,"⚠ No coincide con Precios","OK"))</f>
        <v/>
      </c>
    </row>
    <row r="488" spans="3:15" x14ac:dyDescent="0.2">
      <c r="C488" s="9" cm="1">
        <f t="array" ref="C488">IFERROR(_xlfn.XLOOKUP(B488,Personal!$A:$A,Personal!$D:$D,""),"")</f>
        <v>0</v>
      </c>
      <c r="D488" s="9" cm="1">
        <f t="array" ref="D488">IFERROR(_xlfn.XLOOKUP(B488,Personal!$A:$A,Personal!$C:$C,""),"")</f>
        <v>0</v>
      </c>
      <c r="E488" s="9" t="str" cm="1">
        <f t="array" ref="E488">IFERROR(_xlfn.XLOOKUP(D488,Locales!$A:$A,Locales!$B:$B,""),"")</f>
        <v/>
      </c>
      <c r="F488" s="9" cm="1">
        <f t="array" ref="F488">IFERROR(_xlfn.XLOOKUP(B488,Personal!$A:$A,Personal!$F:$F,""),"")</f>
        <v>0</v>
      </c>
      <c r="I488" s="10" cm="1">
        <f t="array" ref="I488">IFERROR(INDEX(Precios!$D:$F,MATCH(N488, Precios!$G:$G, 0),CHOOSE(MATCH(H488, {"SML";"XL";"XXL"}, 0), 1, 2, 3)), 0)</f>
        <v>0</v>
      </c>
      <c r="K488" s="10">
        <f t="shared" si="20"/>
        <v>0</v>
      </c>
      <c r="N488" s="9" t="str">
        <f t="shared" si="21"/>
        <v/>
      </c>
      <c r="O488" s="9" t="str">
        <f>IF(N488="","",IF(COUNTIF(Precios!$G:$G,N488)=0,"⚠ No coincide con Precios","OK"))</f>
        <v/>
      </c>
    </row>
    <row r="489" spans="3:15" x14ac:dyDescent="0.2">
      <c r="C489" s="9" cm="1">
        <f t="array" ref="C489">IFERROR(_xlfn.XLOOKUP(B489,Personal!$A:$A,Personal!$D:$D,""),"")</f>
        <v>0</v>
      </c>
      <c r="D489" s="9" cm="1">
        <f t="array" ref="D489">IFERROR(_xlfn.XLOOKUP(B489,Personal!$A:$A,Personal!$C:$C,""),"")</f>
        <v>0</v>
      </c>
      <c r="E489" s="9" t="str" cm="1">
        <f t="array" ref="E489">IFERROR(_xlfn.XLOOKUP(D489,Locales!$A:$A,Locales!$B:$B,""),"")</f>
        <v/>
      </c>
      <c r="F489" s="9" cm="1">
        <f t="array" ref="F489">IFERROR(_xlfn.XLOOKUP(B489,Personal!$A:$A,Personal!$F:$F,""),"")</f>
        <v>0</v>
      </c>
      <c r="I489" s="10" cm="1">
        <f t="array" ref="I489">IFERROR(INDEX(Precios!$D:$F,MATCH(N489, Precios!$G:$G, 0),CHOOSE(MATCH(H489, {"SML";"XL";"XXL"}, 0), 1, 2, 3)), 0)</f>
        <v>0</v>
      </c>
      <c r="K489" s="10">
        <f t="shared" si="20"/>
        <v>0</v>
      </c>
      <c r="N489" s="9" t="str">
        <f t="shared" si="21"/>
        <v/>
      </c>
      <c r="O489" s="9" t="str">
        <f>IF(N489="","",IF(COUNTIF(Precios!$G:$G,N489)=0,"⚠ No coincide con Precios","OK"))</f>
        <v/>
      </c>
    </row>
    <row r="490" spans="3:15" x14ac:dyDescent="0.2">
      <c r="C490" s="9" cm="1">
        <f t="array" ref="C490">IFERROR(_xlfn.XLOOKUP(B490,Personal!$A:$A,Personal!$D:$D,""),"")</f>
        <v>0</v>
      </c>
      <c r="D490" s="9" cm="1">
        <f t="array" ref="D490">IFERROR(_xlfn.XLOOKUP(B490,Personal!$A:$A,Personal!$C:$C,""),"")</f>
        <v>0</v>
      </c>
      <c r="E490" s="9" t="str" cm="1">
        <f t="array" ref="E490">IFERROR(_xlfn.XLOOKUP(D490,Locales!$A:$A,Locales!$B:$B,""),"")</f>
        <v/>
      </c>
      <c r="F490" s="9" cm="1">
        <f t="array" ref="F490">IFERROR(_xlfn.XLOOKUP(B490,Personal!$A:$A,Personal!$F:$F,""),"")</f>
        <v>0</v>
      </c>
      <c r="I490" s="10" cm="1">
        <f t="array" ref="I490">IFERROR(INDEX(Precios!$D:$F,MATCH(N490, Precios!$G:$G, 0),CHOOSE(MATCH(H490, {"SML";"XL";"XXL"}, 0), 1, 2, 3)), 0)</f>
        <v>0</v>
      </c>
      <c r="K490" s="10">
        <f t="shared" si="20"/>
        <v>0</v>
      </c>
      <c r="N490" s="9" t="str">
        <f t="shared" si="21"/>
        <v/>
      </c>
      <c r="O490" s="9" t="str">
        <f>IF(N490="","",IF(COUNTIF(Precios!$G:$G,N490)=0,"⚠ No coincide con Precios","OK"))</f>
        <v/>
      </c>
    </row>
    <row r="491" spans="3:15" x14ac:dyDescent="0.2">
      <c r="C491" s="9" cm="1">
        <f t="array" ref="C491">IFERROR(_xlfn.XLOOKUP(B491,Personal!$A:$A,Personal!$D:$D,""),"")</f>
        <v>0</v>
      </c>
      <c r="D491" s="9" cm="1">
        <f t="array" ref="D491">IFERROR(_xlfn.XLOOKUP(B491,Personal!$A:$A,Personal!$C:$C,""),"")</f>
        <v>0</v>
      </c>
      <c r="E491" s="9" t="str" cm="1">
        <f t="array" ref="E491">IFERROR(_xlfn.XLOOKUP(D491,Locales!$A:$A,Locales!$B:$B,""),"")</f>
        <v/>
      </c>
      <c r="F491" s="9" cm="1">
        <f t="array" ref="F491">IFERROR(_xlfn.XLOOKUP(B491,Personal!$A:$A,Personal!$F:$F,""),"")</f>
        <v>0</v>
      </c>
      <c r="I491" s="10" cm="1">
        <f t="array" ref="I491">IFERROR(INDEX(Precios!$D:$F,MATCH(N491, Precios!$G:$G, 0),CHOOSE(MATCH(H491, {"SML";"XL";"XXL"}, 0), 1, 2, 3)), 0)</f>
        <v>0</v>
      </c>
      <c r="K491" s="10">
        <f t="shared" si="20"/>
        <v>0</v>
      </c>
      <c r="N491" s="9" t="str">
        <f t="shared" si="21"/>
        <v/>
      </c>
      <c r="O491" s="9" t="str">
        <f>IF(N491="","",IF(COUNTIF(Precios!$G:$G,N491)=0,"⚠ No coincide con Precios","OK"))</f>
        <v/>
      </c>
    </row>
    <row r="492" spans="3:15" x14ac:dyDescent="0.2">
      <c r="C492" s="9" cm="1">
        <f t="array" ref="C492">IFERROR(_xlfn.XLOOKUP(B492,Personal!$A:$A,Personal!$D:$D,""),"")</f>
        <v>0</v>
      </c>
      <c r="D492" s="9" cm="1">
        <f t="array" ref="D492">IFERROR(_xlfn.XLOOKUP(B492,Personal!$A:$A,Personal!$C:$C,""),"")</f>
        <v>0</v>
      </c>
      <c r="E492" s="9" t="str" cm="1">
        <f t="array" ref="E492">IFERROR(_xlfn.XLOOKUP(D492,Locales!$A:$A,Locales!$B:$B,""),"")</f>
        <v/>
      </c>
      <c r="F492" s="9" cm="1">
        <f t="array" ref="F492">IFERROR(_xlfn.XLOOKUP(B492,Personal!$A:$A,Personal!$F:$F,""),"")</f>
        <v>0</v>
      </c>
      <c r="I492" s="10" cm="1">
        <f t="array" ref="I492">IFERROR(INDEX(Precios!$D:$F,MATCH(N492, Precios!$G:$G, 0),CHOOSE(MATCH(H492, {"SML";"XL";"XXL"}, 0), 1, 2, 3)), 0)</f>
        <v>0</v>
      </c>
      <c r="K492" s="10">
        <f t="shared" si="20"/>
        <v>0</v>
      </c>
      <c r="N492" s="9" t="str">
        <f t="shared" si="21"/>
        <v/>
      </c>
      <c r="O492" s="9" t="str">
        <f>IF(N492="","",IF(COUNTIF(Precios!$G:$G,N492)=0,"⚠ No coincide con Precios","OK"))</f>
        <v/>
      </c>
    </row>
    <row r="493" spans="3:15" x14ac:dyDescent="0.2">
      <c r="C493" s="9" cm="1">
        <f t="array" ref="C493">IFERROR(_xlfn.XLOOKUP(B493,Personal!$A:$A,Personal!$D:$D,""),"")</f>
        <v>0</v>
      </c>
      <c r="D493" s="9" cm="1">
        <f t="array" ref="D493">IFERROR(_xlfn.XLOOKUP(B493,Personal!$A:$A,Personal!$C:$C,""),"")</f>
        <v>0</v>
      </c>
      <c r="E493" s="9" t="str" cm="1">
        <f t="array" ref="E493">IFERROR(_xlfn.XLOOKUP(D493,Locales!$A:$A,Locales!$B:$B,""),"")</f>
        <v/>
      </c>
      <c r="F493" s="9" cm="1">
        <f t="array" ref="F493">IFERROR(_xlfn.XLOOKUP(B493,Personal!$A:$A,Personal!$F:$F,""),"")</f>
        <v>0</v>
      </c>
      <c r="I493" s="10" cm="1">
        <f t="array" ref="I493">IFERROR(INDEX(Precios!$D:$F,MATCH(N493, Precios!$G:$G, 0),CHOOSE(MATCH(H493, {"SML";"XL";"XXL"}, 0), 1, 2, 3)), 0)</f>
        <v>0</v>
      </c>
      <c r="K493" s="10">
        <f t="shared" si="20"/>
        <v>0</v>
      </c>
      <c r="N493" s="9" t="str">
        <f t="shared" si="21"/>
        <v/>
      </c>
      <c r="O493" s="9" t="str">
        <f>IF(N493="","",IF(COUNTIF(Precios!$G:$G,N493)=0,"⚠ No coincide con Precios","OK"))</f>
        <v/>
      </c>
    </row>
    <row r="494" spans="3:15" x14ac:dyDescent="0.2">
      <c r="C494" s="9" cm="1">
        <f t="array" ref="C494">IFERROR(_xlfn.XLOOKUP(B494,Personal!$A:$A,Personal!$D:$D,""),"")</f>
        <v>0</v>
      </c>
      <c r="D494" s="9" cm="1">
        <f t="array" ref="D494">IFERROR(_xlfn.XLOOKUP(B494,Personal!$A:$A,Personal!$C:$C,""),"")</f>
        <v>0</v>
      </c>
      <c r="E494" s="9" t="str" cm="1">
        <f t="array" ref="E494">IFERROR(_xlfn.XLOOKUP(D494,Locales!$A:$A,Locales!$B:$B,""),"")</f>
        <v/>
      </c>
      <c r="F494" s="9" cm="1">
        <f t="array" ref="F494">IFERROR(_xlfn.XLOOKUP(B494,Personal!$A:$A,Personal!$F:$F,""),"")</f>
        <v>0</v>
      </c>
      <c r="I494" s="10" cm="1">
        <f t="array" ref="I494">IFERROR(INDEX(Precios!$D:$F,MATCH(N494, Precios!$G:$G, 0),CHOOSE(MATCH(H494, {"SML";"XL";"XXL"}, 0), 1, 2, 3)), 0)</f>
        <v>0</v>
      </c>
      <c r="K494" s="10">
        <f t="shared" si="20"/>
        <v>0</v>
      </c>
      <c r="N494" s="9" t="str">
        <f t="shared" si="21"/>
        <v/>
      </c>
      <c r="O494" s="9" t="str">
        <f>IF(N494="","",IF(COUNTIF(Precios!$G:$G,N494)=0,"⚠ No coincide con Precios","OK"))</f>
        <v/>
      </c>
    </row>
    <row r="495" spans="3:15" x14ac:dyDescent="0.2">
      <c r="C495" s="9" cm="1">
        <f t="array" ref="C495">IFERROR(_xlfn.XLOOKUP(B495,Personal!$A:$A,Personal!$D:$D,""),"")</f>
        <v>0</v>
      </c>
      <c r="D495" s="9" cm="1">
        <f t="array" ref="D495">IFERROR(_xlfn.XLOOKUP(B495,Personal!$A:$A,Personal!$C:$C,""),"")</f>
        <v>0</v>
      </c>
      <c r="E495" s="9" t="str" cm="1">
        <f t="array" ref="E495">IFERROR(_xlfn.XLOOKUP(D495,Locales!$A:$A,Locales!$B:$B,""),"")</f>
        <v/>
      </c>
      <c r="F495" s="9" cm="1">
        <f t="array" ref="F495">IFERROR(_xlfn.XLOOKUP(B495,Personal!$A:$A,Personal!$F:$F,""),"")</f>
        <v>0</v>
      </c>
      <c r="I495" s="10" cm="1">
        <f t="array" ref="I495">IFERROR(INDEX(Precios!$D:$F,MATCH(N495, Precios!$G:$G, 0),CHOOSE(MATCH(H495, {"SML";"XL";"XXL"}, 0), 1, 2, 3)), 0)</f>
        <v>0</v>
      </c>
      <c r="K495" s="10">
        <f t="shared" si="20"/>
        <v>0</v>
      </c>
      <c r="N495" s="9" t="str">
        <f t="shared" si="21"/>
        <v/>
      </c>
      <c r="O495" s="9" t="str">
        <f>IF(N495="","",IF(COUNTIF(Precios!$G:$G,N495)=0,"⚠ No coincide con Precios","OK"))</f>
        <v/>
      </c>
    </row>
    <row r="496" spans="3:15" x14ac:dyDescent="0.2">
      <c r="C496" s="9" cm="1">
        <f t="array" ref="C496">IFERROR(_xlfn.XLOOKUP(B496,Personal!$A:$A,Personal!$D:$D,""),"")</f>
        <v>0</v>
      </c>
      <c r="D496" s="9" cm="1">
        <f t="array" ref="D496">IFERROR(_xlfn.XLOOKUP(B496,Personal!$A:$A,Personal!$C:$C,""),"")</f>
        <v>0</v>
      </c>
      <c r="E496" s="9" t="str" cm="1">
        <f t="array" ref="E496">IFERROR(_xlfn.XLOOKUP(D496,Locales!$A:$A,Locales!$B:$B,""),"")</f>
        <v/>
      </c>
      <c r="F496" s="9" cm="1">
        <f t="array" ref="F496">IFERROR(_xlfn.XLOOKUP(B496,Personal!$A:$A,Personal!$F:$F,""),"")</f>
        <v>0</v>
      </c>
      <c r="I496" s="10" cm="1">
        <f t="array" ref="I496">IFERROR(INDEX(Precios!$D:$F,MATCH(N496, Precios!$G:$G, 0),CHOOSE(MATCH(H496, {"SML";"XL";"XXL"}, 0), 1, 2, 3)), 0)</f>
        <v>0</v>
      </c>
      <c r="K496" s="10">
        <f t="shared" si="20"/>
        <v>0</v>
      </c>
      <c r="N496" s="9" t="str">
        <f t="shared" si="21"/>
        <v/>
      </c>
      <c r="O496" s="9" t="str">
        <f>IF(N496="","",IF(COUNTIF(Precios!$G:$G,N496)=0,"⚠ No coincide con Precios","OK"))</f>
        <v/>
      </c>
    </row>
    <row r="497" spans="3:15" x14ac:dyDescent="0.2">
      <c r="C497" s="9" cm="1">
        <f t="array" ref="C497">IFERROR(_xlfn.XLOOKUP(B497,Personal!$A:$A,Personal!$D:$D,""),"")</f>
        <v>0</v>
      </c>
      <c r="D497" s="9" cm="1">
        <f t="array" ref="D497">IFERROR(_xlfn.XLOOKUP(B497,Personal!$A:$A,Personal!$C:$C,""),"")</f>
        <v>0</v>
      </c>
      <c r="E497" s="9" t="str" cm="1">
        <f t="array" ref="E497">IFERROR(_xlfn.XLOOKUP(D497,Locales!$A:$A,Locales!$B:$B,""),"")</f>
        <v/>
      </c>
      <c r="F497" s="9" cm="1">
        <f t="array" ref="F497">IFERROR(_xlfn.XLOOKUP(B497,Personal!$A:$A,Personal!$F:$F,""),"")</f>
        <v>0</v>
      </c>
      <c r="I497" s="10" cm="1">
        <f t="array" ref="I497">IFERROR(INDEX(Precios!$D:$F,MATCH(N497, Precios!$G:$G, 0),CHOOSE(MATCH(H497, {"SML";"XL";"XXL"}, 0), 1, 2, 3)), 0)</f>
        <v>0</v>
      </c>
      <c r="K497" s="10">
        <f t="shared" si="20"/>
        <v>0</v>
      </c>
      <c r="N497" s="9" t="str">
        <f t="shared" si="21"/>
        <v/>
      </c>
      <c r="O497" s="9" t="str">
        <f>IF(N497="","",IF(COUNTIF(Precios!$G:$G,N497)=0,"⚠ No coincide con Precios","OK"))</f>
        <v/>
      </c>
    </row>
    <row r="498" spans="3:15" x14ac:dyDescent="0.2">
      <c r="C498" s="9" cm="1">
        <f t="array" ref="C498">IFERROR(_xlfn.XLOOKUP(B498,Personal!$A:$A,Personal!$D:$D,""),"")</f>
        <v>0</v>
      </c>
      <c r="D498" s="9" cm="1">
        <f t="array" ref="D498">IFERROR(_xlfn.XLOOKUP(B498,Personal!$A:$A,Personal!$C:$C,""),"")</f>
        <v>0</v>
      </c>
      <c r="E498" s="9" t="str" cm="1">
        <f t="array" ref="E498">IFERROR(_xlfn.XLOOKUP(D498,Locales!$A:$A,Locales!$B:$B,""),"")</f>
        <v/>
      </c>
      <c r="F498" s="9" cm="1">
        <f t="array" ref="F498">IFERROR(_xlfn.XLOOKUP(B498,Personal!$A:$A,Personal!$F:$F,""),"")</f>
        <v>0</v>
      </c>
      <c r="I498" s="10" cm="1">
        <f t="array" ref="I498">IFERROR(INDEX(Precios!$D:$F,MATCH(N498, Precios!$G:$G, 0),CHOOSE(MATCH(H498, {"SML";"XL";"XXL"}, 0), 1, 2, 3)), 0)</f>
        <v>0</v>
      </c>
      <c r="K498" s="10">
        <f t="shared" si="20"/>
        <v>0</v>
      </c>
      <c r="N498" s="9" t="str">
        <f t="shared" si="21"/>
        <v/>
      </c>
      <c r="O498" s="9" t="str">
        <f>IF(N498="","",IF(COUNTIF(Precios!$G:$G,N498)=0,"⚠ No coincide con Precios","OK"))</f>
        <v/>
      </c>
    </row>
    <row r="499" spans="3:15" x14ac:dyDescent="0.2">
      <c r="C499" s="9" cm="1">
        <f t="array" ref="C499">IFERROR(_xlfn.XLOOKUP(B499,Personal!$A:$A,Personal!$D:$D,""),"")</f>
        <v>0</v>
      </c>
      <c r="D499" s="9" cm="1">
        <f t="array" ref="D499">IFERROR(_xlfn.XLOOKUP(B499,Personal!$A:$A,Personal!$C:$C,""),"")</f>
        <v>0</v>
      </c>
      <c r="E499" s="9" t="str" cm="1">
        <f t="array" ref="E499">IFERROR(_xlfn.XLOOKUP(D499,Locales!$A:$A,Locales!$B:$B,""),"")</f>
        <v/>
      </c>
      <c r="F499" s="9" cm="1">
        <f t="array" ref="F499">IFERROR(_xlfn.XLOOKUP(B499,Personal!$A:$A,Personal!$F:$F,""),"")</f>
        <v>0</v>
      </c>
      <c r="I499" s="10" cm="1">
        <f t="array" ref="I499">IFERROR(INDEX(Precios!$D:$F,MATCH(N499, Precios!$G:$G, 0),CHOOSE(MATCH(H499, {"SML";"XL";"XXL"}, 0), 1, 2, 3)), 0)</f>
        <v>0</v>
      </c>
      <c r="K499" s="10">
        <f t="shared" si="20"/>
        <v>0</v>
      </c>
      <c r="N499" s="9" t="str">
        <f t="shared" si="21"/>
        <v/>
      </c>
      <c r="O499" s="9" t="str">
        <f>IF(N499="","",IF(COUNTIF(Precios!$G:$G,N499)=0,"⚠ No coincide con Precios","OK"))</f>
        <v/>
      </c>
    </row>
    <row r="500" spans="3:15" x14ac:dyDescent="0.2">
      <c r="C500" s="9" cm="1">
        <f t="array" ref="C500">IFERROR(_xlfn.XLOOKUP(B500,Personal!$A:$A,Personal!$D:$D,""),"")</f>
        <v>0</v>
      </c>
      <c r="D500" s="9" cm="1">
        <f t="array" ref="D500">IFERROR(_xlfn.XLOOKUP(B500,Personal!$A:$A,Personal!$C:$C,""),"")</f>
        <v>0</v>
      </c>
      <c r="E500" s="9" t="str" cm="1">
        <f t="array" ref="E500">IFERROR(_xlfn.XLOOKUP(D500,Locales!$A:$A,Locales!$B:$B,""),"")</f>
        <v/>
      </c>
      <c r="F500" s="9" cm="1">
        <f t="array" ref="F500">IFERROR(_xlfn.XLOOKUP(B500,Personal!$A:$A,Personal!$F:$F,""),"")</f>
        <v>0</v>
      </c>
      <c r="I500" s="10" cm="1">
        <f t="array" ref="I500">IFERROR(INDEX(Precios!$D:$F,MATCH(N500, Precios!$G:$G, 0),CHOOSE(MATCH(H500, {"SML";"XL";"XXL"}, 0), 1, 2, 3)), 0)</f>
        <v>0</v>
      </c>
      <c r="K500" s="10">
        <f t="shared" si="20"/>
        <v>0</v>
      </c>
      <c r="N500" s="9" t="str">
        <f t="shared" si="21"/>
        <v/>
      </c>
      <c r="O500" s="9" t="str">
        <f>IF(N500="","",IF(COUNTIF(Precios!$G:$G,N500)=0,"⚠ No coincide con Precios","OK"))</f>
        <v/>
      </c>
    </row>
    <row r="501" spans="3:15" x14ac:dyDescent="0.2">
      <c r="C501" s="9" cm="1">
        <f t="array" ref="C501">IFERROR(_xlfn.XLOOKUP(B501,Personal!$A:$A,Personal!$D:$D,""),"")</f>
        <v>0</v>
      </c>
      <c r="D501" s="9" cm="1">
        <f t="array" ref="D501">IFERROR(_xlfn.XLOOKUP(B501,Personal!$A:$A,Personal!$C:$C,""),"")</f>
        <v>0</v>
      </c>
      <c r="E501" s="9" t="str" cm="1">
        <f t="array" ref="E501">IFERROR(_xlfn.XLOOKUP(D501,Locales!$A:$A,Locales!$B:$B,""),"")</f>
        <v/>
      </c>
      <c r="F501" s="9" cm="1">
        <f t="array" ref="F501">IFERROR(_xlfn.XLOOKUP(B501,Personal!$A:$A,Personal!$F:$F,""),"")</f>
        <v>0</v>
      </c>
      <c r="I501" s="10" cm="1">
        <f t="array" ref="I501">IFERROR(INDEX(Precios!$D:$F,MATCH(N501, Precios!$G:$G, 0),CHOOSE(MATCH(H501, {"SML";"XL";"XXL"}, 0), 1, 2, 3)), 0)</f>
        <v>0</v>
      </c>
      <c r="K501" s="10">
        <f t="shared" si="20"/>
        <v>0</v>
      </c>
      <c r="N501" s="9" t="str">
        <f t="shared" si="21"/>
        <v/>
      </c>
      <c r="O501" s="9" t="str">
        <f>IF(N501="","",IF(COUNTIF(Precios!$G:$G,N501)=0,"⚠ No coincide con Precios","OK"))</f>
        <v/>
      </c>
    </row>
    <row r="502" spans="3:15" x14ac:dyDescent="0.2">
      <c r="C502" s="9" cm="1">
        <f t="array" ref="C502">IFERROR(_xlfn.XLOOKUP(B502,Personal!$A:$A,Personal!$D:$D,""),"")</f>
        <v>0</v>
      </c>
      <c r="D502" s="9" cm="1">
        <f t="array" ref="D502">IFERROR(_xlfn.XLOOKUP(B502,Personal!$A:$A,Personal!$C:$C,""),"")</f>
        <v>0</v>
      </c>
      <c r="E502" s="9" t="str" cm="1">
        <f t="array" ref="E502">IFERROR(_xlfn.XLOOKUP(D502,Locales!$A:$A,Locales!$B:$B,""),"")</f>
        <v/>
      </c>
      <c r="F502" s="9" cm="1">
        <f t="array" ref="F502">IFERROR(_xlfn.XLOOKUP(B502,Personal!$A:$A,Personal!$F:$F,""),"")</f>
        <v>0</v>
      </c>
      <c r="I502" s="10" cm="1">
        <f t="array" ref="I502">IFERROR(INDEX(Precios!$D:$F,MATCH(N502, Precios!$G:$G, 0),CHOOSE(MATCH(H502, {"SML";"XL";"XXL"}, 0), 1, 2, 3)), 0)</f>
        <v>0</v>
      </c>
      <c r="K502" s="10">
        <f t="shared" si="20"/>
        <v>0</v>
      </c>
      <c r="N502" s="9" t="str">
        <f t="shared" si="21"/>
        <v/>
      </c>
      <c r="O502" s="9" t="str">
        <f>IF(N502="","",IF(COUNTIF(Precios!$G:$G,N502)=0,"⚠ No coincide con Precios","OK"))</f>
        <v/>
      </c>
    </row>
    <row r="503" spans="3:15" x14ac:dyDescent="0.2">
      <c r="C503" s="9" cm="1">
        <f t="array" ref="C503">IFERROR(_xlfn.XLOOKUP(B503,Personal!$A:$A,Personal!$D:$D,""),"")</f>
        <v>0</v>
      </c>
      <c r="D503" s="9" cm="1">
        <f t="array" ref="D503">IFERROR(_xlfn.XLOOKUP(B503,Personal!$A:$A,Personal!$C:$C,""),"")</f>
        <v>0</v>
      </c>
      <c r="E503" s="9" t="str" cm="1">
        <f t="array" ref="E503">IFERROR(_xlfn.XLOOKUP(D503,Locales!$A:$A,Locales!$B:$B,""),"")</f>
        <v/>
      </c>
      <c r="F503" s="9" cm="1">
        <f t="array" ref="F503">IFERROR(_xlfn.XLOOKUP(B503,Personal!$A:$A,Personal!$F:$F,""),"")</f>
        <v>0</v>
      </c>
      <c r="I503" s="10" cm="1">
        <f t="array" ref="I503">IFERROR(INDEX(Precios!$D:$F,MATCH(N503, Precios!$G:$G, 0),CHOOSE(MATCH(H503, {"SML";"XL";"XXL"}, 0), 1, 2, 3)), 0)</f>
        <v>0</v>
      </c>
      <c r="K503" s="10">
        <f t="shared" si="20"/>
        <v>0</v>
      </c>
      <c r="N503" s="9" t="str">
        <f t="shared" si="21"/>
        <v/>
      </c>
      <c r="O503" s="9" t="str">
        <f>IF(N503="","",IF(COUNTIF(Precios!$G:$G,N503)=0,"⚠ No coincide con Precios","OK"))</f>
        <v/>
      </c>
    </row>
    <row r="504" spans="3:15" x14ac:dyDescent="0.2">
      <c r="C504" s="9" cm="1">
        <f t="array" ref="C504">IFERROR(_xlfn.XLOOKUP(B504,Personal!$A:$A,Personal!$D:$D,""),"")</f>
        <v>0</v>
      </c>
      <c r="D504" s="9" cm="1">
        <f t="array" ref="D504">IFERROR(_xlfn.XLOOKUP(B504,Personal!$A:$A,Personal!$C:$C,""),"")</f>
        <v>0</v>
      </c>
      <c r="E504" s="9" t="str" cm="1">
        <f t="array" ref="E504">IFERROR(_xlfn.XLOOKUP(D504,Locales!$A:$A,Locales!$B:$B,""),"")</f>
        <v/>
      </c>
      <c r="F504" s="9" cm="1">
        <f t="array" ref="F504">IFERROR(_xlfn.XLOOKUP(B504,Personal!$A:$A,Personal!$F:$F,""),"")</f>
        <v>0</v>
      </c>
      <c r="I504" s="10" cm="1">
        <f t="array" ref="I504">IFERROR(INDEX(Precios!$D:$F,MATCH(N504, Precios!$G:$G, 0),CHOOSE(MATCH(H504, {"SML";"XL";"XXL"}, 0), 1, 2, 3)), 0)</f>
        <v>0</v>
      </c>
      <c r="K504" s="10">
        <f t="shared" si="20"/>
        <v>0</v>
      </c>
      <c r="N504" s="9" t="str">
        <f t="shared" si="21"/>
        <v/>
      </c>
      <c r="O504" s="9" t="str">
        <f>IF(N504="","",IF(COUNTIF(Precios!$G:$G,N504)=0,"⚠ No coincide con Precios","OK"))</f>
        <v/>
      </c>
    </row>
    <row r="505" spans="3:15" x14ac:dyDescent="0.2">
      <c r="C505" s="9" cm="1">
        <f t="array" ref="C505">IFERROR(_xlfn.XLOOKUP(B505,Personal!$A:$A,Personal!$D:$D,""),"")</f>
        <v>0</v>
      </c>
      <c r="D505" s="9" cm="1">
        <f t="array" ref="D505">IFERROR(_xlfn.XLOOKUP(B505,Personal!$A:$A,Personal!$C:$C,""),"")</f>
        <v>0</v>
      </c>
      <c r="E505" s="9" t="str" cm="1">
        <f t="array" ref="E505">IFERROR(_xlfn.XLOOKUP(D505,Locales!$A:$A,Locales!$B:$B,""),"")</f>
        <v/>
      </c>
      <c r="F505" s="9" cm="1">
        <f t="array" ref="F505">IFERROR(_xlfn.XLOOKUP(B505,Personal!$A:$A,Personal!$F:$F,""),"")</f>
        <v>0</v>
      </c>
      <c r="I505" s="10" cm="1">
        <f t="array" ref="I505">IFERROR(INDEX(Precios!$D:$F,MATCH(N505, Precios!$G:$G, 0),CHOOSE(MATCH(H505, {"SML";"XL";"XXL"}, 0), 1, 2, 3)), 0)</f>
        <v>0</v>
      </c>
      <c r="K505" s="10">
        <f t="shared" si="20"/>
        <v>0</v>
      </c>
      <c r="N505" s="9" t="str">
        <f t="shared" si="21"/>
        <v/>
      </c>
      <c r="O505" s="9" t="str">
        <f>IF(N505="","",IF(COUNTIF(Precios!$G:$G,N505)=0,"⚠ No coincide con Precios","OK"))</f>
        <v/>
      </c>
    </row>
    <row r="506" spans="3:15" x14ac:dyDescent="0.2">
      <c r="C506" s="9" cm="1">
        <f t="array" ref="C506">IFERROR(_xlfn.XLOOKUP(B506,Personal!$A:$A,Personal!$D:$D,""),"")</f>
        <v>0</v>
      </c>
      <c r="D506" s="9" cm="1">
        <f t="array" ref="D506">IFERROR(_xlfn.XLOOKUP(B506,Personal!$A:$A,Personal!$C:$C,""),"")</f>
        <v>0</v>
      </c>
      <c r="E506" s="9" t="str" cm="1">
        <f t="array" ref="E506">IFERROR(_xlfn.XLOOKUP(D506,Locales!$A:$A,Locales!$B:$B,""),"")</f>
        <v/>
      </c>
      <c r="F506" s="9" cm="1">
        <f t="array" ref="F506">IFERROR(_xlfn.XLOOKUP(B506,Personal!$A:$A,Personal!$F:$F,""),"")</f>
        <v>0</v>
      </c>
      <c r="I506" s="10" cm="1">
        <f t="array" ref="I506">IFERROR(INDEX(Precios!$D:$F,MATCH(N506, Precios!$G:$G, 0),CHOOSE(MATCH(H506, {"SML";"XL";"XXL"}, 0), 1, 2, 3)), 0)</f>
        <v>0</v>
      </c>
      <c r="K506" s="10">
        <f t="shared" si="20"/>
        <v>0</v>
      </c>
      <c r="N506" s="9" t="str">
        <f t="shared" si="21"/>
        <v/>
      </c>
      <c r="O506" s="9" t="str">
        <f>IF(N506="","",IF(COUNTIF(Precios!$G:$G,N506)=0,"⚠ No coincide con Precios","OK"))</f>
        <v/>
      </c>
    </row>
    <row r="507" spans="3:15" x14ac:dyDescent="0.2">
      <c r="C507" s="9" cm="1">
        <f t="array" ref="C507">IFERROR(_xlfn.XLOOKUP(B507,Personal!$A:$A,Personal!$D:$D,""),"")</f>
        <v>0</v>
      </c>
      <c r="D507" s="9" cm="1">
        <f t="array" ref="D507">IFERROR(_xlfn.XLOOKUP(B507,Personal!$A:$A,Personal!$C:$C,""),"")</f>
        <v>0</v>
      </c>
      <c r="E507" s="9" t="str" cm="1">
        <f t="array" ref="E507">IFERROR(_xlfn.XLOOKUP(D507,Locales!$A:$A,Locales!$B:$B,""),"")</f>
        <v/>
      </c>
      <c r="F507" s="9" cm="1">
        <f t="array" ref="F507">IFERROR(_xlfn.XLOOKUP(B507,Personal!$A:$A,Personal!$F:$F,""),"")</f>
        <v>0</v>
      </c>
      <c r="I507" s="10" cm="1">
        <f t="array" ref="I507">IFERROR(INDEX(Precios!$D:$F,MATCH(N507, Precios!$G:$G, 0),CHOOSE(MATCH(H507, {"SML";"XL";"XXL"}, 0), 1, 2, 3)), 0)</f>
        <v>0</v>
      </c>
      <c r="K507" s="10">
        <f t="shared" si="20"/>
        <v>0</v>
      </c>
      <c r="N507" s="9" t="str">
        <f t="shared" si="21"/>
        <v/>
      </c>
      <c r="O507" s="9" t="str">
        <f>IF(N507="","",IF(COUNTIF(Precios!$G:$G,N507)=0,"⚠ No coincide con Precios","OK"))</f>
        <v/>
      </c>
    </row>
    <row r="508" spans="3:15" x14ac:dyDescent="0.2">
      <c r="C508" s="9" cm="1">
        <f t="array" ref="C508">IFERROR(_xlfn.XLOOKUP(B508,Personal!$A:$A,Personal!$D:$D,""),"")</f>
        <v>0</v>
      </c>
      <c r="D508" s="9" cm="1">
        <f t="array" ref="D508">IFERROR(_xlfn.XLOOKUP(B508,Personal!$A:$A,Personal!$C:$C,""),"")</f>
        <v>0</v>
      </c>
      <c r="E508" s="9" t="str" cm="1">
        <f t="array" ref="E508">IFERROR(_xlfn.XLOOKUP(D508,Locales!$A:$A,Locales!$B:$B,""),"")</f>
        <v/>
      </c>
      <c r="F508" s="9" cm="1">
        <f t="array" ref="F508">IFERROR(_xlfn.XLOOKUP(B508,Personal!$A:$A,Personal!$F:$F,""),"")</f>
        <v>0</v>
      </c>
      <c r="I508" s="10" cm="1">
        <f t="array" ref="I508">IFERROR(INDEX(Precios!$D:$F,MATCH(N508, Precios!$G:$G, 0),CHOOSE(MATCH(H508, {"SML";"XL";"XXL"}, 0), 1, 2, 3)), 0)</f>
        <v>0</v>
      </c>
      <c r="K508" s="10">
        <f t="shared" si="20"/>
        <v>0</v>
      </c>
      <c r="N508" s="9" t="str">
        <f t="shared" si="21"/>
        <v/>
      </c>
      <c r="O508" s="9" t="str">
        <f>IF(N508="","",IF(COUNTIF(Precios!$G:$G,N508)=0,"⚠ No coincide con Precios","OK"))</f>
        <v/>
      </c>
    </row>
    <row r="509" spans="3:15" x14ac:dyDescent="0.2">
      <c r="C509" s="9" cm="1">
        <f t="array" ref="C509">IFERROR(_xlfn.XLOOKUP(B509,Personal!$A:$A,Personal!$D:$D,""),"")</f>
        <v>0</v>
      </c>
      <c r="D509" s="9" cm="1">
        <f t="array" ref="D509">IFERROR(_xlfn.XLOOKUP(B509,Personal!$A:$A,Personal!$C:$C,""),"")</f>
        <v>0</v>
      </c>
      <c r="E509" s="9" t="str" cm="1">
        <f t="array" ref="E509">IFERROR(_xlfn.XLOOKUP(D509,Locales!$A:$A,Locales!$B:$B,""),"")</f>
        <v/>
      </c>
      <c r="F509" s="9" cm="1">
        <f t="array" ref="F509">IFERROR(_xlfn.XLOOKUP(B509,Personal!$A:$A,Personal!$F:$F,""),"")</f>
        <v>0</v>
      </c>
      <c r="I509" s="10" cm="1">
        <f t="array" ref="I509">IFERROR(INDEX(Precios!$D:$F,MATCH(N509, Precios!$G:$G, 0),CHOOSE(MATCH(H509, {"SML";"XL";"XXL"}, 0), 1, 2, 3)), 0)</f>
        <v>0</v>
      </c>
      <c r="K509" s="10">
        <f t="shared" si="20"/>
        <v>0</v>
      </c>
      <c r="N509" s="9" t="str">
        <f t="shared" si="21"/>
        <v/>
      </c>
      <c r="O509" s="9" t="str">
        <f>IF(N509="","",IF(COUNTIF(Precios!$G:$G,N509)=0,"⚠ No coincide con Precios","OK"))</f>
        <v/>
      </c>
    </row>
    <row r="510" spans="3:15" x14ac:dyDescent="0.2">
      <c r="C510" s="9" cm="1">
        <f t="array" ref="C510">IFERROR(_xlfn.XLOOKUP(B510,Personal!$A:$A,Personal!$D:$D,""),"")</f>
        <v>0</v>
      </c>
      <c r="D510" s="9" cm="1">
        <f t="array" ref="D510">IFERROR(_xlfn.XLOOKUP(B510,Personal!$A:$A,Personal!$C:$C,""),"")</f>
        <v>0</v>
      </c>
      <c r="E510" s="9" t="str" cm="1">
        <f t="array" ref="E510">IFERROR(_xlfn.XLOOKUP(D510,Locales!$A:$A,Locales!$B:$B,""),"")</f>
        <v/>
      </c>
      <c r="F510" s="9" cm="1">
        <f t="array" ref="F510">IFERROR(_xlfn.XLOOKUP(B510,Personal!$A:$A,Personal!$F:$F,""),"")</f>
        <v>0</v>
      </c>
      <c r="I510" s="10" cm="1">
        <f t="array" ref="I510">IFERROR(INDEX(Precios!$D:$F,MATCH(N510, Precios!$G:$G, 0),CHOOSE(MATCH(H510, {"SML";"XL";"XXL"}, 0), 1, 2, 3)), 0)</f>
        <v>0</v>
      </c>
      <c r="K510" s="10">
        <f t="shared" ref="K510:K573" si="22">IFERROR(I510*J510,0)</f>
        <v>0</v>
      </c>
      <c r="N510" s="9" t="str">
        <f t="shared" ref="N510:N573" si="23">IF( OR(E510="",F510="",G510=""), "",CLEAN(TRIM(E510)) &amp; "|" &amp; CLEAN(TRIM(F510)) &amp; "|" &amp; CLEAN(TRIM(G510)))</f>
        <v/>
      </c>
      <c r="O510" s="9" t="str">
        <f>IF(N510="","",IF(COUNTIF(Precios!$G:$G,N510)=0,"⚠ No coincide con Precios","OK"))</f>
        <v/>
      </c>
    </row>
    <row r="511" spans="3:15" x14ac:dyDescent="0.2">
      <c r="C511" s="9" cm="1">
        <f t="array" ref="C511">IFERROR(_xlfn.XLOOKUP(B511,Personal!$A:$A,Personal!$D:$D,""),"")</f>
        <v>0</v>
      </c>
      <c r="D511" s="9" cm="1">
        <f t="array" ref="D511">IFERROR(_xlfn.XLOOKUP(B511,Personal!$A:$A,Personal!$C:$C,""),"")</f>
        <v>0</v>
      </c>
      <c r="E511" s="9" t="str" cm="1">
        <f t="array" ref="E511">IFERROR(_xlfn.XLOOKUP(D511,Locales!$A:$A,Locales!$B:$B,""),"")</f>
        <v/>
      </c>
      <c r="F511" s="9" cm="1">
        <f t="array" ref="F511">IFERROR(_xlfn.XLOOKUP(B511,Personal!$A:$A,Personal!$F:$F,""),"")</f>
        <v>0</v>
      </c>
      <c r="I511" s="10" cm="1">
        <f t="array" ref="I511">IFERROR(INDEX(Precios!$D:$F,MATCH(N511, Precios!$G:$G, 0),CHOOSE(MATCH(H511, {"SML";"XL";"XXL"}, 0), 1, 2, 3)), 0)</f>
        <v>0</v>
      </c>
      <c r="K511" s="10">
        <f t="shared" si="22"/>
        <v>0</v>
      </c>
      <c r="N511" s="9" t="str">
        <f t="shared" si="23"/>
        <v/>
      </c>
      <c r="O511" s="9" t="str">
        <f>IF(N511="","",IF(COUNTIF(Precios!$G:$G,N511)=0,"⚠ No coincide con Precios","OK"))</f>
        <v/>
      </c>
    </row>
    <row r="512" spans="3:15" x14ac:dyDescent="0.2">
      <c r="C512" s="9" cm="1">
        <f t="array" ref="C512">IFERROR(_xlfn.XLOOKUP(B512,Personal!$A:$A,Personal!$D:$D,""),"")</f>
        <v>0</v>
      </c>
      <c r="D512" s="9" cm="1">
        <f t="array" ref="D512">IFERROR(_xlfn.XLOOKUP(B512,Personal!$A:$A,Personal!$C:$C,""),"")</f>
        <v>0</v>
      </c>
      <c r="E512" s="9" t="str" cm="1">
        <f t="array" ref="E512">IFERROR(_xlfn.XLOOKUP(D512,Locales!$A:$A,Locales!$B:$B,""),"")</f>
        <v/>
      </c>
      <c r="F512" s="9" cm="1">
        <f t="array" ref="F512">IFERROR(_xlfn.XLOOKUP(B512,Personal!$A:$A,Personal!$F:$F,""),"")</f>
        <v>0</v>
      </c>
      <c r="I512" s="10" cm="1">
        <f t="array" ref="I512">IFERROR(INDEX(Precios!$D:$F,MATCH(N512, Precios!$G:$G, 0),CHOOSE(MATCH(H512, {"SML";"XL";"XXL"}, 0), 1, 2, 3)), 0)</f>
        <v>0</v>
      </c>
      <c r="K512" s="10">
        <f t="shared" si="22"/>
        <v>0</v>
      </c>
      <c r="N512" s="9" t="str">
        <f t="shared" si="23"/>
        <v/>
      </c>
      <c r="O512" s="9" t="str">
        <f>IF(N512="","",IF(COUNTIF(Precios!$G:$G,N512)=0,"⚠ No coincide con Precios","OK"))</f>
        <v/>
      </c>
    </row>
    <row r="513" spans="3:15" x14ac:dyDescent="0.2">
      <c r="C513" s="9" cm="1">
        <f t="array" ref="C513">IFERROR(_xlfn.XLOOKUP(B513,Personal!$A:$A,Personal!$D:$D,""),"")</f>
        <v>0</v>
      </c>
      <c r="D513" s="9" cm="1">
        <f t="array" ref="D513">IFERROR(_xlfn.XLOOKUP(B513,Personal!$A:$A,Personal!$C:$C,""),"")</f>
        <v>0</v>
      </c>
      <c r="E513" s="9" t="str" cm="1">
        <f t="array" ref="E513">IFERROR(_xlfn.XLOOKUP(D513,Locales!$A:$A,Locales!$B:$B,""),"")</f>
        <v/>
      </c>
      <c r="F513" s="9" cm="1">
        <f t="array" ref="F513">IFERROR(_xlfn.XLOOKUP(B513,Personal!$A:$A,Personal!$F:$F,""),"")</f>
        <v>0</v>
      </c>
      <c r="I513" s="10" cm="1">
        <f t="array" ref="I513">IFERROR(INDEX(Precios!$D:$F,MATCH(N513, Precios!$G:$G, 0),CHOOSE(MATCH(H513, {"SML";"XL";"XXL"}, 0), 1, 2, 3)), 0)</f>
        <v>0</v>
      </c>
      <c r="K513" s="10">
        <f t="shared" si="22"/>
        <v>0</v>
      </c>
      <c r="N513" s="9" t="str">
        <f t="shared" si="23"/>
        <v/>
      </c>
      <c r="O513" s="9" t="str">
        <f>IF(N513="","",IF(COUNTIF(Precios!$G:$G,N513)=0,"⚠ No coincide con Precios","OK"))</f>
        <v/>
      </c>
    </row>
    <row r="514" spans="3:15" x14ac:dyDescent="0.2">
      <c r="C514" s="9" cm="1">
        <f t="array" ref="C514">IFERROR(_xlfn.XLOOKUP(B514,Personal!$A:$A,Personal!$D:$D,""),"")</f>
        <v>0</v>
      </c>
      <c r="D514" s="9" cm="1">
        <f t="array" ref="D514">IFERROR(_xlfn.XLOOKUP(B514,Personal!$A:$A,Personal!$C:$C,""),"")</f>
        <v>0</v>
      </c>
      <c r="E514" s="9" t="str" cm="1">
        <f t="array" ref="E514">IFERROR(_xlfn.XLOOKUP(D514,Locales!$A:$A,Locales!$B:$B,""),"")</f>
        <v/>
      </c>
      <c r="F514" s="9" cm="1">
        <f t="array" ref="F514">IFERROR(_xlfn.XLOOKUP(B514,Personal!$A:$A,Personal!$F:$F,""),"")</f>
        <v>0</v>
      </c>
      <c r="I514" s="10" cm="1">
        <f t="array" ref="I514">IFERROR(INDEX(Precios!$D:$F,MATCH(N514, Precios!$G:$G, 0),CHOOSE(MATCH(H514, {"SML";"XL";"XXL"}, 0), 1, 2, 3)), 0)</f>
        <v>0</v>
      </c>
      <c r="K514" s="10">
        <f t="shared" si="22"/>
        <v>0</v>
      </c>
      <c r="N514" s="9" t="str">
        <f t="shared" si="23"/>
        <v/>
      </c>
      <c r="O514" s="9" t="str">
        <f>IF(N514="","",IF(COUNTIF(Precios!$G:$G,N514)=0,"⚠ No coincide con Precios","OK"))</f>
        <v/>
      </c>
    </row>
    <row r="515" spans="3:15" x14ac:dyDescent="0.2">
      <c r="C515" s="9" cm="1">
        <f t="array" ref="C515">IFERROR(_xlfn.XLOOKUP(B515,Personal!$A:$A,Personal!$D:$D,""),"")</f>
        <v>0</v>
      </c>
      <c r="D515" s="9" cm="1">
        <f t="array" ref="D515">IFERROR(_xlfn.XLOOKUP(B515,Personal!$A:$A,Personal!$C:$C,""),"")</f>
        <v>0</v>
      </c>
      <c r="E515" s="9" t="str" cm="1">
        <f t="array" ref="E515">IFERROR(_xlfn.XLOOKUP(D515,Locales!$A:$A,Locales!$B:$B,""),"")</f>
        <v/>
      </c>
      <c r="F515" s="9" cm="1">
        <f t="array" ref="F515">IFERROR(_xlfn.XLOOKUP(B515,Personal!$A:$A,Personal!$F:$F,""),"")</f>
        <v>0</v>
      </c>
      <c r="I515" s="10" cm="1">
        <f t="array" ref="I515">IFERROR(INDEX(Precios!$D:$F,MATCH(N515, Precios!$G:$G, 0),CHOOSE(MATCH(H515, {"SML";"XL";"XXL"}, 0), 1, 2, 3)), 0)</f>
        <v>0</v>
      </c>
      <c r="K515" s="10">
        <f t="shared" si="22"/>
        <v>0</v>
      </c>
      <c r="N515" s="9" t="str">
        <f t="shared" si="23"/>
        <v/>
      </c>
      <c r="O515" s="9" t="str">
        <f>IF(N515="","",IF(COUNTIF(Precios!$G:$G,N515)=0,"⚠ No coincide con Precios","OK"))</f>
        <v/>
      </c>
    </row>
    <row r="516" spans="3:15" x14ac:dyDescent="0.2">
      <c r="C516" s="9" cm="1">
        <f t="array" ref="C516">IFERROR(_xlfn.XLOOKUP(B516,Personal!$A:$A,Personal!$D:$D,""),"")</f>
        <v>0</v>
      </c>
      <c r="D516" s="9" cm="1">
        <f t="array" ref="D516">IFERROR(_xlfn.XLOOKUP(B516,Personal!$A:$A,Personal!$C:$C,""),"")</f>
        <v>0</v>
      </c>
      <c r="E516" s="9" t="str" cm="1">
        <f t="array" ref="E516">IFERROR(_xlfn.XLOOKUP(D516,Locales!$A:$A,Locales!$B:$B,""),"")</f>
        <v/>
      </c>
      <c r="F516" s="9" cm="1">
        <f t="array" ref="F516">IFERROR(_xlfn.XLOOKUP(B516,Personal!$A:$A,Personal!$F:$F,""),"")</f>
        <v>0</v>
      </c>
      <c r="I516" s="10" cm="1">
        <f t="array" ref="I516">IFERROR(INDEX(Precios!$D:$F,MATCH(N516, Precios!$G:$G, 0),CHOOSE(MATCH(H516, {"SML";"XL";"XXL"}, 0), 1, 2, 3)), 0)</f>
        <v>0</v>
      </c>
      <c r="K516" s="10">
        <f t="shared" si="22"/>
        <v>0</v>
      </c>
      <c r="N516" s="9" t="str">
        <f t="shared" si="23"/>
        <v/>
      </c>
      <c r="O516" s="9" t="str">
        <f>IF(N516="","",IF(COUNTIF(Precios!$G:$G,N516)=0,"⚠ No coincide con Precios","OK"))</f>
        <v/>
      </c>
    </row>
    <row r="517" spans="3:15" x14ac:dyDescent="0.2">
      <c r="C517" s="9" cm="1">
        <f t="array" ref="C517">IFERROR(_xlfn.XLOOKUP(B517,Personal!$A:$A,Personal!$D:$D,""),"")</f>
        <v>0</v>
      </c>
      <c r="D517" s="9" cm="1">
        <f t="array" ref="D517">IFERROR(_xlfn.XLOOKUP(B517,Personal!$A:$A,Personal!$C:$C,""),"")</f>
        <v>0</v>
      </c>
      <c r="E517" s="9" t="str" cm="1">
        <f t="array" ref="E517">IFERROR(_xlfn.XLOOKUP(D517,Locales!$A:$A,Locales!$B:$B,""),"")</f>
        <v/>
      </c>
      <c r="F517" s="9" cm="1">
        <f t="array" ref="F517">IFERROR(_xlfn.XLOOKUP(B517,Personal!$A:$A,Personal!$F:$F,""),"")</f>
        <v>0</v>
      </c>
      <c r="I517" s="10" cm="1">
        <f t="array" ref="I517">IFERROR(INDEX(Precios!$D:$F,MATCH(N517, Precios!$G:$G, 0),CHOOSE(MATCH(H517, {"SML";"XL";"XXL"}, 0), 1, 2, 3)), 0)</f>
        <v>0</v>
      </c>
      <c r="K517" s="10">
        <f t="shared" si="22"/>
        <v>0</v>
      </c>
      <c r="N517" s="9" t="str">
        <f t="shared" si="23"/>
        <v/>
      </c>
      <c r="O517" s="9" t="str">
        <f>IF(N517="","",IF(COUNTIF(Precios!$G:$G,N517)=0,"⚠ No coincide con Precios","OK"))</f>
        <v/>
      </c>
    </row>
    <row r="518" spans="3:15" x14ac:dyDescent="0.2">
      <c r="C518" s="9" cm="1">
        <f t="array" ref="C518">IFERROR(_xlfn.XLOOKUP(B518,Personal!$A:$A,Personal!$D:$D,""),"")</f>
        <v>0</v>
      </c>
      <c r="D518" s="9" cm="1">
        <f t="array" ref="D518">IFERROR(_xlfn.XLOOKUP(B518,Personal!$A:$A,Personal!$C:$C,""),"")</f>
        <v>0</v>
      </c>
      <c r="E518" s="9" t="str" cm="1">
        <f t="array" ref="E518">IFERROR(_xlfn.XLOOKUP(D518,Locales!$A:$A,Locales!$B:$B,""),"")</f>
        <v/>
      </c>
      <c r="F518" s="9" cm="1">
        <f t="array" ref="F518">IFERROR(_xlfn.XLOOKUP(B518,Personal!$A:$A,Personal!$F:$F,""),"")</f>
        <v>0</v>
      </c>
      <c r="I518" s="10" cm="1">
        <f t="array" ref="I518">IFERROR(INDEX(Precios!$D:$F,MATCH(N518, Precios!$G:$G, 0),CHOOSE(MATCH(H518, {"SML";"XL";"XXL"}, 0), 1, 2, 3)), 0)</f>
        <v>0</v>
      </c>
      <c r="K518" s="10">
        <f t="shared" si="22"/>
        <v>0</v>
      </c>
      <c r="N518" s="9" t="str">
        <f t="shared" si="23"/>
        <v/>
      </c>
      <c r="O518" s="9" t="str">
        <f>IF(N518="","",IF(COUNTIF(Precios!$G:$G,N518)=0,"⚠ No coincide con Precios","OK"))</f>
        <v/>
      </c>
    </row>
    <row r="519" spans="3:15" x14ac:dyDescent="0.2">
      <c r="C519" s="9" cm="1">
        <f t="array" ref="C519">IFERROR(_xlfn.XLOOKUP(B519,Personal!$A:$A,Personal!$D:$D,""),"")</f>
        <v>0</v>
      </c>
      <c r="D519" s="9" cm="1">
        <f t="array" ref="D519">IFERROR(_xlfn.XLOOKUP(B519,Personal!$A:$A,Personal!$C:$C,""),"")</f>
        <v>0</v>
      </c>
      <c r="E519" s="9" t="str" cm="1">
        <f t="array" ref="E519">IFERROR(_xlfn.XLOOKUP(D519,Locales!$A:$A,Locales!$B:$B,""),"")</f>
        <v/>
      </c>
      <c r="F519" s="9" cm="1">
        <f t="array" ref="F519">IFERROR(_xlfn.XLOOKUP(B519,Personal!$A:$A,Personal!$F:$F,""),"")</f>
        <v>0</v>
      </c>
      <c r="I519" s="10" cm="1">
        <f t="array" ref="I519">IFERROR(INDEX(Precios!$D:$F,MATCH(N519, Precios!$G:$G, 0),CHOOSE(MATCH(H519, {"SML";"XL";"XXL"}, 0), 1, 2, 3)), 0)</f>
        <v>0</v>
      </c>
      <c r="K519" s="10">
        <f t="shared" si="22"/>
        <v>0</v>
      </c>
      <c r="N519" s="9" t="str">
        <f t="shared" si="23"/>
        <v/>
      </c>
      <c r="O519" s="9" t="str">
        <f>IF(N519="","",IF(COUNTIF(Precios!$G:$G,N519)=0,"⚠ No coincide con Precios","OK"))</f>
        <v/>
      </c>
    </row>
    <row r="520" spans="3:15" x14ac:dyDescent="0.2">
      <c r="C520" s="9" cm="1">
        <f t="array" ref="C520">IFERROR(_xlfn.XLOOKUP(B520,Personal!$A:$A,Personal!$D:$D,""),"")</f>
        <v>0</v>
      </c>
      <c r="D520" s="9" cm="1">
        <f t="array" ref="D520">IFERROR(_xlfn.XLOOKUP(B520,Personal!$A:$A,Personal!$C:$C,""),"")</f>
        <v>0</v>
      </c>
      <c r="E520" s="9" t="str" cm="1">
        <f t="array" ref="E520">IFERROR(_xlfn.XLOOKUP(D520,Locales!$A:$A,Locales!$B:$B,""),"")</f>
        <v/>
      </c>
      <c r="F520" s="9" cm="1">
        <f t="array" ref="F520">IFERROR(_xlfn.XLOOKUP(B520,Personal!$A:$A,Personal!$F:$F,""),"")</f>
        <v>0</v>
      </c>
      <c r="I520" s="10" cm="1">
        <f t="array" ref="I520">IFERROR(INDEX(Precios!$D:$F,MATCH(N520, Precios!$G:$G, 0),CHOOSE(MATCH(H520, {"SML";"XL";"XXL"}, 0), 1, 2, 3)), 0)</f>
        <v>0</v>
      </c>
      <c r="K520" s="10">
        <f t="shared" si="22"/>
        <v>0</v>
      </c>
      <c r="N520" s="9" t="str">
        <f t="shared" si="23"/>
        <v/>
      </c>
      <c r="O520" s="9" t="str">
        <f>IF(N520="","",IF(COUNTIF(Precios!$G:$G,N520)=0,"⚠ No coincide con Precios","OK"))</f>
        <v/>
      </c>
    </row>
    <row r="521" spans="3:15" x14ac:dyDescent="0.2">
      <c r="C521" s="9" cm="1">
        <f t="array" ref="C521">IFERROR(_xlfn.XLOOKUP(B521,Personal!$A:$A,Personal!$D:$D,""),"")</f>
        <v>0</v>
      </c>
      <c r="D521" s="9" cm="1">
        <f t="array" ref="D521">IFERROR(_xlfn.XLOOKUP(B521,Personal!$A:$A,Personal!$C:$C,""),"")</f>
        <v>0</v>
      </c>
      <c r="E521" s="9" t="str" cm="1">
        <f t="array" ref="E521">IFERROR(_xlfn.XLOOKUP(D521,Locales!$A:$A,Locales!$B:$B,""),"")</f>
        <v/>
      </c>
      <c r="F521" s="9" cm="1">
        <f t="array" ref="F521">IFERROR(_xlfn.XLOOKUP(B521,Personal!$A:$A,Personal!$F:$F,""),"")</f>
        <v>0</v>
      </c>
      <c r="I521" s="10" cm="1">
        <f t="array" ref="I521">IFERROR(INDEX(Precios!$D:$F,MATCH(N521, Precios!$G:$G, 0),CHOOSE(MATCH(H521, {"SML";"XL";"XXL"}, 0), 1, 2, 3)), 0)</f>
        <v>0</v>
      </c>
      <c r="K521" s="10">
        <f t="shared" si="22"/>
        <v>0</v>
      </c>
      <c r="N521" s="9" t="str">
        <f t="shared" si="23"/>
        <v/>
      </c>
      <c r="O521" s="9" t="str">
        <f>IF(N521="","",IF(COUNTIF(Precios!$G:$G,N521)=0,"⚠ No coincide con Precios","OK"))</f>
        <v/>
      </c>
    </row>
    <row r="522" spans="3:15" x14ac:dyDescent="0.2">
      <c r="C522" s="9" cm="1">
        <f t="array" ref="C522">IFERROR(_xlfn.XLOOKUP(B522,Personal!$A:$A,Personal!$D:$D,""),"")</f>
        <v>0</v>
      </c>
      <c r="D522" s="9" cm="1">
        <f t="array" ref="D522">IFERROR(_xlfn.XLOOKUP(B522,Personal!$A:$A,Personal!$C:$C,""),"")</f>
        <v>0</v>
      </c>
      <c r="E522" s="9" t="str" cm="1">
        <f t="array" ref="E522">IFERROR(_xlfn.XLOOKUP(D522,Locales!$A:$A,Locales!$B:$B,""),"")</f>
        <v/>
      </c>
      <c r="F522" s="9" cm="1">
        <f t="array" ref="F522">IFERROR(_xlfn.XLOOKUP(B522,Personal!$A:$A,Personal!$F:$F,""),"")</f>
        <v>0</v>
      </c>
      <c r="I522" s="10" cm="1">
        <f t="array" ref="I522">IFERROR(INDEX(Precios!$D:$F,MATCH(N522, Precios!$G:$G, 0),CHOOSE(MATCH(H522, {"SML";"XL";"XXL"}, 0), 1, 2, 3)), 0)</f>
        <v>0</v>
      </c>
      <c r="K522" s="10">
        <f t="shared" si="22"/>
        <v>0</v>
      </c>
      <c r="N522" s="9" t="str">
        <f t="shared" si="23"/>
        <v/>
      </c>
      <c r="O522" s="9" t="str">
        <f>IF(N522="","",IF(COUNTIF(Precios!$G:$G,N522)=0,"⚠ No coincide con Precios","OK"))</f>
        <v/>
      </c>
    </row>
    <row r="523" spans="3:15" x14ac:dyDescent="0.2">
      <c r="C523" s="9" cm="1">
        <f t="array" ref="C523">IFERROR(_xlfn.XLOOKUP(B523,Personal!$A:$A,Personal!$D:$D,""),"")</f>
        <v>0</v>
      </c>
      <c r="D523" s="9" cm="1">
        <f t="array" ref="D523">IFERROR(_xlfn.XLOOKUP(B523,Personal!$A:$A,Personal!$C:$C,""),"")</f>
        <v>0</v>
      </c>
      <c r="E523" s="9" t="str" cm="1">
        <f t="array" ref="E523">IFERROR(_xlfn.XLOOKUP(D523,Locales!$A:$A,Locales!$B:$B,""),"")</f>
        <v/>
      </c>
      <c r="F523" s="9" cm="1">
        <f t="array" ref="F523">IFERROR(_xlfn.XLOOKUP(B523,Personal!$A:$A,Personal!$F:$F,""),"")</f>
        <v>0</v>
      </c>
      <c r="I523" s="10" cm="1">
        <f t="array" ref="I523">IFERROR(INDEX(Precios!$D:$F,MATCH(N523, Precios!$G:$G, 0),CHOOSE(MATCH(H523, {"SML";"XL";"XXL"}, 0), 1, 2, 3)), 0)</f>
        <v>0</v>
      </c>
      <c r="K523" s="10">
        <f t="shared" si="22"/>
        <v>0</v>
      </c>
      <c r="N523" s="9" t="str">
        <f t="shared" si="23"/>
        <v/>
      </c>
      <c r="O523" s="9" t="str">
        <f>IF(N523="","",IF(COUNTIF(Precios!$G:$G,N523)=0,"⚠ No coincide con Precios","OK"))</f>
        <v/>
      </c>
    </row>
    <row r="524" spans="3:15" x14ac:dyDescent="0.2">
      <c r="C524" s="9" cm="1">
        <f t="array" ref="C524">IFERROR(_xlfn.XLOOKUP(B524,Personal!$A:$A,Personal!$D:$D,""),"")</f>
        <v>0</v>
      </c>
      <c r="D524" s="9" cm="1">
        <f t="array" ref="D524">IFERROR(_xlfn.XLOOKUP(B524,Personal!$A:$A,Personal!$C:$C,""),"")</f>
        <v>0</v>
      </c>
      <c r="E524" s="9" t="str" cm="1">
        <f t="array" ref="E524">IFERROR(_xlfn.XLOOKUP(D524,Locales!$A:$A,Locales!$B:$B,""),"")</f>
        <v/>
      </c>
      <c r="F524" s="9" cm="1">
        <f t="array" ref="F524">IFERROR(_xlfn.XLOOKUP(B524,Personal!$A:$A,Personal!$F:$F,""),"")</f>
        <v>0</v>
      </c>
      <c r="I524" s="10" cm="1">
        <f t="array" ref="I524">IFERROR(INDEX(Precios!$D:$F,MATCH(N524, Precios!$G:$G, 0),CHOOSE(MATCH(H524, {"SML";"XL";"XXL"}, 0), 1, 2, 3)), 0)</f>
        <v>0</v>
      </c>
      <c r="K524" s="10">
        <f t="shared" si="22"/>
        <v>0</v>
      </c>
      <c r="N524" s="9" t="str">
        <f t="shared" si="23"/>
        <v/>
      </c>
      <c r="O524" s="9" t="str">
        <f>IF(N524="","",IF(COUNTIF(Precios!$G:$G,N524)=0,"⚠ No coincide con Precios","OK"))</f>
        <v/>
      </c>
    </row>
    <row r="525" spans="3:15" x14ac:dyDescent="0.2">
      <c r="C525" s="9" cm="1">
        <f t="array" ref="C525">IFERROR(_xlfn.XLOOKUP(B525,Personal!$A:$A,Personal!$D:$D,""),"")</f>
        <v>0</v>
      </c>
      <c r="D525" s="9" cm="1">
        <f t="array" ref="D525">IFERROR(_xlfn.XLOOKUP(B525,Personal!$A:$A,Personal!$C:$C,""),"")</f>
        <v>0</v>
      </c>
      <c r="E525" s="9" t="str" cm="1">
        <f t="array" ref="E525">IFERROR(_xlfn.XLOOKUP(D525,Locales!$A:$A,Locales!$B:$B,""),"")</f>
        <v/>
      </c>
      <c r="F525" s="9" cm="1">
        <f t="array" ref="F525">IFERROR(_xlfn.XLOOKUP(B525,Personal!$A:$A,Personal!$F:$F,""),"")</f>
        <v>0</v>
      </c>
      <c r="I525" s="10" cm="1">
        <f t="array" ref="I525">IFERROR(INDEX(Precios!$D:$F,MATCH(N525, Precios!$G:$G, 0),CHOOSE(MATCH(H525, {"SML";"XL";"XXL"}, 0), 1, 2, 3)), 0)</f>
        <v>0</v>
      </c>
      <c r="K525" s="10">
        <f t="shared" si="22"/>
        <v>0</v>
      </c>
      <c r="N525" s="9" t="str">
        <f t="shared" si="23"/>
        <v/>
      </c>
      <c r="O525" s="9" t="str">
        <f>IF(N525="","",IF(COUNTIF(Precios!$G:$G,N525)=0,"⚠ No coincide con Precios","OK"))</f>
        <v/>
      </c>
    </row>
    <row r="526" spans="3:15" x14ac:dyDescent="0.2">
      <c r="C526" s="9" cm="1">
        <f t="array" ref="C526">IFERROR(_xlfn.XLOOKUP(B526,Personal!$A:$A,Personal!$D:$D,""),"")</f>
        <v>0</v>
      </c>
      <c r="D526" s="9" cm="1">
        <f t="array" ref="D526">IFERROR(_xlfn.XLOOKUP(B526,Personal!$A:$A,Personal!$C:$C,""),"")</f>
        <v>0</v>
      </c>
      <c r="E526" s="9" t="str" cm="1">
        <f t="array" ref="E526">IFERROR(_xlfn.XLOOKUP(D526,Locales!$A:$A,Locales!$B:$B,""),"")</f>
        <v/>
      </c>
      <c r="F526" s="9" cm="1">
        <f t="array" ref="F526">IFERROR(_xlfn.XLOOKUP(B526,Personal!$A:$A,Personal!$F:$F,""),"")</f>
        <v>0</v>
      </c>
      <c r="I526" s="10" cm="1">
        <f t="array" ref="I526">IFERROR(INDEX(Precios!$D:$F,MATCH(N526, Precios!$G:$G, 0),CHOOSE(MATCH(H526, {"SML";"XL";"XXL"}, 0), 1, 2, 3)), 0)</f>
        <v>0</v>
      </c>
      <c r="K526" s="10">
        <f t="shared" si="22"/>
        <v>0</v>
      </c>
      <c r="N526" s="9" t="str">
        <f t="shared" si="23"/>
        <v/>
      </c>
      <c r="O526" s="9" t="str">
        <f>IF(N526="","",IF(COUNTIF(Precios!$G:$G,N526)=0,"⚠ No coincide con Precios","OK"))</f>
        <v/>
      </c>
    </row>
    <row r="527" spans="3:15" x14ac:dyDescent="0.2">
      <c r="C527" s="9" cm="1">
        <f t="array" ref="C527">IFERROR(_xlfn.XLOOKUP(B527,Personal!$A:$A,Personal!$D:$D,""),"")</f>
        <v>0</v>
      </c>
      <c r="D527" s="9" cm="1">
        <f t="array" ref="D527">IFERROR(_xlfn.XLOOKUP(B527,Personal!$A:$A,Personal!$C:$C,""),"")</f>
        <v>0</v>
      </c>
      <c r="E527" s="9" t="str" cm="1">
        <f t="array" ref="E527">IFERROR(_xlfn.XLOOKUP(D527,Locales!$A:$A,Locales!$B:$B,""),"")</f>
        <v/>
      </c>
      <c r="F527" s="9" cm="1">
        <f t="array" ref="F527">IFERROR(_xlfn.XLOOKUP(B527,Personal!$A:$A,Personal!$F:$F,""),"")</f>
        <v>0</v>
      </c>
      <c r="I527" s="10" cm="1">
        <f t="array" ref="I527">IFERROR(INDEX(Precios!$D:$F,MATCH(N527, Precios!$G:$G, 0),CHOOSE(MATCH(H527, {"SML";"XL";"XXL"}, 0), 1, 2, 3)), 0)</f>
        <v>0</v>
      </c>
      <c r="K527" s="10">
        <f t="shared" si="22"/>
        <v>0</v>
      </c>
      <c r="N527" s="9" t="str">
        <f t="shared" si="23"/>
        <v/>
      </c>
      <c r="O527" s="9" t="str">
        <f>IF(N527="","",IF(COUNTIF(Precios!$G:$G,N527)=0,"⚠ No coincide con Precios","OK"))</f>
        <v/>
      </c>
    </row>
    <row r="528" spans="3:15" x14ac:dyDescent="0.2">
      <c r="C528" s="9" cm="1">
        <f t="array" ref="C528">IFERROR(_xlfn.XLOOKUP(B528,Personal!$A:$A,Personal!$D:$D,""),"")</f>
        <v>0</v>
      </c>
      <c r="D528" s="9" cm="1">
        <f t="array" ref="D528">IFERROR(_xlfn.XLOOKUP(B528,Personal!$A:$A,Personal!$C:$C,""),"")</f>
        <v>0</v>
      </c>
      <c r="E528" s="9" t="str" cm="1">
        <f t="array" ref="E528">IFERROR(_xlfn.XLOOKUP(D528,Locales!$A:$A,Locales!$B:$B,""),"")</f>
        <v/>
      </c>
      <c r="F528" s="9" cm="1">
        <f t="array" ref="F528">IFERROR(_xlfn.XLOOKUP(B528,Personal!$A:$A,Personal!$F:$F,""),"")</f>
        <v>0</v>
      </c>
      <c r="I528" s="10" cm="1">
        <f t="array" ref="I528">IFERROR(INDEX(Precios!$D:$F,MATCH(N528, Precios!$G:$G, 0),CHOOSE(MATCH(H528, {"SML";"XL";"XXL"}, 0), 1, 2, 3)), 0)</f>
        <v>0</v>
      </c>
      <c r="K528" s="10">
        <f t="shared" si="22"/>
        <v>0</v>
      </c>
      <c r="N528" s="9" t="str">
        <f t="shared" si="23"/>
        <v/>
      </c>
      <c r="O528" s="9" t="str">
        <f>IF(N528="","",IF(COUNTIF(Precios!$G:$G,N528)=0,"⚠ No coincide con Precios","OK"))</f>
        <v/>
      </c>
    </row>
    <row r="529" spans="3:15" x14ac:dyDescent="0.2">
      <c r="C529" s="9" cm="1">
        <f t="array" ref="C529">IFERROR(_xlfn.XLOOKUP(B529,Personal!$A:$A,Personal!$D:$D,""),"")</f>
        <v>0</v>
      </c>
      <c r="D529" s="9" cm="1">
        <f t="array" ref="D529">IFERROR(_xlfn.XLOOKUP(B529,Personal!$A:$A,Personal!$C:$C,""),"")</f>
        <v>0</v>
      </c>
      <c r="E529" s="9" t="str" cm="1">
        <f t="array" ref="E529">IFERROR(_xlfn.XLOOKUP(D529,Locales!$A:$A,Locales!$B:$B,""),"")</f>
        <v/>
      </c>
      <c r="F529" s="9" cm="1">
        <f t="array" ref="F529">IFERROR(_xlfn.XLOOKUP(B529,Personal!$A:$A,Personal!$F:$F,""),"")</f>
        <v>0</v>
      </c>
      <c r="I529" s="10" cm="1">
        <f t="array" ref="I529">IFERROR(INDEX(Precios!$D:$F,MATCH(N529, Precios!$G:$G, 0),CHOOSE(MATCH(H529, {"SML";"XL";"XXL"}, 0), 1, 2, 3)), 0)</f>
        <v>0</v>
      </c>
      <c r="K529" s="10">
        <f t="shared" si="22"/>
        <v>0</v>
      </c>
      <c r="N529" s="9" t="str">
        <f t="shared" si="23"/>
        <v/>
      </c>
      <c r="O529" s="9" t="str">
        <f>IF(N529="","",IF(COUNTIF(Precios!$G:$G,N529)=0,"⚠ No coincide con Precios","OK"))</f>
        <v/>
      </c>
    </row>
    <row r="530" spans="3:15" x14ac:dyDescent="0.2">
      <c r="C530" s="9" cm="1">
        <f t="array" ref="C530">IFERROR(_xlfn.XLOOKUP(B530,Personal!$A:$A,Personal!$D:$D,""),"")</f>
        <v>0</v>
      </c>
      <c r="D530" s="9" cm="1">
        <f t="array" ref="D530">IFERROR(_xlfn.XLOOKUP(B530,Personal!$A:$A,Personal!$C:$C,""),"")</f>
        <v>0</v>
      </c>
      <c r="E530" s="9" t="str" cm="1">
        <f t="array" ref="E530">IFERROR(_xlfn.XLOOKUP(D530,Locales!$A:$A,Locales!$B:$B,""),"")</f>
        <v/>
      </c>
      <c r="F530" s="9" cm="1">
        <f t="array" ref="F530">IFERROR(_xlfn.XLOOKUP(B530,Personal!$A:$A,Personal!$F:$F,""),"")</f>
        <v>0</v>
      </c>
      <c r="I530" s="10" cm="1">
        <f t="array" ref="I530">IFERROR(INDEX(Precios!$D:$F,MATCH(N530, Precios!$G:$G, 0),CHOOSE(MATCH(H530, {"SML";"XL";"XXL"}, 0), 1, 2, 3)), 0)</f>
        <v>0</v>
      </c>
      <c r="K530" s="10">
        <f t="shared" si="22"/>
        <v>0</v>
      </c>
      <c r="N530" s="9" t="str">
        <f t="shared" si="23"/>
        <v/>
      </c>
      <c r="O530" s="9" t="str">
        <f>IF(N530="","",IF(COUNTIF(Precios!$G:$G,N530)=0,"⚠ No coincide con Precios","OK"))</f>
        <v/>
      </c>
    </row>
    <row r="531" spans="3:15" x14ac:dyDescent="0.2">
      <c r="C531" s="9" cm="1">
        <f t="array" ref="C531">IFERROR(_xlfn.XLOOKUP(B531,Personal!$A:$A,Personal!$D:$D,""),"")</f>
        <v>0</v>
      </c>
      <c r="D531" s="9" cm="1">
        <f t="array" ref="D531">IFERROR(_xlfn.XLOOKUP(B531,Personal!$A:$A,Personal!$C:$C,""),"")</f>
        <v>0</v>
      </c>
      <c r="E531" s="9" t="str" cm="1">
        <f t="array" ref="E531">IFERROR(_xlfn.XLOOKUP(D531,Locales!$A:$A,Locales!$B:$B,""),"")</f>
        <v/>
      </c>
      <c r="F531" s="9" cm="1">
        <f t="array" ref="F531">IFERROR(_xlfn.XLOOKUP(B531,Personal!$A:$A,Personal!$F:$F,""),"")</f>
        <v>0</v>
      </c>
      <c r="I531" s="10" cm="1">
        <f t="array" ref="I531">IFERROR(INDEX(Precios!$D:$F,MATCH(N531, Precios!$G:$G, 0),CHOOSE(MATCH(H531, {"SML";"XL";"XXL"}, 0), 1, 2, 3)), 0)</f>
        <v>0</v>
      </c>
      <c r="K531" s="10">
        <f t="shared" si="22"/>
        <v>0</v>
      </c>
      <c r="N531" s="9" t="str">
        <f t="shared" si="23"/>
        <v/>
      </c>
      <c r="O531" s="9" t="str">
        <f>IF(N531="","",IF(COUNTIF(Precios!$G:$G,N531)=0,"⚠ No coincide con Precios","OK"))</f>
        <v/>
      </c>
    </row>
    <row r="532" spans="3:15" x14ac:dyDescent="0.2">
      <c r="C532" s="9" cm="1">
        <f t="array" ref="C532">IFERROR(_xlfn.XLOOKUP(B532,Personal!$A:$A,Personal!$D:$D,""),"")</f>
        <v>0</v>
      </c>
      <c r="D532" s="9" cm="1">
        <f t="array" ref="D532">IFERROR(_xlfn.XLOOKUP(B532,Personal!$A:$A,Personal!$C:$C,""),"")</f>
        <v>0</v>
      </c>
      <c r="E532" s="9" t="str" cm="1">
        <f t="array" ref="E532">IFERROR(_xlfn.XLOOKUP(D532,Locales!$A:$A,Locales!$B:$B,""),"")</f>
        <v/>
      </c>
      <c r="F532" s="9" cm="1">
        <f t="array" ref="F532">IFERROR(_xlfn.XLOOKUP(B532,Personal!$A:$A,Personal!$F:$F,""),"")</f>
        <v>0</v>
      </c>
      <c r="I532" s="10" cm="1">
        <f t="array" ref="I532">IFERROR(INDEX(Precios!$D:$F,MATCH(N532, Precios!$G:$G, 0),CHOOSE(MATCH(H532, {"SML";"XL";"XXL"}, 0), 1, 2, 3)), 0)</f>
        <v>0</v>
      </c>
      <c r="K532" s="10">
        <f t="shared" si="22"/>
        <v>0</v>
      </c>
      <c r="N532" s="9" t="str">
        <f t="shared" si="23"/>
        <v/>
      </c>
      <c r="O532" s="9" t="str">
        <f>IF(N532="","",IF(COUNTIF(Precios!$G:$G,N532)=0,"⚠ No coincide con Precios","OK"))</f>
        <v/>
      </c>
    </row>
    <row r="533" spans="3:15" x14ac:dyDescent="0.2">
      <c r="C533" s="9" cm="1">
        <f t="array" ref="C533">IFERROR(_xlfn.XLOOKUP(B533,Personal!$A:$A,Personal!$D:$D,""),"")</f>
        <v>0</v>
      </c>
      <c r="D533" s="9" cm="1">
        <f t="array" ref="D533">IFERROR(_xlfn.XLOOKUP(B533,Personal!$A:$A,Personal!$C:$C,""),"")</f>
        <v>0</v>
      </c>
      <c r="E533" s="9" t="str" cm="1">
        <f t="array" ref="E533">IFERROR(_xlfn.XLOOKUP(D533,Locales!$A:$A,Locales!$B:$B,""),"")</f>
        <v/>
      </c>
      <c r="F533" s="9" cm="1">
        <f t="array" ref="F533">IFERROR(_xlfn.XLOOKUP(B533,Personal!$A:$A,Personal!$F:$F,""),"")</f>
        <v>0</v>
      </c>
      <c r="I533" s="10" cm="1">
        <f t="array" ref="I533">IFERROR(INDEX(Precios!$D:$F,MATCH(N533, Precios!$G:$G, 0),CHOOSE(MATCH(H533, {"SML";"XL";"XXL"}, 0), 1, 2, 3)), 0)</f>
        <v>0</v>
      </c>
      <c r="K533" s="10">
        <f t="shared" si="22"/>
        <v>0</v>
      </c>
      <c r="N533" s="9" t="str">
        <f t="shared" si="23"/>
        <v/>
      </c>
      <c r="O533" s="9" t="str">
        <f>IF(N533="","",IF(COUNTIF(Precios!$G:$G,N533)=0,"⚠ No coincide con Precios","OK"))</f>
        <v/>
      </c>
    </row>
    <row r="534" spans="3:15" x14ac:dyDescent="0.2">
      <c r="C534" s="9" cm="1">
        <f t="array" ref="C534">IFERROR(_xlfn.XLOOKUP(B534,Personal!$A:$A,Personal!$D:$D,""),"")</f>
        <v>0</v>
      </c>
      <c r="D534" s="9" cm="1">
        <f t="array" ref="D534">IFERROR(_xlfn.XLOOKUP(B534,Personal!$A:$A,Personal!$C:$C,""),"")</f>
        <v>0</v>
      </c>
      <c r="E534" s="9" t="str" cm="1">
        <f t="array" ref="E534">IFERROR(_xlfn.XLOOKUP(D534,Locales!$A:$A,Locales!$B:$B,""),"")</f>
        <v/>
      </c>
      <c r="F534" s="9" cm="1">
        <f t="array" ref="F534">IFERROR(_xlfn.XLOOKUP(B534,Personal!$A:$A,Personal!$F:$F,""),"")</f>
        <v>0</v>
      </c>
      <c r="I534" s="10" cm="1">
        <f t="array" ref="I534">IFERROR(INDEX(Precios!$D:$F,MATCH(N534, Precios!$G:$G, 0),CHOOSE(MATCH(H534, {"SML";"XL";"XXL"}, 0), 1, 2, 3)), 0)</f>
        <v>0</v>
      </c>
      <c r="K534" s="10">
        <f t="shared" si="22"/>
        <v>0</v>
      </c>
      <c r="N534" s="9" t="str">
        <f t="shared" si="23"/>
        <v/>
      </c>
      <c r="O534" s="9" t="str">
        <f>IF(N534="","",IF(COUNTIF(Precios!$G:$G,N534)=0,"⚠ No coincide con Precios","OK"))</f>
        <v/>
      </c>
    </row>
    <row r="535" spans="3:15" x14ac:dyDescent="0.2">
      <c r="C535" s="9" cm="1">
        <f t="array" ref="C535">IFERROR(_xlfn.XLOOKUP(B535,Personal!$A:$A,Personal!$D:$D,""),"")</f>
        <v>0</v>
      </c>
      <c r="D535" s="9" cm="1">
        <f t="array" ref="D535">IFERROR(_xlfn.XLOOKUP(B535,Personal!$A:$A,Personal!$C:$C,""),"")</f>
        <v>0</v>
      </c>
      <c r="E535" s="9" t="str" cm="1">
        <f t="array" ref="E535">IFERROR(_xlfn.XLOOKUP(D535,Locales!$A:$A,Locales!$B:$B,""),"")</f>
        <v/>
      </c>
      <c r="F535" s="9" cm="1">
        <f t="array" ref="F535">IFERROR(_xlfn.XLOOKUP(B535,Personal!$A:$A,Personal!$F:$F,""),"")</f>
        <v>0</v>
      </c>
      <c r="I535" s="10" cm="1">
        <f t="array" ref="I535">IFERROR(INDEX(Precios!$D:$F,MATCH(N535, Precios!$G:$G, 0),CHOOSE(MATCH(H535, {"SML";"XL";"XXL"}, 0), 1, 2, 3)), 0)</f>
        <v>0</v>
      </c>
      <c r="K535" s="10">
        <f t="shared" si="22"/>
        <v>0</v>
      </c>
      <c r="N535" s="9" t="str">
        <f t="shared" si="23"/>
        <v/>
      </c>
      <c r="O535" s="9" t="str">
        <f>IF(N535="","",IF(COUNTIF(Precios!$G:$G,N535)=0,"⚠ No coincide con Precios","OK"))</f>
        <v/>
      </c>
    </row>
    <row r="536" spans="3:15" x14ac:dyDescent="0.2">
      <c r="C536" s="9" cm="1">
        <f t="array" ref="C536">IFERROR(_xlfn.XLOOKUP(B536,Personal!$A:$A,Personal!$D:$D,""),"")</f>
        <v>0</v>
      </c>
      <c r="D536" s="9" cm="1">
        <f t="array" ref="D536">IFERROR(_xlfn.XLOOKUP(B536,Personal!$A:$A,Personal!$C:$C,""),"")</f>
        <v>0</v>
      </c>
      <c r="E536" s="9" t="str" cm="1">
        <f t="array" ref="E536">IFERROR(_xlfn.XLOOKUP(D536,Locales!$A:$A,Locales!$B:$B,""),"")</f>
        <v/>
      </c>
      <c r="F536" s="9" cm="1">
        <f t="array" ref="F536">IFERROR(_xlfn.XLOOKUP(B536,Personal!$A:$A,Personal!$F:$F,""),"")</f>
        <v>0</v>
      </c>
      <c r="I536" s="10" cm="1">
        <f t="array" ref="I536">IFERROR(INDEX(Precios!$D:$F,MATCH(N536, Precios!$G:$G, 0),CHOOSE(MATCH(H536, {"SML";"XL";"XXL"}, 0), 1, 2, 3)), 0)</f>
        <v>0</v>
      </c>
      <c r="K536" s="10">
        <f t="shared" si="22"/>
        <v>0</v>
      </c>
      <c r="N536" s="9" t="str">
        <f t="shared" si="23"/>
        <v/>
      </c>
      <c r="O536" s="9" t="str">
        <f>IF(N536="","",IF(COUNTIF(Precios!$G:$G,N536)=0,"⚠ No coincide con Precios","OK"))</f>
        <v/>
      </c>
    </row>
    <row r="537" spans="3:15" x14ac:dyDescent="0.2">
      <c r="C537" s="9" cm="1">
        <f t="array" ref="C537">IFERROR(_xlfn.XLOOKUP(B537,Personal!$A:$A,Personal!$D:$D,""),"")</f>
        <v>0</v>
      </c>
      <c r="D537" s="9" cm="1">
        <f t="array" ref="D537">IFERROR(_xlfn.XLOOKUP(B537,Personal!$A:$A,Personal!$C:$C,""),"")</f>
        <v>0</v>
      </c>
      <c r="E537" s="9" t="str" cm="1">
        <f t="array" ref="E537">IFERROR(_xlfn.XLOOKUP(D537,Locales!$A:$A,Locales!$B:$B,""),"")</f>
        <v/>
      </c>
      <c r="F537" s="9" cm="1">
        <f t="array" ref="F537">IFERROR(_xlfn.XLOOKUP(B537,Personal!$A:$A,Personal!$F:$F,""),"")</f>
        <v>0</v>
      </c>
      <c r="I537" s="10" cm="1">
        <f t="array" ref="I537">IFERROR(INDEX(Precios!$D:$F,MATCH(N537, Precios!$G:$G, 0),CHOOSE(MATCH(H537, {"SML";"XL";"XXL"}, 0), 1, 2, 3)), 0)</f>
        <v>0</v>
      </c>
      <c r="K537" s="10">
        <f t="shared" si="22"/>
        <v>0</v>
      </c>
      <c r="N537" s="9" t="str">
        <f t="shared" si="23"/>
        <v/>
      </c>
      <c r="O537" s="9" t="str">
        <f>IF(N537="","",IF(COUNTIF(Precios!$G:$G,N537)=0,"⚠ No coincide con Precios","OK"))</f>
        <v/>
      </c>
    </row>
    <row r="538" spans="3:15" x14ac:dyDescent="0.2">
      <c r="C538" s="9" cm="1">
        <f t="array" ref="C538">IFERROR(_xlfn.XLOOKUP(B538,Personal!$A:$A,Personal!$D:$D,""),"")</f>
        <v>0</v>
      </c>
      <c r="D538" s="9" cm="1">
        <f t="array" ref="D538">IFERROR(_xlfn.XLOOKUP(B538,Personal!$A:$A,Personal!$C:$C,""),"")</f>
        <v>0</v>
      </c>
      <c r="E538" s="9" t="str" cm="1">
        <f t="array" ref="E538">IFERROR(_xlfn.XLOOKUP(D538,Locales!$A:$A,Locales!$B:$B,""),"")</f>
        <v/>
      </c>
      <c r="F538" s="9" cm="1">
        <f t="array" ref="F538">IFERROR(_xlfn.XLOOKUP(B538,Personal!$A:$A,Personal!$F:$F,""),"")</f>
        <v>0</v>
      </c>
      <c r="I538" s="10" cm="1">
        <f t="array" ref="I538">IFERROR(INDEX(Precios!$D:$F,MATCH(N538, Precios!$G:$G, 0),CHOOSE(MATCH(H538, {"SML";"XL";"XXL"}, 0), 1, 2, 3)), 0)</f>
        <v>0</v>
      </c>
      <c r="K538" s="10">
        <f t="shared" si="22"/>
        <v>0</v>
      </c>
      <c r="N538" s="9" t="str">
        <f t="shared" si="23"/>
        <v/>
      </c>
      <c r="O538" s="9" t="str">
        <f>IF(N538="","",IF(COUNTIF(Precios!$G:$G,N538)=0,"⚠ No coincide con Precios","OK"))</f>
        <v/>
      </c>
    </row>
    <row r="539" spans="3:15" x14ac:dyDescent="0.2">
      <c r="C539" s="9" cm="1">
        <f t="array" ref="C539">IFERROR(_xlfn.XLOOKUP(B539,Personal!$A:$A,Personal!$D:$D,""),"")</f>
        <v>0</v>
      </c>
      <c r="D539" s="9" cm="1">
        <f t="array" ref="D539">IFERROR(_xlfn.XLOOKUP(B539,Personal!$A:$A,Personal!$C:$C,""),"")</f>
        <v>0</v>
      </c>
      <c r="E539" s="9" t="str" cm="1">
        <f t="array" ref="E539">IFERROR(_xlfn.XLOOKUP(D539,Locales!$A:$A,Locales!$B:$B,""),"")</f>
        <v/>
      </c>
      <c r="F539" s="9" cm="1">
        <f t="array" ref="F539">IFERROR(_xlfn.XLOOKUP(B539,Personal!$A:$A,Personal!$F:$F,""),"")</f>
        <v>0</v>
      </c>
      <c r="I539" s="10" cm="1">
        <f t="array" ref="I539">IFERROR(INDEX(Precios!$D:$F,MATCH(N539, Precios!$G:$G, 0),CHOOSE(MATCH(H539, {"SML";"XL";"XXL"}, 0), 1, 2, 3)), 0)</f>
        <v>0</v>
      </c>
      <c r="K539" s="10">
        <f t="shared" si="22"/>
        <v>0</v>
      </c>
      <c r="N539" s="9" t="str">
        <f t="shared" si="23"/>
        <v/>
      </c>
      <c r="O539" s="9" t="str">
        <f>IF(N539="","",IF(COUNTIF(Precios!$G:$G,N539)=0,"⚠ No coincide con Precios","OK"))</f>
        <v/>
      </c>
    </row>
    <row r="540" spans="3:15" x14ac:dyDescent="0.2">
      <c r="C540" s="9" cm="1">
        <f t="array" ref="C540">IFERROR(_xlfn.XLOOKUP(B540,Personal!$A:$A,Personal!$D:$D,""),"")</f>
        <v>0</v>
      </c>
      <c r="D540" s="9" cm="1">
        <f t="array" ref="D540">IFERROR(_xlfn.XLOOKUP(B540,Personal!$A:$A,Personal!$C:$C,""),"")</f>
        <v>0</v>
      </c>
      <c r="E540" s="9" t="str" cm="1">
        <f t="array" ref="E540">IFERROR(_xlfn.XLOOKUP(D540,Locales!$A:$A,Locales!$B:$B,""),"")</f>
        <v/>
      </c>
      <c r="F540" s="9" cm="1">
        <f t="array" ref="F540">IFERROR(_xlfn.XLOOKUP(B540,Personal!$A:$A,Personal!$F:$F,""),"")</f>
        <v>0</v>
      </c>
      <c r="I540" s="10" cm="1">
        <f t="array" ref="I540">IFERROR(INDEX(Precios!$D:$F,MATCH(N540, Precios!$G:$G, 0),CHOOSE(MATCH(H540, {"SML";"XL";"XXL"}, 0), 1, 2, 3)), 0)</f>
        <v>0</v>
      </c>
      <c r="K540" s="10">
        <f t="shared" si="22"/>
        <v>0</v>
      </c>
      <c r="N540" s="9" t="str">
        <f t="shared" si="23"/>
        <v/>
      </c>
      <c r="O540" s="9" t="str">
        <f>IF(N540="","",IF(COUNTIF(Precios!$G:$G,N540)=0,"⚠ No coincide con Precios","OK"))</f>
        <v/>
      </c>
    </row>
    <row r="541" spans="3:15" x14ac:dyDescent="0.2">
      <c r="C541" s="9" cm="1">
        <f t="array" ref="C541">IFERROR(_xlfn.XLOOKUP(B541,Personal!$A:$A,Personal!$D:$D,""),"")</f>
        <v>0</v>
      </c>
      <c r="D541" s="9" cm="1">
        <f t="array" ref="D541">IFERROR(_xlfn.XLOOKUP(B541,Personal!$A:$A,Personal!$C:$C,""),"")</f>
        <v>0</v>
      </c>
      <c r="E541" s="9" t="str" cm="1">
        <f t="array" ref="E541">IFERROR(_xlfn.XLOOKUP(D541,Locales!$A:$A,Locales!$B:$B,""),"")</f>
        <v/>
      </c>
      <c r="F541" s="9" cm="1">
        <f t="array" ref="F541">IFERROR(_xlfn.XLOOKUP(B541,Personal!$A:$A,Personal!$F:$F,""),"")</f>
        <v>0</v>
      </c>
      <c r="I541" s="10" cm="1">
        <f t="array" ref="I541">IFERROR(INDEX(Precios!$D:$F,MATCH(N541, Precios!$G:$G, 0),CHOOSE(MATCH(H541, {"SML";"XL";"XXL"}, 0), 1, 2, 3)), 0)</f>
        <v>0</v>
      </c>
      <c r="K541" s="10">
        <f t="shared" si="22"/>
        <v>0</v>
      </c>
      <c r="N541" s="9" t="str">
        <f t="shared" si="23"/>
        <v/>
      </c>
      <c r="O541" s="9" t="str">
        <f>IF(N541="","",IF(COUNTIF(Precios!$G:$G,N541)=0,"⚠ No coincide con Precios","OK"))</f>
        <v/>
      </c>
    </row>
    <row r="542" spans="3:15" x14ac:dyDescent="0.2">
      <c r="C542" s="9" cm="1">
        <f t="array" ref="C542">IFERROR(_xlfn.XLOOKUP(B542,Personal!$A:$A,Personal!$D:$D,""),"")</f>
        <v>0</v>
      </c>
      <c r="D542" s="9" cm="1">
        <f t="array" ref="D542">IFERROR(_xlfn.XLOOKUP(B542,Personal!$A:$A,Personal!$C:$C,""),"")</f>
        <v>0</v>
      </c>
      <c r="E542" s="9" t="str" cm="1">
        <f t="array" ref="E542">IFERROR(_xlfn.XLOOKUP(D542,Locales!$A:$A,Locales!$B:$B,""),"")</f>
        <v/>
      </c>
      <c r="F542" s="9" cm="1">
        <f t="array" ref="F542">IFERROR(_xlfn.XLOOKUP(B542,Personal!$A:$A,Personal!$F:$F,""),"")</f>
        <v>0</v>
      </c>
      <c r="I542" s="10" cm="1">
        <f t="array" ref="I542">IFERROR(INDEX(Precios!$D:$F,MATCH(N542, Precios!$G:$G, 0),CHOOSE(MATCH(H542, {"SML";"XL";"XXL"}, 0), 1, 2, 3)), 0)</f>
        <v>0</v>
      </c>
      <c r="K542" s="10">
        <f t="shared" si="22"/>
        <v>0</v>
      </c>
      <c r="N542" s="9" t="str">
        <f t="shared" si="23"/>
        <v/>
      </c>
      <c r="O542" s="9" t="str">
        <f>IF(N542="","",IF(COUNTIF(Precios!$G:$G,N542)=0,"⚠ No coincide con Precios","OK"))</f>
        <v/>
      </c>
    </row>
    <row r="543" spans="3:15" x14ac:dyDescent="0.2">
      <c r="C543" s="9" cm="1">
        <f t="array" ref="C543">IFERROR(_xlfn.XLOOKUP(B543,Personal!$A:$A,Personal!$D:$D,""),"")</f>
        <v>0</v>
      </c>
      <c r="D543" s="9" cm="1">
        <f t="array" ref="D543">IFERROR(_xlfn.XLOOKUP(B543,Personal!$A:$A,Personal!$C:$C,""),"")</f>
        <v>0</v>
      </c>
      <c r="E543" s="9" t="str" cm="1">
        <f t="array" ref="E543">IFERROR(_xlfn.XLOOKUP(D543,Locales!$A:$A,Locales!$B:$B,""),"")</f>
        <v/>
      </c>
      <c r="F543" s="9" cm="1">
        <f t="array" ref="F543">IFERROR(_xlfn.XLOOKUP(B543,Personal!$A:$A,Personal!$F:$F,""),"")</f>
        <v>0</v>
      </c>
      <c r="I543" s="10" cm="1">
        <f t="array" ref="I543">IFERROR(INDEX(Precios!$D:$F,MATCH(N543, Precios!$G:$G, 0),CHOOSE(MATCH(H543, {"SML";"XL";"XXL"}, 0), 1, 2, 3)), 0)</f>
        <v>0</v>
      </c>
      <c r="K543" s="10">
        <f t="shared" si="22"/>
        <v>0</v>
      </c>
      <c r="N543" s="9" t="str">
        <f t="shared" si="23"/>
        <v/>
      </c>
      <c r="O543" s="9" t="str">
        <f>IF(N543="","",IF(COUNTIF(Precios!$G:$G,N543)=0,"⚠ No coincide con Precios","OK"))</f>
        <v/>
      </c>
    </row>
    <row r="544" spans="3:15" x14ac:dyDescent="0.2">
      <c r="C544" s="9" cm="1">
        <f t="array" ref="C544">IFERROR(_xlfn.XLOOKUP(B544,Personal!$A:$A,Personal!$D:$D,""),"")</f>
        <v>0</v>
      </c>
      <c r="D544" s="9" cm="1">
        <f t="array" ref="D544">IFERROR(_xlfn.XLOOKUP(B544,Personal!$A:$A,Personal!$C:$C,""),"")</f>
        <v>0</v>
      </c>
      <c r="E544" s="9" t="str" cm="1">
        <f t="array" ref="E544">IFERROR(_xlfn.XLOOKUP(D544,Locales!$A:$A,Locales!$B:$B,""),"")</f>
        <v/>
      </c>
      <c r="F544" s="9" cm="1">
        <f t="array" ref="F544">IFERROR(_xlfn.XLOOKUP(B544,Personal!$A:$A,Personal!$F:$F,""),"")</f>
        <v>0</v>
      </c>
      <c r="I544" s="10" cm="1">
        <f t="array" ref="I544">IFERROR(INDEX(Precios!$D:$F,MATCH(N544, Precios!$G:$G, 0),CHOOSE(MATCH(H544, {"SML";"XL";"XXL"}, 0), 1, 2, 3)), 0)</f>
        <v>0</v>
      </c>
      <c r="K544" s="10">
        <f t="shared" si="22"/>
        <v>0</v>
      </c>
      <c r="N544" s="9" t="str">
        <f t="shared" si="23"/>
        <v/>
      </c>
      <c r="O544" s="9" t="str">
        <f>IF(N544="","",IF(COUNTIF(Precios!$G:$G,N544)=0,"⚠ No coincide con Precios","OK"))</f>
        <v/>
      </c>
    </row>
    <row r="545" spans="3:15" x14ac:dyDescent="0.2">
      <c r="C545" s="9" cm="1">
        <f t="array" ref="C545">IFERROR(_xlfn.XLOOKUP(B545,Personal!$A:$A,Personal!$D:$D,""),"")</f>
        <v>0</v>
      </c>
      <c r="D545" s="9" cm="1">
        <f t="array" ref="D545">IFERROR(_xlfn.XLOOKUP(B545,Personal!$A:$A,Personal!$C:$C,""),"")</f>
        <v>0</v>
      </c>
      <c r="E545" s="9" t="str" cm="1">
        <f t="array" ref="E545">IFERROR(_xlfn.XLOOKUP(D545,Locales!$A:$A,Locales!$B:$B,""),"")</f>
        <v/>
      </c>
      <c r="F545" s="9" cm="1">
        <f t="array" ref="F545">IFERROR(_xlfn.XLOOKUP(B545,Personal!$A:$A,Personal!$F:$F,""),"")</f>
        <v>0</v>
      </c>
      <c r="I545" s="10" cm="1">
        <f t="array" ref="I545">IFERROR(INDEX(Precios!$D:$F,MATCH(N545, Precios!$G:$G, 0),CHOOSE(MATCH(H545, {"SML";"XL";"XXL"}, 0), 1, 2, 3)), 0)</f>
        <v>0</v>
      </c>
      <c r="K545" s="10">
        <f t="shared" si="22"/>
        <v>0</v>
      </c>
      <c r="N545" s="9" t="str">
        <f t="shared" si="23"/>
        <v/>
      </c>
      <c r="O545" s="9" t="str">
        <f>IF(N545="","",IF(COUNTIF(Precios!$G:$G,N545)=0,"⚠ No coincide con Precios","OK"))</f>
        <v/>
      </c>
    </row>
    <row r="546" spans="3:15" x14ac:dyDescent="0.2">
      <c r="C546" s="9" cm="1">
        <f t="array" ref="C546">IFERROR(_xlfn.XLOOKUP(B546,Personal!$A:$A,Personal!$D:$D,""),"")</f>
        <v>0</v>
      </c>
      <c r="D546" s="9" cm="1">
        <f t="array" ref="D546">IFERROR(_xlfn.XLOOKUP(B546,Personal!$A:$A,Personal!$C:$C,""),"")</f>
        <v>0</v>
      </c>
      <c r="E546" s="9" t="str" cm="1">
        <f t="array" ref="E546">IFERROR(_xlfn.XLOOKUP(D546,Locales!$A:$A,Locales!$B:$B,""),"")</f>
        <v/>
      </c>
      <c r="F546" s="9" cm="1">
        <f t="array" ref="F546">IFERROR(_xlfn.XLOOKUP(B546,Personal!$A:$A,Personal!$F:$F,""),"")</f>
        <v>0</v>
      </c>
      <c r="I546" s="10" cm="1">
        <f t="array" ref="I546">IFERROR(INDEX(Precios!$D:$F,MATCH(N546, Precios!$G:$G, 0),CHOOSE(MATCH(H546, {"SML";"XL";"XXL"}, 0), 1, 2, 3)), 0)</f>
        <v>0</v>
      </c>
      <c r="K546" s="10">
        <f t="shared" si="22"/>
        <v>0</v>
      </c>
      <c r="N546" s="9" t="str">
        <f t="shared" si="23"/>
        <v/>
      </c>
      <c r="O546" s="9" t="str">
        <f>IF(N546="","",IF(COUNTIF(Precios!$G:$G,N546)=0,"⚠ No coincide con Precios","OK"))</f>
        <v/>
      </c>
    </row>
    <row r="547" spans="3:15" x14ac:dyDescent="0.2">
      <c r="C547" s="9" cm="1">
        <f t="array" ref="C547">IFERROR(_xlfn.XLOOKUP(B547,Personal!$A:$A,Personal!$D:$D,""),"")</f>
        <v>0</v>
      </c>
      <c r="D547" s="9" cm="1">
        <f t="array" ref="D547">IFERROR(_xlfn.XLOOKUP(B547,Personal!$A:$A,Personal!$C:$C,""),"")</f>
        <v>0</v>
      </c>
      <c r="E547" s="9" t="str" cm="1">
        <f t="array" ref="E547">IFERROR(_xlfn.XLOOKUP(D547,Locales!$A:$A,Locales!$B:$B,""),"")</f>
        <v/>
      </c>
      <c r="F547" s="9" cm="1">
        <f t="array" ref="F547">IFERROR(_xlfn.XLOOKUP(B547,Personal!$A:$A,Personal!$F:$F,""),"")</f>
        <v>0</v>
      </c>
      <c r="I547" s="10" cm="1">
        <f t="array" ref="I547">IFERROR(INDEX(Precios!$D:$F,MATCH(N547, Precios!$G:$G, 0),CHOOSE(MATCH(H547, {"SML";"XL";"XXL"}, 0), 1, 2, 3)), 0)</f>
        <v>0</v>
      </c>
      <c r="K547" s="10">
        <f t="shared" si="22"/>
        <v>0</v>
      </c>
      <c r="N547" s="9" t="str">
        <f t="shared" si="23"/>
        <v/>
      </c>
      <c r="O547" s="9" t="str">
        <f>IF(N547="","",IF(COUNTIF(Precios!$G:$G,N547)=0,"⚠ No coincide con Precios","OK"))</f>
        <v/>
      </c>
    </row>
    <row r="548" spans="3:15" x14ac:dyDescent="0.2">
      <c r="C548" s="9" cm="1">
        <f t="array" ref="C548">IFERROR(_xlfn.XLOOKUP(B548,Personal!$A:$A,Personal!$D:$D,""),"")</f>
        <v>0</v>
      </c>
      <c r="D548" s="9" cm="1">
        <f t="array" ref="D548">IFERROR(_xlfn.XLOOKUP(B548,Personal!$A:$A,Personal!$C:$C,""),"")</f>
        <v>0</v>
      </c>
      <c r="E548" s="9" t="str" cm="1">
        <f t="array" ref="E548">IFERROR(_xlfn.XLOOKUP(D548,Locales!$A:$A,Locales!$B:$B,""),"")</f>
        <v/>
      </c>
      <c r="F548" s="9" cm="1">
        <f t="array" ref="F548">IFERROR(_xlfn.XLOOKUP(B548,Personal!$A:$A,Personal!$F:$F,""),"")</f>
        <v>0</v>
      </c>
      <c r="I548" s="10" cm="1">
        <f t="array" ref="I548">IFERROR(INDEX(Precios!$D:$F,MATCH(N548, Precios!$G:$G, 0),CHOOSE(MATCH(H548, {"SML";"XL";"XXL"}, 0), 1, 2, 3)), 0)</f>
        <v>0</v>
      </c>
      <c r="K548" s="10">
        <f t="shared" si="22"/>
        <v>0</v>
      </c>
      <c r="N548" s="9" t="str">
        <f t="shared" si="23"/>
        <v/>
      </c>
      <c r="O548" s="9" t="str">
        <f>IF(N548="","",IF(COUNTIF(Precios!$G:$G,N548)=0,"⚠ No coincide con Precios","OK"))</f>
        <v/>
      </c>
    </row>
    <row r="549" spans="3:15" x14ac:dyDescent="0.2">
      <c r="C549" s="9" cm="1">
        <f t="array" ref="C549">IFERROR(_xlfn.XLOOKUP(B549,Personal!$A:$A,Personal!$D:$D,""),"")</f>
        <v>0</v>
      </c>
      <c r="D549" s="9" cm="1">
        <f t="array" ref="D549">IFERROR(_xlfn.XLOOKUP(B549,Personal!$A:$A,Personal!$C:$C,""),"")</f>
        <v>0</v>
      </c>
      <c r="E549" s="9" t="str" cm="1">
        <f t="array" ref="E549">IFERROR(_xlfn.XLOOKUP(D549,Locales!$A:$A,Locales!$B:$B,""),"")</f>
        <v/>
      </c>
      <c r="F549" s="9" cm="1">
        <f t="array" ref="F549">IFERROR(_xlfn.XLOOKUP(B549,Personal!$A:$A,Personal!$F:$F,""),"")</f>
        <v>0</v>
      </c>
      <c r="I549" s="10" cm="1">
        <f t="array" ref="I549">IFERROR(INDEX(Precios!$D:$F,MATCH(N549, Precios!$G:$G, 0),CHOOSE(MATCH(H549, {"SML";"XL";"XXL"}, 0), 1, 2, 3)), 0)</f>
        <v>0</v>
      </c>
      <c r="K549" s="10">
        <f t="shared" si="22"/>
        <v>0</v>
      </c>
      <c r="N549" s="9" t="str">
        <f t="shared" si="23"/>
        <v/>
      </c>
      <c r="O549" s="9" t="str">
        <f>IF(N549="","",IF(COUNTIF(Precios!$G:$G,N549)=0,"⚠ No coincide con Precios","OK"))</f>
        <v/>
      </c>
    </row>
    <row r="550" spans="3:15" x14ac:dyDescent="0.2">
      <c r="C550" s="9" cm="1">
        <f t="array" ref="C550">IFERROR(_xlfn.XLOOKUP(B550,Personal!$A:$A,Personal!$D:$D,""),"")</f>
        <v>0</v>
      </c>
      <c r="D550" s="9" cm="1">
        <f t="array" ref="D550">IFERROR(_xlfn.XLOOKUP(B550,Personal!$A:$A,Personal!$C:$C,""),"")</f>
        <v>0</v>
      </c>
      <c r="E550" s="9" t="str" cm="1">
        <f t="array" ref="E550">IFERROR(_xlfn.XLOOKUP(D550,Locales!$A:$A,Locales!$B:$B,""),"")</f>
        <v/>
      </c>
      <c r="F550" s="9" cm="1">
        <f t="array" ref="F550">IFERROR(_xlfn.XLOOKUP(B550,Personal!$A:$A,Personal!$F:$F,""),"")</f>
        <v>0</v>
      </c>
      <c r="I550" s="10" cm="1">
        <f t="array" ref="I550">IFERROR(INDEX(Precios!$D:$F,MATCH(N550, Precios!$G:$G, 0),CHOOSE(MATCH(H550, {"SML";"XL";"XXL"}, 0), 1, 2, 3)), 0)</f>
        <v>0</v>
      </c>
      <c r="K550" s="10">
        <f t="shared" si="22"/>
        <v>0</v>
      </c>
      <c r="N550" s="9" t="str">
        <f t="shared" si="23"/>
        <v/>
      </c>
      <c r="O550" s="9" t="str">
        <f>IF(N550="","",IF(COUNTIF(Precios!$G:$G,N550)=0,"⚠ No coincide con Precios","OK"))</f>
        <v/>
      </c>
    </row>
    <row r="551" spans="3:15" x14ac:dyDescent="0.2">
      <c r="C551" s="9" cm="1">
        <f t="array" ref="C551">IFERROR(_xlfn.XLOOKUP(B551,Personal!$A:$A,Personal!$D:$D,""),"")</f>
        <v>0</v>
      </c>
      <c r="D551" s="9" cm="1">
        <f t="array" ref="D551">IFERROR(_xlfn.XLOOKUP(B551,Personal!$A:$A,Personal!$C:$C,""),"")</f>
        <v>0</v>
      </c>
      <c r="E551" s="9" t="str" cm="1">
        <f t="array" ref="E551">IFERROR(_xlfn.XLOOKUP(D551,Locales!$A:$A,Locales!$B:$B,""),"")</f>
        <v/>
      </c>
      <c r="F551" s="9" cm="1">
        <f t="array" ref="F551">IFERROR(_xlfn.XLOOKUP(B551,Personal!$A:$A,Personal!$F:$F,""),"")</f>
        <v>0</v>
      </c>
      <c r="I551" s="10" cm="1">
        <f t="array" ref="I551">IFERROR(INDEX(Precios!$D:$F,MATCH(N551, Precios!$G:$G, 0),CHOOSE(MATCH(H551, {"SML";"XL";"XXL"}, 0), 1, 2, 3)), 0)</f>
        <v>0</v>
      </c>
      <c r="K551" s="10">
        <f t="shared" si="22"/>
        <v>0</v>
      </c>
      <c r="N551" s="9" t="str">
        <f t="shared" si="23"/>
        <v/>
      </c>
      <c r="O551" s="9" t="str">
        <f>IF(N551="","",IF(COUNTIF(Precios!$G:$G,N551)=0,"⚠ No coincide con Precios","OK"))</f>
        <v/>
      </c>
    </row>
    <row r="552" spans="3:15" x14ac:dyDescent="0.2">
      <c r="C552" s="9" cm="1">
        <f t="array" ref="C552">IFERROR(_xlfn.XLOOKUP(B552,Personal!$A:$A,Personal!$D:$D,""),"")</f>
        <v>0</v>
      </c>
      <c r="D552" s="9" cm="1">
        <f t="array" ref="D552">IFERROR(_xlfn.XLOOKUP(B552,Personal!$A:$A,Personal!$C:$C,""),"")</f>
        <v>0</v>
      </c>
      <c r="E552" s="9" t="str" cm="1">
        <f t="array" ref="E552">IFERROR(_xlfn.XLOOKUP(D552,Locales!$A:$A,Locales!$B:$B,""),"")</f>
        <v/>
      </c>
      <c r="F552" s="9" cm="1">
        <f t="array" ref="F552">IFERROR(_xlfn.XLOOKUP(B552,Personal!$A:$A,Personal!$F:$F,""),"")</f>
        <v>0</v>
      </c>
      <c r="I552" s="10" cm="1">
        <f t="array" ref="I552">IFERROR(INDEX(Precios!$D:$F,MATCH(N552, Precios!$G:$G, 0),CHOOSE(MATCH(H552, {"SML";"XL";"XXL"}, 0), 1, 2, 3)), 0)</f>
        <v>0</v>
      </c>
      <c r="K552" s="10">
        <f t="shared" si="22"/>
        <v>0</v>
      </c>
      <c r="N552" s="9" t="str">
        <f t="shared" si="23"/>
        <v/>
      </c>
      <c r="O552" s="9" t="str">
        <f>IF(N552="","",IF(COUNTIF(Precios!$G:$G,N552)=0,"⚠ No coincide con Precios","OK"))</f>
        <v/>
      </c>
    </row>
    <row r="553" spans="3:15" x14ac:dyDescent="0.2">
      <c r="C553" s="9" cm="1">
        <f t="array" ref="C553">IFERROR(_xlfn.XLOOKUP(B553,Personal!$A:$A,Personal!$D:$D,""),"")</f>
        <v>0</v>
      </c>
      <c r="D553" s="9" cm="1">
        <f t="array" ref="D553">IFERROR(_xlfn.XLOOKUP(B553,Personal!$A:$A,Personal!$C:$C,""),"")</f>
        <v>0</v>
      </c>
      <c r="E553" s="9" t="str" cm="1">
        <f t="array" ref="E553">IFERROR(_xlfn.XLOOKUP(D553,Locales!$A:$A,Locales!$B:$B,""),"")</f>
        <v/>
      </c>
      <c r="F553" s="9" cm="1">
        <f t="array" ref="F553">IFERROR(_xlfn.XLOOKUP(B553,Personal!$A:$A,Personal!$F:$F,""),"")</f>
        <v>0</v>
      </c>
      <c r="I553" s="10" cm="1">
        <f t="array" ref="I553">IFERROR(INDEX(Precios!$D:$F,MATCH(N553, Precios!$G:$G, 0),CHOOSE(MATCH(H553, {"SML";"XL";"XXL"}, 0), 1, 2, 3)), 0)</f>
        <v>0</v>
      </c>
      <c r="K553" s="10">
        <f t="shared" si="22"/>
        <v>0</v>
      </c>
      <c r="N553" s="9" t="str">
        <f t="shared" si="23"/>
        <v/>
      </c>
      <c r="O553" s="9" t="str">
        <f>IF(N553="","",IF(COUNTIF(Precios!$G:$G,N553)=0,"⚠ No coincide con Precios","OK"))</f>
        <v/>
      </c>
    </row>
    <row r="554" spans="3:15" x14ac:dyDescent="0.2">
      <c r="C554" s="9" cm="1">
        <f t="array" ref="C554">IFERROR(_xlfn.XLOOKUP(B554,Personal!$A:$A,Personal!$D:$D,""),"")</f>
        <v>0</v>
      </c>
      <c r="D554" s="9" cm="1">
        <f t="array" ref="D554">IFERROR(_xlfn.XLOOKUP(B554,Personal!$A:$A,Personal!$C:$C,""),"")</f>
        <v>0</v>
      </c>
      <c r="E554" s="9" t="str" cm="1">
        <f t="array" ref="E554">IFERROR(_xlfn.XLOOKUP(D554,Locales!$A:$A,Locales!$B:$B,""),"")</f>
        <v/>
      </c>
      <c r="F554" s="9" cm="1">
        <f t="array" ref="F554">IFERROR(_xlfn.XLOOKUP(B554,Personal!$A:$A,Personal!$F:$F,""),"")</f>
        <v>0</v>
      </c>
      <c r="I554" s="10" cm="1">
        <f t="array" ref="I554">IFERROR(INDEX(Precios!$D:$F,MATCH(N554, Precios!$G:$G, 0),CHOOSE(MATCH(H554, {"SML";"XL";"XXL"}, 0), 1, 2, 3)), 0)</f>
        <v>0</v>
      </c>
      <c r="K554" s="10">
        <f t="shared" si="22"/>
        <v>0</v>
      </c>
      <c r="N554" s="9" t="str">
        <f t="shared" si="23"/>
        <v/>
      </c>
      <c r="O554" s="9" t="str">
        <f>IF(N554="","",IF(COUNTIF(Precios!$G:$G,N554)=0,"⚠ No coincide con Precios","OK"))</f>
        <v/>
      </c>
    </row>
    <row r="555" spans="3:15" x14ac:dyDescent="0.2">
      <c r="C555" s="9" cm="1">
        <f t="array" ref="C555">IFERROR(_xlfn.XLOOKUP(B555,Personal!$A:$A,Personal!$D:$D,""),"")</f>
        <v>0</v>
      </c>
      <c r="D555" s="9" cm="1">
        <f t="array" ref="D555">IFERROR(_xlfn.XLOOKUP(B555,Personal!$A:$A,Personal!$C:$C,""),"")</f>
        <v>0</v>
      </c>
      <c r="E555" s="9" t="str" cm="1">
        <f t="array" ref="E555">IFERROR(_xlfn.XLOOKUP(D555,Locales!$A:$A,Locales!$B:$B,""),"")</f>
        <v/>
      </c>
      <c r="F555" s="9" cm="1">
        <f t="array" ref="F555">IFERROR(_xlfn.XLOOKUP(B555,Personal!$A:$A,Personal!$F:$F,""),"")</f>
        <v>0</v>
      </c>
      <c r="I555" s="10" cm="1">
        <f t="array" ref="I555">IFERROR(INDEX(Precios!$D:$F,MATCH(N555, Precios!$G:$G, 0),CHOOSE(MATCH(H555, {"SML";"XL";"XXL"}, 0), 1, 2, 3)), 0)</f>
        <v>0</v>
      </c>
      <c r="K555" s="10">
        <f t="shared" si="22"/>
        <v>0</v>
      </c>
      <c r="N555" s="9" t="str">
        <f t="shared" si="23"/>
        <v/>
      </c>
      <c r="O555" s="9" t="str">
        <f>IF(N555="","",IF(COUNTIF(Precios!$G:$G,N555)=0,"⚠ No coincide con Precios","OK"))</f>
        <v/>
      </c>
    </row>
    <row r="556" spans="3:15" x14ac:dyDescent="0.2">
      <c r="C556" s="9" cm="1">
        <f t="array" ref="C556">IFERROR(_xlfn.XLOOKUP(B556,Personal!$A:$A,Personal!$D:$D,""),"")</f>
        <v>0</v>
      </c>
      <c r="D556" s="9" cm="1">
        <f t="array" ref="D556">IFERROR(_xlfn.XLOOKUP(B556,Personal!$A:$A,Personal!$C:$C,""),"")</f>
        <v>0</v>
      </c>
      <c r="E556" s="9" t="str" cm="1">
        <f t="array" ref="E556">IFERROR(_xlfn.XLOOKUP(D556,Locales!$A:$A,Locales!$B:$B,""),"")</f>
        <v/>
      </c>
      <c r="F556" s="9" cm="1">
        <f t="array" ref="F556">IFERROR(_xlfn.XLOOKUP(B556,Personal!$A:$A,Personal!$F:$F,""),"")</f>
        <v>0</v>
      </c>
      <c r="I556" s="10" cm="1">
        <f t="array" ref="I556">IFERROR(INDEX(Precios!$D:$F,MATCH(N556, Precios!$G:$G, 0),CHOOSE(MATCH(H556, {"SML";"XL";"XXL"}, 0), 1, 2, 3)), 0)</f>
        <v>0</v>
      </c>
      <c r="K556" s="10">
        <f t="shared" si="22"/>
        <v>0</v>
      </c>
      <c r="N556" s="9" t="str">
        <f t="shared" si="23"/>
        <v/>
      </c>
      <c r="O556" s="9" t="str">
        <f>IF(N556="","",IF(COUNTIF(Precios!$G:$G,N556)=0,"⚠ No coincide con Precios","OK"))</f>
        <v/>
      </c>
    </row>
    <row r="557" spans="3:15" x14ac:dyDescent="0.2">
      <c r="C557" s="9" cm="1">
        <f t="array" ref="C557">IFERROR(_xlfn.XLOOKUP(B557,Personal!$A:$A,Personal!$D:$D,""),"")</f>
        <v>0</v>
      </c>
      <c r="D557" s="9" cm="1">
        <f t="array" ref="D557">IFERROR(_xlfn.XLOOKUP(B557,Personal!$A:$A,Personal!$C:$C,""),"")</f>
        <v>0</v>
      </c>
      <c r="E557" s="9" t="str" cm="1">
        <f t="array" ref="E557">IFERROR(_xlfn.XLOOKUP(D557,Locales!$A:$A,Locales!$B:$B,""),"")</f>
        <v/>
      </c>
      <c r="F557" s="9" cm="1">
        <f t="array" ref="F557">IFERROR(_xlfn.XLOOKUP(B557,Personal!$A:$A,Personal!$F:$F,""),"")</f>
        <v>0</v>
      </c>
      <c r="I557" s="10" cm="1">
        <f t="array" ref="I557">IFERROR(INDEX(Precios!$D:$F,MATCH(N557, Precios!$G:$G, 0),CHOOSE(MATCH(H557, {"SML";"XL";"XXL"}, 0), 1, 2, 3)), 0)</f>
        <v>0</v>
      </c>
      <c r="K557" s="10">
        <f t="shared" si="22"/>
        <v>0</v>
      </c>
      <c r="N557" s="9" t="str">
        <f t="shared" si="23"/>
        <v/>
      </c>
      <c r="O557" s="9" t="str">
        <f>IF(N557="","",IF(COUNTIF(Precios!$G:$G,N557)=0,"⚠ No coincide con Precios","OK"))</f>
        <v/>
      </c>
    </row>
    <row r="558" spans="3:15" x14ac:dyDescent="0.2">
      <c r="C558" s="9" cm="1">
        <f t="array" ref="C558">IFERROR(_xlfn.XLOOKUP(B558,Personal!$A:$A,Personal!$D:$D,""),"")</f>
        <v>0</v>
      </c>
      <c r="D558" s="9" cm="1">
        <f t="array" ref="D558">IFERROR(_xlfn.XLOOKUP(B558,Personal!$A:$A,Personal!$C:$C,""),"")</f>
        <v>0</v>
      </c>
      <c r="E558" s="9" t="str" cm="1">
        <f t="array" ref="E558">IFERROR(_xlfn.XLOOKUP(D558,Locales!$A:$A,Locales!$B:$B,""),"")</f>
        <v/>
      </c>
      <c r="F558" s="9" cm="1">
        <f t="array" ref="F558">IFERROR(_xlfn.XLOOKUP(B558,Personal!$A:$A,Personal!$F:$F,""),"")</f>
        <v>0</v>
      </c>
      <c r="I558" s="10" cm="1">
        <f t="array" ref="I558">IFERROR(INDEX(Precios!$D:$F,MATCH(N558, Precios!$G:$G, 0),CHOOSE(MATCH(H558, {"SML";"XL";"XXL"}, 0), 1, 2, 3)), 0)</f>
        <v>0</v>
      </c>
      <c r="K558" s="10">
        <f t="shared" si="22"/>
        <v>0</v>
      </c>
      <c r="N558" s="9" t="str">
        <f t="shared" si="23"/>
        <v/>
      </c>
      <c r="O558" s="9" t="str">
        <f>IF(N558="","",IF(COUNTIF(Precios!$G:$G,N558)=0,"⚠ No coincide con Precios","OK"))</f>
        <v/>
      </c>
    </row>
    <row r="559" spans="3:15" x14ac:dyDescent="0.2">
      <c r="C559" s="9" cm="1">
        <f t="array" ref="C559">IFERROR(_xlfn.XLOOKUP(B559,Personal!$A:$A,Personal!$D:$D,""),"")</f>
        <v>0</v>
      </c>
      <c r="D559" s="9" cm="1">
        <f t="array" ref="D559">IFERROR(_xlfn.XLOOKUP(B559,Personal!$A:$A,Personal!$C:$C,""),"")</f>
        <v>0</v>
      </c>
      <c r="E559" s="9" t="str" cm="1">
        <f t="array" ref="E559">IFERROR(_xlfn.XLOOKUP(D559,Locales!$A:$A,Locales!$B:$B,""),"")</f>
        <v/>
      </c>
      <c r="F559" s="9" cm="1">
        <f t="array" ref="F559">IFERROR(_xlfn.XLOOKUP(B559,Personal!$A:$A,Personal!$F:$F,""),"")</f>
        <v>0</v>
      </c>
      <c r="I559" s="10" cm="1">
        <f t="array" ref="I559">IFERROR(INDEX(Precios!$D:$F,MATCH(N559, Precios!$G:$G, 0),CHOOSE(MATCH(H559, {"SML";"XL";"XXL"}, 0), 1, 2, 3)), 0)</f>
        <v>0</v>
      </c>
      <c r="K559" s="10">
        <f t="shared" si="22"/>
        <v>0</v>
      </c>
      <c r="N559" s="9" t="str">
        <f t="shared" si="23"/>
        <v/>
      </c>
      <c r="O559" s="9" t="str">
        <f>IF(N559="","",IF(COUNTIF(Precios!$G:$G,N559)=0,"⚠ No coincide con Precios","OK"))</f>
        <v/>
      </c>
    </row>
    <row r="560" spans="3:15" x14ac:dyDescent="0.2">
      <c r="C560" s="9" cm="1">
        <f t="array" ref="C560">IFERROR(_xlfn.XLOOKUP(B560,Personal!$A:$A,Personal!$D:$D,""),"")</f>
        <v>0</v>
      </c>
      <c r="D560" s="9" cm="1">
        <f t="array" ref="D560">IFERROR(_xlfn.XLOOKUP(B560,Personal!$A:$A,Personal!$C:$C,""),"")</f>
        <v>0</v>
      </c>
      <c r="E560" s="9" t="str" cm="1">
        <f t="array" ref="E560">IFERROR(_xlfn.XLOOKUP(D560,Locales!$A:$A,Locales!$B:$B,""),"")</f>
        <v/>
      </c>
      <c r="F560" s="9" cm="1">
        <f t="array" ref="F560">IFERROR(_xlfn.XLOOKUP(B560,Personal!$A:$A,Personal!$F:$F,""),"")</f>
        <v>0</v>
      </c>
      <c r="I560" s="10" cm="1">
        <f t="array" ref="I560">IFERROR(INDEX(Precios!$D:$F,MATCH(N560, Precios!$G:$G, 0),CHOOSE(MATCH(H560, {"SML";"XL";"XXL"}, 0), 1, 2, 3)), 0)</f>
        <v>0</v>
      </c>
      <c r="K560" s="10">
        <f t="shared" si="22"/>
        <v>0</v>
      </c>
      <c r="N560" s="9" t="str">
        <f t="shared" si="23"/>
        <v/>
      </c>
      <c r="O560" s="9" t="str">
        <f>IF(N560="","",IF(COUNTIF(Precios!$G:$G,N560)=0,"⚠ No coincide con Precios","OK"))</f>
        <v/>
      </c>
    </row>
    <row r="561" spans="3:15" x14ac:dyDescent="0.2">
      <c r="C561" s="9" cm="1">
        <f t="array" ref="C561">IFERROR(_xlfn.XLOOKUP(B561,Personal!$A:$A,Personal!$D:$D,""),"")</f>
        <v>0</v>
      </c>
      <c r="D561" s="9" cm="1">
        <f t="array" ref="D561">IFERROR(_xlfn.XLOOKUP(B561,Personal!$A:$A,Personal!$C:$C,""),"")</f>
        <v>0</v>
      </c>
      <c r="E561" s="9" t="str" cm="1">
        <f t="array" ref="E561">IFERROR(_xlfn.XLOOKUP(D561,Locales!$A:$A,Locales!$B:$B,""),"")</f>
        <v/>
      </c>
      <c r="F561" s="9" cm="1">
        <f t="array" ref="F561">IFERROR(_xlfn.XLOOKUP(B561,Personal!$A:$A,Personal!$F:$F,""),"")</f>
        <v>0</v>
      </c>
      <c r="I561" s="10" cm="1">
        <f t="array" ref="I561">IFERROR(INDEX(Precios!$D:$F,MATCH(N561, Precios!$G:$G, 0),CHOOSE(MATCH(H561, {"SML";"XL";"XXL"}, 0), 1, 2, 3)), 0)</f>
        <v>0</v>
      </c>
      <c r="K561" s="10">
        <f t="shared" si="22"/>
        <v>0</v>
      </c>
      <c r="N561" s="9" t="str">
        <f t="shared" si="23"/>
        <v/>
      </c>
      <c r="O561" s="9" t="str">
        <f>IF(N561="","",IF(COUNTIF(Precios!$G:$G,N561)=0,"⚠ No coincide con Precios","OK"))</f>
        <v/>
      </c>
    </row>
    <row r="562" spans="3:15" x14ac:dyDescent="0.2">
      <c r="C562" s="9" cm="1">
        <f t="array" ref="C562">IFERROR(_xlfn.XLOOKUP(B562,Personal!$A:$A,Personal!$D:$D,""),"")</f>
        <v>0</v>
      </c>
      <c r="D562" s="9" cm="1">
        <f t="array" ref="D562">IFERROR(_xlfn.XLOOKUP(B562,Personal!$A:$A,Personal!$C:$C,""),"")</f>
        <v>0</v>
      </c>
      <c r="E562" s="9" t="str" cm="1">
        <f t="array" ref="E562">IFERROR(_xlfn.XLOOKUP(D562,Locales!$A:$A,Locales!$B:$B,""),"")</f>
        <v/>
      </c>
      <c r="F562" s="9" cm="1">
        <f t="array" ref="F562">IFERROR(_xlfn.XLOOKUP(B562,Personal!$A:$A,Personal!$F:$F,""),"")</f>
        <v>0</v>
      </c>
      <c r="I562" s="10" cm="1">
        <f t="array" ref="I562">IFERROR(INDEX(Precios!$D:$F,MATCH(N562, Precios!$G:$G, 0),CHOOSE(MATCH(H562, {"SML";"XL";"XXL"}, 0), 1, 2, 3)), 0)</f>
        <v>0</v>
      </c>
      <c r="K562" s="10">
        <f t="shared" si="22"/>
        <v>0</v>
      </c>
      <c r="N562" s="9" t="str">
        <f t="shared" si="23"/>
        <v/>
      </c>
      <c r="O562" s="9" t="str">
        <f>IF(N562="","",IF(COUNTIF(Precios!$G:$G,N562)=0,"⚠ No coincide con Precios","OK"))</f>
        <v/>
      </c>
    </row>
    <row r="563" spans="3:15" x14ac:dyDescent="0.2">
      <c r="C563" s="9" cm="1">
        <f t="array" ref="C563">IFERROR(_xlfn.XLOOKUP(B563,Personal!$A:$A,Personal!$D:$D,""),"")</f>
        <v>0</v>
      </c>
      <c r="D563" s="9" cm="1">
        <f t="array" ref="D563">IFERROR(_xlfn.XLOOKUP(B563,Personal!$A:$A,Personal!$C:$C,""),"")</f>
        <v>0</v>
      </c>
      <c r="E563" s="9" t="str" cm="1">
        <f t="array" ref="E563">IFERROR(_xlfn.XLOOKUP(D563,Locales!$A:$A,Locales!$B:$B,""),"")</f>
        <v/>
      </c>
      <c r="F563" s="9" cm="1">
        <f t="array" ref="F563">IFERROR(_xlfn.XLOOKUP(B563,Personal!$A:$A,Personal!$F:$F,""),"")</f>
        <v>0</v>
      </c>
      <c r="I563" s="10" cm="1">
        <f t="array" ref="I563">IFERROR(INDEX(Precios!$D:$F,MATCH(N563, Precios!$G:$G, 0),CHOOSE(MATCH(H563, {"SML";"XL";"XXL"}, 0), 1, 2, 3)), 0)</f>
        <v>0</v>
      </c>
      <c r="K563" s="10">
        <f t="shared" si="22"/>
        <v>0</v>
      </c>
      <c r="N563" s="9" t="str">
        <f t="shared" si="23"/>
        <v/>
      </c>
      <c r="O563" s="9" t="str">
        <f>IF(N563="","",IF(COUNTIF(Precios!$G:$G,N563)=0,"⚠ No coincide con Precios","OK"))</f>
        <v/>
      </c>
    </row>
    <row r="564" spans="3:15" x14ac:dyDescent="0.2">
      <c r="C564" s="9" cm="1">
        <f t="array" ref="C564">IFERROR(_xlfn.XLOOKUP(B564,Personal!$A:$A,Personal!$D:$D,""),"")</f>
        <v>0</v>
      </c>
      <c r="D564" s="9" cm="1">
        <f t="array" ref="D564">IFERROR(_xlfn.XLOOKUP(B564,Personal!$A:$A,Personal!$C:$C,""),"")</f>
        <v>0</v>
      </c>
      <c r="E564" s="9" t="str" cm="1">
        <f t="array" ref="E564">IFERROR(_xlfn.XLOOKUP(D564,Locales!$A:$A,Locales!$B:$B,""),"")</f>
        <v/>
      </c>
      <c r="F564" s="9" cm="1">
        <f t="array" ref="F564">IFERROR(_xlfn.XLOOKUP(B564,Personal!$A:$A,Personal!$F:$F,""),"")</f>
        <v>0</v>
      </c>
      <c r="I564" s="10" cm="1">
        <f t="array" ref="I564">IFERROR(INDEX(Precios!$D:$F,MATCH(N564, Precios!$G:$G, 0),CHOOSE(MATCH(H564, {"SML";"XL";"XXL"}, 0), 1, 2, 3)), 0)</f>
        <v>0</v>
      </c>
      <c r="K564" s="10">
        <f t="shared" si="22"/>
        <v>0</v>
      </c>
      <c r="N564" s="9" t="str">
        <f t="shared" si="23"/>
        <v/>
      </c>
      <c r="O564" s="9" t="str">
        <f>IF(N564="","",IF(COUNTIF(Precios!$G:$G,N564)=0,"⚠ No coincide con Precios","OK"))</f>
        <v/>
      </c>
    </row>
    <row r="565" spans="3:15" x14ac:dyDescent="0.2">
      <c r="C565" s="9" cm="1">
        <f t="array" ref="C565">IFERROR(_xlfn.XLOOKUP(B565,Personal!$A:$A,Personal!$D:$D,""),"")</f>
        <v>0</v>
      </c>
      <c r="D565" s="9" cm="1">
        <f t="array" ref="D565">IFERROR(_xlfn.XLOOKUP(B565,Personal!$A:$A,Personal!$C:$C,""),"")</f>
        <v>0</v>
      </c>
      <c r="E565" s="9" t="str" cm="1">
        <f t="array" ref="E565">IFERROR(_xlfn.XLOOKUP(D565,Locales!$A:$A,Locales!$B:$B,""),"")</f>
        <v/>
      </c>
      <c r="F565" s="9" cm="1">
        <f t="array" ref="F565">IFERROR(_xlfn.XLOOKUP(B565,Personal!$A:$A,Personal!$F:$F,""),"")</f>
        <v>0</v>
      </c>
      <c r="I565" s="10" cm="1">
        <f t="array" ref="I565">IFERROR(INDEX(Precios!$D:$F,MATCH(N565, Precios!$G:$G, 0),CHOOSE(MATCH(H565, {"SML";"XL";"XXL"}, 0), 1, 2, 3)), 0)</f>
        <v>0</v>
      </c>
      <c r="K565" s="10">
        <f t="shared" si="22"/>
        <v>0</v>
      </c>
      <c r="N565" s="9" t="str">
        <f t="shared" si="23"/>
        <v/>
      </c>
      <c r="O565" s="9" t="str">
        <f>IF(N565="","",IF(COUNTIF(Precios!$G:$G,N565)=0,"⚠ No coincide con Precios","OK"))</f>
        <v/>
      </c>
    </row>
    <row r="566" spans="3:15" x14ac:dyDescent="0.2">
      <c r="C566" s="9" cm="1">
        <f t="array" ref="C566">IFERROR(_xlfn.XLOOKUP(B566,Personal!$A:$A,Personal!$D:$D,""),"")</f>
        <v>0</v>
      </c>
      <c r="D566" s="9" cm="1">
        <f t="array" ref="D566">IFERROR(_xlfn.XLOOKUP(B566,Personal!$A:$A,Personal!$C:$C,""),"")</f>
        <v>0</v>
      </c>
      <c r="E566" s="9" t="str" cm="1">
        <f t="array" ref="E566">IFERROR(_xlfn.XLOOKUP(D566,Locales!$A:$A,Locales!$B:$B,""),"")</f>
        <v/>
      </c>
      <c r="F566" s="9" cm="1">
        <f t="array" ref="F566">IFERROR(_xlfn.XLOOKUP(B566,Personal!$A:$A,Personal!$F:$F,""),"")</f>
        <v>0</v>
      </c>
      <c r="I566" s="10" cm="1">
        <f t="array" ref="I566">IFERROR(INDEX(Precios!$D:$F,MATCH(N566, Precios!$G:$G, 0),CHOOSE(MATCH(H566, {"SML";"XL";"XXL"}, 0), 1, 2, 3)), 0)</f>
        <v>0</v>
      </c>
      <c r="K566" s="10">
        <f t="shared" si="22"/>
        <v>0</v>
      </c>
      <c r="N566" s="9" t="str">
        <f t="shared" si="23"/>
        <v/>
      </c>
      <c r="O566" s="9" t="str">
        <f>IF(N566="","",IF(COUNTIF(Precios!$G:$G,N566)=0,"⚠ No coincide con Precios","OK"))</f>
        <v/>
      </c>
    </row>
    <row r="567" spans="3:15" x14ac:dyDescent="0.2">
      <c r="C567" s="9" cm="1">
        <f t="array" ref="C567">IFERROR(_xlfn.XLOOKUP(B567,Personal!$A:$A,Personal!$D:$D,""),"")</f>
        <v>0</v>
      </c>
      <c r="D567" s="9" cm="1">
        <f t="array" ref="D567">IFERROR(_xlfn.XLOOKUP(B567,Personal!$A:$A,Personal!$C:$C,""),"")</f>
        <v>0</v>
      </c>
      <c r="E567" s="9" t="str" cm="1">
        <f t="array" ref="E567">IFERROR(_xlfn.XLOOKUP(D567,Locales!$A:$A,Locales!$B:$B,""),"")</f>
        <v/>
      </c>
      <c r="F567" s="9" cm="1">
        <f t="array" ref="F567">IFERROR(_xlfn.XLOOKUP(B567,Personal!$A:$A,Personal!$F:$F,""),"")</f>
        <v>0</v>
      </c>
      <c r="I567" s="10" cm="1">
        <f t="array" ref="I567">IFERROR(INDEX(Precios!$D:$F,MATCH(N567, Precios!$G:$G, 0),CHOOSE(MATCH(H567, {"SML";"XL";"XXL"}, 0), 1, 2, 3)), 0)</f>
        <v>0</v>
      </c>
      <c r="K567" s="10">
        <f t="shared" si="22"/>
        <v>0</v>
      </c>
      <c r="N567" s="9" t="str">
        <f t="shared" si="23"/>
        <v/>
      </c>
      <c r="O567" s="9" t="str">
        <f>IF(N567="","",IF(COUNTIF(Precios!$G:$G,N567)=0,"⚠ No coincide con Precios","OK"))</f>
        <v/>
      </c>
    </row>
    <row r="568" spans="3:15" x14ac:dyDescent="0.2">
      <c r="C568" s="9" cm="1">
        <f t="array" ref="C568">IFERROR(_xlfn.XLOOKUP(B568,Personal!$A:$A,Personal!$D:$D,""),"")</f>
        <v>0</v>
      </c>
      <c r="D568" s="9" cm="1">
        <f t="array" ref="D568">IFERROR(_xlfn.XLOOKUP(B568,Personal!$A:$A,Personal!$C:$C,""),"")</f>
        <v>0</v>
      </c>
      <c r="E568" s="9" t="str" cm="1">
        <f t="array" ref="E568">IFERROR(_xlfn.XLOOKUP(D568,Locales!$A:$A,Locales!$B:$B,""),"")</f>
        <v/>
      </c>
      <c r="F568" s="9" cm="1">
        <f t="array" ref="F568">IFERROR(_xlfn.XLOOKUP(B568,Personal!$A:$A,Personal!$F:$F,""),"")</f>
        <v>0</v>
      </c>
      <c r="I568" s="10" cm="1">
        <f t="array" ref="I568">IFERROR(INDEX(Precios!$D:$F,MATCH(N568, Precios!$G:$G, 0),CHOOSE(MATCH(H568, {"SML";"XL";"XXL"}, 0), 1, 2, 3)), 0)</f>
        <v>0</v>
      </c>
      <c r="K568" s="10">
        <f t="shared" si="22"/>
        <v>0</v>
      </c>
      <c r="N568" s="9" t="str">
        <f t="shared" si="23"/>
        <v/>
      </c>
      <c r="O568" s="9" t="str">
        <f>IF(N568="","",IF(COUNTIF(Precios!$G:$G,N568)=0,"⚠ No coincide con Precios","OK"))</f>
        <v/>
      </c>
    </row>
    <row r="569" spans="3:15" x14ac:dyDescent="0.2">
      <c r="C569" s="9" cm="1">
        <f t="array" ref="C569">IFERROR(_xlfn.XLOOKUP(B569,Personal!$A:$A,Personal!$D:$D,""),"")</f>
        <v>0</v>
      </c>
      <c r="D569" s="9" cm="1">
        <f t="array" ref="D569">IFERROR(_xlfn.XLOOKUP(B569,Personal!$A:$A,Personal!$C:$C,""),"")</f>
        <v>0</v>
      </c>
      <c r="E569" s="9" t="str" cm="1">
        <f t="array" ref="E569">IFERROR(_xlfn.XLOOKUP(D569,Locales!$A:$A,Locales!$B:$B,""),"")</f>
        <v/>
      </c>
      <c r="F569" s="9" cm="1">
        <f t="array" ref="F569">IFERROR(_xlfn.XLOOKUP(B569,Personal!$A:$A,Personal!$F:$F,""),"")</f>
        <v>0</v>
      </c>
      <c r="I569" s="10" cm="1">
        <f t="array" ref="I569">IFERROR(INDEX(Precios!$D:$F,MATCH(N569, Precios!$G:$G, 0),CHOOSE(MATCH(H569, {"SML";"XL";"XXL"}, 0), 1, 2, 3)), 0)</f>
        <v>0</v>
      </c>
      <c r="K569" s="10">
        <f t="shared" si="22"/>
        <v>0</v>
      </c>
      <c r="N569" s="9" t="str">
        <f t="shared" si="23"/>
        <v/>
      </c>
      <c r="O569" s="9" t="str">
        <f>IF(N569="","",IF(COUNTIF(Precios!$G:$G,N569)=0,"⚠ No coincide con Precios","OK"))</f>
        <v/>
      </c>
    </row>
    <row r="570" spans="3:15" x14ac:dyDescent="0.2">
      <c r="C570" s="9" cm="1">
        <f t="array" ref="C570">IFERROR(_xlfn.XLOOKUP(B570,Personal!$A:$A,Personal!$D:$D,""),"")</f>
        <v>0</v>
      </c>
      <c r="D570" s="9" cm="1">
        <f t="array" ref="D570">IFERROR(_xlfn.XLOOKUP(B570,Personal!$A:$A,Personal!$C:$C,""),"")</f>
        <v>0</v>
      </c>
      <c r="E570" s="9" t="str" cm="1">
        <f t="array" ref="E570">IFERROR(_xlfn.XLOOKUP(D570,Locales!$A:$A,Locales!$B:$B,""),"")</f>
        <v/>
      </c>
      <c r="F570" s="9" cm="1">
        <f t="array" ref="F570">IFERROR(_xlfn.XLOOKUP(B570,Personal!$A:$A,Personal!$F:$F,""),"")</f>
        <v>0</v>
      </c>
      <c r="I570" s="10" cm="1">
        <f t="array" ref="I570">IFERROR(INDEX(Precios!$D:$F,MATCH(N570, Precios!$G:$G, 0),CHOOSE(MATCH(H570, {"SML";"XL";"XXL"}, 0), 1, 2, 3)), 0)</f>
        <v>0</v>
      </c>
      <c r="K570" s="10">
        <f t="shared" si="22"/>
        <v>0</v>
      </c>
      <c r="N570" s="9" t="str">
        <f t="shared" si="23"/>
        <v/>
      </c>
      <c r="O570" s="9" t="str">
        <f>IF(N570="","",IF(COUNTIF(Precios!$G:$G,N570)=0,"⚠ No coincide con Precios","OK"))</f>
        <v/>
      </c>
    </row>
    <row r="571" spans="3:15" x14ac:dyDescent="0.2">
      <c r="C571" s="9" cm="1">
        <f t="array" ref="C571">IFERROR(_xlfn.XLOOKUP(B571,Personal!$A:$A,Personal!$D:$D,""),"")</f>
        <v>0</v>
      </c>
      <c r="D571" s="9" cm="1">
        <f t="array" ref="D571">IFERROR(_xlfn.XLOOKUP(B571,Personal!$A:$A,Personal!$C:$C,""),"")</f>
        <v>0</v>
      </c>
      <c r="E571" s="9" t="str" cm="1">
        <f t="array" ref="E571">IFERROR(_xlfn.XLOOKUP(D571,Locales!$A:$A,Locales!$B:$B,""),"")</f>
        <v/>
      </c>
      <c r="F571" s="9" cm="1">
        <f t="array" ref="F571">IFERROR(_xlfn.XLOOKUP(B571,Personal!$A:$A,Personal!$F:$F,""),"")</f>
        <v>0</v>
      </c>
      <c r="I571" s="10" cm="1">
        <f t="array" ref="I571">IFERROR(INDEX(Precios!$D:$F,MATCH(N571, Precios!$G:$G, 0),CHOOSE(MATCH(H571, {"SML";"XL";"XXL"}, 0), 1, 2, 3)), 0)</f>
        <v>0</v>
      </c>
      <c r="K571" s="10">
        <f t="shared" si="22"/>
        <v>0</v>
      </c>
      <c r="N571" s="9" t="str">
        <f t="shared" si="23"/>
        <v/>
      </c>
      <c r="O571" s="9" t="str">
        <f>IF(N571="","",IF(COUNTIF(Precios!$G:$G,N571)=0,"⚠ No coincide con Precios","OK"))</f>
        <v/>
      </c>
    </row>
    <row r="572" spans="3:15" x14ac:dyDescent="0.2">
      <c r="C572" s="9" cm="1">
        <f t="array" ref="C572">IFERROR(_xlfn.XLOOKUP(B572,Personal!$A:$A,Personal!$D:$D,""),"")</f>
        <v>0</v>
      </c>
      <c r="D572" s="9" cm="1">
        <f t="array" ref="D572">IFERROR(_xlfn.XLOOKUP(B572,Personal!$A:$A,Personal!$C:$C,""),"")</f>
        <v>0</v>
      </c>
      <c r="E572" s="9" t="str" cm="1">
        <f t="array" ref="E572">IFERROR(_xlfn.XLOOKUP(D572,Locales!$A:$A,Locales!$B:$B,""),"")</f>
        <v/>
      </c>
      <c r="F572" s="9" cm="1">
        <f t="array" ref="F572">IFERROR(_xlfn.XLOOKUP(B572,Personal!$A:$A,Personal!$F:$F,""),"")</f>
        <v>0</v>
      </c>
      <c r="I572" s="10" cm="1">
        <f t="array" ref="I572">IFERROR(INDEX(Precios!$D:$F,MATCH(N572, Precios!$G:$G, 0),CHOOSE(MATCH(H572, {"SML";"XL";"XXL"}, 0), 1, 2, 3)), 0)</f>
        <v>0</v>
      </c>
      <c r="K572" s="10">
        <f t="shared" si="22"/>
        <v>0</v>
      </c>
      <c r="N572" s="9" t="str">
        <f t="shared" si="23"/>
        <v/>
      </c>
      <c r="O572" s="9" t="str">
        <f>IF(N572="","",IF(COUNTIF(Precios!$G:$G,N572)=0,"⚠ No coincide con Precios","OK"))</f>
        <v/>
      </c>
    </row>
    <row r="573" spans="3:15" x14ac:dyDescent="0.2">
      <c r="C573" s="9" cm="1">
        <f t="array" ref="C573">IFERROR(_xlfn.XLOOKUP(B573,Personal!$A:$A,Personal!$D:$D,""),"")</f>
        <v>0</v>
      </c>
      <c r="D573" s="9" cm="1">
        <f t="array" ref="D573">IFERROR(_xlfn.XLOOKUP(B573,Personal!$A:$A,Personal!$C:$C,""),"")</f>
        <v>0</v>
      </c>
      <c r="E573" s="9" t="str" cm="1">
        <f t="array" ref="E573">IFERROR(_xlfn.XLOOKUP(D573,Locales!$A:$A,Locales!$B:$B,""),"")</f>
        <v/>
      </c>
      <c r="F573" s="9" cm="1">
        <f t="array" ref="F573">IFERROR(_xlfn.XLOOKUP(B573,Personal!$A:$A,Personal!$F:$F,""),"")</f>
        <v>0</v>
      </c>
      <c r="I573" s="10" cm="1">
        <f t="array" ref="I573">IFERROR(INDEX(Precios!$D:$F,MATCH(N573, Precios!$G:$G, 0),CHOOSE(MATCH(H573, {"SML";"XL";"XXL"}, 0), 1, 2, 3)), 0)</f>
        <v>0</v>
      </c>
      <c r="K573" s="10">
        <f t="shared" si="22"/>
        <v>0</v>
      </c>
      <c r="N573" s="9" t="str">
        <f t="shared" si="23"/>
        <v/>
      </c>
      <c r="O573" s="9" t="str">
        <f>IF(N573="","",IF(COUNTIF(Precios!$G:$G,N573)=0,"⚠ No coincide con Precios","OK"))</f>
        <v/>
      </c>
    </row>
    <row r="574" spans="3:15" x14ac:dyDescent="0.2">
      <c r="C574" s="9" cm="1">
        <f t="array" ref="C574">IFERROR(_xlfn.XLOOKUP(B574,Personal!$A:$A,Personal!$D:$D,""),"")</f>
        <v>0</v>
      </c>
      <c r="D574" s="9" cm="1">
        <f t="array" ref="D574">IFERROR(_xlfn.XLOOKUP(B574,Personal!$A:$A,Personal!$C:$C,""),"")</f>
        <v>0</v>
      </c>
      <c r="E574" s="9" t="str" cm="1">
        <f t="array" ref="E574">IFERROR(_xlfn.XLOOKUP(D574,Locales!$A:$A,Locales!$B:$B,""),"")</f>
        <v/>
      </c>
      <c r="F574" s="9" cm="1">
        <f t="array" ref="F574">IFERROR(_xlfn.XLOOKUP(B574,Personal!$A:$A,Personal!$F:$F,""),"")</f>
        <v>0</v>
      </c>
      <c r="I574" s="10" cm="1">
        <f t="array" ref="I574">IFERROR(INDEX(Precios!$D:$F,MATCH(N574, Precios!$G:$G, 0),CHOOSE(MATCH(H574, {"SML";"XL";"XXL"}, 0), 1, 2, 3)), 0)</f>
        <v>0</v>
      </c>
      <c r="K574" s="10">
        <f t="shared" ref="K574:K637" si="24">IFERROR(I574*J574,0)</f>
        <v>0</v>
      </c>
      <c r="N574" s="9" t="str">
        <f t="shared" ref="N574:N637" si="25">IF( OR(E574="",F574="",G574=""), "",CLEAN(TRIM(E574)) &amp; "|" &amp; CLEAN(TRIM(F574)) &amp; "|" &amp; CLEAN(TRIM(G574)))</f>
        <v/>
      </c>
      <c r="O574" s="9" t="str">
        <f>IF(N574="","",IF(COUNTIF(Precios!$G:$G,N574)=0,"⚠ No coincide con Precios","OK"))</f>
        <v/>
      </c>
    </row>
    <row r="575" spans="3:15" x14ac:dyDescent="0.2">
      <c r="C575" s="9" cm="1">
        <f t="array" ref="C575">IFERROR(_xlfn.XLOOKUP(B575,Personal!$A:$A,Personal!$D:$D,""),"")</f>
        <v>0</v>
      </c>
      <c r="D575" s="9" cm="1">
        <f t="array" ref="D575">IFERROR(_xlfn.XLOOKUP(B575,Personal!$A:$A,Personal!$C:$C,""),"")</f>
        <v>0</v>
      </c>
      <c r="E575" s="9" t="str" cm="1">
        <f t="array" ref="E575">IFERROR(_xlfn.XLOOKUP(D575,Locales!$A:$A,Locales!$B:$B,""),"")</f>
        <v/>
      </c>
      <c r="F575" s="9" cm="1">
        <f t="array" ref="F575">IFERROR(_xlfn.XLOOKUP(B575,Personal!$A:$A,Personal!$F:$F,""),"")</f>
        <v>0</v>
      </c>
      <c r="I575" s="10" cm="1">
        <f t="array" ref="I575">IFERROR(INDEX(Precios!$D:$F,MATCH(N575, Precios!$G:$G, 0),CHOOSE(MATCH(H575, {"SML";"XL";"XXL"}, 0), 1, 2, 3)), 0)</f>
        <v>0</v>
      </c>
      <c r="K575" s="10">
        <f t="shared" si="24"/>
        <v>0</v>
      </c>
      <c r="N575" s="9" t="str">
        <f t="shared" si="25"/>
        <v/>
      </c>
      <c r="O575" s="9" t="str">
        <f>IF(N575="","",IF(COUNTIF(Precios!$G:$G,N575)=0,"⚠ No coincide con Precios","OK"))</f>
        <v/>
      </c>
    </row>
    <row r="576" spans="3:15" x14ac:dyDescent="0.2">
      <c r="C576" s="9" cm="1">
        <f t="array" ref="C576">IFERROR(_xlfn.XLOOKUP(B576,Personal!$A:$A,Personal!$D:$D,""),"")</f>
        <v>0</v>
      </c>
      <c r="D576" s="9" cm="1">
        <f t="array" ref="D576">IFERROR(_xlfn.XLOOKUP(B576,Personal!$A:$A,Personal!$C:$C,""),"")</f>
        <v>0</v>
      </c>
      <c r="E576" s="9" t="str" cm="1">
        <f t="array" ref="E576">IFERROR(_xlfn.XLOOKUP(D576,Locales!$A:$A,Locales!$B:$B,""),"")</f>
        <v/>
      </c>
      <c r="F576" s="9" cm="1">
        <f t="array" ref="F576">IFERROR(_xlfn.XLOOKUP(B576,Personal!$A:$A,Personal!$F:$F,""),"")</f>
        <v>0</v>
      </c>
      <c r="I576" s="10" cm="1">
        <f t="array" ref="I576">IFERROR(INDEX(Precios!$D:$F,MATCH(N576, Precios!$G:$G, 0),CHOOSE(MATCH(H576, {"SML";"XL";"XXL"}, 0), 1, 2, 3)), 0)</f>
        <v>0</v>
      </c>
      <c r="K576" s="10">
        <f t="shared" si="24"/>
        <v>0</v>
      </c>
      <c r="N576" s="9" t="str">
        <f t="shared" si="25"/>
        <v/>
      </c>
      <c r="O576" s="9" t="str">
        <f>IF(N576="","",IF(COUNTIF(Precios!$G:$G,N576)=0,"⚠ No coincide con Precios","OK"))</f>
        <v/>
      </c>
    </row>
    <row r="577" spans="3:15" x14ac:dyDescent="0.2">
      <c r="C577" s="9" cm="1">
        <f t="array" ref="C577">IFERROR(_xlfn.XLOOKUP(B577,Personal!$A:$A,Personal!$D:$D,""),"")</f>
        <v>0</v>
      </c>
      <c r="D577" s="9" cm="1">
        <f t="array" ref="D577">IFERROR(_xlfn.XLOOKUP(B577,Personal!$A:$A,Personal!$C:$C,""),"")</f>
        <v>0</v>
      </c>
      <c r="E577" s="9" t="str" cm="1">
        <f t="array" ref="E577">IFERROR(_xlfn.XLOOKUP(D577,Locales!$A:$A,Locales!$B:$B,""),"")</f>
        <v/>
      </c>
      <c r="F577" s="9" cm="1">
        <f t="array" ref="F577">IFERROR(_xlfn.XLOOKUP(B577,Personal!$A:$A,Personal!$F:$F,""),"")</f>
        <v>0</v>
      </c>
      <c r="I577" s="10" cm="1">
        <f t="array" ref="I577">IFERROR(INDEX(Precios!$D:$F,MATCH(N577, Precios!$G:$G, 0),CHOOSE(MATCH(H577, {"SML";"XL";"XXL"}, 0), 1, 2, 3)), 0)</f>
        <v>0</v>
      </c>
      <c r="K577" s="10">
        <f t="shared" si="24"/>
        <v>0</v>
      </c>
      <c r="N577" s="9" t="str">
        <f t="shared" si="25"/>
        <v/>
      </c>
      <c r="O577" s="9" t="str">
        <f>IF(N577="","",IF(COUNTIF(Precios!$G:$G,N577)=0,"⚠ No coincide con Precios","OK"))</f>
        <v/>
      </c>
    </row>
    <row r="578" spans="3:15" x14ac:dyDescent="0.2">
      <c r="C578" s="9" cm="1">
        <f t="array" ref="C578">IFERROR(_xlfn.XLOOKUP(B578,Personal!$A:$A,Personal!$D:$D,""),"")</f>
        <v>0</v>
      </c>
      <c r="D578" s="9" cm="1">
        <f t="array" ref="D578">IFERROR(_xlfn.XLOOKUP(B578,Personal!$A:$A,Personal!$C:$C,""),"")</f>
        <v>0</v>
      </c>
      <c r="E578" s="9" t="str" cm="1">
        <f t="array" ref="E578">IFERROR(_xlfn.XLOOKUP(D578,Locales!$A:$A,Locales!$B:$B,""),"")</f>
        <v/>
      </c>
      <c r="F578" s="9" cm="1">
        <f t="array" ref="F578">IFERROR(_xlfn.XLOOKUP(B578,Personal!$A:$A,Personal!$F:$F,""),"")</f>
        <v>0</v>
      </c>
      <c r="I578" s="10" cm="1">
        <f t="array" ref="I578">IFERROR(INDEX(Precios!$D:$F,MATCH(N578, Precios!$G:$G, 0),CHOOSE(MATCH(H578, {"SML";"XL";"XXL"}, 0), 1, 2, 3)), 0)</f>
        <v>0</v>
      </c>
      <c r="K578" s="10">
        <f t="shared" si="24"/>
        <v>0</v>
      </c>
      <c r="N578" s="9" t="str">
        <f t="shared" si="25"/>
        <v/>
      </c>
      <c r="O578" s="9" t="str">
        <f>IF(N578="","",IF(COUNTIF(Precios!$G:$G,N578)=0,"⚠ No coincide con Precios","OK"))</f>
        <v/>
      </c>
    </row>
    <row r="579" spans="3:15" x14ac:dyDescent="0.2">
      <c r="C579" s="9" cm="1">
        <f t="array" ref="C579">IFERROR(_xlfn.XLOOKUP(B579,Personal!$A:$A,Personal!$D:$D,""),"")</f>
        <v>0</v>
      </c>
      <c r="D579" s="9" cm="1">
        <f t="array" ref="D579">IFERROR(_xlfn.XLOOKUP(B579,Personal!$A:$A,Personal!$C:$C,""),"")</f>
        <v>0</v>
      </c>
      <c r="E579" s="9" t="str" cm="1">
        <f t="array" ref="E579">IFERROR(_xlfn.XLOOKUP(D579,Locales!$A:$A,Locales!$B:$B,""),"")</f>
        <v/>
      </c>
      <c r="F579" s="9" cm="1">
        <f t="array" ref="F579">IFERROR(_xlfn.XLOOKUP(B579,Personal!$A:$A,Personal!$F:$F,""),"")</f>
        <v>0</v>
      </c>
      <c r="I579" s="10" cm="1">
        <f t="array" ref="I579">IFERROR(INDEX(Precios!$D:$F,MATCH(N579, Precios!$G:$G, 0),CHOOSE(MATCH(H579, {"SML";"XL";"XXL"}, 0), 1, 2, 3)), 0)</f>
        <v>0</v>
      </c>
      <c r="K579" s="10">
        <f t="shared" si="24"/>
        <v>0</v>
      </c>
      <c r="N579" s="9" t="str">
        <f t="shared" si="25"/>
        <v/>
      </c>
      <c r="O579" s="9" t="str">
        <f>IF(N579="","",IF(COUNTIF(Precios!$G:$G,N579)=0,"⚠ No coincide con Precios","OK"))</f>
        <v/>
      </c>
    </row>
    <row r="580" spans="3:15" x14ac:dyDescent="0.2">
      <c r="C580" s="9" cm="1">
        <f t="array" ref="C580">IFERROR(_xlfn.XLOOKUP(B580,Personal!$A:$A,Personal!$D:$D,""),"")</f>
        <v>0</v>
      </c>
      <c r="D580" s="9" cm="1">
        <f t="array" ref="D580">IFERROR(_xlfn.XLOOKUP(B580,Personal!$A:$A,Personal!$C:$C,""),"")</f>
        <v>0</v>
      </c>
      <c r="E580" s="9" t="str" cm="1">
        <f t="array" ref="E580">IFERROR(_xlfn.XLOOKUP(D580,Locales!$A:$A,Locales!$B:$B,""),"")</f>
        <v/>
      </c>
      <c r="F580" s="9" cm="1">
        <f t="array" ref="F580">IFERROR(_xlfn.XLOOKUP(B580,Personal!$A:$A,Personal!$F:$F,""),"")</f>
        <v>0</v>
      </c>
      <c r="I580" s="10" cm="1">
        <f t="array" ref="I580">IFERROR(INDEX(Precios!$D:$F,MATCH(N580, Precios!$G:$G, 0),CHOOSE(MATCH(H580, {"SML";"XL";"XXL"}, 0), 1, 2, 3)), 0)</f>
        <v>0</v>
      </c>
      <c r="K580" s="10">
        <f t="shared" si="24"/>
        <v>0</v>
      </c>
      <c r="N580" s="9" t="str">
        <f t="shared" si="25"/>
        <v/>
      </c>
      <c r="O580" s="9" t="str">
        <f>IF(N580="","",IF(COUNTIF(Precios!$G:$G,N580)=0,"⚠ No coincide con Precios","OK"))</f>
        <v/>
      </c>
    </row>
    <row r="581" spans="3:15" x14ac:dyDescent="0.2">
      <c r="C581" s="9" cm="1">
        <f t="array" ref="C581">IFERROR(_xlfn.XLOOKUP(B581,Personal!$A:$A,Personal!$D:$D,""),"")</f>
        <v>0</v>
      </c>
      <c r="D581" s="9" cm="1">
        <f t="array" ref="D581">IFERROR(_xlfn.XLOOKUP(B581,Personal!$A:$A,Personal!$C:$C,""),"")</f>
        <v>0</v>
      </c>
      <c r="E581" s="9" t="str" cm="1">
        <f t="array" ref="E581">IFERROR(_xlfn.XLOOKUP(D581,Locales!$A:$A,Locales!$B:$B,""),"")</f>
        <v/>
      </c>
      <c r="F581" s="9" cm="1">
        <f t="array" ref="F581">IFERROR(_xlfn.XLOOKUP(B581,Personal!$A:$A,Personal!$F:$F,""),"")</f>
        <v>0</v>
      </c>
      <c r="I581" s="10" cm="1">
        <f t="array" ref="I581">IFERROR(INDEX(Precios!$D:$F,MATCH(N581, Precios!$G:$G, 0),CHOOSE(MATCH(H581, {"SML";"XL";"XXL"}, 0), 1, 2, 3)), 0)</f>
        <v>0</v>
      </c>
      <c r="K581" s="10">
        <f t="shared" si="24"/>
        <v>0</v>
      </c>
      <c r="N581" s="9" t="str">
        <f t="shared" si="25"/>
        <v/>
      </c>
      <c r="O581" s="9" t="str">
        <f>IF(N581="","",IF(COUNTIF(Precios!$G:$G,N581)=0,"⚠ No coincide con Precios","OK"))</f>
        <v/>
      </c>
    </row>
    <row r="582" spans="3:15" x14ac:dyDescent="0.2">
      <c r="C582" s="9" cm="1">
        <f t="array" ref="C582">IFERROR(_xlfn.XLOOKUP(B582,Personal!$A:$A,Personal!$D:$D,""),"")</f>
        <v>0</v>
      </c>
      <c r="D582" s="9" cm="1">
        <f t="array" ref="D582">IFERROR(_xlfn.XLOOKUP(B582,Personal!$A:$A,Personal!$C:$C,""),"")</f>
        <v>0</v>
      </c>
      <c r="E582" s="9" t="str" cm="1">
        <f t="array" ref="E582">IFERROR(_xlfn.XLOOKUP(D582,Locales!$A:$A,Locales!$B:$B,""),"")</f>
        <v/>
      </c>
      <c r="F582" s="9" cm="1">
        <f t="array" ref="F582">IFERROR(_xlfn.XLOOKUP(B582,Personal!$A:$A,Personal!$F:$F,""),"")</f>
        <v>0</v>
      </c>
      <c r="I582" s="10" cm="1">
        <f t="array" ref="I582">IFERROR(INDEX(Precios!$D:$F,MATCH(N582, Precios!$G:$G, 0),CHOOSE(MATCH(H582, {"SML";"XL";"XXL"}, 0), 1, 2, 3)), 0)</f>
        <v>0</v>
      </c>
      <c r="K582" s="10">
        <f t="shared" si="24"/>
        <v>0</v>
      </c>
      <c r="N582" s="9" t="str">
        <f t="shared" si="25"/>
        <v/>
      </c>
      <c r="O582" s="9" t="str">
        <f>IF(N582="","",IF(COUNTIF(Precios!$G:$G,N582)=0,"⚠ No coincide con Precios","OK"))</f>
        <v/>
      </c>
    </row>
    <row r="583" spans="3:15" x14ac:dyDescent="0.2">
      <c r="C583" s="9" cm="1">
        <f t="array" ref="C583">IFERROR(_xlfn.XLOOKUP(B583,Personal!$A:$A,Personal!$D:$D,""),"")</f>
        <v>0</v>
      </c>
      <c r="D583" s="9" cm="1">
        <f t="array" ref="D583">IFERROR(_xlfn.XLOOKUP(B583,Personal!$A:$A,Personal!$C:$C,""),"")</f>
        <v>0</v>
      </c>
      <c r="E583" s="9" t="str" cm="1">
        <f t="array" ref="E583">IFERROR(_xlfn.XLOOKUP(D583,Locales!$A:$A,Locales!$B:$B,""),"")</f>
        <v/>
      </c>
      <c r="F583" s="9" cm="1">
        <f t="array" ref="F583">IFERROR(_xlfn.XLOOKUP(B583,Personal!$A:$A,Personal!$F:$F,""),"")</f>
        <v>0</v>
      </c>
      <c r="I583" s="10" cm="1">
        <f t="array" ref="I583">IFERROR(INDEX(Precios!$D:$F,MATCH(N583, Precios!$G:$G, 0),CHOOSE(MATCH(H583, {"SML";"XL";"XXL"}, 0), 1, 2, 3)), 0)</f>
        <v>0</v>
      </c>
      <c r="K583" s="10">
        <f t="shared" si="24"/>
        <v>0</v>
      </c>
      <c r="N583" s="9" t="str">
        <f t="shared" si="25"/>
        <v/>
      </c>
      <c r="O583" s="9" t="str">
        <f>IF(N583="","",IF(COUNTIF(Precios!$G:$G,N583)=0,"⚠ No coincide con Precios","OK"))</f>
        <v/>
      </c>
    </row>
    <row r="584" spans="3:15" x14ac:dyDescent="0.2">
      <c r="C584" s="9" cm="1">
        <f t="array" ref="C584">IFERROR(_xlfn.XLOOKUP(B584,Personal!$A:$A,Personal!$D:$D,""),"")</f>
        <v>0</v>
      </c>
      <c r="D584" s="9" cm="1">
        <f t="array" ref="D584">IFERROR(_xlfn.XLOOKUP(B584,Personal!$A:$A,Personal!$C:$C,""),"")</f>
        <v>0</v>
      </c>
      <c r="E584" s="9" t="str" cm="1">
        <f t="array" ref="E584">IFERROR(_xlfn.XLOOKUP(D584,Locales!$A:$A,Locales!$B:$B,""),"")</f>
        <v/>
      </c>
      <c r="F584" s="9" cm="1">
        <f t="array" ref="F584">IFERROR(_xlfn.XLOOKUP(B584,Personal!$A:$A,Personal!$F:$F,""),"")</f>
        <v>0</v>
      </c>
      <c r="I584" s="10" cm="1">
        <f t="array" ref="I584">IFERROR(INDEX(Precios!$D:$F,MATCH(N584, Precios!$G:$G, 0),CHOOSE(MATCH(H584, {"SML";"XL";"XXL"}, 0), 1, 2, 3)), 0)</f>
        <v>0</v>
      </c>
      <c r="K584" s="10">
        <f t="shared" si="24"/>
        <v>0</v>
      </c>
      <c r="N584" s="9" t="str">
        <f t="shared" si="25"/>
        <v/>
      </c>
      <c r="O584" s="9" t="str">
        <f>IF(N584="","",IF(COUNTIF(Precios!$G:$G,N584)=0,"⚠ No coincide con Precios","OK"))</f>
        <v/>
      </c>
    </row>
    <row r="585" spans="3:15" x14ac:dyDescent="0.2">
      <c r="C585" s="9" cm="1">
        <f t="array" ref="C585">IFERROR(_xlfn.XLOOKUP(B585,Personal!$A:$A,Personal!$D:$D,""),"")</f>
        <v>0</v>
      </c>
      <c r="D585" s="9" cm="1">
        <f t="array" ref="D585">IFERROR(_xlfn.XLOOKUP(B585,Personal!$A:$A,Personal!$C:$C,""),"")</f>
        <v>0</v>
      </c>
      <c r="E585" s="9" t="str" cm="1">
        <f t="array" ref="E585">IFERROR(_xlfn.XLOOKUP(D585,Locales!$A:$A,Locales!$B:$B,""),"")</f>
        <v/>
      </c>
      <c r="F585" s="9" cm="1">
        <f t="array" ref="F585">IFERROR(_xlfn.XLOOKUP(B585,Personal!$A:$A,Personal!$F:$F,""),"")</f>
        <v>0</v>
      </c>
      <c r="I585" s="10" cm="1">
        <f t="array" ref="I585">IFERROR(INDEX(Precios!$D:$F,MATCH(N585, Precios!$G:$G, 0),CHOOSE(MATCH(H585, {"SML";"XL";"XXL"}, 0), 1, 2, 3)), 0)</f>
        <v>0</v>
      </c>
      <c r="K585" s="10">
        <f t="shared" si="24"/>
        <v>0</v>
      </c>
      <c r="N585" s="9" t="str">
        <f t="shared" si="25"/>
        <v/>
      </c>
      <c r="O585" s="9" t="str">
        <f>IF(N585="","",IF(COUNTIF(Precios!$G:$G,N585)=0,"⚠ No coincide con Precios","OK"))</f>
        <v/>
      </c>
    </row>
    <row r="586" spans="3:15" x14ac:dyDescent="0.2">
      <c r="C586" s="9" cm="1">
        <f t="array" ref="C586">IFERROR(_xlfn.XLOOKUP(B586,Personal!$A:$A,Personal!$D:$D,""),"")</f>
        <v>0</v>
      </c>
      <c r="D586" s="9" cm="1">
        <f t="array" ref="D586">IFERROR(_xlfn.XLOOKUP(B586,Personal!$A:$A,Personal!$C:$C,""),"")</f>
        <v>0</v>
      </c>
      <c r="E586" s="9" t="str" cm="1">
        <f t="array" ref="E586">IFERROR(_xlfn.XLOOKUP(D586,Locales!$A:$A,Locales!$B:$B,""),"")</f>
        <v/>
      </c>
      <c r="F586" s="9" cm="1">
        <f t="array" ref="F586">IFERROR(_xlfn.XLOOKUP(B586,Personal!$A:$A,Personal!$F:$F,""),"")</f>
        <v>0</v>
      </c>
      <c r="I586" s="10" cm="1">
        <f t="array" ref="I586">IFERROR(INDEX(Precios!$D:$F,MATCH(N586, Precios!$G:$G, 0),CHOOSE(MATCH(H586, {"SML";"XL";"XXL"}, 0), 1, 2, 3)), 0)</f>
        <v>0</v>
      </c>
      <c r="K586" s="10">
        <f t="shared" si="24"/>
        <v>0</v>
      </c>
      <c r="N586" s="9" t="str">
        <f t="shared" si="25"/>
        <v/>
      </c>
      <c r="O586" s="9" t="str">
        <f>IF(N586="","",IF(COUNTIF(Precios!$G:$G,N586)=0,"⚠ No coincide con Precios","OK"))</f>
        <v/>
      </c>
    </row>
    <row r="587" spans="3:15" x14ac:dyDescent="0.2">
      <c r="C587" s="9" cm="1">
        <f t="array" ref="C587">IFERROR(_xlfn.XLOOKUP(B587,Personal!$A:$A,Personal!$D:$D,""),"")</f>
        <v>0</v>
      </c>
      <c r="D587" s="9" cm="1">
        <f t="array" ref="D587">IFERROR(_xlfn.XLOOKUP(B587,Personal!$A:$A,Personal!$C:$C,""),"")</f>
        <v>0</v>
      </c>
      <c r="E587" s="9" t="str" cm="1">
        <f t="array" ref="E587">IFERROR(_xlfn.XLOOKUP(D587,Locales!$A:$A,Locales!$B:$B,""),"")</f>
        <v/>
      </c>
      <c r="F587" s="9" cm="1">
        <f t="array" ref="F587">IFERROR(_xlfn.XLOOKUP(B587,Personal!$A:$A,Personal!$F:$F,""),"")</f>
        <v>0</v>
      </c>
      <c r="I587" s="10" cm="1">
        <f t="array" ref="I587">IFERROR(INDEX(Precios!$D:$F,MATCH(N587, Precios!$G:$G, 0),CHOOSE(MATCH(H587, {"SML";"XL";"XXL"}, 0), 1, 2, 3)), 0)</f>
        <v>0</v>
      </c>
      <c r="K587" s="10">
        <f t="shared" si="24"/>
        <v>0</v>
      </c>
      <c r="N587" s="9" t="str">
        <f t="shared" si="25"/>
        <v/>
      </c>
      <c r="O587" s="9" t="str">
        <f>IF(N587="","",IF(COUNTIF(Precios!$G:$G,N587)=0,"⚠ No coincide con Precios","OK"))</f>
        <v/>
      </c>
    </row>
    <row r="588" spans="3:15" x14ac:dyDescent="0.2">
      <c r="C588" s="9" cm="1">
        <f t="array" ref="C588">IFERROR(_xlfn.XLOOKUP(B588,Personal!$A:$A,Personal!$D:$D,""),"")</f>
        <v>0</v>
      </c>
      <c r="D588" s="9" cm="1">
        <f t="array" ref="D588">IFERROR(_xlfn.XLOOKUP(B588,Personal!$A:$A,Personal!$C:$C,""),"")</f>
        <v>0</v>
      </c>
      <c r="E588" s="9" t="str" cm="1">
        <f t="array" ref="E588">IFERROR(_xlfn.XLOOKUP(D588,Locales!$A:$A,Locales!$B:$B,""),"")</f>
        <v/>
      </c>
      <c r="F588" s="9" cm="1">
        <f t="array" ref="F588">IFERROR(_xlfn.XLOOKUP(B588,Personal!$A:$A,Personal!$F:$F,""),"")</f>
        <v>0</v>
      </c>
      <c r="I588" s="10" cm="1">
        <f t="array" ref="I588">IFERROR(INDEX(Precios!$D:$F,MATCH(N588, Precios!$G:$G, 0),CHOOSE(MATCH(H588, {"SML";"XL";"XXL"}, 0), 1, 2, 3)), 0)</f>
        <v>0</v>
      </c>
      <c r="K588" s="10">
        <f t="shared" si="24"/>
        <v>0</v>
      </c>
      <c r="N588" s="9" t="str">
        <f t="shared" si="25"/>
        <v/>
      </c>
      <c r="O588" s="9" t="str">
        <f>IF(N588="","",IF(COUNTIF(Precios!$G:$G,N588)=0,"⚠ No coincide con Precios","OK"))</f>
        <v/>
      </c>
    </row>
    <row r="589" spans="3:15" x14ac:dyDescent="0.2">
      <c r="C589" s="9" cm="1">
        <f t="array" ref="C589">IFERROR(_xlfn.XLOOKUP(B589,Personal!$A:$A,Personal!$D:$D,""),"")</f>
        <v>0</v>
      </c>
      <c r="D589" s="9" cm="1">
        <f t="array" ref="D589">IFERROR(_xlfn.XLOOKUP(B589,Personal!$A:$A,Personal!$C:$C,""),"")</f>
        <v>0</v>
      </c>
      <c r="E589" s="9" t="str" cm="1">
        <f t="array" ref="E589">IFERROR(_xlfn.XLOOKUP(D589,Locales!$A:$A,Locales!$B:$B,""),"")</f>
        <v/>
      </c>
      <c r="F589" s="9" cm="1">
        <f t="array" ref="F589">IFERROR(_xlfn.XLOOKUP(B589,Personal!$A:$A,Personal!$F:$F,""),"")</f>
        <v>0</v>
      </c>
      <c r="I589" s="10" cm="1">
        <f t="array" ref="I589">IFERROR(INDEX(Precios!$D:$F,MATCH(N589, Precios!$G:$G, 0),CHOOSE(MATCH(H589, {"SML";"XL";"XXL"}, 0), 1, 2, 3)), 0)</f>
        <v>0</v>
      </c>
      <c r="K589" s="10">
        <f t="shared" si="24"/>
        <v>0</v>
      </c>
      <c r="N589" s="9" t="str">
        <f t="shared" si="25"/>
        <v/>
      </c>
      <c r="O589" s="9" t="str">
        <f>IF(N589="","",IF(COUNTIF(Precios!$G:$G,N589)=0,"⚠ No coincide con Precios","OK"))</f>
        <v/>
      </c>
    </row>
    <row r="590" spans="3:15" x14ac:dyDescent="0.2">
      <c r="C590" s="9" cm="1">
        <f t="array" ref="C590">IFERROR(_xlfn.XLOOKUP(B590,Personal!$A:$A,Personal!$D:$D,""),"")</f>
        <v>0</v>
      </c>
      <c r="D590" s="9" cm="1">
        <f t="array" ref="D590">IFERROR(_xlfn.XLOOKUP(B590,Personal!$A:$A,Personal!$C:$C,""),"")</f>
        <v>0</v>
      </c>
      <c r="E590" s="9" t="str" cm="1">
        <f t="array" ref="E590">IFERROR(_xlfn.XLOOKUP(D590,Locales!$A:$A,Locales!$B:$B,""),"")</f>
        <v/>
      </c>
      <c r="F590" s="9" cm="1">
        <f t="array" ref="F590">IFERROR(_xlfn.XLOOKUP(B590,Personal!$A:$A,Personal!$F:$F,""),"")</f>
        <v>0</v>
      </c>
      <c r="I590" s="10" cm="1">
        <f t="array" ref="I590">IFERROR(INDEX(Precios!$D:$F,MATCH(N590, Precios!$G:$G, 0),CHOOSE(MATCH(H590, {"SML";"XL";"XXL"}, 0), 1, 2, 3)), 0)</f>
        <v>0</v>
      </c>
      <c r="K590" s="10">
        <f t="shared" si="24"/>
        <v>0</v>
      </c>
      <c r="N590" s="9" t="str">
        <f t="shared" si="25"/>
        <v/>
      </c>
      <c r="O590" s="9" t="str">
        <f>IF(N590="","",IF(COUNTIF(Precios!$G:$G,N590)=0,"⚠ No coincide con Precios","OK"))</f>
        <v/>
      </c>
    </row>
    <row r="591" spans="3:15" x14ac:dyDescent="0.2">
      <c r="C591" s="9" cm="1">
        <f t="array" ref="C591">IFERROR(_xlfn.XLOOKUP(B591,Personal!$A:$A,Personal!$D:$D,""),"")</f>
        <v>0</v>
      </c>
      <c r="D591" s="9" cm="1">
        <f t="array" ref="D591">IFERROR(_xlfn.XLOOKUP(B591,Personal!$A:$A,Personal!$C:$C,""),"")</f>
        <v>0</v>
      </c>
      <c r="E591" s="9" t="str" cm="1">
        <f t="array" ref="E591">IFERROR(_xlfn.XLOOKUP(D591,Locales!$A:$A,Locales!$B:$B,""),"")</f>
        <v/>
      </c>
      <c r="F591" s="9" cm="1">
        <f t="array" ref="F591">IFERROR(_xlfn.XLOOKUP(B591,Personal!$A:$A,Personal!$F:$F,""),"")</f>
        <v>0</v>
      </c>
      <c r="I591" s="10" cm="1">
        <f t="array" ref="I591">IFERROR(INDEX(Precios!$D:$F,MATCH(N591, Precios!$G:$G, 0),CHOOSE(MATCH(H591, {"SML";"XL";"XXL"}, 0), 1, 2, 3)), 0)</f>
        <v>0</v>
      </c>
      <c r="K591" s="10">
        <f t="shared" si="24"/>
        <v>0</v>
      </c>
      <c r="N591" s="9" t="str">
        <f t="shared" si="25"/>
        <v/>
      </c>
      <c r="O591" s="9" t="str">
        <f>IF(N591="","",IF(COUNTIF(Precios!$G:$G,N591)=0,"⚠ No coincide con Precios","OK"))</f>
        <v/>
      </c>
    </row>
    <row r="592" spans="3:15" x14ac:dyDescent="0.2">
      <c r="C592" s="9" cm="1">
        <f t="array" ref="C592">IFERROR(_xlfn.XLOOKUP(B592,Personal!$A:$A,Personal!$D:$D,""),"")</f>
        <v>0</v>
      </c>
      <c r="D592" s="9" cm="1">
        <f t="array" ref="D592">IFERROR(_xlfn.XLOOKUP(B592,Personal!$A:$A,Personal!$C:$C,""),"")</f>
        <v>0</v>
      </c>
      <c r="E592" s="9" t="str" cm="1">
        <f t="array" ref="E592">IFERROR(_xlfn.XLOOKUP(D592,Locales!$A:$A,Locales!$B:$B,""),"")</f>
        <v/>
      </c>
      <c r="F592" s="9" cm="1">
        <f t="array" ref="F592">IFERROR(_xlfn.XLOOKUP(B592,Personal!$A:$A,Personal!$F:$F,""),"")</f>
        <v>0</v>
      </c>
      <c r="I592" s="10" cm="1">
        <f t="array" ref="I592">IFERROR(INDEX(Precios!$D:$F,MATCH(N592, Precios!$G:$G, 0),CHOOSE(MATCH(H592, {"SML";"XL";"XXL"}, 0), 1, 2, 3)), 0)</f>
        <v>0</v>
      </c>
      <c r="K592" s="10">
        <f t="shared" si="24"/>
        <v>0</v>
      </c>
      <c r="N592" s="9" t="str">
        <f t="shared" si="25"/>
        <v/>
      </c>
      <c r="O592" s="9" t="str">
        <f>IF(N592="","",IF(COUNTIF(Precios!$G:$G,N592)=0,"⚠ No coincide con Precios","OK"))</f>
        <v/>
      </c>
    </row>
    <row r="593" spans="3:15" x14ac:dyDescent="0.2">
      <c r="C593" s="9" cm="1">
        <f t="array" ref="C593">IFERROR(_xlfn.XLOOKUP(B593,Personal!$A:$A,Personal!$D:$D,""),"")</f>
        <v>0</v>
      </c>
      <c r="D593" s="9" cm="1">
        <f t="array" ref="D593">IFERROR(_xlfn.XLOOKUP(B593,Personal!$A:$A,Personal!$C:$C,""),"")</f>
        <v>0</v>
      </c>
      <c r="E593" s="9" t="str" cm="1">
        <f t="array" ref="E593">IFERROR(_xlfn.XLOOKUP(D593,Locales!$A:$A,Locales!$B:$B,""),"")</f>
        <v/>
      </c>
      <c r="F593" s="9" cm="1">
        <f t="array" ref="F593">IFERROR(_xlfn.XLOOKUP(B593,Personal!$A:$A,Personal!$F:$F,""),"")</f>
        <v>0</v>
      </c>
      <c r="I593" s="10" cm="1">
        <f t="array" ref="I593">IFERROR(INDEX(Precios!$D:$F,MATCH(N593, Precios!$G:$G, 0),CHOOSE(MATCH(H593, {"SML";"XL";"XXL"}, 0), 1, 2, 3)), 0)</f>
        <v>0</v>
      </c>
      <c r="K593" s="10">
        <f t="shared" si="24"/>
        <v>0</v>
      </c>
      <c r="N593" s="9" t="str">
        <f t="shared" si="25"/>
        <v/>
      </c>
      <c r="O593" s="9" t="str">
        <f>IF(N593="","",IF(COUNTIF(Precios!$G:$G,N593)=0,"⚠ No coincide con Precios","OK"))</f>
        <v/>
      </c>
    </row>
    <row r="594" spans="3:15" x14ac:dyDescent="0.2">
      <c r="C594" s="9" cm="1">
        <f t="array" ref="C594">IFERROR(_xlfn.XLOOKUP(B594,Personal!$A:$A,Personal!$D:$D,""),"")</f>
        <v>0</v>
      </c>
      <c r="D594" s="9" cm="1">
        <f t="array" ref="D594">IFERROR(_xlfn.XLOOKUP(B594,Personal!$A:$A,Personal!$C:$C,""),"")</f>
        <v>0</v>
      </c>
      <c r="E594" s="9" t="str" cm="1">
        <f t="array" ref="E594">IFERROR(_xlfn.XLOOKUP(D594,Locales!$A:$A,Locales!$B:$B,""),"")</f>
        <v/>
      </c>
      <c r="F594" s="9" cm="1">
        <f t="array" ref="F594">IFERROR(_xlfn.XLOOKUP(B594,Personal!$A:$A,Personal!$F:$F,""),"")</f>
        <v>0</v>
      </c>
      <c r="I594" s="10" cm="1">
        <f t="array" ref="I594">IFERROR(INDEX(Precios!$D:$F,MATCH(N594, Precios!$G:$G, 0),CHOOSE(MATCH(H594, {"SML";"XL";"XXL"}, 0), 1, 2, 3)), 0)</f>
        <v>0</v>
      </c>
      <c r="K594" s="10">
        <f t="shared" si="24"/>
        <v>0</v>
      </c>
      <c r="N594" s="9" t="str">
        <f t="shared" si="25"/>
        <v/>
      </c>
      <c r="O594" s="9" t="str">
        <f>IF(N594="","",IF(COUNTIF(Precios!$G:$G,N594)=0,"⚠ No coincide con Precios","OK"))</f>
        <v/>
      </c>
    </row>
    <row r="595" spans="3:15" x14ac:dyDescent="0.2">
      <c r="C595" s="9" cm="1">
        <f t="array" ref="C595">IFERROR(_xlfn.XLOOKUP(B595,Personal!$A:$A,Personal!$D:$D,""),"")</f>
        <v>0</v>
      </c>
      <c r="D595" s="9" cm="1">
        <f t="array" ref="D595">IFERROR(_xlfn.XLOOKUP(B595,Personal!$A:$A,Personal!$C:$C,""),"")</f>
        <v>0</v>
      </c>
      <c r="E595" s="9" t="str" cm="1">
        <f t="array" ref="E595">IFERROR(_xlfn.XLOOKUP(D595,Locales!$A:$A,Locales!$B:$B,""),"")</f>
        <v/>
      </c>
      <c r="F595" s="9" cm="1">
        <f t="array" ref="F595">IFERROR(_xlfn.XLOOKUP(B595,Personal!$A:$A,Personal!$F:$F,""),"")</f>
        <v>0</v>
      </c>
      <c r="I595" s="10" cm="1">
        <f t="array" ref="I595">IFERROR(INDEX(Precios!$D:$F,MATCH(N595, Precios!$G:$G, 0),CHOOSE(MATCH(H595, {"SML";"XL";"XXL"}, 0), 1, 2, 3)), 0)</f>
        <v>0</v>
      </c>
      <c r="K595" s="10">
        <f t="shared" si="24"/>
        <v>0</v>
      </c>
      <c r="N595" s="9" t="str">
        <f t="shared" si="25"/>
        <v/>
      </c>
      <c r="O595" s="9" t="str">
        <f>IF(N595="","",IF(COUNTIF(Precios!$G:$G,N595)=0,"⚠ No coincide con Precios","OK"))</f>
        <v/>
      </c>
    </row>
    <row r="596" spans="3:15" x14ac:dyDescent="0.2">
      <c r="C596" s="9" cm="1">
        <f t="array" ref="C596">IFERROR(_xlfn.XLOOKUP(B596,Personal!$A:$A,Personal!$D:$D,""),"")</f>
        <v>0</v>
      </c>
      <c r="D596" s="9" cm="1">
        <f t="array" ref="D596">IFERROR(_xlfn.XLOOKUP(B596,Personal!$A:$A,Personal!$C:$C,""),"")</f>
        <v>0</v>
      </c>
      <c r="E596" s="9" t="str" cm="1">
        <f t="array" ref="E596">IFERROR(_xlfn.XLOOKUP(D596,Locales!$A:$A,Locales!$B:$B,""),"")</f>
        <v/>
      </c>
      <c r="F596" s="9" cm="1">
        <f t="array" ref="F596">IFERROR(_xlfn.XLOOKUP(B596,Personal!$A:$A,Personal!$F:$F,""),"")</f>
        <v>0</v>
      </c>
      <c r="I596" s="10" cm="1">
        <f t="array" ref="I596">IFERROR(INDEX(Precios!$D:$F,MATCH(N596, Precios!$G:$G, 0),CHOOSE(MATCH(H596, {"SML";"XL";"XXL"}, 0), 1, 2, 3)), 0)</f>
        <v>0</v>
      </c>
      <c r="K596" s="10">
        <f t="shared" si="24"/>
        <v>0</v>
      </c>
      <c r="N596" s="9" t="str">
        <f t="shared" si="25"/>
        <v/>
      </c>
      <c r="O596" s="9" t="str">
        <f>IF(N596="","",IF(COUNTIF(Precios!$G:$G,N596)=0,"⚠ No coincide con Precios","OK"))</f>
        <v/>
      </c>
    </row>
    <row r="597" spans="3:15" x14ac:dyDescent="0.2">
      <c r="C597" s="9" cm="1">
        <f t="array" ref="C597">IFERROR(_xlfn.XLOOKUP(B597,Personal!$A:$A,Personal!$D:$D,""),"")</f>
        <v>0</v>
      </c>
      <c r="D597" s="9" cm="1">
        <f t="array" ref="D597">IFERROR(_xlfn.XLOOKUP(B597,Personal!$A:$A,Personal!$C:$C,""),"")</f>
        <v>0</v>
      </c>
      <c r="E597" s="9" t="str" cm="1">
        <f t="array" ref="E597">IFERROR(_xlfn.XLOOKUP(D597,Locales!$A:$A,Locales!$B:$B,""),"")</f>
        <v/>
      </c>
      <c r="F597" s="9" cm="1">
        <f t="array" ref="F597">IFERROR(_xlfn.XLOOKUP(B597,Personal!$A:$A,Personal!$F:$F,""),"")</f>
        <v>0</v>
      </c>
      <c r="I597" s="10" cm="1">
        <f t="array" ref="I597">IFERROR(INDEX(Precios!$D:$F,MATCH(N597, Precios!$G:$G, 0),CHOOSE(MATCH(H597, {"SML";"XL";"XXL"}, 0), 1, 2, 3)), 0)</f>
        <v>0</v>
      </c>
      <c r="K597" s="10">
        <f t="shared" si="24"/>
        <v>0</v>
      </c>
      <c r="N597" s="9" t="str">
        <f t="shared" si="25"/>
        <v/>
      </c>
      <c r="O597" s="9" t="str">
        <f>IF(N597="","",IF(COUNTIF(Precios!$G:$G,N597)=0,"⚠ No coincide con Precios","OK"))</f>
        <v/>
      </c>
    </row>
    <row r="598" spans="3:15" x14ac:dyDescent="0.2">
      <c r="C598" s="9" cm="1">
        <f t="array" ref="C598">IFERROR(_xlfn.XLOOKUP(B598,Personal!$A:$A,Personal!$D:$D,""),"")</f>
        <v>0</v>
      </c>
      <c r="D598" s="9" cm="1">
        <f t="array" ref="D598">IFERROR(_xlfn.XLOOKUP(B598,Personal!$A:$A,Personal!$C:$C,""),"")</f>
        <v>0</v>
      </c>
      <c r="E598" s="9" t="str" cm="1">
        <f t="array" ref="E598">IFERROR(_xlfn.XLOOKUP(D598,Locales!$A:$A,Locales!$B:$B,""),"")</f>
        <v/>
      </c>
      <c r="F598" s="9" cm="1">
        <f t="array" ref="F598">IFERROR(_xlfn.XLOOKUP(B598,Personal!$A:$A,Personal!$F:$F,""),"")</f>
        <v>0</v>
      </c>
      <c r="I598" s="10" cm="1">
        <f t="array" ref="I598">IFERROR(INDEX(Precios!$D:$F,MATCH(N598, Precios!$G:$G, 0),CHOOSE(MATCH(H598, {"SML";"XL";"XXL"}, 0), 1, 2, 3)), 0)</f>
        <v>0</v>
      </c>
      <c r="K598" s="10">
        <f t="shared" si="24"/>
        <v>0</v>
      </c>
      <c r="N598" s="9" t="str">
        <f t="shared" si="25"/>
        <v/>
      </c>
      <c r="O598" s="9" t="str">
        <f>IF(N598="","",IF(COUNTIF(Precios!$G:$G,N598)=0,"⚠ No coincide con Precios","OK"))</f>
        <v/>
      </c>
    </row>
    <row r="599" spans="3:15" x14ac:dyDescent="0.2">
      <c r="C599" s="9" cm="1">
        <f t="array" ref="C599">IFERROR(_xlfn.XLOOKUP(B599,Personal!$A:$A,Personal!$D:$D,""),"")</f>
        <v>0</v>
      </c>
      <c r="D599" s="9" cm="1">
        <f t="array" ref="D599">IFERROR(_xlfn.XLOOKUP(B599,Personal!$A:$A,Personal!$C:$C,""),"")</f>
        <v>0</v>
      </c>
      <c r="E599" s="9" t="str" cm="1">
        <f t="array" ref="E599">IFERROR(_xlfn.XLOOKUP(D599,Locales!$A:$A,Locales!$B:$B,""),"")</f>
        <v/>
      </c>
      <c r="F599" s="9" cm="1">
        <f t="array" ref="F599">IFERROR(_xlfn.XLOOKUP(B599,Personal!$A:$A,Personal!$F:$F,""),"")</f>
        <v>0</v>
      </c>
      <c r="I599" s="10" cm="1">
        <f t="array" ref="I599">IFERROR(INDEX(Precios!$D:$F,MATCH(N599, Precios!$G:$G, 0),CHOOSE(MATCH(H599, {"SML";"XL";"XXL"}, 0), 1, 2, 3)), 0)</f>
        <v>0</v>
      </c>
      <c r="K599" s="10">
        <f t="shared" si="24"/>
        <v>0</v>
      </c>
      <c r="N599" s="9" t="str">
        <f t="shared" si="25"/>
        <v/>
      </c>
      <c r="O599" s="9" t="str">
        <f>IF(N599="","",IF(COUNTIF(Precios!$G:$G,N599)=0,"⚠ No coincide con Precios","OK"))</f>
        <v/>
      </c>
    </row>
    <row r="600" spans="3:15" x14ac:dyDescent="0.2">
      <c r="C600" s="9" cm="1">
        <f t="array" ref="C600">IFERROR(_xlfn.XLOOKUP(B600,Personal!$A:$A,Personal!$D:$D,""),"")</f>
        <v>0</v>
      </c>
      <c r="D600" s="9" cm="1">
        <f t="array" ref="D600">IFERROR(_xlfn.XLOOKUP(B600,Personal!$A:$A,Personal!$C:$C,""),"")</f>
        <v>0</v>
      </c>
      <c r="E600" s="9" t="str" cm="1">
        <f t="array" ref="E600">IFERROR(_xlfn.XLOOKUP(D600,Locales!$A:$A,Locales!$B:$B,""),"")</f>
        <v/>
      </c>
      <c r="F600" s="9" cm="1">
        <f t="array" ref="F600">IFERROR(_xlfn.XLOOKUP(B600,Personal!$A:$A,Personal!$F:$F,""),"")</f>
        <v>0</v>
      </c>
      <c r="I600" s="10" cm="1">
        <f t="array" ref="I600">IFERROR(INDEX(Precios!$D:$F,MATCH(N600, Precios!$G:$G, 0),CHOOSE(MATCH(H600, {"SML";"XL";"XXL"}, 0), 1, 2, 3)), 0)</f>
        <v>0</v>
      </c>
      <c r="K600" s="10">
        <f t="shared" si="24"/>
        <v>0</v>
      </c>
      <c r="N600" s="9" t="str">
        <f t="shared" si="25"/>
        <v/>
      </c>
      <c r="O600" s="9" t="str">
        <f>IF(N600="","",IF(COUNTIF(Precios!$G:$G,N600)=0,"⚠ No coincide con Precios","OK"))</f>
        <v/>
      </c>
    </row>
    <row r="601" spans="3:15" x14ac:dyDescent="0.2">
      <c r="C601" s="9" cm="1">
        <f t="array" ref="C601">IFERROR(_xlfn.XLOOKUP(B601,Personal!$A:$A,Personal!$D:$D,""),"")</f>
        <v>0</v>
      </c>
      <c r="D601" s="9" cm="1">
        <f t="array" ref="D601">IFERROR(_xlfn.XLOOKUP(B601,Personal!$A:$A,Personal!$C:$C,""),"")</f>
        <v>0</v>
      </c>
      <c r="E601" s="9" t="str" cm="1">
        <f t="array" ref="E601">IFERROR(_xlfn.XLOOKUP(D601,Locales!$A:$A,Locales!$B:$B,""),"")</f>
        <v/>
      </c>
      <c r="F601" s="9" cm="1">
        <f t="array" ref="F601">IFERROR(_xlfn.XLOOKUP(B601,Personal!$A:$A,Personal!$F:$F,""),"")</f>
        <v>0</v>
      </c>
      <c r="I601" s="10" cm="1">
        <f t="array" ref="I601">IFERROR(INDEX(Precios!$D:$F,MATCH(N601, Precios!$G:$G, 0),CHOOSE(MATCH(H601, {"SML";"XL";"XXL"}, 0), 1, 2, 3)), 0)</f>
        <v>0</v>
      </c>
      <c r="K601" s="10">
        <f t="shared" si="24"/>
        <v>0</v>
      </c>
      <c r="N601" s="9" t="str">
        <f t="shared" si="25"/>
        <v/>
      </c>
      <c r="O601" s="9" t="str">
        <f>IF(N601="","",IF(COUNTIF(Precios!$G:$G,N601)=0,"⚠ No coincide con Precios","OK"))</f>
        <v/>
      </c>
    </row>
    <row r="602" spans="3:15" x14ac:dyDescent="0.2">
      <c r="C602" s="9" cm="1">
        <f t="array" ref="C602">IFERROR(_xlfn.XLOOKUP(B602,Personal!$A:$A,Personal!$D:$D,""),"")</f>
        <v>0</v>
      </c>
      <c r="D602" s="9" cm="1">
        <f t="array" ref="D602">IFERROR(_xlfn.XLOOKUP(B602,Personal!$A:$A,Personal!$C:$C,""),"")</f>
        <v>0</v>
      </c>
      <c r="E602" s="9" t="str" cm="1">
        <f t="array" ref="E602">IFERROR(_xlfn.XLOOKUP(D602,Locales!$A:$A,Locales!$B:$B,""),"")</f>
        <v/>
      </c>
      <c r="F602" s="9" cm="1">
        <f t="array" ref="F602">IFERROR(_xlfn.XLOOKUP(B602,Personal!$A:$A,Personal!$F:$F,""),"")</f>
        <v>0</v>
      </c>
      <c r="I602" s="10" cm="1">
        <f t="array" ref="I602">IFERROR(INDEX(Precios!$D:$F,MATCH(N602, Precios!$G:$G, 0),CHOOSE(MATCH(H602, {"SML";"XL";"XXL"}, 0), 1, 2, 3)), 0)</f>
        <v>0</v>
      </c>
      <c r="K602" s="10">
        <f t="shared" si="24"/>
        <v>0</v>
      </c>
      <c r="N602" s="9" t="str">
        <f t="shared" si="25"/>
        <v/>
      </c>
      <c r="O602" s="9" t="str">
        <f>IF(N602="","",IF(COUNTIF(Precios!$G:$G,N602)=0,"⚠ No coincide con Precios","OK"))</f>
        <v/>
      </c>
    </row>
    <row r="603" spans="3:15" x14ac:dyDescent="0.2">
      <c r="C603" s="9" cm="1">
        <f t="array" ref="C603">IFERROR(_xlfn.XLOOKUP(B603,Personal!$A:$A,Personal!$D:$D,""),"")</f>
        <v>0</v>
      </c>
      <c r="D603" s="9" cm="1">
        <f t="array" ref="D603">IFERROR(_xlfn.XLOOKUP(B603,Personal!$A:$A,Personal!$C:$C,""),"")</f>
        <v>0</v>
      </c>
      <c r="E603" s="9" t="str" cm="1">
        <f t="array" ref="E603">IFERROR(_xlfn.XLOOKUP(D603,Locales!$A:$A,Locales!$B:$B,""),"")</f>
        <v/>
      </c>
      <c r="F603" s="9" cm="1">
        <f t="array" ref="F603">IFERROR(_xlfn.XLOOKUP(B603,Personal!$A:$A,Personal!$F:$F,""),"")</f>
        <v>0</v>
      </c>
      <c r="I603" s="10" cm="1">
        <f t="array" ref="I603">IFERROR(INDEX(Precios!$D:$F,MATCH(N603, Precios!$G:$G, 0),CHOOSE(MATCH(H603, {"SML";"XL";"XXL"}, 0), 1, 2, 3)), 0)</f>
        <v>0</v>
      </c>
      <c r="K603" s="10">
        <f t="shared" si="24"/>
        <v>0</v>
      </c>
      <c r="N603" s="9" t="str">
        <f t="shared" si="25"/>
        <v/>
      </c>
      <c r="O603" s="9" t="str">
        <f>IF(N603="","",IF(COUNTIF(Precios!$G:$G,N603)=0,"⚠ No coincide con Precios","OK"))</f>
        <v/>
      </c>
    </row>
    <row r="604" spans="3:15" x14ac:dyDescent="0.2">
      <c r="C604" s="9" cm="1">
        <f t="array" ref="C604">IFERROR(_xlfn.XLOOKUP(B604,Personal!$A:$A,Personal!$D:$D,""),"")</f>
        <v>0</v>
      </c>
      <c r="D604" s="9" cm="1">
        <f t="array" ref="D604">IFERROR(_xlfn.XLOOKUP(B604,Personal!$A:$A,Personal!$C:$C,""),"")</f>
        <v>0</v>
      </c>
      <c r="E604" s="9" t="str" cm="1">
        <f t="array" ref="E604">IFERROR(_xlfn.XLOOKUP(D604,Locales!$A:$A,Locales!$B:$B,""),"")</f>
        <v/>
      </c>
      <c r="F604" s="9" cm="1">
        <f t="array" ref="F604">IFERROR(_xlfn.XLOOKUP(B604,Personal!$A:$A,Personal!$F:$F,""),"")</f>
        <v>0</v>
      </c>
      <c r="I604" s="10" cm="1">
        <f t="array" ref="I604">IFERROR(INDEX(Precios!$D:$F,MATCH(N604, Precios!$G:$G, 0),CHOOSE(MATCH(H604, {"SML";"XL";"XXL"}, 0), 1, 2, 3)), 0)</f>
        <v>0</v>
      </c>
      <c r="K604" s="10">
        <f t="shared" si="24"/>
        <v>0</v>
      </c>
      <c r="N604" s="9" t="str">
        <f t="shared" si="25"/>
        <v/>
      </c>
      <c r="O604" s="9" t="str">
        <f>IF(N604="","",IF(COUNTIF(Precios!$G:$G,N604)=0,"⚠ No coincide con Precios","OK"))</f>
        <v/>
      </c>
    </row>
    <row r="605" spans="3:15" x14ac:dyDescent="0.2">
      <c r="C605" s="9" cm="1">
        <f t="array" ref="C605">IFERROR(_xlfn.XLOOKUP(B605,Personal!$A:$A,Personal!$D:$D,""),"")</f>
        <v>0</v>
      </c>
      <c r="D605" s="9" cm="1">
        <f t="array" ref="D605">IFERROR(_xlfn.XLOOKUP(B605,Personal!$A:$A,Personal!$C:$C,""),"")</f>
        <v>0</v>
      </c>
      <c r="E605" s="9" t="str" cm="1">
        <f t="array" ref="E605">IFERROR(_xlfn.XLOOKUP(D605,Locales!$A:$A,Locales!$B:$B,""),"")</f>
        <v/>
      </c>
      <c r="F605" s="9" cm="1">
        <f t="array" ref="F605">IFERROR(_xlfn.XLOOKUP(B605,Personal!$A:$A,Personal!$F:$F,""),"")</f>
        <v>0</v>
      </c>
      <c r="I605" s="10" cm="1">
        <f t="array" ref="I605">IFERROR(INDEX(Precios!$D:$F,MATCH(N605, Precios!$G:$G, 0),CHOOSE(MATCH(H605, {"SML";"XL";"XXL"}, 0), 1, 2, 3)), 0)</f>
        <v>0</v>
      </c>
      <c r="K605" s="10">
        <f t="shared" si="24"/>
        <v>0</v>
      </c>
      <c r="N605" s="9" t="str">
        <f t="shared" si="25"/>
        <v/>
      </c>
      <c r="O605" s="9" t="str">
        <f>IF(N605="","",IF(COUNTIF(Precios!$G:$G,N605)=0,"⚠ No coincide con Precios","OK"))</f>
        <v/>
      </c>
    </row>
    <row r="606" spans="3:15" x14ac:dyDescent="0.2">
      <c r="C606" s="9" cm="1">
        <f t="array" ref="C606">IFERROR(_xlfn.XLOOKUP(B606,Personal!$A:$A,Personal!$D:$D,""),"")</f>
        <v>0</v>
      </c>
      <c r="D606" s="9" cm="1">
        <f t="array" ref="D606">IFERROR(_xlfn.XLOOKUP(B606,Personal!$A:$A,Personal!$C:$C,""),"")</f>
        <v>0</v>
      </c>
      <c r="E606" s="9" t="str" cm="1">
        <f t="array" ref="E606">IFERROR(_xlfn.XLOOKUP(D606,Locales!$A:$A,Locales!$B:$B,""),"")</f>
        <v/>
      </c>
      <c r="F606" s="9" cm="1">
        <f t="array" ref="F606">IFERROR(_xlfn.XLOOKUP(B606,Personal!$A:$A,Personal!$F:$F,""),"")</f>
        <v>0</v>
      </c>
      <c r="I606" s="10" cm="1">
        <f t="array" ref="I606">IFERROR(INDEX(Precios!$D:$F,MATCH(N606, Precios!$G:$G, 0),CHOOSE(MATCH(H606, {"SML";"XL";"XXL"}, 0), 1, 2, 3)), 0)</f>
        <v>0</v>
      </c>
      <c r="K606" s="10">
        <f t="shared" si="24"/>
        <v>0</v>
      </c>
      <c r="N606" s="9" t="str">
        <f t="shared" si="25"/>
        <v/>
      </c>
      <c r="O606" s="9" t="str">
        <f>IF(N606="","",IF(COUNTIF(Precios!$G:$G,N606)=0,"⚠ No coincide con Precios","OK"))</f>
        <v/>
      </c>
    </row>
    <row r="607" spans="3:15" x14ac:dyDescent="0.2">
      <c r="C607" s="9" cm="1">
        <f t="array" ref="C607">IFERROR(_xlfn.XLOOKUP(B607,Personal!$A:$A,Personal!$D:$D,""),"")</f>
        <v>0</v>
      </c>
      <c r="D607" s="9" cm="1">
        <f t="array" ref="D607">IFERROR(_xlfn.XLOOKUP(B607,Personal!$A:$A,Personal!$C:$C,""),"")</f>
        <v>0</v>
      </c>
      <c r="E607" s="9" t="str" cm="1">
        <f t="array" ref="E607">IFERROR(_xlfn.XLOOKUP(D607,Locales!$A:$A,Locales!$B:$B,""),"")</f>
        <v/>
      </c>
      <c r="F607" s="9" cm="1">
        <f t="array" ref="F607">IFERROR(_xlfn.XLOOKUP(B607,Personal!$A:$A,Personal!$F:$F,""),"")</f>
        <v>0</v>
      </c>
      <c r="I607" s="10" cm="1">
        <f t="array" ref="I607">IFERROR(INDEX(Precios!$D:$F,MATCH(N607, Precios!$G:$G, 0),CHOOSE(MATCH(H607, {"SML";"XL";"XXL"}, 0), 1, 2, 3)), 0)</f>
        <v>0</v>
      </c>
      <c r="K607" s="10">
        <f t="shared" si="24"/>
        <v>0</v>
      </c>
      <c r="N607" s="9" t="str">
        <f t="shared" si="25"/>
        <v/>
      </c>
      <c r="O607" s="9" t="str">
        <f>IF(N607="","",IF(COUNTIF(Precios!$G:$G,N607)=0,"⚠ No coincide con Precios","OK"))</f>
        <v/>
      </c>
    </row>
    <row r="608" spans="3:15" x14ac:dyDescent="0.2">
      <c r="C608" s="9" cm="1">
        <f t="array" ref="C608">IFERROR(_xlfn.XLOOKUP(B608,Personal!$A:$A,Personal!$D:$D,""),"")</f>
        <v>0</v>
      </c>
      <c r="D608" s="9" cm="1">
        <f t="array" ref="D608">IFERROR(_xlfn.XLOOKUP(B608,Personal!$A:$A,Personal!$C:$C,""),"")</f>
        <v>0</v>
      </c>
      <c r="E608" s="9" t="str" cm="1">
        <f t="array" ref="E608">IFERROR(_xlfn.XLOOKUP(D608,Locales!$A:$A,Locales!$B:$B,""),"")</f>
        <v/>
      </c>
      <c r="F608" s="9" cm="1">
        <f t="array" ref="F608">IFERROR(_xlfn.XLOOKUP(B608,Personal!$A:$A,Personal!$F:$F,""),"")</f>
        <v>0</v>
      </c>
      <c r="I608" s="10" cm="1">
        <f t="array" ref="I608">IFERROR(INDEX(Precios!$D:$F,MATCH(N608, Precios!$G:$G, 0),CHOOSE(MATCH(H608, {"SML";"XL";"XXL"}, 0), 1, 2, 3)), 0)</f>
        <v>0</v>
      </c>
      <c r="K608" s="10">
        <f t="shared" si="24"/>
        <v>0</v>
      </c>
      <c r="N608" s="9" t="str">
        <f t="shared" si="25"/>
        <v/>
      </c>
      <c r="O608" s="9" t="str">
        <f>IF(N608="","",IF(COUNTIF(Precios!$G:$G,N608)=0,"⚠ No coincide con Precios","OK"))</f>
        <v/>
      </c>
    </row>
    <row r="609" spans="3:15" x14ac:dyDescent="0.2">
      <c r="C609" s="9" cm="1">
        <f t="array" ref="C609">IFERROR(_xlfn.XLOOKUP(B609,Personal!$A:$A,Personal!$D:$D,""),"")</f>
        <v>0</v>
      </c>
      <c r="D609" s="9" cm="1">
        <f t="array" ref="D609">IFERROR(_xlfn.XLOOKUP(B609,Personal!$A:$A,Personal!$C:$C,""),"")</f>
        <v>0</v>
      </c>
      <c r="E609" s="9" t="str" cm="1">
        <f t="array" ref="E609">IFERROR(_xlfn.XLOOKUP(D609,Locales!$A:$A,Locales!$B:$B,""),"")</f>
        <v/>
      </c>
      <c r="F609" s="9" cm="1">
        <f t="array" ref="F609">IFERROR(_xlfn.XLOOKUP(B609,Personal!$A:$A,Personal!$F:$F,""),"")</f>
        <v>0</v>
      </c>
      <c r="I609" s="10" cm="1">
        <f t="array" ref="I609">IFERROR(INDEX(Precios!$D:$F,MATCH(N609, Precios!$G:$G, 0),CHOOSE(MATCH(H609, {"SML";"XL";"XXL"}, 0), 1, 2, 3)), 0)</f>
        <v>0</v>
      </c>
      <c r="K609" s="10">
        <f t="shared" si="24"/>
        <v>0</v>
      </c>
      <c r="N609" s="9" t="str">
        <f t="shared" si="25"/>
        <v/>
      </c>
      <c r="O609" s="9" t="str">
        <f>IF(N609="","",IF(COUNTIF(Precios!$G:$G,N609)=0,"⚠ No coincide con Precios","OK"))</f>
        <v/>
      </c>
    </row>
    <row r="610" spans="3:15" x14ac:dyDescent="0.2">
      <c r="C610" s="9" cm="1">
        <f t="array" ref="C610">IFERROR(_xlfn.XLOOKUP(B610,Personal!$A:$A,Personal!$D:$D,""),"")</f>
        <v>0</v>
      </c>
      <c r="D610" s="9" cm="1">
        <f t="array" ref="D610">IFERROR(_xlfn.XLOOKUP(B610,Personal!$A:$A,Personal!$C:$C,""),"")</f>
        <v>0</v>
      </c>
      <c r="E610" s="9" t="str" cm="1">
        <f t="array" ref="E610">IFERROR(_xlfn.XLOOKUP(D610,Locales!$A:$A,Locales!$B:$B,""),"")</f>
        <v/>
      </c>
      <c r="F610" s="9" cm="1">
        <f t="array" ref="F610">IFERROR(_xlfn.XLOOKUP(B610,Personal!$A:$A,Personal!$F:$F,""),"")</f>
        <v>0</v>
      </c>
      <c r="I610" s="10" cm="1">
        <f t="array" ref="I610">IFERROR(INDEX(Precios!$D:$F,MATCH(N610, Precios!$G:$G, 0),CHOOSE(MATCH(H610, {"SML";"XL";"XXL"}, 0), 1, 2, 3)), 0)</f>
        <v>0</v>
      </c>
      <c r="K610" s="10">
        <f t="shared" si="24"/>
        <v>0</v>
      </c>
      <c r="N610" s="9" t="str">
        <f t="shared" si="25"/>
        <v/>
      </c>
      <c r="O610" s="9" t="str">
        <f>IF(N610="","",IF(COUNTIF(Precios!$G:$G,N610)=0,"⚠ No coincide con Precios","OK"))</f>
        <v/>
      </c>
    </row>
    <row r="611" spans="3:15" x14ac:dyDescent="0.2">
      <c r="C611" s="9" cm="1">
        <f t="array" ref="C611">IFERROR(_xlfn.XLOOKUP(B611,Personal!$A:$A,Personal!$D:$D,""),"")</f>
        <v>0</v>
      </c>
      <c r="D611" s="9" cm="1">
        <f t="array" ref="D611">IFERROR(_xlfn.XLOOKUP(B611,Personal!$A:$A,Personal!$C:$C,""),"")</f>
        <v>0</v>
      </c>
      <c r="E611" s="9" t="str" cm="1">
        <f t="array" ref="E611">IFERROR(_xlfn.XLOOKUP(D611,Locales!$A:$A,Locales!$B:$B,""),"")</f>
        <v/>
      </c>
      <c r="F611" s="9" cm="1">
        <f t="array" ref="F611">IFERROR(_xlfn.XLOOKUP(B611,Personal!$A:$A,Personal!$F:$F,""),"")</f>
        <v>0</v>
      </c>
      <c r="I611" s="10" cm="1">
        <f t="array" ref="I611">IFERROR(INDEX(Precios!$D:$F,MATCH(N611, Precios!$G:$G, 0),CHOOSE(MATCH(H611, {"SML";"XL";"XXL"}, 0), 1, 2, 3)), 0)</f>
        <v>0</v>
      </c>
      <c r="K611" s="10">
        <f t="shared" si="24"/>
        <v>0</v>
      </c>
      <c r="N611" s="9" t="str">
        <f t="shared" si="25"/>
        <v/>
      </c>
      <c r="O611" s="9" t="str">
        <f>IF(N611="","",IF(COUNTIF(Precios!$G:$G,N611)=0,"⚠ No coincide con Precios","OK"))</f>
        <v/>
      </c>
    </row>
    <row r="612" spans="3:15" x14ac:dyDescent="0.2">
      <c r="C612" s="9" cm="1">
        <f t="array" ref="C612">IFERROR(_xlfn.XLOOKUP(B612,Personal!$A:$A,Personal!$D:$D,""),"")</f>
        <v>0</v>
      </c>
      <c r="D612" s="9" cm="1">
        <f t="array" ref="D612">IFERROR(_xlfn.XLOOKUP(B612,Personal!$A:$A,Personal!$C:$C,""),"")</f>
        <v>0</v>
      </c>
      <c r="E612" s="9" t="str" cm="1">
        <f t="array" ref="E612">IFERROR(_xlfn.XLOOKUP(D612,Locales!$A:$A,Locales!$B:$B,""),"")</f>
        <v/>
      </c>
      <c r="F612" s="9" cm="1">
        <f t="array" ref="F612">IFERROR(_xlfn.XLOOKUP(B612,Personal!$A:$A,Personal!$F:$F,""),"")</f>
        <v>0</v>
      </c>
      <c r="I612" s="10" cm="1">
        <f t="array" ref="I612">IFERROR(INDEX(Precios!$D:$F,MATCH(N612, Precios!$G:$G, 0),CHOOSE(MATCH(H612, {"SML";"XL";"XXL"}, 0), 1, 2, 3)), 0)</f>
        <v>0</v>
      </c>
      <c r="K612" s="10">
        <f t="shared" si="24"/>
        <v>0</v>
      </c>
      <c r="N612" s="9" t="str">
        <f t="shared" si="25"/>
        <v/>
      </c>
      <c r="O612" s="9" t="str">
        <f>IF(N612="","",IF(COUNTIF(Precios!$G:$G,N612)=0,"⚠ No coincide con Precios","OK"))</f>
        <v/>
      </c>
    </row>
    <row r="613" spans="3:15" x14ac:dyDescent="0.2">
      <c r="C613" s="9" cm="1">
        <f t="array" ref="C613">IFERROR(_xlfn.XLOOKUP(B613,Personal!$A:$A,Personal!$D:$D,""),"")</f>
        <v>0</v>
      </c>
      <c r="D613" s="9" cm="1">
        <f t="array" ref="D613">IFERROR(_xlfn.XLOOKUP(B613,Personal!$A:$A,Personal!$C:$C,""),"")</f>
        <v>0</v>
      </c>
      <c r="E613" s="9" t="str" cm="1">
        <f t="array" ref="E613">IFERROR(_xlfn.XLOOKUP(D613,Locales!$A:$A,Locales!$B:$B,""),"")</f>
        <v/>
      </c>
      <c r="F613" s="9" cm="1">
        <f t="array" ref="F613">IFERROR(_xlfn.XLOOKUP(B613,Personal!$A:$A,Personal!$F:$F,""),"")</f>
        <v>0</v>
      </c>
      <c r="I613" s="10" cm="1">
        <f t="array" ref="I613">IFERROR(INDEX(Precios!$D:$F,MATCH(N613, Precios!$G:$G, 0),CHOOSE(MATCH(H613, {"SML";"XL";"XXL"}, 0), 1, 2, 3)), 0)</f>
        <v>0</v>
      </c>
      <c r="K613" s="10">
        <f t="shared" si="24"/>
        <v>0</v>
      </c>
      <c r="N613" s="9" t="str">
        <f t="shared" si="25"/>
        <v/>
      </c>
      <c r="O613" s="9" t="str">
        <f>IF(N613="","",IF(COUNTIF(Precios!$G:$G,N613)=0,"⚠ No coincide con Precios","OK"))</f>
        <v/>
      </c>
    </row>
    <row r="614" spans="3:15" x14ac:dyDescent="0.2">
      <c r="C614" s="9" cm="1">
        <f t="array" ref="C614">IFERROR(_xlfn.XLOOKUP(B614,Personal!$A:$A,Personal!$D:$D,""),"")</f>
        <v>0</v>
      </c>
      <c r="D614" s="9" cm="1">
        <f t="array" ref="D614">IFERROR(_xlfn.XLOOKUP(B614,Personal!$A:$A,Personal!$C:$C,""),"")</f>
        <v>0</v>
      </c>
      <c r="E614" s="9" t="str" cm="1">
        <f t="array" ref="E614">IFERROR(_xlfn.XLOOKUP(D614,Locales!$A:$A,Locales!$B:$B,""),"")</f>
        <v/>
      </c>
      <c r="F614" s="9" cm="1">
        <f t="array" ref="F614">IFERROR(_xlfn.XLOOKUP(B614,Personal!$A:$A,Personal!$F:$F,""),"")</f>
        <v>0</v>
      </c>
      <c r="I614" s="10" cm="1">
        <f t="array" ref="I614">IFERROR(INDEX(Precios!$D:$F,MATCH(N614, Precios!$G:$G, 0),CHOOSE(MATCH(H614, {"SML";"XL";"XXL"}, 0), 1, 2, 3)), 0)</f>
        <v>0</v>
      </c>
      <c r="K614" s="10">
        <f t="shared" si="24"/>
        <v>0</v>
      </c>
      <c r="N614" s="9" t="str">
        <f t="shared" si="25"/>
        <v/>
      </c>
      <c r="O614" s="9" t="str">
        <f>IF(N614="","",IF(COUNTIF(Precios!$G:$G,N614)=0,"⚠ No coincide con Precios","OK"))</f>
        <v/>
      </c>
    </row>
    <row r="615" spans="3:15" x14ac:dyDescent="0.2">
      <c r="C615" s="9" cm="1">
        <f t="array" ref="C615">IFERROR(_xlfn.XLOOKUP(B615,Personal!$A:$A,Personal!$D:$D,""),"")</f>
        <v>0</v>
      </c>
      <c r="D615" s="9" cm="1">
        <f t="array" ref="D615">IFERROR(_xlfn.XLOOKUP(B615,Personal!$A:$A,Personal!$C:$C,""),"")</f>
        <v>0</v>
      </c>
      <c r="E615" s="9" t="str" cm="1">
        <f t="array" ref="E615">IFERROR(_xlfn.XLOOKUP(D615,Locales!$A:$A,Locales!$B:$B,""),"")</f>
        <v/>
      </c>
      <c r="F615" s="9" cm="1">
        <f t="array" ref="F615">IFERROR(_xlfn.XLOOKUP(B615,Personal!$A:$A,Personal!$F:$F,""),"")</f>
        <v>0</v>
      </c>
      <c r="I615" s="10" cm="1">
        <f t="array" ref="I615">IFERROR(INDEX(Precios!$D:$F,MATCH(N615, Precios!$G:$G, 0),CHOOSE(MATCH(H615, {"SML";"XL";"XXL"}, 0), 1, 2, 3)), 0)</f>
        <v>0</v>
      </c>
      <c r="K615" s="10">
        <f t="shared" si="24"/>
        <v>0</v>
      </c>
      <c r="N615" s="9" t="str">
        <f t="shared" si="25"/>
        <v/>
      </c>
      <c r="O615" s="9" t="str">
        <f>IF(N615="","",IF(COUNTIF(Precios!$G:$G,N615)=0,"⚠ No coincide con Precios","OK"))</f>
        <v/>
      </c>
    </row>
    <row r="616" spans="3:15" x14ac:dyDescent="0.2">
      <c r="C616" s="9" cm="1">
        <f t="array" ref="C616">IFERROR(_xlfn.XLOOKUP(B616,Personal!$A:$A,Personal!$D:$D,""),"")</f>
        <v>0</v>
      </c>
      <c r="D616" s="9" cm="1">
        <f t="array" ref="D616">IFERROR(_xlfn.XLOOKUP(B616,Personal!$A:$A,Personal!$C:$C,""),"")</f>
        <v>0</v>
      </c>
      <c r="E616" s="9" t="str" cm="1">
        <f t="array" ref="E616">IFERROR(_xlfn.XLOOKUP(D616,Locales!$A:$A,Locales!$B:$B,""),"")</f>
        <v/>
      </c>
      <c r="F616" s="9" cm="1">
        <f t="array" ref="F616">IFERROR(_xlfn.XLOOKUP(B616,Personal!$A:$A,Personal!$F:$F,""),"")</f>
        <v>0</v>
      </c>
      <c r="I616" s="10" cm="1">
        <f t="array" ref="I616">IFERROR(INDEX(Precios!$D:$F,MATCH(N616, Precios!$G:$G, 0),CHOOSE(MATCH(H616, {"SML";"XL";"XXL"}, 0), 1, 2, 3)), 0)</f>
        <v>0</v>
      </c>
      <c r="K616" s="10">
        <f t="shared" si="24"/>
        <v>0</v>
      </c>
      <c r="N616" s="9" t="str">
        <f t="shared" si="25"/>
        <v/>
      </c>
      <c r="O616" s="9" t="str">
        <f>IF(N616="","",IF(COUNTIF(Precios!$G:$G,N616)=0,"⚠ No coincide con Precios","OK"))</f>
        <v/>
      </c>
    </row>
    <row r="617" spans="3:15" x14ac:dyDescent="0.2">
      <c r="C617" s="9" cm="1">
        <f t="array" ref="C617">IFERROR(_xlfn.XLOOKUP(B617,Personal!$A:$A,Personal!$D:$D,""),"")</f>
        <v>0</v>
      </c>
      <c r="D617" s="9" cm="1">
        <f t="array" ref="D617">IFERROR(_xlfn.XLOOKUP(B617,Personal!$A:$A,Personal!$C:$C,""),"")</f>
        <v>0</v>
      </c>
      <c r="E617" s="9" t="str" cm="1">
        <f t="array" ref="E617">IFERROR(_xlfn.XLOOKUP(D617,Locales!$A:$A,Locales!$B:$B,""),"")</f>
        <v/>
      </c>
      <c r="F617" s="9" cm="1">
        <f t="array" ref="F617">IFERROR(_xlfn.XLOOKUP(B617,Personal!$A:$A,Personal!$F:$F,""),"")</f>
        <v>0</v>
      </c>
      <c r="I617" s="10" cm="1">
        <f t="array" ref="I617">IFERROR(INDEX(Precios!$D:$F,MATCH(N617, Precios!$G:$G, 0),CHOOSE(MATCH(H617, {"SML";"XL";"XXL"}, 0), 1, 2, 3)), 0)</f>
        <v>0</v>
      </c>
      <c r="K617" s="10">
        <f t="shared" si="24"/>
        <v>0</v>
      </c>
      <c r="N617" s="9" t="str">
        <f t="shared" si="25"/>
        <v/>
      </c>
      <c r="O617" s="9" t="str">
        <f>IF(N617="","",IF(COUNTIF(Precios!$G:$G,N617)=0,"⚠ No coincide con Precios","OK"))</f>
        <v/>
      </c>
    </row>
    <row r="618" spans="3:15" x14ac:dyDescent="0.2">
      <c r="C618" s="9" cm="1">
        <f t="array" ref="C618">IFERROR(_xlfn.XLOOKUP(B618,Personal!$A:$A,Personal!$D:$D,""),"")</f>
        <v>0</v>
      </c>
      <c r="D618" s="9" cm="1">
        <f t="array" ref="D618">IFERROR(_xlfn.XLOOKUP(B618,Personal!$A:$A,Personal!$C:$C,""),"")</f>
        <v>0</v>
      </c>
      <c r="E618" s="9" t="str" cm="1">
        <f t="array" ref="E618">IFERROR(_xlfn.XLOOKUP(D618,Locales!$A:$A,Locales!$B:$B,""),"")</f>
        <v/>
      </c>
      <c r="F618" s="9" cm="1">
        <f t="array" ref="F618">IFERROR(_xlfn.XLOOKUP(B618,Personal!$A:$A,Personal!$F:$F,""),"")</f>
        <v>0</v>
      </c>
      <c r="I618" s="10" cm="1">
        <f t="array" ref="I618">IFERROR(INDEX(Precios!$D:$F,MATCH(N618, Precios!$G:$G, 0),CHOOSE(MATCH(H618, {"SML";"XL";"XXL"}, 0), 1, 2, 3)), 0)</f>
        <v>0</v>
      </c>
      <c r="K618" s="10">
        <f t="shared" si="24"/>
        <v>0</v>
      </c>
      <c r="N618" s="9" t="str">
        <f t="shared" si="25"/>
        <v/>
      </c>
      <c r="O618" s="9" t="str">
        <f>IF(N618="","",IF(COUNTIF(Precios!$G:$G,N618)=0,"⚠ No coincide con Precios","OK"))</f>
        <v/>
      </c>
    </row>
    <row r="619" spans="3:15" x14ac:dyDescent="0.2">
      <c r="C619" s="9" cm="1">
        <f t="array" ref="C619">IFERROR(_xlfn.XLOOKUP(B619,Personal!$A:$A,Personal!$D:$D,""),"")</f>
        <v>0</v>
      </c>
      <c r="D619" s="9" cm="1">
        <f t="array" ref="D619">IFERROR(_xlfn.XLOOKUP(B619,Personal!$A:$A,Personal!$C:$C,""),"")</f>
        <v>0</v>
      </c>
      <c r="E619" s="9" t="str" cm="1">
        <f t="array" ref="E619">IFERROR(_xlfn.XLOOKUP(D619,Locales!$A:$A,Locales!$B:$B,""),"")</f>
        <v/>
      </c>
      <c r="F619" s="9" cm="1">
        <f t="array" ref="F619">IFERROR(_xlfn.XLOOKUP(B619,Personal!$A:$A,Personal!$F:$F,""),"")</f>
        <v>0</v>
      </c>
      <c r="I619" s="10" cm="1">
        <f t="array" ref="I619">IFERROR(INDEX(Precios!$D:$F,MATCH(N619, Precios!$G:$G, 0),CHOOSE(MATCH(H619, {"SML";"XL";"XXL"}, 0), 1, 2, 3)), 0)</f>
        <v>0</v>
      </c>
      <c r="K619" s="10">
        <f t="shared" si="24"/>
        <v>0</v>
      </c>
      <c r="N619" s="9" t="str">
        <f t="shared" si="25"/>
        <v/>
      </c>
      <c r="O619" s="9" t="str">
        <f>IF(N619="","",IF(COUNTIF(Precios!$G:$G,N619)=0,"⚠ No coincide con Precios","OK"))</f>
        <v/>
      </c>
    </row>
    <row r="620" spans="3:15" x14ac:dyDescent="0.2">
      <c r="C620" s="9" cm="1">
        <f t="array" ref="C620">IFERROR(_xlfn.XLOOKUP(B620,Personal!$A:$A,Personal!$D:$D,""),"")</f>
        <v>0</v>
      </c>
      <c r="D620" s="9" cm="1">
        <f t="array" ref="D620">IFERROR(_xlfn.XLOOKUP(B620,Personal!$A:$A,Personal!$C:$C,""),"")</f>
        <v>0</v>
      </c>
      <c r="E620" s="9" t="str" cm="1">
        <f t="array" ref="E620">IFERROR(_xlfn.XLOOKUP(D620,Locales!$A:$A,Locales!$B:$B,""),"")</f>
        <v/>
      </c>
      <c r="F620" s="9" cm="1">
        <f t="array" ref="F620">IFERROR(_xlfn.XLOOKUP(B620,Personal!$A:$A,Personal!$F:$F,""),"")</f>
        <v>0</v>
      </c>
      <c r="I620" s="10" cm="1">
        <f t="array" ref="I620">IFERROR(INDEX(Precios!$D:$F,MATCH(N620, Precios!$G:$G, 0),CHOOSE(MATCH(H620, {"SML";"XL";"XXL"}, 0), 1, 2, 3)), 0)</f>
        <v>0</v>
      </c>
      <c r="K620" s="10">
        <f t="shared" si="24"/>
        <v>0</v>
      </c>
      <c r="N620" s="9" t="str">
        <f t="shared" si="25"/>
        <v/>
      </c>
      <c r="O620" s="9" t="str">
        <f>IF(N620="","",IF(COUNTIF(Precios!$G:$G,N620)=0,"⚠ No coincide con Precios","OK"))</f>
        <v/>
      </c>
    </row>
    <row r="621" spans="3:15" x14ac:dyDescent="0.2">
      <c r="C621" s="9" cm="1">
        <f t="array" ref="C621">IFERROR(_xlfn.XLOOKUP(B621,Personal!$A:$A,Personal!$D:$D,""),"")</f>
        <v>0</v>
      </c>
      <c r="D621" s="9" cm="1">
        <f t="array" ref="D621">IFERROR(_xlfn.XLOOKUP(B621,Personal!$A:$A,Personal!$C:$C,""),"")</f>
        <v>0</v>
      </c>
      <c r="E621" s="9" t="str" cm="1">
        <f t="array" ref="E621">IFERROR(_xlfn.XLOOKUP(D621,Locales!$A:$A,Locales!$B:$B,""),"")</f>
        <v/>
      </c>
      <c r="F621" s="9" cm="1">
        <f t="array" ref="F621">IFERROR(_xlfn.XLOOKUP(B621,Personal!$A:$A,Personal!$F:$F,""),"")</f>
        <v>0</v>
      </c>
      <c r="I621" s="10" cm="1">
        <f t="array" ref="I621">IFERROR(INDEX(Precios!$D:$F,MATCH(N621, Precios!$G:$G, 0),CHOOSE(MATCH(H621, {"SML";"XL";"XXL"}, 0), 1, 2, 3)), 0)</f>
        <v>0</v>
      </c>
      <c r="K621" s="10">
        <f t="shared" si="24"/>
        <v>0</v>
      </c>
      <c r="N621" s="9" t="str">
        <f t="shared" si="25"/>
        <v/>
      </c>
      <c r="O621" s="9" t="str">
        <f>IF(N621="","",IF(COUNTIF(Precios!$G:$G,N621)=0,"⚠ No coincide con Precios","OK"))</f>
        <v/>
      </c>
    </row>
    <row r="622" spans="3:15" x14ac:dyDescent="0.2">
      <c r="C622" s="9" cm="1">
        <f t="array" ref="C622">IFERROR(_xlfn.XLOOKUP(B622,Personal!$A:$A,Personal!$D:$D,""),"")</f>
        <v>0</v>
      </c>
      <c r="D622" s="9" cm="1">
        <f t="array" ref="D622">IFERROR(_xlfn.XLOOKUP(B622,Personal!$A:$A,Personal!$C:$C,""),"")</f>
        <v>0</v>
      </c>
      <c r="E622" s="9" t="str" cm="1">
        <f t="array" ref="E622">IFERROR(_xlfn.XLOOKUP(D622,Locales!$A:$A,Locales!$B:$B,""),"")</f>
        <v/>
      </c>
      <c r="F622" s="9" cm="1">
        <f t="array" ref="F622">IFERROR(_xlfn.XLOOKUP(B622,Personal!$A:$A,Personal!$F:$F,""),"")</f>
        <v>0</v>
      </c>
      <c r="I622" s="10" cm="1">
        <f t="array" ref="I622">IFERROR(INDEX(Precios!$D:$F,MATCH(N622, Precios!$G:$G, 0),CHOOSE(MATCH(H622, {"SML";"XL";"XXL"}, 0), 1, 2, 3)), 0)</f>
        <v>0</v>
      </c>
      <c r="K622" s="10">
        <f t="shared" si="24"/>
        <v>0</v>
      </c>
      <c r="N622" s="9" t="str">
        <f t="shared" si="25"/>
        <v/>
      </c>
      <c r="O622" s="9" t="str">
        <f>IF(N622="","",IF(COUNTIF(Precios!$G:$G,N622)=0,"⚠ No coincide con Precios","OK"))</f>
        <v/>
      </c>
    </row>
    <row r="623" spans="3:15" x14ac:dyDescent="0.2">
      <c r="C623" s="9" cm="1">
        <f t="array" ref="C623">IFERROR(_xlfn.XLOOKUP(B623,Personal!$A:$A,Personal!$D:$D,""),"")</f>
        <v>0</v>
      </c>
      <c r="D623" s="9" cm="1">
        <f t="array" ref="D623">IFERROR(_xlfn.XLOOKUP(B623,Personal!$A:$A,Personal!$C:$C,""),"")</f>
        <v>0</v>
      </c>
      <c r="E623" s="9" t="str" cm="1">
        <f t="array" ref="E623">IFERROR(_xlfn.XLOOKUP(D623,Locales!$A:$A,Locales!$B:$B,""),"")</f>
        <v/>
      </c>
      <c r="F623" s="9" cm="1">
        <f t="array" ref="F623">IFERROR(_xlfn.XLOOKUP(B623,Personal!$A:$A,Personal!$F:$F,""),"")</f>
        <v>0</v>
      </c>
      <c r="I623" s="10" cm="1">
        <f t="array" ref="I623">IFERROR(INDEX(Precios!$D:$F,MATCH(N623, Precios!$G:$G, 0),CHOOSE(MATCH(H623, {"SML";"XL";"XXL"}, 0), 1, 2, 3)), 0)</f>
        <v>0</v>
      </c>
      <c r="K623" s="10">
        <f t="shared" si="24"/>
        <v>0</v>
      </c>
      <c r="N623" s="9" t="str">
        <f t="shared" si="25"/>
        <v/>
      </c>
      <c r="O623" s="9" t="str">
        <f>IF(N623="","",IF(COUNTIF(Precios!$G:$G,N623)=0,"⚠ No coincide con Precios","OK"))</f>
        <v/>
      </c>
    </row>
    <row r="624" spans="3:15" x14ac:dyDescent="0.2">
      <c r="C624" s="9" cm="1">
        <f t="array" ref="C624">IFERROR(_xlfn.XLOOKUP(B624,Personal!$A:$A,Personal!$D:$D,""),"")</f>
        <v>0</v>
      </c>
      <c r="D624" s="9" cm="1">
        <f t="array" ref="D624">IFERROR(_xlfn.XLOOKUP(B624,Personal!$A:$A,Personal!$C:$C,""),"")</f>
        <v>0</v>
      </c>
      <c r="E624" s="9" t="str" cm="1">
        <f t="array" ref="E624">IFERROR(_xlfn.XLOOKUP(D624,Locales!$A:$A,Locales!$B:$B,""),"")</f>
        <v/>
      </c>
      <c r="F624" s="9" cm="1">
        <f t="array" ref="F624">IFERROR(_xlfn.XLOOKUP(B624,Personal!$A:$A,Personal!$F:$F,""),"")</f>
        <v>0</v>
      </c>
      <c r="I624" s="10" cm="1">
        <f t="array" ref="I624">IFERROR(INDEX(Precios!$D:$F,MATCH(N624, Precios!$G:$G, 0),CHOOSE(MATCH(H624, {"SML";"XL";"XXL"}, 0), 1, 2, 3)), 0)</f>
        <v>0</v>
      </c>
      <c r="K624" s="10">
        <f t="shared" si="24"/>
        <v>0</v>
      </c>
      <c r="N624" s="9" t="str">
        <f t="shared" si="25"/>
        <v/>
      </c>
      <c r="O624" s="9" t="str">
        <f>IF(N624="","",IF(COUNTIF(Precios!$G:$G,N624)=0,"⚠ No coincide con Precios","OK"))</f>
        <v/>
      </c>
    </row>
    <row r="625" spans="3:15" x14ac:dyDescent="0.2">
      <c r="C625" s="9" cm="1">
        <f t="array" ref="C625">IFERROR(_xlfn.XLOOKUP(B625,Personal!$A:$A,Personal!$D:$D,""),"")</f>
        <v>0</v>
      </c>
      <c r="D625" s="9" cm="1">
        <f t="array" ref="D625">IFERROR(_xlfn.XLOOKUP(B625,Personal!$A:$A,Personal!$C:$C,""),"")</f>
        <v>0</v>
      </c>
      <c r="E625" s="9" t="str" cm="1">
        <f t="array" ref="E625">IFERROR(_xlfn.XLOOKUP(D625,Locales!$A:$A,Locales!$B:$B,""),"")</f>
        <v/>
      </c>
      <c r="F625" s="9" cm="1">
        <f t="array" ref="F625">IFERROR(_xlfn.XLOOKUP(B625,Personal!$A:$A,Personal!$F:$F,""),"")</f>
        <v>0</v>
      </c>
      <c r="I625" s="10" cm="1">
        <f t="array" ref="I625">IFERROR(INDEX(Precios!$D:$F,MATCH(N625, Precios!$G:$G, 0),CHOOSE(MATCH(H625, {"SML";"XL";"XXL"}, 0), 1, 2, 3)), 0)</f>
        <v>0</v>
      </c>
      <c r="K625" s="10">
        <f t="shared" si="24"/>
        <v>0</v>
      </c>
      <c r="N625" s="9" t="str">
        <f t="shared" si="25"/>
        <v/>
      </c>
      <c r="O625" s="9" t="str">
        <f>IF(N625="","",IF(COUNTIF(Precios!$G:$G,N625)=0,"⚠ No coincide con Precios","OK"))</f>
        <v/>
      </c>
    </row>
    <row r="626" spans="3:15" x14ac:dyDescent="0.2">
      <c r="C626" s="9" cm="1">
        <f t="array" ref="C626">IFERROR(_xlfn.XLOOKUP(B626,Personal!$A:$A,Personal!$D:$D,""),"")</f>
        <v>0</v>
      </c>
      <c r="D626" s="9" cm="1">
        <f t="array" ref="D626">IFERROR(_xlfn.XLOOKUP(B626,Personal!$A:$A,Personal!$C:$C,""),"")</f>
        <v>0</v>
      </c>
      <c r="E626" s="9" t="str" cm="1">
        <f t="array" ref="E626">IFERROR(_xlfn.XLOOKUP(D626,Locales!$A:$A,Locales!$B:$B,""),"")</f>
        <v/>
      </c>
      <c r="F626" s="9" cm="1">
        <f t="array" ref="F626">IFERROR(_xlfn.XLOOKUP(B626,Personal!$A:$A,Personal!$F:$F,""),"")</f>
        <v>0</v>
      </c>
      <c r="I626" s="10" cm="1">
        <f t="array" ref="I626">IFERROR(INDEX(Precios!$D:$F,MATCH(N626, Precios!$G:$G, 0),CHOOSE(MATCH(H626, {"SML";"XL";"XXL"}, 0), 1, 2, 3)), 0)</f>
        <v>0</v>
      </c>
      <c r="K626" s="10">
        <f t="shared" si="24"/>
        <v>0</v>
      </c>
      <c r="N626" s="9" t="str">
        <f t="shared" si="25"/>
        <v/>
      </c>
      <c r="O626" s="9" t="str">
        <f>IF(N626="","",IF(COUNTIF(Precios!$G:$G,N626)=0,"⚠ No coincide con Precios","OK"))</f>
        <v/>
      </c>
    </row>
    <row r="627" spans="3:15" x14ac:dyDescent="0.2">
      <c r="C627" s="9" cm="1">
        <f t="array" ref="C627">IFERROR(_xlfn.XLOOKUP(B627,Personal!$A:$A,Personal!$D:$D,""),"")</f>
        <v>0</v>
      </c>
      <c r="D627" s="9" cm="1">
        <f t="array" ref="D627">IFERROR(_xlfn.XLOOKUP(B627,Personal!$A:$A,Personal!$C:$C,""),"")</f>
        <v>0</v>
      </c>
      <c r="E627" s="9" t="str" cm="1">
        <f t="array" ref="E627">IFERROR(_xlfn.XLOOKUP(D627,Locales!$A:$A,Locales!$B:$B,""),"")</f>
        <v/>
      </c>
      <c r="F627" s="9" cm="1">
        <f t="array" ref="F627">IFERROR(_xlfn.XLOOKUP(B627,Personal!$A:$A,Personal!$F:$F,""),"")</f>
        <v>0</v>
      </c>
      <c r="I627" s="10" cm="1">
        <f t="array" ref="I627">IFERROR(INDEX(Precios!$D:$F,MATCH(N627, Precios!$G:$G, 0),CHOOSE(MATCH(H627, {"SML";"XL";"XXL"}, 0), 1, 2, 3)), 0)</f>
        <v>0</v>
      </c>
      <c r="K627" s="10">
        <f t="shared" si="24"/>
        <v>0</v>
      </c>
      <c r="N627" s="9" t="str">
        <f t="shared" si="25"/>
        <v/>
      </c>
      <c r="O627" s="9" t="str">
        <f>IF(N627="","",IF(COUNTIF(Precios!$G:$G,N627)=0,"⚠ No coincide con Precios","OK"))</f>
        <v/>
      </c>
    </row>
    <row r="628" spans="3:15" x14ac:dyDescent="0.2">
      <c r="C628" s="9" cm="1">
        <f t="array" ref="C628">IFERROR(_xlfn.XLOOKUP(B628,Personal!$A:$A,Personal!$D:$D,""),"")</f>
        <v>0</v>
      </c>
      <c r="D628" s="9" cm="1">
        <f t="array" ref="D628">IFERROR(_xlfn.XLOOKUP(B628,Personal!$A:$A,Personal!$C:$C,""),"")</f>
        <v>0</v>
      </c>
      <c r="E628" s="9" t="str" cm="1">
        <f t="array" ref="E628">IFERROR(_xlfn.XLOOKUP(D628,Locales!$A:$A,Locales!$B:$B,""),"")</f>
        <v/>
      </c>
      <c r="F628" s="9" cm="1">
        <f t="array" ref="F628">IFERROR(_xlfn.XLOOKUP(B628,Personal!$A:$A,Personal!$F:$F,""),"")</f>
        <v>0</v>
      </c>
      <c r="I628" s="10" cm="1">
        <f t="array" ref="I628">IFERROR(INDEX(Precios!$D:$F,MATCH(N628, Precios!$G:$G, 0),CHOOSE(MATCH(H628, {"SML";"XL";"XXL"}, 0), 1, 2, 3)), 0)</f>
        <v>0</v>
      </c>
      <c r="K628" s="10">
        <f t="shared" si="24"/>
        <v>0</v>
      </c>
      <c r="N628" s="9" t="str">
        <f t="shared" si="25"/>
        <v/>
      </c>
      <c r="O628" s="9" t="str">
        <f>IF(N628="","",IF(COUNTIF(Precios!$G:$G,N628)=0,"⚠ No coincide con Precios","OK"))</f>
        <v/>
      </c>
    </row>
    <row r="629" spans="3:15" x14ac:dyDescent="0.2">
      <c r="C629" s="9" cm="1">
        <f t="array" ref="C629">IFERROR(_xlfn.XLOOKUP(B629,Personal!$A:$A,Personal!$D:$D,""),"")</f>
        <v>0</v>
      </c>
      <c r="D629" s="9" cm="1">
        <f t="array" ref="D629">IFERROR(_xlfn.XLOOKUP(B629,Personal!$A:$A,Personal!$C:$C,""),"")</f>
        <v>0</v>
      </c>
      <c r="E629" s="9" t="str" cm="1">
        <f t="array" ref="E629">IFERROR(_xlfn.XLOOKUP(D629,Locales!$A:$A,Locales!$B:$B,""),"")</f>
        <v/>
      </c>
      <c r="F629" s="9" cm="1">
        <f t="array" ref="F629">IFERROR(_xlfn.XLOOKUP(B629,Personal!$A:$A,Personal!$F:$F,""),"")</f>
        <v>0</v>
      </c>
      <c r="I629" s="10" cm="1">
        <f t="array" ref="I629">IFERROR(INDEX(Precios!$D:$F,MATCH(N629, Precios!$G:$G, 0),CHOOSE(MATCH(H629, {"SML";"XL";"XXL"}, 0), 1, 2, 3)), 0)</f>
        <v>0</v>
      </c>
      <c r="K629" s="10">
        <f t="shared" si="24"/>
        <v>0</v>
      </c>
      <c r="N629" s="9" t="str">
        <f t="shared" si="25"/>
        <v/>
      </c>
      <c r="O629" s="9" t="str">
        <f>IF(N629="","",IF(COUNTIF(Precios!$G:$G,N629)=0,"⚠ No coincide con Precios","OK"))</f>
        <v/>
      </c>
    </row>
    <row r="630" spans="3:15" x14ac:dyDescent="0.2">
      <c r="C630" s="9" cm="1">
        <f t="array" ref="C630">IFERROR(_xlfn.XLOOKUP(B630,Personal!$A:$A,Personal!$D:$D,""),"")</f>
        <v>0</v>
      </c>
      <c r="D630" s="9" cm="1">
        <f t="array" ref="D630">IFERROR(_xlfn.XLOOKUP(B630,Personal!$A:$A,Personal!$C:$C,""),"")</f>
        <v>0</v>
      </c>
      <c r="E630" s="9" t="str" cm="1">
        <f t="array" ref="E630">IFERROR(_xlfn.XLOOKUP(D630,Locales!$A:$A,Locales!$B:$B,""),"")</f>
        <v/>
      </c>
      <c r="F630" s="9" cm="1">
        <f t="array" ref="F630">IFERROR(_xlfn.XLOOKUP(B630,Personal!$A:$A,Personal!$F:$F,""),"")</f>
        <v>0</v>
      </c>
      <c r="I630" s="10" cm="1">
        <f t="array" ref="I630">IFERROR(INDEX(Precios!$D:$F,MATCH(N630, Precios!$G:$G, 0),CHOOSE(MATCH(H630, {"SML";"XL";"XXL"}, 0), 1, 2, 3)), 0)</f>
        <v>0</v>
      </c>
      <c r="K630" s="10">
        <f t="shared" si="24"/>
        <v>0</v>
      </c>
      <c r="N630" s="9" t="str">
        <f t="shared" si="25"/>
        <v/>
      </c>
      <c r="O630" s="9" t="str">
        <f>IF(N630="","",IF(COUNTIF(Precios!$G:$G,N630)=0,"⚠ No coincide con Precios","OK"))</f>
        <v/>
      </c>
    </row>
    <row r="631" spans="3:15" x14ac:dyDescent="0.2">
      <c r="C631" s="9" cm="1">
        <f t="array" ref="C631">IFERROR(_xlfn.XLOOKUP(B631,Personal!$A:$A,Personal!$D:$D,""),"")</f>
        <v>0</v>
      </c>
      <c r="D631" s="9" cm="1">
        <f t="array" ref="D631">IFERROR(_xlfn.XLOOKUP(B631,Personal!$A:$A,Personal!$C:$C,""),"")</f>
        <v>0</v>
      </c>
      <c r="E631" s="9" t="str" cm="1">
        <f t="array" ref="E631">IFERROR(_xlfn.XLOOKUP(D631,Locales!$A:$A,Locales!$B:$B,""),"")</f>
        <v/>
      </c>
      <c r="F631" s="9" cm="1">
        <f t="array" ref="F631">IFERROR(_xlfn.XLOOKUP(B631,Personal!$A:$A,Personal!$F:$F,""),"")</f>
        <v>0</v>
      </c>
      <c r="I631" s="10" cm="1">
        <f t="array" ref="I631">IFERROR(INDEX(Precios!$D:$F,MATCH(N631, Precios!$G:$G, 0),CHOOSE(MATCH(H631, {"SML";"XL";"XXL"}, 0), 1, 2, 3)), 0)</f>
        <v>0</v>
      </c>
      <c r="K631" s="10">
        <f t="shared" si="24"/>
        <v>0</v>
      </c>
      <c r="N631" s="9" t="str">
        <f t="shared" si="25"/>
        <v/>
      </c>
      <c r="O631" s="9" t="str">
        <f>IF(N631="","",IF(COUNTIF(Precios!$G:$G,N631)=0,"⚠ No coincide con Precios","OK"))</f>
        <v/>
      </c>
    </row>
    <row r="632" spans="3:15" x14ac:dyDescent="0.2">
      <c r="C632" s="9" cm="1">
        <f t="array" ref="C632">IFERROR(_xlfn.XLOOKUP(B632,Personal!$A:$A,Personal!$D:$D,""),"")</f>
        <v>0</v>
      </c>
      <c r="D632" s="9" cm="1">
        <f t="array" ref="D632">IFERROR(_xlfn.XLOOKUP(B632,Personal!$A:$A,Personal!$C:$C,""),"")</f>
        <v>0</v>
      </c>
      <c r="E632" s="9" t="str" cm="1">
        <f t="array" ref="E632">IFERROR(_xlfn.XLOOKUP(D632,Locales!$A:$A,Locales!$B:$B,""),"")</f>
        <v/>
      </c>
      <c r="F632" s="9" cm="1">
        <f t="array" ref="F632">IFERROR(_xlfn.XLOOKUP(B632,Personal!$A:$A,Personal!$F:$F,""),"")</f>
        <v>0</v>
      </c>
      <c r="I632" s="10" cm="1">
        <f t="array" ref="I632">IFERROR(INDEX(Precios!$D:$F,MATCH(N632, Precios!$G:$G, 0),CHOOSE(MATCH(H632, {"SML";"XL";"XXL"}, 0), 1, 2, 3)), 0)</f>
        <v>0</v>
      </c>
      <c r="K632" s="10">
        <f t="shared" si="24"/>
        <v>0</v>
      </c>
      <c r="N632" s="9" t="str">
        <f t="shared" si="25"/>
        <v/>
      </c>
      <c r="O632" s="9" t="str">
        <f>IF(N632="","",IF(COUNTIF(Precios!$G:$G,N632)=0,"⚠ No coincide con Precios","OK"))</f>
        <v/>
      </c>
    </row>
    <row r="633" spans="3:15" x14ac:dyDescent="0.2">
      <c r="C633" s="9" cm="1">
        <f t="array" ref="C633">IFERROR(_xlfn.XLOOKUP(B633,Personal!$A:$A,Personal!$D:$D,""),"")</f>
        <v>0</v>
      </c>
      <c r="D633" s="9" cm="1">
        <f t="array" ref="D633">IFERROR(_xlfn.XLOOKUP(B633,Personal!$A:$A,Personal!$C:$C,""),"")</f>
        <v>0</v>
      </c>
      <c r="E633" s="9" t="str" cm="1">
        <f t="array" ref="E633">IFERROR(_xlfn.XLOOKUP(D633,Locales!$A:$A,Locales!$B:$B,""),"")</f>
        <v/>
      </c>
      <c r="F633" s="9" cm="1">
        <f t="array" ref="F633">IFERROR(_xlfn.XLOOKUP(B633,Personal!$A:$A,Personal!$F:$F,""),"")</f>
        <v>0</v>
      </c>
      <c r="I633" s="10" cm="1">
        <f t="array" ref="I633">IFERROR(INDEX(Precios!$D:$F,MATCH(N633, Precios!$G:$G, 0),CHOOSE(MATCH(H633, {"SML";"XL";"XXL"}, 0), 1, 2, 3)), 0)</f>
        <v>0</v>
      </c>
      <c r="K633" s="10">
        <f t="shared" si="24"/>
        <v>0</v>
      </c>
      <c r="N633" s="9" t="str">
        <f t="shared" si="25"/>
        <v/>
      </c>
      <c r="O633" s="9" t="str">
        <f>IF(N633="","",IF(COUNTIF(Precios!$G:$G,N633)=0,"⚠ No coincide con Precios","OK"))</f>
        <v/>
      </c>
    </row>
    <row r="634" spans="3:15" x14ac:dyDescent="0.2">
      <c r="C634" s="9" cm="1">
        <f t="array" ref="C634">IFERROR(_xlfn.XLOOKUP(B634,Personal!$A:$A,Personal!$D:$D,""),"")</f>
        <v>0</v>
      </c>
      <c r="D634" s="9" cm="1">
        <f t="array" ref="D634">IFERROR(_xlfn.XLOOKUP(B634,Personal!$A:$A,Personal!$C:$C,""),"")</f>
        <v>0</v>
      </c>
      <c r="E634" s="9" t="str" cm="1">
        <f t="array" ref="E634">IFERROR(_xlfn.XLOOKUP(D634,Locales!$A:$A,Locales!$B:$B,""),"")</f>
        <v/>
      </c>
      <c r="F634" s="9" cm="1">
        <f t="array" ref="F634">IFERROR(_xlfn.XLOOKUP(B634,Personal!$A:$A,Personal!$F:$F,""),"")</f>
        <v>0</v>
      </c>
      <c r="I634" s="10" cm="1">
        <f t="array" ref="I634">IFERROR(INDEX(Precios!$D:$F,MATCH(N634, Precios!$G:$G, 0),CHOOSE(MATCH(H634, {"SML";"XL";"XXL"}, 0), 1, 2, 3)), 0)</f>
        <v>0</v>
      </c>
      <c r="K634" s="10">
        <f t="shared" si="24"/>
        <v>0</v>
      </c>
      <c r="N634" s="9" t="str">
        <f t="shared" si="25"/>
        <v/>
      </c>
      <c r="O634" s="9" t="str">
        <f>IF(N634="","",IF(COUNTIF(Precios!$G:$G,N634)=0,"⚠ No coincide con Precios","OK"))</f>
        <v/>
      </c>
    </row>
    <row r="635" spans="3:15" x14ac:dyDescent="0.2">
      <c r="C635" s="9" cm="1">
        <f t="array" ref="C635">IFERROR(_xlfn.XLOOKUP(B635,Personal!$A:$A,Personal!$D:$D,""),"")</f>
        <v>0</v>
      </c>
      <c r="D635" s="9" cm="1">
        <f t="array" ref="D635">IFERROR(_xlfn.XLOOKUP(B635,Personal!$A:$A,Personal!$C:$C,""),"")</f>
        <v>0</v>
      </c>
      <c r="E635" s="9" t="str" cm="1">
        <f t="array" ref="E635">IFERROR(_xlfn.XLOOKUP(D635,Locales!$A:$A,Locales!$B:$B,""),"")</f>
        <v/>
      </c>
      <c r="F635" s="9" cm="1">
        <f t="array" ref="F635">IFERROR(_xlfn.XLOOKUP(B635,Personal!$A:$A,Personal!$F:$F,""),"")</f>
        <v>0</v>
      </c>
      <c r="I635" s="10" cm="1">
        <f t="array" ref="I635">IFERROR(INDEX(Precios!$D:$F,MATCH(N635, Precios!$G:$G, 0),CHOOSE(MATCH(H635, {"SML";"XL";"XXL"}, 0), 1, 2, 3)), 0)</f>
        <v>0</v>
      </c>
      <c r="K635" s="10">
        <f t="shared" si="24"/>
        <v>0</v>
      </c>
      <c r="N635" s="9" t="str">
        <f t="shared" si="25"/>
        <v/>
      </c>
      <c r="O635" s="9" t="str">
        <f>IF(N635="","",IF(COUNTIF(Precios!$G:$G,N635)=0,"⚠ No coincide con Precios","OK"))</f>
        <v/>
      </c>
    </row>
    <row r="636" spans="3:15" x14ac:dyDescent="0.2">
      <c r="C636" s="9" cm="1">
        <f t="array" ref="C636">IFERROR(_xlfn.XLOOKUP(B636,Personal!$A:$A,Personal!$D:$D,""),"")</f>
        <v>0</v>
      </c>
      <c r="D636" s="9" cm="1">
        <f t="array" ref="D636">IFERROR(_xlfn.XLOOKUP(B636,Personal!$A:$A,Personal!$C:$C,""),"")</f>
        <v>0</v>
      </c>
      <c r="E636" s="9" t="str" cm="1">
        <f t="array" ref="E636">IFERROR(_xlfn.XLOOKUP(D636,Locales!$A:$A,Locales!$B:$B,""),"")</f>
        <v/>
      </c>
      <c r="F636" s="9" cm="1">
        <f t="array" ref="F636">IFERROR(_xlfn.XLOOKUP(B636,Personal!$A:$A,Personal!$F:$F,""),"")</f>
        <v>0</v>
      </c>
      <c r="I636" s="10" cm="1">
        <f t="array" ref="I636">IFERROR(INDEX(Precios!$D:$F,MATCH(N636, Precios!$G:$G, 0),CHOOSE(MATCH(H636, {"SML";"XL";"XXL"}, 0), 1, 2, 3)), 0)</f>
        <v>0</v>
      </c>
      <c r="K636" s="10">
        <f t="shared" si="24"/>
        <v>0</v>
      </c>
      <c r="N636" s="9" t="str">
        <f t="shared" si="25"/>
        <v/>
      </c>
      <c r="O636" s="9" t="str">
        <f>IF(N636="","",IF(COUNTIF(Precios!$G:$G,N636)=0,"⚠ No coincide con Precios","OK"))</f>
        <v/>
      </c>
    </row>
    <row r="637" spans="3:15" x14ac:dyDescent="0.2">
      <c r="C637" s="9" cm="1">
        <f t="array" ref="C637">IFERROR(_xlfn.XLOOKUP(B637,Personal!$A:$A,Personal!$D:$D,""),"")</f>
        <v>0</v>
      </c>
      <c r="D637" s="9" cm="1">
        <f t="array" ref="D637">IFERROR(_xlfn.XLOOKUP(B637,Personal!$A:$A,Personal!$C:$C,""),"")</f>
        <v>0</v>
      </c>
      <c r="E637" s="9" t="str" cm="1">
        <f t="array" ref="E637">IFERROR(_xlfn.XLOOKUP(D637,Locales!$A:$A,Locales!$B:$B,""),"")</f>
        <v/>
      </c>
      <c r="F637" s="9" cm="1">
        <f t="array" ref="F637">IFERROR(_xlfn.XLOOKUP(B637,Personal!$A:$A,Personal!$F:$F,""),"")</f>
        <v>0</v>
      </c>
      <c r="I637" s="10" cm="1">
        <f t="array" ref="I637">IFERROR(INDEX(Precios!$D:$F,MATCH(N637, Precios!$G:$G, 0),CHOOSE(MATCH(H637, {"SML";"XL";"XXL"}, 0), 1, 2, 3)), 0)</f>
        <v>0</v>
      </c>
      <c r="K637" s="10">
        <f t="shared" si="24"/>
        <v>0</v>
      </c>
      <c r="N637" s="9" t="str">
        <f t="shared" si="25"/>
        <v/>
      </c>
      <c r="O637" s="9" t="str">
        <f>IF(N637="","",IF(COUNTIF(Precios!$G:$G,N637)=0,"⚠ No coincide con Precios","OK"))</f>
        <v/>
      </c>
    </row>
    <row r="638" spans="3:15" x14ac:dyDescent="0.2">
      <c r="C638" s="9" cm="1">
        <f t="array" ref="C638">IFERROR(_xlfn.XLOOKUP(B638,Personal!$A:$A,Personal!$D:$D,""),"")</f>
        <v>0</v>
      </c>
      <c r="D638" s="9" cm="1">
        <f t="array" ref="D638">IFERROR(_xlfn.XLOOKUP(B638,Personal!$A:$A,Personal!$C:$C,""),"")</f>
        <v>0</v>
      </c>
      <c r="E638" s="9" t="str" cm="1">
        <f t="array" ref="E638">IFERROR(_xlfn.XLOOKUP(D638,Locales!$A:$A,Locales!$B:$B,""),"")</f>
        <v/>
      </c>
      <c r="F638" s="9" cm="1">
        <f t="array" ref="F638">IFERROR(_xlfn.XLOOKUP(B638,Personal!$A:$A,Personal!$F:$F,""),"")</f>
        <v>0</v>
      </c>
      <c r="I638" s="10" cm="1">
        <f t="array" ref="I638">IFERROR(INDEX(Precios!$D:$F,MATCH(N638, Precios!$G:$G, 0),CHOOSE(MATCH(H638, {"SML";"XL";"XXL"}, 0), 1, 2, 3)), 0)</f>
        <v>0</v>
      </c>
      <c r="K638" s="10">
        <f t="shared" ref="K638:K701" si="26">IFERROR(I638*J638,0)</f>
        <v>0</v>
      </c>
      <c r="N638" s="9" t="str">
        <f t="shared" ref="N638:N701" si="27">IF( OR(E638="",F638="",G638=""), "",CLEAN(TRIM(E638)) &amp; "|" &amp; CLEAN(TRIM(F638)) &amp; "|" &amp; CLEAN(TRIM(G638)))</f>
        <v/>
      </c>
      <c r="O638" s="9" t="str">
        <f>IF(N638="","",IF(COUNTIF(Precios!$G:$G,N638)=0,"⚠ No coincide con Precios","OK"))</f>
        <v/>
      </c>
    </row>
    <row r="639" spans="3:15" x14ac:dyDescent="0.2">
      <c r="C639" s="9" cm="1">
        <f t="array" ref="C639">IFERROR(_xlfn.XLOOKUP(B639,Personal!$A:$A,Personal!$D:$D,""),"")</f>
        <v>0</v>
      </c>
      <c r="D639" s="9" cm="1">
        <f t="array" ref="D639">IFERROR(_xlfn.XLOOKUP(B639,Personal!$A:$A,Personal!$C:$C,""),"")</f>
        <v>0</v>
      </c>
      <c r="E639" s="9" t="str" cm="1">
        <f t="array" ref="E639">IFERROR(_xlfn.XLOOKUP(D639,Locales!$A:$A,Locales!$B:$B,""),"")</f>
        <v/>
      </c>
      <c r="F639" s="9" cm="1">
        <f t="array" ref="F639">IFERROR(_xlfn.XLOOKUP(B639,Personal!$A:$A,Personal!$F:$F,""),"")</f>
        <v>0</v>
      </c>
      <c r="I639" s="10" cm="1">
        <f t="array" ref="I639">IFERROR(INDEX(Precios!$D:$F,MATCH(N639, Precios!$G:$G, 0),CHOOSE(MATCH(H639, {"SML";"XL";"XXL"}, 0), 1, 2, 3)), 0)</f>
        <v>0</v>
      </c>
      <c r="K639" s="10">
        <f t="shared" si="26"/>
        <v>0</v>
      </c>
      <c r="N639" s="9" t="str">
        <f t="shared" si="27"/>
        <v/>
      </c>
      <c r="O639" s="9" t="str">
        <f>IF(N639="","",IF(COUNTIF(Precios!$G:$G,N639)=0,"⚠ No coincide con Precios","OK"))</f>
        <v/>
      </c>
    </row>
    <row r="640" spans="3:15" x14ac:dyDescent="0.2">
      <c r="C640" s="9" cm="1">
        <f t="array" ref="C640">IFERROR(_xlfn.XLOOKUP(B640,Personal!$A:$A,Personal!$D:$D,""),"")</f>
        <v>0</v>
      </c>
      <c r="D640" s="9" cm="1">
        <f t="array" ref="D640">IFERROR(_xlfn.XLOOKUP(B640,Personal!$A:$A,Personal!$C:$C,""),"")</f>
        <v>0</v>
      </c>
      <c r="E640" s="9" t="str" cm="1">
        <f t="array" ref="E640">IFERROR(_xlfn.XLOOKUP(D640,Locales!$A:$A,Locales!$B:$B,""),"")</f>
        <v/>
      </c>
      <c r="F640" s="9" cm="1">
        <f t="array" ref="F640">IFERROR(_xlfn.XLOOKUP(B640,Personal!$A:$A,Personal!$F:$F,""),"")</f>
        <v>0</v>
      </c>
      <c r="I640" s="10" cm="1">
        <f t="array" ref="I640">IFERROR(INDEX(Precios!$D:$F,MATCH(N640, Precios!$G:$G, 0),CHOOSE(MATCH(H640, {"SML";"XL";"XXL"}, 0), 1, 2, 3)), 0)</f>
        <v>0</v>
      </c>
      <c r="K640" s="10">
        <f t="shared" si="26"/>
        <v>0</v>
      </c>
      <c r="N640" s="9" t="str">
        <f t="shared" si="27"/>
        <v/>
      </c>
      <c r="O640" s="9" t="str">
        <f>IF(N640="","",IF(COUNTIF(Precios!$G:$G,N640)=0,"⚠ No coincide con Precios","OK"))</f>
        <v/>
      </c>
    </row>
    <row r="641" spans="3:15" x14ac:dyDescent="0.2">
      <c r="C641" s="9" cm="1">
        <f t="array" ref="C641">IFERROR(_xlfn.XLOOKUP(B641,Personal!$A:$A,Personal!$D:$D,""),"")</f>
        <v>0</v>
      </c>
      <c r="D641" s="9" cm="1">
        <f t="array" ref="D641">IFERROR(_xlfn.XLOOKUP(B641,Personal!$A:$A,Personal!$C:$C,""),"")</f>
        <v>0</v>
      </c>
      <c r="E641" s="9" t="str" cm="1">
        <f t="array" ref="E641">IFERROR(_xlfn.XLOOKUP(D641,Locales!$A:$A,Locales!$B:$B,""),"")</f>
        <v/>
      </c>
      <c r="F641" s="9" cm="1">
        <f t="array" ref="F641">IFERROR(_xlfn.XLOOKUP(B641,Personal!$A:$A,Personal!$F:$F,""),"")</f>
        <v>0</v>
      </c>
      <c r="I641" s="10" cm="1">
        <f t="array" ref="I641">IFERROR(INDEX(Precios!$D:$F,MATCH(N641, Precios!$G:$G, 0),CHOOSE(MATCH(H641, {"SML";"XL";"XXL"}, 0), 1, 2, 3)), 0)</f>
        <v>0</v>
      </c>
      <c r="K641" s="10">
        <f t="shared" si="26"/>
        <v>0</v>
      </c>
      <c r="N641" s="9" t="str">
        <f t="shared" si="27"/>
        <v/>
      </c>
      <c r="O641" s="9" t="str">
        <f>IF(N641="","",IF(COUNTIF(Precios!$G:$G,N641)=0,"⚠ No coincide con Precios","OK"))</f>
        <v/>
      </c>
    </row>
    <row r="642" spans="3:15" x14ac:dyDescent="0.2">
      <c r="C642" s="9" cm="1">
        <f t="array" ref="C642">IFERROR(_xlfn.XLOOKUP(B642,Personal!$A:$A,Personal!$D:$D,""),"")</f>
        <v>0</v>
      </c>
      <c r="D642" s="9" cm="1">
        <f t="array" ref="D642">IFERROR(_xlfn.XLOOKUP(B642,Personal!$A:$A,Personal!$C:$C,""),"")</f>
        <v>0</v>
      </c>
      <c r="E642" s="9" t="str" cm="1">
        <f t="array" ref="E642">IFERROR(_xlfn.XLOOKUP(D642,Locales!$A:$A,Locales!$B:$B,""),"")</f>
        <v/>
      </c>
      <c r="F642" s="9" cm="1">
        <f t="array" ref="F642">IFERROR(_xlfn.XLOOKUP(B642,Personal!$A:$A,Personal!$F:$F,""),"")</f>
        <v>0</v>
      </c>
      <c r="I642" s="10" cm="1">
        <f t="array" ref="I642">IFERROR(INDEX(Precios!$D:$F,MATCH(N642, Precios!$G:$G, 0),CHOOSE(MATCH(H642, {"SML";"XL";"XXL"}, 0), 1, 2, 3)), 0)</f>
        <v>0</v>
      </c>
      <c r="K642" s="10">
        <f t="shared" si="26"/>
        <v>0</v>
      </c>
      <c r="N642" s="9" t="str">
        <f t="shared" si="27"/>
        <v/>
      </c>
      <c r="O642" s="9" t="str">
        <f>IF(N642="","",IF(COUNTIF(Precios!$G:$G,N642)=0,"⚠ No coincide con Precios","OK"))</f>
        <v/>
      </c>
    </row>
    <row r="643" spans="3:15" x14ac:dyDescent="0.2">
      <c r="C643" s="9" cm="1">
        <f t="array" ref="C643">IFERROR(_xlfn.XLOOKUP(B643,Personal!$A:$A,Personal!$D:$D,""),"")</f>
        <v>0</v>
      </c>
      <c r="D643" s="9" cm="1">
        <f t="array" ref="D643">IFERROR(_xlfn.XLOOKUP(B643,Personal!$A:$A,Personal!$C:$C,""),"")</f>
        <v>0</v>
      </c>
      <c r="E643" s="9" t="str" cm="1">
        <f t="array" ref="E643">IFERROR(_xlfn.XLOOKUP(D643,Locales!$A:$A,Locales!$B:$B,""),"")</f>
        <v/>
      </c>
      <c r="F643" s="9" cm="1">
        <f t="array" ref="F643">IFERROR(_xlfn.XLOOKUP(B643,Personal!$A:$A,Personal!$F:$F,""),"")</f>
        <v>0</v>
      </c>
      <c r="I643" s="10" cm="1">
        <f t="array" ref="I643">IFERROR(INDEX(Precios!$D:$F,MATCH(N643, Precios!$G:$G, 0),CHOOSE(MATCH(H643, {"SML";"XL";"XXL"}, 0), 1, 2, 3)), 0)</f>
        <v>0</v>
      </c>
      <c r="K643" s="10">
        <f t="shared" si="26"/>
        <v>0</v>
      </c>
      <c r="N643" s="9" t="str">
        <f t="shared" si="27"/>
        <v/>
      </c>
      <c r="O643" s="9" t="str">
        <f>IF(N643="","",IF(COUNTIF(Precios!$G:$G,N643)=0,"⚠ No coincide con Precios","OK"))</f>
        <v/>
      </c>
    </row>
    <row r="644" spans="3:15" x14ac:dyDescent="0.2">
      <c r="C644" s="9" cm="1">
        <f t="array" ref="C644">IFERROR(_xlfn.XLOOKUP(B644,Personal!$A:$A,Personal!$D:$D,""),"")</f>
        <v>0</v>
      </c>
      <c r="D644" s="9" cm="1">
        <f t="array" ref="D644">IFERROR(_xlfn.XLOOKUP(B644,Personal!$A:$A,Personal!$C:$C,""),"")</f>
        <v>0</v>
      </c>
      <c r="E644" s="9" t="str" cm="1">
        <f t="array" ref="E644">IFERROR(_xlfn.XLOOKUP(D644,Locales!$A:$A,Locales!$B:$B,""),"")</f>
        <v/>
      </c>
      <c r="F644" s="9" cm="1">
        <f t="array" ref="F644">IFERROR(_xlfn.XLOOKUP(B644,Personal!$A:$A,Personal!$F:$F,""),"")</f>
        <v>0</v>
      </c>
      <c r="I644" s="10" cm="1">
        <f t="array" ref="I644">IFERROR(INDEX(Precios!$D:$F,MATCH(N644, Precios!$G:$G, 0),CHOOSE(MATCH(H644, {"SML";"XL";"XXL"}, 0), 1, 2, 3)), 0)</f>
        <v>0</v>
      </c>
      <c r="K644" s="10">
        <f t="shared" si="26"/>
        <v>0</v>
      </c>
      <c r="N644" s="9" t="str">
        <f t="shared" si="27"/>
        <v/>
      </c>
      <c r="O644" s="9" t="str">
        <f>IF(N644="","",IF(COUNTIF(Precios!$G:$G,N644)=0,"⚠ No coincide con Precios","OK"))</f>
        <v/>
      </c>
    </row>
    <row r="645" spans="3:15" x14ac:dyDescent="0.2">
      <c r="C645" s="9" cm="1">
        <f t="array" ref="C645">IFERROR(_xlfn.XLOOKUP(B645,Personal!$A:$A,Personal!$D:$D,""),"")</f>
        <v>0</v>
      </c>
      <c r="D645" s="9" cm="1">
        <f t="array" ref="D645">IFERROR(_xlfn.XLOOKUP(B645,Personal!$A:$A,Personal!$C:$C,""),"")</f>
        <v>0</v>
      </c>
      <c r="E645" s="9" t="str" cm="1">
        <f t="array" ref="E645">IFERROR(_xlfn.XLOOKUP(D645,Locales!$A:$A,Locales!$B:$B,""),"")</f>
        <v/>
      </c>
      <c r="F645" s="9" cm="1">
        <f t="array" ref="F645">IFERROR(_xlfn.XLOOKUP(B645,Personal!$A:$A,Personal!$F:$F,""),"")</f>
        <v>0</v>
      </c>
      <c r="I645" s="10" cm="1">
        <f t="array" ref="I645">IFERROR(INDEX(Precios!$D:$F,MATCH(N645, Precios!$G:$G, 0),CHOOSE(MATCH(H645, {"SML";"XL";"XXL"}, 0), 1, 2, 3)), 0)</f>
        <v>0</v>
      </c>
      <c r="K645" s="10">
        <f t="shared" si="26"/>
        <v>0</v>
      </c>
      <c r="N645" s="9" t="str">
        <f t="shared" si="27"/>
        <v/>
      </c>
      <c r="O645" s="9" t="str">
        <f>IF(N645="","",IF(COUNTIF(Precios!$G:$G,N645)=0,"⚠ No coincide con Precios","OK"))</f>
        <v/>
      </c>
    </row>
    <row r="646" spans="3:15" x14ac:dyDescent="0.2">
      <c r="C646" s="9" cm="1">
        <f t="array" ref="C646">IFERROR(_xlfn.XLOOKUP(B646,Personal!$A:$A,Personal!$D:$D,""),"")</f>
        <v>0</v>
      </c>
      <c r="D646" s="9" cm="1">
        <f t="array" ref="D646">IFERROR(_xlfn.XLOOKUP(B646,Personal!$A:$A,Personal!$C:$C,""),"")</f>
        <v>0</v>
      </c>
      <c r="E646" s="9" t="str" cm="1">
        <f t="array" ref="E646">IFERROR(_xlfn.XLOOKUP(D646,Locales!$A:$A,Locales!$B:$B,""),"")</f>
        <v/>
      </c>
      <c r="F646" s="9" cm="1">
        <f t="array" ref="F646">IFERROR(_xlfn.XLOOKUP(B646,Personal!$A:$A,Personal!$F:$F,""),"")</f>
        <v>0</v>
      </c>
      <c r="I646" s="10" cm="1">
        <f t="array" ref="I646">IFERROR(INDEX(Precios!$D:$F,MATCH(N646, Precios!$G:$G, 0),CHOOSE(MATCH(H646, {"SML";"XL";"XXL"}, 0), 1, 2, 3)), 0)</f>
        <v>0</v>
      </c>
      <c r="K646" s="10">
        <f t="shared" si="26"/>
        <v>0</v>
      </c>
      <c r="N646" s="9" t="str">
        <f t="shared" si="27"/>
        <v/>
      </c>
      <c r="O646" s="9" t="str">
        <f>IF(N646="","",IF(COUNTIF(Precios!$G:$G,N646)=0,"⚠ No coincide con Precios","OK"))</f>
        <v/>
      </c>
    </row>
    <row r="647" spans="3:15" x14ac:dyDescent="0.2">
      <c r="C647" s="9" cm="1">
        <f t="array" ref="C647">IFERROR(_xlfn.XLOOKUP(B647,Personal!$A:$A,Personal!$D:$D,""),"")</f>
        <v>0</v>
      </c>
      <c r="D647" s="9" cm="1">
        <f t="array" ref="D647">IFERROR(_xlfn.XLOOKUP(B647,Personal!$A:$A,Personal!$C:$C,""),"")</f>
        <v>0</v>
      </c>
      <c r="E647" s="9" t="str" cm="1">
        <f t="array" ref="E647">IFERROR(_xlfn.XLOOKUP(D647,Locales!$A:$A,Locales!$B:$B,""),"")</f>
        <v/>
      </c>
      <c r="F647" s="9" cm="1">
        <f t="array" ref="F647">IFERROR(_xlfn.XLOOKUP(B647,Personal!$A:$A,Personal!$F:$F,""),"")</f>
        <v>0</v>
      </c>
      <c r="I647" s="10" cm="1">
        <f t="array" ref="I647">IFERROR(INDEX(Precios!$D:$F,MATCH(N647, Precios!$G:$G, 0),CHOOSE(MATCH(H647, {"SML";"XL";"XXL"}, 0), 1, 2, 3)), 0)</f>
        <v>0</v>
      </c>
      <c r="K647" s="10">
        <f t="shared" si="26"/>
        <v>0</v>
      </c>
      <c r="N647" s="9" t="str">
        <f t="shared" si="27"/>
        <v/>
      </c>
      <c r="O647" s="9" t="str">
        <f>IF(N647="","",IF(COUNTIF(Precios!$G:$G,N647)=0,"⚠ No coincide con Precios","OK"))</f>
        <v/>
      </c>
    </row>
    <row r="648" spans="3:15" x14ac:dyDescent="0.2">
      <c r="C648" s="9" cm="1">
        <f t="array" ref="C648">IFERROR(_xlfn.XLOOKUP(B648,Personal!$A:$A,Personal!$D:$D,""),"")</f>
        <v>0</v>
      </c>
      <c r="D648" s="9" cm="1">
        <f t="array" ref="D648">IFERROR(_xlfn.XLOOKUP(B648,Personal!$A:$A,Personal!$C:$C,""),"")</f>
        <v>0</v>
      </c>
      <c r="E648" s="9" t="str" cm="1">
        <f t="array" ref="E648">IFERROR(_xlfn.XLOOKUP(D648,Locales!$A:$A,Locales!$B:$B,""),"")</f>
        <v/>
      </c>
      <c r="F648" s="9" cm="1">
        <f t="array" ref="F648">IFERROR(_xlfn.XLOOKUP(B648,Personal!$A:$A,Personal!$F:$F,""),"")</f>
        <v>0</v>
      </c>
      <c r="I648" s="10" cm="1">
        <f t="array" ref="I648">IFERROR(INDEX(Precios!$D:$F,MATCH(N648, Precios!$G:$G, 0),CHOOSE(MATCH(H648, {"SML";"XL";"XXL"}, 0), 1, 2, 3)), 0)</f>
        <v>0</v>
      </c>
      <c r="K648" s="10">
        <f t="shared" si="26"/>
        <v>0</v>
      </c>
      <c r="N648" s="9" t="str">
        <f t="shared" si="27"/>
        <v/>
      </c>
      <c r="O648" s="9" t="str">
        <f>IF(N648="","",IF(COUNTIF(Precios!$G:$G,N648)=0,"⚠ No coincide con Precios","OK"))</f>
        <v/>
      </c>
    </row>
    <row r="649" spans="3:15" x14ac:dyDescent="0.2">
      <c r="C649" s="9" cm="1">
        <f t="array" ref="C649">IFERROR(_xlfn.XLOOKUP(B649,Personal!$A:$A,Personal!$D:$D,""),"")</f>
        <v>0</v>
      </c>
      <c r="D649" s="9" cm="1">
        <f t="array" ref="D649">IFERROR(_xlfn.XLOOKUP(B649,Personal!$A:$A,Personal!$C:$C,""),"")</f>
        <v>0</v>
      </c>
      <c r="E649" s="9" t="str" cm="1">
        <f t="array" ref="E649">IFERROR(_xlfn.XLOOKUP(D649,Locales!$A:$A,Locales!$B:$B,""),"")</f>
        <v/>
      </c>
      <c r="F649" s="9" cm="1">
        <f t="array" ref="F649">IFERROR(_xlfn.XLOOKUP(B649,Personal!$A:$A,Personal!$F:$F,""),"")</f>
        <v>0</v>
      </c>
      <c r="I649" s="10" cm="1">
        <f t="array" ref="I649">IFERROR(INDEX(Precios!$D:$F,MATCH(N649, Precios!$G:$G, 0),CHOOSE(MATCH(H649, {"SML";"XL";"XXL"}, 0), 1, 2, 3)), 0)</f>
        <v>0</v>
      </c>
      <c r="K649" s="10">
        <f t="shared" si="26"/>
        <v>0</v>
      </c>
      <c r="N649" s="9" t="str">
        <f t="shared" si="27"/>
        <v/>
      </c>
      <c r="O649" s="9" t="str">
        <f>IF(N649="","",IF(COUNTIF(Precios!$G:$G,N649)=0,"⚠ No coincide con Precios","OK"))</f>
        <v/>
      </c>
    </row>
    <row r="650" spans="3:15" x14ac:dyDescent="0.2">
      <c r="C650" s="9" cm="1">
        <f t="array" ref="C650">IFERROR(_xlfn.XLOOKUP(B650,Personal!$A:$A,Personal!$D:$D,""),"")</f>
        <v>0</v>
      </c>
      <c r="D650" s="9" cm="1">
        <f t="array" ref="D650">IFERROR(_xlfn.XLOOKUP(B650,Personal!$A:$A,Personal!$C:$C,""),"")</f>
        <v>0</v>
      </c>
      <c r="E650" s="9" t="str" cm="1">
        <f t="array" ref="E650">IFERROR(_xlfn.XLOOKUP(D650,Locales!$A:$A,Locales!$B:$B,""),"")</f>
        <v/>
      </c>
      <c r="F650" s="9" cm="1">
        <f t="array" ref="F650">IFERROR(_xlfn.XLOOKUP(B650,Personal!$A:$A,Personal!$F:$F,""),"")</f>
        <v>0</v>
      </c>
      <c r="I650" s="10" cm="1">
        <f t="array" ref="I650">IFERROR(INDEX(Precios!$D:$F,MATCH(N650, Precios!$G:$G, 0),CHOOSE(MATCH(H650, {"SML";"XL";"XXL"}, 0), 1, 2, 3)), 0)</f>
        <v>0</v>
      </c>
      <c r="K650" s="10">
        <f t="shared" si="26"/>
        <v>0</v>
      </c>
      <c r="N650" s="9" t="str">
        <f t="shared" si="27"/>
        <v/>
      </c>
      <c r="O650" s="9" t="str">
        <f>IF(N650="","",IF(COUNTIF(Precios!$G:$G,N650)=0,"⚠ No coincide con Precios","OK"))</f>
        <v/>
      </c>
    </row>
    <row r="651" spans="3:15" x14ac:dyDescent="0.2">
      <c r="C651" s="9" cm="1">
        <f t="array" ref="C651">IFERROR(_xlfn.XLOOKUP(B651,Personal!$A:$A,Personal!$D:$D,""),"")</f>
        <v>0</v>
      </c>
      <c r="D651" s="9" cm="1">
        <f t="array" ref="D651">IFERROR(_xlfn.XLOOKUP(B651,Personal!$A:$A,Personal!$C:$C,""),"")</f>
        <v>0</v>
      </c>
      <c r="E651" s="9" t="str" cm="1">
        <f t="array" ref="E651">IFERROR(_xlfn.XLOOKUP(D651,Locales!$A:$A,Locales!$B:$B,""),"")</f>
        <v/>
      </c>
      <c r="F651" s="9" cm="1">
        <f t="array" ref="F651">IFERROR(_xlfn.XLOOKUP(B651,Personal!$A:$A,Personal!$F:$F,""),"")</f>
        <v>0</v>
      </c>
      <c r="I651" s="10" cm="1">
        <f t="array" ref="I651">IFERROR(INDEX(Precios!$D:$F,MATCH(N651, Precios!$G:$G, 0),CHOOSE(MATCH(H651, {"SML";"XL";"XXL"}, 0), 1, 2, 3)), 0)</f>
        <v>0</v>
      </c>
      <c r="K651" s="10">
        <f t="shared" si="26"/>
        <v>0</v>
      </c>
      <c r="N651" s="9" t="str">
        <f t="shared" si="27"/>
        <v/>
      </c>
      <c r="O651" s="9" t="str">
        <f>IF(N651="","",IF(COUNTIF(Precios!$G:$G,N651)=0,"⚠ No coincide con Precios","OK"))</f>
        <v/>
      </c>
    </row>
    <row r="652" spans="3:15" x14ac:dyDescent="0.2">
      <c r="C652" s="9" cm="1">
        <f t="array" ref="C652">IFERROR(_xlfn.XLOOKUP(B652,Personal!$A:$A,Personal!$D:$D,""),"")</f>
        <v>0</v>
      </c>
      <c r="D652" s="9" cm="1">
        <f t="array" ref="D652">IFERROR(_xlfn.XLOOKUP(B652,Personal!$A:$A,Personal!$C:$C,""),"")</f>
        <v>0</v>
      </c>
      <c r="E652" s="9" t="str" cm="1">
        <f t="array" ref="E652">IFERROR(_xlfn.XLOOKUP(D652,Locales!$A:$A,Locales!$B:$B,""),"")</f>
        <v/>
      </c>
      <c r="F652" s="9" cm="1">
        <f t="array" ref="F652">IFERROR(_xlfn.XLOOKUP(B652,Personal!$A:$A,Personal!$F:$F,""),"")</f>
        <v>0</v>
      </c>
      <c r="I652" s="10" cm="1">
        <f t="array" ref="I652">IFERROR(INDEX(Precios!$D:$F,MATCH(N652, Precios!$G:$G, 0),CHOOSE(MATCH(H652, {"SML";"XL";"XXL"}, 0), 1, 2, 3)), 0)</f>
        <v>0</v>
      </c>
      <c r="K652" s="10">
        <f t="shared" si="26"/>
        <v>0</v>
      </c>
      <c r="N652" s="9" t="str">
        <f t="shared" si="27"/>
        <v/>
      </c>
      <c r="O652" s="9" t="str">
        <f>IF(N652="","",IF(COUNTIF(Precios!$G:$G,N652)=0,"⚠ No coincide con Precios","OK"))</f>
        <v/>
      </c>
    </row>
    <row r="653" spans="3:15" x14ac:dyDescent="0.2">
      <c r="C653" s="9" cm="1">
        <f t="array" ref="C653">IFERROR(_xlfn.XLOOKUP(B653,Personal!$A:$A,Personal!$D:$D,""),"")</f>
        <v>0</v>
      </c>
      <c r="D653" s="9" cm="1">
        <f t="array" ref="D653">IFERROR(_xlfn.XLOOKUP(B653,Personal!$A:$A,Personal!$C:$C,""),"")</f>
        <v>0</v>
      </c>
      <c r="E653" s="9" t="str" cm="1">
        <f t="array" ref="E653">IFERROR(_xlfn.XLOOKUP(D653,Locales!$A:$A,Locales!$B:$B,""),"")</f>
        <v/>
      </c>
      <c r="F653" s="9" cm="1">
        <f t="array" ref="F653">IFERROR(_xlfn.XLOOKUP(B653,Personal!$A:$A,Personal!$F:$F,""),"")</f>
        <v>0</v>
      </c>
      <c r="I653" s="10" cm="1">
        <f t="array" ref="I653">IFERROR(INDEX(Precios!$D:$F,MATCH(N653, Precios!$G:$G, 0),CHOOSE(MATCH(H653, {"SML";"XL";"XXL"}, 0), 1, 2, 3)), 0)</f>
        <v>0</v>
      </c>
      <c r="K653" s="10">
        <f t="shared" si="26"/>
        <v>0</v>
      </c>
      <c r="N653" s="9" t="str">
        <f t="shared" si="27"/>
        <v/>
      </c>
      <c r="O653" s="9" t="str">
        <f>IF(N653="","",IF(COUNTIF(Precios!$G:$G,N653)=0,"⚠ No coincide con Precios","OK"))</f>
        <v/>
      </c>
    </row>
    <row r="654" spans="3:15" x14ac:dyDescent="0.2">
      <c r="C654" s="9" cm="1">
        <f t="array" ref="C654">IFERROR(_xlfn.XLOOKUP(B654,Personal!$A:$A,Personal!$D:$D,""),"")</f>
        <v>0</v>
      </c>
      <c r="D654" s="9" cm="1">
        <f t="array" ref="D654">IFERROR(_xlfn.XLOOKUP(B654,Personal!$A:$A,Personal!$C:$C,""),"")</f>
        <v>0</v>
      </c>
      <c r="E654" s="9" t="str" cm="1">
        <f t="array" ref="E654">IFERROR(_xlfn.XLOOKUP(D654,Locales!$A:$A,Locales!$B:$B,""),"")</f>
        <v/>
      </c>
      <c r="F654" s="9" cm="1">
        <f t="array" ref="F654">IFERROR(_xlfn.XLOOKUP(B654,Personal!$A:$A,Personal!$F:$F,""),"")</f>
        <v>0</v>
      </c>
      <c r="I654" s="10" cm="1">
        <f t="array" ref="I654">IFERROR(INDEX(Precios!$D:$F,MATCH(N654, Precios!$G:$G, 0),CHOOSE(MATCH(H654, {"SML";"XL";"XXL"}, 0), 1, 2, 3)), 0)</f>
        <v>0</v>
      </c>
      <c r="K654" s="10">
        <f t="shared" si="26"/>
        <v>0</v>
      </c>
      <c r="N654" s="9" t="str">
        <f t="shared" si="27"/>
        <v/>
      </c>
      <c r="O654" s="9" t="str">
        <f>IF(N654="","",IF(COUNTIF(Precios!$G:$G,N654)=0,"⚠ No coincide con Precios","OK"))</f>
        <v/>
      </c>
    </row>
    <row r="655" spans="3:15" x14ac:dyDescent="0.2">
      <c r="C655" s="9" cm="1">
        <f t="array" ref="C655">IFERROR(_xlfn.XLOOKUP(B655,Personal!$A:$A,Personal!$D:$D,""),"")</f>
        <v>0</v>
      </c>
      <c r="D655" s="9" cm="1">
        <f t="array" ref="D655">IFERROR(_xlfn.XLOOKUP(B655,Personal!$A:$A,Personal!$C:$C,""),"")</f>
        <v>0</v>
      </c>
      <c r="E655" s="9" t="str" cm="1">
        <f t="array" ref="E655">IFERROR(_xlfn.XLOOKUP(D655,Locales!$A:$A,Locales!$B:$B,""),"")</f>
        <v/>
      </c>
      <c r="F655" s="9" cm="1">
        <f t="array" ref="F655">IFERROR(_xlfn.XLOOKUP(B655,Personal!$A:$A,Personal!$F:$F,""),"")</f>
        <v>0</v>
      </c>
      <c r="I655" s="10" cm="1">
        <f t="array" ref="I655">IFERROR(INDEX(Precios!$D:$F,MATCH(N655, Precios!$G:$G, 0),CHOOSE(MATCH(H655, {"SML";"XL";"XXL"}, 0), 1, 2, 3)), 0)</f>
        <v>0</v>
      </c>
      <c r="K655" s="10">
        <f t="shared" si="26"/>
        <v>0</v>
      </c>
      <c r="N655" s="9" t="str">
        <f t="shared" si="27"/>
        <v/>
      </c>
      <c r="O655" s="9" t="str">
        <f>IF(N655="","",IF(COUNTIF(Precios!$G:$G,N655)=0,"⚠ No coincide con Precios","OK"))</f>
        <v/>
      </c>
    </row>
    <row r="656" spans="3:15" x14ac:dyDescent="0.2">
      <c r="C656" s="9" cm="1">
        <f t="array" ref="C656">IFERROR(_xlfn.XLOOKUP(B656,Personal!$A:$A,Personal!$D:$D,""),"")</f>
        <v>0</v>
      </c>
      <c r="D656" s="9" cm="1">
        <f t="array" ref="D656">IFERROR(_xlfn.XLOOKUP(B656,Personal!$A:$A,Personal!$C:$C,""),"")</f>
        <v>0</v>
      </c>
      <c r="E656" s="9" t="str" cm="1">
        <f t="array" ref="E656">IFERROR(_xlfn.XLOOKUP(D656,Locales!$A:$A,Locales!$B:$B,""),"")</f>
        <v/>
      </c>
      <c r="F656" s="9" cm="1">
        <f t="array" ref="F656">IFERROR(_xlfn.XLOOKUP(B656,Personal!$A:$A,Personal!$F:$F,""),"")</f>
        <v>0</v>
      </c>
      <c r="I656" s="10" cm="1">
        <f t="array" ref="I656">IFERROR(INDEX(Precios!$D:$F,MATCH(N656, Precios!$G:$G, 0),CHOOSE(MATCH(H656, {"SML";"XL";"XXL"}, 0), 1, 2, 3)), 0)</f>
        <v>0</v>
      </c>
      <c r="K656" s="10">
        <f t="shared" si="26"/>
        <v>0</v>
      </c>
      <c r="N656" s="9" t="str">
        <f t="shared" si="27"/>
        <v/>
      </c>
      <c r="O656" s="9" t="str">
        <f>IF(N656="","",IF(COUNTIF(Precios!$G:$G,N656)=0,"⚠ No coincide con Precios","OK"))</f>
        <v/>
      </c>
    </row>
    <row r="657" spans="3:15" x14ac:dyDescent="0.2">
      <c r="C657" s="9" cm="1">
        <f t="array" ref="C657">IFERROR(_xlfn.XLOOKUP(B657,Personal!$A:$A,Personal!$D:$D,""),"")</f>
        <v>0</v>
      </c>
      <c r="D657" s="9" cm="1">
        <f t="array" ref="D657">IFERROR(_xlfn.XLOOKUP(B657,Personal!$A:$A,Personal!$C:$C,""),"")</f>
        <v>0</v>
      </c>
      <c r="E657" s="9" t="str" cm="1">
        <f t="array" ref="E657">IFERROR(_xlfn.XLOOKUP(D657,Locales!$A:$A,Locales!$B:$B,""),"")</f>
        <v/>
      </c>
      <c r="F657" s="9" cm="1">
        <f t="array" ref="F657">IFERROR(_xlfn.XLOOKUP(B657,Personal!$A:$A,Personal!$F:$F,""),"")</f>
        <v>0</v>
      </c>
      <c r="I657" s="10" cm="1">
        <f t="array" ref="I657">IFERROR(INDEX(Precios!$D:$F,MATCH(N657, Precios!$G:$G, 0),CHOOSE(MATCH(H657, {"SML";"XL";"XXL"}, 0), 1, 2, 3)), 0)</f>
        <v>0</v>
      </c>
      <c r="K657" s="10">
        <f t="shared" si="26"/>
        <v>0</v>
      </c>
      <c r="N657" s="9" t="str">
        <f t="shared" si="27"/>
        <v/>
      </c>
      <c r="O657" s="9" t="str">
        <f>IF(N657="","",IF(COUNTIF(Precios!$G:$G,N657)=0,"⚠ No coincide con Precios","OK"))</f>
        <v/>
      </c>
    </row>
    <row r="658" spans="3:15" x14ac:dyDescent="0.2">
      <c r="C658" s="9" cm="1">
        <f t="array" ref="C658">IFERROR(_xlfn.XLOOKUP(B658,Personal!$A:$A,Personal!$D:$D,""),"")</f>
        <v>0</v>
      </c>
      <c r="D658" s="9" cm="1">
        <f t="array" ref="D658">IFERROR(_xlfn.XLOOKUP(B658,Personal!$A:$A,Personal!$C:$C,""),"")</f>
        <v>0</v>
      </c>
      <c r="E658" s="9" t="str" cm="1">
        <f t="array" ref="E658">IFERROR(_xlfn.XLOOKUP(D658,Locales!$A:$A,Locales!$B:$B,""),"")</f>
        <v/>
      </c>
      <c r="F658" s="9" cm="1">
        <f t="array" ref="F658">IFERROR(_xlfn.XLOOKUP(B658,Personal!$A:$A,Personal!$F:$F,""),"")</f>
        <v>0</v>
      </c>
      <c r="I658" s="10" cm="1">
        <f t="array" ref="I658">IFERROR(INDEX(Precios!$D:$F,MATCH(N658, Precios!$G:$G, 0),CHOOSE(MATCH(H658, {"SML";"XL";"XXL"}, 0), 1, 2, 3)), 0)</f>
        <v>0</v>
      </c>
      <c r="K658" s="10">
        <f t="shared" si="26"/>
        <v>0</v>
      </c>
      <c r="N658" s="9" t="str">
        <f t="shared" si="27"/>
        <v/>
      </c>
      <c r="O658" s="9" t="str">
        <f>IF(N658="","",IF(COUNTIF(Precios!$G:$G,N658)=0,"⚠ No coincide con Precios","OK"))</f>
        <v/>
      </c>
    </row>
    <row r="659" spans="3:15" x14ac:dyDescent="0.2">
      <c r="C659" s="9" cm="1">
        <f t="array" ref="C659">IFERROR(_xlfn.XLOOKUP(B659,Personal!$A:$A,Personal!$D:$D,""),"")</f>
        <v>0</v>
      </c>
      <c r="D659" s="9" cm="1">
        <f t="array" ref="D659">IFERROR(_xlfn.XLOOKUP(B659,Personal!$A:$A,Personal!$C:$C,""),"")</f>
        <v>0</v>
      </c>
      <c r="E659" s="9" t="str" cm="1">
        <f t="array" ref="E659">IFERROR(_xlfn.XLOOKUP(D659,Locales!$A:$A,Locales!$B:$B,""),"")</f>
        <v/>
      </c>
      <c r="F659" s="9" cm="1">
        <f t="array" ref="F659">IFERROR(_xlfn.XLOOKUP(B659,Personal!$A:$A,Personal!$F:$F,""),"")</f>
        <v>0</v>
      </c>
      <c r="I659" s="10" cm="1">
        <f t="array" ref="I659">IFERROR(INDEX(Precios!$D:$F,MATCH(N659, Precios!$G:$G, 0),CHOOSE(MATCH(H659, {"SML";"XL";"XXL"}, 0), 1, 2, 3)), 0)</f>
        <v>0</v>
      </c>
      <c r="K659" s="10">
        <f t="shared" si="26"/>
        <v>0</v>
      </c>
      <c r="N659" s="9" t="str">
        <f t="shared" si="27"/>
        <v/>
      </c>
      <c r="O659" s="9" t="str">
        <f>IF(N659="","",IF(COUNTIF(Precios!$G:$G,N659)=0,"⚠ No coincide con Precios","OK"))</f>
        <v/>
      </c>
    </row>
    <row r="660" spans="3:15" x14ac:dyDescent="0.2">
      <c r="C660" s="9" cm="1">
        <f t="array" ref="C660">IFERROR(_xlfn.XLOOKUP(B660,Personal!$A:$A,Personal!$D:$D,""),"")</f>
        <v>0</v>
      </c>
      <c r="D660" s="9" cm="1">
        <f t="array" ref="D660">IFERROR(_xlfn.XLOOKUP(B660,Personal!$A:$A,Personal!$C:$C,""),"")</f>
        <v>0</v>
      </c>
      <c r="E660" s="9" t="str" cm="1">
        <f t="array" ref="E660">IFERROR(_xlfn.XLOOKUP(D660,Locales!$A:$A,Locales!$B:$B,""),"")</f>
        <v/>
      </c>
      <c r="F660" s="9" cm="1">
        <f t="array" ref="F660">IFERROR(_xlfn.XLOOKUP(B660,Personal!$A:$A,Personal!$F:$F,""),"")</f>
        <v>0</v>
      </c>
      <c r="I660" s="10" cm="1">
        <f t="array" ref="I660">IFERROR(INDEX(Precios!$D:$F,MATCH(N660, Precios!$G:$G, 0),CHOOSE(MATCH(H660, {"SML";"XL";"XXL"}, 0), 1, 2, 3)), 0)</f>
        <v>0</v>
      </c>
      <c r="K660" s="10">
        <f t="shared" si="26"/>
        <v>0</v>
      </c>
      <c r="N660" s="9" t="str">
        <f t="shared" si="27"/>
        <v/>
      </c>
      <c r="O660" s="9" t="str">
        <f>IF(N660="","",IF(COUNTIF(Precios!$G:$G,N660)=0,"⚠ No coincide con Precios","OK"))</f>
        <v/>
      </c>
    </row>
    <row r="661" spans="3:15" x14ac:dyDescent="0.2">
      <c r="C661" s="9" cm="1">
        <f t="array" ref="C661">IFERROR(_xlfn.XLOOKUP(B661,Personal!$A:$A,Personal!$D:$D,""),"")</f>
        <v>0</v>
      </c>
      <c r="D661" s="9" cm="1">
        <f t="array" ref="D661">IFERROR(_xlfn.XLOOKUP(B661,Personal!$A:$A,Personal!$C:$C,""),"")</f>
        <v>0</v>
      </c>
      <c r="E661" s="9" t="str" cm="1">
        <f t="array" ref="E661">IFERROR(_xlfn.XLOOKUP(D661,Locales!$A:$A,Locales!$B:$B,""),"")</f>
        <v/>
      </c>
      <c r="F661" s="9" cm="1">
        <f t="array" ref="F661">IFERROR(_xlfn.XLOOKUP(B661,Personal!$A:$A,Personal!$F:$F,""),"")</f>
        <v>0</v>
      </c>
      <c r="I661" s="10" cm="1">
        <f t="array" ref="I661">IFERROR(INDEX(Precios!$D:$F,MATCH(N661, Precios!$G:$G, 0),CHOOSE(MATCH(H661, {"SML";"XL";"XXL"}, 0), 1, 2, 3)), 0)</f>
        <v>0</v>
      </c>
      <c r="K661" s="10">
        <f t="shared" si="26"/>
        <v>0</v>
      </c>
      <c r="N661" s="9" t="str">
        <f t="shared" si="27"/>
        <v/>
      </c>
      <c r="O661" s="9" t="str">
        <f>IF(N661="","",IF(COUNTIF(Precios!$G:$G,N661)=0,"⚠ No coincide con Precios","OK"))</f>
        <v/>
      </c>
    </row>
    <row r="662" spans="3:15" x14ac:dyDescent="0.2">
      <c r="C662" s="9" cm="1">
        <f t="array" ref="C662">IFERROR(_xlfn.XLOOKUP(B662,Personal!$A:$A,Personal!$D:$D,""),"")</f>
        <v>0</v>
      </c>
      <c r="D662" s="9" cm="1">
        <f t="array" ref="D662">IFERROR(_xlfn.XLOOKUP(B662,Personal!$A:$A,Personal!$C:$C,""),"")</f>
        <v>0</v>
      </c>
      <c r="E662" s="9" t="str" cm="1">
        <f t="array" ref="E662">IFERROR(_xlfn.XLOOKUP(D662,Locales!$A:$A,Locales!$B:$B,""),"")</f>
        <v/>
      </c>
      <c r="F662" s="9" cm="1">
        <f t="array" ref="F662">IFERROR(_xlfn.XLOOKUP(B662,Personal!$A:$A,Personal!$F:$F,""),"")</f>
        <v>0</v>
      </c>
      <c r="I662" s="10" cm="1">
        <f t="array" ref="I662">IFERROR(INDEX(Precios!$D:$F,MATCH(N662, Precios!$G:$G, 0),CHOOSE(MATCH(H662, {"SML";"XL";"XXL"}, 0), 1, 2, 3)), 0)</f>
        <v>0</v>
      </c>
      <c r="K662" s="10">
        <f t="shared" si="26"/>
        <v>0</v>
      </c>
      <c r="N662" s="9" t="str">
        <f t="shared" si="27"/>
        <v/>
      </c>
      <c r="O662" s="9" t="str">
        <f>IF(N662="","",IF(COUNTIF(Precios!$G:$G,N662)=0,"⚠ No coincide con Precios","OK"))</f>
        <v/>
      </c>
    </row>
    <row r="663" spans="3:15" x14ac:dyDescent="0.2">
      <c r="C663" s="9" cm="1">
        <f t="array" ref="C663">IFERROR(_xlfn.XLOOKUP(B663,Personal!$A:$A,Personal!$D:$D,""),"")</f>
        <v>0</v>
      </c>
      <c r="D663" s="9" cm="1">
        <f t="array" ref="D663">IFERROR(_xlfn.XLOOKUP(B663,Personal!$A:$A,Personal!$C:$C,""),"")</f>
        <v>0</v>
      </c>
      <c r="E663" s="9" t="str" cm="1">
        <f t="array" ref="E663">IFERROR(_xlfn.XLOOKUP(D663,Locales!$A:$A,Locales!$B:$B,""),"")</f>
        <v/>
      </c>
      <c r="F663" s="9" cm="1">
        <f t="array" ref="F663">IFERROR(_xlfn.XLOOKUP(B663,Personal!$A:$A,Personal!$F:$F,""),"")</f>
        <v>0</v>
      </c>
      <c r="I663" s="10" cm="1">
        <f t="array" ref="I663">IFERROR(INDEX(Precios!$D:$F,MATCH(N663, Precios!$G:$G, 0),CHOOSE(MATCH(H663, {"SML";"XL";"XXL"}, 0), 1, 2, 3)), 0)</f>
        <v>0</v>
      </c>
      <c r="K663" s="10">
        <f t="shared" si="26"/>
        <v>0</v>
      </c>
      <c r="N663" s="9" t="str">
        <f t="shared" si="27"/>
        <v/>
      </c>
      <c r="O663" s="9" t="str">
        <f>IF(N663="","",IF(COUNTIF(Precios!$G:$G,N663)=0,"⚠ No coincide con Precios","OK"))</f>
        <v/>
      </c>
    </row>
    <row r="664" spans="3:15" x14ac:dyDescent="0.2">
      <c r="C664" s="9" cm="1">
        <f t="array" ref="C664">IFERROR(_xlfn.XLOOKUP(B664,Personal!$A:$A,Personal!$D:$D,""),"")</f>
        <v>0</v>
      </c>
      <c r="D664" s="9" cm="1">
        <f t="array" ref="D664">IFERROR(_xlfn.XLOOKUP(B664,Personal!$A:$A,Personal!$C:$C,""),"")</f>
        <v>0</v>
      </c>
      <c r="E664" s="9" t="str" cm="1">
        <f t="array" ref="E664">IFERROR(_xlfn.XLOOKUP(D664,Locales!$A:$A,Locales!$B:$B,""),"")</f>
        <v/>
      </c>
      <c r="F664" s="9" cm="1">
        <f t="array" ref="F664">IFERROR(_xlfn.XLOOKUP(B664,Personal!$A:$A,Personal!$F:$F,""),"")</f>
        <v>0</v>
      </c>
      <c r="I664" s="10" cm="1">
        <f t="array" ref="I664">IFERROR(INDEX(Precios!$D:$F,MATCH(N664, Precios!$G:$G, 0),CHOOSE(MATCH(H664, {"SML";"XL";"XXL"}, 0), 1, 2, 3)), 0)</f>
        <v>0</v>
      </c>
      <c r="K664" s="10">
        <f t="shared" si="26"/>
        <v>0</v>
      </c>
      <c r="N664" s="9" t="str">
        <f t="shared" si="27"/>
        <v/>
      </c>
      <c r="O664" s="9" t="str">
        <f>IF(N664="","",IF(COUNTIF(Precios!$G:$G,N664)=0,"⚠ No coincide con Precios","OK"))</f>
        <v/>
      </c>
    </row>
    <row r="665" spans="3:15" x14ac:dyDescent="0.2">
      <c r="C665" s="9" cm="1">
        <f t="array" ref="C665">IFERROR(_xlfn.XLOOKUP(B665,Personal!$A:$A,Personal!$D:$D,""),"")</f>
        <v>0</v>
      </c>
      <c r="D665" s="9" cm="1">
        <f t="array" ref="D665">IFERROR(_xlfn.XLOOKUP(B665,Personal!$A:$A,Personal!$C:$C,""),"")</f>
        <v>0</v>
      </c>
      <c r="E665" s="9" t="str" cm="1">
        <f t="array" ref="E665">IFERROR(_xlfn.XLOOKUP(D665,Locales!$A:$A,Locales!$B:$B,""),"")</f>
        <v/>
      </c>
      <c r="F665" s="9" cm="1">
        <f t="array" ref="F665">IFERROR(_xlfn.XLOOKUP(B665,Personal!$A:$A,Personal!$F:$F,""),"")</f>
        <v>0</v>
      </c>
      <c r="I665" s="10" cm="1">
        <f t="array" ref="I665">IFERROR(INDEX(Precios!$D:$F,MATCH(N665, Precios!$G:$G, 0),CHOOSE(MATCH(H665, {"SML";"XL";"XXL"}, 0), 1, 2, 3)), 0)</f>
        <v>0</v>
      </c>
      <c r="K665" s="10">
        <f t="shared" si="26"/>
        <v>0</v>
      </c>
      <c r="N665" s="9" t="str">
        <f t="shared" si="27"/>
        <v/>
      </c>
      <c r="O665" s="9" t="str">
        <f>IF(N665="","",IF(COUNTIF(Precios!$G:$G,N665)=0,"⚠ No coincide con Precios","OK"))</f>
        <v/>
      </c>
    </row>
    <row r="666" spans="3:15" x14ac:dyDescent="0.2">
      <c r="C666" s="9" cm="1">
        <f t="array" ref="C666">IFERROR(_xlfn.XLOOKUP(B666,Personal!$A:$A,Personal!$D:$D,""),"")</f>
        <v>0</v>
      </c>
      <c r="D666" s="9" cm="1">
        <f t="array" ref="D666">IFERROR(_xlfn.XLOOKUP(B666,Personal!$A:$A,Personal!$C:$C,""),"")</f>
        <v>0</v>
      </c>
      <c r="E666" s="9" t="str" cm="1">
        <f t="array" ref="E666">IFERROR(_xlfn.XLOOKUP(D666,Locales!$A:$A,Locales!$B:$B,""),"")</f>
        <v/>
      </c>
      <c r="F666" s="9" cm="1">
        <f t="array" ref="F666">IFERROR(_xlfn.XLOOKUP(B666,Personal!$A:$A,Personal!$F:$F,""),"")</f>
        <v>0</v>
      </c>
      <c r="I666" s="10" cm="1">
        <f t="array" ref="I666">IFERROR(INDEX(Precios!$D:$F,MATCH(N666, Precios!$G:$G, 0),CHOOSE(MATCH(H666, {"SML";"XL";"XXL"}, 0), 1, 2, 3)), 0)</f>
        <v>0</v>
      </c>
      <c r="K666" s="10">
        <f t="shared" si="26"/>
        <v>0</v>
      </c>
      <c r="N666" s="9" t="str">
        <f t="shared" si="27"/>
        <v/>
      </c>
      <c r="O666" s="9" t="str">
        <f>IF(N666="","",IF(COUNTIF(Precios!$G:$G,N666)=0,"⚠ No coincide con Precios","OK"))</f>
        <v/>
      </c>
    </row>
    <row r="667" spans="3:15" x14ac:dyDescent="0.2">
      <c r="C667" s="9" cm="1">
        <f t="array" ref="C667">IFERROR(_xlfn.XLOOKUP(B667,Personal!$A:$A,Personal!$D:$D,""),"")</f>
        <v>0</v>
      </c>
      <c r="D667" s="9" cm="1">
        <f t="array" ref="D667">IFERROR(_xlfn.XLOOKUP(B667,Personal!$A:$A,Personal!$C:$C,""),"")</f>
        <v>0</v>
      </c>
      <c r="E667" s="9" t="str" cm="1">
        <f t="array" ref="E667">IFERROR(_xlfn.XLOOKUP(D667,Locales!$A:$A,Locales!$B:$B,""),"")</f>
        <v/>
      </c>
      <c r="F667" s="9" cm="1">
        <f t="array" ref="F667">IFERROR(_xlfn.XLOOKUP(B667,Personal!$A:$A,Personal!$F:$F,""),"")</f>
        <v>0</v>
      </c>
      <c r="I667" s="10" cm="1">
        <f t="array" ref="I667">IFERROR(INDEX(Precios!$D:$F,MATCH(N667, Precios!$G:$G, 0),CHOOSE(MATCH(H667, {"SML";"XL";"XXL"}, 0), 1, 2, 3)), 0)</f>
        <v>0</v>
      </c>
      <c r="K667" s="10">
        <f t="shared" si="26"/>
        <v>0</v>
      </c>
      <c r="N667" s="9" t="str">
        <f t="shared" si="27"/>
        <v/>
      </c>
      <c r="O667" s="9" t="str">
        <f>IF(N667="","",IF(COUNTIF(Precios!$G:$G,N667)=0,"⚠ No coincide con Precios","OK"))</f>
        <v/>
      </c>
    </row>
    <row r="668" spans="3:15" x14ac:dyDescent="0.2">
      <c r="C668" s="9" cm="1">
        <f t="array" ref="C668">IFERROR(_xlfn.XLOOKUP(B668,Personal!$A:$A,Personal!$D:$D,""),"")</f>
        <v>0</v>
      </c>
      <c r="D668" s="9" cm="1">
        <f t="array" ref="D668">IFERROR(_xlfn.XLOOKUP(B668,Personal!$A:$A,Personal!$C:$C,""),"")</f>
        <v>0</v>
      </c>
      <c r="E668" s="9" t="str" cm="1">
        <f t="array" ref="E668">IFERROR(_xlfn.XLOOKUP(D668,Locales!$A:$A,Locales!$B:$B,""),"")</f>
        <v/>
      </c>
      <c r="F668" s="9" cm="1">
        <f t="array" ref="F668">IFERROR(_xlfn.XLOOKUP(B668,Personal!$A:$A,Personal!$F:$F,""),"")</f>
        <v>0</v>
      </c>
      <c r="I668" s="10" cm="1">
        <f t="array" ref="I668">IFERROR(INDEX(Precios!$D:$F,MATCH(N668, Precios!$G:$G, 0),CHOOSE(MATCH(H668, {"SML";"XL";"XXL"}, 0), 1, 2, 3)), 0)</f>
        <v>0</v>
      </c>
      <c r="K668" s="10">
        <f t="shared" si="26"/>
        <v>0</v>
      </c>
      <c r="N668" s="9" t="str">
        <f t="shared" si="27"/>
        <v/>
      </c>
      <c r="O668" s="9" t="str">
        <f>IF(N668="","",IF(COUNTIF(Precios!$G:$G,N668)=0,"⚠ No coincide con Precios","OK"))</f>
        <v/>
      </c>
    </row>
    <row r="669" spans="3:15" x14ac:dyDescent="0.2">
      <c r="C669" s="9" cm="1">
        <f t="array" ref="C669">IFERROR(_xlfn.XLOOKUP(B669,Personal!$A:$A,Personal!$D:$D,""),"")</f>
        <v>0</v>
      </c>
      <c r="D669" s="9" cm="1">
        <f t="array" ref="D669">IFERROR(_xlfn.XLOOKUP(B669,Personal!$A:$A,Personal!$C:$C,""),"")</f>
        <v>0</v>
      </c>
      <c r="E669" s="9" t="str" cm="1">
        <f t="array" ref="E669">IFERROR(_xlfn.XLOOKUP(D669,Locales!$A:$A,Locales!$B:$B,""),"")</f>
        <v/>
      </c>
      <c r="F669" s="9" cm="1">
        <f t="array" ref="F669">IFERROR(_xlfn.XLOOKUP(B669,Personal!$A:$A,Personal!$F:$F,""),"")</f>
        <v>0</v>
      </c>
      <c r="I669" s="10" cm="1">
        <f t="array" ref="I669">IFERROR(INDEX(Precios!$D:$F,MATCH(N669, Precios!$G:$G, 0),CHOOSE(MATCH(H669, {"SML";"XL";"XXL"}, 0), 1, 2, 3)), 0)</f>
        <v>0</v>
      </c>
      <c r="K669" s="10">
        <f t="shared" si="26"/>
        <v>0</v>
      </c>
      <c r="N669" s="9" t="str">
        <f t="shared" si="27"/>
        <v/>
      </c>
      <c r="O669" s="9" t="str">
        <f>IF(N669="","",IF(COUNTIF(Precios!$G:$G,N669)=0,"⚠ No coincide con Precios","OK"))</f>
        <v/>
      </c>
    </row>
    <row r="670" spans="3:15" x14ac:dyDescent="0.2">
      <c r="C670" s="9" cm="1">
        <f t="array" ref="C670">IFERROR(_xlfn.XLOOKUP(B670,Personal!$A:$A,Personal!$D:$D,""),"")</f>
        <v>0</v>
      </c>
      <c r="D670" s="9" cm="1">
        <f t="array" ref="D670">IFERROR(_xlfn.XLOOKUP(B670,Personal!$A:$A,Personal!$C:$C,""),"")</f>
        <v>0</v>
      </c>
      <c r="E670" s="9" t="str" cm="1">
        <f t="array" ref="E670">IFERROR(_xlfn.XLOOKUP(D670,Locales!$A:$A,Locales!$B:$B,""),"")</f>
        <v/>
      </c>
      <c r="F670" s="9" cm="1">
        <f t="array" ref="F670">IFERROR(_xlfn.XLOOKUP(B670,Personal!$A:$A,Personal!$F:$F,""),"")</f>
        <v>0</v>
      </c>
      <c r="I670" s="10" cm="1">
        <f t="array" ref="I670">IFERROR(INDEX(Precios!$D:$F,MATCH(N670, Precios!$G:$G, 0),CHOOSE(MATCH(H670, {"SML";"XL";"XXL"}, 0), 1, 2, 3)), 0)</f>
        <v>0</v>
      </c>
      <c r="K670" s="10">
        <f t="shared" si="26"/>
        <v>0</v>
      </c>
      <c r="N670" s="9" t="str">
        <f t="shared" si="27"/>
        <v/>
      </c>
      <c r="O670" s="9" t="str">
        <f>IF(N670="","",IF(COUNTIF(Precios!$G:$G,N670)=0,"⚠ No coincide con Precios","OK"))</f>
        <v/>
      </c>
    </row>
    <row r="671" spans="3:15" x14ac:dyDescent="0.2">
      <c r="C671" s="9" cm="1">
        <f t="array" ref="C671">IFERROR(_xlfn.XLOOKUP(B671,Personal!$A:$A,Personal!$D:$D,""),"")</f>
        <v>0</v>
      </c>
      <c r="D671" s="9" cm="1">
        <f t="array" ref="D671">IFERROR(_xlfn.XLOOKUP(B671,Personal!$A:$A,Personal!$C:$C,""),"")</f>
        <v>0</v>
      </c>
      <c r="E671" s="9" t="str" cm="1">
        <f t="array" ref="E671">IFERROR(_xlfn.XLOOKUP(D671,Locales!$A:$A,Locales!$B:$B,""),"")</f>
        <v/>
      </c>
      <c r="F671" s="9" cm="1">
        <f t="array" ref="F671">IFERROR(_xlfn.XLOOKUP(B671,Personal!$A:$A,Personal!$F:$F,""),"")</f>
        <v>0</v>
      </c>
      <c r="I671" s="10" cm="1">
        <f t="array" ref="I671">IFERROR(INDEX(Precios!$D:$F,MATCH(N671, Precios!$G:$G, 0),CHOOSE(MATCH(H671, {"SML";"XL";"XXL"}, 0), 1, 2, 3)), 0)</f>
        <v>0</v>
      </c>
      <c r="K671" s="10">
        <f t="shared" si="26"/>
        <v>0</v>
      </c>
      <c r="N671" s="9" t="str">
        <f t="shared" si="27"/>
        <v/>
      </c>
      <c r="O671" s="9" t="str">
        <f>IF(N671="","",IF(COUNTIF(Precios!$G:$G,N671)=0,"⚠ No coincide con Precios","OK"))</f>
        <v/>
      </c>
    </row>
    <row r="672" spans="3:15" x14ac:dyDescent="0.2">
      <c r="C672" s="9" cm="1">
        <f t="array" ref="C672">IFERROR(_xlfn.XLOOKUP(B672,Personal!$A:$A,Personal!$D:$D,""),"")</f>
        <v>0</v>
      </c>
      <c r="D672" s="9" cm="1">
        <f t="array" ref="D672">IFERROR(_xlfn.XLOOKUP(B672,Personal!$A:$A,Personal!$C:$C,""),"")</f>
        <v>0</v>
      </c>
      <c r="E672" s="9" t="str" cm="1">
        <f t="array" ref="E672">IFERROR(_xlfn.XLOOKUP(D672,Locales!$A:$A,Locales!$B:$B,""),"")</f>
        <v/>
      </c>
      <c r="F672" s="9" cm="1">
        <f t="array" ref="F672">IFERROR(_xlfn.XLOOKUP(B672,Personal!$A:$A,Personal!$F:$F,""),"")</f>
        <v>0</v>
      </c>
      <c r="I672" s="10" cm="1">
        <f t="array" ref="I672">IFERROR(INDEX(Precios!$D:$F,MATCH(N672, Precios!$G:$G, 0),CHOOSE(MATCH(H672, {"SML";"XL";"XXL"}, 0), 1, 2, 3)), 0)</f>
        <v>0</v>
      </c>
      <c r="K672" s="10">
        <f t="shared" si="26"/>
        <v>0</v>
      </c>
      <c r="N672" s="9" t="str">
        <f t="shared" si="27"/>
        <v/>
      </c>
      <c r="O672" s="9" t="str">
        <f>IF(N672="","",IF(COUNTIF(Precios!$G:$G,N672)=0,"⚠ No coincide con Precios","OK"))</f>
        <v/>
      </c>
    </row>
    <row r="673" spans="3:15" x14ac:dyDescent="0.2">
      <c r="C673" s="9" cm="1">
        <f t="array" ref="C673">IFERROR(_xlfn.XLOOKUP(B673,Personal!$A:$A,Personal!$D:$D,""),"")</f>
        <v>0</v>
      </c>
      <c r="D673" s="9" cm="1">
        <f t="array" ref="D673">IFERROR(_xlfn.XLOOKUP(B673,Personal!$A:$A,Personal!$C:$C,""),"")</f>
        <v>0</v>
      </c>
      <c r="E673" s="9" t="str" cm="1">
        <f t="array" ref="E673">IFERROR(_xlfn.XLOOKUP(D673,Locales!$A:$A,Locales!$B:$B,""),"")</f>
        <v/>
      </c>
      <c r="F673" s="9" cm="1">
        <f t="array" ref="F673">IFERROR(_xlfn.XLOOKUP(B673,Personal!$A:$A,Personal!$F:$F,""),"")</f>
        <v>0</v>
      </c>
      <c r="I673" s="10" cm="1">
        <f t="array" ref="I673">IFERROR(INDEX(Precios!$D:$F,MATCH(N673, Precios!$G:$G, 0),CHOOSE(MATCH(H673, {"SML";"XL";"XXL"}, 0), 1, 2, 3)), 0)</f>
        <v>0</v>
      </c>
      <c r="K673" s="10">
        <f t="shared" si="26"/>
        <v>0</v>
      </c>
      <c r="N673" s="9" t="str">
        <f t="shared" si="27"/>
        <v/>
      </c>
      <c r="O673" s="9" t="str">
        <f>IF(N673="","",IF(COUNTIF(Precios!$G:$G,N673)=0,"⚠ No coincide con Precios","OK"))</f>
        <v/>
      </c>
    </row>
    <row r="674" spans="3:15" x14ac:dyDescent="0.2">
      <c r="C674" s="9" cm="1">
        <f t="array" ref="C674">IFERROR(_xlfn.XLOOKUP(B674,Personal!$A:$A,Personal!$D:$D,""),"")</f>
        <v>0</v>
      </c>
      <c r="D674" s="9" cm="1">
        <f t="array" ref="D674">IFERROR(_xlfn.XLOOKUP(B674,Personal!$A:$A,Personal!$C:$C,""),"")</f>
        <v>0</v>
      </c>
      <c r="E674" s="9" t="str" cm="1">
        <f t="array" ref="E674">IFERROR(_xlfn.XLOOKUP(D674,Locales!$A:$A,Locales!$B:$B,""),"")</f>
        <v/>
      </c>
      <c r="F674" s="9" cm="1">
        <f t="array" ref="F674">IFERROR(_xlfn.XLOOKUP(B674,Personal!$A:$A,Personal!$F:$F,""),"")</f>
        <v>0</v>
      </c>
      <c r="I674" s="10" cm="1">
        <f t="array" ref="I674">IFERROR(INDEX(Precios!$D:$F,MATCH(N674, Precios!$G:$G, 0),CHOOSE(MATCH(H674, {"SML";"XL";"XXL"}, 0), 1, 2, 3)), 0)</f>
        <v>0</v>
      </c>
      <c r="K674" s="10">
        <f t="shared" si="26"/>
        <v>0</v>
      </c>
      <c r="N674" s="9" t="str">
        <f t="shared" si="27"/>
        <v/>
      </c>
      <c r="O674" s="9" t="str">
        <f>IF(N674="","",IF(COUNTIF(Precios!$G:$G,N674)=0,"⚠ No coincide con Precios","OK"))</f>
        <v/>
      </c>
    </row>
    <row r="675" spans="3:15" x14ac:dyDescent="0.2">
      <c r="C675" s="9" cm="1">
        <f t="array" ref="C675">IFERROR(_xlfn.XLOOKUP(B675,Personal!$A:$A,Personal!$D:$D,""),"")</f>
        <v>0</v>
      </c>
      <c r="D675" s="9" cm="1">
        <f t="array" ref="D675">IFERROR(_xlfn.XLOOKUP(B675,Personal!$A:$A,Personal!$C:$C,""),"")</f>
        <v>0</v>
      </c>
      <c r="E675" s="9" t="str" cm="1">
        <f t="array" ref="E675">IFERROR(_xlfn.XLOOKUP(D675,Locales!$A:$A,Locales!$B:$B,""),"")</f>
        <v/>
      </c>
      <c r="F675" s="9" cm="1">
        <f t="array" ref="F675">IFERROR(_xlfn.XLOOKUP(B675,Personal!$A:$A,Personal!$F:$F,""),"")</f>
        <v>0</v>
      </c>
      <c r="I675" s="10" cm="1">
        <f t="array" ref="I675">IFERROR(INDEX(Precios!$D:$F,MATCH(N675, Precios!$G:$G, 0),CHOOSE(MATCH(H675, {"SML";"XL";"XXL"}, 0), 1, 2, 3)), 0)</f>
        <v>0</v>
      </c>
      <c r="K675" s="10">
        <f t="shared" si="26"/>
        <v>0</v>
      </c>
      <c r="N675" s="9" t="str">
        <f t="shared" si="27"/>
        <v/>
      </c>
      <c r="O675" s="9" t="str">
        <f>IF(N675="","",IF(COUNTIF(Precios!$G:$G,N675)=0,"⚠ No coincide con Precios","OK"))</f>
        <v/>
      </c>
    </row>
    <row r="676" spans="3:15" x14ac:dyDescent="0.2">
      <c r="C676" s="9" cm="1">
        <f t="array" ref="C676">IFERROR(_xlfn.XLOOKUP(B676,Personal!$A:$A,Personal!$D:$D,""),"")</f>
        <v>0</v>
      </c>
      <c r="D676" s="9" cm="1">
        <f t="array" ref="D676">IFERROR(_xlfn.XLOOKUP(B676,Personal!$A:$A,Personal!$C:$C,""),"")</f>
        <v>0</v>
      </c>
      <c r="E676" s="9" t="str" cm="1">
        <f t="array" ref="E676">IFERROR(_xlfn.XLOOKUP(D676,Locales!$A:$A,Locales!$B:$B,""),"")</f>
        <v/>
      </c>
      <c r="F676" s="9" cm="1">
        <f t="array" ref="F676">IFERROR(_xlfn.XLOOKUP(B676,Personal!$A:$A,Personal!$F:$F,""),"")</f>
        <v>0</v>
      </c>
      <c r="I676" s="10" cm="1">
        <f t="array" ref="I676">IFERROR(INDEX(Precios!$D:$F,MATCH(N676, Precios!$G:$G, 0),CHOOSE(MATCH(H676, {"SML";"XL";"XXL"}, 0), 1, 2, 3)), 0)</f>
        <v>0</v>
      </c>
      <c r="K676" s="10">
        <f t="shared" si="26"/>
        <v>0</v>
      </c>
      <c r="N676" s="9" t="str">
        <f t="shared" si="27"/>
        <v/>
      </c>
      <c r="O676" s="9" t="str">
        <f>IF(N676="","",IF(COUNTIF(Precios!$G:$G,N676)=0,"⚠ No coincide con Precios","OK"))</f>
        <v/>
      </c>
    </row>
    <row r="677" spans="3:15" x14ac:dyDescent="0.2">
      <c r="C677" s="9" cm="1">
        <f t="array" ref="C677">IFERROR(_xlfn.XLOOKUP(B677,Personal!$A:$A,Personal!$D:$D,""),"")</f>
        <v>0</v>
      </c>
      <c r="D677" s="9" cm="1">
        <f t="array" ref="D677">IFERROR(_xlfn.XLOOKUP(B677,Personal!$A:$A,Personal!$C:$C,""),"")</f>
        <v>0</v>
      </c>
      <c r="E677" s="9" t="str" cm="1">
        <f t="array" ref="E677">IFERROR(_xlfn.XLOOKUP(D677,Locales!$A:$A,Locales!$B:$B,""),"")</f>
        <v/>
      </c>
      <c r="F677" s="9" cm="1">
        <f t="array" ref="F677">IFERROR(_xlfn.XLOOKUP(B677,Personal!$A:$A,Personal!$F:$F,""),"")</f>
        <v>0</v>
      </c>
      <c r="I677" s="10" cm="1">
        <f t="array" ref="I677">IFERROR(INDEX(Precios!$D:$F,MATCH(N677, Precios!$G:$G, 0),CHOOSE(MATCH(H677, {"SML";"XL";"XXL"}, 0), 1, 2, 3)), 0)</f>
        <v>0</v>
      </c>
      <c r="K677" s="10">
        <f t="shared" si="26"/>
        <v>0</v>
      </c>
      <c r="N677" s="9" t="str">
        <f t="shared" si="27"/>
        <v/>
      </c>
      <c r="O677" s="9" t="str">
        <f>IF(N677="","",IF(COUNTIF(Precios!$G:$G,N677)=0,"⚠ No coincide con Precios","OK"))</f>
        <v/>
      </c>
    </row>
    <row r="678" spans="3:15" x14ac:dyDescent="0.2">
      <c r="C678" s="9" cm="1">
        <f t="array" ref="C678">IFERROR(_xlfn.XLOOKUP(B678,Personal!$A:$A,Personal!$D:$D,""),"")</f>
        <v>0</v>
      </c>
      <c r="D678" s="9" cm="1">
        <f t="array" ref="D678">IFERROR(_xlfn.XLOOKUP(B678,Personal!$A:$A,Personal!$C:$C,""),"")</f>
        <v>0</v>
      </c>
      <c r="E678" s="9" t="str" cm="1">
        <f t="array" ref="E678">IFERROR(_xlfn.XLOOKUP(D678,Locales!$A:$A,Locales!$B:$B,""),"")</f>
        <v/>
      </c>
      <c r="F678" s="9" cm="1">
        <f t="array" ref="F678">IFERROR(_xlfn.XLOOKUP(B678,Personal!$A:$A,Personal!$F:$F,""),"")</f>
        <v>0</v>
      </c>
      <c r="I678" s="10" cm="1">
        <f t="array" ref="I678">IFERROR(INDEX(Precios!$D:$F,MATCH(N678, Precios!$G:$G, 0),CHOOSE(MATCH(H678, {"SML";"XL";"XXL"}, 0), 1, 2, 3)), 0)</f>
        <v>0</v>
      </c>
      <c r="K678" s="10">
        <f t="shared" si="26"/>
        <v>0</v>
      </c>
      <c r="N678" s="9" t="str">
        <f t="shared" si="27"/>
        <v/>
      </c>
      <c r="O678" s="9" t="str">
        <f>IF(N678="","",IF(COUNTIF(Precios!$G:$G,N678)=0,"⚠ No coincide con Precios","OK"))</f>
        <v/>
      </c>
    </row>
    <row r="679" spans="3:15" x14ac:dyDescent="0.2">
      <c r="C679" s="9" cm="1">
        <f t="array" ref="C679">IFERROR(_xlfn.XLOOKUP(B679,Personal!$A:$A,Personal!$D:$D,""),"")</f>
        <v>0</v>
      </c>
      <c r="D679" s="9" cm="1">
        <f t="array" ref="D679">IFERROR(_xlfn.XLOOKUP(B679,Personal!$A:$A,Personal!$C:$C,""),"")</f>
        <v>0</v>
      </c>
      <c r="E679" s="9" t="str" cm="1">
        <f t="array" ref="E679">IFERROR(_xlfn.XLOOKUP(D679,Locales!$A:$A,Locales!$B:$B,""),"")</f>
        <v/>
      </c>
      <c r="F679" s="9" cm="1">
        <f t="array" ref="F679">IFERROR(_xlfn.XLOOKUP(B679,Personal!$A:$A,Personal!$F:$F,""),"")</f>
        <v>0</v>
      </c>
      <c r="I679" s="10" cm="1">
        <f t="array" ref="I679">IFERROR(INDEX(Precios!$D:$F,MATCH(N679, Precios!$G:$G, 0),CHOOSE(MATCH(H679, {"SML";"XL";"XXL"}, 0), 1, 2, 3)), 0)</f>
        <v>0</v>
      </c>
      <c r="K679" s="10">
        <f t="shared" si="26"/>
        <v>0</v>
      </c>
      <c r="N679" s="9" t="str">
        <f t="shared" si="27"/>
        <v/>
      </c>
      <c r="O679" s="9" t="str">
        <f>IF(N679="","",IF(COUNTIF(Precios!$G:$G,N679)=0,"⚠ No coincide con Precios","OK"))</f>
        <v/>
      </c>
    </row>
    <row r="680" spans="3:15" x14ac:dyDescent="0.2">
      <c r="C680" s="9" cm="1">
        <f t="array" ref="C680">IFERROR(_xlfn.XLOOKUP(B680,Personal!$A:$A,Personal!$D:$D,""),"")</f>
        <v>0</v>
      </c>
      <c r="D680" s="9" cm="1">
        <f t="array" ref="D680">IFERROR(_xlfn.XLOOKUP(B680,Personal!$A:$A,Personal!$C:$C,""),"")</f>
        <v>0</v>
      </c>
      <c r="E680" s="9" t="str" cm="1">
        <f t="array" ref="E680">IFERROR(_xlfn.XLOOKUP(D680,Locales!$A:$A,Locales!$B:$B,""),"")</f>
        <v/>
      </c>
      <c r="F680" s="9" cm="1">
        <f t="array" ref="F680">IFERROR(_xlfn.XLOOKUP(B680,Personal!$A:$A,Personal!$F:$F,""),"")</f>
        <v>0</v>
      </c>
      <c r="I680" s="10" cm="1">
        <f t="array" ref="I680">IFERROR(INDEX(Precios!$D:$F,MATCH(N680, Precios!$G:$G, 0),CHOOSE(MATCH(H680, {"SML";"XL";"XXL"}, 0), 1, 2, 3)), 0)</f>
        <v>0</v>
      </c>
      <c r="K680" s="10">
        <f t="shared" si="26"/>
        <v>0</v>
      </c>
      <c r="N680" s="9" t="str">
        <f t="shared" si="27"/>
        <v/>
      </c>
      <c r="O680" s="9" t="str">
        <f>IF(N680="","",IF(COUNTIF(Precios!$G:$G,N680)=0,"⚠ No coincide con Precios","OK"))</f>
        <v/>
      </c>
    </row>
    <row r="681" spans="3:15" x14ac:dyDescent="0.2">
      <c r="C681" s="9" cm="1">
        <f t="array" ref="C681">IFERROR(_xlfn.XLOOKUP(B681,Personal!$A:$A,Personal!$D:$D,""),"")</f>
        <v>0</v>
      </c>
      <c r="D681" s="9" cm="1">
        <f t="array" ref="D681">IFERROR(_xlfn.XLOOKUP(B681,Personal!$A:$A,Personal!$C:$C,""),"")</f>
        <v>0</v>
      </c>
      <c r="E681" s="9" t="str" cm="1">
        <f t="array" ref="E681">IFERROR(_xlfn.XLOOKUP(D681,Locales!$A:$A,Locales!$B:$B,""),"")</f>
        <v/>
      </c>
      <c r="F681" s="9" cm="1">
        <f t="array" ref="F681">IFERROR(_xlfn.XLOOKUP(B681,Personal!$A:$A,Personal!$F:$F,""),"")</f>
        <v>0</v>
      </c>
      <c r="I681" s="10" cm="1">
        <f t="array" ref="I681">IFERROR(INDEX(Precios!$D:$F,MATCH(N681, Precios!$G:$G, 0),CHOOSE(MATCH(H681, {"SML";"XL";"XXL"}, 0), 1, 2, 3)), 0)</f>
        <v>0</v>
      </c>
      <c r="K681" s="10">
        <f t="shared" si="26"/>
        <v>0</v>
      </c>
      <c r="N681" s="9" t="str">
        <f t="shared" si="27"/>
        <v/>
      </c>
      <c r="O681" s="9" t="str">
        <f>IF(N681="","",IF(COUNTIF(Precios!$G:$G,N681)=0,"⚠ No coincide con Precios","OK"))</f>
        <v/>
      </c>
    </row>
    <row r="682" spans="3:15" x14ac:dyDescent="0.2">
      <c r="C682" s="9" cm="1">
        <f t="array" ref="C682">IFERROR(_xlfn.XLOOKUP(B682,Personal!$A:$A,Personal!$D:$D,""),"")</f>
        <v>0</v>
      </c>
      <c r="D682" s="9" cm="1">
        <f t="array" ref="D682">IFERROR(_xlfn.XLOOKUP(B682,Personal!$A:$A,Personal!$C:$C,""),"")</f>
        <v>0</v>
      </c>
      <c r="E682" s="9" t="str" cm="1">
        <f t="array" ref="E682">IFERROR(_xlfn.XLOOKUP(D682,Locales!$A:$A,Locales!$B:$B,""),"")</f>
        <v/>
      </c>
      <c r="F682" s="9" cm="1">
        <f t="array" ref="F682">IFERROR(_xlfn.XLOOKUP(B682,Personal!$A:$A,Personal!$F:$F,""),"")</f>
        <v>0</v>
      </c>
      <c r="I682" s="10" cm="1">
        <f t="array" ref="I682">IFERROR(INDEX(Precios!$D:$F,MATCH(N682, Precios!$G:$G, 0),CHOOSE(MATCH(H682, {"SML";"XL";"XXL"}, 0), 1, 2, 3)), 0)</f>
        <v>0</v>
      </c>
      <c r="K682" s="10">
        <f t="shared" si="26"/>
        <v>0</v>
      </c>
      <c r="N682" s="9" t="str">
        <f t="shared" si="27"/>
        <v/>
      </c>
      <c r="O682" s="9" t="str">
        <f>IF(N682="","",IF(COUNTIF(Precios!$G:$G,N682)=0,"⚠ No coincide con Precios","OK"))</f>
        <v/>
      </c>
    </row>
    <row r="683" spans="3:15" x14ac:dyDescent="0.2">
      <c r="C683" s="9" cm="1">
        <f t="array" ref="C683">IFERROR(_xlfn.XLOOKUP(B683,Personal!$A:$A,Personal!$D:$D,""),"")</f>
        <v>0</v>
      </c>
      <c r="D683" s="9" cm="1">
        <f t="array" ref="D683">IFERROR(_xlfn.XLOOKUP(B683,Personal!$A:$A,Personal!$C:$C,""),"")</f>
        <v>0</v>
      </c>
      <c r="E683" s="9" t="str" cm="1">
        <f t="array" ref="E683">IFERROR(_xlfn.XLOOKUP(D683,Locales!$A:$A,Locales!$B:$B,""),"")</f>
        <v/>
      </c>
      <c r="F683" s="9" cm="1">
        <f t="array" ref="F683">IFERROR(_xlfn.XLOOKUP(B683,Personal!$A:$A,Personal!$F:$F,""),"")</f>
        <v>0</v>
      </c>
      <c r="I683" s="10" cm="1">
        <f t="array" ref="I683">IFERROR(INDEX(Precios!$D:$F,MATCH(N683, Precios!$G:$G, 0),CHOOSE(MATCH(H683, {"SML";"XL";"XXL"}, 0), 1, 2, 3)), 0)</f>
        <v>0</v>
      </c>
      <c r="K683" s="10">
        <f t="shared" si="26"/>
        <v>0</v>
      </c>
      <c r="N683" s="9" t="str">
        <f t="shared" si="27"/>
        <v/>
      </c>
      <c r="O683" s="9" t="str">
        <f>IF(N683="","",IF(COUNTIF(Precios!$G:$G,N683)=0,"⚠ No coincide con Precios","OK"))</f>
        <v/>
      </c>
    </row>
    <row r="684" spans="3:15" x14ac:dyDescent="0.2">
      <c r="C684" s="9" cm="1">
        <f t="array" ref="C684">IFERROR(_xlfn.XLOOKUP(B684,Personal!$A:$A,Personal!$D:$D,""),"")</f>
        <v>0</v>
      </c>
      <c r="D684" s="9" cm="1">
        <f t="array" ref="D684">IFERROR(_xlfn.XLOOKUP(B684,Personal!$A:$A,Personal!$C:$C,""),"")</f>
        <v>0</v>
      </c>
      <c r="E684" s="9" t="str" cm="1">
        <f t="array" ref="E684">IFERROR(_xlfn.XLOOKUP(D684,Locales!$A:$A,Locales!$B:$B,""),"")</f>
        <v/>
      </c>
      <c r="F684" s="9" cm="1">
        <f t="array" ref="F684">IFERROR(_xlfn.XLOOKUP(B684,Personal!$A:$A,Personal!$F:$F,""),"")</f>
        <v>0</v>
      </c>
      <c r="I684" s="10" cm="1">
        <f t="array" ref="I684">IFERROR(INDEX(Precios!$D:$F,MATCH(N684, Precios!$G:$G, 0),CHOOSE(MATCH(H684, {"SML";"XL";"XXL"}, 0), 1, 2, 3)), 0)</f>
        <v>0</v>
      </c>
      <c r="K684" s="10">
        <f t="shared" si="26"/>
        <v>0</v>
      </c>
      <c r="N684" s="9" t="str">
        <f t="shared" si="27"/>
        <v/>
      </c>
      <c r="O684" s="9" t="str">
        <f>IF(N684="","",IF(COUNTIF(Precios!$G:$G,N684)=0,"⚠ No coincide con Precios","OK"))</f>
        <v/>
      </c>
    </row>
    <row r="685" spans="3:15" x14ac:dyDescent="0.2">
      <c r="C685" s="9" cm="1">
        <f t="array" ref="C685">IFERROR(_xlfn.XLOOKUP(B685,Personal!$A:$A,Personal!$D:$D,""),"")</f>
        <v>0</v>
      </c>
      <c r="D685" s="9" cm="1">
        <f t="array" ref="D685">IFERROR(_xlfn.XLOOKUP(B685,Personal!$A:$A,Personal!$C:$C,""),"")</f>
        <v>0</v>
      </c>
      <c r="E685" s="9" t="str" cm="1">
        <f t="array" ref="E685">IFERROR(_xlfn.XLOOKUP(D685,Locales!$A:$A,Locales!$B:$B,""),"")</f>
        <v/>
      </c>
      <c r="F685" s="9" cm="1">
        <f t="array" ref="F685">IFERROR(_xlfn.XLOOKUP(B685,Personal!$A:$A,Personal!$F:$F,""),"")</f>
        <v>0</v>
      </c>
      <c r="I685" s="10" cm="1">
        <f t="array" ref="I685">IFERROR(INDEX(Precios!$D:$F,MATCH(N685, Precios!$G:$G, 0),CHOOSE(MATCH(H685, {"SML";"XL";"XXL"}, 0), 1, 2, 3)), 0)</f>
        <v>0</v>
      </c>
      <c r="K685" s="10">
        <f t="shared" si="26"/>
        <v>0</v>
      </c>
      <c r="N685" s="9" t="str">
        <f t="shared" si="27"/>
        <v/>
      </c>
      <c r="O685" s="9" t="str">
        <f>IF(N685="","",IF(COUNTIF(Precios!$G:$G,N685)=0,"⚠ No coincide con Precios","OK"))</f>
        <v/>
      </c>
    </row>
    <row r="686" spans="3:15" x14ac:dyDescent="0.2">
      <c r="C686" s="9" cm="1">
        <f t="array" ref="C686">IFERROR(_xlfn.XLOOKUP(B686,Personal!$A:$A,Personal!$D:$D,""),"")</f>
        <v>0</v>
      </c>
      <c r="D686" s="9" cm="1">
        <f t="array" ref="D686">IFERROR(_xlfn.XLOOKUP(B686,Personal!$A:$A,Personal!$C:$C,""),"")</f>
        <v>0</v>
      </c>
      <c r="E686" s="9" t="str" cm="1">
        <f t="array" ref="E686">IFERROR(_xlfn.XLOOKUP(D686,Locales!$A:$A,Locales!$B:$B,""),"")</f>
        <v/>
      </c>
      <c r="F686" s="9" cm="1">
        <f t="array" ref="F686">IFERROR(_xlfn.XLOOKUP(B686,Personal!$A:$A,Personal!$F:$F,""),"")</f>
        <v>0</v>
      </c>
      <c r="I686" s="10" cm="1">
        <f t="array" ref="I686">IFERROR(INDEX(Precios!$D:$F,MATCH(N686, Precios!$G:$G, 0),CHOOSE(MATCH(H686, {"SML";"XL";"XXL"}, 0), 1, 2, 3)), 0)</f>
        <v>0</v>
      </c>
      <c r="K686" s="10">
        <f t="shared" si="26"/>
        <v>0</v>
      </c>
      <c r="N686" s="9" t="str">
        <f t="shared" si="27"/>
        <v/>
      </c>
      <c r="O686" s="9" t="str">
        <f>IF(N686="","",IF(COUNTIF(Precios!$G:$G,N686)=0,"⚠ No coincide con Precios","OK"))</f>
        <v/>
      </c>
    </row>
    <row r="687" spans="3:15" x14ac:dyDescent="0.2">
      <c r="C687" s="9" cm="1">
        <f t="array" ref="C687">IFERROR(_xlfn.XLOOKUP(B687,Personal!$A:$A,Personal!$D:$D,""),"")</f>
        <v>0</v>
      </c>
      <c r="D687" s="9" cm="1">
        <f t="array" ref="D687">IFERROR(_xlfn.XLOOKUP(B687,Personal!$A:$A,Personal!$C:$C,""),"")</f>
        <v>0</v>
      </c>
      <c r="E687" s="9" t="str" cm="1">
        <f t="array" ref="E687">IFERROR(_xlfn.XLOOKUP(D687,Locales!$A:$A,Locales!$B:$B,""),"")</f>
        <v/>
      </c>
      <c r="F687" s="9" cm="1">
        <f t="array" ref="F687">IFERROR(_xlfn.XLOOKUP(B687,Personal!$A:$A,Personal!$F:$F,""),"")</f>
        <v>0</v>
      </c>
      <c r="I687" s="10" cm="1">
        <f t="array" ref="I687">IFERROR(INDEX(Precios!$D:$F,MATCH(N687, Precios!$G:$G, 0),CHOOSE(MATCH(H687, {"SML";"XL";"XXL"}, 0), 1, 2, 3)), 0)</f>
        <v>0</v>
      </c>
      <c r="K687" s="10">
        <f t="shared" si="26"/>
        <v>0</v>
      </c>
      <c r="N687" s="9" t="str">
        <f t="shared" si="27"/>
        <v/>
      </c>
      <c r="O687" s="9" t="str">
        <f>IF(N687="","",IF(COUNTIF(Precios!$G:$G,N687)=0,"⚠ No coincide con Precios","OK"))</f>
        <v/>
      </c>
    </row>
    <row r="688" spans="3:15" x14ac:dyDescent="0.2">
      <c r="C688" s="9" cm="1">
        <f t="array" ref="C688">IFERROR(_xlfn.XLOOKUP(B688,Personal!$A:$A,Personal!$D:$D,""),"")</f>
        <v>0</v>
      </c>
      <c r="D688" s="9" cm="1">
        <f t="array" ref="D688">IFERROR(_xlfn.XLOOKUP(B688,Personal!$A:$A,Personal!$C:$C,""),"")</f>
        <v>0</v>
      </c>
      <c r="E688" s="9" t="str" cm="1">
        <f t="array" ref="E688">IFERROR(_xlfn.XLOOKUP(D688,Locales!$A:$A,Locales!$B:$B,""),"")</f>
        <v/>
      </c>
      <c r="F688" s="9" cm="1">
        <f t="array" ref="F688">IFERROR(_xlfn.XLOOKUP(B688,Personal!$A:$A,Personal!$F:$F,""),"")</f>
        <v>0</v>
      </c>
      <c r="I688" s="10" cm="1">
        <f t="array" ref="I688">IFERROR(INDEX(Precios!$D:$F,MATCH(N688, Precios!$G:$G, 0),CHOOSE(MATCH(H688, {"SML";"XL";"XXL"}, 0), 1, 2, 3)), 0)</f>
        <v>0</v>
      </c>
      <c r="K688" s="10">
        <f t="shared" si="26"/>
        <v>0</v>
      </c>
      <c r="N688" s="9" t="str">
        <f t="shared" si="27"/>
        <v/>
      </c>
      <c r="O688" s="9" t="str">
        <f>IF(N688="","",IF(COUNTIF(Precios!$G:$G,N688)=0,"⚠ No coincide con Precios","OK"))</f>
        <v/>
      </c>
    </row>
    <row r="689" spans="3:15" x14ac:dyDescent="0.2">
      <c r="C689" s="9" cm="1">
        <f t="array" ref="C689">IFERROR(_xlfn.XLOOKUP(B689,Personal!$A:$A,Personal!$D:$D,""),"")</f>
        <v>0</v>
      </c>
      <c r="D689" s="9" cm="1">
        <f t="array" ref="D689">IFERROR(_xlfn.XLOOKUP(B689,Personal!$A:$A,Personal!$C:$C,""),"")</f>
        <v>0</v>
      </c>
      <c r="E689" s="9" t="str" cm="1">
        <f t="array" ref="E689">IFERROR(_xlfn.XLOOKUP(D689,Locales!$A:$A,Locales!$B:$B,""),"")</f>
        <v/>
      </c>
      <c r="F689" s="9" cm="1">
        <f t="array" ref="F689">IFERROR(_xlfn.XLOOKUP(B689,Personal!$A:$A,Personal!$F:$F,""),"")</f>
        <v>0</v>
      </c>
      <c r="I689" s="10" cm="1">
        <f t="array" ref="I689">IFERROR(INDEX(Precios!$D:$F,MATCH(N689, Precios!$G:$G, 0),CHOOSE(MATCH(H689, {"SML";"XL";"XXL"}, 0), 1, 2, 3)), 0)</f>
        <v>0</v>
      </c>
      <c r="K689" s="10">
        <f t="shared" si="26"/>
        <v>0</v>
      </c>
      <c r="N689" s="9" t="str">
        <f t="shared" si="27"/>
        <v/>
      </c>
      <c r="O689" s="9" t="str">
        <f>IF(N689="","",IF(COUNTIF(Precios!$G:$G,N689)=0,"⚠ No coincide con Precios","OK"))</f>
        <v/>
      </c>
    </row>
    <row r="690" spans="3:15" x14ac:dyDescent="0.2">
      <c r="C690" s="9" cm="1">
        <f t="array" ref="C690">IFERROR(_xlfn.XLOOKUP(B690,Personal!$A:$A,Personal!$D:$D,""),"")</f>
        <v>0</v>
      </c>
      <c r="D690" s="9" cm="1">
        <f t="array" ref="D690">IFERROR(_xlfn.XLOOKUP(B690,Personal!$A:$A,Personal!$C:$C,""),"")</f>
        <v>0</v>
      </c>
      <c r="E690" s="9" t="str" cm="1">
        <f t="array" ref="E690">IFERROR(_xlfn.XLOOKUP(D690,Locales!$A:$A,Locales!$B:$B,""),"")</f>
        <v/>
      </c>
      <c r="F690" s="9" cm="1">
        <f t="array" ref="F690">IFERROR(_xlfn.XLOOKUP(B690,Personal!$A:$A,Personal!$F:$F,""),"")</f>
        <v>0</v>
      </c>
      <c r="I690" s="10" cm="1">
        <f t="array" ref="I690">IFERROR(INDEX(Precios!$D:$F,MATCH(N690, Precios!$G:$G, 0),CHOOSE(MATCH(H690, {"SML";"XL";"XXL"}, 0), 1, 2, 3)), 0)</f>
        <v>0</v>
      </c>
      <c r="K690" s="10">
        <f t="shared" si="26"/>
        <v>0</v>
      </c>
      <c r="N690" s="9" t="str">
        <f t="shared" si="27"/>
        <v/>
      </c>
      <c r="O690" s="9" t="str">
        <f>IF(N690="","",IF(COUNTIF(Precios!$G:$G,N690)=0,"⚠ No coincide con Precios","OK"))</f>
        <v/>
      </c>
    </row>
    <row r="691" spans="3:15" x14ac:dyDescent="0.2">
      <c r="C691" s="9" cm="1">
        <f t="array" ref="C691">IFERROR(_xlfn.XLOOKUP(B691,Personal!$A:$A,Personal!$D:$D,""),"")</f>
        <v>0</v>
      </c>
      <c r="D691" s="9" cm="1">
        <f t="array" ref="D691">IFERROR(_xlfn.XLOOKUP(B691,Personal!$A:$A,Personal!$C:$C,""),"")</f>
        <v>0</v>
      </c>
      <c r="E691" s="9" t="str" cm="1">
        <f t="array" ref="E691">IFERROR(_xlfn.XLOOKUP(D691,Locales!$A:$A,Locales!$B:$B,""),"")</f>
        <v/>
      </c>
      <c r="F691" s="9" cm="1">
        <f t="array" ref="F691">IFERROR(_xlfn.XLOOKUP(B691,Personal!$A:$A,Personal!$F:$F,""),"")</f>
        <v>0</v>
      </c>
      <c r="I691" s="10" cm="1">
        <f t="array" ref="I691">IFERROR(INDEX(Precios!$D:$F,MATCH(N691, Precios!$G:$G, 0),CHOOSE(MATCH(H691, {"SML";"XL";"XXL"}, 0), 1, 2, 3)), 0)</f>
        <v>0</v>
      </c>
      <c r="K691" s="10">
        <f t="shared" si="26"/>
        <v>0</v>
      </c>
      <c r="N691" s="9" t="str">
        <f t="shared" si="27"/>
        <v/>
      </c>
      <c r="O691" s="9" t="str">
        <f>IF(N691="","",IF(COUNTIF(Precios!$G:$G,N691)=0,"⚠ No coincide con Precios","OK"))</f>
        <v/>
      </c>
    </row>
    <row r="692" spans="3:15" x14ac:dyDescent="0.2">
      <c r="C692" s="9" cm="1">
        <f t="array" ref="C692">IFERROR(_xlfn.XLOOKUP(B692,Personal!$A:$A,Personal!$D:$D,""),"")</f>
        <v>0</v>
      </c>
      <c r="D692" s="9" cm="1">
        <f t="array" ref="D692">IFERROR(_xlfn.XLOOKUP(B692,Personal!$A:$A,Personal!$C:$C,""),"")</f>
        <v>0</v>
      </c>
      <c r="E692" s="9" t="str" cm="1">
        <f t="array" ref="E692">IFERROR(_xlfn.XLOOKUP(D692,Locales!$A:$A,Locales!$B:$B,""),"")</f>
        <v/>
      </c>
      <c r="F692" s="9" cm="1">
        <f t="array" ref="F692">IFERROR(_xlfn.XLOOKUP(B692,Personal!$A:$A,Personal!$F:$F,""),"")</f>
        <v>0</v>
      </c>
      <c r="I692" s="10" cm="1">
        <f t="array" ref="I692">IFERROR(INDEX(Precios!$D:$F,MATCH(N692, Precios!$G:$G, 0),CHOOSE(MATCH(H692, {"SML";"XL";"XXL"}, 0), 1, 2, 3)), 0)</f>
        <v>0</v>
      </c>
      <c r="K692" s="10">
        <f t="shared" si="26"/>
        <v>0</v>
      </c>
      <c r="N692" s="9" t="str">
        <f t="shared" si="27"/>
        <v/>
      </c>
      <c r="O692" s="9" t="str">
        <f>IF(N692="","",IF(COUNTIF(Precios!$G:$G,N692)=0,"⚠ No coincide con Precios","OK"))</f>
        <v/>
      </c>
    </row>
    <row r="693" spans="3:15" x14ac:dyDescent="0.2">
      <c r="C693" s="9" cm="1">
        <f t="array" ref="C693">IFERROR(_xlfn.XLOOKUP(B693,Personal!$A:$A,Personal!$D:$D,""),"")</f>
        <v>0</v>
      </c>
      <c r="D693" s="9" cm="1">
        <f t="array" ref="D693">IFERROR(_xlfn.XLOOKUP(B693,Personal!$A:$A,Personal!$C:$C,""),"")</f>
        <v>0</v>
      </c>
      <c r="E693" s="9" t="str" cm="1">
        <f t="array" ref="E693">IFERROR(_xlfn.XLOOKUP(D693,Locales!$A:$A,Locales!$B:$B,""),"")</f>
        <v/>
      </c>
      <c r="F693" s="9" cm="1">
        <f t="array" ref="F693">IFERROR(_xlfn.XLOOKUP(B693,Personal!$A:$A,Personal!$F:$F,""),"")</f>
        <v>0</v>
      </c>
      <c r="I693" s="10" cm="1">
        <f t="array" ref="I693">IFERROR(INDEX(Precios!$D:$F,MATCH(N693, Precios!$G:$G, 0),CHOOSE(MATCH(H693, {"SML";"XL";"XXL"}, 0), 1, 2, 3)), 0)</f>
        <v>0</v>
      </c>
      <c r="K693" s="10">
        <f t="shared" si="26"/>
        <v>0</v>
      </c>
      <c r="N693" s="9" t="str">
        <f t="shared" si="27"/>
        <v/>
      </c>
      <c r="O693" s="9" t="str">
        <f>IF(N693="","",IF(COUNTIF(Precios!$G:$G,N693)=0,"⚠ No coincide con Precios","OK"))</f>
        <v/>
      </c>
    </row>
    <row r="694" spans="3:15" x14ac:dyDescent="0.2">
      <c r="C694" s="9" cm="1">
        <f t="array" ref="C694">IFERROR(_xlfn.XLOOKUP(B694,Personal!$A:$A,Personal!$D:$D,""),"")</f>
        <v>0</v>
      </c>
      <c r="D694" s="9" cm="1">
        <f t="array" ref="D694">IFERROR(_xlfn.XLOOKUP(B694,Personal!$A:$A,Personal!$C:$C,""),"")</f>
        <v>0</v>
      </c>
      <c r="E694" s="9" t="str" cm="1">
        <f t="array" ref="E694">IFERROR(_xlfn.XLOOKUP(D694,Locales!$A:$A,Locales!$B:$B,""),"")</f>
        <v/>
      </c>
      <c r="F694" s="9" cm="1">
        <f t="array" ref="F694">IFERROR(_xlfn.XLOOKUP(B694,Personal!$A:$A,Personal!$F:$F,""),"")</f>
        <v>0</v>
      </c>
      <c r="I694" s="10" cm="1">
        <f t="array" ref="I694">IFERROR(INDEX(Precios!$D:$F,MATCH(N694, Precios!$G:$G, 0),CHOOSE(MATCH(H694, {"SML";"XL";"XXL"}, 0), 1, 2, 3)), 0)</f>
        <v>0</v>
      </c>
      <c r="K694" s="10">
        <f t="shared" si="26"/>
        <v>0</v>
      </c>
      <c r="N694" s="9" t="str">
        <f t="shared" si="27"/>
        <v/>
      </c>
      <c r="O694" s="9" t="str">
        <f>IF(N694="","",IF(COUNTIF(Precios!$G:$G,N694)=0,"⚠ No coincide con Precios","OK"))</f>
        <v/>
      </c>
    </row>
    <row r="695" spans="3:15" x14ac:dyDescent="0.2">
      <c r="C695" s="9" cm="1">
        <f t="array" ref="C695">IFERROR(_xlfn.XLOOKUP(B695,Personal!$A:$A,Personal!$D:$D,""),"")</f>
        <v>0</v>
      </c>
      <c r="D695" s="9" cm="1">
        <f t="array" ref="D695">IFERROR(_xlfn.XLOOKUP(B695,Personal!$A:$A,Personal!$C:$C,""),"")</f>
        <v>0</v>
      </c>
      <c r="E695" s="9" t="str" cm="1">
        <f t="array" ref="E695">IFERROR(_xlfn.XLOOKUP(D695,Locales!$A:$A,Locales!$B:$B,""),"")</f>
        <v/>
      </c>
      <c r="F695" s="9" cm="1">
        <f t="array" ref="F695">IFERROR(_xlfn.XLOOKUP(B695,Personal!$A:$A,Personal!$F:$F,""),"")</f>
        <v>0</v>
      </c>
      <c r="I695" s="10" cm="1">
        <f t="array" ref="I695">IFERROR(INDEX(Precios!$D:$F,MATCH(N695, Precios!$G:$G, 0),CHOOSE(MATCH(H695, {"SML";"XL";"XXL"}, 0), 1, 2, 3)), 0)</f>
        <v>0</v>
      </c>
      <c r="K695" s="10">
        <f t="shared" si="26"/>
        <v>0</v>
      </c>
      <c r="N695" s="9" t="str">
        <f t="shared" si="27"/>
        <v/>
      </c>
      <c r="O695" s="9" t="str">
        <f>IF(N695="","",IF(COUNTIF(Precios!$G:$G,N695)=0,"⚠ No coincide con Precios","OK"))</f>
        <v/>
      </c>
    </row>
    <row r="696" spans="3:15" x14ac:dyDescent="0.2">
      <c r="C696" s="9" cm="1">
        <f t="array" ref="C696">IFERROR(_xlfn.XLOOKUP(B696,Personal!$A:$A,Personal!$D:$D,""),"")</f>
        <v>0</v>
      </c>
      <c r="D696" s="9" cm="1">
        <f t="array" ref="D696">IFERROR(_xlfn.XLOOKUP(B696,Personal!$A:$A,Personal!$C:$C,""),"")</f>
        <v>0</v>
      </c>
      <c r="E696" s="9" t="str" cm="1">
        <f t="array" ref="E696">IFERROR(_xlfn.XLOOKUP(D696,Locales!$A:$A,Locales!$B:$B,""),"")</f>
        <v/>
      </c>
      <c r="F696" s="9" cm="1">
        <f t="array" ref="F696">IFERROR(_xlfn.XLOOKUP(B696,Personal!$A:$A,Personal!$F:$F,""),"")</f>
        <v>0</v>
      </c>
      <c r="I696" s="10" cm="1">
        <f t="array" ref="I696">IFERROR(INDEX(Precios!$D:$F,MATCH(N696, Precios!$G:$G, 0),CHOOSE(MATCH(H696, {"SML";"XL";"XXL"}, 0), 1, 2, 3)), 0)</f>
        <v>0</v>
      </c>
      <c r="K696" s="10">
        <f t="shared" si="26"/>
        <v>0</v>
      </c>
      <c r="N696" s="9" t="str">
        <f t="shared" si="27"/>
        <v/>
      </c>
      <c r="O696" s="9" t="str">
        <f>IF(N696="","",IF(COUNTIF(Precios!$G:$G,N696)=0,"⚠ No coincide con Precios","OK"))</f>
        <v/>
      </c>
    </row>
    <row r="697" spans="3:15" x14ac:dyDescent="0.2">
      <c r="C697" s="9" cm="1">
        <f t="array" ref="C697">IFERROR(_xlfn.XLOOKUP(B697,Personal!$A:$A,Personal!$D:$D,""),"")</f>
        <v>0</v>
      </c>
      <c r="D697" s="9" cm="1">
        <f t="array" ref="D697">IFERROR(_xlfn.XLOOKUP(B697,Personal!$A:$A,Personal!$C:$C,""),"")</f>
        <v>0</v>
      </c>
      <c r="E697" s="9" t="str" cm="1">
        <f t="array" ref="E697">IFERROR(_xlfn.XLOOKUP(D697,Locales!$A:$A,Locales!$B:$B,""),"")</f>
        <v/>
      </c>
      <c r="F697" s="9" cm="1">
        <f t="array" ref="F697">IFERROR(_xlfn.XLOOKUP(B697,Personal!$A:$A,Personal!$F:$F,""),"")</f>
        <v>0</v>
      </c>
      <c r="I697" s="10" cm="1">
        <f t="array" ref="I697">IFERROR(INDEX(Precios!$D:$F,MATCH(N697, Precios!$G:$G, 0),CHOOSE(MATCH(H697, {"SML";"XL";"XXL"}, 0), 1, 2, 3)), 0)</f>
        <v>0</v>
      </c>
      <c r="K697" s="10">
        <f t="shared" si="26"/>
        <v>0</v>
      </c>
      <c r="N697" s="9" t="str">
        <f t="shared" si="27"/>
        <v/>
      </c>
      <c r="O697" s="9" t="str">
        <f>IF(N697="","",IF(COUNTIF(Precios!$G:$G,N697)=0,"⚠ No coincide con Precios","OK"))</f>
        <v/>
      </c>
    </row>
    <row r="698" spans="3:15" x14ac:dyDescent="0.2">
      <c r="C698" s="9" cm="1">
        <f t="array" ref="C698">IFERROR(_xlfn.XLOOKUP(B698,Personal!$A:$A,Personal!$D:$D,""),"")</f>
        <v>0</v>
      </c>
      <c r="D698" s="9" cm="1">
        <f t="array" ref="D698">IFERROR(_xlfn.XLOOKUP(B698,Personal!$A:$A,Personal!$C:$C,""),"")</f>
        <v>0</v>
      </c>
      <c r="E698" s="9" t="str" cm="1">
        <f t="array" ref="E698">IFERROR(_xlfn.XLOOKUP(D698,Locales!$A:$A,Locales!$B:$B,""),"")</f>
        <v/>
      </c>
      <c r="F698" s="9" cm="1">
        <f t="array" ref="F698">IFERROR(_xlfn.XLOOKUP(B698,Personal!$A:$A,Personal!$F:$F,""),"")</f>
        <v>0</v>
      </c>
      <c r="I698" s="10" cm="1">
        <f t="array" ref="I698">IFERROR(INDEX(Precios!$D:$F,MATCH(N698, Precios!$G:$G, 0),CHOOSE(MATCH(H698, {"SML";"XL";"XXL"}, 0), 1, 2, 3)), 0)</f>
        <v>0</v>
      </c>
      <c r="K698" s="10">
        <f t="shared" si="26"/>
        <v>0</v>
      </c>
      <c r="N698" s="9" t="str">
        <f t="shared" si="27"/>
        <v/>
      </c>
      <c r="O698" s="9" t="str">
        <f>IF(N698="","",IF(COUNTIF(Precios!$G:$G,N698)=0,"⚠ No coincide con Precios","OK"))</f>
        <v/>
      </c>
    </row>
    <row r="699" spans="3:15" x14ac:dyDescent="0.2">
      <c r="C699" s="9" cm="1">
        <f t="array" ref="C699">IFERROR(_xlfn.XLOOKUP(B699,Personal!$A:$A,Personal!$D:$D,""),"")</f>
        <v>0</v>
      </c>
      <c r="D699" s="9" cm="1">
        <f t="array" ref="D699">IFERROR(_xlfn.XLOOKUP(B699,Personal!$A:$A,Personal!$C:$C,""),"")</f>
        <v>0</v>
      </c>
      <c r="E699" s="9" t="str" cm="1">
        <f t="array" ref="E699">IFERROR(_xlfn.XLOOKUP(D699,Locales!$A:$A,Locales!$B:$B,""),"")</f>
        <v/>
      </c>
      <c r="F699" s="9" cm="1">
        <f t="array" ref="F699">IFERROR(_xlfn.XLOOKUP(B699,Personal!$A:$A,Personal!$F:$F,""),"")</f>
        <v>0</v>
      </c>
      <c r="I699" s="10" cm="1">
        <f t="array" ref="I699">IFERROR(INDEX(Precios!$D:$F,MATCH(N699, Precios!$G:$G, 0),CHOOSE(MATCH(H699, {"SML";"XL";"XXL"}, 0), 1, 2, 3)), 0)</f>
        <v>0</v>
      </c>
      <c r="K699" s="10">
        <f t="shared" si="26"/>
        <v>0</v>
      </c>
      <c r="N699" s="9" t="str">
        <f t="shared" si="27"/>
        <v/>
      </c>
      <c r="O699" s="9" t="str">
        <f>IF(N699="","",IF(COUNTIF(Precios!$G:$G,N699)=0,"⚠ No coincide con Precios","OK"))</f>
        <v/>
      </c>
    </row>
    <row r="700" spans="3:15" x14ac:dyDescent="0.2">
      <c r="C700" s="9" cm="1">
        <f t="array" ref="C700">IFERROR(_xlfn.XLOOKUP(B700,Personal!$A:$A,Personal!$D:$D,""),"")</f>
        <v>0</v>
      </c>
      <c r="D700" s="9" cm="1">
        <f t="array" ref="D700">IFERROR(_xlfn.XLOOKUP(B700,Personal!$A:$A,Personal!$C:$C,""),"")</f>
        <v>0</v>
      </c>
      <c r="E700" s="9" t="str" cm="1">
        <f t="array" ref="E700">IFERROR(_xlfn.XLOOKUP(D700,Locales!$A:$A,Locales!$B:$B,""),"")</f>
        <v/>
      </c>
      <c r="F700" s="9" cm="1">
        <f t="array" ref="F700">IFERROR(_xlfn.XLOOKUP(B700,Personal!$A:$A,Personal!$F:$F,""),"")</f>
        <v>0</v>
      </c>
      <c r="I700" s="10" cm="1">
        <f t="array" ref="I700">IFERROR(INDEX(Precios!$D:$F,MATCH(N700, Precios!$G:$G, 0),CHOOSE(MATCH(H700, {"SML";"XL";"XXL"}, 0), 1, 2, 3)), 0)</f>
        <v>0</v>
      </c>
      <c r="K700" s="10">
        <f t="shared" si="26"/>
        <v>0</v>
      </c>
      <c r="N700" s="9" t="str">
        <f t="shared" si="27"/>
        <v/>
      </c>
      <c r="O700" s="9" t="str">
        <f>IF(N700="","",IF(COUNTIF(Precios!$G:$G,N700)=0,"⚠ No coincide con Precios","OK"))</f>
        <v/>
      </c>
    </row>
    <row r="701" spans="3:15" x14ac:dyDescent="0.2">
      <c r="C701" s="9" cm="1">
        <f t="array" ref="C701">IFERROR(_xlfn.XLOOKUP(B701,Personal!$A:$A,Personal!$D:$D,""),"")</f>
        <v>0</v>
      </c>
      <c r="D701" s="9" cm="1">
        <f t="array" ref="D701">IFERROR(_xlfn.XLOOKUP(B701,Personal!$A:$A,Personal!$C:$C,""),"")</f>
        <v>0</v>
      </c>
      <c r="E701" s="9" t="str" cm="1">
        <f t="array" ref="E701">IFERROR(_xlfn.XLOOKUP(D701,Locales!$A:$A,Locales!$B:$B,""),"")</f>
        <v/>
      </c>
      <c r="F701" s="9" cm="1">
        <f t="array" ref="F701">IFERROR(_xlfn.XLOOKUP(B701,Personal!$A:$A,Personal!$F:$F,""),"")</f>
        <v>0</v>
      </c>
      <c r="I701" s="10" cm="1">
        <f t="array" ref="I701">IFERROR(INDEX(Precios!$D:$F,MATCH(N701, Precios!$G:$G, 0),CHOOSE(MATCH(H701, {"SML";"XL";"XXL"}, 0), 1, 2, 3)), 0)</f>
        <v>0</v>
      </c>
      <c r="K701" s="10">
        <f t="shared" si="26"/>
        <v>0</v>
      </c>
      <c r="N701" s="9" t="str">
        <f t="shared" si="27"/>
        <v/>
      </c>
      <c r="O701" s="9" t="str">
        <f>IF(N701="","",IF(COUNTIF(Precios!$G:$G,N701)=0,"⚠ No coincide con Precios","OK"))</f>
        <v/>
      </c>
    </row>
    <row r="702" spans="3:15" x14ac:dyDescent="0.2">
      <c r="C702" s="9" cm="1">
        <f t="array" ref="C702">IFERROR(_xlfn.XLOOKUP(B702,Personal!$A:$A,Personal!$D:$D,""),"")</f>
        <v>0</v>
      </c>
      <c r="D702" s="9" cm="1">
        <f t="array" ref="D702">IFERROR(_xlfn.XLOOKUP(B702,Personal!$A:$A,Personal!$C:$C,""),"")</f>
        <v>0</v>
      </c>
      <c r="E702" s="9" t="str" cm="1">
        <f t="array" ref="E702">IFERROR(_xlfn.XLOOKUP(D702,Locales!$A:$A,Locales!$B:$B,""),"")</f>
        <v/>
      </c>
      <c r="F702" s="9" cm="1">
        <f t="array" ref="F702">IFERROR(_xlfn.XLOOKUP(B702,Personal!$A:$A,Personal!$F:$F,""),"")</f>
        <v>0</v>
      </c>
      <c r="I702" s="10" cm="1">
        <f t="array" ref="I702">IFERROR(INDEX(Precios!$D:$F,MATCH(N702, Precios!$G:$G, 0),CHOOSE(MATCH(H702, {"SML";"XL";"XXL"}, 0), 1, 2, 3)), 0)</f>
        <v>0</v>
      </c>
      <c r="K702" s="10">
        <f t="shared" ref="K702:K765" si="28">IFERROR(I702*J702,0)</f>
        <v>0</v>
      </c>
      <c r="N702" s="9" t="str">
        <f t="shared" ref="N702:N765" si="29">IF( OR(E702="",F702="",G702=""), "",CLEAN(TRIM(E702)) &amp; "|" &amp; CLEAN(TRIM(F702)) &amp; "|" &amp; CLEAN(TRIM(G702)))</f>
        <v/>
      </c>
      <c r="O702" s="9" t="str">
        <f>IF(N702="","",IF(COUNTIF(Precios!$G:$G,N702)=0,"⚠ No coincide con Precios","OK"))</f>
        <v/>
      </c>
    </row>
    <row r="703" spans="3:15" x14ac:dyDescent="0.2">
      <c r="C703" s="9" cm="1">
        <f t="array" ref="C703">IFERROR(_xlfn.XLOOKUP(B703,Personal!$A:$A,Personal!$D:$D,""),"")</f>
        <v>0</v>
      </c>
      <c r="D703" s="9" cm="1">
        <f t="array" ref="D703">IFERROR(_xlfn.XLOOKUP(B703,Personal!$A:$A,Personal!$C:$C,""),"")</f>
        <v>0</v>
      </c>
      <c r="E703" s="9" t="str" cm="1">
        <f t="array" ref="E703">IFERROR(_xlfn.XLOOKUP(D703,Locales!$A:$A,Locales!$B:$B,""),"")</f>
        <v/>
      </c>
      <c r="F703" s="9" cm="1">
        <f t="array" ref="F703">IFERROR(_xlfn.XLOOKUP(B703,Personal!$A:$A,Personal!$F:$F,""),"")</f>
        <v>0</v>
      </c>
      <c r="I703" s="10" cm="1">
        <f t="array" ref="I703">IFERROR(INDEX(Precios!$D:$F,MATCH(N703, Precios!$G:$G, 0),CHOOSE(MATCH(H703, {"SML";"XL";"XXL"}, 0), 1, 2, 3)), 0)</f>
        <v>0</v>
      </c>
      <c r="K703" s="10">
        <f t="shared" si="28"/>
        <v>0</v>
      </c>
      <c r="N703" s="9" t="str">
        <f t="shared" si="29"/>
        <v/>
      </c>
      <c r="O703" s="9" t="str">
        <f>IF(N703="","",IF(COUNTIF(Precios!$G:$G,N703)=0,"⚠ No coincide con Precios","OK"))</f>
        <v/>
      </c>
    </row>
    <row r="704" spans="3:15" x14ac:dyDescent="0.2">
      <c r="C704" s="9" cm="1">
        <f t="array" ref="C704">IFERROR(_xlfn.XLOOKUP(B704,Personal!$A:$A,Personal!$D:$D,""),"")</f>
        <v>0</v>
      </c>
      <c r="D704" s="9" cm="1">
        <f t="array" ref="D704">IFERROR(_xlfn.XLOOKUP(B704,Personal!$A:$A,Personal!$C:$C,""),"")</f>
        <v>0</v>
      </c>
      <c r="E704" s="9" t="str" cm="1">
        <f t="array" ref="E704">IFERROR(_xlfn.XLOOKUP(D704,Locales!$A:$A,Locales!$B:$B,""),"")</f>
        <v/>
      </c>
      <c r="F704" s="9" cm="1">
        <f t="array" ref="F704">IFERROR(_xlfn.XLOOKUP(B704,Personal!$A:$A,Personal!$F:$F,""),"")</f>
        <v>0</v>
      </c>
      <c r="I704" s="10" cm="1">
        <f t="array" ref="I704">IFERROR(INDEX(Precios!$D:$F,MATCH(N704, Precios!$G:$G, 0),CHOOSE(MATCH(H704, {"SML";"XL";"XXL"}, 0), 1, 2, 3)), 0)</f>
        <v>0</v>
      </c>
      <c r="K704" s="10">
        <f t="shared" si="28"/>
        <v>0</v>
      </c>
      <c r="N704" s="9" t="str">
        <f t="shared" si="29"/>
        <v/>
      </c>
      <c r="O704" s="9" t="str">
        <f>IF(N704="","",IF(COUNTIF(Precios!$G:$G,N704)=0,"⚠ No coincide con Precios","OK"))</f>
        <v/>
      </c>
    </row>
    <row r="705" spans="3:15" x14ac:dyDescent="0.2">
      <c r="C705" s="9" cm="1">
        <f t="array" ref="C705">IFERROR(_xlfn.XLOOKUP(B705,Personal!$A:$A,Personal!$D:$D,""),"")</f>
        <v>0</v>
      </c>
      <c r="D705" s="9" cm="1">
        <f t="array" ref="D705">IFERROR(_xlfn.XLOOKUP(B705,Personal!$A:$A,Personal!$C:$C,""),"")</f>
        <v>0</v>
      </c>
      <c r="E705" s="9" t="str" cm="1">
        <f t="array" ref="E705">IFERROR(_xlfn.XLOOKUP(D705,Locales!$A:$A,Locales!$B:$B,""),"")</f>
        <v/>
      </c>
      <c r="F705" s="9" cm="1">
        <f t="array" ref="F705">IFERROR(_xlfn.XLOOKUP(B705,Personal!$A:$A,Personal!$F:$F,""),"")</f>
        <v>0</v>
      </c>
      <c r="I705" s="10" cm="1">
        <f t="array" ref="I705">IFERROR(INDEX(Precios!$D:$F,MATCH(N705, Precios!$G:$G, 0),CHOOSE(MATCH(H705, {"SML";"XL";"XXL"}, 0), 1, 2, 3)), 0)</f>
        <v>0</v>
      </c>
      <c r="K705" s="10">
        <f t="shared" si="28"/>
        <v>0</v>
      </c>
      <c r="N705" s="9" t="str">
        <f t="shared" si="29"/>
        <v/>
      </c>
      <c r="O705" s="9" t="str">
        <f>IF(N705="","",IF(COUNTIF(Precios!$G:$G,N705)=0,"⚠ No coincide con Precios","OK"))</f>
        <v/>
      </c>
    </row>
    <row r="706" spans="3:15" x14ac:dyDescent="0.2">
      <c r="C706" s="9" cm="1">
        <f t="array" ref="C706">IFERROR(_xlfn.XLOOKUP(B706,Personal!$A:$A,Personal!$D:$D,""),"")</f>
        <v>0</v>
      </c>
      <c r="D706" s="9" cm="1">
        <f t="array" ref="D706">IFERROR(_xlfn.XLOOKUP(B706,Personal!$A:$A,Personal!$C:$C,""),"")</f>
        <v>0</v>
      </c>
      <c r="E706" s="9" t="str" cm="1">
        <f t="array" ref="E706">IFERROR(_xlfn.XLOOKUP(D706,Locales!$A:$A,Locales!$B:$B,""),"")</f>
        <v/>
      </c>
      <c r="F706" s="9" cm="1">
        <f t="array" ref="F706">IFERROR(_xlfn.XLOOKUP(B706,Personal!$A:$A,Personal!$F:$F,""),"")</f>
        <v>0</v>
      </c>
      <c r="I706" s="10" cm="1">
        <f t="array" ref="I706">IFERROR(INDEX(Precios!$D:$F,MATCH(N706, Precios!$G:$G, 0),CHOOSE(MATCH(H706, {"SML";"XL";"XXL"}, 0), 1, 2, 3)), 0)</f>
        <v>0</v>
      </c>
      <c r="K706" s="10">
        <f t="shared" si="28"/>
        <v>0</v>
      </c>
      <c r="N706" s="9" t="str">
        <f t="shared" si="29"/>
        <v/>
      </c>
      <c r="O706" s="9" t="str">
        <f>IF(N706="","",IF(COUNTIF(Precios!$G:$G,N706)=0,"⚠ No coincide con Precios","OK"))</f>
        <v/>
      </c>
    </row>
    <row r="707" spans="3:15" x14ac:dyDescent="0.2">
      <c r="C707" s="9" cm="1">
        <f t="array" ref="C707">IFERROR(_xlfn.XLOOKUP(B707,Personal!$A:$A,Personal!$D:$D,""),"")</f>
        <v>0</v>
      </c>
      <c r="D707" s="9" cm="1">
        <f t="array" ref="D707">IFERROR(_xlfn.XLOOKUP(B707,Personal!$A:$A,Personal!$C:$C,""),"")</f>
        <v>0</v>
      </c>
      <c r="E707" s="9" t="str" cm="1">
        <f t="array" ref="E707">IFERROR(_xlfn.XLOOKUP(D707,Locales!$A:$A,Locales!$B:$B,""),"")</f>
        <v/>
      </c>
      <c r="F707" s="9" cm="1">
        <f t="array" ref="F707">IFERROR(_xlfn.XLOOKUP(B707,Personal!$A:$A,Personal!$F:$F,""),"")</f>
        <v>0</v>
      </c>
      <c r="I707" s="10" cm="1">
        <f t="array" ref="I707">IFERROR(INDEX(Precios!$D:$F,MATCH(N707, Precios!$G:$G, 0),CHOOSE(MATCH(H707, {"SML";"XL";"XXL"}, 0), 1, 2, 3)), 0)</f>
        <v>0</v>
      </c>
      <c r="K707" s="10">
        <f t="shared" si="28"/>
        <v>0</v>
      </c>
      <c r="N707" s="9" t="str">
        <f t="shared" si="29"/>
        <v/>
      </c>
      <c r="O707" s="9" t="str">
        <f>IF(N707="","",IF(COUNTIF(Precios!$G:$G,N707)=0,"⚠ No coincide con Precios","OK"))</f>
        <v/>
      </c>
    </row>
    <row r="708" spans="3:15" x14ac:dyDescent="0.2">
      <c r="C708" s="9" cm="1">
        <f t="array" ref="C708">IFERROR(_xlfn.XLOOKUP(B708,Personal!$A:$A,Personal!$D:$D,""),"")</f>
        <v>0</v>
      </c>
      <c r="D708" s="9" cm="1">
        <f t="array" ref="D708">IFERROR(_xlfn.XLOOKUP(B708,Personal!$A:$A,Personal!$C:$C,""),"")</f>
        <v>0</v>
      </c>
      <c r="E708" s="9" t="str" cm="1">
        <f t="array" ref="E708">IFERROR(_xlfn.XLOOKUP(D708,Locales!$A:$A,Locales!$B:$B,""),"")</f>
        <v/>
      </c>
      <c r="F708" s="9" cm="1">
        <f t="array" ref="F708">IFERROR(_xlfn.XLOOKUP(B708,Personal!$A:$A,Personal!$F:$F,""),"")</f>
        <v>0</v>
      </c>
      <c r="I708" s="10" cm="1">
        <f t="array" ref="I708">IFERROR(INDEX(Precios!$D:$F,MATCH(N708, Precios!$G:$G, 0),CHOOSE(MATCH(H708, {"SML";"XL";"XXL"}, 0), 1, 2, 3)), 0)</f>
        <v>0</v>
      </c>
      <c r="K708" s="10">
        <f t="shared" si="28"/>
        <v>0</v>
      </c>
      <c r="N708" s="9" t="str">
        <f t="shared" si="29"/>
        <v/>
      </c>
      <c r="O708" s="9" t="str">
        <f>IF(N708="","",IF(COUNTIF(Precios!$G:$G,N708)=0,"⚠ No coincide con Precios","OK"))</f>
        <v/>
      </c>
    </row>
    <row r="709" spans="3:15" x14ac:dyDescent="0.2">
      <c r="C709" s="9" cm="1">
        <f t="array" ref="C709">IFERROR(_xlfn.XLOOKUP(B709,Personal!$A:$A,Personal!$D:$D,""),"")</f>
        <v>0</v>
      </c>
      <c r="D709" s="9" cm="1">
        <f t="array" ref="D709">IFERROR(_xlfn.XLOOKUP(B709,Personal!$A:$A,Personal!$C:$C,""),"")</f>
        <v>0</v>
      </c>
      <c r="E709" s="9" t="str" cm="1">
        <f t="array" ref="E709">IFERROR(_xlfn.XLOOKUP(D709,Locales!$A:$A,Locales!$B:$B,""),"")</f>
        <v/>
      </c>
      <c r="F709" s="9" cm="1">
        <f t="array" ref="F709">IFERROR(_xlfn.XLOOKUP(B709,Personal!$A:$A,Personal!$F:$F,""),"")</f>
        <v>0</v>
      </c>
      <c r="I709" s="10" cm="1">
        <f t="array" ref="I709">IFERROR(INDEX(Precios!$D:$F,MATCH(N709, Precios!$G:$G, 0),CHOOSE(MATCH(H709, {"SML";"XL";"XXL"}, 0), 1, 2, 3)), 0)</f>
        <v>0</v>
      </c>
      <c r="K709" s="10">
        <f t="shared" si="28"/>
        <v>0</v>
      </c>
      <c r="N709" s="9" t="str">
        <f t="shared" si="29"/>
        <v/>
      </c>
      <c r="O709" s="9" t="str">
        <f>IF(N709="","",IF(COUNTIF(Precios!$G:$G,N709)=0,"⚠ No coincide con Precios","OK"))</f>
        <v/>
      </c>
    </row>
    <row r="710" spans="3:15" x14ac:dyDescent="0.2">
      <c r="C710" s="9" cm="1">
        <f t="array" ref="C710">IFERROR(_xlfn.XLOOKUP(B710,Personal!$A:$A,Personal!$D:$D,""),"")</f>
        <v>0</v>
      </c>
      <c r="D710" s="9" cm="1">
        <f t="array" ref="D710">IFERROR(_xlfn.XLOOKUP(B710,Personal!$A:$A,Personal!$C:$C,""),"")</f>
        <v>0</v>
      </c>
      <c r="E710" s="9" t="str" cm="1">
        <f t="array" ref="E710">IFERROR(_xlfn.XLOOKUP(D710,Locales!$A:$A,Locales!$B:$B,""),"")</f>
        <v/>
      </c>
      <c r="F710" s="9" cm="1">
        <f t="array" ref="F710">IFERROR(_xlfn.XLOOKUP(B710,Personal!$A:$A,Personal!$F:$F,""),"")</f>
        <v>0</v>
      </c>
      <c r="I710" s="10" cm="1">
        <f t="array" ref="I710">IFERROR(INDEX(Precios!$D:$F,MATCH(N710, Precios!$G:$G, 0),CHOOSE(MATCH(H710, {"SML";"XL";"XXL"}, 0), 1, 2, 3)), 0)</f>
        <v>0</v>
      </c>
      <c r="K710" s="10">
        <f t="shared" si="28"/>
        <v>0</v>
      </c>
      <c r="N710" s="9" t="str">
        <f t="shared" si="29"/>
        <v/>
      </c>
      <c r="O710" s="9" t="str">
        <f>IF(N710="","",IF(COUNTIF(Precios!$G:$G,N710)=0,"⚠ No coincide con Precios","OK"))</f>
        <v/>
      </c>
    </row>
    <row r="711" spans="3:15" x14ac:dyDescent="0.2">
      <c r="C711" s="9" cm="1">
        <f t="array" ref="C711">IFERROR(_xlfn.XLOOKUP(B711,Personal!$A:$A,Personal!$D:$D,""),"")</f>
        <v>0</v>
      </c>
      <c r="D711" s="9" cm="1">
        <f t="array" ref="D711">IFERROR(_xlfn.XLOOKUP(B711,Personal!$A:$A,Personal!$C:$C,""),"")</f>
        <v>0</v>
      </c>
      <c r="E711" s="9" t="str" cm="1">
        <f t="array" ref="E711">IFERROR(_xlfn.XLOOKUP(D711,Locales!$A:$A,Locales!$B:$B,""),"")</f>
        <v/>
      </c>
      <c r="F711" s="9" cm="1">
        <f t="array" ref="F711">IFERROR(_xlfn.XLOOKUP(B711,Personal!$A:$A,Personal!$F:$F,""),"")</f>
        <v>0</v>
      </c>
      <c r="I711" s="10" cm="1">
        <f t="array" ref="I711">IFERROR(INDEX(Precios!$D:$F,MATCH(N711, Precios!$G:$G, 0),CHOOSE(MATCH(H711, {"SML";"XL";"XXL"}, 0), 1, 2, 3)), 0)</f>
        <v>0</v>
      </c>
      <c r="K711" s="10">
        <f t="shared" si="28"/>
        <v>0</v>
      </c>
      <c r="N711" s="9" t="str">
        <f t="shared" si="29"/>
        <v/>
      </c>
      <c r="O711" s="9" t="str">
        <f>IF(N711="","",IF(COUNTIF(Precios!$G:$G,N711)=0,"⚠ No coincide con Precios","OK"))</f>
        <v/>
      </c>
    </row>
    <row r="712" spans="3:15" x14ac:dyDescent="0.2">
      <c r="C712" s="9" cm="1">
        <f t="array" ref="C712">IFERROR(_xlfn.XLOOKUP(B712,Personal!$A:$A,Personal!$D:$D,""),"")</f>
        <v>0</v>
      </c>
      <c r="D712" s="9" cm="1">
        <f t="array" ref="D712">IFERROR(_xlfn.XLOOKUP(B712,Personal!$A:$A,Personal!$C:$C,""),"")</f>
        <v>0</v>
      </c>
      <c r="E712" s="9" t="str" cm="1">
        <f t="array" ref="E712">IFERROR(_xlfn.XLOOKUP(D712,Locales!$A:$A,Locales!$B:$B,""),"")</f>
        <v/>
      </c>
      <c r="F712" s="9" cm="1">
        <f t="array" ref="F712">IFERROR(_xlfn.XLOOKUP(B712,Personal!$A:$A,Personal!$F:$F,""),"")</f>
        <v>0</v>
      </c>
      <c r="I712" s="10" cm="1">
        <f t="array" ref="I712">IFERROR(INDEX(Precios!$D:$F,MATCH(N712, Precios!$G:$G, 0),CHOOSE(MATCH(H712, {"SML";"XL";"XXL"}, 0), 1, 2, 3)), 0)</f>
        <v>0</v>
      </c>
      <c r="K712" s="10">
        <f t="shared" si="28"/>
        <v>0</v>
      </c>
      <c r="N712" s="9" t="str">
        <f t="shared" si="29"/>
        <v/>
      </c>
      <c r="O712" s="9" t="str">
        <f>IF(N712="","",IF(COUNTIF(Precios!$G:$G,N712)=0,"⚠ No coincide con Precios","OK"))</f>
        <v/>
      </c>
    </row>
    <row r="713" spans="3:15" x14ac:dyDescent="0.2">
      <c r="C713" s="9" cm="1">
        <f t="array" ref="C713">IFERROR(_xlfn.XLOOKUP(B713,Personal!$A:$A,Personal!$D:$D,""),"")</f>
        <v>0</v>
      </c>
      <c r="D713" s="9" cm="1">
        <f t="array" ref="D713">IFERROR(_xlfn.XLOOKUP(B713,Personal!$A:$A,Personal!$C:$C,""),"")</f>
        <v>0</v>
      </c>
      <c r="E713" s="9" t="str" cm="1">
        <f t="array" ref="E713">IFERROR(_xlfn.XLOOKUP(D713,Locales!$A:$A,Locales!$B:$B,""),"")</f>
        <v/>
      </c>
      <c r="F713" s="9" cm="1">
        <f t="array" ref="F713">IFERROR(_xlfn.XLOOKUP(B713,Personal!$A:$A,Personal!$F:$F,""),"")</f>
        <v>0</v>
      </c>
      <c r="I713" s="10" cm="1">
        <f t="array" ref="I713">IFERROR(INDEX(Precios!$D:$F,MATCH(N713, Precios!$G:$G, 0),CHOOSE(MATCH(H713, {"SML";"XL";"XXL"}, 0), 1, 2, 3)), 0)</f>
        <v>0</v>
      </c>
      <c r="K713" s="10">
        <f t="shared" si="28"/>
        <v>0</v>
      </c>
      <c r="N713" s="9" t="str">
        <f t="shared" si="29"/>
        <v/>
      </c>
      <c r="O713" s="9" t="str">
        <f>IF(N713="","",IF(COUNTIF(Precios!$G:$G,N713)=0,"⚠ No coincide con Precios","OK"))</f>
        <v/>
      </c>
    </row>
    <row r="714" spans="3:15" x14ac:dyDescent="0.2">
      <c r="C714" s="9" cm="1">
        <f t="array" ref="C714">IFERROR(_xlfn.XLOOKUP(B714,Personal!$A:$A,Personal!$D:$D,""),"")</f>
        <v>0</v>
      </c>
      <c r="D714" s="9" cm="1">
        <f t="array" ref="D714">IFERROR(_xlfn.XLOOKUP(B714,Personal!$A:$A,Personal!$C:$C,""),"")</f>
        <v>0</v>
      </c>
      <c r="E714" s="9" t="str" cm="1">
        <f t="array" ref="E714">IFERROR(_xlfn.XLOOKUP(D714,Locales!$A:$A,Locales!$B:$B,""),"")</f>
        <v/>
      </c>
      <c r="F714" s="9" cm="1">
        <f t="array" ref="F714">IFERROR(_xlfn.XLOOKUP(B714,Personal!$A:$A,Personal!$F:$F,""),"")</f>
        <v>0</v>
      </c>
      <c r="I714" s="10" cm="1">
        <f t="array" ref="I714">IFERROR(INDEX(Precios!$D:$F,MATCH(N714, Precios!$G:$G, 0),CHOOSE(MATCH(H714, {"SML";"XL";"XXL"}, 0), 1, 2, 3)), 0)</f>
        <v>0</v>
      </c>
      <c r="K714" s="10">
        <f t="shared" si="28"/>
        <v>0</v>
      </c>
      <c r="N714" s="9" t="str">
        <f t="shared" si="29"/>
        <v/>
      </c>
      <c r="O714" s="9" t="str">
        <f>IF(N714="","",IF(COUNTIF(Precios!$G:$G,N714)=0,"⚠ No coincide con Precios","OK"))</f>
        <v/>
      </c>
    </row>
    <row r="715" spans="3:15" x14ac:dyDescent="0.2">
      <c r="C715" s="9" cm="1">
        <f t="array" ref="C715">IFERROR(_xlfn.XLOOKUP(B715,Personal!$A:$A,Personal!$D:$D,""),"")</f>
        <v>0</v>
      </c>
      <c r="D715" s="9" cm="1">
        <f t="array" ref="D715">IFERROR(_xlfn.XLOOKUP(B715,Personal!$A:$A,Personal!$C:$C,""),"")</f>
        <v>0</v>
      </c>
      <c r="E715" s="9" t="str" cm="1">
        <f t="array" ref="E715">IFERROR(_xlfn.XLOOKUP(D715,Locales!$A:$A,Locales!$B:$B,""),"")</f>
        <v/>
      </c>
      <c r="F715" s="9" cm="1">
        <f t="array" ref="F715">IFERROR(_xlfn.XLOOKUP(B715,Personal!$A:$A,Personal!$F:$F,""),"")</f>
        <v>0</v>
      </c>
      <c r="I715" s="10" cm="1">
        <f t="array" ref="I715">IFERROR(INDEX(Precios!$D:$F,MATCH(N715, Precios!$G:$G, 0),CHOOSE(MATCH(H715, {"SML";"XL";"XXL"}, 0), 1, 2, 3)), 0)</f>
        <v>0</v>
      </c>
      <c r="K715" s="10">
        <f t="shared" si="28"/>
        <v>0</v>
      </c>
      <c r="N715" s="9" t="str">
        <f t="shared" si="29"/>
        <v/>
      </c>
      <c r="O715" s="9" t="str">
        <f>IF(N715="","",IF(COUNTIF(Precios!$G:$G,N715)=0,"⚠ No coincide con Precios","OK"))</f>
        <v/>
      </c>
    </row>
    <row r="716" spans="3:15" x14ac:dyDescent="0.2">
      <c r="C716" s="9" cm="1">
        <f t="array" ref="C716">IFERROR(_xlfn.XLOOKUP(B716,Personal!$A:$A,Personal!$D:$D,""),"")</f>
        <v>0</v>
      </c>
      <c r="D716" s="9" cm="1">
        <f t="array" ref="D716">IFERROR(_xlfn.XLOOKUP(B716,Personal!$A:$A,Personal!$C:$C,""),"")</f>
        <v>0</v>
      </c>
      <c r="E716" s="9" t="str" cm="1">
        <f t="array" ref="E716">IFERROR(_xlfn.XLOOKUP(D716,Locales!$A:$A,Locales!$B:$B,""),"")</f>
        <v/>
      </c>
      <c r="F716" s="9" cm="1">
        <f t="array" ref="F716">IFERROR(_xlfn.XLOOKUP(B716,Personal!$A:$A,Personal!$F:$F,""),"")</f>
        <v>0</v>
      </c>
      <c r="I716" s="10" cm="1">
        <f t="array" ref="I716">IFERROR(INDEX(Precios!$D:$F,MATCH(N716, Precios!$G:$G, 0),CHOOSE(MATCH(H716, {"SML";"XL";"XXL"}, 0), 1, 2, 3)), 0)</f>
        <v>0</v>
      </c>
      <c r="K716" s="10">
        <f t="shared" si="28"/>
        <v>0</v>
      </c>
      <c r="N716" s="9" t="str">
        <f t="shared" si="29"/>
        <v/>
      </c>
      <c r="O716" s="9" t="str">
        <f>IF(N716="","",IF(COUNTIF(Precios!$G:$G,N716)=0,"⚠ No coincide con Precios","OK"))</f>
        <v/>
      </c>
    </row>
    <row r="717" spans="3:15" x14ac:dyDescent="0.2">
      <c r="C717" s="9" cm="1">
        <f t="array" ref="C717">IFERROR(_xlfn.XLOOKUP(B717,Personal!$A:$A,Personal!$D:$D,""),"")</f>
        <v>0</v>
      </c>
      <c r="D717" s="9" cm="1">
        <f t="array" ref="D717">IFERROR(_xlfn.XLOOKUP(B717,Personal!$A:$A,Personal!$C:$C,""),"")</f>
        <v>0</v>
      </c>
      <c r="E717" s="9" t="str" cm="1">
        <f t="array" ref="E717">IFERROR(_xlfn.XLOOKUP(D717,Locales!$A:$A,Locales!$B:$B,""),"")</f>
        <v/>
      </c>
      <c r="F717" s="9" cm="1">
        <f t="array" ref="F717">IFERROR(_xlfn.XLOOKUP(B717,Personal!$A:$A,Personal!$F:$F,""),"")</f>
        <v>0</v>
      </c>
      <c r="I717" s="10" cm="1">
        <f t="array" ref="I717">IFERROR(INDEX(Precios!$D:$F,MATCH(N717, Precios!$G:$G, 0),CHOOSE(MATCH(H717, {"SML";"XL";"XXL"}, 0), 1, 2, 3)), 0)</f>
        <v>0</v>
      </c>
      <c r="K717" s="10">
        <f t="shared" si="28"/>
        <v>0</v>
      </c>
      <c r="N717" s="9" t="str">
        <f t="shared" si="29"/>
        <v/>
      </c>
      <c r="O717" s="9" t="str">
        <f>IF(N717="","",IF(COUNTIF(Precios!$G:$G,N717)=0,"⚠ No coincide con Precios","OK"))</f>
        <v/>
      </c>
    </row>
    <row r="718" spans="3:15" x14ac:dyDescent="0.2">
      <c r="C718" s="9" cm="1">
        <f t="array" ref="C718">IFERROR(_xlfn.XLOOKUP(B718,Personal!$A:$A,Personal!$D:$D,""),"")</f>
        <v>0</v>
      </c>
      <c r="D718" s="9" cm="1">
        <f t="array" ref="D718">IFERROR(_xlfn.XLOOKUP(B718,Personal!$A:$A,Personal!$C:$C,""),"")</f>
        <v>0</v>
      </c>
      <c r="E718" s="9" t="str" cm="1">
        <f t="array" ref="E718">IFERROR(_xlfn.XLOOKUP(D718,Locales!$A:$A,Locales!$B:$B,""),"")</f>
        <v/>
      </c>
      <c r="F718" s="9" cm="1">
        <f t="array" ref="F718">IFERROR(_xlfn.XLOOKUP(B718,Personal!$A:$A,Personal!$F:$F,""),"")</f>
        <v>0</v>
      </c>
      <c r="I718" s="10" cm="1">
        <f t="array" ref="I718">IFERROR(INDEX(Precios!$D:$F,MATCH(N718, Precios!$G:$G, 0),CHOOSE(MATCH(H718, {"SML";"XL";"XXL"}, 0), 1, 2, 3)), 0)</f>
        <v>0</v>
      </c>
      <c r="K718" s="10">
        <f t="shared" si="28"/>
        <v>0</v>
      </c>
      <c r="N718" s="9" t="str">
        <f t="shared" si="29"/>
        <v/>
      </c>
      <c r="O718" s="9" t="str">
        <f>IF(N718="","",IF(COUNTIF(Precios!$G:$G,N718)=0,"⚠ No coincide con Precios","OK"))</f>
        <v/>
      </c>
    </row>
    <row r="719" spans="3:15" x14ac:dyDescent="0.2">
      <c r="C719" s="9" cm="1">
        <f t="array" ref="C719">IFERROR(_xlfn.XLOOKUP(B719,Personal!$A:$A,Personal!$D:$D,""),"")</f>
        <v>0</v>
      </c>
      <c r="D719" s="9" cm="1">
        <f t="array" ref="D719">IFERROR(_xlfn.XLOOKUP(B719,Personal!$A:$A,Personal!$C:$C,""),"")</f>
        <v>0</v>
      </c>
      <c r="E719" s="9" t="str" cm="1">
        <f t="array" ref="E719">IFERROR(_xlfn.XLOOKUP(D719,Locales!$A:$A,Locales!$B:$B,""),"")</f>
        <v/>
      </c>
      <c r="F719" s="9" cm="1">
        <f t="array" ref="F719">IFERROR(_xlfn.XLOOKUP(B719,Personal!$A:$A,Personal!$F:$F,""),"")</f>
        <v>0</v>
      </c>
      <c r="I719" s="10" cm="1">
        <f t="array" ref="I719">IFERROR(INDEX(Precios!$D:$F,MATCH(N719, Precios!$G:$G, 0),CHOOSE(MATCH(H719, {"SML";"XL";"XXL"}, 0), 1, 2, 3)), 0)</f>
        <v>0</v>
      </c>
      <c r="K719" s="10">
        <f t="shared" si="28"/>
        <v>0</v>
      </c>
      <c r="N719" s="9" t="str">
        <f t="shared" si="29"/>
        <v/>
      </c>
      <c r="O719" s="9" t="str">
        <f>IF(N719="","",IF(COUNTIF(Precios!$G:$G,N719)=0,"⚠ No coincide con Precios","OK"))</f>
        <v/>
      </c>
    </row>
    <row r="720" spans="3:15" x14ac:dyDescent="0.2">
      <c r="C720" s="9" cm="1">
        <f t="array" ref="C720">IFERROR(_xlfn.XLOOKUP(B720,Personal!$A:$A,Personal!$D:$D,""),"")</f>
        <v>0</v>
      </c>
      <c r="D720" s="9" cm="1">
        <f t="array" ref="D720">IFERROR(_xlfn.XLOOKUP(B720,Personal!$A:$A,Personal!$C:$C,""),"")</f>
        <v>0</v>
      </c>
      <c r="E720" s="9" t="str" cm="1">
        <f t="array" ref="E720">IFERROR(_xlfn.XLOOKUP(D720,Locales!$A:$A,Locales!$B:$B,""),"")</f>
        <v/>
      </c>
      <c r="F720" s="9" cm="1">
        <f t="array" ref="F720">IFERROR(_xlfn.XLOOKUP(B720,Personal!$A:$A,Personal!$F:$F,""),"")</f>
        <v>0</v>
      </c>
      <c r="I720" s="10" cm="1">
        <f t="array" ref="I720">IFERROR(INDEX(Precios!$D:$F,MATCH(N720, Precios!$G:$G, 0),CHOOSE(MATCH(H720, {"SML";"XL";"XXL"}, 0), 1, 2, 3)), 0)</f>
        <v>0</v>
      </c>
      <c r="K720" s="10">
        <f t="shared" si="28"/>
        <v>0</v>
      </c>
      <c r="N720" s="9" t="str">
        <f t="shared" si="29"/>
        <v/>
      </c>
      <c r="O720" s="9" t="str">
        <f>IF(N720="","",IF(COUNTIF(Precios!$G:$G,N720)=0,"⚠ No coincide con Precios","OK"))</f>
        <v/>
      </c>
    </row>
    <row r="721" spans="3:15" x14ac:dyDescent="0.2">
      <c r="C721" s="9" cm="1">
        <f t="array" ref="C721">IFERROR(_xlfn.XLOOKUP(B721,Personal!$A:$A,Personal!$D:$D,""),"")</f>
        <v>0</v>
      </c>
      <c r="D721" s="9" cm="1">
        <f t="array" ref="D721">IFERROR(_xlfn.XLOOKUP(B721,Personal!$A:$A,Personal!$C:$C,""),"")</f>
        <v>0</v>
      </c>
      <c r="E721" s="9" t="str" cm="1">
        <f t="array" ref="E721">IFERROR(_xlfn.XLOOKUP(D721,Locales!$A:$A,Locales!$B:$B,""),"")</f>
        <v/>
      </c>
      <c r="F721" s="9" cm="1">
        <f t="array" ref="F721">IFERROR(_xlfn.XLOOKUP(B721,Personal!$A:$A,Personal!$F:$F,""),"")</f>
        <v>0</v>
      </c>
      <c r="I721" s="10" cm="1">
        <f t="array" ref="I721">IFERROR(INDEX(Precios!$D:$F,MATCH(N721, Precios!$G:$G, 0),CHOOSE(MATCH(H721, {"SML";"XL";"XXL"}, 0), 1, 2, 3)), 0)</f>
        <v>0</v>
      </c>
      <c r="K721" s="10">
        <f t="shared" si="28"/>
        <v>0</v>
      </c>
      <c r="N721" s="9" t="str">
        <f t="shared" si="29"/>
        <v/>
      </c>
      <c r="O721" s="9" t="str">
        <f>IF(N721="","",IF(COUNTIF(Precios!$G:$G,N721)=0,"⚠ No coincide con Precios","OK"))</f>
        <v/>
      </c>
    </row>
    <row r="722" spans="3:15" x14ac:dyDescent="0.2">
      <c r="C722" s="9" cm="1">
        <f t="array" ref="C722">IFERROR(_xlfn.XLOOKUP(B722,Personal!$A:$A,Personal!$D:$D,""),"")</f>
        <v>0</v>
      </c>
      <c r="D722" s="9" cm="1">
        <f t="array" ref="D722">IFERROR(_xlfn.XLOOKUP(B722,Personal!$A:$A,Personal!$C:$C,""),"")</f>
        <v>0</v>
      </c>
      <c r="E722" s="9" t="str" cm="1">
        <f t="array" ref="E722">IFERROR(_xlfn.XLOOKUP(D722,Locales!$A:$A,Locales!$B:$B,""),"")</f>
        <v/>
      </c>
      <c r="F722" s="9" cm="1">
        <f t="array" ref="F722">IFERROR(_xlfn.XLOOKUP(B722,Personal!$A:$A,Personal!$F:$F,""),"")</f>
        <v>0</v>
      </c>
      <c r="I722" s="10" cm="1">
        <f t="array" ref="I722">IFERROR(INDEX(Precios!$D:$F,MATCH(N722, Precios!$G:$G, 0),CHOOSE(MATCH(H722, {"SML";"XL";"XXL"}, 0), 1, 2, 3)), 0)</f>
        <v>0</v>
      </c>
      <c r="K722" s="10">
        <f t="shared" si="28"/>
        <v>0</v>
      </c>
      <c r="N722" s="9" t="str">
        <f t="shared" si="29"/>
        <v/>
      </c>
      <c r="O722" s="9" t="str">
        <f>IF(N722="","",IF(COUNTIF(Precios!$G:$G,N722)=0,"⚠ No coincide con Precios","OK"))</f>
        <v/>
      </c>
    </row>
    <row r="723" spans="3:15" x14ac:dyDescent="0.2">
      <c r="C723" s="9" cm="1">
        <f t="array" ref="C723">IFERROR(_xlfn.XLOOKUP(B723,Personal!$A:$A,Personal!$D:$D,""),"")</f>
        <v>0</v>
      </c>
      <c r="D723" s="9" cm="1">
        <f t="array" ref="D723">IFERROR(_xlfn.XLOOKUP(B723,Personal!$A:$A,Personal!$C:$C,""),"")</f>
        <v>0</v>
      </c>
      <c r="E723" s="9" t="str" cm="1">
        <f t="array" ref="E723">IFERROR(_xlfn.XLOOKUP(D723,Locales!$A:$A,Locales!$B:$B,""),"")</f>
        <v/>
      </c>
      <c r="F723" s="9" cm="1">
        <f t="array" ref="F723">IFERROR(_xlfn.XLOOKUP(B723,Personal!$A:$A,Personal!$F:$F,""),"")</f>
        <v>0</v>
      </c>
      <c r="I723" s="10" cm="1">
        <f t="array" ref="I723">IFERROR(INDEX(Precios!$D:$F,MATCH(N723, Precios!$G:$G, 0),CHOOSE(MATCH(H723, {"SML";"XL";"XXL"}, 0), 1, 2, 3)), 0)</f>
        <v>0</v>
      </c>
      <c r="K723" s="10">
        <f t="shared" si="28"/>
        <v>0</v>
      </c>
      <c r="N723" s="9" t="str">
        <f t="shared" si="29"/>
        <v/>
      </c>
      <c r="O723" s="9" t="str">
        <f>IF(N723="","",IF(COUNTIF(Precios!$G:$G,N723)=0,"⚠ No coincide con Precios","OK"))</f>
        <v/>
      </c>
    </row>
    <row r="724" spans="3:15" x14ac:dyDescent="0.2">
      <c r="C724" s="9" cm="1">
        <f t="array" ref="C724">IFERROR(_xlfn.XLOOKUP(B724,Personal!$A:$A,Personal!$D:$D,""),"")</f>
        <v>0</v>
      </c>
      <c r="D724" s="9" cm="1">
        <f t="array" ref="D724">IFERROR(_xlfn.XLOOKUP(B724,Personal!$A:$A,Personal!$C:$C,""),"")</f>
        <v>0</v>
      </c>
      <c r="E724" s="9" t="str" cm="1">
        <f t="array" ref="E724">IFERROR(_xlfn.XLOOKUP(D724,Locales!$A:$A,Locales!$B:$B,""),"")</f>
        <v/>
      </c>
      <c r="F724" s="9" cm="1">
        <f t="array" ref="F724">IFERROR(_xlfn.XLOOKUP(B724,Personal!$A:$A,Personal!$F:$F,""),"")</f>
        <v>0</v>
      </c>
      <c r="I724" s="10" cm="1">
        <f t="array" ref="I724">IFERROR(INDEX(Precios!$D:$F,MATCH(N724, Precios!$G:$G, 0),CHOOSE(MATCH(H724, {"SML";"XL";"XXL"}, 0), 1, 2, 3)), 0)</f>
        <v>0</v>
      </c>
      <c r="K724" s="10">
        <f t="shared" si="28"/>
        <v>0</v>
      </c>
      <c r="N724" s="9" t="str">
        <f t="shared" si="29"/>
        <v/>
      </c>
      <c r="O724" s="9" t="str">
        <f>IF(N724="","",IF(COUNTIF(Precios!$G:$G,N724)=0,"⚠ No coincide con Precios","OK"))</f>
        <v/>
      </c>
    </row>
    <row r="725" spans="3:15" x14ac:dyDescent="0.2">
      <c r="C725" s="9" cm="1">
        <f t="array" ref="C725">IFERROR(_xlfn.XLOOKUP(B725,Personal!$A:$A,Personal!$D:$D,""),"")</f>
        <v>0</v>
      </c>
      <c r="D725" s="9" cm="1">
        <f t="array" ref="D725">IFERROR(_xlfn.XLOOKUP(B725,Personal!$A:$A,Personal!$C:$C,""),"")</f>
        <v>0</v>
      </c>
      <c r="E725" s="9" t="str" cm="1">
        <f t="array" ref="E725">IFERROR(_xlfn.XLOOKUP(D725,Locales!$A:$A,Locales!$B:$B,""),"")</f>
        <v/>
      </c>
      <c r="F725" s="9" cm="1">
        <f t="array" ref="F725">IFERROR(_xlfn.XLOOKUP(B725,Personal!$A:$A,Personal!$F:$F,""),"")</f>
        <v>0</v>
      </c>
      <c r="I725" s="10" cm="1">
        <f t="array" ref="I725">IFERROR(INDEX(Precios!$D:$F,MATCH(N725, Precios!$G:$G, 0),CHOOSE(MATCH(H725, {"SML";"XL";"XXL"}, 0), 1, 2, 3)), 0)</f>
        <v>0</v>
      </c>
      <c r="K725" s="10">
        <f t="shared" si="28"/>
        <v>0</v>
      </c>
      <c r="N725" s="9" t="str">
        <f t="shared" si="29"/>
        <v/>
      </c>
      <c r="O725" s="9" t="str">
        <f>IF(N725="","",IF(COUNTIF(Precios!$G:$G,N725)=0,"⚠ No coincide con Precios","OK"))</f>
        <v/>
      </c>
    </row>
    <row r="726" spans="3:15" x14ac:dyDescent="0.2">
      <c r="C726" s="9" cm="1">
        <f t="array" ref="C726">IFERROR(_xlfn.XLOOKUP(B726,Personal!$A:$A,Personal!$D:$D,""),"")</f>
        <v>0</v>
      </c>
      <c r="D726" s="9" cm="1">
        <f t="array" ref="D726">IFERROR(_xlfn.XLOOKUP(B726,Personal!$A:$A,Personal!$C:$C,""),"")</f>
        <v>0</v>
      </c>
      <c r="E726" s="9" t="str" cm="1">
        <f t="array" ref="E726">IFERROR(_xlfn.XLOOKUP(D726,Locales!$A:$A,Locales!$B:$B,""),"")</f>
        <v/>
      </c>
      <c r="F726" s="9" cm="1">
        <f t="array" ref="F726">IFERROR(_xlfn.XLOOKUP(B726,Personal!$A:$A,Personal!$F:$F,""),"")</f>
        <v>0</v>
      </c>
      <c r="I726" s="10" cm="1">
        <f t="array" ref="I726">IFERROR(INDEX(Precios!$D:$F,MATCH(N726, Precios!$G:$G, 0),CHOOSE(MATCH(H726, {"SML";"XL";"XXL"}, 0), 1, 2, 3)), 0)</f>
        <v>0</v>
      </c>
      <c r="K726" s="10">
        <f t="shared" si="28"/>
        <v>0</v>
      </c>
      <c r="N726" s="9" t="str">
        <f t="shared" si="29"/>
        <v/>
      </c>
      <c r="O726" s="9" t="str">
        <f>IF(N726="","",IF(COUNTIF(Precios!$G:$G,N726)=0,"⚠ No coincide con Precios","OK"))</f>
        <v/>
      </c>
    </row>
    <row r="727" spans="3:15" x14ac:dyDescent="0.2">
      <c r="C727" s="9" cm="1">
        <f t="array" ref="C727">IFERROR(_xlfn.XLOOKUP(B727,Personal!$A:$A,Personal!$D:$D,""),"")</f>
        <v>0</v>
      </c>
      <c r="D727" s="9" cm="1">
        <f t="array" ref="D727">IFERROR(_xlfn.XLOOKUP(B727,Personal!$A:$A,Personal!$C:$C,""),"")</f>
        <v>0</v>
      </c>
      <c r="E727" s="9" t="str" cm="1">
        <f t="array" ref="E727">IFERROR(_xlfn.XLOOKUP(D727,Locales!$A:$A,Locales!$B:$B,""),"")</f>
        <v/>
      </c>
      <c r="F727" s="9" cm="1">
        <f t="array" ref="F727">IFERROR(_xlfn.XLOOKUP(B727,Personal!$A:$A,Personal!$F:$F,""),"")</f>
        <v>0</v>
      </c>
      <c r="I727" s="10" cm="1">
        <f t="array" ref="I727">IFERROR(INDEX(Precios!$D:$F,MATCH(N727, Precios!$G:$G, 0),CHOOSE(MATCH(H727, {"SML";"XL";"XXL"}, 0), 1, 2, 3)), 0)</f>
        <v>0</v>
      </c>
      <c r="K727" s="10">
        <f t="shared" si="28"/>
        <v>0</v>
      </c>
      <c r="N727" s="9" t="str">
        <f t="shared" si="29"/>
        <v/>
      </c>
      <c r="O727" s="9" t="str">
        <f>IF(N727="","",IF(COUNTIF(Precios!$G:$G,N727)=0,"⚠ No coincide con Precios","OK"))</f>
        <v/>
      </c>
    </row>
    <row r="728" spans="3:15" x14ac:dyDescent="0.2">
      <c r="C728" s="9" cm="1">
        <f t="array" ref="C728">IFERROR(_xlfn.XLOOKUP(B728,Personal!$A:$A,Personal!$D:$D,""),"")</f>
        <v>0</v>
      </c>
      <c r="D728" s="9" cm="1">
        <f t="array" ref="D728">IFERROR(_xlfn.XLOOKUP(B728,Personal!$A:$A,Personal!$C:$C,""),"")</f>
        <v>0</v>
      </c>
      <c r="E728" s="9" t="str" cm="1">
        <f t="array" ref="E728">IFERROR(_xlfn.XLOOKUP(D728,Locales!$A:$A,Locales!$B:$B,""),"")</f>
        <v/>
      </c>
      <c r="F728" s="9" cm="1">
        <f t="array" ref="F728">IFERROR(_xlfn.XLOOKUP(B728,Personal!$A:$A,Personal!$F:$F,""),"")</f>
        <v>0</v>
      </c>
      <c r="I728" s="10" cm="1">
        <f t="array" ref="I728">IFERROR(INDEX(Precios!$D:$F,MATCH(N728, Precios!$G:$G, 0),CHOOSE(MATCH(H728, {"SML";"XL";"XXL"}, 0), 1, 2, 3)), 0)</f>
        <v>0</v>
      </c>
      <c r="K728" s="10">
        <f t="shared" si="28"/>
        <v>0</v>
      </c>
      <c r="N728" s="9" t="str">
        <f t="shared" si="29"/>
        <v/>
      </c>
      <c r="O728" s="9" t="str">
        <f>IF(N728="","",IF(COUNTIF(Precios!$G:$G,N728)=0,"⚠ No coincide con Precios","OK"))</f>
        <v/>
      </c>
    </row>
    <row r="729" spans="3:15" x14ac:dyDescent="0.2">
      <c r="C729" s="9" cm="1">
        <f t="array" ref="C729">IFERROR(_xlfn.XLOOKUP(B729,Personal!$A:$A,Personal!$D:$D,""),"")</f>
        <v>0</v>
      </c>
      <c r="D729" s="9" cm="1">
        <f t="array" ref="D729">IFERROR(_xlfn.XLOOKUP(B729,Personal!$A:$A,Personal!$C:$C,""),"")</f>
        <v>0</v>
      </c>
      <c r="E729" s="9" t="str" cm="1">
        <f t="array" ref="E729">IFERROR(_xlfn.XLOOKUP(D729,Locales!$A:$A,Locales!$B:$B,""),"")</f>
        <v/>
      </c>
      <c r="F729" s="9" cm="1">
        <f t="array" ref="F729">IFERROR(_xlfn.XLOOKUP(B729,Personal!$A:$A,Personal!$F:$F,""),"")</f>
        <v>0</v>
      </c>
      <c r="I729" s="10" cm="1">
        <f t="array" ref="I729">IFERROR(INDEX(Precios!$D:$F,MATCH(N729, Precios!$G:$G, 0),CHOOSE(MATCH(H729, {"SML";"XL";"XXL"}, 0), 1, 2, 3)), 0)</f>
        <v>0</v>
      </c>
      <c r="K729" s="10">
        <f t="shared" si="28"/>
        <v>0</v>
      </c>
      <c r="N729" s="9" t="str">
        <f t="shared" si="29"/>
        <v/>
      </c>
      <c r="O729" s="9" t="str">
        <f>IF(N729="","",IF(COUNTIF(Precios!$G:$G,N729)=0,"⚠ No coincide con Precios","OK"))</f>
        <v/>
      </c>
    </row>
    <row r="730" spans="3:15" x14ac:dyDescent="0.2">
      <c r="C730" s="9" cm="1">
        <f t="array" ref="C730">IFERROR(_xlfn.XLOOKUP(B730,Personal!$A:$A,Personal!$D:$D,""),"")</f>
        <v>0</v>
      </c>
      <c r="D730" s="9" cm="1">
        <f t="array" ref="D730">IFERROR(_xlfn.XLOOKUP(B730,Personal!$A:$A,Personal!$C:$C,""),"")</f>
        <v>0</v>
      </c>
      <c r="E730" s="9" t="str" cm="1">
        <f t="array" ref="E730">IFERROR(_xlfn.XLOOKUP(D730,Locales!$A:$A,Locales!$B:$B,""),"")</f>
        <v/>
      </c>
      <c r="F730" s="9" cm="1">
        <f t="array" ref="F730">IFERROR(_xlfn.XLOOKUP(B730,Personal!$A:$A,Personal!$F:$F,""),"")</f>
        <v>0</v>
      </c>
      <c r="I730" s="10" cm="1">
        <f t="array" ref="I730">IFERROR(INDEX(Precios!$D:$F,MATCH(N730, Precios!$G:$G, 0),CHOOSE(MATCH(H730, {"SML";"XL";"XXL"}, 0), 1, 2, 3)), 0)</f>
        <v>0</v>
      </c>
      <c r="K730" s="10">
        <f t="shared" si="28"/>
        <v>0</v>
      </c>
      <c r="N730" s="9" t="str">
        <f t="shared" si="29"/>
        <v/>
      </c>
      <c r="O730" s="9" t="str">
        <f>IF(N730="","",IF(COUNTIF(Precios!$G:$G,N730)=0,"⚠ No coincide con Precios","OK"))</f>
        <v/>
      </c>
    </row>
    <row r="731" spans="3:15" x14ac:dyDescent="0.2">
      <c r="C731" s="9" cm="1">
        <f t="array" ref="C731">IFERROR(_xlfn.XLOOKUP(B731,Personal!$A:$A,Personal!$D:$D,""),"")</f>
        <v>0</v>
      </c>
      <c r="D731" s="9" cm="1">
        <f t="array" ref="D731">IFERROR(_xlfn.XLOOKUP(B731,Personal!$A:$A,Personal!$C:$C,""),"")</f>
        <v>0</v>
      </c>
      <c r="E731" s="9" t="str" cm="1">
        <f t="array" ref="E731">IFERROR(_xlfn.XLOOKUP(D731,Locales!$A:$A,Locales!$B:$B,""),"")</f>
        <v/>
      </c>
      <c r="F731" s="9" cm="1">
        <f t="array" ref="F731">IFERROR(_xlfn.XLOOKUP(B731,Personal!$A:$A,Personal!$F:$F,""),"")</f>
        <v>0</v>
      </c>
      <c r="I731" s="10" cm="1">
        <f t="array" ref="I731">IFERROR(INDEX(Precios!$D:$F,MATCH(N731, Precios!$G:$G, 0),CHOOSE(MATCH(H731, {"SML";"XL";"XXL"}, 0), 1, 2, 3)), 0)</f>
        <v>0</v>
      </c>
      <c r="K731" s="10">
        <f t="shared" si="28"/>
        <v>0</v>
      </c>
      <c r="N731" s="9" t="str">
        <f t="shared" si="29"/>
        <v/>
      </c>
      <c r="O731" s="9" t="str">
        <f>IF(N731="","",IF(COUNTIF(Precios!$G:$G,N731)=0,"⚠ No coincide con Precios","OK"))</f>
        <v/>
      </c>
    </row>
    <row r="732" spans="3:15" x14ac:dyDescent="0.2">
      <c r="C732" s="9" cm="1">
        <f t="array" ref="C732">IFERROR(_xlfn.XLOOKUP(B732,Personal!$A:$A,Personal!$D:$D,""),"")</f>
        <v>0</v>
      </c>
      <c r="D732" s="9" cm="1">
        <f t="array" ref="D732">IFERROR(_xlfn.XLOOKUP(B732,Personal!$A:$A,Personal!$C:$C,""),"")</f>
        <v>0</v>
      </c>
      <c r="E732" s="9" t="str" cm="1">
        <f t="array" ref="E732">IFERROR(_xlfn.XLOOKUP(D732,Locales!$A:$A,Locales!$B:$B,""),"")</f>
        <v/>
      </c>
      <c r="F732" s="9" cm="1">
        <f t="array" ref="F732">IFERROR(_xlfn.XLOOKUP(B732,Personal!$A:$A,Personal!$F:$F,""),"")</f>
        <v>0</v>
      </c>
      <c r="I732" s="10" cm="1">
        <f t="array" ref="I732">IFERROR(INDEX(Precios!$D:$F,MATCH(N732, Precios!$G:$G, 0),CHOOSE(MATCH(H732, {"SML";"XL";"XXL"}, 0), 1, 2, 3)), 0)</f>
        <v>0</v>
      </c>
      <c r="K732" s="10">
        <f t="shared" si="28"/>
        <v>0</v>
      </c>
      <c r="N732" s="9" t="str">
        <f t="shared" si="29"/>
        <v/>
      </c>
      <c r="O732" s="9" t="str">
        <f>IF(N732="","",IF(COUNTIF(Precios!$G:$G,N732)=0,"⚠ No coincide con Precios","OK"))</f>
        <v/>
      </c>
    </row>
    <row r="733" spans="3:15" x14ac:dyDescent="0.2">
      <c r="C733" s="9" cm="1">
        <f t="array" ref="C733">IFERROR(_xlfn.XLOOKUP(B733,Personal!$A:$A,Personal!$D:$D,""),"")</f>
        <v>0</v>
      </c>
      <c r="D733" s="9" cm="1">
        <f t="array" ref="D733">IFERROR(_xlfn.XLOOKUP(B733,Personal!$A:$A,Personal!$C:$C,""),"")</f>
        <v>0</v>
      </c>
      <c r="E733" s="9" t="str" cm="1">
        <f t="array" ref="E733">IFERROR(_xlfn.XLOOKUP(D733,Locales!$A:$A,Locales!$B:$B,""),"")</f>
        <v/>
      </c>
      <c r="F733" s="9" cm="1">
        <f t="array" ref="F733">IFERROR(_xlfn.XLOOKUP(B733,Personal!$A:$A,Personal!$F:$F,""),"")</f>
        <v>0</v>
      </c>
      <c r="I733" s="10" cm="1">
        <f t="array" ref="I733">IFERROR(INDEX(Precios!$D:$F,MATCH(N733, Precios!$G:$G, 0),CHOOSE(MATCH(H733, {"SML";"XL";"XXL"}, 0), 1, 2, 3)), 0)</f>
        <v>0</v>
      </c>
      <c r="K733" s="10">
        <f t="shared" si="28"/>
        <v>0</v>
      </c>
      <c r="N733" s="9" t="str">
        <f t="shared" si="29"/>
        <v/>
      </c>
      <c r="O733" s="9" t="str">
        <f>IF(N733="","",IF(COUNTIF(Precios!$G:$G,N733)=0,"⚠ No coincide con Precios","OK"))</f>
        <v/>
      </c>
    </row>
    <row r="734" spans="3:15" x14ac:dyDescent="0.2">
      <c r="C734" s="9" cm="1">
        <f t="array" ref="C734">IFERROR(_xlfn.XLOOKUP(B734,Personal!$A:$A,Personal!$D:$D,""),"")</f>
        <v>0</v>
      </c>
      <c r="D734" s="9" cm="1">
        <f t="array" ref="D734">IFERROR(_xlfn.XLOOKUP(B734,Personal!$A:$A,Personal!$C:$C,""),"")</f>
        <v>0</v>
      </c>
      <c r="E734" s="9" t="str" cm="1">
        <f t="array" ref="E734">IFERROR(_xlfn.XLOOKUP(D734,Locales!$A:$A,Locales!$B:$B,""),"")</f>
        <v/>
      </c>
      <c r="F734" s="9" cm="1">
        <f t="array" ref="F734">IFERROR(_xlfn.XLOOKUP(B734,Personal!$A:$A,Personal!$F:$F,""),"")</f>
        <v>0</v>
      </c>
      <c r="I734" s="10" cm="1">
        <f t="array" ref="I734">IFERROR(INDEX(Precios!$D:$F,MATCH(N734, Precios!$G:$G, 0),CHOOSE(MATCH(H734, {"SML";"XL";"XXL"}, 0), 1, 2, 3)), 0)</f>
        <v>0</v>
      </c>
      <c r="K734" s="10">
        <f t="shared" si="28"/>
        <v>0</v>
      </c>
      <c r="N734" s="9" t="str">
        <f t="shared" si="29"/>
        <v/>
      </c>
      <c r="O734" s="9" t="str">
        <f>IF(N734="","",IF(COUNTIF(Precios!$G:$G,N734)=0,"⚠ No coincide con Precios","OK"))</f>
        <v/>
      </c>
    </row>
    <row r="735" spans="3:15" x14ac:dyDescent="0.2">
      <c r="C735" s="9" cm="1">
        <f t="array" ref="C735">IFERROR(_xlfn.XLOOKUP(B735,Personal!$A:$A,Personal!$D:$D,""),"")</f>
        <v>0</v>
      </c>
      <c r="D735" s="9" cm="1">
        <f t="array" ref="D735">IFERROR(_xlfn.XLOOKUP(B735,Personal!$A:$A,Personal!$C:$C,""),"")</f>
        <v>0</v>
      </c>
      <c r="E735" s="9" t="str" cm="1">
        <f t="array" ref="E735">IFERROR(_xlfn.XLOOKUP(D735,Locales!$A:$A,Locales!$B:$B,""),"")</f>
        <v/>
      </c>
      <c r="F735" s="9" cm="1">
        <f t="array" ref="F735">IFERROR(_xlfn.XLOOKUP(B735,Personal!$A:$A,Personal!$F:$F,""),"")</f>
        <v>0</v>
      </c>
      <c r="I735" s="10" cm="1">
        <f t="array" ref="I735">IFERROR(INDEX(Precios!$D:$F,MATCH(N735, Precios!$G:$G, 0),CHOOSE(MATCH(H735, {"SML";"XL";"XXL"}, 0), 1, 2, 3)), 0)</f>
        <v>0</v>
      </c>
      <c r="K735" s="10">
        <f t="shared" si="28"/>
        <v>0</v>
      </c>
      <c r="N735" s="9" t="str">
        <f t="shared" si="29"/>
        <v/>
      </c>
      <c r="O735" s="9" t="str">
        <f>IF(N735="","",IF(COUNTIF(Precios!$G:$G,N735)=0,"⚠ No coincide con Precios","OK"))</f>
        <v/>
      </c>
    </row>
    <row r="736" spans="3:15" x14ac:dyDescent="0.2">
      <c r="C736" s="9" cm="1">
        <f t="array" ref="C736">IFERROR(_xlfn.XLOOKUP(B736,Personal!$A:$A,Personal!$D:$D,""),"")</f>
        <v>0</v>
      </c>
      <c r="D736" s="9" cm="1">
        <f t="array" ref="D736">IFERROR(_xlfn.XLOOKUP(B736,Personal!$A:$A,Personal!$C:$C,""),"")</f>
        <v>0</v>
      </c>
      <c r="E736" s="9" t="str" cm="1">
        <f t="array" ref="E736">IFERROR(_xlfn.XLOOKUP(D736,Locales!$A:$A,Locales!$B:$B,""),"")</f>
        <v/>
      </c>
      <c r="F736" s="9" cm="1">
        <f t="array" ref="F736">IFERROR(_xlfn.XLOOKUP(B736,Personal!$A:$A,Personal!$F:$F,""),"")</f>
        <v>0</v>
      </c>
      <c r="I736" s="10" cm="1">
        <f t="array" ref="I736">IFERROR(INDEX(Precios!$D:$F,MATCH(N736, Precios!$G:$G, 0),CHOOSE(MATCH(H736, {"SML";"XL";"XXL"}, 0), 1, 2, 3)), 0)</f>
        <v>0</v>
      </c>
      <c r="K736" s="10">
        <f t="shared" si="28"/>
        <v>0</v>
      </c>
      <c r="N736" s="9" t="str">
        <f t="shared" si="29"/>
        <v/>
      </c>
      <c r="O736" s="9" t="str">
        <f>IF(N736="","",IF(COUNTIF(Precios!$G:$G,N736)=0,"⚠ No coincide con Precios","OK"))</f>
        <v/>
      </c>
    </row>
    <row r="737" spans="3:15" x14ac:dyDescent="0.2">
      <c r="C737" s="9" cm="1">
        <f t="array" ref="C737">IFERROR(_xlfn.XLOOKUP(B737,Personal!$A:$A,Personal!$D:$D,""),"")</f>
        <v>0</v>
      </c>
      <c r="D737" s="9" cm="1">
        <f t="array" ref="D737">IFERROR(_xlfn.XLOOKUP(B737,Personal!$A:$A,Personal!$C:$C,""),"")</f>
        <v>0</v>
      </c>
      <c r="E737" s="9" t="str" cm="1">
        <f t="array" ref="E737">IFERROR(_xlfn.XLOOKUP(D737,Locales!$A:$A,Locales!$B:$B,""),"")</f>
        <v/>
      </c>
      <c r="F737" s="9" cm="1">
        <f t="array" ref="F737">IFERROR(_xlfn.XLOOKUP(B737,Personal!$A:$A,Personal!$F:$F,""),"")</f>
        <v>0</v>
      </c>
      <c r="I737" s="10" cm="1">
        <f t="array" ref="I737">IFERROR(INDEX(Precios!$D:$F,MATCH(N737, Precios!$G:$G, 0),CHOOSE(MATCH(H737, {"SML";"XL";"XXL"}, 0), 1, 2, 3)), 0)</f>
        <v>0</v>
      </c>
      <c r="K737" s="10">
        <f t="shared" si="28"/>
        <v>0</v>
      </c>
      <c r="N737" s="9" t="str">
        <f t="shared" si="29"/>
        <v/>
      </c>
      <c r="O737" s="9" t="str">
        <f>IF(N737="","",IF(COUNTIF(Precios!$G:$G,N737)=0,"⚠ No coincide con Precios","OK"))</f>
        <v/>
      </c>
    </row>
    <row r="738" spans="3:15" x14ac:dyDescent="0.2">
      <c r="C738" s="9" cm="1">
        <f t="array" ref="C738">IFERROR(_xlfn.XLOOKUP(B738,Personal!$A:$A,Personal!$D:$D,""),"")</f>
        <v>0</v>
      </c>
      <c r="D738" s="9" cm="1">
        <f t="array" ref="D738">IFERROR(_xlfn.XLOOKUP(B738,Personal!$A:$A,Personal!$C:$C,""),"")</f>
        <v>0</v>
      </c>
      <c r="E738" s="9" t="str" cm="1">
        <f t="array" ref="E738">IFERROR(_xlfn.XLOOKUP(D738,Locales!$A:$A,Locales!$B:$B,""),"")</f>
        <v/>
      </c>
      <c r="F738" s="9" cm="1">
        <f t="array" ref="F738">IFERROR(_xlfn.XLOOKUP(B738,Personal!$A:$A,Personal!$F:$F,""),"")</f>
        <v>0</v>
      </c>
      <c r="I738" s="10" cm="1">
        <f t="array" ref="I738">IFERROR(INDEX(Precios!$D:$F,MATCH(N738, Precios!$G:$G, 0),CHOOSE(MATCH(H738, {"SML";"XL";"XXL"}, 0), 1, 2, 3)), 0)</f>
        <v>0</v>
      </c>
      <c r="K738" s="10">
        <f t="shared" si="28"/>
        <v>0</v>
      </c>
      <c r="N738" s="9" t="str">
        <f t="shared" si="29"/>
        <v/>
      </c>
      <c r="O738" s="9" t="str">
        <f>IF(N738="","",IF(COUNTIF(Precios!$G:$G,N738)=0,"⚠ No coincide con Precios","OK"))</f>
        <v/>
      </c>
    </row>
    <row r="739" spans="3:15" x14ac:dyDescent="0.2">
      <c r="C739" s="9" cm="1">
        <f t="array" ref="C739">IFERROR(_xlfn.XLOOKUP(B739,Personal!$A:$A,Personal!$D:$D,""),"")</f>
        <v>0</v>
      </c>
      <c r="D739" s="9" cm="1">
        <f t="array" ref="D739">IFERROR(_xlfn.XLOOKUP(B739,Personal!$A:$A,Personal!$C:$C,""),"")</f>
        <v>0</v>
      </c>
      <c r="E739" s="9" t="str" cm="1">
        <f t="array" ref="E739">IFERROR(_xlfn.XLOOKUP(D739,Locales!$A:$A,Locales!$B:$B,""),"")</f>
        <v/>
      </c>
      <c r="F739" s="9" cm="1">
        <f t="array" ref="F739">IFERROR(_xlfn.XLOOKUP(B739,Personal!$A:$A,Personal!$F:$F,""),"")</f>
        <v>0</v>
      </c>
      <c r="I739" s="10" cm="1">
        <f t="array" ref="I739">IFERROR(INDEX(Precios!$D:$F,MATCH(N739, Precios!$G:$G, 0),CHOOSE(MATCH(H739, {"SML";"XL";"XXL"}, 0), 1, 2, 3)), 0)</f>
        <v>0</v>
      </c>
      <c r="K739" s="10">
        <f t="shared" si="28"/>
        <v>0</v>
      </c>
      <c r="N739" s="9" t="str">
        <f t="shared" si="29"/>
        <v/>
      </c>
      <c r="O739" s="9" t="str">
        <f>IF(N739="","",IF(COUNTIF(Precios!$G:$G,N739)=0,"⚠ No coincide con Precios","OK"))</f>
        <v/>
      </c>
    </row>
    <row r="740" spans="3:15" x14ac:dyDescent="0.2">
      <c r="C740" s="9" cm="1">
        <f t="array" ref="C740">IFERROR(_xlfn.XLOOKUP(B740,Personal!$A:$A,Personal!$D:$D,""),"")</f>
        <v>0</v>
      </c>
      <c r="D740" s="9" cm="1">
        <f t="array" ref="D740">IFERROR(_xlfn.XLOOKUP(B740,Personal!$A:$A,Personal!$C:$C,""),"")</f>
        <v>0</v>
      </c>
      <c r="E740" s="9" t="str" cm="1">
        <f t="array" ref="E740">IFERROR(_xlfn.XLOOKUP(D740,Locales!$A:$A,Locales!$B:$B,""),"")</f>
        <v/>
      </c>
      <c r="F740" s="9" cm="1">
        <f t="array" ref="F740">IFERROR(_xlfn.XLOOKUP(B740,Personal!$A:$A,Personal!$F:$F,""),"")</f>
        <v>0</v>
      </c>
      <c r="I740" s="10" cm="1">
        <f t="array" ref="I740">IFERROR(INDEX(Precios!$D:$F,MATCH(N740, Precios!$G:$G, 0),CHOOSE(MATCH(H740, {"SML";"XL";"XXL"}, 0), 1, 2, 3)), 0)</f>
        <v>0</v>
      </c>
      <c r="K740" s="10">
        <f t="shared" si="28"/>
        <v>0</v>
      </c>
      <c r="N740" s="9" t="str">
        <f t="shared" si="29"/>
        <v/>
      </c>
      <c r="O740" s="9" t="str">
        <f>IF(N740="","",IF(COUNTIF(Precios!$G:$G,N740)=0,"⚠ No coincide con Precios","OK"))</f>
        <v/>
      </c>
    </row>
    <row r="741" spans="3:15" x14ac:dyDescent="0.2">
      <c r="C741" s="9" cm="1">
        <f t="array" ref="C741">IFERROR(_xlfn.XLOOKUP(B741,Personal!$A:$A,Personal!$D:$D,""),"")</f>
        <v>0</v>
      </c>
      <c r="D741" s="9" cm="1">
        <f t="array" ref="D741">IFERROR(_xlfn.XLOOKUP(B741,Personal!$A:$A,Personal!$C:$C,""),"")</f>
        <v>0</v>
      </c>
      <c r="E741" s="9" t="str" cm="1">
        <f t="array" ref="E741">IFERROR(_xlfn.XLOOKUP(D741,Locales!$A:$A,Locales!$B:$B,""),"")</f>
        <v/>
      </c>
      <c r="F741" s="9" cm="1">
        <f t="array" ref="F741">IFERROR(_xlfn.XLOOKUP(B741,Personal!$A:$A,Personal!$F:$F,""),"")</f>
        <v>0</v>
      </c>
      <c r="I741" s="10" cm="1">
        <f t="array" ref="I741">IFERROR(INDEX(Precios!$D:$F,MATCH(N741, Precios!$G:$G, 0),CHOOSE(MATCH(H741, {"SML";"XL";"XXL"}, 0), 1, 2, 3)), 0)</f>
        <v>0</v>
      </c>
      <c r="K741" s="10">
        <f t="shared" si="28"/>
        <v>0</v>
      </c>
      <c r="N741" s="9" t="str">
        <f t="shared" si="29"/>
        <v/>
      </c>
      <c r="O741" s="9" t="str">
        <f>IF(N741="","",IF(COUNTIF(Precios!$G:$G,N741)=0,"⚠ No coincide con Precios","OK"))</f>
        <v/>
      </c>
    </row>
    <row r="742" spans="3:15" x14ac:dyDescent="0.2">
      <c r="C742" s="9" cm="1">
        <f t="array" ref="C742">IFERROR(_xlfn.XLOOKUP(B742,Personal!$A:$A,Personal!$D:$D,""),"")</f>
        <v>0</v>
      </c>
      <c r="D742" s="9" cm="1">
        <f t="array" ref="D742">IFERROR(_xlfn.XLOOKUP(B742,Personal!$A:$A,Personal!$C:$C,""),"")</f>
        <v>0</v>
      </c>
      <c r="E742" s="9" t="str" cm="1">
        <f t="array" ref="E742">IFERROR(_xlfn.XLOOKUP(D742,Locales!$A:$A,Locales!$B:$B,""),"")</f>
        <v/>
      </c>
      <c r="F742" s="9" cm="1">
        <f t="array" ref="F742">IFERROR(_xlfn.XLOOKUP(B742,Personal!$A:$A,Personal!$F:$F,""),"")</f>
        <v>0</v>
      </c>
      <c r="I742" s="10" cm="1">
        <f t="array" ref="I742">IFERROR(INDEX(Precios!$D:$F,MATCH(N742, Precios!$G:$G, 0),CHOOSE(MATCH(H742, {"SML";"XL";"XXL"}, 0), 1, 2, 3)), 0)</f>
        <v>0</v>
      </c>
      <c r="K742" s="10">
        <f t="shared" si="28"/>
        <v>0</v>
      </c>
      <c r="N742" s="9" t="str">
        <f t="shared" si="29"/>
        <v/>
      </c>
      <c r="O742" s="9" t="str">
        <f>IF(N742="","",IF(COUNTIF(Precios!$G:$G,N742)=0,"⚠ No coincide con Precios","OK"))</f>
        <v/>
      </c>
    </row>
    <row r="743" spans="3:15" x14ac:dyDescent="0.2">
      <c r="C743" s="9" cm="1">
        <f t="array" ref="C743">IFERROR(_xlfn.XLOOKUP(B743,Personal!$A:$A,Personal!$D:$D,""),"")</f>
        <v>0</v>
      </c>
      <c r="D743" s="9" cm="1">
        <f t="array" ref="D743">IFERROR(_xlfn.XLOOKUP(B743,Personal!$A:$A,Personal!$C:$C,""),"")</f>
        <v>0</v>
      </c>
      <c r="E743" s="9" t="str" cm="1">
        <f t="array" ref="E743">IFERROR(_xlfn.XLOOKUP(D743,Locales!$A:$A,Locales!$B:$B,""),"")</f>
        <v/>
      </c>
      <c r="F743" s="9" cm="1">
        <f t="array" ref="F743">IFERROR(_xlfn.XLOOKUP(B743,Personal!$A:$A,Personal!$F:$F,""),"")</f>
        <v>0</v>
      </c>
      <c r="I743" s="10" cm="1">
        <f t="array" ref="I743">IFERROR(INDEX(Precios!$D:$F,MATCH(N743, Precios!$G:$G, 0),CHOOSE(MATCH(H743, {"SML";"XL";"XXL"}, 0), 1, 2, 3)), 0)</f>
        <v>0</v>
      </c>
      <c r="K743" s="10">
        <f t="shared" si="28"/>
        <v>0</v>
      </c>
      <c r="N743" s="9" t="str">
        <f t="shared" si="29"/>
        <v/>
      </c>
      <c r="O743" s="9" t="str">
        <f>IF(N743="","",IF(COUNTIF(Precios!$G:$G,N743)=0,"⚠ No coincide con Precios","OK"))</f>
        <v/>
      </c>
    </row>
    <row r="744" spans="3:15" x14ac:dyDescent="0.2">
      <c r="C744" s="9" cm="1">
        <f t="array" ref="C744">IFERROR(_xlfn.XLOOKUP(B744,Personal!$A:$A,Personal!$D:$D,""),"")</f>
        <v>0</v>
      </c>
      <c r="D744" s="9" cm="1">
        <f t="array" ref="D744">IFERROR(_xlfn.XLOOKUP(B744,Personal!$A:$A,Personal!$C:$C,""),"")</f>
        <v>0</v>
      </c>
      <c r="E744" s="9" t="str" cm="1">
        <f t="array" ref="E744">IFERROR(_xlfn.XLOOKUP(D744,Locales!$A:$A,Locales!$B:$B,""),"")</f>
        <v/>
      </c>
      <c r="F744" s="9" cm="1">
        <f t="array" ref="F744">IFERROR(_xlfn.XLOOKUP(B744,Personal!$A:$A,Personal!$F:$F,""),"")</f>
        <v>0</v>
      </c>
      <c r="I744" s="10" cm="1">
        <f t="array" ref="I744">IFERROR(INDEX(Precios!$D:$F,MATCH(N744, Precios!$G:$G, 0),CHOOSE(MATCH(H744, {"SML";"XL";"XXL"}, 0), 1, 2, 3)), 0)</f>
        <v>0</v>
      </c>
      <c r="K744" s="10">
        <f t="shared" si="28"/>
        <v>0</v>
      </c>
      <c r="N744" s="9" t="str">
        <f t="shared" si="29"/>
        <v/>
      </c>
      <c r="O744" s="9" t="str">
        <f>IF(N744="","",IF(COUNTIF(Precios!$G:$G,N744)=0,"⚠ No coincide con Precios","OK"))</f>
        <v/>
      </c>
    </row>
    <row r="745" spans="3:15" x14ac:dyDescent="0.2">
      <c r="C745" s="9" cm="1">
        <f t="array" ref="C745">IFERROR(_xlfn.XLOOKUP(B745,Personal!$A:$A,Personal!$D:$D,""),"")</f>
        <v>0</v>
      </c>
      <c r="D745" s="9" cm="1">
        <f t="array" ref="D745">IFERROR(_xlfn.XLOOKUP(B745,Personal!$A:$A,Personal!$C:$C,""),"")</f>
        <v>0</v>
      </c>
      <c r="E745" s="9" t="str" cm="1">
        <f t="array" ref="E745">IFERROR(_xlfn.XLOOKUP(D745,Locales!$A:$A,Locales!$B:$B,""),"")</f>
        <v/>
      </c>
      <c r="F745" s="9" cm="1">
        <f t="array" ref="F745">IFERROR(_xlfn.XLOOKUP(B745,Personal!$A:$A,Personal!$F:$F,""),"")</f>
        <v>0</v>
      </c>
      <c r="I745" s="10" cm="1">
        <f t="array" ref="I745">IFERROR(INDEX(Precios!$D:$F,MATCH(N745, Precios!$G:$G, 0),CHOOSE(MATCH(H745, {"SML";"XL";"XXL"}, 0), 1, 2, 3)), 0)</f>
        <v>0</v>
      </c>
      <c r="K745" s="10">
        <f t="shared" si="28"/>
        <v>0</v>
      </c>
      <c r="N745" s="9" t="str">
        <f t="shared" si="29"/>
        <v/>
      </c>
      <c r="O745" s="9" t="str">
        <f>IF(N745="","",IF(COUNTIF(Precios!$G:$G,N745)=0,"⚠ No coincide con Precios","OK"))</f>
        <v/>
      </c>
    </row>
    <row r="746" spans="3:15" x14ac:dyDescent="0.2">
      <c r="C746" s="9" cm="1">
        <f t="array" ref="C746">IFERROR(_xlfn.XLOOKUP(B746,Personal!$A:$A,Personal!$D:$D,""),"")</f>
        <v>0</v>
      </c>
      <c r="D746" s="9" cm="1">
        <f t="array" ref="D746">IFERROR(_xlfn.XLOOKUP(B746,Personal!$A:$A,Personal!$C:$C,""),"")</f>
        <v>0</v>
      </c>
      <c r="E746" s="9" t="str" cm="1">
        <f t="array" ref="E746">IFERROR(_xlfn.XLOOKUP(D746,Locales!$A:$A,Locales!$B:$B,""),"")</f>
        <v/>
      </c>
      <c r="F746" s="9" cm="1">
        <f t="array" ref="F746">IFERROR(_xlfn.XLOOKUP(B746,Personal!$A:$A,Personal!$F:$F,""),"")</f>
        <v>0</v>
      </c>
      <c r="I746" s="10" cm="1">
        <f t="array" ref="I746">IFERROR(INDEX(Precios!$D:$F,MATCH(N746, Precios!$G:$G, 0),CHOOSE(MATCH(H746, {"SML";"XL";"XXL"}, 0), 1, 2, 3)), 0)</f>
        <v>0</v>
      </c>
      <c r="K746" s="10">
        <f t="shared" si="28"/>
        <v>0</v>
      </c>
      <c r="N746" s="9" t="str">
        <f t="shared" si="29"/>
        <v/>
      </c>
      <c r="O746" s="9" t="str">
        <f>IF(N746="","",IF(COUNTIF(Precios!$G:$G,N746)=0,"⚠ No coincide con Precios","OK"))</f>
        <v/>
      </c>
    </row>
    <row r="747" spans="3:15" x14ac:dyDescent="0.2">
      <c r="C747" s="9" cm="1">
        <f t="array" ref="C747">IFERROR(_xlfn.XLOOKUP(B747,Personal!$A:$A,Personal!$D:$D,""),"")</f>
        <v>0</v>
      </c>
      <c r="D747" s="9" cm="1">
        <f t="array" ref="D747">IFERROR(_xlfn.XLOOKUP(B747,Personal!$A:$A,Personal!$C:$C,""),"")</f>
        <v>0</v>
      </c>
      <c r="E747" s="9" t="str" cm="1">
        <f t="array" ref="E747">IFERROR(_xlfn.XLOOKUP(D747,Locales!$A:$A,Locales!$B:$B,""),"")</f>
        <v/>
      </c>
      <c r="F747" s="9" cm="1">
        <f t="array" ref="F747">IFERROR(_xlfn.XLOOKUP(B747,Personal!$A:$A,Personal!$F:$F,""),"")</f>
        <v>0</v>
      </c>
      <c r="I747" s="10" cm="1">
        <f t="array" ref="I747">IFERROR(INDEX(Precios!$D:$F,MATCH(N747, Precios!$G:$G, 0),CHOOSE(MATCH(H747, {"SML";"XL";"XXL"}, 0), 1, 2, 3)), 0)</f>
        <v>0</v>
      </c>
      <c r="K747" s="10">
        <f t="shared" si="28"/>
        <v>0</v>
      </c>
      <c r="N747" s="9" t="str">
        <f t="shared" si="29"/>
        <v/>
      </c>
      <c r="O747" s="9" t="str">
        <f>IF(N747="","",IF(COUNTIF(Precios!$G:$G,N747)=0,"⚠ No coincide con Precios","OK"))</f>
        <v/>
      </c>
    </row>
    <row r="748" spans="3:15" x14ac:dyDescent="0.2">
      <c r="C748" s="9" cm="1">
        <f t="array" ref="C748">IFERROR(_xlfn.XLOOKUP(B748,Personal!$A:$A,Personal!$D:$D,""),"")</f>
        <v>0</v>
      </c>
      <c r="D748" s="9" cm="1">
        <f t="array" ref="D748">IFERROR(_xlfn.XLOOKUP(B748,Personal!$A:$A,Personal!$C:$C,""),"")</f>
        <v>0</v>
      </c>
      <c r="E748" s="9" t="str" cm="1">
        <f t="array" ref="E748">IFERROR(_xlfn.XLOOKUP(D748,Locales!$A:$A,Locales!$B:$B,""),"")</f>
        <v/>
      </c>
      <c r="F748" s="9" cm="1">
        <f t="array" ref="F748">IFERROR(_xlfn.XLOOKUP(B748,Personal!$A:$A,Personal!$F:$F,""),"")</f>
        <v>0</v>
      </c>
      <c r="I748" s="10" cm="1">
        <f t="array" ref="I748">IFERROR(INDEX(Precios!$D:$F,MATCH(N748, Precios!$G:$G, 0),CHOOSE(MATCH(H748, {"SML";"XL";"XXL"}, 0), 1, 2, 3)), 0)</f>
        <v>0</v>
      </c>
      <c r="K748" s="10">
        <f t="shared" si="28"/>
        <v>0</v>
      </c>
      <c r="N748" s="9" t="str">
        <f t="shared" si="29"/>
        <v/>
      </c>
      <c r="O748" s="9" t="str">
        <f>IF(N748="","",IF(COUNTIF(Precios!$G:$G,N748)=0,"⚠ No coincide con Precios","OK"))</f>
        <v/>
      </c>
    </row>
    <row r="749" spans="3:15" x14ac:dyDescent="0.2">
      <c r="C749" s="9" cm="1">
        <f t="array" ref="C749">IFERROR(_xlfn.XLOOKUP(B749,Personal!$A:$A,Personal!$D:$D,""),"")</f>
        <v>0</v>
      </c>
      <c r="D749" s="9" cm="1">
        <f t="array" ref="D749">IFERROR(_xlfn.XLOOKUP(B749,Personal!$A:$A,Personal!$C:$C,""),"")</f>
        <v>0</v>
      </c>
      <c r="E749" s="9" t="str" cm="1">
        <f t="array" ref="E749">IFERROR(_xlfn.XLOOKUP(D749,Locales!$A:$A,Locales!$B:$B,""),"")</f>
        <v/>
      </c>
      <c r="F749" s="9" cm="1">
        <f t="array" ref="F749">IFERROR(_xlfn.XLOOKUP(B749,Personal!$A:$A,Personal!$F:$F,""),"")</f>
        <v>0</v>
      </c>
      <c r="I749" s="10" cm="1">
        <f t="array" ref="I749">IFERROR(INDEX(Precios!$D:$F,MATCH(N749, Precios!$G:$G, 0),CHOOSE(MATCH(H749, {"SML";"XL";"XXL"}, 0), 1, 2, 3)), 0)</f>
        <v>0</v>
      </c>
      <c r="K749" s="10">
        <f t="shared" si="28"/>
        <v>0</v>
      </c>
      <c r="N749" s="9" t="str">
        <f t="shared" si="29"/>
        <v/>
      </c>
      <c r="O749" s="9" t="str">
        <f>IF(N749="","",IF(COUNTIF(Precios!$G:$G,N749)=0,"⚠ No coincide con Precios","OK"))</f>
        <v/>
      </c>
    </row>
    <row r="750" spans="3:15" x14ac:dyDescent="0.2">
      <c r="C750" s="9" cm="1">
        <f t="array" ref="C750">IFERROR(_xlfn.XLOOKUP(B750,Personal!$A:$A,Personal!$D:$D,""),"")</f>
        <v>0</v>
      </c>
      <c r="D750" s="9" cm="1">
        <f t="array" ref="D750">IFERROR(_xlfn.XLOOKUP(B750,Personal!$A:$A,Personal!$C:$C,""),"")</f>
        <v>0</v>
      </c>
      <c r="E750" s="9" t="str" cm="1">
        <f t="array" ref="E750">IFERROR(_xlfn.XLOOKUP(D750,Locales!$A:$A,Locales!$B:$B,""),"")</f>
        <v/>
      </c>
      <c r="F750" s="9" cm="1">
        <f t="array" ref="F750">IFERROR(_xlfn.XLOOKUP(B750,Personal!$A:$A,Personal!$F:$F,""),"")</f>
        <v>0</v>
      </c>
      <c r="I750" s="10" cm="1">
        <f t="array" ref="I750">IFERROR(INDEX(Precios!$D:$F,MATCH(N750, Precios!$G:$G, 0),CHOOSE(MATCH(H750, {"SML";"XL";"XXL"}, 0), 1, 2, 3)), 0)</f>
        <v>0</v>
      </c>
      <c r="K750" s="10">
        <f t="shared" si="28"/>
        <v>0</v>
      </c>
      <c r="N750" s="9" t="str">
        <f t="shared" si="29"/>
        <v/>
      </c>
      <c r="O750" s="9" t="str">
        <f>IF(N750="","",IF(COUNTIF(Precios!$G:$G,N750)=0,"⚠ No coincide con Precios","OK"))</f>
        <v/>
      </c>
    </row>
    <row r="751" spans="3:15" x14ac:dyDescent="0.2">
      <c r="C751" s="9" cm="1">
        <f t="array" ref="C751">IFERROR(_xlfn.XLOOKUP(B751,Personal!$A:$A,Personal!$D:$D,""),"")</f>
        <v>0</v>
      </c>
      <c r="D751" s="9" cm="1">
        <f t="array" ref="D751">IFERROR(_xlfn.XLOOKUP(B751,Personal!$A:$A,Personal!$C:$C,""),"")</f>
        <v>0</v>
      </c>
      <c r="E751" s="9" t="str" cm="1">
        <f t="array" ref="E751">IFERROR(_xlfn.XLOOKUP(D751,Locales!$A:$A,Locales!$B:$B,""),"")</f>
        <v/>
      </c>
      <c r="F751" s="9" cm="1">
        <f t="array" ref="F751">IFERROR(_xlfn.XLOOKUP(B751,Personal!$A:$A,Personal!$F:$F,""),"")</f>
        <v>0</v>
      </c>
      <c r="I751" s="10" cm="1">
        <f t="array" ref="I751">IFERROR(INDEX(Precios!$D:$F,MATCH(N751, Precios!$G:$G, 0),CHOOSE(MATCH(H751, {"SML";"XL";"XXL"}, 0), 1, 2, 3)), 0)</f>
        <v>0</v>
      </c>
      <c r="K751" s="10">
        <f t="shared" si="28"/>
        <v>0</v>
      </c>
      <c r="N751" s="9" t="str">
        <f t="shared" si="29"/>
        <v/>
      </c>
      <c r="O751" s="9" t="str">
        <f>IF(N751="","",IF(COUNTIF(Precios!$G:$G,N751)=0,"⚠ No coincide con Precios","OK"))</f>
        <v/>
      </c>
    </row>
    <row r="752" spans="3:15" x14ac:dyDescent="0.2">
      <c r="C752" s="9" cm="1">
        <f t="array" ref="C752">IFERROR(_xlfn.XLOOKUP(B752,Personal!$A:$A,Personal!$D:$D,""),"")</f>
        <v>0</v>
      </c>
      <c r="D752" s="9" cm="1">
        <f t="array" ref="D752">IFERROR(_xlfn.XLOOKUP(B752,Personal!$A:$A,Personal!$C:$C,""),"")</f>
        <v>0</v>
      </c>
      <c r="E752" s="9" t="str" cm="1">
        <f t="array" ref="E752">IFERROR(_xlfn.XLOOKUP(D752,Locales!$A:$A,Locales!$B:$B,""),"")</f>
        <v/>
      </c>
      <c r="F752" s="9" cm="1">
        <f t="array" ref="F752">IFERROR(_xlfn.XLOOKUP(B752,Personal!$A:$A,Personal!$F:$F,""),"")</f>
        <v>0</v>
      </c>
      <c r="I752" s="10" cm="1">
        <f t="array" ref="I752">IFERROR(INDEX(Precios!$D:$F,MATCH(N752, Precios!$G:$G, 0),CHOOSE(MATCH(H752, {"SML";"XL";"XXL"}, 0), 1, 2, 3)), 0)</f>
        <v>0</v>
      </c>
      <c r="K752" s="10">
        <f t="shared" si="28"/>
        <v>0</v>
      </c>
      <c r="N752" s="9" t="str">
        <f t="shared" si="29"/>
        <v/>
      </c>
      <c r="O752" s="9" t="str">
        <f>IF(N752="","",IF(COUNTIF(Precios!$G:$G,N752)=0,"⚠ No coincide con Precios","OK"))</f>
        <v/>
      </c>
    </row>
    <row r="753" spans="3:15" x14ac:dyDescent="0.2">
      <c r="C753" s="9" cm="1">
        <f t="array" ref="C753">IFERROR(_xlfn.XLOOKUP(B753,Personal!$A:$A,Personal!$D:$D,""),"")</f>
        <v>0</v>
      </c>
      <c r="D753" s="9" cm="1">
        <f t="array" ref="D753">IFERROR(_xlfn.XLOOKUP(B753,Personal!$A:$A,Personal!$C:$C,""),"")</f>
        <v>0</v>
      </c>
      <c r="E753" s="9" t="str" cm="1">
        <f t="array" ref="E753">IFERROR(_xlfn.XLOOKUP(D753,Locales!$A:$A,Locales!$B:$B,""),"")</f>
        <v/>
      </c>
      <c r="F753" s="9" cm="1">
        <f t="array" ref="F753">IFERROR(_xlfn.XLOOKUP(B753,Personal!$A:$A,Personal!$F:$F,""),"")</f>
        <v>0</v>
      </c>
      <c r="I753" s="10" cm="1">
        <f t="array" ref="I753">IFERROR(INDEX(Precios!$D:$F,MATCH(N753, Precios!$G:$G, 0),CHOOSE(MATCH(H753, {"SML";"XL";"XXL"}, 0), 1, 2, 3)), 0)</f>
        <v>0</v>
      </c>
      <c r="K753" s="10">
        <f t="shared" si="28"/>
        <v>0</v>
      </c>
      <c r="N753" s="9" t="str">
        <f t="shared" si="29"/>
        <v/>
      </c>
      <c r="O753" s="9" t="str">
        <f>IF(N753="","",IF(COUNTIF(Precios!$G:$G,N753)=0,"⚠ No coincide con Precios","OK"))</f>
        <v/>
      </c>
    </row>
    <row r="754" spans="3:15" x14ac:dyDescent="0.2">
      <c r="C754" s="9" cm="1">
        <f t="array" ref="C754">IFERROR(_xlfn.XLOOKUP(B754,Personal!$A:$A,Personal!$D:$D,""),"")</f>
        <v>0</v>
      </c>
      <c r="D754" s="9" cm="1">
        <f t="array" ref="D754">IFERROR(_xlfn.XLOOKUP(B754,Personal!$A:$A,Personal!$C:$C,""),"")</f>
        <v>0</v>
      </c>
      <c r="E754" s="9" t="str" cm="1">
        <f t="array" ref="E754">IFERROR(_xlfn.XLOOKUP(D754,Locales!$A:$A,Locales!$B:$B,""),"")</f>
        <v/>
      </c>
      <c r="F754" s="9" cm="1">
        <f t="array" ref="F754">IFERROR(_xlfn.XLOOKUP(B754,Personal!$A:$A,Personal!$F:$F,""),"")</f>
        <v>0</v>
      </c>
      <c r="I754" s="10" cm="1">
        <f t="array" ref="I754">IFERROR(INDEX(Precios!$D:$F,MATCH(N754, Precios!$G:$G, 0),CHOOSE(MATCH(H754, {"SML";"XL";"XXL"}, 0), 1, 2, 3)), 0)</f>
        <v>0</v>
      </c>
      <c r="K754" s="10">
        <f t="shared" si="28"/>
        <v>0</v>
      </c>
      <c r="N754" s="9" t="str">
        <f t="shared" si="29"/>
        <v/>
      </c>
      <c r="O754" s="9" t="str">
        <f>IF(N754="","",IF(COUNTIF(Precios!$G:$G,N754)=0,"⚠ No coincide con Precios","OK"))</f>
        <v/>
      </c>
    </row>
    <row r="755" spans="3:15" x14ac:dyDescent="0.2">
      <c r="C755" s="9" cm="1">
        <f t="array" ref="C755">IFERROR(_xlfn.XLOOKUP(B755,Personal!$A:$A,Personal!$D:$D,""),"")</f>
        <v>0</v>
      </c>
      <c r="D755" s="9" cm="1">
        <f t="array" ref="D755">IFERROR(_xlfn.XLOOKUP(B755,Personal!$A:$A,Personal!$C:$C,""),"")</f>
        <v>0</v>
      </c>
      <c r="E755" s="9" t="str" cm="1">
        <f t="array" ref="E755">IFERROR(_xlfn.XLOOKUP(D755,Locales!$A:$A,Locales!$B:$B,""),"")</f>
        <v/>
      </c>
      <c r="F755" s="9" cm="1">
        <f t="array" ref="F755">IFERROR(_xlfn.XLOOKUP(B755,Personal!$A:$A,Personal!$F:$F,""),"")</f>
        <v>0</v>
      </c>
      <c r="I755" s="10" cm="1">
        <f t="array" ref="I755">IFERROR(INDEX(Precios!$D:$F,MATCH(N755, Precios!$G:$G, 0),CHOOSE(MATCH(H755, {"SML";"XL";"XXL"}, 0), 1, 2, 3)), 0)</f>
        <v>0</v>
      </c>
      <c r="K755" s="10">
        <f t="shared" si="28"/>
        <v>0</v>
      </c>
      <c r="N755" s="9" t="str">
        <f t="shared" si="29"/>
        <v/>
      </c>
      <c r="O755" s="9" t="str">
        <f>IF(N755="","",IF(COUNTIF(Precios!$G:$G,N755)=0,"⚠ No coincide con Precios","OK"))</f>
        <v/>
      </c>
    </row>
    <row r="756" spans="3:15" x14ac:dyDescent="0.2">
      <c r="C756" s="9" cm="1">
        <f t="array" ref="C756">IFERROR(_xlfn.XLOOKUP(B756,Personal!$A:$A,Personal!$D:$D,""),"")</f>
        <v>0</v>
      </c>
      <c r="D756" s="9" cm="1">
        <f t="array" ref="D756">IFERROR(_xlfn.XLOOKUP(B756,Personal!$A:$A,Personal!$C:$C,""),"")</f>
        <v>0</v>
      </c>
      <c r="E756" s="9" t="str" cm="1">
        <f t="array" ref="E756">IFERROR(_xlfn.XLOOKUP(D756,Locales!$A:$A,Locales!$B:$B,""),"")</f>
        <v/>
      </c>
      <c r="F756" s="9" cm="1">
        <f t="array" ref="F756">IFERROR(_xlfn.XLOOKUP(B756,Personal!$A:$A,Personal!$F:$F,""),"")</f>
        <v>0</v>
      </c>
      <c r="I756" s="10" cm="1">
        <f t="array" ref="I756">IFERROR(INDEX(Precios!$D:$F,MATCH(N756, Precios!$G:$G, 0),CHOOSE(MATCH(H756, {"SML";"XL";"XXL"}, 0), 1, 2, 3)), 0)</f>
        <v>0</v>
      </c>
      <c r="K756" s="10">
        <f t="shared" si="28"/>
        <v>0</v>
      </c>
      <c r="N756" s="9" t="str">
        <f t="shared" si="29"/>
        <v/>
      </c>
      <c r="O756" s="9" t="str">
        <f>IF(N756="","",IF(COUNTIF(Precios!$G:$G,N756)=0,"⚠ No coincide con Precios","OK"))</f>
        <v/>
      </c>
    </row>
    <row r="757" spans="3:15" x14ac:dyDescent="0.2">
      <c r="C757" s="9" cm="1">
        <f t="array" ref="C757">IFERROR(_xlfn.XLOOKUP(B757,Personal!$A:$A,Personal!$D:$D,""),"")</f>
        <v>0</v>
      </c>
      <c r="D757" s="9" cm="1">
        <f t="array" ref="D757">IFERROR(_xlfn.XLOOKUP(B757,Personal!$A:$A,Personal!$C:$C,""),"")</f>
        <v>0</v>
      </c>
      <c r="E757" s="9" t="str" cm="1">
        <f t="array" ref="E757">IFERROR(_xlfn.XLOOKUP(D757,Locales!$A:$A,Locales!$B:$B,""),"")</f>
        <v/>
      </c>
      <c r="F757" s="9" cm="1">
        <f t="array" ref="F757">IFERROR(_xlfn.XLOOKUP(B757,Personal!$A:$A,Personal!$F:$F,""),"")</f>
        <v>0</v>
      </c>
      <c r="I757" s="10" cm="1">
        <f t="array" ref="I757">IFERROR(INDEX(Precios!$D:$F,MATCH(N757, Precios!$G:$G, 0),CHOOSE(MATCH(H757, {"SML";"XL";"XXL"}, 0), 1, 2, 3)), 0)</f>
        <v>0</v>
      </c>
      <c r="K757" s="10">
        <f t="shared" si="28"/>
        <v>0</v>
      </c>
      <c r="N757" s="9" t="str">
        <f t="shared" si="29"/>
        <v/>
      </c>
      <c r="O757" s="9" t="str">
        <f>IF(N757="","",IF(COUNTIF(Precios!$G:$G,N757)=0,"⚠ No coincide con Precios","OK"))</f>
        <v/>
      </c>
    </row>
    <row r="758" spans="3:15" x14ac:dyDescent="0.2">
      <c r="C758" s="9" cm="1">
        <f t="array" ref="C758">IFERROR(_xlfn.XLOOKUP(B758,Personal!$A:$A,Personal!$D:$D,""),"")</f>
        <v>0</v>
      </c>
      <c r="D758" s="9" cm="1">
        <f t="array" ref="D758">IFERROR(_xlfn.XLOOKUP(B758,Personal!$A:$A,Personal!$C:$C,""),"")</f>
        <v>0</v>
      </c>
      <c r="E758" s="9" t="str" cm="1">
        <f t="array" ref="E758">IFERROR(_xlfn.XLOOKUP(D758,Locales!$A:$A,Locales!$B:$B,""),"")</f>
        <v/>
      </c>
      <c r="F758" s="9" cm="1">
        <f t="array" ref="F758">IFERROR(_xlfn.XLOOKUP(B758,Personal!$A:$A,Personal!$F:$F,""),"")</f>
        <v>0</v>
      </c>
      <c r="I758" s="10" cm="1">
        <f t="array" ref="I758">IFERROR(INDEX(Precios!$D:$F,MATCH(N758, Precios!$G:$G, 0),CHOOSE(MATCH(H758, {"SML";"XL";"XXL"}, 0), 1, 2, 3)), 0)</f>
        <v>0</v>
      </c>
      <c r="K758" s="10">
        <f t="shared" si="28"/>
        <v>0</v>
      </c>
      <c r="N758" s="9" t="str">
        <f t="shared" si="29"/>
        <v/>
      </c>
      <c r="O758" s="9" t="str">
        <f>IF(N758="","",IF(COUNTIF(Precios!$G:$G,N758)=0,"⚠ No coincide con Precios","OK"))</f>
        <v/>
      </c>
    </row>
    <row r="759" spans="3:15" x14ac:dyDescent="0.2">
      <c r="C759" s="9" cm="1">
        <f t="array" ref="C759">IFERROR(_xlfn.XLOOKUP(B759,Personal!$A:$A,Personal!$D:$D,""),"")</f>
        <v>0</v>
      </c>
      <c r="D759" s="9" cm="1">
        <f t="array" ref="D759">IFERROR(_xlfn.XLOOKUP(B759,Personal!$A:$A,Personal!$C:$C,""),"")</f>
        <v>0</v>
      </c>
      <c r="E759" s="9" t="str" cm="1">
        <f t="array" ref="E759">IFERROR(_xlfn.XLOOKUP(D759,Locales!$A:$A,Locales!$B:$B,""),"")</f>
        <v/>
      </c>
      <c r="F759" s="9" cm="1">
        <f t="array" ref="F759">IFERROR(_xlfn.XLOOKUP(B759,Personal!$A:$A,Personal!$F:$F,""),"")</f>
        <v>0</v>
      </c>
      <c r="I759" s="10" cm="1">
        <f t="array" ref="I759">IFERROR(INDEX(Precios!$D:$F,MATCH(N759, Precios!$G:$G, 0),CHOOSE(MATCH(H759, {"SML";"XL";"XXL"}, 0), 1, 2, 3)), 0)</f>
        <v>0</v>
      </c>
      <c r="K759" s="10">
        <f t="shared" si="28"/>
        <v>0</v>
      </c>
      <c r="N759" s="9" t="str">
        <f t="shared" si="29"/>
        <v/>
      </c>
      <c r="O759" s="9" t="str">
        <f>IF(N759="","",IF(COUNTIF(Precios!$G:$G,N759)=0,"⚠ No coincide con Precios","OK"))</f>
        <v/>
      </c>
    </row>
    <row r="760" spans="3:15" x14ac:dyDescent="0.2">
      <c r="C760" s="9" cm="1">
        <f t="array" ref="C760">IFERROR(_xlfn.XLOOKUP(B760,Personal!$A:$A,Personal!$D:$D,""),"")</f>
        <v>0</v>
      </c>
      <c r="D760" s="9" cm="1">
        <f t="array" ref="D760">IFERROR(_xlfn.XLOOKUP(B760,Personal!$A:$A,Personal!$C:$C,""),"")</f>
        <v>0</v>
      </c>
      <c r="E760" s="9" t="str" cm="1">
        <f t="array" ref="E760">IFERROR(_xlfn.XLOOKUP(D760,Locales!$A:$A,Locales!$B:$B,""),"")</f>
        <v/>
      </c>
      <c r="F760" s="9" cm="1">
        <f t="array" ref="F760">IFERROR(_xlfn.XLOOKUP(B760,Personal!$A:$A,Personal!$F:$F,""),"")</f>
        <v>0</v>
      </c>
      <c r="I760" s="10" cm="1">
        <f t="array" ref="I760">IFERROR(INDEX(Precios!$D:$F,MATCH(N760, Precios!$G:$G, 0),CHOOSE(MATCH(H760, {"SML";"XL";"XXL"}, 0), 1, 2, 3)), 0)</f>
        <v>0</v>
      </c>
      <c r="K760" s="10">
        <f t="shared" si="28"/>
        <v>0</v>
      </c>
      <c r="N760" s="9" t="str">
        <f t="shared" si="29"/>
        <v/>
      </c>
      <c r="O760" s="9" t="str">
        <f>IF(N760="","",IF(COUNTIF(Precios!$G:$G,N760)=0,"⚠ No coincide con Precios","OK"))</f>
        <v/>
      </c>
    </row>
    <row r="761" spans="3:15" x14ac:dyDescent="0.2">
      <c r="C761" s="9" cm="1">
        <f t="array" ref="C761">IFERROR(_xlfn.XLOOKUP(B761,Personal!$A:$A,Personal!$D:$D,""),"")</f>
        <v>0</v>
      </c>
      <c r="D761" s="9" cm="1">
        <f t="array" ref="D761">IFERROR(_xlfn.XLOOKUP(B761,Personal!$A:$A,Personal!$C:$C,""),"")</f>
        <v>0</v>
      </c>
      <c r="E761" s="9" t="str" cm="1">
        <f t="array" ref="E761">IFERROR(_xlfn.XLOOKUP(D761,Locales!$A:$A,Locales!$B:$B,""),"")</f>
        <v/>
      </c>
      <c r="F761" s="9" cm="1">
        <f t="array" ref="F761">IFERROR(_xlfn.XLOOKUP(B761,Personal!$A:$A,Personal!$F:$F,""),"")</f>
        <v>0</v>
      </c>
      <c r="I761" s="10" cm="1">
        <f t="array" ref="I761">IFERROR(INDEX(Precios!$D:$F,MATCH(N761, Precios!$G:$G, 0),CHOOSE(MATCH(H761, {"SML";"XL";"XXL"}, 0), 1, 2, 3)), 0)</f>
        <v>0</v>
      </c>
      <c r="K761" s="10">
        <f t="shared" si="28"/>
        <v>0</v>
      </c>
      <c r="N761" s="9" t="str">
        <f t="shared" si="29"/>
        <v/>
      </c>
      <c r="O761" s="9" t="str">
        <f>IF(N761="","",IF(COUNTIF(Precios!$G:$G,N761)=0,"⚠ No coincide con Precios","OK"))</f>
        <v/>
      </c>
    </row>
    <row r="762" spans="3:15" x14ac:dyDescent="0.2">
      <c r="C762" s="9" cm="1">
        <f t="array" ref="C762">IFERROR(_xlfn.XLOOKUP(B762,Personal!$A:$A,Personal!$D:$D,""),"")</f>
        <v>0</v>
      </c>
      <c r="D762" s="9" cm="1">
        <f t="array" ref="D762">IFERROR(_xlfn.XLOOKUP(B762,Personal!$A:$A,Personal!$C:$C,""),"")</f>
        <v>0</v>
      </c>
      <c r="E762" s="9" t="str" cm="1">
        <f t="array" ref="E762">IFERROR(_xlfn.XLOOKUP(D762,Locales!$A:$A,Locales!$B:$B,""),"")</f>
        <v/>
      </c>
      <c r="F762" s="9" cm="1">
        <f t="array" ref="F762">IFERROR(_xlfn.XLOOKUP(B762,Personal!$A:$A,Personal!$F:$F,""),"")</f>
        <v>0</v>
      </c>
      <c r="I762" s="10" cm="1">
        <f t="array" ref="I762">IFERROR(INDEX(Precios!$D:$F,MATCH(N762, Precios!$G:$G, 0),CHOOSE(MATCH(H762, {"SML";"XL";"XXL"}, 0), 1, 2, 3)), 0)</f>
        <v>0</v>
      </c>
      <c r="K762" s="10">
        <f t="shared" si="28"/>
        <v>0</v>
      </c>
      <c r="N762" s="9" t="str">
        <f t="shared" si="29"/>
        <v/>
      </c>
      <c r="O762" s="9" t="str">
        <f>IF(N762="","",IF(COUNTIF(Precios!$G:$G,N762)=0,"⚠ No coincide con Precios","OK"))</f>
        <v/>
      </c>
    </row>
    <row r="763" spans="3:15" x14ac:dyDescent="0.2">
      <c r="C763" s="9" cm="1">
        <f t="array" ref="C763">IFERROR(_xlfn.XLOOKUP(B763,Personal!$A:$A,Personal!$D:$D,""),"")</f>
        <v>0</v>
      </c>
      <c r="D763" s="9" cm="1">
        <f t="array" ref="D763">IFERROR(_xlfn.XLOOKUP(B763,Personal!$A:$A,Personal!$C:$C,""),"")</f>
        <v>0</v>
      </c>
      <c r="E763" s="9" t="str" cm="1">
        <f t="array" ref="E763">IFERROR(_xlfn.XLOOKUP(D763,Locales!$A:$A,Locales!$B:$B,""),"")</f>
        <v/>
      </c>
      <c r="F763" s="9" cm="1">
        <f t="array" ref="F763">IFERROR(_xlfn.XLOOKUP(B763,Personal!$A:$A,Personal!$F:$F,""),"")</f>
        <v>0</v>
      </c>
      <c r="I763" s="10" cm="1">
        <f t="array" ref="I763">IFERROR(INDEX(Precios!$D:$F,MATCH(N763, Precios!$G:$G, 0),CHOOSE(MATCH(H763, {"SML";"XL";"XXL"}, 0), 1, 2, 3)), 0)</f>
        <v>0</v>
      </c>
      <c r="K763" s="10">
        <f t="shared" si="28"/>
        <v>0</v>
      </c>
      <c r="N763" s="9" t="str">
        <f t="shared" si="29"/>
        <v/>
      </c>
      <c r="O763" s="9" t="str">
        <f>IF(N763="","",IF(COUNTIF(Precios!$G:$G,N763)=0,"⚠ No coincide con Precios","OK"))</f>
        <v/>
      </c>
    </row>
    <row r="764" spans="3:15" x14ac:dyDescent="0.2">
      <c r="C764" s="9" cm="1">
        <f t="array" ref="C764">IFERROR(_xlfn.XLOOKUP(B764,Personal!$A:$A,Personal!$D:$D,""),"")</f>
        <v>0</v>
      </c>
      <c r="D764" s="9" cm="1">
        <f t="array" ref="D764">IFERROR(_xlfn.XLOOKUP(B764,Personal!$A:$A,Personal!$C:$C,""),"")</f>
        <v>0</v>
      </c>
      <c r="E764" s="9" t="str" cm="1">
        <f t="array" ref="E764">IFERROR(_xlfn.XLOOKUP(D764,Locales!$A:$A,Locales!$B:$B,""),"")</f>
        <v/>
      </c>
      <c r="F764" s="9" cm="1">
        <f t="array" ref="F764">IFERROR(_xlfn.XLOOKUP(B764,Personal!$A:$A,Personal!$F:$F,""),"")</f>
        <v>0</v>
      </c>
      <c r="I764" s="10" cm="1">
        <f t="array" ref="I764">IFERROR(INDEX(Precios!$D:$F,MATCH(N764, Precios!$G:$G, 0),CHOOSE(MATCH(H764, {"SML";"XL";"XXL"}, 0), 1, 2, 3)), 0)</f>
        <v>0</v>
      </c>
      <c r="K764" s="10">
        <f t="shared" si="28"/>
        <v>0</v>
      </c>
      <c r="N764" s="9" t="str">
        <f t="shared" si="29"/>
        <v/>
      </c>
      <c r="O764" s="9" t="str">
        <f>IF(N764="","",IF(COUNTIF(Precios!$G:$G,N764)=0,"⚠ No coincide con Precios","OK"))</f>
        <v/>
      </c>
    </row>
    <row r="765" spans="3:15" x14ac:dyDescent="0.2">
      <c r="C765" s="9" cm="1">
        <f t="array" ref="C765">IFERROR(_xlfn.XLOOKUP(B765,Personal!$A:$A,Personal!$D:$D,""),"")</f>
        <v>0</v>
      </c>
      <c r="D765" s="9" cm="1">
        <f t="array" ref="D765">IFERROR(_xlfn.XLOOKUP(B765,Personal!$A:$A,Personal!$C:$C,""),"")</f>
        <v>0</v>
      </c>
      <c r="E765" s="9" t="str" cm="1">
        <f t="array" ref="E765">IFERROR(_xlfn.XLOOKUP(D765,Locales!$A:$A,Locales!$B:$B,""),"")</f>
        <v/>
      </c>
      <c r="F765" s="9" cm="1">
        <f t="array" ref="F765">IFERROR(_xlfn.XLOOKUP(B765,Personal!$A:$A,Personal!$F:$F,""),"")</f>
        <v>0</v>
      </c>
      <c r="I765" s="10" cm="1">
        <f t="array" ref="I765">IFERROR(INDEX(Precios!$D:$F,MATCH(N765, Precios!$G:$G, 0),CHOOSE(MATCH(H765, {"SML";"XL";"XXL"}, 0), 1, 2, 3)), 0)</f>
        <v>0</v>
      </c>
      <c r="K765" s="10">
        <f t="shared" si="28"/>
        <v>0</v>
      </c>
      <c r="N765" s="9" t="str">
        <f t="shared" si="29"/>
        <v/>
      </c>
      <c r="O765" s="9" t="str">
        <f>IF(N765="","",IF(COUNTIF(Precios!$G:$G,N765)=0,"⚠ No coincide con Precios","OK"))</f>
        <v/>
      </c>
    </row>
    <row r="766" spans="3:15" x14ac:dyDescent="0.2">
      <c r="C766" s="9" cm="1">
        <f t="array" ref="C766">IFERROR(_xlfn.XLOOKUP(B766,Personal!$A:$A,Personal!$D:$D,""),"")</f>
        <v>0</v>
      </c>
      <c r="D766" s="9" cm="1">
        <f t="array" ref="D766">IFERROR(_xlfn.XLOOKUP(B766,Personal!$A:$A,Personal!$C:$C,""),"")</f>
        <v>0</v>
      </c>
      <c r="E766" s="9" t="str" cm="1">
        <f t="array" ref="E766">IFERROR(_xlfn.XLOOKUP(D766,Locales!$A:$A,Locales!$B:$B,""),"")</f>
        <v/>
      </c>
      <c r="F766" s="9" cm="1">
        <f t="array" ref="F766">IFERROR(_xlfn.XLOOKUP(B766,Personal!$A:$A,Personal!$F:$F,""),"")</f>
        <v>0</v>
      </c>
      <c r="I766" s="10" cm="1">
        <f t="array" ref="I766">IFERROR(INDEX(Precios!$D:$F,MATCH(N766, Precios!$G:$G, 0),CHOOSE(MATCH(H766, {"SML";"XL";"XXL"}, 0), 1, 2, 3)), 0)</f>
        <v>0</v>
      </c>
      <c r="K766" s="10">
        <f t="shared" ref="K766:K829" si="30">IFERROR(I766*J766,0)</f>
        <v>0</v>
      </c>
      <c r="N766" s="9" t="str">
        <f t="shared" ref="N766:N829" si="31">IF( OR(E766="",F766="",G766=""), "",CLEAN(TRIM(E766)) &amp; "|" &amp; CLEAN(TRIM(F766)) &amp; "|" &amp; CLEAN(TRIM(G766)))</f>
        <v/>
      </c>
      <c r="O766" s="9" t="str">
        <f>IF(N766="","",IF(COUNTIF(Precios!$G:$G,N766)=0,"⚠ No coincide con Precios","OK"))</f>
        <v/>
      </c>
    </row>
    <row r="767" spans="3:15" x14ac:dyDescent="0.2">
      <c r="C767" s="9" cm="1">
        <f t="array" ref="C767">IFERROR(_xlfn.XLOOKUP(B767,Personal!$A:$A,Personal!$D:$D,""),"")</f>
        <v>0</v>
      </c>
      <c r="D767" s="9" cm="1">
        <f t="array" ref="D767">IFERROR(_xlfn.XLOOKUP(B767,Personal!$A:$A,Personal!$C:$C,""),"")</f>
        <v>0</v>
      </c>
      <c r="E767" s="9" t="str" cm="1">
        <f t="array" ref="E767">IFERROR(_xlfn.XLOOKUP(D767,Locales!$A:$A,Locales!$B:$B,""),"")</f>
        <v/>
      </c>
      <c r="F767" s="9" cm="1">
        <f t="array" ref="F767">IFERROR(_xlfn.XLOOKUP(B767,Personal!$A:$A,Personal!$F:$F,""),"")</f>
        <v>0</v>
      </c>
      <c r="I767" s="10" cm="1">
        <f t="array" ref="I767">IFERROR(INDEX(Precios!$D:$F,MATCH(N767, Precios!$G:$G, 0),CHOOSE(MATCH(H767, {"SML";"XL";"XXL"}, 0), 1, 2, 3)), 0)</f>
        <v>0</v>
      </c>
      <c r="K767" s="10">
        <f t="shared" si="30"/>
        <v>0</v>
      </c>
      <c r="N767" s="9" t="str">
        <f t="shared" si="31"/>
        <v/>
      </c>
      <c r="O767" s="9" t="str">
        <f>IF(N767="","",IF(COUNTIF(Precios!$G:$G,N767)=0,"⚠ No coincide con Precios","OK"))</f>
        <v/>
      </c>
    </row>
    <row r="768" spans="3:15" x14ac:dyDescent="0.2">
      <c r="C768" s="9" cm="1">
        <f t="array" ref="C768">IFERROR(_xlfn.XLOOKUP(B768,Personal!$A:$A,Personal!$D:$D,""),"")</f>
        <v>0</v>
      </c>
      <c r="D768" s="9" cm="1">
        <f t="array" ref="D768">IFERROR(_xlfn.XLOOKUP(B768,Personal!$A:$A,Personal!$C:$C,""),"")</f>
        <v>0</v>
      </c>
      <c r="E768" s="9" t="str" cm="1">
        <f t="array" ref="E768">IFERROR(_xlfn.XLOOKUP(D768,Locales!$A:$A,Locales!$B:$B,""),"")</f>
        <v/>
      </c>
      <c r="F768" s="9" cm="1">
        <f t="array" ref="F768">IFERROR(_xlfn.XLOOKUP(B768,Personal!$A:$A,Personal!$F:$F,""),"")</f>
        <v>0</v>
      </c>
      <c r="I768" s="10" cm="1">
        <f t="array" ref="I768">IFERROR(INDEX(Precios!$D:$F,MATCH(N768, Precios!$G:$G, 0),CHOOSE(MATCH(H768, {"SML";"XL";"XXL"}, 0), 1, 2, 3)), 0)</f>
        <v>0</v>
      </c>
      <c r="K768" s="10">
        <f t="shared" si="30"/>
        <v>0</v>
      </c>
      <c r="N768" s="9" t="str">
        <f t="shared" si="31"/>
        <v/>
      </c>
      <c r="O768" s="9" t="str">
        <f>IF(N768="","",IF(COUNTIF(Precios!$G:$G,N768)=0,"⚠ No coincide con Precios","OK"))</f>
        <v/>
      </c>
    </row>
    <row r="769" spans="3:15" x14ac:dyDescent="0.2">
      <c r="C769" s="9" cm="1">
        <f t="array" ref="C769">IFERROR(_xlfn.XLOOKUP(B769,Personal!$A:$A,Personal!$D:$D,""),"")</f>
        <v>0</v>
      </c>
      <c r="D769" s="9" cm="1">
        <f t="array" ref="D769">IFERROR(_xlfn.XLOOKUP(B769,Personal!$A:$A,Personal!$C:$C,""),"")</f>
        <v>0</v>
      </c>
      <c r="E769" s="9" t="str" cm="1">
        <f t="array" ref="E769">IFERROR(_xlfn.XLOOKUP(D769,Locales!$A:$A,Locales!$B:$B,""),"")</f>
        <v/>
      </c>
      <c r="F769" s="9" cm="1">
        <f t="array" ref="F769">IFERROR(_xlfn.XLOOKUP(B769,Personal!$A:$A,Personal!$F:$F,""),"")</f>
        <v>0</v>
      </c>
      <c r="I769" s="10" cm="1">
        <f t="array" ref="I769">IFERROR(INDEX(Precios!$D:$F,MATCH(N769, Precios!$G:$G, 0),CHOOSE(MATCH(H769, {"SML";"XL";"XXL"}, 0), 1, 2, 3)), 0)</f>
        <v>0</v>
      </c>
      <c r="K769" s="10">
        <f t="shared" si="30"/>
        <v>0</v>
      </c>
      <c r="N769" s="9" t="str">
        <f t="shared" si="31"/>
        <v/>
      </c>
      <c r="O769" s="9" t="str">
        <f>IF(N769="","",IF(COUNTIF(Precios!$G:$G,N769)=0,"⚠ No coincide con Precios","OK"))</f>
        <v/>
      </c>
    </row>
    <row r="770" spans="3:15" x14ac:dyDescent="0.2">
      <c r="C770" s="9" cm="1">
        <f t="array" ref="C770">IFERROR(_xlfn.XLOOKUP(B770,Personal!$A:$A,Personal!$D:$D,""),"")</f>
        <v>0</v>
      </c>
      <c r="D770" s="9" cm="1">
        <f t="array" ref="D770">IFERROR(_xlfn.XLOOKUP(B770,Personal!$A:$A,Personal!$C:$C,""),"")</f>
        <v>0</v>
      </c>
      <c r="E770" s="9" t="str" cm="1">
        <f t="array" ref="E770">IFERROR(_xlfn.XLOOKUP(D770,Locales!$A:$A,Locales!$B:$B,""),"")</f>
        <v/>
      </c>
      <c r="F770" s="9" cm="1">
        <f t="array" ref="F770">IFERROR(_xlfn.XLOOKUP(B770,Personal!$A:$A,Personal!$F:$F,""),"")</f>
        <v>0</v>
      </c>
      <c r="I770" s="10" cm="1">
        <f t="array" ref="I770">IFERROR(INDEX(Precios!$D:$F,MATCH(N770, Precios!$G:$G, 0),CHOOSE(MATCH(H770, {"SML";"XL";"XXL"}, 0), 1, 2, 3)), 0)</f>
        <v>0</v>
      </c>
      <c r="K770" s="10">
        <f t="shared" si="30"/>
        <v>0</v>
      </c>
      <c r="N770" s="9" t="str">
        <f t="shared" si="31"/>
        <v/>
      </c>
      <c r="O770" s="9" t="str">
        <f>IF(N770="","",IF(COUNTIF(Precios!$G:$G,N770)=0,"⚠ No coincide con Precios","OK"))</f>
        <v/>
      </c>
    </row>
    <row r="771" spans="3:15" x14ac:dyDescent="0.2">
      <c r="C771" s="9" cm="1">
        <f t="array" ref="C771">IFERROR(_xlfn.XLOOKUP(B771,Personal!$A:$A,Personal!$D:$D,""),"")</f>
        <v>0</v>
      </c>
      <c r="D771" s="9" cm="1">
        <f t="array" ref="D771">IFERROR(_xlfn.XLOOKUP(B771,Personal!$A:$A,Personal!$C:$C,""),"")</f>
        <v>0</v>
      </c>
      <c r="E771" s="9" t="str" cm="1">
        <f t="array" ref="E771">IFERROR(_xlfn.XLOOKUP(D771,Locales!$A:$A,Locales!$B:$B,""),"")</f>
        <v/>
      </c>
      <c r="F771" s="9" cm="1">
        <f t="array" ref="F771">IFERROR(_xlfn.XLOOKUP(B771,Personal!$A:$A,Personal!$F:$F,""),"")</f>
        <v>0</v>
      </c>
      <c r="I771" s="10" cm="1">
        <f t="array" ref="I771">IFERROR(INDEX(Precios!$D:$F,MATCH(N771, Precios!$G:$G, 0),CHOOSE(MATCH(H771, {"SML";"XL";"XXL"}, 0), 1, 2, 3)), 0)</f>
        <v>0</v>
      </c>
      <c r="K771" s="10">
        <f t="shared" si="30"/>
        <v>0</v>
      </c>
      <c r="N771" s="9" t="str">
        <f t="shared" si="31"/>
        <v/>
      </c>
      <c r="O771" s="9" t="str">
        <f>IF(N771="","",IF(COUNTIF(Precios!$G:$G,N771)=0,"⚠ No coincide con Precios","OK"))</f>
        <v/>
      </c>
    </row>
    <row r="772" spans="3:15" x14ac:dyDescent="0.2">
      <c r="C772" s="9" cm="1">
        <f t="array" ref="C772">IFERROR(_xlfn.XLOOKUP(B772,Personal!$A:$A,Personal!$D:$D,""),"")</f>
        <v>0</v>
      </c>
      <c r="D772" s="9" cm="1">
        <f t="array" ref="D772">IFERROR(_xlfn.XLOOKUP(B772,Personal!$A:$A,Personal!$C:$C,""),"")</f>
        <v>0</v>
      </c>
      <c r="E772" s="9" t="str" cm="1">
        <f t="array" ref="E772">IFERROR(_xlfn.XLOOKUP(D772,Locales!$A:$A,Locales!$B:$B,""),"")</f>
        <v/>
      </c>
      <c r="F772" s="9" cm="1">
        <f t="array" ref="F772">IFERROR(_xlfn.XLOOKUP(B772,Personal!$A:$A,Personal!$F:$F,""),"")</f>
        <v>0</v>
      </c>
      <c r="I772" s="10" cm="1">
        <f t="array" ref="I772">IFERROR(INDEX(Precios!$D:$F,MATCH(N772, Precios!$G:$G, 0),CHOOSE(MATCH(H772, {"SML";"XL";"XXL"}, 0), 1, 2, 3)), 0)</f>
        <v>0</v>
      </c>
      <c r="K772" s="10">
        <f t="shared" si="30"/>
        <v>0</v>
      </c>
      <c r="N772" s="9" t="str">
        <f t="shared" si="31"/>
        <v/>
      </c>
      <c r="O772" s="9" t="str">
        <f>IF(N772="","",IF(COUNTIF(Precios!$G:$G,N772)=0,"⚠ No coincide con Precios","OK"))</f>
        <v/>
      </c>
    </row>
    <row r="773" spans="3:15" x14ac:dyDescent="0.2">
      <c r="C773" s="9" cm="1">
        <f t="array" ref="C773">IFERROR(_xlfn.XLOOKUP(B773,Personal!$A:$A,Personal!$D:$D,""),"")</f>
        <v>0</v>
      </c>
      <c r="D773" s="9" cm="1">
        <f t="array" ref="D773">IFERROR(_xlfn.XLOOKUP(B773,Personal!$A:$A,Personal!$C:$C,""),"")</f>
        <v>0</v>
      </c>
      <c r="E773" s="9" t="str" cm="1">
        <f t="array" ref="E773">IFERROR(_xlfn.XLOOKUP(D773,Locales!$A:$A,Locales!$B:$B,""),"")</f>
        <v/>
      </c>
      <c r="F773" s="9" cm="1">
        <f t="array" ref="F773">IFERROR(_xlfn.XLOOKUP(B773,Personal!$A:$A,Personal!$F:$F,""),"")</f>
        <v>0</v>
      </c>
      <c r="I773" s="10" cm="1">
        <f t="array" ref="I773">IFERROR(INDEX(Precios!$D:$F,MATCH(N773, Precios!$G:$G, 0),CHOOSE(MATCH(H773, {"SML";"XL";"XXL"}, 0), 1, 2, 3)), 0)</f>
        <v>0</v>
      </c>
      <c r="K773" s="10">
        <f t="shared" si="30"/>
        <v>0</v>
      </c>
      <c r="N773" s="9" t="str">
        <f t="shared" si="31"/>
        <v/>
      </c>
      <c r="O773" s="9" t="str">
        <f>IF(N773="","",IF(COUNTIF(Precios!$G:$G,N773)=0,"⚠ No coincide con Precios","OK"))</f>
        <v/>
      </c>
    </row>
    <row r="774" spans="3:15" x14ac:dyDescent="0.2">
      <c r="C774" s="9" cm="1">
        <f t="array" ref="C774">IFERROR(_xlfn.XLOOKUP(B774,Personal!$A:$A,Personal!$D:$D,""),"")</f>
        <v>0</v>
      </c>
      <c r="D774" s="9" cm="1">
        <f t="array" ref="D774">IFERROR(_xlfn.XLOOKUP(B774,Personal!$A:$A,Personal!$C:$C,""),"")</f>
        <v>0</v>
      </c>
      <c r="E774" s="9" t="str" cm="1">
        <f t="array" ref="E774">IFERROR(_xlfn.XLOOKUP(D774,Locales!$A:$A,Locales!$B:$B,""),"")</f>
        <v/>
      </c>
      <c r="F774" s="9" cm="1">
        <f t="array" ref="F774">IFERROR(_xlfn.XLOOKUP(B774,Personal!$A:$A,Personal!$F:$F,""),"")</f>
        <v>0</v>
      </c>
      <c r="I774" s="10" cm="1">
        <f t="array" ref="I774">IFERROR(INDEX(Precios!$D:$F,MATCH(N774, Precios!$G:$G, 0),CHOOSE(MATCH(H774, {"SML";"XL";"XXL"}, 0), 1, 2, 3)), 0)</f>
        <v>0</v>
      </c>
      <c r="K774" s="10">
        <f t="shared" si="30"/>
        <v>0</v>
      </c>
      <c r="N774" s="9" t="str">
        <f t="shared" si="31"/>
        <v/>
      </c>
      <c r="O774" s="9" t="str">
        <f>IF(N774="","",IF(COUNTIF(Precios!$G:$G,N774)=0,"⚠ No coincide con Precios","OK"))</f>
        <v/>
      </c>
    </row>
    <row r="775" spans="3:15" x14ac:dyDescent="0.2">
      <c r="C775" s="9" cm="1">
        <f t="array" ref="C775">IFERROR(_xlfn.XLOOKUP(B775,Personal!$A:$A,Personal!$D:$D,""),"")</f>
        <v>0</v>
      </c>
      <c r="D775" s="9" cm="1">
        <f t="array" ref="D775">IFERROR(_xlfn.XLOOKUP(B775,Personal!$A:$A,Personal!$C:$C,""),"")</f>
        <v>0</v>
      </c>
      <c r="E775" s="9" t="str" cm="1">
        <f t="array" ref="E775">IFERROR(_xlfn.XLOOKUP(D775,Locales!$A:$A,Locales!$B:$B,""),"")</f>
        <v/>
      </c>
      <c r="F775" s="9" cm="1">
        <f t="array" ref="F775">IFERROR(_xlfn.XLOOKUP(B775,Personal!$A:$A,Personal!$F:$F,""),"")</f>
        <v>0</v>
      </c>
      <c r="I775" s="10" cm="1">
        <f t="array" ref="I775">IFERROR(INDEX(Precios!$D:$F,MATCH(N775, Precios!$G:$G, 0),CHOOSE(MATCH(H775, {"SML";"XL";"XXL"}, 0), 1, 2, 3)), 0)</f>
        <v>0</v>
      </c>
      <c r="K775" s="10">
        <f t="shared" si="30"/>
        <v>0</v>
      </c>
      <c r="N775" s="9" t="str">
        <f t="shared" si="31"/>
        <v/>
      </c>
      <c r="O775" s="9" t="str">
        <f>IF(N775="","",IF(COUNTIF(Precios!$G:$G,N775)=0,"⚠ No coincide con Precios","OK"))</f>
        <v/>
      </c>
    </row>
    <row r="776" spans="3:15" x14ac:dyDescent="0.2">
      <c r="C776" s="9" cm="1">
        <f t="array" ref="C776">IFERROR(_xlfn.XLOOKUP(B776,Personal!$A:$A,Personal!$D:$D,""),"")</f>
        <v>0</v>
      </c>
      <c r="D776" s="9" cm="1">
        <f t="array" ref="D776">IFERROR(_xlfn.XLOOKUP(B776,Personal!$A:$A,Personal!$C:$C,""),"")</f>
        <v>0</v>
      </c>
      <c r="E776" s="9" t="str" cm="1">
        <f t="array" ref="E776">IFERROR(_xlfn.XLOOKUP(D776,Locales!$A:$A,Locales!$B:$B,""),"")</f>
        <v/>
      </c>
      <c r="F776" s="9" cm="1">
        <f t="array" ref="F776">IFERROR(_xlfn.XLOOKUP(B776,Personal!$A:$A,Personal!$F:$F,""),"")</f>
        <v>0</v>
      </c>
      <c r="I776" s="10" cm="1">
        <f t="array" ref="I776">IFERROR(INDEX(Precios!$D:$F,MATCH(N776, Precios!$G:$G, 0),CHOOSE(MATCH(H776, {"SML";"XL";"XXL"}, 0), 1, 2, 3)), 0)</f>
        <v>0</v>
      </c>
      <c r="K776" s="10">
        <f t="shared" si="30"/>
        <v>0</v>
      </c>
      <c r="N776" s="9" t="str">
        <f t="shared" si="31"/>
        <v/>
      </c>
      <c r="O776" s="9" t="str">
        <f>IF(N776="","",IF(COUNTIF(Precios!$G:$G,N776)=0,"⚠ No coincide con Precios","OK"))</f>
        <v/>
      </c>
    </row>
    <row r="777" spans="3:15" x14ac:dyDescent="0.2">
      <c r="C777" s="9" cm="1">
        <f t="array" ref="C777">IFERROR(_xlfn.XLOOKUP(B777,Personal!$A:$A,Personal!$D:$D,""),"")</f>
        <v>0</v>
      </c>
      <c r="D777" s="9" cm="1">
        <f t="array" ref="D777">IFERROR(_xlfn.XLOOKUP(B777,Personal!$A:$A,Personal!$C:$C,""),"")</f>
        <v>0</v>
      </c>
      <c r="E777" s="9" t="str" cm="1">
        <f t="array" ref="E777">IFERROR(_xlfn.XLOOKUP(D777,Locales!$A:$A,Locales!$B:$B,""),"")</f>
        <v/>
      </c>
      <c r="F777" s="9" cm="1">
        <f t="array" ref="F777">IFERROR(_xlfn.XLOOKUP(B777,Personal!$A:$A,Personal!$F:$F,""),"")</f>
        <v>0</v>
      </c>
      <c r="I777" s="10" cm="1">
        <f t="array" ref="I777">IFERROR(INDEX(Precios!$D:$F,MATCH(N777, Precios!$G:$G, 0),CHOOSE(MATCH(H777, {"SML";"XL";"XXL"}, 0), 1, 2, 3)), 0)</f>
        <v>0</v>
      </c>
      <c r="K777" s="10">
        <f t="shared" si="30"/>
        <v>0</v>
      </c>
      <c r="N777" s="9" t="str">
        <f t="shared" si="31"/>
        <v/>
      </c>
      <c r="O777" s="9" t="str">
        <f>IF(N777="","",IF(COUNTIF(Precios!$G:$G,N777)=0,"⚠ No coincide con Precios","OK"))</f>
        <v/>
      </c>
    </row>
    <row r="778" spans="3:15" x14ac:dyDescent="0.2">
      <c r="C778" s="9" cm="1">
        <f t="array" ref="C778">IFERROR(_xlfn.XLOOKUP(B778,Personal!$A:$A,Personal!$D:$D,""),"")</f>
        <v>0</v>
      </c>
      <c r="D778" s="9" cm="1">
        <f t="array" ref="D778">IFERROR(_xlfn.XLOOKUP(B778,Personal!$A:$A,Personal!$C:$C,""),"")</f>
        <v>0</v>
      </c>
      <c r="E778" s="9" t="str" cm="1">
        <f t="array" ref="E778">IFERROR(_xlfn.XLOOKUP(D778,Locales!$A:$A,Locales!$B:$B,""),"")</f>
        <v/>
      </c>
      <c r="F778" s="9" cm="1">
        <f t="array" ref="F778">IFERROR(_xlfn.XLOOKUP(B778,Personal!$A:$A,Personal!$F:$F,""),"")</f>
        <v>0</v>
      </c>
      <c r="I778" s="10" cm="1">
        <f t="array" ref="I778">IFERROR(INDEX(Precios!$D:$F,MATCH(N778, Precios!$G:$G, 0),CHOOSE(MATCH(H778, {"SML";"XL";"XXL"}, 0), 1, 2, 3)), 0)</f>
        <v>0</v>
      </c>
      <c r="K778" s="10">
        <f t="shared" si="30"/>
        <v>0</v>
      </c>
      <c r="N778" s="9" t="str">
        <f t="shared" si="31"/>
        <v/>
      </c>
      <c r="O778" s="9" t="str">
        <f>IF(N778="","",IF(COUNTIF(Precios!$G:$G,N778)=0,"⚠ No coincide con Precios","OK"))</f>
        <v/>
      </c>
    </row>
    <row r="779" spans="3:15" x14ac:dyDescent="0.2">
      <c r="C779" s="9" cm="1">
        <f t="array" ref="C779">IFERROR(_xlfn.XLOOKUP(B779,Personal!$A:$A,Personal!$D:$D,""),"")</f>
        <v>0</v>
      </c>
      <c r="D779" s="9" cm="1">
        <f t="array" ref="D779">IFERROR(_xlfn.XLOOKUP(B779,Personal!$A:$A,Personal!$C:$C,""),"")</f>
        <v>0</v>
      </c>
      <c r="E779" s="9" t="str" cm="1">
        <f t="array" ref="E779">IFERROR(_xlfn.XLOOKUP(D779,Locales!$A:$A,Locales!$B:$B,""),"")</f>
        <v/>
      </c>
      <c r="F779" s="9" cm="1">
        <f t="array" ref="F779">IFERROR(_xlfn.XLOOKUP(B779,Personal!$A:$A,Personal!$F:$F,""),"")</f>
        <v>0</v>
      </c>
      <c r="I779" s="10" cm="1">
        <f t="array" ref="I779">IFERROR(INDEX(Precios!$D:$F,MATCH(N779, Precios!$G:$G, 0),CHOOSE(MATCH(H779, {"SML";"XL";"XXL"}, 0), 1, 2, 3)), 0)</f>
        <v>0</v>
      </c>
      <c r="K779" s="10">
        <f t="shared" si="30"/>
        <v>0</v>
      </c>
      <c r="N779" s="9" t="str">
        <f t="shared" si="31"/>
        <v/>
      </c>
      <c r="O779" s="9" t="str">
        <f>IF(N779="","",IF(COUNTIF(Precios!$G:$G,N779)=0,"⚠ No coincide con Precios","OK"))</f>
        <v/>
      </c>
    </row>
    <row r="780" spans="3:15" x14ac:dyDescent="0.2">
      <c r="C780" s="9" cm="1">
        <f t="array" ref="C780">IFERROR(_xlfn.XLOOKUP(B780,Personal!$A:$A,Personal!$D:$D,""),"")</f>
        <v>0</v>
      </c>
      <c r="D780" s="9" cm="1">
        <f t="array" ref="D780">IFERROR(_xlfn.XLOOKUP(B780,Personal!$A:$A,Personal!$C:$C,""),"")</f>
        <v>0</v>
      </c>
      <c r="E780" s="9" t="str" cm="1">
        <f t="array" ref="E780">IFERROR(_xlfn.XLOOKUP(D780,Locales!$A:$A,Locales!$B:$B,""),"")</f>
        <v/>
      </c>
      <c r="F780" s="9" cm="1">
        <f t="array" ref="F780">IFERROR(_xlfn.XLOOKUP(B780,Personal!$A:$A,Personal!$F:$F,""),"")</f>
        <v>0</v>
      </c>
      <c r="I780" s="10" cm="1">
        <f t="array" ref="I780">IFERROR(INDEX(Precios!$D:$F,MATCH(N780, Precios!$G:$G, 0),CHOOSE(MATCH(H780, {"SML";"XL";"XXL"}, 0), 1, 2, 3)), 0)</f>
        <v>0</v>
      </c>
      <c r="K780" s="10">
        <f t="shared" si="30"/>
        <v>0</v>
      </c>
      <c r="N780" s="9" t="str">
        <f t="shared" si="31"/>
        <v/>
      </c>
      <c r="O780" s="9" t="str">
        <f>IF(N780="","",IF(COUNTIF(Precios!$G:$G,N780)=0,"⚠ No coincide con Precios","OK"))</f>
        <v/>
      </c>
    </row>
    <row r="781" spans="3:15" x14ac:dyDescent="0.2">
      <c r="C781" s="9" cm="1">
        <f t="array" ref="C781">IFERROR(_xlfn.XLOOKUP(B781,Personal!$A:$A,Personal!$D:$D,""),"")</f>
        <v>0</v>
      </c>
      <c r="D781" s="9" cm="1">
        <f t="array" ref="D781">IFERROR(_xlfn.XLOOKUP(B781,Personal!$A:$A,Personal!$C:$C,""),"")</f>
        <v>0</v>
      </c>
      <c r="E781" s="9" t="str" cm="1">
        <f t="array" ref="E781">IFERROR(_xlfn.XLOOKUP(D781,Locales!$A:$A,Locales!$B:$B,""),"")</f>
        <v/>
      </c>
      <c r="F781" s="9" cm="1">
        <f t="array" ref="F781">IFERROR(_xlfn.XLOOKUP(B781,Personal!$A:$A,Personal!$F:$F,""),"")</f>
        <v>0</v>
      </c>
      <c r="I781" s="10" cm="1">
        <f t="array" ref="I781">IFERROR(INDEX(Precios!$D:$F,MATCH(N781, Precios!$G:$G, 0),CHOOSE(MATCH(H781, {"SML";"XL";"XXL"}, 0), 1, 2, 3)), 0)</f>
        <v>0</v>
      </c>
      <c r="K781" s="10">
        <f t="shared" si="30"/>
        <v>0</v>
      </c>
      <c r="N781" s="9" t="str">
        <f t="shared" si="31"/>
        <v/>
      </c>
      <c r="O781" s="9" t="str">
        <f>IF(N781="","",IF(COUNTIF(Precios!$G:$G,N781)=0,"⚠ No coincide con Precios","OK"))</f>
        <v/>
      </c>
    </row>
    <row r="782" spans="3:15" x14ac:dyDescent="0.2">
      <c r="C782" s="9" cm="1">
        <f t="array" ref="C782">IFERROR(_xlfn.XLOOKUP(B782,Personal!$A:$A,Personal!$D:$D,""),"")</f>
        <v>0</v>
      </c>
      <c r="D782" s="9" cm="1">
        <f t="array" ref="D782">IFERROR(_xlfn.XLOOKUP(B782,Personal!$A:$A,Personal!$C:$C,""),"")</f>
        <v>0</v>
      </c>
      <c r="E782" s="9" t="str" cm="1">
        <f t="array" ref="E782">IFERROR(_xlfn.XLOOKUP(D782,Locales!$A:$A,Locales!$B:$B,""),"")</f>
        <v/>
      </c>
      <c r="F782" s="9" cm="1">
        <f t="array" ref="F782">IFERROR(_xlfn.XLOOKUP(B782,Personal!$A:$A,Personal!$F:$F,""),"")</f>
        <v>0</v>
      </c>
      <c r="I782" s="10" cm="1">
        <f t="array" ref="I782">IFERROR(INDEX(Precios!$D:$F,MATCH(N782, Precios!$G:$G, 0),CHOOSE(MATCH(H782, {"SML";"XL";"XXL"}, 0), 1, 2, 3)), 0)</f>
        <v>0</v>
      </c>
      <c r="K782" s="10">
        <f t="shared" si="30"/>
        <v>0</v>
      </c>
      <c r="N782" s="9" t="str">
        <f t="shared" si="31"/>
        <v/>
      </c>
      <c r="O782" s="9" t="str">
        <f>IF(N782="","",IF(COUNTIF(Precios!$G:$G,N782)=0,"⚠ No coincide con Precios","OK"))</f>
        <v/>
      </c>
    </row>
    <row r="783" spans="3:15" x14ac:dyDescent="0.2">
      <c r="C783" s="9" cm="1">
        <f t="array" ref="C783">IFERROR(_xlfn.XLOOKUP(B783,Personal!$A:$A,Personal!$D:$D,""),"")</f>
        <v>0</v>
      </c>
      <c r="D783" s="9" cm="1">
        <f t="array" ref="D783">IFERROR(_xlfn.XLOOKUP(B783,Personal!$A:$A,Personal!$C:$C,""),"")</f>
        <v>0</v>
      </c>
      <c r="E783" s="9" t="str" cm="1">
        <f t="array" ref="E783">IFERROR(_xlfn.XLOOKUP(D783,Locales!$A:$A,Locales!$B:$B,""),"")</f>
        <v/>
      </c>
      <c r="F783" s="9" cm="1">
        <f t="array" ref="F783">IFERROR(_xlfn.XLOOKUP(B783,Personal!$A:$A,Personal!$F:$F,""),"")</f>
        <v>0</v>
      </c>
      <c r="I783" s="10" cm="1">
        <f t="array" ref="I783">IFERROR(INDEX(Precios!$D:$F,MATCH(N783, Precios!$G:$G, 0),CHOOSE(MATCH(H783, {"SML";"XL";"XXL"}, 0), 1, 2, 3)), 0)</f>
        <v>0</v>
      </c>
      <c r="K783" s="10">
        <f t="shared" si="30"/>
        <v>0</v>
      </c>
      <c r="N783" s="9" t="str">
        <f t="shared" si="31"/>
        <v/>
      </c>
      <c r="O783" s="9" t="str">
        <f>IF(N783="","",IF(COUNTIF(Precios!$G:$G,N783)=0,"⚠ No coincide con Precios","OK"))</f>
        <v/>
      </c>
    </row>
    <row r="784" spans="3:15" x14ac:dyDescent="0.2">
      <c r="C784" s="9" cm="1">
        <f t="array" ref="C784">IFERROR(_xlfn.XLOOKUP(B784,Personal!$A:$A,Personal!$D:$D,""),"")</f>
        <v>0</v>
      </c>
      <c r="D784" s="9" cm="1">
        <f t="array" ref="D784">IFERROR(_xlfn.XLOOKUP(B784,Personal!$A:$A,Personal!$C:$C,""),"")</f>
        <v>0</v>
      </c>
      <c r="E784" s="9" t="str" cm="1">
        <f t="array" ref="E784">IFERROR(_xlfn.XLOOKUP(D784,Locales!$A:$A,Locales!$B:$B,""),"")</f>
        <v/>
      </c>
      <c r="F784" s="9" cm="1">
        <f t="array" ref="F784">IFERROR(_xlfn.XLOOKUP(B784,Personal!$A:$A,Personal!$F:$F,""),"")</f>
        <v>0</v>
      </c>
      <c r="I784" s="10" cm="1">
        <f t="array" ref="I784">IFERROR(INDEX(Precios!$D:$F,MATCH(N784, Precios!$G:$G, 0),CHOOSE(MATCH(H784, {"SML";"XL";"XXL"}, 0), 1, 2, 3)), 0)</f>
        <v>0</v>
      </c>
      <c r="K784" s="10">
        <f t="shared" si="30"/>
        <v>0</v>
      </c>
      <c r="N784" s="9" t="str">
        <f t="shared" si="31"/>
        <v/>
      </c>
      <c r="O784" s="9" t="str">
        <f>IF(N784="","",IF(COUNTIF(Precios!$G:$G,N784)=0,"⚠ No coincide con Precios","OK"))</f>
        <v/>
      </c>
    </row>
    <row r="785" spans="3:15" x14ac:dyDescent="0.2">
      <c r="C785" s="9" cm="1">
        <f t="array" ref="C785">IFERROR(_xlfn.XLOOKUP(B785,Personal!$A:$A,Personal!$D:$D,""),"")</f>
        <v>0</v>
      </c>
      <c r="D785" s="9" cm="1">
        <f t="array" ref="D785">IFERROR(_xlfn.XLOOKUP(B785,Personal!$A:$A,Personal!$C:$C,""),"")</f>
        <v>0</v>
      </c>
      <c r="E785" s="9" t="str" cm="1">
        <f t="array" ref="E785">IFERROR(_xlfn.XLOOKUP(D785,Locales!$A:$A,Locales!$B:$B,""),"")</f>
        <v/>
      </c>
      <c r="F785" s="9" cm="1">
        <f t="array" ref="F785">IFERROR(_xlfn.XLOOKUP(B785,Personal!$A:$A,Personal!$F:$F,""),"")</f>
        <v>0</v>
      </c>
      <c r="I785" s="10" cm="1">
        <f t="array" ref="I785">IFERROR(INDEX(Precios!$D:$F,MATCH(N785, Precios!$G:$G, 0),CHOOSE(MATCH(H785, {"SML";"XL";"XXL"}, 0), 1, 2, 3)), 0)</f>
        <v>0</v>
      </c>
      <c r="K785" s="10">
        <f t="shared" si="30"/>
        <v>0</v>
      </c>
      <c r="N785" s="9" t="str">
        <f t="shared" si="31"/>
        <v/>
      </c>
      <c r="O785" s="9" t="str">
        <f>IF(N785="","",IF(COUNTIF(Precios!$G:$G,N785)=0,"⚠ No coincide con Precios","OK"))</f>
        <v/>
      </c>
    </row>
    <row r="786" spans="3:15" x14ac:dyDescent="0.2">
      <c r="C786" s="9" cm="1">
        <f t="array" ref="C786">IFERROR(_xlfn.XLOOKUP(B786,Personal!$A:$A,Personal!$D:$D,""),"")</f>
        <v>0</v>
      </c>
      <c r="D786" s="9" cm="1">
        <f t="array" ref="D786">IFERROR(_xlfn.XLOOKUP(B786,Personal!$A:$A,Personal!$C:$C,""),"")</f>
        <v>0</v>
      </c>
      <c r="E786" s="9" t="str" cm="1">
        <f t="array" ref="E786">IFERROR(_xlfn.XLOOKUP(D786,Locales!$A:$A,Locales!$B:$B,""),"")</f>
        <v/>
      </c>
      <c r="F786" s="9" cm="1">
        <f t="array" ref="F786">IFERROR(_xlfn.XLOOKUP(B786,Personal!$A:$A,Personal!$F:$F,""),"")</f>
        <v>0</v>
      </c>
      <c r="I786" s="10" cm="1">
        <f t="array" ref="I786">IFERROR(INDEX(Precios!$D:$F,MATCH(N786, Precios!$G:$G, 0),CHOOSE(MATCH(H786, {"SML";"XL";"XXL"}, 0), 1, 2, 3)), 0)</f>
        <v>0</v>
      </c>
      <c r="K786" s="10">
        <f t="shared" si="30"/>
        <v>0</v>
      </c>
      <c r="N786" s="9" t="str">
        <f t="shared" si="31"/>
        <v/>
      </c>
      <c r="O786" s="9" t="str">
        <f>IF(N786="","",IF(COUNTIF(Precios!$G:$G,N786)=0,"⚠ No coincide con Precios","OK"))</f>
        <v/>
      </c>
    </row>
    <row r="787" spans="3:15" x14ac:dyDescent="0.2">
      <c r="C787" s="9" cm="1">
        <f t="array" ref="C787">IFERROR(_xlfn.XLOOKUP(B787,Personal!$A:$A,Personal!$D:$D,""),"")</f>
        <v>0</v>
      </c>
      <c r="D787" s="9" cm="1">
        <f t="array" ref="D787">IFERROR(_xlfn.XLOOKUP(B787,Personal!$A:$A,Personal!$C:$C,""),"")</f>
        <v>0</v>
      </c>
      <c r="E787" s="9" t="str" cm="1">
        <f t="array" ref="E787">IFERROR(_xlfn.XLOOKUP(D787,Locales!$A:$A,Locales!$B:$B,""),"")</f>
        <v/>
      </c>
      <c r="F787" s="9" cm="1">
        <f t="array" ref="F787">IFERROR(_xlfn.XLOOKUP(B787,Personal!$A:$A,Personal!$F:$F,""),"")</f>
        <v>0</v>
      </c>
      <c r="I787" s="10" cm="1">
        <f t="array" ref="I787">IFERROR(INDEX(Precios!$D:$F,MATCH(N787, Precios!$G:$G, 0),CHOOSE(MATCH(H787, {"SML";"XL";"XXL"}, 0), 1, 2, 3)), 0)</f>
        <v>0</v>
      </c>
      <c r="K787" s="10">
        <f t="shared" si="30"/>
        <v>0</v>
      </c>
      <c r="N787" s="9" t="str">
        <f t="shared" si="31"/>
        <v/>
      </c>
      <c r="O787" s="9" t="str">
        <f>IF(N787="","",IF(COUNTIF(Precios!$G:$G,N787)=0,"⚠ No coincide con Precios","OK"))</f>
        <v/>
      </c>
    </row>
    <row r="788" spans="3:15" x14ac:dyDescent="0.2">
      <c r="C788" s="9" cm="1">
        <f t="array" ref="C788">IFERROR(_xlfn.XLOOKUP(B788,Personal!$A:$A,Personal!$D:$D,""),"")</f>
        <v>0</v>
      </c>
      <c r="D788" s="9" cm="1">
        <f t="array" ref="D788">IFERROR(_xlfn.XLOOKUP(B788,Personal!$A:$A,Personal!$C:$C,""),"")</f>
        <v>0</v>
      </c>
      <c r="E788" s="9" t="str" cm="1">
        <f t="array" ref="E788">IFERROR(_xlfn.XLOOKUP(D788,Locales!$A:$A,Locales!$B:$B,""),"")</f>
        <v/>
      </c>
      <c r="F788" s="9" cm="1">
        <f t="array" ref="F788">IFERROR(_xlfn.XLOOKUP(B788,Personal!$A:$A,Personal!$F:$F,""),"")</f>
        <v>0</v>
      </c>
      <c r="I788" s="10" cm="1">
        <f t="array" ref="I788">IFERROR(INDEX(Precios!$D:$F,MATCH(N788, Precios!$G:$G, 0),CHOOSE(MATCH(H788, {"SML";"XL";"XXL"}, 0), 1, 2, 3)), 0)</f>
        <v>0</v>
      </c>
      <c r="K788" s="10">
        <f t="shared" si="30"/>
        <v>0</v>
      </c>
      <c r="N788" s="9" t="str">
        <f t="shared" si="31"/>
        <v/>
      </c>
      <c r="O788" s="9" t="str">
        <f>IF(N788="","",IF(COUNTIF(Precios!$G:$G,N788)=0,"⚠ No coincide con Precios","OK"))</f>
        <v/>
      </c>
    </row>
    <row r="789" spans="3:15" x14ac:dyDescent="0.2">
      <c r="C789" s="9" cm="1">
        <f t="array" ref="C789">IFERROR(_xlfn.XLOOKUP(B789,Personal!$A:$A,Personal!$D:$D,""),"")</f>
        <v>0</v>
      </c>
      <c r="D789" s="9" cm="1">
        <f t="array" ref="D789">IFERROR(_xlfn.XLOOKUP(B789,Personal!$A:$A,Personal!$C:$C,""),"")</f>
        <v>0</v>
      </c>
      <c r="E789" s="9" t="str" cm="1">
        <f t="array" ref="E789">IFERROR(_xlfn.XLOOKUP(D789,Locales!$A:$A,Locales!$B:$B,""),"")</f>
        <v/>
      </c>
      <c r="F789" s="9" cm="1">
        <f t="array" ref="F789">IFERROR(_xlfn.XLOOKUP(B789,Personal!$A:$A,Personal!$F:$F,""),"")</f>
        <v>0</v>
      </c>
      <c r="I789" s="10" cm="1">
        <f t="array" ref="I789">IFERROR(INDEX(Precios!$D:$F,MATCH(N789, Precios!$G:$G, 0),CHOOSE(MATCH(H789, {"SML";"XL";"XXL"}, 0), 1, 2, 3)), 0)</f>
        <v>0</v>
      </c>
      <c r="K789" s="10">
        <f t="shared" si="30"/>
        <v>0</v>
      </c>
      <c r="N789" s="9" t="str">
        <f t="shared" si="31"/>
        <v/>
      </c>
      <c r="O789" s="9" t="str">
        <f>IF(N789="","",IF(COUNTIF(Precios!$G:$G,N789)=0,"⚠ No coincide con Precios","OK"))</f>
        <v/>
      </c>
    </row>
    <row r="790" spans="3:15" x14ac:dyDescent="0.2">
      <c r="C790" s="9" cm="1">
        <f t="array" ref="C790">IFERROR(_xlfn.XLOOKUP(B790,Personal!$A:$A,Personal!$D:$D,""),"")</f>
        <v>0</v>
      </c>
      <c r="D790" s="9" cm="1">
        <f t="array" ref="D790">IFERROR(_xlfn.XLOOKUP(B790,Personal!$A:$A,Personal!$C:$C,""),"")</f>
        <v>0</v>
      </c>
      <c r="E790" s="9" t="str" cm="1">
        <f t="array" ref="E790">IFERROR(_xlfn.XLOOKUP(D790,Locales!$A:$A,Locales!$B:$B,""),"")</f>
        <v/>
      </c>
      <c r="F790" s="9" cm="1">
        <f t="array" ref="F790">IFERROR(_xlfn.XLOOKUP(B790,Personal!$A:$A,Personal!$F:$F,""),"")</f>
        <v>0</v>
      </c>
      <c r="I790" s="10" cm="1">
        <f t="array" ref="I790">IFERROR(INDEX(Precios!$D:$F,MATCH(N790, Precios!$G:$G, 0),CHOOSE(MATCH(H790, {"SML";"XL";"XXL"}, 0), 1, 2, 3)), 0)</f>
        <v>0</v>
      </c>
      <c r="K790" s="10">
        <f t="shared" si="30"/>
        <v>0</v>
      </c>
      <c r="N790" s="9" t="str">
        <f t="shared" si="31"/>
        <v/>
      </c>
      <c r="O790" s="9" t="str">
        <f>IF(N790="","",IF(COUNTIF(Precios!$G:$G,N790)=0,"⚠ No coincide con Precios","OK"))</f>
        <v/>
      </c>
    </row>
    <row r="791" spans="3:15" x14ac:dyDescent="0.2">
      <c r="C791" s="9" cm="1">
        <f t="array" ref="C791">IFERROR(_xlfn.XLOOKUP(B791,Personal!$A:$A,Personal!$D:$D,""),"")</f>
        <v>0</v>
      </c>
      <c r="D791" s="9" cm="1">
        <f t="array" ref="D791">IFERROR(_xlfn.XLOOKUP(B791,Personal!$A:$A,Personal!$C:$C,""),"")</f>
        <v>0</v>
      </c>
      <c r="E791" s="9" t="str" cm="1">
        <f t="array" ref="E791">IFERROR(_xlfn.XLOOKUP(D791,Locales!$A:$A,Locales!$B:$B,""),"")</f>
        <v/>
      </c>
      <c r="F791" s="9" cm="1">
        <f t="array" ref="F791">IFERROR(_xlfn.XLOOKUP(B791,Personal!$A:$A,Personal!$F:$F,""),"")</f>
        <v>0</v>
      </c>
      <c r="I791" s="10" cm="1">
        <f t="array" ref="I791">IFERROR(INDEX(Precios!$D:$F,MATCH(N791, Precios!$G:$G, 0),CHOOSE(MATCH(H791, {"SML";"XL";"XXL"}, 0), 1, 2, 3)), 0)</f>
        <v>0</v>
      </c>
      <c r="K791" s="10">
        <f t="shared" si="30"/>
        <v>0</v>
      </c>
      <c r="N791" s="9" t="str">
        <f t="shared" si="31"/>
        <v/>
      </c>
      <c r="O791" s="9" t="str">
        <f>IF(N791="","",IF(COUNTIF(Precios!$G:$G,N791)=0,"⚠ No coincide con Precios","OK"))</f>
        <v/>
      </c>
    </row>
    <row r="792" spans="3:15" x14ac:dyDescent="0.2">
      <c r="C792" s="9" cm="1">
        <f t="array" ref="C792">IFERROR(_xlfn.XLOOKUP(B792,Personal!$A:$A,Personal!$D:$D,""),"")</f>
        <v>0</v>
      </c>
      <c r="D792" s="9" cm="1">
        <f t="array" ref="D792">IFERROR(_xlfn.XLOOKUP(B792,Personal!$A:$A,Personal!$C:$C,""),"")</f>
        <v>0</v>
      </c>
      <c r="E792" s="9" t="str" cm="1">
        <f t="array" ref="E792">IFERROR(_xlfn.XLOOKUP(D792,Locales!$A:$A,Locales!$B:$B,""),"")</f>
        <v/>
      </c>
      <c r="F792" s="9" cm="1">
        <f t="array" ref="F792">IFERROR(_xlfn.XLOOKUP(B792,Personal!$A:$A,Personal!$F:$F,""),"")</f>
        <v>0</v>
      </c>
      <c r="I792" s="10" cm="1">
        <f t="array" ref="I792">IFERROR(INDEX(Precios!$D:$F,MATCH(N792, Precios!$G:$G, 0),CHOOSE(MATCH(H792, {"SML";"XL";"XXL"}, 0), 1, 2, 3)), 0)</f>
        <v>0</v>
      </c>
      <c r="K792" s="10">
        <f t="shared" si="30"/>
        <v>0</v>
      </c>
      <c r="N792" s="9" t="str">
        <f t="shared" si="31"/>
        <v/>
      </c>
      <c r="O792" s="9" t="str">
        <f>IF(N792="","",IF(COUNTIF(Precios!$G:$G,N792)=0,"⚠ No coincide con Precios","OK"))</f>
        <v/>
      </c>
    </row>
    <row r="793" spans="3:15" x14ac:dyDescent="0.2">
      <c r="C793" s="9" cm="1">
        <f t="array" ref="C793">IFERROR(_xlfn.XLOOKUP(B793,Personal!$A:$A,Personal!$D:$D,""),"")</f>
        <v>0</v>
      </c>
      <c r="D793" s="9" cm="1">
        <f t="array" ref="D793">IFERROR(_xlfn.XLOOKUP(B793,Personal!$A:$A,Personal!$C:$C,""),"")</f>
        <v>0</v>
      </c>
      <c r="E793" s="9" t="str" cm="1">
        <f t="array" ref="E793">IFERROR(_xlfn.XLOOKUP(D793,Locales!$A:$A,Locales!$B:$B,""),"")</f>
        <v/>
      </c>
      <c r="F793" s="9" cm="1">
        <f t="array" ref="F793">IFERROR(_xlfn.XLOOKUP(B793,Personal!$A:$A,Personal!$F:$F,""),"")</f>
        <v>0</v>
      </c>
      <c r="I793" s="10" cm="1">
        <f t="array" ref="I793">IFERROR(INDEX(Precios!$D:$F,MATCH(N793, Precios!$G:$G, 0),CHOOSE(MATCH(H793, {"SML";"XL";"XXL"}, 0), 1, 2, 3)), 0)</f>
        <v>0</v>
      </c>
      <c r="K793" s="10">
        <f t="shared" si="30"/>
        <v>0</v>
      </c>
      <c r="N793" s="9" t="str">
        <f t="shared" si="31"/>
        <v/>
      </c>
      <c r="O793" s="9" t="str">
        <f>IF(N793="","",IF(COUNTIF(Precios!$G:$G,N793)=0,"⚠ No coincide con Precios","OK"))</f>
        <v/>
      </c>
    </row>
    <row r="794" spans="3:15" x14ac:dyDescent="0.2">
      <c r="C794" s="9" cm="1">
        <f t="array" ref="C794">IFERROR(_xlfn.XLOOKUP(B794,Personal!$A:$A,Personal!$D:$D,""),"")</f>
        <v>0</v>
      </c>
      <c r="D794" s="9" cm="1">
        <f t="array" ref="D794">IFERROR(_xlfn.XLOOKUP(B794,Personal!$A:$A,Personal!$C:$C,""),"")</f>
        <v>0</v>
      </c>
      <c r="E794" s="9" t="str" cm="1">
        <f t="array" ref="E794">IFERROR(_xlfn.XLOOKUP(D794,Locales!$A:$A,Locales!$B:$B,""),"")</f>
        <v/>
      </c>
      <c r="F794" s="9" cm="1">
        <f t="array" ref="F794">IFERROR(_xlfn.XLOOKUP(B794,Personal!$A:$A,Personal!$F:$F,""),"")</f>
        <v>0</v>
      </c>
      <c r="I794" s="10" cm="1">
        <f t="array" ref="I794">IFERROR(INDEX(Precios!$D:$F,MATCH(N794, Precios!$G:$G, 0),CHOOSE(MATCH(H794, {"SML";"XL";"XXL"}, 0), 1, 2, 3)), 0)</f>
        <v>0</v>
      </c>
      <c r="K794" s="10">
        <f t="shared" si="30"/>
        <v>0</v>
      </c>
      <c r="N794" s="9" t="str">
        <f t="shared" si="31"/>
        <v/>
      </c>
      <c r="O794" s="9" t="str">
        <f>IF(N794="","",IF(COUNTIF(Precios!$G:$G,N794)=0,"⚠ No coincide con Precios","OK"))</f>
        <v/>
      </c>
    </row>
    <row r="795" spans="3:15" x14ac:dyDescent="0.2">
      <c r="C795" s="9" cm="1">
        <f t="array" ref="C795">IFERROR(_xlfn.XLOOKUP(B795,Personal!$A:$A,Personal!$D:$D,""),"")</f>
        <v>0</v>
      </c>
      <c r="D795" s="9" cm="1">
        <f t="array" ref="D795">IFERROR(_xlfn.XLOOKUP(B795,Personal!$A:$A,Personal!$C:$C,""),"")</f>
        <v>0</v>
      </c>
      <c r="E795" s="9" t="str" cm="1">
        <f t="array" ref="E795">IFERROR(_xlfn.XLOOKUP(D795,Locales!$A:$A,Locales!$B:$B,""),"")</f>
        <v/>
      </c>
      <c r="F795" s="9" cm="1">
        <f t="array" ref="F795">IFERROR(_xlfn.XLOOKUP(B795,Personal!$A:$A,Personal!$F:$F,""),"")</f>
        <v>0</v>
      </c>
      <c r="I795" s="10" cm="1">
        <f t="array" ref="I795">IFERROR(INDEX(Precios!$D:$F,MATCH(N795, Precios!$G:$G, 0),CHOOSE(MATCH(H795, {"SML";"XL";"XXL"}, 0), 1, 2, 3)), 0)</f>
        <v>0</v>
      </c>
      <c r="K795" s="10">
        <f t="shared" si="30"/>
        <v>0</v>
      </c>
      <c r="N795" s="9" t="str">
        <f t="shared" si="31"/>
        <v/>
      </c>
      <c r="O795" s="9" t="str">
        <f>IF(N795="","",IF(COUNTIF(Precios!$G:$G,N795)=0,"⚠ No coincide con Precios","OK"))</f>
        <v/>
      </c>
    </row>
    <row r="796" spans="3:15" x14ac:dyDescent="0.2">
      <c r="C796" s="9" cm="1">
        <f t="array" ref="C796">IFERROR(_xlfn.XLOOKUP(B796,Personal!$A:$A,Personal!$D:$D,""),"")</f>
        <v>0</v>
      </c>
      <c r="D796" s="9" cm="1">
        <f t="array" ref="D796">IFERROR(_xlfn.XLOOKUP(B796,Personal!$A:$A,Personal!$C:$C,""),"")</f>
        <v>0</v>
      </c>
      <c r="E796" s="9" t="str" cm="1">
        <f t="array" ref="E796">IFERROR(_xlfn.XLOOKUP(D796,Locales!$A:$A,Locales!$B:$B,""),"")</f>
        <v/>
      </c>
      <c r="F796" s="9" cm="1">
        <f t="array" ref="F796">IFERROR(_xlfn.XLOOKUP(B796,Personal!$A:$A,Personal!$F:$F,""),"")</f>
        <v>0</v>
      </c>
      <c r="I796" s="10" cm="1">
        <f t="array" ref="I796">IFERROR(INDEX(Precios!$D:$F,MATCH(N796, Precios!$G:$G, 0),CHOOSE(MATCH(H796, {"SML";"XL";"XXL"}, 0), 1, 2, 3)), 0)</f>
        <v>0</v>
      </c>
      <c r="K796" s="10">
        <f t="shared" si="30"/>
        <v>0</v>
      </c>
      <c r="N796" s="9" t="str">
        <f t="shared" si="31"/>
        <v/>
      </c>
      <c r="O796" s="9" t="str">
        <f>IF(N796="","",IF(COUNTIF(Precios!$G:$G,N796)=0,"⚠ No coincide con Precios","OK"))</f>
        <v/>
      </c>
    </row>
    <row r="797" spans="3:15" x14ac:dyDescent="0.2">
      <c r="C797" s="9" cm="1">
        <f t="array" ref="C797">IFERROR(_xlfn.XLOOKUP(B797,Personal!$A:$A,Personal!$D:$D,""),"")</f>
        <v>0</v>
      </c>
      <c r="D797" s="9" cm="1">
        <f t="array" ref="D797">IFERROR(_xlfn.XLOOKUP(B797,Personal!$A:$A,Personal!$C:$C,""),"")</f>
        <v>0</v>
      </c>
      <c r="E797" s="9" t="str" cm="1">
        <f t="array" ref="E797">IFERROR(_xlfn.XLOOKUP(D797,Locales!$A:$A,Locales!$B:$B,""),"")</f>
        <v/>
      </c>
      <c r="F797" s="9" cm="1">
        <f t="array" ref="F797">IFERROR(_xlfn.XLOOKUP(B797,Personal!$A:$A,Personal!$F:$F,""),"")</f>
        <v>0</v>
      </c>
      <c r="I797" s="10" cm="1">
        <f t="array" ref="I797">IFERROR(INDEX(Precios!$D:$F,MATCH(N797, Precios!$G:$G, 0),CHOOSE(MATCH(H797, {"SML";"XL";"XXL"}, 0), 1, 2, 3)), 0)</f>
        <v>0</v>
      </c>
      <c r="K797" s="10">
        <f t="shared" si="30"/>
        <v>0</v>
      </c>
      <c r="N797" s="9" t="str">
        <f t="shared" si="31"/>
        <v/>
      </c>
      <c r="O797" s="9" t="str">
        <f>IF(N797="","",IF(COUNTIF(Precios!$G:$G,N797)=0,"⚠ No coincide con Precios","OK"))</f>
        <v/>
      </c>
    </row>
    <row r="798" spans="3:15" x14ac:dyDescent="0.2">
      <c r="C798" s="9" cm="1">
        <f t="array" ref="C798">IFERROR(_xlfn.XLOOKUP(B798,Personal!$A:$A,Personal!$D:$D,""),"")</f>
        <v>0</v>
      </c>
      <c r="D798" s="9" cm="1">
        <f t="array" ref="D798">IFERROR(_xlfn.XLOOKUP(B798,Personal!$A:$A,Personal!$C:$C,""),"")</f>
        <v>0</v>
      </c>
      <c r="E798" s="9" t="str" cm="1">
        <f t="array" ref="E798">IFERROR(_xlfn.XLOOKUP(D798,Locales!$A:$A,Locales!$B:$B,""),"")</f>
        <v/>
      </c>
      <c r="F798" s="9" cm="1">
        <f t="array" ref="F798">IFERROR(_xlfn.XLOOKUP(B798,Personal!$A:$A,Personal!$F:$F,""),"")</f>
        <v>0</v>
      </c>
      <c r="I798" s="10" cm="1">
        <f t="array" ref="I798">IFERROR(INDEX(Precios!$D:$F,MATCH(N798, Precios!$G:$G, 0),CHOOSE(MATCH(H798, {"SML";"XL";"XXL"}, 0), 1, 2, 3)), 0)</f>
        <v>0</v>
      </c>
      <c r="K798" s="10">
        <f t="shared" si="30"/>
        <v>0</v>
      </c>
      <c r="N798" s="9" t="str">
        <f t="shared" si="31"/>
        <v/>
      </c>
      <c r="O798" s="9" t="str">
        <f>IF(N798="","",IF(COUNTIF(Precios!$G:$G,N798)=0,"⚠ No coincide con Precios","OK"))</f>
        <v/>
      </c>
    </row>
    <row r="799" spans="3:15" x14ac:dyDescent="0.2">
      <c r="C799" s="9" cm="1">
        <f t="array" ref="C799">IFERROR(_xlfn.XLOOKUP(B799,Personal!$A:$A,Personal!$D:$D,""),"")</f>
        <v>0</v>
      </c>
      <c r="D799" s="9" cm="1">
        <f t="array" ref="D799">IFERROR(_xlfn.XLOOKUP(B799,Personal!$A:$A,Personal!$C:$C,""),"")</f>
        <v>0</v>
      </c>
      <c r="E799" s="9" t="str" cm="1">
        <f t="array" ref="E799">IFERROR(_xlfn.XLOOKUP(D799,Locales!$A:$A,Locales!$B:$B,""),"")</f>
        <v/>
      </c>
      <c r="F799" s="9" cm="1">
        <f t="array" ref="F799">IFERROR(_xlfn.XLOOKUP(B799,Personal!$A:$A,Personal!$F:$F,""),"")</f>
        <v>0</v>
      </c>
      <c r="I799" s="10" cm="1">
        <f t="array" ref="I799">IFERROR(INDEX(Precios!$D:$F,MATCH(N799, Precios!$G:$G, 0),CHOOSE(MATCH(H799, {"SML";"XL";"XXL"}, 0), 1, 2, 3)), 0)</f>
        <v>0</v>
      </c>
      <c r="K799" s="10">
        <f t="shared" si="30"/>
        <v>0</v>
      </c>
      <c r="N799" s="9" t="str">
        <f t="shared" si="31"/>
        <v/>
      </c>
      <c r="O799" s="9" t="str">
        <f>IF(N799="","",IF(COUNTIF(Precios!$G:$G,N799)=0,"⚠ No coincide con Precios","OK"))</f>
        <v/>
      </c>
    </row>
    <row r="800" spans="3:15" x14ac:dyDescent="0.2">
      <c r="C800" s="9" cm="1">
        <f t="array" ref="C800">IFERROR(_xlfn.XLOOKUP(B800,Personal!$A:$A,Personal!$D:$D,""),"")</f>
        <v>0</v>
      </c>
      <c r="D800" s="9" cm="1">
        <f t="array" ref="D800">IFERROR(_xlfn.XLOOKUP(B800,Personal!$A:$A,Personal!$C:$C,""),"")</f>
        <v>0</v>
      </c>
      <c r="E800" s="9" t="str" cm="1">
        <f t="array" ref="E800">IFERROR(_xlfn.XLOOKUP(D800,Locales!$A:$A,Locales!$B:$B,""),"")</f>
        <v/>
      </c>
      <c r="F800" s="9" cm="1">
        <f t="array" ref="F800">IFERROR(_xlfn.XLOOKUP(B800,Personal!$A:$A,Personal!$F:$F,""),"")</f>
        <v>0</v>
      </c>
      <c r="I800" s="10" cm="1">
        <f t="array" ref="I800">IFERROR(INDEX(Precios!$D:$F,MATCH(N800, Precios!$G:$G, 0),CHOOSE(MATCH(H800, {"SML";"XL";"XXL"}, 0), 1, 2, 3)), 0)</f>
        <v>0</v>
      </c>
      <c r="K800" s="10">
        <f t="shared" si="30"/>
        <v>0</v>
      </c>
      <c r="N800" s="9" t="str">
        <f t="shared" si="31"/>
        <v/>
      </c>
      <c r="O800" s="9" t="str">
        <f>IF(N800="","",IF(COUNTIF(Precios!$G:$G,N800)=0,"⚠ No coincide con Precios","OK"))</f>
        <v/>
      </c>
    </row>
    <row r="801" spans="3:15" x14ac:dyDescent="0.2">
      <c r="C801" s="9" cm="1">
        <f t="array" ref="C801">IFERROR(_xlfn.XLOOKUP(B801,Personal!$A:$A,Personal!$D:$D,""),"")</f>
        <v>0</v>
      </c>
      <c r="D801" s="9" cm="1">
        <f t="array" ref="D801">IFERROR(_xlfn.XLOOKUP(B801,Personal!$A:$A,Personal!$C:$C,""),"")</f>
        <v>0</v>
      </c>
      <c r="E801" s="9" t="str" cm="1">
        <f t="array" ref="E801">IFERROR(_xlfn.XLOOKUP(D801,Locales!$A:$A,Locales!$B:$B,""),"")</f>
        <v/>
      </c>
      <c r="F801" s="9" cm="1">
        <f t="array" ref="F801">IFERROR(_xlfn.XLOOKUP(B801,Personal!$A:$A,Personal!$F:$F,""),"")</f>
        <v>0</v>
      </c>
      <c r="I801" s="10" cm="1">
        <f t="array" ref="I801">IFERROR(INDEX(Precios!$D:$F,MATCH(N801, Precios!$G:$G, 0),CHOOSE(MATCH(H801, {"SML";"XL";"XXL"}, 0), 1, 2, 3)), 0)</f>
        <v>0</v>
      </c>
      <c r="K801" s="10">
        <f t="shared" si="30"/>
        <v>0</v>
      </c>
      <c r="N801" s="9" t="str">
        <f t="shared" si="31"/>
        <v/>
      </c>
      <c r="O801" s="9" t="str">
        <f>IF(N801="","",IF(COUNTIF(Precios!$G:$G,N801)=0,"⚠ No coincide con Precios","OK"))</f>
        <v/>
      </c>
    </row>
    <row r="802" spans="3:15" x14ac:dyDescent="0.2">
      <c r="C802" s="9" cm="1">
        <f t="array" ref="C802">IFERROR(_xlfn.XLOOKUP(B802,Personal!$A:$A,Personal!$D:$D,""),"")</f>
        <v>0</v>
      </c>
      <c r="D802" s="9" cm="1">
        <f t="array" ref="D802">IFERROR(_xlfn.XLOOKUP(B802,Personal!$A:$A,Personal!$C:$C,""),"")</f>
        <v>0</v>
      </c>
      <c r="E802" s="9" t="str" cm="1">
        <f t="array" ref="E802">IFERROR(_xlfn.XLOOKUP(D802,Locales!$A:$A,Locales!$B:$B,""),"")</f>
        <v/>
      </c>
      <c r="F802" s="9" cm="1">
        <f t="array" ref="F802">IFERROR(_xlfn.XLOOKUP(B802,Personal!$A:$A,Personal!$F:$F,""),"")</f>
        <v>0</v>
      </c>
      <c r="I802" s="10" cm="1">
        <f t="array" ref="I802">IFERROR(INDEX(Precios!$D:$F,MATCH(N802, Precios!$G:$G, 0),CHOOSE(MATCH(H802, {"SML";"XL";"XXL"}, 0), 1, 2, 3)), 0)</f>
        <v>0</v>
      </c>
      <c r="K802" s="10">
        <f t="shared" si="30"/>
        <v>0</v>
      </c>
      <c r="N802" s="9" t="str">
        <f t="shared" si="31"/>
        <v/>
      </c>
      <c r="O802" s="9" t="str">
        <f>IF(N802="","",IF(COUNTIF(Precios!$G:$G,N802)=0,"⚠ No coincide con Precios","OK"))</f>
        <v/>
      </c>
    </row>
    <row r="803" spans="3:15" x14ac:dyDescent="0.2">
      <c r="C803" s="9" cm="1">
        <f t="array" ref="C803">IFERROR(_xlfn.XLOOKUP(B803,Personal!$A:$A,Personal!$D:$D,""),"")</f>
        <v>0</v>
      </c>
      <c r="D803" s="9" cm="1">
        <f t="array" ref="D803">IFERROR(_xlfn.XLOOKUP(B803,Personal!$A:$A,Personal!$C:$C,""),"")</f>
        <v>0</v>
      </c>
      <c r="E803" s="9" t="str" cm="1">
        <f t="array" ref="E803">IFERROR(_xlfn.XLOOKUP(D803,Locales!$A:$A,Locales!$B:$B,""),"")</f>
        <v/>
      </c>
      <c r="F803" s="9" cm="1">
        <f t="array" ref="F803">IFERROR(_xlfn.XLOOKUP(B803,Personal!$A:$A,Personal!$F:$F,""),"")</f>
        <v>0</v>
      </c>
      <c r="I803" s="10" cm="1">
        <f t="array" ref="I803">IFERROR(INDEX(Precios!$D:$F,MATCH(N803, Precios!$G:$G, 0),CHOOSE(MATCH(H803, {"SML";"XL";"XXL"}, 0), 1, 2, 3)), 0)</f>
        <v>0</v>
      </c>
      <c r="K803" s="10">
        <f t="shared" si="30"/>
        <v>0</v>
      </c>
      <c r="N803" s="9" t="str">
        <f t="shared" si="31"/>
        <v/>
      </c>
      <c r="O803" s="9" t="str">
        <f>IF(N803="","",IF(COUNTIF(Precios!$G:$G,N803)=0,"⚠ No coincide con Precios","OK"))</f>
        <v/>
      </c>
    </row>
    <row r="804" spans="3:15" x14ac:dyDescent="0.2">
      <c r="C804" s="9" cm="1">
        <f t="array" ref="C804">IFERROR(_xlfn.XLOOKUP(B804,Personal!$A:$A,Personal!$D:$D,""),"")</f>
        <v>0</v>
      </c>
      <c r="D804" s="9" cm="1">
        <f t="array" ref="D804">IFERROR(_xlfn.XLOOKUP(B804,Personal!$A:$A,Personal!$C:$C,""),"")</f>
        <v>0</v>
      </c>
      <c r="E804" s="9" t="str" cm="1">
        <f t="array" ref="E804">IFERROR(_xlfn.XLOOKUP(D804,Locales!$A:$A,Locales!$B:$B,""),"")</f>
        <v/>
      </c>
      <c r="F804" s="9" cm="1">
        <f t="array" ref="F804">IFERROR(_xlfn.XLOOKUP(B804,Personal!$A:$A,Personal!$F:$F,""),"")</f>
        <v>0</v>
      </c>
      <c r="I804" s="10" cm="1">
        <f t="array" ref="I804">IFERROR(INDEX(Precios!$D:$F,MATCH(N804, Precios!$G:$G, 0),CHOOSE(MATCH(H804, {"SML";"XL";"XXL"}, 0), 1, 2, 3)), 0)</f>
        <v>0</v>
      </c>
      <c r="K804" s="10">
        <f t="shared" si="30"/>
        <v>0</v>
      </c>
      <c r="N804" s="9" t="str">
        <f t="shared" si="31"/>
        <v/>
      </c>
      <c r="O804" s="9" t="str">
        <f>IF(N804="","",IF(COUNTIF(Precios!$G:$G,N804)=0,"⚠ No coincide con Precios","OK"))</f>
        <v/>
      </c>
    </row>
    <row r="805" spans="3:15" x14ac:dyDescent="0.2">
      <c r="C805" s="9" cm="1">
        <f t="array" ref="C805">IFERROR(_xlfn.XLOOKUP(B805,Personal!$A:$A,Personal!$D:$D,""),"")</f>
        <v>0</v>
      </c>
      <c r="D805" s="9" cm="1">
        <f t="array" ref="D805">IFERROR(_xlfn.XLOOKUP(B805,Personal!$A:$A,Personal!$C:$C,""),"")</f>
        <v>0</v>
      </c>
      <c r="E805" s="9" t="str" cm="1">
        <f t="array" ref="E805">IFERROR(_xlfn.XLOOKUP(D805,Locales!$A:$A,Locales!$B:$B,""),"")</f>
        <v/>
      </c>
      <c r="F805" s="9" cm="1">
        <f t="array" ref="F805">IFERROR(_xlfn.XLOOKUP(B805,Personal!$A:$A,Personal!$F:$F,""),"")</f>
        <v>0</v>
      </c>
      <c r="I805" s="10" cm="1">
        <f t="array" ref="I805">IFERROR(INDEX(Precios!$D:$F,MATCH(N805, Precios!$G:$G, 0),CHOOSE(MATCH(H805, {"SML";"XL";"XXL"}, 0), 1, 2, 3)), 0)</f>
        <v>0</v>
      </c>
      <c r="K805" s="10">
        <f t="shared" si="30"/>
        <v>0</v>
      </c>
      <c r="N805" s="9" t="str">
        <f t="shared" si="31"/>
        <v/>
      </c>
      <c r="O805" s="9" t="str">
        <f>IF(N805="","",IF(COUNTIF(Precios!$G:$G,N805)=0,"⚠ No coincide con Precios","OK"))</f>
        <v/>
      </c>
    </row>
    <row r="806" spans="3:15" x14ac:dyDescent="0.2">
      <c r="C806" s="9" cm="1">
        <f t="array" ref="C806">IFERROR(_xlfn.XLOOKUP(B806,Personal!$A:$A,Personal!$D:$D,""),"")</f>
        <v>0</v>
      </c>
      <c r="D806" s="9" cm="1">
        <f t="array" ref="D806">IFERROR(_xlfn.XLOOKUP(B806,Personal!$A:$A,Personal!$C:$C,""),"")</f>
        <v>0</v>
      </c>
      <c r="E806" s="9" t="str" cm="1">
        <f t="array" ref="E806">IFERROR(_xlfn.XLOOKUP(D806,Locales!$A:$A,Locales!$B:$B,""),"")</f>
        <v/>
      </c>
      <c r="F806" s="9" cm="1">
        <f t="array" ref="F806">IFERROR(_xlfn.XLOOKUP(B806,Personal!$A:$A,Personal!$F:$F,""),"")</f>
        <v>0</v>
      </c>
      <c r="I806" s="10" cm="1">
        <f t="array" ref="I806">IFERROR(INDEX(Precios!$D:$F,MATCH(N806, Precios!$G:$G, 0),CHOOSE(MATCH(H806, {"SML";"XL";"XXL"}, 0), 1, 2, 3)), 0)</f>
        <v>0</v>
      </c>
      <c r="K806" s="10">
        <f t="shared" si="30"/>
        <v>0</v>
      </c>
      <c r="N806" s="9" t="str">
        <f t="shared" si="31"/>
        <v/>
      </c>
      <c r="O806" s="9" t="str">
        <f>IF(N806="","",IF(COUNTIF(Precios!$G:$G,N806)=0,"⚠ No coincide con Precios","OK"))</f>
        <v/>
      </c>
    </row>
    <row r="807" spans="3:15" x14ac:dyDescent="0.2">
      <c r="C807" s="9" cm="1">
        <f t="array" ref="C807">IFERROR(_xlfn.XLOOKUP(B807,Personal!$A:$A,Personal!$D:$D,""),"")</f>
        <v>0</v>
      </c>
      <c r="D807" s="9" cm="1">
        <f t="array" ref="D807">IFERROR(_xlfn.XLOOKUP(B807,Personal!$A:$A,Personal!$C:$C,""),"")</f>
        <v>0</v>
      </c>
      <c r="E807" s="9" t="str" cm="1">
        <f t="array" ref="E807">IFERROR(_xlfn.XLOOKUP(D807,Locales!$A:$A,Locales!$B:$B,""),"")</f>
        <v/>
      </c>
      <c r="F807" s="9" cm="1">
        <f t="array" ref="F807">IFERROR(_xlfn.XLOOKUP(B807,Personal!$A:$A,Personal!$F:$F,""),"")</f>
        <v>0</v>
      </c>
      <c r="I807" s="10" cm="1">
        <f t="array" ref="I807">IFERROR(INDEX(Precios!$D:$F,MATCH(N807, Precios!$G:$G, 0),CHOOSE(MATCH(H807, {"SML";"XL";"XXL"}, 0), 1, 2, 3)), 0)</f>
        <v>0</v>
      </c>
      <c r="K807" s="10">
        <f t="shared" si="30"/>
        <v>0</v>
      </c>
      <c r="N807" s="9" t="str">
        <f t="shared" si="31"/>
        <v/>
      </c>
      <c r="O807" s="9" t="str">
        <f>IF(N807="","",IF(COUNTIF(Precios!$G:$G,N807)=0,"⚠ No coincide con Precios","OK"))</f>
        <v/>
      </c>
    </row>
    <row r="808" spans="3:15" x14ac:dyDescent="0.2">
      <c r="C808" s="9" cm="1">
        <f t="array" ref="C808">IFERROR(_xlfn.XLOOKUP(B808,Personal!$A:$A,Personal!$D:$D,""),"")</f>
        <v>0</v>
      </c>
      <c r="D808" s="9" cm="1">
        <f t="array" ref="D808">IFERROR(_xlfn.XLOOKUP(B808,Personal!$A:$A,Personal!$C:$C,""),"")</f>
        <v>0</v>
      </c>
      <c r="E808" s="9" t="str" cm="1">
        <f t="array" ref="E808">IFERROR(_xlfn.XLOOKUP(D808,Locales!$A:$A,Locales!$B:$B,""),"")</f>
        <v/>
      </c>
      <c r="F808" s="9" cm="1">
        <f t="array" ref="F808">IFERROR(_xlfn.XLOOKUP(B808,Personal!$A:$A,Personal!$F:$F,""),"")</f>
        <v>0</v>
      </c>
      <c r="I808" s="10" cm="1">
        <f t="array" ref="I808">IFERROR(INDEX(Precios!$D:$F,MATCH(N808, Precios!$G:$G, 0),CHOOSE(MATCH(H808, {"SML";"XL";"XXL"}, 0), 1, 2, 3)), 0)</f>
        <v>0</v>
      </c>
      <c r="K808" s="10">
        <f t="shared" si="30"/>
        <v>0</v>
      </c>
      <c r="N808" s="9" t="str">
        <f t="shared" si="31"/>
        <v/>
      </c>
      <c r="O808" s="9" t="str">
        <f>IF(N808="","",IF(COUNTIF(Precios!$G:$G,N808)=0,"⚠ No coincide con Precios","OK"))</f>
        <v/>
      </c>
    </row>
    <row r="809" spans="3:15" x14ac:dyDescent="0.2">
      <c r="C809" s="9" cm="1">
        <f t="array" ref="C809">IFERROR(_xlfn.XLOOKUP(B809,Personal!$A:$A,Personal!$D:$D,""),"")</f>
        <v>0</v>
      </c>
      <c r="D809" s="9" cm="1">
        <f t="array" ref="D809">IFERROR(_xlfn.XLOOKUP(B809,Personal!$A:$A,Personal!$C:$C,""),"")</f>
        <v>0</v>
      </c>
      <c r="E809" s="9" t="str" cm="1">
        <f t="array" ref="E809">IFERROR(_xlfn.XLOOKUP(D809,Locales!$A:$A,Locales!$B:$B,""),"")</f>
        <v/>
      </c>
      <c r="F809" s="9" cm="1">
        <f t="array" ref="F809">IFERROR(_xlfn.XLOOKUP(B809,Personal!$A:$A,Personal!$F:$F,""),"")</f>
        <v>0</v>
      </c>
      <c r="I809" s="10" cm="1">
        <f t="array" ref="I809">IFERROR(INDEX(Precios!$D:$F,MATCH(N809, Precios!$G:$G, 0),CHOOSE(MATCH(H809, {"SML";"XL";"XXL"}, 0), 1, 2, 3)), 0)</f>
        <v>0</v>
      </c>
      <c r="K809" s="10">
        <f t="shared" si="30"/>
        <v>0</v>
      </c>
      <c r="N809" s="9" t="str">
        <f t="shared" si="31"/>
        <v/>
      </c>
      <c r="O809" s="9" t="str">
        <f>IF(N809="","",IF(COUNTIF(Precios!$G:$G,N809)=0,"⚠ No coincide con Precios","OK"))</f>
        <v/>
      </c>
    </row>
    <row r="810" spans="3:15" x14ac:dyDescent="0.2">
      <c r="C810" s="9" cm="1">
        <f t="array" ref="C810">IFERROR(_xlfn.XLOOKUP(B810,Personal!$A:$A,Personal!$D:$D,""),"")</f>
        <v>0</v>
      </c>
      <c r="D810" s="9" cm="1">
        <f t="array" ref="D810">IFERROR(_xlfn.XLOOKUP(B810,Personal!$A:$A,Personal!$C:$C,""),"")</f>
        <v>0</v>
      </c>
      <c r="E810" s="9" t="str" cm="1">
        <f t="array" ref="E810">IFERROR(_xlfn.XLOOKUP(D810,Locales!$A:$A,Locales!$B:$B,""),"")</f>
        <v/>
      </c>
      <c r="F810" s="9" cm="1">
        <f t="array" ref="F810">IFERROR(_xlfn.XLOOKUP(B810,Personal!$A:$A,Personal!$F:$F,""),"")</f>
        <v>0</v>
      </c>
      <c r="I810" s="10" cm="1">
        <f t="array" ref="I810">IFERROR(INDEX(Precios!$D:$F,MATCH(N810, Precios!$G:$G, 0),CHOOSE(MATCH(H810, {"SML";"XL";"XXL"}, 0), 1, 2, 3)), 0)</f>
        <v>0</v>
      </c>
      <c r="K810" s="10">
        <f t="shared" si="30"/>
        <v>0</v>
      </c>
      <c r="N810" s="9" t="str">
        <f t="shared" si="31"/>
        <v/>
      </c>
      <c r="O810" s="9" t="str">
        <f>IF(N810="","",IF(COUNTIF(Precios!$G:$G,N810)=0,"⚠ No coincide con Precios","OK"))</f>
        <v/>
      </c>
    </row>
    <row r="811" spans="3:15" x14ac:dyDescent="0.2">
      <c r="C811" s="9" cm="1">
        <f t="array" ref="C811">IFERROR(_xlfn.XLOOKUP(B811,Personal!$A:$A,Personal!$D:$D,""),"")</f>
        <v>0</v>
      </c>
      <c r="D811" s="9" cm="1">
        <f t="array" ref="D811">IFERROR(_xlfn.XLOOKUP(B811,Personal!$A:$A,Personal!$C:$C,""),"")</f>
        <v>0</v>
      </c>
      <c r="E811" s="9" t="str" cm="1">
        <f t="array" ref="E811">IFERROR(_xlfn.XLOOKUP(D811,Locales!$A:$A,Locales!$B:$B,""),"")</f>
        <v/>
      </c>
      <c r="F811" s="9" cm="1">
        <f t="array" ref="F811">IFERROR(_xlfn.XLOOKUP(B811,Personal!$A:$A,Personal!$F:$F,""),"")</f>
        <v>0</v>
      </c>
      <c r="I811" s="10" cm="1">
        <f t="array" ref="I811">IFERROR(INDEX(Precios!$D:$F,MATCH(N811, Precios!$G:$G, 0),CHOOSE(MATCH(H811, {"SML";"XL";"XXL"}, 0), 1, 2, 3)), 0)</f>
        <v>0</v>
      </c>
      <c r="K811" s="10">
        <f t="shared" si="30"/>
        <v>0</v>
      </c>
      <c r="N811" s="9" t="str">
        <f t="shared" si="31"/>
        <v/>
      </c>
      <c r="O811" s="9" t="str">
        <f>IF(N811="","",IF(COUNTIF(Precios!$G:$G,N811)=0,"⚠ No coincide con Precios","OK"))</f>
        <v/>
      </c>
    </row>
    <row r="812" spans="3:15" x14ac:dyDescent="0.2">
      <c r="C812" s="9" cm="1">
        <f t="array" ref="C812">IFERROR(_xlfn.XLOOKUP(B812,Personal!$A:$A,Personal!$D:$D,""),"")</f>
        <v>0</v>
      </c>
      <c r="D812" s="9" cm="1">
        <f t="array" ref="D812">IFERROR(_xlfn.XLOOKUP(B812,Personal!$A:$A,Personal!$C:$C,""),"")</f>
        <v>0</v>
      </c>
      <c r="E812" s="9" t="str" cm="1">
        <f t="array" ref="E812">IFERROR(_xlfn.XLOOKUP(D812,Locales!$A:$A,Locales!$B:$B,""),"")</f>
        <v/>
      </c>
      <c r="F812" s="9" cm="1">
        <f t="array" ref="F812">IFERROR(_xlfn.XLOOKUP(B812,Personal!$A:$A,Personal!$F:$F,""),"")</f>
        <v>0</v>
      </c>
      <c r="I812" s="10" cm="1">
        <f t="array" ref="I812">IFERROR(INDEX(Precios!$D:$F,MATCH(N812, Precios!$G:$G, 0),CHOOSE(MATCH(H812, {"SML";"XL";"XXL"}, 0), 1, 2, 3)), 0)</f>
        <v>0</v>
      </c>
      <c r="K812" s="10">
        <f t="shared" si="30"/>
        <v>0</v>
      </c>
      <c r="N812" s="9" t="str">
        <f t="shared" si="31"/>
        <v/>
      </c>
      <c r="O812" s="9" t="str">
        <f>IF(N812="","",IF(COUNTIF(Precios!$G:$G,N812)=0,"⚠ No coincide con Precios","OK"))</f>
        <v/>
      </c>
    </row>
    <row r="813" spans="3:15" x14ac:dyDescent="0.2">
      <c r="C813" s="9" cm="1">
        <f t="array" ref="C813">IFERROR(_xlfn.XLOOKUP(B813,Personal!$A:$A,Personal!$D:$D,""),"")</f>
        <v>0</v>
      </c>
      <c r="D813" s="9" cm="1">
        <f t="array" ref="D813">IFERROR(_xlfn.XLOOKUP(B813,Personal!$A:$A,Personal!$C:$C,""),"")</f>
        <v>0</v>
      </c>
      <c r="E813" s="9" t="str" cm="1">
        <f t="array" ref="E813">IFERROR(_xlfn.XLOOKUP(D813,Locales!$A:$A,Locales!$B:$B,""),"")</f>
        <v/>
      </c>
      <c r="F813" s="9" cm="1">
        <f t="array" ref="F813">IFERROR(_xlfn.XLOOKUP(B813,Personal!$A:$A,Personal!$F:$F,""),"")</f>
        <v>0</v>
      </c>
      <c r="I813" s="10" cm="1">
        <f t="array" ref="I813">IFERROR(INDEX(Precios!$D:$F,MATCH(N813, Precios!$G:$G, 0),CHOOSE(MATCH(H813, {"SML";"XL";"XXL"}, 0), 1, 2, 3)), 0)</f>
        <v>0</v>
      </c>
      <c r="K813" s="10">
        <f t="shared" si="30"/>
        <v>0</v>
      </c>
      <c r="N813" s="9" t="str">
        <f t="shared" si="31"/>
        <v/>
      </c>
      <c r="O813" s="9" t="str">
        <f>IF(N813="","",IF(COUNTIF(Precios!$G:$G,N813)=0,"⚠ No coincide con Precios","OK"))</f>
        <v/>
      </c>
    </row>
    <row r="814" spans="3:15" x14ac:dyDescent="0.2">
      <c r="C814" s="9" cm="1">
        <f t="array" ref="C814">IFERROR(_xlfn.XLOOKUP(B814,Personal!$A:$A,Personal!$D:$D,""),"")</f>
        <v>0</v>
      </c>
      <c r="D814" s="9" cm="1">
        <f t="array" ref="D814">IFERROR(_xlfn.XLOOKUP(B814,Personal!$A:$A,Personal!$C:$C,""),"")</f>
        <v>0</v>
      </c>
      <c r="E814" s="9" t="str" cm="1">
        <f t="array" ref="E814">IFERROR(_xlfn.XLOOKUP(D814,Locales!$A:$A,Locales!$B:$B,""),"")</f>
        <v/>
      </c>
      <c r="F814" s="9" cm="1">
        <f t="array" ref="F814">IFERROR(_xlfn.XLOOKUP(B814,Personal!$A:$A,Personal!$F:$F,""),"")</f>
        <v>0</v>
      </c>
      <c r="I814" s="10" cm="1">
        <f t="array" ref="I814">IFERROR(INDEX(Precios!$D:$F,MATCH(N814, Precios!$G:$G, 0),CHOOSE(MATCH(H814, {"SML";"XL";"XXL"}, 0), 1, 2, 3)), 0)</f>
        <v>0</v>
      </c>
      <c r="K814" s="10">
        <f t="shared" si="30"/>
        <v>0</v>
      </c>
      <c r="N814" s="9" t="str">
        <f t="shared" si="31"/>
        <v/>
      </c>
      <c r="O814" s="9" t="str">
        <f>IF(N814="","",IF(COUNTIF(Precios!$G:$G,N814)=0,"⚠ No coincide con Precios","OK"))</f>
        <v/>
      </c>
    </row>
    <row r="815" spans="3:15" x14ac:dyDescent="0.2">
      <c r="C815" s="9" cm="1">
        <f t="array" ref="C815">IFERROR(_xlfn.XLOOKUP(B815,Personal!$A:$A,Personal!$D:$D,""),"")</f>
        <v>0</v>
      </c>
      <c r="D815" s="9" cm="1">
        <f t="array" ref="D815">IFERROR(_xlfn.XLOOKUP(B815,Personal!$A:$A,Personal!$C:$C,""),"")</f>
        <v>0</v>
      </c>
      <c r="E815" s="9" t="str" cm="1">
        <f t="array" ref="E815">IFERROR(_xlfn.XLOOKUP(D815,Locales!$A:$A,Locales!$B:$B,""),"")</f>
        <v/>
      </c>
      <c r="F815" s="9" cm="1">
        <f t="array" ref="F815">IFERROR(_xlfn.XLOOKUP(B815,Personal!$A:$A,Personal!$F:$F,""),"")</f>
        <v>0</v>
      </c>
      <c r="I815" s="10" cm="1">
        <f t="array" ref="I815">IFERROR(INDEX(Precios!$D:$F,MATCH(N815, Precios!$G:$G, 0),CHOOSE(MATCH(H815, {"SML";"XL";"XXL"}, 0), 1, 2, 3)), 0)</f>
        <v>0</v>
      </c>
      <c r="K815" s="10">
        <f t="shared" si="30"/>
        <v>0</v>
      </c>
      <c r="N815" s="9" t="str">
        <f t="shared" si="31"/>
        <v/>
      </c>
      <c r="O815" s="9" t="str">
        <f>IF(N815="","",IF(COUNTIF(Precios!$G:$G,N815)=0,"⚠ No coincide con Precios","OK"))</f>
        <v/>
      </c>
    </row>
    <row r="816" spans="3:15" x14ac:dyDescent="0.2">
      <c r="C816" s="9" cm="1">
        <f t="array" ref="C816">IFERROR(_xlfn.XLOOKUP(B816,Personal!$A:$A,Personal!$D:$D,""),"")</f>
        <v>0</v>
      </c>
      <c r="D816" s="9" cm="1">
        <f t="array" ref="D816">IFERROR(_xlfn.XLOOKUP(B816,Personal!$A:$A,Personal!$C:$C,""),"")</f>
        <v>0</v>
      </c>
      <c r="E816" s="9" t="str" cm="1">
        <f t="array" ref="E816">IFERROR(_xlfn.XLOOKUP(D816,Locales!$A:$A,Locales!$B:$B,""),"")</f>
        <v/>
      </c>
      <c r="F816" s="9" cm="1">
        <f t="array" ref="F816">IFERROR(_xlfn.XLOOKUP(B816,Personal!$A:$A,Personal!$F:$F,""),"")</f>
        <v>0</v>
      </c>
      <c r="I816" s="10" cm="1">
        <f t="array" ref="I816">IFERROR(INDEX(Precios!$D:$F,MATCH(N816, Precios!$G:$G, 0),CHOOSE(MATCH(H816, {"SML";"XL";"XXL"}, 0), 1, 2, 3)), 0)</f>
        <v>0</v>
      </c>
      <c r="K816" s="10">
        <f t="shared" si="30"/>
        <v>0</v>
      </c>
      <c r="N816" s="9" t="str">
        <f t="shared" si="31"/>
        <v/>
      </c>
      <c r="O816" s="9" t="str">
        <f>IF(N816="","",IF(COUNTIF(Precios!$G:$G,N816)=0,"⚠ No coincide con Precios","OK"))</f>
        <v/>
      </c>
    </row>
    <row r="817" spans="3:15" x14ac:dyDescent="0.2">
      <c r="C817" s="9" cm="1">
        <f t="array" ref="C817">IFERROR(_xlfn.XLOOKUP(B817,Personal!$A:$A,Personal!$D:$D,""),"")</f>
        <v>0</v>
      </c>
      <c r="D817" s="9" cm="1">
        <f t="array" ref="D817">IFERROR(_xlfn.XLOOKUP(B817,Personal!$A:$A,Personal!$C:$C,""),"")</f>
        <v>0</v>
      </c>
      <c r="E817" s="9" t="str" cm="1">
        <f t="array" ref="E817">IFERROR(_xlfn.XLOOKUP(D817,Locales!$A:$A,Locales!$B:$B,""),"")</f>
        <v/>
      </c>
      <c r="F817" s="9" cm="1">
        <f t="array" ref="F817">IFERROR(_xlfn.XLOOKUP(B817,Personal!$A:$A,Personal!$F:$F,""),"")</f>
        <v>0</v>
      </c>
      <c r="I817" s="10" cm="1">
        <f t="array" ref="I817">IFERROR(INDEX(Precios!$D:$F,MATCH(N817, Precios!$G:$G, 0),CHOOSE(MATCH(H817, {"SML";"XL";"XXL"}, 0), 1, 2, 3)), 0)</f>
        <v>0</v>
      </c>
      <c r="K817" s="10">
        <f t="shared" si="30"/>
        <v>0</v>
      </c>
      <c r="N817" s="9" t="str">
        <f t="shared" si="31"/>
        <v/>
      </c>
      <c r="O817" s="9" t="str">
        <f>IF(N817="","",IF(COUNTIF(Precios!$G:$G,N817)=0,"⚠ No coincide con Precios","OK"))</f>
        <v/>
      </c>
    </row>
    <row r="818" spans="3:15" x14ac:dyDescent="0.2">
      <c r="C818" s="9" cm="1">
        <f t="array" ref="C818">IFERROR(_xlfn.XLOOKUP(B818,Personal!$A:$A,Personal!$D:$D,""),"")</f>
        <v>0</v>
      </c>
      <c r="D818" s="9" cm="1">
        <f t="array" ref="D818">IFERROR(_xlfn.XLOOKUP(B818,Personal!$A:$A,Personal!$C:$C,""),"")</f>
        <v>0</v>
      </c>
      <c r="E818" s="9" t="str" cm="1">
        <f t="array" ref="E818">IFERROR(_xlfn.XLOOKUP(D818,Locales!$A:$A,Locales!$B:$B,""),"")</f>
        <v/>
      </c>
      <c r="F818" s="9" cm="1">
        <f t="array" ref="F818">IFERROR(_xlfn.XLOOKUP(B818,Personal!$A:$A,Personal!$F:$F,""),"")</f>
        <v>0</v>
      </c>
      <c r="I818" s="10" cm="1">
        <f t="array" ref="I818">IFERROR(INDEX(Precios!$D:$F,MATCH(N818, Precios!$G:$G, 0),CHOOSE(MATCH(H818, {"SML";"XL";"XXL"}, 0), 1, 2, 3)), 0)</f>
        <v>0</v>
      </c>
      <c r="K818" s="10">
        <f t="shared" si="30"/>
        <v>0</v>
      </c>
      <c r="N818" s="9" t="str">
        <f t="shared" si="31"/>
        <v/>
      </c>
      <c r="O818" s="9" t="str">
        <f>IF(N818="","",IF(COUNTIF(Precios!$G:$G,N818)=0,"⚠ No coincide con Precios","OK"))</f>
        <v/>
      </c>
    </row>
    <row r="819" spans="3:15" x14ac:dyDescent="0.2">
      <c r="C819" s="9" cm="1">
        <f t="array" ref="C819">IFERROR(_xlfn.XLOOKUP(B819,Personal!$A:$A,Personal!$D:$D,""),"")</f>
        <v>0</v>
      </c>
      <c r="D819" s="9" cm="1">
        <f t="array" ref="D819">IFERROR(_xlfn.XLOOKUP(B819,Personal!$A:$A,Personal!$C:$C,""),"")</f>
        <v>0</v>
      </c>
      <c r="E819" s="9" t="str" cm="1">
        <f t="array" ref="E819">IFERROR(_xlfn.XLOOKUP(D819,Locales!$A:$A,Locales!$B:$B,""),"")</f>
        <v/>
      </c>
      <c r="F819" s="9" cm="1">
        <f t="array" ref="F819">IFERROR(_xlfn.XLOOKUP(B819,Personal!$A:$A,Personal!$F:$F,""),"")</f>
        <v>0</v>
      </c>
      <c r="I819" s="10" cm="1">
        <f t="array" ref="I819">IFERROR(INDEX(Precios!$D:$F,MATCH(N819, Precios!$G:$G, 0),CHOOSE(MATCH(H819, {"SML";"XL";"XXL"}, 0), 1, 2, 3)), 0)</f>
        <v>0</v>
      </c>
      <c r="K819" s="10">
        <f t="shared" si="30"/>
        <v>0</v>
      </c>
      <c r="N819" s="9" t="str">
        <f t="shared" si="31"/>
        <v/>
      </c>
      <c r="O819" s="9" t="str">
        <f>IF(N819="","",IF(COUNTIF(Precios!$G:$G,N819)=0,"⚠ No coincide con Precios","OK"))</f>
        <v/>
      </c>
    </row>
    <row r="820" spans="3:15" x14ac:dyDescent="0.2">
      <c r="C820" s="9" cm="1">
        <f t="array" ref="C820">IFERROR(_xlfn.XLOOKUP(B820,Personal!$A:$A,Personal!$D:$D,""),"")</f>
        <v>0</v>
      </c>
      <c r="D820" s="9" cm="1">
        <f t="array" ref="D820">IFERROR(_xlfn.XLOOKUP(B820,Personal!$A:$A,Personal!$C:$C,""),"")</f>
        <v>0</v>
      </c>
      <c r="E820" s="9" t="str" cm="1">
        <f t="array" ref="E820">IFERROR(_xlfn.XLOOKUP(D820,Locales!$A:$A,Locales!$B:$B,""),"")</f>
        <v/>
      </c>
      <c r="F820" s="9" cm="1">
        <f t="array" ref="F820">IFERROR(_xlfn.XLOOKUP(B820,Personal!$A:$A,Personal!$F:$F,""),"")</f>
        <v>0</v>
      </c>
      <c r="I820" s="10" cm="1">
        <f t="array" ref="I820">IFERROR(INDEX(Precios!$D:$F,MATCH(N820, Precios!$G:$G, 0),CHOOSE(MATCH(H820, {"SML";"XL";"XXL"}, 0), 1, 2, 3)), 0)</f>
        <v>0</v>
      </c>
      <c r="K820" s="10">
        <f t="shared" si="30"/>
        <v>0</v>
      </c>
      <c r="N820" s="9" t="str">
        <f t="shared" si="31"/>
        <v/>
      </c>
      <c r="O820" s="9" t="str">
        <f>IF(N820="","",IF(COUNTIF(Precios!$G:$G,N820)=0,"⚠ No coincide con Precios","OK"))</f>
        <v/>
      </c>
    </row>
    <row r="821" spans="3:15" x14ac:dyDescent="0.2">
      <c r="C821" s="9" cm="1">
        <f t="array" ref="C821">IFERROR(_xlfn.XLOOKUP(B821,Personal!$A:$A,Personal!$D:$D,""),"")</f>
        <v>0</v>
      </c>
      <c r="D821" s="9" cm="1">
        <f t="array" ref="D821">IFERROR(_xlfn.XLOOKUP(B821,Personal!$A:$A,Personal!$C:$C,""),"")</f>
        <v>0</v>
      </c>
      <c r="E821" s="9" t="str" cm="1">
        <f t="array" ref="E821">IFERROR(_xlfn.XLOOKUP(D821,Locales!$A:$A,Locales!$B:$B,""),"")</f>
        <v/>
      </c>
      <c r="F821" s="9" cm="1">
        <f t="array" ref="F821">IFERROR(_xlfn.XLOOKUP(B821,Personal!$A:$A,Personal!$F:$F,""),"")</f>
        <v>0</v>
      </c>
      <c r="I821" s="10" cm="1">
        <f t="array" ref="I821">IFERROR(INDEX(Precios!$D:$F,MATCH(N821, Precios!$G:$G, 0),CHOOSE(MATCH(H821, {"SML";"XL";"XXL"}, 0), 1, 2, 3)), 0)</f>
        <v>0</v>
      </c>
      <c r="K821" s="10">
        <f t="shared" si="30"/>
        <v>0</v>
      </c>
      <c r="N821" s="9" t="str">
        <f t="shared" si="31"/>
        <v/>
      </c>
      <c r="O821" s="9" t="str">
        <f>IF(N821="","",IF(COUNTIF(Precios!$G:$G,N821)=0,"⚠ No coincide con Precios","OK"))</f>
        <v/>
      </c>
    </row>
    <row r="822" spans="3:15" x14ac:dyDescent="0.2">
      <c r="C822" s="9" cm="1">
        <f t="array" ref="C822">IFERROR(_xlfn.XLOOKUP(B822,Personal!$A:$A,Personal!$D:$D,""),"")</f>
        <v>0</v>
      </c>
      <c r="D822" s="9" cm="1">
        <f t="array" ref="D822">IFERROR(_xlfn.XLOOKUP(B822,Personal!$A:$A,Personal!$C:$C,""),"")</f>
        <v>0</v>
      </c>
      <c r="E822" s="9" t="str" cm="1">
        <f t="array" ref="E822">IFERROR(_xlfn.XLOOKUP(D822,Locales!$A:$A,Locales!$B:$B,""),"")</f>
        <v/>
      </c>
      <c r="F822" s="9" cm="1">
        <f t="array" ref="F822">IFERROR(_xlfn.XLOOKUP(B822,Personal!$A:$A,Personal!$F:$F,""),"")</f>
        <v>0</v>
      </c>
      <c r="I822" s="10" cm="1">
        <f t="array" ref="I822">IFERROR(INDEX(Precios!$D:$F,MATCH(N822, Precios!$G:$G, 0),CHOOSE(MATCH(H822, {"SML";"XL";"XXL"}, 0), 1, 2, 3)), 0)</f>
        <v>0</v>
      </c>
      <c r="K822" s="10">
        <f t="shared" si="30"/>
        <v>0</v>
      </c>
      <c r="N822" s="9" t="str">
        <f t="shared" si="31"/>
        <v/>
      </c>
      <c r="O822" s="9" t="str">
        <f>IF(N822="","",IF(COUNTIF(Precios!$G:$G,N822)=0,"⚠ No coincide con Precios","OK"))</f>
        <v/>
      </c>
    </row>
    <row r="823" spans="3:15" x14ac:dyDescent="0.2">
      <c r="C823" s="9" cm="1">
        <f t="array" ref="C823">IFERROR(_xlfn.XLOOKUP(B823,Personal!$A:$A,Personal!$D:$D,""),"")</f>
        <v>0</v>
      </c>
      <c r="D823" s="9" cm="1">
        <f t="array" ref="D823">IFERROR(_xlfn.XLOOKUP(B823,Personal!$A:$A,Personal!$C:$C,""),"")</f>
        <v>0</v>
      </c>
      <c r="E823" s="9" t="str" cm="1">
        <f t="array" ref="E823">IFERROR(_xlfn.XLOOKUP(D823,Locales!$A:$A,Locales!$B:$B,""),"")</f>
        <v/>
      </c>
      <c r="F823" s="9" cm="1">
        <f t="array" ref="F823">IFERROR(_xlfn.XLOOKUP(B823,Personal!$A:$A,Personal!$F:$F,""),"")</f>
        <v>0</v>
      </c>
      <c r="I823" s="10" cm="1">
        <f t="array" ref="I823">IFERROR(INDEX(Precios!$D:$F,MATCH(N823, Precios!$G:$G, 0),CHOOSE(MATCH(H823, {"SML";"XL";"XXL"}, 0), 1, 2, 3)), 0)</f>
        <v>0</v>
      </c>
      <c r="K823" s="10">
        <f t="shared" si="30"/>
        <v>0</v>
      </c>
      <c r="N823" s="9" t="str">
        <f t="shared" si="31"/>
        <v/>
      </c>
      <c r="O823" s="9" t="str">
        <f>IF(N823="","",IF(COUNTIF(Precios!$G:$G,N823)=0,"⚠ No coincide con Precios","OK"))</f>
        <v/>
      </c>
    </row>
    <row r="824" spans="3:15" x14ac:dyDescent="0.2">
      <c r="C824" s="9" cm="1">
        <f t="array" ref="C824">IFERROR(_xlfn.XLOOKUP(B824,Personal!$A:$A,Personal!$D:$D,""),"")</f>
        <v>0</v>
      </c>
      <c r="D824" s="9" cm="1">
        <f t="array" ref="D824">IFERROR(_xlfn.XLOOKUP(B824,Personal!$A:$A,Personal!$C:$C,""),"")</f>
        <v>0</v>
      </c>
      <c r="E824" s="9" t="str" cm="1">
        <f t="array" ref="E824">IFERROR(_xlfn.XLOOKUP(D824,Locales!$A:$A,Locales!$B:$B,""),"")</f>
        <v/>
      </c>
      <c r="F824" s="9" cm="1">
        <f t="array" ref="F824">IFERROR(_xlfn.XLOOKUP(B824,Personal!$A:$A,Personal!$F:$F,""),"")</f>
        <v>0</v>
      </c>
      <c r="I824" s="10" cm="1">
        <f t="array" ref="I824">IFERROR(INDEX(Precios!$D:$F,MATCH(N824, Precios!$G:$G, 0),CHOOSE(MATCH(H824, {"SML";"XL";"XXL"}, 0), 1, 2, 3)), 0)</f>
        <v>0</v>
      </c>
      <c r="K824" s="10">
        <f t="shared" si="30"/>
        <v>0</v>
      </c>
      <c r="N824" s="9" t="str">
        <f t="shared" si="31"/>
        <v/>
      </c>
      <c r="O824" s="9" t="str">
        <f>IF(N824="","",IF(COUNTIF(Precios!$G:$G,N824)=0,"⚠ No coincide con Precios","OK"))</f>
        <v/>
      </c>
    </row>
    <row r="825" spans="3:15" x14ac:dyDescent="0.2">
      <c r="C825" s="9" cm="1">
        <f t="array" ref="C825">IFERROR(_xlfn.XLOOKUP(B825,Personal!$A:$A,Personal!$D:$D,""),"")</f>
        <v>0</v>
      </c>
      <c r="D825" s="9" cm="1">
        <f t="array" ref="D825">IFERROR(_xlfn.XLOOKUP(B825,Personal!$A:$A,Personal!$C:$C,""),"")</f>
        <v>0</v>
      </c>
      <c r="E825" s="9" t="str" cm="1">
        <f t="array" ref="E825">IFERROR(_xlfn.XLOOKUP(D825,Locales!$A:$A,Locales!$B:$B,""),"")</f>
        <v/>
      </c>
      <c r="F825" s="9" cm="1">
        <f t="array" ref="F825">IFERROR(_xlfn.XLOOKUP(B825,Personal!$A:$A,Personal!$F:$F,""),"")</f>
        <v>0</v>
      </c>
      <c r="I825" s="10" cm="1">
        <f t="array" ref="I825">IFERROR(INDEX(Precios!$D:$F,MATCH(N825, Precios!$G:$G, 0),CHOOSE(MATCH(H825, {"SML";"XL";"XXL"}, 0), 1, 2, 3)), 0)</f>
        <v>0</v>
      </c>
      <c r="K825" s="10">
        <f t="shared" si="30"/>
        <v>0</v>
      </c>
      <c r="N825" s="9" t="str">
        <f t="shared" si="31"/>
        <v/>
      </c>
      <c r="O825" s="9" t="str">
        <f>IF(N825="","",IF(COUNTIF(Precios!$G:$G,N825)=0,"⚠ No coincide con Precios","OK"))</f>
        <v/>
      </c>
    </row>
    <row r="826" spans="3:15" x14ac:dyDescent="0.2">
      <c r="C826" s="9" cm="1">
        <f t="array" ref="C826">IFERROR(_xlfn.XLOOKUP(B826,Personal!$A:$A,Personal!$D:$D,""),"")</f>
        <v>0</v>
      </c>
      <c r="D826" s="9" cm="1">
        <f t="array" ref="D826">IFERROR(_xlfn.XLOOKUP(B826,Personal!$A:$A,Personal!$C:$C,""),"")</f>
        <v>0</v>
      </c>
      <c r="E826" s="9" t="str" cm="1">
        <f t="array" ref="E826">IFERROR(_xlfn.XLOOKUP(D826,Locales!$A:$A,Locales!$B:$B,""),"")</f>
        <v/>
      </c>
      <c r="F826" s="9" cm="1">
        <f t="array" ref="F826">IFERROR(_xlfn.XLOOKUP(B826,Personal!$A:$A,Personal!$F:$F,""),"")</f>
        <v>0</v>
      </c>
      <c r="I826" s="10" cm="1">
        <f t="array" ref="I826">IFERROR(INDEX(Precios!$D:$F,MATCH(N826, Precios!$G:$G, 0),CHOOSE(MATCH(H826, {"SML";"XL";"XXL"}, 0), 1, 2, 3)), 0)</f>
        <v>0</v>
      </c>
      <c r="K826" s="10">
        <f t="shared" si="30"/>
        <v>0</v>
      </c>
      <c r="N826" s="9" t="str">
        <f t="shared" si="31"/>
        <v/>
      </c>
      <c r="O826" s="9" t="str">
        <f>IF(N826="","",IF(COUNTIF(Precios!$G:$G,N826)=0,"⚠ No coincide con Precios","OK"))</f>
        <v/>
      </c>
    </row>
    <row r="827" spans="3:15" x14ac:dyDescent="0.2">
      <c r="C827" s="9" cm="1">
        <f t="array" ref="C827">IFERROR(_xlfn.XLOOKUP(B827,Personal!$A:$A,Personal!$D:$D,""),"")</f>
        <v>0</v>
      </c>
      <c r="D827" s="9" cm="1">
        <f t="array" ref="D827">IFERROR(_xlfn.XLOOKUP(B827,Personal!$A:$A,Personal!$C:$C,""),"")</f>
        <v>0</v>
      </c>
      <c r="E827" s="9" t="str" cm="1">
        <f t="array" ref="E827">IFERROR(_xlfn.XLOOKUP(D827,Locales!$A:$A,Locales!$B:$B,""),"")</f>
        <v/>
      </c>
      <c r="F827" s="9" cm="1">
        <f t="array" ref="F827">IFERROR(_xlfn.XLOOKUP(B827,Personal!$A:$A,Personal!$F:$F,""),"")</f>
        <v>0</v>
      </c>
      <c r="I827" s="10" cm="1">
        <f t="array" ref="I827">IFERROR(INDEX(Precios!$D:$F,MATCH(N827, Precios!$G:$G, 0),CHOOSE(MATCH(H827, {"SML";"XL";"XXL"}, 0), 1, 2, 3)), 0)</f>
        <v>0</v>
      </c>
      <c r="K827" s="10">
        <f t="shared" si="30"/>
        <v>0</v>
      </c>
      <c r="N827" s="9" t="str">
        <f t="shared" si="31"/>
        <v/>
      </c>
      <c r="O827" s="9" t="str">
        <f>IF(N827="","",IF(COUNTIF(Precios!$G:$G,N827)=0,"⚠ No coincide con Precios","OK"))</f>
        <v/>
      </c>
    </row>
    <row r="828" spans="3:15" x14ac:dyDescent="0.2">
      <c r="C828" s="9" cm="1">
        <f t="array" ref="C828">IFERROR(_xlfn.XLOOKUP(B828,Personal!$A:$A,Personal!$D:$D,""),"")</f>
        <v>0</v>
      </c>
      <c r="D828" s="9" cm="1">
        <f t="array" ref="D828">IFERROR(_xlfn.XLOOKUP(B828,Personal!$A:$A,Personal!$C:$C,""),"")</f>
        <v>0</v>
      </c>
      <c r="E828" s="9" t="str" cm="1">
        <f t="array" ref="E828">IFERROR(_xlfn.XLOOKUP(D828,Locales!$A:$A,Locales!$B:$B,""),"")</f>
        <v/>
      </c>
      <c r="F828" s="9" cm="1">
        <f t="array" ref="F828">IFERROR(_xlfn.XLOOKUP(B828,Personal!$A:$A,Personal!$F:$F,""),"")</f>
        <v>0</v>
      </c>
      <c r="I828" s="10" cm="1">
        <f t="array" ref="I828">IFERROR(INDEX(Precios!$D:$F,MATCH(N828, Precios!$G:$G, 0),CHOOSE(MATCH(H828, {"SML";"XL";"XXL"}, 0), 1, 2, 3)), 0)</f>
        <v>0</v>
      </c>
      <c r="K828" s="10">
        <f t="shared" si="30"/>
        <v>0</v>
      </c>
      <c r="N828" s="9" t="str">
        <f t="shared" si="31"/>
        <v/>
      </c>
      <c r="O828" s="9" t="str">
        <f>IF(N828="","",IF(COUNTIF(Precios!$G:$G,N828)=0,"⚠ No coincide con Precios","OK"))</f>
        <v/>
      </c>
    </row>
    <row r="829" spans="3:15" x14ac:dyDescent="0.2">
      <c r="C829" s="9" cm="1">
        <f t="array" ref="C829">IFERROR(_xlfn.XLOOKUP(B829,Personal!$A:$A,Personal!$D:$D,""),"")</f>
        <v>0</v>
      </c>
      <c r="D829" s="9" cm="1">
        <f t="array" ref="D829">IFERROR(_xlfn.XLOOKUP(B829,Personal!$A:$A,Personal!$C:$C,""),"")</f>
        <v>0</v>
      </c>
      <c r="E829" s="9" t="str" cm="1">
        <f t="array" ref="E829">IFERROR(_xlfn.XLOOKUP(D829,Locales!$A:$A,Locales!$B:$B,""),"")</f>
        <v/>
      </c>
      <c r="F829" s="9" cm="1">
        <f t="array" ref="F829">IFERROR(_xlfn.XLOOKUP(B829,Personal!$A:$A,Personal!$F:$F,""),"")</f>
        <v>0</v>
      </c>
      <c r="I829" s="10" cm="1">
        <f t="array" ref="I829">IFERROR(INDEX(Precios!$D:$F,MATCH(N829, Precios!$G:$G, 0),CHOOSE(MATCH(H829, {"SML";"XL";"XXL"}, 0), 1, 2, 3)), 0)</f>
        <v>0</v>
      </c>
      <c r="K829" s="10">
        <f t="shared" si="30"/>
        <v>0</v>
      </c>
      <c r="N829" s="9" t="str">
        <f t="shared" si="31"/>
        <v/>
      </c>
      <c r="O829" s="9" t="str">
        <f>IF(N829="","",IF(COUNTIF(Precios!$G:$G,N829)=0,"⚠ No coincide con Precios","OK"))</f>
        <v/>
      </c>
    </row>
    <row r="830" spans="3:15" x14ac:dyDescent="0.2">
      <c r="C830" s="9" cm="1">
        <f t="array" ref="C830">IFERROR(_xlfn.XLOOKUP(B830,Personal!$A:$A,Personal!$D:$D,""),"")</f>
        <v>0</v>
      </c>
      <c r="D830" s="9" cm="1">
        <f t="array" ref="D830">IFERROR(_xlfn.XLOOKUP(B830,Personal!$A:$A,Personal!$C:$C,""),"")</f>
        <v>0</v>
      </c>
      <c r="E830" s="9" t="str" cm="1">
        <f t="array" ref="E830">IFERROR(_xlfn.XLOOKUP(D830,Locales!$A:$A,Locales!$B:$B,""),"")</f>
        <v/>
      </c>
      <c r="F830" s="9" cm="1">
        <f t="array" ref="F830">IFERROR(_xlfn.XLOOKUP(B830,Personal!$A:$A,Personal!$F:$F,""),"")</f>
        <v>0</v>
      </c>
      <c r="I830" s="10" cm="1">
        <f t="array" ref="I830">IFERROR(INDEX(Precios!$D:$F,MATCH(N830, Precios!$G:$G, 0),CHOOSE(MATCH(H830, {"SML";"XL";"XXL"}, 0), 1, 2, 3)), 0)</f>
        <v>0</v>
      </c>
      <c r="K830" s="10">
        <f t="shared" ref="K830:K893" si="32">IFERROR(I830*J830,0)</f>
        <v>0</v>
      </c>
      <c r="N830" s="9" t="str">
        <f t="shared" ref="N830:N893" si="33">IF( OR(E830="",F830="",G830=""), "",CLEAN(TRIM(E830)) &amp; "|" &amp; CLEAN(TRIM(F830)) &amp; "|" &amp; CLEAN(TRIM(G830)))</f>
        <v/>
      </c>
      <c r="O830" s="9" t="str">
        <f>IF(N830="","",IF(COUNTIF(Precios!$G:$G,N830)=0,"⚠ No coincide con Precios","OK"))</f>
        <v/>
      </c>
    </row>
    <row r="831" spans="3:15" x14ac:dyDescent="0.2">
      <c r="C831" s="9" cm="1">
        <f t="array" ref="C831">IFERROR(_xlfn.XLOOKUP(B831,Personal!$A:$A,Personal!$D:$D,""),"")</f>
        <v>0</v>
      </c>
      <c r="D831" s="9" cm="1">
        <f t="array" ref="D831">IFERROR(_xlfn.XLOOKUP(B831,Personal!$A:$A,Personal!$C:$C,""),"")</f>
        <v>0</v>
      </c>
      <c r="E831" s="9" t="str" cm="1">
        <f t="array" ref="E831">IFERROR(_xlfn.XLOOKUP(D831,Locales!$A:$A,Locales!$B:$B,""),"")</f>
        <v/>
      </c>
      <c r="F831" s="9" cm="1">
        <f t="array" ref="F831">IFERROR(_xlfn.XLOOKUP(B831,Personal!$A:$A,Personal!$F:$F,""),"")</f>
        <v>0</v>
      </c>
      <c r="I831" s="10" cm="1">
        <f t="array" ref="I831">IFERROR(INDEX(Precios!$D:$F,MATCH(N831, Precios!$G:$G, 0),CHOOSE(MATCH(H831, {"SML";"XL";"XXL"}, 0), 1, 2, 3)), 0)</f>
        <v>0</v>
      </c>
      <c r="K831" s="10">
        <f t="shared" si="32"/>
        <v>0</v>
      </c>
      <c r="N831" s="9" t="str">
        <f t="shared" si="33"/>
        <v/>
      </c>
      <c r="O831" s="9" t="str">
        <f>IF(N831="","",IF(COUNTIF(Precios!$G:$G,N831)=0,"⚠ No coincide con Precios","OK"))</f>
        <v/>
      </c>
    </row>
    <row r="832" spans="3:15" x14ac:dyDescent="0.2">
      <c r="C832" s="9" cm="1">
        <f t="array" ref="C832">IFERROR(_xlfn.XLOOKUP(B832,Personal!$A:$A,Personal!$D:$D,""),"")</f>
        <v>0</v>
      </c>
      <c r="D832" s="9" cm="1">
        <f t="array" ref="D832">IFERROR(_xlfn.XLOOKUP(B832,Personal!$A:$A,Personal!$C:$C,""),"")</f>
        <v>0</v>
      </c>
      <c r="E832" s="9" t="str" cm="1">
        <f t="array" ref="E832">IFERROR(_xlfn.XLOOKUP(D832,Locales!$A:$A,Locales!$B:$B,""),"")</f>
        <v/>
      </c>
      <c r="F832" s="9" cm="1">
        <f t="array" ref="F832">IFERROR(_xlfn.XLOOKUP(B832,Personal!$A:$A,Personal!$F:$F,""),"")</f>
        <v>0</v>
      </c>
      <c r="I832" s="10" cm="1">
        <f t="array" ref="I832">IFERROR(INDEX(Precios!$D:$F,MATCH(N832, Precios!$G:$G, 0),CHOOSE(MATCH(H832, {"SML";"XL";"XXL"}, 0), 1, 2, 3)), 0)</f>
        <v>0</v>
      </c>
      <c r="K832" s="10">
        <f t="shared" si="32"/>
        <v>0</v>
      </c>
      <c r="N832" s="9" t="str">
        <f t="shared" si="33"/>
        <v/>
      </c>
      <c r="O832" s="9" t="str">
        <f>IF(N832="","",IF(COUNTIF(Precios!$G:$G,N832)=0,"⚠ No coincide con Precios","OK"))</f>
        <v/>
      </c>
    </row>
    <row r="833" spans="3:15" x14ac:dyDescent="0.2">
      <c r="C833" s="9" cm="1">
        <f t="array" ref="C833">IFERROR(_xlfn.XLOOKUP(B833,Personal!$A:$A,Personal!$D:$D,""),"")</f>
        <v>0</v>
      </c>
      <c r="D833" s="9" cm="1">
        <f t="array" ref="D833">IFERROR(_xlfn.XLOOKUP(B833,Personal!$A:$A,Personal!$C:$C,""),"")</f>
        <v>0</v>
      </c>
      <c r="E833" s="9" t="str" cm="1">
        <f t="array" ref="E833">IFERROR(_xlfn.XLOOKUP(D833,Locales!$A:$A,Locales!$B:$B,""),"")</f>
        <v/>
      </c>
      <c r="F833" s="9" cm="1">
        <f t="array" ref="F833">IFERROR(_xlfn.XLOOKUP(B833,Personal!$A:$A,Personal!$F:$F,""),"")</f>
        <v>0</v>
      </c>
      <c r="I833" s="10" cm="1">
        <f t="array" ref="I833">IFERROR(INDEX(Precios!$D:$F,MATCH(N833, Precios!$G:$G, 0),CHOOSE(MATCH(H833, {"SML";"XL";"XXL"}, 0), 1, 2, 3)), 0)</f>
        <v>0</v>
      </c>
      <c r="K833" s="10">
        <f t="shared" si="32"/>
        <v>0</v>
      </c>
      <c r="N833" s="9" t="str">
        <f t="shared" si="33"/>
        <v/>
      </c>
      <c r="O833" s="9" t="str">
        <f>IF(N833="","",IF(COUNTIF(Precios!$G:$G,N833)=0,"⚠ No coincide con Precios","OK"))</f>
        <v/>
      </c>
    </row>
    <row r="834" spans="3:15" x14ac:dyDescent="0.2">
      <c r="C834" s="9" cm="1">
        <f t="array" ref="C834">IFERROR(_xlfn.XLOOKUP(B834,Personal!$A:$A,Personal!$D:$D,""),"")</f>
        <v>0</v>
      </c>
      <c r="D834" s="9" cm="1">
        <f t="array" ref="D834">IFERROR(_xlfn.XLOOKUP(B834,Personal!$A:$A,Personal!$C:$C,""),"")</f>
        <v>0</v>
      </c>
      <c r="E834" s="9" t="str" cm="1">
        <f t="array" ref="E834">IFERROR(_xlfn.XLOOKUP(D834,Locales!$A:$A,Locales!$B:$B,""),"")</f>
        <v/>
      </c>
      <c r="F834" s="9" cm="1">
        <f t="array" ref="F834">IFERROR(_xlfn.XLOOKUP(B834,Personal!$A:$A,Personal!$F:$F,""),"")</f>
        <v>0</v>
      </c>
      <c r="I834" s="10" cm="1">
        <f t="array" ref="I834">IFERROR(INDEX(Precios!$D:$F,MATCH(N834, Precios!$G:$G, 0),CHOOSE(MATCH(H834, {"SML";"XL";"XXL"}, 0), 1, 2, 3)), 0)</f>
        <v>0</v>
      </c>
      <c r="K834" s="10">
        <f t="shared" si="32"/>
        <v>0</v>
      </c>
      <c r="N834" s="9" t="str">
        <f t="shared" si="33"/>
        <v/>
      </c>
      <c r="O834" s="9" t="str">
        <f>IF(N834="","",IF(COUNTIF(Precios!$G:$G,N834)=0,"⚠ No coincide con Precios","OK"))</f>
        <v/>
      </c>
    </row>
    <row r="835" spans="3:15" x14ac:dyDescent="0.2">
      <c r="C835" s="9" cm="1">
        <f t="array" ref="C835">IFERROR(_xlfn.XLOOKUP(B835,Personal!$A:$A,Personal!$D:$D,""),"")</f>
        <v>0</v>
      </c>
      <c r="D835" s="9" cm="1">
        <f t="array" ref="D835">IFERROR(_xlfn.XLOOKUP(B835,Personal!$A:$A,Personal!$C:$C,""),"")</f>
        <v>0</v>
      </c>
      <c r="E835" s="9" t="str" cm="1">
        <f t="array" ref="E835">IFERROR(_xlfn.XLOOKUP(D835,Locales!$A:$A,Locales!$B:$B,""),"")</f>
        <v/>
      </c>
      <c r="F835" s="9" cm="1">
        <f t="array" ref="F835">IFERROR(_xlfn.XLOOKUP(B835,Personal!$A:$A,Personal!$F:$F,""),"")</f>
        <v>0</v>
      </c>
      <c r="I835" s="10" cm="1">
        <f t="array" ref="I835">IFERROR(INDEX(Precios!$D:$F,MATCH(N835, Precios!$G:$G, 0),CHOOSE(MATCH(H835, {"SML";"XL";"XXL"}, 0), 1, 2, 3)), 0)</f>
        <v>0</v>
      </c>
      <c r="K835" s="10">
        <f t="shared" si="32"/>
        <v>0</v>
      </c>
      <c r="N835" s="9" t="str">
        <f t="shared" si="33"/>
        <v/>
      </c>
      <c r="O835" s="9" t="str">
        <f>IF(N835="","",IF(COUNTIF(Precios!$G:$G,N835)=0,"⚠ No coincide con Precios","OK"))</f>
        <v/>
      </c>
    </row>
    <row r="836" spans="3:15" x14ac:dyDescent="0.2">
      <c r="C836" s="9" cm="1">
        <f t="array" ref="C836">IFERROR(_xlfn.XLOOKUP(B836,Personal!$A:$A,Personal!$D:$D,""),"")</f>
        <v>0</v>
      </c>
      <c r="D836" s="9" cm="1">
        <f t="array" ref="D836">IFERROR(_xlfn.XLOOKUP(B836,Personal!$A:$A,Personal!$C:$C,""),"")</f>
        <v>0</v>
      </c>
      <c r="E836" s="9" t="str" cm="1">
        <f t="array" ref="E836">IFERROR(_xlfn.XLOOKUP(D836,Locales!$A:$A,Locales!$B:$B,""),"")</f>
        <v/>
      </c>
      <c r="F836" s="9" cm="1">
        <f t="array" ref="F836">IFERROR(_xlfn.XLOOKUP(B836,Personal!$A:$A,Personal!$F:$F,""),"")</f>
        <v>0</v>
      </c>
      <c r="I836" s="10" cm="1">
        <f t="array" ref="I836">IFERROR(INDEX(Precios!$D:$F,MATCH(N836, Precios!$G:$G, 0),CHOOSE(MATCH(H836, {"SML";"XL";"XXL"}, 0), 1, 2, 3)), 0)</f>
        <v>0</v>
      </c>
      <c r="K836" s="10">
        <f t="shared" si="32"/>
        <v>0</v>
      </c>
      <c r="N836" s="9" t="str">
        <f t="shared" si="33"/>
        <v/>
      </c>
      <c r="O836" s="9" t="str">
        <f>IF(N836="","",IF(COUNTIF(Precios!$G:$G,N836)=0,"⚠ No coincide con Precios","OK"))</f>
        <v/>
      </c>
    </row>
    <row r="837" spans="3:15" x14ac:dyDescent="0.2">
      <c r="C837" s="9" cm="1">
        <f t="array" ref="C837">IFERROR(_xlfn.XLOOKUP(B837,Personal!$A:$A,Personal!$D:$D,""),"")</f>
        <v>0</v>
      </c>
      <c r="D837" s="9" cm="1">
        <f t="array" ref="D837">IFERROR(_xlfn.XLOOKUP(B837,Personal!$A:$A,Personal!$C:$C,""),"")</f>
        <v>0</v>
      </c>
      <c r="E837" s="9" t="str" cm="1">
        <f t="array" ref="E837">IFERROR(_xlfn.XLOOKUP(D837,Locales!$A:$A,Locales!$B:$B,""),"")</f>
        <v/>
      </c>
      <c r="F837" s="9" cm="1">
        <f t="array" ref="F837">IFERROR(_xlfn.XLOOKUP(B837,Personal!$A:$A,Personal!$F:$F,""),"")</f>
        <v>0</v>
      </c>
      <c r="I837" s="10" cm="1">
        <f t="array" ref="I837">IFERROR(INDEX(Precios!$D:$F,MATCH(N837, Precios!$G:$G, 0),CHOOSE(MATCH(H837, {"SML";"XL";"XXL"}, 0), 1, 2, 3)), 0)</f>
        <v>0</v>
      </c>
      <c r="K837" s="10">
        <f t="shared" si="32"/>
        <v>0</v>
      </c>
      <c r="N837" s="9" t="str">
        <f t="shared" si="33"/>
        <v/>
      </c>
      <c r="O837" s="9" t="str">
        <f>IF(N837="","",IF(COUNTIF(Precios!$G:$G,N837)=0,"⚠ No coincide con Precios","OK"))</f>
        <v/>
      </c>
    </row>
    <row r="838" spans="3:15" x14ac:dyDescent="0.2">
      <c r="C838" s="9" cm="1">
        <f t="array" ref="C838">IFERROR(_xlfn.XLOOKUP(B838,Personal!$A:$A,Personal!$D:$D,""),"")</f>
        <v>0</v>
      </c>
      <c r="D838" s="9" cm="1">
        <f t="array" ref="D838">IFERROR(_xlfn.XLOOKUP(B838,Personal!$A:$A,Personal!$C:$C,""),"")</f>
        <v>0</v>
      </c>
      <c r="E838" s="9" t="str" cm="1">
        <f t="array" ref="E838">IFERROR(_xlfn.XLOOKUP(D838,Locales!$A:$A,Locales!$B:$B,""),"")</f>
        <v/>
      </c>
      <c r="F838" s="9" cm="1">
        <f t="array" ref="F838">IFERROR(_xlfn.XLOOKUP(B838,Personal!$A:$A,Personal!$F:$F,""),"")</f>
        <v>0</v>
      </c>
      <c r="I838" s="10" cm="1">
        <f t="array" ref="I838">IFERROR(INDEX(Precios!$D:$F,MATCH(N838, Precios!$G:$G, 0),CHOOSE(MATCH(H838, {"SML";"XL";"XXL"}, 0), 1, 2, 3)), 0)</f>
        <v>0</v>
      </c>
      <c r="K838" s="10">
        <f t="shared" si="32"/>
        <v>0</v>
      </c>
      <c r="N838" s="9" t="str">
        <f t="shared" si="33"/>
        <v/>
      </c>
      <c r="O838" s="9" t="str">
        <f>IF(N838="","",IF(COUNTIF(Precios!$G:$G,N838)=0,"⚠ No coincide con Precios","OK"))</f>
        <v/>
      </c>
    </row>
    <row r="839" spans="3:15" x14ac:dyDescent="0.2">
      <c r="C839" s="9" cm="1">
        <f t="array" ref="C839">IFERROR(_xlfn.XLOOKUP(B839,Personal!$A:$A,Personal!$D:$D,""),"")</f>
        <v>0</v>
      </c>
      <c r="D839" s="9" cm="1">
        <f t="array" ref="D839">IFERROR(_xlfn.XLOOKUP(B839,Personal!$A:$A,Personal!$C:$C,""),"")</f>
        <v>0</v>
      </c>
      <c r="E839" s="9" t="str" cm="1">
        <f t="array" ref="E839">IFERROR(_xlfn.XLOOKUP(D839,Locales!$A:$A,Locales!$B:$B,""),"")</f>
        <v/>
      </c>
      <c r="F839" s="9" cm="1">
        <f t="array" ref="F839">IFERROR(_xlfn.XLOOKUP(B839,Personal!$A:$A,Personal!$F:$F,""),"")</f>
        <v>0</v>
      </c>
      <c r="I839" s="10" cm="1">
        <f t="array" ref="I839">IFERROR(INDEX(Precios!$D:$F,MATCH(N839, Precios!$G:$G, 0),CHOOSE(MATCH(H839, {"SML";"XL";"XXL"}, 0), 1, 2, 3)), 0)</f>
        <v>0</v>
      </c>
      <c r="K839" s="10">
        <f t="shared" si="32"/>
        <v>0</v>
      </c>
      <c r="N839" s="9" t="str">
        <f t="shared" si="33"/>
        <v/>
      </c>
      <c r="O839" s="9" t="str">
        <f>IF(N839="","",IF(COUNTIF(Precios!$G:$G,N839)=0,"⚠ No coincide con Precios","OK"))</f>
        <v/>
      </c>
    </row>
    <row r="840" spans="3:15" x14ac:dyDescent="0.2">
      <c r="C840" s="9" cm="1">
        <f t="array" ref="C840">IFERROR(_xlfn.XLOOKUP(B840,Personal!$A:$A,Personal!$D:$D,""),"")</f>
        <v>0</v>
      </c>
      <c r="D840" s="9" cm="1">
        <f t="array" ref="D840">IFERROR(_xlfn.XLOOKUP(B840,Personal!$A:$A,Personal!$C:$C,""),"")</f>
        <v>0</v>
      </c>
      <c r="E840" s="9" t="str" cm="1">
        <f t="array" ref="E840">IFERROR(_xlfn.XLOOKUP(D840,Locales!$A:$A,Locales!$B:$B,""),"")</f>
        <v/>
      </c>
      <c r="F840" s="9" cm="1">
        <f t="array" ref="F840">IFERROR(_xlfn.XLOOKUP(B840,Personal!$A:$A,Personal!$F:$F,""),"")</f>
        <v>0</v>
      </c>
      <c r="I840" s="10" cm="1">
        <f t="array" ref="I840">IFERROR(INDEX(Precios!$D:$F,MATCH(N840, Precios!$G:$G, 0),CHOOSE(MATCH(H840, {"SML";"XL";"XXL"}, 0), 1, 2, 3)), 0)</f>
        <v>0</v>
      </c>
      <c r="K840" s="10">
        <f t="shared" si="32"/>
        <v>0</v>
      </c>
      <c r="N840" s="9" t="str">
        <f t="shared" si="33"/>
        <v/>
      </c>
      <c r="O840" s="9" t="str">
        <f>IF(N840="","",IF(COUNTIF(Precios!$G:$G,N840)=0,"⚠ No coincide con Precios","OK"))</f>
        <v/>
      </c>
    </row>
    <row r="841" spans="3:15" x14ac:dyDescent="0.2">
      <c r="C841" s="9" cm="1">
        <f t="array" ref="C841">IFERROR(_xlfn.XLOOKUP(B841,Personal!$A:$A,Personal!$D:$D,""),"")</f>
        <v>0</v>
      </c>
      <c r="D841" s="9" cm="1">
        <f t="array" ref="D841">IFERROR(_xlfn.XLOOKUP(B841,Personal!$A:$A,Personal!$C:$C,""),"")</f>
        <v>0</v>
      </c>
      <c r="E841" s="9" t="str" cm="1">
        <f t="array" ref="E841">IFERROR(_xlfn.XLOOKUP(D841,Locales!$A:$A,Locales!$B:$B,""),"")</f>
        <v/>
      </c>
      <c r="F841" s="9" cm="1">
        <f t="array" ref="F841">IFERROR(_xlfn.XLOOKUP(B841,Personal!$A:$A,Personal!$F:$F,""),"")</f>
        <v>0</v>
      </c>
      <c r="I841" s="10" cm="1">
        <f t="array" ref="I841">IFERROR(INDEX(Precios!$D:$F,MATCH(N841, Precios!$G:$G, 0),CHOOSE(MATCH(H841, {"SML";"XL";"XXL"}, 0), 1, 2, 3)), 0)</f>
        <v>0</v>
      </c>
      <c r="K841" s="10">
        <f t="shared" si="32"/>
        <v>0</v>
      </c>
      <c r="N841" s="9" t="str">
        <f t="shared" si="33"/>
        <v/>
      </c>
      <c r="O841" s="9" t="str">
        <f>IF(N841="","",IF(COUNTIF(Precios!$G:$G,N841)=0,"⚠ No coincide con Precios","OK"))</f>
        <v/>
      </c>
    </row>
    <row r="842" spans="3:15" x14ac:dyDescent="0.2">
      <c r="C842" s="9" cm="1">
        <f t="array" ref="C842">IFERROR(_xlfn.XLOOKUP(B842,Personal!$A:$A,Personal!$D:$D,""),"")</f>
        <v>0</v>
      </c>
      <c r="D842" s="9" cm="1">
        <f t="array" ref="D842">IFERROR(_xlfn.XLOOKUP(B842,Personal!$A:$A,Personal!$C:$C,""),"")</f>
        <v>0</v>
      </c>
      <c r="E842" s="9" t="str" cm="1">
        <f t="array" ref="E842">IFERROR(_xlfn.XLOOKUP(D842,Locales!$A:$A,Locales!$B:$B,""),"")</f>
        <v/>
      </c>
      <c r="F842" s="9" cm="1">
        <f t="array" ref="F842">IFERROR(_xlfn.XLOOKUP(B842,Personal!$A:$A,Personal!$F:$F,""),"")</f>
        <v>0</v>
      </c>
      <c r="I842" s="10" cm="1">
        <f t="array" ref="I842">IFERROR(INDEX(Precios!$D:$F,MATCH(N842, Precios!$G:$G, 0),CHOOSE(MATCH(H842, {"SML";"XL";"XXL"}, 0), 1, 2, 3)), 0)</f>
        <v>0</v>
      </c>
      <c r="K842" s="10">
        <f t="shared" si="32"/>
        <v>0</v>
      </c>
      <c r="N842" s="9" t="str">
        <f t="shared" si="33"/>
        <v/>
      </c>
      <c r="O842" s="9" t="str">
        <f>IF(N842="","",IF(COUNTIF(Precios!$G:$G,N842)=0,"⚠ No coincide con Precios","OK"))</f>
        <v/>
      </c>
    </row>
    <row r="843" spans="3:15" x14ac:dyDescent="0.2">
      <c r="C843" s="9" cm="1">
        <f t="array" ref="C843">IFERROR(_xlfn.XLOOKUP(B843,Personal!$A:$A,Personal!$D:$D,""),"")</f>
        <v>0</v>
      </c>
      <c r="D843" s="9" cm="1">
        <f t="array" ref="D843">IFERROR(_xlfn.XLOOKUP(B843,Personal!$A:$A,Personal!$C:$C,""),"")</f>
        <v>0</v>
      </c>
      <c r="E843" s="9" t="str" cm="1">
        <f t="array" ref="E843">IFERROR(_xlfn.XLOOKUP(D843,Locales!$A:$A,Locales!$B:$B,""),"")</f>
        <v/>
      </c>
      <c r="F843" s="9" cm="1">
        <f t="array" ref="F843">IFERROR(_xlfn.XLOOKUP(B843,Personal!$A:$A,Personal!$F:$F,""),"")</f>
        <v>0</v>
      </c>
      <c r="I843" s="10" cm="1">
        <f t="array" ref="I843">IFERROR(INDEX(Precios!$D:$F,MATCH(N843, Precios!$G:$G, 0),CHOOSE(MATCH(H843, {"SML";"XL";"XXL"}, 0), 1, 2, 3)), 0)</f>
        <v>0</v>
      </c>
      <c r="K843" s="10">
        <f t="shared" si="32"/>
        <v>0</v>
      </c>
      <c r="N843" s="9" t="str">
        <f t="shared" si="33"/>
        <v/>
      </c>
      <c r="O843" s="9" t="str">
        <f>IF(N843="","",IF(COUNTIF(Precios!$G:$G,N843)=0,"⚠ No coincide con Precios","OK"))</f>
        <v/>
      </c>
    </row>
    <row r="844" spans="3:15" x14ac:dyDescent="0.2">
      <c r="C844" s="9" cm="1">
        <f t="array" ref="C844">IFERROR(_xlfn.XLOOKUP(B844,Personal!$A:$A,Personal!$D:$D,""),"")</f>
        <v>0</v>
      </c>
      <c r="D844" s="9" cm="1">
        <f t="array" ref="D844">IFERROR(_xlfn.XLOOKUP(B844,Personal!$A:$A,Personal!$C:$C,""),"")</f>
        <v>0</v>
      </c>
      <c r="E844" s="9" t="str" cm="1">
        <f t="array" ref="E844">IFERROR(_xlfn.XLOOKUP(D844,Locales!$A:$A,Locales!$B:$B,""),"")</f>
        <v/>
      </c>
      <c r="F844" s="9" cm="1">
        <f t="array" ref="F844">IFERROR(_xlfn.XLOOKUP(B844,Personal!$A:$A,Personal!$F:$F,""),"")</f>
        <v>0</v>
      </c>
      <c r="I844" s="10" cm="1">
        <f t="array" ref="I844">IFERROR(INDEX(Precios!$D:$F,MATCH(N844, Precios!$G:$G, 0),CHOOSE(MATCH(H844, {"SML";"XL";"XXL"}, 0), 1, 2, 3)), 0)</f>
        <v>0</v>
      </c>
      <c r="K844" s="10">
        <f t="shared" si="32"/>
        <v>0</v>
      </c>
      <c r="N844" s="9" t="str">
        <f t="shared" si="33"/>
        <v/>
      </c>
      <c r="O844" s="9" t="str">
        <f>IF(N844="","",IF(COUNTIF(Precios!$G:$G,N844)=0,"⚠ No coincide con Precios","OK"))</f>
        <v/>
      </c>
    </row>
    <row r="845" spans="3:15" x14ac:dyDescent="0.2">
      <c r="C845" s="9" cm="1">
        <f t="array" ref="C845">IFERROR(_xlfn.XLOOKUP(B845,Personal!$A:$A,Personal!$D:$D,""),"")</f>
        <v>0</v>
      </c>
      <c r="D845" s="9" cm="1">
        <f t="array" ref="D845">IFERROR(_xlfn.XLOOKUP(B845,Personal!$A:$A,Personal!$C:$C,""),"")</f>
        <v>0</v>
      </c>
      <c r="E845" s="9" t="str" cm="1">
        <f t="array" ref="E845">IFERROR(_xlfn.XLOOKUP(D845,Locales!$A:$A,Locales!$B:$B,""),"")</f>
        <v/>
      </c>
      <c r="F845" s="9" cm="1">
        <f t="array" ref="F845">IFERROR(_xlfn.XLOOKUP(B845,Personal!$A:$A,Personal!$F:$F,""),"")</f>
        <v>0</v>
      </c>
      <c r="I845" s="10" cm="1">
        <f t="array" ref="I845">IFERROR(INDEX(Precios!$D:$F,MATCH(N845, Precios!$G:$G, 0),CHOOSE(MATCH(H845, {"SML";"XL";"XXL"}, 0), 1, 2, 3)), 0)</f>
        <v>0</v>
      </c>
      <c r="K845" s="10">
        <f t="shared" si="32"/>
        <v>0</v>
      </c>
      <c r="N845" s="9" t="str">
        <f t="shared" si="33"/>
        <v/>
      </c>
      <c r="O845" s="9" t="str">
        <f>IF(N845="","",IF(COUNTIF(Precios!$G:$G,N845)=0,"⚠ No coincide con Precios","OK"))</f>
        <v/>
      </c>
    </row>
    <row r="846" spans="3:15" x14ac:dyDescent="0.2">
      <c r="C846" s="9" cm="1">
        <f t="array" ref="C846">IFERROR(_xlfn.XLOOKUP(B846,Personal!$A:$A,Personal!$D:$D,""),"")</f>
        <v>0</v>
      </c>
      <c r="D846" s="9" cm="1">
        <f t="array" ref="D846">IFERROR(_xlfn.XLOOKUP(B846,Personal!$A:$A,Personal!$C:$C,""),"")</f>
        <v>0</v>
      </c>
      <c r="E846" s="9" t="str" cm="1">
        <f t="array" ref="E846">IFERROR(_xlfn.XLOOKUP(D846,Locales!$A:$A,Locales!$B:$B,""),"")</f>
        <v/>
      </c>
      <c r="F846" s="9" cm="1">
        <f t="array" ref="F846">IFERROR(_xlfn.XLOOKUP(B846,Personal!$A:$A,Personal!$F:$F,""),"")</f>
        <v>0</v>
      </c>
      <c r="I846" s="10" cm="1">
        <f t="array" ref="I846">IFERROR(INDEX(Precios!$D:$F,MATCH(N846, Precios!$G:$G, 0),CHOOSE(MATCH(H846, {"SML";"XL";"XXL"}, 0), 1, 2, 3)), 0)</f>
        <v>0</v>
      </c>
      <c r="K846" s="10">
        <f t="shared" si="32"/>
        <v>0</v>
      </c>
      <c r="N846" s="9" t="str">
        <f t="shared" si="33"/>
        <v/>
      </c>
      <c r="O846" s="9" t="str">
        <f>IF(N846="","",IF(COUNTIF(Precios!$G:$G,N846)=0,"⚠ No coincide con Precios","OK"))</f>
        <v/>
      </c>
    </row>
    <row r="847" spans="3:15" x14ac:dyDescent="0.2">
      <c r="C847" s="9" cm="1">
        <f t="array" ref="C847">IFERROR(_xlfn.XLOOKUP(B847,Personal!$A:$A,Personal!$D:$D,""),"")</f>
        <v>0</v>
      </c>
      <c r="D847" s="9" cm="1">
        <f t="array" ref="D847">IFERROR(_xlfn.XLOOKUP(B847,Personal!$A:$A,Personal!$C:$C,""),"")</f>
        <v>0</v>
      </c>
      <c r="E847" s="9" t="str" cm="1">
        <f t="array" ref="E847">IFERROR(_xlfn.XLOOKUP(D847,Locales!$A:$A,Locales!$B:$B,""),"")</f>
        <v/>
      </c>
      <c r="F847" s="9" cm="1">
        <f t="array" ref="F847">IFERROR(_xlfn.XLOOKUP(B847,Personal!$A:$A,Personal!$F:$F,""),"")</f>
        <v>0</v>
      </c>
      <c r="I847" s="10" cm="1">
        <f t="array" ref="I847">IFERROR(INDEX(Precios!$D:$F,MATCH(N847, Precios!$G:$G, 0),CHOOSE(MATCH(H847, {"SML";"XL";"XXL"}, 0), 1, 2, 3)), 0)</f>
        <v>0</v>
      </c>
      <c r="K847" s="10">
        <f t="shared" si="32"/>
        <v>0</v>
      </c>
      <c r="N847" s="9" t="str">
        <f t="shared" si="33"/>
        <v/>
      </c>
      <c r="O847" s="9" t="str">
        <f>IF(N847="","",IF(COUNTIF(Precios!$G:$G,N847)=0,"⚠ No coincide con Precios","OK"))</f>
        <v/>
      </c>
    </row>
    <row r="848" spans="3:15" x14ac:dyDescent="0.2">
      <c r="C848" s="9" cm="1">
        <f t="array" ref="C848">IFERROR(_xlfn.XLOOKUP(B848,Personal!$A:$A,Personal!$D:$D,""),"")</f>
        <v>0</v>
      </c>
      <c r="D848" s="9" cm="1">
        <f t="array" ref="D848">IFERROR(_xlfn.XLOOKUP(B848,Personal!$A:$A,Personal!$C:$C,""),"")</f>
        <v>0</v>
      </c>
      <c r="E848" s="9" t="str" cm="1">
        <f t="array" ref="E848">IFERROR(_xlfn.XLOOKUP(D848,Locales!$A:$A,Locales!$B:$B,""),"")</f>
        <v/>
      </c>
      <c r="F848" s="9" cm="1">
        <f t="array" ref="F848">IFERROR(_xlfn.XLOOKUP(B848,Personal!$A:$A,Personal!$F:$F,""),"")</f>
        <v>0</v>
      </c>
      <c r="I848" s="10" cm="1">
        <f t="array" ref="I848">IFERROR(INDEX(Precios!$D:$F,MATCH(N848, Precios!$G:$G, 0),CHOOSE(MATCH(H848, {"SML";"XL";"XXL"}, 0), 1, 2, 3)), 0)</f>
        <v>0</v>
      </c>
      <c r="K848" s="10">
        <f t="shared" si="32"/>
        <v>0</v>
      </c>
      <c r="N848" s="9" t="str">
        <f t="shared" si="33"/>
        <v/>
      </c>
      <c r="O848" s="9" t="str">
        <f>IF(N848="","",IF(COUNTIF(Precios!$G:$G,N848)=0,"⚠ No coincide con Precios","OK"))</f>
        <v/>
      </c>
    </row>
    <row r="849" spans="3:15" x14ac:dyDescent="0.2">
      <c r="C849" s="9" cm="1">
        <f t="array" ref="C849">IFERROR(_xlfn.XLOOKUP(B849,Personal!$A:$A,Personal!$D:$D,""),"")</f>
        <v>0</v>
      </c>
      <c r="D849" s="9" cm="1">
        <f t="array" ref="D849">IFERROR(_xlfn.XLOOKUP(B849,Personal!$A:$A,Personal!$C:$C,""),"")</f>
        <v>0</v>
      </c>
      <c r="E849" s="9" t="str" cm="1">
        <f t="array" ref="E849">IFERROR(_xlfn.XLOOKUP(D849,Locales!$A:$A,Locales!$B:$B,""),"")</f>
        <v/>
      </c>
      <c r="F849" s="9" cm="1">
        <f t="array" ref="F849">IFERROR(_xlfn.XLOOKUP(B849,Personal!$A:$A,Personal!$F:$F,""),"")</f>
        <v>0</v>
      </c>
      <c r="I849" s="10" cm="1">
        <f t="array" ref="I849">IFERROR(INDEX(Precios!$D:$F,MATCH(N849, Precios!$G:$G, 0),CHOOSE(MATCH(H849, {"SML";"XL";"XXL"}, 0), 1, 2, 3)), 0)</f>
        <v>0</v>
      </c>
      <c r="K849" s="10">
        <f t="shared" si="32"/>
        <v>0</v>
      </c>
      <c r="N849" s="9" t="str">
        <f t="shared" si="33"/>
        <v/>
      </c>
      <c r="O849" s="9" t="str">
        <f>IF(N849="","",IF(COUNTIF(Precios!$G:$G,N849)=0,"⚠ No coincide con Precios","OK"))</f>
        <v/>
      </c>
    </row>
    <row r="850" spans="3:15" x14ac:dyDescent="0.2">
      <c r="C850" s="9" cm="1">
        <f t="array" ref="C850">IFERROR(_xlfn.XLOOKUP(B850,Personal!$A:$A,Personal!$D:$D,""),"")</f>
        <v>0</v>
      </c>
      <c r="D850" s="9" cm="1">
        <f t="array" ref="D850">IFERROR(_xlfn.XLOOKUP(B850,Personal!$A:$A,Personal!$C:$C,""),"")</f>
        <v>0</v>
      </c>
      <c r="E850" s="9" t="str" cm="1">
        <f t="array" ref="E850">IFERROR(_xlfn.XLOOKUP(D850,Locales!$A:$A,Locales!$B:$B,""),"")</f>
        <v/>
      </c>
      <c r="F850" s="9" cm="1">
        <f t="array" ref="F850">IFERROR(_xlfn.XLOOKUP(B850,Personal!$A:$A,Personal!$F:$F,""),"")</f>
        <v>0</v>
      </c>
      <c r="I850" s="10" cm="1">
        <f t="array" ref="I850">IFERROR(INDEX(Precios!$D:$F,MATCH(N850, Precios!$G:$G, 0),CHOOSE(MATCH(H850, {"SML";"XL";"XXL"}, 0), 1, 2, 3)), 0)</f>
        <v>0</v>
      </c>
      <c r="K850" s="10">
        <f t="shared" si="32"/>
        <v>0</v>
      </c>
      <c r="N850" s="9" t="str">
        <f t="shared" si="33"/>
        <v/>
      </c>
      <c r="O850" s="9" t="str">
        <f>IF(N850="","",IF(COUNTIF(Precios!$G:$G,N850)=0,"⚠ No coincide con Precios","OK"))</f>
        <v/>
      </c>
    </row>
    <row r="851" spans="3:15" x14ac:dyDescent="0.2">
      <c r="C851" s="9" cm="1">
        <f t="array" ref="C851">IFERROR(_xlfn.XLOOKUP(B851,Personal!$A:$A,Personal!$D:$D,""),"")</f>
        <v>0</v>
      </c>
      <c r="D851" s="9" cm="1">
        <f t="array" ref="D851">IFERROR(_xlfn.XLOOKUP(B851,Personal!$A:$A,Personal!$C:$C,""),"")</f>
        <v>0</v>
      </c>
      <c r="E851" s="9" t="str" cm="1">
        <f t="array" ref="E851">IFERROR(_xlfn.XLOOKUP(D851,Locales!$A:$A,Locales!$B:$B,""),"")</f>
        <v/>
      </c>
      <c r="F851" s="9" cm="1">
        <f t="array" ref="F851">IFERROR(_xlfn.XLOOKUP(B851,Personal!$A:$A,Personal!$F:$F,""),"")</f>
        <v>0</v>
      </c>
      <c r="I851" s="10" cm="1">
        <f t="array" ref="I851">IFERROR(INDEX(Precios!$D:$F,MATCH(N851, Precios!$G:$G, 0),CHOOSE(MATCH(H851, {"SML";"XL";"XXL"}, 0), 1, 2, 3)), 0)</f>
        <v>0</v>
      </c>
      <c r="K851" s="10">
        <f t="shared" si="32"/>
        <v>0</v>
      </c>
      <c r="N851" s="9" t="str">
        <f t="shared" si="33"/>
        <v/>
      </c>
      <c r="O851" s="9" t="str">
        <f>IF(N851="","",IF(COUNTIF(Precios!$G:$G,N851)=0,"⚠ No coincide con Precios","OK"))</f>
        <v/>
      </c>
    </row>
    <row r="852" spans="3:15" x14ac:dyDescent="0.2">
      <c r="C852" s="9" cm="1">
        <f t="array" ref="C852">IFERROR(_xlfn.XLOOKUP(B852,Personal!$A:$A,Personal!$D:$D,""),"")</f>
        <v>0</v>
      </c>
      <c r="D852" s="9" cm="1">
        <f t="array" ref="D852">IFERROR(_xlfn.XLOOKUP(B852,Personal!$A:$A,Personal!$C:$C,""),"")</f>
        <v>0</v>
      </c>
      <c r="E852" s="9" t="str" cm="1">
        <f t="array" ref="E852">IFERROR(_xlfn.XLOOKUP(D852,Locales!$A:$A,Locales!$B:$B,""),"")</f>
        <v/>
      </c>
      <c r="F852" s="9" cm="1">
        <f t="array" ref="F852">IFERROR(_xlfn.XLOOKUP(B852,Personal!$A:$A,Personal!$F:$F,""),"")</f>
        <v>0</v>
      </c>
      <c r="I852" s="10" cm="1">
        <f t="array" ref="I852">IFERROR(INDEX(Precios!$D:$F,MATCH(N852, Precios!$G:$G, 0),CHOOSE(MATCH(H852, {"SML";"XL";"XXL"}, 0), 1, 2, 3)), 0)</f>
        <v>0</v>
      </c>
      <c r="K852" s="10">
        <f t="shared" si="32"/>
        <v>0</v>
      </c>
      <c r="N852" s="9" t="str">
        <f t="shared" si="33"/>
        <v/>
      </c>
      <c r="O852" s="9" t="str">
        <f>IF(N852="","",IF(COUNTIF(Precios!$G:$G,N852)=0,"⚠ No coincide con Precios","OK"))</f>
        <v/>
      </c>
    </row>
    <row r="853" spans="3:15" x14ac:dyDescent="0.2">
      <c r="C853" s="9" cm="1">
        <f t="array" ref="C853">IFERROR(_xlfn.XLOOKUP(B853,Personal!$A:$A,Personal!$D:$D,""),"")</f>
        <v>0</v>
      </c>
      <c r="D853" s="9" cm="1">
        <f t="array" ref="D853">IFERROR(_xlfn.XLOOKUP(B853,Personal!$A:$A,Personal!$C:$C,""),"")</f>
        <v>0</v>
      </c>
      <c r="E853" s="9" t="str" cm="1">
        <f t="array" ref="E853">IFERROR(_xlfn.XLOOKUP(D853,Locales!$A:$A,Locales!$B:$B,""),"")</f>
        <v/>
      </c>
      <c r="F853" s="9" cm="1">
        <f t="array" ref="F853">IFERROR(_xlfn.XLOOKUP(B853,Personal!$A:$A,Personal!$F:$F,""),"")</f>
        <v>0</v>
      </c>
      <c r="I853" s="10" cm="1">
        <f t="array" ref="I853">IFERROR(INDEX(Precios!$D:$F,MATCH(N853, Precios!$G:$G, 0),CHOOSE(MATCH(H853, {"SML";"XL";"XXL"}, 0), 1, 2, 3)), 0)</f>
        <v>0</v>
      </c>
      <c r="K853" s="10">
        <f t="shared" si="32"/>
        <v>0</v>
      </c>
      <c r="N853" s="9" t="str">
        <f t="shared" si="33"/>
        <v/>
      </c>
      <c r="O853" s="9" t="str">
        <f>IF(N853="","",IF(COUNTIF(Precios!$G:$G,N853)=0,"⚠ No coincide con Precios","OK"))</f>
        <v/>
      </c>
    </row>
    <row r="854" spans="3:15" x14ac:dyDescent="0.2">
      <c r="C854" s="9" cm="1">
        <f t="array" ref="C854">IFERROR(_xlfn.XLOOKUP(B854,Personal!$A:$A,Personal!$D:$D,""),"")</f>
        <v>0</v>
      </c>
      <c r="D854" s="9" cm="1">
        <f t="array" ref="D854">IFERROR(_xlfn.XLOOKUP(B854,Personal!$A:$A,Personal!$C:$C,""),"")</f>
        <v>0</v>
      </c>
      <c r="E854" s="9" t="str" cm="1">
        <f t="array" ref="E854">IFERROR(_xlfn.XLOOKUP(D854,Locales!$A:$A,Locales!$B:$B,""),"")</f>
        <v/>
      </c>
      <c r="F854" s="9" cm="1">
        <f t="array" ref="F854">IFERROR(_xlfn.XLOOKUP(B854,Personal!$A:$A,Personal!$F:$F,""),"")</f>
        <v>0</v>
      </c>
      <c r="I854" s="10" cm="1">
        <f t="array" ref="I854">IFERROR(INDEX(Precios!$D:$F,MATCH(N854, Precios!$G:$G, 0),CHOOSE(MATCH(H854, {"SML";"XL";"XXL"}, 0), 1, 2, 3)), 0)</f>
        <v>0</v>
      </c>
      <c r="K854" s="10">
        <f t="shared" si="32"/>
        <v>0</v>
      </c>
      <c r="N854" s="9" t="str">
        <f t="shared" si="33"/>
        <v/>
      </c>
      <c r="O854" s="9" t="str">
        <f>IF(N854="","",IF(COUNTIF(Precios!$G:$G,N854)=0,"⚠ No coincide con Precios","OK"))</f>
        <v/>
      </c>
    </row>
    <row r="855" spans="3:15" x14ac:dyDescent="0.2">
      <c r="C855" s="9" cm="1">
        <f t="array" ref="C855">IFERROR(_xlfn.XLOOKUP(B855,Personal!$A:$A,Personal!$D:$D,""),"")</f>
        <v>0</v>
      </c>
      <c r="D855" s="9" cm="1">
        <f t="array" ref="D855">IFERROR(_xlfn.XLOOKUP(B855,Personal!$A:$A,Personal!$C:$C,""),"")</f>
        <v>0</v>
      </c>
      <c r="E855" s="9" t="str" cm="1">
        <f t="array" ref="E855">IFERROR(_xlfn.XLOOKUP(D855,Locales!$A:$A,Locales!$B:$B,""),"")</f>
        <v/>
      </c>
      <c r="F855" s="9" cm="1">
        <f t="array" ref="F855">IFERROR(_xlfn.XLOOKUP(B855,Personal!$A:$A,Personal!$F:$F,""),"")</f>
        <v>0</v>
      </c>
      <c r="I855" s="10" cm="1">
        <f t="array" ref="I855">IFERROR(INDEX(Precios!$D:$F,MATCH(N855, Precios!$G:$G, 0),CHOOSE(MATCH(H855, {"SML";"XL";"XXL"}, 0), 1, 2, 3)), 0)</f>
        <v>0</v>
      </c>
      <c r="K855" s="10">
        <f t="shared" si="32"/>
        <v>0</v>
      </c>
      <c r="N855" s="9" t="str">
        <f t="shared" si="33"/>
        <v/>
      </c>
      <c r="O855" s="9" t="str">
        <f>IF(N855="","",IF(COUNTIF(Precios!$G:$G,N855)=0,"⚠ No coincide con Precios","OK"))</f>
        <v/>
      </c>
    </row>
    <row r="856" spans="3:15" x14ac:dyDescent="0.2">
      <c r="C856" s="9" cm="1">
        <f t="array" ref="C856">IFERROR(_xlfn.XLOOKUP(B856,Personal!$A:$A,Personal!$D:$D,""),"")</f>
        <v>0</v>
      </c>
      <c r="D856" s="9" cm="1">
        <f t="array" ref="D856">IFERROR(_xlfn.XLOOKUP(B856,Personal!$A:$A,Personal!$C:$C,""),"")</f>
        <v>0</v>
      </c>
      <c r="E856" s="9" t="str" cm="1">
        <f t="array" ref="E856">IFERROR(_xlfn.XLOOKUP(D856,Locales!$A:$A,Locales!$B:$B,""),"")</f>
        <v/>
      </c>
      <c r="F856" s="9" cm="1">
        <f t="array" ref="F856">IFERROR(_xlfn.XLOOKUP(B856,Personal!$A:$A,Personal!$F:$F,""),"")</f>
        <v>0</v>
      </c>
      <c r="I856" s="10" cm="1">
        <f t="array" ref="I856">IFERROR(INDEX(Precios!$D:$F,MATCH(N856, Precios!$G:$G, 0),CHOOSE(MATCH(H856, {"SML";"XL";"XXL"}, 0), 1, 2, 3)), 0)</f>
        <v>0</v>
      </c>
      <c r="K856" s="10">
        <f t="shared" si="32"/>
        <v>0</v>
      </c>
      <c r="N856" s="9" t="str">
        <f t="shared" si="33"/>
        <v/>
      </c>
      <c r="O856" s="9" t="str">
        <f>IF(N856="","",IF(COUNTIF(Precios!$G:$G,N856)=0,"⚠ No coincide con Precios","OK"))</f>
        <v/>
      </c>
    </row>
    <row r="857" spans="3:15" x14ac:dyDescent="0.2">
      <c r="C857" s="9" cm="1">
        <f t="array" ref="C857">IFERROR(_xlfn.XLOOKUP(B857,Personal!$A:$A,Personal!$D:$D,""),"")</f>
        <v>0</v>
      </c>
      <c r="D857" s="9" cm="1">
        <f t="array" ref="D857">IFERROR(_xlfn.XLOOKUP(B857,Personal!$A:$A,Personal!$C:$C,""),"")</f>
        <v>0</v>
      </c>
      <c r="E857" s="9" t="str" cm="1">
        <f t="array" ref="E857">IFERROR(_xlfn.XLOOKUP(D857,Locales!$A:$A,Locales!$B:$B,""),"")</f>
        <v/>
      </c>
      <c r="F857" s="9" cm="1">
        <f t="array" ref="F857">IFERROR(_xlfn.XLOOKUP(B857,Personal!$A:$A,Personal!$F:$F,""),"")</f>
        <v>0</v>
      </c>
      <c r="I857" s="10" cm="1">
        <f t="array" ref="I857">IFERROR(INDEX(Precios!$D:$F,MATCH(N857, Precios!$G:$G, 0),CHOOSE(MATCH(H857, {"SML";"XL";"XXL"}, 0), 1, 2, 3)), 0)</f>
        <v>0</v>
      </c>
      <c r="K857" s="10">
        <f t="shared" si="32"/>
        <v>0</v>
      </c>
      <c r="N857" s="9" t="str">
        <f t="shared" si="33"/>
        <v/>
      </c>
      <c r="O857" s="9" t="str">
        <f>IF(N857="","",IF(COUNTIF(Precios!$G:$G,N857)=0,"⚠ No coincide con Precios","OK"))</f>
        <v/>
      </c>
    </row>
    <row r="858" spans="3:15" x14ac:dyDescent="0.2">
      <c r="C858" s="9" cm="1">
        <f t="array" ref="C858">IFERROR(_xlfn.XLOOKUP(B858,Personal!$A:$A,Personal!$D:$D,""),"")</f>
        <v>0</v>
      </c>
      <c r="D858" s="9" cm="1">
        <f t="array" ref="D858">IFERROR(_xlfn.XLOOKUP(B858,Personal!$A:$A,Personal!$C:$C,""),"")</f>
        <v>0</v>
      </c>
      <c r="E858" s="9" t="str" cm="1">
        <f t="array" ref="E858">IFERROR(_xlfn.XLOOKUP(D858,Locales!$A:$A,Locales!$B:$B,""),"")</f>
        <v/>
      </c>
      <c r="F858" s="9" cm="1">
        <f t="array" ref="F858">IFERROR(_xlfn.XLOOKUP(B858,Personal!$A:$A,Personal!$F:$F,""),"")</f>
        <v>0</v>
      </c>
      <c r="I858" s="10" cm="1">
        <f t="array" ref="I858">IFERROR(INDEX(Precios!$D:$F,MATCH(N858, Precios!$G:$G, 0),CHOOSE(MATCH(H858, {"SML";"XL";"XXL"}, 0), 1, 2, 3)), 0)</f>
        <v>0</v>
      </c>
      <c r="K858" s="10">
        <f t="shared" si="32"/>
        <v>0</v>
      </c>
      <c r="N858" s="9" t="str">
        <f t="shared" si="33"/>
        <v/>
      </c>
      <c r="O858" s="9" t="str">
        <f>IF(N858="","",IF(COUNTIF(Precios!$G:$G,N858)=0,"⚠ No coincide con Precios","OK"))</f>
        <v/>
      </c>
    </row>
    <row r="859" spans="3:15" x14ac:dyDescent="0.2">
      <c r="C859" s="9" cm="1">
        <f t="array" ref="C859">IFERROR(_xlfn.XLOOKUP(B859,Personal!$A:$A,Personal!$D:$D,""),"")</f>
        <v>0</v>
      </c>
      <c r="D859" s="9" cm="1">
        <f t="array" ref="D859">IFERROR(_xlfn.XLOOKUP(B859,Personal!$A:$A,Personal!$C:$C,""),"")</f>
        <v>0</v>
      </c>
      <c r="E859" s="9" t="str" cm="1">
        <f t="array" ref="E859">IFERROR(_xlfn.XLOOKUP(D859,Locales!$A:$A,Locales!$B:$B,""),"")</f>
        <v/>
      </c>
      <c r="F859" s="9" cm="1">
        <f t="array" ref="F859">IFERROR(_xlfn.XLOOKUP(B859,Personal!$A:$A,Personal!$F:$F,""),"")</f>
        <v>0</v>
      </c>
      <c r="I859" s="10" cm="1">
        <f t="array" ref="I859">IFERROR(INDEX(Precios!$D:$F,MATCH(N859, Precios!$G:$G, 0),CHOOSE(MATCH(H859, {"SML";"XL";"XXL"}, 0), 1, 2, 3)), 0)</f>
        <v>0</v>
      </c>
      <c r="K859" s="10">
        <f t="shared" si="32"/>
        <v>0</v>
      </c>
      <c r="N859" s="9" t="str">
        <f t="shared" si="33"/>
        <v/>
      </c>
      <c r="O859" s="9" t="str">
        <f>IF(N859="","",IF(COUNTIF(Precios!$G:$G,N859)=0,"⚠ No coincide con Precios","OK"))</f>
        <v/>
      </c>
    </row>
    <row r="860" spans="3:15" x14ac:dyDescent="0.2">
      <c r="C860" s="9" cm="1">
        <f t="array" ref="C860">IFERROR(_xlfn.XLOOKUP(B860,Personal!$A:$A,Personal!$D:$D,""),"")</f>
        <v>0</v>
      </c>
      <c r="D860" s="9" cm="1">
        <f t="array" ref="D860">IFERROR(_xlfn.XLOOKUP(B860,Personal!$A:$A,Personal!$C:$C,""),"")</f>
        <v>0</v>
      </c>
      <c r="E860" s="9" t="str" cm="1">
        <f t="array" ref="E860">IFERROR(_xlfn.XLOOKUP(D860,Locales!$A:$A,Locales!$B:$B,""),"")</f>
        <v/>
      </c>
      <c r="F860" s="9" cm="1">
        <f t="array" ref="F860">IFERROR(_xlfn.XLOOKUP(B860,Personal!$A:$A,Personal!$F:$F,""),"")</f>
        <v>0</v>
      </c>
      <c r="I860" s="10" cm="1">
        <f t="array" ref="I860">IFERROR(INDEX(Precios!$D:$F,MATCH(N860, Precios!$G:$G, 0),CHOOSE(MATCH(H860, {"SML";"XL";"XXL"}, 0), 1, 2, 3)), 0)</f>
        <v>0</v>
      </c>
      <c r="K860" s="10">
        <f t="shared" si="32"/>
        <v>0</v>
      </c>
      <c r="N860" s="9" t="str">
        <f t="shared" si="33"/>
        <v/>
      </c>
      <c r="O860" s="9" t="str">
        <f>IF(N860="","",IF(COUNTIF(Precios!$G:$G,N860)=0,"⚠ No coincide con Precios","OK"))</f>
        <v/>
      </c>
    </row>
    <row r="861" spans="3:15" x14ac:dyDescent="0.2">
      <c r="C861" s="9" cm="1">
        <f t="array" ref="C861">IFERROR(_xlfn.XLOOKUP(B861,Personal!$A:$A,Personal!$D:$D,""),"")</f>
        <v>0</v>
      </c>
      <c r="D861" s="9" cm="1">
        <f t="array" ref="D861">IFERROR(_xlfn.XLOOKUP(B861,Personal!$A:$A,Personal!$C:$C,""),"")</f>
        <v>0</v>
      </c>
      <c r="E861" s="9" t="str" cm="1">
        <f t="array" ref="E861">IFERROR(_xlfn.XLOOKUP(D861,Locales!$A:$A,Locales!$B:$B,""),"")</f>
        <v/>
      </c>
      <c r="F861" s="9" cm="1">
        <f t="array" ref="F861">IFERROR(_xlfn.XLOOKUP(B861,Personal!$A:$A,Personal!$F:$F,""),"")</f>
        <v>0</v>
      </c>
      <c r="I861" s="10" cm="1">
        <f t="array" ref="I861">IFERROR(INDEX(Precios!$D:$F,MATCH(N861, Precios!$G:$G, 0),CHOOSE(MATCH(H861, {"SML";"XL";"XXL"}, 0), 1, 2, 3)), 0)</f>
        <v>0</v>
      </c>
      <c r="K861" s="10">
        <f t="shared" si="32"/>
        <v>0</v>
      </c>
      <c r="N861" s="9" t="str">
        <f t="shared" si="33"/>
        <v/>
      </c>
      <c r="O861" s="9" t="str">
        <f>IF(N861="","",IF(COUNTIF(Precios!$G:$G,N861)=0,"⚠ No coincide con Precios","OK"))</f>
        <v/>
      </c>
    </row>
    <row r="862" spans="3:15" x14ac:dyDescent="0.2">
      <c r="C862" s="9" cm="1">
        <f t="array" ref="C862">IFERROR(_xlfn.XLOOKUP(B862,Personal!$A:$A,Personal!$D:$D,""),"")</f>
        <v>0</v>
      </c>
      <c r="D862" s="9" cm="1">
        <f t="array" ref="D862">IFERROR(_xlfn.XLOOKUP(B862,Personal!$A:$A,Personal!$C:$C,""),"")</f>
        <v>0</v>
      </c>
      <c r="E862" s="9" t="str" cm="1">
        <f t="array" ref="E862">IFERROR(_xlfn.XLOOKUP(D862,Locales!$A:$A,Locales!$B:$B,""),"")</f>
        <v/>
      </c>
      <c r="F862" s="9" cm="1">
        <f t="array" ref="F862">IFERROR(_xlfn.XLOOKUP(B862,Personal!$A:$A,Personal!$F:$F,""),"")</f>
        <v>0</v>
      </c>
      <c r="I862" s="10" cm="1">
        <f t="array" ref="I862">IFERROR(INDEX(Precios!$D:$F,MATCH(N862, Precios!$G:$G, 0),CHOOSE(MATCH(H862, {"SML";"XL";"XXL"}, 0), 1, 2, 3)), 0)</f>
        <v>0</v>
      </c>
      <c r="K862" s="10">
        <f t="shared" si="32"/>
        <v>0</v>
      </c>
      <c r="N862" s="9" t="str">
        <f t="shared" si="33"/>
        <v/>
      </c>
      <c r="O862" s="9" t="str">
        <f>IF(N862="","",IF(COUNTIF(Precios!$G:$G,N862)=0,"⚠ No coincide con Precios","OK"))</f>
        <v/>
      </c>
    </row>
    <row r="863" spans="3:15" x14ac:dyDescent="0.2">
      <c r="C863" s="9" cm="1">
        <f t="array" ref="C863">IFERROR(_xlfn.XLOOKUP(B863,Personal!$A:$A,Personal!$D:$D,""),"")</f>
        <v>0</v>
      </c>
      <c r="D863" s="9" cm="1">
        <f t="array" ref="D863">IFERROR(_xlfn.XLOOKUP(B863,Personal!$A:$A,Personal!$C:$C,""),"")</f>
        <v>0</v>
      </c>
      <c r="E863" s="9" t="str" cm="1">
        <f t="array" ref="E863">IFERROR(_xlfn.XLOOKUP(D863,Locales!$A:$A,Locales!$B:$B,""),"")</f>
        <v/>
      </c>
      <c r="F863" s="9" cm="1">
        <f t="array" ref="F863">IFERROR(_xlfn.XLOOKUP(B863,Personal!$A:$A,Personal!$F:$F,""),"")</f>
        <v>0</v>
      </c>
      <c r="I863" s="10" cm="1">
        <f t="array" ref="I863">IFERROR(INDEX(Precios!$D:$F,MATCH(N863, Precios!$G:$G, 0),CHOOSE(MATCH(H863, {"SML";"XL";"XXL"}, 0), 1, 2, 3)), 0)</f>
        <v>0</v>
      </c>
      <c r="K863" s="10">
        <f t="shared" si="32"/>
        <v>0</v>
      </c>
      <c r="N863" s="9" t="str">
        <f t="shared" si="33"/>
        <v/>
      </c>
      <c r="O863" s="9" t="str">
        <f>IF(N863="","",IF(COUNTIF(Precios!$G:$G,N863)=0,"⚠ No coincide con Precios","OK"))</f>
        <v/>
      </c>
    </row>
    <row r="864" spans="3:15" x14ac:dyDescent="0.2">
      <c r="C864" s="9" cm="1">
        <f t="array" ref="C864">IFERROR(_xlfn.XLOOKUP(B864,Personal!$A:$A,Personal!$D:$D,""),"")</f>
        <v>0</v>
      </c>
      <c r="D864" s="9" cm="1">
        <f t="array" ref="D864">IFERROR(_xlfn.XLOOKUP(B864,Personal!$A:$A,Personal!$C:$C,""),"")</f>
        <v>0</v>
      </c>
      <c r="E864" s="9" t="str" cm="1">
        <f t="array" ref="E864">IFERROR(_xlfn.XLOOKUP(D864,Locales!$A:$A,Locales!$B:$B,""),"")</f>
        <v/>
      </c>
      <c r="F864" s="9" cm="1">
        <f t="array" ref="F864">IFERROR(_xlfn.XLOOKUP(B864,Personal!$A:$A,Personal!$F:$F,""),"")</f>
        <v>0</v>
      </c>
      <c r="I864" s="10" cm="1">
        <f t="array" ref="I864">IFERROR(INDEX(Precios!$D:$F,MATCH(N864, Precios!$G:$G, 0),CHOOSE(MATCH(H864, {"SML";"XL";"XXL"}, 0), 1, 2, 3)), 0)</f>
        <v>0</v>
      </c>
      <c r="K864" s="10">
        <f t="shared" si="32"/>
        <v>0</v>
      </c>
      <c r="N864" s="9" t="str">
        <f t="shared" si="33"/>
        <v/>
      </c>
      <c r="O864" s="9" t="str">
        <f>IF(N864="","",IF(COUNTIF(Precios!$G:$G,N864)=0,"⚠ No coincide con Precios","OK"))</f>
        <v/>
      </c>
    </row>
    <row r="865" spans="3:15" x14ac:dyDescent="0.2">
      <c r="C865" s="9" cm="1">
        <f t="array" ref="C865">IFERROR(_xlfn.XLOOKUP(B865,Personal!$A:$A,Personal!$D:$D,""),"")</f>
        <v>0</v>
      </c>
      <c r="D865" s="9" cm="1">
        <f t="array" ref="D865">IFERROR(_xlfn.XLOOKUP(B865,Personal!$A:$A,Personal!$C:$C,""),"")</f>
        <v>0</v>
      </c>
      <c r="E865" s="9" t="str" cm="1">
        <f t="array" ref="E865">IFERROR(_xlfn.XLOOKUP(D865,Locales!$A:$A,Locales!$B:$B,""),"")</f>
        <v/>
      </c>
      <c r="F865" s="9" cm="1">
        <f t="array" ref="F865">IFERROR(_xlfn.XLOOKUP(B865,Personal!$A:$A,Personal!$F:$F,""),"")</f>
        <v>0</v>
      </c>
      <c r="I865" s="10" cm="1">
        <f t="array" ref="I865">IFERROR(INDEX(Precios!$D:$F,MATCH(N865, Precios!$G:$G, 0),CHOOSE(MATCH(H865, {"SML";"XL";"XXL"}, 0), 1, 2, 3)), 0)</f>
        <v>0</v>
      </c>
      <c r="K865" s="10">
        <f t="shared" si="32"/>
        <v>0</v>
      </c>
      <c r="N865" s="9" t="str">
        <f t="shared" si="33"/>
        <v/>
      </c>
      <c r="O865" s="9" t="str">
        <f>IF(N865="","",IF(COUNTIF(Precios!$G:$G,N865)=0,"⚠ No coincide con Precios","OK"))</f>
        <v/>
      </c>
    </row>
    <row r="866" spans="3:15" x14ac:dyDescent="0.2">
      <c r="C866" s="9" cm="1">
        <f t="array" ref="C866">IFERROR(_xlfn.XLOOKUP(B866,Personal!$A:$A,Personal!$D:$D,""),"")</f>
        <v>0</v>
      </c>
      <c r="D866" s="9" cm="1">
        <f t="array" ref="D866">IFERROR(_xlfn.XLOOKUP(B866,Personal!$A:$A,Personal!$C:$C,""),"")</f>
        <v>0</v>
      </c>
      <c r="E866" s="9" t="str" cm="1">
        <f t="array" ref="E866">IFERROR(_xlfn.XLOOKUP(D866,Locales!$A:$A,Locales!$B:$B,""),"")</f>
        <v/>
      </c>
      <c r="F866" s="9" cm="1">
        <f t="array" ref="F866">IFERROR(_xlfn.XLOOKUP(B866,Personal!$A:$A,Personal!$F:$F,""),"")</f>
        <v>0</v>
      </c>
      <c r="I866" s="10" cm="1">
        <f t="array" ref="I866">IFERROR(INDEX(Precios!$D:$F,MATCH(N866, Precios!$G:$G, 0),CHOOSE(MATCH(H866, {"SML";"XL";"XXL"}, 0), 1, 2, 3)), 0)</f>
        <v>0</v>
      </c>
      <c r="K866" s="10">
        <f t="shared" si="32"/>
        <v>0</v>
      </c>
      <c r="N866" s="9" t="str">
        <f t="shared" si="33"/>
        <v/>
      </c>
      <c r="O866" s="9" t="str">
        <f>IF(N866="","",IF(COUNTIF(Precios!$G:$G,N866)=0,"⚠ No coincide con Precios","OK"))</f>
        <v/>
      </c>
    </row>
    <row r="867" spans="3:15" x14ac:dyDescent="0.2">
      <c r="C867" s="9" cm="1">
        <f t="array" ref="C867">IFERROR(_xlfn.XLOOKUP(B867,Personal!$A:$A,Personal!$D:$D,""),"")</f>
        <v>0</v>
      </c>
      <c r="D867" s="9" cm="1">
        <f t="array" ref="D867">IFERROR(_xlfn.XLOOKUP(B867,Personal!$A:$A,Personal!$C:$C,""),"")</f>
        <v>0</v>
      </c>
      <c r="E867" s="9" t="str" cm="1">
        <f t="array" ref="E867">IFERROR(_xlfn.XLOOKUP(D867,Locales!$A:$A,Locales!$B:$B,""),"")</f>
        <v/>
      </c>
      <c r="F867" s="9" cm="1">
        <f t="array" ref="F867">IFERROR(_xlfn.XLOOKUP(B867,Personal!$A:$A,Personal!$F:$F,""),"")</f>
        <v>0</v>
      </c>
      <c r="I867" s="10" cm="1">
        <f t="array" ref="I867">IFERROR(INDEX(Precios!$D:$F,MATCH(N867, Precios!$G:$G, 0),CHOOSE(MATCH(H867, {"SML";"XL";"XXL"}, 0), 1, 2, 3)), 0)</f>
        <v>0</v>
      </c>
      <c r="K867" s="10">
        <f t="shared" si="32"/>
        <v>0</v>
      </c>
      <c r="N867" s="9" t="str">
        <f t="shared" si="33"/>
        <v/>
      </c>
      <c r="O867" s="9" t="str">
        <f>IF(N867="","",IF(COUNTIF(Precios!$G:$G,N867)=0,"⚠ No coincide con Precios","OK"))</f>
        <v/>
      </c>
    </row>
    <row r="868" spans="3:15" x14ac:dyDescent="0.2">
      <c r="C868" s="9" cm="1">
        <f t="array" ref="C868">IFERROR(_xlfn.XLOOKUP(B868,Personal!$A:$A,Personal!$D:$D,""),"")</f>
        <v>0</v>
      </c>
      <c r="D868" s="9" cm="1">
        <f t="array" ref="D868">IFERROR(_xlfn.XLOOKUP(B868,Personal!$A:$A,Personal!$C:$C,""),"")</f>
        <v>0</v>
      </c>
      <c r="E868" s="9" t="str" cm="1">
        <f t="array" ref="E868">IFERROR(_xlfn.XLOOKUP(D868,Locales!$A:$A,Locales!$B:$B,""),"")</f>
        <v/>
      </c>
      <c r="F868" s="9" cm="1">
        <f t="array" ref="F868">IFERROR(_xlfn.XLOOKUP(B868,Personal!$A:$A,Personal!$F:$F,""),"")</f>
        <v>0</v>
      </c>
      <c r="I868" s="10" cm="1">
        <f t="array" ref="I868">IFERROR(INDEX(Precios!$D:$F,MATCH(N868, Precios!$G:$G, 0),CHOOSE(MATCH(H868, {"SML";"XL";"XXL"}, 0), 1, 2, 3)), 0)</f>
        <v>0</v>
      </c>
      <c r="K868" s="10">
        <f t="shared" si="32"/>
        <v>0</v>
      </c>
      <c r="N868" s="9" t="str">
        <f t="shared" si="33"/>
        <v/>
      </c>
      <c r="O868" s="9" t="str">
        <f>IF(N868="","",IF(COUNTIF(Precios!$G:$G,N868)=0,"⚠ No coincide con Precios","OK"))</f>
        <v/>
      </c>
    </row>
    <row r="869" spans="3:15" x14ac:dyDescent="0.2">
      <c r="C869" s="9" cm="1">
        <f t="array" ref="C869">IFERROR(_xlfn.XLOOKUP(B869,Personal!$A:$A,Personal!$D:$D,""),"")</f>
        <v>0</v>
      </c>
      <c r="D869" s="9" cm="1">
        <f t="array" ref="D869">IFERROR(_xlfn.XLOOKUP(B869,Personal!$A:$A,Personal!$C:$C,""),"")</f>
        <v>0</v>
      </c>
      <c r="E869" s="9" t="str" cm="1">
        <f t="array" ref="E869">IFERROR(_xlfn.XLOOKUP(D869,Locales!$A:$A,Locales!$B:$B,""),"")</f>
        <v/>
      </c>
      <c r="F869" s="9" cm="1">
        <f t="array" ref="F869">IFERROR(_xlfn.XLOOKUP(B869,Personal!$A:$A,Personal!$F:$F,""),"")</f>
        <v>0</v>
      </c>
      <c r="I869" s="10" cm="1">
        <f t="array" ref="I869">IFERROR(INDEX(Precios!$D:$F,MATCH(N869, Precios!$G:$G, 0),CHOOSE(MATCH(H869, {"SML";"XL";"XXL"}, 0), 1, 2, 3)), 0)</f>
        <v>0</v>
      </c>
      <c r="K869" s="10">
        <f t="shared" si="32"/>
        <v>0</v>
      </c>
      <c r="N869" s="9" t="str">
        <f t="shared" si="33"/>
        <v/>
      </c>
      <c r="O869" s="9" t="str">
        <f>IF(N869="","",IF(COUNTIF(Precios!$G:$G,N869)=0,"⚠ No coincide con Precios","OK"))</f>
        <v/>
      </c>
    </row>
    <row r="870" spans="3:15" x14ac:dyDescent="0.2">
      <c r="C870" s="9" cm="1">
        <f t="array" ref="C870">IFERROR(_xlfn.XLOOKUP(B870,Personal!$A:$A,Personal!$D:$D,""),"")</f>
        <v>0</v>
      </c>
      <c r="D870" s="9" cm="1">
        <f t="array" ref="D870">IFERROR(_xlfn.XLOOKUP(B870,Personal!$A:$A,Personal!$C:$C,""),"")</f>
        <v>0</v>
      </c>
      <c r="E870" s="9" t="str" cm="1">
        <f t="array" ref="E870">IFERROR(_xlfn.XLOOKUP(D870,Locales!$A:$A,Locales!$B:$B,""),"")</f>
        <v/>
      </c>
      <c r="F870" s="9" cm="1">
        <f t="array" ref="F870">IFERROR(_xlfn.XLOOKUP(B870,Personal!$A:$A,Personal!$F:$F,""),"")</f>
        <v>0</v>
      </c>
      <c r="I870" s="10" cm="1">
        <f t="array" ref="I870">IFERROR(INDEX(Precios!$D:$F,MATCH(N870, Precios!$G:$G, 0),CHOOSE(MATCH(H870, {"SML";"XL";"XXL"}, 0), 1, 2, 3)), 0)</f>
        <v>0</v>
      </c>
      <c r="K870" s="10">
        <f t="shared" si="32"/>
        <v>0</v>
      </c>
      <c r="N870" s="9" t="str">
        <f t="shared" si="33"/>
        <v/>
      </c>
      <c r="O870" s="9" t="str">
        <f>IF(N870="","",IF(COUNTIF(Precios!$G:$G,N870)=0,"⚠ No coincide con Precios","OK"))</f>
        <v/>
      </c>
    </row>
    <row r="871" spans="3:15" x14ac:dyDescent="0.2">
      <c r="C871" s="9" cm="1">
        <f t="array" ref="C871">IFERROR(_xlfn.XLOOKUP(B871,Personal!$A:$A,Personal!$D:$D,""),"")</f>
        <v>0</v>
      </c>
      <c r="D871" s="9" cm="1">
        <f t="array" ref="D871">IFERROR(_xlfn.XLOOKUP(B871,Personal!$A:$A,Personal!$C:$C,""),"")</f>
        <v>0</v>
      </c>
      <c r="E871" s="9" t="str" cm="1">
        <f t="array" ref="E871">IFERROR(_xlfn.XLOOKUP(D871,Locales!$A:$A,Locales!$B:$B,""),"")</f>
        <v/>
      </c>
      <c r="F871" s="9" cm="1">
        <f t="array" ref="F871">IFERROR(_xlfn.XLOOKUP(B871,Personal!$A:$A,Personal!$F:$F,""),"")</f>
        <v>0</v>
      </c>
      <c r="I871" s="10" cm="1">
        <f t="array" ref="I871">IFERROR(INDEX(Precios!$D:$F,MATCH(N871, Precios!$G:$G, 0),CHOOSE(MATCH(H871, {"SML";"XL";"XXL"}, 0), 1, 2, 3)), 0)</f>
        <v>0</v>
      </c>
      <c r="K871" s="10">
        <f t="shared" si="32"/>
        <v>0</v>
      </c>
      <c r="N871" s="9" t="str">
        <f t="shared" si="33"/>
        <v/>
      </c>
      <c r="O871" s="9" t="str">
        <f>IF(N871="","",IF(COUNTIF(Precios!$G:$G,N871)=0,"⚠ No coincide con Precios","OK"))</f>
        <v/>
      </c>
    </row>
    <row r="872" spans="3:15" x14ac:dyDescent="0.2">
      <c r="C872" s="9" cm="1">
        <f t="array" ref="C872">IFERROR(_xlfn.XLOOKUP(B872,Personal!$A:$A,Personal!$D:$D,""),"")</f>
        <v>0</v>
      </c>
      <c r="D872" s="9" cm="1">
        <f t="array" ref="D872">IFERROR(_xlfn.XLOOKUP(B872,Personal!$A:$A,Personal!$C:$C,""),"")</f>
        <v>0</v>
      </c>
      <c r="E872" s="9" t="str" cm="1">
        <f t="array" ref="E872">IFERROR(_xlfn.XLOOKUP(D872,Locales!$A:$A,Locales!$B:$B,""),"")</f>
        <v/>
      </c>
      <c r="F872" s="9" cm="1">
        <f t="array" ref="F872">IFERROR(_xlfn.XLOOKUP(B872,Personal!$A:$A,Personal!$F:$F,""),"")</f>
        <v>0</v>
      </c>
      <c r="I872" s="10" cm="1">
        <f t="array" ref="I872">IFERROR(INDEX(Precios!$D:$F,MATCH(N872, Precios!$G:$G, 0),CHOOSE(MATCH(H872, {"SML";"XL";"XXL"}, 0), 1, 2, 3)), 0)</f>
        <v>0</v>
      </c>
      <c r="K872" s="10">
        <f t="shared" si="32"/>
        <v>0</v>
      </c>
      <c r="N872" s="9" t="str">
        <f t="shared" si="33"/>
        <v/>
      </c>
      <c r="O872" s="9" t="str">
        <f>IF(N872="","",IF(COUNTIF(Precios!$G:$G,N872)=0,"⚠ No coincide con Precios","OK"))</f>
        <v/>
      </c>
    </row>
    <row r="873" spans="3:15" x14ac:dyDescent="0.2">
      <c r="C873" s="9" cm="1">
        <f t="array" ref="C873">IFERROR(_xlfn.XLOOKUP(B873,Personal!$A:$A,Personal!$D:$D,""),"")</f>
        <v>0</v>
      </c>
      <c r="D873" s="9" cm="1">
        <f t="array" ref="D873">IFERROR(_xlfn.XLOOKUP(B873,Personal!$A:$A,Personal!$C:$C,""),"")</f>
        <v>0</v>
      </c>
      <c r="E873" s="9" t="str" cm="1">
        <f t="array" ref="E873">IFERROR(_xlfn.XLOOKUP(D873,Locales!$A:$A,Locales!$B:$B,""),"")</f>
        <v/>
      </c>
      <c r="F873" s="9" cm="1">
        <f t="array" ref="F873">IFERROR(_xlfn.XLOOKUP(B873,Personal!$A:$A,Personal!$F:$F,""),"")</f>
        <v>0</v>
      </c>
      <c r="I873" s="10" cm="1">
        <f t="array" ref="I873">IFERROR(INDEX(Precios!$D:$F,MATCH(N873, Precios!$G:$G, 0),CHOOSE(MATCH(H873, {"SML";"XL";"XXL"}, 0), 1, 2, 3)), 0)</f>
        <v>0</v>
      </c>
      <c r="K873" s="10">
        <f t="shared" si="32"/>
        <v>0</v>
      </c>
      <c r="N873" s="9" t="str">
        <f t="shared" si="33"/>
        <v/>
      </c>
      <c r="O873" s="9" t="str">
        <f>IF(N873="","",IF(COUNTIF(Precios!$G:$G,N873)=0,"⚠ No coincide con Precios","OK"))</f>
        <v/>
      </c>
    </row>
    <row r="874" spans="3:15" x14ac:dyDescent="0.2">
      <c r="C874" s="9" cm="1">
        <f t="array" ref="C874">IFERROR(_xlfn.XLOOKUP(B874,Personal!$A:$A,Personal!$D:$D,""),"")</f>
        <v>0</v>
      </c>
      <c r="D874" s="9" cm="1">
        <f t="array" ref="D874">IFERROR(_xlfn.XLOOKUP(B874,Personal!$A:$A,Personal!$C:$C,""),"")</f>
        <v>0</v>
      </c>
      <c r="E874" s="9" t="str" cm="1">
        <f t="array" ref="E874">IFERROR(_xlfn.XLOOKUP(D874,Locales!$A:$A,Locales!$B:$B,""),"")</f>
        <v/>
      </c>
      <c r="F874" s="9" cm="1">
        <f t="array" ref="F874">IFERROR(_xlfn.XLOOKUP(B874,Personal!$A:$A,Personal!$F:$F,""),"")</f>
        <v>0</v>
      </c>
      <c r="I874" s="10" cm="1">
        <f t="array" ref="I874">IFERROR(INDEX(Precios!$D:$F,MATCH(N874, Precios!$G:$G, 0),CHOOSE(MATCH(H874, {"SML";"XL";"XXL"}, 0), 1, 2, 3)), 0)</f>
        <v>0</v>
      </c>
      <c r="K874" s="10">
        <f t="shared" si="32"/>
        <v>0</v>
      </c>
      <c r="N874" s="9" t="str">
        <f t="shared" si="33"/>
        <v/>
      </c>
      <c r="O874" s="9" t="str">
        <f>IF(N874="","",IF(COUNTIF(Precios!$G:$G,N874)=0,"⚠ No coincide con Precios","OK"))</f>
        <v/>
      </c>
    </row>
    <row r="875" spans="3:15" x14ac:dyDescent="0.2">
      <c r="C875" s="9" cm="1">
        <f t="array" ref="C875">IFERROR(_xlfn.XLOOKUP(B875,Personal!$A:$A,Personal!$D:$D,""),"")</f>
        <v>0</v>
      </c>
      <c r="D875" s="9" cm="1">
        <f t="array" ref="D875">IFERROR(_xlfn.XLOOKUP(B875,Personal!$A:$A,Personal!$C:$C,""),"")</f>
        <v>0</v>
      </c>
      <c r="E875" s="9" t="str" cm="1">
        <f t="array" ref="E875">IFERROR(_xlfn.XLOOKUP(D875,Locales!$A:$A,Locales!$B:$B,""),"")</f>
        <v/>
      </c>
      <c r="F875" s="9" cm="1">
        <f t="array" ref="F875">IFERROR(_xlfn.XLOOKUP(B875,Personal!$A:$A,Personal!$F:$F,""),"")</f>
        <v>0</v>
      </c>
      <c r="I875" s="10" cm="1">
        <f t="array" ref="I875">IFERROR(INDEX(Precios!$D:$F,MATCH(N875, Precios!$G:$G, 0),CHOOSE(MATCH(H875, {"SML";"XL";"XXL"}, 0), 1, 2, 3)), 0)</f>
        <v>0</v>
      </c>
      <c r="K875" s="10">
        <f t="shared" si="32"/>
        <v>0</v>
      </c>
      <c r="N875" s="9" t="str">
        <f t="shared" si="33"/>
        <v/>
      </c>
      <c r="O875" s="9" t="str">
        <f>IF(N875="","",IF(COUNTIF(Precios!$G:$G,N875)=0,"⚠ No coincide con Precios","OK"))</f>
        <v/>
      </c>
    </row>
    <row r="876" spans="3:15" x14ac:dyDescent="0.2">
      <c r="C876" s="9" cm="1">
        <f t="array" ref="C876">IFERROR(_xlfn.XLOOKUP(B876,Personal!$A:$A,Personal!$D:$D,""),"")</f>
        <v>0</v>
      </c>
      <c r="D876" s="9" cm="1">
        <f t="array" ref="D876">IFERROR(_xlfn.XLOOKUP(B876,Personal!$A:$A,Personal!$C:$C,""),"")</f>
        <v>0</v>
      </c>
      <c r="E876" s="9" t="str" cm="1">
        <f t="array" ref="E876">IFERROR(_xlfn.XLOOKUP(D876,Locales!$A:$A,Locales!$B:$B,""),"")</f>
        <v/>
      </c>
      <c r="F876" s="9" cm="1">
        <f t="array" ref="F876">IFERROR(_xlfn.XLOOKUP(B876,Personal!$A:$A,Personal!$F:$F,""),"")</f>
        <v>0</v>
      </c>
      <c r="I876" s="10" cm="1">
        <f t="array" ref="I876">IFERROR(INDEX(Precios!$D:$F,MATCH(N876, Precios!$G:$G, 0),CHOOSE(MATCH(H876, {"SML";"XL";"XXL"}, 0), 1, 2, 3)), 0)</f>
        <v>0</v>
      </c>
      <c r="K876" s="10">
        <f t="shared" si="32"/>
        <v>0</v>
      </c>
      <c r="N876" s="9" t="str">
        <f t="shared" si="33"/>
        <v/>
      </c>
      <c r="O876" s="9" t="str">
        <f>IF(N876="","",IF(COUNTIF(Precios!$G:$G,N876)=0,"⚠ No coincide con Precios","OK"))</f>
        <v/>
      </c>
    </row>
    <row r="877" spans="3:15" x14ac:dyDescent="0.2">
      <c r="C877" s="9" cm="1">
        <f t="array" ref="C877">IFERROR(_xlfn.XLOOKUP(B877,Personal!$A:$A,Personal!$D:$D,""),"")</f>
        <v>0</v>
      </c>
      <c r="D877" s="9" cm="1">
        <f t="array" ref="D877">IFERROR(_xlfn.XLOOKUP(B877,Personal!$A:$A,Personal!$C:$C,""),"")</f>
        <v>0</v>
      </c>
      <c r="E877" s="9" t="str" cm="1">
        <f t="array" ref="E877">IFERROR(_xlfn.XLOOKUP(D877,Locales!$A:$A,Locales!$B:$B,""),"")</f>
        <v/>
      </c>
      <c r="F877" s="9" cm="1">
        <f t="array" ref="F877">IFERROR(_xlfn.XLOOKUP(B877,Personal!$A:$A,Personal!$F:$F,""),"")</f>
        <v>0</v>
      </c>
      <c r="I877" s="10" cm="1">
        <f t="array" ref="I877">IFERROR(INDEX(Precios!$D:$F,MATCH(N877, Precios!$G:$G, 0),CHOOSE(MATCH(H877, {"SML";"XL";"XXL"}, 0), 1, 2, 3)), 0)</f>
        <v>0</v>
      </c>
      <c r="K877" s="10">
        <f t="shared" si="32"/>
        <v>0</v>
      </c>
      <c r="N877" s="9" t="str">
        <f t="shared" si="33"/>
        <v/>
      </c>
      <c r="O877" s="9" t="str">
        <f>IF(N877="","",IF(COUNTIF(Precios!$G:$G,N877)=0,"⚠ No coincide con Precios","OK"))</f>
        <v/>
      </c>
    </row>
    <row r="878" spans="3:15" x14ac:dyDescent="0.2">
      <c r="C878" s="9" cm="1">
        <f t="array" ref="C878">IFERROR(_xlfn.XLOOKUP(B878,Personal!$A:$A,Personal!$D:$D,""),"")</f>
        <v>0</v>
      </c>
      <c r="D878" s="9" cm="1">
        <f t="array" ref="D878">IFERROR(_xlfn.XLOOKUP(B878,Personal!$A:$A,Personal!$C:$C,""),"")</f>
        <v>0</v>
      </c>
      <c r="E878" s="9" t="str" cm="1">
        <f t="array" ref="E878">IFERROR(_xlfn.XLOOKUP(D878,Locales!$A:$A,Locales!$B:$B,""),"")</f>
        <v/>
      </c>
      <c r="F878" s="9" cm="1">
        <f t="array" ref="F878">IFERROR(_xlfn.XLOOKUP(B878,Personal!$A:$A,Personal!$F:$F,""),"")</f>
        <v>0</v>
      </c>
      <c r="I878" s="10" cm="1">
        <f t="array" ref="I878">IFERROR(INDEX(Precios!$D:$F,MATCH(N878, Precios!$G:$G, 0),CHOOSE(MATCH(H878, {"SML";"XL";"XXL"}, 0), 1, 2, 3)), 0)</f>
        <v>0</v>
      </c>
      <c r="K878" s="10">
        <f t="shared" si="32"/>
        <v>0</v>
      </c>
      <c r="N878" s="9" t="str">
        <f t="shared" si="33"/>
        <v/>
      </c>
      <c r="O878" s="9" t="str">
        <f>IF(N878="","",IF(COUNTIF(Precios!$G:$G,N878)=0,"⚠ No coincide con Precios","OK"))</f>
        <v/>
      </c>
    </row>
    <row r="879" spans="3:15" x14ac:dyDescent="0.2">
      <c r="C879" s="9" cm="1">
        <f t="array" ref="C879">IFERROR(_xlfn.XLOOKUP(B879,Personal!$A:$A,Personal!$D:$D,""),"")</f>
        <v>0</v>
      </c>
      <c r="D879" s="9" cm="1">
        <f t="array" ref="D879">IFERROR(_xlfn.XLOOKUP(B879,Personal!$A:$A,Personal!$C:$C,""),"")</f>
        <v>0</v>
      </c>
      <c r="E879" s="9" t="str" cm="1">
        <f t="array" ref="E879">IFERROR(_xlfn.XLOOKUP(D879,Locales!$A:$A,Locales!$B:$B,""),"")</f>
        <v/>
      </c>
      <c r="F879" s="9" cm="1">
        <f t="array" ref="F879">IFERROR(_xlfn.XLOOKUP(B879,Personal!$A:$A,Personal!$F:$F,""),"")</f>
        <v>0</v>
      </c>
      <c r="I879" s="10" cm="1">
        <f t="array" ref="I879">IFERROR(INDEX(Precios!$D:$F,MATCH(N879, Precios!$G:$G, 0),CHOOSE(MATCH(H879, {"SML";"XL";"XXL"}, 0), 1, 2, 3)), 0)</f>
        <v>0</v>
      </c>
      <c r="K879" s="10">
        <f t="shared" si="32"/>
        <v>0</v>
      </c>
      <c r="N879" s="9" t="str">
        <f t="shared" si="33"/>
        <v/>
      </c>
      <c r="O879" s="9" t="str">
        <f>IF(N879="","",IF(COUNTIF(Precios!$G:$G,N879)=0,"⚠ No coincide con Precios","OK"))</f>
        <v/>
      </c>
    </row>
    <row r="880" spans="3:15" x14ac:dyDescent="0.2">
      <c r="C880" s="9" cm="1">
        <f t="array" ref="C880">IFERROR(_xlfn.XLOOKUP(B880,Personal!$A:$A,Personal!$D:$D,""),"")</f>
        <v>0</v>
      </c>
      <c r="D880" s="9" cm="1">
        <f t="array" ref="D880">IFERROR(_xlfn.XLOOKUP(B880,Personal!$A:$A,Personal!$C:$C,""),"")</f>
        <v>0</v>
      </c>
      <c r="E880" s="9" t="str" cm="1">
        <f t="array" ref="E880">IFERROR(_xlfn.XLOOKUP(D880,Locales!$A:$A,Locales!$B:$B,""),"")</f>
        <v/>
      </c>
      <c r="F880" s="9" cm="1">
        <f t="array" ref="F880">IFERROR(_xlfn.XLOOKUP(B880,Personal!$A:$A,Personal!$F:$F,""),"")</f>
        <v>0</v>
      </c>
      <c r="I880" s="10" cm="1">
        <f t="array" ref="I880">IFERROR(INDEX(Precios!$D:$F,MATCH(N880, Precios!$G:$G, 0),CHOOSE(MATCH(H880, {"SML";"XL";"XXL"}, 0), 1, 2, 3)), 0)</f>
        <v>0</v>
      </c>
      <c r="K880" s="10">
        <f t="shared" si="32"/>
        <v>0</v>
      </c>
      <c r="N880" s="9" t="str">
        <f t="shared" si="33"/>
        <v/>
      </c>
      <c r="O880" s="9" t="str">
        <f>IF(N880="","",IF(COUNTIF(Precios!$G:$G,N880)=0,"⚠ No coincide con Precios","OK"))</f>
        <v/>
      </c>
    </row>
    <row r="881" spans="3:15" x14ac:dyDescent="0.2">
      <c r="C881" s="9" cm="1">
        <f t="array" ref="C881">IFERROR(_xlfn.XLOOKUP(B881,Personal!$A:$A,Personal!$D:$D,""),"")</f>
        <v>0</v>
      </c>
      <c r="D881" s="9" cm="1">
        <f t="array" ref="D881">IFERROR(_xlfn.XLOOKUP(B881,Personal!$A:$A,Personal!$C:$C,""),"")</f>
        <v>0</v>
      </c>
      <c r="E881" s="9" t="str" cm="1">
        <f t="array" ref="E881">IFERROR(_xlfn.XLOOKUP(D881,Locales!$A:$A,Locales!$B:$B,""),"")</f>
        <v/>
      </c>
      <c r="F881" s="9" cm="1">
        <f t="array" ref="F881">IFERROR(_xlfn.XLOOKUP(B881,Personal!$A:$A,Personal!$F:$F,""),"")</f>
        <v>0</v>
      </c>
      <c r="I881" s="10" cm="1">
        <f t="array" ref="I881">IFERROR(INDEX(Precios!$D:$F,MATCH(N881, Precios!$G:$G, 0),CHOOSE(MATCH(H881, {"SML";"XL";"XXL"}, 0), 1, 2, 3)), 0)</f>
        <v>0</v>
      </c>
      <c r="K881" s="10">
        <f t="shared" si="32"/>
        <v>0</v>
      </c>
      <c r="N881" s="9" t="str">
        <f t="shared" si="33"/>
        <v/>
      </c>
      <c r="O881" s="9" t="str">
        <f>IF(N881="","",IF(COUNTIF(Precios!$G:$G,N881)=0,"⚠ No coincide con Precios","OK"))</f>
        <v/>
      </c>
    </row>
    <row r="882" spans="3:15" x14ac:dyDescent="0.2">
      <c r="C882" s="9" cm="1">
        <f t="array" ref="C882">IFERROR(_xlfn.XLOOKUP(B882,Personal!$A:$A,Personal!$D:$D,""),"")</f>
        <v>0</v>
      </c>
      <c r="D882" s="9" cm="1">
        <f t="array" ref="D882">IFERROR(_xlfn.XLOOKUP(B882,Personal!$A:$A,Personal!$C:$C,""),"")</f>
        <v>0</v>
      </c>
      <c r="E882" s="9" t="str" cm="1">
        <f t="array" ref="E882">IFERROR(_xlfn.XLOOKUP(D882,Locales!$A:$A,Locales!$B:$B,""),"")</f>
        <v/>
      </c>
      <c r="F882" s="9" cm="1">
        <f t="array" ref="F882">IFERROR(_xlfn.XLOOKUP(B882,Personal!$A:$A,Personal!$F:$F,""),"")</f>
        <v>0</v>
      </c>
      <c r="I882" s="10" cm="1">
        <f t="array" ref="I882">IFERROR(INDEX(Precios!$D:$F,MATCH(N882, Precios!$G:$G, 0),CHOOSE(MATCH(H882, {"SML";"XL";"XXL"}, 0), 1, 2, 3)), 0)</f>
        <v>0</v>
      </c>
      <c r="K882" s="10">
        <f t="shared" si="32"/>
        <v>0</v>
      </c>
      <c r="N882" s="9" t="str">
        <f t="shared" si="33"/>
        <v/>
      </c>
      <c r="O882" s="9" t="str">
        <f>IF(N882="","",IF(COUNTIF(Precios!$G:$G,N882)=0,"⚠ No coincide con Precios","OK"))</f>
        <v/>
      </c>
    </row>
    <row r="883" spans="3:15" x14ac:dyDescent="0.2">
      <c r="C883" s="9" cm="1">
        <f t="array" ref="C883">IFERROR(_xlfn.XLOOKUP(B883,Personal!$A:$A,Personal!$D:$D,""),"")</f>
        <v>0</v>
      </c>
      <c r="D883" s="9" cm="1">
        <f t="array" ref="D883">IFERROR(_xlfn.XLOOKUP(B883,Personal!$A:$A,Personal!$C:$C,""),"")</f>
        <v>0</v>
      </c>
      <c r="E883" s="9" t="str" cm="1">
        <f t="array" ref="E883">IFERROR(_xlfn.XLOOKUP(D883,Locales!$A:$A,Locales!$B:$B,""),"")</f>
        <v/>
      </c>
      <c r="F883" s="9" cm="1">
        <f t="array" ref="F883">IFERROR(_xlfn.XLOOKUP(B883,Personal!$A:$A,Personal!$F:$F,""),"")</f>
        <v>0</v>
      </c>
      <c r="I883" s="10" cm="1">
        <f t="array" ref="I883">IFERROR(INDEX(Precios!$D:$F,MATCH(N883, Precios!$G:$G, 0),CHOOSE(MATCH(H883, {"SML";"XL";"XXL"}, 0), 1, 2, 3)), 0)</f>
        <v>0</v>
      </c>
      <c r="K883" s="10">
        <f t="shared" si="32"/>
        <v>0</v>
      </c>
      <c r="N883" s="9" t="str">
        <f t="shared" si="33"/>
        <v/>
      </c>
      <c r="O883" s="9" t="str">
        <f>IF(N883="","",IF(COUNTIF(Precios!$G:$G,N883)=0,"⚠ No coincide con Precios","OK"))</f>
        <v/>
      </c>
    </row>
    <row r="884" spans="3:15" x14ac:dyDescent="0.2">
      <c r="C884" s="9" cm="1">
        <f t="array" ref="C884">IFERROR(_xlfn.XLOOKUP(B884,Personal!$A:$A,Personal!$D:$D,""),"")</f>
        <v>0</v>
      </c>
      <c r="D884" s="9" cm="1">
        <f t="array" ref="D884">IFERROR(_xlfn.XLOOKUP(B884,Personal!$A:$A,Personal!$C:$C,""),"")</f>
        <v>0</v>
      </c>
      <c r="E884" s="9" t="str" cm="1">
        <f t="array" ref="E884">IFERROR(_xlfn.XLOOKUP(D884,Locales!$A:$A,Locales!$B:$B,""),"")</f>
        <v/>
      </c>
      <c r="F884" s="9" cm="1">
        <f t="array" ref="F884">IFERROR(_xlfn.XLOOKUP(B884,Personal!$A:$A,Personal!$F:$F,""),"")</f>
        <v>0</v>
      </c>
      <c r="I884" s="10" cm="1">
        <f t="array" ref="I884">IFERROR(INDEX(Precios!$D:$F,MATCH(N884, Precios!$G:$G, 0),CHOOSE(MATCH(H884, {"SML";"XL";"XXL"}, 0), 1, 2, 3)), 0)</f>
        <v>0</v>
      </c>
      <c r="K884" s="10">
        <f t="shared" si="32"/>
        <v>0</v>
      </c>
      <c r="N884" s="9" t="str">
        <f t="shared" si="33"/>
        <v/>
      </c>
      <c r="O884" s="9" t="str">
        <f>IF(N884="","",IF(COUNTIF(Precios!$G:$G,N884)=0,"⚠ No coincide con Precios","OK"))</f>
        <v/>
      </c>
    </row>
    <row r="885" spans="3:15" x14ac:dyDescent="0.2">
      <c r="C885" s="9" cm="1">
        <f t="array" ref="C885">IFERROR(_xlfn.XLOOKUP(B885,Personal!$A:$A,Personal!$D:$D,""),"")</f>
        <v>0</v>
      </c>
      <c r="D885" s="9" cm="1">
        <f t="array" ref="D885">IFERROR(_xlfn.XLOOKUP(B885,Personal!$A:$A,Personal!$C:$C,""),"")</f>
        <v>0</v>
      </c>
      <c r="E885" s="9" t="str" cm="1">
        <f t="array" ref="E885">IFERROR(_xlfn.XLOOKUP(D885,Locales!$A:$A,Locales!$B:$B,""),"")</f>
        <v/>
      </c>
      <c r="F885" s="9" cm="1">
        <f t="array" ref="F885">IFERROR(_xlfn.XLOOKUP(B885,Personal!$A:$A,Personal!$F:$F,""),"")</f>
        <v>0</v>
      </c>
      <c r="I885" s="10" cm="1">
        <f t="array" ref="I885">IFERROR(INDEX(Precios!$D:$F,MATCH(N885, Precios!$G:$G, 0),CHOOSE(MATCH(H885, {"SML";"XL";"XXL"}, 0), 1, 2, 3)), 0)</f>
        <v>0</v>
      </c>
      <c r="K885" s="10">
        <f t="shared" si="32"/>
        <v>0</v>
      </c>
      <c r="N885" s="9" t="str">
        <f t="shared" si="33"/>
        <v/>
      </c>
      <c r="O885" s="9" t="str">
        <f>IF(N885="","",IF(COUNTIF(Precios!$G:$G,N885)=0,"⚠ No coincide con Precios","OK"))</f>
        <v/>
      </c>
    </row>
    <row r="886" spans="3:15" x14ac:dyDescent="0.2">
      <c r="C886" s="9" cm="1">
        <f t="array" ref="C886">IFERROR(_xlfn.XLOOKUP(B886,Personal!$A:$A,Personal!$D:$D,""),"")</f>
        <v>0</v>
      </c>
      <c r="D886" s="9" cm="1">
        <f t="array" ref="D886">IFERROR(_xlfn.XLOOKUP(B886,Personal!$A:$A,Personal!$C:$C,""),"")</f>
        <v>0</v>
      </c>
      <c r="E886" s="9" t="str" cm="1">
        <f t="array" ref="E886">IFERROR(_xlfn.XLOOKUP(D886,Locales!$A:$A,Locales!$B:$B,""),"")</f>
        <v/>
      </c>
      <c r="F886" s="9" cm="1">
        <f t="array" ref="F886">IFERROR(_xlfn.XLOOKUP(B886,Personal!$A:$A,Personal!$F:$F,""),"")</f>
        <v>0</v>
      </c>
      <c r="I886" s="10" cm="1">
        <f t="array" ref="I886">IFERROR(INDEX(Precios!$D:$F,MATCH(N886, Precios!$G:$G, 0),CHOOSE(MATCH(H886, {"SML";"XL";"XXL"}, 0), 1, 2, 3)), 0)</f>
        <v>0</v>
      </c>
      <c r="K886" s="10">
        <f t="shared" si="32"/>
        <v>0</v>
      </c>
      <c r="N886" s="9" t="str">
        <f t="shared" si="33"/>
        <v/>
      </c>
      <c r="O886" s="9" t="str">
        <f>IF(N886="","",IF(COUNTIF(Precios!$G:$G,N886)=0,"⚠ No coincide con Precios","OK"))</f>
        <v/>
      </c>
    </row>
    <row r="887" spans="3:15" x14ac:dyDescent="0.2">
      <c r="C887" s="9" cm="1">
        <f t="array" ref="C887">IFERROR(_xlfn.XLOOKUP(B887,Personal!$A:$A,Personal!$D:$D,""),"")</f>
        <v>0</v>
      </c>
      <c r="D887" s="9" cm="1">
        <f t="array" ref="D887">IFERROR(_xlfn.XLOOKUP(B887,Personal!$A:$A,Personal!$C:$C,""),"")</f>
        <v>0</v>
      </c>
      <c r="E887" s="9" t="str" cm="1">
        <f t="array" ref="E887">IFERROR(_xlfn.XLOOKUP(D887,Locales!$A:$A,Locales!$B:$B,""),"")</f>
        <v/>
      </c>
      <c r="F887" s="9" cm="1">
        <f t="array" ref="F887">IFERROR(_xlfn.XLOOKUP(B887,Personal!$A:$A,Personal!$F:$F,""),"")</f>
        <v>0</v>
      </c>
      <c r="I887" s="10" cm="1">
        <f t="array" ref="I887">IFERROR(INDEX(Precios!$D:$F,MATCH(N887, Precios!$G:$G, 0),CHOOSE(MATCH(H887, {"SML";"XL";"XXL"}, 0), 1, 2, 3)), 0)</f>
        <v>0</v>
      </c>
      <c r="K887" s="10">
        <f t="shared" si="32"/>
        <v>0</v>
      </c>
      <c r="N887" s="9" t="str">
        <f t="shared" si="33"/>
        <v/>
      </c>
      <c r="O887" s="9" t="str">
        <f>IF(N887="","",IF(COUNTIF(Precios!$G:$G,N887)=0,"⚠ No coincide con Precios","OK"))</f>
        <v/>
      </c>
    </row>
    <row r="888" spans="3:15" x14ac:dyDescent="0.2">
      <c r="C888" s="9" cm="1">
        <f t="array" ref="C888">IFERROR(_xlfn.XLOOKUP(B888,Personal!$A:$A,Personal!$D:$D,""),"")</f>
        <v>0</v>
      </c>
      <c r="D888" s="9" cm="1">
        <f t="array" ref="D888">IFERROR(_xlfn.XLOOKUP(B888,Personal!$A:$A,Personal!$C:$C,""),"")</f>
        <v>0</v>
      </c>
      <c r="E888" s="9" t="str" cm="1">
        <f t="array" ref="E888">IFERROR(_xlfn.XLOOKUP(D888,Locales!$A:$A,Locales!$B:$B,""),"")</f>
        <v/>
      </c>
      <c r="F888" s="9" cm="1">
        <f t="array" ref="F888">IFERROR(_xlfn.XLOOKUP(B888,Personal!$A:$A,Personal!$F:$F,""),"")</f>
        <v>0</v>
      </c>
      <c r="I888" s="10" cm="1">
        <f t="array" ref="I888">IFERROR(INDEX(Precios!$D:$F,MATCH(N888, Precios!$G:$G, 0),CHOOSE(MATCH(H888, {"SML";"XL";"XXL"}, 0), 1, 2, 3)), 0)</f>
        <v>0</v>
      </c>
      <c r="K888" s="10">
        <f t="shared" si="32"/>
        <v>0</v>
      </c>
      <c r="N888" s="9" t="str">
        <f t="shared" si="33"/>
        <v/>
      </c>
      <c r="O888" s="9" t="str">
        <f>IF(N888="","",IF(COUNTIF(Precios!$G:$G,N888)=0,"⚠ No coincide con Precios","OK"))</f>
        <v/>
      </c>
    </row>
    <row r="889" spans="3:15" x14ac:dyDescent="0.2">
      <c r="C889" s="9" cm="1">
        <f t="array" ref="C889">IFERROR(_xlfn.XLOOKUP(B889,Personal!$A:$A,Personal!$D:$D,""),"")</f>
        <v>0</v>
      </c>
      <c r="D889" s="9" cm="1">
        <f t="array" ref="D889">IFERROR(_xlfn.XLOOKUP(B889,Personal!$A:$A,Personal!$C:$C,""),"")</f>
        <v>0</v>
      </c>
      <c r="E889" s="9" t="str" cm="1">
        <f t="array" ref="E889">IFERROR(_xlfn.XLOOKUP(D889,Locales!$A:$A,Locales!$B:$B,""),"")</f>
        <v/>
      </c>
      <c r="F889" s="9" cm="1">
        <f t="array" ref="F889">IFERROR(_xlfn.XLOOKUP(B889,Personal!$A:$A,Personal!$F:$F,""),"")</f>
        <v>0</v>
      </c>
      <c r="I889" s="10" cm="1">
        <f t="array" ref="I889">IFERROR(INDEX(Precios!$D:$F,MATCH(N889, Precios!$G:$G, 0),CHOOSE(MATCH(H889, {"SML";"XL";"XXL"}, 0), 1, 2, 3)), 0)</f>
        <v>0</v>
      </c>
      <c r="K889" s="10">
        <f t="shared" si="32"/>
        <v>0</v>
      </c>
      <c r="N889" s="9" t="str">
        <f t="shared" si="33"/>
        <v/>
      </c>
      <c r="O889" s="9" t="str">
        <f>IF(N889="","",IF(COUNTIF(Precios!$G:$G,N889)=0,"⚠ No coincide con Precios","OK"))</f>
        <v/>
      </c>
    </row>
    <row r="890" spans="3:15" x14ac:dyDescent="0.2">
      <c r="C890" s="9" cm="1">
        <f t="array" ref="C890">IFERROR(_xlfn.XLOOKUP(B890,Personal!$A:$A,Personal!$D:$D,""),"")</f>
        <v>0</v>
      </c>
      <c r="D890" s="9" cm="1">
        <f t="array" ref="D890">IFERROR(_xlfn.XLOOKUP(B890,Personal!$A:$A,Personal!$C:$C,""),"")</f>
        <v>0</v>
      </c>
      <c r="E890" s="9" t="str" cm="1">
        <f t="array" ref="E890">IFERROR(_xlfn.XLOOKUP(D890,Locales!$A:$A,Locales!$B:$B,""),"")</f>
        <v/>
      </c>
      <c r="F890" s="9" cm="1">
        <f t="array" ref="F890">IFERROR(_xlfn.XLOOKUP(B890,Personal!$A:$A,Personal!$F:$F,""),"")</f>
        <v>0</v>
      </c>
      <c r="I890" s="10" cm="1">
        <f t="array" ref="I890">IFERROR(INDEX(Precios!$D:$F,MATCH(N890, Precios!$G:$G, 0),CHOOSE(MATCH(H890, {"SML";"XL";"XXL"}, 0), 1, 2, 3)), 0)</f>
        <v>0</v>
      </c>
      <c r="K890" s="10">
        <f t="shared" si="32"/>
        <v>0</v>
      </c>
      <c r="N890" s="9" t="str">
        <f t="shared" si="33"/>
        <v/>
      </c>
      <c r="O890" s="9" t="str">
        <f>IF(N890="","",IF(COUNTIF(Precios!$G:$G,N890)=0,"⚠ No coincide con Precios","OK"))</f>
        <v/>
      </c>
    </row>
    <row r="891" spans="3:15" x14ac:dyDescent="0.2">
      <c r="C891" s="9" cm="1">
        <f t="array" ref="C891">IFERROR(_xlfn.XLOOKUP(B891,Personal!$A:$A,Personal!$D:$D,""),"")</f>
        <v>0</v>
      </c>
      <c r="D891" s="9" cm="1">
        <f t="array" ref="D891">IFERROR(_xlfn.XLOOKUP(B891,Personal!$A:$A,Personal!$C:$C,""),"")</f>
        <v>0</v>
      </c>
      <c r="E891" s="9" t="str" cm="1">
        <f t="array" ref="E891">IFERROR(_xlfn.XLOOKUP(D891,Locales!$A:$A,Locales!$B:$B,""),"")</f>
        <v/>
      </c>
      <c r="F891" s="9" cm="1">
        <f t="array" ref="F891">IFERROR(_xlfn.XLOOKUP(B891,Personal!$A:$A,Personal!$F:$F,""),"")</f>
        <v>0</v>
      </c>
      <c r="I891" s="10" cm="1">
        <f t="array" ref="I891">IFERROR(INDEX(Precios!$D:$F,MATCH(N891, Precios!$G:$G, 0),CHOOSE(MATCH(H891, {"SML";"XL";"XXL"}, 0), 1, 2, 3)), 0)</f>
        <v>0</v>
      </c>
      <c r="K891" s="10">
        <f t="shared" si="32"/>
        <v>0</v>
      </c>
      <c r="N891" s="9" t="str">
        <f t="shared" si="33"/>
        <v/>
      </c>
      <c r="O891" s="9" t="str">
        <f>IF(N891="","",IF(COUNTIF(Precios!$G:$G,N891)=0,"⚠ No coincide con Precios","OK"))</f>
        <v/>
      </c>
    </row>
    <row r="892" spans="3:15" x14ac:dyDescent="0.2">
      <c r="C892" s="9" cm="1">
        <f t="array" ref="C892">IFERROR(_xlfn.XLOOKUP(B892,Personal!$A:$A,Personal!$D:$D,""),"")</f>
        <v>0</v>
      </c>
      <c r="D892" s="9" cm="1">
        <f t="array" ref="D892">IFERROR(_xlfn.XLOOKUP(B892,Personal!$A:$A,Personal!$C:$C,""),"")</f>
        <v>0</v>
      </c>
      <c r="E892" s="9" t="str" cm="1">
        <f t="array" ref="E892">IFERROR(_xlfn.XLOOKUP(D892,Locales!$A:$A,Locales!$B:$B,""),"")</f>
        <v/>
      </c>
      <c r="F892" s="9" cm="1">
        <f t="array" ref="F892">IFERROR(_xlfn.XLOOKUP(B892,Personal!$A:$A,Personal!$F:$F,""),"")</f>
        <v>0</v>
      </c>
      <c r="I892" s="10" cm="1">
        <f t="array" ref="I892">IFERROR(INDEX(Precios!$D:$F,MATCH(N892, Precios!$G:$G, 0),CHOOSE(MATCH(H892, {"SML";"XL";"XXL"}, 0), 1, 2, 3)), 0)</f>
        <v>0</v>
      </c>
      <c r="K892" s="10">
        <f t="shared" si="32"/>
        <v>0</v>
      </c>
      <c r="N892" s="9" t="str">
        <f t="shared" si="33"/>
        <v/>
      </c>
      <c r="O892" s="9" t="str">
        <f>IF(N892="","",IF(COUNTIF(Precios!$G:$G,N892)=0,"⚠ No coincide con Precios","OK"))</f>
        <v/>
      </c>
    </row>
    <row r="893" spans="3:15" x14ac:dyDescent="0.2">
      <c r="C893" s="9" cm="1">
        <f t="array" ref="C893">IFERROR(_xlfn.XLOOKUP(B893,Personal!$A:$A,Personal!$D:$D,""),"")</f>
        <v>0</v>
      </c>
      <c r="D893" s="9" cm="1">
        <f t="array" ref="D893">IFERROR(_xlfn.XLOOKUP(B893,Personal!$A:$A,Personal!$C:$C,""),"")</f>
        <v>0</v>
      </c>
      <c r="E893" s="9" t="str" cm="1">
        <f t="array" ref="E893">IFERROR(_xlfn.XLOOKUP(D893,Locales!$A:$A,Locales!$B:$B,""),"")</f>
        <v/>
      </c>
      <c r="F893" s="9" cm="1">
        <f t="array" ref="F893">IFERROR(_xlfn.XLOOKUP(B893,Personal!$A:$A,Personal!$F:$F,""),"")</f>
        <v>0</v>
      </c>
      <c r="I893" s="10" cm="1">
        <f t="array" ref="I893">IFERROR(INDEX(Precios!$D:$F,MATCH(N893, Precios!$G:$G, 0),CHOOSE(MATCH(H893, {"SML";"XL";"XXL"}, 0), 1, 2, 3)), 0)</f>
        <v>0</v>
      </c>
      <c r="K893" s="10">
        <f t="shared" si="32"/>
        <v>0</v>
      </c>
      <c r="N893" s="9" t="str">
        <f t="shared" si="33"/>
        <v/>
      </c>
      <c r="O893" s="9" t="str">
        <f>IF(N893="","",IF(COUNTIF(Precios!$G:$G,N893)=0,"⚠ No coincide con Precios","OK"))</f>
        <v/>
      </c>
    </row>
    <row r="894" spans="3:15" x14ac:dyDescent="0.2">
      <c r="C894" s="9" cm="1">
        <f t="array" ref="C894">IFERROR(_xlfn.XLOOKUP(B894,Personal!$A:$A,Personal!$D:$D,""),"")</f>
        <v>0</v>
      </c>
      <c r="D894" s="9" cm="1">
        <f t="array" ref="D894">IFERROR(_xlfn.XLOOKUP(B894,Personal!$A:$A,Personal!$C:$C,""),"")</f>
        <v>0</v>
      </c>
      <c r="E894" s="9" t="str" cm="1">
        <f t="array" ref="E894">IFERROR(_xlfn.XLOOKUP(D894,Locales!$A:$A,Locales!$B:$B,""),"")</f>
        <v/>
      </c>
      <c r="F894" s="9" cm="1">
        <f t="array" ref="F894">IFERROR(_xlfn.XLOOKUP(B894,Personal!$A:$A,Personal!$F:$F,""),"")</f>
        <v>0</v>
      </c>
      <c r="I894" s="10" cm="1">
        <f t="array" ref="I894">IFERROR(INDEX(Precios!$D:$F,MATCH(N894, Precios!$G:$G, 0),CHOOSE(MATCH(H894, {"SML";"XL";"XXL"}, 0), 1, 2, 3)), 0)</f>
        <v>0</v>
      </c>
      <c r="K894" s="10">
        <f t="shared" ref="K894:K957" si="34">IFERROR(I894*J894,0)</f>
        <v>0</v>
      </c>
      <c r="N894" s="9" t="str">
        <f t="shared" ref="N894:N957" si="35">IF( OR(E894="",F894="",G894=""), "",CLEAN(TRIM(E894)) &amp; "|" &amp; CLEAN(TRIM(F894)) &amp; "|" &amp; CLEAN(TRIM(G894)))</f>
        <v/>
      </c>
      <c r="O894" s="9" t="str">
        <f>IF(N894="","",IF(COUNTIF(Precios!$G:$G,N894)=0,"⚠ No coincide con Precios","OK"))</f>
        <v/>
      </c>
    </row>
    <row r="895" spans="3:15" x14ac:dyDescent="0.2">
      <c r="C895" s="9" cm="1">
        <f t="array" ref="C895">IFERROR(_xlfn.XLOOKUP(B895,Personal!$A:$A,Personal!$D:$D,""),"")</f>
        <v>0</v>
      </c>
      <c r="D895" s="9" cm="1">
        <f t="array" ref="D895">IFERROR(_xlfn.XLOOKUP(B895,Personal!$A:$A,Personal!$C:$C,""),"")</f>
        <v>0</v>
      </c>
      <c r="E895" s="9" t="str" cm="1">
        <f t="array" ref="E895">IFERROR(_xlfn.XLOOKUP(D895,Locales!$A:$A,Locales!$B:$B,""),"")</f>
        <v/>
      </c>
      <c r="F895" s="9" cm="1">
        <f t="array" ref="F895">IFERROR(_xlfn.XLOOKUP(B895,Personal!$A:$A,Personal!$F:$F,""),"")</f>
        <v>0</v>
      </c>
      <c r="I895" s="10" cm="1">
        <f t="array" ref="I895">IFERROR(INDEX(Precios!$D:$F,MATCH(N895, Precios!$G:$G, 0),CHOOSE(MATCH(H895, {"SML";"XL";"XXL"}, 0), 1, 2, 3)), 0)</f>
        <v>0</v>
      </c>
      <c r="K895" s="10">
        <f t="shared" si="34"/>
        <v>0</v>
      </c>
      <c r="N895" s="9" t="str">
        <f t="shared" si="35"/>
        <v/>
      </c>
      <c r="O895" s="9" t="str">
        <f>IF(N895="","",IF(COUNTIF(Precios!$G:$G,N895)=0,"⚠ No coincide con Precios","OK"))</f>
        <v/>
      </c>
    </row>
    <row r="896" spans="3:15" x14ac:dyDescent="0.2">
      <c r="C896" s="9" cm="1">
        <f t="array" ref="C896">IFERROR(_xlfn.XLOOKUP(B896,Personal!$A:$A,Personal!$D:$D,""),"")</f>
        <v>0</v>
      </c>
      <c r="D896" s="9" cm="1">
        <f t="array" ref="D896">IFERROR(_xlfn.XLOOKUP(B896,Personal!$A:$A,Personal!$C:$C,""),"")</f>
        <v>0</v>
      </c>
      <c r="E896" s="9" t="str" cm="1">
        <f t="array" ref="E896">IFERROR(_xlfn.XLOOKUP(D896,Locales!$A:$A,Locales!$B:$B,""),"")</f>
        <v/>
      </c>
      <c r="F896" s="9" cm="1">
        <f t="array" ref="F896">IFERROR(_xlfn.XLOOKUP(B896,Personal!$A:$A,Personal!$F:$F,""),"")</f>
        <v>0</v>
      </c>
      <c r="I896" s="10" cm="1">
        <f t="array" ref="I896">IFERROR(INDEX(Precios!$D:$F,MATCH(N896, Precios!$G:$G, 0),CHOOSE(MATCH(H896, {"SML";"XL";"XXL"}, 0), 1, 2, 3)), 0)</f>
        <v>0</v>
      </c>
      <c r="K896" s="10">
        <f t="shared" si="34"/>
        <v>0</v>
      </c>
      <c r="N896" s="9" t="str">
        <f t="shared" si="35"/>
        <v/>
      </c>
      <c r="O896" s="9" t="str">
        <f>IF(N896="","",IF(COUNTIF(Precios!$G:$G,N896)=0,"⚠ No coincide con Precios","OK"))</f>
        <v/>
      </c>
    </row>
    <row r="897" spans="3:15" x14ac:dyDescent="0.2">
      <c r="C897" s="9" cm="1">
        <f t="array" ref="C897">IFERROR(_xlfn.XLOOKUP(B897,Personal!$A:$A,Personal!$D:$D,""),"")</f>
        <v>0</v>
      </c>
      <c r="D897" s="9" cm="1">
        <f t="array" ref="D897">IFERROR(_xlfn.XLOOKUP(B897,Personal!$A:$A,Personal!$C:$C,""),"")</f>
        <v>0</v>
      </c>
      <c r="E897" s="9" t="str" cm="1">
        <f t="array" ref="E897">IFERROR(_xlfn.XLOOKUP(D897,Locales!$A:$A,Locales!$B:$B,""),"")</f>
        <v/>
      </c>
      <c r="F897" s="9" cm="1">
        <f t="array" ref="F897">IFERROR(_xlfn.XLOOKUP(B897,Personal!$A:$A,Personal!$F:$F,""),"")</f>
        <v>0</v>
      </c>
      <c r="I897" s="10" cm="1">
        <f t="array" ref="I897">IFERROR(INDEX(Precios!$D:$F,MATCH(N897, Precios!$G:$G, 0),CHOOSE(MATCH(H897, {"SML";"XL";"XXL"}, 0), 1, 2, 3)), 0)</f>
        <v>0</v>
      </c>
      <c r="K897" s="10">
        <f t="shared" si="34"/>
        <v>0</v>
      </c>
      <c r="N897" s="9" t="str">
        <f t="shared" si="35"/>
        <v/>
      </c>
      <c r="O897" s="9" t="str">
        <f>IF(N897="","",IF(COUNTIF(Precios!$G:$G,N897)=0,"⚠ No coincide con Precios","OK"))</f>
        <v/>
      </c>
    </row>
    <row r="898" spans="3:15" x14ac:dyDescent="0.2">
      <c r="C898" s="9" cm="1">
        <f t="array" ref="C898">IFERROR(_xlfn.XLOOKUP(B898,Personal!$A:$A,Personal!$D:$D,""),"")</f>
        <v>0</v>
      </c>
      <c r="D898" s="9" cm="1">
        <f t="array" ref="D898">IFERROR(_xlfn.XLOOKUP(B898,Personal!$A:$A,Personal!$C:$C,""),"")</f>
        <v>0</v>
      </c>
      <c r="E898" s="9" t="str" cm="1">
        <f t="array" ref="E898">IFERROR(_xlfn.XLOOKUP(D898,Locales!$A:$A,Locales!$B:$B,""),"")</f>
        <v/>
      </c>
      <c r="F898" s="9" cm="1">
        <f t="array" ref="F898">IFERROR(_xlfn.XLOOKUP(B898,Personal!$A:$A,Personal!$F:$F,""),"")</f>
        <v>0</v>
      </c>
      <c r="I898" s="10" cm="1">
        <f t="array" ref="I898">IFERROR(INDEX(Precios!$D:$F,MATCH(N898, Precios!$G:$G, 0),CHOOSE(MATCH(H898, {"SML";"XL";"XXL"}, 0), 1, 2, 3)), 0)</f>
        <v>0</v>
      </c>
      <c r="K898" s="10">
        <f t="shared" si="34"/>
        <v>0</v>
      </c>
      <c r="N898" s="9" t="str">
        <f t="shared" si="35"/>
        <v/>
      </c>
      <c r="O898" s="9" t="str">
        <f>IF(N898="","",IF(COUNTIF(Precios!$G:$G,N898)=0,"⚠ No coincide con Precios","OK"))</f>
        <v/>
      </c>
    </row>
    <row r="899" spans="3:15" x14ac:dyDescent="0.2">
      <c r="C899" s="9" cm="1">
        <f t="array" ref="C899">IFERROR(_xlfn.XLOOKUP(B899,Personal!$A:$A,Personal!$D:$D,""),"")</f>
        <v>0</v>
      </c>
      <c r="D899" s="9" cm="1">
        <f t="array" ref="D899">IFERROR(_xlfn.XLOOKUP(B899,Personal!$A:$A,Personal!$C:$C,""),"")</f>
        <v>0</v>
      </c>
      <c r="E899" s="9" t="str" cm="1">
        <f t="array" ref="E899">IFERROR(_xlfn.XLOOKUP(D899,Locales!$A:$A,Locales!$B:$B,""),"")</f>
        <v/>
      </c>
      <c r="F899" s="9" cm="1">
        <f t="array" ref="F899">IFERROR(_xlfn.XLOOKUP(B899,Personal!$A:$A,Personal!$F:$F,""),"")</f>
        <v>0</v>
      </c>
      <c r="I899" s="10" cm="1">
        <f t="array" ref="I899">IFERROR(INDEX(Precios!$D:$F,MATCH(N899, Precios!$G:$G, 0),CHOOSE(MATCH(H899, {"SML";"XL";"XXL"}, 0), 1, 2, 3)), 0)</f>
        <v>0</v>
      </c>
      <c r="K899" s="10">
        <f t="shared" si="34"/>
        <v>0</v>
      </c>
      <c r="N899" s="9" t="str">
        <f t="shared" si="35"/>
        <v/>
      </c>
      <c r="O899" s="9" t="str">
        <f>IF(N899="","",IF(COUNTIF(Precios!$G:$G,N899)=0,"⚠ No coincide con Precios","OK"))</f>
        <v/>
      </c>
    </row>
    <row r="900" spans="3:15" x14ac:dyDescent="0.2">
      <c r="C900" s="9" cm="1">
        <f t="array" ref="C900">IFERROR(_xlfn.XLOOKUP(B900,Personal!$A:$A,Personal!$D:$D,""),"")</f>
        <v>0</v>
      </c>
      <c r="D900" s="9" cm="1">
        <f t="array" ref="D900">IFERROR(_xlfn.XLOOKUP(B900,Personal!$A:$A,Personal!$C:$C,""),"")</f>
        <v>0</v>
      </c>
      <c r="E900" s="9" t="str" cm="1">
        <f t="array" ref="E900">IFERROR(_xlfn.XLOOKUP(D900,Locales!$A:$A,Locales!$B:$B,""),"")</f>
        <v/>
      </c>
      <c r="F900" s="9" cm="1">
        <f t="array" ref="F900">IFERROR(_xlfn.XLOOKUP(B900,Personal!$A:$A,Personal!$F:$F,""),"")</f>
        <v>0</v>
      </c>
      <c r="I900" s="10" cm="1">
        <f t="array" ref="I900">IFERROR(INDEX(Precios!$D:$F,MATCH(N900, Precios!$G:$G, 0),CHOOSE(MATCH(H900, {"SML";"XL";"XXL"}, 0), 1, 2, 3)), 0)</f>
        <v>0</v>
      </c>
      <c r="K900" s="10">
        <f t="shared" si="34"/>
        <v>0</v>
      </c>
      <c r="N900" s="9" t="str">
        <f t="shared" si="35"/>
        <v/>
      </c>
      <c r="O900" s="9" t="str">
        <f>IF(N900="","",IF(COUNTIF(Precios!$G:$G,N900)=0,"⚠ No coincide con Precios","OK"))</f>
        <v/>
      </c>
    </row>
    <row r="901" spans="3:15" x14ac:dyDescent="0.2">
      <c r="C901" s="9" cm="1">
        <f t="array" ref="C901">IFERROR(_xlfn.XLOOKUP(B901,Personal!$A:$A,Personal!$D:$D,""),"")</f>
        <v>0</v>
      </c>
      <c r="D901" s="9" cm="1">
        <f t="array" ref="D901">IFERROR(_xlfn.XLOOKUP(B901,Personal!$A:$A,Personal!$C:$C,""),"")</f>
        <v>0</v>
      </c>
      <c r="E901" s="9" t="str" cm="1">
        <f t="array" ref="E901">IFERROR(_xlfn.XLOOKUP(D901,Locales!$A:$A,Locales!$B:$B,""),"")</f>
        <v/>
      </c>
      <c r="F901" s="9" cm="1">
        <f t="array" ref="F901">IFERROR(_xlfn.XLOOKUP(B901,Personal!$A:$A,Personal!$F:$F,""),"")</f>
        <v>0</v>
      </c>
      <c r="I901" s="10" cm="1">
        <f t="array" ref="I901">IFERROR(INDEX(Precios!$D:$F,MATCH(N901, Precios!$G:$G, 0),CHOOSE(MATCH(H901, {"SML";"XL";"XXL"}, 0), 1, 2, 3)), 0)</f>
        <v>0</v>
      </c>
      <c r="K901" s="10">
        <f t="shared" si="34"/>
        <v>0</v>
      </c>
      <c r="N901" s="9" t="str">
        <f t="shared" si="35"/>
        <v/>
      </c>
      <c r="O901" s="9" t="str">
        <f>IF(N901="","",IF(COUNTIF(Precios!$G:$G,N901)=0,"⚠ No coincide con Precios","OK"))</f>
        <v/>
      </c>
    </row>
    <row r="902" spans="3:15" x14ac:dyDescent="0.2">
      <c r="C902" s="9" cm="1">
        <f t="array" ref="C902">IFERROR(_xlfn.XLOOKUP(B902,Personal!$A:$A,Personal!$D:$D,""),"")</f>
        <v>0</v>
      </c>
      <c r="D902" s="9" cm="1">
        <f t="array" ref="D902">IFERROR(_xlfn.XLOOKUP(B902,Personal!$A:$A,Personal!$C:$C,""),"")</f>
        <v>0</v>
      </c>
      <c r="E902" s="9" t="str" cm="1">
        <f t="array" ref="E902">IFERROR(_xlfn.XLOOKUP(D902,Locales!$A:$A,Locales!$B:$B,""),"")</f>
        <v/>
      </c>
      <c r="F902" s="9" cm="1">
        <f t="array" ref="F902">IFERROR(_xlfn.XLOOKUP(B902,Personal!$A:$A,Personal!$F:$F,""),"")</f>
        <v>0</v>
      </c>
      <c r="I902" s="10" cm="1">
        <f t="array" ref="I902">IFERROR(INDEX(Precios!$D:$F,MATCH(N902, Precios!$G:$G, 0),CHOOSE(MATCH(H902, {"SML";"XL";"XXL"}, 0), 1, 2, 3)), 0)</f>
        <v>0</v>
      </c>
      <c r="K902" s="10">
        <f t="shared" si="34"/>
        <v>0</v>
      </c>
      <c r="N902" s="9" t="str">
        <f t="shared" si="35"/>
        <v/>
      </c>
      <c r="O902" s="9" t="str">
        <f>IF(N902="","",IF(COUNTIF(Precios!$G:$G,N902)=0,"⚠ No coincide con Precios","OK"))</f>
        <v/>
      </c>
    </row>
    <row r="903" spans="3:15" x14ac:dyDescent="0.2">
      <c r="C903" s="9" cm="1">
        <f t="array" ref="C903">IFERROR(_xlfn.XLOOKUP(B903,Personal!$A:$A,Personal!$D:$D,""),"")</f>
        <v>0</v>
      </c>
      <c r="D903" s="9" cm="1">
        <f t="array" ref="D903">IFERROR(_xlfn.XLOOKUP(B903,Personal!$A:$A,Personal!$C:$C,""),"")</f>
        <v>0</v>
      </c>
      <c r="E903" s="9" t="str" cm="1">
        <f t="array" ref="E903">IFERROR(_xlfn.XLOOKUP(D903,Locales!$A:$A,Locales!$B:$B,""),"")</f>
        <v/>
      </c>
      <c r="F903" s="9" cm="1">
        <f t="array" ref="F903">IFERROR(_xlfn.XLOOKUP(B903,Personal!$A:$A,Personal!$F:$F,""),"")</f>
        <v>0</v>
      </c>
      <c r="I903" s="10" cm="1">
        <f t="array" ref="I903">IFERROR(INDEX(Precios!$D:$F,MATCH(N903, Precios!$G:$G, 0),CHOOSE(MATCH(H903, {"SML";"XL";"XXL"}, 0), 1, 2, 3)), 0)</f>
        <v>0</v>
      </c>
      <c r="K903" s="10">
        <f t="shared" si="34"/>
        <v>0</v>
      </c>
      <c r="N903" s="9" t="str">
        <f t="shared" si="35"/>
        <v/>
      </c>
      <c r="O903" s="9" t="str">
        <f>IF(N903="","",IF(COUNTIF(Precios!$G:$G,N903)=0,"⚠ No coincide con Precios","OK"))</f>
        <v/>
      </c>
    </row>
    <row r="904" spans="3:15" x14ac:dyDescent="0.2">
      <c r="C904" s="9" cm="1">
        <f t="array" ref="C904">IFERROR(_xlfn.XLOOKUP(B904,Personal!$A:$A,Personal!$D:$D,""),"")</f>
        <v>0</v>
      </c>
      <c r="D904" s="9" cm="1">
        <f t="array" ref="D904">IFERROR(_xlfn.XLOOKUP(B904,Personal!$A:$A,Personal!$C:$C,""),"")</f>
        <v>0</v>
      </c>
      <c r="E904" s="9" t="str" cm="1">
        <f t="array" ref="E904">IFERROR(_xlfn.XLOOKUP(D904,Locales!$A:$A,Locales!$B:$B,""),"")</f>
        <v/>
      </c>
      <c r="F904" s="9" cm="1">
        <f t="array" ref="F904">IFERROR(_xlfn.XLOOKUP(B904,Personal!$A:$A,Personal!$F:$F,""),"")</f>
        <v>0</v>
      </c>
      <c r="I904" s="10" cm="1">
        <f t="array" ref="I904">IFERROR(INDEX(Precios!$D:$F,MATCH(N904, Precios!$G:$G, 0),CHOOSE(MATCH(H904, {"SML";"XL";"XXL"}, 0), 1, 2, 3)), 0)</f>
        <v>0</v>
      </c>
      <c r="K904" s="10">
        <f t="shared" si="34"/>
        <v>0</v>
      </c>
      <c r="N904" s="9" t="str">
        <f t="shared" si="35"/>
        <v/>
      </c>
      <c r="O904" s="9" t="str">
        <f>IF(N904="","",IF(COUNTIF(Precios!$G:$G,N904)=0,"⚠ No coincide con Precios","OK"))</f>
        <v/>
      </c>
    </row>
    <row r="905" spans="3:15" x14ac:dyDescent="0.2">
      <c r="C905" s="9" cm="1">
        <f t="array" ref="C905">IFERROR(_xlfn.XLOOKUP(B905,Personal!$A:$A,Personal!$D:$D,""),"")</f>
        <v>0</v>
      </c>
      <c r="D905" s="9" cm="1">
        <f t="array" ref="D905">IFERROR(_xlfn.XLOOKUP(B905,Personal!$A:$A,Personal!$C:$C,""),"")</f>
        <v>0</v>
      </c>
      <c r="E905" s="9" t="str" cm="1">
        <f t="array" ref="E905">IFERROR(_xlfn.XLOOKUP(D905,Locales!$A:$A,Locales!$B:$B,""),"")</f>
        <v/>
      </c>
      <c r="F905" s="9" cm="1">
        <f t="array" ref="F905">IFERROR(_xlfn.XLOOKUP(B905,Personal!$A:$A,Personal!$F:$F,""),"")</f>
        <v>0</v>
      </c>
      <c r="I905" s="10" cm="1">
        <f t="array" ref="I905">IFERROR(INDEX(Precios!$D:$F,MATCH(N905, Precios!$G:$G, 0),CHOOSE(MATCH(H905, {"SML";"XL";"XXL"}, 0), 1, 2, 3)), 0)</f>
        <v>0</v>
      </c>
      <c r="K905" s="10">
        <f t="shared" si="34"/>
        <v>0</v>
      </c>
      <c r="N905" s="9" t="str">
        <f t="shared" si="35"/>
        <v/>
      </c>
      <c r="O905" s="9" t="str">
        <f>IF(N905="","",IF(COUNTIF(Precios!$G:$G,N905)=0,"⚠ No coincide con Precios","OK"))</f>
        <v/>
      </c>
    </row>
    <row r="906" spans="3:15" x14ac:dyDescent="0.2">
      <c r="C906" s="9" cm="1">
        <f t="array" ref="C906">IFERROR(_xlfn.XLOOKUP(B906,Personal!$A:$A,Personal!$D:$D,""),"")</f>
        <v>0</v>
      </c>
      <c r="D906" s="9" cm="1">
        <f t="array" ref="D906">IFERROR(_xlfn.XLOOKUP(B906,Personal!$A:$A,Personal!$C:$C,""),"")</f>
        <v>0</v>
      </c>
      <c r="E906" s="9" t="str" cm="1">
        <f t="array" ref="E906">IFERROR(_xlfn.XLOOKUP(D906,Locales!$A:$A,Locales!$B:$B,""),"")</f>
        <v/>
      </c>
      <c r="F906" s="9" cm="1">
        <f t="array" ref="F906">IFERROR(_xlfn.XLOOKUP(B906,Personal!$A:$A,Personal!$F:$F,""),"")</f>
        <v>0</v>
      </c>
      <c r="I906" s="10" cm="1">
        <f t="array" ref="I906">IFERROR(INDEX(Precios!$D:$F,MATCH(N906, Precios!$G:$G, 0),CHOOSE(MATCH(H906, {"SML";"XL";"XXL"}, 0), 1, 2, 3)), 0)</f>
        <v>0</v>
      </c>
      <c r="K906" s="10">
        <f t="shared" si="34"/>
        <v>0</v>
      </c>
      <c r="N906" s="9" t="str">
        <f t="shared" si="35"/>
        <v/>
      </c>
      <c r="O906" s="9" t="str">
        <f>IF(N906="","",IF(COUNTIF(Precios!$G:$G,N906)=0,"⚠ No coincide con Precios","OK"))</f>
        <v/>
      </c>
    </row>
    <row r="907" spans="3:15" x14ac:dyDescent="0.2">
      <c r="C907" s="9" cm="1">
        <f t="array" ref="C907">IFERROR(_xlfn.XLOOKUP(B907,Personal!$A:$A,Personal!$D:$D,""),"")</f>
        <v>0</v>
      </c>
      <c r="D907" s="9" cm="1">
        <f t="array" ref="D907">IFERROR(_xlfn.XLOOKUP(B907,Personal!$A:$A,Personal!$C:$C,""),"")</f>
        <v>0</v>
      </c>
      <c r="E907" s="9" t="str" cm="1">
        <f t="array" ref="E907">IFERROR(_xlfn.XLOOKUP(D907,Locales!$A:$A,Locales!$B:$B,""),"")</f>
        <v/>
      </c>
      <c r="F907" s="9" cm="1">
        <f t="array" ref="F907">IFERROR(_xlfn.XLOOKUP(B907,Personal!$A:$A,Personal!$F:$F,""),"")</f>
        <v>0</v>
      </c>
      <c r="I907" s="10" cm="1">
        <f t="array" ref="I907">IFERROR(INDEX(Precios!$D:$F,MATCH(N907, Precios!$G:$G, 0),CHOOSE(MATCH(H907, {"SML";"XL";"XXL"}, 0), 1, 2, 3)), 0)</f>
        <v>0</v>
      </c>
      <c r="K907" s="10">
        <f t="shared" si="34"/>
        <v>0</v>
      </c>
      <c r="N907" s="9" t="str">
        <f t="shared" si="35"/>
        <v/>
      </c>
      <c r="O907" s="9" t="str">
        <f>IF(N907="","",IF(COUNTIF(Precios!$G:$G,N907)=0,"⚠ No coincide con Precios","OK"))</f>
        <v/>
      </c>
    </row>
    <row r="908" spans="3:15" x14ac:dyDescent="0.2">
      <c r="C908" s="9" cm="1">
        <f t="array" ref="C908">IFERROR(_xlfn.XLOOKUP(B908,Personal!$A:$A,Personal!$D:$D,""),"")</f>
        <v>0</v>
      </c>
      <c r="D908" s="9" cm="1">
        <f t="array" ref="D908">IFERROR(_xlfn.XLOOKUP(B908,Personal!$A:$A,Personal!$C:$C,""),"")</f>
        <v>0</v>
      </c>
      <c r="E908" s="9" t="str" cm="1">
        <f t="array" ref="E908">IFERROR(_xlfn.XLOOKUP(D908,Locales!$A:$A,Locales!$B:$B,""),"")</f>
        <v/>
      </c>
      <c r="F908" s="9" cm="1">
        <f t="array" ref="F908">IFERROR(_xlfn.XLOOKUP(B908,Personal!$A:$A,Personal!$F:$F,""),"")</f>
        <v>0</v>
      </c>
      <c r="I908" s="10" cm="1">
        <f t="array" ref="I908">IFERROR(INDEX(Precios!$D:$F,MATCH(N908, Precios!$G:$G, 0),CHOOSE(MATCH(H908, {"SML";"XL";"XXL"}, 0), 1, 2, 3)), 0)</f>
        <v>0</v>
      </c>
      <c r="K908" s="10">
        <f t="shared" si="34"/>
        <v>0</v>
      </c>
      <c r="N908" s="9" t="str">
        <f t="shared" si="35"/>
        <v/>
      </c>
      <c r="O908" s="9" t="str">
        <f>IF(N908="","",IF(COUNTIF(Precios!$G:$G,N908)=0,"⚠ No coincide con Precios","OK"))</f>
        <v/>
      </c>
    </row>
    <row r="909" spans="3:15" x14ac:dyDescent="0.2">
      <c r="C909" s="9" cm="1">
        <f t="array" ref="C909">IFERROR(_xlfn.XLOOKUP(B909,Personal!$A:$A,Personal!$D:$D,""),"")</f>
        <v>0</v>
      </c>
      <c r="D909" s="9" cm="1">
        <f t="array" ref="D909">IFERROR(_xlfn.XLOOKUP(B909,Personal!$A:$A,Personal!$C:$C,""),"")</f>
        <v>0</v>
      </c>
      <c r="E909" s="9" t="str" cm="1">
        <f t="array" ref="E909">IFERROR(_xlfn.XLOOKUP(D909,Locales!$A:$A,Locales!$B:$B,""),"")</f>
        <v/>
      </c>
      <c r="F909" s="9" cm="1">
        <f t="array" ref="F909">IFERROR(_xlfn.XLOOKUP(B909,Personal!$A:$A,Personal!$F:$F,""),"")</f>
        <v>0</v>
      </c>
      <c r="I909" s="10" cm="1">
        <f t="array" ref="I909">IFERROR(INDEX(Precios!$D:$F,MATCH(N909, Precios!$G:$G, 0),CHOOSE(MATCH(H909, {"SML";"XL";"XXL"}, 0), 1, 2, 3)), 0)</f>
        <v>0</v>
      </c>
      <c r="K909" s="10">
        <f t="shared" si="34"/>
        <v>0</v>
      </c>
      <c r="N909" s="9" t="str">
        <f t="shared" si="35"/>
        <v/>
      </c>
      <c r="O909" s="9" t="str">
        <f>IF(N909="","",IF(COUNTIF(Precios!$G:$G,N909)=0,"⚠ No coincide con Precios","OK"))</f>
        <v/>
      </c>
    </row>
    <row r="910" spans="3:15" x14ac:dyDescent="0.2">
      <c r="C910" s="9" cm="1">
        <f t="array" ref="C910">IFERROR(_xlfn.XLOOKUP(B910,Personal!$A:$A,Personal!$D:$D,""),"")</f>
        <v>0</v>
      </c>
      <c r="D910" s="9" cm="1">
        <f t="array" ref="D910">IFERROR(_xlfn.XLOOKUP(B910,Personal!$A:$A,Personal!$C:$C,""),"")</f>
        <v>0</v>
      </c>
      <c r="E910" s="9" t="str" cm="1">
        <f t="array" ref="E910">IFERROR(_xlfn.XLOOKUP(D910,Locales!$A:$A,Locales!$B:$B,""),"")</f>
        <v/>
      </c>
      <c r="F910" s="9" cm="1">
        <f t="array" ref="F910">IFERROR(_xlfn.XLOOKUP(B910,Personal!$A:$A,Personal!$F:$F,""),"")</f>
        <v>0</v>
      </c>
      <c r="I910" s="10" cm="1">
        <f t="array" ref="I910">IFERROR(INDEX(Precios!$D:$F,MATCH(N910, Precios!$G:$G, 0),CHOOSE(MATCH(H910, {"SML";"XL";"XXL"}, 0), 1, 2, 3)), 0)</f>
        <v>0</v>
      </c>
      <c r="K910" s="10">
        <f t="shared" si="34"/>
        <v>0</v>
      </c>
      <c r="N910" s="9" t="str">
        <f t="shared" si="35"/>
        <v/>
      </c>
      <c r="O910" s="9" t="str">
        <f>IF(N910="","",IF(COUNTIF(Precios!$G:$G,N910)=0,"⚠ No coincide con Precios","OK"))</f>
        <v/>
      </c>
    </row>
    <row r="911" spans="3:15" x14ac:dyDescent="0.2">
      <c r="C911" s="9" cm="1">
        <f t="array" ref="C911">IFERROR(_xlfn.XLOOKUP(B911,Personal!$A:$A,Personal!$D:$D,""),"")</f>
        <v>0</v>
      </c>
      <c r="D911" s="9" cm="1">
        <f t="array" ref="D911">IFERROR(_xlfn.XLOOKUP(B911,Personal!$A:$A,Personal!$C:$C,""),"")</f>
        <v>0</v>
      </c>
      <c r="E911" s="9" t="str" cm="1">
        <f t="array" ref="E911">IFERROR(_xlfn.XLOOKUP(D911,Locales!$A:$A,Locales!$B:$B,""),"")</f>
        <v/>
      </c>
      <c r="F911" s="9" cm="1">
        <f t="array" ref="F911">IFERROR(_xlfn.XLOOKUP(B911,Personal!$A:$A,Personal!$F:$F,""),"")</f>
        <v>0</v>
      </c>
      <c r="I911" s="10" cm="1">
        <f t="array" ref="I911">IFERROR(INDEX(Precios!$D:$F,MATCH(N911, Precios!$G:$G, 0),CHOOSE(MATCH(H911, {"SML";"XL";"XXL"}, 0), 1, 2, 3)), 0)</f>
        <v>0</v>
      </c>
      <c r="K911" s="10">
        <f t="shared" si="34"/>
        <v>0</v>
      </c>
      <c r="N911" s="9" t="str">
        <f t="shared" si="35"/>
        <v/>
      </c>
      <c r="O911" s="9" t="str">
        <f>IF(N911="","",IF(COUNTIF(Precios!$G:$G,N911)=0,"⚠ No coincide con Precios","OK"))</f>
        <v/>
      </c>
    </row>
    <row r="912" spans="3:15" x14ac:dyDescent="0.2">
      <c r="C912" s="9" cm="1">
        <f t="array" ref="C912">IFERROR(_xlfn.XLOOKUP(B912,Personal!$A:$A,Personal!$D:$D,""),"")</f>
        <v>0</v>
      </c>
      <c r="D912" s="9" cm="1">
        <f t="array" ref="D912">IFERROR(_xlfn.XLOOKUP(B912,Personal!$A:$A,Personal!$C:$C,""),"")</f>
        <v>0</v>
      </c>
      <c r="E912" s="9" t="str" cm="1">
        <f t="array" ref="E912">IFERROR(_xlfn.XLOOKUP(D912,Locales!$A:$A,Locales!$B:$B,""),"")</f>
        <v/>
      </c>
      <c r="F912" s="9" cm="1">
        <f t="array" ref="F912">IFERROR(_xlfn.XLOOKUP(B912,Personal!$A:$A,Personal!$F:$F,""),"")</f>
        <v>0</v>
      </c>
      <c r="I912" s="10" cm="1">
        <f t="array" ref="I912">IFERROR(INDEX(Precios!$D:$F,MATCH(N912, Precios!$G:$G, 0),CHOOSE(MATCH(H912, {"SML";"XL";"XXL"}, 0), 1, 2, 3)), 0)</f>
        <v>0</v>
      </c>
      <c r="K912" s="10">
        <f t="shared" si="34"/>
        <v>0</v>
      </c>
      <c r="N912" s="9" t="str">
        <f t="shared" si="35"/>
        <v/>
      </c>
      <c r="O912" s="9" t="str">
        <f>IF(N912="","",IF(COUNTIF(Precios!$G:$G,N912)=0,"⚠ No coincide con Precios","OK"))</f>
        <v/>
      </c>
    </row>
    <row r="913" spans="3:15" x14ac:dyDescent="0.2">
      <c r="C913" s="9" cm="1">
        <f t="array" ref="C913">IFERROR(_xlfn.XLOOKUP(B913,Personal!$A:$A,Personal!$D:$D,""),"")</f>
        <v>0</v>
      </c>
      <c r="D913" s="9" cm="1">
        <f t="array" ref="D913">IFERROR(_xlfn.XLOOKUP(B913,Personal!$A:$A,Personal!$C:$C,""),"")</f>
        <v>0</v>
      </c>
      <c r="E913" s="9" t="str" cm="1">
        <f t="array" ref="E913">IFERROR(_xlfn.XLOOKUP(D913,Locales!$A:$A,Locales!$B:$B,""),"")</f>
        <v/>
      </c>
      <c r="F913" s="9" cm="1">
        <f t="array" ref="F913">IFERROR(_xlfn.XLOOKUP(B913,Personal!$A:$A,Personal!$F:$F,""),"")</f>
        <v>0</v>
      </c>
      <c r="I913" s="10" cm="1">
        <f t="array" ref="I913">IFERROR(INDEX(Precios!$D:$F,MATCH(N913, Precios!$G:$G, 0),CHOOSE(MATCH(H913, {"SML";"XL";"XXL"}, 0), 1, 2, 3)), 0)</f>
        <v>0</v>
      </c>
      <c r="K913" s="10">
        <f t="shared" si="34"/>
        <v>0</v>
      </c>
      <c r="N913" s="9" t="str">
        <f t="shared" si="35"/>
        <v/>
      </c>
      <c r="O913" s="9" t="str">
        <f>IF(N913="","",IF(COUNTIF(Precios!$G:$G,N913)=0,"⚠ No coincide con Precios","OK"))</f>
        <v/>
      </c>
    </row>
    <row r="914" spans="3:15" x14ac:dyDescent="0.2">
      <c r="C914" s="9" cm="1">
        <f t="array" ref="C914">IFERROR(_xlfn.XLOOKUP(B914,Personal!$A:$A,Personal!$D:$D,""),"")</f>
        <v>0</v>
      </c>
      <c r="D914" s="9" cm="1">
        <f t="array" ref="D914">IFERROR(_xlfn.XLOOKUP(B914,Personal!$A:$A,Personal!$C:$C,""),"")</f>
        <v>0</v>
      </c>
      <c r="E914" s="9" t="str" cm="1">
        <f t="array" ref="E914">IFERROR(_xlfn.XLOOKUP(D914,Locales!$A:$A,Locales!$B:$B,""),"")</f>
        <v/>
      </c>
      <c r="F914" s="9" cm="1">
        <f t="array" ref="F914">IFERROR(_xlfn.XLOOKUP(B914,Personal!$A:$A,Personal!$F:$F,""),"")</f>
        <v>0</v>
      </c>
      <c r="I914" s="10" cm="1">
        <f t="array" ref="I914">IFERROR(INDEX(Precios!$D:$F,MATCH(N914, Precios!$G:$G, 0),CHOOSE(MATCH(H914, {"SML";"XL";"XXL"}, 0), 1, 2, 3)), 0)</f>
        <v>0</v>
      </c>
      <c r="K914" s="10">
        <f t="shared" si="34"/>
        <v>0</v>
      </c>
      <c r="N914" s="9" t="str">
        <f t="shared" si="35"/>
        <v/>
      </c>
      <c r="O914" s="9" t="str">
        <f>IF(N914="","",IF(COUNTIF(Precios!$G:$G,N914)=0,"⚠ No coincide con Precios","OK"))</f>
        <v/>
      </c>
    </row>
    <row r="915" spans="3:15" x14ac:dyDescent="0.2">
      <c r="C915" s="9" cm="1">
        <f t="array" ref="C915">IFERROR(_xlfn.XLOOKUP(B915,Personal!$A:$A,Personal!$D:$D,""),"")</f>
        <v>0</v>
      </c>
      <c r="D915" s="9" cm="1">
        <f t="array" ref="D915">IFERROR(_xlfn.XLOOKUP(B915,Personal!$A:$A,Personal!$C:$C,""),"")</f>
        <v>0</v>
      </c>
      <c r="E915" s="9" t="str" cm="1">
        <f t="array" ref="E915">IFERROR(_xlfn.XLOOKUP(D915,Locales!$A:$A,Locales!$B:$B,""),"")</f>
        <v/>
      </c>
      <c r="F915" s="9" cm="1">
        <f t="array" ref="F915">IFERROR(_xlfn.XLOOKUP(B915,Personal!$A:$A,Personal!$F:$F,""),"")</f>
        <v>0</v>
      </c>
      <c r="I915" s="10" cm="1">
        <f t="array" ref="I915">IFERROR(INDEX(Precios!$D:$F,MATCH(N915, Precios!$G:$G, 0),CHOOSE(MATCH(H915, {"SML";"XL";"XXL"}, 0), 1, 2, 3)), 0)</f>
        <v>0</v>
      </c>
      <c r="K915" s="10">
        <f t="shared" si="34"/>
        <v>0</v>
      </c>
      <c r="N915" s="9" t="str">
        <f t="shared" si="35"/>
        <v/>
      </c>
      <c r="O915" s="9" t="str">
        <f>IF(N915="","",IF(COUNTIF(Precios!$G:$G,N915)=0,"⚠ No coincide con Precios","OK"))</f>
        <v/>
      </c>
    </row>
    <row r="916" spans="3:15" x14ac:dyDescent="0.2">
      <c r="C916" s="9" cm="1">
        <f t="array" ref="C916">IFERROR(_xlfn.XLOOKUP(B916,Personal!$A:$A,Personal!$D:$D,""),"")</f>
        <v>0</v>
      </c>
      <c r="D916" s="9" cm="1">
        <f t="array" ref="D916">IFERROR(_xlfn.XLOOKUP(B916,Personal!$A:$A,Personal!$C:$C,""),"")</f>
        <v>0</v>
      </c>
      <c r="E916" s="9" t="str" cm="1">
        <f t="array" ref="E916">IFERROR(_xlfn.XLOOKUP(D916,Locales!$A:$A,Locales!$B:$B,""),"")</f>
        <v/>
      </c>
      <c r="F916" s="9" cm="1">
        <f t="array" ref="F916">IFERROR(_xlfn.XLOOKUP(B916,Personal!$A:$A,Personal!$F:$F,""),"")</f>
        <v>0</v>
      </c>
      <c r="I916" s="10" cm="1">
        <f t="array" ref="I916">IFERROR(INDEX(Precios!$D:$F,MATCH(N916, Precios!$G:$G, 0),CHOOSE(MATCH(H916, {"SML";"XL";"XXL"}, 0), 1, 2, 3)), 0)</f>
        <v>0</v>
      </c>
      <c r="K916" s="10">
        <f t="shared" si="34"/>
        <v>0</v>
      </c>
      <c r="N916" s="9" t="str">
        <f t="shared" si="35"/>
        <v/>
      </c>
      <c r="O916" s="9" t="str">
        <f>IF(N916="","",IF(COUNTIF(Precios!$G:$G,N916)=0,"⚠ No coincide con Precios","OK"))</f>
        <v/>
      </c>
    </row>
    <row r="917" spans="3:15" x14ac:dyDescent="0.2">
      <c r="C917" s="9" cm="1">
        <f t="array" ref="C917">IFERROR(_xlfn.XLOOKUP(B917,Personal!$A:$A,Personal!$D:$D,""),"")</f>
        <v>0</v>
      </c>
      <c r="D917" s="9" cm="1">
        <f t="array" ref="D917">IFERROR(_xlfn.XLOOKUP(B917,Personal!$A:$A,Personal!$C:$C,""),"")</f>
        <v>0</v>
      </c>
      <c r="E917" s="9" t="str" cm="1">
        <f t="array" ref="E917">IFERROR(_xlfn.XLOOKUP(D917,Locales!$A:$A,Locales!$B:$B,""),"")</f>
        <v/>
      </c>
      <c r="F917" s="9" cm="1">
        <f t="array" ref="F917">IFERROR(_xlfn.XLOOKUP(B917,Personal!$A:$A,Personal!$F:$F,""),"")</f>
        <v>0</v>
      </c>
      <c r="I917" s="10" cm="1">
        <f t="array" ref="I917">IFERROR(INDEX(Precios!$D:$F,MATCH(N917, Precios!$G:$G, 0),CHOOSE(MATCH(H917, {"SML";"XL";"XXL"}, 0), 1, 2, 3)), 0)</f>
        <v>0</v>
      </c>
      <c r="K917" s="10">
        <f t="shared" si="34"/>
        <v>0</v>
      </c>
      <c r="N917" s="9" t="str">
        <f t="shared" si="35"/>
        <v/>
      </c>
      <c r="O917" s="9" t="str">
        <f>IF(N917="","",IF(COUNTIF(Precios!$G:$G,N917)=0,"⚠ No coincide con Precios","OK"))</f>
        <v/>
      </c>
    </row>
    <row r="918" spans="3:15" x14ac:dyDescent="0.2">
      <c r="C918" s="9" cm="1">
        <f t="array" ref="C918">IFERROR(_xlfn.XLOOKUP(B918,Personal!$A:$A,Personal!$D:$D,""),"")</f>
        <v>0</v>
      </c>
      <c r="D918" s="9" cm="1">
        <f t="array" ref="D918">IFERROR(_xlfn.XLOOKUP(B918,Personal!$A:$A,Personal!$C:$C,""),"")</f>
        <v>0</v>
      </c>
      <c r="E918" s="9" t="str" cm="1">
        <f t="array" ref="E918">IFERROR(_xlfn.XLOOKUP(D918,Locales!$A:$A,Locales!$B:$B,""),"")</f>
        <v/>
      </c>
      <c r="F918" s="9" cm="1">
        <f t="array" ref="F918">IFERROR(_xlfn.XLOOKUP(B918,Personal!$A:$A,Personal!$F:$F,""),"")</f>
        <v>0</v>
      </c>
      <c r="I918" s="10" cm="1">
        <f t="array" ref="I918">IFERROR(INDEX(Precios!$D:$F,MATCH(N918, Precios!$G:$G, 0),CHOOSE(MATCH(H918, {"SML";"XL";"XXL"}, 0), 1, 2, 3)), 0)</f>
        <v>0</v>
      </c>
      <c r="K918" s="10">
        <f t="shared" si="34"/>
        <v>0</v>
      </c>
      <c r="N918" s="9" t="str">
        <f t="shared" si="35"/>
        <v/>
      </c>
      <c r="O918" s="9" t="str">
        <f>IF(N918="","",IF(COUNTIF(Precios!$G:$G,N918)=0,"⚠ No coincide con Precios","OK"))</f>
        <v/>
      </c>
    </row>
    <row r="919" spans="3:15" x14ac:dyDescent="0.2">
      <c r="C919" s="9" cm="1">
        <f t="array" ref="C919">IFERROR(_xlfn.XLOOKUP(B919,Personal!$A:$A,Personal!$D:$D,""),"")</f>
        <v>0</v>
      </c>
      <c r="D919" s="9" cm="1">
        <f t="array" ref="D919">IFERROR(_xlfn.XLOOKUP(B919,Personal!$A:$A,Personal!$C:$C,""),"")</f>
        <v>0</v>
      </c>
      <c r="E919" s="9" t="str" cm="1">
        <f t="array" ref="E919">IFERROR(_xlfn.XLOOKUP(D919,Locales!$A:$A,Locales!$B:$B,""),"")</f>
        <v/>
      </c>
      <c r="F919" s="9" cm="1">
        <f t="array" ref="F919">IFERROR(_xlfn.XLOOKUP(B919,Personal!$A:$A,Personal!$F:$F,""),"")</f>
        <v>0</v>
      </c>
      <c r="I919" s="10" cm="1">
        <f t="array" ref="I919">IFERROR(INDEX(Precios!$D:$F,MATCH(N919, Precios!$G:$G, 0),CHOOSE(MATCH(H919, {"SML";"XL";"XXL"}, 0), 1, 2, 3)), 0)</f>
        <v>0</v>
      </c>
      <c r="K919" s="10">
        <f t="shared" si="34"/>
        <v>0</v>
      </c>
      <c r="N919" s="9" t="str">
        <f t="shared" si="35"/>
        <v/>
      </c>
      <c r="O919" s="9" t="str">
        <f>IF(N919="","",IF(COUNTIF(Precios!$G:$G,N919)=0,"⚠ No coincide con Precios","OK"))</f>
        <v/>
      </c>
    </row>
    <row r="920" spans="3:15" x14ac:dyDescent="0.2">
      <c r="C920" s="9" cm="1">
        <f t="array" ref="C920">IFERROR(_xlfn.XLOOKUP(B920,Personal!$A:$A,Personal!$D:$D,""),"")</f>
        <v>0</v>
      </c>
      <c r="D920" s="9" cm="1">
        <f t="array" ref="D920">IFERROR(_xlfn.XLOOKUP(B920,Personal!$A:$A,Personal!$C:$C,""),"")</f>
        <v>0</v>
      </c>
      <c r="E920" s="9" t="str" cm="1">
        <f t="array" ref="E920">IFERROR(_xlfn.XLOOKUP(D920,Locales!$A:$A,Locales!$B:$B,""),"")</f>
        <v/>
      </c>
      <c r="F920" s="9" cm="1">
        <f t="array" ref="F920">IFERROR(_xlfn.XLOOKUP(B920,Personal!$A:$A,Personal!$F:$F,""),"")</f>
        <v>0</v>
      </c>
      <c r="I920" s="10" cm="1">
        <f t="array" ref="I920">IFERROR(INDEX(Precios!$D:$F,MATCH(N920, Precios!$G:$G, 0),CHOOSE(MATCH(H920, {"SML";"XL";"XXL"}, 0), 1, 2, 3)), 0)</f>
        <v>0</v>
      </c>
      <c r="K920" s="10">
        <f t="shared" si="34"/>
        <v>0</v>
      </c>
      <c r="N920" s="9" t="str">
        <f t="shared" si="35"/>
        <v/>
      </c>
      <c r="O920" s="9" t="str">
        <f>IF(N920="","",IF(COUNTIF(Precios!$G:$G,N920)=0,"⚠ No coincide con Precios","OK"))</f>
        <v/>
      </c>
    </row>
    <row r="921" spans="3:15" x14ac:dyDescent="0.2">
      <c r="C921" s="9" cm="1">
        <f t="array" ref="C921">IFERROR(_xlfn.XLOOKUP(B921,Personal!$A:$A,Personal!$D:$D,""),"")</f>
        <v>0</v>
      </c>
      <c r="D921" s="9" cm="1">
        <f t="array" ref="D921">IFERROR(_xlfn.XLOOKUP(B921,Personal!$A:$A,Personal!$C:$C,""),"")</f>
        <v>0</v>
      </c>
      <c r="E921" s="9" t="str" cm="1">
        <f t="array" ref="E921">IFERROR(_xlfn.XLOOKUP(D921,Locales!$A:$A,Locales!$B:$B,""),"")</f>
        <v/>
      </c>
      <c r="F921" s="9" cm="1">
        <f t="array" ref="F921">IFERROR(_xlfn.XLOOKUP(B921,Personal!$A:$A,Personal!$F:$F,""),"")</f>
        <v>0</v>
      </c>
      <c r="I921" s="10" cm="1">
        <f t="array" ref="I921">IFERROR(INDEX(Precios!$D:$F,MATCH(N921, Precios!$G:$G, 0),CHOOSE(MATCH(H921, {"SML";"XL";"XXL"}, 0), 1, 2, 3)), 0)</f>
        <v>0</v>
      </c>
      <c r="K921" s="10">
        <f t="shared" si="34"/>
        <v>0</v>
      </c>
      <c r="N921" s="9" t="str">
        <f t="shared" si="35"/>
        <v/>
      </c>
      <c r="O921" s="9" t="str">
        <f>IF(N921="","",IF(COUNTIF(Precios!$G:$G,N921)=0,"⚠ No coincide con Precios","OK"))</f>
        <v/>
      </c>
    </row>
    <row r="922" spans="3:15" x14ac:dyDescent="0.2">
      <c r="C922" s="9" cm="1">
        <f t="array" ref="C922">IFERROR(_xlfn.XLOOKUP(B922,Personal!$A:$A,Personal!$D:$D,""),"")</f>
        <v>0</v>
      </c>
      <c r="D922" s="9" cm="1">
        <f t="array" ref="D922">IFERROR(_xlfn.XLOOKUP(B922,Personal!$A:$A,Personal!$C:$C,""),"")</f>
        <v>0</v>
      </c>
      <c r="E922" s="9" t="str" cm="1">
        <f t="array" ref="E922">IFERROR(_xlfn.XLOOKUP(D922,Locales!$A:$A,Locales!$B:$B,""),"")</f>
        <v/>
      </c>
      <c r="F922" s="9" cm="1">
        <f t="array" ref="F922">IFERROR(_xlfn.XLOOKUP(B922,Personal!$A:$A,Personal!$F:$F,""),"")</f>
        <v>0</v>
      </c>
      <c r="I922" s="10" cm="1">
        <f t="array" ref="I922">IFERROR(INDEX(Precios!$D:$F,MATCH(N922, Precios!$G:$G, 0),CHOOSE(MATCH(H922, {"SML";"XL";"XXL"}, 0), 1, 2, 3)), 0)</f>
        <v>0</v>
      </c>
      <c r="K922" s="10">
        <f t="shared" si="34"/>
        <v>0</v>
      </c>
      <c r="N922" s="9" t="str">
        <f t="shared" si="35"/>
        <v/>
      </c>
      <c r="O922" s="9" t="str">
        <f>IF(N922="","",IF(COUNTIF(Precios!$G:$G,N922)=0,"⚠ No coincide con Precios","OK"))</f>
        <v/>
      </c>
    </row>
    <row r="923" spans="3:15" x14ac:dyDescent="0.2">
      <c r="C923" s="9" cm="1">
        <f t="array" ref="C923">IFERROR(_xlfn.XLOOKUP(B923,Personal!$A:$A,Personal!$D:$D,""),"")</f>
        <v>0</v>
      </c>
      <c r="D923" s="9" cm="1">
        <f t="array" ref="D923">IFERROR(_xlfn.XLOOKUP(B923,Personal!$A:$A,Personal!$C:$C,""),"")</f>
        <v>0</v>
      </c>
      <c r="E923" s="9" t="str" cm="1">
        <f t="array" ref="E923">IFERROR(_xlfn.XLOOKUP(D923,Locales!$A:$A,Locales!$B:$B,""),"")</f>
        <v/>
      </c>
      <c r="F923" s="9" cm="1">
        <f t="array" ref="F923">IFERROR(_xlfn.XLOOKUP(B923,Personal!$A:$A,Personal!$F:$F,""),"")</f>
        <v>0</v>
      </c>
      <c r="I923" s="10" cm="1">
        <f t="array" ref="I923">IFERROR(INDEX(Precios!$D:$F,MATCH(N923, Precios!$G:$G, 0),CHOOSE(MATCH(H923, {"SML";"XL";"XXL"}, 0), 1, 2, 3)), 0)</f>
        <v>0</v>
      </c>
      <c r="K923" s="10">
        <f t="shared" si="34"/>
        <v>0</v>
      </c>
      <c r="N923" s="9" t="str">
        <f t="shared" si="35"/>
        <v/>
      </c>
      <c r="O923" s="9" t="str">
        <f>IF(N923="","",IF(COUNTIF(Precios!$G:$G,N923)=0,"⚠ No coincide con Precios","OK"))</f>
        <v/>
      </c>
    </row>
    <row r="924" spans="3:15" x14ac:dyDescent="0.2">
      <c r="C924" s="9" cm="1">
        <f t="array" ref="C924">IFERROR(_xlfn.XLOOKUP(B924,Personal!$A:$A,Personal!$D:$D,""),"")</f>
        <v>0</v>
      </c>
      <c r="D924" s="9" cm="1">
        <f t="array" ref="D924">IFERROR(_xlfn.XLOOKUP(B924,Personal!$A:$A,Personal!$C:$C,""),"")</f>
        <v>0</v>
      </c>
      <c r="E924" s="9" t="str" cm="1">
        <f t="array" ref="E924">IFERROR(_xlfn.XLOOKUP(D924,Locales!$A:$A,Locales!$B:$B,""),"")</f>
        <v/>
      </c>
      <c r="F924" s="9" cm="1">
        <f t="array" ref="F924">IFERROR(_xlfn.XLOOKUP(B924,Personal!$A:$A,Personal!$F:$F,""),"")</f>
        <v>0</v>
      </c>
      <c r="I924" s="10" cm="1">
        <f t="array" ref="I924">IFERROR(INDEX(Precios!$D:$F,MATCH(N924, Precios!$G:$G, 0),CHOOSE(MATCH(H924, {"SML";"XL";"XXL"}, 0), 1, 2, 3)), 0)</f>
        <v>0</v>
      </c>
      <c r="K924" s="10">
        <f t="shared" si="34"/>
        <v>0</v>
      </c>
      <c r="N924" s="9" t="str">
        <f t="shared" si="35"/>
        <v/>
      </c>
      <c r="O924" s="9" t="str">
        <f>IF(N924="","",IF(COUNTIF(Precios!$G:$G,N924)=0,"⚠ No coincide con Precios","OK"))</f>
        <v/>
      </c>
    </row>
    <row r="925" spans="3:15" x14ac:dyDescent="0.2">
      <c r="C925" s="9" cm="1">
        <f t="array" ref="C925">IFERROR(_xlfn.XLOOKUP(B925,Personal!$A:$A,Personal!$D:$D,""),"")</f>
        <v>0</v>
      </c>
      <c r="D925" s="9" cm="1">
        <f t="array" ref="D925">IFERROR(_xlfn.XLOOKUP(B925,Personal!$A:$A,Personal!$C:$C,""),"")</f>
        <v>0</v>
      </c>
      <c r="E925" s="9" t="str" cm="1">
        <f t="array" ref="E925">IFERROR(_xlfn.XLOOKUP(D925,Locales!$A:$A,Locales!$B:$B,""),"")</f>
        <v/>
      </c>
      <c r="F925" s="9" cm="1">
        <f t="array" ref="F925">IFERROR(_xlfn.XLOOKUP(B925,Personal!$A:$A,Personal!$F:$F,""),"")</f>
        <v>0</v>
      </c>
      <c r="I925" s="10" cm="1">
        <f t="array" ref="I925">IFERROR(INDEX(Precios!$D:$F,MATCH(N925, Precios!$G:$G, 0),CHOOSE(MATCH(H925, {"SML";"XL";"XXL"}, 0), 1, 2, 3)), 0)</f>
        <v>0</v>
      </c>
      <c r="K925" s="10">
        <f t="shared" si="34"/>
        <v>0</v>
      </c>
      <c r="N925" s="9" t="str">
        <f t="shared" si="35"/>
        <v/>
      </c>
      <c r="O925" s="9" t="str">
        <f>IF(N925="","",IF(COUNTIF(Precios!$G:$G,N925)=0,"⚠ No coincide con Precios","OK"))</f>
        <v/>
      </c>
    </row>
    <row r="926" spans="3:15" x14ac:dyDescent="0.2">
      <c r="C926" s="9" cm="1">
        <f t="array" ref="C926">IFERROR(_xlfn.XLOOKUP(B926,Personal!$A:$A,Personal!$D:$D,""),"")</f>
        <v>0</v>
      </c>
      <c r="D926" s="9" cm="1">
        <f t="array" ref="D926">IFERROR(_xlfn.XLOOKUP(B926,Personal!$A:$A,Personal!$C:$C,""),"")</f>
        <v>0</v>
      </c>
      <c r="E926" s="9" t="str" cm="1">
        <f t="array" ref="E926">IFERROR(_xlfn.XLOOKUP(D926,Locales!$A:$A,Locales!$B:$B,""),"")</f>
        <v/>
      </c>
      <c r="F926" s="9" cm="1">
        <f t="array" ref="F926">IFERROR(_xlfn.XLOOKUP(B926,Personal!$A:$A,Personal!$F:$F,""),"")</f>
        <v>0</v>
      </c>
      <c r="I926" s="10" cm="1">
        <f t="array" ref="I926">IFERROR(INDEX(Precios!$D:$F,MATCH(N926, Precios!$G:$G, 0),CHOOSE(MATCH(H926, {"SML";"XL";"XXL"}, 0), 1, 2, 3)), 0)</f>
        <v>0</v>
      </c>
      <c r="K926" s="10">
        <f t="shared" si="34"/>
        <v>0</v>
      </c>
      <c r="N926" s="9" t="str">
        <f t="shared" si="35"/>
        <v/>
      </c>
      <c r="O926" s="9" t="str">
        <f>IF(N926="","",IF(COUNTIF(Precios!$G:$G,N926)=0,"⚠ No coincide con Precios","OK"))</f>
        <v/>
      </c>
    </row>
    <row r="927" spans="3:15" x14ac:dyDescent="0.2">
      <c r="C927" s="9" cm="1">
        <f t="array" ref="C927">IFERROR(_xlfn.XLOOKUP(B927,Personal!$A:$A,Personal!$D:$D,""),"")</f>
        <v>0</v>
      </c>
      <c r="D927" s="9" cm="1">
        <f t="array" ref="D927">IFERROR(_xlfn.XLOOKUP(B927,Personal!$A:$A,Personal!$C:$C,""),"")</f>
        <v>0</v>
      </c>
      <c r="E927" s="9" t="str" cm="1">
        <f t="array" ref="E927">IFERROR(_xlfn.XLOOKUP(D927,Locales!$A:$A,Locales!$B:$B,""),"")</f>
        <v/>
      </c>
      <c r="F927" s="9" cm="1">
        <f t="array" ref="F927">IFERROR(_xlfn.XLOOKUP(B927,Personal!$A:$A,Personal!$F:$F,""),"")</f>
        <v>0</v>
      </c>
      <c r="I927" s="10" cm="1">
        <f t="array" ref="I927">IFERROR(INDEX(Precios!$D:$F,MATCH(N927, Precios!$G:$G, 0),CHOOSE(MATCH(H927, {"SML";"XL";"XXL"}, 0), 1, 2, 3)), 0)</f>
        <v>0</v>
      </c>
      <c r="K927" s="10">
        <f t="shared" si="34"/>
        <v>0</v>
      </c>
      <c r="N927" s="9" t="str">
        <f t="shared" si="35"/>
        <v/>
      </c>
      <c r="O927" s="9" t="str">
        <f>IF(N927="","",IF(COUNTIF(Precios!$G:$G,N927)=0,"⚠ No coincide con Precios","OK"))</f>
        <v/>
      </c>
    </row>
    <row r="928" spans="3:15" x14ac:dyDescent="0.2">
      <c r="C928" s="9" cm="1">
        <f t="array" ref="C928">IFERROR(_xlfn.XLOOKUP(B928,Personal!$A:$A,Personal!$D:$D,""),"")</f>
        <v>0</v>
      </c>
      <c r="D928" s="9" cm="1">
        <f t="array" ref="D928">IFERROR(_xlfn.XLOOKUP(B928,Personal!$A:$A,Personal!$C:$C,""),"")</f>
        <v>0</v>
      </c>
      <c r="E928" s="9" t="str" cm="1">
        <f t="array" ref="E928">IFERROR(_xlfn.XLOOKUP(D928,Locales!$A:$A,Locales!$B:$B,""),"")</f>
        <v/>
      </c>
      <c r="F928" s="9" cm="1">
        <f t="array" ref="F928">IFERROR(_xlfn.XLOOKUP(B928,Personal!$A:$A,Personal!$F:$F,""),"")</f>
        <v>0</v>
      </c>
      <c r="I928" s="10" cm="1">
        <f t="array" ref="I928">IFERROR(INDEX(Precios!$D:$F,MATCH(N928, Precios!$G:$G, 0),CHOOSE(MATCH(H928, {"SML";"XL";"XXL"}, 0), 1, 2, 3)), 0)</f>
        <v>0</v>
      </c>
      <c r="K928" s="10">
        <f t="shared" si="34"/>
        <v>0</v>
      </c>
      <c r="N928" s="9" t="str">
        <f t="shared" si="35"/>
        <v/>
      </c>
      <c r="O928" s="9" t="str">
        <f>IF(N928="","",IF(COUNTIF(Precios!$G:$G,N928)=0,"⚠ No coincide con Precios","OK"))</f>
        <v/>
      </c>
    </row>
    <row r="929" spans="3:15" x14ac:dyDescent="0.2">
      <c r="C929" s="9" cm="1">
        <f t="array" ref="C929">IFERROR(_xlfn.XLOOKUP(B929,Personal!$A:$A,Personal!$D:$D,""),"")</f>
        <v>0</v>
      </c>
      <c r="D929" s="9" cm="1">
        <f t="array" ref="D929">IFERROR(_xlfn.XLOOKUP(B929,Personal!$A:$A,Personal!$C:$C,""),"")</f>
        <v>0</v>
      </c>
      <c r="E929" s="9" t="str" cm="1">
        <f t="array" ref="E929">IFERROR(_xlfn.XLOOKUP(D929,Locales!$A:$A,Locales!$B:$B,""),"")</f>
        <v/>
      </c>
      <c r="F929" s="9" cm="1">
        <f t="array" ref="F929">IFERROR(_xlfn.XLOOKUP(B929,Personal!$A:$A,Personal!$F:$F,""),"")</f>
        <v>0</v>
      </c>
      <c r="I929" s="10" cm="1">
        <f t="array" ref="I929">IFERROR(INDEX(Precios!$D:$F,MATCH(N929, Precios!$G:$G, 0),CHOOSE(MATCH(H929, {"SML";"XL";"XXL"}, 0), 1, 2, 3)), 0)</f>
        <v>0</v>
      </c>
      <c r="K929" s="10">
        <f t="shared" si="34"/>
        <v>0</v>
      </c>
      <c r="N929" s="9" t="str">
        <f t="shared" si="35"/>
        <v/>
      </c>
      <c r="O929" s="9" t="str">
        <f>IF(N929="","",IF(COUNTIF(Precios!$G:$G,N929)=0,"⚠ No coincide con Precios","OK"))</f>
        <v/>
      </c>
    </row>
    <row r="930" spans="3:15" x14ac:dyDescent="0.2">
      <c r="C930" s="9" cm="1">
        <f t="array" ref="C930">IFERROR(_xlfn.XLOOKUP(B930,Personal!$A:$A,Personal!$D:$D,""),"")</f>
        <v>0</v>
      </c>
      <c r="D930" s="9" cm="1">
        <f t="array" ref="D930">IFERROR(_xlfn.XLOOKUP(B930,Personal!$A:$A,Personal!$C:$C,""),"")</f>
        <v>0</v>
      </c>
      <c r="E930" s="9" t="str" cm="1">
        <f t="array" ref="E930">IFERROR(_xlfn.XLOOKUP(D930,Locales!$A:$A,Locales!$B:$B,""),"")</f>
        <v/>
      </c>
      <c r="F930" s="9" cm="1">
        <f t="array" ref="F930">IFERROR(_xlfn.XLOOKUP(B930,Personal!$A:$A,Personal!$F:$F,""),"")</f>
        <v>0</v>
      </c>
      <c r="I930" s="10" cm="1">
        <f t="array" ref="I930">IFERROR(INDEX(Precios!$D:$F,MATCH(N930, Precios!$G:$G, 0),CHOOSE(MATCH(H930, {"SML";"XL";"XXL"}, 0), 1, 2, 3)), 0)</f>
        <v>0</v>
      </c>
      <c r="K930" s="10">
        <f t="shared" si="34"/>
        <v>0</v>
      </c>
      <c r="N930" s="9" t="str">
        <f t="shared" si="35"/>
        <v/>
      </c>
      <c r="O930" s="9" t="str">
        <f>IF(N930="","",IF(COUNTIF(Precios!$G:$G,N930)=0,"⚠ No coincide con Precios","OK"))</f>
        <v/>
      </c>
    </row>
    <row r="931" spans="3:15" x14ac:dyDescent="0.2">
      <c r="C931" s="9" cm="1">
        <f t="array" ref="C931">IFERROR(_xlfn.XLOOKUP(B931,Personal!$A:$A,Personal!$D:$D,""),"")</f>
        <v>0</v>
      </c>
      <c r="D931" s="9" cm="1">
        <f t="array" ref="D931">IFERROR(_xlfn.XLOOKUP(B931,Personal!$A:$A,Personal!$C:$C,""),"")</f>
        <v>0</v>
      </c>
      <c r="E931" s="9" t="str" cm="1">
        <f t="array" ref="E931">IFERROR(_xlfn.XLOOKUP(D931,Locales!$A:$A,Locales!$B:$B,""),"")</f>
        <v/>
      </c>
      <c r="F931" s="9" cm="1">
        <f t="array" ref="F931">IFERROR(_xlfn.XLOOKUP(B931,Personal!$A:$A,Personal!$F:$F,""),"")</f>
        <v>0</v>
      </c>
      <c r="I931" s="10" cm="1">
        <f t="array" ref="I931">IFERROR(INDEX(Precios!$D:$F,MATCH(N931, Precios!$G:$G, 0),CHOOSE(MATCH(H931, {"SML";"XL";"XXL"}, 0), 1, 2, 3)), 0)</f>
        <v>0</v>
      </c>
      <c r="K931" s="10">
        <f t="shared" si="34"/>
        <v>0</v>
      </c>
      <c r="N931" s="9" t="str">
        <f t="shared" si="35"/>
        <v/>
      </c>
      <c r="O931" s="9" t="str">
        <f>IF(N931="","",IF(COUNTIF(Precios!$G:$G,N931)=0,"⚠ No coincide con Precios","OK"))</f>
        <v/>
      </c>
    </row>
    <row r="932" spans="3:15" x14ac:dyDescent="0.2">
      <c r="C932" s="9" cm="1">
        <f t="array" ref="C932">IFERROR(_xlfn.XLOOKUP(B932,Personal!$A:$A,Personal!$D:$D,""),"")</f>
        <v>0</v>
      </c>
      <c r="D932" s="9" cm="1">
        <f t="array" ref="D932">IFERROR(_xlfn.XLOOKUP(B932,Personal!$A:$A,Personal!$C:$C,""),"")</f>
        <v>0</v>
      </c>
      <c r="E932" s="9" t="str" cm="1">
        <f t="array" ref="E932">IFERROR(_xlfn.XLOOKUP(D932,Locales!$A:$A,Locales!$B:$B,""),"")</f>
        <v/>
      </c>
      <c r="F932" s="9" cm="1">
        <f t="array" ref="F932">IFERROR(_xlfn.XLOOKUP(B932,Personal!$A:$A,Personal!$F:$F,""),"")</f>
        <v>0</v>
      </c>
      <c r="I932" s="10" cm="1">
        <f t="array" ref="I932">IFERROR(INDEX(Precios!$D:$F,MATCH(N932, Precios!$G:$G, 0),CHOOSE(MATCH(H932, {"SML";"XL";"XXL"}, 0), 1, 2, 3)), 0)</f>
        <v>0</v>
      </c>
      <c r="K932" s="10">
        <f t="shared" si="34"/>
        <v>0</v>
      </c>
      <c r="N932" s="9" t="str">
        <f t="shared" si="35"/>
        <v/>
      </c>
      <c r="O932" s="9" t="str">
        <f>IF(N932="","",IF(COUNTIF(Precios!$G:$G,N932)=0,"⚠ No coincide con Precios","OK"))</f>
        <v/>
      </c>
    </row>
    <row r="933" spans="3:15" x14ac:dyDescent="0.2">
      <c r="C933" s="9" cm="1">
        <f t="array" ref="C933">IFERROR(_xlfn.XLOOKUP(B933,Personal!$A:$A,Personal!$D:$D,""),"")</f>
        <v>0</v>
      </c>
      <c r="D933" s="9" cm="1">
        <f t="array" ref="D933">IFERROR(_xlfn.XLOOKUP(B933,Personal!$A:$A,Personal!$C:$C,""),"")</f>
        <v>0</v>
      </c>
      <c r="E933" s="9" t="str" cm="1">
        <f t="array" ref="E933">IFERROR(_xlfn.XLOOKUP(D933,Locales!$A:$A,Locales!$B:$B,""),"")</f>
        <v/>
      </c>
      <c r="F933" s="9" cm="1">
        <f t="array" ref="F933">IFERROR(_xlfn.XLOOKUP(B933,Personal!$A:$A,Personal!$F:$F,""),"")</f>
        <v>0</v>
      </c>
      <c r="I933" s="10" cm="1">
        <f t="array" ref="I933">IFERROR(INDEX(Precios!$D:$F,MATCH(N933, Precios!$G:$G, 0),CHOOSE(MATCH(H933, {"SML";"XL";"XXL"}, 0), 1, 2, 3)), 0)</f>
        <v>0</v>
      </c>
      <c r="K933" s="10">
        <f t="shared" si="34"/>
        <v>0</v>
      </c>
      <c r="N933" s="9" t="str">
        <f t="shared" si="35"/>
        <v/>
      </c>
      <c r="O933" s="9" t="str">
        <f>IF(N933="","",IF(COUNTIF(Precios!$G:$G,N933)=0,"⚠ No coincide con Precios","OK"))</f>
        <v/>
      </c>
    </row>
    <row r="934" spans="3:15" x14ac:dyDescent="0.2">
      <c r="C934" s="9" cm="1">
        <f t="array" ref="C934">IFERROR(_xlfn.XLOOKUP(B934,Personal!$A:$A,Personal!$D:$D,""),"")</f>
        <v>0</v>
      </c>
      <c r="D934" s="9" cm="1">
        <f t="array" ref="D934">IFERROR(_xlfn.XLOOKUP(B934,Personal!$A:$A,Personal!$C:$C,""),"")</f>
        <v>0</v>
      </c>
      <c r="E934" s="9" t="str" cm="1">
        <f t="array" ref="E934">IFERROR(_xlfn.XLOOKUP(D934,Locales!$A:$A,Locales!$B:$B,""),"")</f>
        <v/>
      </c>
      <c r="F934" s="9" cm="1">
        <f t="array" ref="F934">IFERROR(_xlfn.XLOOKUP(B934,Personal!$A:$A,Personal!$F:$F,""),"")</f>
        <v>0</v>
      </c>
      <c r="I934" s="10" cm="1">
        <f t="array" ref="I934">IFERROR(INDEX(Precios!$D:$F,MATCH(N934, Precios!$G:$G, 0),CHOOSE(MATCH(H934, {"SML";"XL";"XXL"}, 0), 1, 2, 3)), 0)</f>
        <v>0</v>
      </c>
      <c r="K934" s="10">
        <f t="shared" si="34"/>
        <v>0</v>
      </c>
      <c r="N934" s="9" t="str">
        <f t="shared" si="35"/>
        <v/>
      </c>
      <c r="O934" s="9" t="str">
        <f>IF(N934="","",IF(COUNTIF(Precios!$G:$G,N934)=0,"⚠ No coincide con Precios","OK"))</f>
        <v/>
      </c>
    </row>
    <row r="935" spans="3:15" x14ac:dyDescent="0.2">
      <c r="C935" s="9" cm="1">
        <f t="array" ref="C935">IFERROR(_xlfn.XLOOKUP(B935,Personal!$A:$A,Personal!$D:$D,""),"")</f>
        <v>0</v>
      </c>
      <c r="D935" s="9" cm="1">
        <f t="array" ref="D935">IFERROR(_xlfn.XLOOKUP(B935,Personal!$A:$A,Personal!$C:$C,""),"")</f>
        <v>0</v>
      </c>
      <c r="E935" s="9" t="str" cm="1">
        <f t="array" ref="E935">IFERROR(_xlfn.XLOOKUP(D935,Locales!$A:$A,Locales!$B:$B,""),"")</f>
        <v/>
      </c>
      <c r="F935" s="9" cm="1">
        <f t="array" ref="F935">IFERROR(_xlfn.XLOOKUP(B935,Personal!$A:$A,Personal!$F:$F,""),"")</f>
        <v>0</v>
      </c>
      <c r="I935" s="10" cm="1">
        <f t="array" ref="I935">IFERROR(INDEX(Precios!$D:$F,MATCH(N935, Precios!$G:$G, 0),CHOOSE(MATCH(H935, {"SML";"XL";"XXL"}, 0), 1, 2, 3)), 0)</f>
        <v>0</v>
      </c>
      <c r="K935" s="10">
        <f t="shared" si="34"/>
        <v>0</v>
      </c>
      <c r="N935" s="9" t="str">
        <f t="shared" si="35"/>
        <v/>
      </c>
      <c r="O935" s="9" t="str">
        <f>IF(N935="","",IF(COUNTIF(Precios!$G:$G,N935)=0,"⚠ No coincide con Precios","OK"))</f>
        <v/>
      </c>
    </row>
    <row r="936" spans="3:15" x14ac:dyDescent="0.2">
      <c r="C936" s="9" cm="1">
        <f t="array" ref="C936">IFERROR(_xlfn.XLOOKUP(B936,Personal!$A:$A,Personal!$D:$D,""),"")</f>
        <v>0</v>
      </c>
      <c r="D936" s="9" cm="1">
        <f t="array" ref="D936">IFERROR(_xlfn.XLOOKUP(B936,Personal!$A:$A,Personal!$C:$C,""),"")</f>
        <v>0</v>
      </c>
      <c r="E936" s="9" t="str" cm="1">
        <f t="array" ref="E936">IFERROR(_xlfn.XLOOKUP(D936,Locales!$A:$A,Locales!$B:$B,""),"")</f>
        <v/>
      </c>
      <c r="F936" s="9" cm="1">
        <f t="array" ref="F936">IFERROR(_xlfn.XLOOKUP(B936,Personal!$A:$A,Personal!$F:$F,""),"")</f>
        <v>0</v>
      </c>
      <c r="I936" s="10" cm="1">
        <f t="array" ref="I936">IFERROR(INDEX(Precios!$D:$F,MATCH(N936, Precios!$G:$G, 0),CHOOSE(MATCH(H936, {"SML";"XL";"XXL"}, 0), 1, 2, 3)), 0)</f>
        <v>0</v>
      </c>
      <c r="K936" s="10">
        <f t="shared" si="34"/>
        <v>0</v>
      </c>
      <c r="N936" s="9" t="str">
        <f t="shared" si="35"/>
        <v/>
      </c>
      <c r="O936" s="9" t="str">
        <f>IF(N936="","",IF(COUNTIF(Precios!$G:$G,N936)=0,"⚠ No coincide con Precios","OK"))</f>
        <v/>
      </c>
    </row>
    <row r="937" spans="3:15" x14ac:dyDescent="0.2">
      <c r="C937" s="9" cm="1">
        <f t="array" ref="C937">IFERROR(_xlfn.XLOOKUP(B937,Personal!$A:$A,Personal!$D:$D,""),"")</f>
        <v>0</v>
      </c>
      <c r="D937" s="9" cm="1">
        <f t="array" ref="D937">IFERROR(_xlfn.XLOOKUP(B937,Personal!$A:$A,Personal!$C:$C,""),"")</f>
        <v>0</v>
      </c>
      <c r="E937" s="9" t="str" cm="1">
        <f t="array" ref="E937">IFERROR(_xlfn.XLOOKUP(D937,Locales!$A:$A,Locales!$B:$B,""),"")</f>
        <v/>
      </c>
      <c r="F937" s="9" cm="1">
        <f t="array" ref="F937">IFERROR(_xlfn.XLOOKUP(B937,Personal!$A:$A,Personal!$F:$F,""),"")</f>
        <v>0</v>
      </c>
      <c r="I937" s="10" cm="1">
        <f t="array" ref="I937">IFERROR(INDEX(Precios!$D:$F,MATCH(N937, Precios!$G:$G, 0),CHOOSE(MATCH(H937, {"SML";"XL";"XXL"}, 0), 1, 2, 3)), 0)</f>
        <v>0</v>
      </c>
      <c r="K937" s="10">
        <f t="shared" si="34"/>
        <v>0</v>
      </c>
      <c r="N937" s="9" t="str">
        <f t="shared" si="35"/>
        <v/>
      </c>
      <c r="O937" s="9" t="str">
        <f>IF(N937="","",IF(COUNTIF(Precios!$G:$G,N937)=0,"⚠ No coincide con Precios","OK"))</f>
        <v/>
      </c>
    </row>
    <row r="938" spans="3:15" x14ac:dyDescent="0.2">
      <c r="C938" s="9" cm="1">
        <f t="array" ref="C938">IFERROR(_xlfn.XLOOKUP(B938,Personal!$A:$A,Personal!$D:$D,""),"")</f>
        <v>0</v>
      </c>
      <c r="D938" s="9" cm="1">
        <f t="array" ref="D938">IFERROR(_xlfn.XLOOKUP(B938,Personal!$A:$A,Personal!$C:$C,""),"")</f>
        <v>0</v>
      </c>
      <c r="E938" s="9" t="str" cm="1">
        <f t="array" ref="E938">IFERROR(_xlfn.XLOOKUP(D938,Locales!$A:$A,Locales!$B:$B,""),"")</f>
        <v/>
      </c>
      <c r="F938" s="9" cm="1">
        <f t="array" ref="F938">IFERROR(_xlfn.XLOOKUP(B938,Personal!$A:$A,Personal!$F:$F,""),"")</f>
        <v>0</v>
      </c>
      <c r="I938" s="10" cm="1">
        <f t="array" ref="I938">IFERROR(INDEX(Precios!$D:$F,MATCH(N938, Precios!$G:$G, 0),CHOOSE(MATCH(H938, {"SML";"XL";"XXL"}, 0), 1, 2, 3)), 0)</f>
        <v>0</v>
      </c>
      <c r="K938" s="10">
        <f t="shared" si="34"/>
        <v>0</v>
      </c>
      <c r="N938" s="9" t="str">
        <f t="shared" si="35"/>
        <v/>
      </c>
      <c r="O938" s="9" t="str">
        <f>IF(N938="","",IF(COUNTIF(Precios!$G:$G,N938)=0,"⚠ No coincide con Precios","OK"))</f>
        <v/>
      </c>
    </row>
    <row r="939" spans="3:15" x14ac:dyDescent="0.2">
      <c r="C939" s="9" cm="1">
        <f t="array" ref="C939">IFERROR(_xlfn.XLOOKUP(B939,Personal!$A:$A,Personal!$D:$D,""),"")</f>
        <v>0</v>
      </c>
      <c r="D939" s="9" cm="1">
        <f t="array" ref="D939">IFERROR(_xlfn.XLOOKUP(B939,Personal!$A:$A,Personal!$C:$C,""),"")</f>
        <v>0</v>
      </c>
      <c r="E939" s="9" t="str" cm="1">
        <f t="array" ref="E939">IFERROR(_xlfn.XLOOKUP(D939,Locales!$A:$A,Locales!$B:$B,""),"")</f>
        <v/>
      </c>
      <c r="F939" s="9" cm="1">
        <f t="array" ref="F939">IFERROR(_xlfn.XLOOKUP(B939,Personal!$A:$A,Personal!$F:$F,""),"")</f>
        <v>0</v>
      </c>
      <c r="I939" s="10" cm="1">
        <f t="array" ref="I939">IFERROR(INDEX(Precios!$D:$F,MATCH(N939, Precios!$G:$G, 0),CHOOSE(MATCH(H939, {"SML";"XL";"XXL"}, 0), 1, 2, 3)), 0)</f>
        <v>0</v>
      </c>
      <c r="K939" s="10">
        <f t="shared" si="34"/>
        <v>0</v>
      </c>
      <c r="N939" s="9" t="str">
        <f t="shared" si="35"/>
        <v/>
      </c>
      <c r="O939" s="9" t="str">
        <f>IF(N939="","",IF(COUNTIF(Precios!$G:$G,N939)=0,"⚠ No coincide con Precios","OK"))</f>
        <v/>
      </c>
    </row>
    <row r="940" spans="3:15" x14ac:dyDescent="0.2">
      <c r="C940" s="9" cm="1">
        <f t="array" ref="C940">IFERROR(_xlfn.XLOOKUP(B940,Personal!$A:$A,Personal!$D:$D,""),"")</f>
        <v>0</v>
      </c>
      <c r="D940" s="9" cm="1">
        <f t="array" ref="D940">IFERROR(_xlfn.XLOOKUP(B940,Personal!$A:$A,Personal!$C:$C,""),"")</f>
        <v>0</v>
      </c>
      <c r="E940" s="9" t="str" cm="1">
        <f t="array" ref="E940">IFERROR(_xlfn.XLOOKUP(D940,Locales!$A:$A,Locales!$B:$B,""),"")</f>
        <v/>
      </c>
      <c r="F940" s="9" cm="1">
        <f t="array" ref="F940">IFERROR(_xlfn.XLOOKUP(B940,Personal!$A:$A,Personal!$F:$F,""),"")</f>
        <v>0</v>
      </c>
      <c r="I940" s="10" cm="1">
        <f t="array" ref="I940">IFERROR(INDEX(Precios!$D:$F,MATCH(N940, Precios!$G:$G, 0),CHOOSE(MATCH(H940, {"SML";"XL";"XXL"}, 0), 1, 2, 3)), 0)</f>
        <v>0</v>
      </c>
      <c r="K940" s="10">
        <f t="shared" si="34"/>
        <v>0</v>
      </c>
      <c r="N940" s="9" t="str">
        <f t="shared" si="35"/>
        <v/>
      </c>
      <c r="O940" s="9" t="str">
        <f>IF(N940="","",IF(COUNTIF(Precios!$G:$G,N940)=0,"⚠ No coincide con Precios","OK"))</f>
        <v/>
      </c>
    </row>
    <row r="941" spans="3:15" x14ac:dyDescent="0.2">
      <c r="C941" s="9" cm="1">
        <f t="array" ref="C941">IFERROR(_xlfn.XLOOKUP(B941,Personal!$A:$A,Personal!$D:$D,""),"")</f>
        <v>0</v>
      </c>
      <c r="D941" s="9" cm="1">
        <f t="array" ref="D941">IFERROR(_xlfn.XLOOKUP(B941,Personal!$A:$A,Personal!$C:$C,""),"")</f>
        <v>0</v>
      </c>
      <c r="E941" s="9" t="str" cm="1">
        <f t="array" ref="E941">IFERROR(_xlfn.XLOOKUP(D941,Locales!$A:$A,Locales!$B:$B,""),"")</f>
        <v/>
      </c>
      <c r="F941" s="9" cm="1">
        <f t="array" ref="F941">IFERROR(_xlfn.XLOOKUP(B941,Personal!$A:$A,Personal!$F:$F,""),"")</f>
        <v>0</v>
      </c>
      <c r="I941" s="10" cm="1">
        <f t="array" ref="I941">IFERROR(INDEX(Precios!$D:$F,MATCH(N941, Precios!$G:$G, 0),CHOOSE(MATCH(H941, {"SML";"XL";"XXL"}, 0), 1, 2, 3)), 0)</f>
        <v>0</v>
      </c>
      <c r="K941" s="10">
        <f t="shared" si="34"/>
        <v>0</v>
      </c>
      <c r="N941" s="9" t="str">
        <f t="shared" si="35"/>
        <v/>
      </c>
      <c r="O941" s="9" t="str">
        <f>IF(N941="","",IF(COUNTIF(Precios!$G:$G,N941)=0,"⚠ No coincide con Precios","OK"))</f>
        <v/>
      </c>
    </row>
    <row r="942" spans="3:15" x14ac:dyDescent="0.2">
      <c r="C942" s="9" cm="1">
        <f t="array" ref="C942">IFERROR(_xlfn.XLOOKUP(B942,Personal!$A:$A,Personal!$D:$D,""),"")</f>
        <v>0</v>
      </c>
      <c r="D942" s="9" cm="1">
        <f t="array" ref="D942">IFERROR(_xlfn.XLOOKUP(B942,Personal!$A:$A,Personal!$C:$C,""),"")</f>
        <v>0</v>
      </c>
      <c r="E942" s="9" t="str" cm="1">
        <f t="array" ref="E942">IFERROR(_xlfn.XLOOKUP(D942,Locales!$A:$A,Locales!$B:$B,""),"")</f>
        <v/>
      </c>
      <c r="F942" s="9" cm="1">
        <f t="array" ref="F942">IFERROR(_xlfn.XLOOKUP(B942,Personal!$A:$A,Personal!$F:$F,""),"")</f>
        <v>0</v>
      </c>
      <c r="I942" s="10" cm="1">
        <f t="array" ref="I942">IFERROR(INDEX(Precios!$D:$F,MATCH(N942, Precios!$G:$G, 0),CHOOSE(MATCH(H942, {"SML";"XL";"XXL"}, 0), 1, 2, 3)), 0)</f>
        <v>0</v>
      </c>
      <c r="K942" s="10">
        <f t="shared" si="34"/>
        <v>0</v>
      </c>
      <c r="N942" s="9" t="str">
        <f t="shared" si="35"/>
        <v/>
      </c>
      <c r="O942" s="9" t="str">
        <f>IF(N942="","",IF(COUNTIF(Precios!$G:$G,N942)=0,"⚠ No coincide con Precios","OK"))</f>
        <v/>
      </c>
    </row>
    <row r="943" spans="3:15" x14ac:dyDescent="0.2">
      <c r="C943" s="9" cm="1">
        <f t="array" ref="C943">IFERROR(_xlfn.XLOOKUP(B943,Personal!$A:$A,Personal!$D:$D,""),"")</f>
        <v>0</v>
      </c>
      <c r="D943" s="9" cm="1">
        <f t="array" ref="D943">IFERROR(_xlfn.XLOOKUP(B943,Personal!$A:$A,Personal!$C:$C,""),"")</f>
        <v>0</v>
      </c>
      <c r="E943" s="9" t="str" cm="1">
        <f t="array" ref="E943">IFERROR(_xlfn.XLOOKUP(D943,Locales!$A:$A,Locales!$B:$B,""),"")</f>
        <v/>
      </c>
      <c r="F943" s="9" cm="1">
        <f t="array" ref="F943">IFERROR(_xlfn.XLOOKUP(B943,Personal!$A:$A,Personal!$F:$F,""),"")</f>
        <v>0</v>
      </c>
      <c r="I943" s="10" cm="1">
        <f t="array" ref="I943">IFERROR(INDEX(Precios!$D:$F,MATCH(N943, Precios!$G:$G, 0),CHOOSE(MATCH(H943, {"SML";"XL";"XXL"}, 0), 1, 2, 3)), 0)</f>
        <v>0</v>
      </c>
      <c r="K943" s="10">
        <f t="shared" si="34"/>
        <v>0</v>
      </c>
      <c r="N943" s="9" t="str">
        <f t="shared" si="35"/>
        <v/>
      </c>
      <c r="O943" s="9" t="str">
        <f>IF(N943="","",IF(COUNTIF(Precios!$G:$G,N943)=0,"⚠ No coincide con Precios","OK"))</f>
        <v/>
      </c>
    </row>
    <row r="944" spans="3:15" x14ac:dyDescent="0.2">
      <c r="C944" s="9" cm="1">
        <f t="array" ref="C944">IFERROR(_xlfn.XLOOKUP(B944,Personal!$A:$A,Personal!$D:$D,""),"")</f>
        <v>0</v>
      </c>
      <c r="D944" s="9" cm="1">
        <f t="array" ref="D944">IFERROR(_xlfn.XLOOKUP(B944,Personal!$A:$A,Personal!$C:$C,""),"")</f>
        <v>0</v>
      </c>
      <c r="E944" s="9" t="str" cm="1">
        <f t="array" ref="E944">IFERROR(_xlfn.XLOOKUP(D944,Locales!$A:$A,Locales!$B:$B,""),"")</f>
        <v/>
      </c>
      <c r="F944" s="9" cm="1">
        <f t="array" ref="F944">IFERROR(_xlfn.XLOOKUP(B944,Personal!$A:$A,Personal!$F:$F,""),"")</f>
        <v>0</v>
      </c>
      <c r="I944" s="10" cm="1">
        <f t="array" ref="I944">IFERROR(INDEX(Precios!$D:$F,MATCH(N944, Precios!$G:$G, 0),CHOOSE(MATCH(H944, {"SML";"XL";"XXL"}, 0), 1, 2, 3)), 0)</f>
        <v>0</v>
      </c>
      <c r="K944" s="10">
        <f t="shared" si="34"/>
        <v>0</v>
      </c>
      <c r="N944" s="9" t="str">
        <f t="shared" si="35"/>
        <v/>
      </c>
      <c r="O944" s="9" t="str">
        <f>IF(N944="","",IF(COUNTIF(Precios!$G:$G,N944)=0,"⚠ No coincide con Precios","OK"))</f>
        <v/>
      </c>
    </row>
    <row r="945" spans="3:15" x14ac:dyDescent="0.2">
      <c r="C945" s="9" cm="1">
        <f t="array" ref="C945">IFERROR(_xlfn.XLOOKUP(B945,Personal!$A:$A,Personal!$D:$D,""),"")</f>
        <v>0</v>
      </c>
      <c r="D945" s="9" cm="1">
        <f t="array" ref="D945">IFERROR(_xlfn.XLOOKUP(B945,Personal!$A:$A,Personal!$C:$C,""),"")</f>
        <v>0</v>
      </c>
      <c r="E945" s="9" t="str" cm="1">
        <f t="array" ref="E945">IFERROR(_xlfn.XLOOKUP(D945,Locales!$A:$A,Locales!$B:$B,""),"")</f>
        <v/>
      </c>
      <c r="F945" s="9" cm="1">
        <f t="array" ref="F945">IFERROR(_xlfn.XLOOKUP(B945,Personal!$A:$A,Personal!$F:$F,""),"")</f>
        <v>0</v>
      </c>
      <c r="I945" s="10" cm="1">
        <f t="array" ref="I945">IFERROR(INDEX(Precios!$D:$F,MATCH(N945, Precios!$G:$G, 0),CHOOSE(MATCH(H945, {"SML";"XL";"XXL"}, 0), 1, 2, 3)), 0)</f>
        <v>0</v>
      </c>
      <c r="K945" s="10">
        <f t="shared" si="34"/>
        <v>0</v>
      </c>
      <c r="N945" s="9" t="str">
        <f t="shared" si="35"/>
        <v/>
      </c>
      <c r="O945" s="9" t="str">
        <f>IF(N945="","",IF(COUNTIF(Precios!$G:$G,N945)=0,"⚠ No coincide con Precios","OK"))</f>
        <v/>
      </c>
    </row>
    <row r="946" spans="3:15" x14ac:dyDescent="0.2">
      <c r="C946" s="9" cm="1">
        <f t="array" ref="C946">IFERROR(_xlfn.XLOOKUP(B946,Personal!$A:$A,Personal!$D:$D,""),"")</f>
        <v>0</v>
      </c>
      <c r="D946" s="9" cm="1">
        <f t="array" ref="D946">IFERROR(_xlfn.XLOOKUP(B946,Personal!$A:$A,Personal!$C:$C,""),"")</f>
        <v>0</v>
      </c>
      <c r="E946" s="9" t="str" cm="1">
        <f t="array" ref="E946">IFERROR(_xlfn.XLOOKUP(D946,Locales!$A:$A,Locales!$B:$B,""),"")</f>
        <v/>
      </c>
      <c r="F946" s="9" cm="1">
        <f t="array" ref="F946">IFERROR(_xlfn.XLOOKUP(B946,Personal!$A:$A,Personal!$F:$F,""),"")</f>
        <v>0</v>
      </c>
      <c r="I946" s="10" cm="1">
        <f t="array" ref="I946">IFERROR(INDEX(Precios!$D:$F,MATCH(N946, Precios!$G:$G, 0),CHOOSE(MATCH(H946, {"SML";"XL";"XXL"}, 0), 1, 2, 3)), 0)</f>
        <v>0</v>
      </c>
      <c r="K946" s="10">
        <f t="shared" si="34"/>
        <v>0</v>
      </c>
      <c r="N946" s="9" t="str">
        <f t="shared" si="35"/>
        <v/>
      </c>
      <c r="O946" s="9" t="str">
        <f>IF(N946="","",IF(COUNTIF(Precios!$G:$G,N946)=0,"⚠ No coincide con Precios","OK"))</f>
        <v/>
      </c>
    </row>
    <row r="947" spans="3:15" x14ac:dyDescent="0.2">
      <c r="C947" s="9" cm="1">
        <f t="array" ref="C947">IFERROR(_xlfn.XLOOKUP(B947,Personal!$A:$A,Personal!$D:$D,""),"")</f>
        <v>0</v>
      </c>
      <c r="D947" s="9" cm="1">
        <f t="array" ref="D947">IFERROR(_xlfn.XLOOKUP(B947,Personal!$A:$A,Personal!$C:$C,""),"")</f>
        <v>0</v>
      </c>
      <c r="E947" s="9" t="str" cm="1">
        <f t="array" ref="E947">IFERROR(_xlfn.XLOOKUP(D947,Locales!$A:$A,Locales!$B:$B,""),"")</f>
        <v/>
      </c>
      <c r="F947" s="9" cm="1">
        <f t="array" ref="F947">IFERROR(_xlfn.XLOOKUP(B947,Personal!$A:$A,Personal!$F:$F,""),"")</f>
        <v>0</v>
      </c>
      <c r="I947" s="10" cm="1">
        <f t="array" ref="I947">IFERROR(INDEX(Precios!$D:$F,MATCH(N947, Precios!$G:$G, 0),CHOOSE(MATCH(H947, {"SML";"XL";"XXL"}, 0), 1, 2, 3)), 0)</f>
        <v>0</v>
      </c>
      <c r="K947" s="10">
        <f t="shared" si="34"/>
        <v>0</v>
      </c>
      <c r="N947" s="9" t="str">
        <f t="shared" si="35"/>
        <v/>
      </c>
      <c r="O947" s="9" t="str">
        <f>IF(N947="","",IF(COUNTIF(Precios!$G:$G,N947)=0,"⚠ No coincide con Precios","OK"))</f>
        <v/>
      </c>
    </row>
    <row r="948" spans="3:15" x14ac:dyDescent="0.2">
      <c r="C948" s="9" cm="1">
        <f t="array" ref="C948">IFERROR(_xlfn.XLOOKUP(B948,Personal!$A:$A,Personal!$D:$D,""),"")</f>
        <v>0</v>
      </c>
      <c r="D948" s="9" cm="1">
        <f t="array" ref="D948">IFERROR(_xlfn.XLOOKUP(B948,Personal!$A:$A,Personal!$C:$C,""),"")</f>
        <v>0</v>
      </c>
      <c r="E948" s="9" t="str" cm="1">
        <f t="array" ref="E948">IFERROR(_xlfn.XLOOKUP(D948,Locales!$A:$A,Locales!$B:$B,""),"")</f>
        <v/>
      </c>
      <c r="F948" s="9" cm="1">
        <f t="array" ref="F948">IFERROR(_xlfn.XLOOKUP(B948,Personal!$A:$A,Personal!$F:$F,""),"")</f>
        <v>0</v>
      </c>
      <c r="I948" s="10" cm="1">
        <f t="array" ref="I948">IFERROR(INDEX(Precios!$D:$F,MATCH(N948, Precios!$G:$G, 0),CHOOSE(MATCH(H948, {"SML";"XL";"XXL"}, 0), 1, 2, 3)), 0)</f>
        <v>0</v>
      </c>
      <c r="K948" s="10">
        <f t="shared" si="34"/>
        <v>0</v>
      </c>
      <c r="N948" s="9" t="str">
        <f t="shared" si="35"/>
        <v/>
      </c>
      <c r="O948" s="9" t="str">
        <f>IF(N948="","",IF(COUNTIF(Precios!$G:$G,N948)=0,"⚠ No coincide con Precios","OK"))</f>
        <v/>
      </c>
    </row>
    <row r="949" spans="3:15" x14ac:dyDescent="0.2">
      <c r="C949" s="9" cm="1">
        <f t="array" ref="C949">IFERROR(_xlfn.XLOOKUP(B949,Personal!$A:$A,Personal!$D:$D,""),"")</f>
        <v>0</v>
      </c>
      <c r="D949" s="9" cm="1">
        <f t="array" ref="D949">IFERROR(_xlfn.XLOOKUP(B949,Personal!$A:$A,Personal!$C:$C,""),"")</f>
        <v>0</v>
      </c>
      <c r="E949" s="9" t="str" cm="1">
        <f t="array" ref="E949">IFERROR(_xlfn.XLOOKUP(D949,Locales!$A:$A,Locales!$B:$B,""),"")</f>
        <v/>
      </c>
      <c r="F949" s="9" cm="1">
        <f t="array" ref="F949">IFERROR(_xlfn.XLOOKUP(B949,Personal!$A:$A,Personal!$F:$F,""),"")</f>
        <v>0</v>
      </c>
      <c r="I949" s="10" cm="1">
        <f t="array" ref="I949">IFERROR(INDEX(Precios!$D:$F,MATCH(N949, Precios!$G:$G, 0),CHOOSE(MATCH(H949, {"SML";"XL";"XXL"}, 0), 1, 2, 3)), 0)</f>
        <v>0</v>
      </c>
      <c r="K949" s="10">
        <f t="shared" si="34"/>
        <v>0</v>
      </c>
      <c r="N949" s="9" t="str">
        <f t="shared" si="35"/>
        <v/>
      </c>
      <c r="O949" s="9" t="str">
        <f>IF(N949="","",IF(COUNTIF(Precios!$G:$G,N949)=0,"⚠ No coincide con Precios","OK"))</f>
        <v/>
      </c>
    </row>
    <row r="950" spans="3:15" x14ac:dyDescent="0.2">
      <c r="C950" s="9" cm="1">
        <f t="array" ref="C950">IFERROR(_xlfn.XLOOKUP(B950,Personal!$A:$A,Personal!$D:$D,""),"")</f>
        <v>0</v>
      </c>
      <c r="D950" s="9" cm="1">
        <f t="array" ref="D950">IFERROR(_xlfn.XLOOKUP(B950,Personal!$A:$A,Personal!$C:$C,""),"")</f>
        <v>0</v>
      </c>
      <c r="E950" s="9" t="str" cm="1">
        <f t="array" ref="E950">IFERROR(_xlfn.XLOOKUP(D950,Locales!$A:$A,Locales!$B:$B,""),"")</f>
        <v/>
      </c>
      <c r="F950" s="9" cm="1">
        <f t="array" ref="F950">IFERROR(_xlfn.XLOOKUP(B950,Personal!$A:$A,Personal!$F:$F,""),"")</f>
        <v>0</v>
      </c>
      <c r="I950" s="10" cm="1">
        <f t="array" ref="I950">IFERROR(INDEX(Precios!$D:$F,MATCH(N950, Precios!$G:$G, 0),CHOOSE(MATCH(H950, {"SML";"XL";"XXL"}, 0), 1, 2, 3)), 0)</f>
        <v>0</v>
      </c>
      <c r="K950" s="10">
        <f t="shared" si="34"/>
        <v>0</v>
      </c>
      <c r="N950" s="9" t="str">
        <f t="shared" si="35"/>
        <v/>
      </c>
      <c r="O950" s="9" t="str">
        <f>IF(N950="","",IF(COUNTIF(Precios!$G:$G,N950)=0,"⚠ No coincide con Precios","OK"))</f>
        <v/>
      </c>
    </row>
    <row r="951" spans="3:15" x14ac:dyDescent="0.2">
      <c r="C951" s="9" cm="1">
        <f t="array" ref="C951">IFERROR(_xlfn.XLOOKUP(B951,Personal!$A:$A,Personal!$D:$D,""),"")</f>
        <v>0</v>
      </c>
      <c r="D951" s="9" cm="1">
        <f t="array" ref="D951">IFERROR(_xlfn.XLOOKUP(B951,Personal!$A:$A,Personal!$C:$C,""),"")</f>
        <v>0</v>
      </c>
      <c r="E951" s="9" t="str" cm="1">
        <f t="array" ref="E951">IFERROR(_xlfn.XLOOKUP(D951,Locales!$A:$A,Locales!$B:$B,""),"")</f>
        <v/>
      </c>
      <c r="F951" s="9" cm="1">
        <f t="array" ref="F951">IFERROR(_xlfn.XLOOKUP(B951,Personal!$A:$A,Personal!$F:$F,""),"")</f>
        <v>0</v>
      </c>
      <c r="I951" s="10" cm="1">
        <f t="array" ref="I951">IFERROR(INDEX(Precios!$D:$F,MATCH(N951, Precios!$G:$G, 0),CHOOSE(MATCH(H951, {"SML";"XL";"XXL"}, 0), 1, 2, 3)), 0)</f>
        <v>0</v>
      </c>
      <c r="K951" s="10">
        <f t="shared" si="34"/>
        <v>0</v>
      </c>
      <c r="N951" s="9" t="str">
        <f t="shared" si="35"/>
        <v/>
      </c>
      <c r="O951" s="9" t="str">
        <f>IF(N951="","",IF(COUNTIF(Precios!$G:$G,N951)=0,"⚠ No coincide con Precios","OK"))</f>
        <v/>
      </c>
    </row>
    <row r="952" spans="3:15" x14ac:dyDescent="0.2">
      <c r="C952" s="9" cm="1">
        <f t="array" ref="C952">IFERROR(_xlfn.XLOOKUP(B952,Personal!$A:$A,Personal!$D:$D,""),"")</f>
        <v>0</v>
      </c>
      <c r="D952" s="9" cm="1">
        <f t="array" ref="D952">IFERROR(_xlfn.XLOOKUP(B952,Personal!$A:$A,Personal!$C:$C,""),"")</f>
        <v>0</v>
      </c>
      <c r="E952" s="9" t="str" cm="1">
        <f t="array" ref="E952">IFERROR(_xlfn.XLOOKUP(D952,Locales!$A:$A,Locales!$B:$B,""),"")</f>
        <v/>
      </c>
      <c r="F952" s="9" cm="1">
        <f t="array" ref="F952">IFERROR(_xlfn.XLOOKUP(B952,Personal!$A:$A,Personal!$F:$F,""),"")</f>
        <v>0</v>
      </c>
      <c r="I952" s="10" cm="1">
        <f t="array" ref="I952">IFERROR(INDEX(Precios!$D:$F,MATCH(N952, Precios!$G:$G, 0),CHOOSE(MATCH(H952, {"SML";"XL";"XXL"}, 0), 1, 2, 3)), 0)</f>
        <v>0</v>
      </c>
      <c r="K952" s="10">
        <f t="shared" si="34"/>
        <v>0</v>
      </c>
      <c r="N952" s="9" t="str">
        <f t="shared" si="35"/>
        <v/>
      </c>
      <c r="O952" s="9" t="str">
        <f>IF(N952="","",IF(COUNTIF(Precios!$G:$G,N952)=0,"⚠ No coincide con Precios","OK"))</f>
        <v/>
      </c>
    </row>
    <row r="953" spans="3:15" x14ac:dyDescent="0.2">
      <c r="C953" s="9" cm="1">
        <f t="array" ref="C953">IFERROR(_xlfn.XLOOKUP(B953,Personal!$A:$A,Personal!$D:$D,""),"")</f>
        <v>0</v>
      </c>
      <c r="D953" s="9" cm="1">
        <f t="array" ref="D953">IFERROR(_xlfn.XLOOKUP(B953,Personal!$A:$A,Personal!$C:$C,""),"")</f>
        <v>0</v>
      </c>
      <c r="E953" s="9" t="str" cm="1">
        <f t="array" ref="E953">IFERROR(_xlfn.XLOOKUP(D953,Locales!$A:$A,Locales!$B:$B,""),"")</f>
        <v/>
      </c>
      <c r="F953" s="9" cm="1">
        <f t="array" ref="F953">IFERROR(_xlfn.XLOOKUP(B953,Personal!$A:$A,Personal!$F:$F,""),"")</f>
        <v>0</v>
      </c>
      <c r="I953" s="10" cm="1">
        <f t="array" ref="I953">IFERROR(INDEX(Precios!$D:$F,MATCH(N953, Precios!$G:$G, 0),CHOOSE(MATCH(H953, {"SML";"XL";"XXL"}, 0), 1, 2, 3)), 0)</f>
        <v>0</v>
      </c>
      <c r="K953" s="10">
        <f t="shared" si="34"/>
        <v>0</v>
      </c>
      <c r="N953" s="9" t="str">
        <f t="shared" si="35"/>
        <v/>
      </c>
      <c r="O953" s="9" t="str">
        <f>IF(N953="","",IF(COUNTIF(Precios!$G:$G,N953)=0,"⚠ No coincide con Precios","OK"))</f>
        <v/>
      </c>
    </row>
    <row r="954" spans="3:15" x14ac:dyDescent="0.2">
      <c r="C954" s="9" cm="1">
        <f t="array" ref="C954">IFERROR(_xlfn.XLOOKUP(B954,Personal!$A:$A,Personal!$D:$D,""),"")</f>
        <v>0</v>
      </c>
      <c r="D954" s="9" cm="1">
        <f t="array" ref="D954">IFERROR(_xlfn.XLOOKUP(B954,Personal!$A:$A,Personal!$C:$C,""),"")</f>
        <v>0</v>
      </c>
      <c r="E954" s="9" t="str" cm="1">
        <f t="array" ref="E954">IFERROR(_xlfn.XLOOKUP(D954,Locales!$A:$A,Locales!$B:$B,""),"")</f>
        <v/>
      </c>
      <c r="F954" s="9" cm="1">
        <f t="array" ref="F954">IFERROR(_xlfn.XLOOKUP(B954,Personal!$A:$A,Personal!$F:$F,""),"")</f>
        <v>0</v>
      </c>
      <c r="I954" s="10" cm="1">
        <f t="array" ref="I954">IFERROR(INDEX(Precios!$D:$F,MATCH(N954, Precios!$G:$G, 0),CHOOSE(MATCH(H954, {"SML";"XL";"XXL"}, 0), 1, 2, 3)), 0)</f>
        <v>0</v>
      </c>
      <c r="K954" s="10">
        <f t="shared" si="34"/>
        <v>0</v>
      </c>
      <c r="N954" s="9" t="str">
        <f t="shared" si="35"/>
        <v/>
      </c>
      <c r="O954" s="9" t="str">
        <f>IF(N954="","",IF(COUNTIF(Precios!$G:$G,N954)=0,"⚠ No coincide con Precios","OK"))</f>
        <v/>
      </c>
    </row>
    <row r="955" spans="3:15" x14ac:dyDescent="0.2">
      <c r="C955" s="9" cm="1">
        <f t="array" ref="C955">IFERROR(_xlfn.XLOOKUP(B955,Personal!$A:$A,Personal!$D:$D,""),"")</f>
        <v>0</v>
      </c>
      <c r="D955" s="9" cm="1">
        <f t="array" ref="D955">IFERROR(_xlfn.XLOOKUP(B955,Personal!$A:$A,Personal!$C:$C,""),"")</f>
        <v>0</v>
      </c>
      <c r="E955" s="9" t="str" cm="1">
        <f t="array" ref="E955">IFERROR(_xlfn.XLOOKUP(D955,Locales!$A:$A,Locales!$B:$B,""),"")</f>
        <v/>
      </c>
      <c r="F955" s="9" cm="1">
        <f t="array" ref="F955">IFERROR(_xlfn.XLOOKUP(B955,Personal!$A:$A,Personal!$F:$F,""),"")</f>
        <v>0</v>
      </c>
      <c r="I955" s="10" cm="1">
        <f t="array" ref="I955">IFERROR(INDEX(Precios!$D:$F,MATCH(N955, Precios!$G:$G, 0),CHOOSE(MATCH(H955, {"SML";"XL";"XXL"}, 0), 1, 2, 3)), 0)</f>
        <v>0</v>
      </c>
      <c r="K955" s="10">
        <f t="shared" si="34"/>
        <v>0</v>
      </c>
      <c r="N955" s="9" t="str">
        <f t="shared" si="35"/>
        <v/>
      </c>
      <c r="O955" s="9" t="str">
        <f>IF(N955="","",IF(COUNTIF(Precios!$G:$G,N955)=0,"⚠ No coincide con Precios","OK"))</f>
        <v/>
      </c>
    </row>
    <row r="956" spans="3:15" x14ac:dyDescent="0.2">
      <c r="C956" s="9" cm="1">
        <f t="array" ref="C956">IFERROR(_xlfn.XLOOKUP(B956,Personal!$A:$A,Personal!$D:$D,""),"")</f>
        <v>0</v>
      </c>
      <c r="D956" s="9" cm="1">
        <f t="array" ref="D956">IFERROR(_xlfn.XLOOKUP(B956,Personal!$A:$A,Personal!$C:$C,""),"")</f>
        <v>0</v>
      </c>
      <c r="E956" s="9" t="str" cm="1">
        <f t="array" ref="E956">IFERROR(_xlfn.XLOOKUP(D956,Locales!$A:$A,Locales!$B:$B,""),"")</f>
        <v/>
      </c>
      <c r="F956" s="9" cm="1">
        <f t="array" ref="F956">IFERROR(_xlfn.XLOOKUP(B956,Personal!$A:$A,Personal!$F:$F,""),"")</f>
        <v>0</v>
      </c>
      <c r="I956" s="10" cm="1">
        <f t="array" ref="I956">IFERROR(INDEX(Precios!$D:$F,MATCH(N956, Precios!$G:$G, 0),CHOOSE(MATCH(H956, {"SML";"XL";"XXL"}, 0), 1, 2, 3)), 0)</f>
        <v>0</v>
      </c>
      <c r="K956" s="10">
        <f t="shared" si="34"/>
        <v>0</v>
      </c>
      <c r="N956" s="9" t="str">
        <f t="shared" si="35"/>
        <v/>
      </c>
      <c r="O956" s="9" t="str">
        <f>IF(N956="","",IF(COUNTIF(Precios!$G:$G,N956)=0,"⚠ No coincide con Precios","OK"))</f>
        <v/>
      </c>
    </row>
    <row r="957" spans="3:15" x14ac:dyDescent="0.2">
      <c r="C957" s="9" cm="1">
        <f t="array" ref="C957">IFERROR(_xlfn.XLOOKUP(B957,Personal!$A:$A,Personal!$D:$D,""),"")</f>
        <v>0</v>
      </c>
      <c r="D957" s="9" cm="1">
        <f t="array" ref="D957">IFERROR(_xlfn.XLOOKUP(B957,Personal!$A:$A,Personal!$C:$C,""),"")</f>
        <v>0</v>
      </c>
      <c r="E957" s="9" t="str" cm="1">
        <f t="array" ref="E957">IFERROR(_xlfn.XLOOKUP(D957,Locales!$A:$A,Locales!$B:$B,""),"")</f>
        <v/>
      </c>
      <c r="F957" s="9" cm="1">
        <f t="array" ref="F957">IFERROR(_xlfn.XLOOKUP(B957,Personal!$A:$A,Personal!$F:$F,""),"")</f>
        <v>0</v>
      </c>
      <c r="I957" s="10" cm="1">
        <f t="array" ref="I957">IFERROR(INDEX(Precios!$D:$F,MATCH(N957, Precios!$G:$G, 0),CHOOSE(MATCH(H957, {"SML";"XL";"XXL"}, 0), 1, 2, 3)), 0)</f>
        <v>0</v>
      </c>
      <c r="K957" s="10">
        <f t="shared" si="34"/>
        <v>0</v>
      </c>
      <c r="N957" s="9" t="str">
        <f t="shared" si="35"/>
        <v/>
      </c>
      <c r="O957" s="9" t="str">
        <f>IF(N957="","",IF(COUNTIF(Precios!$G:$G,N957)=0,"⚠ No coincide con Precios","OK"))</f>
        <v/>
      </c>
    </row>
    <row r="958" spans="3:15" x14ac:dyDescent="0.2">
      <c r="C958" s="9" cm="1">
        <f t="array" ref="C958">IFERROR(_xlfn.XLOOKUP(B958,Personal!$A:$A,Personal!$D:$D,""),"")</f>
        <v>0</v>
      </c>
      <c r="D958" s="9" cm="1">
        <f t="array" ref="D958">IFERROR(_xlfn.XLOOKUP(B958,Personal!$A:$A,Personal!$C:$C,""),"")</f>
        <v>0</v>
      </c>
      <c r="E958" s="9" t="str" cm="1">
        <f t="array" ref="E958">IFERROR(_xlfn.XLOOKUP(D958,Locales!$A:$A,Locales!$B:$B,""),"")</f>
        <v/>
      </c>
      <c r="F958" s="9" cm="1">
        <f t="array" ref="F958">IFERROR(_xlfn.XLOOKUP(B958,Personal!$A:$A,Personal!$F:$F,""),"")</f>
        <v>0</v>
      </c>
      <c r="I958" s="10" cm="1">
        <f t="array" ref="I958">IFERROR(INDEX(Precios!$D:$F,MATCH(N958, Precios!$G:$G, 0),CHOOSE(MATCH(H958, {"SML";"XL";"XXL"}, 0), 1, 2, 3)), 0)</f>
        <v>0</v>
      </c>
      <c r="K958" s="10">
        <f t="shared" ref="K958:K1021" si="36">IFERROR(I958*J958,0)</f>
        <v>0</v>
      </c>
      <c r="N958" s="9" t="str">
        <f t="shared" ref="N958:N1021" si="37">IF( OR(E958="",F958="",G958=""), "",CLEAN(TRIM(E958)) &amp; "|" &amp; CLEAN(TRIM(F958)) &amp; "|" &amp; CLEAN(TRIM(G958)))</f>
        <v/>
      </c>
      <c r="O958" s="9" t="str">
        <f>IF(N958="","",IF(COUNTIF(Precios!$G:$G,N958)=0,"⚠ No coincide con Precios","OK"))</f>
        <v/>
      </c>
    </row>
    <row r="959" spans="3:15" x14ac:dyDescent="0.2">
      <c r="C959" s="9" cm="1">
        <f t="array" ref="C959">IFERROR(_xlfn.XLOOKUP(B959,Personal!$A:$A,Personal!$D:$D,""),"")</f>
        <v>0</v>
      </c>
      <c r="D959" s="9" cm="1">
        <f t="array" ref="D959">IFERROR(_xlfn.XLOOKUP(B959,Personal!$A:$A,Personal!$C:$C,""),"")</f>
        <v>0</v>
      </c>
      <c r="E959" s="9" t="str" cm="1">
        <f t="array" ref="E959">IFERROR(_xlfn.XLOOKUP(D959,Locales!$A:$A,Locales!$B:$B,""),"")</f>
        <v/>
      </c>
      <c r="F959" s="9" cm="1">
        <f t="array" ref="F959">IFERROR(_xlfn.XLOOKUP(B959,Personal!$A:$A,Personal!$F:$F,""),"")</f>
        <v>0</v>
      </c>
      <c r="I959" s="10" cm="1">
        <f t="array" ref="I959">IFERROR(INDEX(Precios!$D:$F,MATCH(N959, Precios!$G:$G, 0),CHOOSE(MATCH(H959, {"SML";"XL";"XXL"}, 0), 1, 2, 3)), 0)</f>
        <v>0</v>
      </c>
      <c r="K959" s="10">
        <f t="shared" si="36"/>
        <v>0</v>
      </c>
      <c r="N959" s="9" t="str">
        <f t="shared" si="37"/>
        <v/>
      </c>
      <c r="O959" s="9" t="str">
        <f>IF(N959="","",IF(COUNTIF(Precios!$G:$G,N959)=0,"⚠ No coincide con Precios","OK"))</f>
        <v/>
      </c>
    </row>
    <row r="960" spans="3:15" x14ac:dyDescent="0.2">
      <c r="C960" s="9" cm="1">
        <f t="array" ref="C960">IFERROR(_xlfn.XLOOKUP(B960,Personal!$A:$A,Personal!$D:$D,""),"")</f>
        <v>0</v>
      </c>
      <c r="D960" s="9" cm="1">
        <f t="array" ref="D960">IFERROR(_xlfn.XLOOKUP(B960,Personal!$A:$A,Personal!$C:$C,""),"")</f>
        <v>0</v>
      </c>
      <c r="E960" s="9" t="str" cm="1">
        <f t="array" ref="E960">IFERROR(_xlfn.XLOOKUP(D960,Locales!$A:$A,Locales!$B:$B,""),"")</f>
        <v/>
      </c>
      <c r="F960" s="9" cm="1">
        <f t="array" ref="F960">IFERROR(_xlfn.XLOOKUP(B960,Personal!$A:$A,Personal!$F:$F,""),"")</f>
        <v>0</v>
      </c>
      <c r="I960" s="10" cm="1">
        <f t="array" ref="I960">IFERROR(INDEX(Precios!$D:$F,MATCH(N960, Precios!$G:$G, 0),CHOOSE(MATCH(H960, {"SML";"XL";"XXL"}, 0), 1, 2, 3)), 0)</f>
        <v>0</v>
      </c>
      <c r="K960" s="10">
        <f t="shared" si="36"/>
        <v>0</v>
      </c>
      <c r="N960" s="9" t="str">
        <f t="shared" si="37"/>
        <v/>
      </c>
      <c r="O960" s="9" t="str">
        <f>IF(N960="","",IF(COUNTIF(Precios!$G:$G,N960)=0,"⚠ No coincide con Precios","OK"))</f>
        <v/>
      </c>
    </row>
    <row r="961" spans="3:15" x14ac:dyDescent="0.2">
      <c r="C961" s="9" cm="1">
        <f t="array" ref="C961">IFERROR(_xlfn.XLOOKUP(B961,Personal!$A:$A,Personal!$D:$D,""),"")</f>
        <v>0</v>
      </c>
      <c r="D961" s="9" cm="1">
        <f t="array" ref="D961">IFERROR(_xlfn.XLOOKUP(B961,Personal!$A:$A,Personal!$C:$C,""),"")</f>
        <v>0</v>
      </c>
      <c r="E961" s="9" t="str" cm="1">
        <f t="array" ref="E961">IFERROR(_xlfn.XLOOKUP(D961,Locales!$A:$A,Locales!$B:$B,""),"")</f>
        <v/>
      </c>
      <c r="F961" s="9" cm="1">
        <f t="array" ref="F961">IFERROR(_xlfn.XLOOKUP(B961,Personal!$A:$A,Personal!$F:$F,""),"")</f>
        <v>0</v>
      </c>
      <c r="I961" s="10" cm="1">
        <f t="array" ref="I961">IFERROR(INDEX(Precios!$D:$F,MATCH(N961, Precios!$G:$G, 0),CHOOSE(MATCH(H961, {"SML";"XL";"XXL"}, 0), 1, 2, 3)), 0)</f>
        <v>0</v>
      </c>
      <c r="K961" s="10">
        <f t="shared" si="36"/>
        <v>0</v>
      </c>
      <c r="N961" s="9" t="str">
        <f t="shared" si="37"/>
        <v/>
      </c>
      <c r="O961" s="9" t="str">
        <f>IF(N961="","",IF(COUNTIF(Precios!$G:$G,N961)=0,"⚠ No coincide con Precios","OK"))</f>
        <v/>
      </c>
    </row>
    <row r="962" spans="3:15" x14ac:dyDescent="0.2">
      <c r="C962" s="9" cm="1">
        <f t="array" ref="C962">IFERROR(_xlfn.XLOOKUP(B962,Personal!$A:$A,Personal!$D:$D,""),"")</f>
        <v>0</v>
      </c>
      <c r="D962" s="9" cm="1">
        <f t="array" ref="D962">IFERROR(_xlfn.XLOOKUP(B962,Personal!$A:$A,Personal!$C:$C,""),"")</f>
        <v>0</v>
      </c>
      <c r="E962" s="9" t="str" cm="1">
        <f t="array" ref="E962">IFERROR(_xlfn.XLOOKUP(D962,Locales!$A:$A,Locales!$B:$B,""),"")</f>
        <v/>
      </c>
      <c r="F962" s="9" cm="1">
        <f t="array" ref="F962">IFERROR(_xlfn.XLOOKUP(B962,Personal!$A:$A,Personal!$F:$F,""),"")</f>
        <v>0</v>
      </c>
      <c r="I962" s="10" cm="1">
        <f t="array" ref="I962">IFERROR(INDEX(Precios!$D:$F,MATCH(N962, Precios!$G:$G, 0),CHOOSE(MATCH(H962, {"SML";"XL";"XXL"}, 0), 1, 2, 3)), 0)</f>
        <v>0</v>
      </c>
      <c r="K962" s="10">
        <f t="shared" si="36"/>
        <v>0</v>
      </c>
      <c r="N962" s="9" t="str">
        <f t="shared" si="37"/>
        <v/>
      </c>
      <c r="O962" s="9" t="str">
        <f>IF(N962="","",IF(COUNTIF(Precios!$G:$G,N962)=0,"⚠ No coincide con Precios","OK"))</f>
        <v/>
      </c>
    </row>
    <row r="963" spans="3:15" x14ac:dyDescent="0.2">
      <c r="C963" s="9" cm="1">
        <f t="array" ref="C963">IFERROR(_xlfn.XLOOKUP(B963,Personal!$A:$A,Personal!$D:$D,""),"")</f>
        <v>0</v>
      </c>
      <c r="D963" s="9" cm="1">
        <f t="array" ref="D963">IFERROR(_xlfn.XLOOKUP(B963,Personal!$A:$A,Personal!$C:$C,""),"")</f>
        <v>0</v>
      </c>
      <c r="E963" s="9" t="str" cm="1">
        <f t="array" ref="E963">IFERROR(_xlfn.XLOOKUP(D963,Locales!$A:$A,Locales!$B:$B,""),"")</f>
        <v/>
      </c>
      <c r="F963" s="9" cm="1">
        <f t="array" ref="F963">IFERROR(_xlfn.XLOOKUP(B963,Personal!$A:$A,Personal!$F:$F,""),"")</f>
        <v>0</v>
      </c>
      <c r="I963" s="10" cm="1">
        <f t="array" ref="I963">IFERROR(INDEX(Precios!$D:$F,MATCH(N963, Precios!$G:$G, 0),CHOOSE(MATCH(H963, {"SML";"XL";"XXL"}, 0), 1, 2, 3)), 0)</f>
        <v>0</v>
      </c>
      <c r="K963" s="10">
        <f t="shared" si="36"/>
        <v>0</v>
      </c>
      <c r="N963" s="9" t="str">
        <f t="shared" si="37"/>
        <v/>
      </c>
      <c r="O963" s="9" t="str">
        <f>IF(N963="","",IF(COUNTIF(Precios!$G:$G,N963)=0,"⚠ No coincide con Precios","OK"))</f>
        <v/>
      </c>
    </row>
    <row r="964" spans="3:15" x14ac:dyDescent="0.2">
      <c r="C964" s="9" cm="1">
        <f t="array" ref="C964">IFERROR(_xlfn.XLOOKUP(B964,Personal!$A:$A,Personal!$D:$D,""),"")</f>
        <v>0</v>
      </c>
      <c r="D964" s="9" cm="1">
        <f t="array" ref="D964">IFERROR(_xlfn.XLOOKUP(B964,Personal!$A:$A,Personal!$C:$C,""),"")</f>
        <v>0</v>
      </c>
      <c r="E964" s="9" t="str" cm="1">
        <f t="array" ref="E964">IFERROR(_xlfn.XLOOKUP(D964,Locales!$A:$A,Locales!$B:$B,""),"")</f>
        <v/>
      </c>
      <c r="F964" s="9" cm="1">
        <f t="array" ref="F964">IFERROR(_xlfn.XLOOKUP(B964,Personal!$A:$A,Personal!$F:$F,""),"")</f>
        <v>0</v>
      </c>
      <c r="I964" s="10" cm="1">
        <f t="array" ref="I964">IFERROR(INDEX(Precios!$D:$F,MATCH(N964, Precios!$G:$G, 0),CHOOSE(MATCH(H964, {"SML";"XL";"XXL"}, 0), 1, 2, 3)), 0)</f>
        <v>0</v>
      </c>
      <c r="K964" s="10">
        <f t="shared" si="36"/>
        <v>0</v>
      </c>
      <c r="N964" s="9" t="str">
        <f t="shared" si="37"/>
        <v/>
      </c>
      <c r="O964" s="9" t="str">
        <f>IF(N964="","",IF(COUNTIF(Precios!$G:$G,N964)=0,"⚠ No coincide con Precios","OK"))</f>
        <v/>
      </c>
    </row>
    <row r="965" spans="3:15" x14ac:dyDescent="0.2">
      <c r="C965" s="9" cm="1">
        <f t="array" ref="C965">IFERROR(_xlfn.XLOOKUP(B965,Personal!$A:$A,Personal!$D:$D,""),"")</f>
        <v>0</v>
      </c>
      <c r="D965" s="9" cm="1">
        <f t="array" ref="D965">IFERROR(_xlfn.XLOOKUP(B965,Personal!$A:$A,Personal!$C:$C,""),"")</f>
        <v>0</v>
      </c>
      <c r="E965" s="9" t="str" cm="1">
        <f t="array" ref="E965">IFERROR(_xlfn.XLOOKUP(D965,Locales!$A:$A,Locales!$B:$B,""),"")</f>
        <v/>
      </c>
      <c r="F965" s="9" cm="1">
        <f t="array" ref="F965">IFERROR(_xlfn.XLOOKUP(B965,Personal!$A:$A,Personal!$F:$F,""),"")</f>
        <v>0</v>
      </c>
      <c r="I965" s="10" cm="1">
        <f t="array" ref="I965">IFERROR(INDEX(Precios!$D:$F,MATCH(N965, Precios!$G:$G, 0),CHOOSE(MATCH(H965, {"SML";"XL";"XXL"}, 0), 1, 2, 3)), 0)</f>
        <v>0</v>
      </c>
      <c r="K965" s="10">
        <f t="shared" si="36"/>
        <v>0</v>
      </c>
      <c r="N965" s="9" t="str">
        <f t="shared" si="37"/>
        <v/>
      </c>
      <c r="O965" s="9" t="str">
        <f>IF(N965="","",IF(COUNTIF(Precios!$G:$G,N965)=0,"⚠ No coincide con Precios","OK"))</f>
        <v/>
      </c>
    </row>
    <row r="966" spans="3:15" x14ac:dyDescent="0.2">
      <c r="C966" s="9" cm="1">
        <f t="array" ref="C966">IFERROR(_xlfn.XLOOKUP(B966,Personal!$A:$A,Personal!$D:$D,""),"")</f>
        <v>0</v>
      </c>
      <c r="D966" s="9" cm="1">
        <f t="array" ref="D966">IFERROR(_xlfn.XLOOKUP(B966,Personal!$A:$A,Personal!$C:$C,""),"")</f>
        <v>0</v>
      </c>
      <c r="E966" s="9" t="str" cm="1">
        <f t="array" ref="E966">IFERROR(_xlfn.XLOOKUP(D966,Locales!$A:$A,Locales!$B:$B,""),"")</f>
        <v/>
      </c>
      <c r="F966" s="9" cm="1">
        <f t="array" ref="F966">IFERROR(_xlfn.XLOOKUP(B966,Personal!$A:$A,Personal!$F:$F,""),"")</f>
        <v>0</v>
      </c>
      <c r="I966" s="10" cm="1">
        <f t="array" ref="I966">IFERROR(INDEX(Precios!$D:$F,MATCH(N966, Precios!$G:$G, 0),CHOOSE(MATCH(H966, {"SML";"XL";"XXL"}, 0), 1, 2, 3)), 0)</f>
        <v>0</v>
      </c>
      <c r="K966" s="10">
        <f t="shared" si="36"/>
        <v>0</v>
      </c>
      <c r="N966" s="9" t="str">
        <f t="shared" si="37"/>
        <v/>
      </c>
      <c r="O966" s="9" t="str">
        <f>IF(N966="","",IF(COUNTIF(Precios!$G:$G,N966)=0,"⚠ No coincide con Precios","OK"))</f>
        <v/>
      </c>
    </row>
    <row r="967" spans="3:15" x14ac:dyDescent="0.2">
      <c r="C967" s="9" cm="1">
        <f t="array" ref="C967">IFERROR(_xlfn.XLOOKUP(B967,Personal!$A:$A,Personal!$D:$D,""),"")</f>
        <v>0</v>
      </c>
      <c r="D967" s="9" cm="1">
        <f t="array" ref="D967">IFERROR(_xlfn.XLOOKUP(B967,Personal!$A:$A,Personal!$C:$C,""),"")</f>
        <v>0</v>
      </c>
      <c r="E967" s="9" t="str" cm="1">
        <f t="array" ref="E967">IFERROR(_xlfn.XLOOKUP(D967,Locales!$A:$A,Locales!$B:$B,""),"")</f>
        <v/>
      </c>
      <c r="F967" s="9" cm="1">
        <f t="array" ref="F967">IFERROR(_xlfn.XLOOKUP(B967,Personal!$A:$A,Personal!$F:$F,""),"")</f>
        <v>0</v>
      </c>
      <c r="I967" s="10" cm="1">
        <f t="array" ref="I967">IFERROR(INDEX(Precios!$D:$F,MATCH(N967, Precios!$G:$G, 0),CHOOSE(MATCH(H967, {"SML";"XL";"XXL"}, 0), 1, 2, 3)), 0)</f>
        <v>0</v>
      </c>
      <c r="K967" s="10">
        <f t="shared" si="36"/>
        <v>0</v>
      </c>
      <c r="N967" s="9" t="str">
        <f t="shared" si="37"/>
        <v/>
      </c>
      <c r="O967" s="9" t="str">
        <f>IF(N967="","",IF(COUNTIF(Precios!$G:$G,N967)=0,"⚠ No coincide con Precios","OK"))</f>
        <v/>
      </c>
    </row>
    <row r="968" spans="3:15" x14ac:dyDescent="0.2">
      <c r="C968" s="9" cm="1">
        <f t="array" ref="C968">IFERROR(_xlfn.XLOOKUP(B968,Personal!$A:$A,Personal!$D:$D,""),"")</f>
        <v>0</v>
      </c>
      <c r="D968" s="9" cm="1">
        <f t="array" ref="D968">IFERROR(_xlfn.XLOOKUP(B968,Personal!$A:$A,Personal!$C:$C,""),"")</f>
        <v>0</v>
      </c>
      <c r="E968" s="9" t="str" cm="1">
        <f t="array" ref="E968">IFERROR(_xlfn.XLOOKUP(D968,Locales!$A:$A,Locales!$B:$B,""),"")</f>
        <v/>
      </c>
      <c r="F968" s="9" cm="1">
        <f t="array" ref="F968">IFERROR(_xlfn.XLOOKUP(B968,Personal!$A:$A,Personal!$F:$F,""),"")</f>
        <v>0</v>
      </c>
      <c r="I968" s="10" cm="1">
        <f t="array" ref="I968">IFERROR(INDEX(Precios!$D:$F,MATCH(N968, Precios!$G:$G, 0),CHOOSE(MATCH(H968, {"SML";"XL";"XXL"}, 0), 1, 2, 3)), 0)</f>
        <v>0</v>
      </c>
      <c r="K968" s="10">
        <f t="shared" si="36"/>
        <v>0</v>
      </c>
      <c r="N968" s="9" t="str">
        <f t="shared" si="37"/>
        <v/>
      </c>
      <c r="O968" s="9" t="str">
        <f>IF(N968="","",IF(COUNTIF(Precios!$G:$G,N968)=0,"⚠ No coincide con Precios","OK"))</f>
        <v/>
      </c>
    </row>
    <row r="969" spans="3:15" x14ac:dyDescent="0.2">
      <c r="C969" s="9" cm="1">
        <f t="array" ref="C969">IFERROR(_xlfn.XLOOKUP(B969,Personal!$A:$A,Personal!$D:$D,""),"")</f>
        <v>0</v>
      </c>
      <c r="D969" s="9" cm="1">
        <f t="array" ref="D969">IFERROR(_xlfn.XLOOKUP(B969,Personal!$A:$A,Personal!$C:$C,""),"")</f>
        <v>0</v>
      </c>
      <c r="E969" s="9" t="str" cm="1">
        <f t="array" ref="E969">IFERROR(_xlfn.XLOOKUP(D969,Locales!$A:$A,Locales!$B:$B,""),"")</f>
        <v/>
      </c>
      <c r="F969" s="9" cm="1">
        <f t="array" ref="F969">IFERROR(_xlfn.XLOOKUP(B969,Personal!$A:$A,Personal!$F:$F,""),"")</f>
        <v>0</v>
      </c>
      <c r="I969" s="10" cm="1">
        <f t="array" ref="I969">IFERROR(INDEX(Precios!$D:$F,MATCH(N969, Precios!$G:$G, 0),CHOOSE(MATCH(H969, {"SML";"XL";"XXL"}, 0), 1, 2, 3)), 0)</f>
        <v>0</v>
      </c>
      <c r="K969" s="10">
        <f t="shared" si="36"/>
        <v>0</v>
      </c>
      <c r="N969" s="9" t="str">
        <f t="shared" si="37"/>
        <v/>
      </c>
      <c r="O969" s="9" t="str">
        <f>IF(N969="","",IF(COUNTIF(Precios!$G:$G,N969)=0,"⚠ No coincide con Precios","OK"))</f>
        <v/>
      </c>
    </row>
    <row r="970" spans="3:15" x14ac:dyDescent="0.2">
      <c r="C970" s="9" cm="1">
        <f t="array" ref="C970">IFERROR(_xlfn.XLOOKUP(B970,Personal!$A:$A,Personal!$D:$D,""),"")</f>
        <v>0</v>
      </c>
      <c r="D970" s="9" cm="1">
        <f t="array" ref="D970">IFERROR(_xlfn.XLOOKUP(B970,Personal!$A:$A,Personal!$C:$C,""),"")</f>
        <v>0</v>
      </c>
      <c r="E970" s="9" t="str" cm="1">
        <f t="array" ref="E970">IFERROR(_xlfn.XLOOKUP(D970,Locales!$A:$A,Locales!$B:$B,""),"")</f>
        <v/>
      </c>
      <c r="F970" s="9" cm="1">
        <f t="array" ref="F970">IFERROR(_xlfn.XLOOKUP(B970,Personal!$A:$A,Personal!$F:$F,""),"")</f>
        <v>0</v>
      </c>
      <c r="I970" s="10" cm="1">
        <f t="array" ref="I970">IFERROR(INDEX(Precios!$D:$F,MATCH(N970, Precios!$G:$G, 0),CHOOSE(MATCH(H970, {"SML";"XL";"XXL"}, 0), 1, 2, 3)), 0)</f>
        <v>0</v>
      </c>
      <c r="K970" s="10">
        <f t="shared" si="36"/>
        <v>0</v>
      </c>
      <c r="N970" s="9" t="str">
        <f t="shared" si="37"/>
        <v/>
      </c>
      <c r="O970" s="9" t="str">
        <f>IF(N970="","",IF(COUNTIF(Precios!$G:$G,N970)=0,"⚠ No coincide con Precios","OK"))</f>
        <v/>
      </c>
    </row>
    <row r="971" spans="3:15" x14ac:dyDescent="0.2">
      <c r="C971" s="9" cm="1">
        <f t="array" ref="C971">IFERROR(_xlfn.XLOOKUP(B971,Personal!$A:$A,Personal!$D:$D,""),"")</f>
        <v>0</v>
      </c>
      <c r="D971" s="9" cm="1">
        <f t="array" ref="D971">IFERROR(_xlfn.XLOOKUP(B971,Personal!$A:$A,Personal!$C:$C,""),"")</f>
        <v>0</v>
      </c>
      <c r="E971" s="9" t="str" cm="1">
        <f t="array" ref="E971">IFERROR(_xlfn.XLOOKUP(D971,Locales!$A:$A,Locales!$B:$B,""),"")</f>
        <v/>
      </c>
      <c r="F971" s="9" cm="1">
        <f t="array" ref="F971">IFERROR(_xlfn.XLOOKUP(B971,Personal!$A:$A,Personal!$F:$F,""),"")</f>
        <v>0</v>
      </c>
      <c r="I971" s="10" cm="1">
        <f t="array" ref="I971">IFERROR(INDEX(Precios!$D:$F,MATCH(N971, Precios!$G:$G, 0),CHOOSE(MATCH(H971, {"SML";"XL";"XXL"}, 0), 1, 2, 3)), 0)</f>
        <v>0</v>
      </c>
      <c r="K971" s="10">
        <f t="shared" si="36"/>
        <v>0</v>
      </c>
      <c r="N971" s="9" t="str">
        <f t="shared" si="37"/>
        <v/>
      </c>
      <c r="O971" s="9" t="str">
        <f>IF(N971="","",IF(COUNTIF(Precios!$G:$G,N971)=0,"⚠ No coincide con Precios","OK"))</f>
        <v/>
      </c>
    </row>
    <row r="972" spans="3:15" x14ac:dyDescent="0.2">
      <c r="C972" s="9" cm="1">
        <f t="array" ref="C972">IFERROR(_xlfn.XLOOKUP(B972,Personal!$A:$A,Personal!$D:$D,""),"")</f>
        <v>0</v>
      </c>
      <c r="D972" s="9" cm="1">
        <f t="array" ref="D972">IFERROR(_xlfn.XLOOKUP(B972,Personal!$A:$A,Personal!$C:$C,""),"")</f>
        <v>0</v>
      </c>
      <c r="E972" s="9" t="str" cm="1">
        <f t="array" ref="E972">IFERROR(_xlfn.XLOOKUP(D972,Locales!$A:$A,Locales!$B:$B,""),"")</f>
        <v/>
      </c>
      <c r="F972" s="9" cm="1">
        <f t="array" ref="F972">IFERROR(_xlfn.XLOOKUP(B972,Personal!$A:$A,Personal!$F:$F,""),"")</f>
        <v>0</v>
      </c>
      <c r="I972" s="10" cm="1">
        <f t="array" ref="I972">IFERROR(INDEX(Precios!$D:$F,MATCH(N972, Precios!$G:$G, 0),CHOOSE(MATCH(H972, {"SML";"XL";"XXL"}, 0), 1, 2, 3)), 0)</f>
        <v>0</v>
      </c>
      <c r="K972" s="10">
        <f t="shared" si="36"/>
        <v>0</v>
      </c>
      <c r="N972" s="9" t="str">
        <f t="shared" si="37"/>
        <v/>
      </c>
      <c r="O972" s="9" t="str">
        <f>IF(N972="","",IF(COUNTIF(Precios!$G:$G,N972)=0,"⚠ No coincide con Precios","OK"))</f>
        <v/>
      </c>
    </row>
    <row r="973" spans="3:15" x14ac:dyDescent="0.2">
      <c r="C973" s="9" cm="1">
        <f t="array" ref="C973">IFERROR(_xlfn.XLOOKUP(B973,Personal!$A:$A,Personal!$D:$D,""),"")</f>
        <v>0</v>
      </c>
      <c r="D973" s="9" cm="1">
        <f t="array" ref="D973">IFERROR(_xlfn.XLOOKUP(B973,Personal!$A:$A,Personal!$C:$C,""),"")</f>
        <v>0</v>
      </c>
      <c r="E973" s="9" t="str" cm="1">
        <f t="array" ref="E973">IFERROR(_xlfn.XLOOKUP(D973,Locales!$A:$A,Locales!$B:$B,""),"")</f>
        <v/>
      </c>
      <c r="F973" s="9" cm="1">
        <f t="array" ref="F973">IFERROR(_xlfn.XLOOKUP(B973,Personal!$A:$A,Personal!$F:$F,""),"")</f>
        <v>0</v>
      </c>
      <c r="I973" s="10" cm="1">
        <f t="array" ref="I973">IFERROR(INDEX(Precios!$D:$F,MATCH(N973, Precios!$G:$G, 0),CHOOSE(MATCH(H973, {"SML";"XL";"XXL"}, 0), 1, 2, 3)), 0)</f>
        <v>0</v>
      </c>
      <c r="K973" s="10">
        <f t="shared" si="36"/>
        <v>0</v>
      </c>
      <c r="N973" s="9" t="str">
        <f t="shared" si="37"/>
        <v/>
      </c>
      <c r="O973" s="9" t="str">
        <f>IF(N973="","",IF(COUNTIF(Precios!$G:$G,N973)=0,"⚠ No coincide con Precios","OK"))</f>
        <v/>
      </c>
    </row>
    <row r="974" spans="3:15" x14ac:dyDescent="0.2">
      <c r="C974" s="9" cm="1">
        <f t="array" ref="C974">IFERROR(_xlfn.XLOOKUP(B974,Personal!$A:$A,Personal!$D:$D,""),"")</f>
        <v>0</v>
      </c>
      <c r="D974" s="9" cm="1">
        <f t="array" ref="D974">IFERROR(_xlfn.XLOOKUP(B974,Personal!$A:$A,Personal!$C:$C,""),"")</f>
        <v>0</v>
      </c>
      <c r="E974" s="9" t="str" cm="1">
        <f t="array" ref="E974">IFERROR(_xlfn.XLOOKUP(D974,Locales!$A:$A,Locales!$B:$B,""),"")</f>
        <v/>
      </c>
      <c r="F974" s="9" cm="1">
        <f t="array" ref="F974">IFERROR(_xlfn.XLOOKUP(B974,Personal!$A:$A,Personal!$F:$F,""),"")</f>
        <v>0</v>
      </c>
      <c r="I974" s="10" cm="1">
        <f t="array" ref="I974">IFERROR(INDEX(Precios!$D:$F,MATCH(N974, Precios!$G:$G, 0),CHOOSE(MATCH(H974, {"SML";"XL";"XXL"}, 0), 1, 2, 3)), 0)</f>
        <v>0</v>
      </c>
      <c r="K974" s="10">
        <f t="shared" si="36"/>
        <v>0</v>
      </c>
      <c r="N974" s="9" t="str">
        <f t="shared" si="37"/>
        <v/>
      </c>
      <c r="O974" s="9" t="str">
        <f>IF(N974="","",IF(COUNTIF(Precios!$G:$G,N974)=0,"⚠ No coincide con Precios","OK"))</f>
        <v/>
      </c>
    </row>
    <row r="975" spans="3:15" x14ac:dyDescent="0.2">
      <c r="C975" s="9" cm="1">
        <f t="array" ref="C975">IFERROR(_xlfn.XLOOKUP(B975,Personal!$A:$A,Personal!$D:$D,""),"")</f>
        <v>0</v>
      </c>
      <c r="D975" s="9" cm="1">
        <f t="array" ref="D975">IFERROR(_xlfn.XLOOKUP(B975,Personal!$A:$A,Personal!$C:$C,""),"")</f>
        <v>0</v>
      </c>
      <c r="E975" s="9" t="str" cm="1">
        <f t="array" ref="E975">IFERROR(_xlfn.XLOOKUP(D975,Locales!$A:$A,Locales!$B:$B,""),"")</f>
        <v/>
      </c>
      <c r="F975" s="9" cm="1">
        <f t="array" ref="F975">IFERROR(_xlfn.XLOOKUP(B975,Personal!$A:$A,Personal!$F:$F,""),"")</f>
        <v>0</v>
      </c>
      <c r="I975" s="10" cm="1">
        <f t="array" ref="I975">IFERROR(INDEX(Precios!$D:$F,MATCH(N975, Precios!$G:$G, 0),CHOOSE(MATCH(H975, {"SML";"XL";"XXL"}, 0), 1, 2, 3)), 0)</f>
        <v>0</v>
      </c>
      <c r="K975" s="10">
        <f t="shared" si="36"/>
        <v>0</v>
      </c>
      <c r="N975" s="9" t="str">
        <f t="shared" si="37"/>
        <v/>
      </c>
      <c r="O975" s="9" t="str">
        <f>IF(N975="","",IF(COUNTIF(Precios!$G:$G,N975)=0,"⚠ No coincide con Precios","OK"))</f>
        <v/>
      </c>
    </row>
    <row r="976" spans="3:15" x14ac:dyDescent="0.2">
      <c r="C976" s="9" cm="1">
        <f t="array" ref="C976">IFERROR(_xlfn.XLOOKUP(B976,Personal!$A:$A,Personal!$D:$D,""),"")</f>
        <v>0</v>
      </c>
      <c r="D976" s="9" cm="1">
        <f t="array" ref="D976">IFERROR(_xlfn.XLOOKUP(B976,Personal!$A:$A,Personal!$C:$C,""),"")</f>
        <v>0</v>
      </c>
      <c r="E976" s="9" t="str" cm="1">
        <f t="array" ref="E976">IFERROR(_xlfn.XLOOKUP(D976,Locales!$A:$A,Locales!$B:$B,""),"")</f>
        <v/>
      </c>
      <c r="F976" s="9" cm="1">
        <f t="array" ref="F976">IFERROR(_xlfn.XLOOKUP(B976,Personal!$A:$A,Personal!$F:$F,""),"")</f>
        <v>0</v>
      </c>
      <c r="I976" s="10" cm="1">
        <f t="array" ref="I976">IFERROR(INDEX(Precios!$D:$F,MATCH(N976, Precios!$G:$G, 0),CHOOSE(MATCH(H976, {"SML";"XL";"XXL"}, 0), 1, 2, 3)), 0)</f>
        <v>0</v>
      </c>
      <c r="K976" s="10">
        <f t="shared" si="36"/>
        <v>0</v>
      </c>
      <c r="N976" s="9" t="str">
        <f t="shared" si="37"/>
        <v/>
      </c>
      <c r="O976" s="9" t="str">
        <f>IF(N976="","",IF(COUNTIF(Precios!$G:$G,N976)=0,"⚠ No coincide con Precios","OK"))</f>
        <v/>
      </c>
    </row>
    <row r="977" spans="3:15" x14ac:dyDescent="0.2">
      <c r="C977" s="9" cm="1">
        <f t="array" ref="C977">IFERROR(_xlfn.XLOOKUP(B977,Personal!$A:$A,Personal!$D:$D,""),"")</f>
        <v>0</v>
      </c>
      <c r="D977" s="9" cm="1">
        <f t="array" ref="D977">IFERROR(_xlfn.XLOOKUP(B977,Personal!$A:$A,Personal!$C:$C,""),"")</f>
        <v>0</v>
      </c>
      <c r="E977" s="9" t="str" cm="1">
        <f t="array" ref="E977">IFERROR(_xlfn.XLOOKUP(D977,Locales!$A:$A,Locales!$B:$B,""),"")</f>
        <v/>
      </c>
      <c r="F977" s="9" cm="1">
        <f t="array" ref="F977">IFERROR(_xlfn.XLOOKUP(B977,Personal!$A:$A,Personal!$F:$F,""),"")</f>
        <v>0</v>
      </c>
      <c r="I977" s="10" cm="1">
        <f t="array" ref="I977">IFERROR(INDEX(Precios!$D:$F,MATCH(N977, Precios!$G:$G, 0),CHOOSE(MATCH(H977, {"SML";"XL";"XXL"}, 0), 1, 2, 3)), 0)</f>
        <v>0</v>
      </c>
      <c r="K977" s="10">
        <f t="shared" si="36"/>
        <v>0</v>
      </c>
      <c r="N977" s="9" t="str">
        <f t="shared" si="37"/>
        <v/>
      </c>
      <c r="O977" s="9" t="str">
        <f>IF(N977="","",IF(COUNTIF(Precios!$G:$G,N977)=0,"⚠ No coincide con Precios","OK"))</f>
        <v/>
      </c>
    </row>
    <row r="978" spans="3:15" x14ac:dyDescent="0.2">
      <c r="C978" s="9" cm="1">
        <f t="array" ref="C978">IFERROR(_xlfn.XLOOKUP(B978,Personal!$A:$A,Personal!$D:$D,""),"")</f>
        <v>0</v>
      </c>
      <c r="D978" s="9" cm="1">
        <f t="array" ref="D978">IFERROR(_xlfn.XLOOKUP(B978,Personal!$A:$A,Personal!$C:$C,""),"")</f>
        <v>0</v>
      </c>
      <c r="E978" s="9" t="str" cm="1">
        <f t="array" ref="E978">IFERROR(_xlfn.XLOOKUP(D978,Locales!$A:$A,Locales!$B:$B,""),"")</f>
        <v/>
      </c>
      <c r="F978" s="9" cm="1">
        <f t="array" ref="F978">IFERROR(_xlfn.XLOOKUP(B978,Personal!$A:$A,Personal!$F:$F,""),"")</f>
        <v>0</v>
      </c>
      <c r="I978" s="10" cm="1">
        <f t="array" ref="I978">IFERROR(INDEX(Precios!$D:$F,MATCH(N978, Precios!$G:$G, 0),CHOOSE(MATCH(H978, {"SML";"XL";"XXL"}, 0), 1, 2, 3)), 0)</f>
        <v>0</v>
      </c>
      <c r="K978" s="10">
        <f t="shared" si="36"/>
        <v>0</v>
      </c>
      <c r="N978" s="9" t="str">
        <f t="shared" si="37"/>
        <v/>
      </c>
      <c r="O978" s="9" t="str">
        <f>IF(N978="","",IF(COUNTIF(Precios!$G:$G,N978)=0,"⚠ No coincide con Precios","OK"))</f>
        <v/>
      </c>
    </row>
    <row r="979" spans="3:15" x14ac:dyDescent="0.2">
      <c r="C979" s="9" cm="1">
        <f t="array" ref="C979">IFERROR(_xlfn.XLOOKUP(B979,Personal!$A:$A,Personal!$D:$D,""),"")</f>
        <v>0</v>
      </c>
      <c r="D979" s="9" cm="1">
        <f t="array" ref="D979">IFERROR(_xlfn.XLOOKUP(B979,Personal!$A:$A,Personal!$C:$C,""),"")</f>
        <v>0</v>
      </c>
      <c r="E979" s="9" t="str" cm="1">
        <f t="array" ref="E979">IFERROR(_xlfn.XLOOKUP(D979,Locales!$A:$A,Locales!$B:$B,""),"")</f>
        <v/>
      </c>
      <c r="F979" s="9" cm="1">
        <f t="array" ref="F979">IFERROR(_xlfn.XLOOKUP(B979,Personal!$A:$A,Personal!$F:$F,""),"")</f>
        <v>0</v>
      </c>
      <c r="I979" s="10" cm="1">
        <f t="array" ref="I979">IFERROR(INDEX(Precios!$D:$F,MATCH(N979, Precios!$G:$G, 0),CHOOSE(MATCH(H979, {"SML";"XL";"XXL"}, 0), 1, 2, 3)), 0)</f>
        <v>0</v>
      </c>
      <c r="K979" s="10">
        <f t="shared" si="36"/>
        <v>0</v>
      </c>
      <c r="N979" s="9" t="str">
        <f t="shared" si="37"/>
        <v/>
      </c>
      <c r="O979" s="9" t="str">
        <f>IF(N979="","",IF(COUNTIF(Precios!$G:$G,N979)=0,"⚠ No coincide con Precios","OK"))</f>
        <v/>
      </c>
    </row>
    <row r="980" spans="3:15" x14ac:dyDescent="0.2">
      <c r="C980" s="9" cm="1">
        <f t="array" ref="C980">IFERROR(_xlfn.XLOOKUP(B980,Personal!$A:$A,Personal!$D:$D,""),"")</f>
        <v>0</v>
      </c>
      <c r="D980" s="9" cm="1">
        <f t="array" ref="D980">IFERROR(_xlfn.XLOOKUP(B980,Personal!$A:$A,Personal!$C:$C,""),"")</f>
        <v>0</v>
      </c>
      <c r="E980" s="9" t="str" cm="1">
        <f t="array" ref="E980">IFERROR(_xlfn.XLOOKUP(D980,Locales!$A:$A,Locales!$B:$B,""),"")</f>
        <v/>
      </c>
      <c r="F980" s="9" cm="1">
        <f t="array" ref="F980">IFERROR(_xlfn.XLOOKUP(B980,Personal!$A:$A,Personal!$F:$F,""),"")</f>
        <v>0</v>
      </c>
      <c r="I980" s="10" cm="1">
        <f t="array" ref="I980">IFERROR(INDEX(Precios!$D:$F,MATCH(N980, Precios!$G:$G, 0),CHOOSE(MATCH(H980, {"SML";"XL";"XXL"}, 0), 1, 2, 3)), 0)</f>
        <v>0</v>
      </c>
      <c r="K980" s="10">
        <f t="shared" si="36"/>
        <v>0</v>
      </c>
      <c r="N980" s="9" t="str">
        <f t="shared" si="37"/>
        <v/>
      </c>
      <c r="O980" s="9" t="str">
        <f>IF(N980="","",IF(COUNTIF(Precios!$G:$G,N980)=0,"⚠ No coincide con Precios","OK"))</f>
        <v/>
      </c>
    </row>
    <row r="981" spans="3:15" x14ac:dyDescent="0.2">
      <c r="C981" s="9" cm="1">
        <f t="array" ref="C981">IFERROR(_xlfn.XLOOKUP(B981,Personal!$A:$A,Personal!$D:$D,""),"")</f>
        <v>0</v>
      </c>
      <c r="D981" s="9" cm="1">
        <f t="array" ref="D981">IFERROR(_xlfn.XLOOKUP(B981,Personal!$A:$A,Personal!$C:$C,""),"")</f>
        <v>0</v>
      </c>
      <c r="E981" s="9" t="str" cm="1">
        <f t="array" ref="E981">IFERROR(_xlfn.XLOOKUP(D981,Locales!$A:$A,Locales!$B:$B,""),"")</f>
        <v/>
      </c>
      <c r="F981" s="9" cm="1">
        <f t="array" ref="F981">IFERROR(_xlfn.XLOOKUP(B981,Personal!$A:$A,Personal!$F:$F,""),"")</f>
        <v>0</v>
      </c>
      <c r="I981" s="10" cm="1">
        <f t="array" ref="I981">IFERROR(INDEX(Precios!$D:$F,MATCH(N981, Precios!$G:$G, 0),CHOOSE(MATCH(H981, {"SML";"XL";"XXL"}, 0), 1, 2, 3)), 0)</f>
        <v>0</v>
      </c>
      <c r="K981" s="10">
        <f t="shared" si="36"/>
        <v>0</v>
      </c>
      <c r="N981" s="9" t="str">
        <f t="shared" si="37"/>
        <v/>
      </c>
      <c r="O981" s="9" t="str">
        <f>IF(N981="","",IF(COUNTIF(Precios!$G:$G,N981)=0,"⚠ No coincide con Precios","OK"))</f>
        <v/>
      </c>
    </row>
    <row r="982" spans="3:15" x14ac:dyDescent="0.2">
      <c r="C982" s="9" cm="1">
        <f t="array" ref="C982">IFERROR(_xlfn.XLOOKUP(B982,Personal!$A:$A,Personal!$D:$D,""),"")</f>
        <v>0</v>
      </c>
      <c r="D982" s="9" cm="1">
        <f t="array" ref="D982">IFERROR(_xlfn.XLOOKUP(B982,Personal!$A:$A,Personal!$C:$C,""),"")</f>
        <v>0</v>
      </c>
      <c r="E982" s="9" t="str" cm="1">
        <f t="array" ref="E982">IFERROR(_xlfn.XLOOKUP(D982,Locales!$A:$A,Locales!$B:$B,""),"")</f>
        <v/>
      </c>
      <c r="F982" s="9" cm="1">
        <f t="array" ref="F982">IFERROR(_xlfn.XLOOKUP(B982,Personal!$A:$A,Personal!$F:$F,""),"")</f>
        <v>0</v>
      </c>
      <c r="I982" s="10" cm="1">
        <f t="array" ref="I982">IFERROR(INDEX(Precios!$D:$F,MATCH(N982, Precios!$G:$G, 0),CHOOSE(MATCH(H982, {"SML";"XL";"XXL"}, 0), 1, 2, 3)), 0)</f>
        <v>0</v>
      </c>
      <c r="K982" s="10">
        <f t="shared" si="36"/>
        <v>0</v>
      </c>
      <c r="N982" s="9" t="str">
        <f t="shared" si="37"/>
        <v/>
      </c>
      <c r="O982" s="9" t="str">
        <f>IF(N982="","",IF(COUNTIF(Precios!$G:$G,N982)=0,"⚠ No coincide con Precios","OK"))</f>
        <v/>
      </c>
    </row>
    <row r="983" spans="3:15" x14ac:dyDescent="0.2">
      <c r="C983" s="9" cm="1">
        <f t="array" ref="C983">IFERROR(_xlfn.XLOOKUP(B983,Personal!$A:$A,Personal!$D:$D,""),"")</f>
        <v>0</v>
      </c>
      <c r="D983" s="9" cm="1">
        <f t="array" ref="D983">IFERROR(_xlfn.XLOOKUP(B983,Personal!$A:$A,Personal!$C:$C,""),"")</f>
        <v>0</v>
      </c>
      <c r="E983" s="9" t="str" cm="1">
        <f t="array" ref="E983">IFERROR(_xlfn.XLOOKUP(D983,Locales!$A:$A,Locales!$B:$B,""),"")</f>
        <v/>
      </c>
      <c r="F983" s="9" cm="1">
        <f t="array" ref="F983">IFERROR(_xlfn.XLOOKUP(B983,Personal!$A:$A,Personal!$F:$F,""),"")</f>
        <v>0</v>
      </c>
      <c r="I983" s="10" cm="1">
        <f t="array" ref="I983">IFERROR(INDEX(Precios!$D:$F,MATCH(N983, Precios!$G:$G, 0),CHOOSE(MATCH(H983, {"SML";"XL";"XXL"}, 0), 1, 2, 3)), 0)</f>
        <v>0</v>
      </c>
      <c r="K983" s="10">
        <f t="shared" si="36"/>
        <v>0</v>
      </c>
      <c r="N983" s="9" t="str">
        <f t="shared" si="37"/>
        <v/>
      </c>
      <c r="O983" s="9" t="str">
        <f>IF(N983="","",IF(COUNTIF(Precios!$G:$G,N983)=0,"⚠ No coincide con Precios","OK"))</f>
        <v/>
      </c>
    </row>
    <row r="984" spans="3:15" x14ac:dyDescent="0.2">
      <c r="C984" s="9" cm="1">
        <f t="array" ref="C984">IFERROR(_xlfn.XLOOKUP(B984,Personal!$A:$A,Personal!$D:$D,""),"")</f>
        <v>0</v>
      </c>
      <c r="D984" s="9" cm="1">
        <f t="array" ref="D984">IFERROR(_xlfn.XLOOKUP(B984,Personal!$A:$A,Personal!$C:$C,""),"")</f>
        <v>0</v>
      </c>
      <c r="E984" s="9" t="str" cm="1">
        <f t="array" ref="E984">IFERROR(_xlfn.XLOOKUP(D984,Locales!$A:$A,Locales!$B:$B,""),"")</f>
        <v/>
      </c>
      <c r="F984" s="9" cm="1">
        <f t="array" ref="F984">IFERROR(_xlfn.XLOOKUP(B984,Personal!$A:$A,Personal!$F:$F,""),"")</f>
        <v>0</v>
      </c>
      <c r="I984" s="10" cm="1">
        <f t="array" ref="I984">IFERROR(INDEX(Precios!$D:$F,MATCH(N984, Precios!$G:$G, 0),CHOOSE(MATCH(H984, {"SML";"XL";"XXL"}, 0), 1, 2, 3)), 0)</f>
        <v>0</v>
      </c>
      <c r="K984" s="10">
        <f t="shared" si="36"/>
        <v>0</v>
      </c>
      <c r="N984" s="9" t="str">
        <f t="shared" si="37"/>
        <v/>
      </c>
      <c r="O984" s="9" t="str">
        <f>IF(N984="","",IF(COUNTIF(Precios!$G:$G,N984)=0,"⚠ No coincide con Precios","OK"))</f>
        <v/>
      </c>
    </row>
    <row r="985" spans="3:15" x14ac:dyDescent="0.2">
      <c r="C985" s="9" cm="1">
        <f t="array" ref="C985">IFERROR(_xlfn.XLOOKUP(B985,Personal!$A:$A,Personal!$D:$D,""),"")</f>
        <v>0</v>
      </c>
      <c r="D985" s="9" cm="1">
        <f t="array" ref="D985">IFERROR(_xlfn.XLOOKUP(B985,Personal!$A:$A,Personal!$C:$C,""),"")</f>
        <v>0</v>
      </c>
      <c r="E985" s="9" t="str" cm="1">
        <f t="array" ref="E985">IFERROR(_xlfn.XLOOKUP(D985,Locales!$A:$A,Locales!$B:$B,""),"")</f>
        <v/>
      </c>
      <c r="F985" s="9" cm="1">
        <f t="array" ref="F985">IFERROR(_xlfn.XLOOKUP(B985,Personal!$A:$A,Personal!$F:$F,""),"")</f>
        <v>0</v>
      </c>
      <c r="I985" s="10" cm="1">
        <f t="array" ref="I985">IFERROR(INDEX(Precios!$D:$F,MATCH(N985, Precios!$G:$G, 0),CHOOSE(MATCH(H985, {"SML";"XL";"XXL"}, 0), 1, 2, 3)), 0)</f>
        <v>0</v>
      </c>
      <c r="K985" s="10">
        <f t="shared" si="36"/>
        <v>0</v>
      </c>
      <c r="N985" s="9" t="str">
        <f t="shared" si="37"/>
        <v/>
      </c>
      <c r="O985" s="9" t="str">
        <f>IF(N985="","",IF(COUNTIF(Precios!$G:$G,N985)=0,"⚠ No coincide con Precios","OK"))</f>
        <v/>
      </c>
    </row>
    <row r="986" spans="3:15" x14ac:dyDescent="0.2">
      <c r="C986" s="9" cm="1">
        <f t="array" ref="C986">IFERROR(_xlfn.XLOOKUP(B986,Personal!$A:$A,Personal!$D:$D,""),"")</f>
        <v>0</v>
      </c>
      <c r="D986" s="9" cm="1">
        <f t="array" ref="D986">IFERROR(_xlfn.XLOOKUP(B986,Personal!$A:$A,Personal!$C:$C,""),"")</f>
        <v>0</v>
      </c>
      <c r="E986" s="9" t="str" cm="1">
        <f t="array" ref="E986">IFERROR(_xlfn.XLOOKUP(D986,Locales!$A:$A,Locales!$B:$B,""),"")</f>
        <v/>
      </c>
      <c r="F986" s="9" cm="1">
        <f t="array" ref="F986">IFERROR(_xlfn.XLOOKUP(B986,Personal!$A:$A,Personal!$F:$F,""),"")</f>
        <v>0</v>
      </c>
      <c r="I986" s="10" cm="1">
        <f t="array" ref="I986">IFERROR(INDEX(Precios!$D:$F,MATCH(N986, Precios!$G:$G, 0),CHOOSE(MATCH(H986, {"SML";"XL";"XXL"}, 0), 1, 2, 3)), 0)</f>
        <v>0</v>
      </c>
      <c r="K986" s="10">
        <f t="shared" si="36"/>
        <v>0</v>
      </c>
      <c r="N986" s="9" t="str">
        <f t="shared" si="37"/>
        <v/>
      </c>
      <c r="O986" s="9" t="str">
        <f>IF(N986="","",IF(COUNTIF(Precios!$G:$G,N986)=0,"⚠ No coincide con Precios","OK"))</f>
        <v/>
      </c>
    </row>
    <row r="987" spans="3:15" x14ac:dyDescent="0.2">
      <c r="C987" s="9" cm="1">
        <f t="array" ref="C987">IFERROR(_xlfn.XLOOKUP(B987,Personal!$A:$A,Personal!$D:$D,""),"")</f>
        <v>0</v>
      </c>
      <c r="D987" s="9" cm="1">
        <f t="array" ref="D987">IFERROR(_xlfn.XLOOKUP(B987,Personal!$A:$A,Personal!$C:$C,""),"")</f>
        <v>0</v>
      </c>
      <c r="E987" s="9" t="str" cm="1">
        <f t="array" ref="E987">IFERROR(_xlfn.XLOOKUP(D987,Locales!$A:$A,Locales!$B:$B,""),"")</f>
        <v/>
      </c>
      <c r="F987" s="9" cm="1">
        <f t="array" ref="F987">IFERROR(_xlfn.XLOOKUP(B987,Personal!$A:$A,Personal!$F:$F,""),"")</f>
        <v>0</v>
      </c>
      <c r="I987" s="10" cm="1">
        <f t="array" ref="I987">IFERROR(INDEX(Precios!$D:$F,MATCH(N987, Precios!$G:$G, 0),CHOOSE(MATCH(H987, {"SML";"XL";"XXL"}, 0), 1, 2, 3)), 0)</f>
        <v>0</v>
      </c>
      <c r="K987" s="10">
        <f t="shared" si="36"/>
        <v>0</v>
      </c>
      <c r="N987" s="9" t="str">
        <f t="shared" si="37"/>
        <v/>
      </c>
      <c r="O987" s="9" t="str">
        <f>IF(N987="","",IF(COUNTIF(Precios!$G:$G,N987)=0,"⚠ No coincide con Precios","OK"))</f>
        <v/>
      </c>
    </row>
    <row r="988" spans="3:15" x14ac:dyDescent="0.2">
      <c r="C988" s="9" cm="1">
        <f t="array" ref="C988">IFERROR(_xlfn.XLOOKUP(B988,Personal!$A:$A,Personal!$D:$D,""),"")</f>
        <v>0</v>
      </c>
      <c r="D988" s="9" cm="1">
        <f t="array" ref="D988">IFERROR(_xlfn.XLOOKUP(B988,Personal!$A:$A,Personal!$C:$C,""),"")</f>
        <v>0</v>
      </c>
      <c r="E988" s="9" t="str" cm="1">
        <f t="array" ref="E988">IFERROR(_xlfn.XLOOKUP(D988,Locales!$A:$A,Locales!$B:$B,""),"")</f>
        <v/>
      </c>
      <c r="F988" s="9" cm="1">
        <f t="array" ref="F988">IFERROR(_xlfn.XLOOKUP(B988,Personal!$A:$A,Personal!$F:$F,""),"")</f>
        <v>0</v>
      </c>
      <c r="I988" s="10" cm="1">
        <f t="array" ref="I988">IFERROR(INDEX(Precios!$D:$F,MATCH(N988, Precios!$G:$G, 0),CHOOSE(MATCH(H988, {"SML";"XL";"XXL"}, 0), 1, 2, 3)), 0)</f>
        <v>0</v>
      </c>
      <c r="K988" s="10">
        <f t="shared" si="36"/>
        <v>0</v>
      </c>
      <c r="N988" s="9" t="str">
        <f t="shared" si="37"/>
        <v/>
      </c>
      <c r="O988" s="9" t="str">
        <f>IF(N988="","",IF(COUNTIF(Precios!$G:$G,N988)=0,"⚠ No coincide con Precios","OK"))</f>
        <v/>
      </c>
    </row>
    <row r="989" spans="3:15" x14ac:dyDescent="0.2">
      <c r="C989" s="9" cm="1">
        <f t="array" ref="C989">IFERROR(_xlfn.XLOOKUP(B989,Personal!$A:$A,Personal!$D:$D,""),"")</f>
        <v>0</v>
      </c>
      <c r="D989" s="9" cm="1">
        <f t="array" ref="D989">IFERROR(_xlfn.XLOOKUP(B989,Personal!$A:$A,Personal!$C:$C,""),"")</f>
        <v>0</v>
      </c>
      <c r="E989" s="9" t="str" cm="1">
        <f t="array" ref="E989">IFERROR(_xlfn.XLOOKUP(D989,Locales!$A:$A,Locales!$B:$B,""),"")</f>
        <v/>
      </c>
      <c r="F989" s="9" cm="1">
        <f t="array" ref="F989">IFERROR(_xlfn.XLOOKUP(B989,Personal!$A:$A,Personal!$F:$F,""),"")</f>
        <v>0</v>
      </c>
      <c r="I989" s="10" cm="1">
        <f t="array" ref="I989">IFERROR(INDEX(Precios!$D:$F,MATCH(N989, Precios!$G:$G, 0),CHOOSE(MATCH(H989, {"SML";"XL";"XXL"}, 0), 1, 2, 3)), 0)</f>
        <v>0</v>
      </c>
      <c r="K989" s="10">
        <f t="shared" si="36"/>
        <v>0</v>
      </c>
      <c r="N989" s="9" t="str">
        <f t="shared" si="37"/>
        <v/>
      </c>
      <c r="O989" s="9" t="str">
        <f>IF(N989="","",IF(COUNTIF(Precios!$G:$G,N989)=0,"⚠ No coincide con Precios","OK"))</f>
        <v/>
      </c>
    </row>
    <row r="990" spans="3:15" x14ac:dyDescent="0.2">
      <c r="C990" s="9" cm="1">
        <f t="array" ref="C990">IFERROR(_xlfn.XLOOKUP(B990,Personal!$A:$A,Personal!$D:$D,""),"")</f>
        <v>0</v>
      </c>
      <c r="D990" s="9" cm="1">
        <f t="array" ref="D990">IFERROR(_xlfn.XLOOKUP(B990,Personal!$A:$A,Personal!$C:$C,""),"")</f>
        <v>0</v>
      </c>
      <c r="E990" s="9" t="str" cm="1">
        <f t="array" ref="E990">IFERROR(_xlfn.XLOOKUP(D990,Locales!$A:$A,Locales!$B:$B,""),"")</f>
        <v/>
      </c>
      <c r="F990" s="9" cm="1">
        <f t="array" ref="F990">IFERROR(_xlfn.XLOOKUP(B990,Personal!$A:$A,Personal!$F:$F,""),"")</f>
        <v>0</v>
      </c>
      <c r="I990" s="10" cm="1">
        <f t="array" ref="I990">IFERROR(INDEX(Precios!$D:$F,MATCH(N990, Precios!$G:$G, 0),CHOOSE(MATCH(H990, {"SML";"XL";"XXL"}, 0), 1, 2, 3)), 0)</f>
        <v>0</v>
      </c>
      <c r="K990" s="10">
        <f t="shared" si="36"/>
        <v>0</v>
      </c>
      <c r="N990" s="9" t="str">
        <f t="shared" si="37"/>
        <v/>
      </c>
      <c r="O990" s="9" t="str">
        <f>IF(N990="","",IF(COUNTIF(Precios!$G:$G,N990)=0,"⚠ No coincide con Precios","OK"))</f>
        <v/>
      </c>
    </row>
    <row r="991" spans="3:15" x14ac:dyDescent="0.2">
      <c r="C991" s="9" cm="1">
        <f t="array" ref="C991">IFERROR(_xlfn.XLOOKUP(B991,Personal!$A:$A,Personal!$D:$D,""),"")</f>
        <v>0</v>
      </c>
      <c r="D991" s="9" cm="1">
        <f t="array" ref="D991">IFERROR(_xlfn.XLOOKUP(B991,Personal!$A:$A,Personal!$C:$C,""),"")</f>
        <v>0</v>
      </c>
      <c r="E991" s="9" t="str" cm="1">
        <f t="array" ref="E991">IFERROR(_xlfn.XLOOKUP(D991,Locales!$A:$A,Locales!$B:$B,""),"")</f>
        <v/>
      </c>
      <c r="F991" s="9" cm="1">
        <f t="array" ref="F991">IFERROR(_xlfn.XLOOKUP(B991,Personal!$A:$A,Personal!$F:$F,""),"")</f>
        <v>0</v>
      </c>
      <c r="I991" s="10" cm="1">
        <f t="array" ref="I991">IFERROR(INDEX(Precios!$D:$F,MATCH(N991, Precios!$G:$G, 0),CHOOSE(MATCH(H991, {"SML";"XL";"XXL"}, 0), 1, 2, 3)), 0)</f>
        <v>0</v>
      </c>
      <c r="K991" s="10">
        <f t="shared" si="36"/>
        <v>0</v>
      </c>
      <c r="N991" s="9" t="str">
        <f t="shared" si="37"/>
        <v/>
      </c>
      <c r="O991" s="9" t="str">
        <f>IF(N991="","",IF(COUNTIF(Precios!$G:$G,N991)=0,"⚠ No coincide con Precios","OK"))</f>
        <v/>
      </c>
    </row>
    <row r="992" spans="3:15" x14ac:dyDescent="0.2">
      <c r="C992" s="9" cm="1">
        <f t="array" ref="C992">IFERROR(_xlfn.XLOOKUP(B992,Personal!$A:$A,Personal!$D:$D,""),"")</f>
        <v>0</v>
      </c>
      <c r="D992" s="9" cm="1">
        <f t="array" ref="D992">IFERROR(_xlfn.XLOOKUP(B992,Personal!$A:$A,Personal!$C:$C,""),"")</f>
        <v>0</v>
      </c>
      <c r="E992" s="9" t="str" cm="1">
        <f t="array" ref="E992">IFERROR(_xlfn.XLOOKUP(D992,Locales!$A:$A,Locales!$B:$B,""),"")</f>
        <v/>
      </c>
      <c r="F992" s="9" cm="1">
        <f t="array" ref="F992">IFERROR(_xlfn.XLOOKUP(B992,Personal!$A:$A,Personal!$F:$F,""),"")</f>
        <v>0</v>
      </c>
      <c r="I992" s="10" cm="1">
        <f t="array" ref="I992">IFERROR(INDEX(Precios!$D:$F,MATCH(N992, Precios!$G:$G, 0),CHOOSE(MATCH(H992, {"SML";"XL";"XXL"}, 0), 1, 2, 3)), 0)</f>
        <v>0</v>
      </c>
      <c r="K992" s="10">
        <f t="shared" si="36"/>
        <v>0</v>
      </c>
      <c r="N992" s="9" t="str">
        <f t="shared" si="37"/>
        <v/>
      </c>
      <c r="O992" s="9" t="str">
        <f>IF(N992="","",IF(COUNTIF(Precios!$G:$G,N992)=0,"⚠ No coincide con Precios","OK"))</f>
        <v/>
      </c>
    </row>
    <row r="993" spans="3:15" x14ac:dyDescent="0.2">
      <c r="C993" s="9" cm="1">
        <f t="array" ref="C993">IFERROR(_xlfn.XLOOKUP(B993,Personal!$A:$A,Personal!$D:$D,""),"")</f>
        <v>0</v>
      </c>
      <c r="D993" s="9" cm="1">
        <f t="array" ref="D993">IFERROR(_xlfn.XLOOKUP(B993,Personal!$A:$A,Personal!$C:$C,""),"")</f>
        <v>0</v>
      </c>
      <c r="E993" s="9" t="str" cm="1">
        <f t="array" ref="E993">IFERROR(_xlfn.XLOOKUP(D993,Locales!$A:$A,Locales!$B:$B,""),"")</f>
        <v/>
      </c>
      <c r="F993" s="9" cm="1">
        <f t="array" ref="F993">IFERROR(_xlfn.XLOOKUP(B993,Personal!$A:$A,Personal!$F:$F,""),"")</f>
        <v>0</v>
      </c>
      <c r="I993" s="10" cm="1">
        <f t="array" ref="I993">IFERROR(INDEX(Precios!$D:$F,MATCH(N993, Precios!$G:$G, 0),CHOOSE(MATCH(H993, {"SML";"XL";"XXL"}, 0), 1, 2, 3)), 0)</f>
        <v>0</v>
      </c>
      <c r="K993" s="10">
        <f t="shared" si="36"/>
        <v>0</v>
      </c>
      <c r="N993" s="9" t="str">
        <f t="shared" si="37"/>
        <v/>
      </c>
      <c r="O993" s="9" t="str">
        <f>IF(N993="","",IF(COUNTIF(Precios!$G:$G,N993)=0,"⚠ No coincide con Precios","OK"))</f>
        <v/>
      </c>
    </row>
    <row r="994" spans="3:15" x14ac:dyDescent="0.2">
      <c r="C994" s="9" cm="1">
        <f t="array" ref="C994">IFERROR(_xlfn.XLOOKUP(B994,Personal!$A:$A,Personal!$D:$D,""),"")</f>
        <v>0</v>
      </c>
      <c r="D994" s="9" cm="1">
        <f t="array" ref="D994">IFERROR(_xlfn.XLOOKUP(B994,Personal!$A:$A,Personal!$C:$C,""),"")</f>
        <v>0</v>
      </c>
      <c r="E994" s="9" t="str" cm="1">
        <f t="array" ref="E994">IFERROR(_xlfn.XLOOKUP(D994,Locales!$A:$A,Locales!$B:$B,""),"")</f>
        <v/>
      </c>
      <c r="F994" s="9" cm="1">
        <f t="array" ref="F994">IFERROR(_xlfn.XLOOKUP(B994,Personal!$A:$A,Personal!$F:$F,""),"")</f>
        <v>0</v>
      </c>
      <c r="I994" s="10" cm="1">
        <f t="array" ref="I994">IFERROR(INDEX(Precios!$D:$F,MATCH(N994, Precios!$G:$G, 0),CHOOSE(MATCH(H994, {"SML";"XL";"XXL"}, 0), 1, 2, 3)), 0)</f>
        <v>0</v>
      </c>
      <c r="K994" s="10">
        <f t="shared" si="36"/>
        <v>0</v>
      </c>
      <c r="N994" s="9" t="str">
        <f t="shared" si="37"/>
        <v/>
      </c>
      <c r="O994" s="9" t="str">
        <f>IF(N994="","",IF(COUNTIF(Precios!$G:$G,N994)=0,"⚠ No coincide con Precios","OK"))</f>
        <v/>
      </c>
    </row>
    <row r="995" spans="3:15" x14ac:dyDescent="0.2">
      <c r="C995" s="9" cm="1">
        <f t="array" ref="C995">IFERROR(_xlfn.XLOOKUP(B995,Personal!$A:$A,Personal!$D:$D,""),"")</f>
        <v>0</v>
      </c>
      <c r="D995" s="9" cm="1">
        <f t="array" ref="D995">IFERROR(_xlfn.XLOOKUP(B995,Personal!$A:$A,Personal!$C:$C,""),"")</f>
        <v>0</v>
      </c>
      <c r="E995" s="9" t="str" cm="1">
        <f t="array" ref="E995">IFERROR(_xlfn.XLOOKUP(D995,Locales!$A:$A,Locales!$B:$B,""),"")</f>
        <v/>
      </c>
      <c r="F995" s="9" cm="1">
        <f t="array" ref="F995">IFERROR(_xlfn.XLOOKUP(B995,Personal!$A:$A,Personal!$F:$F,""),"")</f>
        <v>0</v>
      </c>
      <c r="I995" s="10" cm="1">
        <f t="array" ref="I995">IFERROR(INDEX(Precios!$D:$F,MATCH(N995, Precios!$G:$G, 0),CHOOSE(MATCH(H995, {"SML";"XL";"XXL"}, 0), 1, 2, 3)), 0)</f>
        <v>0</v>
      </c>
      <c r="K995" s="10">
        <f t="shared" si="36"/>
        <v>0</v>
      </c>
      <c r="N995" s="9" t="str">
        <f t="shared" si="37"/>
        <v/>
      </c>
      <c r="O995" s="9" t="str">
        <f>IF(N995="","",IF(COUNTIF(Precios!$G:$G,N995)=0,"⚠ No coincide con Precios","OK"))</f>
        <v/>
      </c>
    </row>
    <row r="996" spans="3:15" x14ac:dyDescent="0.2">
      <c r="C996" s="9" cm="1">
        <f t="array" ref="C996">IFERROR(_xlfn.XLOOKUP(B996,Personal!$A:$A,Personal!$D:$D,""),"")</f>
        <v>0</v>
      </c>
      <c r="D996" s="9" cm="1">
        <f t="array" ref="D996">IFERROR(_xlfn.XLOOKUP(B996,Personal!$A:$A,Personal!$C:$C,""),"")</f>
        <v>0</v>
      </c>
      <c r="E996" s="9" t="str" cm="1">
        <f t="array" ref="E996">IFERROR(_xlfn.XLOOKUP(D996,Locales!$A:$A,Locales!$B:$B,""),"")</f>
        <v/>
      </c>
      <c r="F996" s="9" cm="1">
        <f t="array" ref="F996">IFERROR(_xlfn.XLOOKUP(B996,Personal!$A:$A,Personal!$F:$F,""),"")</f>
        <v>0</v>
      </c>
      <c r="I996" s="10" cm="1">
        <f t="array" ref="I996">IFERROR(INDEX(Precios!$D:$F,MATCH(N996, Precios!$G:$G, 0),CHOOSE(MATCH(H996, {"SML";"XL";"XXL"}, 0), 1, 2, 3)), 0)</f>
        <v>0</v>
      </c>
      <c r="K996" s="10">
        <f t="shared" si="36"/>
        <v>0</v>
      </c>
      <c r="N996" s="9" t="str">
        <f t="shared" si="37"/>
        <v/>
      </c>
      <c r="O996" s="9" t="str">
        <f>IF(N996="","",IF(COUNTIF(Precios!$G:$G,N996)=0,"⚠ No coincide con Precios","OK"))</f>
        <v/>
      </c>
    </row>
    <row r="997" spans="3:15" x14ac:dyDescent="0.2">
      <c r="C997" s="9" cm="1">
        <f t="array" ref="C997">IFERROR(_xlfn.XLOOKUP(B997,Personal!$A:$A,Personal!$D:$D,""),"")</f>
        <v>0</v>
      </c>
      <c r="D997" s="9" cm="1">
        <f t="array" ref="D997">IFERROR(_xlfn.XLOOKUP(B997,Personal!$A:$A,Personal!$C:$C,""),"")</f>
        <v>0</v>
      </c>
      <c r="E997" s="9" t="str" cm="1">
        <f t="array" ref="E997">IFERROR(_xlfn.XLOOKUP(D997,Locales!$A:$A,Locales!$B:$B,""),"")</f>
        <v/>
      </c>
      <c r="F997" s="9" cm="1">
        <f t="array" ref="F997">IFERROR(_xlfn.XLOOKUP(B997,Personal!$A:$A,Personal!$F:$F,""),"")</f>
        <v>0</v>
      </c>
      <c r="I997" s="10" cm="1">
        <f t="array" ref="I997">IFERROR(INDEX(Precios!$D:$F,MATCH(N997, Precios!$G:$G, 0),CHOOSE(MATCH(H997, {"SML";"XL";"XXL"}, 0), 1, 2, 3)), 0)</f>
        <v>0</v>
      </c>
      <c r="K997" s="10">
        <f t="shared" si="36"/>
        <v>0</v>
      </c>
      <c r="N997" s="9" t="str">
        <f t="shared" si="37"/>
        <v/>
      </c>
      <c r="O997" s="9" t="str">
        <f>IF(N997="","",IF(COUNTIF(Precios!$G:$G,N997)=0,"⚠ No coincide con Precios","OK"))</f>
        <v/>
      </c>
    </row>
    <row r="998" spans="3:15" x14ac:dyDescent="0.2">
      <c r="C998" s="9" cm="1">
        <f t="array" ref="C998">IFERROR(_xlfn.XLOOKUP(B998,Personal!$A:$A,Personal!$D:$D,""),"")</f>
        <v>0</v>
      </c>
      <c r="D998" s="9" cm="1">
        <f t="array" ref="D998">IFERROR(_xlfn.XLOOKUP(B998,Personal!$A:$A,Personal!$C:$C,""),"")</f>
        <v>0</v>
      </c>
      <c r="E998" s="9" t="str" cm="1">
        <f t="array" ref="E998">IFERROR(_xlfn.XLOOKUP(D998,Locales!$A:$A,Locales!$B:$B,""),"")</f>
        <v/>
      </c>
      <c r="F998" s="9" cm="1">
        <f t="array" ref="F998">IFERROR(_xlfn.XLOOKUP(B998,Personal!$A:$A,Personal!$F:$F,""),"")</f>
        <v>0</v>
      </c>
      <c r="I998" s="10" cm="1">
        <f t="array" ref="I998">IFERROR(INDEX(Precios!$D:$F,MATCH(N998, Precios!$G:$G, 0),CHOOSE(MATCH(H998, {"SML";"XL";"XXL"}, 0), 1, 2, 3)), 0)</f>
        <v>0</v>
      </c>
      <c r="K998" s="10">
        <f t="shared" si="36"/>
        <v>0</v>
      </c>
      <c r="N998" s="9" t="str">
        <f t="shared" si="37"/>
        <v/>
      </c>
      <c r="O998" s="9" t="str">
        <f>IF(N998="","",IF(COUNTIF(Precios!$G:$G,N998)=0,"⚠ No coincide con Precios","OK"))</f>
        <v/>
      </c>
    </row>
    <row r="999" spans="3:15" x14ac:dyDescent="0.2">
      <c r="C999" s="9" cm="1">
        <f t="array" ref="C999">IFERROR(_xlfn.XLOOKUP(B999,Personal!$A:$A,Personal!$D:$D,""),"")</f>
        <v>0</v>
      </c>
      <c r="D999" s="9" cm="1">
        <f t="array" ref="D999">IFERROR(_xlfn.XLOOKUP(B999,Personal!$A:$A,Personal!$C:$C,""),"")</f>
        <v>0</v>
      </c>
      <c r="E999" s="9" t="str" cm="1">
        <f t="array" ref="E999">IFERROR(_xlfn.XLOOKUP(D999,Locales!$A:$A,Locales!$B:$B,""),"")</f>
        <v/>
      </c>
      <c r="F999" s="9" cm="1">
        <f t="array" ref="F999">IFERROR(_xlfn.XLOOKUP(B999,Personal!$A:$A,Personal!$F:$F,""),"")</f>
        <v>0</v>
      </c>
      <c r="I999" s="10" cm="1">
        <f t="array" ref="I999">IFERROR(INDEX(Precios!$D:$F,MATCH(N999, Precios!$G:$G, 0),CHOOSE(MATCH(H999, {"SML";"XL";"XXL"}, 0), 1, 2, 3)), 0)</f>
        <v>0</v>
      </c>
      <c r="K999" s="10">
        <f t="shared" si="36"/>
        <v>0</v>
      </c>
      <c r="N999" s="9" t="str">
        <f t="shared" si="37"/>
        <v/>
      </c>
      <c r="O999" s="9" t="str">
        <f>IF(N999="","",IF(COUNTIF(Precios!$G:$G,N999)=0,"⚠ No coincide con Precios","OK"))</f>
        <v/>
      </c>
    </row>
    <row r="1000" spans="3:15" x14ac:dyDescent="0.2">
      <c r="C1000" s="9" cm="1">
        <f t="array" ref="C1000">IFERROR(_xlfn.XLOOKUP(B1000,Personal!$A:$A,Personal!$D:$D,""),"")</f>
        <v>0</v>
      </c>
      <c r="D1000" s="9" cm="1">
        <f t="array" ref="D1000">IFERROR(_xlfn.XLOOKUP(B1000,Personal!$A:$A,Personal!$C:$C,""),"")</f>
        <v>0</v>
      </c>
      <c r="E1000" s="9" t="str" cm="1">
        <f t="array" ref="E1000">IFERROR(_xlfn.XLOOKUP(D1000,Locales!$A:$A,Locales!$B:$B,""),"")</f>
        <v/>
      </c>
      <c r="F1000" s="9" cm="1">
        <f t="array" ref="F1000">IFERROR(_xlfn.XLOOKUP(B1000,Personal!$A:$A,Personal!$F:$F,""),"")</f>
        <v>0</v>
      </c>
      <c r="I1000" s="10" cm="1">
        <f t="array" ref="I1000">IFERROR(INDEX(Precios!$D:$F,MATCH(N1000, Precios!$G:$G, 0),CHOOSE(MATCH(H1000, {"SML";"XL";"XXL"}, 0), 1, 2, 3)), 0)</f>
        <v>0</v>
      </c>
      <c r="K1000" s="10">
        <f t="shared" si="36"/>
        <v>0</v>
      </c>
      <c r="N1000" s="9" t="str">
        <f t="shared" si="37"/>
        <v/>
      </c>
      <c r="O1000" s="9" t="str">
        <f>IF(N1000="","",IF(COUNTIF(Precios!$G:$G,N1000)=0,"⚠ No coincide con Precios","OK"))</f>
        <v/>
      </c>
    </row>
    <row r="1001" spans="3:15" x14ac:dyDescent="0.2">
      <c r="C1001" s="9" cm="1">
        <f t="array" ref="C1001">IFERROR(_xlfn.XLOOKUP(B1001,Personal!$A:$A,Personal!$D:$D,""),"")</f>
        <v>0</v>
      </c>
      <c r="D1001" s="9" cm="1">
        <f t="array" ref="D1001">IFERROR(_xlfn.XLOOKUP(B1001,Personal!$A:$A,Personal!$C:$C,""),"")</f>
        <v>0</v>
      </c>
      <c r="E1001" s="9" t="str" cm="1">
        <f t="array" ref="E1001">IFERROR(_xlfn.XLOOKUP(D1001,Locales!$A:$A,Locales!$B:$B,""),"")</f>
        <v/>
      </c>
      <c r="F1001" s="9" cm="1">
        <f t="array" ref="F1001">IFERROR(_xlfn.XLOOKUP(B1001,Personal!$A:$A,Personal!$F:$F,""),"")</f>
        <v>0</v>
      </c>
      <c r="I1001" s="10" cm="1">
        <f t="array" ref="I1001">IFERROR(INDEX(Precios!$D:$F,MATCH(N1001, Precios!$G:$G, 0),CHOOSE(MATCH(H1001, {"SML";"XL";"XXL"}, 0), 1, 2, 3)), 0)</f>
        <v>0</v>
      </c>
      <c r="K1001" s="10">
        <f t="shared" si="36"/>
        <v>0</v>
      </c>
      <c r="N1001" s="9" t="str">
        <f t="shared" si="37"/>
        <v/>
      </c>
      <c r="O1001" s="9" t="str">
        <f>IF(N1001="","",IF(COUNTIF(Precios!$G:$G,N1001)=0,"⚠ No coincide con Precios","OK"))</f>
        <v/>
      </c>
    </row>
    <row r="1002" spans="3:15" x14ac:dyDescent="0.2">
      <c r="C1002" s="9" cm="1">
        <f t="array" ref="C1002">IFERROR(_xlfn.XLOOKUP(B1002,Personal!$A:$A,Personal!$D:$D,""),"")</f>
        <v>0</v>
      </c>
      <c r="D1002" s="9" cm="1">
        <f t="array" ref="D1002">IFERROR(_xlfn.XLOOKUP(B1002,Personal!$A:$A,Personal!$C:$C,""),"")</f>
        <v>0</v>
      </c>
      <c r="E1002" s="9" t="str" cm="1">
        <f t="array" ref="E1002">IFERROR(_xlfn.XLOOKUP(D1002,Locales!$A:$A,Locales!$B:$B,""),"")</f>
        <v/>
      </c>
      <c r="F1002" s="9" cm="1">
        <f t="array" ref="F1002">IFERROR(_xlfn.XLOOKUP(B1002,Personal!$A:$A,Personal!$F:$F,""),"")</f>
        <v>0</v>
      </c>
      <c r="I1002" s="10" cm="1">
        <f t="array" ref="I1002">IFERROR(INDEX(Precios!$D:$F,MATCH(N1002, Precios!$G:$G, 0),CHOOSE(MATCH(H1002, {"SML";"XL";"XXL"}, 0), 1, 2, 3)), 0)</f>
        <v>0</v>
      </c>
      <c r="K1002" s="10">
        <f t="shared" si="36"/>
        <v>0</v>
      </c>
      <c r="N1002" s="9" t="str">
        <f t="shared" si="37"/>
        <v/>
      </c>
      <c r="O1002" s="9" t="str">
        <f>IF(N1002="","",IF(COUNTIF(Precios!$G:$G,N1002)=0,"⚠ No coincide con Precios","OK"))</f>
        <v/>
      </c>
    </row>
    <row r="1003" spans="3:15" x14ac:dyDescent="0.2">
      <c r="C1003" s="9" cm="1">
        <f t="array" ref="C1003">IFERROR(_xlfn.XLOOKUP(B1003,Personal!$A:$A,Personal!$D:$D,""),"")</f>
        <v>0</v>
      </c>
      <c r="D1003" s="9" cm="1">
        <f t="array" ref="D1003">IFERROR(_xlfn.XLOOKUP(B1003,Personal!$A:$A,Personal!$C:$C,""),"")</f>
        <v>0</v>
      </c>
      <c r="E1003" s="9" t="str" cm="1">
        <f t="array" ref="E1003">IFERROR(_xlfn.XLOOKUP(D1003,Locales!$A:$A,Locales!$B:$B,""),"")</f>
        <v/>
      </c>
      <c r="F1003" s="9" cm="1">
        <f t="array" ref="F1003">IFERROR(_xlfn.XLOOKUP(B1003,Personal!$A:$A,Personal!$F:$F,""),"")</f>
        <v>0</v>
      </c>
      <c r="I1003" s="10" cm="1">
        <f t="array" ref="I1003">IFERROR(INDEX(Precios!$D:$F,MATCH(N1003, Precios!$G:$G, 0),CHOOSE(MATCH(H1003, {"SML";"XL";"XXL"}, 0), 1, 2, 3)), 0)</f>
        <v>0</v>
      </c>
      <c r="K1003" s="10">
        <f t="shared" si="36"/>
        <v>0</v>
      </c>
      <c r="N1003" s="9" t="str">
        <f t="shared" si="37"/>
        <v/>
      </c>
      <c r="O1003" s="9" t="str">
        <f>IF(N1003="","",IF(COUNTIF(Precios!$G:$G,N1003)=0,"⚠ No coincide con Precios","OK"))</f>
        <v/>
      </c>
    </row>
    <row r="1004" spans="3:15" x14ac:dyDescent="0.2">
      <c r="C1004" s="9" cm="1">
        <f t="array" ref="C1004">IFERROR(_xlfn.XLOOKUP(B1004,Personal!$A:$A,Personal!$D:$D,""),"")</f>
        <v>0</v>
      </c>
      <c r="D1004" s="9" cm="1">
        <f t="array" ref="D1004">IFERROR(_xlfn.XLOOKUP(B1004,Personal!$A:$A,Personal!$C:$C,""),"")</f>
        <v>0</v>
      </c>
      <c r="E1004" s="9" t="str" cm="1">
        <f t="array" ref="E1004">IFERROR(_xlfn.XLOOKUP(D1004,Locales!$A:$A,Locales!$B:$B,""),"")</f>
        <v/>
      </c>
      <c r="F1004" s="9" cm="1">
        <f t="array" ref="F1004">IFERROR(_xlfn.XLOOKUP(B1004,Personal!$A:$A,Personal!$F:$F,""),"")</f>
        <v>0</v>
      </c>
      <c r="I1004" s="10" cm="1">
        <f t="array" ref="I1004">IFERROR(INDEX(Precios!$D:$F,MATCH(N1004, Precios!$G:$G, 0),CHOOSE(MATCH(H1004, {"SML";"XL";"XXL"}, 0), 1, 2, 3)), 0)</f>
        <v>0</v>
      </c>
      <c r="K1004" s="10">
        <f t="shared" si="36"/>
        <v>0</v>
      </c>
      <c r="N1004" s="9" t="str">
        <f t="shared" si="37"/>
        <v/>
      </c>
      <c r="O1004" s="9" t="str">
        <f>IF(N1004="","",IF(COUNTIF(Precios!$G:$G,N1004)=0,"⚠ No coincide con Precios","OK"))</f>
        <v/>
      </c>
    </row>
    <row r="1005" spans="3:15" x14ac:dyDescent="0.2">
      <c r="C1005" s="9" cm="1">
        <f t="array" ref="C1005">IFERROR(_xlfn.XLOOKUP(B1005,Personal!$A:$A,Personal!$D:$D,""),"")</f>
        <v>0</v>
      </c>
      <c r="D1005" s="9" cm="1">
        <f t="array" ref="D1005">IFERROR(_xlfn.XLOOKUP(B1005,Personal!$A:$A,Personal!$C:$C,""),"")</f>
        <v>0</v>
      </c>
      <c r="E1005" s="9" t="str" cm="1">
        <f t="array" ref="E1005">IFERROR(_xlfn.XLOOKUP(D1005,Locales!$A:$A,Locales!$B:$B,""),"")</f>
        <v/>
      </c>
      <c r="F1005" s="9" cm="1">
        <f t="array" ref="F1005">IFERROR(_xlfn.XLOOKUP(B1005,Personal!$A:$A,Personal!$F:$F,""),"")</f>
        <v>0</v>
      </c>
      <c r="I1005" s="10" cm="1">
        <f t="array" ref="I1005">IFERROR(INDEX(Precios!$D:$F,MATCH(N1005, Precios!$G:$G, 0),CHOOSE(MATCH(H1005, {"SML";"XL";"XXL"}, 0), 1, 2, 3)), 0)</f>
        <v>0</v>
      </c>
      <c r="K1005" s="10">
        <f t="shared" si="36"/>
        <v>0</v>
      </c>
      <c r="N1005" s="9" t="str">
        <f t="shared" si="37"/>
        <v/>
      </c>
      <c r="O1005" s="9" t="str">
        <f>IF(N1005="","",IF(COUNTIF(Precios!$G:$G,N1005)=0,"⚠ No coincide con Precios","OK"))</f>
        <v/>
      </c>
    </row>
    <row r="1006" spans="3:15" x14ac:dyDescent="0.2">
      <c r="C1006" s="9" cm="1">
        <f t="array" ref="C1006">IFERROR(_xlfn.XLOOKUP(B1006,Personal!$A:$A,Personal!$D:$D,""),"")</f>
        <v>0</v>
      </c>
      <c r="D1006" s="9" cm="1">
        <f t="array" ref="D1006">IFERROR(_xlfn.XLOOKUP(B1006,Personal!$A:$A,Personal!$C:$C,""),"")</f>
        <v>0</v>
      </c>
      <c r="E1006" s="9" t="str" cm="1">
        <f t="array" ref="E1006">IFERROR(_xlfn.XLOOKUP(D1006,Locales!$A:$A,Locales!$B:$B,""),"")</f>
        <v/>
      </c>
      <c r="F1006" s="9" cm="1">
        <f t="array" ref="F1006">IFERROR(_xlfn.XLOOKUP(B1006,Personal!$A:$A,Personal!$F:$F,""),"")</f>
        <v>0</v>
      </c>
      <c r="I1006" s="10" cm="1">
        <f t="array" ref="I1006">IFERROR(INDEX(Precios!$D:$F,MATCH(N1006, Precios!$G:$G, 0),CHOOSE(MATCH(H1006, {"SML";"XL";"XXL"}, 0), 1, 2, 3)), 0)</f>
        <v>0</v>
      </c>
      <c r="K1006" s="10">
        <f t="shared" si="36"/>
        <v>0</v>
      </c>
      <c r="N1006" s="9" t="str">
        <f t="shared" si="37"/>
        <v/>
      </c>
      <c r="O1006" s="9" t="str">
        <f>IF(N1006="","",IF(COUNTIF(Precios!$G:$G,N1006)=0,"⚠ No coincide con Precios","OK"))</f>
        <v/>
      </c>
    </row>
    <row r="1007" spans="3:15" x14ac:dyDescent="0.2">
      <c r="C1007" s="9" cm="1">
        <f t="array" ref="C1007">IFERROR(_xlfn.XLOOKUP(B1007,Personal!$A:$A,Personal!$D:$D,""),"")</f>
        <v>0</v>
      </c>
      <c r="D1007" s="9" cm="1">
        <f t="array" ref="D1007">IFERROR(_xlfn.XLOOKUP(B1007,Personal!$A:$A,Personal!$C:$C,""),"")</f>
        <v>0</v>
      </c>
      <c r="E1007" s="9" t="str" cm="1">
        <f t="array" ref="E1007">IFERROR(_xlfn.XLOOKUP(D1007,Locales!$A:$A,Locales!$B:$B,""),"")</f>
        <v/>
      </c>
      <c r="F1007" s="9" cm="1">
        <f t="array" ref="F1007">IFERROR(_xlfn.XLOOKUP(B1007,Personal!$A:$A,Personal!$F:$F,""),"")</f>
        <v>0</v>
      </c>
      <c r="I1007" s="10" cm="1">
        <f t="array" ref="I1007">IFERROR(INDEX(Precios!$D:$F,MATCH(N1007, Precios!$G:$G, 0),CHOOSE(MATCH(H1007, {"SML";"XL";"XXL"}, 0), 1, 2, 3)), 0)</f>
        <v>0</v>
      </c>
      <c r="K1007" s="10">
        <f t="shared" si="36"/>
        <v>0</v>
      </c>
      <c r="N1007" s="9" t="str">
        <f t="shared" si="37"/>
        <v/>
      </c>
      <c r="O1007" s="9" t="str">
        <f>IF(N1007="","",IF(COUNTIF(Precios!$G:$G,N1007)=0,"⚠ No coincide con Precios","OK"))</f>
        <v/>
      </c>
    </row>
    <row r="1008" spans="3:15" x14ac:dyDescent="0.2">
      <c r="C1008" s="9" cm="1">
        <f t="array" ref="C1008">IFERROR(_xlfn.XLOOKUP(B1008,Personal!$A:$A,Personal!$D:$D,""),"")</f>
        <v>0</v>
      </c>
      <c r="D1008" s="9" cm="1">
        <f t="array" ref="D1008">IFERROR(_xlfn.XLOOKUP(B1008,Personal!$A:$A,Personal!$C:$C,""),"")</f>
        <v>0</v>
      </c>
      <c r="E1008" s="9" t="str" cm="1">
        <f t="array" ref="E1008">IFERROR(_xlfn.XLOOKUP(D1008,Locales!$A:$A,Locales!$B:$B,""),"")</f>
        <v/>
      </c>
      <c r="F1008" s="9" cm="1">
        <f t="array" ref="F1008">IFERROR(_xlfn.XLOOKUP(B1008,Personal!$A:$A,Personal!$F:$F,""),"")</f>
        <v>0</v>
      </c>
      <c r="I1008" s="10" cm="1">
        <f t="array" ref="I1008">IFERROR(INDEX(Precios!$D:$F,MATCH(N1008, Precios!$G:$G, 0),CHOOSE(MATCH(H1008, {"SML";"XL";"XXL"}, 0), 1, 2, 3)), 0)</f>
        <v>0</v>
      </c>
      <c r="K1008" s="10">
        <f t="shared" si="36"/>
        <v>0</v>
      </c>
      <c r="N1008" s="9" t="str">
        <f t="shared" si="37"/>
        <v/>
      </c>
      <c r="O1008" s="9" t="str">
        <f>IF(N1008="","",IF(COUNTIF(Precios!$G:$G,N1008)=0,"⚠ No coincide con Precios","OK"))</f>
        <v/>
      </c>
    </row>
    <row r="1009" spans="3:15" x14ac:dyDescent="0.2">
      <c r="C1009" s="9" cm="1">
        <f t="array" ref="C1009">IFERROR(_xlfn.XLOOKUP(B1009,Personal!$A:$A,Personal!$D:$D,""),"")</f>
        <v>0</v>
      </c>
      <c r="D1009" s="9" cm="1">
        <f t="array" ref="D1009">IFERROR(_xlfn.XLOOKUP(B1009,Personal!$A:$A,Personal!$C:$C,""),"")</f>
        <v>0</v>
      </c>
      <c r="E1009" s="9" t="str" cm="1">
        <f t="array" ref="E1009">IFERROR(_xlfn.XLOOKUP(D1009,Locales!$A:$A,Locales!$B:$B,""),"")</f>
        <v/>
      </c>
      <c r="F1009" s="9" cm="1">
        <f t="array" ref="F1009">IFERROR(_xlfn.XLOOKUP(B1009,Personal!$A:$A,Personal!$F:$F,""),"")</f>
        <v>0</v>
      </c>
      <c r="I1009" s="10" cm="1">
        <f t="array" ref="I1009">IFERROR(INDEX(Precios!$D:$F,MATCH(N1009, Precios!$G:$G, 0),CHOOSE(MATCH(H1009, {"SML";"XL";"XXL"}, 0), 1, 2, 3)), 0)</f>
        <v>0</v>
      </c>
      <c r="K1009" s="10">
        <f t="shared" si="36"/>
        <v>0</v>
      </c>
      <c r="N1009" s="9" t="str">
        <f t="shared" si="37"/>
        <v/>
      </c>
      <c r="O1009" s="9" t="str">
        <f>IF(N1009="","",IF(COUNTIF(Precios!$G:$G,N1009)=0,"⚠ No coincide con Precios","OK"))</f>
        <v/>
      </c>
    </row>
    <row r="1010" spans="3:15" x14ac:dyDescent="0.2">
      <c r="C1010" s="9" cm="1">
        <f t="array" ref="C1010">IFERROR(_xlfn.XLOOKUP(B1010,Personal!$A:$A,Personal!$D:$D,""),"")</f>
        <v>0</v>
      </c>
      <c r="D1010" s="9" cm="1">
        <f t="array" ref="D1010">IFERROR(_xlfn.XLOOKUP(B1010,Personal!$A:$A,Personal!$C:$C,""),"")</f>
        <v>0</v>
      </c>
      <c r="E1010" s="9" t="str" cm="1">
        <f t="array" ref="E1010">IFERROR(_xlfn.XLOOKUP(D1010,Locales!$A:$A,Locales!$B:$B,""),"")</f>
        <v/>
      </c>
      <c r="F1010" s="9" cm="1">
        <f t="array" ref="F1010">IFERROR(_xlfn.XLOOKUP(B1010,Personal!$A:$A,Personal!$F:$F,""),"")</f>
        <v>0</v>
      </c>
      <c r="I1010" s="10" cm="1">
        <f t="array" ref="I1010">IFERROR(INDEX(Precios!$D:$F,MATCH(N1010, Precios!$G:$G, 0),CHOOSE(MATCH(H1010, {"SML";"XL";"XXL"}, 0), 1, 2, 3)), 0)</f>
        <v>0</v>
      </c>
      <c r="K1010" s="10">
        <f t="shared" si="36"/>
        <v>0</v>
      </c>
      <c r="N1010" s="9" t="str">
        <f t="shared" si="37"/>
        <v/>
      </c>
      <c r="O1010" s="9" t="str">
        <f>IF(N1010="","",IF(COUNTIF(Precios!$G:$G,N1010)=0,"⚠ No coincide con Precios","OK"))</f>
        <v/>
      </c>
    </row>
    <row r="1011" spans="3:15" x14ac:dyDescent="0.2">
      <c r="C1011" s="9" cm="1">
        <f t="array" ref="C1011">IFERROR(_xlfn.XLOOKUP(B1011,Personal!$A:$A,Personal!$D:$D,""),"")</f>
        <v>0</v>
      </c>
      <c r="D1011" s="9" cm="1">
        <f t="array" ref="D1011">IFERROR(_xlfn.XLOOKUP(B1011,Personal!$A:$A,Personal!$C:$C,""),"")</f>
        <v>0</v>
      </c>
      <c r="E1011" s="9" t="str" cm="1">
        <f t="array" ref="E1011">IFERROR(_xlfn.XLOOKUP(D1011,Locales!$A:$A,Locales!$B:$B,""),"")</f>
        <v/>
      </c>
      <c r="F1011" s="9" cm="1">
        <f t="array" ref="F1011">IFERROR(_xlfn.XLOOKUP(B1011,Personal!$A:$A,Personal!$F:$F,""),"")</f>
        <v>0</v>
      </c>
      <c r="I1011" s="10" cm="1">
        <f t="array" ref="I1011">IFERROR(INDEX(Precios!$D:$F,MATCH(N1011, Precios!$G:$G, 0),CHOOSE(MATCH(H1011, {"SML";"XL";"XXL"}, 0), 1, 2, 3)), 0)</f>
        <v>0</v>
      </c>
      <c r="K1011" s="10">
        <f t="shared" si="36"/>
        <v>0</v>
      </c>
      <c r="N1011" s="9" t="str">
        <f t="shared" si="37"/>
        <v/>
      </c>
      <c r="O1011" s="9" t="str">
        <f>IF(N1011="","",IF(COUNTIF(Precios!$G:$G,N1011)=0,"⚠ No coincide con Precios","OK"))</f>
        <v/>
      </c>
    </row>
    <row r="1012" spans="3:15" x14ac:dyDescent="0.2">
      <c r="C1012" s="9" cm="1">
        <f t="array" ref="C1012">IFERROR(_xlfn.XLOOKUP(B1012,Personal!$A:$A,Personal!$D:$D,""),"")</f>
        <v>0</v>
      </c>
      <c r="D1012" s="9" cm="1">
        <f t="array" ref="D1012">IFERROR(_xlfn.XLOOKUP(B1012,Personal!$A:$A,Personal!$C:$C,""),"")</f>
        <v>0</v>
      </c>
      <c r="E1012" s="9" t="str" cm="1">
        <f t="array" ref="E1012">IFERROR(_xlfn.XLOOKUP(D1012,Locales!$A:$A,Locales!$B:$B,""),"")</f>
        <v/>
      </c>
      <c r="F1012" s="9" cm="1">
        <f t="array" ref="F1012">IFERROR(_xlfn.XLOOKUP(B1012,Personal!$A:$A,Personal!$F:$F,""),"")</f>
        <v>0</v>
      </c>
      <c r="I1012" s="10" cm="1">
        <f t="array" ref="I1012">IFERROR(INDEX(Precios!$D:$F,MATCH(N1012, Precios!$G:$G, 0),CHOOSE(MATCH(H1012, {"SML";"XL";"XXL"}, 0), 1, 2, 3)), 0)</f>
        <v>0</v>
      </c>
      <c r="K1012" s="10">
        <f t="shared" si="36"/>
        <v>0</v>
      </c>
      <c r="N1012" s="9" t="str">
        <f t="shared" si="37"/>
        <v/>
      </c>
      <c r="O1012" s="9" t="str">
        <f>IF(N1012="","",IF(COUNTIF(Precios!$G:$G,N1012)=0,"⚠ No coincide con Precios","OK"))</f>
        <v/>
      </c>
    </row>
    <row r="1013" spans="3:15" x14ac:dyDescent="0.2">
      <c r="C1013" s="9" cm="1">
        <f t="array" ref="C1013">IFERROR(_xlfn.XLOOKUP(B1013,Personal!$A:$A,Personal!$D:$D,""),"")</f>
        <v>0</v>
      </c>
      <c r="D1013" s="9" cm="1">
        <f t="array" ref="D1013">IFERROR(_xlfn.XLOOKUP(B1013,Personal!$A:$A,Personal!$C:$C,""),"")</f>
        <v>0</v>
      </c>
      <c r="E1013" s="9" t="str" cm="1">
        <f t="array" ref="E1013">IFERROR(_xlfn.XLOOKUP(D1013,Locales!$A:$A,Locales!$B:$B,""),"")</f>
        <v/>
      </c>
      <c r="F1013" s="9" cm="1">
        <f t="array" ref="F1013">IFERROR(_xlfn.XLOOKUP(B1013,Personal!$A:$A,Personal!$F:$F,""),"")</f>
        <v>0</v>
      </c>
      <c r="I1013" s="10" cm="1">
        <f t="array" ref="I1013">IFERROR(INDEX(Precios!$D:$F,MATCH(N1013, Precios!$G:$G, 0),CHOOSE(MATCH(H1013, {"SML";"XL";"XXL"}, 0), 1, 2, 3)), 0)</f>
        <v>0</v>
      </c>
      <c r="K1013" s="10">
        <f t="shared" si="36"/>
        <v>0</v>
      </c>
      <c r="N1013" s="9" t="str">
        <f t="shared" si="37"/>
        <v/>
      </c>
      <c r="O1013" s="9" t="str">
        <f>IF(N1013="","",IF(COUNTIF(Precios!$G:$G,N1013)=0,"⚠ No coincide con Precios","OK"))</f>
        <v/>
      </c>
    </row>
    <row r="1014" spans="3:15" x14ac:dyDescent="0.2">
      <c r="C1014" s="9" cm="1">
        <f t="array" ref="C1014">IFERROR(_xlfn.XLOOKUP(B1014,Personal!$A:$A,Personal!$D:$D,""),"")</f>
        <v>0</v>
      </c>
      <c r="D1014" s="9" cm="1">
        <f t="array" ref="D1014">IFERROR(_xlfn.XLOOKUP(B1014,Personal!$A:$A,Personal!$C:$C,""),"")</f>
        <v>0</v>
      </c>
      <c r="E1014" s="9" t="str" cm="1">
        <f t="array" ref="E1014">IFERROR(_xlfn.XLOOKUP(D1014,Locales!$A:$A,Locales!$B:$B,""),"")</f>
        <v/>
      </c>
      <c r="F1014" s="9" cm="1">
        <f t="array" ref="F1014">IFERROR(_xlfn.XLOOKUP(B1014,Personal!$A:$A,Personal!$F:$F,""),"")</f>
        <v>0</v>
      </c>
      <c r="I1014" s="10" cm="1">
        <f t="array" ref="I1014">IFERROR(INDEX(Precios!$D:$F,MATCH(N1014, Precios!$G:$G, 0),CHOOSE(MATCH(H1014, {"SML";"XL";"XXL"}, 0), 1, 2, 3)), 0)</f>
        <v>0</v>
      </c>
      <c r="K1014" s="10">
        <f t="shared" si="36"/>
        <v>0</v>
      </c>
      <c r="N1014" s="9" t="str">
        <f t="shared" si="37"/>
        <v/>
      </c>
      <c r="O1014" s="9" t="str">
        <f>IF(N1014="","",IF(COUNTIF(Precios!$G:$G,N1014)=0,"⚠ No coincide con Precios","OK"))</f>
        <v/>
      </c>
    </row>
    <row r="1015" spans="3:15" x14ac:dyDescent="0.2">
      <c r="C1015" s="9" cm="1">
        <f t="array" ref="C1015">IFERROR(_xlfn.XLOOKUP(B1015,Personal!$A:$A,Personal!$D:$D,""),"")</f>
        <v>0</v>
      </c>
      <c r="D1015" s="9" cm="1">
        <f t="array" ref="D1015">IFERROR(_xlfn.XLOOKUP(B1015,Personal!$A:$A,Personal!$C:$C,""),"")</f>
        <v>0</v>
      </c>
      <c r="E1015" s="9" t="str" cm="1">
        <f t="array" ref="E1015">IFERROR(_xlfn.XLOOKUP(D1015,Locales!$A:$A,Locales!$B:$B,""),"")</f>
        <v/>
      </c>
      <c r="F1015" s="9" cm="1">
        <f t="array" ref="F1015">IFERROR(_xlfn.XLOOKUP(B1015,Personal!$A:$A,Personal!$F:$F,""),"")</f>
        <v>0</v>
      </c>
      <c r="I1015" s="10" cm="1">
        <f t="array" ref="I1015">IFERROR(INDEX(Precios!$D:$F,MATCH(N1015, Precios!$G:$G, 0),CHOOSE(MATCH(H1015, {"SML";"XL";"XXL"}, 0), 1, 2, 3)), 0)</f>
        <v>0</v>
      </c>
      <c r="K1015" s="10">
        <f t="shared" si="36"/>
        <v>0</v>
      </c>
      <c r="N1015" s="9" t="str">
        <f t="shared" si="37"/>
        <v/>
      </c>
      <c r="O1015" s="9" t="str">
        <f>IF(N1015="","",IF(COUNTIF(Precios!$G:$G,N1015)=0,"⚠ No coincide con Precios","OK"))</f>
        <v/>
      </c>
    </row>
    <row r="1016" spans="3:15" x14ac:dyDescent="0.2">
      <c r="C1016" s="9" cm="1">
        <f t="array" ref="C1016">IFERROR(_xlfn.XLOOKUP(B1016,Personal!$A:$A,Personal!$D:$D,""),"")</f>
        <v>0</v>
      </c>
      <c r="D1016" s="9" cm="1">
        <f t="array" ref="D1016">IFERROR(_xlfn.XLOOKUP(B1016,Personal!$A:$A,Personal!$C:$C,""),"")</f>
        <v>0</v>
      </c>
      <c r="E1016" s="9" t="str" cm="1">
        <f t="array" ref="E1016">IFERROR(_xlfn.XLOOKUP(D1016,Locales!$A:$A,Locales!$B:$B,""),"")</f>
        <v/>
      </c>
      <c r="F1016" s="9" cm="1">
        <f t="array" ref="F1016">IFERROR(_xlfn.XLOOKUP(B1016,Personal!$A:$A,Personal!$F:$F,""),"")</f>
        <v>0</v>
      </c>
      <c r="I1016" s="10" cm="1">
        <f t="array" ref="I1016">IFERROR(INDEX(Precios!$D:$F,MATCH(N1016, Precios!$G:$G, 0),CHOOSE(MATCH(H1016, {"SML";"XL";"XXL"}, 0), 1, 2, 3)), 0)</f>
        <v>0</v>
      </c>
      <c r="K1016" s="10">
        <f t="shared" si="36"/>
        <v>0</v>
      </c>
      <c r="N1016" s="9" t="str">
        <f t="shared" si="37"/>
        <v/>
      </c>
      <c r="O1016" s="9" t="str">
        <f>IF(N1016="","",IF(COUNTIF(Precios!$G:$G,N1016)=0,"⚠ No coincide con Precios","OK"))</f>
        <v/>
      </c>
    </row>
    <row r="1017" spans="3:15" x14ac:dyDescent="0.2">
      <c r="C1017" s="9" cm="1">
        <f t="array" ref="C1017">IFERROR(_xlfn.XLOOKUP(B1017,Personal!$A:$A,Personal!$D:$D,""),"")</f>
        <v>0</v>
      </c>
      <c r="D1017" s="9" cm="1">
        <f t="array" ref="D1017">IFERROR(_xlfn.XLOOKUP(B1017,Personal!$A:$A,Personal!$C:$C,""),"")</f>
        <v>0</v>
      </c>
      <c r="E1017" s="9" t="str" cm="1">
        <f t="array" ref="E1017">IFERROR(_xlfn.XLOOKUP(D1017,Locales!$A:$A,Locales!$B:$B,""),"")</f>
        <v/>
      </c>
      <c r="F1017" s="9" cm="1">
        <f t="array" ref="F1017">IFERROR(_xlfn.XLOOKUP(B1017,Personal!$A:$A,Personal!$F:$F,""),"")</f>
        <v>0</v>
      </c>
      <c r="I1017" s="10" cm="1">
        <f t="array" ref="I1017">IFERROR(INDEX(Precios!$D:$F,MATCH(N1017, Precios!$G:$G, 0),CHOOSE(MATCH(H1017, {"SML";"XL";"XXL"}, 0), 1, 2, 3)), 0)</f>
        <v>0</v>
      </c>
      <c r="K1017" s="10">
        <f t="shared" si="36"/>
        <v>0</v>
      </c>
      <c r="N1017" s="9" t="str">
        <f t="shared" si="37"/>
        <v/>
      </c>
      <c r="O1017" s="9" t="str">
        <f>IF(N1017="","",IF(COUNTIF(Precios!$G:$G,N1017)=0,"⚠ No coincide con Precios","OK"))</f>
        <v/>
      </c>
    </row>
    <row r="1018" spans="3:15" x14ac:dyDescent="0.2">
      <c r="C1018" s="9" cm="1">
        <f t="array" ref="C1018">IFERROR(_xlfn.XLOOKUP(B1018,Personal!$A:$A,Personal!$D:$D,""),"")</f>
        <v>0</v>
      </c>
      <c r="D1018" s="9" cm="1">
        <f t="array" ref="D1018">IFERROR(_xlfn.XLOOKUP(B1018,Personal!$A:$A,Personal!$C:$C,""),"")</f>
        <v>0</v>
      </c>
      <c r="E1018" s="9" t="str" cm="1">
        <f t="array" ref="E1018">IFERROR(_xlfn.XLOOKUP(D1018,Locales!$A:$A,Locales!$B:$B,""),"")</f>
        <v/>
      </c>
      <c r="F1018" s="9" cm="1">
        <f t="array" ref="F1018">IFERROR(_xlfn.XLOOKUP(B1018,Personal!$A:$A,Personal!$F:$F,""),"")</f>
        <v>0</v>
      </c>
      <c r="I1018" s="10" cm="1">
        <f t="array" ref="I1018">IFERROR(INDEX(Precios!$D:$F,MATCH(N1018, Precios!$G:$G, 0),CHOOSE(MATCH(H1018, {"SML";"XL";"XXL"}, 0), 1, 2, 3)), 0)</f>
        <v>0</v>
      </c>
      <c r="K1018" s="10">
        <f t="shared" si="36"/>
        <v>0</v>
      </c>
      <c r="N1018" s="9" t="str">
        <f t="shared" si="37"/>
        <v/>
      </c>
      <c r="O1018" s="9" t="str">
        <f>IF(N1018="","",IF(COUNTIF(Precios!$G:$G,N1018)=0,"⚠ No coincide con Precios","OK"))</f>
        <v/>
      </c>
    </row>
    <row r="1019" spans="3:15" x14ac:dyDescent="0.2">
      <c r="C1019" s="9" cm="1">
        <f t="array" ref="C1019">IFERROR(_xlfn.XLOOKUP(B1019,Personal!$A:$A,Personal!$D:$D,""),"")</f>
        <v>0</v>
      </c>
      <c r="D1019" s="9" cm="1">
        <f t="array" ref="D1019">IFERROR(_xlfn.XLOOKUP(B1019,Personal!$A:$A,Personal!$C:$C,""),"")</f>
        <v>0</v>
      </c>
      <c r="E1019" s="9" t="str" cm="1">
        <f t="array" ref="E1019">IFERROR(_xlfn.XLOOKUP(D1019,Locales!$A:$A,Locales!$B:$B,""),"")</f>
        <v/>
      </c>
      <c r="F1019" s="9" cm="1">
        <f t="array" ref="F1019">IFERROR(_xlfn.XLOOKUP(B1019,Personal!$A:$A,Personal!$F:$F,""),"")</f>
        <v>0</v>
      </c>
      <c r="I1019" s="10" cm="1">
        <f t="array" ref="I1019">IFERROR(INDEX(Precios!$D:$F,MATCH(N1019, Precios!$G:$G, 0),CHOOSE(MATCH(H1019, {"SML";"XL";"XXL"}, 0), 1, 2, 3)), 0)</f>
        <v>0</v>
      </c>
      <c r="K1019" s="10">
        <f t="shared" si="36"/>
        <v>0</v>
      </c>
      <c r="N1019" s="9" t="str">
        <f t="shared" si="37"/>
        <v/>
      </c>
      <c r="O1019" s="9" t="str">
        <f>IF(N1019="","",IF(COUNTIF(Precios!$G:$G,N1019)=0,"⚠ No coincide con Precios","OK"))</f>
        <v/>
      </c>
    </row>
    <row r="1020" spans="3:15" x14ac:dyDescent="0.2">
      <c r="C1020" s="9" cm="1">
        <f t="array" ref="C1020">IFERROR(_xlfn.XLOOKUP(B1020,Personal!$A:$A,Personal!$D:$D,""),"")</f>
        <v>0</v>
      </c>
      <c r="D1020" s="9" cm="1">
        <f t="array" ref="D1020">IFERROR(_xlfn.XLOOKUP(B1020,Personal!$A:$A,Personal!$C:$C,""),"")</f>
        <v>0</v>
      </c>
      <c r="E1020" s="9" t="str" cm="1">
        <f t="array" ref="E1020">IFERROR(_xlfn.XLOOKUP(D1020,Locales!$A:$A,Locales!$B:$B,""),"")</f>
        <v/>
      </c>
      <c r="F1020" s="9" cm="1">
        <f t="array" ref="F1020">IFERROR(_xlfn.XLOOKUP(B1020,Personal!$A:$A,Personal!$F:$F,""),"")</f>
        <v>0</v>
      </c>
      <c r="I1020" s="10" cm="1">
        <f t="array" ref="I1020">IFERROR(INDEX(Precios!$D:$F,MATCH(N1020, Precios!$G:$G, 0),CHOOSE(MATCH(H1020, {"SML";"XL";"XXL"}, 0), 1, 2, 3)), 0)</f>
        <v>0</v>
      </c>
      <c r="K1020" s="10">
        <f t="shared" si="36"/>
        <v>0</v>
      </c>
      <c r="N1020" s="9" t="str">
        <f t="shared" si="37"/>
        <v/>
      </c>
      <c r="O1020" s="9" t="str">
        <f>IF(N1020="","",IF(COUNTIF(Precios!$G:$G,N1020)=0,"⚠ No coincide con Precios","OK"))</f>
        <v/>
      </c>
    </row>
    <row r="1021" spans="3:15" x14ac:dyDescent="0.2">
      <c r="C1021" s="9" cm="1">
        <f t="array" ref="C1021">IFERROR(_xlfn.XLOOKUP(B1021,Personal!$A:$A,Personal!$D:$D,""),"")</f>
        <v>0</v>
      </c>
      <c r="D1021" s="9" cm="1">
        <f t="array" ref="D1021">IFERROR(_xlfn.XLOOKUP(B1021,Personal!$A:$A,Personal!$C:$C,""),"")</f>
        <v>0</v>
      </c>
      <c r="E1021" s="9" t="str" cm="1">
        <f t="array" ref="E1021">IFERROR(_xlfn.XLOOKUP(D1021,Locales!$A:$A,Locales!$B:$B,""),"")</f>
        <v/>
      </c>
      <c r="F1021" s="9" cm="1">
        <f t="array" ref="F1021">IFERROR(_xlfn.XLOOKUP(B1021,Personal!$A:$A,Personal!$F:$F,""),"")</f>
        <v>0</v>
      </c>
      <c r="I1021" s="10" cm="1">
        <f t="array" ref="I1021">IFERROR(INDEX(Precios!$D:$F,MATCH(N1021, Precios!$G:$G, 0),CHOOSE(MATCH(H1021, {"SML";"XL";"XXL"}, 0), 1, 2, 3)), 0)</f>
        <v>0</v>
      </c>
      <c r="K1021" s="10">
        <f t="shared" si="36"/>
        <v>0</v>
      </c>
      <c r="N1021" s="9" t="str">
        <f t="shared" si="37"/>
        <v/>
      </c>
      <c r="O1021" s="9" t="str">
        <f>IF(N1021="","",IF(COUNTIF(Precios!$G:$G,N1021)=0,"⚠ No coincide con Precios","OK"))</f>
        <v/>
      </c>
    </row>
    <row r="1022" spans="3:15" x14ac:dyDescent="0.2">
      <c r="C1022" s="9" cm="1">
        <f t="array" ref="C1022">IFERROR(_xlfn.XLOOKUP(B1022,Personal!$A:$A,Personal!$D:$D,""),"")</f>
        <v>0</v>
      </c>
      <c r="D1022" s="9" cm="1">
        <f t="array" ref="D1022">IFERROR(_xlfn.XLOOKUP(B1022,Personal!$A:$A,Personal!$C:$C,""),"")</f>
        <v>0</v>
      </c>
      <c r="E1022" s="9" t="str" cm="1">
        <f t="array" ref="E1022">IFERROR(_xlfn.XLOOKUP(D1022,Locales!$A:$A,Locales!$B:$B,""),"")</f>
        <v/>
      </c>
      <c r="F1022" s="9" cm="1">
        <f t="array" ref="F1022">IFERROR(_xlfn.XLOOKUP(B1022,Personal!$A:$A,Personal!$F:$F,""),"")</f>
        <v>0</v>
      </c>
      <c r="I1022" s="10" cm="1">
        <f t="array" ref="I1022">IFERROR(INDEX(Precios!$D:$F,MATCH(N1022, Precios!$G:$G, 0),CHOOSE(MATCH(H1022, {"SML";"XL";"XXL"}, 0), 1, 2, 3)), 0)</f>
        <v>0</v>
      </c>
      <c r="K1022" s="10">
        <f t="shared" ref="K1022:K1085" si="38">IFERROR(I1022*J1022,0)</f>
        <v>0</v>
      </c>
      <c r="N1022" s="9" t="str">
        <f t="shared" ref="N1022:N1085" si="39">IF( OR(E1022="",F1022="",G1022=""), "",CLEAN(TRIM(E1022)) &amp; "|" &amp; CLEAN(TRIM(F1022)) &amp; "|" &amp; CLEAN(TRIM(G1022)))</f>
        <v/>
      </c>
      <c r="O1022" s="9" t="str">
        <f>IF(N1022="","",IF(COUNTIF(Precios!$G:$G,N1022)=0,"⚠ No coincide con Precios","OK"))</f>
        <v/>
      </c>
    </row>
    <row r="1023" spans="3:15" x14ac:dyDescent="0.2">
      <c r="C1023" s="9" cm="1">
        <f t="array" ref="C1023">IFERROR(_xlfn.XLOOKUP(B1023,Personal!$A:$A,Personal!$D:$D,""),"")</f>
        <v>0</v>
      </c>
      <c r="D1023" s="9" cm="1">
        <f t="array" ref="D1023">IFERROR(_xlfn.XLOOKUP(B1023,Personal!$A:$A,Personal!$C:$C,""),"")</f>
        <v>0</v>
      </c>
      <c r="E1023" s="9" t="str" cm="1">
        <f t="array" ref="E1023">IFERROR(_xlfn.XLOOKUP(D1023,Locales!$A:$A,Locales!$B:$B,""),"")</f>
        <v/>
      </c>
      <c r="F1023" s="9" cm="1">
        <f t="array" ref="F1023">IFERROR(_xlfn.XLOOKUP(B1023,Personal!$A:$A,Personal!$F:$F,""),"")</f>
        <v>0</v>
      </c>
      <c r="I1023" s="10" cm="1">
        <f t="array" ref="I1023">IFERROR(INDEX(Precios!$D:$F,MATCH(N1023, Precios!$G:$G, 0),CHOOSE(MATCH(H1023, {"SML";"XL";"XXL"}, 0), 1, 2, 3)), 0)</f>
        <v>0</v>
      </c>
      <c r="K1023" s="10">
        <f t="shared" si="38"/>
        <v>0</v>
      </c>
      <c r="N1023" s="9" t="str">
        <f t="shared" si="39"/>
        <v/>
      </c>
      <c r="O1023" s="9" t="str">
        <f>IF(N1023="","",IF(COUNTIF(Precios!$G:$G,N1023)=0,"⚠ No coincide con Precios","OK"))</f>
        <v/>
      </c>
    </row>
    <row r="1024" spans="3:15" x14ac:dyDescent="0.2">
      <c r="C1024" s="9" cm="1">
        <f t="array" ref="C1024">IFERROR(_xlfn.XLOOKUP(B1024,Personal!$A:$A,Personal!$D:$D,""),"")</f>
        <v>0</v>
      </c>
      <c r="D1024" s="9" cm="1">
        <f t="array" ref="D1024">IFERROR(_xlfn.XLOOKUP(B1024,Personal!$A:$A,Personal!$C:$C,""),"")</f>
        <v>0</v>
      </c>
      <c r="E1024" s="9" t="str" cm="1">
        <f t="array" ref="E1024">IFERROR(_xlfn.XLOOKUP(D1024,Locales!$A:$A,Locales!$B:$B,""),"")</f>
        <v/>
      </c>
      <c r="F1024" s="9" cm="1">
        <f t="array" ref="F1024">IFERROR(_xlfn.XLOOKUP(B1024,Personal!$A:$A,Personal!$F:$F,""),"")</f>
        <v>0</v>
      </c>
      <c r="I1024" s="10" cm="1">
        <f t="array" ref="I1024">IFERROR(INDEX(Precios!$D:$F,MATCH(N1024, Precios!$G:$G, 0),CHOOSE(MATCH(H1024, {"SML";"XL";"XXL"}, 0), 1, 2, 3)), 0)</f>
        <v>0</v>
      </c>
      <c r="K1024" s="10">
        <f t="shared" si="38"/>
        <v>0</v>
      </c>
      <c r="N1024" s="9" t="str">
        <f t="shared" si="39"/>
        <v/>
      </c>
      <c r="O1024" s="9" t="str">
        <f>IF(N1024="","",IF(COUNTIF(Precios!$G:$G,N1024)=0,"⚠ No coincide con Precios","OK"))</f>
        <v/>
      </c>
    </row>
    <row r="1025" spans="3:15" x14ac:dyDescent="0.2">
      <c r="C1025" s="9" cm="1">
        <f t="array" ref="C1025">IFERROR(_xlfn.XLOOKUP(B1025,Personal!$A:$A,Personal!$D:$D,""),"")</f>
        <v>0</v>
      </c>
      <c r="D1025" s="9" cm="1">
        <f t="array" ref="D1025">IFERROR(_xlfn.XLOOKUP(B1025,Personal!$A:$A,Personal!$C:$C,""),"")</f>
        <v>0</v>
      </c>
      <c r="E1025" s="9" t="str" cm="1">
        <f t="array" ref="E1025">IFERROR(_xlfn.XLOOKUP(D1025,Locales!$A:$A,Locales!$B:$B,""),"")</f>
        <v/>
      </c>
      <c r="F1025" s="9" cm="1">
        <f t="array" ref="F1025">IFERROR(_xlfn.XLOOKUP(B1025,Personal!$A:$A,Personal!$F:$F,""),"")</f>
        <v>0</v>
      </c>
      <c r="I1025" s="10" cm="1">
        <f t="array" ref="I1025">IFERROR(INDEX(Precios!$D:$F,MATCH(N1025, Precios!$G:$G, 0),CHOOSE(MATCH(H1025, {"SML";"XL";"XXL"}, 0), 1, 2, 3)), 0)</f>
        <v>0</v>
      </c>
      <c r="K1025" s="10">
        <f t="shared" si="38"/>
        <v>0</v>
      </c>
      <c r="N1025" s="9" t="str">
        <f t="shared" si="39"/>
        <v/>
      </c>
      <c r="O1025" s="9" t="str">
        <f>IF(N1025="","",IF(COUNTIF(Precios!$G:$G,N1025)=0,"⚠ No coincide con Precios","OK"))</f>
        <v/>
      </c>
    </row>
    <row r="1026" spans="3:15" x14ac:dyDescent="0.2">
      <c r="C1026" s="9" cm="1">
        <f t="array" ref="C1026">IFERROR(_xlfn.XLOOKUP(B1026,Personal!$A:$A,Personal!$D:$D,""),"")</f>
        <v>0</v>
      </c>
      <c r="D1026" s="9" cm="1">
        <f t="array" ref="D1026">IFERROR(_xlfn.XLOOKUP(B1026,Personal!$A:$A,Personal!$C:$C,""),"")</f>
        <v>0</v>
      </c>
      <c r="E1026" s="9" t="str" cm="1">
        <f t="array" ref="E1026">IFERROR(_xlfn.XLOOKUP(D1026,Locales!$A:$A,Locales!$B:$B,""),"")</f>
        <v/>
      </c>
      <c r="F1026" s="9" cm="1">
        <f t="array" ref="F1026">IFERROR(_xlfn.XLOOKUP(B1026,Personal!$A:$A,Personal!$F:$F,""),"")</f>
        <v>0</v>
      </c>
      <c r="I1026" s="10" cm="1">
        <f t="array" ref="I1026">IFERROR(INDEX(Precios!$D:$F,MATCH(N1026, Precios!$G:$G, 0),CHOOSE(MATCH(H1026, {"SML";"XL";"XXL"}, 0), 1, 2, 3)), 0)</f>
        <v>0</v>
      </c>
      <c r="K1026" s="10">
        <f t="shared" si="38"/>
        <v>0</v>
      </c>
      <c r="N1026" s="9" t="str">
        <f t="shared" si="39"/>
        <v/>
      </c>
      <c r="O1026" s="9" t="str">
        <f>IF(N1026="","",IF(COUNTIF(Precios!$G:$G,N1026)=0,"⚠ No coincide con Precios","OK"))</f>
        <v/>
      </c>
    </row>
    <row r="1027" spans="3:15" x14ac:dyDescent="0.2">
      <c r="C1027" s="9" cm="1">
        <f t="array" ref="C1027">IFERROR(_xlfn.XLOOKUP(B1027,Personal!$A:$A,Personal!$D:$D,""),"")</f>
        <v>0</v>
      </c>
      <c r="D1027" s="9" cm="1">
        <f t="array" ref="D1027">IFERROR(_xlfn.XLOOKUP(B1027,Personal!$A:$A,Personal!$C:$C,""),"")</f>
        <v>0</v>
      </c>
      <c r="E1027" s="9" t="str" cm="1">
        <f t="array" ref="E1027">IFERROR(_xlfn.XLOOKUP(D1027,Locales!$A:$A,Locales!$B:$B,""),"")</f>
        <v/>
      </c>
      <c r="F1027" s="9" cm="1">
        <f t="array" ref="F1027">IFERROR(_xlfn.XLOOKUP(B1027,Personal!$A:$A,Personal!$F:$F,""),"")</f>
        <v>0</v>
      </c>
      <c r="I1027" s="10" cm="1">
        <f t="array" ref="I1027">IFERROR(INDEX(Precios!$D:$F,MATCH(N1027, Precios!$G:$G, 0),CHOOSE(MATCH(H1027, {"SML";"XL";"XXL"}, 0), 1, 2, 3)), 0)</f>
        <v>0</v>
      </c>
      <c r="K1027" s="10">
        <f t="shared" si="38"/>
        <v>0</v>
      </c>
      <c r="N1027" s="9" t="str">
        <f t="shared" si="39"/>
        <v/>
      </c>
      <c r="O1027" s="9" t="str">
        <f>IF(N1027="","",IF(COUNTIF(Precios!$G:$G,N1027)=0,"⚠ No coincide con Precios","OK"))</f>
        <v/>
      </c>
    </row>
    <row r="1028" spans="3:15" x14ac:dyDescent="0.2">
      <c r="C1028" s="9" cm="1">
        <f t="array" ref="C1028">IFERROR(_xlfn.XLOOKUP(B1028,Personal!$A:$A,Personal!$D:$D,""),"")</f>
        <v>0</v>
      </c>
      <c r="D1028" s="9" cm="1">
        <f t="array" ref="D1028">IFERROR(_xlfn.XLOOKUP(B1028,Personal!$A:$A,Personal!$C:$C,""),"")</f>
        <v>0</v>
      </c>
      <c r="E1028" s="9" t="str" cm="1">
        <f t="array" ref="E1028">IFERROR(_xlfn.XLOOKUP(D1028,Locales!$A:$A,Locales!$B:$B,""),"")</f>
        <v/>
      </c>
      <c r="F1028" s="9" cm="1">
        <f t="array" ref="F1028">IFERROR(_xlfn.XLOOKUP(B1028,Personal!$A:$A,Personal!$F:$F,""),"")</f>
        <v>0</v>
      </c>
      <c r="I1028" s="10" cm="1">
        <f t="array" ref="I1028">IFERROR(INDEX(Precios!$D:$F,MATCH(N1028, Precios!$G:$G, 0),CHOOSE(MATCH(H1028, {"SML";"XL";"XXL"}, 0), 1, 2, 3)), 0)</f>
        <v>0</v>
      </c>
      <c r="K1028" s="10">
        <f t="shared" si="38"/>
        <v>0</v>
      </c>
      <c r="N1028" s="9" t="str">
        <f t="shared" si="39"/>
        <v/>
      </c>
      <c r="O1028" s="9" t="str">
        <f>IF(N1028="","",IF(COUNTIF(Precios!$G:$G,N1028)=0,"⚠ No coincide con Precios","OK"))</f>
        <v/>
      </c>
    </row>
    <row r="1029" spans="3:15" x14ac:dyDescent="0.2">
      <c r="C1029" s="9" cm="1">
        <f t="array" ref="C1029">IFERROR(_xlfn.XLOOKUP(B1029,Personal!$A:$A,Personal!$D:$D,""),"")</f>
        <v>0</v>
      </c>
      <c r="D1029" s="9" cm="1">
        <f t="array" ref="D1029">IFERROR(_xlfn.XLOOKUP(B1029,Personal!$A:$A,Personal!$C:$C,""),"")</f>
        <v>0</v>
      </c>
      <c r="E1029" s="9" t="str" cm="1">
        <f t="array" ref="E1029">IFERROR(_xlfn.XLOOKUP(D1029,Locales!$A:$A,Locales!$B:$B,""),"")</f>
        <v/>
      </c>
      <c r="F1029" s="9" cm="1">
        <f t="array" ref="F1029">IFERROR(_xlfn.XLOOKUP(B1029,Personal!$A:$A,Personal!$F:$F,""),"")</f>
        <v>0</v>
      </c>
      <c r="I1029" s="10" cm="1">
        <f t="array" ref="I1029">IFERROR(INDEX(Precios!$D:$F,MATCH(N1029, Precios!$G:$G, 0),CHOOSE(MATCH(H1029, {"SML";"XL";"XXL"}, 0), 1, 2, 3)), 0)</f>
        <v>0</v>
      </c>
      <c r="K1029" s="10">
        <f t="shared" si="38"/>
        <v>0</v>
      </c>
      <c r="N1029" s="9" t="str">
        <f t="shared" si="39"/>
        <v/>
      </c>
      <c r="O1029" s="9" t="str">
        <f>IF(N1029="","",IF(COUNTIF(Precios!$G:$G,N1029)=0,"⚠ No coincide con Precios","OK"))</f>
        <v/>
      </c>
    </row>
    <row r="1030" spans="3:15" x14ac:dyDescent="0.2">
      <c r="C1030" s="9" cm="1">
        <f t="array" ref="C1030">IFERROR(_xlfn.XLOOKUP(B1030,Personal!$A:$A,Personal!$D:$D,""),"")</f>
        <v>0</v>
      </c>
      <c r="D1030" s="9" cm="1">
        <f t="array" ref="D1030">IFERROR(_xlfn.XLOOKUP(B1030,Personal!$A:$A,Personal!$C:$C,""),"")</f>
        <v>0</v>
      </c>
      <c r="E1030" s="9" t="str" cm="1">
        <f t="array" ref="E1030">IFERROR(_xlfn.XLOOKUP(D1030,Locales!$A:$A,Locales!$B:$B,""),"")</f>
        <v/>
      </c>
      <c r="F1030" s="9" cm="1">
        <f t="array" ref="F1030">IFERROR(_xlfn.XLOOKUP(B1030,Personal!$A:$A,Personal!$F:$F,""),"")</f>
        <v>0</v>
      </c>
      <c r="I1030" s="10" cm="1">
        <f t="array" ref="I1030">IFERROR(INDEX(Precios!$D:$F,MATCH(N1030, Precios!$G:$G, 0),CHOOSE(MATCH(H1030, {"SML";"XL";"XXL"}, 0), 1, 2, 3)), 0)</f>
        <v>0</v>
      </c>
      <c r="K1030" s="10">
        <f t="shared" si="38"/>
        <v>0</v>
      </c>
      <c r="N1030" s="9" t="str">
        <f t="shared" si="39"/>
        <v/>
      </c>
      <c r="O1030" s="9" t="str">
        <f>IF(N1030="","",IF(COUNTIF(Precios!$G:$G,N1030)=0,"⚠ No coincide con Precios","OK"))</f>
        <v/>
      </c>
    </row>
    <row r="1031" spans="3:15" x14ac:dyDescent="0.2">
      <c r="C1031" s="9" cm="1">
        <f t="array" ref="C1031">IFERROR(_xlfn.XLOOKUP(B1031,Personal!$A:$A,Personal!$D:$D,""),"")</f>
        <v>0</v>
      </c>
      <c r="D1031" s="9" cm="1">
        <f t="array" ref="D1031">IFERROR(_xlfn.XLOOKUP(B1031,Personal!$A:$A,Personal!$C:$C,""),"")</f>
        <v>0</v>
      </c>
      <c r="E1031" s="9" t="str" cm="1">
        <f t="array" ref="E1031">IFERROR(_xlfn.XLOOKUP(D1031,Locales!$A:$A,Locales!$B:$B,""),"")</f>
        <v/>
      </c>
      <c r="F1031" s="9" cm="1">
        <f t="array" ref="F1031">IFERROR(_xlfn.XLOOKUP(B1031,Personal!$A:$A,Personal!$F:$F,""),"")</f>
        <v>0</v>
      </c>
      <c r="I1031" s="10" cm="1">
        <f t="array" ref="I1031">IFERROR(INDEX(Precios!$D:$F,MATCH(N1031, Precios!$G:$G, 0),CHOOSE(MATCH(H1031, {"SML";"XL";"XXL"}, 0), 1, 2, 3)), 0)</f>
        <v>0</v>
      </c>
      <c r="K1031" s="10">
        <f t="shared" si="38"/>
        <v>0</v>
      </c>
      <c r="N1031" s="9" t="str">
        <f t="shared" si="39"/>
        <v/>
      </c>
      <c r="O1031" s="9" t="str">
        <f>IF(N1031="","",IF(COUNTIF(Precios!$G:$G,N1031)=0,"⚠ No coincide con Precios","OK"))</f>
        <v/>
      </c>
    </row>
    <row r="1032" spans="3:15" x14ac:dyDescent="0.2">
      <c r="C1032" s="9" cm="1">
        <f t="array" ref="C1032">IFERROR(_xlfn.XLOOKUP(B1032,Personal!$A:$A,Personal!$D:$D,""),"")</f>
        <v>0</v>
      </c>
      <c r="D1032" s="9" cm="1">
        <f t="array" ref="D1032">IFERROR(_xlfn.XLOOKUP(B1032,Personal!$A:$A,Personal!$C:$C,""),"")</f>
        <v>0</v>
      </c>
      <c r="E1032" s="9" t="str" cm="1">
        <f t="array" ref="E1032">IFERROR(_xlfn.XLOOKUP(D1032,Locales!$A:$A,Locales!$B:$B,""),"")</f>
        <v/>
      </c>
      <c r="F1032" s="9" cm="1">
        <f t="array" ref="F1032">IFERROR(_xlfn.XLOOKUP(B1032,Personal!$A:$A,Personal!$F:$F,""),"")</f>
        <v>0</v>
      </c>
      <c r="I1032" s="10" cm="1">
        <f t="array" ref="I1032">IFERROR(INDEX(Precios!$D:$F,MATCH(N1032, Precios!$G:$G, 0),CHOOSE(MATCH(H1032, {"SML";"XL";"XXL"}, 0), 1, 2, 3)), 0)</f>
        <v>0</v>
      </c>
      <c r="K1032" s="10">
        <f t="shared" si="38"/>
        <v>0</v>
      </c>
      <c r="N1032" s="9" t="str">
        <f t="shared" si="39"/>
        <v/>
      </c>
      <c r="O1032" s="9" t="str">
        <f>IF(N1032="","",IF(COUNTIF(Precios!$G:$G,N1032)=0,"⚠ No coincide con Precios","OK"))</f>
        <v/>
      </c>
    </row>
    <row r="1033" spans="3:15" x14ac:dyDescent="0.2">
      <c r="C1033" s="9" cm="1">
        <f t="array" ref="C1033">IFERROR(_xlfn.XLOOKUP(B1033,Personal!$A:$A,Personal!$D:$D,""),"")</f>
        <v>0</v>
      </c>
      <c r="D1033" s="9" cm="1">
        <f t="array" ref="D1033">IFERROR(_xlfn.XLOOKUP(B1033,Personal!$A:$A,Personal!$C:$C,""),"")</f>
        <v>0</v>
      </c>
      <c r="E1033" s="9" t="str" cm="1">
        <f t="array" ref="E1033">IFERROR(_xlfn.XLOOKUP(D1033,Locales!$A:$A,Locales!$B:$B,""),"")</f>
        <v/>
      </c>
      <c r="F1033" s="9" cm="1">
        <f t="array" ref="F1033">IFERROR(_xlfn.XLOOKUP(B1033,Personal!$A:$A,Personal!$F:$F,""),"")</f>
        <v>0</v>
      </c>
      <c r="I1033" s="10" cm="1">
        <f t="array" ref="I1033">IFERROR(INDEX(Precios!$D:$F,MATCH(N1033, Precios!$G:$G, 0),CHOOSE(MATCH(H1033, {"SML";"XL";"XXL"}, 0), 1, 2, 3)), 0)</f>
        <v>0</v>
      </c>
      <c r="K1033" s="10">
        <f t="shared" si="38"/>
        <v>0</v>
      </c>
      <c r="N1033" s="9" t="str">
        <f t="shared" si="39"/>
        <v/>
      </c>
      <c r="O1033" s="9" t="str">
        <f>IF(N1033="","",IF(COUNTIF(Precios!$G:$G,N1033)=0,"⚠ No coincide con Precios","OK"))</f>
        <v/>
      </c>
    </row>
    <row r="1034" spans="3:15" x14ac:dyDescent="0.2">
      <c r="C1034" s="9" cm="1">
        <f t="array" ref="C1034">IFERROR(_xlfn.XLOOKUP(B1034,Personal!$A:$A,Personal!$D:$D,""),"")</f>
        <v>0</v>
      </c>
      <c r="D1034" s="9" cm="1">
        <f t="array" ref="D1034">IFERROR(_xlfn.XLOOKUP(B1034,Personal!$A:$A,Personal!$C:$C,""),"")</f>
        <v>0</v>
      </c>
      <c r="E1034" s="9" t="str" cm="1">
        <f t="array" ref="E1034">IFERROR(_xlfn.XLOOKUP(D1034,Locales!$A:$A,Locales!$B:$B,""),"")</f>
        <v/>
      </c>
      <c r="F1034" s="9" cm="1">
        <f t="array" ref="F1034">IFERROR(_xlfn.XLOOKUP(B1034,Personal!$A:$A,Personal!$F:$F,""),"")</f>
        <v>0</v>
      </c>
      <c r="I1034" s="10" cm="1">
        <f t="array" ref="I1034">IFERROR(INDEX(Precios!$D:$F,MATCH(N1034, Precios!$G:$G, 0),CHOOSE(MATCH(H1034, {"SML";"XL";"XXL"}, 0), 1, 2, 3)), 0)</f>
        <v>0</v>
      </c>
      <c r="K1034" s="10">
        <f t="shared" si="38"/>
        <v>0</v>
      </c>
      <c r="N1034" s="9" t="str">
        <f t="shared" si="39"/>
        <v/>
      </c>
      <c r="O1034" s="9" t="str">
        <f>IF(N1034="","",IF(COUNTIF(Precios!$G:$G,N1034)=0,"⚠ No coincide con Precios","OK"))</f>
        <v/>
      </c>
    </row>
    <row r="1035" spans="3:15" x14ac:dyDescent="0.2">
      <c r="C1035" s="9" cm="1">
        <f t="array" ref="C1035">IFERROR(_xlfn.XLOOKUP(B1035,Personal!$A:$A,Personal!$D:$D,""),"")</f>
        <v>0</v>
      </c>
      <c r="D1035" s="9" cm="1">
        <f t="array" ref="D1035">IFERROR(_xlfn.XLOOKUP(B1035,Personal!$A:$A,Personal!$C:$C,""),"")</f>
        <v>0</v>
      </c>
      <c r="E1035" s="9" t="str" cm="1">
        <f t="array" ref="E1035">IFERROR(_xlfn.XLOOKUP(D1035,Locales!$A:$A,Locales!$B:$B,""),"")</f>
        <v/>
      </c>
      <c r="F1035" s="9" cm="1">
        <f t="array" ref="F1035">IFERROR(_xlfn.XLOOKUP(B1035,Personal!$A:$A,Personal!$F:$F,""),"")</f>
        <v>0</v>
      </c>
      <c r="I1035" s="10" cm="1">
        <f t="array" ref="I1035">IFERROR(INDEX(Precios!$D:$F,MATCH(N1035, Precios!$G:$G, 0),CHOOSE(MATCH(H1035, {"SML";"XL";"XXL"}, 0), 1, 2, 3)), 0)</f>
        <v>0</v>
      </c>
      <c r="K1035" s="10">
        <f t="shared" si="38"/>
        <v>0</v>
      </c>
      <c r="N1035" s="9" t="str">
        <f t="shared" si="39"/>
        <v/>
      </c>
      <c r="O1035" s="9" t="str">
        <f>IF(N1035="","",IF(COUNTIF(Precios!$G:$G,N1035)=0,"⚠ No coincide con Precios","OK"))</f>
        <v/>
      </c>
    </row>
    <row r="1036" spans="3:15" x14ac:dyDescent="0.2">
      <c r="C1036" s="9" cm="1">
        <f t="array" ref="C1036">IFERROR(_xlfn.XLOOKUP(B1036,Personal!$A:$A,Personal!$D:$D,""),"")</f>
        <v>0</v>
      </c>
      <c r="D1036" s="9" cm="1">
        <f t="array" ref="D1036">IFERROR(_xlfn.XLOOKUP(B1036,Personal!$A:$A,Personal!$C:$C,""),"")</f>
        <v>0</v>
      </c>
      <c r="E1036" s="9" t="str" cm="1">
        <f t="array" ref="E1036">IFERROR(_xlfn.XLOOKUP(D1036,Locales!$A:$A,Locales!$B:$B,""),"")</f>
        <v/>
      </c>
      <c r="F1036" s="9" cm="1">
        <f t="array" ref="F1036">IFERROR(_xlfn.XLOOKUP(B1036,Personal!$A:$A,Personal!$F:$F,""),"")</f>
        <v>0</v>
      </c>
      <c r="I1036" s="10" cm="1">
        <f t="array" ref="I1036">IFERROR(INDEX(Precios!$D:$F,MATCH(N1036, Precios!$G:$G, 0),CHOOSE(MATCH(H1036, {"SML";"XL";"XXL"}, 0), 1, 2, 3)), 0)</f>
        <v>0</v>
      </c>
      <c r="K1036" s="10">
        <f t="shared" si="38"/>
        <v>0</v>
      </c>
      <c r="N1036" s="9" t="str">
        <f t="shared" si="39"/>
        <v/>
      </c>
      <c r="O1036" s="9" t="str">
        <f>IF(N1036="","",IF(COUNTIF(Precios!$G:$G,N1036)=0,"⚠ No coincide con Precios","OK"))</f>
        <v/>
      </c>
    </row>
    <row r="1037" spans="3:15" x14ac:dyDescent="0.2">
      <c r="C1037" s="9" cm="1">
        <f t="array" ref="C1037">IFERROR(_xlfn.XLOOKUP(B1037,Personal!$A:$A,Personal!$D:$D,""),"")</f>
        <v>0</v>
      </c>
      <c r="D1037" s="9" cm="1">
        <f t="array" ref="D1037">IFERROR(_xlfn.XLOOKUP(B1037,Personal!$A:$A,Personal!$C:$C,""),"")</f>
        <v>0</v>
      </c>
      <c r="E1037" s="9" t="str" cm="1">
        <f t="array" ref="E1037">IFERROR(_xlfn.XLOOKUP(D1037,Locales!$A:$A,Locales!$B:$B,""),"")</f>
        <v/>
      </c>
      <c r="F1037" s="9" cm="1">
        <f t="array" ref="F1037">IFERROR(_xlfn.XLOOKUP(B1037,Personal!$A:$A,Personal!$F:$F,""),"")</f>
        <v>0</v>
      </c>
      <c r="I1037" s="10" cm="1">
        <f t="array" ref="I1037">IFERROR(INDEX(Precios!$D:$F,MATCH(N1037, Precios!$G:$G, 0),CHOOSE(MATCH(H1037, {"SML";"XL";"XXL"}, 0), 1, 2, 3)), 0)</f>
        <v>0</v>
      </c>
      <c r="K1037" s="10">
        <f t="shared" si="38"/>
        <v>0</v>
      </c>
      <c r="N1037" s="9" t="str">
        <f t="shared" si="39"/>
        <v/>
      </c>
      <c r="O1037" s="9" t="str">
        <f>IF(N1037="","",IF(COUNTIF(Precios!$G:$G,N1037)=0,"⚠ No coincide con Precios","OK"))</f>
        <v/>
      </c>
    </row>
    <row r="1038" spans="3:15" x14ac:dyDescent="0.2">
      <c r="C1038" s="9" cm="1">
        <f t="array" ref="C1038">IFERROR(_xlfn.XLOOKUP(B1038,Personal!$A:$A,Personal!$D:$D,""),"")</f>
        <v>0</v>
      </c>
      <c r="D1038" s="9" cm="1">
        <f t="array" ref="D1038">IFERROR(_xlfn.XLOOKUP(B1038,Personal!$A:$A,Personal!$C:$C,""),"")</f>
        <v>0</v>
      </c>
      <c r="E1038" s="9" t="str" cm="1">
        <f t="array" ref="E1038">IFERROR(_xlfn.XLOOKUP(D1038,Locales!$A:$A,Locales!$B:$B,""),"")</f>
        <v/>
      </c>
      <c r="F1038" s="9" cm="1">
        <f t="array" ref="F1038">IFERROR(_xlfn.XLOOKUP(B1038,Personal!$A:$A,Personal!$F:$F,""),"")</f>
        <v>0</v>
      </c>
      <c r="I1038" s="10" cm="1">
        <f t="array" ref="I1038">IFERROR(INDEX(Precios!$D:$F,MATCH(N1038, Precios!$G:$G, 0),CHOOSE(MATCH(H1038, {"SML";"XL";"XXL"}, 0), 1, 2, 3)), 0)</f>
        <v>0</v>
      </c>
      <c r="K1038" s="10">
        <f t="shared" si="38"/>
        <v>0</v>
      </c>
      <c r="N1038" s="9" t="str">
        <f t="shared" si="39"/>
        <v/>
      </c>
      <c r="O1038" s="9" t="str">
        <f>IF(N1038="","",IF(COUNTIF(Precios!$G:$G,N1038)=0,"⚠ No coincide con Precios","OK"))</f>
        <v/>
      </c>
    </row>
    <row r="1039" spans="3:15" x14ac:dyDescent="0.2">
      <c r="C1039" s="9" cm="1">
        <f t="array" ref="C1039">IFERROR(_xlfn.XLOOKUP(B1039,Personal!$A:$A,Personal!$D:$D,""),"")</f>
        <v>0</v>
      </c>
      <c r="D1039" s="9" cm="1">
        <f t="array" ref="D1039">IFERROR(_xlfn.XLOOKUP(B1039,Personal!$A:$A,Personal!$C:$C,""),"")</f>
        <v>0</v>
      </c>
      <c r="E1039" s="9" t="str" cm="1">
        <f t="array" ref="E1039">IFERROR(_xlfn.XLOOKUP(D1039,Locales!$A:$A,Locales!$B:$B,""),"")</f>
        <v/>
      </c>
      <c r="F1039" s="9" cm="1">
        <f t="array" ref="F1039">IFERROR(_xlfn.XLOOKUP(B1039,Personal!$A:$A,Personal!$F:$F,""),"")</f>
        <v>0</v>
      </c>
      <c r="I1039" s="10" cm="1">
        <f t="array" ref="I1039">IFERROR(INDEX(Precios!$D:$F,MATCH(N1039, Precios!$G:$G, 0),CHOOSE(MATCH(H1039, {"SML";"XL";"XXL"}, 0), 1, 2, 3)), 0)</f>
        <v>0</v>
      </c>
      <c r="K1039" s="10">
        <f t="shared" si="38"/>
        <v>0</v>
      </c>
      <c r="N1039" s="9" t="str">
        <f t="shared" si="39"/>
        <v/>
      </c>
      <c r="O1039" s="9" t="str">
        <f>IF(N1039="","",IF(COUNTIF(Precios!$G:$G,N1039)=0,"⚠ No coincide con Precios","OK"))</f>
        <v/>
      </c>
    </row>
    <row r="1040" spans="3:15" x14ac:dyDescent="0.2">
      <c r="C1040" s="9" cm="1">
        <f t="array" ref="C1040">IFERROR(_xlfn.XLOOKUP(B1040,Personal!$A:$A,Personal!$D:$D,""),"")</f>
        <v>0</v>
      </c>
      <c r="D1040" s="9" cm="1">
        <f t="array" ref="D1040">IFERROR(_xlfn.XLOOKUP(B1040,Personal!$A:$A,Personal!$C:$C,""),"")</f>
        <v>0</v>
      </c>
      <c r="E1040" s="9" t="str" cm="1">
        <f t="array" ref="E1040">IFERROR(_xlfn.XLOOKUP(D1040,Locales!$A:$A,Locales!$B:$B,""),"")</f>
        <v/>
      </c>
      <c r="F1040" s="9" cm="1">
        <f t="array" ref="F1040">IFERROR(_xlfn.XLOOKUP(B1040,Personal!$A:$A,Personal!$F:$F,""),"")</f>
        <v>0</v>
      </c>
      <c r="I1040" s="10" cm="1">
        <f t="array" ref="I1040">IFERROR(INDEX(Precios!$D:$F,MATCH(N1040, Precios!$G:$G, 0),CHOOSE(MATCH(H1040, {"SML";"XL";"XXL"}, 0), 1, 2, 3)), 0)</f>
        <v>0</v>
      </c>
      <c r="K1040" s="10">
        <f t="shared" si="38"/>
        <v>0</v>
      </c>
      <c r="N1040" s="9" t="str">
        <f t="shared" si="39"/>
        <v/>
      </c>
      <c r="O1040" s="9" t="str">
        <f>IF(N1040="","",IF(COUNTIF(Precios!$G:$G,N1040)=0,"⚠ No coincide con Precios","OK"))</f>
        <v/>
      </c>
    </row>
    <row r="1041" spans="3:15" x14ac:dyDescent="0.2">
      <c r="C1041" s="9" cm="1">
        <f t="array" ref="C1041">IFERROR(_xlfn.XLOOKUP(B1041,Personal!$A:$A,Personal!$D:$D,""),"")</f>
        <v>0</v>
      </c>
      <c r="D1041" s="9" cm="1">
        <f t="array" ref="D1041">IFERROR(_xlfn.XLOOKUP(B1041,Personal!$A:$A,Personal!$C:$C,""),"")</f>
        <v>0</v>
      </c>
      <c r="E1041" s="9" t="str" cm="1">
        <f t="array" ref="E1041">IFERROR(_xlfn.XLOOKUP(D1041,Locales!$A:$A,Locales!$B:$B,""),"")</f>
        <v/>
      </c>
      <c r="F1041" s="9" cm="1">
        <f t="array" ref="F1041">IFERROR(_xlfn.XLOOKUP(B1041,Personal!$A:$A,Personal!$F:$F,""),"")</f>
        <v>0</v>
      </c>
      <c r="I1041" s="10" cm="1">
        <f t="array" ref="I1041">IFERROR(INDEX(Precios!$D:$F,MATCH(N1041, Precios!$G:$G, 0),CHOOSE(MATCH(H1041, {"SML";"XL";"XXL"}, 0), 1, 2, 3)), 0)</f>
        <v>0</v>
      </c>
      <c r="K1041" s="10">
        <f t="shared" si="38"/>
        <v>0</v>
      </c>
      <c r="N1041" s="9" t="str">
        <f t="shared" si="39"/>
        <v/>
      </c>
      <c r="O1041" s="9" t="str">
        <f>IF(N1041="","",IF(COUNTIF(Precios!$G:$G,N1041)=0,"⚠ No coincide con Precios","OK"))</f>
        <v/>
      </c>
    </row>
    <row r="1042" spans="3:15" x14ac:dyDescent="0.2">
      <c r="C1042" s="9" cm="1">
        <f t="array" ref="C1042">IFERROR(_xlfn.XLOOKUP(B1042,Personal!$A:$A,Personal!$D:$D,""),"")</f>
        <v>0</v>
      </c>
      <c r="D1042" s="9" cm="1">
        <f t="array" ref="D1042">IFERROR(_xlfn.XLOOKUP(B1042,Personal!$A:$A,Personal!$C:$C,""),"")</f>
        <v>0</v>
      </c>
      <c r="E1042" s="9" t="str" cm="1">
        <f t="array" ref="E1042">IFERROR(_xlfn.XLOOKUP(D1042,Locales!$A:$A,Locales!$B:$B,""),"")</f>
        <v/>
      </c>
      <c r="F1042" s="9" cm="1">
        <f t="array" ref="F1042">IFERROR(_xlfn.XLOOKUP(B1042,Personal!$A:$A,Personal!$F:$F,""),"")</f>
        <v>0</v>
      </c>
      <c r="I1042" s="10" cm="1">
        <f t="array" ref="I1042">IFERROR(INDEX(Precios!$D:$F,MATCH(N1042, Precios!$G:$G, 0),CHOOSE(MATCH(H1042, {"SML";"XL";"XXL"}, 0), 1, 2, 3)), 0)</f>
        <v>0</v>
      </c>
      <c r="K1042" s="10">
        <f t="shared" si="38"/>
        <v>0</v>
      </c>
      <c r="N1042" s="9" t="str">
        <f t="shared" si="39"/>
        <v/>
      </c>
      <c r="O1042" s="9" t="str">
        <f>IF(N1042="","",IF(COUNTIF(Precios!$G:$G,N1042)=0,"⚠ No coincide con Precios","OK"))</f>
        <v/>
      </c>
    </row>
    <row r="1043" spans="3:15" x14ac:dyDescent="0.2">
      <c r="C1043" s="9" cm="1">
        <f t="array" ref="C1043">IFERROR(_xlfn.XLOOKUP(B1043,Personal!$A:$A,Personal!$D:$D,""),"")</f>
        <v>0</v>
      </c>
      <c r="D1043" s="9" cm="1">
        <f t="array" ref="D1043">IFERROR(_xlfn.XLOOKUP(B1043,Personal!$A:$A,Personal!$C:$C,""),"")</f>
        <v>0</v>
      </c>
      <c r="E1043" s="9" t="str" cm="1">
        <f t="array" ref="E1043">IFERROR(_xlfn.XLOOKUP(D1043,Locales!$A:$A,Locales!$B:$B,""),"")</f>
        <v/>
      </c>
      <c r="F1043" s="9" cm="1">
        <f t="array" ref="F1043">IFERROR(_xlfn.XLOOKUP(B1043,Personal!$A:$A,Personal!$F:$F,""),"")</f>
        <v>0</v>
      </c>
      <c r="I1043" s="10" cm="1">
        <f t="array" ref="I1043">IFERROR(INDEX(Precios!$D:$F,MATCH(N1043, Precios!$G:$G, 0),CHOOSE(MATCH(H1043, {"SML";"XL";"XXL"}, 0), 1, 2, 3)), 0)</f>
        <v>0</v>
      </c>
      <c r="K1043" s="10">
        <f t="shared" si="38"/>
        <v>0</v>
      </c>
      <c r="N1043" s="9" t="str">
        <f t="shared" si="39"/>
        <v/>
      </c>
      <c r="O1043" s="9" t="str">
        <f>IF(N1043="","",IF(COUNTIF(Precios!$G:$G,N1043)=0,"⚠ No coincide con Precios","OK"))</f>
        <v/>
      </c>
    </row>
    <row r="1044" spans="3:15" x14ac:dyDescent="0.2">
      <c r="C1044" s="9" cm="1">
        <f t="array" ref="C1044">IFERROR(_xlfn.XLOOKUP(B1044,Personal!$A:$A,Personal!$D:$D,""),"")</f>
        <v>0</v>
      </c>
      <c r="D1044" s="9" cm="1">
        <f t="array" ref="D1044">IFERROR(_xlfn.XLOOKUP(B1044,Personal!$A:$A,Personal!$C:$C,""),"")</f>
        <v>0</v>
      </c>
      <c r="E1044" s="9" t="str" cm="1">
        <f t="array" ref="E1044">IFERROR(_xlfn.XLOOKUP(D1044,Locales!$A:$A,Locales!$B:$B,""),"")</f>
        <v/>
      </c>
      <c r="F1044" s="9" cm="1">
        <f t="array" ref="F1044">IFERROR(_xlfn.XLOOKUP(B1044,Personal!$A:$A,Personal!$F:$F,""),"")</f>
        <v>0</v>
      </c>
      <c r="I1044" s="10" cm="1">
        <f t="array" ref="I1044">IFERROR(INDEX(Precios!$D:$F,MATCH(N1044, Precios!$G:$G, 0),CHOOSE(MATCH(H1044, {"SML";"XL";"XXL"}, 0), 1, 2, 3)), 0)</f>
        <v>0</v>
      </c>
      <c r="K1044" s="10">
        <f t="shared" si="38"/>
        <v>0</v>
      </c>
      <c r="N1044" s="9" t="str">
        <f t="shared" si="39"/>
        <v/>
      </c>
      <c r="O1044" s="9" t="str">
        <f>IF(N1044="","",IF(COUNTIF(Precios!$G:$G,N1044)=0,"⚠ No coincide con Precios","OK"))</f>
        <v/>
      </c>
    </row>
    <row r="1045" spans="3:15" x14ac:dyDescent="0.2">
      <c r="C1045" s="9" cm="1">
        <f t="array" ref="C1045">IFERROR(_xlfn.XLOOKUP(B1045,Personal!$A:$A,Personal!$D:$D,""),"")</f>
        <v>0</v>
      </c>
      <c r="D1045" s="9" cm="1">
        <f t="array" ref="D1045">IFERROR(_xlfn.XLOOKUP(B1045,Personal!$A:$A,Personal!$C:$C,""),"")</f>
        <v>0</v>
      </c>
      <c r="E1045" s="9" t="str" cm="1">
        <f t="array" ref="E1045">IFERROR(_xlfn.XLOOKUP(D1045,Locales!$A:$A,Locales!$B:$B,""),"")</f>
        <v/>
      </c>
      <c r="F1045" s="9" cm="1">
        <f t="array" ref="F1045">IFERROR(_xlfn.XLOOKUP(B1045,Personal!$A:$A,Personal!$F:$F,""),"")</f>
        <v>0</v>
      </c>
      <c r="I1045" s="10" cm="1">
        <f t="array" ref="I1045">IFERROR(INDEX(Precios!$D:$F,MATCH(N1045, Precios!$G:$G, 0),CHOOSE(MATCH(H1045, {"SML";"XL";"XXL"}, 0), 1, 2, 3)), 0)</f>
        <v>0</v>
      </c>
      <c r="K1045" s="10">
        <f t="shared" si="38"/>
        <v>0</v>
      </c>
      <c r="N1045" s="9" t="str">
        <f t="shared" si="39"/>
        <v/>
      </c>
      <c r="O1045" s="9" t="str">
        <f>IF(N1045="","",IF(COUNTIF(Precios!$G:$G,N1045)=0,"⚠ No coincide con Precios","OK"))</f>
        <v/>
      </c>
    </row>
    <row r="1046" spans="3:15" x14ac:dyDescent="0.2">
      <c r="C1046" s="9" cm="1">
        <f t="array" ref="C1046">IFERROR(_xlfn.XLOOKUP(B1046,Personal!$A:$A,Personal!$D:$D,""),"")</f>
        <v>0</v>
      </c>
      <c r="D1046" s="9" cm="1">
        <f t="array" ref="D1046">IFERROR(_xlfn.XLOOKUP(B1046,Personal!$A:$A,Personal!$C:$C,""),"")</f>
        <v>0</v>
      </c>
      <c r="E1046" s="9" t="str" cm="1">
        <f t="array" ref="E1046">IFERROR(_xlfn.XLOOKUP(D1046,Locales!$A:$A,Locales!$B:$B,""),"")</f>
        <v/>
      </c>
      <c r="F1046" s="9" cm="1">
        <f t="array" ref="F1046">IFERROR(_xlfn.XLOOKUP(B1046,Personal!$A:$A,Personal!$F:$F,""),"")</f>
        <v>0</v>
      </c>
      <c r="I1046" s="10" cm="1">
        <f t="array" ref="I1046">IFERROR(INDEX(Precios!$D:$F,MATCH(N1046, Precios!$G:$G, 0),CHOOSE(MATCH(H1046, {"SML";"XL";"XXL"}, 0), 1, 2, 3)), 0)</f>
        <v>0</v>
      </c>
      <c r="K1046" s="10">
        <f t="shared" si="38"/>
        <v>0</v>
      </c>
      <c r="N1046" s="9" t="str">
        <f t="shared" si="39"/>
        <v/>
      </c>
      <c r="O1046" s="9" t="str">
        <f>IF(N1046="","",IF(COUNTIF(Precios!$G:$G,N1046)=0,"⚠ No coincide con Precios","OK"))</f>
        <v/>
      </c>
    </row>
    <row r="1047" spans="3:15" x14ac:dyDescent="0.2">
      <c r="C1047" s="9" cm="1">
        <f t="array" ref="C1047">IFERROR(_xlfn.XLOOKUP(B1047,Personal!$A:$A,Personal!$D:$D,""),"")</f>
        <v>0</v>
      </c>
      <c r="D1047" s="9" cm="1">
        <f t="array" ref="D1047">IFERROR(_xlfn.XLOOKUP(B1047,Personal!$A:$A,Personal!$C:$C,""),"")</f>
        <v>0</v>
      </c>
      <c r="E1047" s="9" t="str" cm="1">
        <f t="array" ref="E1047">IFERROR(_xlfn.XLOOKUP(D1047,Locales!$A:$A,Locales!$B:$B,""),"")</f>
        <v/>
      </c>
      <c r="F1047" s="9" cm="1">
        <f t="array" ref="F1047">IFERROR(_xlfn.XLOOKUP(B1047,Personal!$A:$A,Personal!$F:$F,""),"")</f>
        <v>0</v>
      </c>
      <c r="I1047" s="10" cm="1">
        <f t="array" ref="I1047">IFERROR(INDEX(Precios!$D:$F,MATCH(N1047, Precios!$G:$G, 0),CHOOSE(MATCH(H1047, {"SML";"XL";"XXL"}, 0), 1, 2, 3)), 0)</f>
        <v>0</v>
      </c>
      <c r="K1047" s="10">
        <f t="shared" si="38"/>
        <v>0</v>
      </c>
      <c r="N1047" s="9" t="str">
        <f t="shared" si="39"/>
        <v/>
      </c>
      <c r="O1047" s="9" t="str">
        <f>IF(N1047="","",IF(COUNTIF(Precios!$G:$G,N1047)=0,"⚠ No coincide con Precios","OK"))</f>
        <v/>
      </c>
    </row>
    <row r="1048" spans="3:15" x14ac:dyDescent="0.2">
      <c r="C1048" s="9" cm="1">
        <f t="array" ref="C1048">IFERROR(_xlfn.XLOOKUP(B1048,Personal!$A:$A,Personal!$D:$D,""),"")</f>
        <v>0</v>
      </c>
      <c r="D1048" s="9" cm="1">
        <f t="array" ref="D1048">IFERROR(_xlfn.XLOOKUP(B1048,Personal!$A:$A,Personal!$C:$C,""),"")</f>
        <v>0</v>
      </c>
      <c r="E1048" s="9" t="str" cm="1">
        <f t="array" ref="E1048">IFERROR(_xlfn.XLOOKUP(D1048,Locales!$A:$A,Locales!$B:$B,""),"")</f>
        <v/>
      </c>
      <c r="F1048" s="9" cm="1">
        <f t="array" ref="F1048">IFERROR(_xlfn.XLOOKUP(B1048,Personal!$A:$A,Personal!$F:$F,""),"")</f>
        <v>0</v>
      </c>
      <c r="I1048" s="10" cm="1">
        <f t="array" ref="I1048">IFERROR(INDEX(Precios!$D:$F,MATCH(N1048, Precios!$G:$G, 0),CHOOSE(MATCH(H1048, {"SML";"XL";"XXL"}, 0), 1, 2, 3)), 0)</f>
        <v>0</v>
      </c>
      <c r="K1048" s="10">
        <f t="shared" si="38"/>
        <v>0</v>
      </c>
      <c r="N1048" s="9" t="str">
        <f t="shared" si="39"/>
        <v/>
      </c>
      <c r="O1048" s="9" t="str">
        <f>IF(N1048="","",IF(COUNTIF(Precios!$G:$G,N1048)=0,"⚠ No coincide con Precios","OK"))</f>
        <v/>
      </c>
    </row>
    <row r="1049" spans="3:15" x14ac:dyDescent="0.2">
      <c r="C1049" s="9" cm="1">
        <f t="array" ref="C1049">IFERROR(_xlfn.XLOOKUP(B1049,Personal!$A:$A,Personal!$D:$D,""),"")</f>
        <v>0</v>
      </c>
      <c r="D1049" s="9" cm="1">
        <f t="array" ref="D1049">IFERROR(_xlfn.XLOOKUP(B1049,Personal!$A:$A,Personal!$C:$C,""),"")</f>
        <v>0</v>
      </c>
      <c r="E1049" s="9" t="str" cm="1">
        <f t="array" ref="E1049">IFERROR(_xlfn.XLOOKUP(D1049,Locales!$A:$A,Locales!$B:$B,""),"")</f>
        <v/>
      </c>
      <c r="F1049" s="9" cm="1">
        <f t="array" ref="F1049">IFERROR(_xlfn.XLOOKUP(B1049,Personal!$A:$A,Personal!$F:$F,""),"")</f>
        <v>0</v>
      </c>
      <c r="I1049" s="10" cm="1">
        <f t="array" ref="I1049">IFERROR(INDEX(Precios!$D:$F,MATCH(N1049, Precios!$G:$G, 0),CHOOSE(MATCH(H1049, {"SML";"XL";"XXL"}, 0), 1, 2, 3)), 0)</f>
        <v>0</v>
      </c>
      <c r="K1049" s="10">
        <f t="shared" si="38"/>
        <v>0</v>
      </c>
      <c r="N1049" s="9" t="str">
        <f t="shared" si="39"/>
        <v/>
      </c>
      <c r="O1049" s="9" t="str">
        <f>IF(N1049="","",IF(COUNTIF(Precios!$G:$G,N1049)=0,"⚠ No coincide con Precios","OK"))</f>
        <v/>
      </c>
    </row>
    <row r="1050" spans="3:15" x14ac:dyDescent="0.2">
      <c r="C1050" s="9" cm="1">
        <f t="array" ref="C1050">IFERROR(_xlfn.XLOOKUP(B1050,Personal!$A:$A,Personal!$D:$D,""),"")</f>
        <v>0</v>
      </c>
      <c r="D1050" s="9" cm="1">
        <f t="array" ref="D1050">IFERROR(_xlfn.XLOOKUP(B1050,Personal!$A:$A,Personal!$C:$C,""),"")</f>
        <v>0</v>
      </c>
      <c r="E1050" s="9" t="str" cm="1">
        <f t="array" ref="E1050">IFERROR(_xlfn.XLOOKUP(D1050,Locales!$A:$A,Locales!$B:$B,""),"")</f>
        <v/>
      </c>
      <c r="F1050" s="9" cm="1">
        <f t="array" ref="F1050">IFERROR(_xlfn.XLOOKUP(B1050,Personal!$A:$A,Personal!$F:$F,""),"")</f>
        <v>0</v>
      </c>
      <c r="I1050" s="10" cm="1">
        <f t="array" ref="I1050">IFERROR(INDEX(Precios!$D:$F,MATCH(N1050, Precios!$G:$G, 0),CHOOSE(MATCH(H1050, {"SML";"XL";"XXL"}, 0), 1, 2, 3)), 0)</f>
        <v>0</v>
      </c>
      <c r="K1050" s="10">
        <f t="shared" si="38"/>
        <v>0</v>
      </c>
      <c r="N1050" s="9" t="str">
        <f t="shared" si="39"/>
        <v/>
      </c>
      <c r="O1050" s="9" t="str">
        <f>IF(N1050="","",IF(COUNTIF(Precios!$G:$G,N1050)=0,"⚠ No coincide con Precios","OK"))</f>
        <v/>
      </c>
    </row>
    <row r="1051" spans="3:15" x14ac:dyDescent="0.2">
      <c r="C1051" s="9" cm="1">
        <f t="array" ref="C1051">IFERROR(_xlfn.XLOOKUP(B1051,Personal!$A:$A,Personal!$D:$D,""),"")</f>
        <v>0</v>
      </c>
      <c r="D1051" s="9" cm="1">
        <f t="array" ref="D1051">IFERROR(_xlfn.XLOOKUP(B1051,Personal!$A:$A,Personal!$C:$C,""),"")</f>
        <v>0</v>
      </c>
      <c r="E1051" s="9" t="str" cm="1">
        <f t="array" ref="E1051">IFERROR(_xlfn.XLOOKUP(D1051,Locales!$A:$A,Locales!$B:$B,""),"")</f>
        <v/>
      </c>
      <c r="F1051" s="9" cm="1">
        <f t="array" ref="F1051">IFERROR(_xlfn.XLOOKUP(B1051,Personal!$A:$A,Personal!$F:$F,""),"")</f>
        <v>0</v>
      </c>
      <c r="I1051" s="10" cm="1">
        <f t="array" ref="I1051">IFERROR(INDEX(Precios!$D:$F,MATCH(N1051, Precios!$G:$G, 0),CHOOSE(MATCH(H1051, {"SML";"XL";"XXL"}, 0), 1, 2, 3)), 0)</f>
        <v>0</v>
      </c>
      <c r="K1051" s="10">
        <f t="shared" si="38"/>
        <v>0</v>
      </c>
      <c r="N1051" s="9" t="str">
        <f t="shared" si="39"/>
        <v/>
      </c>
      <c r="O1051" s="9" t="str">
        <f>IF(N1051="","",IF(COUNTIF(Precios!$G:$G,N1051)=0,"⚠ No coincide con Precios","OK"))</f>
        <v/>
      </c>
    </row>
    <row r="1052" spans="3:15" x14ac:dyDescent="0.2">
      <c r="C1052" s="9" cm="1">
        <f t="array" ref="C1052">IFERROR(_xlfn.XLOOKUP(B1052,Personal!$A:$A,Personal!$D:$D,""),"")</f>
        <v>0</v>
      </c>
      <c r="D1052" s="9" cm="1">
        <f t="array" ref="D1052">IFERROR(_xlfn.XLOOKUP(B1052,Personal!$A:$A,Personal!$C:$C,""),"")</f>
        <v>0</v>
      </c>
      <c r="E1052" s="9" t="str" cm="1">
        <f t="array" ref="E1052">IFERROR(_xlfn.XLOOKUP(D1052,Locales!$A:$A,Locales!$B:$B,""),"")</f>
        <v/>
      </c>
      <c r="F1052" s="9" cm="1">
        <f t="array" ref="F1052">IFERROR(_xlfn.XLOOKUP(B1052,Personal!$A:$A,Personal!$F:$F,""),"")</f>
        <v>0</v>
      </c>
      <c r="I1052" s="10" cm="1">
        <f t="array" ref="I1052">IFERROR(INDEX(Precios!$D:$F,MATCH(N1052, Precios!$G:$G, 0),CHOOSE(MATCH(H1052, {"SML";"XL";"XXL"}, 0), 1, 2, 3)), 0)</f>
        <v>0</v>
      </c>
      <c r="K1052" s="10">
        <f t="shared" si="38"/>
        <v>0</v>
      </c>
      <c r="N1052" s="9" t="str">
        <f t="shared" si="39"/>
        <v/>
      </c>
      <c r="O1052" s="9" t="str">
        <f>IF(N1052="","",IF(COUNTIF(Precios!$G:$G,N1052)=0,"⚠ No coincide con Precios","OK"))</f>
        <v/>
      </c>
    </row>
    <row r="1053" spans="3:15" x14ac:dyDescent="0.2">
      <c r="C1053" s="9" cm="1">
        <f t="array" ref="C1053">IFERROR(_xlfn.XLOOKUP(B1053,Personal!$A:$A,Personal!$D:$D,""),"")</f>
        <v>0</v>
      </c>
      <c r="D1053" s="9" cm="1">
        <f t="array" ref="D1053">IFERROR(_xlfn.XLOOKUP(B1053,Personal!$A:$A,Personal!$C:$C,""),"")</f>
        <v>0</v>
      </c>
      <c r="E1053" s="9" t="str" cm="1">
        <f t="array" ref="E1053">IFERROR(_xlfn.XLOOKUP(D1053,Locales!$A:$A,Locales!$B:$B,""),"")</f>
        <v/>
      </c>
      <c r="F1053" s="9" cm="1">
        <f t="array" ref="F1053">IFERROR(_xlfn.XLOOKUP(B1053,Personal!$A:$A,Personal!$F:$F,""),"")</f>
        <v>0</v>
      </c>
      <c r="I1053" s="10" cm="1">
        <f t="array" ref="I1053">IFERROR(INDEX(Precios!$D:$F,MATCH(N1053, Precios!$G:$G, 0),CHOOSE(MATCH(H1053, {"SML";"XL";"XXL"}, 0), 1, 2, 3)), 0)</f>
        <v>0</v>
      </c>
      <c r="K1053" s="10">
        <f t="shared" si="38"/>
        <v>0</v>
      </c>
      <c r="N1053" s="9" t="str">
        <f t="shared" si="39"/>
        <v/>
      </c>
      <c r="O1053" s="9" t="str">
        <f>IF(N1053="","",IF(COUNTIF(Precios!$G:$G,N1053)=0,"⚠ No coincide con Precios","OK"))</f>
        <v/>
      </c>
    </row>
    <row r="1054" spans="3:15" x14ac:dyDescent="0.2">
      <c r="C1054" s="9" cm="1">
        <f t="array" ref="C1054">IFERROR(_xlfn.XLOOKUP(B1054,Personal!$A:$A,Personal!$D:$D,""),"")</f>
        <v>0</v>
      </c>
      <c r="D1054" s="9" cm="1">
        <f t="array" ref="D1054">IFERROR(_xlfn.XLOOKUP(B1054,Personal!$A:$A,Personal!$C:$C,""),"")</f>
        <v>0</v>
      </c>
      <c r="E1054" s="9" t="str" cm="1">
        <f t="array" ref="E1054">IFERROR(_xlfn.XLOOKUP(D1054,Locales!$A:$A,Locales!$B:$B,""),"")</f>
        <v/>
      </c>
      <c r="F1054" s="9" cm="1">
        <f t="array" ref="F1054">IFERROR(_xlfn.XLOOKUP(B1054,Personal!$A:$A,Personal!$F:$F,""),"")</f>
        <v>0</v>
      </c>
      <c r="I1054" s="10" cm="1">
        <f t="array" ref="I1054">IFERROR(INDEX(Precios!$D:$F,MATCH(N1054, Precios!$G:$G, 0),CHOOSE(MATCH(H1054, {"SML";"XL";"XXL"}, 0), 1, 2, 3)), 0)</f>
        <v>0</v>
      </c>
      <c r="K1054" s="10">
        <f t="shared" si="38"/>
        <v>0</v>
      </c>
      <c r="N1054" s="9" t="str">
        <f t="shared" si="39"/>
        <v/>
      </c>
      <c r="O1054" s="9" t="str">
        <f>IF(N1054="","",IF(COUNTIF(Precios!$G:$G,N1054)=0,"⚠ No coincide con Precios","OK"))</f>
        <v/>
      </c>
    </row>
    <row r="1055" spans="3:15" x14ac:dyDescent="0.2">
      <c r="C1055" s="9" cm="1">
        <f t="array" ref="C1055">IFERROR(_xlfn.XLOOKUP(B1055,Personal!$A:$A,Personal!$D:$D,""),"")</f>
        <v>0</v>
      </c>
      <c r="D1055" s="9" cm="1">
        <f t="array" ref="D1055">IFERROR(_xlfn.XLOOKUP(B1055,Personal!$A:$A,Personal!$C:$C,""),"")</f>
        <v>0</v>
      </c>
      <c r="E1055" s="9" t="str" cm="1">
        <f t="array" ref="E1055">IFERROR(_xlfn.XLOOKUP(D1055,Locales!$A:$A,Locales!$B:$B,""),"")</f>
        <v/>
      </c>
      <c r="F1055" s="9" cm="1">
        <f t="array" ref="F1055">IFERROR(_xlfn.XLOOKUP(B1055,Personal!$A:$A,Personal!$F:$F,""),"")</f>
        <v>0</v>
      </c>
      <c r="I1055" s="10" cm="1">
        <f t="array" ref="I1055">IFERROR(INDEX(Precios!$D:$F,MATCH(N1055, Precios!$G:$G, 0),CHOOSE(MATCH(H1055, {"SML";"XL";"XXL"}, 0), 1, 2, 3)), 0)</f>
        <v>0</v>
      </c>
      <c r="K1055" s="10">
        <f t="shared" si="38"/>
        <v>0</v>
      </c>
      <c r="N1055" s="9" t="str">
        <f t="shared" si="39"/>
        <v/>
      </c>
      <c r="O1055" s="9" t="str">
        <f>IF(N1055="","",IF(COUNTIF(Precios!$G:$G,N1055)=0,"⚠ No coincide con Precios","OK"))</f>
        <v/>
      </c>
    </row>
    <row r="1056" spans="3:15" x14ac:dyDescent="0.2">
      <c r="C1056" s="9" cm="1">
        <f t="array" ref="C1056">IFERROR(_xlfn.XLOOKUP(B1056,Personal!$A:$A,Personal!$D:$D,""),"")</f>
        <v>0</v>
      </c>
      <c r="D1056" s="9" cm="1">
        <f t="array" ref="D1056">IFERROR(_xlfn.XLOOKUP(B1056,Personal!$A:$A,Personal!$C:$C,""),"")</f>
        <v>0</v>
      </c>
      <c r="E1056" s="9" t="str" cm="1">
        <f t="array" ref="E1056">IFERROR(_xlfn.XLOOKUP(D1056,Locales!$A:$A,Locales!$B:$B,""),"")</f>
        <v/>
      </c>
      <c r="F1056" s="9" cm="1">
        <f t="array" ref="F1056">IFERROR(_xlfn.XLOOKUP(B1056,Personal!$A:$A,Personal!$F:$F,""),"")</f>
        <v>0</v>
      </c>
      <c r="I1056" s="10" cm="1">
        <f t="array" ref="I1056">IFERROR(INDEX(Precios!$D:$F,MATCH(N1056, Precios!$G:$G, 0),CHOOSE(MATCH(H1056, {"SML";"XL";"XXL"}, 0), 1, 2, 3)), 0)</f>
        <v>0</v>
      </c>
      <c r="K1056" s="10">
        <f t="shared" si="38"/>
        <v>0</v>
      </c>
      <c r="N1056" s="9" t="str">
        <f t="shared" si="39"/>
        <v/>
      </c>
      <c r="O1056" s="9" t="str">
        <f>IF(N1056="","",IF(COUNTIF(Precios!$G:$G,N1056)=0,"⚠ No coincide con Precios","OK"))</f>
        <v/>
      </c>
    </row>
    <row r="1057" spans="3:15" x14ac:dyDescent="0.2">
      <c r="C1057" s="9" cm="1">
        <f t="array" ref="C1057">IFERROR(_xlfn.XLOOKUP(B1057,Personal!$A:$A,Personal!$D:$D,""),"")</f>
        <v>0</v>
      </c>
      <c r="D1057" s="9" cm="1">
        <f t="array" ref="D1057">IFERROR(_xlfn.XLOOKUP(B1057,Personal!$A:$A,Personal!$C:$C,""),"")</f>
        <v>0</v>
      </c>
      <c r="E1057" s="9" t="str" cm="1">
        <f t="array" ref="E1057">IFERROR(_xlfn.XLOOKUP(D1057,Locales!$A:$A,Locales!$B:$B,""),"")</f>
        <v/>
      </c>
      <c r="F1057" s="9" cm="1">
        <f t="array" ref="F1057">IFERROR(_xlfn.XLOOKUP(B1057,Personal!$A:$A,Personal!$F:$F,""),"")</f>
        <v>0</v>
      </c>
      <c r="I1057" s="10" cm="1">
        <f t="array" ref="I1057">IFERROR(INDEX(Precios!$D:$F,MATCH(N1057, Precios!$G:$G, 0),CHOOSE(MATCH(H1057, {"SML";"XL";"XXL"}, 0), 1, 2, 3)), 0)</f>
        <v>0</v>
      </c>
      <c r="K1057" s="10">
        <f t="shared" si="38"/>
        <v>0</v>
      </c>
      <c r="N1057" s="9" t="str">
        <f t="shared" si="39"/>
        <v/>
      </c>
      <c r="O1057" s="9" t="str">
        <f>IF(N1057="","",IF(COUNTIF(Precios!$G:$G,N1057)=0,"⚠ No coincide con Precios","OK"))</f>
        <v/>
      </c>
    </row>
    <row r="1058" spans="3:15" x14ac:dyDescent="0.2">
      <c r="C1058" s="9" cm="1">
        <f t="array" ref="C1058">IFERROR(_xlfn.XLOOKUP(B1058,Personal!$A:$A,Personal!$D:$D,""),"")</f>
        <v>0</v>
      </c>
      <c r="D1058" s="9" cm="1">
        <f t="array" ref="D1058">IFERROR(_xlfn.XLOOKUP(B1058,Personal!$A:$A,Personal!$C:$C,""),"")</f>
        <v>0</v>
      </c>
      <c r="E1058" s="9" t="str" cm="1">
        <f t="array" ref="E1058">IFERROR(_xlfn.XLOOKUP(D1058,Locales!$A:$A,Locales!$B:$B,""),"")</f>
        <v/>
      </c>
      <c r="F1058" s="9" cm="1">
        <f t="array" ref="F1058">IFERROR(_xlfn.XLOOKUP(B1058,Personal!$A:$A,Personal!$F:$F,""),"")</f>
        <v>0</v>
      </c>
      <c r="I1058" s="10" cm="1">
        <f t="array" ref="I1058">IFERROR(INDEX(Precios!$D:$F,MATCH(N1058, Precios!$G:$G, 0),CHOOSE(MATCH(H1058, {"SML";"XL";"XXL"}, 0), 1, 2, 3)), 0)</f>
        <v>0</v>
      </c>
      <c r="K1058" s="10">
        <f t="shared" si="38"/>
        <v>0</v>
      </c>
      <c r="N1058" s="9" t="str">
        <f t="shared" si="39"/>
        <v/>
      </c>
      <c r="O1058" s="9" t="str">
        <f>IF(N1058="","",IF(COUNTIF(Precios!$G:$G,N1058)=0,"⚠ No coincide con Precios","OK"))</f>
        <v/>
      </c>
    </row>
    <row r="1059" spans="3:15" x14ac:dyDescent="0.2">
      <c r="C1059" s="9" cm="1">
        <f t="array" ref="C1059">IFERROR(_xlfn.XLOOKUP(B1059,Personal!$A:$A,Personal!$D:$D,""),"")</f>
        <v>0</v>
      </c>
      <c r="D1059" s="9" cm="1">
        <f t="array" ref="D1059">IFERROR(_xlfn.XLOOKUP(B1059,Personal!$A:$A,Personal!$C:$C,""),"")</f>
        <v>0</v>
      </c>
      <c r="E1059" s="9" t="str" cm="1">
        <f t="array" ref="E1059">IFERROR(_xlfn.XLOOKUP(D1059,Locales!$A:$A,Locales!$B:$B,""),"")</f>
        <v/>
      </c>
      <c r="F1059" s="9" cm="1">
        <f t="array" ref="F1059">IFERROR(_xlfn.XLOOKUP(B1059,Personal!$A:$A,Personal!$F:$F,""),"")</f>
        <v>0</v>
      </c>
      <c r="I1059" s="10" cm="1">
        <f t="array" ref="I1059">IFERROR(INDEX(Precios!$D:$F,MATCH(N1059, Precios!$G:$G, 0),CHOOSE(MATCH(H1059, {"SML";"XL";"XXL"}, 0), 1, 2, 3)), 0)</f>
        <v>0</v>
      </c>
      <c r="K1059" s="10">
        <f t="shared" si="38"/>
        <v>0</v>
      </c>
      <c r="N1059" s="9" t="str">
        <f t="shared" si="39"/>
        <v/>
      </c>
      <c r="O1059" s="9" t="str">
        <f>IF(N1059="","",IF(COUNTIF(Precios!$G:$G,N1059)=0,"⚠ No coincide con Precios","OK"))</f>
        <v/>
      </c>
    </row>
    <row r="1060" spans="3:15" x14ac:dyDescent="0.2">
      <c r="C1060" s="9" cm="1">
        <f t="array" ref="C1060">IFERROR(_xlfn.XLOOKUP(B1060,Personal!$A:$A,Personal!$D:$D,""),"")</f>
        <v>0</v>
      </c>
      <c r="D1060" s="9" cm="1">
        <f t="array" ref="D1060">IFERROR(_xlfn.XLOOKUP(B1060,Personal!$A:$A,Personal!$C:$C,""),"")</f>
        <v>0</v>
      </c>
      <c r="E1060" s="9" t="str" cm="1">
        <f t="array" ref="E1060">IFERROR(_xlfn.XLOOKUP(D1060,Locales!$A:$A,Locales!$B:$B,""),"")</f>
        <v/>
      </c>
      <c r="F1060" s="9" cm="1">
        <f t="array" ref="F1060">IFERROR(_xlfn.XLOOKUP(B1060,Personal!$A:$A,Personal!$F:$F,""),"")</f>
        <v>0</v>
      </c>
      <c r="I1060" s="10" cm="1">
        <f t="array" ref="I1060">IFERROR(INDEX(Precios!$D:$F,MATCH(N1060, Precios!$G:$G, 0),CHOOSE(MATCH(H1060, {"SML";"XL";"XXL"}, 0), 1, 2, 3)), 0)</f>
        <v>0</v>
      </c>
      <c r="K1060" s="10">
        <f t="shared" si="38"/>
        <v>0</v>
      </c>
      <c r="N1060" s="9" t="str">
        <f t="shared" si="39"/>
        <v/>
      </c>
      <c r="O1060" s="9" t="str">
        <f>IF(N1060="","",IF(COUNTIF(Precios!$G:$G,N1060)=0,"⚠ No coincide con Precios","OK"))</f>
        <v/>
      </c>
    </row>
    <row r="1061" spans="3:15" x14ac:dyDescent="0.2">
      <c r="C1061" s="9" cm="1">
        <f t="array" ref="C1061">IFERROR(_xlfn.XLOOKUP(B1061,Personal!$A:$A,Personal!$D:$D,""),"")</f>
        <v>0</v>
      </c>
      <c r="D1061" s="9" cm="1">
        <f t="array" ref="D1061">IFERROR(_xlfn.XLOOKUP(B1061,Personal!$A:$A,Personal!$C:$C,""),"")</f>
        <v>0</v>
      </c>
      <c r="E1061" s="9" t="str" cm="1">
        <f t="array" ref="E1061">IFERROR(_xlfn.XLOOKUP(D1061,Locales!$A:$A,Locales!$B:$B,""),"")</f>
        <v/>
      </c>
      <c r="F1061" s="9" cm="1">
        <f t="array" ref="F1061">IFERROR(_xlfn.XLOOKUP(B1061,Personal!$A:$A,Personal!$F:$F,""),"")</f>
        <v>0</v>
      </c>
      <c r="I1061" s="10" cm="1">
        <f t="array" ref="I1061">IFERROR(INDEX(Precios!$D:$F,MATCH(N1061, Precios!$G:$G, 0),CHOOSE(MATCH(H1061, {"SML";"XL";"XXL"}, 0), 1, 2, 3)), 0)</f>
        <v>0</v>
      </c>
      <c r="K1061" s="10">
        <f t="shared" si="38"/>
        <v>0</v>
      </c>
      <c r="N1061" s="9" t="str">
        <f t="shared" si="39"/>
        <v/>
      </c>
      <c r="O1061" s="9" t="str">
        <f>IF(N1061="","",IF(COUNTIF(Precios!$G:$G,N1061)=0,"⚠ No coincide con Precios","OK"))</f>
        <v/>
      </c>
    </row>
    <row r="1062" spans="3:15" x14ac:dyDescent="0.2">
      <c r="C1062" s="9" cm="1">
        <f t="array" ref="C1062">IFERROR(_xlfn.XLOOKUP(B1062,Personal!$A:$A,Personal!$D:$D,""),"")</f>
        <v>0</v>
      </c>
      <c r="D1062" s="9" cm="1">
        <f t="array" ref="D1062">IFERROR(_xlfn.XLOOKUP(B1062,Personal!$A:$A,Personal!$C:$C,""),"")</f>
        <v>0</v>
      </c>
      <c r="E1062" s="9" t="str" cm="1">
        <f t="array" ref="E1062">IFERROR(_xlfn.XLOOKUP(D1062,Locales!$A:$A,Locales!$B:$B,""),"")</f>
        <v/>
      </c>
      <c r="F1062" s="9" cm="1">
        <f t="array" ref="F1062">IFERROR(_xlfn.XLOOKUP(B1062,Personal!$A:$A,Personal!$F:$F,""),"")</f>
        <v>0</v>
      </c>
      <c r="I1062" s="10" cm="1">
        <f t="array" ref="I1062">IFERROR(INDEX(Precios!$D:$F,MATCH(N1062, Precios!$G:$G, 0),CHOOSE(MATCH(H1062, {"SML";"XL";"XXL"}, 0), 1, 2, 3)), 0)</f>
        <v>0</v>
      </c>
      <c r="K1062" s="10">
        <f t="shared" si="38"/>
        <v>0</v>
      </c>
      <c r="N1062" s="9" t="str">
        <f t="shared" si="39"/>
        <v/>
      </c>
      <c r="O1062" s="9" t="str">
        <f>IF(N1062="","",IF(COUNTIF(Precios!$G:$G,N1062)=0,"⚠ No coincide con Precios","OK"))</f>
        <v/>
      </c>
    </row>
    <row r="1063" spans="3:15" x14ac:dyDescent="0.2">
      <c r="C1063" s="9" cm="1">
        <f t="array" ref="C1063">IFERROR(_xlfn.XLOOKUP(B1063,Personal!$A:$A,Personal!$D:$D,""),"")</f>
        <v>0</v>
      </c>
      <c r="D1063" s="9" cm="1">
        <f t="array" ref="D1063">IFERROR(_xlfn.XLOOKUP(B1063,Personal!$A:$A,Personal!$C:$C,""),"")</f>
        <v>0</v>
      </c>
      <c r="E1063" s="9" t="str" cm="1">
        <f t="array" ref="E1063">IFERROR(_xlfn.XLOOKUP(D1063,Locales!$A:$A,Locales!$B:$B,""),"")</f>
        <v/>
      </c>
      <c r="F1063" s="9" cm="1">
        <f t="array" ref="F1063">IFERROR(_xlfn.XLOOKUP(B1063,Personal!$A:$A,Personal!$F:$F,""),"")</f>
        <v>0</v>
      </c>
      <c r="I1063" s="10" cm="1">
        <f t="array" ref="I1063">IFERROR(INDEX(Precios!$D:$F,MATCH(N1063, Precios!$G:$G, 0),CHOOSE(MATCH(H1063, {"SML";"XL";"XXL"}, 0), 1, 2, 3)), 0)</f>
        <v>0</v>
      </c>
      <c r="K1063" s="10">
        <f t="shared" si="38"/>
        <v>0</v>
      </c>
      <c r="N1063" s="9" t="str">
        <f t="shared" si="39"/>
        <v/>
      </c>
      <c r="O1063" s="9" t="str">
        <f>IF(N1063="","",IF(COUNTIF(Precios!$G:$G,N1063)=0,"⚠ No coincide con Precios","OK"))</f>
        <v/>
      </c>
    </row>
    <row r="1064" spans="3:15" x14ac:dyDescent="0.2">
      <c r="C1064" s="9" cm="1">
        <f t="array" ref="C1064">IFERROR(_xlfn.XLOOKUP(B1064,Personal!$A:$A,Personal!$D:$D,""),"")</f>
        <v>0</v>
      </c>
      <c r="D1064" s="9" cm="1">
        <f t="array" ref="D1064">IFERROR(_xlfn.XLOOKUP(B1064,Personal!$A:$A,Personal!$C:$C,""),"")</f>
        <v>0</v>
      </c>
      <c r="E1064" s="9" t="str" cm="1">
        <f t="array" ref="E1064">IFERROR(_xlfn.XLOOKUP(D1064,Locales!$A:$A,Locales!$B:$B,""),"")</f>
        <v/>
      </c>
      <c r="F1064" s="9" cm="1">
        <f t="array" ref="F1064">IFERROR(_xlfn.XLOOKUP(B1064,Personal!$A:$A,Personal!$F:$F,""),"")</f>
        <v>0</v>
      </c>
      <c r="I1064" s="10" cm="1">
        <f t="array" ref="I1064">IFERROR(INDEX(Precios!$D:$F,MATCH(N1064, Precios!$G:$G, 0),CHOOSE(MATCH(H1064, {"SML";"XL";"XXL"}, 0), 1, 2, 3)), 0)</f>
        <v>0</v>
      </c>
      <c r="K1064" s="10">
        <f t="shared" si="38"/>
        <v>0</v>
      </c>
      <c r="N1064" s="9" t="str">
        <f t="shared" si="39"/>
        <v/>
      </c>
      <c r="O1064" s="9" t="str">
        <f>IF(N1064="","",IF(COUNTIF(Precios!$G:$G,N1064)=0,"⚠ No coincide con Precios","OK"))</f>
        <v/>
      </c>
    </row>
    <row r="1065" spans="3:15" x14ac:dyDescent="0.2">
      <c r="C1065" s="9" cm="1">
        <f t="array" ref="C1065">IFERROR(_xlfn.XLOOKUP(B1065,Personal!$A:$A,Personal!$D:$D,""),"")</f>
        <v>0</v>
      </c>
      <c r="D1065" s="9" cm="1">
        <f t="array" ref="D1065">IFERROR(_xlfn.XLOOKUP(B1065,Personal!$A:$A,Personal!$C:$C,""),"")</f>
        <v>0</v>
      </c>
      <c r="E1065" s="9" t="str" cm="1">
        <f t="array" ref="E1065">IFERROR(_xlfn.XLOOKUP(D1065,Locales!$A:$A,Locales!$B:$B,""),"")</f>
        <v/>
      </c>
      <c r="F1065" s="9" cm="1">
        <f t="array" ref="F1065">IFERROR(_xlfn.XLOOKUP(B1065,Personal!$A:$A,Personal!$F:$F,""),"")</f>
        <v>0</v>
      </c>
      <c r="I1065" s="10" cm="1">
        <f t="array" ref="I1065">IFERROR(INDEX(Precios!$D:$F,MATCH(N1065, Precios!$G:$G, 0),CHOOSE(MATCH(H1065, {"SML";"XL";"XXL"}, 0), 1, 2, 3)), 0)</f>
        <v>0</v>
      </c>
      <c r="K1065" s="10">
        <f t="shared" si="38"/>
        <v>0</v>
      </c>
      <c r="N1065" s="9" t="str">
        <f t="shared" si="39"/>
        <v/>
      </c>
      <c r="O1065" s="9" t="str">
        <f>IF(N1065="","",IF(COUNTIF(Precios!$G:$G,N1065)=0,"⚠ No coincide con Precios","OK"))</f>
        <v/>
      </c>
    </row>
    <row r="1066" spans="3:15" x14ac:dyDescent="0.2">
      <c r="C1066" s="9" cm="1">
        <f t="array" ref="C1066">IFERROR(_xlfn.XLOOKUP(B1066,Personal!$A:$A,Personal!$D:$D,""),"")</f>
        <v>0</v>
      </c>
      <c r="D1066" s="9" cm="1">
        <f t="array" ref="D1066">IFERROR(_xlfn.XLOOKUP(B1066,Personal!$A:$A,Personal!$C:$C,""),"")</f>
        <v>0</v>
      </c>
      <c r="E1066" s="9" t="str" cm="1">
        <f t="array" ref="E1066">IFERROR(_xlfn.XLOOKUP(D1066,Locales!$A:$A,Locales!$B:$B,""),"")</f>
        <v/>
      </c>
      <c r="F1066" s="9" cm="1">
        <f t="array" ref="F1066">IFERROR(_xlfn.XLOOKUP(B1066,Personal!$A:$A,Personal!$F:$F,""),"")</f>
        <v>0</v>
      </c>
      <c r="I1066" s="10" cm="1">
        <f t="array" ref="I1066">IFERROR(INDEX(Precios!$D:$F,MATCH(N1066, Precios!$G:$G, 0),CHOOSE(MATCH(H1066, {"SML";"XL";"XXL"}, 0), 1, 2, 3)), 0)</f>
        <v>0</v>
      </c>
      <c r="K1066" s="10">
        <f t="shared" si="38"/>
        <v>0</v>
      </c>
      <c r="N1066" s="9" t="str">
        <f t="shared" si="39"/>
        <v/>
      </c>
      <c r="O1066" s="9" t="str">
        <f>IF(N1066="","",IF(COUNTIF(Precios!$G:$G,N1066)=0,"⚠ No coincide con Precios","OK"))</f>
        <v/>
      </c>
    </row>
    <row r="1067" spans="3:15" x14ac:dyDescent="0.2">
      <c r="C1067" s="9" cm="1">
        <f t="array" ref="C1067">IFERROR(_xlfn.XLOOKUP(B1067,Personal!$A:$A,Personal!$D:$D,""),"")</f>
        <v>0</v>
      </c>
      <c r="D1067" s="9" cm="1">
        <f t="array" ref="D1067">IFERROR(_xlfn.XLOOKUP(B1067,Personal!$A:$A,Personal!$C:$C,""),"")</f>
        <v>0</v>
      </c>
      <c r="E1067" s="9" t="str" cm="1">
        <f t="array" ref="E1067">IFERROR(_xlfn.XLOOKUP(D1067,Locales!$A:$A,Locales!$B:$B,""),"")</f>
        <v/>
      </c>
      <c r="F1067" s="9" cm="1">
        <f t="array" ref="F1067">IFERROR(_xlfn.XLOOKUP(B1067,Personal!$A:$A,Personal!$F:$F,""),"")</f>
        <v>0</v>
      </c>
      <c r="I1067" s="10" cm="1">
        <f t="array" ref="I1067">IFERROR(INDEX(Precios!$D:$F,MATCH(N1067, Precios!$G:$G, 0),CHOOSE(MATCH(H1067, {"SML";"XL";"XXL"}, 0), 1, 2, 3)), 0)</f>
        <v>0</v>
      </c>
      <c r="K1067" s="10">
        <f t="shared" si="38"/>
        <v>0</v>
      </c>
      <c r="N1067" s="9" t="str">
        <f t="shared" si="39"/>
        <v/>
      </c>
      <c r="O1067" s="9" t="str">
        <f>IF(N1067="","",IF(COUNTIF(Precios!$G:$G,N1067)=0,"⚠ No coincide con Precios","OK"))</f>
        <v/>
      </c>
    </row>
    <row r="1068" spans="3:15" x14ac:dyDescent="0.2">
      <c r="C1068" s="9" cm="1">
        <f t="array" ref="C1068">IFERROR(_xlfn.XLOOKUP(B1068,Personal!$A:$A,Personal!$D:$D,""),"")</f>
        <v>0</v>
      </c>
      <c r="D1068" s="9" cm="1">
        <f t="array" ref="D1068">IFERROR(_xlfn.XLOOKUP(B1068,Personal!$A:$A,Personal!$C:$C,""),"")</f>
        <v>0</v>
      </c>
      <c r="E1068" s="9" t="str" cm="1">
        <f t="array" ref="E1068">IFERROR(_xlfn.XLOOKUP(D1068,Locales!$A:$A,Locales!$B:$B,""),"")</f>
        <v/>
      </c>
      <c r="F1068" s="9" cm="1">
        <f t="array" ref="F1068">IFERROR(_xlfn.XLOOKUP(B1068,Personal!$A:$A,Personal!$F:$F,""),"")</f>
        <v>0</v>
      </c>
      <c r="I1068" s="10" cm="1">
        <f t="array" ref="I1068">IFERROR(INDEX(Precios!$D:$F,MATCH(N1068, Precios!$G:$G, 0),CHOOSE(MATCH(H1068, {"SML";"XL";"XXL"}, 0), 1, 2, 3)), 0)</f>
        <v>0</v>
      </c>
      <c r="K1068" s="10">
        <f t="shared" si="38"/>
        <v>0</v>
      </c>
      <c r="N1068" s="9" t="str">
        <f t="shared" si="39"/>
        <v/>
      </c>
      <c r="O1068" s="9" t="str">
        <f>IF(N1068="","",IF(COUNTIF(Precios!$G:$G,N1068)=0,"⚠ No coincide con Precios","OK"))</f>
        <v/>
      </c>
    </row>
    <row r="1069" spans="3:15" x14ac:dyDescent="0.2">
      <c r="C1069" s="9" cm="1">
        <f t="array" ref="C1069">IFERROR(_xlfn.XLOOKUP(B1069,Personal!$A:$A,Personal!$D:$D,""),"")</f>
        <v>0</v>
      </c>
      <c r="D1069" s="9" cm="1">
        <f t="array" ref="D1069">IFERROR(_xlfn.XLOOKUP(B1069,Personal!$A:$A,Personal!$C:$C,""),"")</f>
        <v>0</v>
      </c>
      <c r="E1069" s="9" t="str" cm="1">
        <f t="array" ref="E1069">IFERROR(_xlfn.XLOOKUP(D1069,Locales!$A:$A,Locales!$B:$B,""),"")</f>
        <v/>
      </c>
      <c r="F1069" s="9" cm="1">
        <f t="array" ref="F1069">IFERROR(_xlfn.XLOOKUP(B1069,Personal!$A:$A,Personal!$F:$F,""),"")</f>
        <v>0</v>
      </c>
      <c r="I1069" s="10" cm="1">
        <f t="array" ref="I1069">IFERROR(INDEX(Precios!$D:$F,MATCH(N1069, Precios!$G:$G, 0),CHOOSE(MATCH(H1069, {"SML";"XL";"XXL"}, 0), 1, 2, 3)), 0)</f>
        <v>0</v>
      </c>
      <c r="K1069" s="10">
        <f t="shared" si="38"/>
        <v>0</v>
      </c>
      <c r="N1069" s="9" t="str">
        <f t="shared" si="39"/>
        <v/>
      </c>
      <c r="O1069" s="9" t="str">
        <f>IF(N1069="","",IF(COUNTIF(Precios!$G:$G,N1069)=0,"⚠ No coincide con Precios","OK"))</f>
        <v/>
      </c>
    </row>
    <row r="1070" spans="3:15" x14ac:dyDescent="0.2">
      <c r="C1070" s="9" cm="1">
        <f t="array" ref="C1070">IFERROR(_xlfn.XLOOKUP(B1070,Personal!$A:$A,Personal!$D:$D,""),"")</f>
        <v>0</v>
      </c>
      <c r="D1070" s="9" cm="1">
        <f t="array" ref="D1070">IFERROR(_xlfn.XLOOKUP(B1070,Personal!$A:$A,Personal!$C:$C,""),"")</f>
        <v>0</v>
      </c>
      <c r="E1070" s="9" t="str" cm="1">
        <f t="array" ref="E1070">IFERROR(_xlfn.XLOOKUP(D1070,Locales!$A:$A,Locales!$B:$B,""),"")</f>
        <v/>
      </c>
      <c r="F1070" s="9" cm="1">
        <f t="array" ref="F1070">IFERROR(_xlfn.XLOOKUP(B1070,Personal!$A:$A,Personal!$F:$F,""),"")</f>
        <v>0</v>
      </c>
      <c r="I1070" s="10" cm="1">
        <f t="array" ref="I1070">IFERROR(INDEX(Precios!$D:$F,MATCH(N1070, Precios!$G:$G, 0),CHOOSE(MATCH(H1070, {"SML";"XL";"XXL"}, 0), 1, 2, 3)), 0)</f>
        <v>0</v>
      </c>
      <c r="K1070" s="10">
        <f t="shared" si="38"/>
        <v>0</v>
      </c>
      <c r="N1070" s="9" t="str">
        <f t="shared" si="39"/>
        <v/>
      </c>
      <c r="O1070" s="9" t="str">
        <f>IF(N1070="","",IF(COUNTIF(Precios!$G:$G,N1070)=0,"⚠ No coincide con Precios","OK"))</f>
        <v/>
      </c>
    </row>
    <row r="1071" spans="3:15" x14ac:dyDescent="0.2">
      <c r="C1071" s="9" cm="1">
        <f t="array" ref="C1071">IFERROR(_xlfn.XLOOKUP(B1071,Personal!$A:$A,Personal!$D:$D,""),"")</f>
        <v>0</v>
      </c>
      <c r="D1071" s="9" cm="1">
        <f t="array" ref="D1071">IFERROR(_xlfn.XLOOKUP(B1071,Personal!$A:$A,Personal!$C:$C,""),"")</f>
        <v>0</v>
      </c>
      <c r="E1071" s="9" t="str" cm="1">
        <f t="array" ref="E1071">IFERROR(_xlfn.XLOOKUP(D1071,Locales!$A:$A,Locales!$B:$B,""),"")</f>
        <v/>
      </c>
      <c r="F1071" s="9" cm="1">
        <f t="array" ref="F1071">IFERROR(_xlfn.XLOOKUP(B1071,Personal!$A:$A,Personal!$F:$F,""),"")</f>
        <v>0</v>
      </c>
      <c r="I1071" s="10" cm="1">
        <f t="array" ref="I1071">IFERROR(INDEX(Precios!$D:$F,MATCH(N1071, Precios!$G:$G, 0),CHOOSE(MATCH(H1071, {"SML";"XL";"XXL"}, 0), 1, 2, 3)), 0)</f>
        <v>0</v>
      </c>
      <c r="K1071" s="10">
        <f t="shared" si="38"/>
        <v>0</v>
      </c>
      <c r="N1071" s="9" t="str">
        <f t="shared" si="39"/>
        <v/>
      </c>
      <c r="O1071" s="9" t="str">
        <f>IF(N1071="","",IF(COUNTIF(Precios!$G:$G,N1071)=0,"⚠ No coincide con Precios","OK"))</f>
        <v/>
      </c>
    </row>
    <row r="1072" spans="3:15" x14ac:dyDescent="0.2">
      <c r="C1072" s="9" cm="1">
        <f t="array" ref="C1072">IFERROR(_xlfn.XLOOKUP(B1072,Personal!$A:$A,Personal!$D:$D,""),"")</f>
        <v>0</v>
      </c>
      <c r="D1072" s="9" cm="1">
        <f t="array" ref="D1072">IFERROR(_xlfn.XLOOKUP(B1072,Personal!$A:$A,Personal!$C:$C,""),"")</f>
        <v>0</v>
      </c>
      <c r="E1072" s="9" t="str" cm="1">
        <f t="array" ref="E1072">IFERROR(_xlfn.XLOOKUP(D1072,Locales!$A:$A,Locales!$B:$B,""),"")</f>
        <v/>
      </c>
      <c r="F1072" s="9" cm="1">
        <f t="array" ref="F1072">IFERROR(_xlfn.XLOOKUP(B1072,Personal!$A:$A,Personal!$F:$F,""),"")</f>
        <v>0</v>
      </c>
      <c r="I1072" s="10" cm="1">
        <f t="array" ref="I1072">IFERROR(INDEX(Precios!$D:$F,MATCH(N1072, Precios!$G:$G, 0),CHOOSE(MATCH(H1072, {"SML";"XL";"XXL"}, 0), 1, 2, 3)), 0)</f>
        <v>0</v>
      </c>
      <c r="K1072" s="10">
        <f t="shared" si="38"/>
        <v>0</v>
      </c>
      <c r="N1072" s="9" t="str">
        <f t="shared" si="39"/>
        <v/>
      </c>
      <c r="O1072" s="9" t="str">
        <f>IF(N1072="","",IF(COUNTIF(Precios!$G:$G,N1072)=0,"⚠ No coincide con Precios","OK"))</f>
        <v/>
      </c>
    </row>
    <row r="1073" spans="3:15" x14ac:dyDescent="0.2">
      <c r="C1073" s="9" cm="1">
        <f t="array" ref="C1073">IFERROR(_xlfn.XLOOKUP(B1073,Personal!$A:$A,Personal!$D:$D,""),"")</f>
        <v>0</v>
      </c>
      <c r="D1073" s="9" cm="1">
        <f t="array" ref="D1073">IFERROR(_xlfn.XLOOKUP(B1073,Personal!$A:$A,Personal!$C:$C,""),"")</f>
        <v>0</v>
      </c>
      <c r="E1073" s="9" t="str" cm="1">
        <f t="array" ref="E1073">IFERROR(_xlfn.XLOOKUP(D1073,Locales!$A:$A,Locales!$B:$B,""),"")</f>
        <v/>
      </c>
      <c r="F1073" s="9" cm="1">
        <f t="array" ref="F1073">IFERROR(_xlfn.XLOOKUP(B1073,Personal!$A:$A,Personal!$F:$F,""),"")</f>
        <v>0</v>
      </c>
      <c r="I1073" s="10" cm="1">
        <f t="array" ref="I1073">IFERROR(INDEX(Precios!$D:$F,MATCH(N1073, Precios!$G:$G, 0),CHOOSE(MATCH(H1073, {"SML";"XL";"XXL"}, 0), 1, 2, 3)), 0)</f>
        <v>0</v>
      </c>
      <c r="K1073" s="10">
        <f t="shared" si="38"/>
        <v>0</v>
      </c>
      <c r="N1073" s="9" t="str">
        <f t="shared" si="39"/>
        <v/>
      </c>
      <c r="O1073" s="9" t="str">
        <f>IF(N1073="","",IF(COUNTIF(Precios!$G:$G,N1073)=0,"⚠ No coincide con Precios","OK"))</f>
        <v/>
      </c>
    </row>
    <row r="1074" spans="3:15" x14ac:dyDescent="0.2">
      <c r="C1074" s="9" cm="1">
        <f t="array" ref="C1074">IFERROR(_xlfn.XLOOKUP(B1074,Personal!$A:$A,Personal!$D:$D,""),"")</f>
        <v>0</v>
      </c>
      <c r="D1074" s="9" cm="1">
        <f t="array" ref="D1074">IFERROR(_xlfn.XLOOKUP(B1074,Personal!$A:$A,Personal!$C:$C,""),"")</f>
        <v>0</v>
      </c>
      <c r="E1074" s="9" t="str" cm="1">
        <f t="array" ref="E1074">IFERROR(_xlfn.XLOOKUP(D1074,Locales!$A:$A,Locales!$B:$B,""),"")</f>
        <v/>
      </c>
      <c r="F1074" s="9" cm="1">
        <f t="array" ref="F1074">IFERROR(_xlfn.XLOOKUP(B1074,Personal!$A:$A,Personal!$F:$F,""),"")</f>
        <v>0</v>
      </c>
      <c r="I1074" s="10" cm="1">
        <f t="array" ref="I1074">IFERROR(INDEX(Precios!$D:$F,MATCH(N1074, Precios!$G:$G, 0),CHOOSE(MATCH(H1074, {"SML";"XL";"XXL"}, 0), 1, 2, 3)), 0)</f>
        <v>0</v>
      </c>
      <c r="K1074" s="10">
        <f t="shared" si="38"/>
        <v>0</v>
      </c>
      <c r="N1074" s="9" t="str">
        <f t="shared" si="39"/>
        <v/>
      </c>
      <c r="O1074" s="9" t="str">
        <f>IF(N1074="","",IF(COUNTIF(Precios!$G:$G,N1074)=0,"⚠ No coincide con Precios","OK"))</f>
        <v/>
      </c>
    </row>
    <row r="1075" spans="3:15" x14ac:dyDescent="0.2">
      <c r="C1075" s="9" cm="1">
        <f t="array" ref="C1075">IFERROR(_xlfn.XLOOKUP(B1075,Personal!$A:$A,Personal!$D:$D,""),"")</f>
        <v>0</v>
      </c>
      <c r="D1075" s="9" cm="1">
        <f t="array" ref="D1075">IFERROR(_xlfn.XLOOKUP(B1075,Personal!$A:$A,Personal!$C:$C,""),"")</f>
        <v>0</v>
      </c>
      <c r="E1075" s="9" t="str" cm="1">
        <f t="array" ref="E1075">IFERROR(_xlfn.XLOOKUP(D1075,Locales!$A:$A,Locales!$B:$B,""),"")</f>
        <v/>
      </c>
      <c r="F1075" s="9" cm="1">
        <f t="array" ref="F1075">IFERROR(_xlfn.XLOOKUP(B1075,Personal!$A:$A,Personal!$F:$F,""),"")</f>
        <v>0</v>
      </c>
      <c r="I1075" s="10" cm="1">
        <f t="array" ref="I1075">IFERROR(INDEX(Precios!$D:$F,MATCH(N1075, Precios!$G:$G, 0),CHOOSE(MATCH(H1075, {"SML";"XL";"XXL"}, 0), 1, 2, 3)), 0)</f>
        <v>0</v>
      </c>
      <c r="K1075" s="10">
        <f t="shared" si="38"/>
        <v>0</v>
      </c>
      <c r="N1075" s="9" t="str">
        <f t="shared" si="39"/>
        <v/>
      </c>
      <c r="O1075" s="9" t="str">
        <f>IF(N1075="","",IF(COUNTIF(Precios!$G:$G,N1075)=0,"⚠ No coincide con Precios","OK"))</f>
        <v/>
      </c>
    </row>
    <row r="1076" spans="3:15" x14ac:dyDescent="0.2">
      <c r="C1076" s="9" cm="1">
        <f t="array" ref="C1076">IFERROR(_xlfn.XLOOKUP(B1076,Personal!$A:$A,Personal!$D:$D,""),"")</f>
        <v>0</v>
      </c>
      <c r="D1076" s="9" cm="1">
        <f t="array" ref="D1076">IFERROR(_xlfn.XLOOKUP(B1076,Personal!$A:$A,Personal!$C:$C,""),"")</f>
        <v>0</v>
      </c>
      <c r="E1076" s="9" t="str" cm="1">
        <f t="array" ref="E1076">IFERROR(_xlfn.XLOOKUP(D1076,Locales!$A:$A,Locales!$B:$B,""),"")</f>
        <v/>
      </c>
      <c r="F1076" s="9" cm="1">
        <f t="array" ref="F1076">IFERROR(_xlfn.XLOOKUP(B1076,Personal!$A:$A,Personal!$F:$F,""),"")</f>
        <v>0</v>
      </c>
      <c r="I1076" s="10" cm="1">
        <f t="array" ref="I1076">IFERROR(INDEX(Precios!$D:$F,MATCH(N1076, Precios!$G:$G, 0),CHOOSE(MATCH(H1076, {"SML";"XL";"XXL"}, 0), 1, 2, 3)), 0)</f>
        <v>0</v>
      </c>
      <c r="K1076" s="10">
        <f t="shared" si="38"/>
        <v>0</v>
      </c>
      <c r="N1076" s="9" t="str">
        <f t="shared" si="39"/>
        <v/>
      </c>
      <c r="O1076" s="9" t="str">
        <f>IF(N1076="","",IF(COUNTIF(Precios!$G:$G,N1076)=0,"⚠ No coincide con Precios","OK"))</f>
        <v/>
      </c>
    </row>
    <row r="1077" spans="3:15" x14ac:dyDescent="0.2">
      <c r="C1077" s="9" cm="1">
        <f t="array" ref="C1077">IFERROR(_xlfn.XLOOKUP(B1077,Personal!$A:$A,Personal!$D:$D,""),"")</f>
        <v>0</v>
      </c>
      <c r="D1077" s="9" cm="1">
        <f t="array" ref="D1077">IFERROR(_xlfn.XLOOKUP(B1077,Personal!$A:$A,Personal!$C:$C,""),"")</f>
        <v>0</v>
      </c>
      <c r="E1077" s="9" t="str" cm="1">
        <f t="array" ref="E1077">IFERROR(_xlfn.XLOOKUP(D1077,Locales!$A:$A,Locales!$B:$B,""),"")</f>
        <v/>
      </c>
      <c r="F1077" s="9" cm="1">
        <f t="array" ref="F1077">IFERROR(_xlfn.XLOOKUP(B1077,Personal!$A:$A,Personal!$F:$F,""),"")</f>
        <v>0</v>
      </c>
      <c r="I1077" s="10" cm="1">
        <f t="array" ref="I1077">IFERROR(INDEX(Precios!$D:$F,MATCH(N1077, Precios!$G:$G, 0),CHOOSE(MATCH(H1077, {"SML";"XL";"XXL"}, 0), 1, 2, 3)), 0)</f>
        <v>0</v>
      </c>
      <c r="K1077" s="10">
        <f t="shared" si="38"/>
        <v>0</v>
      </c>
      <c r="N1077" s="9" t="str">
        <f t="shared" si="39"/>
        <v/>
      </c>
      <c r="O1077" s="9" t="str">
        <f>IF(N1077="","",IF(COUNTIF(Precios!$G:$G,N1077)=0,"⚠ No coincide con Precios","OK"))</f>
        <v/>
      </c>
    </row>
    <row r="1078" spans="3:15" x14ac:dyDescent="0.2">
      <c r="C1078" s="9" cm="1">
        <f t="array" ref="C1078">IFERROR(_xlfn.XLOOKUP(B1078,Personal!$A:$A,Personal!$D:$D,""),"")</f>
        <v>0</v>
      </c>
      <c r="D1078" s="9" cm="1">
        <f t="array" ref="D1078">IFERROR(_xlfn.XLOOKUP(B1078,Personal!$A:$A,Personal!$C:$C,""),"")</f>
        <v>0</v>
      </c>
      <c r="E1078" s="9" t="str" cm="1">
        <f t="array" ref="E1078">IFERROR(_xlfn.XLOOKUP(D1078,Locales!$A:$A,Locales!$B:$B,""),"")</f>
        <v/>
      </c>
      <c r="F1078" s="9" cm="1">
        <f t="array" ref="F1078">IFERROR(_xlfn.XLOOKUP(B1078,Personal!$A:$A,Personal!$F:$F,""),"")</f>
        <v>0</v>
      </c>
      <c r="I1078" s="10" cm="1">
        <f t="array" ref="I1078">IFERROR(INDEX(Precios!$D:$F,MATCH(N1078, Precios!$G:$G, 0),CHOOSE(MATCH(H1078, {"SML";"XL";"XXL"}, 0), 1, 2, 3)), 0)</f>
        <v>0</v>
      </c>
      <c r="K1078" s="10">
        <f t="shared" si="38"/>
        <v>0</v>
      </c>
      <c r="N1078" s="9" t="str">
        <f t="shared" si="39"/>
        <v/>
      </c>
      <c r="O1078" s="9" t="str">
        <f>IF(N1078="","",IF(COUNTIF(Precios!$G:$G,N1078)=0,"⚠ No coincide con Precios","OK"))</f>
        <v/>
      </c>
    </row>
    <row r="1079" spans="3:15" x14ac:dyDescent="0.2">
      <c r="C1079" s="9" cm="1">
        <f t="array" ref="C1079">IFERROR(_xlfn.XLOOKUP(B1079,Personal!$A:$A,Personal!$D:$D,""),"")</f>
        <v>0</v>
      </c>
      <c r="D1079" s="9" cm="1">
        <f t="array" ref="D1079">IFERROR(_xlfn.XLOOKUP(B1079,Personal!$A:$A,Personal!$C:$C,""),"")</f>
        <v>0</v>
      </c>
      <c r="E1079" s="9" t="str" cm="1">
        <f t="array" ref="E1079">IFERROR(_xlfn.XLOOKUP(D1079,Locales!$A:$A,Locales!$B:$B,""),"")</f>
        <v/>
      </c>
      <c r="F1079" s="9" cm="1">
        <f t="array" ref="F1079">IFERROR(_xlfn.XLOOKUP(B1079,Personal!$A:$A,Personal!$F:$F,""),"")</f>
        <v>0</v>
      </c>
      <c r="I1079" s="10" cm="1">
        <f t="array" ref="I1079">IFERROR(INDEX(Precios!$D:$F,MATCH(N1079, Precios!$G:$G, 0),CHOOSE(MATCH(H1079, {"SML";"XL";"XXL"}, 0), 1, 2, 3)), 0)</f>
        <v>0</v>
      </c>
      <c r="K1079" s="10">
        <f t="shared" si="38"/>
        <v>0</v>
      </c>
      <c r="N1079" s="9" t="str">
        <f t="shared" si="39"/>
        <v/>
      </c>
      <c r="O1079" s="9" t="str">
        <f>IF(N1079="","",IF(COUNTIF(Precios!$G:$G,N1079)=0,"⚠ No coincide con Precios","OK"))</f>
        <v/>
      </c>
    </row>
    <row r="1080" spans="3:15" x14ac:dyDescent="0.2">
      <c r="C1080" s="9" cm="1">
        <f t="array" ref="C1080">IFERROR(_xlfn.XLOOKUP(B1080,Personal!$A:$A,Personal!$D:$D,""),"")</f>
        <v>0</v>
      </c>
      <c r="D1080" s="9" cm="1">
        <f t="array" ref="D1080">IFERROR(_xlfn.XLOOKUP(B1080,Personal!$A:$A,Personal!$C:$C,""),"")</f>
        <v>0</v>
      </c>
      <c r="E1080" s="9" t="str" cm="1">
        <f t="array" ref="E1080">IFERROR(_xlfn.XLOOKUP(D1080,Locales!$A:$A,Locales!$B:$B,""),"")</f>
        <v/>
      </c>
      <c r="F1080" s="9" cm="1">
        <f t="array" ref="F1080">IFERROR(_xlfn.XLOOKUP(B1080,Personal!$A:$A,Personal!$F:$F,""),"")</f>
        <v>0</v>
      </c>
      <c r="I1080" s="10" cm="1">
        <f t="array" ref="I1080">IFERROR(INDEX(Precios!$D:$F,MATCH(N1080, Precios!$G:$G, 0),CHOOSE(MATCH(H1080, {"SML";"XL";"XXL"}, 0), 1, 2, 3)), 0)</f>
        <v>0</v>
      </c>
      <c r="K1080" s="10">
        <f t="shared" si="38"/>
        <v>0</v>
      </c>
      <c r="N1080" s="9" t="str">
        <f t="shared" si="39"/>
        <v/>
      </c>
      <c r="O1080" s="9" t="str">
        <f>IF(N1080="","",IF(COUNTIF(Precios!$G:$G,N1080)=0,"⚠ No coincide con Precios","OK"))</f>
        <v/>
      </c>
    </row>
    <row r="1081" spans="3:15" x14ac:dyDescent="0.2">
      <c r="C1081" s="9" cm="1">
        <f t="array" ref="C1081">IFERROR(_xlfn.XLOOKUP(B1081,Personal!$A:$A,Personal!$D:$D,""),"")</f>
        <v>0</v>
      </c>
      <c r="D1081" s="9" cm="1">
        <f t="array" ref="D1081">IFERROR(_xlfn.XLOOKUP(B1081,Personal!$A:$A,Personal!$C:$C,""),"")</f>
        <v>0</v>
      </c>
      <c r="E1081" s="9" t="str" cm="1">
        <f t="array" ref="E1081">IFERROR(_xlfn.XLOOKUP(D1081,Locales!$A:$A,Locales!$B:$B,""),"")</f>
        <v/>
      </c>
      <c r="F1081" s="9" cm="1">
        <f t="array" ref="F1081">IFERROR(_xlfn.XLOOKUP(B1081,Personal!$A:$A,Personal!$F:$F,""),"")</f>
        <v>0</v>
      </c>
      <c r="I1081" s="10" cm="1">
        <f t="array" ref="I1081">IFERROR(INDEX(Precios!$D:$F,MATCH(N1081, Precios!$G:$G, 0),CHOOSE(MATCH(H1081, {"SML";"XL";"XXL"}, 0), 1, 2, 3)), 0)</f>
        <v>0</v>
      </c>
      <c r="K1081" s="10">
        <f t="shared" si="38"/>
        <v>0</v>
      </c>
      <c r="N1081" s="9" t="str">
        <f t="shared" si="39"/>
        <v/>
      </c>
      <c r="O1081" s="9" t="str">
        <f>IF(N1081="","",IF(COUNTIF(Precios!$G:$G,N1081)=0,"⚠ No coincide con Precios","OK"))</f>
        <v/>
      </c>
    </row>
    <row r="1082" spans="3:15" x14ac:dyDescent="0.2">
      <c r="C1082" s="9" cm="1">
        <f t="array" ref="C1082">IFERROR(_xlfn.XLOOKUP(B1082,Personal!$A:$A,Personal!$D:$D,""),"")</f>
        <v>0</v>
      </c>
      <c r="D1082" s="9" cm="1">
        <f t="array" ref="D1082">IFERROR(_xlfn.XLOOKUP(B1082,Personal!$A:$A,Personal!$C:$C,""),"")</f>
        <v>0</v>
      </c>
      <c r="E1082" s="9" t="str" cm="1">
        <f t="array" ref="E1082">IFERROR(_xlfn.XLOOKUP(D1082,Locales!$A:$A,Locales!$B:$B,""),"")</f>
        <v/>
      </c>
      <c r="F1082" s="9" cm="1">
        <f t="array" ref="F1082">IFERROR(_xlfn.XLOOKUP(B1082,Personal!$A:$A,Personal!$F:$F,""),"")</f>
        <v>0</v>
      </c>
      <c r="I1082" s="10" cm="1">
        <f t="array" ref="I1082">IFERROR(INDEX(Precios!$D:$F,MATCH(N1082, Precios!$G:$G, 0),CHOOSE(MATCH(H1082, {"SML";"XL";"XXL"}, 0), 1, 2, 3)), 0)</f>
        <v>0</v>
      </c>
      <c r="K1082" s="10">
        <f t="shared" si="38"/>
        <v>0</v>
      </c>
      <c r="N1082" s="9" t="str">
        <f t="shared" si="39"/>
        <v/>
      </c>
      <c r="O1082" s="9" t="str">
        <f>IF(N1082="","",IF(COUNTIF(Precios!$G:$G,N1082)=0,"⚠ No coincide con Precios","OK"))</f>
        <v/>
      </c>
    </row>
    <row r="1083" spans="3:15" x14ac:dyDescent="0.2">
      <c r="C1083" s="9" cm="1">
        <f t="array" ref="C1083">IFERROR(_xlfn.XLOOKUP(B1083,Personal!$A:$A,Personal!$D:$D,""),"")</f>
        <v>0</v>
      </c>
      <c r="D1083" s="9" cm="1">
        <f t="array" ref="D1083">IFERROR(_xlfn.XLOOKUP(B1083,Personal!$A:$A,Personal!$C:$C,""),"")</f>
        <v>0</v>
      </c>
      <c r="E1083" s="9" t="str" cm="1">
        <f t="array" ref="E1083">IFERROR(_xlfn.XLOOKUP(D1083,Locales!$A:$A,Locales!$B:$B,""),"")</f>
        <v/>
      </c>
      <c r="F1083" s="9" cm="1">
        <f t="array" ref="F1083">IFERROR(_xlfn.XLOOKUP(B1083,Personal!$A:$A,Personal!$F:$F,""),"")</f>
        <v>0</v>
      </c>
      <c r="I1083" s="10" cm="1">
        <f t="array" ref="I1083">IFERROR(INDEX(Precios!$D:$F,MATCH(N1083, Precios!$G:$G, 0),CHOOSE(MATCH(H1083, {"SML";"XL";"XXL"}, 0), 1, 2, 3)), 0)</f>
        <v>0</v>
      </c>
      <c r="K1083" s="10">
        <f t="shared" si="38"/>
        <v>0</v>
      </c>
      <c r="N1083" s="9" t="str">
        <f t="shared" si="39"/>
        <v/>
      </c>
      <c r="O1083" s="9" t="str">
        <f>IF(N1083="","",IF(COUNTIF(Precios!$G:$G,N1083)=0,"⚠ No coincide con Precios","OK"))</f>
        <v/>
      </c>
    </row>
    <row r="1084" spans="3:15" x14ac:dyDescent="0.2">
      <c r="C1084" s="9" cm="1">
        <f t="array" ref="C1084">IFERROR(_xlfn.XLOOKUP(B1084,Personal!$A:$A,Personal!$D:$D,""),"")</f>
        <v>0</v>
      </c>
      <c r="D1084" s="9" cm="1">
        <f t="array" ref="D1084">IFERROR(_xlfn.XLOOKUP(B1084,Personal!$A:$A,Personal!$C:$C,""),"")</f>
        <v>0</v>
      </c>
      <c r="E1084" s="9" t="str" cm="1">
        <f t="array" ref="E1084">IFERROR(_xlfn.XLOOKUP(D1084,Locales!$A:$A,Locales!$B:$B,""),"")</f>
        <v/>
      </c>
      <c r="F1084" s="9" cm="1">
        <f t="array" ref="F1084">IFERROR(_xlfn.XLOOKUP(B1084,Personal!$A:$A,Personal!$F:$F,""),"")</f>
        <v>0</v>
      </c>
      <c r="I1084" s="10" cm="1">
        <f t="array" ref="I1084">IFERROR(INDEX(Precios!$D:$F,MATCH(N1084, Precios!$G:$G, 0),CHOOSE(MATCH(H1084, {"SML";"XL";"XXL"}, 0), 1, 2, 3)), 0)</f>
        <v>0</v>
      </c>
      <c r="K1084" s="10">
        <f t="shared" si="38"/>
        <v>0</v>
      </c>
      <c r="N1084" s="9" t="str">
        <f t="shared" si="39"/>
        <v/>
      </c>
      <c r="O1084" s="9" t="str">
        <f>IF(N1084="","",IF(COUNTIF(Precios!$G:$G,N1084)=0,"⚠ No coincide con Precios","OK"))</f>
        <v/>
      </c>
    </row>
    <row r="1085" spans="3:15" x14ac:dyDescent="0.2">
      <c r="C1085" s="9" cm="1">
        <f t="array" ref="C1085">IFERROR(_xlfn.XLOOKUP(B1085,Personal!$A:$A,Personal!$D:$D,""),"")</f>
        <v>0</v>
      </c>
      <c r="D1085" s="9" cm="1">
        <f t="array" ref="D1085">IFERROR(_xlfn.XLOOKUP(B1085,Personal!$A:$A,Personal!$C:$C,""),"")</f>
        <v>0</v>
      </c>
      <c r="E1085" s="9" t="str" cm="1">
        <f t="array" ref="E1085">IFERROR(_xlfn.XLOOKUP(D1085,Locales!$A:$A,Locales!$B:$B,""),"")</f>
        <v/>
      </c>
      <c r="F1085" s="9" cm="1">
        <f t="array" ref="F1085">IFERROR(_xlfn.XLOOKUP(B1085,Personal!$A:$A,Personal!$F:$F,""),"")</f>
        <v>0</v>
      </c>
      <c r="I1085" s="10" cm="1">
        <f t="array" ref="I1085">IFERROR(INDEX(Precios!$D:$F,MATCH(N1085, Precios!$G:$G, 0),CHOOSE(MATCH(H1085, {"SML";"XL";"XXL"}, 0), 1, 2, 3)), 0)</f>
        <v>0</v>
      </c>
      <c r="K1085" s="10">
        <f t="shared" si="38"/>
        <v>0</v>
      </c>
      <c r="N1085" s="9" t="str">
        <f t="shared" si="39"/>
        <v/>
      </c>
      <c r="O1085" s="9" t="str">
        <f>IF(N1085="","",IF(COUNTIF(Precios!$G:$G,N1085)=0,"⚠ No coincide con Precios","OK"))</f>
        <v/>
      </c>
    </row>
    <row r="1086" spans="3:15" x14ac:dyDescent="0.2">
      <c r="C1086" s="9" cm="1">
        <f t="array" ref="C1086">IFERROR(_xlfn.XLOOKUP(B1086,Personal!$A:$A,Personal!$D:$D,""),"")</f>
        <v>0</v>
      </c>
      <c r="D1086" s="9" cm="1">
        <f t="array" ref="D1086">IFERROR(_xlfn.XLOOKUP(B1086,Personal!$A:$A,Personal!$C:$C,""),"")</f>
        <v>0</v>
      </c>
      <c r="E1086" s="9" t="str" cm="1">
        <f t="array" ref="E1086">IFERROR(_xlfn.XLOOKUP(D1086,Locales!$A:$A,Locales!$B:$B,""),"")</f>
        <v/>
      </c>
      <c r="F1086" s="9" cm="1">
        <f t="array" ref="F1086">IFERROR(_xlfn.XLOOKUP(B1086,Personal!$A:$A,Personal!$F:$F,""),"")</f>
        <v>0</v>
      </c>
      <c r="I1086" s="10" cm="1">
        <f t="array" ref="I1086">IFERROR(INDEX(Precios!$D:$F,MATCH(N1086, Precios!$G:$G, 0),CHOOSE(MATCH(H1086, {"SML";"XL";"XXL"}, 0), 1, 2, 3)), 0)</f>
        <v>0</v>
      </c>
      <c r="K1086" s="10">
        <f t="shared" ref="K1086:K1149" si="40">IFERROR(I1086*J1086,0)</f>
        <v>0</v>
      </c>
      <c r="N1086" s="9" t="str">
        <f t="shared" ref="N1086:N1149" si="41">IF( OR(E1086="",F1086="",G1086=""), "",CLEAN(TRIM(E1086)) &amp; "|" &amp; CLEAN(TRIM(F1086)) &amp; "|" &amp; CLEAN(TRIM(G1086)))</f>
        <v/>
      </c>
      <c r="O1086" s="9" t="str">
        <f>IF(N1086="","",IF(COUNTIF(Precios!$G:$G,N1086)=0,"⚠ No coincide con Precios","OK"))</f>
        <v/>
      </c>
    </row>
    <row r="1087" spans="3:15" x14ac:dyDescent="0.2">
      <c r="C1087" s="9" cm="1">
        <f t="array" ref="C1087">IFERROR(_xlfn.XLOOKUP(B1087,Personal!$A:$A,Personal!$D:$D,""),"")</f>
        <v>0</v>
      </c>
      <c r="D1087" s="9" cm="1">
        <f t="array" ref="D1087">IFERROR(_xlfn.XLOOKUP(B1087,Personal!$A:$A,Personal!$C:$C,""),"")</f>
        <v>0</v>
      </c>
      <c r="E1087" s="9" t="str" cm="1">
        <f t="array" ref="E1087">IFERROR(_xlfn.XLOOKUP(D1087,Locales!$A:$A,Locales!$B:$B,""),"")</f>
        <v/>
      </c>
      <c r="F1087" s="9" cm="1">
        <f t="array" ref="F1087">IFERROR(_xlfn.XLOOKUP(B1087,Personal!$A:$A,Personal!$F:$F,""),"")</f>
        <v>0</v>
      </c>
      <c r="I1087" s="10" cm="1">
        <f t="array" ref="I1087">IFERROR(INDEX(Precios!$D:$F,MATCH(N1087, Precios!$G:$G, 0),CHOOSE(MATCH(H1087, {"SML";"XL";"XXL"}, 0), 1, 2, 3)), 0)</f>
        <v>0</v>
      </c>
      <c r="K1087" s="10">
        <f t="shared" si="40"/>
        <v>0</v>
      </c>
      <c r="N1087" s="9" t="str">
        <f t="shared" si="41"/>
        <v/>
      </c>
      <c r="O1087" s="9" t="str">
        <f>IF(N1087="","",IF(COUNTIF(Precios!$G:$G,N1087)=0,"⚠ No coincide con Precios","OK"))</f>
        <v/>
      </c>
    </row>
    <row r="1088" spans="3:15" x14ac:dyDescent="0.2">
      <c r="C1088" s="9" cm="1">
        <f t="array" ref="C1088">IFERROR(_xlfn.XLOOKUP(B1088,Personal!$A:$A,Personal!$D:$D,""),"")</f>
        <v>0</v>
      </c>
      <c r="D1088" s="9" cm="1">
        <f t="array" ref="D1088">IFERROR(_xlfn.XLOOKUP(B1088,Personal!$A:$A,Personal!$C:$C,""),"")</f>
        <v>0</v>
      </c>
      <c r="E1088" s="9" t="str" cm="1">
        <f t="array" ref="E1088">IFERROR(_xlfn.XLOOKUP(D1088,Locales!$A:$A,Locales!$B:$B,""),"")</f>
        <v/>
      </c>
      <c r="F1088" s="9" cm="1">
        <f t="array" ref="F1088">IFERROR(_xlfn.XLOOKUP(B1088,Personal!$A:$A,Personal!$F:$F,""),"")</f>
        <v>0</v>
      </c>
      <c r="I1088" s="10" cm="1">
        <f t="array" ref="I1088">IFERROR(INDEX(Precios!$D:$F,MATCH(N1088, Precios!$G:$G, 0),CHOOSE(MATCH(H1088, {"SML";"XL";"XXL"}, 0), 1, 2, 3)), 0)</f>
        <v>0</v>
      </c>
      <c r="K1088" s="10">
        <f t="shared" si="40"/>
        <v>0</v>
      </c>
      <c r="N1088" s="9" t="str">
        <f t="shared" si="41"/>
        <v/>
      </c>
      <c r="O1088" s="9" t="str">
        <f>IF(N1088="","",IF(COUNTIF(Precios!$G:$G,N1088)=0,"⚠ No coincide con Precios","OK"))</f>
        <v/>
      </c>
    </row>
    <row r="1089" spans="3:15" x14ac:dyDescent="0.2">
      <c r="C1089" s="9" cm="1">
        <f t="array" ref="C1089">IFERROR(_xlfn.XLOOKUP(B1089,Personal!$A:$A,Personal!$D:$D,""),"")</f>
        <v>0</v>
      </c>
      <c r="D1089" s="9" cm="1">
        <f t="array" ref="D1089">IFERROR(_xlfn.XLOOKUP(B1089,Personal!$A:$A,Personal!$C:$C,""),"")</f>
        <v>0</v>
      </c>
      <c r="E1089" s="9" t="str" cm="1">
        <f t="array" ref="E1089">IFERROR(_xlfn.XLOOKUP(D1089,Locales!$A:$A,Locales!$B:$B,""),"")</f>
        <v/>
      </c>
      <c r="F1089" s="9" cm="1">
        <f t="array" ref="F1089">IFERROR(_xlfn.XLOOKUP(B1089,Personal!$A:$A,Personal!$F:$F,""),"")</f>
        <v>0</v>
      </c>
      <c r="I1089" s="10" cm="1">
        <f t="array" ref="I1089">IFERROR(INDEX(Precios!$D:$F,MATCH(N1089, Precios!$G:$G, 0),CHOOSE(MATCH(H1089, {"SML";"XL";"XXL"}, 0), 1, 2, 3)), 0)</f>
        <v>0</v>
      </c>
      <c r="K1089" s="10">
        <f t="shared" si="40"/>
        <v>0</v>
      </c>
      <c r="N1089" s="9" t="str">
        <f t="shared" si="41"/>
        <v/>
      </c>
      <c r="O1089" s="9" t="str">
        <f>IF(N1089="","",IF(COUNTIF(Precios!$G:$G,N1089)=0,"⚠ No coincide con Precios","OK"))</f>
        <v/>
      </c>
    </row>
    <row r="1090" spans="3:15" x14ac:dyDescent="0.2">
      <c r="C1090" s="9" cm="1">
        <f t="array" ref="C1090">IFERROR(_xlfn.XLOOKUP(B1090,Personal!$A:$A,Personal!$D:$D,""),"")</f>
        <v>0</v>
      </c>
      <c r="D1090" s="9" cm="1">
        <f t="array" ref="D1090">IFERROR(_xlfn.XLOOKUP(B1090,Personal!$A:$A,Personal!$C:$C,""),"")</f>
        <v>0</v>
      </c>
      <c r="E1090" s="9" t="str" cm="1">
        <f t="array" ref="E1090">IFERROR(_xlfn.XLOOKUP(D1090,Locales!$A:$A,Locales!$B:$B,""),"")</f>
        <v/>
      </c>
      <c r="F1090" s="9" cm="1">
        <f t="array" ref="F1090">IFERROR(_xlfn.XLOOKUP(B1090,Personal!$A:$A,Personal!$F:$F,""),"")</f>
        <v>0</v>
      </c>
      <c r="I1090" s="10" cm="1">
        <f t="array" ref="I1090">IFERROR(INDEX(Precios!$D:$F,MATCH(N1090, Precios!$G:$G, 0),CHOOSE(MATCH(H1090, {"SML";"XL";"XXL"}, 0), 1, 2, 3)), 0)</f>
        <v>0</v>
      </c>
      <c r="K1090" s="10">
        <f t="shared" si="40"/>
        <v>0</v>
      </c>
      <c r="N1090" s="9" t="str">
        <f t="shared" si="41"/>
        <v/>
      </c>
      <c r="O1090" s="9" t="str">
        <f>IF(N1090="","",IF(COUNTIF(Precios!$G:$G,N1090)=0,"⚠ No coincide con Precios","OK"))</f>
        <v/>
      </c>
    </row>
    <row r="1091" spans="3:15" x14ac:dyDescent="0.2">
      <c r="C1091" s="9" cm="1">
        <f t="array" ref="C1091">IFERROR(_xlfn.XLOOKUP(B1091,Personal!$A:$A,Personal!$D:$D,""),"")</f>
        <v>0</v>
      </c>
      <c r="D1091" s="9" cm="1">
        <f t="array" ref="D1091">IFERROR(_xlfn.XLOOKUP(B1091,Personal!$A:$A,Personal!$C:$C,""),"")</f>
        <v>0</v>
      </c>
      <c r="E1091" s="9" t="str" cm="1">
        <f t="array" ref="E1091">IFERROR(_xlfn.XLOOKUP(D1091,Locales!$A:$A,Locales!$B:$B,""),"")</f>
        <v/>
      </c>
      <c r="F1091" s="9" cm="1">
        <f t="array" ref="F1091">IFERROR(_xlfn.XLOOKUP(B1091,Personal!$A:$A,Personal!$F:$F,""),"")</f>
        <v>0</v>
      </c>
      <c r="I1091" s="10" cm="1">
        <f t="array" ref="I1091">IFERROR(INDEX(Precios!$D:$F,MATCH(N1091, Precios!$G:$G, 0),CHOOSE(MATCH(H1091, {"SML";"XL";"XXL"}, 0), 1, 2, 3)), 0)</f>
        <v>0</v>
      </c>
      <c r="K1091" s="10">
        <f t="shared" si="40"/>
        <v>0</v>
      </c>
      <c r="N1091" s="9" t="str">
        <f t="shared" si="41"/>
        <v/>
      </c>
      <c r="O1091" s="9" t="str">
        <f>IF(N1091="","",IF(COUNTIF(Precios!$G:$G,N1091)=0,"⚠ No coincide con Precios","OK"))</f>
        <v/>
      </c>
    </row>
    <row r="1092" spans="3:15" x14ac:dyDescent="0.2">
      <c r="C1092" s="9" cm="1">
        <f t="array" ref="C1092">IFERROR(_xlfn.XLOOKUP(B1092,Personal!$A:$A,Personal!$D:$D,""),"")</f>
        <v>0</v>
      </c>
      <c r="D1092" s="9" cm="1">
        <f t="array" ref="D1092">IFERROR(_xlfn.XLOOKUP(B1092,Personal!$A:$A,Personal!$C:$C,""),"")</f>
        <v>0</v>
      </c>
      <c r="E1092" s="9" t="str" cm="1">
        <f t="array" ref="E1092">IFERROR(_xlfn.XLOOKUP(D1092,Locales!$A:$A,Locales!$B:$B,""),"")</f>
        <v/>
      </c>
      <c r="F1092" s="9" cm="1">
        <f t="array" ref="F1092">IFERROR(_xlfn.XLOOKUP(B1092,Personal!$A:$A,Personal!$F:$F,""),"")</f>
        <v>0</v>
      </c>
      <c r="I1092" s="10" cm="1">
        <f t="array" ref="I1092">IFERROR(INDEX(Precios!$D:$F,MATCH(N1092, Precios!$G:$G, 0),CHOOSE(MATCH(H1092, {"SML";"XL";"XXL"}, 0), 1, 2, 3)), 0)</f>
        <v>0</v>
      </c>
      <c r="K1092" s="10">
        <f t="shared" si="40"/>
        <v>0</v>
      </c>
      <c r="N1092" s="9" t="str">
        <f t="shared" si="41"/>
        <v/>
      </c>
      <c r="O1092" s="9" t="str">
        <f>IF(N1092="","",IF(COUNTIF(Precios!$G:$G,N1092)=0,"⚠ No coincide con Precios","OK"))</f>
        <v/>
      </c>
    </row>
    <row r="1093" spans="3:15" x14ac:dyDescent="0.2">
      <c r="C1093" s="9" cm="1">
        <f t="array" ref="C1093">IFERROR(_xlfn.XLOOKUP(B1093,Personal!$A:$A,Personal!$D:$D,""),"")</f>
        <v>0</v>
      </c>
      <c r="D1093" s="9" cm="1">
        <f t="array" ref="D1093">IFERROR(_xlfn.XLOOKUP(B1093,Personal!$A:$A,Personal!$C:$C,""),"")</f>
        <v>0</v>
      </c>
      <c r="E1093" s="9" t="str" cm="1">
        <f t="array" ref="E1093">IFERROR(_xlfn.XLOOKUP(D1093,Locales!$A:$A,Locales!$B:$B,""),"")</f>
        <v/>
      </c>
      <c r="F1093" s="9" cm="1">
        <f t="array" ref="F1093">IFERROR(_xlfn.XLOOKUP(B1093,Personal!$A:$A,Personal!$F:$F,""),"")</f>
        <v>0</v>
      </c>
      <c r="I1093" s="10" cm="1">
        <f t="array" ref="I1093">IFERROR(INDEX(Precios!$D:$F,MATCH(N1093, Precios!$G:$G, 0),CHOOSE(MATCH(H1093, {"SML";"XL";"XXL"}, 0), 1, 2, 3)), 0)</f>
        <v>0</v>
      </c>
      <c r="K1093" s="10">
        <f t="shared" si="40"/>
        <v>0</v>
      </c>
      <c r="N1093" s="9" t="str">
        <f t="shared" si="41"/>
        <v/>
      </c>
      <c r="O1093" s="9" t="str">
        <f>IF(N1093="","",IF(COUNTIF(Precios!$G:$G,N1093)=0,"⚠ No coincide con Precios","OK"))</f>
        <v/>
      </c>
    </row>
    <row r="1094" spans="3:15" x14ac:dyDescent="0.2">
      <c r="C1094" s="9" cm="1">
        <f t="array" ref="C1094">IFERROR(_xlfn.XLOOKUP(B1094,Personal!$A:$A,Personal!$D:$D,""),"")</f>
        <v>0</v>
      </c>
      <c r="D1094" s="9" cm="1">
        <f t="array" ref="D1094">IFERROR(_xlfn.XLOOKUP(B1094,Personal!$A:$A,Personal!$C:$C,""),"")</f>
        <v>0</v>
      </c>
      <c r="E1094" s="9" t="str" cm="1">
        <f t="array" ref="E1094">IFERROR(_xlfn.XLOOKUP(D1094,Locales!$A:$A,Locales!$B:$B,""),"")</f>
        <v/>
      </c>
      <c r="F1094" s="9" cm="1">
        <f t="array" ref="F1094">IFERROR(_xlfn.XLOOKUP(B1094,Personal!$A:$A,Personal!$F:$F,""),"")</f>
        <v>0</v>
      </c>
      <c r="I1094" s="10" cm="1">
        <f t="array" ref="I1094">IFERROR(INDEX(Precios!$D:$F,MATCH(N1094, Precios!$G:$G, 0),CHOOSE(MATCH(H1094, {"SML";"XL";"XXL"}, 0), 1, 2, 3)), 0)</f>
        <v>0</v>
      </c>
      <c r="K1094" s="10">
        <f t="shared" si="40"/>
        <v>0</v>
      </c>
      <c r="N1094" s="9" t="str">
        <f t="shared" si="41"/>
        <v/>
      </c>
      <c r="O1094" s="9" t="str">
        <f>IF(N1094="","",IF(COUNTIF(Precios!$G:$G,N1094)=0,"⚠ No coincide con Precios","OK"))</f>
        <v/>
      </c>
    </row>
    <row r="1095" spans="3:15" x14ac:dyDescent="0.2">
      <c r="C1095" s="9" cm="1">
        <f t="array" ref="C1095">IFERROR(_xlfn.XLOOKUP(B1095,Personal!$A:$A,Personal!$D:$D,""),"")</f>
        <v>0</v>
      </c>
      <c r="D1095" s="9" cm="1">
        <f t="array" ref="D1095">IFERROR(_xlfn.XLOOKUP(B1095,Personal!$A:$A,Personal!$C:$C,""),"")</f>
        <v>0</v>
      </c>
      <c r="E1095" s="9" t="str" cm="1">
        <f t="array" ref="E1095">IFERROR(_xlfn.XLOOKUP(D1095,Locales!$A:$A,Locales!$B:$B,""),"")</f>
        <v/>
      </c>
      <c r="F1095" s="9" cm="1">
        <f t="array" ref="F1095">IFERROR(_xlfn.XLOOKUP(B1095,Personal!$A:$A,Personal!$F:$F,""),"")</f>
        <v>0</v>
      </c>
      <c r="I1095" s="10" cm="1">
        <f t="array" ref="I1095">IFERROR(INDEX(Precios!$D:$F,MATCH(N1095, Precios!$G:$G, 0),CHOOSE(MATCH(H1095, {"SML";"XL";"XXL"}, 0), 1, 2, 3)), 0)</f>
        <v>0</v>
      </c>
      <c r="K1095" s="10">
        <f t="shared" si="40"/>
        <v>0</v>
      </c>
      <c r="N1095" s="9" t="str">
        <f t="shared" si="41"/>
        <v/>
      </c>
      <c r="O1095" s="9" t="str">
        <f>IF(N1095="","",IF(COUNTIF(Precios!$G:$G,N1095)=0,"⚠ No coincide con Precios","OK"))</f>
        <v/>
      </c>
    </row>
    <row r="1096" spans="3:15" x14ac:dyDescent="0.2">
      <c r="C1096" s="9" cm="1">
        <f t="array" ref="C1096">IFERROR(_xlfn.XLOOKUP(B1096,Personal!$A:$A,Personal!$D:$D,""),"")</f>
        <v>0</v>
      </c>
      <c r="D1096" s="9" cm="1">
        <f t="array" ref="D1096">IFERROR(_xlfn.XLOOKUP(B1096,Personal!$A:$A,Personal!$C:$C,""),"")</f>
        <v>0</v>
      </c>
      <c r="E1096" s="9" t="str" cm="1">
        <f t="array" ref="E1096">IFERROR(_xlfn.XLOOKUP(D1096,Locales!$A:$A,Locales!$B:$B,""),"")</f>
        <v/>
      </c>
      <c r="F1096" s="9" cm="1">
        <f t="array" ref="F1096">IFERROR(_xlfn.XLOOKUP(B1096,Personal!$A:$A,Personal!$F:$F,""),"")</f>
        <v>0</v>
      </c>
      <c r="I1096" s="10" cm="1">
        <f t="array" ref="I1096">IFERROR(INDEX(Precios!$D:$F,MATCH(N1096, Precios!$G:$G, 0),CHOOSE(MATCH(H1096, {"SML";"XL";"XXL"}, 0), 1, 2, 3)), 0)</f>
        <v>0</v>
      </c>
      <c r="K1096" s="10">
        <f t="shared" si="40"/>
        <v>0</v>
      </c>
      <c r="N1096" s="9" t="str">
        <f t="shared" si="41"/>
        <v/>
      </c>
      <c r="O1096" s="9" t="str">
        <f>IF(N1096="","",IF(COUNTIF(Precios!$G:$G,N1096)=0,"⚠ No coincide con Precios","OK"))</f>
        <v/>
      </c>
    </row>
    <row r="1097" spans="3:15" x14ac:dyDescent="0.2">
      <c r="C1097" s="9" cm="1">
        <f t="array" ref="C1097">IFERROR(_xlfn.XLOOKUP(B1097,Personal!$A:$A,Personal!$D:$D,""),"")</f>
        <v>0</v>
      </c>
      <c r="D1097" s="9" cm="1">
        <f t="array" ref="D1097">IFERROR(_xlfn.XLOOKUP(B1097,Personal!$A:$A,Personal!$C:$C,""),"")</f>
        <v>0</v>
      </c>
      <c r="E1097" s="9" t="str" cm="1">
        <f t="array" ref="E1097">IFERROR(_xlfn.XLOOKUP(D1097,Locales!$A:$A,Locales!$B:$B,""),"")</f>
        <v/>
      </c>
      <c r="F1097" s="9" cm="1">
        <f t="array" ref="F1097">IFERROR(_xlfn.XLOOKUP(B1097,Personal!$A:$A,Personal!$F:$F,""),"")</f>
        <v>0</v>
      </c>
      <c r="I1097" s="10" cm="1">
        <f t="array" ref="I1097">IFERROR(INDEX(Precios!$D:$F,MATCH(N1097, Precios!$G:$G, 0),CHOOSE(MATCH(H1097, {"SML";"XL";"XXL"}, 0), 1, 2, 3)), 0)</f>
        <v>0</v>
      </c>
      <c r="K1097" s="10">
        <f t="shared" si="40"/>
        <v>0</v>
      </c>
      <c r="N1097" s="9" t="str">
        <f t="shared" si="41"/>
        <v/>
      </c>
      <c r="O1097" s="9" t="str">
        <f>IF(N1097="","",IF(COUNTIF(Precios!$G:$G,N1097)=0,"⚠ No coincide con Precios","OK"))</f>
        <v/>
      </c>
    </row>
    <row r="1098" spans="3:15" x14ac:dyDescent="0.2">
      <c r="C1098" s="9" cm="1">
        <f t="array" ref="C1098">IFERROR(_xlfn.XLOOKUP(B1098,Personal!$A:$A,Personal!$D:$D,""),"")</f>
        <v>0</v>
      </c>
      <c r="D1098" s="9" cm="1">
        <f t="array" ref="D1098">IFERROR(_xlfn.XLOOKUP(B1098,Personal!$A:$A,Personal!$C:$C,""),"")</f>
        <v>0</v>
      </c>
      <c r="E1098" s="9" t="str" cm="1">
        <f t="array" ref="E1098">IFERROR(_xlfn.XLOOKUP(D1098,Locales!$A:$A,Locales!$B:$B,""),"")</f>
        <v/>
      </c>
      <c r="F1098" s="9" cm="1">
        <f t="array" ref="F1098">IFERROR(_xlfn.XLOOKUP(B1098,Personal!$A:$A,Personal!$F:$F,""),"")</f>
        <v>0</v>
      </c>
      <c r="I1098" s="10" cm="1">
        <f t="array" ref="I1098">IFERROR(INDEX(Precios!$D:$F,MATCH(N1098, Precios!$G:$G, 0),CHOOSE(MATCH(H1098, {"SML";"XL";"XXL"}, 0), 1, 2, 3)), 0)</f>
        <v>0</v>
      </c>
      <c r="K1098" s="10">
        <f t="shared" si="40"/>
        <v>0</v>
      </c>
      <c r="N1098" s="9" t="str">
        <f t="shared" si="41"/>
        <v/>
      </c>
      <c r="O1098" s="9" t="str">
        <f>IF(N1098="","",IF(COUNTIF(Precios!$G:$G,N1098)=0,"⚠ No coincide con Precios","OK"))</f>
        <v/>
      </c>
    </row>
    <row r="1099" spans="3:15" x14ac:dyDescent="0.2">
      <c r="C1099" s="9" cm="1">
        <f t="array" ref="C1099">IFERROR(_xlfn.XLOOKUP(B1099,Personal!$A:$A,Personal!$D:$D,""),"")</f>
        <v>0</v>
      </c>
      <c r="D1099" s="9" cm="1">
        <f t="array" ref="D1099">IFERROR(_xlfn.XLOOKUP(B1099,Personal!$A:$A,Personal!$C:$C,""),"")</f>
        <v>0</v>
      </c>
      <c r="E1099" s="9" t="str" cm="1">
        <f t="array" ref="E1099">IFERROR(_xlfn.XLOOKUP(D1099,Locales!$A:$A,Locales!$B:$B,""),"")</f>
        <v/>
      </c>
      <c r="F1099" s="9" cm="1">
        <f t="array" ref="F1099">IFERROR(_xlfn.XLOOKUP(B1099,Personal!$A:$A,Personal!$F:$F,""),"")</f>
        <v>0</v>
      </c>
      <c r="I1099" s="10" cm="1">
        <f t="array" ref="I1099">IFERROR(INDEX(Precios!$D:$F,MATCH(N1099, Precios!$G:$G, 0),CHOOSE(MATCH(H1099, {"SML";"XL";"XXL"}, 0), 1, 2, 3)), 0)</f>
        <v>0</v>
      </c>
      <c r="K1099" s="10">
        <f t="shared" si="40"/>
        <v>0</v>
      </c>
      <c r="N1099" s="9" t="str">
        <f t="shared" si="41"/>
        <v/>
      </c>
      <c r="O1099" s="9" t="str">
        <f>IF(N1099="","",IF(COUNTIF(Precios!$G:$G,N1099)=0,"⚠ No coincide con Precios","OK"))</f>
        <v/>
      </c>
    </row>
    <row r="1100" spans="3:15" x14ac:dyDescent="0.2">
      <c r="C1100" s="9" cm="1">
        <f t="array" ref="C1100">IFERROR(_xlfn.XLOOKUP(B1100,Personal!$A:$A,Personal!$D:$D,""),"")</f>
        <v>0</v>
      </c>
      <c r="D1100" s="9" cm="1">
        <f t="array" ref="D1100">IFERROR(_xlfn.XLOOKUP(B1100,Personal!$A:$A,Personal!$C:$C,""),"")</f>
        <v>0</v>
      </c>
      <c r="E1100" s="9" t="str" cm="1">
        <f t="array" ref="E1100">IFERROR(_xlfn.XLOOKUP(D1100,Locales!$A:$A,Locales!$B:$B,""),"")</f>
        <v/>
      </c>
      <c r="F1100" s="9" cm="1">
        <f t="array" ref="F1100">IFERROR(_xlfn.XLOOKUP(B1100,Personal!$A:$A,Personal!$F:$F,""),"")</f>
        <v>0</v>
      </c>
      <c r="I1100" s="10" cm="1">
        <f t="array" ref="I1100">IFERROR(INDEX(Precios!$D:$F,MATCH(N1100, Precios!$G:$G, 0),CHOOSE(MATCH(H1100, {"SML";"XL";"XXL"}, 0), 1, 2, 3)), 0)</f>
        <v>0</v>
      </c>
      <c r="K1100" s="10">
        <f t="shared" si="40"/>
        <v>0</v>
      </c>
      <c r="N1100" s="9" t="str">
        <f t="shared" si="41"/>
        <v/>
      </c>
      <c r="O1100" s="9" t="str">
        <f>IF(N1100="","",IF(COUNTIF(Precios!$G:$G,N1100)=0,"⚠ No coincide con Precios","OK"))</f>
        <v/>
      </c>
    </row>
    <row r="1101" spans="3:15" x14ac:dyDescent="0.2">
      <c r="C1101" s="9" cm="1">
        <f t="array" ref="C1101">IFERROR(_xlfn.XLOOKUP(B1101,Personal!$A:$A,Personal!$D:$D,""),"")</f>
        <v>0</v>
      </c>
      <c r="D1101" s="9" cm="1">
        <f t="array" ref="D1101">IFERROR(_xlfn.XLOOKUP(B1101,Personal!$A:$A,Personal!$C:$C,""),"")</f>
        <v>0</v>
      </c>
      <c r="E1101" s="9" t="str" cm="1">
        <f t="array" ref="E1101">IFERROR(_xlfn.XLOOKUP(D1101,Locales!$A:$A,Locales!$B:$B,""),"")</f>
        <v/>
      </c>
      <c r="F1101" s="9" cm="1">
        <f t="array" ref="F1101">IFERROR(_xlfn.XLOOKUP(B1101,Personal!$A:$A,Personal!$F:$F,""),"")</f>
        <v>0</v>
      </c>
      <c r="I1101" s="10" cm="1">
        <f t="array" ref="I1101">IFERROR(INDEX(Precios!$D:$F,MATCH(N1101, Precios!$G:$G, 0),CHOOSE(MATCH(H1101, {"SML";"XL";"XXL"}, 0), 1, 2, 3)), 0)</f>
        <v>0</v>
      </c>
      <c r="K1101" s="10">
        <f t="shared" si="40"/>
        <v>0</v>
      </c>
      <c r="N1101" s="9" t="str">
        <f t="shared" si="41"/>
        <v/>
      </c>
      <c r="O1101" s="9" t="str">
        <f>IF(N1101="","",IF(COUNTIF(Precios!$G:$G,N1101)=0,"⚠ No coincide con Precios","OK"))</f>
        <v/>
      </c>
    </row>
    <row r="1102" spans="3:15" x14ac:dyDescent="0.2">
      <c r="C1102" s="9" cm="1">
        <f t="array" ref="C1102">IFERROR(_xlfn.XLOOKUP(B1102,Personal!$A:$A,Personal!$D:$D,""),"")</f>
        <v>0</v>
      </c>
      <c r="D1102" s="9" cm="1">
        <f t="array" ref="D1102">IFERROR(_xlfn.XLOOKUP(B1102,Personal!$A:$A,Personal!$C:$C,""),"")</f>
        <v>0</v>
      </c>
      <c r="E1102" s="9" t="str" cm="1">
        <f t="array" ref="E1102">IFERROR(_xlfn.XLOOKUP(D1102,Locales!$A:$A,Locales!$B:$B,""),"")</f>
        <v/>
      </c>
      <c r="F1102" s="9" cm="1">
        <f t="array" ref="F1102">IFERROR(_xlfn.XLOOKUP(B1102,Personal!$A:$A,Personal!$F:$F,""),"")</f>
        <v>0</v>
      </c>
      <c r="I1102" s="10" cm="1">
        <f t="array" ref="I1102">IFERROR(INDEX(Precios!$D:$F,MATCH(N1102, Precios!$G:$G, 0),CHOOSE(MATCH(H1102, {"SML";"XL";"XXL"}, 0), 1, 2, 3)), 0)</f>
        <v>0</v>
      </c>
      <c r="K1102" s="10">
        <f t="shared" si="40"/>
        <v>0</v>
      </c>
      <c r="N1102" s="9" t="str">
        <f t="shared" si="41"/>
        <v/>
      </c>
      <c r="O1102" s="9" t="str">
        <f>IF(N1102="","",IF(COUNTIF(Precios!$G:$G,N1102)=0,"⚠ No coincide con Precios","OK"))</f>
        <v/>
      </c>
    </row>
    <row r="1103" spans="3:15" x14ac:dyDescent="0.2">
      <c r="C1103" s="9" cm="1">
        <f t="array" ref="C1103">IFERROR(_xlfn.XLOOKUP(B1103,Personal!$A:$A,Personal!$D:$D,""),"")</f>
        <v>0</v>
      </c>
      <c r="D1103" s="9" cm="1">
        <f t="array" ref="D1103">IFERROR(_xlfn.XLOOKUP(B1103,Personal!$A:$A,Personal!$C:$C,""),"")</f>
        <v>0</v>
      </c>
      <c r="E1103" s="9" t="str" cm="1">
        <f t="array" ref="E1103">IFERROR(_xlfn.XLOOKUP(D1103,Locales!$A:$A,Locales!$B:$B,""),"")</f>
        <v/>
      </c>
      <c r="F1103" s="9" cm="1">
        <f t="array" ref="F1103">IFERROR(_xlfn.XLOOKUP(B1103,Personal!$A:$A,Personal!$F:$F,""),"")</f>
        <v>0</v>
      </c>
      <c r="I1103" s="10" cm="1">
        <f t="array" ref="I1103">IFERROR(INDEX(Precios!$D:$F,MATCH(N1103, Precios!$G:$G, 0),CHOOSE(MATCH(H1103, {"SML";"XL";"XXL"}, 0), 1, 2, 3)), 0)</f>
        <v>0</v>
      </c>
      <c r="K1103" s="10">
        <f t="shared" si="40"/>
        <v>0</v>
      </c>
      <c r="N1103" s="9" t="str">
        <f t="shared" si="41"/>
        <v/>
      </c>
      <c r="O1103" s="9" t="str">
        <f>IF(N1103="","",IF(COUNTIF(Precios!$G:$G,N1103)=0,"⚠ No coincide con Precios","OK"))</f>
        <v/>
      </c>
    </row>
    <row r="1104" spans="3:15" x14ac:dyDescent="0.2">
      <c r="C1104" s="9" cm="1">
        <f t="array" ref="C1104">IFERROR(_xlfn.XLOOKUP(B1104,Personal!$A:$A,Personal!$D:$D,""),"")</f>
        <v>0</v>
      </c>
      <c r="D1104" s="9" cm="1">
        <f t="array" ref="D1104">IFERROR(_xlfn.XLOOKUP(B1104,Personal!$A:$A,Personal!$C:$C,""),"")</f>
        <v>0</v>
      </c>
      <c r="E1104" s="9" t="str" cm="1">
        <f t="array" ref="E1104">IFERROR(_xlfn.XLOOKUP(D1104,Locales!$A:$A,Locales!$B:$B,""),"")</f>
        <v/>
      </c>
      <c r="F1104" s="9" cm="1">
        <f t="array" ref="F1104">IFERROR(_xlfn.XLOOKUP(B1104,Personal!$A:$A,Personal!$F:$F,""),"")</f>
        <v>0</v>
      </c>
      <c r="I1104" s="10" cm="1">
        <f t="array" ref="I1104">IFERROR(INDEX(Precios!$D:$F,MATCH(N1104, Precios!$G:$G, 0),CHOOSE(MATCH(H1104, {"SML";"XL";"XXL"}, 0), 1, 2, 3)), 0)</f>
        <v>0</v>
      </c>
      <c r="K1104" s="10">
        <f t="shared" si="40"/>
        <v>0</v>
      </c>
      <c r="N1104" s="9" t="str">
        <f t="shared" si="41"/>
        <v/>
      </c>
      <c r="O1104" s="9" t="str">
        <f>IF(N1104="","",IF(COUNTIF(Precios!$G:$G,N1104)=0,"⚠ No coincide con Precios","OK"))</f>
        <v/>
      </c>
    </row>
    <row r="1105" spans="3:15" x14ac:dyDescent="0.2">
      <c r="C1105" s="9" cm="1">
        <f t="array" ref="C1105">IFERROR(_xlfn.XLOOKUP(B1105,Personal!$A:$A,Personal!$D:$D,""),"")</f>
        <v>0</v>
      </c>
      <c r="D1105" s="9" cm="1">
        <f t="array" ref="D1105">IFERROR(_xlfn.XLOOKUP(B1105,Personal!$A:$A,Personal!$C:$C,""),"")</f>
        <v>0</v>
      </c>
      <c r="E1105" s="9" t="str" cm="1">
        <f t="array" ref="E1105">IFERROR(_xlfn.XLOOKUP(D1105,Locales!$A:$A,Locales!$B:$B,""),"")</f>
        <v/>
      </c>
      <c r="F1105" s="9" cm="1">
        <f t="array" ref="F1105">IFERROR(_xlfn.XLOOKUP(B1105,Personal!$A:$A,Personal!$F:$F,""),"")</f>
        <v>0</v>
      </c>
      <c r="I1105" s="10" cm="1">
        <f t="array" ref="I1105">IFERROR(INDEX(Precios!$D:$F,MATCH(N1105, Precios!$G:$G, 0),CHOOSE(MATCH(H1105, {"SML";"XL";"XXL"}, 0), 1, 2, 3)), 0)</f>
        <v>0</v>
      </c>
      <c r="K1105" s="10">
        <f t="shared" si="40"/>
        <v>0</v>
      </c>
      <c r="N1105" s="9" t="str">
        <f t="shared" si="41"/>
        <v/>
      </c>
      <c r="O1105" s="9" t="str">
        <f>IF(N1105="","",IF(COUNTIF(Precios!$G:$G,N1105)=0,"⚠ No coincide con Precios","OK"))</f>
        <v/>
      </c>
    </row>
    <row r="1106" spans="3:15" x14ac:dyDescent="0.2">
      <c r="C1106" s="9" cm="1">
        <f t="array" ref="C1106">IFERROR(_xlfn.XLOOKUP(B1106,Personal!$A:$A,Personal!$D:$D,""),"")</f>
        <v>0</v>
      </c>
      <c r="D1106" s="9" cm="1">
        <f t="array" ref="D1106">IFERROR(_xlfn.XLOOKUP(B1106,Personal!$A:$A,Personal!$C:$C,""),"")</f>
        <v>0</v>
      </c>
      <c r="E1106" s="9" t="str" cm="1">
        <f t="array" ref="E1106">IFERROR(_xlfn.XLOOKUP(D1106,Locales!$A:$A,Locales!$B:$B,""),"")</f>
        <v/>
      </c>
      <c r="F1106" s="9" cm="1">
        <f t="array" ref="F1106">IFERROR(_xlfn.XLOOKUP(B1106,Personal!$A:$A,Personal!$F:$F,""),"")</f>
        <v>0</v>
      </c>
      <c r="I1106" s="10" cm="1">
        <f t="array" ref="I1106">IFERROR(INDEX(Precios!$D:$F,MATCH(N1106, Precios!$G:$G, 0),CHOOSE(MATCH(H1106, {"SML";"XL";"XXL"}, 0), 1, 2, 3)), 0)</f>
        <v>0</v>
      </c>
      <c r="K1106" s="10">
        <f t="shared" si="40"/>
        <v>0</v>
      </c>
      <c r="N1106" s="9" t="str">
        <f t="shared" si="41"/>
        <v/>
      </c>
      <c r="O1106" s="9" t="str">
        <f>IF(N1106="","",IF(COUNTIF(Precios!$G:$G,N1106)=0,"⚠ No coincide con Precios","OK"))</f>
        <v/>
      </c>
    </row>
    <row r="1107" spans="3:15" x14ac:dyDescent="0.2">
      <c r="C1107" s="9" cm="1">
        <f t="array" ref="C1107">IFERROR(_xlfn.XLOOKUP(B1107,Personal!$A:$A,Personal!$D:$D,""),"")</f>
        <v>0</v>
      </c>
      <c r="D1107" s="9" cm="1">
        <f t="array" ref="D1107">IFERROR(_xlfn.XLOOKUP(B1107,Personal!$A:$A,Personal!$C:$C,""),"")</f>
        <v>0</v>
      </c>
      <c r="E1107" s="9" t="str" cm="1">
        <f t="array" ref="E1107">IFERROR(_xlfn.XLOOKUP(D1107,Locales!$A:$A,Locales!$B:$B,""),"")</f>
        <v/>
      </c>
      <c r="F1107" s="9" cm="1">
        <f t="array" ref="F1107">IFERROR(_xlfn.XLOOKUP(B1107,Personal!$A:$A,Personal!$F:$F,""),"")</f>
        <v>0</v>
      </c>
      <c r="I1107" s="10" cm="1">
        <f t="array" ref="I1107">IFERROR(INDEX(Precios!$D:$F,MATCH(N1107, Precios!$G:$G, 0),CHOOSE(MATCH(H1107, {"SML";"XL";"XXL"}, 0), 1, 2, 3)), 0)</f>
        <v>0</v>
      </c>
      <c r="K1107" s="10">
        <f t="shared" si="40"/>
        <v>0</v>
      </c>
      <c r="N1107" s="9" t="str">
        <f t="shared" si="41"/>
        <v/>
      </c>
      <c r="O1107" s="9" t="str">
        <f>IF(N1107="","",IF(COUNTIF(Precios!$G:$G,N1107)=0,"⚠ No coincide con Precios","OK"))</f>
        <v/>
      </c>
    </row>
    <row r="1108" spans="3:15" x14ac:dyDescent="0.2">
      <c r="C1108" s="9" cm="1">
        <f t="array" ref="C1108">IFERROR(_xlfn.XLOOKUP(B1108,Personal!$A:$A,Personal!$D:$D,""),"")</f>
        <v>0</v>
      </c>
      <c r="D1108" s="9" cm="1">
        <f t="array" ref="D1108">IFERROR(_xlfn.XLOOKUP(B1108,Personal!$A:$A,Personal!$C:$C,""),"")</f>
        <v>0</v>
      </c>
      <c r="E1108" s="9" t="str" cm="1">
        <f t="array" ref="E1108">IFERROR(_xlfn.XLOOKUP(D1108,Locales!$A:$A,Locales!$B:$B,""),"")</f>
        <v/>
      </c>
      <c r="F1108" s="9" cm="1">
        <f t="array" ref="F1108">IFERROR(_xlfn.XLOOKUP(B1108,Personal!$A:$A,Personal!$F:$F,""),"")</f>
        <v>0</v>
      </c>
      <c r="I1108" s="10" cm="1">
        <f t="array" ref="I1108">IFERROR(INDEX(Precios!$D:$F,MATCH(N1108, Precios!$G:$G, 0),CHOOSE(MATCH(H1108, {"SML";"XL";"XXL"}, 0), 1, 2, 3)), 0)</f>
        <v>0</v>
      </c>
      <c r="K1108" s="10">
        <f t="shared" si="40"/>
        <v>0</v>
      </c>
      <c r="N1108" s="9" t="str">
        <f t="shared" si="41"/>
        <v/>
      </c>
      <c r="O1108" s="9" t="str">
        <f>IF(N1108="","",IF(COUNTIF(Precios!$G:$G,N1108)=0,"⚠ No coincide con Precios","OK"))</f>
        <v/>
      </c>
    </row>
    <row r="1109" spans="3:15" x14ac:dyDescent="0.2">
      <c r="C1109" s="9" cm="1">
        <f t="array" ref="C1109">IFERROR(_xlfn.XLOOKUP(B1109,Personal!$A:$A,Personal!$D:$D,""),"")</f>
        <v>0</v>
      </c>
      <c r="D1109" s="9" cm="1">
        <f t="array" ref="D1109">IFERROR(_xlfn.XLOOKUP(B1109,Personal!$A:$A,Personal!$C:$C,""),"")</f>
        <v>0</v>
      </c>
      <c r="E1109" s="9" t="str" cm="1">
        <f t="array" ref="E1109">IFERROR(_xlfn.XLOOKUP(D1109,Locales!$A:$A,Locales!$B:$B,""),"")</f>
        <v/>
      </c>
      <c r="F1109" s="9" cm="1">
        <f t="array" ref="F1109">IFERROR(_xlfn.XLOOKUP(B1109,Personal!$A:$A,Personal!$F:$F,""),"")</f>
        <v>0</v>
      </c>
      <c r="I1109" s="10" cm="1">
        <f t="array" ref="I1109">IFERROR(INDEX(Precios!$D:$F,MATCH(N1109, Precios!$G:$G, 0),CHOOSE(MATCH(H1109, {"SML";"XL";"XXL"}, 0), 1, 2, 3)), 0)</f>
        <v>0</v>
      </c>
      <c r="K1109" s="10">
        <f t="shared" si="40"/>
        <v>0</v>
      </c>
      <c r="N1109" s="9" t="str">
        <f t="shared" si="41"/>
        <v/>
      </c>
      <c r="O1109" s="9" t="str">
        <f>IF(N1109="","",IF(COUNTIF(Precios!$G:$G,N1109)=0,"⚠ No coincide con Precios","OK"))</f>
        <v/>
      </c>
    </row>
    <row r="1110" spans="3:15" x14ac:dyDescent="0.2">
      <c r="C1110" s="9" cm="1">
        <f t="array" ref="C1110">IFERROR(_xlfn.XLOOKUP(B1110,Personal!$A:$A,Personal!$D:$D,""),"")</f>
        <v>0</v>
      </c>
      <c r="D1110" s="9" cm="1">
        <f t="array" ref="D1110">IFERROR(_xlfn.XLOOKUP(B1110,Personal!$A:$A,Personal!$C:$C,""),"")</f>
        <v>0</v>
      </c>
      <c r="E1110" s="9" t="str" cm="1">
        <f t="array" ref="E1110">IFERROR(_xlfn.XLOOKUP(D1110,Locales!$A:$A,Locales!$B:$B,""),"")</f>
        <v/>
      </c>
      <c r="F1110" s="9" cm="1">
        <f t="array" ref="F1110">IFERROR(_xlfn.XLOOKUP(B1110,Personal!$A:$A,Personal!$F:$F,""),"")</f>
        <v>0</v>
      </c>
      <c r="I1110" s="10" cm="1">
        <f t="array" ref="I1110">IFERROR(INDEX(Precios!$D:$F,MATCH(N1110, Precios!$G:$G, 0),CHOOSE(MATCH(H1110, {"SML";"XL";"XXL"}, 0), 1, 2, 3)), 0)</f>
        <v>0</v>
      </c>
      <c r="K1110" s="10">
        <f t="shared" si="40"/>
        <v>0</v>
      </c>
      <c r="N1110" s="9" t="str">
        <f t="shared" si="41"/>
        <v/>
      </c>
      <c r="O1110" s="9" t="str">
        <f>IF(N1110="","",IF(COUNTIF(Precios!$G:$G,N1110)=0,"⚠ No coincide con Precios","OK"))</f>
        <v/>
      </c>
    </row>
    <row r="1111" spans="3:15" x14ac:dyDescent="0.2">
      <c r="C1111" s="9" cm="1">
        <f t="array" ref="C1111">IFERROR(_xlfn.XLOOKUP(B1111,Personal!$A:$A,Personal!$D:$D,""),"")</f>
        <v>0</v>
      </c>
      <c r="D1111" s="9" cm="1">
        <f t="array" ref="D1111">IFERROR(_xlfn.XLOOKUP(B1111,Personal!$A:$A,Personal!$C:$C,""),"")</f>
        <v>0</v>
      </c>
      <c r="E1111" s="9" t="str" cm="1">
        <f t="array" ref="E1111">IFERROR(_xlfn.XLOOKUP(D1111,Locales!$A:$A,Locales!$B:$B,""),"")</f>
        <v/>
      </c>
      <c r="F1111" s="9" cm="1">
        <f t="array" ref="F1111">IFERROR(_xlfn.XLOOKUP(B1111,Personal!$A:$A,Personal!$F:$F,""),"")</f>
        <v>0</v>
      </c>
      <c r="I1111" s="10" cm="1">
        <f t="array" ref="I1111">IFERROR(INDEX(Precios!$D:$F,MATCH(N1111, Precios!$G:$G, 0),CHOOSE(MATCH(H1111, {"SML";"XL";"XXL"}, 0), 1, 2, 3)), 0)</f>
        <v>0</v>
      </c>
      <c r="K1111" s="10">
        <f t="shared" si="40"/>
        <v>0</v>
      </c>
      <c r="N1111" s="9" t="str">
        <f t="shared" si="41"/>
        <v/>
      </c>
      <c r="O1111" s="9" t="str">
        <f>IF(N1111="","",IF(COUNTIF(Precios!$G:$G,N1111)=0,"⚠ No coincide con Precios","OK"))</f>
        <v/>
      </c>
    </row>
    <row r="1112" spans="3:15" x14ac:dyDescent="0.2">
      <c r="C1112" s="9" cm="1">
        <f t="array" ref="C1112">IFERROR(_xlfn.XLOOKUP(B1112,Personal!$A:$A,Personal!$D:$D,""),"")</f>
        <v>0</v>
      </c>
      <c r="D1112" s="9" cm="1">
        <f t="array" ref="D1112">IFERROR(_xlfn.XLOOKUP(B1112,Personal!$A:$A,Personal!$C:$C,""),"")</f>
        <v>0</v>
      </c>
      <c r="E1112" s="9" t="str" cm="1">
        <f t="array" ref="E1112">IFERROR(_xlfn.XLOOKUP(D1112,Locales!$A:$A,Locales!$B:$B,""),"")</f>
        <v/>
      </c>
      <c r="F1112" s="9" cm="1">
        <f t="array" ref="F1112">IFERROR(_xlfn.XLOOKUP(B1112,Personal!$A:$A,Personal!$F:$F,""),"")</f>
        <v>0</v>
      </c>
      <c r="I1112" s="10" cm="1">
        <f t="array" ref="I1112">IFERROR(INDEX(Precios!$D:$F,MATCH(N1112, Precios!$G:$G, 0),CHOOSE(MATCH(H1112, {"SML";"XL";"XXL"}, 0), 1, 2, 3)), 0)</f>
        <v>0</v>
      </c>
      <c r="K1112" s="10">
        <f t="shared" si="40"/>
        <v>0</v>
      </c>
      <c r="N1112" s="9" t="str">
        <f t="shared" si="41"/>
        <v/>
      </c>
      <c r="O1112" s="9" t="str">
        <f>IF(N1112="","",IF(COUNTIF(Precios!$G:$G,N1112)=0,"⚠ No coincide con Precios","OK"))</f>
        <v/>
      </c>
    </row>
    <row r="1113" spans="3:15" x14ac:dyDescent="0.2">
      <c r="C1113" s="9" cm="1">
        <f t="array" ref="C1113">IFERROR(_xlfn.XLOOKUP(B1113,Personal!$A:$A,Personal!$D:$D,""),"")</f>
        <v>0</v>
      </c>
      <c r="D1113" s="9" cm="1">
        <f t="array" ref="D1113">IFERROR(_xlfn.XLOOKUP(B1113,Personal!$A:$A,Personal!$C:$C,""),"")</f>
        <v>0</v>
      </c>
      <c r="E1113" s="9" t="str" cm="1">
        <f t="array" ref="E1113">IFERROR(_xlfn.XLOOKUP(D1113,Locales!$A:$A,Locales!$B:$B,""),"")</f>
        <v/>
      </c>
      <c r="F1113" s="9" cm="1">
        <f t="array" ref="F1113">IFERROR(_xlfn.XLOOKUP(B1113,Personal!$A:$A,Personal!$F:$F,""),"")</f>
        <v>0</v>
      </c>
      <c r="I1113" s="10" cm="1">
        <f t="array" ref="I1113">IFERROR(INDEX(Precios!$D:$F,MATCH(N1113, Precios!$G:$G, 0),CHOOSE(MATCH(H1113, {"SML";"XL";"XXL"}, 0), 1, 2, 3)), 0)</f>
        <v>0</v>
      </c>
      <c r="K1113" s="10">
        <f t="shared" si="40"/>
        <v>0</v>
      </c>
      <c r="N1113" s="9" t="str">
        <f t="shared" si="41"/>
        <v/>
      </c>
      <c r="O1113" s="9" t="str">
        <f>IF(N1113="","",IF(COUNTIF(Precios!$G:$G,N1113)=0,"⚠ No coincide con Precios","OK"))</f>
        <v/>
      </c>
    </row>
    <row r="1114" spans="3:15" x14ac:dyDescent="0.2">
      <c r="C1114" s="9" cm="1">
        <f t="array" ref="C1114">IFERROR(_xlfn.XLOOKUP(B1114,Personal!$A:$A,Personal!$D:$D,""),"")</f>
        <v>0</v>
      </c>
      <c r="D1114" s="9" cm="1">
        <f t="array" ref="D1114">IFERROR(_xlfn.XLOOKUP(B1114,Personal!$A:$A,Personal!$C:$C,""),"")</f>
        <v>0</v>
      </c>
      <c r="E1114" s="9" t="str" cm="1">
        <f t="array" ref="E1114">IFERROR(_xlfn.XLOOKUP(D1114,Locales!$A:$A,Locales!$B:$B,""),"")</f>
        <v/>
      </c>
      <c r="F1114" s="9" cm="1">
        <f t="array" ref="F1114">IFERROR(_xlfn.XLOOKUP(B1114,Personal!$A:$A,Personal!$F:$F,""),"")</f>
        <v>0</v>
      </c>
      <c r="I1114" s="10" cm="1">
        <f t="array" ref="I1114">IFERROR(INDEX(Precios!$D:$F,MATCH(N1114, Precios!$G:$G, 0),CHOOSE(MATCH(H1114, {"SML";"XL";"XXL"}, 0), 1, 2, 3)), 0)</f>
        <v>0</v>
      </c>
      <c r="K1114" s="10">
        <f t="shared" si="40"/>
        <v>0</v>
      </c>
      <c r="N1114" s="9" t="str">
        <f t="shared" si="41"/>
        <v/>
      </c>
      <c r="O1114" s="9" t="str">
        <f>IF(N1114="","",IF(COUNTIF(Precios!$G:$G,N1114)=0,"⚠ No coincide con Precios","OK"))</f>
        <v/>
      </c>
    </row>
    <row r="1115" spans="3:15" x14ac:dyDescent="0.2">
      <c r="C1115" s="9" cm="1">
        <f t="array" ref="C1115">IFERROR(_xlfn.XLOOKUP(B1115,Personal!$A:$A,Personal!$D:$D,""),"")</f>
        <v>0</v>
      </c>
      <c r="D1115" s="9" cm="1">
        <f t="array" ref="D1115">IFERROR(_xlfn.XLOOKUP(B1115,Personal!$A:$A,Personal!$C:$C,""),"")</f>
        <v>0</v>
      </c>
      <c r="E1115" s="9" t="str" cm="1">
        <f t="array" ref="E1115">IFERROR(_xlfn.XLOOKUP(D1115,Locales!$A:$A,Locales!$B:$B,""),"")</f>
        <v/>
      </c>
      <c r="F1115" s="9" cm="1">
        <f t="array" ref="F1115">IFERROR(_xlfn.XLOOKUP(B1115,Personal!$A:$A,Personal!$F:$F,""),"")</f>
        <v>0</v>
      </c>
      <c r="I1115" s="10" cm="1">
        <f t="array" ref="I1115">IFERROR(INDEX(Precios!$D:$F,MATCH(N1115, Precios!$G:$G, 0),CHOOSE(MATCH(H1115, {"SML";"XL";"XXL"}, 0), 1, 2, 3)), 0)</f>
        <v>0</v>
      </c>
      <c r="K1115" s="10">
        <f t="shared" si="40"/>
        <v>0</v>
      </c>
      <c r="N1115" s="9" t="str">
        <f t="shared" si="41"/>
        <v/>
      </c>
      <c r="O1115" s="9" t="str">
        <f>IF(N1115="","",IF(COUNTIF(Precios!$G:$G,N1115)=0,"⚠ No coincide con Precios","OK"))</f>
        <v/>
      </c>
    </row>
    <row r="1116" spans="3:15" x14ac:dyDescent="0.2">
      <c r="C1116" s="9" cm="1">
        <f t="array" ref="C1116">IFERROR(_xlfn.XLOOKUP(B1116,Personal!$A:$A,Personal!$D:$D,""),"")</f>
        <v>0</v>
      </c>
      <c r="D1116" s="9" cm="1">
        <f t="array" ref="D1116">IFERROR(_xlfn.XLOOKUP(B1116,Personal!$A:$A,Personal!$C:$C,""),"")</f>
        <v>0</v>
      </c>
      <c r="E1116" s="9" t="str" cm="1">
        <f t="array" ref="E1116">IFERROR(_xlfn.XLOOKUP(D1116,Locales!$A:$A,Locales!$B:$B,""),"")</f>
        <v/>
      </c>
      <c r="F1116" s="9" cm="1">
        <f t="array" ref="F1116">IFERROR(_xlfn.XLOOKUP(B1116,Personal!$A:$A,Personal!$F:$F,""),"")</f>
        <v>0</v>
      </c>
      <c r="I1116" s="10" cm="1">
        <f t="array" ref="I1116">IFERROR(INDEX(Precios!$D:$F,MATCH(N1116, Precios!$G:$G, 0),CHOOSE(MATCH(H1116, {"SML";"XL";"XXL"}, 0), 1, 2, 3)), 0)</f>
        <v>0</v>
      </c>
      <c r="K1116" s="10">
        <f t="shared" si="40"/>
        <v>0</v>
      </c>
      <c r="N1116" s="9" t="str">
        <f t="shared" si="41"/>
        <v/>
      </c>
      <c r="O1116" s="9" t="str">
        <f>IF(N1116="","",IF(COUNTIF(Precios!$G:$G,N1116)=0,"⚠ No coincide con Precios","OK"))</f>
        <v/>
      </c>
    </row>
    <row r="1117" spans="3:15" x14ac:dyDescent="0.2">
      <c r="C1117" s="9" cm="1">
        <f t="array" ref="C1117">IFERROR(_xlfn.XLOOKUP(B1117,Personal!$A:$A,Personal!$D:$D,""),"")</f>
        <v>0</v>
      </c>
      <c r="D1117" s="9" cm="1">
        <f t="array" ref="D1117">IFERROR(_xlfn.XLOOKUP(B1117,Personal!$A:$A,Personal!$C:$C,""),"")</f>
        <v>0</v>
      </c>
      <c r="E1117" s="9" t="str" cm="1">
        <f t="array" ref="E1117">IFERROR(_xlfn.XLOOKUP(D1117,Locales!$A:$A,Locales!$B:$B,""),"")</f>
        <v/>
      </c>
      <c r="F1117" s="9" cm="1">
        <f t="array" ref="F1117">IFERROR(_xlfn.XLOOKUP(B1117,Personal!$A:$A,Personal!$F:$F,""),"")</f>
        <v>0</v>
      </c>
      <c r="I1117" s="10" cm="1">
        <f t="array" ref="I1117">IFERROR(INDEX(Precios!$D:$F,MATCH(N1117, Precios!$G:$G, 0),CHOOSE(MATCH(H1117, {"SML";"XL";"XXL"}, 0), 1, 2, 3)), 0)</f>
        <v>0</v>
      </c>
      <c r="K1117" s="10">
        <f t="shared" si="40"/>
        <v>0</v>
      </c>
      <c r="N1117" s="9" t="str">
        <f t="shared" si="41"/>
        <v/>
      </c>
      <c r="O1117" s="9" t="str">
        <f>IF(N1117="","",IF(COUNTIF(Precios!$G:$G,N1117)=0,"⚠ No coincide con Precios","OK"))</f>
        <v/>
      </c>
    </row>
    <row r="1118" spans="3:15" x14ac:dyDescent="0.2">
      <c r="C1118" s="9" cm="1">
        <f t="array" ref="C1118">IFERROR(_xlfn.XLOOKUP(B1118,Personal!$A:$A,Personal!$D:$D,""),"")</f>
        <v>0</v>
      </c>
      <c r="D1118" s="9" cm="1">
        <f t="array" ref="D1118">IFERROR(_xlfn.XLOOKUP(B1118,Personal!$A:$A,Personal!$C:$C,""),"")</f>
        <v>0</v>
      </c>
      <c r="E1118" s="9" t="str" cm="1">
        <f t="array" ref="E1118">IFERROR(_xlfn.XLOOKUP(D1118,Locales!$A:$A,Locales!$B:$B,""),"")</f>
        <v/>
      </c>
      <c r="F1118" s="9" cm="1">
        <f t="array" ref="F1118">IFERROR(_xlfn.XLOOKUP(B1118,Personal!$A:$A,Personal!$F:$F,""),"")</f>
        <v>0</v>
      </c>
      <c r="I1118" s="10" cm="1">
        <f t="array" ref="I1118">IFERROR(INDEX(Precios!$D:$F,MATCH(N1118, Precios!$G:$G, 0),CHOOSE(MATCH(H1118, {"SML";"XL";"XXL"}, 0), 1, 2, 3)), 0)</f>
        <v>0</v>
      </c>
      <c r="K1118" s="10">
        <f t="shared" si="40"/>
        <v>0</v>
      </c>
      <c r="N1118" s="9" t="str">
        <f t="shared" si="41"/>
        <v/>
      </c>
      <c r="O1118" s="9" t="str">
        <f>IF(N1118="","",IF(COUNTIF(Precios!$G:$G,N1118)=0,"⚠ No coincide con Precios","OK"))</f>
        <v/>
      </c>
    </row>
    <row r="1119" spans="3:15" x14ac:dyDescent="0.2">
      <c r="C1119" s="9" cm="1">
        <f t="array" ref="C1119">IFERROR(_xlfn.XLOOKUP(B1119,Personal!$A:$A,Personal!$D:$D,""),"")</f>
        <v>0</v>
      </c>
      <c r="D1119" s="9" cm="1">
        <f t="array" ref="D1119">IFERROR(_xlfn.XLOOKUP(B1119,Personal!$A:$A,Personal!$C:$C,""),"")</f>
        <v>0</v>
      </c>
      <c r="E1119" s="9" t="str" cm="1">
        <f t="array" ref="E1119">IFERROR(_xlfn.XLOOKUP(D1119,Locales!$A:$A,Locales!$B:$B,""),"")</f>
        <v/>
      </c>
      <c r="F1119" s="9" cm="1">
        <f t="array" ref="F1119">IFERROR(_xlfn.XLOOKUP(B1119,Personal!$A:$A,Personal!$F:$F,""),"")</f>
        <v>0</v>
      </c>
      <c r="I1119" s="10" cm="1">
        <f t="array" ref="I1119">IFERROR(INDEX(Precios!$D:$F,MATCH(N1119, Precios!$G:$G, 0),CHOOSE(MATCH(H1119, {"SML";"XL";"XXL"}, 0), 1, 2, 3)), 0)</f>
        <v>0</v>
      </c>
      <c r="K1119" s="10">
        <f t="shared" si="40"/>
        <v>0</v>
      </c>
      <c r="N1119" s="9" t="str">
        <f t="shared" si="41"/>
        <v/>
      </c>
      <c r="O1119" s="9" t="str">
        <f>IF(N1119="","",IF(COUNTIF(Precios!$G:$G,N1119)=0,"⚠ No coincide con Precios","OK"))</f>
        <v/>
      </c>
    </row>
    <row r="1120" spans="3:15" x14ac:dyDescent="0.2">
      <c r="C1120" s="9" cm="1">
        <f t="array" ref="C1120">IFERROR(_xlfn.XLOOKUP(B1120,Personal!$A:$A,Personal!$D:$D,""),"")</f>
        <v>0</v>
      </c>
      <c r="D1120" s="9" cm="1">
        <f t="array" ref="D1120">IFERROR(_xlfn.XLOOKUP(B1120,Personal!$A:$A,Personal!$C:$C,""),"")</f>
        <v>0</v>
      </c>
      <c r="E1120" s="9" t="str" cm="1">
        <f t="array" ref="E1120">IFERROR(_xlfn.XLOOKUP(D1120,Locales!$A:$A,Locales!$B:$B,""),"")</f>
        <v/>
      </c>
      <c r="F1120" s="9" cm="1">
        <f t="array" ref="F1120">IFERROR(_xlfn.XLOOKUP(B1120,Personal!$A:$A,Personal!$F:$F,""),"")</f>
        <v>0</v>
      </c>
      <c r="I1120" s="10" cm="1">
        <f t="array" ref="I1120">IFERROR(INDEX(Precios!$D:$F,MATCH(N1120, Precios!$G:$G, 0),CHOOSE(MATCH(H1120, {"SML";"XL";"XXL"}, 0), 1, 2, 3)), 0)</f>
        <v>0</v>
      </c>
      <c r="K1120" s="10">
        <f t="shared" si="40"/>
        <v>0</v>
      </c>
      <c r="N1120" s="9" t="str">
        <f t="shared" si="41"/>
        <v/>
      </c>
      <c r="O1120" s="9" t="str">
        <f>IF(N1120="","",IF(COUNTIF(Precios!$G:$G,N1120)=0,"⚠ No coincide con Precios","OK"))</f>
        <v/>
      </c>
    </row>
    <row r="1121" spans="3:15" x14ac:dyDescent="0.2">
      <c r="C1121" s="9" cm="1">
        <f t="array" ref="C1121">IFERROR(_xlfn.XLOOKUP(B1121,Personal!$A:$A,Personal!$D:$D,""),"")</f>
        <v>0</v>
      </c>
      <c r="D1121" s="9" cm="1">
        <f t="array" ref="D1121">IFERROR(_xlfn.XLOOKUP(B1121,Personal!$A:$A,Personal!$C:$C,""),"")</f>
        <v>0</v>
      </c>
      <c r="E1121" s="9" t="str" cm="1">
        <f t="array" ref="E1121">IFERROR(_xlfn.XLOOKUP(D1121,Locales!$A:$A,Locales!$B:$B,""),"")</f>
        <v/>
      </c>
      <c r="F1121" s="9" cm="1">
        <f t="array" ref="F1121">IFERROR(_xlfn.XLOOKUP(B1121,Personal!$A:$A,Personal!$F:$F,""),"")</f>
        <v>0</v>
      </c>
      <c r="I1121" s="10" cm="1">
        <f t="array" ref="I1121">IFERROR(INDEX(Precios!$D:$F,MATCH(N1121, Precios!$G:$G, 0),CHOOSE(MATCH(H1121, {"SML";"XL";"XXL"}, 0), 1, 2, 3)), 0)</f>
        <v>0</v>
      </c>
      <c r="K1121" s="10">
        <f t="shared" si="40"/>
        <v>0</v>
      </c>
      <c r="N1121" s="9" t="str">
        <f t="shared" si="41"/>
        <v/>
      </c>
      <c r="O1121" s="9" t="str">
        <f>IF(N1121="","",IF(COUNTIF(Precios!$G:$G,N1121)=0,"⚠ No coincide con Precios","OK"))</f>
        <v/>
      </c>
    </row>
    <row r="1122" spans="3:15" x14ac:dyDescent="0.2">
      <c r="C1122" s="9" cm="1">
        <f t="array" ref="C1122">IFERROR(_xlfn.XLOOKUP(B1122,Personal!$A:$A,Personal!$D:$D,""),"")</f>
        <v>0</v>
      </c>
      <c r="D1122" s="9" cm="1">
        <f t="array" ref="D1122">IFERROR(_xlfn.XLOOKUP(B1122,Personal!$A:$A,Personal!$C:$C,""),"")</f>
        <v>0</v>
      </c>
      <c r="E1122" s="9" t="str" cm="1">
        <f t="array" ref="E1122">IFERROR(_xlfn.XLOOKUP(D1122,Locales!$A:$A,Locales!$B:$B,""),"")</f>
        <v/>
      </c>
      <c r="F1122" s="9" cm="1">
        <f t="array" ref="F1122">IFERROR(_xlfn.XLOOKUP(B1122,Personal!$A:$A,Personal!$F:$F,""),"")</f>
        <v>0</v>
      </c>
      <c r="I1122" s="10" cm="1">
        <f t="array" ref="I1122">IFERROR(INDEX(Precios!$D:$F,MATCH(N1122, Precios!$G:$G, 0),CHOOSE(MATCH(H1122, {"SML";"XL";"XXL"}, 0), 1, 2, 3)), 0)</f>
        <v>0</v>
      </c>
      <c r="K1122" s="10">
        <f t="shared" si="40"/>
        <v>0</v>
      </c>
      <c r="N1122" s="9" t="str">
        <f t="shared" si="41"/>
        <v/>
      </c>
      <c r="O1122" s="9" t="str">
        <f>IF(N1122="","",IF(COUNTIF(Precios!$G:$G,N1122)=0,"⚠ No coincide con Precios","OK"))</f>
        <v/>
      </c>
    </row>
    <row r="1123" spans="3:15" x14ac:dyDescent="0.2">
      <c r="C1123" s="9" cm="1">
        <f t="array" ref="C1123">IFERROR(_xlfn.XLOOKUP(B1123,Personal!$A:$A,Personal!$D:$D,""),"")</f>
        <v>0</v>
      </c>
      <c r="D1123" s="9" cm="1">
        <f t="array" ref="D1123">IFERROR(_xlfn.XLOOKUP(B1123,Personal!$A:$A,Personal!$C:$C,""),"")</f>
        <v>0</v>
      </c>
      <c r="E1123" s="9" t="str" cm="1">
        <f t="array" ref="E1123">IFERROR(_xlfn.XLOOKUP(D1123,Locales!$A:$A,Locales!$B:$B,""),"")</f>
        <v/>
      </c>
      <c r="F1123" s="9" cm="1">
        <f t="array" ref="F1123">IFERROR(_xlfn.XLOOKUP(B1123,Personal!$A:$A,Personal!$F:$F,""),"")</f>
        <v>0</v>
      </c>
      <c r="I1123" s="10" cm="1">
        <f t="array" ref="I1123">IFERROR(INDEX(Precios!$D:$F,MATCH(N1123, Precios!$G:$G, 0),CHOOSE(MATCH(H1123, {"SML";"XL";"XXL"}, 0), 1, 2, 3)), 0)</f>
        <v>0</v>
      </c>
      <c r="K1123" s="10">
        <f t="shared" si="40"/>
        <v>0</v>
      </c>
      <c r="N1123" s="9" t="str">
        <f t="shared" si="41"/>
        <v/>
      </c>
      <c r="O1123" s="9" t="str">
        <f>IF(N1123="","",IF(COUNTIF(Precios!$G:$G,N1123)=0,"⚠ No coincide con Precios","OK"))</f>
        <v/>
      </c>
    </row>
    <row r="1124" spans="3:15" x14ac:dyDescent="0.2">
      <c r="C1124" s="9" cm="1">
        <f t="array" ref="C1124">IFERROR(_xlfn.XLOOKUP(B1124,Personal!$A:$A,Personal!$D:$D,""),"")</f>
        <v>0</v>
      </c>
      <c r="D1124" s="9" cm="1">
        <f t="array" ref="D1124">IFERROR(_xlfn.XLOOKUP(B1124,Personal!$A:$A,Personal!$C:$C,""),"")</f>
        <v>0</v>
      </c>
      <c r="E1124" s="9" t="str" cm="1">
        <f t="array" ref="E1124">IFERROR(_xlfn.XLOOKUP(D1124,Locales!$A:$A,Locales!$B:$B,""),"")</f>
        <v/>
      </c>
      <c r="F1124" s="9" cm="1">
        <f t="array" ref="F1124">IFERROR(_xlfn.XLOOKUP(B1124,Personal!$A:$A,Personal!$F:$F,""),"")</f>
        <v>0</v>
      </c>
      <c r="I1124" s="10" cm="1">
        <f t="array" ref="I1124">IFERROR(INDEX(Precios!$D:$F,MATCH(N1124, Precios!$G:$G, 0),CHOOSE(MATCH(H1124, {"SML";"XL";"XXL"}, 0), 1, 2, 3)), 0)</f>
        <v>0</v>
      </c>
      <c r="K1124" s="10">
        <f t="shared" si="40"/>
        <v>0</v>
      </c>
      <c r="N1124" s="9" t="str">
        <f t="shared" si="41"/>
        <v/>
      </c>
      <c r="O1124" s="9" t="str">
        <f>IF(N1124="","",IF(COUNTIF(Precios!$G:$G,N1124)=0,"⚠ No coincide con Precios","OK"))</f>
        <v/>
      </c>
    </row>
    <row r="1125" spans="3:15" x14ac:dyDescent="0.2">
      <c r="C1125" s="9" cm="1">
        <f t="array" ref="C1125">IFERROR(_xlfn.XLOOKUP(B1125,Personal!$A:$A,Personal!$D:$D,""),"")</f>
        <v>0</v>
      </c>
      <c r="D1125" s="9" cm="1">
        <f t="array" ref="D1125">IFERROR(_xlfn.XLOOKUP(B1125,Personal!$A:$A,Personal!$C:$C,""),"")</f>
        <v>0</v>
      </c>
      <c r="E1125" s="9" t="str" cm="1">
        <f t="array" ref="E1125">IFERROR(_xlfn.XLOOKUP(D1125,Locales!$A:$A,Locales!$B:$B,""),"")</f>
        <v/>
      </c>
      <c r="F1125" s="9" cm="1">
        <f t="array" ref="F1125">IFERROR(_xlfn.XLOOKUP(B1125,Personal!$A:$A,Personal!$F:$F,""),"")</f>
        <v>0</v>
      </c>
      <c r="I1125" s="10" cm="1">
        <f t="array" ref="I1125">IFERROR(INDEX(Precios!$D:$F,MATCH(N1125, Precios!$G:$G, 0),CHOOSE(MATCH(H1125, {"SML";"XL";"XXL"}, 0), 1, 2, 3)), 0)</f>
        <v>0</v>
      </c>
      <c r="K1125" s="10">
        <f t="shared" si="40"/>
        <v>0</v>
      </c>
      <c r="N1125" s="9" t="str">
        <f t="shared" si="41"/>
        <v/>
      </c>
      <c r="O1125" s="9" t="str">
        <f>IF(N1125="","",IF(COUNTIF(Precios!$G:$G,N1125)=0,"⚠ No coincide con Precios","OK"))</f>
        <v/>
      </c>
    </row>
    <row r="1126" spans="3:15" x14ac:dyDescent="0.2">
      <c r="C1126" s="9" cm="1">
        <f t="array" ref="C1126">IFERROR(_xlfn.XLOOKUP(B1126,Personal!$A:$A,Personal!$D:$D,""),"")</f>
        <v>0</v>
      </c>
      <c r="D1126" s="9" cm="1">
        <f t="array" ref="D1126">IFERROR(_xlfn.XLOOKUP(B1126,Personal!$A:$A,Personal!$C:$C,""),"")</f>
        <v>0</v>
      </c>
      <c r="E1126" s="9" t="str" cm="1">
        <f t="array" ref="E1126">IFERROR(_xlfn.XLOOKUP(D1126,Locales!$A:$A,Locales!$B:$B,""),"")</f>
        <v/>
      </c>
      <c r="F1126" s="9" cm="1">
        <f t="array" ref="F1126">IFERROR(_xlfn.XLOOKUP(B1126,Personal!$A:$A,Personal!$F:$F,""),"")</f>
        <v>0</v>
      </c>
      <c r="I1126" s="10" cm="1">
        <f t="array" ref="I1126">IFERROR(INDEX(Precios!$D:$F,MATCH(N1126, Precios!$G:$G, 0),CHOOSE(MATCH(H1126, {"SML";"XL";"XXL"}, 0), 1, 2, 3)), 0)</f>
        <v>0</v>
      </c>
      <c r="K1126" s="10">
        <f t="shared" si="40"/>
        <v>0</v>
      </c>
      <c r="N1126" s="9" t="str">
        <f t="shared" si="41"/>
        <v/>
      </c>
      <c r="O1126" s="9" t="str">
        <f>IF(N1126="","",IF(COUNTIF(Precios!$G:$G,N1126)=0,"⚠ No coincide con Precios","OK"))</f>
        <v/>
      </c>
    </row>
    <row r="1127" spans="3:15" x14ac:dyDescent="0.2">
      <c r="C1127" s="9" cm="1">
        <f t="array" ref="C1127">IFERROR(_xlfn.XLOOKUP(B1127,Personal!$A:$A,Personal!$D:$D,""),"")</f>
        <v>0</v>
      </c>
      <c r="D1127" s="9" cm="1">
        <f t="array" ref="D1127">IFERROR(_xlfn.XLOOKUP(B1127,Personal!$A:$A,Personal!$C:$C,""),"")</f>
        <v>0</v>
      </c>
      <c r="E1127" s="9" t="str" cm="1">
        <f t="array" ref="E1127">IFERROR(_xlfn.XLOOKUP(D1127,Locales!$A:$A,Locales!$B:$B,""),"")</f>
        <v/>
      </c>
      <c r="F1127" s="9" cm="1">
        <f t="array" ref="F1127">IFERROR(_xlfn.XLOOKUP(B1127,Personal!$A:$A,Personal!$F:$F,""),"")</f>
        <v>0</v>
      </c>
      <c r="I1127" s="10" cm="1">
        <f t="array" ref="I1127">IFERROR(INDEX(Precios!$D:$F,MATCH(N1127, Precios!$G:$G, 0),CHOOSE(MATCH(H1127, {"SML";"XL";"XXL"}, 0), 1, 2, 3)), 0)</f>
        <v>0</v>
      </c>
      <c r="K1127" s="10">
        <f t="shared" si="40"/>
        <v>0</v>
      </c>
      <c r="N1127" s="9" t="str">
        <f t="shared" si="41"/>
        <v/>
      </c>
      <c r="O1127" s="9" t="str">
        <f>IF(N1127="","",IF(COUNTIF(Precios!$G:$G,N1127)=0,"⚠ No coincide con Precios","OK"))</f>
        <v/>
      </c>
    </row>
    <row r="1128" spans="3:15" x14ac:dyDescent="0.2">
      <c r="C1128" s="9" cm="1">
        <f t="array" ref="C1128">IFERROR(_xlfn.XLOOKUP(B1128,Personal!$A:$A,Personal!$D:$D,""),"")</f>
        <v>0</v>
      </c>
      <c r="D1128" s="9" cm="1">
        <f t="array" ref="D1128">IFERROR(_xlfn.XLOOKUP(B1128,Personal!$A:$A,Personal!$C:$C,""),"")</f>
        <v>0</v>
      </c>
      <c r="E1128" s="9" t="str" cm="1">
        <f t="array" ref="E1128">IFERROR(_xlfn.XLOOKUP(D1128,Locales!$A:$A,Locales!$B:$B,""),"")</f>
        <v/>
      </c>
      <c r="F1128" s="9" cm="1">
        <f t="array" ref="F1128">IFERROR(_xlfn.XLOOKUP(B1128,Personal!$A:$A,Personal!$F:$F,""),"")</f>
        <v>0</v>
      </c>
      <c r="I1128" s="10" cm="1">
        <f t="array" ref="I1128">IFERROR(INDEX(Precios!$D:$F,MATCH(N1128, Precios!$G:$G, 0),CHOOSE(MATCH(H1128, {"SML";"XL";"XXL"}, 0), 1, 2, 3)), 0)</f>
        <v>0</v>
      </c>
      <c r="K1128" s="10">
        <f t="shared" si="40"/>
        <v>0</v>
      </c>
      <c r="N1128" s="9" t="str">
        <f t="shared" si="41"/>
        <v/>
      </c>
      <c r="O1128" s="9" t="str">
        <f>IF(N1128="","",IF(COUNTIF(Precios!$G:$G,N1128)=0,"⚠ No coincide con Precios","OK"))</f>
        <v/>
      </c>
    </row>
    <row r="1129" spans="3:15" x14ac:dyDescent="0.2">
      <c r="C1129" s="9" cm="1">
        <f t="array" ref="C1129">IFERROR(_xlfn.XLOOKUP(B1129,Personal!$A:$A,Personal!$D:$D,""),"")</f>
        <v>0</v>
      </c>
      <c r="D1129" s="9" cm="1">
        <f t="array" ref="D1129">IFERROR(_xlfn.XLOOKUP(B1129,Personal!$A:$A,Personal!$C:$C,""),"")</f>
        <v>0</v>
      </c>
      <c r="E1129" s="9" t="str" cm="1">
        <f t="array" ref="E1129">IFERROR(_xlfn.XLOOKUP(D1129,Locales!$A:$A,Locales!$B:$B,""),"")</f>
        <v/>
      </c>
      <c r="F1129" s="9" cm="1">
        <f t="array" ref="F1129">IFERROR(_xlfn.XLOOKUP(B1129,Personal!$A:$A,Personal!$F:$F,""),"")</f>
        <v>0</v>
      </c>
      <c r="I1129" s="10" cm="1">
        <f t="array" ref="I1129">IFERROR(INDEX(Precios!$D:$F,MATCH(N1129, Precios!$G:$G, 0),CHOOSE(MATCH(H1129, {"SML";"XL";"XXL"}, 0), 1, 2, 3)), 0)</f>
        <v>0</v>
      </c>
      <c r="K1129" s="10">
        <f t="shared" si="40"/>
        <v>0</v>
      </c>
      <c r="N1129" s="9" t="str">
        <f t="shared" si="41"/>
        <v/>
      </c>
      <c r="O1129" s="9" t="str">
        <f>IF(N1129="","",IF(COUNTIF(Precios!$G:$G,N1129)=0,"⚠ No coincide con Precios","OK"))</f>
        <v/>
      </c>
    </row>
    <row r="1130" spans="3:15" x14ac:dyDescent="0.2">
      <c r="C1130" s="9" cm="1">
        <f t="array" ref="C1130">IFERROR(_xlfn.XLOOKUP(B1130,Personal!$A:$A,Personal!$D:$D,""),"")</f>
        <v>0</v>
      </c>
      <c r="D1130" s="9" cm="1">
        <f t="array" ref="D1130">IFERROR(_xlfn.XLOOKUP(B1130,Personal!$A:$A,Personal!$C:$C,""),"")</f>
        <v>0</v>
      </c>
      <c r="E1130" s="9" t="str" cm="1">
        <f t="array" ref="E1130">IFERROR(_xlfn.XLOOKUP(D1130,Locales!$A:$A,Locales!$B:$B,""),"")</f>
        <v/>
      </c>
      <c r="F1130" s="9" cm="1">
        <f t="array" ref="F1130">IFERROR(_xlfn.XLOOKUP(B1130,Personal!$A:$A,Personal!$F:$F,""),"")</f>
        <v>0</v>
      </c>
      <c r="I1130" s="10" cm="1">
        <f t="array" ref="I1130">IFERROR(INDEX(Precios!$D:$F,MATCH(N1130, Precios!$G:$G, 0),CHOOSE(MATCH(H1130, {"SML";"XL";"XXL"}, 0), 1, 2, 3)), 0)</f>
        <v>0</v>
      </c>
      <c r="K1130" s="10">
        <f t="shared" si="40"/>
        <v>0</v>
      </c>
      <c r="N1130" s="9" t="str">
        <f t="shared" si="41"/>
        <v/>
      </c>
      <c r="O1130" s="9" t="str">
        <f>IF(N1130="","",IF(COUNTIF(Precios!$G:$G,N1130)=0,"⚠ No coincide con Precios","OK"))</f>
        <v/>
      </c>
    </row>
    <row r="1131" spans="3:15" x14ac:dyDescent="0.2">
      <c r="C1131" s="9" cm="1">
        <f t="array" ref="C1131">IFERROR(_xlfn.XLOOKUP(B1131,Personal!$A:$A,Personal!$D:$D,""),"")</f>
        <v>0</v>
      </c>
      <c r="D1131" s="9" cm="1">
        <f t="array" ref="D1131">IFERROR(_xlfn.XLOOKUP(B1131,Personal!$A:$A,Personal!$C:$C,""),"")</f>
        <v>0</v>
      </c>
      <c r="E1131" s="9" t="str" cm="1">
        <f t="array" ref="E1131">IFERROR(_xlfn.XLOOKUP(D1131,Locales!$A:$A,Locales!$B:$B,""),"")</f>
        <v/>
      </c>
      <c r="F1131" s="9" cm="1">
        <f t="array" ref="F1131">IFERROR(_xlfn.XLOOKUP(B1131,Personal!$A:$A,Personal!$F:$F,""),"")</f>
        <v>0</v>
      </c>
      <c r="I1131" s="10" cm="1">
        <f t="array" ref="I1131">IFERROR(INDEX(Precios!$D:$F,MATCH(N1131, Precios!$G:$G, 0),CHOOSE(MATCH(H1131, {"SML";"XL";"XXL"}, 0), 1, 2, 3)), 0)</f>
        <v>0</v>
      </c>
      <c r="K1131" s="10">
        <f t="shared" si="40"/>
        <v>0</v>
      </c>
      <c r="N1131" s="9" t="str">
        <f t="shared" si="41"/>
        <v/>
      </c>
      <c r="O1131" s="9" t="str">
        <f>IF(N1131="","",IF(COUNTIF(Precios!$G:$G,N1131)=0,"⚠ No coincide con Precios","OK"))</f>
        <v/>
      </c>
    </row>
    <row r="1132" spans="3:15" x14ac:dyDescent="0.2">
      <c r="C1132" s="9" cm="1">
        <f t="array" ref="C1132">IFERROR(_xlfn.XLOOKUP(B1132,Personal!$A:$A,Personal!$D:$D,""),"")</f>
        <v>0</v>
      </c>
      <c r="D1132" s="9" cm="1">
        <f t="array" ref="D1132">IFERROR(_xlfn.XLOOKUP(B1132,Personal!$A:$A,Personal!$C:$C,""),"")</f>
        <v>0</v>
      </c>
      <c r="E1132" s="9" t="str" cm="1">
        <f t="array" ref="E1132">IFERROR(_xlfn.XLOOKUP(D1132,Locales!$A:$A,Locales!$B:$B,""),"")</f>
        <v/>
      </c>
      <c r="F1132" s="9" cm="1">
        <f t="array" ref="F1132">IFERROR(_xlfn.XLOOKUP(B1132,Personal!$A:$A,Personal!$F:$F,""),"")</f>
        <v>0</v>
      </c>
      <c r="I1132" s="10" cm="1">
        <f t="array" ref="I1132">IFERROR(INDEX(Precios!$D:$F,MATCH(N1132, Precios!$G:$G, 0),CHOOSE(MATCH(H1132, {"SML";"XL";"XXL"}, 0), 1, 2, 3)), 0)</f>
        <v>0</v>
      </c>
      <c r="K1132" s="10">
        <f t="shared" si="40"/>
        <v>0</v>
      </c>
      <c r="N1132" s="9" t="str">
        <f t="shared" si="41"/>
        <v/>
      </c>
      <c r="O1132" s="9" t="str">
        <f>IF(N1132="","",IF(COUNTIF(Precios!$G:$G,N1132)=0,"⚠ No coincide con Precios","OK"))</f>
        <v/>
      </c>
    </row>
    <row r="1133" spans="3:15" x14ac:dyDescent="0.2">
      <c r="C1133" s="9" cm="1">
        <f t="array" ref="C1133">IFERROR(_xlfn.XLOOKUP(B1133,Personal!$A:$A,Personal!$D:$D,""),"")</f>
        <v>0</v>
      </c>
      <c r="D1133" s="9" cm="1">
        <f t="array" ref="D1133">IFERROR(_xlfn.XLOOKUP(B1133,Personal!$A:$A,Personal!$C:$C,""),"")</f>
        <v>0</v>
      </c>
      <c r="E1133" s="9" t="str" cm="1">
        <f t="array" ref="E1133">IFERROR(_xlfn.XLOOKUP(D1133,Locales!$A:$A,Locales!$B:$B,""),"")</f>
        <v/>
      </c>
      <c r="F1133" s="9" cm="1">
        <f t="array" ref="F1133">IFERROR(_xlfn.XLOOKUP(B1133,Personal!$A:$A,Personal!$F:$F,""),"")</f>
        <v>0</v>
      </c>
      <c r="I1133" s="10" cm="1">
        <f t="array" ref="I1133">IFERROR(INDEX(Precios!$D:$F,MATCH(N1133, Precios!$G:$G, 0),CHOOSE(MATCH(H1133, {"SML";"XL";"XXL"}, 0), 1, 2, 3)), 0)</f>
        <v>0</v>
      </c>
      <c r="K1133" s="10">
        <f t="shared" si="40"/>
        <v>0</v>
      </c>
      <c r="N1133" s="9" t="str">
        <f t="shared" si="41"/>
        <v/>
      </c>
      <c r="O1133" s="9" t="str">
        <f>IF(N1133="","",IF(COUNTIF(Precios!$G:$G,N1133)=0,"⚠ No coincide con Precios","OK"))</f>
        <v/>
      </c>
    </row>
    <row r="1134" spans="3:15" x14ac:dyDescent="0.2">
      <c r="C1134" s="9" cm="1">
        <f t="array" ref="C1134">IFERROR(_xlfn.XLOOKUP(B1134,Personal!$A:$A,Personal!$D:$D,""),"")</f>
        <v>0</v>
      </c>
      <c r="D1134" s="9" cm="1">
        <f t="array" ref="D1134">IFERROR(_xlfn.XLOOKUP(B1134,Personal!$A:$A,Personal!$C:$C,""),"")</f>
        <v>0</v>
      </c>
      <c r="E1134" s="9" t="str" cm="1">
        <f t="array" ref="E1134">IFERROR(_xlfn.XLOOKUP(D1134,Locales!$A:$A,Locales!$B:$B,""),"")</f>
        <v/>
      </c>
      <c r="F1134" s="9" cm="1">
        <f t="array" ref="F1134">IFERROR(_xlfn.XLOOKUP(B1134,Personal!$A:$A,Personal!$F:$F,""),"")</f>
        <v>0</v>
      </c>
      <c r="I1134" s="10" cm="1">
        <f t="array" ref="I1134">IFERROR(INDEX(Precios!$D:$F,MATCH(N1134, Precios!$G:$G, 0),CHOOSE(MATCH(H1134, {"SML";"XL";"XXL"}, 0), 1, 2, 3)), 0)</f>
        <v>0</v>
      </c>
      <c r="K1134" s="10">
        <f t="shared" si="40"/>
        <v>0</v>
      </c>
      <c r="N1134" s="9" t="str">
        <f t="shared" si="41"/>
        <v/>
      </c>
      <c r="O1134" s="9" t="str">
        <f>IF(N1134="","",IF(COUNTIF(Precios!$G:$G,N1134)=0,"⚠ No coincide con Precios","OK"))</f>
        <v/>
      </c>
    </row>
    <row r="1135" spans="3:15" x14ac:dyDescent="0.2">
      <c r="C1135" s="9" cm="1">
        <f t="array" ref="C1135">IFERROR(_xlfn.XLOOKUP(B1135,Personal!$A:$A,Personal!$D:$D,""),"")</f>
        <v>0</v>
      </c>
      <c r="D1135" s="9" cm="1">
        <f t="array" ref="D1135">IFERROR(_xlfn.XLOOKUP(B1135,Personal!$A:$A,Personal!$C:$C,""),"")</f>
        <v>0</v>
      </c>
      <c r="E1135" s="9" t="str" cm="1">
        <f t="array" ref="E1135">IFERROR(_xlfn.XLOOKUP(D1135,Locales!$A:$A,Locales!$B:$B,""),"")</f>
        <v/>
      </c>
      <c r="F1135" s="9" cm="1">
        <f t="array" ref="F1135">IFERROR(_xlfn.XLOOKUP(B1135,Personal!$A:$A,Personal!$F:$F,""),"")</f>
        <v>0</v>
      </c>
      <c r="I1135" s="10" cm="1">
        <f t="array" ref="I1135">IFERROR(INDEX(Precios!$D:$F,MATCH(N1135, Precios!$G:$G, 0),CHOOSE(MATCH(H1135, {"SML";"XL";"XXL"}, 0), 1, 2, 3)), 0)</f>
        <v>0</v>
      </c>
      <c r="K1135" s="10">
        <f t="shared" si="40"/>
        <v>0</v>
      </c>
      <c r="N1135" s="9" t="str">
        <f t="shared" si="41"/>
        <v/>
      </c>
      <c r="O1135" s="9" t="str">
        <f>IF(N1135="","",IF(COUNTIF(Precios!$G:$G,N1135)=0,"⚠ No coincide con Precios","OK"))</f>
        <v/>
      </c>
    </row>
    <row r="1136" spans="3:15" x14ac:dyDescent="0.2">
      <c r="C1136" s="9" cm="1">
        <f t="array" ref="C1136">IFERROR(_xlfn.XLOOKUP(B1136,Personal!$A:$A,Personal!$D:$D,""),"")</f>
        <v>0</v>
      </c>
      <c r="D1136" s="9" cm="1">
        <f t="array" ref="D1136">IFERROR(_xlfn.XLOOKUP(B1136,Personal!$A:$A,Personal!$C:$C,""),"")</f>
        <v>0</v>
      </c>
      <c r="E1136" s="9" t="str" cm="1">
        <f t="array" ref="E1136">IFERROR(_xlfn.XLOOKUP(D1136,Locales!$A:$A,Locales!$B:$B,""),"")</f>
        <v/>
      </c>
      <c r="F1136" s="9" cm="1">
        <f t="array" ref="F1136">IFERROR(_xlfn.XLOOKUP(B1136,Personal!$A:$A,Personal!$F:$F,""),"")</f>
        <v>0</v>
      </c>
      <c r="I1136" s="10" cm="1">
        <f t="array" ref="I1136">IFERROR(INDEX(Precios!$D:$F,MATCH(N1136, Precios!$G:$G, 0),CHOOSE(MATCH(H1136, {"SML";"XL";"XXL"}, 0), 1, 2, 3)), 0)</f>
        <v>0</v>
      </c>
      <c r="K1136" s="10">
        <f t="shared" si="40"/>
        <v>0</v>
      </c>
      <c r="N1136" s="9" t="str">
        <f t="shared" si="41"/>
        <v/>
      </c>
      <c r="O1136" s="9" t="str">
        <f>IF(N1136="","",IF(COUNTIF(Precios!$G:$G,N1136)=0,"⚠ No coincide con Precios","OK"))</f>
        <v/>
      </c>
    </row>
    <row r="1137" spans="3:15" x14ac:dyDescent="0.2">
      <c r="C1137" s="9" cm="1">
        <f t="array" ref="C1137">IFERROR(_xlfn.XLOOKUP(B1137,Personal!$A:$A,Personal!$D:$D,""),"")</f>
        <v>0</v>
      </c>
      <c r="D1137" s="9" cm="1">
        <f t="array" ref="D1137">IFERROR(_xlfn.XLOOKUP(B1137,Personal!$A:$A,Personal!$C:$C,""),"")</f>
        <v>0</v>
      </c>
      <c r="E1137" s="9" t="str" cm="1">
        <f t="array" ref="E1137">IFERROR(_xlfn.XLOOKUP(D1137,Locales!$A:$A,Locales!$B:$B,""),"")</f>
        <v/>
      </c>
      <c r="F1137" s="9" cm="1">
        <f t="array" ref="F1137">IFERROR(_xlfn.XLOOKUP(B1137,Personal!$A:$A,Personal!$F:$F,""),"")</f>
        <v>0</v>
      </c>
      <c r="I1137" s="10" cm="1">
        <f t="array" ref="I1137">IFERROR(INDEX(Precios!$D:$F,MATCH(N1137, Precios!$G:$G, 0),CHOOSE(MATCH(H1137, {"SML";"XL";"XXL"}, 0), 1, 2, 3)), 0)</f>
        <v>0</v>
      </c>
      <c r="K1137" s="10">
        <f t="shared" si="40"/>
        <v>0</v>
      </c>
      <c r="N1137" s="9" t="str">
        <f t="shared" si="41"/>
        <v/>
      </c>
      <c r="O1137" s="9" t="str">
        <f>IF(N1137="","",IF(COUNTIF(Precios!$G:$G,N1137)=0,"⚠ No coincide con Precios","OK"))</f>
        <v/>
      </c>
    </row>
    <row r="1138" spans="3:15" x14ac:dyDescent="0.2">
      <c r="C1138" s="9" cm="1">
        <f t="array" ref="C1138">IFERROR(_xlfn.XLOOKUP(B1138,Personal!$A:$A,Personal!$D:$D,""),"")</f>
        <v>0</v>
      </c>
      <c r="D1138" s="9" cm="1">
        <f t="array" ref="D1138">IFERROR(_xlfn.XLOOKUP(B1138,Personal!$A:$A,Personal!$C:$C,""),"")</f>
        <v>0</v>
      </c>
      <c r="E1138" s="9" t="str" cm="1">
        <f t="array" ref="E1138">IFERROR(_xlfn.XLOOKUP(D1138,Locales!$A:$A,Locales!$B:$B,""),"")</f>
        <v/>
      </c>
      <c r="F1138" s="9" cm="1">
        <f t="array" ref="F1138">IFERROR(_xlfn.XLOOKUP(B1138,Personal!$A:$A,Personal!$F:$F,""),"")</f>
        <v>0</v>
      </c>
      <c r="I1138" s="10" cm="1">
        <f t="array" ref="I1138">IFERROR(INDEX(Precios!$D:$F,MATCH(N1138, Precios!$G:$G, 0),CHOOSE(MATCH(H1138, {"SML";"XL";"XXL"}, 0), 1, 2, 3)), 0)</f>
        <v>0</v>
      </c>
      <c r="K1138" s="10">
        <f t="shared" si="40"/>
        <v>0</v>
      </c>
      <c r="N1138" s="9" t="str">
        <f t="shared" si="41"/>
        <v/>
      </c>
      <c r="O1138" s="9" t="str">
        <f>IF(N1138="","",IF(COUNTIF(Precios!$G:$G,N1138)=0,"⚠ No coincide con Precios","OK"))</f>
        <v/>
      </c>
    </row>
    <row r="1139" spans="3:15" x14ac:dyDescent="0.2">
      <c r="C1139" s="9" cm="1">
        <f t="array" ref="C1139">IFERROR(_xlfn.XLOOKUP(B1139,Personal!$A:$A,Personal!$D:$D,""),"")</f>
        <v>0</v>
      </c>
      <c r="D1139" s="9" cm="1">
        <f t="array" ref="D1139">IFERROR(_xlfn.XLOOKUP(B1139,Personal!$A:$A,Personal!$C:$C,""),"")</f>
        <v>0</v>
      </c>
      <c r="E1139" s="9" t="str" cm="1">
        <f t="array" ref="E1139">IFERROR(_xlfn.XLOOKUP(D1139,Locales!$A:$A,Locales!$B:$B,""),"")</f>
        <v/>
      </c>
      <c r="F1139" s="9" cm="1">
        <f t="array" ref="F1139">IFERROR(_xlfn.XLOOKUP(B1139,Personal!$A:$A,Personal!$F:$F,""),"")</f>
        <v>0</v>
      </c>
      <c r="I1139" s="10" cm="1">
        <f t="array" ref="I1139">IFERROR(INDEX(Precios!$D:$F,MATCH(N1139, Precios!$G:$G, 0),CHOOSE(MATCH(H1139, {"SML";"XL";"XXL"}, 0), 1, 2, 3)), 0)</f>
        <v>0</v>
      </c>
      <c r="K1139" s="10">
        <f t="shared" si="40"/>
        <v>0</v>
      </c>
      <c r="N1139" s="9" t="str">
        <f t="shared" si="41"/>
        <v/>
      </c>
      <c r="O1139" s="9" t="str">
        <f>IF(N1139="","",IF(COUNTIF(Precios!$G:$G,N1139)=0,"⚠ No coincide con Precios","OK"))</f>
        <v/>
      </c>
    </row>
    <row r="1140" spans="3:15" x14ac:dyDescent="0.2">
      <c r="C1140" s="9" cm="1">
        <f t="array" ref="C1140">IFERROR(_xlfn.XLOOKUP(B1140,Personal!$A:$A,Personal!$D:$D,""),"")</f>
        <v>0</v>
      </c>
      <c r="D1140" s="9" cm="1">
        <f t="array" ref="D1140">IFERROR(_xlfn.XLOOKUP(B1140,Personal!$A:$A,Personal!$C:$C,""),"")</f>
        <v>0</v>
      </c>
      <c r="E1140" s="9" t="str" cm="1">
        <f t="array" ref="E1140">IFERROR(_xlfn.XLOOKUP(D1140,Locales!$A:$A,Locales!$B:$B,""),"")</f>
        <v/>
      </c>
      <c r="F1140" s="9" cm="1">
        <f t="array" ref="F1140">IFERROR(_xlfn.XLOOKUP(B1140,Personal!$A:$A,Personal!$F:$F,""),"")</f>
        <v>0</v>
      </c>
      <c r="I1140" s="10" cm="1">
        <f t="array" ref="I1140">IFERROR(INDEX(Precios!$D:$F,MATCH(N1140, Precios!$G:$G, 0),CHOOSE(MATCH(H1140, {"SML";"XL";"XXL"}, 0), 1, 2, 3)), 0)</f>
        <v>0</v>
      </c>
      <c r="K1140" s="10">
        <f t="shared" si="40"/>
        <v>0</v>
      </c>
      <c r="N1140" s="9" t="str">
        <f t="shared" si="41"/>
        <v/>
      </c>
      <c r="O1140" s="9" t="str">
        <f>IF(N1140="","",IF(COUNTIF(Precios!$G:$G,N1140)=0,"⚠ No coincide con Precios","OK"))</f>
        <v/>
      </c>
    </row>
    <row r="1141" spans="3:15" x14ac:dyDescent="0.2">
      <c r="C1141" s="9" cm="1">
        <f t="array" ref="C1141">IFERROR(_xlfn.XLOOKUP(B1141,Personal!$A:$A,Personal!$D:$D,""),"")</f>
        <v>0</v>
      </c>
      <c r="D1141" s="9" cm="1">
        <f t="array" ref="D1141">IFERROR(_xlfn.XLOOKUP(B1141,Personal!$A:$A,Personal!$C:$C,""),"")</f>
        <v>0</v>
      </c>
      <c r="E1141" s="9" t="str" cm="1">
        <f t="array" ref="E1141">IFERROR(_xlfn.XLOOKUP(D1141,Locales!$A:$A,Locales!$B:$B,""),"")</f>
        <v/>
      </c>
      <c r="F1141" s="9" cm="1">
        <f t="array" ref="F1141">IFERROR(_xlfn.XLOOKUP(B1141,Personal!$A:$A,Personal!$F:$F,""),"")</f>
        <v>0</v>
      </c>
      <c r="I1141" s="10" cm="1">
        <f t="array" ref="I1141">IFERROR(INDEX(Precios!$D:$F,MATCH(N1141, Precios!$G:$G, 0),CHOOSE(MATCH(H1141, {"SML";"XL";"XXL"}, 0), 1, 2, 3)), 0)</f>
        <v>0</v>
      </c>
      <c r="K1141" s="10">
        <f t="shared" si="40"/>
        <v>0</v>
      </c>
      <c r="N1141" s="9" t="str">
        <f t="shared" si="41"/>
        <v/>
      </c>
      <c r="O1141" s="9" t="str">
        <f>IF(N1141="","",IF(COUNTIF(Precios!$G:$G,N1141)=0,"⚠ No coincide con Precios","OK"))</f>
        <v/>
      </c>
    </row>
    <row r="1142" spans="3:15" x14ac:dyDescent="0.2">
      <c r="C1142" s="9" cm="1">
        <f t="array" ref="C1142">IFERROR(_xlfn.XLOOKUP(B1142,Personal!$A:$A,Personal!$D:$D,""),"")</f>
        <v>0</v>
      </c>
      <c r="D1142" s="9" cm="1">
        <f t="array" ref="D1142">IFERROR(_xlfn.XLOOKUP(B1142,Personal!$A:$A,Personal!$C:$C,""),"")</f>
        <v>0</v>
      </c>
      <c r="E1142" s="9" t="str" cm="1">
        <f t="array" ref="E1142">IFERROR(_xlfn.XLOOKUP(D1142,Locales!$A:$A,Locales!$B:$B,""),"")</f>
        <v/>
      </c>
      <c r="F1142" s="9" cm="1">
        <f t="array" ref="F1142">IFERROR(_xlfn.XLOOKUP(B1142,Personal!$A:$A,Personal!$F:$F,""),"")</f>
        <v>0</v>
      </c>
      <c r="I1142" s="10" cm="1">
        <f t="array" ref="I1142">IFERROR(INDEX(Precios!$D:$F,MATCH(N1142, Precios!$G:$G, 0),CHOOSE(MATCH(H1142, {"SML";"XL";"XXL"}, 0), 1, 2, 3)), 0)</f>
        <v>0</v>
      </c>
      <c r="K1142" s="10">
        <f t="shared" si="40"/>
        <v>0</v>
      </c>
      <c r="N1142" s="9" t="str">
        <f t="shared" si="41"/>
        <v/>
      </c>
      <c r="O1142" s="9" t="str">
        <f>IF(N1142="","",IF(COUNTIF(Precios!$G:$G,N1142)=0,"⚠ No coincide con Precios","OK"))</f>
        <v/>
      </c>
    </row>
    <row r="1143" spans="3:15" x14ac:dyDescent="0.2">
      <c r="C1143" s="9" cm="1">
        <f t="array" ref="C1143">IFERROR(_xlfn.XLOOKUP(B1143,Personal!$A:$A,Personal!$D:$D,""),"")</f>
        <v>0</v>
      </c>
      <c r="D1143" s="9" cm="1">
        <f t="array" ref="D1143">IFERROR(_xlfn.XLOOKUP(B1143,Personal!$A:$A,Personal!$C:$C,""),"")</f>
        <v>0</v>
      </c>
      <c r="E1143" s="9" t="str" cm="1">
        <f t="array" ref="E1143">IFERROR(_xlfn.XLOOKUP(D1143,Locales!$A:$A,Locales!$B:$B,""),"")</f>
        <v/>
      </c>
      <c r="F1143" s="9" cm="1">
        <f t="array" ref="F1143">IFERROR(_xlfn.XLOOKUP(B1143,Personal!$A:$A,Personal!$F:$F,""),"")</f>
        <v>0</v>
      </c>
      <c r="I1143" s="10" cm="1">
        <f t="array" ref="I1143">IFERROR(INDEX(Precios!$D:$F,MATCH(N1143, Precios!$G:$G, 0),CHOOSE(MATCH(H1143, {"SML";"XL";"XXL"}, 0), 1, 2, 3)), 0)</f>
        <v>0</v>
      </c>
      <c r="K1143" s="10">
        <f t="shared" si="40"/>
        <v>0</v>
      </c>
      <c r="N1143" s="9" t="str">
        <f t="shared" si="41"/>
        <v/>
      </c>
      <c r="O1143" s="9" t="str">
        <f>IF(N1143="","",IF(COUNTIF(Precios!$G:$G,N1143)=0,"⚠ No coincide con Precios","OK"))</f>
        <v/>
      </c>
    </row>
    <row r="1144" spans="3:15" x14ac:dyDescent="0.2">
      <c r="C1144" s="9" cm="1">
        <f t="array" ref="C1144">IFERROR(_xlfn.XLOOKUP(B1144,Personal!$A:$A,Personal!$D:$D,""),"")</f>
        <v>0</v>
      </c>
      <c r="D1144" s="9" cm="1">
        <f t="array" ref="D1144">IFERROR(_xlfn.XLOOKUP(B1144,Personal!$A:$A,Personal!$C:$C,""),"")</f>
        <v>0</v>
      </c>
      <c r="E1144" s="9" t="str" cm="1">
        <f t="array" ref="E1144">IFERROR(_xlfn.XLOOKUP(D1144,Locales!$A:$A,Locales!$B:$B,""),"")</f>
        <v/>
      </c>
      <c r="F1144" s="9" cm="1">
        <f t="array" ref="F1144">IFERROR(_xlfn.XLOOKUP(B1144,Personal!$A:$A,Personal!$F:$F,""),"")</f>
        <v>0</v>
      </c>
      <c r="I1144" s="10" cm="1">
        <f t="array" ref="I1144">IFERROR(INDEX(Precios!$D:$F,MATCH(N1144, Precios!$G:$G, 0),CHOOSE(MATCH(H1144, {"SML";"XL";"XXL"}, 0), 1, 2, 3)), 0)</f>
        <v>0</v>
      </c>
      <c r="K1144" s="10">
        <f t="shared" si="40"/>
        <v>0</v>
      </c>
      <c r="N1144" s="9" t="str">
        <f t="shared" si="41"/>
        <v/>
      </c>
      <c r="O1144" s="9" t="str">
        <f>IF(N1144="","",IF(COUNTIF(Precios!$G:$G,N1144)=0,"⚠ No coincide con Precios","OK"))</f>
        <v/>
      </c>
    </row>
    <row r="1145" spans="3:15" x14ac:dyDescent="0.2">
      <c r="C1145" s="9" cm="1">
        <f t="array" ref="C1145">IFERROR(_xlfn.XLOOKUP(B1145,Personal!$A:$A,Personal!$D:$D,""),"")</f>
        <v>0</v>
      </c>
      <c r="D1145" s="9" cm="1">
        <f t="array" ref="D1145">IFERROR(_xlfn.XLOOKUP(B1145,Personal!$A:$A,Personal!$C:$C,""),"")</f>
        <v>0</v>
      </c>
      <c r="E1145" s="9" t="str" cm="1">
        <f t="array" ref="E1145">IFERROR(_xlfn.XLOOKUP(D1145,Locales!$A:$A,Locales!$B:$B,""),"")</f>
        <v/>
      </c>
      <c r="F1145" s="9" cm="1">
        <f t="array" ref="F1145">IFERROR(_xlfn.XLOOKUP(B1145,Personal!$A:$A,Personal!$F:$F,""),"")</f>
        <v>0</v>
      </c>
      <c r="I1145" s="10" cm="1">
        <f t="array" ref="I1145">IFERROR(INDEX(Precios!$D:$F,MATCH(N1145, Precios!$G:$G, 0),CHOOSE(MATCH(H1145, {"SML";"XL";"XXL"}, 0), 1, 2, 3)), 0)</f>
        <v>0</v>
      </c>
      <c r="K1145" s="10">
        <f t="shared" si="40"/>
        <v>0</v>
      </c>
      <c r="N1145" s="9" t="str">
        <f t="shared" si="41"/>
        <v/>
      </c>
      <c r="O1145" s="9" t="str">
        <f>IF(N1145="","",IF(COUNTIF(Precios!$G:$G,N1145)=0,"⚠ No coincide con Precios","OK"))</f>
        <v/>
      </c>
    </row>
    <row r="1146" spans="3:15" x14ac:dyDescent="0.2">
      <c r="C1146" s="9" cm="1">
        <f t="array" ref="C1146">IFERROR(_xlfn.XLOOKUP(B1146,Personal!$A:$A,Personal!$D:$D,""),"")</f>
        <v>0</v>
      </c>
      <c r="D1146" s="9" cm="1">
        <f t="array" ref="D1146">IFERROR(_xlfn.XLOOKUP(B1146,Personal!$A:$A,Personal!$C:$C,""),"")</f>
        <v>0</v>
      </c>
      <c r="E1146" s="9" t="str" cm="1">
        <f t="array" ref="E1146">IFERROR(_xlfn.XLOOKUP(D1146,Locales!$A:$A,Locales!$B:$B,""),"")</f>
        <v/>
      </c>
      <c r="F1146" s="9" cm="1">
        <f t="array" ref="F1146">IFERROR(_xlfn.XLOOKUP(B1146,Personal!$A:$A,Personal!$F:$F,""),"")</f>
        <v>0</v>
      </c>
      <c r="I1146" s="10" cm="1">
        <f t="array" ref="I1146">IFERROR(INDEX(Precios!$D:$F,MATCH(N1146, Precios!$G:$G, 0),CHOOSE(MATCH(H1146, {"SML";"XL";"XXL"}, 0), 1, 2, 3)), 0)</f>
        <v>0</v>
      </c>
      <c r="K1146" s="10">
        <f t="shared" si="40"/>
        <v>0</v>
      </c>
      <c r="N1146" s="9" t="str">
        <f t="shared" si="41"/>
        <v/>
      </c>
      <c r="O1146" s="9" t="str">
        <f>IF(N1146="","",IF(COUNTIF(Precios!$G:$G,N1146)=0,"⚠ No coincide con Precios","OK"))</f>
        <v/>
      </c>
    </row>
    <row r="1147" spans="3:15" x14ac:dyDescent="0.2">
      <c r="C1147" s="9" cm="1">
        <f t="array" ref="C1147">IFERROR(_xlfn.XLOOKUP(B1147,Personal!$A:$A,Personal!$D:$D,""),"")</f>
        <v>0</v>
      </c>
      <c r="D1147" s="9" cm="1">
        <f t="array" ref="D1147">IFERROR(_xlfn.XLOOKUP(B1147,Personal!$A:$A,Personal!$C:$C,""),"")</f>
        <v>0</v>
      </c>
      <c r="E1147" s="9" t="str" cm="1">
        <f t="array" ref="E1147">IFERROR(_xlfn.XLOOKUP(D1147,Locales!$A:$A,Locales!$B:$B,""),"")</f>
        <v/>
      </c>
      <c r="F1147" s="9" cm="1">
        <f t="array" ref="F1147">IFERROR(_xlfn.XLOOKUP(B1147,Personal!$A:$A,Personal!$F:$F,""),"")</f>
        <v>0</v>
      </c>
      <c r="I1147" s="10" cm="1">
        <f t="array" ref="I1147">IFERROR(INDEX(Precios!$D:$F,MATCH(N1147, Precios!$G:$G, 0),CHOOSE(MATCH(H1147, {"SML";"XL";"XXL"}, 0), 1, 2, 3)), 0)</f>
        <v>0</v>
      </c>
      <c r="K1147" s="10">
        <f t="shared" si="40"/>
        <v>0</v>
      </c>
      <c r="N1147" s="9" t="str">
        <f t="shared" si="41"/>
        <v/>
      </c>
      <c r="O1147" s="9" t="str">
        <f>IF(N1147="","",IF(COUNTIF(Precios!$G:$G,N1147)=0,"⚠ No coincide con Precios","OK"))</f>
        <v/>
      </c>
    </row>
    <row r="1148" spans="3:15" x14ac:dyDescent="0.2">
      <c r="C1148" s="9" cm="1">
        <f t="array" ref="C1148">IFERROR(_xlfn.XLOOKUP(B1148,Personal!$A:$A,Personal!$D:$D,""),"")</f>
        <v>0</v>
      </c>
      <c r="D1148" s="9" cm="1">
        <f t="array" ref="D1148">IFERROR(_xlfn.XLOOKUP(B1148,Personal!$A:$A,Personal!$C:$C,""),"")</f>
        <v>0</v>
      </c>
      <c r="E1148" s="9" t="str" cm="1">
        <f t="array" ref="E1148">IFERROR(_xlfn.XLOOKUP(D1148,Locales!$A:$A,Locales!$B:$B,""),"")</f>
        <v/>
      </c>
      <c r="F1148" s="9" cm="1">
        <f t="array" ref="F1148">IFERROR(_xlfn.XLOOKUP(B1148,Personal!$A:$A,Personal!$F:$F,""),"")</f>
        <v>0</v>
      </c>
      <c r="I1148" s="10" cm="1">
        <f t="array" ref="I1148">IFERROR(INDEX(Precios!$D:$F,MATCH(N1148, Precios!$G:$G, 0),CHOOSE(MATCH(H1148, {"SML";"XL";"XXL"}, 0), 1, 2, 3)), 0)</f>
        <v>0</v>
      </c>
      <c r="K1148" s="10">
        <f t="shared" si="40"/>
        <v>0</v>
      </c>
      <c r="N1148" s="9" t="str">
        <f t="shared" si="41"/>
        <v/>
      </c>
      <c r="O1148" s="9" t="str">
        <f>IF(N1148="","",IF(COUNTIF(Precios!$G:$G,N1148)=0,"⚠ No coincide con Precios","OK"))</f>
        <v/>
      </c>
    </row>
    <row r="1149" spans="3:15" x14ac:dyDescent="0.2">
      <c r="C1149" s="9" cm="1">
        <f t="array" ref="C1149">IFERROR(_xlfn.XLOOKUP(B1149,Personal!$A:$A,Personal!$D:$D,""),"")</f>
        <v>0</v>
      </c>
      <c r="D1149" s="9" cm="1">
        <f t="array" ref="D1149">IFERROR(_xlfn.XLOOKUP(B1149,Personal!$A:$A,Personal!$C:$C,""),"")</f>
        <v>0</v>
      </c>
      <c r="E1149" s="9" t="str" cm="1">
        <f t="array" ref="E1149">IFERROR(_xlfn.XLOOKUP(D1149,Locales!$A:$A,Locales!$B:$B,""),"")</f>
        <v/>
      </c>
      <c r="F1149" s="9" cm="1">
        <f t="array" ref="F1149">IFERROR(_xlfn.XLOOKUP(B1149,Personal!$A:$A,Personal!$F:$F,""),"")</f>
        <v>0</v>
      </c>
      <c r="I1149" s="10" cm="1">
        <f t="array" ref="I1149">IFERROR(INDEX(Precios!$D:$F,MATCH(N1149, Precios!$G:$G, 0),CHOOSE(MATCH(H1149, {"SML";"XL";"XXL"}, 0), 1, 2, 3)), 0)</f>
        <v>0</v>
      </c>
      <c r="K1149" s="10">
        <f t="shared" si="40"/>
        <v>0</v>
      </c>
      <c r="N1149" s="9" t="str">
        <f t="shared" si="41"/>
        <v/>
      </c>
      <c r="O1149" s="9" t="str">
        <f>IF(N1149="","",IF(COUNTIF(Precios!$G:$G,N1149)=0,"⚠ No coincide con Precios","OK"))</f>
        <v/>
      </c>
    </row>
    <row r="1150" spans="3:15" x14ac:dyDescent="0.2">
      <c r="C1150" s="9" cm="1">
        <f t="array" ref="C1150">IFERROR(_xlfn.XLOOKUP(B1150,Personal!$A:$A,Personal!$D:$D,""),"")</f>
        <v>0</v>
      </c>
      <c r="D1150" s="9" cm="1">
        <f t="array" ref="D1150">IFERROR(_xlfn.XLOOKUP(B1150,Personal!$A:$A,Personal!$C:$C,""),"")</f>
        <v>0</v>
      </c>
      <c r="E1150" s="9" t="str" cm="1">
        <f t="array" ref="E1150">IFERROR(_xlfn.XLOOKUP(D1150,Locales!$A:$A,Locales!$B:$B,""),"")</f>
        <v/>
      </c>
      <c r="F1150" s="9" cm="1">
        <f t="array" ref="F1150">IFERROR(_xlfn.XLOOKUP(B1150,Personal!$A:$A,Personal!$F:$F,""),"")</f>
        <v>0</v>
      </c>
      <c r="I1150" s="10" cm="1">
        <f t="array" ref="I1150">IFERROR(INDEX(Precios!$D:$F,MATCH(N1150, Precios!$G:$G, 0),CHOOSE(MATCH(H1150, {"SML";"XL";"XXL"}, 0), 1, 2, 3)), 0)</f>
        <v>0</v>
      </c>
      <c r="K1150" s="10">
        <f t="shared" ref="K1150:K1213" si="42">IFERROR(I1150*J1150,0)</f>
        <v>0</v>
      </c>
      <c r="N1150" s="9" t="str">
        <f t="shared" ref="N1150:N1213" si="43">IF( OR(E1150="",F1150="",G1150=""), "",CLEAN(TRIM(E1150)) &amp; "|" &amp; CLEAN(TRIM(F1150)) &amp; "|" &amp; CLEAN(TRIM(G1150)))</f>
        <v/>
      </c>
      <c r="O1150" s="9" t="str">
        <f>IF(N1150="","",IF(COUNTIF(Precios!$G:$G,N1150)=0,"⚠ No coincide con Precios","OK"))</f>
        <v/>
      </c>
    </row>
    <row r="1151" spans="3:15" x14ac:dyDescent="0.2">
      <c r="C1151" s="9" cm="1">
        <f t="array" ref="C1151">IFERROR(_xlfn.XLOOKUP(B1151,Personal!$A:$A,Personal!$D:$D,""),"")</f>
        <v>0</v>
      </c>
      <c r="D1151" s="9" cm="1">
        <f t="array" ref="D1151">IFERROR(_xlfn.XLOOKUP(B1151,Personal!$A:$A,Personal!$C:$C,""),"")</f>
        <v>0</v>
      </c>
      <c r="E1151" s="9" t="str" cm="1">
        <f t="array" ref="E1151">IFERROR(_xlfn.XLOOKUP(D1151,Locales!$A:$A,Locales!$B:$B,""),"")</f>
        <v/>
      </c>
      <c r="F1151" s="9" cm="1">
        <f t="array" ref="F1151">IFERROR(_xlfn.XLOOKUP(B1151,Personal!$A:$A,Personal!$F:$F,""),"")</f>
        <v>0</v>
      </c>
      <c r="I1151" s="10" cm="1">
        <f t="array" ref="I1151">IFERROR(INDEX(Precios!$D:$F,MATCH(N1151, Precios!$G:$G, 0),CHOOSE(MATCH(H1151, {"SML";"XL";"XXL"}, 0), 1, 2, 3)), 0)</f>
        <v>0</v>
      </c>
      <c r="K1151" s="10">
        <f t="shared" si="42"/>
        <v>0</v>
      </c>
      <c r="N1151" s="9" t="str">
        <f t="shared" si="43"/>
        <v/>
      </c>
      <c r="O1151" s="9" t="str">
        <f>IF(N1151="","",IF(COUNTIF(Precios!$G:$G,N1151)=0,"⚠ No coincide con Precios","OK"))</f>
        <v/>
      </c>
    </row>
    <row r="1152" spans="3:15" x14ac:dyDescent="0.2">
      <c r="C1152" s="9" cm="1">
        <f t="array" ref="C1152">IFERROR(_xlfn.XLOOKUP(B1152,Personal!$A:$A,Personal!$D:$D,""),"")</f>
        <v>0</v>
      </c>
      <c r="D1152" s="9" cm="1">
        <f t="array" ref="D1152">IFERROR(_xlfn.XLOOKUP(B1152,Personal!$A:$A,Personal!$C:$C,""),"")</f>
        <v>0</v>
      </c>
      <c r="E1152" s="9" t="str" cm="1">
        <f t="array" ref="E1152">IFERROR(_xlfn.XLOOKUP(D1152,Locales!$A:$A,Locales!$B:$B,""),"")</f>
        <v/>
      </c>
      <c r="F1152" s="9" cm="1">
        <f t="array" ref="F1152">IFERROR(_xlfn.XLOOKUP(B1152,Personal!$A:$A,Personal!$F:$F,""),"")</f>
        <v>0</v>
      </c>
      <c r="I1152" s="10" cm="1">
        <f t="array" ref="I1152">IFERROR(INDEX(Precios!$D:$F,MATCH(N1152, Precios!$G:$G, 0),CHOOSE(MATCH(H1152, {"SML";"XL";"XXL"}, 0), 1, 2, 3)), 0)</f>
        <v>0</v>
      </c>
      <c r="K1152" s="10">
        <f t="shared" si="42"/>
        <v>0</v>
      </c>
      <c r="N1152" s="9" t="str">
        <f t="shared" si="43"/>
        <v/>
      </c>
      <c r="O1152" s="9" t="str">
        <f>IF(N1152="","",IF(COUNTIF(Precios!$G:$G,N1152)=0,"⚠ No coincide con Precios","OK"))</f>
        <v/>
      </c>
    </row>
    <row r="1153" spans="3:15" x14ac:dyDescent="0.2">
      <c r="C1153" s="9" cm="1">
        <f t="array" ref="C1153">IFERROR(_xlfn.XLOOKUP(B1153,Personal!$A:$A,Personal!$D:$D,""),"")</f>
        <v>0</v>
      </c>
      <c r="D1153" s="9" cm="1">
        <f t="array" ref="D1153">IFERROR(_xlfn.XLOOKUP(B1153,Personal!$A:$A,Personal!$C:$C,""),"")</f>
        <v>0</v>
      </c>
      <c r="E1153" s="9" t="str" cm="1">
        <f t="array" ref="E1153">IFERROR(_xlfn.XLOOKUP(D1153,Locales!$A:$A,Locales!$B:$B,""),"")</f>
        <v/>
      </c>
      <c r="F1153" s="9" cm="1">
        <f t="array" ref="F1153">IFERROR(_xlfn.XLOOKUP(B1153,Personal!$A:$A,Personal!$F:$F,""),"")</f>
        <v>0</v>
      </c>
      <c r="I1153" s="10" cm="1">
        <f t="array" ref="I1153">IFERROR(INDEX(Precios!$D:$F,MATCH(N1153, Precios!$G:$G, 0),CHOOSE(MATCH(H1153, {"SML";"XL";"XXL"}, 0), 1, 2, 3)), 0)</f>
        <v>0</v>
      </c>
      <c r="K1153" s="10">
        <f t="shared" si="42"/>
        <v>0</v>
      </c>
      <c r="N1153" s="9" t="str">
        <f t="shared" si="43"/>
        <v/>
      </c>
      <c r="O1153" s="9" t="str">
        <f>IF(N1153="","",IF(COUNTIF(Precios!$G:$G,N1153)=0,"⚠ No coincide con Precios","OK"))</f>
        <v/>
      </c>
    </row>
    <row r="1154" spans="3:15" x14ac:dyDescent="0.2">
      <c r="C1154" s="9" cm="1">
        <f t="array" ref="C1154">IFERROR(_xlfn.XLOOKUP(B1154,Personal!$A:$A,Personal!$D:$D,""),"")</f>
        <v>0</v>
      </c>
      <c r="D1154" s="9" cm="1">
        <f t="array" ref="D1154">IFERROR(_xlfn.XLOOKUP(B1154,Personal!$A:$A,Personal!$C:$C,""),"")</f>
        <v>0</v>
      </c>
      <c r="E1154" s="9" t="str" cm="1">
        <f t="array" ref="E1154">IFERROR(_xlfn.XLOOKUP(D1154,Locales!$A:$A,Locales!$B:$B,""),"")</f>
        <v/>
      </c>
      <c r="F1154" s="9" cm="1">
        <f t="array" ref="F1154">IFERROR(_xlfn.XLOOKUP(B1154,Personal!$A:$A,Personal!$F:$F,""),"")</f>
        <v>0</v>
      </c>
      <c r="I1154" s="10" cm="1">
        <f t="array" ref="I1154">IFERROR(INDEX(Precios!$D:$F,MATCH(N1154, Precios!$G:$G, 0),CHOOSE(MATCH(H1154, {"SML";"XL";"XXL"}, 0), 1, 2, 3)), 0)</f>
        <v>0</v>
      </c>
      <c r="K1154" s="10">
        <f t="shared" si="42"/>
        <v>0</v>
      </c>
      <c r="N1154" s="9" t="str">
        <f t="shared" si="43"/>
        <v/>
      </c>
      <c r="O1154" s="9" t="str">
        <f>IF(N1154="","",IF(COUNTIF(Precios!$G:$G,N1154)=0,"⚠ No coincide con Precios","OK"))</f>
        <v/>
      </c>
    </row>
    <row r="1155" spans="3:15" x14ac:dyDescent="0.2">
      <c r="C1155" s="9" cm="1">
        <f t="array" ref="C1155">IFERROR(_xlfn.XLOOKUP(B1155,Personal!$A:$A,Personal!$D:$D,""),"")</f>
        <v>0</v>
      </c>
      <c r="D1155" s="9" cm="1">
        <f t="array" ref="D1155">IFERROR(_xlfn.XLOOKUP(B1155,Personal!$A:$A,Personal!$C:$C,""),"")</f>
        <v>0</v>
      </c>
      <c r="E1155" s="9" t="str" cm="1">
        <f t="array" ref="E1155">IFERROR(_xlfn.XLOOKUP(D1155,Locales!$A:$A,Locales!$B:$B,""),"")</f>
        <v/>
      </c>
      <c r="F1155" s="9" cm="1">
        <f t="array" ref="F1155">IFERROR(_xlfn.XLOOKUP(B1155,Personal!$A:$A,Personal!$F:$F,""),"")</f>
        <v>0</v>
      </c>
      <c r="I1155" s="10" cm="1">
        <f t="array" ref="I1155">IFERROR(INDEX(Precios!$D:$F,MATCH(N1155, Precios!$G:$G, 0),CHOOSE(MATCH(H1155, {"SML";"XL";"XXL"}, 0), 1, 2, 3)), 0)</f>
        <v>0</v>
      </c>
      <c r="K1155" s="10">
        <f t="shared" si="42"/>
        <v>0</v>
      </c>
      <c r="N1155" s="9" t="str">
        <f t="shared" si="43"/>
        <v/>
      </c>
      <c r="O1155" s="9" t="str">
        <f>IF(N1155="","",IF(COUNTIF(Precios!$G:$G,N1155)=0,"⚠ No coincide con Precios","OK"))</f>
        <v/>
      </c>
    </row>
    <row r="1156" spans="3:15" x14ac:dyDescent="0.2">
      <c r="C1156" s="9" cm="1">
        <f t="array" ref="C1156">IFERROR(_xlfn.XLOOKUP(B1156,Personal!$A:$A,Personal!$D:$D,""),"")</f>
        <v>0</v>
      </c>
      <c r="D1156" s="9" cm="1">
        <f t="array" ref="D1156">IFERROR(_xlfn.XLOOKUP(B1156,Personal!$A:$A,Personal!$C:$C,""),"")</f>
        <v>0</v>
      </c>
      <c r="E1156" s="9" t="str" cm="1">
        <f t="array" ref="E1156">IFERROR(_xlfn.XLOOKUP(D1156,Locales!$A:$A,Locales!$B:$B,""),"")</f>
        <v/>
      </c>
      <c r="F1156" s="9" cm="1">
        <f t="array" ref="F1156">IFERROR(_xlfn.XLOOKUP(B1156,Personal!$A:$A,Personal!$F:$F,""),"")</f>
        <v>0</v>
      </c>
      <c r="I1156" s="10" cm="1">
        <f t="array" ref="I1156">IFERROR(INDEX(Precios!$D:$F,MATCH(N1156, Precios!$G:$G, 0),CHOOSE(MATCH(H1156, {"SML";"XL";"XXL"}, 0), 1, 2, 3)), 0)</f>
        <v>0</v>
      </c>
      <c r="K1156" s="10">
        <f t="shared" si="42"/>
        <v>0</v>
      </c>
      <c r="N1156" s="9" t="str">
        <f t="shared" si="43"/>
        <v/>
      </c>
      <c r="O1156" s="9" t="str">
        <f>IF(N1156="","",IF(COUNTIF(Precios!$G:$G,N1156)=0,"⚠ No coincide con Precios","OK"))</f>
        <v/>
      </c>
    </row>
    <row r="1157" spans="3:15" x14ac:dyDescent="0.2">
      <c r="C1157" s="9" cm="1">
        <f t="array" ref="C1157">IFERROR(_xlfn.XLOOKUP(B1157,Personal!$A:$A,Personal!$D:$D,""),"")</f>
        <v>0</v>
      </c>
      <c r="D1157" s="9" cm="1">
        <f t="array" ref="D1157">IFERROR(_xlfn.XLOOKUP(B1157,Personal!$A:$A,Personal!$C:$C,""),"")</f>
        <v>0</v>
      </c>
      <c r="E1157" s="9" t="str" cm="1">
        <f t="array" ref="E1157">IFERROR(_xlfn.XLOOKUP(D1157,Locales!$A:$A,Locales!$B:$B,""),"")</f>
        <v/>
      </c>
      <c r="F1157" s="9" cm="1">
        <f t="array" ref="F1157">IFERROR(_xlfn.XLOOKUP(B1157,Personal!$A:$A,Personal!$F:$F,""),"")</f>
        <v>0</v>
      </c>
      <c r="I1157" s="10" cm="1">
        <f t="array" ref="I1157">IFERROR(INDEX(Precios!$D:$F,MATCH(N1157, Precios!$G:$G, 0),CHOOSE(MATCH(H1157, {"SML";"XL";"XXL"}, 0), 1, 2, 3)), 0)</f>
        <v>0</v>
      </c>
      <c r="K1157" s="10">
        <f t="shared" si="42"/>
        <v>0</v>
      </c>
      <c r="N1157" s="9" t="str">
        <f t="shared" si="43"/>
        <v/>
      </c>
      <c r="O1157" s="9" t="str">
        <f>IF(N1157="","",IF(COUNTIF(Precios!$G:$G,N1157)=0,"⚠ No coincide con Precios","OK"))</f>
        <v/>
      </c>
    </row>
    <row r="1158" spans="3:15" x14ac:dyDescent="0.2">
      <c r="C1158" s="9" cm="1">
        <f t="array" ref="C1158">IFERROR(_xlfn.XLOOKUP(B1158,Personal!$A:$A,Personal!$D:$D,""),"")</f>
        <v>0</v>
      </c>
      <c r="D1158" s="9" cm="1">
        <f t="array" ref="D1158">IFERROR(_xlfn.XLOOKUP(B1158,Personal!$A:$A,Personal!$C:$C,""),"")</f>
        <v>0</v>
      </c>
      <c r="E1158" s="9" t="str" cm="1">
        <f t="array" ref="E1158">IFERROR(_xlfn.XLOOKUP(D1158,Locales!$A:$A,Locales!$B:$B,""),"")</f>
        <v/>
      </c>
      <c r="F1158" s="9" cm="1">
        <f t="array" ref="F1158">IFERROR(_xlfn.XLOOKUP(B1158,Personal!$A:$A,Personal!$F:$F,""),"")</f>
        <v>0</v>
      </c>
      <c r="I1158" s="10" cm="1">
        <f t="array" ref="I1158">IFERROR(INDEX(Precios!$D:$F,MATCH(N1158, Precios!$G:$G, 0),CHOOSE(MATCH(H1158, {"SML";"XL";"XXL"}, 0), 1, 2, 3)), 0)</f>
        <v>0</v>
      </c>
      <c r="K1158" s="10">
        <f t="shared" si="42"/>
        <v>0</v>
      </c>
      <c r="N1158" s="9" t="str">
        <f t="shared" si="43"/>
        <v/>
      </c>
      <c r="O1158" s="9" t="str">
        <f>IF(N1158="","",IF(COUNTIF(Precios!$G:$G,N1158)=0,"⚠ No coincide con Precios","OK"))</f>
        <v/>
      </c>
    </row>
    <row r="1159" spans="3:15" x14ac:dyDescent="0.2">
      <c r="C1159" s="9" cm="1">
        <f t="array" ref="C1159">IFERROR(_xlfn.XLOOKUP(B1159,Personal!$A:$A,Personal!$D:$D,""),"")</f>
        <v>0</v>
      </c>
      <c r="D1159" s="9" cm="1">
        <f t="array" ref="D1159">IFERROR(_xlfn.XLOOKUP(B1159,Personal!$A:$A,Personal!$C:$C,""),"")</f>
        <v>0</v>
      </c>
      <c r="E1159" s="9" t="str" cm="1">
        <f t="array" ref="E1159">IFERROR(_xlfn.XLOOKUP(D1159,Locales!$A:$A,Locales!$B:$B,""),"")</f>
        <v/>
      </c>
      <c r="F1159" s="9" cm="1">
        <f t="array" ref="F1159">IFERROR(_xlfn.XLOOKUP(B1159,Personal!$A:$A,Personal!$F:$F,""),"")</f>
        <v>0</v>
      </c>
      <c r="I1159" s="10" cm="1">
        <f t="array" ref="I1159">IFERROR(INDEX(Precios!$D:$F,MATCH(N1159, Precios!$G:$G, 0),CHOOSE(MATCH(H1159, {"SML";"XL";"XXL"}, 0), 1, 2, 3)), 0)</f>
        <v>0</v>
      </c>
      <c r="K1159" s="10">
        <f t="shared" si="42"/>
        <v>0</v>
      </c>
      <c r="N1159" s="9" t="str">
        <f t="shared" si="43"/>
        <v/>
      </c>
      <c r="O1159" s="9" t="str">
        <f>IF(N1159="","",IF(COUNTIF(Precios!$G:$G,N1159)=0,"⚠ No coincide con Precios","OK"))</f>
        <v/>
      </c>
    </row>
    <row r="1160" spans="3:15" x14ac:dyDescent="0.2">
      <c r="C1160" s="9" cm="1">
        <f t="array" ref="C1160">IFERROR(_xlfn.XLOOKUP(B1160,Personal!$A:$A,Personal!$D:$D,""),"")</f>
        <v>0</v>
      </c>
      <c r="D1160" s="9" cm="1">
        <f t="array" ref="D1160">IFERROR(_xlfn.XLOOKUP(B1160,Personal!$A:$A,Personal!$C:$C,""),"")</f>
        <v>0</v>
      </c>
      <c r="E1160" s="9" t="str" cm="1">
        <f t="array" ref="E1160">IFERROR(_xlfn.XLOOKUP(D1160,Locales!$A:$A,Locales!$B:$B,""),"")</f>
        <v/>
      </c>
      <c r="F1160" s="9" cm="1">
        <f t="array" ref="F1160">IFERROR(_xlfn.XLOOKUP(B1160,Personal!$A:$A,Personal!$F:$F,""),"")</f>
        <v>0</v>
      </c>
      <c r="I1160" s="10" cm="1">
        <f t="array" ref="I1160">IFERROR(INDEX(Precios!$D:$F,MATCH(N1160, Precios!$G:$G, 0),CHOOSE(MATCH(H1160, {"SML";"XL";"XXL"}, 0), 1, 2, 3)), 0)</f>
        <v>0</v>
      </c>
      <c r="K1160" s="10">
        <f t="shared" si="42"/>
        <v>0</v>
      </c>
      <c r="N1160" s="9" t="str">
        <f t="shared" si="43"/>
        <v/>
      </c>
      <c r="O1160" s="9" t="str">
        <f>IF(N1160="","",IF(COUNTIF(Precios!$G:$G,N1160)=0,"⚠ No coincide con Precios","OK"))</f>
        <v/>
      </c>
    </row>
    <row r="1161" spans="3:15" x14ac:dyDescent="0.2">
      <c r="C1161" s="9" cm="1">
        <f t="array" ref="C1161">IFERROR(_xlfn.XLOOKUP(B1161,Personal!$A:$A,Personal!$D:$D,""),"")</f>
        <v>0</v>
      </c>
      <c r="D1161" s="9" cm="1">
        <f t="array" ref="D1161">IFERROR(_xlfn.XLOOKUP(B1161,Personal!$A:$A,Personal!$C:$C,""),"")</f>
        <v>0</v>
      </c>
      <c r="E1161" s="9" t="str" cm="1">
        <f t="array" ref="E1161">IFERROR(_xlfn.XLOOKUP(D1161,Locales!$A:$A,Locales!$B:$B,""),"")</f>
        <v/>
      </c>
      <c r="F1161" s="9" cm="1">
        <f t="array" ref="F1161">IFERROR(_xlfn.XLOOKUP(B1161,Personal!$A:$A,Personal!$F:$F,""),"")</f>
        <v>0</v>
      </c>
      <c r="I1161" s="10" cm="1">
        <f t="array" ref="I1161">IFERROR(INDEX(Precios!$D:$F,MATCH(N1161, Precios!$G:$G, 0),CHOOSE(MATCH(H1161, {"SML";"XL";"XXL"}, 0), 1, 2, 3)), 0)</f>
        <v>0</v>
      </c>
      <c r="K1161" s="10">
        <f t="shared" si="42"/>
        <v>0</v>
      </c>
      <c r="N1161" s="9" t="str">
        <f t="shared" si="43"/>
        <v/>
      </c>
      <c r="O1161" s="9" t="str">
        <f>IF(N1161="","",IF(COUNTIF(Precios!$G:$G,N1161)=0,"⚠ No coincide con Precios","OK"))</f>
        <v/>
      </c>
    </row>
    <row r="1162" spans="3:15" x14ac:dyDescent="0.2">
      <c r="C1162" s="9" cm="1">
        <f t="array" ref="C1162">IFERROR(_xlfn.XLOOKUP(B1162,Personal!$A:$A,Personal!$D:$D,""),"")</f>
        <v>0</v>
      </c>
      <c r="D1162" s="9" cm="1">
        <f t="array" ref="D1162">IFERROR(_xlfn.XLOOKUP(B1162,Personal!$A:$A,Personal!$C:$C,""),"")</f>
        <v>0</v>
      </c>
      <c r="E1162" s="9" t="str" cm="1">
        <f t="array" ref="E1162">IFERROR(_xlfn.XLOOKUP(D1162,Locales!$A:$A,Locales!$B:$B,""),"")</f>
        <v/>
      </c>
      <c r="F1162" s="9" cm="1">
        <f t="array" ref="F1162">IFERROR(_xlfn.XLOOKUP(B1162,Personal!$A:$A,Personal!$F:$F,""),"")</f>
        <v>0</v>
      </c>
      <c r="I1162" s="10" cm="1">
        <f t="array" ref="I1162">IFERROR(INDEX(Precios!$D:$F,MATCH(N1162, Precios!$G:$G, 0),CHOOSE(MATCH(H1162, {"SML";"XL";"XXL"}, 0), 1, 2, 3)), 0)</f>
        <v>0</v>
      </c>
      <c r="K1162" s="10">
        <f t="shared" si="42"/>
        <v>0</v>
      </c>
      <c r="N1162" s="9" t="str">
        <f t="shared" si="43"/>
        <v/>
      </c>
      <c r="O1162" s="9" t="str">
        <f>IF(N1162="","",IF(COUNTIF(Precios!$G:$G,N1162)=0,"⚠ No coincide con Precios","OK"))</f>
        <v/>
      </c>
    </row>
    <row r="1163" spans="3:15" x14ac:dyDescent="0.2">
      <c r="C1163" s="9" cm="1">
        <f t="array" ref="C1163">IFERROR(_xlfn.XLOOKUP(B1163,Personal!$A:$A,Personal!$D:$D,""),"")</f>
        <v>0</v>
      </c>
      <c r="D1163" s="9" cm="1">
        <f t="array" ref="D1163">IFERROR(_xlfn.XLOOKUP(B1163,Personal!$A:$A,Personal!$C:$C,""),"")</f>
        <v>0</v>
      </c>
      <c r="E1163" s="9" t="str" cm="1">
        <f t="array" ref="E1163">IFERROR(_xlfn.XLOOKUP(D1163,Locales!$A:$A,Locales!$B:$B,""),"")</f>
        <v/>
      </c>
      <c r="F1163" s="9" cm="1">
        <f t="array" ref="F1163">IFERROR(_xlfn.XLOOKUP(B1163,Personal!$A:$A,Personal!$F:$F,""),"")</f>
        <v>0</v>
      </c>
      <c r="I1163" s="10" cm="1">
        <f t="array" ref="I1163">IFERROR(INDEX(Precios!$D:$F,MATCH(N1163, Precios!$G:$G, 0),CHOOSE(MATCH(H1163, {"SML";"XL";"XXL"}, 0), 1, 2, 3)), 0)</f>
        <v>0</v>
      </c>
      <c r="K1163" s="10">
        <f t="shared" si="42"/>
        <v>0</v>
      </c>
      <c r="N1163" s="9" t="str">
        <f t="shared" si="43"/>
        <v/>
      </c>
      <c r="O1163" s="9" t="str">
        <f>IF(N1163="","",IF(COUNTIF(Precios!$G:$G,N1163)=0,"⚠ No coincide con Precios","OK"))</f>
        <v/>
      </c>
    </row>
    <row r="1164" spans="3:15" x14ac:dyDescent="0.2">
      <c r="C1164" s="9" cm="1">
        <f t="array" ref="C1164">IFERROR(_xlfn.XLOOKUP(B1164,Personal!$A:$A,Personal!$D:$D,""),"")</f>
        <v>0</v>
      </c>
      <c r="D1164" s="9" cm="1">
        <f t="array" ref="D1164">IFERROR(_xlfn.XLOOKUP(B1164,Personal!$A:$A,Personal!$C:$C,""),"")</f>
        <v>0</v>
      </c>
      <c r="E1164" s="9" t="str" cm="1">
        <f t="array" ref="E1164">IFERROR(_xlfn.XLOOKUP(D1164,Locales!$A:$A,Locales!$B:$B,""),"")</f>
        <v/>
      </c>
      <c r="F1164" s="9" cm="1">
        <f t="array" ref="F1164">IFERROR(_xlfn.XLOOKUP(B1164,Personal!$A:$A,Personal!$F:$F,""),"")</f>
        <v>0</v>
      </c>
      <c r="I1164" s="10" cm="1">
        <f t="array" ref="I1164">IFERROR(INDEX(Precios!$D:$F,MATCH(N1164, Precios!$G:$G, 0),CHOOSE(MATCH(H1164, {"SML";"XL";"XXL"}, 0), 1, 2, 3)), 0)</f>
        <v>0</v>
      </c>
      <c r="K1164" s="10">
        <f t="shared" si="42"/>
        <v>0</v>
      </c>
      <c r="N1164" s="9" t="str">
        <f t="shared" si="43"/>
        <v/>
      </c>
      <c r="O1164" s="9" t="str">
        <f>IF(N1164="","",IF(COUNTIF(Precios!$G:$G,N1164)=0,"⚠ No coincide con Precios","OK"))</f>
        <v/>
      </c>
    </row>
    <row r="1165" spans="3:15" x14ac:dyDescent="0.2">
      <c r="C1165" s="9" cm="1">
        <f t="array" ref="C1165">IFERROR(_xlfn.XLOOKUP(B1165,Personal!$A:$A,Personal!$D:$D,""),"")</f>
        <v>0</v>
      </c>
      <c r="D1165" s="9" cm="1">
        <f t="array" ref="D1165">IFERROR(_xlfn.XLOOKUP(B1165,Personal!$A:$A,Personal!$C:$C,""),"")</f>
        <v>0</v>
      </c>
      <c r="E1165" s="9" t="str" cm="1">
        <f t="array" ref="E1165">IFERROR(_xlfn.XLOOKUP(D1165,Locales!$A:$A,Locales!$B:$B,""),"")</f>
        <v/>
      </c>
      <c r="F1165" s="9" cm="1">
        <f t="array" ref="F1165">IFERROR(_xlfn.XLOOKUP(B1165,Personal!$A:$A,Personal!$F:$F,""),"")</f>
        <v>0</v>
      </c>
      <c r="I1165" s="10" cm="1">
        <f t="array" ref="I1165">IFERROR(INDEX(Precios!$D:$F,MATCH(N1165, Precios!$G:$G, 0),CHOOSE(MATCH(H1165, {"SML";"XL";"XXL"}, 0), 1, 2, 3)), 0)</f>
        <v>0</v>
      </c>
      <c r="K1165" s="10">
        <f t="shared" si="42"/>
        <v>0</v>
      </c>
      <c r="N1165" s="9" t="str">
        <f t="shared" si="43"/>
        <v/>
      </c>
      <c r="O1165" s="9" t="str">
        <f>IF(N1165="","",IF(COUNTIF(Precios!$G:$G,N1165)=0,"⚠ No coincide con Precios","OK"))</f>
        <v/>
      </c>
    </row>
    <row r="1166" spans="3:15" x14ac:dyDescent="0.2">
      <c r="C1166" s="9" cm="1">
        <f t="array" ref="C1166">IFERROR(_xlfn.XLOOKUP(B1166,Personal!$A:$A,Personal!$D:$D,""),"")</f>
        <v>0</v>
      </c>
      <c r="D1166" s="9" cm="1">
        <f t="array" ref="D1166">IFERROR(_xlfn.XLOOKUP(B1166,Personal!$A:$A,Personal!$C:$C,""),"")</f>
        <v>0</v>
      </c>
      <c r="E1166" s="9" t="str" cm="1">
        <f t="array" ref="E1166">IFERROR(_xlfn.XLOOKUP(D1166,Locales!$A:$A,Locales!$B:$B,""),"")</f>
        <v/>
      </c>
      <c r="F1166" s="9" cm="1">
        <f t="array" ref="F1166">IFERROR(_xlfn.XLOOKUP(B1166,Personal!$A:$A,Personal!$F:$F,""),"")</f>
        <v>0</v>
      </c>
      <c r="I1166" s="10" cm="1">
        <f t="array" ref="I1166">IFERROR(INDEX(Precios!$D:$F,MATCH(N1166, Precios!$G:$G, 0),CHOOSE(MATCH(H1166, {"SML";"XL";"XXL"}, 0), 1, 2, 3)), 0)</f>
        <v>0</v>
      </c>
      <c r="K1166" s="10">
        <f t="shared" si="42"/>
        <v>0</v>
      </c>
      <c r="N1166" s="9" t="str">
        <f t="shared" si="43"/>
        <v/>
      </c>
      <c r="O1166" s="9" t="str">
        <f>IF(N1166="","",IF(COUNTIF(Precios!$G:$G,N1166)=0,"⚠ No coincide con Precios","OK"))</f>
        <v/>
      </c>
    </row>
    <row r="1167" spans="3:15" x14ac:dyDescent="0.2">
      <c r="C1167" s="9" cm="1">
        <f t="array" ref="C1167">IFERROR(_xlfn.XLOOKUP(B1167,Personal!$A:$A,Personal!$D:$D,""),"")</f>
        <v>0</v>
      </c>
      <c r="D1167" s="9" cm="1">
        <f t="array" ref="D1167">IFERROR(_xlfn.XLOOKUP(B1167,Personal!$A:$A,Personal!$C:$C,""),"")</f>
        <v>0</v>
      </c>
      <c r="E1167" s="9" t="str" cm="1">
        <f t="array" ref="E1167">IFERROR(_xlfn.XLOOKUP(D1167,Locales!$A:$A,Locales!$B:$B,""),"")</f>
        <v/>
      </c>
      <c r="F1167" s="9" cm="1">
        <f t="array" ref="F1167">IFERROR(_xlfn.XLOOKUP(B1167,Personal!$A:$A,Personal!$F:$F,""),"")</f>
        <v>0</v>
      </c>
      <c r="I1167" s="10" cm="1">
        <f t="array" ref="I1167">IFERROR(INDEX(Precios!$D:$F,MATCH(N1167, Precios!$G:$G, 0),CHOOSE(MATCH(H1167, {"SML";"XL";"XXL"}, 0), 1, 2, 3)), 0)</f>
        <v>0</v>
      </c>
      <c r="K1167" s="10">
        <f t="shared" si="42"/>
        <v>0</v>
      </c>
      <c r="N1167" s="9" t="str">
        <f t="shared" si="43"/>
        <v/>
      </c>
      <c r="O1167" s="9" t="str">
        <f>IF(N1167="","",IF(COUNTIF(Precios!$G:$G,N1167)=0,"⚠ No coincide con Precios","OK"))</f>
        <v/>
      </c>
    </row>
    <row r="1168" spans="3:15" x14ac:dyDescent="0.2">
      <c r="C1168" s="9" cm="1">
        <f t="array" ref="C1168">IFERROR(_xlfn.XLOOKUP(B1168,Personal!$A:$A,Personal!$D:$D,""),"")</f>
        <v>0</v>
      </c>
      <c r="D1168" s="9" cm="1">
        <f t="array" ref="D1168">IFERROR(_xlfn.XLOOKUP(B1168,Personal!$A:$A,Personal!$C:$C,""),"")</f>
        <v>0</v>
      </c>
      <c r="E1168" s="9" t="str" cm="1">
        <f t="array" ref="E1168">IFERROR(_xlfn.XLOOKUP(D1168,Locales!$A:$A,Locales!$B:$B,""),"")</f>
        <v/>
      </c>
      <c r="F1168" s="9" cm="1">
        <f t="array" ref="F1168">IFERROR(_xlfn.XLOOKUP(B1168,Personal!$A:$A,Personal!$F:$F,""),"")</f>
        <v>0</v>
      </c>
      <c r="I1168" s="10" cm="1">
        <f t="array" ref="I1168">IFERROR(INDEX(Precios!$D:$F,MATCH(N1168, Precios!$G:$G, 0),CHOOSE(MATCH(H1168, {"SML";"XL";"XXL"}, 0), 1, 2, 3)), 0)</f>
        <v>0</v>
      </c>
      <c r="K1168" s="10">
        <f t="shared" si="42"/>
        <v>0</v>
      </c>
      <c r="N1168" s="9" t="str">
        <f t="shared" si="43"/>
        <v/>
      </c>
      <c r="O1168" s="9" t="str">
        <f>IF(N1168="","",IF(COUNTIF(Precios!$G:$G,N1168)=0,"⚠ No coincide con Precios","OK"))</f>
        <v/>
      </c>
    </row>
    <row r="1169" spans="3:15" x14ac:dyDescent="0.2">
      <c r="C1169" s="9" cm="1">
        <f t="array" ref="C1169">IFERROR(_xlfn.XLOOKUP(B1169,Personal!$A:$A,Personal!$D:$D,""),"")</f>
        <v>0</v>
      </c>
      <c r="D1169" s="9" cm="1">
        <f t="array" ref="D1169">IFERROR(_xlfn.XLOOKUP(B1169,Personal!$A:$A,Personal!$C:$C,""),"")</f>
        <v>0</v>
      </c>
      <c r="E1169" s="9" t="str" cm="1">
        <f t="array" ref="E1169">IFERROR(_xlfn.XLOOKUP(D1169,Locales!$A:$A,Locales!$B:$B,""),"")</f>
        <v/>
      </c>
      <c r="F1169" s="9" cm="1">
        <f t="array" ref="F1169">IFERROR(_xlfn.XLOOKUP(B1169,Personal!$A:$A,Personal!$F:$F,""),"")</f>
        <v>0</v>
      </c>
      <c r="I1169" s="10" cm="1">
        <f t="array" ref="I1169">IFERROR(INDEX(Precios!$D:$F,MATCH(N1169, Precios!$G:$G, 0),CHOOSE(MATCH(H1169, {"SML";"XL";"XXL"}, 0), 1, 2, 3)), 0)</f>
        <v>0</v>
      </c>
      <c r="K1169" s="10">
        <f t="shared" si="42"/>
        <v>0</v>
      </c>
      <c r="N1169" s="9" t="str">
        <f t="shared" si="43"/>
        <v/>
      </c>
      <c r="O1169" s="9" t="str">
        <f>IF(N1169="","",IF(COUNTIF(Precios!$G:$G,N1169)=0,"⚠ No coincide con Precios","OK"))</f>
        <v/>
      </c>
    </row>
    <row r="1170" spans="3:15" x14ac:dyDescent="0.2">
      <c r="C1170" s="9" cm="1">
        <f t="array" ref="C1170">IFERROR(_xlfn.XLOOKUP(B1170,Personal!$A:$A,Personal!$D:$D,""),"")</f>
        <v>0</v>
      </c>
      <c r="D1170" s="9" cm="1">
        <f t="array" ref="D1170">IFERROR(_xlfn.XLOOKUP(B1170,Personal!$A:$A,Personal!$C:$C,""),"")</f>
        <v>0</v>
      </c>
      <c r="E1170" s="9" t="str" cm="1">
        <f t="array" ref="E1170">IFERROR(_xlfn.XLOOKUP(D1170,Locales!$A:$A,Locales!$B:$B,""),"")</f>
        <v/>
      </c>
      <c r="F1170" s="9" cm="1">
        <f t="array" ref="F1170">IFERROR(_xlfn.XLOOKUP(B1170,Personal!$A:$A,Personal!$F:$F,""),"")</f>
        <v>0</v>
      </c>
      <c r="I1170" s="10" cm="1">
        <f t="array" ref="I1170">IFERROR(INDEX(Precios!$D:$F,MATCH(N1170, Precios!$G:$G, 0),CHOOSE(MATCH(H1170, {"SML";"XL";"XXL"}, 0), 1, 2, 3)), 0)</f>
        <v>0</v>
      </c>
      <c r="K1170" s="10">
        <f t="shared" si="42"/>
        <v>0</v>
      </c>
      <c r="N1170" s="9" t="str">
        <f t="shared" si="43"/>
        <v/>
      </c>
      <c r="O1170" s="9" t="str">
        <f>IF(N1170="","",IF(COUNTIF(Precios!$G:$G,N1170)=0,"⚠ No coincide con Precios","OK"))</f>
        <v/>
      </c>
    </row>
    <row r="1171" spans="3:15" x14ac:dyDescent="0.2">
      <c r="C1171" s="9" cm="1">
        <f t="array" ref="C1171">IFERROR(_xlfn.XLOOKUP(B1171,Personal!$A:$A,Personal!$D:$D,""),"")</f>
        <v>0</v>
      </c>
      <c r="D1171" s="9" cm="1">
        <f t="array" ref="D1171">IFERROR(_xlfn.XLOOKUP(B1171,Personal!$A:$A,Personal!$C:$C,""),"")</f>
        <v>0</v>
      </c>
      <c r="E1171" s="9" t="str" cm="1">
        <f t="array" ref="E1171">IFERROR(_xlfn.XLOOKUP(D1171,Locales!$A:$A,Locales!$B:$B,""),"")</f>
        <v/>
      </c>
      <c r="F1171" s="9" cm="1">
        <f t="array" ref="F1171">IFERROR(_xlfn.XLOOKUP(B1171,Personal!$A:$A,Personal!$F:$F,""),"")</f>
        <v>0</v>
      </c>
      <c r="I1171" s="10" cm="1">
        <f t="array" ref="I1171">IFERROR(INDEX(Precios!$D:$F,MATCH(N1171, Precios!$G:$G, 0),CHOOSE(MATCH(H1171, {"SML";"XL";"XXL"}, 0), 1, 2, 3)), 0)</f>
        <v>0</v>
      </c>
      <c r="K1171" s="10">
        <f t="shared" si="42"/>
        <v>0</v>
      </c>
      <c r="N1171" s="9" t="str">
        <f t="shared" si="43"/>
        <v/>
      </c>
      <c r="O1171" s="9" t="str">
        <f>IF(N1171="","",IF(COUNTIF(Precios!$G:$G,N1171)=0,"⚠ No coincide con Precios","OK"))</f>
        <v/>
      </c>
    </row>
    <row r="1172" spans="3:15" x14ac:dyDescent="0.2">
      <c r="C1172" s="9" cm="1">
        <f t="array" ref="C1172">IFERROR(_xlfn.XLOOKUP(B1172,Personal!$A:$A,Personal!$D:$D,""),"")</f>
        <v>0</v>
      </c>
      <c r="D1172" s="9" cm="1">
        <f t="array" ref="D1172">IFERROR(_xlfn.XLOOKUP(B1172,Personal!$A:$A,Personal!$C:$C,""),"")</f>
        <v>0</v>
      </c>
      <c r="E1172" s="9" t="str" cm="1">
        <f t="array" ref="E1172">IFERROR(_xlfn.XLOOKUP(D1172,Locales!$A:$A,Locales!$B:$B,""),"")</f>
        <v/>
      </c>
      <c r="F1172" s="9" cm="1">
        <f t="array" ref="F1172">IFERROR(_xlfn.XLOOKUP(B1172,Personal!$A:$A,Personal!$F:$F,""),"")</f>
        <v>0</v>
      </c>
      <c r="I1172" s="10" cm="1">
        <f t="array" ref="I1172">IFERROR(INDEX(Precios!$D:$F,MATCH(N1172, Precios!$G:$G, 0),CHOOSE(MATCH(H1172, {"SML";"XL";"XXL"}, 0), 1, 2, 3)), 0)</f>
        <v>0</v>
      </c>
      <c r="K1172" s="10">
        <f t="shared" si="42"/>
        <v>0</v>
      </c>
      <c r="N1172" s="9" t="str">
        <f t="shared" si="43"/>
        <v/>
      </c>
      <c r="O1172" s="9" t="str">
        <f>IF(N1172="","",IF(COUNTIF(Precios!$G:$G,N1172)=0,"⚠ No coincide con Precios","OK"))</f>
        <v/>
      </c>
    </row>
    <row r="1173" spans="3:15" x14ac:dyDescent="0.2">
      <c r="C1173" s="9" cm="1">
        <f t="array" ref="C1173">IFERROR(_xlfn.XLOOKUP(B1173,Personal!$A:$A,Personal!$D:$D,""),"")</f>
        <v>0</v>
      </c>
      <c r="D1173" s="9" cm="1">
        <f t="array" ref="D1173">IFERROR(_xlfn.XLOOKUP(B1173,Personal!$A:$A,Personal!$C:$C,""),"")</f>
        <v>0</v>
      </c>
      <c r="E1173" s="9" t="str" cm="1">
        <f t="array" ref="E1173">IFERROR(_xlfn.XLOOKUP(D1173,Locales!$A:$A,Locales!$B:$B,""),"")</f>
        <v/>
      </c>
      <c r="F1173" s="9" cm="1">
        <f t="array" ref="F1173">IFERROR(_xlfn.XLOOKUP(B1173,Personal!$A:$A,Personal!$F:$F,""),"")</f>
        <v>0</v>
      </c>
      <c r="I1173" s="10" cm="1">
        <f t="array" ref="I1173">IFERROR(INDEX(Precios!$D:$F,MATCH(N1173, Precios!$G:$G, 0),CHOOSE(MATCH(H1173, {"SML";"XL";"XXL"}, 0), 1, 2, 3)), 0)</f>
        <v>0</v>
      </c>
      <c r="K1173" s="10">
        <f t="shared" si="42"/>
        <v>0</v>
      </c>
      <c r="N1173" s="9" t="str">
        <f t="shared" si="43"/>
        <v/>
      </c>
      <c r="O1173" s="9" t="str">
        <f>IF(N1173="","",IF(COUNTIF(Precios!$G:$G,N1173)=0,"⚠ No coincide con Precios","OK"))</f>
        <v/>
      </c>
    </row>
    <row r="1174" spans="3:15" x14ac:dyDescent="0.2">
      <c r="C1174" s="9" cm="1">
        <f t="array" ref="C1174">IFERROR(_xlfn.XLOOKUP(B1174,Personal!$A:$A,Personal!$D:$D,""),"")</f>
        <v>0</v>
      </c>
      <c r="D1174" s="9" cm="1">
        <f t="array" ref="D1174">IFERROR(_xlfn.XLOOKUP(B1174,Personal!$A:$A,Personal!$C:$C,""),"")</f>
        <v>0</v>
      </c>
      <c r="E1174" s="9" t="str" cm="1">
        <f t="array" ref="E1174">IFERROR(_xlfn.XLOOKUP(D1174,Locales!$A:$A,Locales!$B:$B,""),"")</f>
        <v/>
      </c>
      <c r="F1174" s="9" cm="1">
        <f t="array" ref="F1174">IFERROR(_xlfn.XLOOKUP(B1174,Personal!$A:$A,Personal!$F:$F,""),"")</f>
        <v>0</v>
      </c>
      <c r="I1174" s="10" cm="1">
        <f t="array" ref="I1174">IFERROR(INDEX(Precios!$D:$F,MATCH(N1174, Precios!$G:$G, 0),CHOOSE(MATCH(H1174, {"SML";"XL";"XXL"}, 0), 1, 2, 3)), 0)</f>
        <v>0</v>
      </c>
      <c r="K1174" s="10">
        <f t="shared" si="42"/>
        <v>0</v>
      </c>
      <c r="N1174" s="9" t="str">
        <f t="shared" si="43"/>
        <v/>
      </c>
      <c r="O1174" s="9" t="str">
        <f>IF(N1174="","",IF(COUNTIF(Precios!$G:$G,N1174)=0,"⚠ No coincide con Precios","OK"))</f>
        <v/>
      </c>
    </row>
    <row r="1175" spans="3:15" x14ac:dyDescent="0.2">
      <c r="C1175" s="9" cm="1">
        <f t="array" ref="C1175">IFERROR(_xlfn.XLOOKUP(B1175,Personal!$A:$A,Personal!$D:$D,""),"")</f>
        <v>0</v>
      </c>
      <c r="D1175" s="9" cm="1">
        <f t="array" ref="D1175">IFERROR(_xlfn.XLOOKUP(B1175,Personal!$A:$A,Personal!$C:$C,""),"")</f>
        <v>0</v>
      </c>
      <c r="E1175" s="9" t="str" cm="1">
        <f t="array" ref="E1175">IFERROR(_xlfn.XLOOKUP(D1175,Locales!$A:$A,Locales!$B:$B,""),"")</f>
        <v/>
      </c>
      <c r="F1175" s="9" cm="1">
        <f t="array" ref="F1175">IFERROR(_xlfn.XLOOKUP(B1175,Personal!$A:$A,Personal!$F:$F,""),"")</f>
        <v>0</v>
      </c>
      <c r="I1175" s="10" cm="1">
        <f t="array" ref="I1175">IFERROR(INDEX(Precios!$D:$F,MATCH(N1175, Precios!$G:$G, 0),CHOOSE(MATCH(H1175, {"SML";"XL";"XXL"}, 0), 1, 2, 3)), 0)</f>
        <v>0</v>
      </c>
      <c r="K1175" s="10">
        <f t="shared" si="42"/>
        <v>0</v>
      </c>
      <c r="N1175" s="9" t="str">
        <f t="shared" si="43"/>
        <v/>
      </c>
      <c r="O1175" s="9" t="str">
        <f>IF(N1175="","",IF(COUNTIF(Precios!$G:$G,N1175)=0,"⚠ No coincide con Precios","OK"))</f>
        <v/>
      </c>
    </row>
    <row r="1176" spans="3:15" x14ac:dyDescent="0.2">
      <c r="C1176" s="9" cm="1">
        <f t="array" ref="C1176">IFERROR(_xlfn.XLOOKUP(B1176,Personal!$A:$A,Personal!$D:$D,""),"")</f>
        <v>0</v>
      </c>
      <c r="D1176" s="9" cm="1">
        <f t="array" ref="D1176">IFERROR(_xlfn.XLOOKUP(B1176,Personal!$A:$A,Personal!$C:$C,""),"")</f>
        <v>0</v>
      </c>
      <c r="E1176" s="9" t="str" cm="1">
        <f t="array" ref="E1176">IFERROR(_xlfn.XLOOKUP(D1176,Locales!$A:$A,Locales!$B:$B,""),"")</f>
        <v/>
      </c>
      <c r="F1176" s="9" cm="1">
        <f t="array" ref="F1176">IFERROR(_xlfn.XLOOKUP(B1176,Personal!$A:$A,Personal!$F:$F,""),"")</f>
        <v>0</v>
      </c>
      <c r="I1176" s="10" cm="1">
        <f t="array" ref="I1176">IFERROR(INDEX(Precios!$D:$F,MATCH(N1176, Precios!$G:$G, 0),CHOOSE(MATCH(H1176, {"SML";"XL";"XXL"}, 0), 1, 2, 3)), 0)</f>
        <v>0</v>
      </c>
      <c r="K1176" s="10">
        <f t="shared" si="42"/>
        <v>0</v>
      </c>
      <c r="N1176" s="9" t="str">
        <f t="shared" si="43"/>
        <v/>
      </c>
      <c r="O1176" s="9" t="str">
        <f>IF(N1176="","",IF(COUNTIF(Precios!$G:$G,N1176)=0,"⚠ No coincide con Precios","OK"))</f>
        <v/>
      </c>
    </row>
    <row r="1177" spans="3:15" x14ac:dyDescent="0.2">
      <c r="C1177" s="9" cm="1">
        <f t="array" ref="C1177">IFERROR(_xlfn.XLOOKUP(B1177,Personal!$A:$A,Personal!$D:$D,""),"")</f>
        <v>0</v>
      </c>
      <c r="D1177" s="9" cm="1">
        <f t="array" ref="D1177">IFERROR(_xlfn.XLOOKUP(B1177,Personal!$A:$A,Personal!$C:$C,""),"")</f>
        <v>0</v>
      </c>
      <c r="E1177" s="9" t="str" cm="1">
        <f t="array" ref="E1177">IFERROR(_xlfn.XLOOKUP(D1177,Locales!$A:$A,Locales!$B:$B,""),"")</f>
        <v/>
      </c>
      <c r="F1177" s="9" cm="1">
        <f t="array" ref="F1177">IFERROR(_xlfn.XLOOKUP(B1177,Personal!$A:$A,Personal!$F:$F,""),"")</f>
        <v>0</v>
      </c>
      <c r="I1177" s="10" cm="1">
        <f t="array" ref="I1177">IFERROR(INDEX(Precios!$D:$F,MATCH(N1177, Precios!$G:$G, 0),CHOOSE(MATCH(H1177, {"SML";"XL";"XXL"}, 0), 1, 2, 3)), 0)</f>
        <v>0</v>
      </c>
      <c r="K1177" s="10">
        <f t="shared" si="42"/>
        <v>0</v>
      </c>
      <c r="N1177" s="9" t="str">
        <f t="shared" si="43"/>
        <v/>
      </c>
      <c r="O1177" s="9" t="str">
        <f>IF(N1177="","",IF(COUNTIF(Precios!$G:$G,N1177)=0,"⚠ No coincide con Precios","OK"))</f>
        <v/>
      </c>
    </row>
    <row r="1178" spans="3:15" x14ac:dyDescent="0.2">
      <c r="C1178" s="9" cm="1">
        <f t="array" ref="C1178">IFERROR(_xlfn.XLOOKUP(B1178,Personal!$A:$A,Personal!$D:$D,""),"")</f>
        <v>0</v>
      </c>
      <c r="D1178" s="9" cm="1">
        <f t="array" ref="D1178">IFERROR(_xlfn.XLOOKUP(B1178,Personal!$A:$A,Personal!$C:$C,""),"")</f>
        <v>0</v>
      </c>
      <c r="E1178" s="9" t="str" cm="1">
        <f t="array" ref="E1178">IFERROR(_xlfn.XLOOKUP(D1178,Locales!$A:$A,Locales!$B:$B,""),"")</f>
        <v/>
      </c>
      <c r="F1178" s="9" cm="1">
        <f t="array" ref="F1178">IFERROR(_xlfn.XLOOKUP(B1178,Personal!$A:$A,Personal!$F:$F,""),"")</f>
        <v>0</v>
      </c>
      <c r="I1178" s="10" cm="1">
        <f t="array" ref="I1178">IFERROR(INDEX(Precios!$D:$F,MATCH(N1178, Precios!$G:$G, 0),CHOOSE(MATCH(H1178, {"SML";"XL";"XXL"}, 0), 1, 2, 3)), 0)</f>
        <v>0</v>
      </c>
      <c r="K1178" s="10">
        <f t="shared" si="42"/>
        <v>0</v>
      </c>
      <c r="N1178" s="9" t="str">
        <f t="shared" si="43"/>
        <v/>
      </c>
      <c r="O1178" s="9" t="str">
        <f>IF(N1178="","",IF(COUNTIF(Precios!$G:$G,N1178)=0,"⚠ No coincide con Precios","OK"))</f>
        <v/>
      </c>
    </row>
    <row r="1179" spans="3:15" x14ac:dyDescent="0.2">
      <c r="C1179" s="9" cm="1">
        <f t="array" ref="C1179">IFERROR(_xlfn.XLOOKUP(B1179,Personal!$A:$A,Personal!$D:$D,""),"")</f>
        <v>0</v>
      </c>
      <c r="D1179" s="9" cm="1">
        <f t="array" ref="D1179">IFERROR(_xlfn.XLOOKUP(B1179,Personal!$A:$A,Personal!$C:$C,""),"")</f>
        <v>0</v>
      </c>
      <c r="E1179" s="9" t="str" cm="1">
        <f t="array" ref="E1179">IFERROR(_xlfn.XLOOKUP(D1179,Locales!$A:$A,Locales!$B:$B,""),"")</f>
        <v/>
      </c>
      <c r="F1179" s="9" cm="1">
        <f t="array" ref="F1179">IFERROR(_xlfn.XLOOKUP(B1179,Personal!$A:$A,Personal!$F:$F,""),"")</f>
        <v>0</v>
      </c>
      <c r="I1179" s="10" cm="1">
        <f t="array" ref="I1179">IFERROR(INDEX(Precios!$D:$F,MATCH(N1179, Precios!$G:$G, 0),CHOOSE(MATCH(H1179, {"SML";"XL";"XXL"}, 0), 1, 2, 3)), 0)</f>
        <v>0</v>
      </c>
      <c r="K1179" s="10">
        <f t="shared" si="42"/>
        <v>0</v>
      </c>
      <c r="N1179" s="9" t="str">
        <f t="shared" si="43"/>
        <v/>
      </c>
      <c r="O1179" s="9" t="str">
        <f>IF(N1179="","",IF(COUNTIF(Precios!$G:$G,N1179)=0,"⚠ No coincide con Precios","OK"))</f>
        <v/>
      </c>
    </row>
    <row r="1180" spans="3:15" x14ac:dyDescent="0.2">
      <c r="C1180" s="9" cm="1">
        <f t="array" ref="C1180">IFERROR(_xlfn.XLOOKUP(B1180,Personal!$A:$A,Personal!$D:$D,""),"")</f>
        <v>0</v>
      </c>
      <c r="D1180" s="9" cm="1">
        <f t="array" ref="D1180">IFERROR(_xlfn.XLOOKUP(B1180,Personal!$A:$A,Personal!$C:$C,""),"")</f>
        <v>0</v>
      </c>
      <c r="E1180" s="9" t="str" cm="1">
        <f t="array" ref="E1180">IFERROR(_xlfn.XLOOKUP(D1180,Locales!$A:$A,Locales!$B:$B,""),"")</f>
        <v/>
      </c>
      <c r="F1180" s="9" cm="1">
        <f t="array" ref="F1180">IFERROR(_xlfn.XLOOKUP(B1180,Personal!$A:$A,Personal!$F:$F,""),"")</f>
        <v>0</v>
      </c>
      <c r="I1180" s="10" cm="1">
        <f t="array" ref="I1180">IFERROR(INDEX(Precios!$D:$F,MATCH(N1180, Precios!$G:$G, 0),CHOOSE(MATCH(H1180, {"SML";"XL";"XXL"}, 0), 1, 2, 3)), 0)</f>
        <v>0</v>
      </c>
      <c r="K1180" s="10">
        <f t="shared" si="42"/>
        <v>0</v>
      </c>
      <c r="N1180" s="9" t="str">
        <f t="shared" si="43"/>
        <v/>
      </c>
      <c r="O1180" s="9" t="str">
        <f>IF(N1180="","",IF(COUNTIF(Precios!$G:$G,N1180)=0,"⚠ No coincide con Precios","OK"))</f>
        <v/>
      </c>
    </row>
    <row r="1181" spans="3:15" x14ac:dyDescent="0.2">
      <c r="C1181" s="9" cm="1">
        <f t="array" ref="C1181">IFERROR(_xlfn.XLOOKUP(B1181,Personal!$A:$A,Personal!$D:$D,""),"")</f>
        <v>0</v>
      </c>
      <c r="D1181" s="9" cm="1">
        <f t="array" ref="D1181">IFERROR(_xlfn.XLOOKUP(B1181,Personal!$A:$A,Personal!$C:$C,""),"")</f>
        <v>0</v>
      </c>
      <c r="E1181" s="9" t="str" cm="1">
        <f t="array" ref="E1181">IFERROR(_xlfn.XLOOKUP(D1181,Locales!$A:$A,Locales!$B:$B,""),"")</f>
        <v/>
      </c>
      <c r="F1181" s="9" cm="1">
        <f t="array" ref="F1181">IFERROR(_xlfn.XLOOKUP(B1181,Personal!$A:$A,Personal!$F:$F,""),"")</f>
        <v>0</v>
      </c>
      <c r="I1181" s="10" cm="1">
        <f t="array" ref="I1181">IFERROR(INDEX(Precios!$D:$F,MATCH(N1181, Precios!$G:$G, 0),CHOOSE(MATCH(H1181, {"SML";"XL";"XXL"}, 0), 1, 2, 3)), 0)</f>
        <v>0</v>
      </c>
      <c r="K1181" s="10">
        <f t="shared" si="42"/>
        <v>0</v>
      </c>
      <c r="N1181" s="9" t="str">
        <f t="shared" si="43"/>
        <v/>
      </c>
      <c r="O1181" s="9" t="str">
        <f>IF(N1181="","",IF(COUNTIF(Precios!$G:$G,N1181)=0,"⚠ No coincide con Precios","OK"))</f>
        <v/>
      </c>
    </row>
    <row r="1182" spans="3:15" x14ac:dyDescent="0.2">
      <c r="C1182" s="9" cm="1">
        <f t="array" ref="C1182">IFERROR(_xlfn.XLOOKUP(B1182,Personal!$A:$A,Personal!$D:$D,""),"")</f>
        <v>0</v>
      </c>
      <c r="D1182" s="9" cm="1">
        <f t="array" ref="D1182">IFERROR(_xlfn.XLOOKUP(B1182,Personal!$A:$A,Personal!$C:$C,""),"")</f>
        <v>0</v>
      </c>
      <c r="E1182" s="9" t="str" cm="1">
        <f t="array" ref="E1182">IFERROR(_xlfn.XLOOKUP(D1182,Locales!$A:$A,Locales!$B:$B,""),"")</f>
        <v/>
      </c>
      <c r="F1182" s="9" cm="1">
        <f t="array" ref="F1182">IFERROR(_xlfn.XLOOKUP(B1182,Personal!$A:$A,Personal!$F:$F,""),"")</f>
        <v>0</v>
      </c>
      <c r="I1182" s="10" cm="1">
        <f t="array" ref="I1182">IFERROR(INDEX(Precios!$D:$F,MATCH(N1182, Precios!$G:$G, 0),CHOOSE(MATCH(H1182, {"SML";"XL";"XXL"}, 0), 1, 2, 3)), 0)</f>
        <v>0</v>
      </c>
      <c r="K1182" s="10">
        <f t="shared" si="42"/>
        <v>0</v>
      </c>
      <c r="N1182" s="9" t="str">
        <f t="shared" si="43"/>
        <v/>
      </c>
      <c r="O1182" s="9" t="str">
        <f>IF(N1182="","",IF(COUNTIF(Precios!$G:$G,N1182)=0,"⚠ No coincide con Precios","OK"))</f>
        <v/>
      </c>
    </row>
    <row r="1183" spans="3:15" x14ac:dyDescent="0.2">
      <c r="C1183" s="9" cm="1">
        <f t="array" ref="C1183">IFERROR(_xlfn.XLOOKUP(B1183,Personal!$A:$A,Personal!$D:$D,""),"")</f>
        <v>0</v>
      </c>
      <c r="D1183" s="9" cm="1">
        <f t="array" ref="D1183">IFERROR(_xlfn.XLOOKUP(B1183,Personal!$A:$A,Personal!$C:$C,""),"")</f>
        <v>0</v>
      </c>
      <c r="E1183" s="9" t="str" cm="1">
        <f t="array" ref="E1183">IFERROR(_xlfn.XLOOKUP(D1183,Locales!$A:$A,Locales!$B:$B,""),"")</f>
        <v/>
      </c>
      <c r="F1183" s="9" cm="1">
        <f t="array" ref="F1183">IFERROR(_xlfn.XLOOKUP(B1183,Personal!$A:$A,Personal!$F:$F,""),"")</f>
        <v>0</v>
      </c>
      <c r="I1183" s="10" cm="1">
        <f t="array" ref="I1183">IFERROR(INDEX(Precios!$D:$F,MATCH(N1183, Precios!$G:$G, 0),CHOOSE(MATCH(H1183, {"SML";"XL";"XXL"}, 0), 1, 2, 3)), 0)</f>
        <v>0</v>
      </c>
      <c r="K1183" s="10">
        <f t="shared" si="42"/>
        <v>0</v>
      </c>
      <c r="N1183" s="9" t="str">
        <f t="shared" si="43"/>
        <v/>
      </c>
      <c r="O1183" s="9" t="str">
        <f>IF(N1183="","",IF(COUNTIF(Precios!$G:$G,N1183)=0,"⚠ No coincide con Precios","OK"))</f>
        <v/>
      </c>
    </row>
    <row r="1184" spans="3:15" x14ac:dyDescent="0.2">
      <c r="C1184" s="9" cm="1">
        <f t="array" ref="C1184">IFERROR(_xlfn.XLOOKUP(B1184,Personal!$A:$A,Personal!$D:$D,""),"")</f>
        <v>0</v>
      </c>
      <c r="D1184" s="9" cm="1">
        <f t="array" ref="D1184">IFERROR(_xlfn.XLOOKUP(B1184,Personal!$A:$A,Personal!$C:$C,""),"")</f>
        <v>0</v>
      </c>
      <c r="E1184" s="9" t="str" cm="1">
        <f t="array" ref="E1184">IFERROR(_xlfn.XLOOKUP(D1184,Locales!$A:$A,Locales!$B:$B,""),"")</f>
        <v/>
      </c>
      <c r="F1184" s="9" cm="1">
        <f t="array" ref="F1184">IFERROR(_xlfn.XLOOKUP(B1184,Personal!$A:$A,Personal!$F:$F,""),"")</f>
        <v>0</v>
      </c>
      <c r="I1184" s="10" cm="1">
        <f t="array" ref="I1184">IFERROR(INDEX(Precios!$D:$F,MATCH(N1184, Precios!$G:$G, 0),CHOOSE(MATCH(H1184, {"SML";"XL";"XXL"}, 0), 1, 2, 3)), 0)</f>
        <v>0</v>
      </c>
      <c r="K1184" s="10">
        <f t="shared" si="42"/>
        <v>0</v>
      </c>
      <c r="N1184" s="9" t="str">
        <f t="shared" si="43"/>
        <v/>
      </c>
      <c r="O1184" s="9" t="str">
        <f>IF(N1184="","",IF(COUNTIF(Precios!$G:$G,N1184)=0,"⚠ No coincide con Precios","OK"))</f>
        <v/>
      </c>
    </row>
    <row r="1185" spans="3:15" x14ac:dyDescent="0.2">
      <c r="C1185" s="9" cm="1">
        <f t="array" ref="C1185">IFERROR(_xlfn.XLOOKUP(B1185,Personal!$A:$A,Personal!$D:$D,""),"")</f>
        <v>0</v>
      </c>
      <c r="D1185" s="9" cm="1">
        <f t="array" ref="D1185">IFERROR(_xlfn.XLOOKUP(B1185,Personal!$A:$A,Personal!$C:$C,""),"")</f>
        <v>0</v>
      </c>
      <c r="E1185" s="9" t="str" cm="1">
        <f t="array" ref="E1185">IFERROR(_xlfn.XLOOKUP(D1185,Locales!$A:$A,Locales!$B:$B,""),"")</f>
        <v/>
      </c>
      <c r="F1185" s="9" cm="1">
        <f t="array" ref="F1185">IFERROR(_xlfn.XLOOKUP(B1185,Personal!$A:$A,Personal!$F:$F,""),"")</f>
        <v>0</v>
      </c>
      <c r="I1185" s="10" cm="1">
        <f t="array" ref="I1185">IFERROR(INDEX(Precios!$D:$F,MATCH(N1185, Precios!$G:$G, 0),CHOOSE(MATCH(H1185, {"SML";"XL";"XXL"}, 0), 1, 2, 3)), 0)</f>
        <v>0</v>
      </c>
      <c r="K1185" s="10">
        <f t="shared" si="42"/>
        <v>0</v>
      </c>
      <c r="N1185" s="9" t="str">
        <f t="shared" si="43"/>
        <v/>
      </c>
      <c r="O1185" s="9" t="str">
        <f>IF(N1185="","",IF(COUNTIF(Precios!$G:$G,N1185)=0,"⚠ No coincide con Precios","OK"))</f>
        <v/>
      </c>
    </row>
    <row r="1186" spans="3:15" x14ac:dyDescent="0.2">
      <c r="C1186" s="9" cm="1">
        <f t="array" ref="C1186">IFERROR(_xlfn.XLOOKUP(B1186,Personal!$A:$A,Personal!$D:$D,""),"")</f>
        <v>0</v>
      </c>
      <c r="D1186" s="9" cm="1">
        <f t="array" ref="D1186">IFERROR(_xlfn.XLOOKUP(B1186,Personal!$A:$A,Personal!$C:$C,""),"")</f>
        <v>0</v>
      </c>
      <c r="E1186" s="9" t="str" cm="1">
        <f t="array" ref="E1186">IFERROR(_xlfn.XLOOKUP(D1186,Locales!$A:$A,Locales!$B:$B,""),"")</f>
        <v/>
      </c>
      <c r="F1186" s="9" cm="1">
        <f t="array" ref="F1186">IFERROR(_xlfn.XLOOKUP(B1186,Personal!$A:$A,Personal!$F:$F,""),"")</f>
        <v>0</v>
      </c>
      <c r="I1186" s="10" cm="1">
        <f t="array" ref="I1186">IFERROR(INDEX(Precios!$D:$F,MATCH(N1186, Precios!$G:$G, 0),CHOOSE(MATCH(H1186, {"SML";"XL";"XXL"}, 0), 1, 2, 3)), 0)</f>
        <v>0</v>
      </c>
      <c r="K1186" s="10">
        <f t="shared" si="42"/>
        <v>0</v>
      </c>
      <c r="N1186" s="9" t="str">
        <f t="shared" si="43"/>
        <v/>
      </c>
      <c r="O1186" s="9" t="str">
        <f>IF(N1186="","",IF(COUNTIF(Precios!$G:$G,N1186)=0,"⚠ No coincide con Precios","OK"))</f>
        <v/>
      </c>
    </row>
    <row r="1187" spans="3:15" x14ac:dyDescent="0.2">
      <c r="C1187" s="9" cm="1">
        <f t="array" ref="C1187">IFERROR(_xlfn.XLOOKUP(B1187,Personal!$A:$A,Personal!$D:$D,""),"")</f>
        <v>0</v>
      </c>
      <c r="D1187" s="9" cm="1">
        <f t="array" ref="D1187">IFERROR(_xlfn.XLOOKUP(B1187,Personal!$A:$A,Personal!$C:$C,""),"")</f>
        <v>0</v>
      </c>
      <c r="E1187" s="9" t="str" cm="1">
        <f t="array" ref="E1187">IFERROR(_xlfn.XLOOKUP(D1187,Locales!$A:$A,Locales!$B:$B,""),"")</f>
        <v/>
      </c>
      <c r="F1187" s="9" cm="1">
        <f t="array" ref="F1187">IFERROR(_xlfn.XLOOKUP(B1187,Personal!$A:$A,Personal!$F:$F,""),"")</f>
        <v>0</v>
      </c>
      <c r="I1187" s="10" cm="1">
        <f t="array" ref="I1187">IFERROR(INDEX(Precios!$D:$F,MATCH(N1187, Precios!$G:$G, 0),CHOOSE(MATCH(H1187, {"SML";"XL";"XXL"}, 0), 1, 2, 3)), 0)</f>
        <v>0</v>
      </c>
      <c r="K1187" s="10">
        <f t="shared" si="42"/>
        <v>0</v>
      </c>
      <c r="N1187" s="9" t="str">
        <f t="shared" si="43"/>
        <v/>
      </c>
      <c r="O1187" s="9" t="str">
        <f>IF(N1187="","",IF(COUNTIF(Precios!$G:$G,N1187)=0,"⚠ No coincide con Precios","OK"))</f>
        <v/>
      </c>
    </row>
    <row r="1188" spans="3:15" x14ac:dyDescent="0.2">
      <c r="C1188" s="9" cm="1">
        <f t="array" ref="C1188">IFERROR(_xlfn.XLOOKUP(B1188,Personal!$A:$A,Personal!$D:$D,""),"")</f>
        <v>0</v>
      </c>
      <c r="D1188" s="9" cm="1">
        <f t="array" ref="D1188">IFERROR(_xlfn.XLOOKUP(B1188,Personal!$A:$A,Personal!$C:$C,""),"")</f>
        <v>0</v>
      </c>
      <c r="E1188" s="9" t="str" cm="1">
        <f t="array" ref="E1188">IFERROR(_xlfn.XLOOKUP(D1188,Locales!$A:$A,Locales!$B:$B,""),"")</f>
        <v/>
      </c>
      <c r="F1188" s="9" cm="1">
        <f t="array" ref="F1188">IFERROR(_xlfn.XLOOKUP(B1188,Personal!$A:$A,Personal!$F:$F,""),"")</f>
        <v>0</v>
      </c>
      <c r="I1188" s="10" cm="1">
        <f t="array" ref="I1188">IFERROR(INDEX(Precios!$D:$F,MATCH(N1188, Precios!$G:$G, 0),CHOOSE(MATCH(H1188, {"SML";"XL";"XXL"}, 0), 1, 2, 3)), 0)</f>
        <v>0</v>
      </c>
      <c r="K1188" s="10">
        <f t="shared" si="42"/>
        <v>0</v>
      </c>
      <c r="N1188" s="9" t="str">
        <f t="shared" si="43"/>
        <v/>
      </c>
      <c r="O1188" s="9" t="str">
        <f>IF(N1188="","",IF(COUNTIF(Precios!$G:$G,N1188)=0,"⚠ No coincide con Precios","OK"))</f>
        <v/>
      </c>
    </row>
    <row r="1189" spans="3:15" x14ac:dyDescent="0.2">
      <c r="C1189" s="9" cm="1">
        <f t="array" ref="C1189">IFERROR(_xlfn.XLOOKUP(B1189,Personal!$A:$A,Personal!$D:$D,""),"")</f>
        <v>0</v>
      </c>
      <c r="D1189" s="9" cm="1">
        <f t="array" ref="D1189">IFERROR(_xlfn.XLOOKUP(B1189,Personal!$A:$A,Personal!$C:$C,""),"")</f>
        <v>0</v>
      </c>
      <c r="E1189" s="9" t="str" cm="1">
        <f t="array" ref="E1189">IFERROR(_xlfn.XLOOKUP(D1189,Locales!$A:$A,Locales!$B:$B,""),"")</f>
        <v/>
      </c>
      <c r="F1189" s="9" cm="1">
        <f t="array" ref="F1189">IFERROR(_xlfn.XLOOKUP(B1189,Personal!$A:$A,Personal!$F:$F,""),"")</f>
        <v>0</v>
      </c>
      <c r="I1189" s="10" cm="1">
        <f t="array" ref="I1189">IFERROR(INDEX(Precios!$D:$F,MATCH(N1189, Precios!$G:$G, 0),CHOOSE(MATCH(H1189, {"SML";"XL";"XXL"}, 0), 1, 2, 3)), 0)</f>
        <v>0</v>
      </c>
      <c r="K1189" s="10">
        <f t="shared" si="42"/>
        <v>0</v>
      </c>
      <c r="N1189" s="9" t="str">
        <f t="shared" si="43"/>
        <v/>
      </c>
      <c r="O1189" s="9" t="str">
        <f>IF(N1189="","",IF(COUNTIF(Precios!$G:$G,N1189)=0,"⚠ No coincide con Precios","OK"))</f>
        <v/>
      </c>
    </row>
    <row r="1190" spans="3:15" x14ac:dyDescent="0.2">
      <c r="C1190" s="9" cm="1">
        <f t="array" ref="C1190">IFERROR(_xlfn.XLOOKUP(B1190,Personal!$A:$A,Personal!$D:$D,""),"")</f>
        <v>0</v>
      </c>
      <c r="D1190" s="9" cm="1">
        <f t="array" ref="D1190">IFERROR(_xlfn.XLOOKUP(B1190,Personal!$A:$A,Personal!$C:$C,""),"")</f>
        <v>0</v>
      </c>
      <c r="E1190" s="9" t="str" cm="1">
        <f t="array" ref="E1190">IFERROR(_xlfn.XLOOKUP(D1190,Locales!$A:$A,Locales!$B:$B,""),"")</f>
        <v/>
      </c>
      <c r="F1190" s="9" cm="1">
        <f t="array" ref="F1190">IFERROR(_xlfn.XLOOKUP(B1190,Personal!$A:$A,Personal!$F:$F,""),"")</f>
        <v>0</v>
      </c>
      <c r="I1190" s="10" cm="1">
        <f t="array" ref="I1190">IFERROR(INDEX(Precios!$D:$F,MATCH(N1190, Precios!$G:$G, 0),CHOOSE(MATCH(H1190, {"SML";"XL";"XXL"}, 0), 1, 2, 3)), 0)</f>
        <v>0</v>
      </c>
      <c r="K1190" s="10">
        <f t="shared" si="42"/>
        <v>0</v>
      </c>
      <c r="N1190" s="9" t="str">
        <f t="shared" si="43"/>
        <v/>
      </c>
      <c r="O1190" s="9" t="str">
        <f>IF(N1190="","",IF(COUNTIF(Precios!$G:$G,N1190)=0,"⚠ No coincide con Precios","OK"))</f>
        <v/>
      </c>
    </row>
    <row r="1191" spans="3:15" x14ac:dyDescent="0.2">
      <c r="C1191" s="9" cm="1">
        <f t="array" ref="C1191">IFERROR(_xlfn.XLOOKUP(B1191,Personal!$A:$A,Personal!$D:$D,""),"")</f>
        <v>0</v>
      </c>
      <c r="D1191" s="9" cm="1">
        <f t="array" ref="D1191">IFERROR(_xlfn.XLOOKUP(B1191,Personal!$A:$A,Personal!$C:$C,""),"")</f>
        <v>0</v>
      </c>
      <c r="E1191" s="9" t="str" cm="1">
        <f t="array" ref="E1191">IFERROR(_xlfn.XLOOKUP(D1191,Locales!$A:$A,Locales!$B:$B,""),"")</f>
        <v/>
      </c>
      <c r="F1191" s="9" cm="1">
        <f t="array" ref="F1191">IFERROR(_xlfn.XLOOKUP(B1191,Personal!$A:$A,Personal!$F:$F,""),"")</f>
        <v>0</v>
      </c>
      <c r="I1191" s="10" cm="1">
        <f t="array" ref="I1191">IFERROR(INDEX(Precios!$D:$F,MATCH(N1191, Precios!$G:$G, 0),CHOOSE(MATCH(H1191, {"SML";"XL";"XXL"}, 0), 1, 2, 3)), 0)</f>
        <v>0</v>
      </c>
      <c r="K1191" s="10">
        <f t="shared" si="42"/>
        <v>0</v>
      </c>
      <c r="N1191" s="9" t="str">
        <f t="shared" si="43"/>
        <v/>
      </c>
      <c r="O1191" s="9" t="str">
        <f>IF(N1191="","",IF(COUNTIF(Precios!$G:$G,N1191)=0,"⚠ No coincide con Precios","OK"))</f>
        <v/>
      </c>
    </row>
    <row r="1192" spans="3:15" x14ac:dyDescent="0.2">
      <c r="C1192" s="9" cm="1">
        <f t="array" ref="C1192">IFERROR(_xlfn.XLOOKUP(B1192,Personal!$A:$A,Personal!$D:$D,""),"")</f>
        <v>0</v>
      </c>
      <c r="D1192" s="9" cm="1">
        <f t="array" ref="D1192">IFERROR(_xlfn.XLOOKUP(B1192,Personal!$A:$A,Personal!$C:$C,""),"")</f>
        <v>0</v>
      </c>
      <c r="E1192" s="9" t="str" cm="1">
        <f t="array" ref="E1192">IFERROR(_xlfn.XLOOKUP(D1192,Locales!$A:$A,Locales!$B:$B,""),"")</f>
        <v/>
      </c>
      <c r="F1192" s="9" cm="1">
        <f t="array" ref="F1192">IFERROR(_xlfn.XLOOKUP(B1192,Personal!$A:$A,Personal!$F:$F,""),"")</f>
        <v>0</v>
      </c>
      <c r="I1192" s="10" cm="1">
        <f t="array" ref="I1192">IFERROR(INDEX(Precios!$D:$F,MATCH(N1192, Precios!$G:$G, 0),CHOOSE(MATCH(H1192, {"SML";"XL";"XXL"}, 0), 1, 2, 3)), 0)</f>
        <v>0</v>
      </c>
      <c r="K1192" s="10">
        <f t="shared" si="42"/>
        <v>0</v>
      </c>
      <c r="N1192" s="9" t="str">
        <f t="shared" si="43"/>
        <v/>
      </c>
      <c r="O1192" s="9" t="str">
        <f>IF(N1192="","",IF(COUNTIF(Precios!$G:$G,N1192)=0,"⚠ No coincide con Precios","OK"))</f>
        <v/>
      </c>
    </row>
    <row r="1193" spans="3:15" x14ac:dyDescent="0.2">
      <c r="C1193" s="9" cm="1">
        <f t="array" ref="C1193">IFERROR(_xlfn.XLOOKUP(B1193,Personal!$A:$A,Personal!$D:$D,""),"")</f>
        <v>0</v>
      </c>
      <c r="D1193" s="9" cm="1">
        <f t="array" ref="D1193">IFERROR(_xlfn.XLOOKUP(B1193,Personal!$A:$A,Personal!$C:$C,""),"")</f>
        <v>0</v>
      </c>
      <c r="E1193" s="9" t="str" cm="1">
        <f t="array" ref="E1193">IFERROR(_xlfn.XLOOKUP(D1193,Locales!$A:$A,Locales!$B:$B,""),"")</f>
        <v/>
      </c>
      <c r="F1193" s="9" cm="1">
        <f t="array" ref="F1193">IFERROR(_xlfn.XLOOKUP(B1193,Personal!$A:$A,Personal!$F:$F,""),"")</f>
        <v>0</v>
      </c>
      <c r="I1193" s="10" cm="1">
        <f t="array" ref="I1193">IFERROR(INDEX(Precios!$D:$F,MATCH(N1193, Precios!$G:$G, 0),CHOOSE(MATCH(H1193, {"SML";"XL";"XXL"}, 0), 1, 2, 3)), 0)</f>
        <v>0</v>
      </c>
      <c r="K1193" s="10">
        <f t="shared" si="42"/>
        <v>0</v>
      </c>
      <c r="N1193" s="9" t="str">
        <f t="shared" si="43"/>
        <v/>
      </c>
      <c r="O1193" s="9" t="str">
        <f>IF(N1193="","",IF(COUNTIF(Precios!$G:$G,N1193)=0,"⚠ No coincide con Precios","OK"))</f>
        <v/>
      </c>
    </row>
    <row r="1194" spans="3:15" x14ac:dyDescent="0.2">
      <c r="C1194" s="9" cm="1">
        <f t="array" ref="C1194">IFERROR(_xlfn.XLOOKUP(B1194,Personal!$A:$A,Personal!$D:$D,""),"")</f>
        <v>0</v>
      </c>
      <c r="D1194" s="9" cm="1">
        <f t="array" ref="D1194">IFERROR(_xlfn.XLOOKUP(B1194,Personal!$A:$A,Personal!$C:$C,""),"")</f>
        <v>0</v>
      </c>
      <c r="E1194" s="9" t="str" cm="1">
        <f t="array" ref="E1194">IFERROR(_xlfn.XLOOKUP(D1194,Locales!$A:$A,Locales!$B:$B,""),"")</f>
        <v/>
      </c>
      <c r="F1194" s="9" cm="1">
        <f t="array" ref="F1194">IFERROR(_xlfn.XLOOKUP(B1194,Personal!$A:$A,Personal!$F:$F,""),"")</f>
        <v>0</v>
      </c>
      <c r="I1194" s="10" cm="1">
        <f t="array" ref="I1194">IFERROR(INDEX(Precios!$D:$F,MATCH(N1194, Precios!$G:$G, 0),CHOOSE(MATCH(H1194, {"SML";"XL";"XXL"}, 0), 1, 2, 3)), 0)</f>
        <v>0</v>
      </c>
      <c r="K1194" s="10">
        <f t="shared" si="42"/>
        <v>0</v>
      </c>
      <c r="N1194" s="9" t="str">
        <f t="shared" si="43"/>
        <v/>
      </c>
      <c r="O1194" s="9" t="str">
        <f>IF(N1194="","",IF(COUNTIF(Precios!$G:$G,N1194)=0,"⚠ No coincide con Precios","OK"))</f>
        <v/>
      </c>
    </row>
    <row r="1195" spans="3:15" x14ac:dyDescent="0.2">
      <c r="C1195" s="9" cm="1">
        <f t="array" ref="C1195">IFERROR(_xlfn.XLOOKUP(B1195,Personal!$A:$A,Personal!$D:$D,""),"")</f>
        <v>0</v>
      </c>
      <c r="D1195" s="9" cm="1">
        <f t="array" ref="D1195">IFERROR(_xlfn.XLOOKUP(B1195,Personal!$A:$A,Personal!$C:$C,""),"")</f>
        <v>0</v>
      </c>
      <c r="E1195" s="9" t="str" cm="1">
        <f t="array" ref="E1195">IFERROR(_xlfn.XLOOKUP(D1195,Locales!$A:$A,Locales!$B:$B,""),"")</f>
        <v/>
      </c>
      <c r="F1195" s="9" cm="1">
        <f t="array" ref="F1195">IFERROR(_xlfn.XLOOKUP(B1195,Personal!$A:$A,Personal!$F:$F,""),"")</f>
        <v>0</v>
      </c>
      <c r="I1195" s="10" cm="1">
        <f t="array" ref="I1195">IFERROR(INDEX(Precios!$D:$F,MATCH(N1195, Precios!$G:$G, 0),CHOOSE(MATCH(H1195, {"SML";"XL";"XXL"}, 0), 1, 2, 3)), 0)</f>
        <v>0</v>
      </c>
      <c r="K1195" s="10">
        <f t="shared" si="42"/>
        <v>0</v>
      </c>
      <c r="N1195" s="9" t="str">
        <f t="shared" si="43"/>
        <v/>
      </c>
      <c r="O1195" s="9" t="str">
        <f>IF(N1195="","",IF(COUNTIF(Precios!$G:$G,N1195)=0,"⚠ No coincide con Precios","OK"))</f>
        <v/>
      </c>
    </row>
    <row r="1196" spans="3:15" x14ac:dyDescent="0.2">
      <c r="C1196" s="9" cm="1">
        <f t="array" ref="C1196">IFERROR(_xlfn.XLOOKUP(B1196,Personal!$A:$A,Personal!$D:$D,""),"")</f>
        <v>0</v>
      </c>
      <c r="D1196" s="9" cm="1">
        <f t="array" ref="D1196">IFERROR(_xlfn.XLOOKUP(B1196,Personal!$A:$A,Personal!$C:$C,""),"")</f>
        <v>0</v>
      </c>
      <c r="E1196" s="9" t="str" cm="1">
        <f t="array" ref="E1196">IFERROR(_xlfn.XLOOKUP(D1196,Locales!$A:$A,Locales!$B:$B,""),"")</f>
        <v/>
      </c>
      <c r="F1196" s="9" cm="1">
        <f t="array" ref="F1196">IFERROR(_xlfn.XLOOKUP(B1196,Personal!$A:$A,Personal!$F:$F,""),"")</f>
        <v>0</v>
      </c>
      <c r="I1196" s="10" cm="1">
        <f t="array" ref="I1196">IFERROR(INDEX(Precios!$D:$F,MATCH(N1196, Precios!$G:$G, 0),CHOOSE(MATCH(H1196, {"SML";"XL";"XXL"}, 0), 1, 2, 3)), 0)</f>
        <v>0</v>
      </c>
      <c r="K1196" s="10">
        <f t="shared" si="42"/>
        <v>0</v>
      </c>
      <c r="N1196" s="9" t="str">
        <f t="shared" si="43"/>
        <v/>
      </c>
      <c r="O1196" s="9" t="str">
        <f>IF(N1196="","",IF(COUNTIF(Precios!$G:$G,N1196)=0,"⚠ No coincide con Precios","OK"))</f>
        <v/>
      </c>
    </row>
    <row r="1197" spans="3:15" x14ac:dyDescent="0.2">
      <c r="C1197" s="9" cm="1">
        <f t="array" ref="C1197">IFERROR(_xlfn.XLOOKUP(B1197,Personal!$A:$A,Personal!$D:$D,""),"")</f>
        <v>0</v>
      </c>
      <c r="D1197" s="9" cm="1">
        <f t="array" ref="D1197">IFERROR(_xlfn.XLOOKUP(B1197,Personal!$A:$A,Personal!$C:$C,""),"")</f>
        <v>0</v>
      </c>
      <c r="E1197" s="9" t="str" cm="1">
        <f t="array" ref="E1197">IFERROR(_xlfn.XLOOKUP(D1197,Locales!$A:$A,Locales!$B:$B,""),"")</f>
        <v/>
      </c>
      <c r="F1197" s="9" cm="1">
        <f t="array" ref="F1197">IFERROR(_xlfn.XLOOKUP(B1197,Personal!$A:$A,Personal!$F:$F,""),"")</f>
        <v>0</v>
      </c>
      <c r="I1197" s="10" cm="1">
        <f t="array" ref="I1197">IFERROR(INDEX(Precios!$D:$F,MATCH(N1197, Precios!$G:$G, 0),CHOOSE(MATCH(H1197, {"SML";"XL";"XXL"}, 0), 1, 2, 3)), 0)</f>
        <v>0</v>
      </c>
      <c r="K1197" s="10">
        <f t="shared" si="42"/>
        <v>0</v>
      </c>
      <c r="N1197" s="9" t="str">
        <f t="shared" si="43"/>
        <v/>
      </c>
      <c r="O1197" s="9" t="str">
        <f>IF(N1197="","",IF(COUNTIF(Precios!$G:$G,N1197)=0,"⚠ No coincide con Precios","OK"))</f>
        <v/>
      </c>
    </row>
    <row r="1198" spans="3:15" x14ac:dyDescent="0.2">
      <c r="C1198" s="9" cm="1">
        <f t="array" ref="C1198">IFERROR(_xlfn.XLOOKUP(B1198,Personal!$A:$A,Personal!$D:$D,""),"")</f>
        <v>0</v>
      </c>
      <c r="D1198" s="9" cm="1">
        <f t="array" ref="D1198">IFERROR(_xlfn.XLOOKUP(B1198,Personal!$A:$A,Personal!$C:$C,""),"")</f>
        <v>0</v>
      </c>
      <c r="E1198" s="9" t="str" cm="1">
        <f t="array" ref="E1198">IFERROR(_xlfn.XLOOKUP(D1198,Locales!$A:$A,Locales!$B:$B,""),"")</f>
        <v/>
      </c>
      <c r="F1198" s="9" cm="1">
        <f t="array" ref="F1198">IFERROR(_xlfn.XLOOKUP(B1198,Personal!$A:$A,Personal!$F:$F,""),"")</f>
        <v>0</v>
      </c>
      <c r="I1198" s="10" cm="1">
        <f t="array" ref="I1198">IFERROR(INDEX(Precios!$D:$F,MATCH(N1198, Precios!$G:$G, 0),CHOOSE(MATCH(H1198, {"SML";"XL";"XXL"}, 0), 1, 2, 3)), 0)</f>
        <v>0</v>
      </c>
      <c r="K1198" s="10">
        <f t="shared" si="42"/>
        <v>0</v>
      </c>
      <c r="N1198" s="9" t="str">
        <f t="shared" si="43"/>
        <v/>
      </c>
      <c r="O1198" s="9" t="str">
        <f>IF(N1198="","",IF(COUNTIF(Precios!$G:$G,N1198)=0,"⚠ No coincide con Precios","OK"))</f>
        <v/>
      </c>
    </row>
    <row r="1199" spans="3:15" x14ac:dyDescent="0.2">
      <c r="C1199" s="9" cm="1">
        <f t="array" ref="C1199">IFERROR(_xlfn.XLOOKUP(B1199,Personal!$A:$A,Personal!$D:$D,""),"")</f>
        <v>0</v>
      </c>
      <c r="D1199" s="9" cm="1">
        <f t="array" ref="D1199">IFERROR(_xlfn.XLOOKUP(B1199,Personal!$A:$A,Personal!$C:$C,""),"")</f>
        <v>0</v>
      </c>
      <c r="E1199" s="9" t="str" cm="1">
        <f t="array" ref="E1199">IFERROR(_xlfn.XLOOKUP(D1199,Locales!$A:$A,Locales!$B:$B,""),"")</f>
        <v/>
      </c>
      <c r="F1199" s="9" cm="1">
        <f t="array" ref="F1199">IFERROR(_xlfn.XLOOKUP(B1199,Personal!$A:$A,Personal!$F:$F,""),"")</f>
        <v>0</v>
      </c>
      <c r="I1199" s="10" cm="1">
        <f t="array" ref="I1199">IFERROR(INDEX(Precios!$D:$F,MATCH(N1199, Precios!$G:$G, 0),CHOOSE(MATCH(H1199, {"SML";"XL";"XXL"}, 0), 1, 2, 3)), 0)</f>
        <v>0</v>
      </c>
      <c r="K1199" s="10">
        <f t="shared" si="42"/>
        <v>0</v>
      </c>
      <c r="N1199" s="9" t="str">
        <f t="shared" si="43"/>
        <v/>
      </c>
      <c r="O1199" s="9" t="str">
        <f>IF(N1199="","",IF(COUNTIF(Precios!$G:$G,N1199)=0,"⚠ No coincide con Precios","OK"))</f>
        <v/>
      </c>
    </row>
    <row r="1200" spans="3:15" x14ac:dyDescent="0.2">
      <c r="C1200" s="9" cm="1">
        <f t="array" ref="C1200">IFERROR(_xlfn.XLOOKUP(B1200,Personal!$A:$A,Personal!$D:$D,""),"")</f>
        <v>0</v>
      </c>
      <c r="D1200" s="9" cm="1">
        <f t="array" ref="D1200">IFERROR(_xlfn.XLOOKUP(B1200,Personal!$A:$A,Personal!$C:$C,""),"")</f>
        <v>0</v>
      </c>
      <c r="E1200" s="9" t="str" cm="1">
        <f t="array" ref="E1200">IFERROR(_xlfn.XLOOKUP(D1200,Locales!$A:$A,Locales!$B:$B,""),"")</f>
        <v/>
      </c>
      <c r="F1200" s="9" cm="1">
        <f t="array" ref="F1200">IFERROR(_xlfn.XLOOKUP(B1200,Personal!$A:$A,Personal!$F:$F,""),"")</f>
        <v>0</v>
      </c>
      <c r="I1200" s="10" cm="1">
        <f t="array" ref="I1200">IFERROR(INDEX(Precios!$D:$F,MATCH(N1200, Precios!$G:$G, 0),CHOOSE(MATCH(H1200, {"SML";"XL";"XXL"}, 0), 1, 2, 3)), 0)</f>
        <v>0</v>
      </c>
      <c r="K1200" s="10">
        <f t="shared" si="42"/>
        <v>0</v>
      </c>
      <c r="N1200" s="9" t="str">
        <f t="shared" si="43"/>
        <v/>
      </c>
      <c r="O1200" s="9" t="str">
        <f>IF(N1200="","",IF(COUNTIF(Precios!$G:$G,N1200)=0,"⚠ No coincide con Precios","OK"))</f>
        <v/>
      </c>
    </row>
    <row r="1201" spans="3:15" x14ac:dyDescent="0.2">
      <c r="C1201" s="9" cm="1">
        <f t="array" ref="C1201">IFERROR(_xlfn.XLOOKUP(B1201,Personal!$A:$A,Personal!$D:$D,""),"")</f>
        <v>0</v>
      </c>
      <c r="D1201" s="9" cm="1">
        <f t="array" ref="D1201">IFERROR(_xlfn.XLOOKUP(B1201,Personal!$A:$A,Personal!$C:$C,""),"")</f>
        <v>0</v>
      </c>
      <c r="E1201" s="9" t="str" cm="1">
        <f t="array" ref="E1201">IFERROR(_xlfn.XLOOKUP(D1201,Locales!$A:$A,Locales!$B:$B,""),"")</f>
        <v/>
      </c>
      <c r="F1201" s="9" cm="1">
        <f t="array" ref="F1201">IFERROR(_xlfn.XLOOKUP(B1201,Personal!$A:$A,Personal!$F:$F,""),"")</f>
        <v>0</v>
      </c>
      <c r="I1201" s="10" cm="1">
        <f t="array" ref="I1201">IFERROR(INDEX(Precios!$D:$F,MATCH(N1201, Precios!$G:$G, 0),CHOOSE(MATCH(H1201, {"SML";"XL";"XXL"}, 0), 1, 2, 3)), 0)</f>
        <v>0</v>
      </c>
      <c r="K1201" s="10">
        <f t="shared" si="42"/>
        <v>0</v>
      </c>
      <c r="N1201" s="9" t="str">
        <f t="shared" si="43"/>
        <v/>
      </c>
      <c r="O1201" s="9" t="str">
        <f>IF(N1201="","",IF(COUNTIF(Precios!$G:$G,N1201)=0,"⚠ No coincide con Precios","OK"))</f>
        <v/>
      </c>
    </row>
    <row r="1202" spans="3:15" x14ac:dyDescent="0.2">
      <c r="C1202" s="9" cm="1">
        <f t="array" ref="C1202">IFERROR(_xlfn.XLOOKUP(B1202,Personal!$A:$A,Personal!$D:$D,""),"")</f>
        <v>0</v>
      </c>
      <c r="D1202" s="9" cm="1">
        <f t="array" ref="D1202">IFERROR(_xlfn.XLOOKUP(B1202,Personal!$A:$A,Personal!$C:$C,""),"")</f>
        <v>0</v>
      </c>
      <c r="E1202" s="9" t="str" cm="1">
        <f t="array" ref="E1202">IFERROR(_xlfn.XLOOKUP(D1202,Locales!$A:$A,Locales!$B:$B,""),"")</f>
        <v/>
      </c>
      <c r="F1202" s="9" cm="1">
        <f t="array" ref="F1202">IFERROR(_xlfn.XLOOKUP(B1202,Personal!$A:$A,Personal!$F:$F,""),"")</f>
        <v>0</v>
      </c>
      <c r="I1202" s="10" cm="1">
        <f t="array" ref="I1202">IFERROR(INDEX(Precios!$D:$F,MATCH(N1202, Precios!$G:$G, 0),CHOOSE(MATCH(H1202, {"SML";"XL";"XXL"}, 0), 1, 2, 3)), 0)</f>
        <v>0</v>
      </c>
      <c r="K1202" s="10">
        <f t="shared" si="42"/>
        <v>0</v>
      </c>
      <c r="N1202" s="9" t="str">
        <f t="shared" si="43"/>
        <v/>
      </c>
      <c r="O1202" s="9" t="str">
        <f>IF(N1202="","",IF(COUNTIF(Precios!$G:$G,N1202)=0,"⚠ No coincide con Precios","OK"))</f>
        <v/>
      </c>
    </row>
    <row r="1203" spans="3:15" x14ac:dyDescent="0.2">
      <c r="C1203" s="9" cm="1">
        <f t="array" ref="C1203">IFERROR(_xlfn.XLOOKUP(B1203,Personal!$A:$A,Personal!$D:$D,""),"")</f>
        <v>0</v>
      </c>
      <c r="D1203" s="9" cm="1">
        <f t="array" ref="D1203">IFERROR(_xlfn.XLOOKUP(B1203,Personal!$A:$A,Personal!$C:$C,""),"")</f>
        <v>0</v>
      </c>
      <c r="E1203" s="9" t="str" cm="1">
        <f t="array" ref="E1203">IFERROR(_xlfn.XLOOKUP(D1203,Locales!$A:$A,Locales!$B:$B,""),"")</f>
        <v/>
      </c>
      <c r="F1203" s="9" cm="1">
        <f t="array" ref="F1203">IFERROR(_xlfn.XLOOKUP(B1203,Personal!$A:$A,Personal!$F:$F,""),"")</f>
        <v>0</v>
      </c>
      <c r="I1203" s="10" cm="1">
        <f t="array" ref="I1203">IFERROR(INDEX(Precios!$D:$F,MATCH(N1203, Precios!$G:$G, 0),CHOOSE(MATCH(H1203, {"SML";"XL";"XXL"}, 0), 1, 2, 3)), 0)</f>
        <v>0</v>
      </c>
      <c r="K1203" s="10">
        <f t="shared" si="42"/>
        <v>0</v>
      </c>
      <c r="N1203" s="9" t="str">
        <f t="shared" si="43"/>
        <v/>
      </c>
      <c r="O1203" s="9" t="str">
        <f>IF(N1203="","",IF(COUNTIF(Precios!$G:$G,N1203)=0,"⚠ No coincide con Precios","OK"))</f>
        <v/>
      </c>
    </row>
    <row r="1204" spans="3:15" x14ac:dyDescent="0.2">
      <c r="C1204" s="9" cm="1">
        <f t="array" ref="C1204">IFERROR(_xlfn.XLOOKUP(B1204,Personal!$A:$A,Personal!$D:$D,""),"")</f>
        <v>0</v>
      </c>
      <c r="D1204" s="9" cm="1">
        <f t="array" ref="D1204">IFERROR(_xlfn.XLOOKUP(B1204,Personal!$A:$A,Personal!$C:$C,""),"")</f>
        <v>0</v>
      </c>
      <c r="E1204" s="9" t="str" cm="1">
        <f t="array" ref="E1204">IFERROR(_xlfn.XLOOKUP(D1204,Locales!$A:$A,Locales!$B:$B,""),"")</f>
        <v/>
      </c>
      <c r="F1204" s="9" cm="1">
        <f t="array" ref="F1204">IFERROR(_xlfn.XLOOKUP(B1204,Personal!$A:$A,Personal!$F:$F,""),"")</f>
        <v>0</v>
      </c>
      <c r="I1204" s="10" cm="1">
        <f t="array" ref="I1204">IFERROR(INDEX(Precios!$D:$F,MATCH(N1204, Precios!$G:$G, 0),CHOOSE(MATCH(H1204, {"SML";"XL";"XXL"}, 0), 1, 2, 3)), 0)</f>
        <v>0</v>
      </c>
      <c r="K1204" s="10">
        <f t="shared" si="42"/>
        <v>0</v>
      </c>
      <c r="N1204" s="9" t="str">
        <f t="shared" si="43"/>
        <v/>
      </c>
      <c r="O1204" s="9" t="str">
        <f>IF(N1204="","",IF(COUNTIF(Precios!$G:$G,N1204)=0,"⚠ No coincide con Precios","OK"))</f>
        <v/>
      </c>
    </row>
    <row r="1205" spans="3:15" x14ac:dyDescent="0.2">
      <c r="C1205" s="9" cm="1">
        <f t="array" ref="C1205">IFERROR(_xlfn.XLOOKUP(B1205,Personal!$A:$A,Personal!$D:$D,""),"")</f>
        <v>0</v>
      </c>
      <c r="D1205" s="9" cm="1">
        <f t="array" ref="D1205">IFERROR(_xlfn.XLOOKUP(B1205,Personal!$A:$A,Personal!$C:$C,""),"")</f>
        <v>0</v>
      </c>
      <c r="E1205" s="9" t="str" cm="1">
        <f t="array" ref="E1205">IFERROR(_xlfn.XLOOKUP(D1205,Locales!$A:$A,Locales!$B:$B,""),"")</f>
        <v/>
      </c>
      <c r="F1205" s="9" cm="1">
        <f t="array" ref="F1205">IFERROR(_xlfn.XLOOKUP(B1205,Personal!$A:$A,Personal!$F:$F,""),"")</f>
        <v>0</v>
      </c>
      <c r="I1205" s="10" cm="1">
        <f t="array" ref="I1205">IFERROR(INDEX(Precios!$D:$F,MATCH(N1205, Precios!$G:$G, 0),CHOOSE(MATCH(H1205, {"SML";"XL";"XXL"}, 0), 1, 2, 3)), 0)</f>
        <v>0</v>
      </c>
      <c r="K1205" s="10">
        <f t="shared" si="42"/>
        <v>0</v>
      </c>
      <c r="N1205" s="9" t="str">
        <f t="shared" si="43"/>
        <v/>
      </c>
      <c r="O1205" s="9" t="str">
        <f>IF(N1205="","",IF(COUNTIF(Precios!$G:$G,N1205)=0,"⚠ No coincide con Precios","OK"))</f>
        <v/>
      </c>
    </row>
    <row r="1206" spans="3:15" x14ac:dyDescent="0.2">
      <c r="C1206" s="9" cm="1">
        <f t="array" ref="C1206">IFERROR(_xlfn.XLOOKUP(B1206,Personal!$A:$A,Personal!$D:$D,""),"")</f>
        <v>0</v>
      </c>
      <c r="D1206" s="9" cm="1">
        <f t="array" ref="D1206">IFERROR(_xlfn.XLOOKUP(B1206,Personal!$A:$A,Personal!$C:$C,""),"")</f>
        <v>0</v>
      </c>
      <c r="E1206" s="9" t="str" cm="1">
        <f t="array" ref="E1206">IFERROR(_xlfn.XLOOKUP(D1206,Locales!$A:$A,Locales!$B:$B,""),"")</f>
        <v/>
      </c>
      <c r="F1206" s="9" cm="1">
        <f t="array" ref="F1206">IFERROR(_xlfn.XLOOKUP(B1206,Personal!$A:$A,Personal!$F:$F,""),"")</f>
        <v>0</v>
      </c>
      <c r="I1206" s="10" cm="1">
        <f t="array" ref="I1206">IFERROR(INDEX(Precios!$D:$F,MATCH(N1206, Precios!$G:$G, 0),CHOOSE(MATCH(H1206, {"SML";"XL";"XXL"}, 0), 1, 2, 3)), 0)</f>
        <v>0</v>
      </c>
      <c r="K1206" s="10">
        <f t="shared" si="42"/>
        <v>0</v>
      </c>
      <c r="N1206" s="9" t="str">
        <f t="shared" si="43"/>
        <v/>
      </c>
      <c r="O1206" s="9" t="str">
        <f>IF(N1206="","",IF(COUNTIF(Precios!$G:$G,N1206)=0,"⚠ No coincide con Precios","OK"))</f>
        <v/>
      </c>
    </row>
    <row r="1207" spans="3:15" x14ac:dyDescent="0.2">
      <c r="C1207" s="9" cm="1">
        <f t="array" ref="C1207">IFERROR(_xlfn.XLOOKUP(B1207,Personal!$A:$A,Personal!$D:$D,""),"")</f>
        <v>0</v>
      </c>
      <c r="D1207" s="9" cm="1">
        <f t="array" ref="D1207">IFERROR(_xlfn.XLOOKUP(B1207,Personal!$A:$A,Personal!$C:$C,""),"")</f>
        <v>0</v>
      </c>
      <c r="E1207" s="9" t="str" cm="1">
        <f t="array" ref="E1207">IFERROR(_xlfn.XLOOKUP(D1207,Locales!$A:$A,Locales!$B:$B,""),"")</f>
        <v/>
      </c>
      <c r="F1207" s="9" cm="1">
        <f t="array" ref="F1207">IFERROR(_xlfn.XLOOKUP(B1207,Personal!$A:$A,Personal!$F:$F,""),"")</f>
        <v>0</v>
      </c>
      <c r="I1207" s="10" cm="1">
        <f t="array" ref="I1207">IFERROR(INDEX(Precios!$D:$F,MATCH(N1207, Precios!$G:$G, 0),CHOOSE(MATCH(H1207, {"SML";"XL";"XXL"}, 0), 1, 2, 3)), 0)</f>
        <v>0</v>
      </c>
      <c r="K1207" s="10">
        <f t="shared" si="42"/>
        <v>0</v>
      </c>
      <c r="N1207" s="9" t="str">
        <f t="shared" si="43"/>
        <v/>
      </c>
      <c r="O1207" s="9" t="str">
        <f>IF(N1207="","",IF(COUNTIF(Precios!$G:$G,N1207)=0,"⚠ No coincide con Precios","OK"))</f>
        <v/>
      </c>
    </row>
    <row r="1208" spans="3:15" x14ac:dyDescent="0.2">
      <c r="C1208" s="9" cm="1">
        <f t="array" ref="C1208">IFERROR(_xlfn.XLOOKUP(B1208,Personal!$A:$A,Personal!$D:$D,""),"")</f>
        <v>0</v>
      </c>
      <c r="D1208" s="9" cm="1">
        <f t="array" ref="D1208">IFERROR(_xlfn.XLOOKUP(B1208,Personal!$A:$A,Personal!$C:$C,""),"")</f>
        <v>0</v>
      </c>
      <c r="E1208" s="9" t="str" cm="1">
        <f t="array" ref="E1208">IFERROR(_xlfn.XLOOKUP(D1208,Locales!$A:$A,Locales!$B:$B,""),"")</f>
        <v/>
      </c>
      <c r="F1208" s="9" cm="1">
        <f t="array" ref="F1208">IFERROR(_xlfn.XLOOKUP(B1208,Personal!$A:$A,Personal!$F:$F,""),"")</f>
        <v>0</v>
      </c>
      <c r="I1208" s="10" cm="1">
        <f t="array" ref="I1208">IFERROR(INDEX(Precios!$D:$F,MATCH(N1208, Precios!$G:$G, 0),CHOOSE(MATCH(H1208, {"SML";"XL";"XXL"}, 0), 1, 2, 3)), 0)</f>
        <v>0</v>
      </c>
      <c r="K1208" s="10">
        <f t="shared" si="42"/>
        <v>0</v>
      </c>
      <c r="N1208" s="9" t="str">
        <f t="shared" si="43"/>
        <v/>
      </c>
      <c r="O1208" s="9" t="str">
        <f>IF(N1208="","",IF(COUNTIF(Precios!$G:$G,N1208)=0,"⚠ No coincide con Precios","OK"))</f>
        <v/>
      </c>
    </row>
    <row r="1209" spans="3:15" x14ac:dyDescent="0.2">
      <c r="C1209" s="9" cm="1">
        <f t="array" ref="C1209">IFERROR(_xlfn.XLOOKUP(B1209,Personal!$A:$A,Personal!$D:$D,""),"")</f>
        <v>0</v>
      </c>
      <c r="D1209" s="9" cm="1">
        <f t="array" ref="D1209">IFERROR(_xlfn.XLOOKUP(B1209,Personal!$A:$A,Personal!$C:$C,""),"")</f>
        <v>0</v>
      </c>
      <c r="E1209" s="9" t="str" cm="1">
        <f t="array" ref="E1209">IFERROR(_xlfn.XLOOKUP(D1209,Locales!$A:$A,Locales!$B:$B,""),"")</f>
        <v/>
      </c>
      <c r="F1209" s="9" cm="1">
        <f t="array" ref="F1209">IFERROR(_xlfn.XLOOKUP(B1209,Personal!$A:$A,Personal!$F:$F,""),"")</f>
        <v>0</v>
      </c>
      <c r="I1209" s="10" cm="1">
        <f t="array" ref="I1209">IFERROR(INDEX(Precios!$D:$F,MATCH(N1209, Precios!$G:$G, 0),CHOOSE(MATCH(H1209, {"SML";"XL";"XXL"}, 0), 1, 2, 3)), 0)</f>
        <v>0</v>
      </c>
      <c r="K1209" s="10">
        <f t="shared" si="42"/>
        <v>0</v>
      </c>
      <c r="N1209" s="9" t="str">
        <f t="shared" si="43"/>
        <v/>
      </c>
      <c r="O1209" s="9" t="str">
        <f>IF(N1209="","",IF(COUNTIF(Precios!$G:$G,N1209)=0,"⚠ No coincide con Precios","OK"))</f>
        <v/>
      </c>
    </row>
    <row r="1210" spans="3:15" x14ac:dyDescent="0.2">
      <c r="C1210" s="9" cm="1">
        <f t="array" ref="C1210">IFERROR(_xlfn.XLOOKUP(B1210,Personal!$A:$A,Personal!$D:$D,""),"")</f>
        <v>0</v>
      </c>
      <c r="D1210" s="9" cm="1">
        <f t="array" ref="D1210">IFERROR(_xlfn.XLOOKUP(B1210,Personal!$A:$A,Personal!$C:$C,""),"")</f>
        <v>0</v>
      </c>
      <c r="E1210" s="9" t="str" cm="1">
        <f t="array" ref="E1210">IFERROR(_xlfn.XLOOKUP(D1210,Locales!$A:$A,Locales!$B:$B,""),"")</f>
        <v/>
      </c>
      <c r="F1210" s="9" cm="1">
        <f t="array" ref="F1210">IFERROR(_xlfn.XLOOKUP(B1210,Personal!$A:$A,Personal!$F:$F,""),"")</f>
        <v>0</v>
      </c>
      <c r="I1210" s="10" cm="1">
        <f t="array" ref="I1210">IFERROR(INDEX(Precios!$D:$F,MATCH(N1210, Precios!$G:$G, 0),CHOOSE(MATCH(H1210, {"SML";"XL";"XXL"}, 0), 1, 2, 3)), 0)</f>
        <v>0</v>
      </c>
      <c r="K1210" s="10">
        <f t="shared" si="42"/>
        <v>0</v>
      </c>
      <c r="N1210" s="9" t="str">
        <f t="shared" si="43"/>
        <v/>
      </c>
      <c r="O1210" s="9" t="str">
        <f>IF(N1210="","",IF(COUNTIF(Precios!$G:$G,N1210)=0,"⚠ No coincide con Precios","OK"))</f>
        <v/>
      </c>
    </row>
    <row r="1211" spans="3:15" x14ac:dyDescent="0.2">
      <c r="C1211" s="9" cm="1">
        <f t="array" ref="C1211">IFERROR(_xlfn.XLOOKUP(B1211,Personal!$A:$A,Personal!$D:$D,""),"")</f>
        <v>0</v>
      </c>
      <c r="D1211" s="9" cm="1">
        <f t="array" ref="D1211">IFERROR(_xlfn.XLOOKUP(B1211,Personal!$A:$A,Personal!$C:$C,""),"")</f>
        <v>0</v>
      </c>
      <c r="E1211" s="9" t="str" cm="1">
        <f t="array" ref="E1211">IFERROR(_xlfn.XLOOKUP(D1211,Locales!$A:$A,Locales!$B:$B,""),"")</f>
        <v/>
      </c>
      <c r="F1211" s="9" cm="1">
        <f t="array" ref="F1211">IFERROR(_xlfn.XLOOKUP(B1211,Personal!$A:$A,Personal!$F:$F,""),"")</f>
        <v>0</v>
      </c>
      <c r="I1211" s="10" cm="1">
        <f t="array" ref="I1211">IFERROR(INDEX(Precios!$D:$F,MATCH(N1211, Precios!$G:$G, 0),CHOOSE(MATCH(H1211, {"SML";"XL";"XXL"}, 0), 1, 2, 3)), 0)</f>
        <v>0</v>
      </c>
      <c r="K1211" s="10">
        <f t="shared" si="42"/>
        <v>0</v>
      </c>
      <c r="N1211" s="9" t="str">
        <f t="shared" si="43"/>
        <v/>
      </c>
      <c r="O1211" s="9" t="str">
        <f>IF(N1211="","",IF(COUNTIF(Precios!$G:$G,N1211)=0,"⚠ No coincide con Precios","OK"))</f>
        <v/>
      </c>
    </row>
    <row r="1212" spans="3:15" x14ac:dyDescent="0.2">
      <c r="C1212" s="9" cm="1">
        <f t="array" ref="C1212">IFERROR(_xlfn.XLOOKUP(B1212,Personal!$A:$A,Personal!$D:$D,""),"")</f>
        <v>0</v>
      </c>
      <c r="D1212" s="9" cm="1">
        <f t="array" ref="D1212">IFERROR(_xlfn.XLOOKUP(B1212,Personal!$A:$A,Personal!$C:$C,""),"")</f>
        <v>0</v>
      </c>
      <c r="E1212" s="9" t="str" cm="1">
        <f t="array" ref="E1212">IFERROR(_xlfn.XLOOKUP(D1212,Locales!$A:$A,Locales!$B:$B,""),"")</f>
        <v/>
      </c>
      <c r="F1212" s="9" cm="1">
        <f t="array" ref="F1212">IFERROR(_xlfn.XLOOKUP(B1212,Personal!$A:$A,Personal!$F:$F,""),"")</f>
        <v>0</v>
      </c>
      <c r="I1212" s="10" cm="1">
        <f t="array" ref="I1212">IFERROR(INDEX(Precios!$D:$F,MATCH(N1212, Precios!$G:$G, 0),CHOOSE(MATCH(H1212, {"SML";"XL";"XXL"}, 0), 1, 2, 3)), 0)</f>
        <v>0</v>
      </c>
      <c r="K1212" s="10">
        <f t="shared" si="42"/>
        <v>0</v>
      </c>
      <c r="N1212" s="9" t="str">
        <f t="shared" si="43"/>
        <v/>
      </c>
      <c r="O1212" s="9" t="str">
        <f>IF(N1212="","",IF(COUNTIF(Precios!$G:$G,N1212)=0,"⚠ No coincide con Precios","OK"))</f>
        <v/>
      </c>
    </row>
    <row r="1213" spans="3:15" x14ac:dyDescent="0.2">
      <c r="C1213" s="9" cm="1">
        <f t="array" ref="C1213">IFERROR(_xlfn.XLOOKUP(B1213,Personal!$A:$A,Personal!$D:$D,""),"")</f>
        <v>0</v>
      </c>
      <c r="D1213" s="9" cm="1">
        <f t="array" ref="D1213">IFERROR(_xlfn.XLOOKUP(B1213,Personal!$A:$A,Personal!$C:$C,""),"")</f>
        <v>0</v>
      </c>
      <c r="E1213" s="9" t="str" cm="1">
        <f t="array" ref="E1213">IFERROR(_xlfn.XLOOKUP(D1213,Locales!$A:$A,Locales!$B:$B,""),"")</f>
        <v/>
      </c>
      <c r="F1213" s="9" cm="1">
        <f t="array" ref="F1213">IFERROR(_xlfn.XLOOKUP(B1213,Personal!$A:$A,Personal!$F:$F,""),"")</f>
        <v>0</v>
      </c>
      <c r="I1213" s="10" cm="1">
        <f t="array" ref="I1213">IFERROR(INDEX(Precios!$D:$F,MATCH(N1213, Precios!$G:$G, 0),CHOOSE(MATCH(H1213, {"SML";"XL";"XXL"}, 0), 1, 2, 3)), 0)</f>
        <v>0</v>
      </c>
      <c r="K1213" s="10">
        <f t="shared" si="42"/>
        <v>0</v>
      </c>
      <c r="N1213" s="9" t="str">
        <f t="shared" si="43"/>
        <v/>
      </c>
      <c r="O1213" s="9" t="str">
        <f>IF(N1213="","",IF(COUNTIF(Precios!$G:$G,N1213)=0,"⚠ No coincide con Precios","OK"))</f>
        <v/>
      </c>
    </row>
    <row r="1214" spans="3:15" x14ac:dyDescent="0.2">
      <c r="C1214" s="9" cm="1">
        <f t="array" ref="C1214">IFERROR(_xlfn.XLOOKUP(B1214,Personal!$A:$A,Personal!$D:$D,""),"")</f>
        <v>0</v>
      </c>
      <c r="D1214" s="9" cm="1">
        <f t="array" ref="D1214">IFERROR(_xlfn.XLOOKUP(B1214,Personal!$A:$A,Personal!$C:$C,""),"")</f>
        <v>0</v>
      </c>
      <c r="E1214" s="9" t="str" cm="1">
        <f t="array" ref="E1214">IFERROR(_xlfn.XLOOKUP(D1214,Locales!$A:$A,Locales!$B:$B,""),"")</f>
        <v/>
      </c>
      <c r="F1214" s="9" cm="1">
        <f t="array" ref="F1214">IFERROR(_xlfn.XLOOKUP(B1214,Personal!$A:$A,Personal!$F:$F,""),"")</f>
        <v>0</v>
      </c>
      <c r="I1214" s="10" cm="1">
        <f t="array" ref="I1214">IFERROR(INDEX(Precios!$D:$F,MATCH(N1214, Precios!$G:$G, 0),CHOOSE(MATCH(H1214, {"SML";"XL";"XXL"}, 0), 1, 2, 3)), 0)</f>
        <v>0</v>
      </c>
      <c r="K1214" s="10">
        <f t="shared" ref="K1214:K1277" si="44">IFERROR(I1214*J1214,0)</f>
        <v>0</v>
      </c>
      <c r="N1214" s="9" t="str">
        <f t="shared" ref="N1214:N1277" si="45">IF( OR(E1214="",F1214="",G1214=""), "",CLEAN(TRIM(E1214)) &amp; "|" &amp; CLEAN(TRIM(F1214)) &amp; "|" &amp; CLEAN(TRIM(G1214)))</f>
        <v/>
      </c>
      <c r="O1214" s="9" t="str">
        <f>IF(N1214="","",IF(COUNTIF(Precios!$G:$G,N1214)=0,"⚠ No coincide con Precios","OK"))</f>
        <v/>
      </c>
    </row>
    <row r="1215" spans="3:15" x14ac:dyDescent="0.2">
      <c r="C1215" s="9" cm="1">
        <f t="array" ref="C1215">IFERROR(_xlfn.XLOOKUP(B1215,Personal!$A:$A,Personal!$D:$D,""),"")</f>
        <v>0</v>
      </c>
      <c r="D1215" s="9" cm="1">
        <f t="array" ref="D1215">IFERROR(_xlfn.XLOOKUP(B1215,Personal!$A:$A,Personal!$C:$C,""),"")</f>
        <v>0</v>
      </c>
      <c r="E1215" s="9" t="str" cm="1">
        <f t="array" ref="E1215">IFERROR(_xlfn.XLOOKUP(D1215,Locales!$A:$A,Locales!$B:$B,""),"")</f>
        <v/>
      </c>
      <c r="F1215" s="9" cm="1">
        <f t="array" ref="F1215">IFERROR(_xlfn.XLOOKUP(B1215,Personal!$A:$A,Personal!$F:$F,""),"")</f>
        <v>0</v>
      </c>
      <c r="I1215" s="10" cm="1">
        <f t="array" ref="I1215">IFERROR(INDEX(Precios!$D:$F,MATCH(N1215, Precios!$G:$G, 0),CHOOSE(MATCH(H1215, {"SML";"XL";"XXL"}, 0), 1, 2, 3)), 0)</f>
        <v>0</v>
      </c>
      <c r="K1215" s="10">
        <f t="shared" si="44"/>
        <v>0</v>
      </c>
      <c r="N1215" s="9" t="str">
        <f t="shared" si="45"/>
        <v/>
      </c>
      <c r="O1215" s="9" t="str">
        <f>IF(N1215="","",IF(COUNTIF(Precios!$G:$G,N1215)=0,"⚠ No coincide con Precios","OK"))</f>
        <v/>
      </c>
    </row>
    <row r="1216" spans="3:15" x14ac:dyDescent="0.2">
      <c r="C1216" s="9" cm="1">
        <f t="array" ref="C1216">IFERROR(_xlfn.XLOOKUP(B1216,Personal!$A:$A,Personal!$D:$D,""),"")</f>
        <v>0</v>
      </c>
      <c r="D1216" s="9" cm="1">
        <f t="array" ref="D1216">IFERROR(_xlfn.XLOOKUP(B1216,Personal!$A:$A,Personal!$C:$C,""),"")</f>
        <v>0</v>
      </c>
      <c r="E1216" s="9" t="str" cm="1">
        <f t="array" ref="E1216">IFERROR(_xlfn.XLOOKUP(D1216,Locales!$A:$A,Locales!$B:$B,""),"")</f>
        <v/>
      </c>
      <c r="F1216" s="9" cm="1">
        <f t="array" ref="F1216">IFERROR(_xlfn.XLOOKUP(B1216,Personal!$A:$A,Personal!$F:$F,""),"")</f>
        <v>0</v>
      </c>
      <c r="I1216" s="10" cm="1">
        <f t="array" ref="I1216">IFERROR(INDEX(Precios!$D:$F,MATCH(N1216, Precios!$G:$G, 0),CHOOSE(MATCH(H1216, {"SML";"XL";"XXL"}, 0), 1, 2, 3)), 0)</f>
        <v>0</v>
      </c>
      <c r="K1216" s="10">
        <f t="shared" si="44"/>
        <v>0</v>
      </c>
      <c r="N1216" s="9" t="str">
        <f t="shared" si="45"/>
        <v/>
      </c>
      <c r="O1216" s="9" t="str">
        <f>IF(N1216="","",IF(COUNTIF(Precios!$G:$G,N1216)=0,"⚠ No coincide con Precios","OK"))</f>
        <v/>
      </c>
    </row>
    <row r="1217" spans="3:15" x14ac:dyDescent="0.2">
      <c r="C1217" s="9" cm="1">
        <f t="array" ref="C1217">IFERROR(_xlfn.XLOOKUP(B1217,Personal!$A:$A,Personal!$D:$D,""),"")</f>
        <v>0</v>
      </c>
      <c r="D1217" s="9" cm="1">
        <f t="array" ref="D1217">IFERROR(_xlfn.XLOOKUP(B1217,Personal!$A:$A,Personal!$C:$C,""),"")</f>
        <v>0</v>
      </c>
      <c r="E1217" s="9" t="str" cm="1">
        <f t="array" ref="E1217">IFERROR(_xlfn.XLOOKUP(D1217,Locales!$A:$A,Locales!$B:$B,""),"")</f>
        <v/>
      </c>
      <c r="F1217" s="9" cm="1">
        <f t="array" ref="F1217">IFERROR(_xlfn.XLOOKUP(B1217,Personal!$A:$A,Personal!$F:$F,""),"")</f>
        <v>0</v>
      </c>
      <c r="I1217" s="10" cm="1">
        <f t="array" ref="I1217">IFERROR(INDEX(Precios!$D:$F,MATCH(N1217, Precios!$G:$G, 0),CHOOSE(MATCH(H1217, {"SML";"XL";"XXL"}, 0), 1, 2, 3)), 0)</f>
        <v>0</v>
      </c>
      <c r="K1217" s="10">
        <f t="shared" si="44"/>
        <v>0</v>
      </c>
      <c r="N1217" s="9" t="str">
        <f t="shared" si="45"/>
        <v/>
      </c>
      <c r="O1217" s="9" t="str">
        <f>IF(N1217="","",IF(COUNTIF(Precios!$G:$G,N1217)=0,"⚠ No coincide con Precios","OK"))</f>
        <v/>
      </c>
    </row>
    <row r="1218" spans="3:15" x14ac:dyDescent="0.2">
      <c r="C1218" s="9" cm="1">
        <f t="array" ref="C1218">IFERROR(_xlfn.XLOOKUP(B1218,Personal!$A:$A,Personal!$D:$D,""),"")</f>
        <v>0</v>
      </c>
      <c r="D1218" s="9" cm="1">
        <f t="array" ref="D1218">IFERROR(_xlfn.XLOOKUP(B1218,Personal!$A:$A,Personal!$C:$C,""),"")</f>
        <v>0</v>
      </c>
      <c r="E1218" s="9" t="str" cm="1">
        <f t="array" ref="E1218">IFERROR(_xlfn.XLOOKUP(D1218,Locales!$A:$A,Locales!$B:$B,""),"")</f>
        <v/>
      </c>
      <c r="F1218" s="9" cm="1">
        <f t="array" ref="F1218">IFERROR(_xlfn.XLOOKUP(B1218,Personal!$A:$A,Personal!$F:$F,""),"")</f>
        <v>0</v>
      </c>
      <c r="I1218" s="10" cm="1">
        <f t="array" ref="I1218">IFERROR(INDEX(Precios!$D:$F,MATCH(N1218, Precios!$G:$G, 0),CHOOSE(MATCH(H1218, {"SML";"XL";"XXL"}, 0), 1, 2, 3)), 0)</f>
        <v>0</v>
      </c>
      <c r="K1218" s="10">
        <f t="shared" si="44"/>
        <v>0</v>
      </c>
      <c r="N1218" s="9" t="str">
        <f t="shared" si="45"/>
        <v/>
      </c>
      <c r="O1218" s="9" t="str">
        <f>IF(N1218="","",IF(COUNTIF(Precios!$G:$G,N1218)=0,"⚠ No coincide con Precios","OK"))</f>
        <v/>
      </c>
    </row>
    <row r="1219" spans="3:15" x14ac:dyDescent="0.2">
      <c r="C1219" s="9" cm="1">
        <f t="array" ref="C1219">IFERROR(_xlfn.XLOOKUP(B1219,Personal!$A:$A,Personal!$D:$D,""),"")</f>
        <v>0</v>
      </c>
      <c r="D1219" s="9" cm="1">
        <f t="array" ref="D1219">IFERROR(_xlfn.XLOOKUP(B1219,Personal!$A:$A,Personal!$C:$C,""),"")</f>
        <v>0</v>
      </c>
      <c r="E1219" s="9" t="str" cm="1">
        <f t="array" ref="E1219">IFERROR(_xlfn.XLOOKUP(D1219,Locales!$A:$A,Locales!$B:$B,""),"")</f>
        <v/>
      </c>
      <c r="F1219" s="9" cm="1">
        <f t="array" ref="F1219">IFERROR(_xlfn.XLOOKUP(B1219,Personal!$A:$A,Personal!$F:$F,""),"")</f>
        <v>0</v>
      </c>
      <c r="I1219" s="10" cm="1">
        <f t="array" ref="I1219">IFERROR(INDEX(Precios!$D:$F,MATCH(N1219, Precios!$G:$G, 0),CHOOSE(MATCH(H1219, {"SML";"XL";"XXL"}, 0), 1, 2, 3)), 0)</f>
        <v>0</v>
      </c>
      <c r="K1219" s="10">
        <f t="shared" si="44"/>
        <v>0</v>
      </c>
      <c r="N1219" s="9" t="str">
        <f t="shared" si="45"/>
        <v/>
      </c>
      <c r="O1219" s="9" t="str">
        <f>IF(N1219="","",IF(COUNTIF(Precios!$G:$G,N1219)=0,"⚠ No coincide con Precios","OK"))</f>
        <v/>
      </c>
    </row>
    <row r="1220" spans="3:15" x14ac:dyDescent="0.2">
      <c r="C1220" s="9" cm="1">
        <f t="array" ref="C1220">IFERROR(_xlfn.XLOOKUP(B1220,Personal!$A:$A,Personal!$D:$D,""),"")</f>
        <v>0</v>
      </c>
      <c r="D1220" s="9" cm="1">
        <f t="array" ref="D1220">IFERROR(_xlfn.XLOOKUP(B1220,Personal!$A:$A,Personal!$C:$C,""),"")</f>
        <v>0</v>
      </c>
      <c r="E1220" s="9" t="str" cm="1">
        <f t="array" ref="E1220">IFERROR(_xlfn.XLOOKUP(D1220,Locales!$A:$A,Locales!$B:$B,""),"")</f>
        <v/>
      </c>
      <c r="F1220" s="9" cm="1">
        <f t="array" ref="F1220">IFERROR(_xlfn.XLOOKUP(B1220,Personal!$A:$A,Personal!$F:$F,""),"")</f>
        <v>0</v>
      </c>
      <c r="I1220" s="10" cm="1">
        <f t="array" ref="I1220">IFERROR(INDEX(Precios!$D:$F,MATCH(N1220, Precios!$G:$G, 0),CHOOSE(MATCH(H1220, {"SML";"XL";"XXL"}, 0), 1, 2, 3)), 0)</f>
        <v>0</v>
      </c>
      <c r="K1220" s="10">
        <f t="shared" si="44"/>
        <v>0</v>
      </c>
      <c r="N1220" s="9" t="str">
        <f t="shared" si="45"/>
        <v/>
      </c>
      <c r="O1220" s="9" t="str">
        <f>IF(N1220="","",IF(COUNTIF(Precios!$G:$G,N1220)=0,"⚠ No coincide con Precios","OK"))</f>
        <v/>
      </c>
    </row>
    <row r="1221" spans="3:15" x14ac:dyDescent="0.2">
      <c r="C1221" s="9" cm="1">
        <f t="array" ref="C1221">IFERROR(_xlfn.XLOOKUP(B1221,Personal!$A:$A,Personal!$D:$D,""),"")</f>
        <v>0</v>
      </c>
      <c r="D1221" s="9" cm="1">
        <f t="array" ref="D1221">IFERROR(_xlfn.XLOOKUP(B1221,Personal!$A:$A,Personal!$C:$C,""),"")</f>
        <v>0</v>
      </c>
      <c r="E1221" s="9" t="str" cm="1">
        <f t="array" ref="E1221">IFERROR(_xlfn.XLOOKUP(D1221,Locales!$A:$A,Locales!$B:$B,""),"")</f>
        <v/>
      </c>
      <c r="F1221" s="9" cm="1">
        <f t="array" ref="F1221">IFERROR(_xlfn.XLOOKUP(B1221,Personal!$A:$A,Personal!$F:$F,""),"")</f>
        <v>0</v>
      </c>
      <c r="I1221" s="10" cm="1">
        <f t="array" ref="I1221">IFERROR(INDEX(Precios!$D:$F,MATCH(N1221, Precios!$G:$G, 0),CHOOSE(MATCH(H1221, {"SML";"XL";"XXL"}, 0), 1, 2, 3)), 0)</f>
        <v>0</v>
      </c>
      <c r="K1221" s="10">
        <f t="shared" si="44"/>
        <v>0</v>
      </c>
      <c r="N1221" s="9" t="str">
        <f t="shared" si="45"/>
        <v/>
      </c>
      <c r="O1221" s="9" t="str">
        <f>IF(N1221="","",IF(COUNTIF(Precios!$G:$G,N1221)=0,"⚠ No coincide con Precios","OK"))</f>
        <v/>
      </c>
    </row>
    <row r="1222" spans="3:15" x14ac:dyDescent="0.2">
      <c r="C1222" s="9" cm="1">
        <f t="array" ref="C1222">IFERROR(_xlfn.XLOOKUP(B1222,Personal!$A:$A,Personal!$D:$D,""),"")</f>
        <v>0</v>
      </c>
      <c r="D1222" s="9" cm="1">
        <f t="array" ref="D1222">IFERROR(_xlfn.XLOOKUP(B1222,Personal!$A:$A,Personal!$C:$C,""),"")</f>
        <v>0</v>
      </c>
      <c r="E1222" s="9" t="str" cm="1">
        <f t="array" ref="E1222">IFERROR(_xlfn.XLOOKUP(D1222,Locales!$A:$A,Locales!$B:$B,""),"")</f>
        <v/>
      </c>
      <c r="F1222" s="9" cm="1">
        <f t="array" ref="F1222">IFERROR(_xlfn.XLOOKUP(B1222,Personal!$A:$A,Personal!$F:$F,""),"")</f>
        <v>0</v>
      </c>
      <c r="I1222" s="10" cm="1">
        <f t="array" ref="I1222">IFERROR(INDEX(Precios!$D:$F,MATCH(N1222, Precios!$G:$G, 0),CHOOSE(MATCH(H1222, {"SML";"XL";"XXL"}, 0), 1, 2, 3)), 0)</f>
        <v>0</v>
      </c>
      <c r="K1222" s="10">
        <f t="shared" si="44"/>
        <v>0</v>
      </c>
      <c r="N1222" s="9" t="str">
        <f t="shared" si="45"/>
        <v/>
      </c>
      <c r="O1222" s="9" t="str">
        <f>IF(N1222="","",IF(COUNTIF(Precios!$G:$G,N1222)=0,"⚠ No coincide con Precios","OK"))</f>
        <v/>
      </c>
    </row>
    <row r="1223" spans="3:15" x14ac:dyDescent="0.2">
      <c r="C1223" s="9" cm="1">
        <f t="array" ref="C1223">IFERROR(_xlfn.XLOOKUP(B1223,Personal!$A:$A,Personal!$D:$D,""),"")</f>
        <v>0</v>
      </c>
      <c r="D1223" s="9" cm="1">
        <f t="array" ref="D1223">IFERROR(_xlfn.XLOOKUP(B1223,Personal!$A:$A,Personal!$C:$C,""),"")</f>
        <v>0</v>
      </c>
      <c r="E1223" s="9" t="str" cm="1">
        <f t="array" ref="E1223">IFERROR(_xlfn.XLOOKUP(D1223,Locales!$A:$A,Locales!$B:$B,""),"")</f>
        <v/>
      </c>
      <c r="F1223" s="9" cm="1">
        <f t="array" ref="F1223">IFERROR(_xlfn.XLOOKUP(B1223,Personal!$A:$A,Personal!$F:$F,""),"")</f>
        <v>0</v>
      </c>
      <c r="I1223" s="10" cm="1">
        <f t="array" ref="I1223">IFERROR(INDEX(Precios!$D:$F,MATCH(N1223, Precios!$G:$G, 0),CHOOSE(MATCH(H1223, {"SML";"XL";"XXL"}, 0), 1, 2, 3)), 0)</f>
        <v>0</v>
      </c>
      <c r="K1223" s="10">
        <f t="shared" si="44"/>
        <v>0</v>
      </c>
      <c r="N1223" s="9" t="str">
        <f t="shared" si="45"/>
        <v/>
      </c>
      <c r="O1223" s="9" t="str">
        <f>IF(N1223="","",IF(COUNTIF(Precios!$G:$G,N1223)=0,"⚠ No coincide con Precios","OK"))</f>
        <v/>
      </c>
    </row>
    <row r="1224" spans="3:15" x14ac:dyDescent="0.2">
      <c r="C1224" s="9" cm="1">
        <f t="array" ref="C1224">IFERROR(_xlfn.XLOOKUP(B1224,Personal!$A:$A,Personal!$D:$D,""),"")</f>
        <v>0</v>
      </c>
      <c r="D1224" s="9" cm="1">
        <f t="array" ref="D1224">IFERROR(_xlfn.XLOOKUP(B1224,Personal!$A:$A,Personal!$C:$C,""),"")</f>
        <v>0</v>
      </c>
      <c r="E1224" s="9" t="str" cm="1">
        <f t="array" ref="E1224">IFERROR(_xlfn.XLOOKUP(D1224,Locales!$A:$A,Locales!$B:$B,""),"")</f>
        <v/>
      </c>
      <c r="F1224" s="9" cm="1">
        <f t="array" ref="F1224">IFERROR(_xlfn.XLOOKUP(B1224,Personal!$A:$A,Personal!$F:$F,""),"")</f>
        <v>0</v>
      </c>
      <c r="I1224" s="10" cm="1">
        <f t="array" ref="I1224">IFERROR(INDEX(Precios!$D:$F,MATCH(N1224, Precios!$G:$G, 0),CHOOSE(MATCH(H1224, {"SML";"XL";"XXL"}, 0), 1, 2, 3)), 0)</f>
        <v>0</v>
      </c>
      <c r="K1224" s="10">
        <f t="shared" si="44"/>
        <v>0</v>
      </c>
      <c r="N1224" s="9" t="str">
        <f t="shared" si="45"/>
        <v/>
      </c>
      <c r="O1224" s="9" t="str">
        <f>IF(N1224="","",IF(COUNTIF(Precios!$G:$G,N1224)=0,"⚠ No coincide con Precios","OK"))</f>
        <v/>
      </c>
    </row>
    <row r="1225" spans="3:15" x14ac:dyDescent="0.2">
      <c r="C1225" s="9" cm="1">
        <f t="array" ref="C1225">IFERROR(_xlfn.XLOOKUP(B1225,Personal!$A:$A,Personal!$D:$D,""),"")</f>
        <v>0</v>
      </c>
      <c r="D1225" s="9" cm="1">
        <f t="array" ref="D1225">IFERROR(_xlfn.XLOOKUP(B1225,Personal!$A:$A,Personal!$C:$C,""),"")</f>
        <v>0</v>
      </c>
      <c r="E1225" s="9" t="str" cm="1">
        <f t="array" ref="E1225">IFERROR(_xlfn.XLOOKUP(D1225,Locales!$A:$A,Locales!$B:$B,""),"")</f>
        <v/>
      </c>
      <c r="F1225" s="9" cm="1">
        <f t="array" ref="F1225">IFERROR(_xlfn.XLOOKUP(B1225,Personal!$A:$A,Personal!$F:$F,""),"")</f>
        <v>0</v>
      </c>
      <c r="I1225" s="10" cm="1">
        <f t="array" ref="I1225">IFERROR(INDEX(Precios!$D:$F,MATCH(N1225, Precios!$G:$G, 0),CHOOSE(MATCH(H1225, {"SML";"XL";"XXL"}, 0), 1, 2, 3)), 0)</f>
        <v>0</v>
      </c>
      <c r="K1225" s="10">
        <f t="shared" si="44"/>
        <v>0</v>
      </c>
      <c r="N1225" s="9" t="str">
        <f t="shared" si="45"/>
        <v/>
      </c>
      <c r="O1225" s="9" t="str">
        <f>IF(N1225="","",IF(COUNTIF(Precios!$G:$G,N1225)=0,"⚠ No coincide con Precios","OK"))</f>
        <v/>
      </c>
    </row>
    <row r="1226" spans="3:15" x14ac:dyDescent="0.2">
      <c r="C1226" s="9" cm="1">
        <f t="array" ref="C1226">IFERROR(_xlfn.XLOOKUP(B1226,Personal!$A:$A,Personal!$D:$D,""),"")</f>
        <v>0</v>
      </c>
      <c r="D1226" s="9" cm="1">
        <f t="array" ref="D1226">IFERROR(_xlfn.XLOOKUP(B1226,Personal!$A:$A,Personal!$C:$C,""),"")</f>
        <v>0</v>
      </c>
      <c r="E1226" s="9" t="str" cm="1">
        <f t="array" ref="E1226">IFERROR(_xlfn.XLOOKUP(D1226,Locales!$A:$A,Locales!$B:$B,""),"")</f>
        <v/>
      </c>
      <c r="F1226" s="9" cm="1">
        <f t="array" ref="F1226">IFERROR(_xlfn.XLOOKUP(B1226,Personal!$A:$A,Personal!$F:$F,""),"")</f>
        <v>0</v>
      </c>
      <c r="I1226" s="10" cm="1">
        <f t="array" ref="I1226">IFERROR(INDEX(Precios!$D:$F,MATCH(N1226, Precios!$G:$G, 0),CHOOSE(MATCH(H1226, {"SML";"XL";"XXL"}, 0), 1, 2, 3)), 0)</f>
        <v>0</v>
      </c>
      <c r="K1226" s="10">
        <f t="shared" si="44"/>
        <v>0</v>
      </c>
      <c r="N1226" s="9" t="str">
        <f t="shared" si="45"/>
        <v/>
      </c>
      <c r="O1226" s="9" t="str">
        <f>IF(N1226="","",IF(COUNTIF(Precios!$G:$G,N1226)=0,"⚠ No coincide con Precios","OK"))</f>
        <v/>
      </c>
    </row>
    <row r="1227" spans="3:15" x14ac:dyDescent="0.2">
      <c r="C1227" s="9" cm="1">
        <f t="array" ref="C1227">IFERROR(_xlfn.XLOOKUP(B1227,Personal!$A:$A,Personal!$D:$D,""),"")</f>
        <v>0</v>
      </c>
      <c r="D1227" s="9" cm="1">
        <f t="array" ref="D1227">IFERROR(_xlfn.XLOOKUP(B1227,Personal!$A:$A,Personal!$C:$C,""),"")</f>
        <v>0</v>
      </c>
      <c r="E1227" s="9" t="str" cm="1">
        <f t="array" ref="E1227">IFERROR(_xlfn.XLOOKUP(D1227,Locales!$A:$A,Locales!$B:$B,""),"")</f>
        <v/>
      </c>
      <c r="F1227" s="9" cm="1">
        <f t="array" ref="F1227">IFERROR(_xlfn.XLOOKUP(B1227,Personal!$A:$A,Personal!$F:$F,""),"")</f>
        <v>0</v>
      </c>
      <c r="I1227" s="10" cm="1">
        <f t="array" ref="I1227">IFERROR(INDEX(Precios!$D:$F,MATCH(N1227, Precios!$G:$G, 0),CHOOSE(MATCH(H1227, {"SML";"XL";"XXL"}, 0), 1, 2, 3)), 0)</f>
        <v>0</v>
      </c>
      <c r="K1227" s="10">
        <f t="shared" si="44"/>
        <v>0</v>
      </c>
      <c r="N1227" s="9" t="str">
        <f t="shared" si="45"/>
        <v/>
      </c>
      <c r="O1227" s="9" t="str">
        <f>IF(N1227="","",IF(COUNTIF(Precios!$G:$G,N1227)=0,"⚠ No coincide con Precios","OK"))</f>
        <v/>
      </c>
    </row>
    <row r="1228" spans="3:15" x14ac:dyDescent="0.2">
      <c r="C1228" s="9" cm="1">
        <f t="array" ref="C1228">IFERROR(_xlfn.XLOOKUP(B1228,Personal!$A:$A,Personal!$D:$D,""),"")</f>
        <v>0</v>
      </c>
      <c r="D1228" s="9" cm="1">
        <f t="array" ref="D1228">IFERROR(_xlfn.XLOOKUP(B1228,Personal!$A:$A,Personal!$C:$C,""),"")</f>
        <v>0</v>
      </c>
      <c r="E1228" s="9" t="str" cm="1">
        <f t="array" ref="E1228">IFERROR(_xlfn.XLOOKUP(D1228,Locales!$A:$A,Locales!$B:$B,""),"")</f>
        <v/>
      </c>
      <c r="F1228" s="9" cm="1">
        <f t="array" ref="F1228">IFERROR(_xlfn.XLOOKUP(B1228,Personal!$A:$A,Personal!$F:$F,""),"")</f>
        <v>0</v>
      </c>
      <c r="I1228" s="10" cm="1">
        <f t="array" ref="I1228">IFERROR(INDEX(Precios!$D:$F,MATCH(N1228, Precios!$G:$G, 0),CHOOSE(MATCH(H1228, {"SML";"XL";"XXL"}, 0), 1, 2, 3)), 0)</f>
        <v>0</v>
      </c>
      <c r="K1228" s="10">
        <f t="shared" si="44"/>
        <v>0</v>
      </c>
      <c r="N1228" s="9" t="str">
        <f t="shared" si="45"/>
        <v/>
      </c>
      <c r="O1228" s="9" t="str">
        <f>IF(N1228="","",IF(COUNTIF(Precios!$G:$G,N1228)=0,"⚠ No coincide con Precios","OK"))</f>
        <v/>
      </c>
    </row>
    <row r="1229" spans="3:15" x14ac:dyDescent="0.2">
      <c r="C1229" s="9" cm="1">
        <f t="array" ref="C1229">IFERROR(_xlfn.XLOOKUP(B1229,Personal!$A:$A,Personal!$D:$D,""),"")</f>
        <v>0</v>
      </c>
      <c r="D1229" s="9" cm="1">
        <f t="array" ref="D1229">IFERROR(_xlfn.XLOOKUP(B1229,Personal!$A:$A,Personal!$C:$C,""),"")</f>
        <v>0</v>
      </c>
      <c r="E1229" s="9" t="str" cm="1">
        <f t="array" ref="E1229">IFERROR(_xlfn.XLOOKUP(D1229,Locales!$A:$A,Locales!$B:$B,""),"")</f>
        <v/>
      </c>
      <c r="F1229" s="9" cm="1">
        <f t="array" ref="F1229">IFERROR(_xlfn.XLOOKUP(B1229,Personal!$A:$A,Personal!$F:$F,""),"")</f>
        <v>0</v>
      </c>
      <c r="I1229" s="10" cm="1">
        <f t="array" ref="I1229">IFERROR(INDEX(Precios!$D:$F,MATCH(N1229, Precios!$G:$G, 0),CHOOSE(MATCH(H1229, {"SML";"XL";"XXL"}, 0), 1, 2, 3)), 0)</f>
        <v>0</v>
      </c>
      <c r="K1229" s="10">
        <f t="shared" si="44"/>
        <v>0</v>
      </c>
      <c r="N1229" s="9" t="str">
        <f t="shared" si="45"/>
        <v/>
      </c>
      <c r="O1229" s="9" t="str">
        <f>IF(N1229="","",IF(COUNTIF(Precios!$G:$G,N1229)=0,"⚠ No coincide con Precios","OK"))</f>
        <v/>
      </c>
    </row>
    <row r="1230" spans="3:15" x14ac:dyDescent="0.2">
      <c r="C1230" s="9" cm="1">
        <f t="array" ref="C1230">IFERROR(_xlfn.XLOOKUP(B1230,Personal!$A:$A,Personal!$D:$D,""),"")</f>
        <v>0</v>
      </c>
      <c r="D1230" s="9" cm="1">
        <f t="array" ref="D1230">IFERROR(_xlfn.XLOOKUP(B1230,Personal!$A:$A,Personal!$C:$C,""),"")</f>
        <v>0</v>
      </c>
      <c r="E1230" s="9" t="str" cm="1">
        <f t="array" ref="E1230">IFERROR(_xlfn.XLOOKUP(D1230,Locales!$A:$A,Locales!$B:$B,""),"")</f>
        <v/>
      </c>
      <c r="F1230" s="9" cm="1">
        <f t="array" ref="F1230">IFERROR(_xlfn.XLOOKUP(B1230,Personal!$A:$A,Personal!$F:$F,""),"")</f>
        <v>0</v>
      </c>
      <c r="I1230" s="10" cm="1">
        <f t="array" ref="I1230">IFERROR(INDEX(Precios!$D:$F,MATCH(N1230, Precios!$G:$G, 0),CHOOSE(MATCH(H1230, {"SML";"XL";"XXL"}, 0), 1, 2, 3)), 0)</f>
        <v>0</v>
      </c>
      <c r="K1230" s="10">
        <f t="shared" si="44"/>
        <v>0</v>
      </c>
      <c r="N1230" s="9" t="str">
        <f t="shared" si="45"/>
        <v/>
      </c>
      <c r="O1230" s="9" t="str">
        <f>IF(N1230="","",IF(COUNTIF(Precios!$G:$G,N1230)=0,"⚠ No coincide con Precios","OK"))</f>
        <v/>
      </c>
    </row>
    <row r="1231" spans="3:15" x14ac:dyDescent="0.2">
      <c r="C1231" s="9" cm="1">
        <f t="array" ref="C1231">IFERROR(_xlfn.XLOOKUP(B1231,Personal!$A:$A,Personal!$D:$D,""),"")</f>
        <v>0</v>
      </c>
      <c r="D1231" s="9" cm="1">
        <f t="array" ref="D1231">IFERROR(_xlfn.XLOOKUP(B1231,Personal!$A:$A,Personal!$C:$C,""),"")</f>
        <v>0</v>
      </c>
      <c r="E1231" s="9" t="str" cm="1">
        <f t="array" ref="E1231">IFERROR(_xlfn.XLOOKUP(D1231,Locales!$A:$A,Locales!$B:$B,""),"")</f>
        <v/>
      </c>
      <c r="F1231" s="9" cm="1">
        <f t="array" ref="F1231">IFERROR(_xlfn.XLOOKUP(B1231,Personal!$A:$A,Personal!$F:$F,""),"")</f>
        <v>0</v>
      </c>
      <c r="I1231" s="10" cm="1">
        <f t="array" ref="I1231">IFERROR(INDEX(Precios!$D:$F,MATCH(N1231, Precios!$G:$G, 0),CHOOSE(MATCH(H1231, {"SML";"XL";"XXL"}, 0), 1, 2, 3)), 0)</f>
        <v>0</v>
      </c>
      <c r="K1231" s="10">
        <f t="shared" si="44"/>
        <v>0</v>
      </c>
      <c r="N1231" s="9" t="str">
        <f t="shared" si="45"/>
        <v/>
      </c>
      <c r="O1231" s="9" t="str">
        <f>IF(N1231="","",IF(COUNTIF(Precios!$G:$G,N1231)=0,"⚠ No coincide con Precios","OK"))</f>
        <v/>
      </c>
    </row>
    <row r="1232" spans="3:15" x14ac:dyDescent="0.2">
      <c r="C1232" s="9" cm="1">
        <f t="array" ref="C1232">IFERROR(_xlfn.XLOOKUP(B1232,Personal!$A:$A,Personal!$D:$D,""),"")</f>
        <v>0</v>
      </c>
      <c r="D1232" s="9" cm="1">
        <f t="array" ref="D1232">IFERROR(_xlfn.XLOOKUP(B1232,Personal!$A:$A,Personal!$C:$C,""),"")</f>
        <v>0</v>
      </c>
      <c r="E1232" s="9" t="str" cm="1">
        <f t="array" ref="E1232">IFERROR(_xlfn.XLOOKUP(D1232,Locales!$A:$A,Locales!$B:$B,""),"")</f>
        <v/>
      </c>
      <c r="F1232" s="9" cm="1">
        <f t="array" ref="F1232">IFERROR(_xlfn.XLOOKUP(B1232,Personal!$A:$A,Personal!$F:$F,""),"")</f>
        <v>0</v>
      </c>
      <c r="I1232" s="10" cm="1">
        <f t="array" ref="I1232">IFERROR(INDEX(Precios!$D:$F,MATCH(N1232, Precios!$G:$G, 0),CHOOSE(MATCH(H1232, {"SML";"XL";"XXL"}, 0), 1, 2, 3)), 0)</f>
        <v>0</v>
      </c>
      <c r="K1232" s="10">
        <f t="shared" si="44"/>
        <v>0</v>
      </c>
      <c r="N1232" s="9" t="str">
        <f t="shared" si="45"/>
        <v/>
      </c>
      <c r="O1232" s="9" t="str">
        <f>IF(N1232="","",IF(COUNTIF(Precios!$G:$G,N1232)=0,"⚠ No coincide con Precios","OK"))</f>
        <v/>
      </c>
    </row>
    <row r="1233" spans="3:15" x14ac:dyDescent="0.2">
      <c r="C1233" s="9" cm="1">
        <f t="array" ref="C1233">IFERROR(_xlfn.XLOOKUP(B1233,Personal!$A:$A,Personal!$D:$D,""),"")</f>
        <v>0</v>
      </c>
      <c r="D1233" s="9" cm="1">
        <f t="array" ref="D1233">IFERROR(_xlfn.XLOOKUP(B1233,Personal!$A:$A,Personal!$C:$C,""),"")</f>
        <v>0</v>
      </c>
      <c r="E1233" s="9" t="str" cm="1">
        <f t="array" ref="E1233">IFERROR(_xlfn.XLOOKUP(D1233,Locales!$A:$A,Locales!$B:$B,""),"")</f>
        <v/>
      </c>
      <c r="F1233" s="9" cm="1">
        <f t="array" ref="F1233">IFERROR(_xlfn.XLOOKUP(B1233,Personal!$A:$A,Personal!$F:$F,""),"")</f>
        <v>0</v>
      </c>
      <c r="I1233" s="10" cm="1">
        <f t="array" ref="I1233">IFERROR(INDEX(Precios!$D:$F,MATCH(N1233, Precios!$G:$G, 0),CHOOSE(MATCH(H1233, {"SML";"XL";"XXL"}, 0), 1, 2, 3)), 0)</f>
        <v>0</v>
      </c>
      <c r="K1233" s="10">
        <f t="shared" si="44"/>
        <v>0</v>
      </c>
      <c r="N1233" s="9" t="str">
        <f t="shared" si="45"/>
        <v/>
      </c>
      <c r="O1233" s="9" t="str">
        <f>IF(N1233="","",IF(COUNTIF(Precios!$G:$G,N1233)=0,"⚠ No coincide con Precios","OK"))</f>
        <v/>
      </c>
    </row>
    <row r="1234" spans="3:15" x14ac:dyDescent="0.2">
      <c r="C1234" s="9" cm="1">
        <f t="array" ref="C1234">IFERROR(_xlfn.XLOOKUP(B1234,Personal!$A:$A,Personal!$D:$D,""),"")</f>
        <v>0</v>
      </c>
      <c r="D1234" s="9" cm="1">
        <f t="array" ref="D1234">IFERROR(_xlfn.XLOOKUP(B1234,Personal!$A:$A,Personal!$C:$C,""),"")</f>
        <v>0</v>
      </c>
      <c r="E1234" s="9" t="str" cm="1">
        <f t="array" ref="E1234">IFERROR(_xlfn.XLOOKUP(D1234,Locales!$A:$A,Locales!$B:$B,""),"")</f>
        <v/>
      </c>
      <c r="F1234" s="9" cm="1">
        <f t="array" ref="F1234">IFERROR(_xlfn.XLOOKUP(B1234,Personal!$A:$A,Personal!$F:$F,""),"")</f>
        <v>0</v>
      </c>
      <c r="I1234" s="10" cm="1">
        <f t="array" ref="I1234">IFERROR(INDEX(Precios!$D:$F,MATCH(N1234, Precios!$G:$G, 0),CHOOSE(MATCH(H1234, {"SML";"XL";"XXL"}, 0), 1, 2, 3)), 0)</f>
        <v>0</v>
      </c>
      <c r="K1234" s="10">
        <f t="shared" si="44"/>
        <v>0</v>
      </c>
      <c r="N1234" s="9" t="str">
        <f t="shared" si="45"/>
        <v/>
      </c>
      <c r="O1234" s="9" t="str">
        <f>IF(N1234="","",IF(COUNTIF(Precios!$G:$G,N1234)=0,"⚠ No coincide con Precios","OK"))</f>
        <v/>
      </c>
    </row>
    <row r="1235" spans="3:15" x14ac:dyDescent="0.2">
      <c r="C1235" s="9" cm="1">
        <f t="array" ref="C1235">IFERROR(_xlfn.XLOOKUP(B1235,Personal!$A:$A,Personal!$D:$D,""),"")</f>
        <v>0</v>
      </c>
      <c r="D1235" s="9" cm="1">
        <f t="array" ref="D1235">IFERROR(_xlfn.XLOOKUP(B1235,Personal!$A:$A,Personal!$C:$C,""),"")</f>
        <v>0</v>
      </c>
      <c r="E1235" s="9" t="str" cm="1">
        <f t="array" ref="E1235">IFERROR(_xlfn.XLOOKUP(D1235,Locales!$A:$A,Locales!$B:$B,""),"")</f>
        <v/>
      </c>
      <c r="F1235" s="9" cm="1">
        <f t="array" ref="F1235">IFERROR(_xlfn.XLOOKUP(B1235,Personal!$A:$A,Personal!$F:$F,""),"")</f>
        <v>0</v>
      </c>
      <c r="I1235" s="10" cm="1">
        <f t="array" ref="I1235">IFERROR(INDEX(Precios!$D:$F,MATCH(N1235, Precios!$G:$G, 0),CHOOSE(MATCH(H1235, {"SML";"XL";"XXL"}, 0), 1, 2, 3)), 0)</f>
        <v>0</v>
      </c>
      <c r="K1235" s="10">
        <f t="shared" si="44"/>
        <v>0</v>
      </c>
      <c r="N1235" s="9" t="str">
        <f t="shared" si="45"/>
        <v/>
      </c>
      <c r="O1235" s="9" t="str">
        <f>IF(N1235="","",IF(COUNTIF(Precios!$G:$G,N1235)=0,"⚠ No coincide con Precios","OK"))</f>
        <v/>
      </c>
    </row>
    <row r="1236" spans="3:15" x14ac:dyDescent="0.2">
      <c r="C1236" s="9" cm="1">
        <f t="array" ref="C1236">IFERROR(_xlfn.XLOOKUP(B1236,Personal!$A:$A,Personal!$D:$D,""),"")</f>
        <v>0</v>
      </c>
      <c r="D1236" s="9" cm="1">
        <f t="array" ref="D1236">IFERROR(_xlfn.XLOOKUP(B1236,Personal!$A:$A,Personal!$C:$C,""),"")</f>
        <v>0</v>
      </c>
      <c r="E1236" s="9" t="str" cm="1">
        <f t="array" ref="E1236">IFERROR(_xlfn.XLOOKUP(D1236,Locales!$A:$A,Locales!$B:$B,""),"")</f>
        <v/>
      </c>
      <c r="F1236" s="9" cm="1">
        <f t="array" ref="F1236">IFERROR(_xlfn.XLOOKUP(B1236,Personal!$A:$A,Personal!$F:$F,""),"")</f>
        <v>0</v>
      </c>
      <c r="I1236" s="10" cm="1">
        <f t="array" ref="I1236">IFERROR(INDEX(Precios!$D:$F,MATCH(N1236, Precios!$G:$G, 0),CHOOSE(MATCH(H1236, {"SML";"XL";"XXL"}, 0), 1, 2, 3)), 0)</f>
        <v>0</v>
      </c>
      <c r="K1236" s="10">
        <f t="shared" si="44"/>
        <v>0</v>
      </c>
      <c r="N1236" s="9" t="str">
        <f t="shared" si="45"/>
        <v/>
      </c>
      <c r="O1236" s="9" t="str">
        <f>IF(N1236="","",IF(COUNTIF(Precios!$G:$G,N1236)=0,"⚠ No coincide con Precios","OK"))</f>
        <v/>
      </c>
    </row>
    <row r="1237" spans="3:15" x14ac:dyDescent="0.2">
      <c r="C1237" s="9" cm="1">
        <f t="array" ref="C1237">IFERROR(_xlfn.XLOOKUP(B1237,Personal!$A:$A,Personal!$D:$D,""),"")</f>
        <v>0</v>
      </c>
      <c r="D1237" s="9" cm="1">
        <f t="array" ref="D1237">IFERROR(_xlfn.XLOOKUP(B1237,Personal!$A:$A,Personal!$C:$C,""),"")</f>
        <v>0</v>
      </c>
      <c r="E1237" s="9" t="str" cm="1">
        <f t="array" ref="E1237">IFERROR(_xlfn.XLOOKUP(D1237,Locales!$A:$A,Locales!$B:$B,""),"")</f>
        <v/>
      </c>
      <c r="F1237" s="9" cm="1">
        <f t="array" ref="F1237">IFERROR(_xlfn.XLOOKUP(B1237,Personal!$A:$A,Personal!$F:$F,""),"")</f>
        <v>0</v>
      </c>
      <c r="I1237" s="10" cm="1">
        <f t="array" ref="I1237">IFERROR(INDEX(Precios!$D:$F,MATCH(N1237, Precios!$G:$G, 0),CHOOSE(MATCH(H1237, {"SML";"XL";"XXL"}, 0), 1, 2, 3)), 0)</f>
        <v>0</v>
      </c>
      <c r="K1237" s="10">
        <f t="shared" si="44"/>
        <v>0</v>
      </c>
      <c r="N1237" s="9" t="str">
        <f t="shared" si="45"/>
        <v/>
      </c>
      <c r="O1237" s="9" t="str">
        <f>IF(N1237="","",IF(COUNTIF(Precios!$G:$G,N1237)=0,"⚠ No coincide con Precios","OK"))</f>
        <v/>
      </c>
    </row>
    <row r="1238" spans="3:15" x14ac:dyDescent="0.2">
      <c r="C1238" s="9" cm="1">
        <f t="array" ref="C1238">IFERROR(_xlfn.XLOOKUP(B1238,Personal!$A:$A,Personal!$D:$D,""),"")</f>
        <v>0</v>
      </c>
      <c r="D1238" s="9" cm="1">
        <f t="array" ref="D1238">IFERROR(_xlfn.XLOOKUP(B1238,Personal!$A:$A,Personal!$C:$C,""),"")</f>
        <v>0</v>
      </c>
      <c r="E1238" s="9" t="str" cm="1">
        <f t="array" ref="E1238">IFERROR(_xlfn.XLOOKUP(D1238,Locales!$A:$A,Locales!$B:$B,""),"")</f>
        <v/>
      </c>
      <c r="F1238" s="9" cm="1">
        <f t="array" ref="F1238">IFERROR(_xlfn.XLOOKUP(B1238,Personal!$A:$A,Personal!$F:$F,""),"")</f>
        <v>0</v>
      </c>
      <c r="I1238" s="10" cm="1">
        <f t="array" ref="I1238">IFERROR(INDEX(Precios!$D:$F,MATCH(N1238, Precios!$G:$G, 0),CHOOSE(MATCH(H1238, {"SML";"XL";"XXL"}, 0), 1, 2, 3)), 0)</f>
        <v>0</v>
      </c>
      <c r="K1238" s="10">
        <f t="shared" si="44"/>
        <v>0</v>
      </c>
      <c r="N1238" s="9" t="str">
        <f t="shared" si="45"/>
        <v/>
      </c>
      <c r="O1238" s="9" t="str">
        <f>IF(N1238="","",IF(COUNTIF(Precios!$G:$G,N1238)=0,"⚠ No coincide con Precios","OK"))</f>
        <v/>
      </c>
    </row>
    <row r="1239" spans="3:15" x14ac:dyDescent="0.2">
      <c r="C1239" s="9" cm="1">
        <f t="array" ref="C1239">IFERROR(_xlfn.XLOOKUP(B1239,Personal!$A:$A,Personal!$D:$D,""),"")</f>
        <v>0</v>
      </c>
      <c r="D1239" s="9" cm="1">
        <f t="array" ref="D1239">IFERROR(_xlfn.XLOOKUP(B1239,Personal!$A:$A,Personal!$C:$C,""),"")</f>
        <v>0</v>
      </c>
      <c r="E1239" s="9" t="str" cm="1">
        <f t="array" ref="E1239">IFERROR(_xlfn.XLOOKUP(D1239,Locales!$A:$A,Locales!$B:$B,""),"")</f>
        <v/>
      </c>
      <c r="F1239" s="9" cm="1">
        <f t="array" ref="F1239">IFERROR(_xlfn.XLOOKUP(B1239,Personal!$A:$A,Personal!$F:$F,""),"")</f>
        <v>0</v>
      </c>
      <c r="I1239" s="10" cm="1">
        <f t="array" ref="I1239">IFERROR(INDEX(Precios!$D:$F,MATCH(N1239, Precios!$G:$G, 0),CHOOSE(MATCH(H1239, {"SML";"XL";"XXL"}, 0), 1, 2, 3)), 0)</f>
        <v>0</v>
      </c>
      <c r="K1239" s="10">
        <f t="shared" si="44"/>
        <v>0</v>
      </c>
      <c r="N1239" s="9" t="str">
        <f t="shared" si="45"/>
        <v/>
      </c>
      <c r="O1239" s="9" t="str">
        <f>IF(N1239="","",IF(COUNTIF(Precios!$G:$G,N1239)=0,"⚠ No coincide con Precios","OK"))</f>
        <v/>
      </c>
    </row>
    <row r="1240" spans="3:15" x14ac:dyDescent="0.2">
      <c r="C1240" s="9" cm="1">
        <f t="array" ref="C1240">IFERROR(_xlfn.XLOOKUP(B1240,Personal!$A:$A,Personal!$D:$D,""),"")</f>
        <v>0</v>
      </c>
      <c r="D1240" s="9" cm="1">
        <f t="array" ref="D1240">IFERROR(_xlfn.XLOOKUP(B1240,Personal!$A:$A,Personal!$C:$C,""),"")</f>
        <v>0</v>
      </c>
      <c r="E1240" s="9" t="str" cm="1">
        <f t="array" ref="E1240">IFERROR(_xlfn.XLOOKUP(D1240,Locales!$A:$A,Locales!$B:$B,""),"")</f>
        <v/>
      </c>
      <c r="F1240" s="9" cm="1">
        <f t="array" ref="F1240">IFERROR(_xlfn.XLOOKUP(B1240,Personal!$A:$A,Personal!$F:$F,""),"")</f>
        <v>0</v>
      </c>
      <c r="I1240" s="10" cm="1">
        <f t="array" ref="I1240">IFERROR(INDEX(Precios!$D:$F,MATCH(N1240, Precios!$G:$G, 0),CHOOSE(MATCH(H1240, {"SML";"XL";"XXL"}, 0), 1, 2, 3)), 0)</f>
        <v>0</v>
      </c>
      <c r="K1240" s="10">
        <f t="shared" si="44"/>
        <v>0</v>
      </c>
      <c r="N1240" s="9" t="str">
        <f t="shared" si="45"/>
        <v/>
      </c>
      <c r="O1240" s="9" t="str">
        <f>IF(N1240="","",IF(COUNTIF(Precios!$G:$G,N1240)=0,"⚠ No coincide con Precios","OK"))</f>
        <v/>
      </c>
    </row>
    <row r="1241" spans="3:15" x14ac:dyDescent="0.2">
      <c r="C1241" s="9" cm="1">
        <f t="array" ref="C1241">IFERROR(_xlfn.XLOOKUP(B1241,Personal!$A:$A,Personal!$D:$D,""),"")</f>
        <v>0</v>
      </c>
      <c r="D1241" s="9" cm="1">
        <f t="array" ref="D1241">IFERROR(_xlfn.XLOOKUP(B1241,Personal!$A:$A,Personal!$C:$C,""),"")</f>
        <v>0</v>
      </c>
      <c r="E1241" s="9" t="str" cm="1">
        <f t="array" ref="E1241">IFERROR(_xlfn.XLOOKUP(D1241,Locales!$A:$A,Locales!$B:$B,""),"")</f>
        <v/>
      </c>
      <c r="F1241" s="9" cm="1">
        <f t="array" ref="F1241">IFERROR(_xlfn.XLOOKUP(B1241,Personal!$A:$A,Personal!$F:$F,""),"")</f>
        <v>0</v>
      </c>
      <c r="I1241" s="10" cm="1">
        <f t="array" ref="I1241">IFERROR(INDEX(Precios!$D:$F,MATCH(N1241, Precios!$G:$G, 0),CHOOSE(MATCH(H1241, {"SML";"XL";"XXL"}, 0), 1, 2, 3)), 0)</f>
        <v>0</v>
      </c>
      <c r="K1241" s="10">
        <f t="shared" si="44"/>
        <v>0</v>
      </c>
      <c r="N1241" s="9" t="str">
        <f t="shared" si="45"/>
        <v/>
      </c>
      <c r="O1241" s="9" t="str">
        <f>IF(N1241="","",IF(COUNTIF(Precios!$G:$G,N1241)=0,"⚠ No coincide con Precios","OK"))</f>
        <v/>
      </c>
    </row>
    <row r="1242" spans="3:15" x14ac:dyDescent="0.2">
      <c r="C1242" s="9" cm="1">
        <f t="array" ref="C1242">IFERROR(_xlfn.XLOOKUP(B1242,Personal!$A:$A,Personal!$D:$D,""),"")</f>
        <v>0</v>
      </c>
      <c r="D1242" s="9" cm="1">
        <f t="array" ref="D1242">IFERROR(_xlfn.XLOOKUP(B1242,Personal!$A:$A,Personal!$C:$C,""),"")</f>
        <v>0</v>
      </c>
      <c r="E1242" s="9" t="str" cm="1">
        <f t="array" ref="E1242">IFERROR(_xlfn.XLOOKUP(D1242,Locales!$A:$A,Locales!$B:$B,""),"")</f>
        <v/>
      </c>
      <c r="F1242" s="9" cm="1">
        <f t="array" ref="F1242">IFERROR(_xlfn.XLOOKUP(B1242,Personal!$A:$A,Personal!$F:$F,""),"")</f>
        <v>0</v>
      </c>
      <c r="I1242" s="10" cm="1">
        <f t="array" ref="I1242">IFERROR(INDEX(Precios!$D:$F,MATCH(N1242, Precios!$G:$G, 0),CHOOSE(MATCH(H1242, {"SML";"XL";"XXL"}, 0), 1, 2, 3)), 0)</f>
        <v>0</v>
      </c>
      <c r="K1242" s="10">
        <f t="shared" si="44"/>
        <v>0</v>
      </c>
      <c r="N1242" s="9" t="str">
        <f t="shared" si="45"/>
        <v/>
      </c>
      <c r="O1242" s="9" t="str">
        <f>IF(N1242="","",IF(COUNTIF(Precios!$G:$G,N1242)=0,"⚠ No coincide con Precios","OK"))</f>
        <v/>
      </c>
    </row>
    <row r="1243" spans="3:15" x14ac:dyDescent="0.2">
      <c r="C1243" s="9" cm="1">
        <f t="array" ref="C1243">IFERROR(_xlfn.XLOOKUP(B1243,Personal!$A:$A,Personal!$D:$D,""),"")</f>
        <v>0</v>
      </c>
      <c r="D1243" s="9" cm="1">
        <f t="array" ref="D1243">IFERROR(_xlfn.XLOOKUP(B1243,Personal!$A:$A,Personal!$C:$C,""),"")</f>
        <v>0</v>
      </c>
      <c r="E1243" s="9" t="str" cm="1">
        <f t="array" ref="E1243">IFERROR(_xlfn.XLOOKUP(D1243,Locales!$A:$A,Locales!$B:$B,""),"")</f>
        <v/>
      </c>
      <c r="F1243" s="9" cm="1">
        <f t="array" ref="F1243">IFERROR(_xlfn.XLOOKUP(B1243,Personal!$A:$A,Personal!$F:$F,""),"")</f>
        <v>0</v>
      </c>
      <c r="I1243" s="10" cm="1">
        <f t="array" ref="I1243">IFERROR(INDEX(Precios!$D:$F,MATCH(N1243, Precios!$G:$G, 0),CHOOSE(MATCH(H1243, {"SML";"XL";"XXL"}, 0), 1, 2, 3)), 0)</f>
        <v>0</v>
      </c>
      <c r="K1243" s="10">
        <f t="shared" si="44"/>
        <v>0</v>
      </c>
      <c r="N1243" s="9" t="str">
        <f t="shared" si="45"/>
        <v/>
      </c>
      <c r="O1243" s="9" t="str">
        <f>IF(N1243="","",IF(COUNTIF(Precios!$G:$G,N1243)=0,"⚠ No coincide con Precios","OK"))</f>
        <v/>
      </c>
    </row>
    <row r="1244" spans="3:15" x14ac:dyDescent="0.2">
      <c r="C1244" s="9" cm="1">
        <f t="array" ref="C1244">IFERROR(_xlfn.XLOOKUP(B1244,Personal!$A:$A,Personal!$D:$D,""),"")</f>
        <v>0</v>
      </c>
      <c r="D1244" s="9" cm="1">
        <f t="array" ref="D1244">IFERROR(_xlfn.XLOOKUP(B1244,Personal!$A:$A,Personal!$C:$C,""),"")</f>
        <v>0</v>
      </c>
      <c r="E1244" s="9" t="str" cm="1">
        <f t="array" ref="E1244">IFERROR(_xlfn.XLOOKUP(D1244,Locales!$A:$A,Locales!$B:$B,""),"")</f>
        <v/>
      </c>
      <c r="F1244" s="9" cm="1">
        <f t="array" ref="F1244">IFERROR(_xlfn.XLOOKUP(B1244,Personal!$A:$A,Personal!$F:$F,""),"")</f>
        <v>0</v>
      </c>
      <c r="I1244" s="10" cm="1">
        <f t="array" ref="I1244">IFERROR(INDEX(Precios!$D:$F,MATCH(N1244, Precios!$G:$G, 0),CHOOSE(MATCH(H1244, {"SML";"XL";"XXL"}, 0), 1, 2, 3)), 0)</f>
        <v>0</v>
      </c>
      <c r="K1244" s="10">
        <f t="shared" si="44"/>
        <v>0</v>
      </c>
      <c r="N1244" s="9" t="str">
        <f t="shared" si="45"/>
        <v/>
      </c>
      <c r="O1244" s="9" t="str">
        <f>IF(N1244="","",IF(COUNTIF(Precios!$G:$G,N1244)=0,"⚠ No coincide con Precios","OK"))</f>
        <v/>
      </c>
    </row>
    <row r="1245" spans="3:15" x14ac:dyDescent="0.2">
      <c r="C1245" s="9" cm="1">
        <f t="array" ref="C1245">IFERROR(_xlfn.XLOOKUP(B1245,Personal!$A:$A,Personal!$D:$D,""),"")</f>
        <v>0</v>
      </c>
      <c r="D1245" s="9" cm="1">
        <f t="array" ref="D1245">IFERROR(_xlfn.XLOOKUP(B1245,Personal!$A:$A,Personal!$C:$C,""),"")</f>
        <v>0</v>
      </c>
      <c r="E1245" s="9" t="str" cm="1">
        <f t="array" ref="E1245">IFERROR(_xlfn.XLOOKUP(D1245,Locales!$A:$A,Locales!$B:$B,""),"")</f>
        <v/>
      </c>
      <c r="F1245" s="9" cm="1">
        <f t="array" ref="F1245">IFERROR(_xlfn.XLOOKUP(B1245,Personal!$A:$A,Personal!$F:$F,""),"")</f>
        <v>0</v>
      </c>
      <c r="I1245" s="10" cm="1">
        <f t="array" ref="I1245">IFERROR(INDEX(Precios!$D:$F,MATCH(N1245, Precios!$G:$G, 0),CHOOSE(MATCH(H1245, {"SML";"XL";"XXL"}, 0), 1, 2, 3)), 0)</f>
        <v>0</v>
      </c>
      <c r="K1245" s="10">
        <f t="shared" si="44"/>
        <v>0</v>
      </c>
      <c r="N1245" s="9" t="str">
        <f t="shared" si="45"/>
        <v/>
      </c>
      <c r="O1245" s="9" t="str">
        <f>IF(N1245="","",IF(COUNTIF(Precios!$G:$G,N1245)=0,"⚠ No coincide con Precios","OK"))</f>
        <v/>
      </c>
    </row>
    <row r="1246" spans="3:15" x14ac:dyDescent="0.2">
      <c r="C1246" s="9" cm="1">
        <f t="array" ref="C1246">IFERROR(_xlfn.XLOOKUP(B1246,Personal!$A:$A,Personal!$D:$D,""),"")</f>
        <v>0</v>
      </c>
      <c r="D1246" s="9" cm="1">
        <f t="array" ref="D1246">IFERROR(_xlfn.XLOOKUP(B1246,Personal!$A:$A,Personal!$C:$C,""),"")</f>
        <v>0</v>
      </c>
      <c r="E1246" s="9" t="str" cm="1">
        <f t="array" ref="E1246">IFERROR(_xlfn.XLOOKUP(D1246,Locales!$A:$A,Locales!$B:$B,""),"")</f>
        <v/>
      </c>
      <c r="F1246" s="9" cm="1">
        <f t="array" ref="F1246">IFERROR(_xlfn.XLOOKUP(B1246,Personal!$A:$A,Personal!$F:$F,""),"")</f>
        <v>0</v>
      </c>
      <c r="I1246" s="10" cm="1">
        <f t="array" ref="I1246">IFERROR(INDEX(Precios!$D:$F,MATCH(N1246, Precios!$G:$G, 0),CHOOSE(MATCH(H1246, {"SML";"XL";"XXL"}, 0), 1, 2, 3)), 0)</f>
        <v>0</v>
      </c>
      <c r="K1246" s="10">
        <f t="shared" si="44"/>
        <v>0</v>
      </c>
      <c r="N1246" s="9" t="str">
        <f t="shared" si="45"/>
        <v/>
      </c>
      <c r="O1246" s="9" t="str">
        <f>IF(N1246="","",IF(COUNTIF(Precios!$G:$G,N1246)=0,"⚠ No coincide con Precios","OK"))</f>
        <v/>
      </c>
    </row>
    <row r="1247" spans="3:15" x14ac:dyDescent="0.2">
      <c r="C1247" s="9" cm="1">
        <f t="array" ref="C1247">IFERROR(_xlfn.XLOOKUP(B1247,Personal!$A:$A,Personal!$D:$D,""),"")</f>
        <v>0</v>
      </c>
      <c r="D1247" s="9" cm="1">
        <f t="array" ref="D1247">IFERROR(_xlfn.XLOOKUP(B1247,Personal!$A:$A,Personal!$C:$C,""),"")</f>
        <v>0</v>
      </c>
      <c r="E1247" s="9" t="str" cm="1">
        <f t="array" ref="E1247">IFERROR(_xlfn.XLOOKUP(D1247,Locales!$A:$A,Locales!$B:$B,""),"")</f>
        <v/>
      </c>
      <c r="F1247" s="9" cm="1">
        <f t="array" ref="F1247">IFERROR(_xlfn.XLOOKUP(B1247,Personal!$A:$A,Personal!$F:$F,""),"")</f>
        <v>0</v>
      </c>
      <c r="I1247" s="10" cm="1">
        <f t="array" ref="I1247">IFERROR(INDEX(Precios!$D:$F,MATCH(N1247, Precios!$G:$G, 0),CHOOSE(MATCH(H1247, {"SML";"XL";"XXL"}, 0), 1, 2, 3)), 0)</f>
        <v>0</v>
      </c>
      <c r="K1247" s="10">
        <f t="shared" si="44"/>
        <v>0</v>
      </c>
      <c r="N1247" s="9" t="str">
        <f t="shared" si="45"/>
        <v/>
      </c>
      <c r="O1247" s="9" t="str">
        <f>IF(N1247="","",IF(COUNTIF(Precios!$G:$G,N1247)=0,"⚠ No coincide con Precios","OK"))</f>
        <v/>
      </c>
    </row>
    <row r="1248" spans="3:15" x14ac:dyDescent="0.2">
      <c r="C1248" s="9" cm="1">
        <f t="array" ref="C1248">IFERROR(_xlfn.XLOOKUP(B1248,Personal!$A:$A,Personal!$D:$D,""),"")</f>
        <v>0</v>
      </c>
      <c r="D1248" s="9" cm="1">
        <f t="array" ref="D1248">IFERROR(_xlfn.XLOOKUP(B1248,Personal!$A:$A,Personal!$C:$C,""),"")</f>
        <v>0</v>
      </c>
      <c r="E1248" s="9" t="str" cm="1">
        <f t="array" ref="E1248">IFERROR(_xlfn.XLOOKUP(D1248,Locales!$A:$A,Locales!$B:$B,""),"")</f>
        <v/>
      </c>
      <c r="F1248" s="9" cm="1">
        <f t="array" ref="F1248">IFERROR(_xlfn.XLOOKUP(B1248,Personal!$A:$A,Personal!$F:$F,""),"")</f>
        <v>0</v>
      </c>
      <c r="I1248" s="10" cm="1">
        <f t="array" ref="I1248">IFERROR(INDEX(Precios!$D:$F,MATCH(N1248, Precios!$G:$G, 0),CHOOSE(MATCH(H1248, {"SML";"XL";"XXL"}, 0), 1, 2, 3)), 0)</f>
        <v>0</v>
      </c>
      <c r="K1248" s="10">
        <f t="shared" si="44"/>
        <v>0</v>
      </c>
      <c r="N1248" s="9" t="str">
        <f t="shared" si="45"/>
        <v/>
      </c>
      <c r="O1248" s="9" t="str">
        <f>IF(N1248="","",IF(COUNTIF(Precios!$G:$G,N1248)=0,"⚠ No coincide con Precios","OK"))</f>
        <v/>
      </c>
    </row>
    <row r="1249" spans="3:15" x14ac:dyDescent="0.2">
      <c r="C1249" s="9" cm="1">
        <f t="array" ref="C1249">IFERROR(_xlfn.XLOOKUP(B1249,Personal!$A:$A,Personal!$D:$D,""),"")</f>
        <v>0</v>
      </c>
      <c r="D1249" s="9" cm="1">
        <f t="array" ref="D1249">IFERROR(_xlfn.XLOOKUP(B1249,Personal!$A:$A,Personal!$C:$C,""),"")</f>
        <v>0</v>
      </c>
      <c r="E1249" s="9" t="str" cm="1">
        <f t="array" ref="E1249">IFERROR(_xlfn.XLOOKUP(D1249,Locales!$A:$A,Locales!$B:$B,""),"")</f>
        <v/>
      </c>
      <c r="F1249" s="9" cm="1">
        <f t="array" ref="F1249">IFERROR(_xlfn.XLOOKUP(B1249,Personal!$A:$A,Personal!$F:$F,""),"")</f>
        <v>0</v>
      </c>
      <c r="I1249" s="10" cm="1">
        <f t="array" ref="I1249">IFERROR(INDEX(Precios!$D:$F,MATCH(N1249, Precios!$G:$G, 0),CHOOSE(MATCH(H1249, {"SML";"XL";"XXL"}, 0), 1, 2, 3)), 0)</f>
        <v>0</v>
      </c>
      <c r="K1249" s="10">
        <f t="shared" si="44"/>
        <v>0</v>
      </c>
      <c r="N1249" s="9" t="str">
        <f t="shared" si="45"/>
        <v/>
      </c>
      <c r="O1249" s="9" t="str">
        <f>IF(N1249="","",IF(COUNTIF(Precios!$G:$G,N1249)=0,"⚠ No coincide con Precios","OK"))</f>
        <v/>
      </c>
    </row>
    <row r="1250" spans="3:15" x14ac:dyDescent="0.2">
      <c r="C1250" s="9" cm="1">
        <f t="array" ref="C1250">IFERROR(_xlfn.XLOOKUP(B1250,Personal!$A:$A,Personal!$D:$D,""),"")</f>
        <v>0</v>
      </c>
      <c r="D1250" s="9" cm="1">
        <f t="array" ref="D1250">IFERROR(_xlfn.XLOOKUP(B1250,Personal!$A:$A,Personal!$C:$C,""),"")</f>
        <v>0</v>
      </c>
      <c r="E1250" s="9" t="str" cm="1">
        <f t="array" ref="E1250">IFERROR(_xlfn.XLOOKUP(D1250,Locales!$A:$A,Locales!$B:$B,""),"")</f>
        <v/>
      </c>
      <c r="F1250" s="9" cm="1">
        <f t="array" ref="F1250">IFERROR(_xlfn.XLOOKUP(B1250,Personal!$A:$A,Personal!$F:$F,""),"")</f>
        <v>0</v>
      </c>
      <c r="I1250" s="10" cm="1">
        <f t="array" ref="I1250">IFERROR(INDEX(Precios!$D:$F,MATCH(N1250, Precios!$G:$G, 0),CHOOSE(MATCH(H1250, {"SML";"XL";"XXL"}, 0), 1, 2, 3)), 0)</f>
        <v>0</v>
      </c>
      <c r="K1250" s="10">
        <f t="shared" si="44"/>
        <v>0</v>
      </c>
      <c r="N1250" s="9" t="str">
        <f t="shared" si="45"/>
        <v/>
      </c>
      <c r="O1250" s="9" t="str">
        <f>IF(N1250="","",IF(COUNTIF(Precios!$G:$G,N1250)=0,"⚠ No coincide con Precios","OK"))</f>
        <v/>
      </c>
    </row>
    <row r="1251" spans="3:15" x14ac:dyDescent="0.2">
      <c r="C1251" s="9" cm="1">
        <f t="array" ref="C1251">IFERROR(_xlfn.XLOOKUP(B1251,Personal!$A:$A,Personal!$D:$D,""),"")</f>
        <v>0</v>
      </c>
      <c r="D1251" s="9" cm="1">
        <f t="array" ref="D1251">IFERROR(_xlfn.XLOOKUP(B1251,Personal!$A:$A,Personal!$C:$C,""),"")</f>
        <v>0</v>
      </c>
      <c r="E1251" s="9" t="str" cm="1">
        <f t="array" ref="E1251">IFERROR(_xlfn.XLOOKUP(D1251,Locales!$A:$A,Locales!$B:$B,""),"")</f>
        <v/>
      </c>
      <c r="F1251" s="9" cm="1">
        <f t="array" ref="F1251">IFERROR(_xlfn.XLOOKUP(B1251,Personal!$A:$A,Personal!$F:$F,""),"")</f>
        <v>0</v>
      </c>
      <c r="I1251" s="10" cm="1">
        <f t="array" ref="I1251">IFERROR(INDEX(Precios!$D:$F,MATCH(N1251, Precios!$G:$G, 0),CHOOSE(MATCH(H1251, {"SML";"XL";"XXL"}, 0), 1, 2, 3)), 0)</f>
        <v>0</v>
      </c>
      <c r="K1251" s="10">
        <f t="shared" si="44"/>
        <v>0</v>
      </c>
      <c r="N1251" s="9" t="str">
        <f t="shared" si="45"/>
        <v/>
      </c>
      <c r="O1251" s="9" t="str">
        <f>IF(N1251="","",IF(COUNTIF(Precios!$G:$G,N1251)=0,"⚠ No coincide con Precios","OK"))</f>
        <v/>
      </c>
    </row>
    <row r="1252" spans="3:15" x14ac:dyDescent="0.2">
      <c r="C1252" s="9" cm="1">
        <f t="array" ref="C1252">IFERROR(_xlfn.XLOOKUP(B1252,Personal!$A:$A,Personal!$D:$D,""),"")</f>
        <v>0</v>
      </c>
      <c r="D1252" s="9" cm="1">
        <f t="array" ref="D1252">IFERROR(_xlfn.XLOOKUP(B1252,Personal!$A:$A,Personal!$C:$C,""),"")</f>
        <v>0</v>
      </c>
      <c r="E1252" s="9" t="str" cm="1">
        <f t="array" ref="E1252">IFERROR(_xlfn.XLOOKUP(D1252,Locales!$A:$A,Locales!$B:$B,""),"")</f>
        <v/>
      </c>
      <c r="F1252" s="9" cm="1">
        <f t="array" ref="F1252">IFERROR(_xlfn.XLOOKUP(B1252,Personal!$A:$A,Personal!$F:$F,""),"")</f>
        <v>0</v>
      </c>
      <c r="I1252" s="10" cm="1">
        <f t="array" ref="I1252">IFERROR(INDEX(Precios!$D:$F,MATCH(N1252, Precios!$G:$G, 0),CHOOSE(MATCH(H1252, {"SML";"XL";"XXL"}, 0), 1, 2, 3)), 0)</f>
        <v>0</v>
      </c>
      <c r="K1252" s="10">
        <f t="shared" si="44"/>
        <v>0</v>
      </c>
      <c r="N1252" s="9" t="str">
        <f t="shared" si="45"/>
        <v/>
      </c>
      <c r="O1252" s="9" t="str">
        <f>IF(N1252="","",IF(COUNTIF(Precios!$G:$G,N1252)=0,"⚠ No coincide con Precios","OK"))</f>
        <v/>
      </c>
    </row>
    <row r="1253" spans="3:15" x14ac:dyDescent="0.2">
      <c r="C1253" s="9" cm="1">
        <f t="array" ref="C1253">IFERROR(_xlfn.XLOOKUP(B1253,Personal!$A:$A,Personal!$D:$D,""),"")</f>
        <v>0</v>
      </c>
      <c r="D1253" s="9" cm="1">
        <f t="array" ref="D1253">IFERROR(_xlfn.XLOOKUP(B1253,Personal!$A:$A,Personal!$C:$C,""),"")</f>
        <v>0</v>
      </c>
      <c r="E1253" s="9" t="str" cm="1">
        <f t="array" ref="E1253">IFERROR(_xlfn.XLOOKUP(D1253,Locales!$A:$A,Locales!$B:$B,""),"")</f>
        <v/>
      </c>
      <c r="F1253" s="9" cm="1">
        <f t="array" ref="F1253">IFERROR(_xlfn.XLOOKUP(B1253,Personal!$A:$A,Personal!$F:$F,""),"")</f>
        <v>0</v>
      </c>
      <c r="I1253" s="10" cm="1">
        <f t="array" ref="I1253">IFERROR(INDEX(Precios!$D:$F,MATCH(N1253, Precios!$G:$G, 0),CHOOSE(MATCH(H1253, {"SML";"XL";"XXL"}, 0), 1, 2, 3)), 0)</f>
        <v>0</v>
      </c>
      <c r="K1253" s="10">
        <f t="shared" si="44"/>
        <v>0</v>
      </c>
      <c r="N1253" s="9" t="str">
        <f t="shared" si="45"/>
        <v/>
      </c>
      <c r="O1253" s="9" t="str">
        <f>IF(N1253="","",IF(COUNTIF(Precios!$G:$G,N1253)=0,"⚠ No coincide con Precios","OK"))</f>
        <v/>
      </c>
    </row>
    <row r="1254" spans="3:15" x14ac:dyDescent="0.2">
      <c r="C1254" s="9" cm="1">
        <f t="array" ref="C1254">IFERROR(_xlfn.XLOOKUP(B1254,Personal!$A:$A,Personal!$D:$D,""),"")</f>
        <v>0</v>
      </c>
      <c r="D1254" s="9" cm="1">
        <f t="array" ref="D1254">IFERROR(_xlfn.XLOOKUP(B1254,Personal!$A:$A,Personal!$C:$C,""),"")</f>
        <v>0</v>
      </c>
      <c r="E1254" s="9" t="str" cm="1">
        <f t="array" ref="E1254">IFERROR(_xlfn.XLOOKUP(D1254,Locales!$A:$A,Locales!$B:$B,""),"")</f>
        <v/>
      </c>
      <c r="F1254" s="9" cm="1">
        <f t="array" ref="F1254">IFERROR(_xlfn.XLOOKUP(B1254,Personal!$A:$A,Personal!$F:$F,""),"")</f>
        <v>0</v>
      </c>
      <c r="I1254" s="10" cm="1">
        <f t="array" ref="I1254">IFERROR(INDEX(Precios!$D:$F,MATCH(N1254, Precios!$G:$G, 0),CHOOSE(MATCH(H1254, {"SML";"XL";"XXL"}, 0), 1, 2, 3)), 0)</f>
        <v>0</v>
      </c>
      <c r="K1254" s="10">
        <f t="shared" si="44"/>
        <v>0</v>
      </c>
      <c r="N1254" s="9" t="str">
        <f t="shared" si="45"/>
        <v/>
      </c>
      <c r="O1254" s="9" t="str">
        <f>IF(N1254="","",IF(COUNTIF(Precios!$G:$G,N1254)=0,"⚠ No coincide con Precios","OK"))</f>
        <v/>
      </c>
    </row>
    <row r="1255" spans="3:15" x14ac:dyDescent="0.2">
      <c r="C1255" s="9" cm="1">
        <f t="array" ref="C1255">IFERROR(_xlfn.XLOOKUP(B1255,Personal!$A:$A,Personal!$D:$D,""),"")</f>
        <v>0</v>
      </c>
      <c r="D1255" s="9" cm="1">
        <f t="array" ref="D1255">IFERROR(_xlfn.XLOOKUP(B1255,Personal!$A:$A,Personal!$C:$C,""),"")</f>
        <v>0</v>
      </c>
      <c r="E1255" s="9" t="str" cm="1">
        <f t="array" ref="E1255">IFERROR(_xlfn.XLOOKUP(D1255,Locales!$A:$A,Locales!$B:$B,""),"")</f>
        <v/>
      </c>
      <c r="F1255" s="9" cm="1">
        <f t="array" ref="F1255">IFERROR(_xlfn.XLOOKUP(B1255,Personal!$A:$A,Personal!$F:$F,""),"")</f>
        <v>0</v>
      </c>
      <c r="I1255" s="10" cm="1">
        <f t="array" ref="I1255">IFERROR(INDEX(Precios!$D:$F,MATCH(N1255, Precios!$G:$G, 0),CHOOSE(MATCH(H1255, {"SML";"XL";"XXL"}, 0), 1, 2, 3)), 0)</f>
        <v>0</v>
      </c>
      <c r="K1255" s="10">
        <f t="shared" si="44"/>
        <v>0</v>
      </c>
      <c r="N1255" s="9" t="str">
        <f t="shared" si="45"/>
        <v/>
      </c>
      <c r="O1255" s="9" t="str">
        <f>IF(N1255="","",IF(COUNTIF(Precios!$G:$G,N1255)=0,"⚠ No coincide con Precios","OK"))</f>
        <v/>
      </c>
    </row>
    <row r="1256" spans="3:15" x14ac:dyDescent="0.2">
      <c r="C1256" s="9" cm="1">
        <f t="array" ref="C1256">IFERROR(_xlfn.XLOOKUP(B1256,Personal!$A:$A,Personal!$D:$D,""),"")</f>
        <v>0</v>
      </c>
      <c r="D1256" s="9" cm="1">
        <f t="array" ref="D1256">IFERROR(_xlfn.XLOOKUP(B1256,Personal!$A:$A,Personal!$C:$C,""),"")</f>
        <v>0</v>
      </c>
      <c r="E1256" s="9" t="str" cm="1">
        <f t="array" ref="E1256">IFERROR(_xlfn.XLOOKUP(D1256,Locales!$A:$A,Locales!$B:$B,""),"")</f>
        <v/>
      </c>
      <c r="F1256" s="9" cm="1">
        <f t="array" ref="F1256">IFERROR(_xlfn.XLOOKUP(B1256,Personal!$A:$A,Personal!$F:$F,""),"")</f>
        <v>0</v>
      </c>
      <c r="I1256" s="10" cm="1">
        <f t="array" ref="I1256">IFERROR(INDEX(Precios!$D:$F,MATCH(N1256, Precios!$G:$G, 0),CHOOSE(MATCH(H1256, {"SML";"XL";"XXL"}, 0), 1, 2, 3)), 0)</f>
        <v>0</v>
      </c>
      <c r="K1256" s="10">
        <f t="shared" si="44"/>
        <v>0</v>
      </c>
      <c r="N1256" s="9" t="str">
        <f t="shared" si="45"/>
        <v/>
      </c>
      <c r="O1256" s="9" t="str">
        <f>IF(N1256="","",IF(COUNTIF(Precios!$G:$G,N1256)=0,"⚠ No coincide con Precios","OK"))</f>
        <v/>
      </c>
    </row>
    <row r="1257" spans="3:15" x14ac:dyDescent="0.2">
      <c r="C1257" s="9" cm="1">
        <f t="array" ref="C1257">IFERROR(_xlfn.XLOOKUP(B1257,Personal!$A:$A,Personal!$D:$D,""),"")</f>
        <v>0</v>
      </c>
      <c r="D1257" s="9" cm="1">
        <f t="array" ref="D1257">IFERROR(_xlfn.XLOOKUP(B1257,Personal!$A:$A,Personal!$C:$C,""),"")</f>
        <v>0</v>
      </c>
      <c r="E1257" s="9" t="str" cm="1">
        <f t="array" ref="E1257">IFERROR(_xlfn.XLOOKUP(D1257,Locales!$A:$A,Locales!$B:$B,""),"")</f>
        <v/>
      </c>
      <c r="F1257" s="9" cm="1">
        <f t="array" ref="F1257">IFERROR(_xlfn.XLOOKUP(B1257,Personal!$A:$A,Personal!$F:$F,""),"")</f>
        <v>0</v>
      </c>
      <c r="I1257" s="10" cm="1">
        <f t="array" ref="I1257">IFERROR(INDEX(Precios!$D:$F,MATCH(N1257, Precios!$G:$G, 0),CHOOSE(MATCH(H1257, {"SML";"XL";"XXL"}, 0), 1, 2, 3)), 0)</f>
        <v>0</v>
      </c>
      <c r="K1257" s="10">
        <f t="shared" si="44"/>
        <v>0</v>
      </c>
      <c r="N1257" s="9" t="str">
        <f t="shared" si="45"/>
        <v/>
      </c>
      <c r="O1257" s="9" t="str">
        <f>IF(N1257="","",IF(COUNTIF(Precios!$G:$G,N1257)=0,"⚠ No coincide con Precios","OK"))</f>
        <v/>
      </c>
    </row>
    <row r="1258" spans="3:15" x14ac:dyDescent="0.2">
      <c r="C1258" s="9" cm="1">
        <f t="array" ref="C1258">IFERROR(_xlfn.XLOOKUP(B1258,Personal!$A:$A,Personal!$D:$D,""),"")</f>
        <v>0</v>
      </c>
      <c r="D1258" s="9" cm="1">
        <f t="array" ref="D1258">IFERROR(_xlfn.XLOOKUP(B1258,Personal!$A:$A,Personal!$C:$C,""),"")</f>
        <v>0</v>
      </c>
      <c r="E1258" s="9" t="str" cm="1">
        <f t="array" ref="E1258">IFERROR(_xlfn.XLOOKUP(D1258,Locales!$A:$A,Locales!$B:$B,""),"")</f>
        <v/>
      </c>
      <c r="F1258" s="9" cm="1">
        <f t="array" ref="F1258">IFERROR(_xlfn.XLOOKUP(B1258,Personal!$A:$A,Personal!$F:$F,""),"")</f>
        <v>0</v>
      </c>
      <c r="I1258" s="10" cm="1">
        <f t="array" ref="I1258">IFERROR(INDEX(Precios!$D:$F,MATCH(N1258, Precios!$G:$G, 0),CHOOSE(MATCH(H1258, {"SML";"XL";"XXL"}, 0), 1, 2, 3)), 0)</f>
        <v>0</v>
      </c>
      <c r="K1258" s="10">
        <f t="shared" si="44"/>
        <v>0</v>
      </c>
      <c r="N1258" s="9" t="str">
        <f t="shared" si="45"/>
        <v/>
      </c>
      <c r="O1258" s="9" t="str">
        <f>IF(N1258="","",IF(COUNTIF(Precios!$G:$G,N1258)=0,"⚠ No coincide con Precios","OK"))</f>
        <v/>
      </c>
    </row>
    <row r="1259" spans="3:15" x14ac:dyDescent="0.2">
      <c r="C1259" s="9" cm="1">
        <f t="array" ref="C1259">IFERROR(_xlfn.XLOOKUP(B1259,Personal!$A:$A,Personal!$D:$D,""),"")</f>
        <v>0</v>
      </c>
      <c r="D1259" s="9" cm="1">
        <f t="array" ref="D1259">IFERROR(_xlfn.XLOOKUP(B1259,Personal!$A:$A,Personal!$C:$C,""),"")</f>
        <v>0</v>
      </c>
      <c r="E1259" s="9" t="str" cm="1">
        <f t="array" ref="E1259">IFERROR(_xlfn.XLOOKUP(D1259,Locales!$A:$A,Locales!$B:$B,""),"")</f>
        <v/>
      </c>
      <c r="F1259" s="9" cm="1">
        <f t="array" ref="F1259">IFERROR(_xlfn.XLOOKUP(B1259,Personal!$A:$A,Personal!$F:$F,""),"")</f>
        <v>0</v>
      </c>
      <c r="I1259" s="10" cm="1">
        <f t="array" ref="I1259">IFERROR(INDEX(Precios!$D:$F,MATCH(N1259, Precios!$G:$G, 0),CHOOSE(MATCH(H1259, {"SML";"XL";"XXL"}, 0), 1, 2, 3)), 0)</f>
        <v>0</v>
      </c>
      <c r="K1259" s="10">
        <f t="shared" si="44"/>
        <v>0</v>
      </c>
      <c r="N1259" s="9" t="str">
        <f t="shared" si="45"/>
        <v/>
      </c>
      <c r="O1259" s="9" t="str">
        <f>IF(N1259="","",IF(COUNTIF(Precios!$G:$G,N1259)=0,"⚠ No coincide con Precios","OK"))</f>
        <v/>
      </c>
    </row>
    <row r="1260" spans="3:15" x14ac:dyDescent="0.2">
      <c r="C1260" s="9" cm="1">
        <f t="array" ref="C1260">IFERROR(_xlfn.XLOOKUP(B1260,Personal!$A:$A,Personal!$D:$D,""),"")</f>
        <v>0</v>
      </c>
      <c r="D1260" s="9" cm="1">
        <f t="array" ref="D1260">IFERROR(_xlfn.XLOOKUP(B1260,Personal!$A:$A,Personal!$C:$C,""),"")</f>
        <v>0</v>
      </c>
      <c r="E1260" s="9" t="str" cm="1">
        <f t="array" ref="E1260">IFERROR(_xlfn.XLOOKUP(D1260,Locales!$A:$A,Locales!$B:$B,""),"")</f>
        <v/>
      </c>
      <c r="F1260" s="9" cm="1">
        <f t="array" ref="F1260">IFERROR(_xlfn.XLOOKUP(B1260,Personal!$A:$A,Personal!$F:$F,""),"")</f>
        <v>0</v>
      </c>
      <c r="I1260" s="10" cm="1">
        <f t="array" ref="I1260">IFERROR(INDEX(Precios!$D:$F,MATCH(N1260, Precios!$G:$G, 0),CHOOSE(MATCH(H1260, {"SML";"XL";"XXL"}, 0), 1, 2, 3)), 0)</f>
        <v>0</v>
      </c>
      <c r="K1260" s="10">
        <f t="shared" si="44"/>
        <v>0</v>
      </c>
      <c r="N1260" s="9" t="str">
        <f t="shared" si="45"/>
        <v/>
      </c>
      <c r="O1260" s="9" t="str">
        <f>IF(N1260="","",IF(COUNTIF(Precios!$G:$G,N1260)=0,"⚠ No coincide con Precios","OK"))</f>
        <v/>
      </c>
    </row>
    <row r="1261" spans="3:15" x14ac:dyDescent="0.2">
      <c r="C1261" s="9" cm="1">
        <f t="array" ref="C1261">IFERROR(_xlfn.XLOOKUP(B1261,Personal!$A:$A,Personal!$D:$D,""),"")</f>
        <v>0</v>
      </c>
      <c r="D1261" s="9" cm="1">
        <f t="array" ref="D1261">IFERROR(_xlfn.XLOOKUP(B1261,Personal!$A:$A,Personal!$C:$C,""),"")</f>
        <v>0</v>
      </c>
      <c r="E1261" s="9" t="str" cm="1">
        <f t="array" ref="E1261">IFERROR(_xlfn.XLOOKUP(D1261,Locales!$A:$A,Locales!$B:$B,""),"")</f>
        <v/>
      </c>
      <c r="F1261" s="9" cm="1">
        <f t="array" ref="F1261">IFERROR(_xlfn.XLOOKUP(B1261,Personal!$A:$A,Personal!$F:$F,""),"")</f>
        <v>0</v>
      </c>
      <c r="I1261" s="10" cm="1">
        <f t="array" ref="I1261">IFERROR(INDEX(Precios!$D:$F,MATCH(N1261, Precios!$G:$G, 0),CHOOSE(MATCH(H1261, {"SML";"XL";"XXL"}, 0), 1, 2, 3)), 0)</f>
        <v>0</v>
      </c>
      <c r="K1261" s="10">
        <f t="shared" si="44"/>
        <v>0</v>
      </c>
      <c r="N1261" s="9" t="str">
        <f t="shared" si="45"/>
        <v/>
      </c>
      <c r="O1261" s="9" t="str">
        <f>IF(N1261="","",IF(COUNTIF(Precios!$G:$G,N1261)=0,"⚠ No coincide con Precios","OK"))</f>
        <v/>
      </c>
    </row>
    <row r="1262" spans="3:15" x14ac:dyDescent="0.2">
      <c r="C1262" s="9" cm="1">
        <f t="array" ref="C1262">IFERROR(_xlfn.XLOOKUP(B1262,Personal!$A:$A,Personal!$D:$D,""),"")</f>
        <v>0</v>
      </c>
      <c r="D1262" s="9" cm="1">
        <f t="array" ref="D1262">IFERROR(_xlfn.XLOOKUP(B1262,Personal!$A:$A,Personal!$C:$C,""),"")</f>
        <v>0</v>
      </c>
      <c r="E1262" s="9" t="str" cm="1">
        <f t="array" ref="E1262">IFERROR(_xlfn.XLOOKUP(D1262,Locales!$A:$A,Locales!$B:$B,""),"")</f>
        <v/>
      </c>
      <c r="F1262" s="9" cm="1">
        <f t="array" ref="F1262">IFERROR(_xlfn.XLOOKUP(B1262,Personal!$A:$A,Personal!$F:$F,""),"")</f>
        <v>0</v>
      </c>
      <c r="I1262" s="10" cm="1">
        <f t="array" ref="I1262">IFERROR(INDEX(Precios!$D:$F,MATCH(N1262, Precios!$G:$G, 0),CHOOSE(MATCH(H1262, {"SML";"XL";"XXL"}, 0), 1, 2, 3)), 0)</f>
        <v>0</v>
      </c>
      <c r="K1262" s="10">
        <f t="shared" si="44"/>
        <v>0</v>
      </c>
      <c r="N1262" s="9" t="str">
        <f t="shared" si="45"/>
        <v/>
      </c>
      <c r="O1262" s="9" t="str">
        <f>IF(N1262="","",IF(COUNTIF(Precios!$G:$G,N1262)=0,"⚠ No coincide con Precios","OK"))</f>
        <v/>
      </c>
    </row>
    <row r="1263" spans="3:15" x14ac:dyDescent="0.2">
      <c r="C1263" s="9" cm="1">
        <f t="array" ref="C1263">IFERROR(_xlfn.XLOOKUP(B1263,Personal!$A:$A,Personal!$D:$D,""),"")</f>
        <v>0</v>
      </c>
      <c r="D1263" s="9" cm="1">
        <f t="array" ref="D1263">IFERROR(_xlfn.XLOOKUP(B1263,Personal!$A:$A,Personal!$C:$C,""),"")</f>
        <v>0</v>
      </c>
      <c r="E1263" s="9" t="str" cm="1">
        <f t="array" ref="E1263">IFERROR(_xlfn.XLOOKUP(D1263,Locales!$A:$A,Locales!$B:$B,""),"")</f>
        <v/>
      </c>
      <c r="F1263" s="9" cm="1">
        <f t="array" ref="F1263">IFERROR(_xlfn.XLOOKUP(B1263,Personal!$A:$A,Personal!$F:$F,""),"")</f>
        <v>0</v>
      </c>
      <c r="I1263" s="10" cm="1">
        <f t="array" ref="I1263">IFERROR(INDEX(Precios!$D:$F,MATCH(N1263, Precios!$G:$G, 0),CHOOSE(MATCH(H1263, {"SML";"XL";"XXL"}, 0), 1, 2, 3)), 0)</f>
        <v>0</v>
      </c>
      <c r="K1263" s="10">
        <f t="shared" si="44"/>
        <v>0</v>
      </c>
      <c r="N1263" s="9" t="str">
        <f t="shared" si="45"/>
        <v/>
      </c>
      <c r="O1263" s="9" t="str">
        <f>IF(N1263="","",IF(COUNTIF(Precios!$G:$G,N1263)=0,"⚠ No coincide con Precios","OK"))</f>
        <v/>
      </c>
    </row>
    <row r="1264" spans="3:15" x14ac:dyDescent="0.2">
      <c r="C1264" s="9" cm="1">
        <f t="array" ref="C1264">IFERROR(_xlfn.XLOOKUP(B1264,Personal!$A:$A,Personal!$D:$D,""),"")</f>
        <v>0</v>
      </c>
      <c r="D1264" s="9" cm="1">
        <f t="array" ref="D1264">IFERROR(_xlfn.XLOOKUP(B1264,Personal!$A:$A,Personal!$C:$C,""),"")</f>
        <v>0</v>
      </c>
      <c r="E1264" s="9" t="str" cm="1">
        <f t="array" ref="E1264">IFERROR(_xlfn.XLOOKUP(D1264,Locales!$A:$A,Locales!$B:$B,""),"")</f>
        <v/>
      </c>
      <c r="F1264" s="9" cm="1">
        <f t="array" ref="F1264">IFERROR(_xlfn.XLOOKUP(B1264,Personal!$A:$A,Personal!$F:$F,""),"")</f>
        <v>0</v>
      </c>
      <c r="I1264" s="10" cm="1">
        <f t="array" ref="I1264">IFERROR(INDEX(Precios!$D:$F,MATCH(N1264, Precios!$G:$G, 0),CHOOSE(MATCH(H1264, {"SML";"XL";"XXL"}, 0), 1, 2, 3)), 0)</f>
        <v>0</v>
      </c>
      <c r="K1264" s="10">
        <f t="shared" si="44"/>
        <v>0</v>
      </c>
      <c r="N1264" s="9" t="str">
        <f t="shared" si="45"/>
        <v/>
      </c>
      <c r="O1264" s="9" t="str">
        <f>IF(N1264="","",IF(COUNTIF(Precios!$G:$G,N1264)=0,"⚠ No coincide con Precios","OK"))</f>
        <v/>
      </c>
    </row>
    <row r="1265" spans="3:15" x14ac:dyDescent="0.2">
      <c r="C1265" s="9" cm="1">
        <f t="array" ref="C1265">IFERROR(_xlfn.XLOOKUP(B1265,Personal!$A:$A,Personal!$D:$D,""),"")</f>
        <v>0</v>
      </c>
      <c r="D1265" s="9" cm="1">
        <f t="array" ref="D1265">IFERROR(_xlfn.XLOOKUP(B1265,Personal!$A:$A,Personal!$C:$C,""),"")</f>
        <v>0</v>
      </c>
      <c r="E1265" s="9" t="str" cm="1">
        <f t="array" ref="E1265">IFERROR(_xlfn.XLOOKUP(D1265,Locales!$A:$A,Locales!$B:$B,""),"")</f>
        <v/>
      </c>
      <c r="F1265" s="9" cm="1">
        <f t="array" ref="F1265">IFERROR(_xlfn.XLOOKUP(B1265,Personal!$A:$A,Personal!$F:$F,""),"")</f>
        <v>0</v>
      </c>
      <c r="I1265" s="10" cm="1">
        <f t="array" ref="I1265">IFERROR(INDEX(Precios!$D:$F,MATCH(N1265, Precios!$G:$G, 0),CHOOSE(MATCH(H1265, {"SML";"XL";"XXL"}, 0), 1, 2, 3)), 0)</f>
        <v>0</v>
      </c>
      <c r="K1265" s="10">
        <f t="shared" si="44"/>
        <v>0</v>
      </c>
      <c r="N1265" s="9" t="str">
        <f t="shared" si="45"/>
        <v/>
      </c>
      <c r="O1265" s="9" t="str">
        <f>IF(N1265="","",IF(COUNTIF(Precios!$G:$G,N1265)=0,"⚠ No coincide con Precios","OK"))</f>
        <v/>
      </c>
    </row>
    <row r="1266" spans="3:15" x14ac:dyDescent="0.2">
      <c r="C1266" s="9" cm="1">
        <f t="array" ref="C1266">IFERROR(_xlfn.XLOOKUP(B1266,Personal!$A:$A,Personal!$D:$D,""),"")</f>
        <v>0</v>
      </c>
      <c r="D1266" s="9" cm="1">
        <f t="array" ref="D1266">IFERROR(_xlfn.XLOOKUP(B1266,Personal!$A:$A,Personal!$C:$C,""),"")</f>
        <v>0</v>
      </c>
      <c r="E1266" s="9" t="str" cm="1">
        <f t="array" ref="E1266">IFERROR(_xlfn.XLOOKUP(D1266,Locales!$A:$A,Locales!$B:$B,""),"")</f>
        <v/>
      </c>
      <c r="F1266" s="9" cm="1">
        <f t="array" ref="F1266">IFERROR(_xlfn.XLOOKUP(B1266,Personal!$A:$A,Personal!$F:$F,""),"")</f>
        <v>0</v>
      </c>
      <c r="I1266" s="10" cm="1">
        <f t="array" ref="I1266">IFERROR(INDEX(Precios!$D:$F,MATCH(N1266, Precios!$G:$G, 0),CHOOSE(MATCH(H1266, {"SML";"XL";"XXL"}, 0), 1, 2, 3)), 0)</f>
        <v>0</v>
      </c>
      <c r="K1266" s="10">
        <f t="shared" si="44"/>
        <v>0</v>
      </c>
      <c r="N1266" s="9" t="str">
        <f t="shared" si="45"/>
        <v/>
      </c>
      <c r="O1266" s="9" t="str">
        <f>IF(N1266="","",IF(COUNTIF(Precios!$G:$G,N1266)=0,"⚠ No coincide con Precios","OK"))</f>
        <v/>
      </c>
    </row>
    <row r="1267" spans="3:15" x14ac:dyDescent="0.2">
      <c r="C1267" s="9" cm="1">
        <f t="array" ref="C1267">IFERROR(_xlfn.XLOOKUP(B1267,Personal!$A:$A,Personal!$D:$D,""),"")</f>
        <v>0</v>
      </c>
      <c r="D1267" s="9" cm="1">
        <f t="array" ref="D1267">IFERROR(_xlfn.XLOOKUP(B1267,Personal!$A:$A,Personal!$C:$C,""),"")</f>
        <v>0</v>
      </c>
      <c r="E1267" s="9" t="str" cm="1">
        <f t="array" ref="E1267">IFERROR(_xlfn.XLOOKUP(D1267,Locales!$A:$A,Locales!$B:$B,""),"")</f>
        <v/>
      </c>
      <c r="F1267" s="9" cm="1">
        <f t="array" ref="F1267">IFERROR(_xlfn.XLOOKUP(B1267,Personal!$A:$A,Personal!$F:$F,""),"")</f>
        <v>0</v>
      </c>
      <c r="I1267" s="10" cm="1">
        <f t="array" ref="I1267">IFERROR(INDEX(Precios!$D:$F,MATCH(N1267, Precios!$G:$G, 0),CHOOSE(MATCH(H1267, {"SML";"XL";"XXL"}, 0), 1, 2, 3)), 0)</f>
        <v>0</v>
      </c>
      <c r="K1267" s="10">
        <f t="shared" si="44"/>
        <v>0</v>
      </c>
      <c r="N1267" s="9" t="str">
        <f t="shared" si="45"/>
        <v/>
      </c>
      <c r="O1267" s="9" t="str">
        <f>IF(N1267="","",IF(COUNTIF(Precios!$G:$G,N1267)=0,"⚠ No coincide con Precios","OK"))</f>
        <v/>
      </c>
    </row>
    <row r="1268" spans="3:15" x14ac:dyDescent="0.2">
      <c r="C1268" s="9" cm="1">
        <f t="array" ref="C1268">IFERROR(_xlfn.XLOOKUP(B1268,Personal!$A:$A,Personal!$D:$D,""),"")</f>
        <v>0</v>
      </c>
      <c r="D1268" s="9" cm="1">
        <f t="array" ref="D1268">IFERROR(_xlfn.XLOOKUP(B1268,Personal!$A:$A,Personal!$C:$C,""),"")</f>
        <v>0</v>
      </c>
      <c r="E1268" s="9" t="str" cm="1">
        <f t="array" ref="E1268">IFERROR(_xlfn.XLOOKUP(D1268,Locales!$A:$A,Locales!$B:$B,""),"")</f>
        <v/>
      </c>
      <c r="F1268" s="9" cm="1">
        <f t="array" ref="F1268">IFERROR(_xlfn.XLOOKUP(B1268,Personal!$A:$A,Personal!$F:$F,""),"")</f>
        <v>0</v>
      </c>
      <c r="I1268" s="10" cm="1">
        <f t="array" ref="I1268">IFERROR(INDEX(Precios!$D:$F,MATCH(N1268, Precios!$G:$G, 0),CHOOSE(MATCH(H1268, {"SML";"XL";"XXL"}, 0), 1, 2, 3)), 0)</f>
        <v>0</v>
      </c>
      <c r="K1268" s="10">
        <f t="shared" si="44"/>
        <v>0</v>
      </c>
      <c r="N1268" s="9" t="str">
        <f t="shared" si="45"/>
        <v/>
      </c>
      <c r="O1268" s="9" t="str">
        <f>IF(N1268="","",IF(COUNTIF(Precios!$G:$G,N1268)=0,"⚠ No coincide con Precios","OK"))</f>
        <v/>
      </c>
    </row>
    <row r="1269" spans="3:15" x14ac:dyDescent="0.2">
      <c r="C1269" s="9" cm="1">
        <f t="array" ref="C1269">IFERROR(_xlfn.XLOOKUP(B1269,Personal!$A:$A,Personal!$D:$D,""),"")</f>
        <v>0</v>
      </c>
      <c r="D1269" s="9" cm="1">
        <f t="array" ref="D1269">IFERROR(_xlfn.XLOOKUP(B1269,Personal!$A:$A,Personal!$C:$C,""),"")</f>
        <v>0</v>
      </c>
      <c r="E1269" s="9" t="str" cm="1">
        <f t="array" ref="E1269">IFERROR(_xlfn.XLOOKUP(D1269,Locales!$A:$A,Locales!$B:$B,""),"")</f>
        <v/>
      </c>
      <c r="F1269" s="9" cm="1">
        <f t="array" ref="F1269">IFERROR(_xlfn.XLOOKUP(B1269,Personal!$A:$A,Personal!$F:$F,""),"")</f>
        <v>0</v>
      </c>
      <c r="I1269" s="10" cm="1">
        <f t="array" ref="I1269">IFERROR(INDEX(Precios!$D:$F,MATCH(N1269, Precios!$G:$G, 0),CHOOSE(MATCH(H1269, {"SML";"XL";"XXL"}, 0), 1, 2, 3)), 0)</f>
        <v>0</v>
      </c>
      <c r="K1269" s="10">
        <f t="shared" si="44"/>
        <v>0</v>
      </c>
      <c r="N1269" s="9" t="str">
        <f t="shared" si="45"/>
        <v/>
      </c>
      <c r="O1269" s="9" t="str">
        <f>IF(N1269="","",IF(COUNTIF(Precios!$G:$G,N1269)=0,"⚠ No coincide con Precios","OK"))</f>
        <v/>
      </c>
    </row>
    <row r="1270" spans="3:15" x14ac:dyDescent="0.2">
      <c r="C1270" s="9" cm="1">
        <f t="array" ref="C1270">IFERROR(_xlfn.XLOOKUP(B1270,Personal!$A:$A,Personal!$D:$D,""),"")</f>
        <v>0</v>
      </c>
      <c r="D1270" s="9" cm="1">
        <f t="array" ref="D1270">IFERROR(_xlfn.XLOOKUP(B1270,Personal!$A:$A,Personal!$C:$C,""),"")</f>
        <v>0</v>
      </c>
      <c r="E1270" s="9" t="str" cm="1">
        <f t="array" ref="E1270">IFERROR(_xlfn.XLOOKUP(D1270,Locales!$A:$A,Locales!$B:$B,""),"")</f>
        <v/>
      </c>
      <c r="F1270" s="9" cm="1">
        <f t="array" ref="F1270">IFERROR(_xlfn.XLOOKUP(B1270,Personal!$A:$A,Personal!$F:$F,""),"")</f>
        <v>0</v>
      </c>
      <c r="I1270" s="10" cm="1">
        <f t="array" ref="I1270">IFERROR(INDEX(Precios!$D:$F,MATCH(N1270, Precios!$G:$G, 0),CHOOSE(MATCH(H1270, {"SML";"XL";"XXL"}, 0), 1, 2, 3)), 0)</f>
        <v>0</v>
      </c>
      <c r="K1270" s="10">
        <f t="shared" si="44"/>
        <v>0</v>
      </c>
      <c r="N1270" s="9" t="str">
        <f t="shared" si="45"/>
        <v/>
      </c>
      <c r="O1270" s="9" t="str">
        <f>IF(N1270="","",IF(COUNTIF(Precios!$G:$G,N1270)=0,"⚠ No coincide con Precios","OK"))</f>
        <v/>
      </c>
    </row>
    <row r="1271" spans="3:15" x14ac:dyDescent="0.2">
      <c r="C1271" s="9" cm="1">
        <f t="array" ref="C1271">IFERROR(_xlfn.XLOOKUP(B1271,Personal!$A:$A,Personal!$D:$D,""),"")</f>
        <v>0</v>
      </c>
      <c r="D1271" s="9" cm="1">
        <f t="array" ref="D1271">IFERROR(_xlfn.XLOOKUP(B1271,Personal!$A:$A,Personal!$C:$C,""),"")</f>
        <v>0</v>
      </c>
      <c r="E1271" s="9" t="str" cm="1">
        <f t="array" ref="E1271">IFERROR(_xlfn.XLOOKUP(D1271,Locales!$A:$A,Locales!$B:$B,""),"")</f>
        <v/>
      </c>
      <c r="F1271" s="9" cm="1">
        <f t="array" ref="F1271">IFERROR(_xlfn.XLOOKUP(B1271,Personal!$A:$A,Personal!$F:$F,""),"")</f>
        <v>0</v>
      </c>
      <c r="I1271" s="10" cm="1">
        <f t="array" ref="I1271">IFERROR(INDEX(Precios!$D:$F,MATCH(N1271, Precios!$G:$G, 0),CHOOSE(MATCH(H1271, {"SML";"XL";"XXL"}, 0), 1, 2, 3)), 0)</f>
        <v>0</v>
      </c>
      <c r="K1271" s="10">
        <f t="shared" si="44"/>
        <v>0</v>
      </c>
      <c r="N1271" s="9" t="str">
        <f t="shared" si="45"/>
        <v/>
      </c>
      <c r="O1271" s="9" t="str">
        <f>IF(N1271="","",IF(COUNTIF(Precios!$G:$G,N1271)=0,"⚠ No coincide con Precios","OK"))</f>
        <v/>
      </c>
    </row>
    <row r="1272" spans="3:15" x14ac:dyDescent="0.2">
      <c r="C1272" s="9" cm="1">
        <f t="array" ref="C1272">IFERROR(_xlfn.XLOOKUP(B1272,Personal!$A:$A,Personal!$D:$D,""),"")</f>
        <v>0</v>
      </c>
      <c r="D1272" s="9" cm="1">
        <f t="array" ref="D1272">IFERROR(_xlfn.XLOOKUP(B1272,Personal!$A:$A,Personal!$C:$C,""),"")</f>
        <v>0</v>
      </c>
      <c r="E1272" s="9" t="str" cm="1">
        <f t="array" ref="E1272">IFERROR(_xlfn.XLOOKUP(D1272,Locales!$A:$A,Locales!$B:$B,""),"")</f>
        <v/>
      </c>
      <c r="F1272" s="9" cm="1">
        <f t="array" ref="F1272">IFERROR(_xlfn.XLOOKUP(B1272,Personal!$A:$A,Personal!$F:$F,""),"")</f>
        <v>0</v>
      </c>
      <c r="I1272" s="10" cm="1">
        <f t="array" ref="I1272">IFERROR(INDEX(Precios!$D:$F,MATCH(N1272, Precios!$G:$G, 0),CHOOSE(MATCH(H1272, {"SML";"XL";"XXL"}, 0), 1, 2, 3)), 0)</f>
        <v>0</v>
      </c>
      <c r="K1272" s="10">
        <f t="shared" si="44"/>
        <v>0</v>
      </c>
      <c r="N1272" s="9" t="str">
        <f t="shared" si="45"/>
        <v/>
      </c>
      <c r="O1272" s="9" t="str">
        <f>IF(N1272="","",IF(COUNTIF(Precios!$G:$G,N1272)=0,"⚠ No coincide con Precios","OK"))</f>
        <v/>
      </c>
    </row>
    <row r="1273" spans="3:15" x14ac:dyDescent="0.2">
      <c r="C1273" s="9" cm="1">
        <f t="array" ref="C1273">IFERROR(_xlfn.XLOOKUP(B1273,Personal!$A:$A,Personal!$D:$D,""),"")</f>
        <v>0</v>
      </c>
      <c r="D1273" s="9" cm="1">
        <f t="array" ref="D1273">IFERROR(_xlfn.XLOOKUP(B1273,Personal!$A:$A,Personal!$C:$C,""),"")</f>
        <v>0</v>
      </c>
      <c r="E1273" s="9" t="str" cm="1">
        <f t="array" ref="E1273">IFERROR(_xlfn.XLOOKUP(D1273,Locales!$A:$A,Locales!$B:$B,""),"")</f>
        <v/>
      </c>
      <c r="F1273" s="9" cm="1">
        <f t="array" ref="F1273">IFERROR(_xlfn.XLOOKUP(B1273,Personal!$A:$A,Personal!$F:$F,""),"")</f>
        <v>0</v>
      </c>
      <c r="I1273" s="10" cm="1">
        <f t="array" ref="I1273">IFERROR(INDEX(Precios!$D:$F,MATCH(N1273, Precios!$G:$G, 0),CHOOSE(MATCH(H1273, {"SML";"XL";"XXL"}, 0), 1, 2, 3)), 0)</f>
        <v>0</v>
      </c>
      <c r="K1273" s="10">
        <f t="shared" si="44"/>
        <v>0</v>
      </c>
      <c r="N1273" s="9" t="str">
        <f t="shared" si="45"/>
        <v/>
      </c>
      <c r="O1273" s="9" t="str">
        <f>IF(N1273="","",IF(COUNTIF(Precios!$G:$G,N1273)=0,"⚠ No coincide con Precios","OK"))</f>
        <v/>
      </c>
    </row>
    <row r="1274" spans="3:15" x14ac:dyDescent="0.2">
      <c r="C1274" s="9" cm="1">
        <f t="array" ref="C1274">IFERROR(_xlfn.XLOOKUP(B1274,Personal!$A:$A,Personal!$D:$D,""),"")</f>
        <v>0</v>
      </c>
      <c r="D1274" s="9" cm="1">
        <f t="array" ref="D1274">IFERROR(_xlfn.XLOOKUP(B1274,Personal!$A:$A,Personal!$C:$C,""),"")</f>
        <v>0</v>
      </c>
      <c r="E1274" s="9" t="str" cm="1">
        <f t="array" ref="E1274">IFERROR(_xlfn.XLOOKUP(D1274,Locales!$A:$A,Locales!$B:$B,""),"")</f>
        <v/>
      </c>
      <c r="F1274" s="9" cm="1">
        <f t="array" ref="F1274">IFERROR(_xlfn.XLOOKUP(B1274,Personal!$A:$A,Personal!$F:$F,""),"")</f>
        <v>0</v>
      </c>
      <c r="I1274" s="10" cm="1">
        <f t="array" ref="I1274">IFERROR(INDEX(Precios!$D:$F,MATCH(N1274, Precios!$G:$G, 0),CHOOSE(MATCH(H1274, {"SML";"XL";"XXL"}, 0), 1, 2, 3)), 0)</f>
        <v>0</v>
      </c>
      <c r="K1274" s="10">
        <f t="shared" si="44"/>
        <v>0</v>
      </c>
      <c r="N1274" s="9" t="str">
        <f t="shared" si="45"/>
        <v/>
      </c>
      <c r="O1274" s="9" t="str">
        <f>IF(N1274="","",IF(COUNTIF(Precios!$G:$G,N1274)=0,"⚠ No coincide con Precios","OK"))</f>
        <v/>
      </c>
    </row>
    <row r="1275" spans="3:15" x14ac:dyDescent="0.2">
      <c r="C1275" s="9" cm="1">
        <f t="array" ref="C1275">IFERROR(_xlfn.XLOOKUP(B1275,Personal!$A:$A,Personal!$D:$D,""),"")</f>
        <v>0</v>
      </c>
      <c r="D1275" s="9" cm="1">
        <f t="array" ref="D1275">IFERROR(_xlfn.XLOOKUP(B1275,Personal!$A:$A,Personal!$C:$C,""),"")</f>
        <v>0</v>
      </c>
      <c r="E1275" s="9" t="str" cm="1">
        <f t="array" ref="E1275">IFERROR(_xlfn.XLOOKUP(D1275,Locales!$A:$A,Locales!$B:$B,""),"")</f>
        <v/>
      </c>
      <c r="F1275" s="9" cm="1">
        <f t="array" ref="F1275">IFERROR(_xlfn.XLOOKUP(B1275,Personal!$A:$A,Personal!$F:$F,""),"")</f>
        <v>0</v>
      </c>
      <c r="I1275" s="10" cm="1">
        <f t="array" ref="I1275">IFERROR(INDEX(Precios!$D:$F,MATCH(N1275, Precios!$G:$G, 0),CHOOSE(MATCH(H1275, {"SML";"XL";"XXL"}, 0), 1, 2, 3)), 0)</f>
        <v>0</v>
      </c>
      <c r="K1275" s="10">
        <f t="shared" si="44"/>
        <v>0</v>
      </c>
      <c r="N1275" s="9" t="str">
        <f t="shared" si="45"/>
        <v/>
      </c>
      <c r="O1275" s="9" t="str">
        <f>IF(N1275="","",IF(COUNTIF(Precios!$G:$G,N1275)=0,"⚠ No coincide con Precios","OK"))</f>
        <v/>
      </c>
    </row>
    <row r="1276" spans="3:15" x14ac:dyDescent="0.2">
      <c r="C1276" s="9" cm="1">
        <f t="array" ref="C1276">IFERROR(_xlfn.XLOOKUP(B1276,Personal!$A:$A,Personal!$D:$D,""),"")</f>
        <v>0</v>
      </c>
      <c r="D1276" s="9" cm="1">
        <f t="array" ref="D1276">IFERROR(_xlfn.XLOOKUP(B1276,Personal!$A:$A,Personal!$C:$C,""),"")</f>
        <v>0</v>
      </c>
      <c r="E1276" s="9" t="str" cm="1">
        <f t="array" ref="E1276">IFERROR(_xlfn.XLOOKUP(D1276,Locales!$A:$A,Locales!$B:$B,""),"")</f>
        <v/>
      </c>
      <c r="F1276" s="9" cm="1">
        <f t="array" ref="F1276">IFERROR(_xlfn.XLOOKUP(B1276,Personal!$A:$A,Personal!$F:$F,""),"")</f>
        <v>0</v>
      </c>
      <c r="I1276" s="10" cm="1">
        <f t="array" ref="I1276">IFERROR(INDEX(Precios!$D:$F,MATCH(N1276, Precios!$G:$G, 0),CHOOSE(MATCH(H1276, {"SML";"XL";"XXL"}, 0), 1, 2, 3)), 0)</f>
        <v>0</v>
      </c>
      <c r="K1276" s="10">
        <f t="shared" si="44"/>
        <v>0</v>
      </c>
      <c r="N1276" s="9" t="str">
        <f t="shared" si="45"/>
        <v/>
      </c>
      <c r="O1276" s="9" t="str">
        <f>IF(N1276="","",IF(COUNTIF(Precios!$G:$G,N1276)=0,"⚠ No coincide con Precios","OK"))</f>
        <v/>
      </c>
    </row>
    <row r="1277" spans="3:15" x14ac:dyDescent="0.2">
      <c r="C1277" s="9" cm="1">
        <f t="array" ref="C1277">IFERROR(_xlfn.XLOOKUP(B1277,Personal!$A:$A,Personal!$D:$D,""),"")</f>
        <v>0</v>
      </c>
      <c r="D1277" s="9" cm="1">
        <f t="array" ref="D1277">IFERROR(_xlfn.XLOOKUP(B1277,Personal!$A:$A,Personal!$C:$C,""),"")</f>
        <v>0</v>
      </c>
      <c r="E1277" s="9" t="str" cm="1">
        <f t="array" ref="E1277">IFERROR(_xlfn.XLOOKUP(D1277,Locales!$A:$A,Locales!$B:$B,""),"")</f>
        <v/>
      </c>
      <c r="F1277" s="9" cm="1">
        <f t="array" ref="F1277">IFERROR(_xlfn.XLOOKUP(B1277,Personal!$A:$A,Personal!$F:$F,""),"")</f>
        <v>0</v>
      </c>
      <c r="I1277" s="10" cm="1">
        <f t="array" ref="I1277">IFERROR(INDEX(Precios!$D:$F,MATCH(N1277, Precios!$G:$G, 0),CHOOSE(MATCH(H1277, {"SML";"XL";"XXL"}, 0), 1, 2, 3)), 0)</f>
        <v>0</v>
      </c>
      <c r="K1277" s="10">
        <f t="shared" si="44"/>
        <v>0</v>
      </c>
      <c r="N1277" s="9" t="str">
        <f t="shared" si="45"/>
        <v/>
      </c>
      <c r="O1277" s="9" t="str">
        <f>IF(N1277="","",IF(COUNTIF(Precios!$G:$G,N1277)=0,"⚠ No coincide con Precios","OK"))</f>
        <v/>
      </c>
    </row>
    <row r="1278" spans="3:15" x14ac:dyDescent="0.2">
      <c r="C1278" s="9" cm="1">
        <f t="array" ref="C1278">IFERROR(_xlfn.XLOOKUP(B1278,Personal!$A:$A,Personal!$D:$D,""),"")</f>
        <v>0</v>
      </c>
      <c r="D1278" s="9" cm="1">
        <f t="array" ref="D1278">IFERROR(_xlfn.XLOOKUP(B1278,Personal!$A:$A,Personal!$C:$C,""),"")</f>
        <v>0</v>
      </c>
      <c r="E1278" s="9" t="str" cm="1">
        <f t="array" ref="E1278">IFERROR(_xlfn.XLOOKUP(D1278,Locales!$A:$A,Locales!$B:$B,""),"")</f>
        <v/>
      </c>
      <c r="F1278" s="9" cm="1">
        <f t="array" ref="F1278">IFERROR(_xlfn.XLOOKUP(B1278,Personal!$A:$A,Personal!$F:$F,""),"")</f>
        <v>0</v>
      </c>
      <c r="I1278" s="10" cm="1">
        <f t="array" ref="I1278">IFERROR(INDEX(Precios!$D:$F,MATCH(N1278, Precios!$G:$G, 0),CHOOSE(MATCH(H1278, {"SML";"XL";"XXL"}, 0), 1, 2, 3)), 0)</f>
        <v>0</v>
      </c>
      <c r="K1278" s="10">
        <f t="shared" ref="K1278:K1341" si="46">IFERROR(I1278*J1278,0)</f>
        <v>0</v>
      </c>
      <c r="N1278" s="9" t="str">
        <f t="shared" ref="N1278:N1341" si="47">IF( OR(E1278="",F1278="",G1278=""), "",CLEAN(TRIM(E1278)) &amp; "|" &amp; CLEAN(TRIM(F1278)) &amp; "|" &amp; CLEAN(TRIM(G1278)))</f>
        <v/>
      </c>
      <c r="O1278" s="9" t="str">
        <f>IF(N1278="","",IF(COUNTIF(Precios!$G:$G,N1278)=0,"⚠ No coincide con Precios","OK"))</f>
        <v/>
      </c>
    </row>
    <row r="1279" spans="3:15" x14ac:dyDescent="0.2">
      <c r="C1279" s="9" cm="1">
        <f t="array" ref="C1279">IFERROR(_xlfn.XLOOKUP(B1279,Personal!$A:$A,Personal!$D:$D,""),"")</f>
        <v>0</v>
      </c>
      <c r="D1279" s="9" cm="1">
        <f t="array" ref="D1279">IFERROR(_xlfn.XLOOKUP(B1279,Personal!$A:$A,Personal!$C:$C,""),"")</f>
        <v>0</v>
      </c>
      <c r="E1279" s="9" t="str" cm="1">
        <f t="array" ref="E1279">IFERROR(_xlfn.XLOOKUP(D1279,Locales!$A:$A,Locales!$B:$B,""),"")</f>
        <v/>
      </c>
      <c r="F1279" s="9" cm="1">
        <f t="array" ref="F1279">IFERROR(_xlfn.XLOOKUP(B1279,Personal!$A:$A,Personal!$F:$F,""),"")</f>
        <v>0</v>
      </c>
      <c r="I1279" s="10" cm="1">
        <f t="array" ref="I1279">IFERROR(INDEX(Precios!$D:$F,MATCH(N1279, Precios!$G:$G, 0),CHOOSE(MATCH(H1279, {"SML";"XL";"XXL"}, 0), 1, 2, 3)), 0)</f>
        <v>0</v>
      </c>
      <c r="K1279" s="10">
        <f t="shared" si="46"/>
        <v>0</v>
      </c>
      <c r="N1279" s="9" t="str">
        <f t="shared" si="47"/>
        <v/>
      </c>
      <c r="O1279" s="9" t="str">
        <f>IF(N1279="","",IF(COUNTIF(Precios!$G:$G,N1279)=0,"⚠ No coincide con Precios","OK"))</f>
        <v/>
      </c>
    </row>
    <row r="1280" spans="3:15" x14ac:dyDescent="0.2">
      <c r="C1280" s="9" cm="1">
        <f t="array" ref="C1280">IFERROR(_xlfn.XLOOKUP(B1280,Personal!$A:$A,Personal!$D:$D,""),"")</f>
        <v>0</v>
      </c>
      <c r="D1280" s="9" cm="1">
        <f t="array" ref="D1280">IFERROR(_xlfn.XLOOKUP(B1280,Personal!$A:$A,Personal!$C:$C,""),"")</f>
        <v>0</v>
      </c>
      <c r="E1280" s="9" t="str" cm="1">
        <f t="array" ref="E1280">IFERROR(_xlfn.XLOOKUP(D1280,Locales!$A:$A,Locales!$B:$B,""),"")</f>
        <v/>
      </c>
      <c r="F1280" s="9" cm="1">
        <f t="array" ref="F1280">IFERROR(_xlfn.XLOOKUP(B1280,Personal!$A:$A,Personal!$F:$F,""),"")</f>
        <v>0</v>
      </c>
      <c r="I1280" s="10" cm="1">
        <f t="array" ref="I1280">IFERROR(INDEX(Precios!$D:$F,MATCH(N1280, Precios!$G:$G, 0),CHOOSE(MATCH(H1280, {"SML";"XL";"XXL"}, 0), 1, 2, 3)), 0)</f>
        <v>0</v>
      </c>
      <c r="K1280" s="10">
        <f t="shared" si="46"/>
        <v>0</v>
      </c>
      <c r="N1280" s="9" t="str">
        <f t="shared" si="47"/>
        <v/>
      </c>
      <c r="O1280" s="9" t="str">
        <f>IF(N1280="","",IF(COUNTIF(Precios!$G:$G,N1280)=0,"⚠ No coincide con Precios","OK"))</f>
        <v/>
      </c>
    </row>
    <row r="1281" spans="3:15" x14ac:dyDescent="0.2">
      <c r="C1281" s="9" cm="1">
        <f t="array" ref="C1281">IFERROR(_xlfn.XLOOKUP(B1281,Personal!$A:$A,Personal!$D:$D,""),"")</f>
        <v>0</v>
      </c>
      <c r="D1281" s="9" cm="1">
        <f t="array" ref="D1281">IFERROR(_xlfn.XLOOKUP(B1281,Personal!$A:$A,Personal!$C:$C,""),"")</f>
        <v>0</v>
      </c>
      <c r="E1281" s="9" t="str" cm="1">
        <f t="array" ref="E1281">IFERROR(_xlfn.XLOOKUP(D1281,Locales!$A:$A,Locales!$B:$B,""),"")</f>
        <v/>
      </c>
      <c r="F1281" s="9" cm="1">
        <f t="array" ref="F1281">IFERROR(_xlfn.XLOOKUP(B1281,Personal!$A:$A,Personal!$F:$F,""),"")</f>
        <v>0</v>
      </c>
      <c r="I1281" s="10" cm="1">
        <f t="array" ref="I1281">IFERROR(INDEX(Precios!$D:$F,MATCH(N1281, Precios!$G:$G, 0),CHOOSE(MATCH(H1281, {"SML";"XL";"XXL"}, 0), 1, 2, 3)), 0)</f>
        <v>0</v>
      </c>
      <c r="K1281" s="10">
        <f t="shared" si="46"/>
        <v>0</v>
      </c>
      <c r="N1281" s="9" t="str">
        <f t="shared" si="47"/>
        <v/>
      </c>
      <c r="O1281" s="9" t="str">
        <f>IF(N1281="","",IF(COUNTIF(Precios!$G:$G,N1281)=0,"⚠ No coincide con Precios","OK"))</f>
        <v/>
      </c>
    </row>
    <row r="1282" spans="3:15" x14ac:dyDescent="0.2">
      <c r="C1282" s="9" cm="1">
        <f t="array" ref="C1282">IFERROR(_xlfn.XLOOKUP(B1282,Personal!$A:$A,Personal!$D:$D,""),"")</f>
        <v>0</v>
      </c>
      <c r="D1282" s="9" cm="1">
        <f t="array" ref="D1282">IFERROR(_xlfn.XLOOKUP(B1282,Personal!$A:$A,Personal!$C:$C,""),"")</f>
        <v>0</v>
      </c>
      <c r="E1282" s="9" t="str" cm="1">
        <f t="array" ref="E1282">IFERROR(_xlfn.XLOOKUP(D1282,Locales!$A:$A,Locales!$B:$B,""),"")</f>
        <v/>
      </c>
      <c r="F1282" s="9" cm="1">
        <f t="array" ref="F1282">IFERROR(_xlfn.XLOOKUP(B1282,Personal!$A:$A,Personal!$F:$F,""),"")</f>
        <v>0</v>
      </c>
      <c r="I1282" s="10" cm="1">
        <f t="array" ref="I1282">IFERROR(INDEX(Precios!$D:$F,MATCH(N1282, Precios!$G:$G, 0),CHOOSE(MATCH(H1282, {"SML";"XL";"XXL"}, 0), 1, 2, 3)), 0)</f>
        <v>0</v>
      </c>
      <c r="K1282" s="10">
        <f t="shared" si="46"/>
        <v>0</v>
      </c>
      <c r="N1282" s="9" t="str">
        <f t="shared" si="47"/>
        <v/>
      </c>
      <c r="O1282" s="9" t="str">
        <f>IF(N1282="","",IF(COUNTIF(Precios!$G:$G,N1282)=0,"⚠ No coincide con Precios","OK"))</f>
        <v/>
      </c>
    </row>
    <row r="1283" spans="3:15" x14ac:dyDescent="0.2">
      <c r="C1283" s="9" cm="1">
        <f t="array" ref="C1283">IFERROR(_xlfn.XLOOKUP(B1283,Personal!$A:$A,Personal!$D:$D,""),"")</f>
        <v>0</v>
      </c>
      <c r="D1283" s="9" cm="1">
        <f t="array" ref="D1283">IFERROR(_xlfn.XLOOKUP(B1283,Personal!$A:$A,Personal!$C:$C,""),"")</f>
        <v>0</v>
      </c>
      <c r="E1283" s="9" t="str" cm="1">
        <f t="array" ref="E1283">IFERROR(_xlfn.XLOOKUP(D1283,Locales!$A:$A,Locales!$B:$B,""),"")</f>
        <v/>
      </c>
      <c r="F1283" s="9" cm="1">
        <f t="array" ref="F1283">IFERROR(_xlfn.XLOOKUP(B1283,Personal!$A:$A,Personal!$F:$F,""),"")</f>
        <v>0</v>
      </c>
      <c r="I1283" s="10" cm="1">
        <f t="array" ref="I1283">IFERROR(INDEX(Precios!$D:$F,MATCH(N1283, Precios!$G:$G, 0),CHOOSE(MATCH(H1283, {"SML";"XL";"XXL"}, 0), 1, 2, 3)), 0)</f>
        <v>0</v>
      </c>
      <c r="K1283" s="10">
        <f t="shared" si="46"/>
        <v>0</v>
      </c>
      <c r="N1283" s="9" t="str">
        <f t="shared" si="47"/>
        <v/>
      </c>
      <c r="O1283" s="9" t="str">
        <f>IF(N1283="","",IF(COUNTIF(Precios!$G:$G,N1283)=0,"⚠ No coincide con Precios","OK"))</f>
        <v/>
      </c>
    </row>
    <row r="1284" spans="3:15" x14ac:dyDescent="0.2">
      <c r="C1284" s="9" cm="1">
        <f t="array" ref="C1284">IFERROR(_xlfn.XLOOKUP(B1284,Personal!$A:$A,Personal!$D:$D,""),"")</f>
        <v>0</v>
      </c>
      <c r="D1284" s="9" cm="1">
        <f t="array" ref="D1284">IFERROR(_xlfn.XLOOKUP(B1284,Personal!$A:$A,Personal!$C:$C,""),"")</f>
        <v>0</v>
      </c>
      <c r="E1284" s="9" t="str" cm="1">
        <f t="array" ref="E1284">IFERROR(_xlfn.XLOOKUP(D1284,Locales!$A:$A,Locales!$B:$B,""),"")</f>
        <v/>
      </c>
      <c r="F1284" s="9" cm="1">
        <f t="array" ref="F1284">IFERROR(_xlfn.XLOOKUP(B1284,Personal!$A:$A,Personal!$F:$F,""),"")</f>
        <v>0</v>
      </c>
      <c r="I1284" s="10" cm="1">
        <f t="array" ref="I1284">IFERROR(INDEX(Precios!$D:$F,MATCH(N1284, Precios!$G:$G, 0),CHOOSE(MATCH(H1284, {"SML";"XL";"XXL"}, 0), 1, 2, 3)), 0)</f>
        <v>0</v>
      </c>
      <c r="K1284" s="10">
        <f t="shared" si="46"/>
        <v>0</v>
      </c>
      <c r="N1284" s="9" t="str">
        <f t="shared" si="47"/>
        <v/>
      </c>
      <c r="O1284" s="9" t="str">
        <f>IF(N1284="","",IF(COUNTIF(Precios!$G:$G,N1284)=0,"⚠ No coincide con Precios","OK"))</f>
        <v/>
      </c>
    </row>
    <row r="1285" spans="3:15" x14ac:dyDescent="0.2">
      <c r="C1285" s="9" cm="1">
        <f t="array" ref="C1285">IFERROR(_xlfn.XLOOKUP(B1285,Personal!$A:$A,Personal!$D:$D,""),"")</f>
        <v>0</v>
      </c>
      <c r="D1285" s="9" cm="1">
        <f t="array" ref="D1285">IFERROR(_xlfn.XLOOKUP(B1285,Personal!$A:$A,Personal!$C:$C,""),"")</f>
        <v>0</v>
      </c>
      <c r="E1285" s="9" t="str" cm="1">
        <f t="array" ref="E1285">IFERROR(_xlfn.XLOOKUP(D1285,Locales!$A:$A,Locales!$B:$B,""),"")</f>
        <v/>
      </c>
      <c r="F1285" s="9" cm="1">
        <f t="array" ref="F1285">IFERROR(_xlfn.XLOOKUP(B1285,Personal!$A:$A,Personal!$F:$F,""),"")</f>
        <v>0</v>
      </c>
      <c r="I1285" s="10" cm="1">
        <f t="array" ref="I1285">IFERROR(INDEX(Precios!$D:$F,MATCH(N1285, Precios!$G:$G, 0),CHOOSE(MATCH(H1285, {"SML";"XL";"XXL"}, 0), 1, 2, 3)), 0)</f>
        <v>0</v>
      </c>
      <c r="K1285" s="10">
        <f t="shared" si="46"/>
        <v>0</v>
      </c>
      <c r="N1285" s="9" t="str">
        <f t="shared" si="47"/>
        <v/>
      </c>
      <c r="O1285" s="9" t="str">
        <f>IF(N1285="","",IF(COUNTIF(Precios!$G:$G,N1285)=0,"⚠ No coincide con Precios","OK"))</f>
        <v/>
      </c>
    </row>
    <row r="1286" spans="3:15" x14ac:dyDescent="0.2">
      <c r="C1286" s="9" cm="1">
        <f t="array" ref="C1286">IFERROR(_xlfn.XLOOKUP(B1286,Personal!$A:$A,Personal!$D:$D,""),"")</f>
        <v>0</v>
      </c>
      <c r="D1286" s="9" cm="1">
        <f t="array" ref="D1286">IFERROR(_xlfn.XLOOKUP(B1286,Personal!$A:$A,Personal!$C:$C,""),"")</f>
        <v>0</v>
      </c>
      <c r="E1286" s="9" t="str" cm="1">
        <f t="array" ref="E1286">IFERROR(_xlfn.XLOOKUP(D1286,Locales!$A:$A,Locales!$B:$B,""),"")</f>
        <v/>
      </c>
      <c r="F1286" s="9" cm="1">
        <f t="array" ref="F1286">IFERROR(_xlfn.XLOOKUP(B1286,Personal!$A:$A,Personal!$F:$F,""),"")</f>
        <v>0</v>
      </c>
      <c r="I1286" s="10" cm="1">
        <f t="array" ref="I1286">IFERROR(INDEX(Precios!$D:$F,MATCH(N1286, Precios!$G:$G, 0),CHOOSE(MATCH(H1286, {"SML";"XL";"XXL"}, 0), 1, 2, 3)), 0)</f>
        <v>0</v>
      </c>
      <c r="K1286" s="10">
        <f t="shared" si="46"/>
        <v>0</v>
      </c>
      <c r="N1286" s="9" t="str">
        <f t="shared" si="47"/>
        <v/>
      </c>
      <c r="O1286" s="9" t="str">
        <f>IF(N1286="","",IF(COUNTIF(Precios!$G:$G,N1286)=0,"⚠ No coincide con Precios","OK"))</f>
        <v/>
      </c>
    </row>
    <row r="1287" spans="3:15" x14ac:dyDescent="0.2">
      <c r="C1287" s="9" cm="1">
        <f t="array" ref="C1287">IFERROR(_xlfn.XLOOKUP(B1287,Personal!$A:$A,Personal!$D:$D,""),"")</f>
        <v>0</v>
      </c>
      <c r="D1287" s="9" cm="1">
        <f t="array" ref="D1287">IFERROR(_xlfn.XLOOKUP(B1287,Personal!$A:$A,Personal!$C:$C,""),"")</f>
        <v>0</v>
      </c>
      <c r="E1287" s="9" t="str" cm="1">
        <f t="array" ref="E1287">IFERROR(_xlfn.XLOOKUP(D1287,Locales!$A:$A,Locales!$B:$B,""),"")</f>
        <v/>
      </c>
      <c r="F1287" s="9" cm="1">
        <f t="array" ref="F1287">IFERROR(_xlfn.XLOOKUP(B1287,Personal!$A:$A,Personal!$F:$F,""),"")</f>
        <v>0</v>
      </c>
      <c r="I1287" s="10" cm="1">
        <f t="array" ref="I1287">IFERROR(INDEX(Precios!$D:$F,MATCH(N1287, Precios!$G:$G, 0),CHOOSE(MATCH(H1287, {"SML";"XL";"XXL"}, 0), 1, 2, 3)), 0)</f>
        <v>0</v>
      </c>
      <c r="K1287" s="10">
        <f t="shared" si="46"/>
        <v>0</v>
      </c>
      <c r="N1287" s="9" t="str">
        <f t="shared" si="47"/>
        <v/>
      </c>
      <c r="O1287" s="9" t="str">
        <f>IF(N1287="","",IF(COUNTIF(Precios!$G:$G,N1287)=0,"⚠ No coincide con Precios","OK"))</f>
        <v/>
      </c>
    </row>
    <row r="1288" spans="3:15" x14ac:dyDescent="0.2">
      <c r="C1288" s="9" cm="1">
        <f t="array" ref="C1288">IFERROR(_xlfn.XLOOKUP(B1288,Personal!$A:$A,Personal!$D:$D,""),"")</f>
        <v>0</v>
      </c>
      <c r="D1288" s="9" cm="1">
        <f t="array" ref="D1288">IFERROR(_xlfn.XLOOKUP(B1288,Personal!$A:$A,Personal!$C:$C,""),"")</f>
        <v>0</v>
      </c>
      <c r="E1288" s="9" t="str" cm="1">
        <f t="array" ref="E1288">IFERROR(_xlfn.XLOOKUP(D1288,Locales!$A:$A,Locales!$B:$B,""),"")</f>
        <v/>
      </c>
      <c r="F1288" s="9" cm="1">
        <f t="array" ref="F1288">IFERROR(_xlfn.XLOOKUP(B1288,Personal!$A:$A,Personal!$F:$F,""),"")</f>
        <v>0</v>
      </c>
      <c r="I1288" s="10" cm="1">
        <f t="array" ref="I1288">IFERROR(INDEX(Precios!$D:$F,MATCH(N1288, Precios!$G:$G, 0),CHOOSE(MATCH(H1288, {"SML";"XL";"XXL"}, 0), 1, 2, 3)), 0)</f>
        <v>0</v>
      </c>
      <c r="K1288" s="10">
        <f t="shared" si="46"/>
        <v>0</v>
      </c>
      <c r="N1288" s="9" t="str">
        <f t="shared" si="47"/>
        <v/>
      </c>
      <c r="O1288" s="9" t="str">
        <f>IF(N1288="","",IF(COUNTIF(Precios!$G:$G,N1288)=0,"⚠ No coincide con Precios","OK"))</f>
        <v/>
      </c>
    </row>
    <row r="1289" spans="3:15" x14ac:dyDescent="0.2">
      <c r="C1289" s="9" cm="1">
        <f t="array" ref="C1289">IFERROR(_xlfn.XLOOKUP(B1289,Personal!$A:$A,Personal!$D:$D,""),"")</f>
        <v>0</v>
      </c>
      <c r="D1289" s="9" cm="1">
        <f t="array" ref="D1289">IFERROR(_xlfn.XLOOKUP(B1289,Personal!$A:$A,Personal!$C:$C,""),"")</f>
        <v>0</v>
      </c>
      <c r="E1289" s="9" t="str" cm="1">
        <f t="array" ref="E1289">IFERROR(_xlfn.XLOOKUP(D1289,Locales!$A:$A,Locales!$B:$B,""),"")</f>
        <v/>
      </c>
      <c r="F1289" s="9" cm="1">
        <f t="array" ref="F1289">IFERROR(_xlfn.XLOOKUP(B1289,Personal!$A:$A,Personal!$F:$F,""),"")</f>
        <v>0</v>
      </c>
      <c r="I1289" s="10" cm="1">
        <f t="array" ref="I1289">IFERROR(INDEX(Precios!$D:$F,MATCH(N1289, Precios!$G:$G, 0),CHOOSE(MATCH(H1289, {"SML";"XL";"XXL"}, 0), 1, 2, 3)), 0)</f>
        <v>0</v>
      </c>
      <c r="K1289" s="10">
        <f t="shared" si="46"/>
        <v>0</v>
      </c>
      <c r="N1289" s="9" t="str">
        <f t="shared" si="47"/>
        <v/>
      </c>
      <c r="O1289" s="9" t="str">
        <f>IF(N1289="","",IF(COUNTIF(Precios!$G:$G,N1289)=0,"⚠ No coincide con Precios","OK"))</f>
        <v/>
      </c>
    </row>
    <row r="1290" spans="3:15" x14ac:dyDescent="0.2">
      <c r="C1290" s="9" cm="1">
        <f t="array" ref="C1290">IFERROR(_xlfn.XLOOKUP(B1290,Personal!$A:$A,Personal!$D:$D,""),"")</f>
        <v>0</v>
      </c>
      <c r="D1290" s="9" cm="1">
        <f t="array" ref="D1290">IFERROR(_xlfn.XLOOKUP(B1290,Personal!$A:$A,Personal!$C:$C,""),"")</f>
        <v>0</v>
      </c>
      <c r="E1290" s="9" t="str" cm="1">
        <f t="array" ref="E1290">IFERROR(_xlfn.XLOOKUP(D1290,Locales!$A:$A,Locales!$B:$B,""),"")</f>
        <v/>
      </c>
      <c r="F1290" s="9" cm="1">
        <f t="array" ref="F1290">IFERROR(_xlfn.XLOOKUP(B1290,Personal!$A:$A,Personal!$F:$F,""),"")</f>
        <v>0</v>
      </c>
      <c r="I1290" s="10" cm="1">
        <f t="array" ref="I1290">IFERROR(INDEX(Precios!$D:$F,MATCH(N1290, Precios!$G:$G, 0),CHOOSE(MATCH(H1290, {"SML";"XL";"XXL"}, 0), 1, 2, 3)), 0)</f>
        <v>0</v>
      </c>
      <c r="K1290" s="10">
        <f t="shared" si="46"/>
        <v>0</v>
      </c>
      <c r="N1290" s="9" t="str">
        <f t="shared" si="47"/>
        <v/>
      </c>
      <c r="O1290" s="9" t="str">
        <f>IF(N1290="","",IF(COUNTIF(Precios!$G:$G,N1290)=0,"⚠ No coincide con Precios","OK"))</f>
        <v/>
      </c>
    </row>
    <row r="1291" spans="3:15" x14ac:dyDescent="0.2">
      <c r="C1291" s="9" cm="1">
        <f t="array" ref="C1291">IFERROR(_xlfn.XLOOKUP(B1291,Personal!$A:$A,Personal!$D:$D,""),"")</f>
        <v>0</v>
      </c>
      <c r="D1291" s="9" cm="1">
        <f t="array" ref="D1291">IFERROR(_xlfn.XLOOKUP(B1291,Personal!$A:$A,Personal!$C:$C,""),"")</f>
        <v>0</v>
      </c>
      <c r="E1291" s="9" t="str" cm="1">
        <f t="array" ref="E1291">IFERROR(_xlfn.XLOOKUP(D1291,Locales!$A:$A,Locales!$B:$B,""),"")</f>
        <v/>
      </c>
      <c r="F1291" s="9" cm="1">
        <f t="array" ref="F1291">IFERROR(_xlfn.XLOOKUP(B1291,Personal!$A:$A,Personal!$F:$F,""),"")</f>
        <v>0</v>
      </c>
      <c r="I1291" s="10" cm="1">
        <f t="array" ref="I1291">IFERROR(INDEX(Precios!$D:$F,MATCH(N1291, Precios!$G:$G, 0),CHOOSE(MATCH(H1291, {"SML";"XL";"XXL"}, 0), 1, 2, 3)), 0)</f>
        <v>0</v>
      </c>
      <c r="K1291" s="10">
        <f t="shared" si="46"/>
        <v>0</v>
      </c>
      <c r="N1291" s="9" t="str">
        <f t="shared" si="47"/>
        <v/>
      </c>
      <c r="O1291" s="9" t="str">
        <f>IF(N1291="","",IF(COUNTIF(Precios!$G:$G,N1291)=0,"⚠ No coincide con Precios","OK"))</f>
        <v/>
      </c>
    </row>
    <row r="1292" spans="3:15" x14ac:dyDescent="0.2">
      <c r="C1292" s="9" cm="1">
        <f t="array" ref="C1292">IFERROR(_xlfn.XLOOKUP(B1292,Personal!$A:$A,Personal!$D:$D,""),"")</f>
        <v>0</v>
      </c>
      <c r="D1292" s="9" cm="1">
        <f t="array" ref="D1292">IFERROR(_xlfn.XLOOKUP(B1292,Personal!$A:$A,Personal!$C:$C,""),"")</f>
        <v>0</v>
      </c>
      <c r="E1292" s="9" t="str" cm="1">
        <f t="array" ref="E1292">IFERROR(_xlfn.XLOOKUP(D1292,Locales!$A:$A,Locales!$B:$B,""),"")</f>
        <v/>
      </c>
      <c r="F1292" s="9" cm="1">
        <f t="array" ref="F1292">IFERROR(_xlfn.XLOOKUP(B1292,Personal!$A:$A,Personal!$F:$F,""),"")</f>
        <v>0</v>
      </c>
      <c r="I1292" s="10" cm="1">
        <f t="array" ref="I1292">IFERROR(INDEX(Precios!$D:$F,MATCH(N1292, Precios!$G:$G, 0),CHOOSE(MATCH(H1292, {"SML";"XL";"XXL"}, 0), 1, 2, 3)), 0)</f>
        <v>0</v>
      </c>
      <c r="K1292" s="10">
        <f t="shared" si="46"/>
        <v>0</v>
      </c>
      <c r="N1292" s="9" t="str">
        <f t="shared" si="47"/>
        <v/>
      </c>
      <c r="O1292" s="9" t="str">
        <f>IF(N1292="","",IF(COUNTIF(Precios!$G:$G,N1292)=0,"⚠ No coincide con Precios","OK"))</f>
        <v/>
      </c>
    </row>
    <row r="1293" spans="3:15" x14ac:dyDescent="0.2">
      <c r="C1293" s="9" cm="1">
        <f t="array" ref="C1293">IFERROR(_xlfn.XLOOKUP(B1293,Personal!$A:$A,Personal!$D:$D,""),"")</f>
        <v>0</v>
      </c>
      <c r="D1293" s="9" cm="1">
        <f t="array" ref="D1293">IFERROR(_xlfn.XLOOKUP(B1293,Personal!$A:$A,Personal!$C:$C,""),"")</f>
        <v>0</v>
      </c>
      <c r="E1293" s="9" t="str" cm="1">
        <f t="array" ref="E1293">IFERROR(_xlfn.XLOOKUP(D1293,Locales!$A:$A,Locales!$B:$B,""),"")</f>
        <v/>
      </c>
      <c r="F1293" s="9" cm="1">
        <f t="array" ref="F1293">IFERROR(_xlfn.XLOOKUP(B1293,Personal!$A:$A,Personal!$F:$F,""),"")</f>
        <v>0</v>
      </c>
      <c r="I1293" s="10" cm="1">
        <f t="array" ref="I1293">IFERROR(INDEX(Precios!$D:$F,MATCH(N1293, Precios!$G:$G, 0),CHOOSE(MATCH(H1293, {"SML";"XL";"XXL"}, 0), 1, 2, 3)), 0)</f>
        <v>0</v>
      </c>
      <c r="K1293" s="10">
        <f t="shared" si="46"/>
        <v>0</v>
      </c>
      <c r="N1293" s="9" t="str">
        <f t="shared" si="47"/>
        <v/>
      </c>
      <c r="O1293" s="9" t="str">
        <f>IF(N1293="","",IF(COUNTIF(Precios!$G:$G,N1293)=0,"⚠ No coincide con Precios","OK"))</f>
        <v/>
      </c>
    </row>
    <row r="1294" spans="3:15" x14ac:dyDescent="0.2">
      <c r="C1294" s="9" cm="1">
        <f t="array" ref="C1294">IFERROR(_xlfn.XLOOKUP(B1294,Personal!$A:$A,Personal!$D:$D,""),"")</f>
        <v>0</v>
      </c>
      <c r="D1294" s="9" cm="1">
        <f t="array" ref="D1294">IFERROR(_xlfn.XLOOKUP(B1294,Personal!$A:$A,Personal!$C:$C,""),"")</f>
        <v>0</v>
      </c>
      <c r="E1294" s="9" t="str" cm="1">
        <f t="array" ref="E1294">IFERROR(_xlfn.XLOOKUP(D1294,Locales!$A:$A,Locales!$B:$B,""),"")</f>
        <v/>
      </c>
      <c r="F1294" s="9" cm="1">
        <f t="array" ref="F1294">IFERROR(_xlfn.XLOOKUP(B1294,Personal!$A:$A,Personal!$F:$F,""),"")</f>
        <v>0</v>
      </c>
      <c r="I1294" s="10" cm="1">
        <f t="array" ref="I1294">IFERROR(INDEX(Precios!$D:$F,MATCH(N1294, Precios!$G:$G, 0),CHOOSE(MATCH(H1294, {"SML";"XL";"XXL"}, 0), 1, 2, 3)), 0)</f>
        <v>0</v>
      </c>
      <c r="K1294" s="10">
        <f t="shared" si="46"/>
        <v>0</v>
      </c>
      <c r="N1294" s="9" t="str">
        <f t="shared" si="47"/>
        <v/>
      </c>
      <c r="O1294" s="9" t="str">
        <f>IF(N1294="","",IF(COUNTIF(Precios!$G:$G,N1294)=0,"⚠ No coincide con Precios","OK"))</f>
        <v/>
      </c>
    </row>
    <row r="1295" spans="3:15" x14ac:dyDescent="0.2">
      <c r="C1295" s="9" cm="1">
        <f t="array" ref="C1295">IFERROR(_xlfn.XLOOKUP(B1295,Personal!$A:$A,Personal!$D:$D,""),"")</f>
        <v>0</v>
      </c>
      <c r="D1295" s="9" cm="1">
        <f t="array" ref="D1295">IFERROR(_xlfn.XLOOKUP(B1295,Personal!$A:$A,Personal!$C:$C,""),"")</f>
        <v>0</v>
      </c>
      <c r="E1295" s="9" t="str" cm="1">
        <f t="array" ref="E1295">IFERROR(_xlfn.XLOOKUP(D1295,Locales!$A:$A,Locales!$B:$B,""),"")</f>
        <v/>
      </c>
      <c r="F1295" s="9" cm="1">
        <f t="array" ref="F1295">IFERROR(_xlfn.XLOOKUP(B1295,Personal!$A:$A,Personal!$F:$F,""),"")</f>
        <v>0</v>
      </c>
      <c r="I1295" s="10" cm="1">
        <f t="array" ref="I1295">IFERROR(INDEX(Precios!$D:$F,MATCH(N1295, Precios!$G:$G, 0),CHOOSE(MATCH(H1295, {"SML";"XL";"XXL"}, 0), 1, 2, 3)), 0)</f>
        <v>0</v>
      </c>
      <c r="K1295" s="10">
        <f t="shared" si="46"/>
        <v>0</v>
      </c>
      <c r="N1295" s="9" t="str">
        <f t="shared" si="47"/>
        <v/>
      </c>
      <c r="O1295" s="9" t="str">
        <f>IF(N1295="","",IF(COUNTIF(Precios!$G:$G,N1295)=0,"⚠ No coincide con Precios","OK"))</f>
        <v/>
      </c>
    </row>
    <row r="1296" spans="3:15" x14ac:dyDescent="0.2">
      <c r="C1296" s="9" cm="1">
        <f t="array" ref="C1296">IFERROR(_xlfn.XLOOKUP(B1296,Personal!$A:$A,Personal!$D:$D,""),"")</f>
        <v>0</v>
      </c>
      <c r="D1296" s="9" cm="1">
        <f t="array" ref="D1296">IFERROR(_xlfn.XLOOKUP(B1296,Personal!$A:$A,Personal!$C:$C,""),"")</f>
        <v>0</v>
      </c>
      <c r="E1296" s="9" t="str" cm="1">
        <f t="array" ref="E1296">IFERROR(_xlfn.XLOOKUP(D1296,Locales!$A:$A,Locales!$B:$B,""),"")</f>
        <v/>
      </c>
      <c r="F1296" s="9" cm="1">
        <f t="array" ref="F1296">IFERROR(_xlfn.XLOOKUP(B1296,Personal!$A:$A,Personal!$F:$F,""),"")</f>
        <v>0</v>
      </c>
      <c r="I1296" s="10" cm="1">
        <f t="array" ref="I1296">IFERROR(INDEX(Precios!$D:$F,MATCH(N1296, Precios!$G:$G, 0),CHOOSE(MATCH(H1296, {"SML";"XL";"XXL"}, 0), 1, 2, 3)), 0)</f>
        <v>0</v>
      </c>
      <c r="K1296" s="10">
        <f t="shared" si="46"/>
        <v>0</v>
      </c>
      <c r="N1296" s="9" t="str">
        <f t="shared" si="47"/>
        <v/>
      </c>
      <c r="O1296" s="9" t="str">
        <f>IF(N1296="","",IF(COUNTIF(Precios!$G:$G,N1296)=0,"⚠ No coincide con Precios","OK"))</f>
        <v/>
      </c>
    </row>
    <row r="1297" spans="3:15" x14ac:dyDescent="0.2">
      <c r="C1297" s="9" cm="1">
        <f t="array" ref="C1297">IFERROR(_xlfn.XLOOKUP(B1297,Personal!$A:$A,Personal!$D:$D,""),"")</f>
        <v>0</v>
      </c>
      <c r="D1297" s="9" cm="1">
        <f t="array" ref="D1297">IFERROR(_xlfn.XLOOKUP(B1297,Personal!$A:$A,Personal!$C:$C,""),"")</f>
        <v>0</v>
      </c>
      <c r="E1297" s="9" t="str" cm="1">
        <f t="array" ref="E1297">IFERROR(_xlfn.XLOOKUP(D1297,Locales!$A:$A,Locales!$B:$B,""),"")</f>
        <v/>
      </c>
      <c r="F1297" s="9" cm="1">
        <f t="array" ref="F1297">IFERROR(_xlfn.XLOOKUP(B1297,Personal!$A:$A,Personal!$F:$F,""),"")</f>
        <v>0</v>
      </c>
      <c r="I1297" s="10" cm="1">
        <f t="array" ref="I1297">IFERROR(INDEX(Precios!$D:$F,MATCH(N1297, Precios!$G:$G, 0),CHOOSE(MATCH(H1297, {"SML";"XL";"XXL"}, 0), 1, 2, 3)), 0)</f>
        <v>0</v>
      </c>
      <c r="K1297" s="10">
        <f t="shared" si="46"/>
        <v>0</v>
      </c>
      <c r="N1297" s="9" t="str">
        <f t="shared" si="47"/>
        <v/>
      </c>
      <c r="O1297" s="9" t="str">
        <f>IF(N1297="","",IF(COUNTIF(Precios!$G:$G,N1297)=0,"⚠ No coincide con Precios","OK"))</f>
        <v/>
      </c>
    </row>
    <row r="1298" spans="3:15" x14ac:dyDescent="0.2">
      <c r="C1298" s="9" cm="1">
        <f t="array" ref="C1298">IFERROR(_xlfn.XLOOKUP(B1298,Personal!$A:$A,Personal!$D:$D,""),"")</f>
        <v>0</v>
      </c>
      <c r="D1298" s="9" cm="1">
        <f t="array" ref="D1298">IFERROR(_xlfn.XLOOKUP(B1298,Personal!$A:$A,Personal!$C:$C,""),"")</f>
        <v>0</v>
      </c>
      <c r="E1298" s="9" t="str" cm="1">
        <f t="array" ref="E1298">IFERROR(_xlfn.XLOOKUP(D1298,Locales!$A:$A,Locales!$B:$B,""),"")</f>
        <v/>
      </c>
      <c r="F1298" s="9" cm="1">
        <f t="array" ref="F1298">IFERROR(_xlfn.XLOOKUP(B1298,Personal!$A:$A,Personal!$F:$F,""),"")</f>
        <v>0</v>
      </c>
      <c r="I1298" s="10" cm="1">
        <f t="array" ref="I1298">IFERROR(INDEX(Precios!$D:$F,MATCH(N1298, Precios!$G:$G, 0),CHOOSE(MATCH(H1298, {"SML";"XL";"XXL"}, 0), 1, 2, 3)), 0)</f>
        <v>0</v>
      </c>
      <c r="K1298" s="10">
        <f t="shared" si="46"/>
        <v>0</v>
      </c>
      <c r="N1298" s="9" t="str">
        <f t="shared" si="47"/>
        <v/>
      </c>
      <c r="O1298" s="9" t="str">
        <f>IF(N1298="","",IF(COUNTIF(Precios!$G:$G,N1298)=0,"⚠ No coincide con Precios","OK"))</f>
        <v/>
      </c>
    </row>
    <row r="1299" spans="3:15" x14ac:dyDescent="0.2">
      <c r="C1299" s="9" cm="1">
        <f t="array" ref="C1299">IFERROR(_xlfn.XLOOKUP(B1299,Personal!$A:$A,Personal!$D:$D,""),"")</f>
        <v>0</v>
      </c>
      <c r="D1299" s="9" cm="1">
        <f t="array" ref="D1299">IFERROR(_xlfn.XLOOKUP(B1299,Personal!$A:$A,Personal!$C:$C,""),"")</f>
        <v>0</v>
      </c>
      <c r="E1299" s="9" t="str" cm="1">
        <f t="array" ref="E1299">IFERROR(_xlfn.XLOOKUP(D1299,Locales!$A:$A,Locales!$B:$B,""),"")</f>
        <v/>
      </c>
      <c r="F1299" s="9" cm="1">
        <f t="array" ref="F1299">IFERROR(_xlfn.XLOOKUP(B1299,Personal!$A:$A,Personal!$F:$F,""),"")</f>
        <v>0</v>
      </c>
      <c r="I1299" s="10" cm="1">
        <f t="array" ref="I1299">IFERROR(INDEX(Precios!$D:$F,MATCH(N1299, Precios!$G:$G, 0),CHOOSE(MATCH(H1299, {"SML";"XL";"XXL"}, 0), 1, 2, 3)), 0)</f>
        <v>0</v>
      </c>
      <c r="K1299" s="10">
        <f t="shared" si="46"/>
        <v>0</v>
      </c>
      <c r="N1299" s="9" t="str">
        <f t="shared" si="47"/>
        <v/>
      </c>
      <c r="O1299" s="9" t="str">
        <f>IF(N1299="","",IF(COUNTIF(Precios!$G:$G,N1299)=0,"⚠ No coincide con Precios","OK"))</f>
        <v/>
      </c>
    </row>
    <row r="1300" spans="3:15" x14ac:dyDescent="0.2">
      <c r="C1300" s="9" cm="1">
        <f t="array" ref="C1300">IFERROR(_xlfn.XLOOKUP(B1300,Personal!$A:$A,Personal!$D:$D,""),"")</f>
        <v>0</v>
      </c>
      <c r="D1300" s="9" cm="1">
        <f t="array" ref="D1300">IFERROR(_xlfn.XLOOKUP(B1300,Personal!$A:$A,Personal!$C:$C,""),"")</f>
        <v>0</v>
      </c>
      <c r="E1300" s="9" t="str" cm="1">
        <f t="array" ref="E1300">IFERROR(_xlfn.XLOOKUP(D1300,Locales!$A:$A,Locales!$B:$B,""),"")</f>
        <v/>
      </c>
      <c r="F1300" s="9" cm="1">
        <f t="array" ref="F1300">IFERROR(_xlfn.XLOOKUP(B1300,Personal!$A:$A,Personal!$F:$F,""),"")</f>
        <v>0</v>
      </c>
      <c r="I1300" s="10" cm="1">
        <f t="array" ref="I1300">IFERROR(INDEX(Precios!$D:$F,MATCH(N1300, Precios!$G:$G, 0),CHOOSE(MATCH(H1300, {"SML";"XL";"XXL"}, 0), 1, 2, 3)), 0)</f>
        <v>0</v>
      </c>
      <c r="K1300" s="10">
        <f t="shared" si="46"/>
        <v>0</v>
      </c>
      <c r="N1300" s="9" t="str">
        <f t="shared" si="47"/>
        <v/>
      </c>
      <c r="O1300" s="9" t="str">
        <f>IF(N1300="","",IF(COUNTIF(Precios!$G:$G,N1300)=0,"⚠ No coincide con Precios","OK"))</f>
        <v/>
      </c>
    </row>
    <row r="1301" spans="3:15" x14ac:dyDescent="0.2">
      <c r="C1301" s="9" cm="1">
        <f t="array" ref="C1301">IFERROR(_xlfn.XLOOKUP(B1301,Personal!$A:$A,Personal!$D:$D,""),"")</f>
        <v>0</v>
      </c>
      <c r="D1301" s="9" cm="1">
        <f t="array" ref="D1301">IFERROR(_xlfn.XLOOKUP(B1301,Personal!$A:$A,Personal!$C:$C,""),"")</f>
        <v>0</v>
      </c>
      <c r="E1301" s="9" t="str" cm="1">
        <f t="array" ref="E1301">IFERROR(_xlfn.XLOOKUP(D1301,Locales!$A:$A,Locales!$B:$B,""),"")</f>
        <v/>
      </c>
      <c r="F1301" s="9" cm="1">
        <f t="array" ref="F1301">IFERROR(_xlfn.XLOOKUP(B1301,Personal!$A:$A,Personal!$F:$F,""),"")</f>
        <v>0</v>
      </c>
      <c r="I1301" s="10" cm="1">
        <f t="array" ref="I1301">IFERROR(INDEX(Precios!$D:$F,MATCH(N1301, Precios!$G:$G, 0),CHOOSE(MATCH(H1301, {"SML";"XL";"XXL"}, 0), 1, 2, 3)), 0)</f>
        <v>0</v>
      </c>
      <c r="K1301" s="10">
        <f t="shared" si="46"/>
        <v>0</v>
      </c>
      <c r="N1301" s="9" t="str">
        <f t="shared" si="47"/>
        <v/>
      </c>
      <c r="O1301" s="9" t="str">
        <f>IF(N1301="","",IF(COUNTIF(Precios!$G:$G,N1301)=0,"⚠ No coincide con Precios","OK"))</f>
        <v/>
      </c>
    </row>
    <row r="1302" spans="3:15" x14ac:dyDescent="0.2">
      <c r="C1302" s="9" cm="1">
        <f t="array" ref="C1302">IFERROR(_xlfn.XLOOKUP(B1302,Personal!$A:$A,Personal!$D:$D,""),"")</f>
        <v>0</v>
      </c>
      <c r="D1302" s="9" cm="1">
        <f t="array" ref="D1302">IFERROR(_xlfn.XLOOKUP(B1302,Personal!$A:$A,Personal!$C:$C,""),"")</f>
        <v>0</v>
      </c>
      <c r="E1302" s="9" t="str" cm="1">
        <f t="array" ref="E1302">IFERROR(_xlfn.XLOOKUP(D1302,Locales!$A:$A,Locales!$B:$B,""),"")</f>
        <v/>
      </c>
      <c r="F1302" s="9" cm="1">
        <f t="array" ref="F1302">IFERROR(_xlfn.XLOOKUP(B1302,Personal!$A:$A,Personal!$F:$F,""),"")</f>
        <v>0</v>
      </c>
      <c r="I1302" s="10" cm="1">
        <f t="array" ref="I1302">IFERROR(INDEX(Precios!$D:$F,MATCH(N1302, Precios!$G:$G, 0),CHOOSE(MATCH(H1302, {"SML";"XL";"XXL"}, 0), 1, 2, 3)), 0)</f>
        <v>0</v>
      </c>
      <c r="K1302" s="10">
        <f t="shared" si="46"/>
        <v>0</v>
      </c>
      <c r="N1302" s="9" t="str">
        <f t="shared" si="47"/>
        <v/>
      </c>
      <c r="O1302" s="9" t="str">
        <f>IF(N1302="","",IF(COUNTIF(Precios!$G:$G,N1302)=0,"⚠ No coincide con Precios","OK"))</f>
        <v/>
      </c>
    </row>
    <row r="1303" spans="3:15" x14ac:dyDescent="0.2">
      <c r="C1303" s="9" cm="1">
        <f t="array" ref="C1303">IFERROR(_xlfn.XLOOKUP(B1303,Personal!$A:$A,Personal!$D:$D,""),"")</f>
        <v>0</v>
      </c>
      <c r="D1303" s="9" cm="1">
        <f t="array" ref="D1303">IFERROR(_xlfn.XLOOKUP(B1303,Personal!$A:$A,Personal!$C:$C,""),"")</f>
        <v>0</v>
      </c>
      <c r="E1303" s="9" t="str" cm="1">
        <f t="array" ref="E1303">IFERROR(_xlfn.XLOOKUP(D1303,Locales!$A:$A,Locales!$B:$B,""),"")</f>
        <v/>
      </c>
      <c r="F1303" s="9" cm="1">
        <f t="array" ref="F1303">IFERROR(_xlfn.XLOOKUP(B1303,Personal!$A:$A,Personal!$F:$F,""),"")</f>
        <v>0</v>
      </c>
      <c r="I1303" s="10" cm="1">
        <f t="array" ref="I1303">IFERROR(INDEX(Precios!$D:$F,MATCH(N1303, Precios!$G:$G, 0),CHOOSE(MATCH(H1303, {"SML";"XL";"XXL"}, 0), 1, 2, 3)), 0)</f>
        <v>0</v>
      </c>
      <c r="K1303" s="10">
        <f t="shared" si="46"/>
        <v>0</v>
      </c>
      <c r="N1303" s="9" t="str">
        <f t="shared" si="47"/>
        <v/>
      </c>
      <c r="O1303" s="9" t="str">
        <f>IF(N1303="","",IF(COUNTIF(Precios!$G:$G,N1303)=0,"⚠ No coincide con Precios","OK"))</f>
        <v/>
      </c>
    </row>
    <row r="1304" spans="3:15" x14ac:dyDescent="0.2">
      <c r="C1304" s="9" cm="1">
        <f t="array" ref="C1304">IFERROR(_xlfn.XLOOKUP(B1304,Personal!$A:$A,Personal!$D:$D,""),"")</f>
        <v>0</v>
      </c>
      <c r="D1304" s="9" cm="1">
        <f t="array" ref="D1304">IFERROR(_xlfn.XLOOKUP(B1304,Personal!$A:$A,Personal!$C:$C,""),"")</f>
        <v>0</v>
      </c>
      <c r="E1304" s="9" t="str" cm="1">
        <f t="array" ref="E1304">IFERROR(_xlfn.XLOOKUP(D1304,Locales!$A:$A,Locales!$B:$B,""),"")</f>
        <v/>
      </c>
      <c r="F1304" s="9" cm="1">
        <f t="array" ref="F1304">IFERROR(_xlfn.XLOOKUP(B1304,Personal!$A:$A,Personal!$F:$F,""),"")</f>
        <v>0</v>
      </c>
      <c r="I1304" s="10" cm="1">
        <f t="array" ref="I1304">IFERROR(INDEX(Precios!$D:$F,MATCH(N1304, Precios!$G:$G, 0),CHOOSE(MATCH(H1304, {"SML";"XL";"XXL"}, 0), 1, 2, 3)), 0)</f>
        <v>0</v>
      </c>
      <c r="K1304" s="10">
        <f t="shared" si="46"/>
        <v>0</v>
      </c>
      <c r="N1304" s="9" t="str">
        <f t="shared" si="47"/>
        <v/>
      </c>
      <c r="O1304" s="9" t="str">
        <f>IF(N1304="","",IF(COUNTIF(Precios!$G:$G,N1304)=0,"⚠ No coincide con Precios","OK"))</f>
        <v/>
      </c>
    </row>
    <row r="1305" spans="3:15" x14ac:dyDescent="0.2">
      <c r="C1305" s="9" cm="1">
        <f t="array" ref="C1305">IFERROR(_xlfn.XLOOKUP(B1305,Personal!$A:$A,Personal!$D:$D,""),"")</f>
        <v>0</v>
      </c>
      <c r="D1305" s="9" cm="1">
        <f t="array" ref="D1305">IFERROR(_xlfn.XLOOKUP(B1305,Personal!$A:$A,Personal!$C:$C,""),"")</f>
        <v>0</v>
      </c>
      <c r="E1305" s="9" t="str" cm="1">
        <f t="array" ref="E1305">IFERROR(_xlfn.XLOOKUP(D1305,Locales!$A:$A,Locales!$B:$B,""),"")</f>
        <v/>
      </c>
      <c r="F1305" s="9" cm="1">
        <f t="array" ref="F1305">IFERROR(_xlfn.XLOOKUP(B1305,Personal!$A:$A,Personal!$F:$F,""),"")</f>
        <v>0</v>
      </c>
      <c r="I1305" s="10" cm="1">
        <f t="array" ref="I1305">IFERROR(INDEX(Precios!$D:$F,MATCH(N1305, Precios!$G:$G, 0),CHOOSE(MATCH(H1305, {"SML";"XL";"XXL"}, 0), 1, 2, 3)), 0)</f>
        <v>0</v>
      </c>
      <c r="K1305" s="10">
        <f t="shared" si="46"/>
        <v>0</v>
      </c>
      <c r="N1305" s="9" t="str">
        <f t="shared" si="47"/>
        <v/>
      </c>
      <c r="O1305" s="9" t="str">
        <f>IF(N1305="","",IF(COUNTIF(Precios!$G:$G,N1305)=0,"⚠ No coincide con Precios","OK"))</f>
        <v/>
      </c>
    </row>
    <row r="1306" spans="3:15" x14ac:dyDescent="0.2">
      <c r="C1306" s="9" cm="1">
        <f t="array" ref="C1306">IFERROR(_xlfn.XLOOKUP(B1306,Personal!$A:$A,Personal!$D:$D,""),"")</f>
        <v>0</v>
      </c>
      <c r="D1306" s="9" cm="1">
        <f t="array" ref="D1306">IFERROR(_xlfn.XLOOKUP(B1306,Personal!$A:$A,Personal!$C:$C,""),"")</f>
        <v>0</v>
      </c>
      <c r="E1306" s="9" t="str" cm="1">
        <f t="array" ref="E1306">IFERROR(_xlfn.XLOOKUP(D1306,Locales!$A:$A,Locales!$B:$B,""),"")</f>
        <v/>
      </c>
      <c r="F1306" s="9" cm="1">
        <f t="array" ref="F1306">IFERROR(_xlfn.XLOOKUP(B1306,Personal!$A:$A,Personal!$F:$F,""),"")</f>
        <v>0</v>
      </c>
      <c r="I1306" s="10" cm="1">
        <f t="array" ref="I1306">IFERROR(INDEX(Precios!$D:$F,MATCH(N1306, Precios!$G:$G, 0),CHOOSE(MATCH(H1306, {"SML";"XL";"XXL"}, 0), 1, 2, 3)), 0)</f>
        <v>0</v>
      </c>
      <c r="K1306" s="10">
        <f t="shared" si="46"/>
        <v>0</v>
      </c>
      <c r="N1306" s="9" t="str">
        <f t="shared" si="47"/>
        <v/>
      </c>
      <c r="O1306" s="9" t="str">
        <f>IF(N1306="","",IF(COUNTIF(Precios!$G:$G,N1306)=0,"⚠ No coincide con Precios","OK"))</f>
        <v/>
      </c>
    </row>
    <row r="1307" spans="3:15" x14ac:dyDescent="0.2">
      <c r="C1307" s="9" cm="1">
        <f t="array" ref="C1307">IFERROR(_xlfn.XLOOKUP(B1307,Personal!$A:$A,Personal!$D:$D,""),"")</f>
        <v>0</v>
      </c>
      <c r="D1307" s="9" cm="1">
        <f t="array" ref="D1307">IFERROR(_xlfn.XLOOKUP(B1307,Personal!$A:$A,Personal!$C:$C,""),"")</f>
        <v>0</v>
      </c>
      <c r="E1307" s="9" t="str" cm="1">
        <f t="array" ref="E1307">IFERROR(_xlfn.XLOOKUP(D1307,Locales!$A:$A,Locales!$B:$B,""),"")</f>
        <v/>
      </c>
      <c r="F1307" s="9" cm="1">
        <f t="array" ref="F1307">IFERROR(_xlfn.XLOOKUP(B1307,Personal!$A:$A,Personal!$F:$F,""),"")</f>
        <v>0</v>
      </c>
      <c r="I1307" s="10" cm="1">
        <f t="array" ref="I1307">IFERROR(INDEX(Precios!$D:$F,MATCH(N1307, Precios!$G:$G, 0),CHOOSE(MATCH(H1307, {"SML";"XL";"XXL"}, 0), 1, 2, 3)), 0)</f>
        <v>0</v>
      </c>
      <c r="K1307" s="10">
        <f t="shared" si="46"/>
        <v>0</v>
      </c>
      <c r="N1307" s="9" t="str">
        <f t="shared" si="47"/>
        <v/>
      </c>
      <c r="O1307" s="9" t="str">
        <f>IF(N1307="","",IF(COUNTIF(Precios!$G:$G,N1307)=0,"⚠ No coincide con Precios","OK"))</f>
        <v/>
      </c>
    </row>
    <row r="1308" spans="3:15" x14ac:dyDescent="0.2">
      <c r="C1308" s="9" cm="1">
        <f t="array" ref="C1308">IFERROR(_xlfn.XLOOKUP(B1308,Personal!$A:$A,Personal!$D:$D,""),"")</f>
        <v>0</v>
      </c>
      <c r="D1308" s="9" cm="1">
        <f t="array" ref="D1308">IFERROR(_xlfn.XLOOKUP(B1308,Personal!$A:$A,Personal!$C:$C,""),"")</f>
        <v>0</v>
      </c>
      <c r="E1308" s="9" t="str" cm="1">
        <f t="array" ref="E1308">IFERROR(_xlfn.XLOOKUP(D1308,Locales!$A:$A,Locales!$B:$B,""),"")</f>
        <v/>
      </c>
      <c r="F1308" s="9" cm="1">
        <f t="array" ref="F1308">IFERROR(_xlfn.XLOOKUP(B1308,Personal!$A:$A,Personal!$F:$F,""),"")</f>
        <v>0</v>
      </c>
      <c r="I1308" s="10" cm="1">
        <f t="array" ref="I1308">IFERROR(INDEX(Precios!$D:$F,MATCH(N1308, Precios!$G:$G, 0),CHOOSE(MATCH(H1308, {"SML";"XL";"XXL"}, 0), 1, 2, 3)), 0)</f>
        <v>0</v>
      </c>
      <c r="K1308" s="10">
        <f t="shared" si="46"/>
        <v>0</v>
      </c>
      <c r="N1308" s="9" t="str">
        <f t="shared" si="47"/>
        <v/>
      </c>
      <c r="O1308" s="9" t="str">
        <f>IF(N1308="","",IF(COUNTIF(Precios!$G:$G,N1308)=0,"⚠ No coincide con Precios","OK"))</f>
        <v/>
      </c>
    </row>
    <row r="1309" spans="3:15" x14ac:dyDescent="0.2">
      <c r="C1309" s="9" cm="1">
        <f t="array" ref="C1309">IFERROR(_xlfn.XLOOKUP(B1309,Personal!$A:$A,Personal!$D:$D,""),"")</f>
        <v>0</v>
      </c>
      <c r="D1309" s="9" cm="1">
        <f t="array" ref="D1309">IFERROR(_xlfn.XLOOKUP(B1309,Personal!$A:$A,Personal!$C:$C,""),"")</f>
        <v>0</v>
      </c>
      <c r="E1309" s="9" t="str" cm="1">
        <f t="array" ref="E1309">IFERROR(_xlfn.XLOOKUP(D1309,Locales!$A:$A,Locales!$B:$B,""),"")</f>
        <v/>
      </c>
      <c r="F1309" s="9" cm="1">
        <f t="array" ref="F1309">IFERROR(_xlfn.XLOOKUP(B1309,Personal!$A:$A,Personal!$F:$F,""),"")</f>
        <v>0</v>
      </c>
      <c r="I1309" s="10" cm="1">
        <f t="array" ref="I1309">IFERROR(INDEX(Precios!$D:$F,MATCH(N1309, Precios!$G:$G, 0),CHOOSE(MATCH(H1309, {"SML";"XL";"XXL"}, 0), 1, 2, 3)), 0)</f>
        <v>0</v>
      </c>
      <c r="K1309" s="10">
        <f t="shared" si="46"/>
        <v>0</v>
      </c>
      <c r="N1309" s="9" t="str">
        <f t="shared" si="47"/>
        <v/>
      </c>
      <c r="O1309" s="9" t="str">
        <f>IF(N1309="","",IF(COUNTIF(Precios!$G:$G,N1309)=0,"⚠ No coincide con Precios","OK"))</f>
        <v/>
      </c>
    </row>
    <row r="1310" spans="3:15" x14ac:dyDescent="0.2">
      <c r="C1310" s="9" cm="1">
        <f t="array" ref="C1310">IFERROR(_xlfn.XLOOKUP(B1310,Personal!$A:$A,Personal!$D:$D,""),"")</f>
        <v>0</v>
      </c>
      <c r="D1310" s="9" cm="1">
        <f t="array" ref="D1310">IFERROR(_xlfn.XLOOKUP(B1310,Personal!$A:$A,Personal!$C:$C,""),"")</f>
        <v>0</v>
      </c>
      <c r="E1310" s="9" t="str" cm="1">
        <f t="array" ref="E1310">IFERROR(_xlfn.XLOOKUP(D1310,Locales!$A:$A,Locales!$B:$B,""),"")</f>
        <v/>
      </c>
      <c r="F1310" s="9" cm="1">
        <f t="array" ref="F1310">IFERROR(_xlfn.XLOOKUP(B1310,Personal!$A:$A,Personal!$F:$F,""),"")</f>
        <v>0</v>
      </c>
      <c r="I1310" s="10" cm="1">
        <f t="array" ref="I1310">IFERROR(INDEX(Precios!$D:$F,MATCH(N1310, Precios!$G:$G, 0),CHOOSE(MATCH(H1310, {"SML";"XL";"XXL"}, 0), 1, 2, 3)), 0)</f>
        <v>0</v>
      </c>
      <c r="K1310" s="10">
        <f t="shared" si="46"/>
        <v>0</v>
      </c>
      <c r="N1310" s="9" t="str">
        <f t="shared" si="47"/>
        <v/>
      </c>
      <c r="O1310" s="9" t="str">
        <f>IF(N1310="","",IF(COUNTIF(Precios!$G:$G,N1310)=0,"⚠ No coincide con Precios","OK"))</f>
        <v/>
      </c>
    </row>
    <row r="1311" spans="3:15" x14ac:dyDescent="0.2">
      <c r="C1311" s="9" cm="1">
        <f t="array" ref="C1311">IFERROR(_xlfn.XLOOKUP(B1311,Personal!$A:$A,Personal!$D:$D,""),"")</f>
        <v>0</v>
      </c>
      <c r="D1311" s="9" cm="1">
        <f t="array" ref="D1311">IFERROR(_xlfn.XLOOKUP(B1311,Personal!$A:$A,Personal!$C:$C,""),"")</f>
        <v>0</v>
      </c>
      <c r="E1311" s="9" t="str" cm="1">
        <f t="array" ref="E1311">IFERROR(_xlfn.XLOOKUP(D1311,Locales!$A:$A,Locales!$B:$B,""),"")</f>
        <v/>
      </c>
      <c r="F1311" s="9" cm="1">
        <f t="array" ref="F1311">IFERROR(_xlfn.XLOOKUP(B1311,Personal!$A:$A,Personal!$F:$F,""),"")</f>
        <v>0</v>
      </c>
      <c r="I1311" s="10" cm="1">
        <f t="array" ref="I1311">IFERROR(INDEX(Precios!$D:$F,MATCH(N1311, Precios!$G:$G, 0),CHOOSE(MATCH(H1311, {"SML";"XL";"XXL"}, 0), 1, 2, 3)), 0)</f>
        <v>0</v>
      </c>
      <c r="K1311" s="10">
        <f t="shared" si="46"/>
        <v>0</v>
      </c>
      <c r="N1311" s="9" t="str">
        <f t="shared" si="47"/>
        <v/>
      </c>
      <c r="O1311" s="9" t="str">
        <f>IF(N1311="","",IF(COUNTIF(Precios!$G:$G,N1311)=0,"⚠ No coincide con Precios","OK"))</f>
        <v/>
      </c>
    </row>
    <row r="1312" spans="3:15" x14ac:dyDescent="0.2">
      <c r="C1312" s="9" cm="1">
        <f t="array" ref="C1312">IFERROR(_xlfn.XLOOKUP(B1312,Personal!$A:$A,Personal!$D:$D,""),"")</f>
        <v>0</v>
      </c>
      <c r="D1312" s="9" cm="1">
        <f t="array" ref="D1312">IFERROR(_xlfn.XLOOKUP(B1312,Personal!$A:$A,Personal!$C:$C,""),"")</f>
        <v>0</v>
      </c>
      <c r="E1312" s="9" t="str" cm="1">
        <f t="array" ref="E1312">IFERROR(_xlfn.XLOOKUP(D1312,Locales!$A:$A,Locales!$B:$B,""),"")</f>
        <v/>
      </c>
      <c r="F1312" s="9" cm="1">
        <f t="array" ref="F1312">IFERROR(_xlfn.XLOOKUP(B1312,Personal!$A:$A,Personal!$F:$F,""),"")</f>
        <v>0</v>
      </c>
      <c r="I1312" s="10" cm="1">
        <f t="array" ref="I1312">IFERROR(INDEX(Precios!$D:$F,MATCH(N1312, Precios!$G:$G, 0),CHOOSE(MATCH(H1312, {"SML";"XL";"XXL"}, 0), 1, 2, 3)), 0)</f>
        <v>0</v>
      </c>
      <c r="K1312" s="10">
        <f t="shared" si="46"/>
        <v>0</v>
      </c>
      <c r="N1312" s="9" t="str">
        <f t="shared" si="47"/>
        <v/>
      </c>
      <c r="O1312" s="9" t="str">
        <f>IF(N1312="","",IF(COUNTIF(Precios!$G:$G,N1312)=0,"⚠ No coincide con Precios","OK"))</f>
        <v/>
      </c>
    </row>
    <row r="1313" spans="3:15" x14ac:dyDescent="0.2">
      <c r="C1313" s="9" cm="1">
        <f t="array" ref="C1313">IFERROR(_xlfn.XLOOKUP(B1313,Personal!$A:$A,Personal!$D:$D,""),"")</f>
        <v>0</v>
      </c>
      <c r="D1313" s="9" cm="1">
        <f t="array" ref="D1313">IFERROR(_xlfn.XLOOKUP(B1313,Personal!$A:$A,Personal!$C:$C,""),"")</f>
        <v>0</v>
      </c>
      <c r="E1313" s="9" t="str" cm="1">
        <f t="array" ref="E1313">IFERROR(_xlfn.XLOOKUP(D1313,Locales!$A:$A,Locales!$B:$B,""),"")</f>
        <v/>
      </c>
      <c r="F1313" s="9" cm="1">
        <f t="array" ref="F1313">IFERROR(_xlfn.XLOOKUP(B1313,Personal!$A:$A,Personal!$F:$F,""),"")</f>
        <v>0</v>
      </c>
      <c r="I1313" s="10" cm="1">
        <f t="array" ref="I1313">IFERROR(INDEX(Precios!$D:$F,MATCH(N1313, Precios!$G:$G, 0),CHOOSE(MATCH(H1313, {"SML";"XL";"XXL"}, 0), 1, 2, 3)), 0)</f>
        <v>0</v>
      </c>
      <c r="K1313" s="10">
        <f t="shared" si="46"/>
        <v>0</v>
      </c>
      <c r="N1313" s="9" t="str">
        <f t="shared" si="47"/>
        <v/>
      </c>
      <c r="O1313" s="9" t="str">
        <f>IF(N1313="","",IF(COUNTIF(Precios!$G:$G,N1313)=0,"⚠ No coincide con Precios","OK"))</f>
        <v/>
      </c>
    </row>
    <row r="1314" spans="3:15" x14ac:dyDescent="0.2">
      <c r="C1314" s="9" cm="1">
        <f t="array" ref="C1314">IFERROR(_xlfn.XLOOKUP(B1314,Personal!$A:$A,Personal!$D:$D,""),"")</f>
        <v>0</v>
      </c>
      <c r="D1314" s="9" cm="1">
        <f t="array" ref="D1314">IFERROR(_xlfn.XLOOKUP(B1314,Personal!$A:$A,Personal!$C:$C,""),"")</f>
        <v>0</v>
      </c>
      <c r="E1314" s="9" t="str" cm="1">
        <f t="array" ref="E1314">IFERROR(_xlfn.XLOOKUP(D1314,Locales!$A:$A,Locales!$B:$B,""),"")</f>
        <v/>
      </c>
      <c r="F1314" s="9" cm="1">
        <f t="array" ref="F1314">IFERROR(_xlfn.XLOOKUP(B1314,Personal!$A:$A,Personal!$F:$F,""),"")</f>
        <v>0</v>
      </c>
      <c r="I1314" s="10" cm="1">
        <f t="array" ref="I1314">IFERROR(INDEX(Precios!$D:$F,MATCH(N1314, Precios!$G:$G, 0),CHOOSE(MATCH(H1314, {"SML";"XL";"XXL"}, 0), 1, 2, 3)), 0)</f>
        <v>0</v>
      </c>
      <c r="K1314" s="10">
        <f t="shared" si="46"/>
        <v>0</v>
      </c>
      <c r="N1314" s="9" t="str">
        <f t="shared" si="47"/>
        <v/>
      </c>
      <c r="O1314" s="9" t="str">
        <f>IF(N1314="","",IF(COUNTIF(Precios!$G:$G,N1314)=0,"⚠ No coincide con Precios","OK"))</f>
        <v/>
      </c>
    </row>
    <row r="1315" spans="3:15" x14ac:dyDescent="0.2">
      <c r="C1315" s="9" cm="1">
        <f t="array" ref="C1315">IFERROR(_xlfn.XLOOKUP(B1315,Personal!$A:$A,Personal!$D:$D,""),"")</f>
        <v>0</v>
      </c>
      <c r="D1315" s="9" cm="1">
        <f t="array" ref="D1315">IFERROR(_xlfn.XLOOKUP(B1315,Personal!$A:$A,Personal!$C:$C,""),"")</f>
        <v>0</v>
      </c>
      <c r="E1315" s="9" t="str" cm="1">
        <f t="array" ref="E1315">IFERROR(_xlfn.XLOOKUP(D1315,Locales!$A:$A,Locales!$B:$B,""),"")</f>
        <v/>
      </c>
      <c r="F1315" s="9" cm="1">
        <f t="array" ref="F1315">IFERROR(_xlfn.XLOOKUP(B1315,Personal!$A:$A,Personal!$F:$F,""),"")</f>
        <v>0</v>
      </c>
      <c r="I1315" s="10" cm="1">
        <f t="array" ref="I1315">IFERROR(INDEX(Precios!$D:$F,MATCH(N1315, Precios!$G:$G, 0),CHOOSE(MATCH(H1315, {"SML";"XL";"XXL"}, 0), 1, 2, 3)), 0)</f>
        <v>0</v>
      </c>
      <c r="K1315" s="10">
        <f t="shared" si="46"/>
        <v>0</v>
      </c>
      <c r="N1315" s="9" t="str">
        <f t="shared" si="47"/>
        <v/>
      </c>
      <c r="O1315" s="9" t="str">
        <f>IF(N1315="","",IF(COUNTIF(Precios!$G:$G,N1315)=0,"⚠ No coincide con Precios","OK"))</f>
        <v/>
      </c>
    </row>
    <row r="1316" spans="3:15" x14ac:dyDescent="0.2">
      <c r="C1316" s="9" cm="1">
        <f t="array" ref="C1316">IFERROR(_xlfn.XLOOKUP(B1316,Personal!$A:$A,Personal!$D:$D,""),"")</f>
        <v>0</v>
      </c>
      <c r="D1316" s="9" cm="1">
        <f t="array" ref="D1316">IFERROR(_xlfn.XLOOKUP(B1316,Personal!$A:$A,Personal!$C:$C,""),"")</f>
        <v>0</v>
      </c>
      <c r="E1316" s="9" t="str" cm="1">
        <f t="array" ref="E1316">IFERROR(_xlfn.XLOOKUP(D1316,Locales!$A:$A,Locales!$B:$B,""),"")</f>
        <v/>
      </c>
      <c r="F1316" s="9" cm="1">
        <f t="array" ref="F1316">IFERROR(_xlfn.XLOOKUP(B1316,Personal!$A:$A,Personal!$F:$F,""),"")</f>
        <v>0</v>
      </c>
      <c r="I1316" s="10" cm="1">
        <f t="array" ref="I1316">IFERROR(INDEX(Precios!$D:$F,MATCH(N1316, Precios!$G:$G, 0),CHOOSE(MATCH(H1316, {"SML";"XL";"XXL"}, 0), 1, 2, 3)), 0)</f>
        <v>0</v>
      </c>
      <c r="K1316" s="10">
        <f t="shared" si="46"/>
        <v>0</v>
      </c>
      <c r="N1316" s="9" t="str">
        <f t="shared" si="47"/>
        <v/>
      </c>
      <c r="O1316" s="9" t="str">
        <f>IF(N1316="","",IF(COUNTIF(Precios!$G:$G,N1316)=0,"⚠ No coincide con Precios","OK"))</f>
        <v/>
      </c>
    </row>
    <row r="1317" spans="3:15" x14ac:dyDescent="0.2">
      <c r="C1317" s="9" cm="1">
        <f t="array" ref="C1317">IFERROR(_xlfn.XLOOKUP(B1317,Personal!$A:$A,Personal!$D:$D,""),"")</f>
        <v>0</v>
      </c>
      <c r="D1317" s="9" cm="1">
        <f t="array" ref="D1317">IFERROR(_xlfn.XLOOKUP(B1317,Personal!$A:$A,Personal!$C:$C,""),"")</f>
        <v>0</v>
      </c>
      <c r="E1317" s="9" t="str" cm="1">
        <f t="array" ref="E1317">IFERROR(_xlfn.XLOOKUP(D1317,Locales!$A:$A,Locales!$B:$B,""),"")</f>
        <v/>
      </c>
      <c r="F1317" s="9" cm="1">
        <f t="array" ref="F1317">IFERROR(_xlfn.XLOOKUP(B1317,Personal!$A:$A,Personal!$F:$F,""),"")</f>
        <v>0</v>
      </c>
      <c r="I1317" s="10" cm="1">
        <f t="array" ref="I1317">IFERROR(INDEX(Precios!$D:$F,MATCH(N1317, Precios!$G:$G, 0),CHOOSE(MATCH(H1317, {"SML";"XL";"XXL"}, 0), 1, 2, 3)), 0)</f>
        <v>0</v>
      </c>
      <c r="K1317" s="10">
        <f t="shared" si="46"/>
        <v>0</v>
      </c>
      <c r="N1317" s="9" t="str">
        <f t="shared" si="47"/>
        <v/>
      </c>
      <c r="O1317" s="9" t="str">
        <f>IF(N1317="","",IF(COUNTIF(Precios!$G:$G,N1317)=0,"⚠ No coincide con Precios","OK"))</f>
        <v/>
      </c>
    </row>
    <row r="1318" spans="3:15" x14ac:dyDescent="0.2">
      <c r="C1318" s="9" cm="1">
        <f t="array" ref="C1318">IFERROR(_xlfn.XLOOKUP(B1318,Personal!$A:$A,Personal!$D:$D,""),"")</f>
        <v>0</v>
      </c>
      <c r="D1318" s="9" cm="1">
        <f t="array" ref="D1318">IFERROR(_xlfn.XLOOKUP(B1318,Personal!$A:$A,Personal!$C:$C,""),"")</f>
        <v>0</v>
      </c>
      <c r="E1318" s="9" t="str" cm="1">
        <f t="array" ref="E1318">IFERROR(_xlfn.XLOOKUP(D1318,Locales!$A:$A,Locales!$B:$B,""),"")</f>
        <v/>
      </c>
      <c r="F1318" s="9" cm="1">
        <f t="array" ref="F1318">IFERROR(_xlfn.XLOOKUP(B1318,Personal!$A:$A,Personal!$F:$F,""),"")</f>
        <v>0</v>
      </c>
      <c r="I1318" s="10" cm="1">
        <f t="array" ref="I1318">IFERROR(INDEX(Precios!$D:$F,MATCH(N1318, Precios!$G:$G, 0),CHOOSE(MATCH(H1318, {"SML";"XL";"XXL"}, 0), 1, 2, 3)), 0)</f>
        <v>0</v>
      </c>
      <c r="K1318" s="10">
        <f t="shared" si="46"/>
        <v>0</v>
      </c>
      <c r="N1318" s="9" t="str">
        <f t="shared" si="47"/>
        <v/>
      </c>
      <c r="O1318" s="9" t="str">
        <f>IF(N1318="","",IF(COUNTIF(Precios!$G:$G,N1318)=0,"⚠ No coincide con Precios","OK"))</f>
        <v/>
      </c>
    </row>
    <row r="1319" spans="3:15" x14ac:dyDescent="0.2">
      <c r="C1319" s="9" cm="1">
        <f t="array" ref="C1319">IFERROR(_xlfn.XLOOKUP(B1319,Personal!$A:$A,Personal!$D:$D,""),"")</f>
        <v>0</v>
      </c>
      <c r="D1319" s="9" cm="1">
        <f t="array" ref="D1319">IFERROR(_xlfn.XLOOKUP(B1319,Personal!$A:$A,Personal!$C:$C,""),"")</f>
        <v>0</v>
      </c>
      <c r="E1319" s="9" t="str" cm="1">
        <f t="array" ref="E1319">IFERROR(_xlfn.XLOOKUP(D1319,Locales!$A:$A,Locales!$B:$B,""),"")</f>
        <v/>
      </c>
      <c r="F1319" s="9" cm="1">
        <f t="array" ref="F1319">IFERROR(_xlfn.XLOOKUP(B1319,Personal!$A:$A,Personal!$F:$F,""),"")</f>
        <v>0</v>
      </c>
      <c r="I1319" s="10" cm="1">
        <f t="array" ref="I1319">IFERROR(INDEX(Precios!$D:$F,MATCH(N1319, Precios!$G:$G, 0),CHOOSE(MATCH(H1319, {"SML";"XL";"XXL"}, 0), 1, 2, 3)), 0)</f>
        <v>0</v>
      </c>
      <c r="K1319" s="10">
        <f t="shared" si="46"/>
        <v>0</v>
      </c>
      <c r="N1319" s="9" t="str">
        <f t="shared" si="47"/>
        <v/>
      </c>
      <c r="O1319" s="9" t="str">
        <f>IF(N1319="","",IF(COUNTIF(Precios!$G:$G,N1319)=0,"⚠ No coincide con Precios","OK"))</f>
        <v/>
      </c>
    </row>
    <row r="1320" spans="3:15" x14ac:dyDescent="0.2">
      <c r="C1320" s="9" cm="1">
        <f t="array" ref="C1320">IFERROR(_xlfn.XLOOKUP(B1320,Personal!$A:$A,Personal!$D:$D,""),"")</f>
        <v>0</v>
      </c>
      <c r="D1320" s="9" cm="1">
        <f t="array" ref="D1320">IFERROR(_xlfn.XLOOKUP(B1320,Personal!$A:$A,Personal!$C:$C,""),"")</f>
        <v>0</v>
      </c>
      <c r="E1320" s="9" t="str" cm="1">
        <f t="array" ref="E1320">IFERROR(_xlfn.XLOOKUP(D1320,Locales!$A:$A,Locales!$B:$B,""),"")</f>
        <v/>
      </c>
      <c r="F1320" s="9" cm="1">
        <f t="array" ref="F1320">IFERROR(_xlfn.XLOOKUP(B1320,Personal!$A:$A,Personal!$F:$F,""),"")</f>
        <v>0</v>
      </c>
      <c r="I1320" s="10" cm="1">
        <f t="array" ref="I1320">IFERROR(INDEX(Precios!$D:$F,MATCH(N1320, Precios!$G:$G, 0),CHOOSE(MATCH(H1320, {"SML";"XL";"XXL"}, 0), 1, 2, 3)), 0)</f>
        <v>0</v>
      </c>
      <c r="K1320" s="10">
        <f t="shared" si="46"/>
        <v>0</v>
      </c>
      <c r="N1320" s="9" t="str">
        <f t="shared" si="47"/>
        <v/>
      </c>
      <c r="O1320" s="9" t="str">
        <f>IF(N1320="","",IF(COUNTIF(Precios!$G:$G,N1320)=0,"⚠ No coincide con Precios","OK"))</f>
        <v/>
      </c>
    </row>
    <row r="1321" spans="3:15" x14ac:dyDescent="0.2">
      <c r="C1321" s="9" cm="1">
        <f t="array" ref="C1321">IFERROR(_xlfn.XLOOKUP(B1321,Personal!$A:$A,Personal!$D:$D,""),"")</f>
        <v>0</v>
      </c>
      <c r="D1321" s="9" cm="1">
        <f t="array" ref="D1321">IFERROR(_xlfn.XLOOKUP(B1321,Personal!$A:$A,Personal!$C:$C,""),"")</f>
        <v>0</v>
      </c>
      <c r="E1321" s="9" t="str" cm="1">
        <f t="array" ref="E1321">IFERROR(_xlfn.XLOOKUP(D1321,Locales!$A:$A,Locales!$B:$B,""),"")</f>
        <v/>
      </c>
      <c r="F1321" s="9" cm="1">
        <f t="array" ref="F1321">IFERROR(_xlfn.XLOOKUP(B1321,Personal!$A:$A,Personal!$F:$F,""),"")</f>
        <v>0</v>
      </c>
      <c r="I1321" s="10" cm="1">
        <f t="array" ref="I1321">IFERROR(INDEX(Precios!$D:$F,MATCH(N1321, Precios!$G:$G, 0),CHOOSE(MATCH(H1321, {"SML";"XL";"XXL"}, 0), 1, 2, 3)), 0)</f>
        <v>0</v>
      </c>
      <c r="K1321" s="10">
        <f t="shared" si="46"/>
        <v>0</v>
      </c>
      <c r="N1321" s="9" t="str">
        <f t="shared" si="47"/>
        <v/>
      </c>
      <c r="O1321" s="9" t="str">
        <f>IF(N1321="","",IF(COUNTIF(Precios!$G:$G,N1321)=0,"⚠ No coincide con Precios","OK"))</f>
        <v/>
      </c>
    </row>
    <row r="1322" spans="3:15" x14ac:dyDescent="0.2">
      <c r="C1322" s="9" cm="1">
        <f t="array" ref="C1322">IFERROR(_xlfn.XLOOKUP(B1322,Personal!$A:$A,Personal!$D:$D,""),"")</f>
        <v>0</v>
      </c>
      <c r="D1322" s="9" cm="1">
        <f t="array" ref="D1322">IFERROR(_xlfn.XLOOKUP(B1322,Personal!$A:$A,Personal!$C:$C,""),"")</f>
        <v>0</v>
      </c>
      <c r="E1322" s="9" t="str" cm="1">
        <f t="array" ref="E1322">IFERROR(_xlfn.XLOOKUP(D1322,Locales!$A:$A,Locales!$B:$B,""),"")</f>
        <v/>
      </c>
      <c r="F1322" s="9" cm="1">
        <f t="array" ref="F1322">IFERROR(_xlfn.XLOOKUP(B1322,Personal!$A:$A,Personal!$F:$F,""),"")</f>
        <v>0</v>
      </c>
      <c r="I1322" s="10" cm="1">
        <f t="array" ref="I1322">IFERROR(INDEX(Precios!$D:$F,MATCH(N1322, Precios!$G:$G, 0),CHOOSE(MATCH(H1322, {"SML";"XL";"XXL"}, 0), 1, 2, 3)), 0)</f>
        <v>0</v>
      </c>
      <c r="K1322" s="10">
        <f t="shared" si="46"/>
        <v>0</v>
      </c>
      <c r="N1322" s="9" t="str">
        <f t="shared" si="47"/>
        <v/>
      </c>
      <c r="O1322" s="9" t="str">
        <f>IF(N1322="","",IF(COUNTIF(Precios!$G:$G,N1322)=0,"⚠ No coincide con Precios","OK"))</f>
        <v/>
      </c>
    </row>
    <row r="1323" spans="3:15" x14ac:dyDescent="0.2">
      <c r="C1323" s="9" cm="1">
        <f t="array" ref="C1323">IFERROR(_xlfn.XLOOKUP(B1323,Personal!$A:$A,Personal!$D:$D,""),"")</f>
        <v>0</v>
      </c>
      <c r="D1323" s="9" cm="1">
        <f t="array" ref="D1323">IFERROR(_xlfn.XLOOKUP(B1323,Personal!$A:$A,Personal!$C:$C,""),"")</f>
        <v>0</v>
      </c>
      <c r="E1323" s="9" t="str" cm="1">
        <f t="array" ref="E1323">IFERROR(_xlfn.XLOOKUP(D1323,Locales!$A:$A,Locales!$B:$B,""),"")</f>
        <v/>
      </c>
      <c r="F1323" s="9" cm="1">
        <f t="array" ref="F1323">IFERROR(_xlfn.XLOOKUP(B1323,Personal!$A:$A,Personal!$F:$F,""),"")</f>
        <v>0</v>
      </c>
      <c r="I1323" s="10" cm="1">
        <f t="array" ref="I1323">IFERROR(INDEX(Precios!$D:$F,MATCH(N1323, Precios!$G:$G, 0),CHOOSE(MATCH(H1323, {"SML";"XL";"XXL"}, 0), 1, 2, 3)), 0)</f>
        <v>0</v>
      </c>
      <c r="K1323" s="10">
        <f t="shared" si="46"/>
        <v>0</v>
      </c>
      <c r="N1323" s="9" t="str">
        <f t="shared" si="47"/>
        <v/>
      </c>
      <c r="O1323" s="9" t="str">
        <f>IF(N1323="","",IF(COUNTIF(Precios!$G:$G,N1323)=0,"⚠ No coincide con Precios","OK"))</f>
        <v/>
      </c>
    </row>
    <row r="1324" spans="3:15" x14ac:dyDescent="0.2">
      <c r="C1324" s="9" cm="1">
        <f t="array" ref="C1324">IFERROR(_xlfn.XLOOKUP(B1324,Personal!$A:$A,Personal!$D:$D,""),"")</f>
        <v>0</v>
      </c>
      <c r="D1324" s="9" cm="1">
        <f t="array" ref="D1324">IFERROR(_xlfn.XLOOKUP(B1324,Personal!$A:$A,Personal!$C:$C,""),"")</f>
        <v>0</v>
      </c>
      <c r="E1324" s="9" t="str" cm="1">
        <f t="array" ref="E1324">IFERROR(_xlfn.XLOOKUP(D1324,Locales!$A:$A,Locales!$B:$B,""),"")</f>
        <v/>
      </c>
      <c r="F1324" s="9" cm="1">
        <f t="array" ref="F1324">IFERROR(_xlfn.XLOOKUP(B1324,Personal!$A:$A,Personal!$F:$F,""),"")</f>
        <v>0</v>
      </c>
      <c r="I1324" s="10" cm="1">
        <f t="array" ref="I1324">IFERROR(INDEX(Precios!$D:$F,MATCH(N1324, Precios!$G:$G, 0),CHOOSE(MATCH(H1324, {"SML";"XL";"XXL"}, 0), 1, 2, 3)), 0)</f>
        <v>0</v>
      </c>
      <c r="K1324" s="10">
        <f t="shared" si="46"/>
        <v>0</v>
      </c>
      <c r="N1324" s="9" t="str">
        <f t="shared" si="47"/>
        <v/>
      </c>
      <c r="O1324" s="9" t="str">
        <f>IF(N1324="","",IF(COUNTIF(Precios!$G:$G,N1324)=0,"⚠ No coincide con Precios","OK"))</f>
        <v/>
      </c>
    </row>
    <row r="1325" spans="3:15" x14ac:dyDescent="0.2">
      <c r="C1325" s="9" cm="1">
        <f t="array" ref="C1325">IFERROR(_xlfn.XLOOKUP(B1325,Personal!$A:$A,Personal!$D:$D,""),"")</f>
        <v>0</v>
      </c>
      <c r="D1325" s="9" cm="1">
        <f t="array" ref="D1325">IFERROR(_xlfn.XLOOKUP(B1325,Personal!$A:$A,Personal!$C:$C,""),"")</f>
        <v>0</v>
      </c>
      <c r="E1325" s="9" t="str" cm="1">
        <f t="array" ref="E1325">IFERROR(_xlfn.XLOOKUP(D1325,Locales!$A:$A,Locales!$B:$B,""),"")</f>
        <v/>
      </c>
      <c r="F1325" s="9" cm="1">
        <f t="array" ref="F1325">IFERROR(_xlfn.XLOOKUP(B1325,Personal!$A:$A,Personal!$F:$F,""),"")</f>
        <v>0</v>
      </c>
      <c r="I1325" s="10" cm="1">
        <f t="array" ref="I1325">IFERROR(INDEX(Precios!$D:$F,MATCH(N1325, Precios!$G:$G, 0),CHOOSE(MATCH(H1325, {"SML";"XL";"XXL"}, 0), 1, 2, 3)), 0)</f>
        <v>0</v>
      </c>
      <c r="K1325" s="10">
        <f t="shared" si="46"/>
        <v>0</v>
      </c>
      <c r="N1325" s="9" t="str">
        <f t="shared" si="47"/>
        <v/>
      </c>
      <c r="O1325" s="9" t="str">
        <f>IF(N1325="","",IF(COUNTIF(Precios!$G:$G,N1325)=0,"⚠ No coincide con Precios","OK"))</f>
        <v/>
      </c>
    </row>
    <row r="1326" spans="3:15" x14ac:dyDescent="0.2">
      <c r="C1326" s="9" cm="1">
        <f t="array" ref="C1326">IFERROR(_xlfn.XLOOKUP(B1326,Personal!$A:$A,Personal!$D:$D,""),"")</f>
        <v>0</v>
      </c>
      <c r="D1326" s="9" cm="1">
        <f t="array" ref="D1326">IFERROR(_xlfn.XLOOKUP(B1326,Personal!$A:$A,Personal!$C:$C,""),"")</f>
        <v>0</v>
      </c>
      <c r="E1326" s="9" t="str" cm="1">
        <f t="array" ref="E1326">IFERROR(_xlfn.XLOOKUP(D1326,Locales!$A:$A,Locales!$B:$B,""),"")</f>
        <v/>
      </c>
      <c r="F1326" s="9" cm="1">
        <f t="array" ref="F1326">IFERROR(_xlfn.XLOOKUP(B1326,Personal!$A:$A,Personal!$F:$F,""),"")</f>
        <v>0</v>
      </c>
      <c r="I1326" s="10" cm="1">
        <f t="array" ref="I1326">IFERROR(INDEX(Precios!$D:$F,MATCH(N1326, Precios!$G:$G, 0),CHOOSE(MATCH(H1326, {"SML";"XL";"XXL"}, 0), 1, 2, 3)), 0)</f>
        <v>0</v>
      </c>
      <c r="K1326" s="10">
        <f t="shared" si="46"/>
        <v>0</v>
      </c>
      <c r="N1326" s="9" t="str">
        <f t="shared" si="47"/>
        <v/>
      </c>
      <c r="O1326" s="9" t="str">
        <f>IF(N1326="","",IF(COUNTIF(Precios!$G:$G,N1326)=0,"⚠ No coincide con Precios","OK"))</f>
        <v/>
      </c>
    </row>
    <row r="1327" spans="3:15" x14ac:dyDescent="0.2">
      <c r="C1327" s="9" cm="1">
        <f t="array" ref="C1327">IFERROR(_xlfn.XLOOKUP(B1327,Personal!$A:$A,Personal!$D:$D,""),"")</f>
        <v>0</v>
      </c>
      <c r="D1327" s="9" cm="1">
        <f t="array" ref="D1327">IFERROR(_xlfn.XLOOKUP(B1327,Personal!$A:$A,Personal!$C:$C,""),"")</f>
        <v>0</v>
      </c>
      <c r="E1327" s="9" t="str" cm="1">
        <f t="array" ref="E1327">IFERROR(_xlfn.XLOOKUP(D1327,Locales!$A:$A,Locales!$B:$B,""),"")</f>
        <v/>
      </c>
      <c r="F1327" s="9" cm="1">
        <f t="array" ref="F1327">IFERROR(_xlfn.XLOOKUP(B1327,Personal!$A:$A,Personal!$F:$F,""),"")</f>
        <v>0</v>
      </c>
      <c r="I1327" s="10" cm="1">
        <f t="array" ref="I1327">IFERROR(INDEX(Precios!$D:$F,MATCH(N1327, Precios!$G:$G, 0),CHOOSE(MATCH(H1327, {"SML";"XL";"XXL"}, 0), 1, 2, 3)), 0)</f>
        <v>0</v>
      </c>
      <c r="K1327" s="10">
        <f t="shared" si="46"/>
        <v>0</v>
      </c>
      <c r="N1327" s="9" t="str">
        <f t="shared" si="47"/>
        <v/>
      </c>
      <c r="O1327" s="9" t="str">
        <f>IF(N1327="","",IF(COUNTIF(Precios!$G:$G,N1327)=0,"⚠ No coincide con Precios","OK"))</f>
        <v/>
      </c>
    </row>
    <row r="1328" spans="3:15" x14ac:dyDescent="0.2">
      <c r="C1328" s="9" cm="1">
        <f t="array" ref="C1328">IFERROR(_xlfn.XLOOKUP(B1328,Personal!$A:$A,Personal!$D:$D,""),"")</f>
        <v>0</v>
      </c>
      <c r="D1328" s="9" cm="1">
        <f t="array" ref="D1328">IFERROR(_xlfn.XLOOKUP(B1328,Personal!$A:$A,Personal!$C:$C,""),"")</f>
        <v>0</v>
      </c>
      <c r="E1328" s="9" t="str" cm="1">
        <f t="array" ref="E1328">IFERROR(_xlfn.XLOOKUP(D1328,Locales!$A:$A,Locales!$B:$B,""),"")</f>
        <v/>
      </c>
      <c r="F1328" s="9" cm="1">
        <f t="array" ref="F1328">IFERROR(_xlfn.XLOOKUP(B1328,Personal!$A:$A,Personal!$F:$F,""),"")</f>
        <v>0</v>
      </c>
      <c r="I1328" s="10" cm="1">
        <f t="array" ref="I1328">IFERROR(INDEX(Precios!$D:$F,MATCH(N1328, Precios!$G:$G, 0),CHOOSE(MATCH(H1328, {"SML";"XL";"XXL"}, 0), 1, 2, 3)), 0)</f>
        <v>0</v>
      </c>
      <c r="K1328" s="10">
        <f t="shared" si="46"/>
        <v>0</v>
      </c>
      <c r="N1328" s="9" t="str">
        <f t="shared" si="47"/>
        <v/>
      </c>
      <c r="O1328" s="9" t="str">
        <f>IF(N1328="","",IF(COUNTIF(Precios!$G:$G,N1328)=0,"⚠ No coincide con Precios","OK"))</f>
        <v/>
      </c>
    </row>
    <row r="1329" spans="3:15" x14ac:dyDescent="0.2">
      <c r="C1329" s="9" cm="1">
        <f t="array" ref="C1329">IFERROR(_xlfn.XLOOKUP(B1329,Personal!$A:$A,Personal!$D:$D,""),"")</f>
        <v>0</v>
      </c>
      <c r="D1329" s="9" cm="1">
        <f t="array" ref="D1329">IFERROR(_xlfn.XLOOKUP(B1329,Personal!$A:$A,Personal!$C:$C,""),"")</f>
        <v>0</v>
      </c>
      <c r="E1329" s="9" t="str" cm="1">
        <f t="array" ref="E1329">IFERROR(_xlfn.XLOOKUP(D1329,Locales!$A:$A,Locales!$B:$B,""),"")</f>
        <v/>
      </c>
      <c r="F1329" s="9" cm="1">
        <f t="array" ref="F1329">IFERROR(_xlfn.XLOOKUP(B1329,Personal!$A:$A,Personal!$F:$F,""),"")</f>
        <v>0</v>
      </c>
      <c r="I1329" s="10" cm="1">
        <f t="array" ref="I1329">IFERROR(INDEX(Precios!$D:$F,MATCH(N1329, Precios!$G:$G, 0),CHOOSE(MATCH(H1329, {"SML";"XL";"XXL"}, 0), 1, 2, 3)), 0)</f>
        <v>0</v>
      </c>
      <c r="K1329" s="10">
        <f t="shared" si="46"/>
        <v>0</v>
      </c>
      <c r="N1329" s="9" t="str">
        <f t="shared" si="47"/>
        <v/>
      </c>
      <c r="O1329" s="9" t="str">
        <f>IF(N1329="","",IF(COUNTIF(Precios!$G:$G,N1329)=0,"⚠ No coincide con Precios","OK"))</f>
        <v/>
      </c>
    </row>
    <row r="1330" spans="3:15" x14ac:dyDescent="0.2">
      <c r="C1330" s="9" cm="1">
        <f t="array" ref="C1330">IFERROR(_xlfn.XLOOKUP(B1330,Personal!$A:$A,Personal!$D:$D,""),"")</f>
        <v>0</v>
      </c>
      <c r="D1330" s="9" cm="1">
        <f t="array" ref="D1330">IFERROR(_xlfn.XLOOKUP(B1330,Personal!$A:$A,Personal!$C:$C,""),"")</f>
        <v>0</v>
      </c>
      <c r="E1330" s="9" t="str" cm="1">
        <f t="array" ref="E1330">IFERROR(_xlfn.XLOOKUP(D1330,Locales!$A:$A,Locales!$B:$B,""),"")</f>
        <v/>
      </c>
      <c r="F1330" s="9" cm="1">
        <f t="array" ref="F1330">IFERROR(_xlfn.XLOOKUP(B1330,Personal!$A:$A,Personal!$F:$F,""),"")</f>
        <v>0</v>
      </c>
      <c r="I1330" s="10" cm="1">
        <f t="array" ref="I1330">IFERROR(INDEX(Precios!$D:$F,MATCH(N1330, Precios!$G:$G, 0),CHOOSE(MATCH(H1330, {"SML";"XL";"XXL"}, 0), 1, 2, 3)), 0)</f>
        <v>0</v>
      </c>
      <c r="K1330" s="10">
        <f t="shared" si="46"/>
        <v>0</v>
      </c>
      <c r="N1330" s="9" t="str">
        <f t="shared" si="47"/>
        <v/>
      </c>
      <c r="O1330" s="9" t="str">
        <f>IF(N1330="","",IF(COUNTIF(Precios!$G:$G,N1330)=0,"⚠ No coincide con Precios","OK"))</f>
        <v/>
      </c>
    </row>
    <row r="1331" spans="3:15" x14ac:dyDescent="0.2">
      <c r="C1331" s="9" cm="1">
        <f t="array" ref="C1331">IFERROR(_xlfn.XLOOKUP(B1331,Personal!$A:$A,Personal!$D:$D,""),"")</f>
        <v>0</v>
      </c>
      <c r="D1331" s="9" cm="1">
        <f t="array" ref="D1331">IFERROR(_xlfn.XLOOKUP(B1331,Personal!$A:$A,Personal!$C:$C,""),"")</f>
        <v>0</v>
      </c>
      <c r="E1331" s="9" t="str" cm="1">
        <f t="array" ref="E1331">IFERROR(_xlfn.XLOOKUP(D1331,Locales!$A:$A,Locales!$B:$B,""),"")</f>
        <v/>
      </c>
      <c r="F1331" s="9" cm="1">
        <f t="array" ref="F1331">IFERROR(_xlfn.XLOOKUP(B1331,Personal!$A:$A,Personal!$F:$F,""),"")</f>
        <v>0</v>
      </c>
      <c r="I1331" s="10" cm="1">
        <f t="array" ref="I1331">IFERROR(INDEX(Precios!$D:$F,MATCH(N1331, Precios!$G:$G, 0),CHOOSE(MATCH(H1331, {"SML";"XL";"XXL"}, 0), 1, 2, 3)), 0)</f>
        <v>0</v>
      </c>
      <c r="K1331" s="10">
        <f t="shared" si="46"/>
        <v>0</v>
      </c>
      <c r="N1331" s="9" t="str">
        <f t="shared" si="47"/>
        <v/>
      </c>
      <c r="O1331" s="9" t="str">
        <f>IF(N1331="","",IF(COUNTIF(Precios!$G:$G,N1331)=0,"⚠ No coincide con Precios","OK"))</f>
        <v/>
      </c>
    </row>
    <row r="1332" spans="3:15" x14ac:dyDescent="0.2">
      <c r="C1332" s="9" cm="1">
        <f t="array" ref="C1332">IFERROR(_xlfn.XLOOKUP(B1332,Personal!$A:$A,Personal!$D:$D,""),"")</f>
        <v>0</v>
      </c>
      <c r="D1332" s="9" cm="1">
        <f t="array" ref="D1332">IFERROR(_xlfn.XLOOKUP(B1332,Personal!$A:$A,Personal!$C:$C,""),"")</f>
        <v>0</v>
      </c>
      <c r="E1332" s="9" t="str" cm="1">
        <f t="array" ref="E1332">IFERROR(_xlfn.XLOOKUP(D1332,Locales!$A:$A,Locales!$B:$B,""),"")</f>
        <v/>
      </c>
      <c r="F1332" s="9" cm="1">
        <f t="array" ref="F1332">IFERROR(_xlfn.XLOOKUP(B1332,Personal!$A:$A,Personal!$F:$F,""),"")</f>
        <v>0</v>
      </c>
      <c r="I1332" s="10" cm="1">
        <f t="array" ref="I1332">IFERROR(INDEX(Precios!$D:$F,MATCH(N1332, Precios!$G:$G, 0),CHOOSE(MATCH(H1332, {"SML";"XL";"XXL"}, 0), 1, 2, 3)), 0)</f>
        <v>0</v>
      </c>
      <c r="K1332" s="10">
        <f t="shared" si="46"/>
        <v>0</v>
      </c>
      <c r="N1332" s="9" t="str">
        <f t="shared" si="47"/>
        <v/>
      </c>
      <c r="O1332" s="9" t="str">
        <f>IF(N1332="","",IF(COUNTIF(Precios!$G:$G,N1332)=0,"⚠ No coincide con Precios","OK"))</f>
        <v/>
      </c>
    </row>
    <row r="1333" spans="3:15" x14ac:dyDescent="0.2">
      <c r="C1333" s="9" cm="1">
        <f t="array" ref="C1333">IFERROR(_xlfn.XLOOKUP(B1333,Personal!$A:$A,Personal!$D:$D,""),"")</f>
        <v>0</v>
      </c>
      <c r="D1333" s="9" cm="1">
        <f t="array" ref="D1333">IFERROR(_xlfn.XLOOKUP(B1333,Personal!$A:$A,Personal!$C:$C,""),"")</f>
        <v>0</v>
      </c>
      <c r="E1333" s="9" t="str" cm="1">
        <f t="array" ref="E1333">IFERROR(_xlfn.XLOOKUP(D1333,Locales!$A:$A,Locales!$B:$B,""),"")</f>
        <v/>
      </c>
      <c r="F1333" s="9" cm="1">
        <f t="array" ref="F1333">IFERROR(_xlfn.XLOOKUP(B1333,Personal!$A:$A,Personal!$F:$F,""),"")</f>
        <v>0</v>
      </c>
      <c r="I1333" s="10" cm="1">
        <f t="array" ref="I1333">IFERROR(INDEX(Precios!$D:$F,MATCH(N1333, Precios!$G:$G, 0),CHOOSE(MATCH(H1333, {"SML";"XL";"XXL"}, 0), 1, 2, 3)), 0)</f>
        <v>0</v>
      </c>
      <c r="K1333" s="10">
        <f t="shared" si="46"/>
        <v>0</v>
      </c>
      <c r="N1333" s="9" t="str">
        <f t="shared" si="47"/>
        <v/>
      </c>
      <c r="O1333" s="9" t="str">
        <f>IF(N1333="","",IF(COUNTIF(Precios!$G:$G,N1333)=0,"⚠ No coincide con Precios","OK"))</f>
        <v/>
      </c>
    </row>
    <row r="1334" spans="3:15" x14ac:dyDescent="0.2">
      <c r="C1334" s="9" cm="1">
        <f t="array" ref="C1334">IFERROR(_xlfn.XLOOKUP(B1334,Personal!$A:$A,Personal!$D:$D,""),"")</f>
        <v>0</v>
      </c>
      <c r="D1334" s="9" cm="1">
        <f t="array" ref="D1334">IFERROR(_xlfn.XLOOKUP(B1334,Personal!$A:$A,Personal!$C:$C,""),"")</f>
        <v>0</v>
      </c>
      <c r="E1334" s="9" t="str" cm="1">
        <f t="array" ref="E1334">IFERROR(_xlfn.XLOOKUP(D1334,Locales!$A:$A,Locales!$B:$B,""),"")</f>
        <v/>
      </c>
      <c r="F1334" s="9" cm="1">
        <f t="array" ref="F1334">IFERROR(_xlfn.XLOOKUP(B1334,Personal!$A:$A,Personal!$F:$F,""),"")</f>
        <v>0</v>
      </c>
      <c r="I1334" s="10" cm="1">
        <f t="array" ref="I1334">IFERROR(INDEX(Precios!$D:$F,MATCH(N1334, Precios!$G:$G, 0),CHOOSE(MATCH(H1334, {"SML";"XL";"XXL"}, 0), 1, 2, 3)), 0)</f>
        <v>0</v>
      </c>
      <c r="K1334" s="10">
        <f t="shared" si="46"/>
        <v>0</v>
      </c>
      <c r="N1334" s="9" t="str">
        <f t="shared" si="47"/>
        <v/>
      </c>
      <c r="O1334" s="9" t="str">
        <f>IF(N1334="","",IF(COUNTIF(Precios!$G:$G,N1334)=0,"⚠ No coincide con Precios","OK"))</f>
        <v/>
      </c>
    </row>
    <row r="1335" spans="3:15" x14ac:dyDescent="0.2">
      <c r="C1335" s="9" cm="1">
        <f t="array" ref="C1335">IFERROR(_xlfn.XLOOKUP(B1335,Personal!$A:$A,Personal!$D:$D,""),"")</f>
        <v>0</v>
      </c>
      <c r="D1335" s="9" cm="1">
        <f t="array" ref="D1335">IFERROR(_xlfn.XLOOKUP(B1335,Personal!$A:$A,Personal!$C:$C,""),"")</f>
        <v>0</v>
      </c>
      <c r="E1335" s="9" t="str" cm="1">
        <f t="array" ref="E1335">IFERROR(_xlfn.XLOOKUP(D1335,Locales!$A:$A,Locales!$B:$B,""),"")</f>
        <v/>
      </c>
      <c r="F1335" s="9" cm="1">
        <f t="array" ref="F1335">IFERROR(_xlfn.XLOOKUP(B1335,Personal!$A:$A,Personal!$F:$F,""),"")</f>
        <v>0</v>
      </c>
      <c r="I1335" s="10" cm="1">
        <f t="array" ref="I1335">IFERROR(INDEX(Precios!$D:$F,MATCH(N1335, Precios!$G:$G, 0),CHOOSE(MATCH(H1335, {"SML";"XL";"XXL"}, 0), 1, 2, 3)), 0)</f>
        <v>0</v>
      </c>
      <c r="K1335" s="10">
        <f t="shared" si="46"/>
        <v>0</v>
      </c>
      <c r="N1335" s="9" t="str">
        <f t="shared" si="47"/>
        <v/>
      </c>
      <c r="O1335" s="9" t="str">
        <f>IF(N1335="","",IF(COUNTIF(Precios!$G:$G,N1335)=0,"⚠ No coincide con Precios","OK"))</f>
        <v/>
      </c>
    </row>
    <row r="1336" spans="3:15" x14ac:dyDescent="0.2">
      <c r="C1336" s="9" cm="1">
        <f t="array" ref="C1336">IFERROR(_xlfn.XLOOKUP(B1336,Personal!$A:$A,Personal!$D:$D,""),"")</f>
        <v>0</v>
      </c>
      <c r="D1336" s="9" cm="1">
        <f t="array" ref="D1336">IFERROR(_xlfn.XLOOKUP(B1336,Personal!$A:$A,Personal!$C:$C,""),"")</f>
        <v>0</v>
      </c>
      <c r="E1336" s="9" t="str" cm="1">
        <f t="array" ref="E1336">IFERROR(_xlfn.XLOOKUP(D1336,Locales!$A:$A,Locales!$B:$B,""),"")</f>
        <v/>
      </c>
      <c r="F1336" s="9" cm="1">
        <f t="array" ref="F1336">IFERROR(_xlfn.XLOOKUP(B1336,Personal!$A:$A,Personal!$F:$F,""),"")</f>
        <v>0</v>
      </c>
      <c r="I1336" s="10" cm="1">
        <f t="array" ref="I1336">IFERROR(INDEX(Precios!$D:$F,MATCH(N1336, Precios!$G:$G, 0),CHOOSE(MATCH(H1336, {"SML";"XL";"XXL"}, 0), 1, 2, 3)), 0)</f>
        <v>0</v>
      </c>
      <c r="K1336" s="10">
        <f t="shared" si="46"/>
        <v>0</v>
      </c>
      <c r="N1336" s="9" t="str">
        <f t="shared" si="47"/>
        <v/>
      </c>
      <c r="O1336" s="9" t="str">
        <f>IF(N1336="","",IF(COUNTIF(Precios!$G:$G,N1336)=0,"⚠ No coincide con Precios","OK"))</f>
        <v/>
      </c>
    </row>
    <row r="1337" spans="3:15" x14ac:dyDescent="0.2">
      <c r="C1337" s="9" cm="1">
        <f t="array" ref="C1337">IFERROR(_xlfn.XLOOKUP(B1337,Personal!$A:$A,Personal!$D:$D,""),"")</f>
        <v>0</v>
      </c>
      <c r="D1337" s="9" cm="1">
        <f t="array" ref="D1337">IFERROR(_xlfn.XLOOKUP(B1337,Personal!$A:$A,Personal!$C:$C,""),"")</f>
        <v>0</v>
      </c>
      <c r="E1337" s="9" t="str" cm="1">
        <f t="array" ref="E1337">IFERROR(_xlfn.XLOOKUP(D1337,Locales!$A:$A,Locales!$B:$B,""),"")</f>
        <v/>
      </c>
      <c r="F1337" s="9" cm="1">
        <f t="array" ref="F1337">IFERROR(_xlfn.XLOOKUP(B1337,Personal!$A:$A,Personal!$F:$F,""),"")</f>
        <v>0</v>
      </c>
      <c r="I1337" s="10" cm="1">
        <f t="array" ref="I1337">IFERROR(INDEX(Precios!$D:$F,MATCH(N1337, Precios!$G:$G, 0),CHOOSE(MATCH(H1337, {"SML";"XL";"XXL"}, 0), 1, 2, 3)), 0)</f>
        <v>0</v>
      </c>
      <c r="K1337" s="10">
        <f t="shared" si="46"/>
        <v>0</v>
      </c>
      <c r="N1337" s="9" t="str">
        <f t="shared" si="47"/>
        <v/>
      </c>
      <c r="O1337" s="9" t="str">
        <f>IF(N1337="","",IF(COUNTIF(Precios!$G:$G,N1337)=0,"⚠ No coincide con Precios","OK"))</f>
        <v/>
      </c>
    </row>
    <row r="1338" spans="3:15" x14ac:dyDescent="0.2">
      <c r="C1338" s="9" cm="1">
        <f t="array" ref="C1338">IFERROR(_xlfn.XLOOKUP(B1338,Personal!$A:$A,Personal!$D:$D,""),"")</f>
        <v>0</v>
      </c>
      <c r="D1338" s="9" cm="1">
        <f t="array" ref="D1338">IFERROR(_xlfn.XLOOKUP(B1338,Personal!$A:$A,Personal!$C:$C,""),"")</f>
        <v>0</v>
      </c>
      <c r="E1338" s="9" t="str" cm="1">
        <f t="array" ref="E1338">IFERROR(_xlfn.XLOOKUP(D1338,Locales!$A:$A,Locales!$B:$B,""),"")</f>
        <v/>
      </c>
      <c r="F1338" s="9" cm="1">
        <f t="array" ref="F1338">IFERROR(_xlfn.XLOOKUP(B1338,Personal!$A:$A,Personal!$F:$F,""),"")</f>
        <v>0</v>
      </c>
      <c r="I1338" s="10" cm="1">
        <f t="array" ref="I1338">IFERROR(INDEX(Precios!$D:$F,MATCH(N1338, Precios!$G:$G, 0),CHOOSE(MATCH(H1338, {"SML";"XL";"XXL"}, 0), 1, 2, 3)), 0)</f>
        <v>0</v>
      </c>
      <c r="K1338" s="10">
        <f t="shared" si="46"/>
        <v>0</v>
      </c>
      <c r="N1338" s="9" t="str">
        <f t="shared" si="47"/>
        <v/>
      </c>
      <c r="O1338" s="9" t="str">
        <f>IF(N1338="","",IF(COUNTIF(Precios!$G:$G,N1338)=0,"⚠ No coincide con Precios","OK"))</f>
        <v/>
      </c>
    </row>
    <row r="1339" spans="3:15" x14ac:dyDescent="0.2">
      <c r="C1339" s="9" cm="1">
        <f t="array" ref="C1339">IFERROR(_xlfn.XLOOKUP(B1339,Personal!$A:$A,Personal!$D:$D,""),"")</f>
        <v>0</v>
      </c>
      <c r="D1339" s="9" cm="1">
        <f t="array" ref="D1339">IFERROR(_xlfn.XLOOKUP(B1339,Personal!$A:$A,Personal!$C:$C,""),"")</f>
        <v>0</v>
      </c>
      <c r="E1339" s="9" t="str" cm="1">
        <f t="array" ref="E1339">IFERROR(_xlfn.XLOOKUP(D1339,Locales!$A:$A,Locales!$B:$B,""),"")</f>
        <v/>
      </c>
      <c r="F1339" s="9" cm="1">
        <f t="array" ref="F1339">IFERROR(_xlfn.XLOOKUP(B1339,Personal!$A:$A,Personal!$F:$F,""),"")</f>
        <v>0</v>
      </c>
      <c r="I1339" s="10" cm="1">
        <f t="array" ref="I1339">IFERROR(INDEX(Precios!$D:$F,MATCH(N1339, Precios!$G:$G, 0),CHOOSE(MATCH(H1339, {"SML";"XL";"XXL"}, 0), 1, 2, 3)), 0)</f>
        <v>0</v>
      </c>
      <c r="K1339" s="10">
        <f t="shared" si="46"/>
        <v>0</v>
      </c>
      <c r="N1339" s="9" t="str">
        <f t="shared" si="47"/>
        <v/>
      </c>
      <c r="O1339" s="9" t="str">
        <f>IF(N1339="","",IF(COUNTIF(Precios!$G:$G,N1339)=0,"⚠ No coincide con Precios","OK"))</f>
        <v/>
      </c>
    </row>
    <row r="1340" spans="3:15" x14ac:dyDescent="0.2">
      <c r="C1340" s="9" cm="1">
        <f t="array" ref="C1340">IFERROR(_xlfn.XLOOKUP(B1340,Personal!$A:$A,Personal!$D:$D,""),"")</f>
        <v>0</v>
      </c>
      <c r="D1340" s="9" cm="1">
        <f t="array" ref="D1340">IFERROR(_xlfn.XLOOKUP(B1340,Personal!$A:$A,Personal!$C:$C,""),"")</f>
        <v>0</v>
      </c>
      <c r="E1340" s="9" t="str" cm="1">
        <f t="array" ref="E1340">IFERROR(_xlfn.XLOOKUP(D1340,Locales!$A:$A,Locales!$B:$B,""),"")</f>
        <v/>
      </c>
      <c r="F1340" s="9" cm="1">
        <f t="array" ref="F1340">IFERROR(_xlfn.XLOOKUP(B1340,Personal!$A:$A,Personal!$F:$F,""),"")</f>
        <v>0</v>
      </c>
      <c r="I1340" s="10" cm="1">
        <f t="array" ref="I1340">IFERROR(INDEX(Precios!$D:$F,MATCH(N1340, Precios!$G:$G, 0),CHOOSE(MATCH(H1340, {"SML";"XL";"XXL"}, 0), 1, 2, 3)), 0)</f>
        <v>0</v>
      </c>
      <c r="K1340" s="10">
        <f t="shared" si="46"/>
        <v>0</v>
      </c>
      <c r="N1340" s="9" t="str">
        <f t="shared" si="47"/>
        <v/>
      </c>
      <c r="O1340" s="9" t="str">
        <f>IF(N1340="","",IF(COUNTIF(Precios!$G:$G,N1340)=0,"⚠ No coincide con Precios","OK"))</f>
        <v/>
      </c>
    </row>
    <row r="1341" spans="3:15" x14ac:dyDescent="0.2">
      <c r="C1341" s="9" cm="1">
        <f t="array" ref="C1341">IFERROR(_xlfn.XLOOKUP(B1341,Personal!$A:$A,Personal!$D:$D,""),"")</f>
        <v>0</v>
      </c>
      <c r="D1341" s="9" cm="1">
        <f t="array" ref="D1341">IFERROR(_xlfn.XLOOKUP(B1341,Personal!$A:$A,Personal!$C:$C,""),"")</f>
        <v>0</v>
      </c>
      <c r="E1341" s="9" t="str" cm="1">
        <f t="array" ref="E1341">IFERROR(_xlfn.XLOOKUP(D1341,Locales!$A:$A,Locales!$B:$B,""),"")</f>
        <v/>
      </c>
      <c r="F1341" s="9" cm="1">
        <f t="array" ref="F1341">IFERROR(_xlfn.XLOOKUP(B1341,Personal!$A:$A,Personal!$F:$F,""),"")</f>
        <v>0</v>
      </c>
      <c r="I1341" s="10" cm="1">
        <f t="array" ref="I1341">IFERROR(INDEX(Precios!$D:$F,MATCH(N1341, Precios!$G:$G, 0),CHOOSE(MATCH(H1341, {"SML";"XL";"XXL"}, 0), 1, 2, 3)), 0)</f>
        <v>0</v>
      </c>
      <c r="K1341" s="10">
        <f t="shared" si="46"/>
        <v>0</v>
      </c>
      <c r="N1341" s="9" t="str">
        <f t="shared" si="47"/>
        <v/>
      </c>
      <c r="O1341" s="9" t="str">
        <f>IF(N1341="","",IF(COUNTIF(Precios!$G:$G,N1341)=0,"⚠ No coincide con Precios","OK"))</f>
        <v/>
      </c>
    </row>
    <row r="1342" spans="3:15" x14ac:dyDescent="0.2">
      <c r="C1342" s="9" cm="1">
        <f t="array" ref="C1342">IFERROR(_xlfn.XLOOKUP(B1342,Personal!$A:$A,Personal!$D:$D,""),"")</f>
        <v>0</v>
      </c>
      <c r="D1342" s="9" cm="1">
        <f t="array" ref="D1342">IFERROR(_xlfn.XLOOKUP(B1342,Personal!$A:$A,Personal!$C:$C,""),"")</f>
        <v>0</v>
      </c>
      <c r="E1342" s="9" t="str" cm="1">
        <f t="array" ref="E1342">IFERROR(_xlfn.XLOOKUP(D1342,Locales!$A:$A,Locales!$B:$B,""),"")</f>
        <v/>
      </c>
      <c r="F1342" s="9" cm="1">
        <f t="array" ref="F1342">IFERROR(_xlfn.XLOOKUP(B1342,Personal!$A:$A,Personal!$F:$F,""),"")</f>
        <v>0</v>
      </c>
      <c r="I1342" s="10" cm="1">
        <f t="array" ref="I1342">IFERROR(INDEX(Precios!$D:$F,MATCH(N1342, Precios!$G:$G, 0),CHOOSE(MATCH(H1342, {"SML";"XL";"XXL"}, 0), 1, 2, 3)), 0)</f>
        <v>0</v>
      </c>
      <c r="K1342" s="10">
        <f t="shared" ref="K1342:K1405" si="48">IFERROR(I1342*J1342,0)</f>
        <v>0</v>
      </c>
      <c r="N1342" s="9" t="str">
        <f t="shared" ref="N1342:N1405" si="49">IF( OR(E1342="",F1342="",G1342=""), "",CLEAN(TRIM(E1342)) &amp; "|" &amp; CLEAN(TRIM(F1342)) &amp; "|" &amp; CLEAN(TRIM(G1342)))</f>
        <v/>
      </c>
      <c r="O1342" s="9" t="str">
        <f>IF(N1342="","",IF(COUNTIF(Precios!$G:$G,N1342)=0,"⚠ No coincide con Precios","OK"))</f>
        <v/>
      </c>
    </row>
    <row r="1343" spans="3:15" x14ac:dyDescent="0.2">
      <c r="C1343" s="9" cm="1">
        <f t="array" ref="C1343">IFERROR(_xlfn.XLOOKUP(B1343,Personal!$A:$A,Personal!$D:$D,""),"")</f>
        <v>0</v>
      </c>
      <c r="D1343" s="9" cm="1">
        <f t="array" ref="D1343">IFERROR(_xlfn.XLOOKUP(B1343,Personal!$A:$A,Personal!$C:$C,""),"")</f>
        <v>0</v>
      </c>
      <c r="E1343" s="9" t="str" cm="1">
        <f t="array" ref="E1343">IFERROR(_xlfn.XLOOKUP(D1343,Locales!$A:$A,Locales!$B:$B,""),"")</f>
        <v/>
      </c>
      <c r="F1343" s="9" cm="1">
        <f t="array" ref="F1343">IFERROR(_xlfn.XLOOKUP(B1343,Personal!$A:$A,Personal!$F:$F,""),"")</f>
        <v>0</v>
      </c>
      <c r="I1343" s="10" cm="1">
        <f t="array" ref="I1343">IFERROR(INDEX(Precios!$D:$F,MATCH(N1343, Precios!$G:$G, 0),CHOOSE(MATCH(H1343, {"SML";"XL";"XXL"}, 0), 1, 2, 3)), 0)</f>
        <v>0</v>
      </c>
      <c r="K1343" s="10">
        <f t="shared" si="48"/>
        <v>0</v>
      </c>
      <c r="N1343" s="9" t="str">
        <f t="shared" si="49"/>
        <v/>
      </c>
      <c r="O1343" s="9" t="str">
        <f>IF(N1343="","",IF(COUNTIF(Precios!$G:$G,N1343)=0,"⚠ No coincide con Precios","OK"))</f>
        <v/>
      </c>
    </row>
    <row r="1344" spans="3:15" x14ac:dyDescent="0.2">
      <c r="C1344" s="9" cm="1">
        <f t="array" ref="C1344">IFERROR(_xlfn.XLOOKUP(B1344,Personal!$A:$A,Personal!$D:$D,""),"")</f>
        <v>0</v>
      </c>
      <c r="D1344" s="9" cm="1">
        <f t="array" ref="D1344">IFERROR(_xlfn.XLOOKUP(B1344,Personal!$A:$A,Personal!$C:$C,""),"")</f>
        <v>0</v>
      </c>
      <c r="E1344" s="9" t="str" cm="1">
        <f t="array" ref="E1344">IFERROR(_xlfn.XLOOKUP(D1344,Locales!$A:$A,Locales!$B:$B,""),"")</f>
        <v/>
      </c>
      <c r="F1344" s="9" cm="1">
        <f t="array" ref="F1344">IFERROR(_xlfn.XLOOKUP(B1344,Personal!$A:$A,Personal!$F:$F,""),"")</f>
        <v>0</v>
      </c>
      <c r="I1344" s="10" cm="1">
        <f t="array" ref="I1344">IFERROR(INDEX(Precios!$D:$F,MATCH(N1344, Precios!$G:$G, 0),CHOOSE(MATCH(H1344, {"SML";"XL";"XXL"}, 0), 1, 2, 3)), 0)</f>
        <v>0</v>
      </c>
      <c r="K1344" s="10">
        <f t="shared" si="48"/>
        <v>0</v>
      </c>
      <c r="N1344" s="9" t="str">
        <f t="shared" si="49"/>
        <v/>
      </c>
      <c r="O1344" s="9" t="str">
        <f>IF(N1344="","",IF(COUNTIF(Precios!$G:$G,N1344)=0,"⚠ No coincide con Precios","OK"))</f>
        <v/>
      </c>
    </row>
    <row r="1345" spans="3:15" x14ac:dyDescent="0.2">
      <c r="C1345" s="9" cm="1">
        <f t="array" ref="C1345">IFERROR(_xlfn.XLOOKUP(B1345,Personal!$A:$A,Personal!$D:$D,""),"")</f>
        <v>0</v>
      </c>
      <c r="D1345" s="9" cm="1">
        <f t="array" ref="D1345">IFERROR(_xlfn.XLOOKUP(B1345,Personal!$A:$A,Personal!$C:$C,""),"")</f>
        <v>0</v>
      </c>
      <c r="E1345" s="9" t="str" cm="1">
        <f t="array" ref="E1345">IFERROR(_xlfn.XLOOKUP(D1345,Locales!$A:$A,Locales!$B:$B,""),"")</f>
        <v/>
      </c>
      <c r="F1345" s="9" cm="1">
        <f t="array" ref="F1345">IFERROR(_xlfn.XLOOKUP(B1345,Personal!$A:$A,Personal!$F:$F,""),"")</f>
        <v>0</v>
      </c>
      <c r="I1345" s="10" cm="1">
        <f t="array" ref="I1345">IFERROR(INDEX(Precios!$D:$F,MATCH(N1345, Precios!$G:$G, 0),CHOOSE(MATCH(H1345, {"SML";"XL";"XXL"}, 0), 1, 2, 3)), 0)</f>
        <v>0</v>
      </c>
      <c r="K1345" s="10">
        <f t="shared" si="48"/>
        <v>0</v>
      </c>
      <c r="N1345" s="9" t="str">
        <f t="shared" si="49"/>
        <v/>
      </c>
      <c r="O1345" s="9" t="str">
        <f>IF(N1345="","",IF(COUNTIF(Precios!$G:$G,N1345)=0,"⚠ No coincide con Precios","OK"))</f>
        <v/>
      </c>
    </row>
    <row r="1346" spans="3:15" x14ac:dyDescent="0.2">
      <c r="C1346" s="9" cm="1">
        <f t="array" ref="C1346">IFERROR(_xlfn.XLOOKUP(B1346,Personal!$A:$A,Personal!$D:$D,""),"")</f>
        <v>0</v>
      </c>
      <c r="D1346" s="9" cm="1">
        <f t="array" ref="D1346">IFERROR(_xlfn.XLOOKUP(B1346,Personal!$A:$A,Personal!$C:$C,""),"")</f>
        <v>0</v>
      </c>
      <c r="E1346" s="9" t="str" cm="1">
        <f t="array" ref="E1346">IFERROR(_xlfn.XLOOKUP(D1346,Locales!$A:$A,Locales!$B:$B,""),"")</f>
        <v/>
      </c>
      <c r="F1346" s="9" cm="1">
        <f t="array" ref="F1346">IFERROR(_xlfn.XLOOKUP(B1346,Personal!$A:$A,Personal!$F:$F,""),"")</f>
        <v>0</v>
      </c>
      <c r="I1346" s="10" cm="1">
        <f t="array" ref="I1346">IFERROR(INDEX(Precios!$D:$F,MATCH(N1346, Precios!$G:$G, 0),CHOOSE(MATCH(H1346, {"SML";"XL";"XXL"}, 0), 1, 2, 3)), 0)</f>
        <v>0</v>
      </c>
      <c r="K1346" s="10">
        <f t="shared" si="48"/>
        <v>0</v>
      </c>
      <c r="N1346" s="9" t="str">
        <f t="shared" si="49"/>
        <v/>
      </c>
      <c r="O1346" s="9" t="str">
        <f>IF(N1346="","",IF(COUNTIF(Precios!$G:$G,N1346)=0,"⚠ No coincide con Precios","OK"))</f>
        <v/>
      </c>
    </row>
    <row r="1347" spans="3:15" x14ac:dyDescent="0.2">
      <c r="C1347" s="9" cm="1">
        <f t="array" ref="C1347">IFERROR(_xlfn.XLOOKUP(B1347,Personal!$A:$A,Personal!$D:$D,""),"")</f>
        <v>0</v>
      </c>
      <c r="D1347" s="9" cm="1">
        <f t="array" ref="D1347">IFERROR(_xlfn.XLOOKUP(B1347,Personal!$A:$A,Personal!$C:$C,""),"")</f>
        <v>0</v>
      </c>
      <c r="E1347" s="9" t="str" cm="1">
        <f t="array" ref="E1347">IFERROR(_xlfn.XLOOKUP(D1347,Locales!$A:$A,Locales!$B:$B,""),"")</f>
        <v/>
      </c>
      <c r="F1347" s="9" cm="1">
        <f t="array" ref="F1347">IFERROR(_xlfn.XLOOKUP(B1347,Personal!$A:$A,Personal!$F:$F,""),"")</f>
        <v>0</v>
      </c>
      <c r="I1347" s="10" cm="1">
        <f t="array" ref="I1347">IFERROR(INDEX(Precios!$D:$F,MATCH(N1347, Precios!$G:$G, 0),CHOOSE(MATCH(H1347, {"SML";"XL";"XXL"}, 0), 1, 2, 3)), 0)</f>
        <v>0</v>
      </c>
      <c r="K1347" s="10">
        <f t="shared" si="48"/>
        <v>0</v>
      </c>
      <c r="N1347" s="9" t="str">
        <f t="shared" si="49"/>
        <v/>
      </c>
      <c r="O1347" s="9" t="str">
        <f>IF(N1347="","",IF(COUNTIF(Precios!$G:$G,N1347)=0,"⚠ No coincide con Precios","OK"))</f>
        <v/>
      </c>
    </row>
    <row r="1348" spans="3:15" x14ac:dyDescent="0.2">
      <c r="C1348" s="9" cm="1">
        <f t="array" ref="C1348">IFERROR(_xlfn.XLOOKUP(B1348,Personal!$A:$A,Personal!$D:$D,""),"")</f>
        <v>0</v>
      </c>
      <c r="D1348" s="9" cm="1">
        <f t="array" ref="D1348">IFERROR(_xlfn.XLOOKUP(B1348,Personal!$A:$A,Personal!$C:$C,""),"")</f>
        <v>0</v>
      </c>
      <c r="E1348" s="9" t="str" cm="1">
        <f t="array" ref="E1348">IFERROR(_xlfn.XLOOKUP(D1348,Locales!$A:$A,Locales!$B:$B,""),"")</f>
        <v/>
      </c>
      <c r="F1348" s="9" cm="1">
        <f t="array" ref="F1348">IFERROR(_xlfn.XLOOKUP(B1348,Personal!$A:$A,Personal!$F:$F,""),"")</f>
        <v>0</v>
      </c>
      <c r="I1348" s="10" cm="1">
        <f t="array" ref="I1348">IFERROR(INDEX(Precios!$D:$F,MATCH(N1348, Precios!$G:$G, 0),CHOOSE(MATCH(H1348, {"SML";"XL";"XXL"}, 0), 1, 2, 3)), 0)</f>
        <v>0</v>
      </c>
      <c r="K1348" s="10">
        <f t="shared" si="48"/>
        <v>0</v>
      </c>
      <c r="N1348" s="9" t="str">
        <f t="shared" si="49"/>
        <v/>
      </c>
      <c r="O1348" s="9" t="str">
        <f>IF(N1348="","",IF(COUNTIF(Precios!$G:$G,N1348)=0,"⚠ No coincide con Precios","OK"))</f>
        <v/>
      </c>
    </row>
    <row r="1349" spans="3:15" x14ac:dyDescent="0.2">
      <c r="C1349" s="9" cm="1">
        <f t="array" ref="C1349">IFERROR(_xlfn.XLOOKUP(B1349,Personal!$A:$A,Personal!$D:$D,""),"")</f>
        <v>0</v>
      </c>
      <c r="D1349" s="9" cm="1">
        <f t="array" ref="D1349">IFERROR(_xlfn.XLOOKUP(B1349,Personal!$A:$A,Personal!$C:$C,""),"")</f>
        <v>0</v>
      </c>
      <c r="E1349" s="9" t="str" cm="1">
        <f t="array" ref="E1349">IFERROR(_xlfn.XLOOKUP(D1349,Locales!$A:$A,Locales!$B:$B,""),"")</f>
        <v/>
      </c>
      <c r="F1349" s="9" cm="1">
        <f t="array" ref="F1349">IFERROR(_xlfn.XLOOKUP(B1349,Personal!$A:$A,Personal!$F:$F,""),"")</f>
        <v>0</v>
      </c>
      <c r="I1349" s="10" cm="1">
        <f t="array" ref="I1349">IFERROR(INDEX(Precios!$D:$F,MATCH(N1349, Precios!$G:$G, 0),CHOOSE(MATCH(H1349, {"SML";"XL";"XXL"}, 0), 1, 2, 3)), 0)</f>
        <v>0</v>
      </c>
      <c r="K1349" s="10">
        <f t="shared" si="48"/>
        <v>0</v>
      </c>
      <c r="N1349" s="9" t="str">
        <f t="shared" si="49"/>
        <v/>
      </c>
      <c r="O1349" s="9" t="str">
        <f>IF(N1349="","",IF(COUNTIF(Precios!$G:$G,N1349)=0,"⚠ No coincide con Precios","OK"))</f>
        <v/>
      </c>
    </row>
    <row r="1350" spans="3:15" x14ac:dyDescent="0.2">
      <c r="C1350" s="9" cm="1">
        <f t="array" ref="C1350">IFERROR(_xlfn.XLOOKUP(B1350,Personal!$A:$A,Personal!$D:$D,""),"")</f>
        <v>0</v>
      </c>
      <c r="D1350" s="9" cm="1">
        <f t="array" ref="D1350">IFERROR(_xlfn.XLOOKUP(B1350,Personal!$A:$A,Personal!$C:$C,""),"")</f>
        <v>0</v>
      </c>
      <c r="E1350" s="9" t="str" cm="1">
        <f t="array" ref="E1350">IFERROR(_xlfn.XLOOKUP(D1350,Locales!$A:$A,Locales!$B:$B,""),"")</f>
        <v/>
      </c>
      <c r="F1350" s="9" cm="1">
        <f t="array" ref="F1350">IFERROR(_xlfn.XLOOKUP(B1350,Personal!$A:$A,Personal!$F:$F,""),"")</f>
        <v>0</v>
      </c>
      <c r="I1350" s="10" cm="1">
        <f t="array" ref="I1350">IFERROR(INDEX(Precios!$D:$F,MATCH(N1350, Precios!$G:$G, 0),CHOOSE(MATCH(H1350, {"SML";"XL";"XXL"}, 0), 1, 2, 3)), 0)</f>
        <v>0</v>
      </c>
      <c r="K1350" s="10">
        <f t="shared" si="48"/>
        <v>0</v>
      </c>
      <c r="N1350" s="9" t="str">
        <f t="shared" si="49"/>
        <v/>
      </c>
      <c r="O1350" s="9" t="str">
        <f>IF(N1350="","",IF(COUNTIF(Precios!$G:$G,N1350)=0,"⚠ No coincide con Precios","OK"))</f>
        <v/>
      </c>
    </row>
    <row r="1351" spans="3:15" x14ac:dyDescent="0.2">
      <c r="C1351" s="9" cm="1">
        <f t="array" ref="C1351">IFERROR(_xlfn.XLOOKUP(B1351,Personal!$A:$A,Personal!$D:$D,""),"")</f>
        <v>0</v>
      </c>
      <c r="D1351" s="9" cm="1">
        <f t="array" ref="D1351">IFERROR(_xlfn.XLOOKUP(B1351,Personal!$A:$A,Personal!$C:$C,""),"")</f>
        <v>0</v>
      </c>
      <c r="E1351" s="9" t="str" cm="1">
        <f t="array" ref="E1351">IFERROR(_xlfn.XLOOKUP(D1351,Locales!$A:$A,Locales!$B:$B,""),"")</f>
        <v/>
      </c>
      <c r="F1351" s="9" cm="1">
        <f t="array" ref="F1351">IFERROR(_xlfn.XLOOKUP(B1351,Personal!$A:$A,Personal!$F:$F,""),"")</f>
        <v>0</v>
      </c>
      <c r="I1351" s="10" cm="1">
        <f t="array" ref="I1351">IFERROR(INDEX(Precios!$D:$F,MATCH(N1351, Precios!$G:$G, 0),CHOOSE(MATCH(H1351, {"SML";"XL";"XXL"}, 0), 1, 2, 3)), 0)</f>
        <v>0</v>
      </c>
      <c r="K1351" s="10">
        <f t="shared" si="48"/>
        <v>0</v>
      </c>
      <c r="N1351" s="9" t="str">
        <f t="shared" si="49"/>
        <v/>
      </c>
      <c r="O1351" s="9" t="str">
        <f>IF(N1351="","",IF(COUNTIF(Precios!$G:$G,N1351)=0,"⚠ No coincide con Precios","OK"))</f>
        <v/>
      </c>
    </row>
    <row r="1352" spans="3:15" x14ac:dyDescent="0.2">
      <c r="C1352" s="9" cm="1">
        <f t="array" ref="C1352">IFERROR(_xlfn.XLOOKUP(B1352,Personal!$A:$A,Personal!$D:$D,""),"")</f>
        <v>0</v>
      </c>
      <c r="D1352" s="9" cm="1">
        <f t="array" ref="D1352">IFERROR(_xlfn.XLOOKUP(B1352,Personal!$A:$A,Personal!$C:$C,""),"")</f>
        <v>0</v>
      </c>
      <c r="E1352" s="9" t="str" cm="1">
        <f t="array" ref="E1352">IFERROR(_xlfn.XLOOKUP(D1352,Locales!$A:$A,Locales!$B:$B,""),"")</f>
        <v/>
      </c>
      <c r="F1352" s="9" cm="1">
        <f t="array" ref="F1352">IFERROR(_xlfn.XLOOKUP(B1352,Personal!$A:$A,Personal!$F:$F,""),"")</f>
        <v>0</v>
      </c>
      <c r="I1352" s="10" cm="1">
        <f t="array" ref="I1352">IFERROR(INDEX(Precios!$D:$F,MATCH(N1352, Precios!$G:$G, 0),CHOOSE(MATCH(H1352, {"SML";"XL";"XXL"}, 0), 1, 2, 3)), 0)</f>
        <v>0</v>
      </c>
      <c r="K1352" s="10">
        <f t="shared" si="48"/>
        <v>0</v>
      </c>
      <c r="N1352" s="9" t="str">
        <f t="shared" si="49"/>
        <v/>
      </c>
      <c r="O1352" s="9" t="str">
        <f>IF(N1352="","",IF(COUNTIF(Precios!$G:$G,N1352)=0,"⚠ No coincide con Precios","OK"))</f>
        <v/>
      </c>
    </row>
    <row r="1353" spans="3:15" x14ac:dyDescent="0.2">
      <c r="C1353" s="9" cm="1">
        <f t="array" ref="C1353">IFERROR(_xlfn.XLOOKUP(B1353,Personal!$A:$A,Personal!$D:$D,""),"")</f>
        <v>0</v>
      </c>
      <c r="D1353" s="9" cm="1">
        <f t="array" ref="D1353">IFERROR(_xlfn.XLOOKUP(B1353,Personal!$A:$A,Personal!$C:$C,""),"")</f>
        <v>0</v>
      </c>
      <c r="E1353" s="9" t="str" cm="1">
        <f t="array" ref="E1353">IFERROR(_xlfn.XLOOKUP(D1353,Locales!$A:$A,Locales!$B:$B,""),"")</f>
        <v/>
      </c>
      <c r="F1353" s="9" cm="1">
        <f t="array" ref="F1353">IFERROR(_xlfn.XLOOKUP(B1353,Personal!$A:$A,Personal!$F:$F,""),"")</f>
        <v>0</v>
      </c>
      <c r="I1353" s="10" cm="1">
        <f t="array" ref="I1353">IFERROR(INDEX(Precios!$D:$F,MATCH(N1353, Precios!$G:$G, 0),CHOOSE(MATCH(H1353, {"SML";"XL";"XXL"}, 0), 1, 2, 3)), 0)</f>
        <v>0</v>
      </c>
      <c r="K1353" s="10">
        <f t="shared" si="48"/>
        <v>0</v>
      </c>
      <c r="N1353" s="9" t="str">
        <f t="shared" si="49"/>
        <v/>
      </c>
      <c r="O1353" s="9" t="str">
        <f>IF(N1353="","",IF(COUNTIF(Precios!$G:$G,N1353)=0,"⚠ No coincide con Precios","OK"))</f>
        <v/>
      </c>
    </row>
    <row r="1354" spans="3:15" x14ac:dyDescent="0.2">
      <c r="C1354" s="9" cm="1">
        <f t="array" ref="C1354">IFERROR(_xlfn.XLOOKUP(B1354,Personal!$A:$A,Personal!$D:$D,""),"")</f>
        <v>0</v>
      </c>
      <c r="D1354" s="9" cm="1">
        <f t="array" ref="D1354">IFERROR(_xlfn.XLOOKUP(B1354,Personal!$A:$A,Personal!$C:$C,""),"")</f>
        <v>0</v>
      </c>
      <c r="E1354" s="9" t="str" cm="1">
        <f t="array" ref="E1354">IFERROR(_xlfn.XLOOKUP(D1354,Locales!$A:$A,Locales!$B:$B,""),"")</f>
        <v/>
      </c>
      <c r="F1354" s="9" cm="1">
        <f t="array" ref="F1354">IFERROR(_xlfn.XLOOKUP(B1354,Personal!$A:$A,Personal!$F:$F,""),"")</f>
        <v>0</v>
      </c>
      <c r="I1354" s="10" cm="1">
        <f t="array" ref="I1354">IFERROR(INDEX(Precios!$D:$F,MATCH(N1354, Precios!$G:$G, 0),CHOOSE(MATCH(H1354, {"SML";"XL";"XXL"}, 0), 1, 2, 3)), 0)</f>
        <v>0</v>
      </c>
      <c r="K1354" s="10">
        <f t="shared" si="48"/>
        <v>0</v>
      </c>
      <c r="N1354" s="9" t="str">
        <f t="shared" si="49"/>
        <v/>
      </c>
      <c r="O1354" s="9" t="str">
        <f>IF(N1354="","",IF(COUNTIF(Precios!$G:$G,N1354)=0,"⚠ No coincide con Precios","OK"))</f>
        <v/>
      </c>
    </row>
    <row r="1355" spans="3:15" x14ac:dyDescent="0.2">
      <c r="C1355" s="9" cm="1">
        <f t="array" ref="C1355">IFERROR(_xlfn.XLOOKUP(B1355,Personal!$A:$A,Personal!$D:$D,""),"")</f>
        <v>0</v>
      </c>
      <c r="D1355" s="9" cm="1">
        <f t="array" ref="D1355">IFERROR(_xlfn.XLOOKUP(B1355,Personal!$A:$A,Personal!$C:$C,""),"")</f>
        <v>0</v>
      </c>
      <c r="E1355" s="9" t="str" cm="1">
        <f t="array" ref="E1355">IFERROR(_xlfn.XLOOKUP(D1355,Locales!$A:$A,Locales!$B:$B,""),"")</f>
        <v/>
      </c>
      <c r="F1355" s="9" cm="1">
        <f t="array" ref="F1355">IFERROR(_xlfn.XLOOKUP(B1355,Personal!$A:$A,Personal!$F:$F,""),"")</f>
        <v>0</v>
      </c>
      <c r="I1355" s="10" cm="1">
        <f t="array" ref="I1355">IFERROR(INDEX(Precios!$D:$F,MATCH(N1355, Precios!$G:$G, 0),CHOOSE(MATCH(H1355, {"SML";"XL";"XXL"}, 0), 1, 2, 3)), 0)</f>
        <v>0</v>
      </c>
      <c r="K1355" s="10">
        <f t="shared" si="48"/>
        <v>0</v>
      </c>
      <c r="N1355" s="9" t="str">
        <f t="shared" si="49"/>
        <v/>
      </c>
      <c r="O1355" s="9" t="str">
        <f>IF(N1355="","",IF(COUNTIF(Precios!$G:$G,N1355)=0,"⚠ No coincide con Precios","OK"))</f>
        <v/>
      </c>
    </row>
    <row r="1356" spans="3:15" x14ac:dyDescent="0.2">
      <c r="C1356" s="9" cm="1">
        <f t="array" ref="C1356">IFERROR(_xlfn.XLOOKUP(B1356,Personal!$A:$A,Personal!$D:$D,""),"")</f>
        <v>0</v>
      </c>
      <c r="D1356" s="9" cm="1">
        <f t="array" ref="D1356">IFERROR(_xlfn.XLOOKUP(B1356,Personal!$A:$A,Personal!$C:$C,""),"")</f>
        <v>0</v>
      </c>
      <c r="E1356" s="9" t="str" cm="1">
        <f t="array" ref="E1356">IFERROR(_xlfn.XLOOKUP(D1356,Locales!$A:$A,Locales!$B:$B,""),"")</f>
        <v/>
      </c>
      <c r="F1356" s="9" cm="1">
        <f t="array" ref="F1356">IFERROR(_xlfn.XLOOKUP(B1356,Personal!$A:$A,Personal!$F:$F,""),"")</f>
        <v>0</v>
      </c>
      <c r="I1356" s="10" cm="1">
        <f t="array" ref="I1356">IFERROR(INDEX(Precios!$D:$F,MATCH(N1356, Precios!$G:$G, 0),CHOOSE(MATCH(H1356, {"SML";"XL";"XXL"}, 0), 1, 2, 3)), 0)</f>
        <v>0</v>
      </c>
      <c r="K1356" s="10">
        <f t="shared" si="48"/>
        <v>0</v>
      </c>
      <c r="N1356" s="9" t="str">
        <f t="shared" si="49"/>
        <v/>
      </c>
      <c r="O1356" s="9" t="str">
        <f>IF(N1356="","",IF(COUNTIF(Precios!$G:$G,N1356)=0,"⚠ No coincide con Precios","OK"))</f>
        <v/>
      </c>
    </row>
    <row r="1357" spans="3:15" x14ac:dyDescent="0.2">
      <c r="C1357" s="9" cm="1">
        <f t="array" ref="C1357">IFERROR(_xlfn.XLOOKUP(B1357,Personal!$A:$A,Personal!$D:$D,""),"")</f>
        <v>0</v>
      </c>
      <c r="D1357" s="9" cm="1">
        <f t="array" ref="D1357">IFERROR(_xlfn.XLOOKUP(B1357,Personal!$A:$A,Personal!$C:$C,""),"")</f>
        <v>0</v>
      </c>
      <c r="E1357" s="9" t="str" cm="1">
        <f t="array" ref="E1357">IFERROR(_xlfn.XLOOKUP(D1357,Locales!$A:$A,Locales!$B:$B,""),"")</f>
        <v/>
      </c>
      <c r="F1357" s="9" cm="1">
        <f t="array" ref="F1357">IFERROR(_xlfn.XLOOKUP(B1357,Personal!$A:$A,Personal!$F:$F,""),"")</f>
        <v>0</v>
      </c>
      <c r="I1357" s="10" cm="1">
        <f t="array" ref="I1357">IFERROR(INDEX(Precios!$D:$F,MATCH(N1357, Precios!$G:$G, 0),CHOOSE(MATCH(H1357, {"SML";"XL";"XXL"}, 0), 1, 2, 3)), 0)</f>
        <v>0</v>
      </c>
      <c r="K1357" s="10">
        <f t="shared" si="48"/>
        <v>0</v>
      </c>
      <c r="N1357" s="9" t="str">
        <f t="shared" si="49"/>
        <v/>
      </c>
      <c r="O1357" s="9" t="str">
        <f>IF(N1357="","",IF(COUNTIF(Precios!$G:$G,N1357)=0,"⚠ No coincide con Precios","OK"))</f>
        <v/>
      </c>
    </row>
    <row r="1358" spans="3:15" x14ac:dyDescent="0.2">
      <c r="C1358" s="9" cm="1">
        <f t="array" ref="C1358">IFERROR(_xlfn.XLOOKUP(B1358,Personal!$A:$A,Personal!$D:$D,""),"")</f>
        <v>0</v>
      </c>
      <c r="D1358" s="9" cm="1">
        <f t="array" ref="D1358">IFERROR(_xlfn.XLOOKUP(B1358,Personal!$A:$A,Personal!$C:$C,""),"")</f>
        <v>0</v>
      </c>
      <c r="E1358" s="9" t="str" cm="1">
        <f t="array" ref="E1358">IFERROR(_xlfn.XLOOKUP(D1358,Locales!$A:$A,Locales!$B:$B,""),"")</f>
        <v/>
      </c>
      <c r="F1358" s="9" cm="1">
        <f t="array" ref="F1358">IFERROR(_xlfn.XLOOKUP(B1358,Personal!$A:$A,Personal!$F:$F,""),"")</f>
        <v>0</v>
      </c>
      <c r="I1358" s="10" cm="1">
        <f t="array" ref="I1358">IFERROR(INDEX(Precios!$D:$F,MATCH(N1358, Precios!$G:$G, 0),CHOOSE(MATCH(H1358, {"SML";"XL";"XXL"}, 0), 1, 2, 3)), 0)</f>
        <v>0</v>
      </c>
      <c r="K1358" s="10">
        <f t="shared" si="48"/>
        <v>0</v>
      </c>
      <c r="N1358" s="9" t="str">
        <f t="shared" si="49"/>
        <v/>
      </c>
      <c r="O1358" s="9" t="str">
        <f>IF(N1358="","",IF(COUNTIF(Precios!$G:$G,N1358)=0,"⚠ No coincide con Precios","OK"))</f>
        <v/>
      </c>
    </row>
    <row r="1359" spans="3:15" x14ac:dyDescent="0.2">
      <c r="C1359" s="9" cm="1">
        <f t="array" ref="C1359">IFERROR(_xlfn.XLOOKUP(B1359,Personal!$A:$A,Personal!$D:$D,""),"")</f>
        <v>0</v>
      </c>
      <c r="D1359" s="9" cm="1">
        <f t="array" ref="D1359">IFERROR(_xlfn.XLOOKUP(B1359,Personal!$A:$A,Personal!$C:$C,""),"")</f>
        <v>0</v>
      </c>
      <c r="E1359" s="9" t="str" cm="1">
        <f t="array" ref="E1359">IFERROR(_xlfn.XLOOKUP(D1359,Locales!$A:$A,Locales!$B:$B,""),"")</f>
        <v/>
      </c>
      <c r="F1359" s="9" cm="1">
        <f t="array" ref="F1359">IFERROR(_xlfn.XLOOKUP(B1359,Personal!$A:$A,Personal!$F:$F,""),"")</f>
        <v>0</v>
      </c>
      <c r="I1359" s="10" cm="1">
        <f t="array" ref="I1359">IFERROR(INDEX(Precios!$D:$F,MATCH(N1359, Precios!$G:$G, 0),CHOOSE(MATCH(H1359, {"SML";"XL";"XXL"}, 0), 1, 2, 3)), 0)</f>
        <v>0</v>
      </c>
      <c r="K1359" s="10">
        <f t="shared" si="48"/>
        <v>0</v>
      </c>
      <c r="N1359" s="9" t="str">
        <f t="shared" si="49"/>
        <v/>
      </c>
      <c r="O1359" s="9" t="str">
        <f>IF(N1359="","",IF(COUNTIF(Precios!$G:$G,N1359)=0,"⚠ No coincide con Precios","OK"))</f>
        <v/>
      </c>
    </row>
    <row r="1360" spans="3:15" x14ac:dyDescent="0.2">
      <c r="C1360" s="9" cm="1">
        <f t="array" ref="C1360">IFERROR(_xlfn.XLOOKUP(B1360,Personal!$A:$A,Personal!$D:$D,""),"")</f>
        <v>0</v>
      </c>
      <c r="D1360" s="9" cm="1">
        <f t="array" ref="D1360">IFERROR(_xlfn.XLOOKUP(B1360,Personal!$A:$A,Personal!$C:$C,""),"")</f>
        <v>0</v>
      </c>
      <c r="E1360" s="9" t="str" cm="1">
        <f t="array" ref="E1360">IFERROR(_xlfn.XLOOKUP(D1360,Locales!$A:$A,Locales!$B:$B,""),"")</f>
        <v/>
      </c>
      <c r="F1360" s="9" cm="1">
        <f t="array" ref="F1360">IFERROR(_xlfn.XLOOKUP(B1360,Personal!$A:$A,Personal!$F:$F,""),"")</f>
        <v>0</v>
      </c>
      <c r="I1360" s="10" cm="1">
        <f t="array" ref="I1360">IFERROR(INDEX(Precios!$D:$F,MATCH(N1360, Precios!$G:$G, 0),CHOOSE(MATCH(H1360, {"SML";"XL";"XXL"}, 0), 1, 2, 3)), 0)</f>
        <v>0</v>
      </c>
      <c r="K1360" s="10">
        <f t="shared" si="48"/>
        <v>0</v>
      </c>
      <c r="N1360" s="9" t="str">
        <f t="shared" si="49"/>
        <v/>
      </c>
      <c r="O1360" s="9" t="str">
        <f>IF(N1360="","",IF(COUNTIF(Precios!$G:$G,N1360)=0,"⚠ No coincide con Precios","OK"))</f>
        <v/>
      </c>
    </row>
    <row r="1361" spans="3:15" x14ac:dyDescent="0.2">
      <c r="C1361" s="9" cm="1">
        <f t="array" ref="C1361">IFERROR(_xlfn.XLOOKUP(B1361,Personal!$A:$A,Personal!$D:$D,""),"")</f>
        <v>0</v>
      </c>
      <c r="D1361" s="9" cm="1">
        <f t="array" ref="D1361">IFERROR(_xlfn.XLOOKUP(B1361,Personal!$A:$A,Personal!$C:$C,""),"")</f>
        <v>0</v>
      </c>
      <c r="E1361" s="9" t="str" cm="1">
        <f t="array" ref="E1361">IFERROR(_xlfn.XLOOKUP(D1361,Locales!$A:$A,Locales!$B:$B,""),"")</f>
        <v/>
      </c>
      <c r="F1361" s="9" cm="1">
        <f t="array" ref="F1361">IFERROR(_xlfn.XLOOKUP(B1361,Personal!$A:$A,Personal!$F:$F,""),"")</f>
        <v>0</v>
      </c>
      <c r="I1361" s="10" cm="1">
        <f t="array" ref="I1361">IFERROR(INDEX(Precios!$D:$F,MATCH(N1361, Precios!$G:$G, 0),CHOOSE(MATCH(H1361, {"SML";"XL";"XXL"}, 0), 1, 2, 3)), 0)</f>
        <v>0</v>
      </c>
      <c r="K1361" s="10">
        <f t="shared" si="48"/>
        <v>0</v>
      </c>
      <c r="N1361" s="9" t="str">
        <f t="shared" si="49"/>
        <v/>
      </c>
      <c r="O1361" s="9" t="str">
        <f>IF(N1361="","",IF(COUNTIF(Precios!$G:$G,N1361)=0,"⚠ No coincide con Precios","OK"))</f>
        <v/>
      </c>
    </row>
    <row r="1362" spans="3:15" x14ac:dyDescent="0.2">
      <c r="C1362" s="9" cm="1">
        <f t="array" ref="C1362">IFERROR(_xlfn.XLOOKUP(B1362,Personal!$A:$A,Personal!$D:$D,""),"")</f>
        <v>0</v>
      </c>
      <c r="D1362" s="9" cm="1">
        <f t="array" ref="D1362">IFERROR(_xlfn.XLOOKUP(B1362,Personal!$A:$A,Personal!$C:$C,""),"")</f>
        <v>0</v>
      </c>
      <c r="E1362" s="9" t="str" cm="1">
        <f t="array" ref="E1362">IFERROR(_xlfn.XLOOKUP(D1362,Locales!$A:$A,Locales!$B:$B,""),"")</f>
        <v/>
      </c>
      <c r="F1362" s="9" cm="1">
        <f t="array" ref="F1362">IFERROR(_xlfn.XLOOKUP(B1362,Personal!$A:$A,Personal!$F:$F,""),"")</f>
        <v>0</v>
      </c>
      <c r="I1362" s="10" cm="1">
        <f t="array" ref="I1362">IFERROR(INDEX(Precios!$D:$F,MATCH(N1362, Precios!$G:$G, 0),CHOOSE(MATCH(H1362, {"SML";"XL";"XXL"}, 0), 1, 2, 3)), 0)</f>
        <v>0</v>
      </c>
      <c r="K1362" s="10">
        <f t="shared" si="48"/>
        <v>0</v>
      </c>
      <c r="N1362" s="9" t="str">
        <f t="shared" si="49"/>
        <v/>
      </c>
      <c r="O1362" s="9" t="str">
        <f>IF(N1362="","",IF(COUNTIF(Precios!$G:$G,N1362)=0,"⚠ No coincide con Precios","OK"))</f>
        <v/>
      </c>
    </row>
    <row r="1363" spans="3:15" x14ac:dyDescent="0.2">
      <c r="C1363" s="9" cm="1">
        <f t="array" ref="C1363">IFERROR(_xlfn.XLOOKUP(B1363,Personal!$A:$A,Personal!$D:$D,""),"")</f>
        <v>0</v>
      </c>
      <c r="D1363" s="9" cm="1">
        <f t="array" ref="D1363">IFERROR(_xlfn.XLOOKUP(B1363,Personal!$A:$A,Personal!$C:$C,""),"")</f>
        <v>0</v>
      </c>
      <c r="E1363" s="9" t="str" cm="1">
        <f t="array" ref="E1363">IFERROR(_xlfn.XLOOKUP(D1363,Locales!$A:$A,Locales!$B:$B,""),"")</f>
        <v/>
      </c>
      <c r="F1363" s="9" cm="1">
        <f t="array" ref="F1363">IFERROR(_xlfn.XLOOKUP(B1363,Personal!$A:$A,Personal!$F:$F,""),"")</f>
        <v>0</v>
      </c>
      <c r="I1363" s="10" cm="1">
        <f t="array" ref="I1363">IFERROR(INDEX(Precios!$D:$F,MATCH(N1363, Precios!$G:$G, 0),CHOOSE(MATCH(H1363, {"SML";"XL";"XXL"}, 0), 1, 2, 3)), 0)</f>
        <v>0</v>
      </c>
      <c r="K1363" s="10">
        <f t="shared" si="48"/>
        <v>0</v>
      </c>
      <c r="N1363" s="9" t="str">
        <f t="shared" si="49"/>
        <v/>
      </c>
      <c r="O1363" s="9" t="str">
        <f>IF(N1363="","",IF(COUNTIF(Precios!$G:$G,N1363)=0,"⚠ No coincide con Precios","OK"))</f>
        <v/>
      </c>
    </row>
    <row r="1364" spans="3:15" x14ac:dyDescent="0.2">
      <c r="C1364" s="9" cm="1">
        <f t="array" ref="C1364">IFERROR(_xlfn.XLOOKUP(B1364,Personal!$A:$A,Personal!$D:$D,""),"")</f>
        <v>0</v>
      </c>
      <c r="D1364" s="9" cm="1">
        <f t="array" ref="D1364">IFERROR(_xlfn.XLOOKUP(B1364,Personal!$A:$A,Personal!$C:$C,""),"")</f>
        <v>0</v>
      </c>
      <c r="E1364" s="9" t="str" cm="1">
        <f t="array" ref="E1364">IFERROR(_xlfn.XLOOKUP(D1364,Locales!$A:$A,Locales!$B:$B,""),"")</f>
        <v/>
      </c>
      <c r="F1364" s="9" cm="1">
        <f t="array" ref="F1364">IFERROR(_xlfn.XLOOKUP(B1364,Personal!$A:$A,Personal!$F:$F,""),"")</f>
        <v>0</v>
      </c>
      <c r="I1364" s="10" cm="1">
        <f t="array" ref="I1364">IFERROR(INDEX(Precios!$D:$F,MATCH(N1364, Precios!$G:$G, 0),CHOOSE(MATCH(H1364, {"SML";"XL";"XXL"}, 0), 1, 2, 3)), 0)</f>
        <v>0</v>
      </c>
      <c r="K1364" s="10">
        <f t="shared" si="48"/>
        <v>0</v>
      </c>
      <c r="N1364" s="9" t="str">
        <f t="shared" si="49"/>
        <v/>
      </c>
      <c r="O1364" s="9" t="str">
        <f>IF(N1364="","",IF(COUNTIF(Precios!$G:$G,N1364)=0,"⚠ No coincide con Precios","OK"))</f>
        <v/>
      </c>
    </row>
    <row r="1365" spans="3:15" x14ac:dyDescent="0.2">
      <c r="C1365" s="9" cm="1">
        <f t="array" ref="C1365">IFERROR(_xlfn.XLOOKUP(B1365,Personal!$A:$A,Personal!$D:$D,""),"")</f>
        <v>0</v>
      </c>
      <c r="D1365" s="9" cm="1">
        <f t="array" ref="D1365">IFERROR(_xlfn.XLOOKUP(B1365,Personal!$A:$A,Personal!$C:$C,""),"")</f>
        <v>0</v>
      </c>
      <c r="E1365" s="9" t="str" cm="1">
        <f t="array" ref="E1365">IFERROR(_xlfn.XLOOKUP(D1365,Locales!$A:$A,Locales!$B:$B,""),"")</f>
        <v/>
      </c>
      <c r="F1365" s="9" cm="1">
        <f t="array" ref="F1365">IFERROR(_xlfn.XLOOKUP(B1365,Personal!$A:$A,Personal!$F:$F,""),"")</f>
        <v>0</v>
      </c>
      <c r="I1365" s="10" cm="1">
        <f t="array" ref="I1365">IFERROR(INDEX(Precios!$D:$F,MATCH(N1365, Precios!$G:$G, 0),CHOOSE(MATCH(H1365, {"SML";"XL";"XXL"}, 0), 1, 2, 3)), 0)</f>
        <v>0</v>
      </c>
      <c r="K1365" s="10">
        <f t="shared" si="48"/>
        <v>0</v>
      </c>
      <c r="N1365" s="9" t="str">
        <f t="shared" si="49"/>
        <v/>
      </c>
      <c r="O1365" s="9" t="str">
        <f>IF(N1365="","",IF(COUNTIF(Precios!$G:$G,N1365)=0,"⚠ No coincide con Precios","OK"))</f>
        <v/>
      </c>
    </row>
    <row r="1366" spans="3:15" x14ac:dyDescent="0.2">
      <c r="C1366" s="9" cm="1">
        <f t="array" ref="C1366">IFERROR(_xlfn.XLOOKUP(B1366,Personal!$A:$A,Personal!$D:$D,""),"")</f>
        <v>0</v>
      </c>
      <c r="D1366" s="9" cm="1">
        <f t="array" ref="D1366">IFERROR(_xlfn.XLOOKUP(B1366,Personal!$A:$A,Personal!$C:$C,""),"")</f>
        <v>0</v>
      </c>
      <c r="E1366" s="9" t="str" cm="1">
        <f t="array" ref="E1366">IFERROR(_xlfn.XLOOKUP(D1366,Locales!$A:$A,Locales!$B:$B,""),"")</f>
        <v/>
      </c>
      <c r="F1366" s="9" cm="1">
        <f t="array" ref="F1366">IFERROR(_xlfn.XLOOKUP(B1366,Personal!$A:$A,Personal!$F:$F,""),"")</f>
        <v>0</v>
      </c>
      <c r="I1366" s="10" cm="1">
        <f t="array" ref="I1366">IFERROR(INDEX(Precios!$D:$F,MATCH(N1366, Precios!$G:$G, 0),CHOOSE(MATCH(H1366, {"SML";"XL";"XXL"}, 0), 1, 2, 3)), 0)</f>
        <v>0</v>
      </c>
      <c r="K1366" s="10">
        <f t="shared" si="48"/>
        <v>0</v>
      </c>
      <c r="N1366" s="9" t="str">
        <f t="shared" si="49"/>
        <v/>
      </c>
      <c r="O1366" s="9" t="str">
        <f>IF(N1366="","",IF(COUNTIF(Precios!$G:$G,N1366)=0,"⚠ No coincide con Precios","OK"))</f>
        <v/>
      </c>
    </row>
    <row r="1367" spans="3:15" x14ac:dyDescent="0.2">
      <c r="C1367" s="9" cm="1">
        <f t="array" ref="C1367">IFERROR(_xlfn.XLOOKUP(B1367,Personal!$A:$A,Personal!$D:$D,""),"")</f>
        <v>0</v>
      </c>
      <c r="D1367" s="9" cm="1">
        <f t="array" ref="D1367">IFERROR(_xlfn.XLOOKUP(B1367,Personal!$A:$A,Personal!$C:$C,""),"")</f>
        <v>0</v>
      </c>
      <c r="E1367" s="9" t="str" cm="1">
        <f t="array" ref="E1367">IFERROR(_xlfn.XLOOKUP(D1367,Locales!$A:$A,Locales!$B:$B,""),"")</f>
        <v/>
      </c>
      <c r="F1367" s="9" cm="1">
        <f t="array" ref="F1367">IFERROR(_xlfn.XLOOKUP(B1367,Personal!$A:$A,Personal!$F:$F,""),"")</f>
        <v>0</v>
      </c>
      <c r="I1367" s="10" cm="1">
        <f t="array" ref="I1367">IFERROR(INDEX(Precios!$D:$F,MATCH(N1367, Precios!$G:$G, 0),CHOOSE(MATCH(H1367, {"SML";"XL";"XXL"}, 0), 1, 2, 3)), 0)</f>
        <v>0</v>
      </c>
      <c r="K1367" s="10">
        <f t="shared" si="48"/>
        <v>0</v>
      </c>
      <c r="N1367" s="9" t="str">
        <f t="shared" si="49"/>
        <v/>
      </c>
      <c r="O1367" s="9" t="str">
        <f>IF(N1367="","",IF(COUNTIF(Precios!$G:$G,N1367)=0,"⚠ No coincide con Precios","OK"))</f>
        <v/>
      </c>
    </row>
    <row r="1368" spans="3:15" x14ac:dyDescent="0.2">
      <c r="C1368" s="9" cm="1">
        <f t="array" ref="C1368">IFERROR(_xlfn.XLOOKUP(B1368,Personal!$A:$A,Personal!$D:$D,""),"")</f>
        <v>0</v>
      </c>
      <c r="D1368" s="9" cm="1">
        <f t="array" ref="D1368">IFERROR(_xlfn.XLOOKUP(B1368,Personal!$A:$A,Personal!$C:$C,""),"")</f>
        <v>0</v>
      </c>
      <c r="E1368" s="9" t="str" cm="1">
        <f t="array" ref="E1368">IFERROR(_xlfn.XLOOKUP(D1368,Locales!$A:$A,Locales!$B:$B,""),"")</f>
        <v/>
      </c>
      <c r="F1368" s="9" cm="1">
        <f t="array" ref="F1368">IFERROR(_xlfn.XLOOKUP(B1368,Personal!$A:$A,Personal!$F:$F,""),"")</f>
        <v>0</v>
      </c>
      <c r="I1368" s="10" cm="1">
        <f t="array" ref="I1368">IFERROR(INDEX(Precios!$D:$F,MATCH(N1368, Precios!$G:$G, 0),CHOOSE(MATCH(H1368, {"SML";"XL";"XXL"}, 0), 1, 2, 3)), 0)</f>
        <v>0</v>
      </c>
      <c r="K1368" s="10">
        <f t="shared" si="48"/>
        <v>0</v>
      </c>
      <c r="N1368" s="9" t="str">
        <f t="shared" si="49"/>
        <v/>
      </c>
      <c r="O1368" s="9" t="str">
        <f>IF(N1368="","",IF(COUNTIF(Precios!$G:$G,N1368)=0,"⚠ No coincide con Precios","OK"))</f>
        <v/>
      </c>
    </row>
    <row r="1369" spans="3:15" x14ac:dyDescent="0.2">
      <c r="C1369" s="9" cm="1">
        <f t="array" ref="C1369">IFERROR(_xlfn.XLOOKUP(B1369,Personal!$A:$A,Personal!$D:$D,""),"")</f>
        <v>0</v>
      </c>
      <c r="D1369" s="9" cm="1">
        <f t="array" ref="D1369">IFERROR(_xlfn.XLOOKUP(B1369,Personal!$A:$A,Personal!$C:$C,""),"")</f>
        <v>0</v>
      </c>
      <c r="E1369" s="9" t="str" cm="1">
        <f t="array" ref="E1369">IFERROR(_xlfn.XLOOKUP(D1369,Locales!$A:$A,Locales!$B:$B,""),"")</f>
        <v/>
      </c>
      <c r="F1369" s="9" cm="1">
        <f t="array" ref="F1369">IFERROR(_xlfn.XLOOKUP(B1369,Personal!$A:$A,Personal!$F:$F,""),"")</f>
        <v>0</v>
      </c>
      <c r="I1369" s="10" cm="1">
        <f t="array" ref="I1369">IFERROR(INDEX(Precios!$D:$F,MATCH(N1369, Precios!$G:$G, 0),CHOOSE(MATCH(H1369, {"SML";"XL";"XXL"}, 0), 1, 2, 3)), 0)</f>
        <v>0</v>
      </c>
      <c r="K1369" s="10">
        <f t="shared" si="48"/>
        <v>0</v>
      </c>
      <c r="N1369" s="9" t="str">
        <f t="shared" si="49"/>
        <v/>
      </c>
      <c r="O1369" s="9" t="str">
        <f>IF(N1369="","",IF(COUNTIF(Precios!$G:$G,N1369)=0,"⚠ No coincide con Precios","OK"))</f>
        <v/>
      </c>
    </row>
    <row r="1370" spans="3:15" x14ac:dyDescent="0.2">
      <c r="C1370" s="9" cm="1">
        <f t="array" ref="C1370">IFERROR(_xlfn.XLOOKUP(B1370,Personal!$A:$A,Personal!$D:$D,""),"")</f>
        <v>0</v>
      </c>
      <c r="D1370" s="9" cm="1">
        <f t="array" ref="D1370">IFERROR(_xlfn.XLOOKUP(B1370,Personal!$A:$A,Personal!$C:$C,""),"")</f>
        <v>0</v>
      </c>
      <c r="E1370" s="9" t="str" cm="1">
        <f t="array" ref="E1370">IFERROR(_xlfn.XLOOKUP(D1370,Locales!$A:$A,Locales!$B:$B,""),"")</f>
        <v/>
      </c>
      <c r="F1370" s="9" cm="1">
        <f t="array" ref="F1370">IFERROR(_xlfn.XLOOKUP(B1370,Personal!$A:$A,Personal!$F:$F,""),"")</f>
        <v>0</v>
      </c>
      <c r="I1370" s="10" cm="1">
        <f t="array" ref="I1370">IFERROR(INDEX(Precios!$D:$F,MATCH(N1370, Precios!$G:$G, 0),CHOOSE(MATCH(H1370, {"SML";"XL";"XXL"}, 0), 1, 2, 3)), 0)</f>
        <v>0</v>
      </c>
      <c r="K1370" s="10">
        <f t="shared" si="48"/>
        <v>0</v>
      </c>
      <c r="N1370" s="9" t="str">
        <f t="shared" si="49"/>
        <v/>
      </c>
      <c r="O1370" s="9" t="str">
        <f>IF(N1370="","",IF(COUNTIF(Precios!$G:$G,N1370)=0,"⚠ No coincide con Precios","OK"))</f>
        <v/>
      </c>
    </row>
    <row r="1371" spans="3:15" x14ac:dyDescent="0.2">
      <c r="C1371" s="9" cm="1">
        <f t="array" ref="C1371">IFERROR(_xlfn.XLOOKUP(B1371,Personal!$A:$A,Personal!$D:$D,""),"")</f>
        <v>0</v>
      </c>
      <c r="D1371" s="9" cm="1">
        <f t="array" ref="D1371">IFERROR(_xlfn.XLOOKUP(B1371,Personal!$A:$A,Personal!$C:$C,""),"")</f>
        <v>0</v>
      </c>
      <c r="E1371" s="9" t="str" cm="1">
        <f t="array" ref="E1371">IFERROR(_xlfn.XLOOKUP(D1371,Locales!$A:$A,Locales!$B:$B,""),"")</f>
        <v/>
      </c>
      <c r="F1371" s="9" cm="1">
        <f t="array" ref="F1371">IFERROR(_xlfn.XLOOKUP(B1371,Personal!$A:$A,Personal!$F:$F,""),"")</f>
        <v>0</v>
      </c>
      <c r="I1371" s="10" cm="1">
        <f t="array" ref="I1371">IFERROR(INDEX(Precios!$D:$F,MATCH(N1371, Precios!$G:$G, 0),CHOOSE(MATCH(H1371, {"SML";"XL";"XXL"}, 0), 1, 2, 3)), 0)</f>
        <v>0</v>
      </c>
      <c r="K1371" s="10">
        <f t="shared" si="48"/>
        <v>0</v>
      </c>
      <c r="N1371" s="9" t="str">
        <f t="shared" si="49"/>
        <v/>
      </c>
      <c r="O1371" s="9" t="str">
        <f>IF(N1371="","",IF(COUNTIF(Precios!$G:$G,N1371)=0,"⚠ No coincide con Precios","OK"))</f>
        <v/>
      </c>
    </row>
    <row r="1372" spans="3:15" x14ac:dyDescent="0.2">
      <c r="C1372" s="9" cm="1">
        <f t="array" ref="C1372">IFERROR(_xlfn.XLOOKUP(B1372,Personal!$A:$A,Personal!$D:$D,""),"")</f>
        <v>0</v>
      </c>
      <c r="D1372" s="9" cm="1">
        <f t="array" ref="D1372">IFERROR(_xlfn.XLOOKUP(B1372,Personal!$A:$A,Personal!$C:$C,""),"")</f>
        <v>0</v>
      </c>
      <c r="E1372" s="9" t="str" cm="1">
        <f t="array" ref="E1372">IFERROR(_xlfn.XLOOKUP(D1372,Locales!$A:$A,Locales!$B:$B,""),"")</f>
        <v/>
      </c>
      <c r="F1372" s="9" cm="1">
        <f t="array" ref="F1372">IFERROR(_xlfn.XLOOKUP(B1372,Personal!$A:$A,Personal!$F:$F,""),"")</f>
        <v>0</v>
      </c>
      <c r="I1372" s="10" cm="1">
        <f t="array" ref="I1372">IFERROR(INDEX(Precios!$D:$F,MATCH(N1372, Precios!$G:$G, 0),CHOOSE(MATCH(H1372, {"SML";"XL";"XXL"}, 0), 1, 2, 3)), 0)</f>
        <v>0</v>
      </c>
      <c r="K1372" s="10">
        <f t="shared" si="48"/>
        <v>0</v>
      </c>
      <c r="N1372" s="9" t="str">
        <f t="shared" si="49"/>
        <v/>
      </c>
      <c r="O1372" s="9" t="str">
        <f>IF(N1372="","",IF(COUNTIF(Precios!$G:$G,N1372)=0,"⚠ No coincide con Precios","OK"))</f>
        <v/>
      </c>
    </row>
    <row r="1373" spans="3:15" x14ac:dyDescent="0.2">
      <c r="C1373" s="9" cm="1">
        <f t="array" ref="C1373">IFERROR(_xlfn.XLOOKUP(B1373,Personal!$A:$A,Personal!$D:$D,""),"")</f>
        <v>0</v>
      </c>
      <c r="D1373" s="9" cm="1">
        <f t="array" ref="D1373">IFERROR(_xlfn.XLOOKUP(B1373,Personal!$A:$A,Personal!$C:$C,""),"")</f>
        <v>0</v>
      </c>
      <c r="E1373" s="9" t="str" cm="1">
        <f t="array" ref="E1373">IFERROR(_xlfn.XLOOKUP(D1373,Locales!$A:$A,Locales!$B:$B,""),"")</f>
        <v/>
      </c>
      <c r="F1373" s="9" cm="1">
        <f t="array" ref="F1373">IFERROR(_xlfn.XLOOKUP(B1373,Personal!$A:$A,Personal!$F:$F,""),"")</f>
        <v>0</v>
      </c>
      <c r="I1373" s="10" cm="1">
        <f t="array" ref="I1373">IFERROR(INDEX(Precios!$D:$F,MATCH(N1373, Precios!$G:$G, 0),CHOOSE(MATCH(H1373, {"SML";"XL";"XXL"}, 0), 1, 2, 3)), 0)</f>
        <v>0</v>
      </c>
      <c r="K1373" s="10">
        <f t="shared" si="48"/>
        <v>0</v>
      </c>
      <c r="N1373" s="9" t="str">
        <f t="shared" si="49"/>
        <v/>
      </c>
      <c r="O1373" s="9" t="str">
        <f>IF(N1373="","",IF(COUNTIF(Precios!$G:$G,N1373)=0,"⚠ No coincide con Precios","OK"))</f>
        <v/>
      </c>
    </row>
    <row r="1374" spans="3:15" x14ac:dyDescent="0.2">
      <c r="C1374" s="9" cm="1">
        <f t="array" ref="C1374">IFERROR(_xlfn.XLOOKUP(B1374,Personal!$A:$A,Personal!$D:$D,""),"")</f>
        <v>0</v>
      </c>
      <c r="D1374" s="9" cm="1">
        <f t="array" ref="D1374">IFERROR(_xlfn.XLOOKUP(B1374,Personal!$A:$A,Personal!$C:$C,""),"")</f>
        <v>0</v>
      </c>
      <c r="E1374" s="9" t="str" cm="1">
        <f t="array" ref="E1374">IFERROR(_xlfn.XLOOKUP(D1374,Locales!$A:$A,Locales!$B:$B,""),"")</f>
        <v/>
      </c>
      <c r="F1374" s="9" cm="1">
        <f t="array" ref="F1374">IFERROR(_xlfn.XLOOKUP(B1374,Personal!$A:$A,Personal!$F:$F,""),"")</f>
        <v>0</v>
      </c>
      <c r="I1374" s="10" cm="1">
        <f t="array" ref="I1374">IFERROR(INDEX(Precios!$D:$F,MATCH(N1374, Precios!$G:$G, 0),CHOOSE(MATCH(H1374, {"SML";"XL";"XXL"}, 0), 1, 2, 3)), 0)</f>
        <v>0</v>
      </c>
      <c r="K1374" s="10">
        <f t="shared" si="48"/>
        <v>0</v>
      </c>
      <c r="N1374" s="9" t="str">
        <f t="shared" si="49"/>
        <v/>
      </c>
      <c r="O1374" s="9" t="str">
        <f>IF(N1374="","",IF(COUNTIF(Precios!$G:$G,N1374)=0,"⚠ No coincide con Precios","OK"))</f>
        <v/>
      </c>
    </row>
    <row r="1375" spans="3:15" x14ac:dyDescent="0.2">
      <c r="C1375" s="9" cm="1">
        <f t="array" ref="C1375">IFERROR(_xlfn.XLOOKUP(B1375,Personal!$A:$A,Personal!$D:$D,""),"")</f>
        <v>0</v>
      </c>
      <c r="D1375" s="9" cm="1">
        <f t="array" ref="D1375">IFERROR(_xlfn.XLOOKUP(B1375,Personal!$A:$A,Personal!$C:$C,""),"")</f>
        <v>0</v>
      </c>
      <c r="E1375" s="9" t="str" cm="1">
        <f t="array" ref="E1375">IFERROR(_xlfn.XLOOKUP(D1375,Locales!$A:$A,Locales!$B:$B,""),"")</f>
        <v/>
      </c>
      <c r="F1375" s="9" cm="1">
        <f t="array" ref="F1375">IFERROR(_xlfn.XLOOKUP(B1375,Personal!$A:$A,Personal!$F:$F,""),"")</f>
        <v>0</v>
      </c>
      <c r="I1375" s="10" cm="1">
        <f t="array" ref="I1375">IFERROR(INDEX(Precios!$D:$F,MATCH(N1375, Precios!$G:$G, 0),CHOOSE(MATCH(H1375, {"SML";"XL";"XXL"}, 0), 1, 2, 3)), 0)</f>
        <v>0</v>
      </c>
      <c r="K1375" s="10">
        <f t="shared" si="48"/>
        <v>0</v>
      </c>
      <c r="N1375" s="9" t="str">
        <f t="shared" si="49"/>
        <v/>
      </c>
      <c r="O1375" s="9" t="str">
        <f>IF(N1375="","",IF(COUNTIF(Precios!$G:$G,N1375)=0,"⚠ No coincide con Precios","OK"))</f>
        <v/>
      </c>
    </row>
    <row r="1376" spans="3:15" x14ac:dyDescent="0.2">
      <c r="C1376" s="9" cm="1">
        <f t="array" ref="C1376">IFERROR(_xlfn.XLOOKUP(B1376,Personal!$A:$A,Personal!$D:$D,""),"")</f>
        <v>0</v>
      </c>
      <c r="D1376" s="9" cm="1">
        <f t="array" ref="D1376">IFERROR(_xlfn.XLOOKUP(B1376,Personal!$A:$A,Personal!$C:$C,""),"")</f>
        <v>0</v>
      </c>
      <c r="E1376" s="9" t="str" cm="1">
        <f t="array" ref="E1376">IFERROR(_xlfn.XLOOKUP(D1376,Locales!$A:$A,Locales!$B:$B,""),"")</f>
        <v/>
      </c>
      <c r="F1376" s="9" cm="1">
        <f t="array" ref="F1376">IFERROR(_xlfn.XLOOKUP(B1376,Personal!$A:$A,Personal!$F:$F,""),"")</f>
        <v>0</v>
      </c>
      <c r="I1376" s="10" cm="1">
        <f t="array" ref="I1376">IFERROR(INDEX(Precios!$D:$F,MATCH(N1376, Precios!$G:$G, 0),CHOOSE(MATCH(H1376, {"SML";"XL";"XXL"}, 0), 1, 2, 3)), 0)</f>
        <v>0</v>
      </c>
      <c r="K1376" s="10">
        <f t="shared" si="48"/>
        <v>0</v>
      </c>
      <c r="N1376" s="9" t="str">
        <f t="shared" si="49"/>
        <v/>
      </c>
      <c r="O1376" s="9" t="str">
        <f>IF(N1376="","",IF(COUNTIF(Precios!$G:$G,N1376)=0,"⚠ No coincide con Precios","OK"))</f>
        <v/>
      </c>
    </row>
    <row r="1377" spans="3:15" x14ac:dyDescent="0.2">
      <c r="C1377" s="9" cm="1">
        <f t="array" ref="C1377">IFERROR(_xlfn.XLOOKUP(B1377,Personal!$A:$A,Personal!$D:$D,""),"")</f>
        <v>0</v>
      </c>
      <c r="D1377" s="9" cm="1">
        <f t="array" ref="D1377">IFERROR(_xlfn.XLOOKUP(B1377,Personal!$A:$A,Personal!$C:$C,""),"")</f>
        <v>0</v>
      </c>
      <c r="E1377" s="9" t="str" cm="1">
        <f t="array" ref="E1377">IFERROR(_xlfn.XLOOKUP(D1377,Locales!$A:$A,Locales!$B:$B,""),"")</f>
        <v/>
      </c>
      <c r="F1377" s="9" cm="1">
        <f t="array" ref="F1377">IFERROR(_xlfn.XLOOKUP(B1377,Personal!$A:$A,Personal!$F:$F,""),"")</f>
        <v>0</v>
      </c>
      <c r="I1377" s="10" cm="1">
        <f t="array" ref="I1377">IFERROR(INDEX(Precios!$D:$F,MATCH(N1377, Precios!$G:$G, 0),CHOOSE(MATCH(H1377, {"SML";"XL";"XXL"}, 0), 1, 2, 3)), 0)</f>
        <v>0</v>
      </c>
      <c r="K1377" s="10">
        <f t="shared" si="48"/>
        <v>0</v>
      </c>
      <c r="N1377" s="9" t="str">
        <f t="shared" si="49"/>
        <v/>
      </c>
      <c r="O1377" s="9" t="str">
        <f>IF(N1377="","",IF(COUNTIF(Precios!$G:$G,N1377)=0,"⚠ No coincide con Precios","OK"))</f>
        <v/>
      </c>
    </row>
    <row r="1378" spans="3:15" x14ac:dyDescent="0.2">
      <c r="C1378" s="9" cm="1">
        <f t="array" ref="C1378">IFERROR(_xlfn.XLOOKUP(B1378,Personal!$A:$A,Personal!$D:$D,""),"")</f>
        <v>0</v>
      </c>
      <c r="D1378" s="9" cm="1">
        <f t="array" ref="D1378">IFERROR(_xlfn.XLOOKUP(B1378,Personal!$A:$A,Personal!$C:$C,""),"")</f>
        <v>0</v>
      </c>
      <c r="E1378" s="9" t="str" cm="1">
        <f t="array" ref="E1378">IFERROR(_xlfn.XLOOKUP(D1378,Locales!$A:$A,Locales!$B:$B,""),"")</f>
        <v/>
      </c>
      <c r="F1378" s="9" cm="1">
        <f t="array" ref="F1378">IFERROR(_xlfn.XLOOKUP(B1378,Personal!$A:$A,Personal!$F:$F,""),"")</f>
        <v>0</v>
      </c>
      <c r="I1378" s="10" cm="1">
        <f t="array" ref="I1378">IFERROR(INDEX(Precios!$D:$F,MATCH(N1378, Precios!$G:$G, 0),CHOOSE(MATCH(H1378, {"SML";"XL";"XXL"}, 0), 1, 2, 3)), 0)</f>
        <v>0</v>
      </c>
      <c r="K1378" s="10">
        <f t="shared" si="48"/>
        <v>0</v>
      </c>
      <c r="N1378" s="9" t="str">
        <f t="shared" si="49"/>
        <v/>
      </c>
      <c r="O1378" s="9" t="str">
        <f>IF(N1378="","",IF(COUNTIF(Precios!$G:$G,N1378)=0,"⚠ No coincide con Precios","OK"))</f>
        <v/>
      </c>
    </row>
    <row r="1379" spans="3:15" x14ac:dyDescent="0.2">
      <c r="C1379" s="9" cm="1">
        <f t="array" ref="C1379">IFERROR(_xlfn.XLOOKUP(B1379,Personal!$A:$A,Personal!$D:$D,""),"")</f>
        <v>0</v>
      </c>
      <c r="D1379" s="9" cm="1">
        <f t="array" ref="D1379">IFERROR(_xlfn.XLOOKUP(B1379,Personal!$A:$A,Personal!$C:$C,""),"")</f>
        <v>0</v>
      </c>
      <c r="E1379" s="9" t="str" cm="1">
        <f t="array" ref="E1379">IFERROR(_xlfn.XLOOKUP(D1379,Locales!$A:$A,Locales!$B:$B,""),"")</f>
        <v/>
      </c>
      <c r="F1379" s="9" cm="1">
        <f t="array" ref="F1379">IFERROR(_xlfn.XLOOKUP(B1379,Personal!$A:$A,Personal!$F:$F,""),"")</f>
        <v>0</v>
      </c>
      <c r="I1379" s="10" cm="1">
        <f t="array" ref="I1379">IFERROR(INDEX(Precios!$D:$F,MATCH(N1379, Precios!$G:$G, 0),CHOOSE(MATCH(H1379, {"SML";"XL";"XXL"}, 0), 1, 2, 3)), 0)</f>
        <v>0</v>
      </c>
      <c r="K1379" s="10">
        <f t="shared" si="48"/>
        <v>0</v>
      </c>
      <c r="N1379" s="9" t="str">
        <f t="shared" si="49"/>
        <v/>
      </c>
      <c r="O1379" s="9" t="str">
        <f>IF(N1379="","",IF(COUNTIF(Precios!$G:$G,N1379)=0,"⚠ No coincide con Precios","OK"))</f>
        <v/>
      </c>
    </row>
    <row r="1380" spans="3:15" x14ac:dyDescent="0.2">
      <c r="C1380" s="9" cm="1">
        <f t="array" ref="C1380">IFERROR(_xlfn.XLOOKUP(B1380,Personal!$A:$A,Personal!$D:$D,""),"")</f>
        <v>0</v>
      </c>
      <c r="D1380" s="9" cm="1">
        <f t="array" ref="D1380">IFERROR(_xlfn.XLOOKUP(B1380,Personal!$A:$A,Personal!$C:$C,""),"")</f>
        <v>0</v>
      </c>
      <c r="E1380" s="9" t="str" cm="1">
        <f t="array" ref="E1380">IFERROR(_xlfn.XLOOKUP(D1380,Locales!$A:$A,Locales!$B:$B,""),"")</f>
        <v/>
      </c>
      <c r="F1380" s="9" cm="1">
        <f t="array" ref="F1380">IFERROR(_xlfn.XLOOKUP(B1380,Personal!$A:$A,Personal!$F:$F,""),"")</f>
        <v>0</v>
      </c>
      <c r="I1380" s="10" cm="1">
        <f t="array" ref="I1380">IFERROR(INDEX(Precios!$D:$F,MATCH(N1380, Precios!$G:$G, 0),CHOOSE(MATCH(H1380, {"SML";"XL";"XXL"}, 0), 1, 2, 3)), 0)</f>
        <v>0</v>
      </c>
      <c r="K1380" s="10">
        <f t="shared" si="48"/>
        <v>0</v>
      </c>
      <c r="N1380" s="9" t="str">
        <f t="shared" si="49"/>
        <v/>
      </c>
      <c r="O1380" s="9" t="str">
        <f>IF(N1380="","",IF(COUNTIF(Precios!$G:$G,N1380)=0,"⚠ No coincide con Precios","OK"))</f>
        <v/>
      </c>
    </row>
    <row r="1381" spans="3:15" x14ac:dyDescent="0.2">
      <c r="C1381" s="9" cm="1">
        <f t="array" ref="C1381">IFERROR(_xlfn.XLOOKUP(B1381,Personal!$A:$A,Personal!$D:$D,""),"")</f>
        <v>0</v>
      </c>
      <c r="D1381" s="9" cm="1">
        <f t="array" ref="D1381">IFERROR(_xlfn.XLOOKUP(B1381,Personal!$A:$A,Personal!$C:$C,""),"")</f>
        <v>0</v>
      </c>
      <c r="E1381" s="9" t="str" cm="1">
        <f t="array" ref="E1381">IFERROR(_xlfn.XLOOKUP(D1381,Locales!$A:$A,Locales!$B:$B,""),"")</f>
        <v/>
      </c>
      <c r="F1381" s="9" cm="1">
        <f t="array" ref="F1381">IFERROR(_xlfn.XLOOKUP(B1381,Personal!$A:$A,Personal!$F:$F,""),"")</f>
        <v>0</v>
      </c>
      <c r="I1381" s="10" cm="1">
        <f t="array" ref="I1381">IFERROR(INDEX(Precios!$D:$F,MATCH(N1381, Precios!$G:$G, 0),CHOOSE(MATCH(H1381, {"SML";"XL";"XXL"}, 0), 1, 2, 3)), 0)</f>
        <v>0</v>
      </c>
      <c r="K1381" s="10">
        <f t="shared" si="48"/>
        <v>0</v>
      </c>
      <c r="N1381" s="9" t="str">
        <f t="shared" si="49"/>
        <v/>
      </c>
      <c r="O1381" s="9" t="str">
        <f>IF(N1381="","",IF(COUNTIF(Precios!$G:$G,N1381)=0,"⚠ No coincide con Precios","OK"))</f>
        <v/>
      </c>
    </row>
    <row r="1382" spans="3:15" x14ac:dyDescent="0.2">
      <c r="C1382" s="9" cm="1">
        <f t="array" ref="C1382">IFERROR(_xlfn.XLOOKUP(B1382,Personal!$A:$A,Personal!$D:$D,""),"")</f>
        <v>0</v>
      </c>
      <c r="D1382" s="9" cm="1">
        <f t="array" ref="D1382">IFERROR(_xlfn.XLOOKUP(B1382,Personal!$A:$A,Personal!$C:$C,""),"")</f>
        <v>0</v>
      </c>
      <c r="E1382" s="9" t="str" cm="1">
        <f t="array" ref="E1382">IFERROR(_xlfn.XLOOKUP(D1382,Locales!$A:$A,Locales!$B:$B,""),"")</f>
        <v/>
      </c>
      <c r="F1382" s="9" cm="1">
        <f t="array" ref="F1382">IFERROR(_xlfn.XLOOKUP(B1382,Personal!$A:$A,Personal!$F:$F,""),"")</f>
        <v>0</v>
      </c>
      <c r="I1382" s="10" cm="1">
        <f t="array" ref="I1382">IFERROR(INDEX(Precios!$D:$F,MATCH(N1382, Precios!$G:$G, 0),CHOOSE(MATCH(H1382, {"SML";"XL";"XXL"}, 0), 1, 2, 3)), 0)</f>
        <v>0</v>
      </c>
      <c r="K1382" s="10">
        <f t="shared" si="48"/>
        <v>0</v>
      </c>
      <c r="N1382" s="9" t="str">
        <f t="shared" si="49"/>
        <v/>
      </c>
      <c r="O1382" s="9" t="str">
        <f>IF(N1382="","",IF(COUNTIF(Precios!$G:$G,N1382)=0,"⚠ No coincide con Precios","OK"))</f>
        <v/>
      </c>
    </row>
    <row r="1383" spans="3:15" x14ac:dyDescent="0.2">
      <c r="C1383" s="9" cm="1">
        <f t="array" ref="C1383">IFERROR(_xlfn.XLOOKUP(B1383,Personal!$A:$A,Personal!$D:$D,""),"")</f>
        <v>0</v>
      </c>
      <c r="D1383" s="9" cm="1">
        <f t="array" ref="D1383">IFERROR(_xlfn.XLOOKUP(B1383,Personal!$A:$A,Personal!$C:$C,""),"")</f>
        <v>0</v>
      </c>
      <c r="E1383" s="9" t="str" cm="1">
        <f t="array" ref="E1383">IFERROR(_xlfn.XLOOKUP(D1383,Locales!$A:$A,Locales!$B:$B,""),"")</f>
        <v/>
      </c>
      <c r="F1383" s="9" cm="1">
        <f t="array" ref="F1383">IFERROR(_xlfn.XLOOKUP(B1383,Personal!$A:$A,Personal!$F:$F,""),"")</f>
        <v>0</v>
      </c>
      <c r="I1383" s="10" cm="1">
        <f t="array" ref="I1383">IFERROR(INDEX(Precios!$D:$F,MATCH(N1383, Precios!$G:$G, 0),CHOOSE(MATCH(H1383, {"SML";"XL";"XXL"}, 0), 1, 2, 3)), 0)</f>
        <v>0</v>
      </c>
      <c r="K1383" s="10">
        <f t="shared" si="48"/>
        <v>0</v>
      </c>
      <c r="N1383" s="9" t="str">
        <f t="shared" si="49"/>
        <v/>
      </c>
      <c r="O1383" s="9" t="str">
        <f>IF(N1383="","",IF(COUNTIF(Precios!$G:$G,N1383)=0,"⚠ No coincide con Precios","OK"))</f>
        <v/>
      </c>
    </row>
    <row r="1384" spans="3:15" x14ac:dyDescent="0.2">
      <c r="C1384" s="9" cm="1">
        <f t="array" ref="C1384">IFERROR(_xlfn.XLOOKUP(B1384,Personal!$A:$A,Personal!$D:$D,""),"")</f>
        <v>0</v>
      </c>
      <c r="D1384" s="9" cm="1">
        <f t="array" ref="D1384">IFERROR(_xlfn.XLOOKUP(B1384,Personal!$A:$A,Personal!$C:$C,""),"")</f>
        <v>0</v>
      </c>
      <c r="E1384" s="9" t="str" cm="1">
        <f t="array" ref="E1384">IFERROR(_xlfn.XLOOKUP(D1384,Locales!$A:$A,Locales!$B:$B,""),"")</f>
        <v/>
      </c>
      <c r="F1384" s="9" cm="1">
        <f t="array" ref="F1384">IFERROR(_xlfn.XLOOKUP(B1384,Personal!$A:$A,Personal!$F:$F,""),"")</f>
        <v>0</v>
      </c>
      <c r="I1384" s="10" cm="1">
        <f t="array" ref="I1384">IFERROR(INDEX(Precios!$D:$F,MATCH(N1384, Precios!$G:$G, 0),CHOOSE(MATCH(H1384, {"SML";"XL";"XXL"}, 0), 1, 2, 3)), 0)</f>
        <v>0</v>
      </c>
      <c r="K1384" s="10">
        <f t="shared" si="48"/>
        <v>0</v>
      </c>
      <c r="N1384" s="9" t="str">
        <f t="shared" si="49"/>
        <v/>
      </c>
      <c r="O1384" s="9" t="str">
        <f>IF(N1384="","",IF(COUNTIF(Precios!$G:$G,N1384)=0,"⚠ No coincide con Precios","OK"))</f>
        <v/>
      </c>
    </row>
    <row r="1385" spans="3:15" x14ac:dyDescent="0.2">
      <c r="C1385" s="9" cm="1">
        <f t="array" ref="C1385">IFERROR(_xlfn.XLOOKUP(B1385,Personal!$A:$A,Personal!$D:$D,""),"")</f>
        <v>0</v>
      </c>
      <c r="D1385" s="9" cm="1">
        <f t="array" ref="D1385">IFERROR(_xlfn.XLOOKUP(B1385,Personal!$A:$A,Personal!$C:$C,""),"")</f>
        <v>0</v>
      </c>
      <c r="E1385" s="9" t="str" cm="1">
        <f t="array" ref="E1385">IFERROR(_xlfn.XLOOKUP(D1385,Locales!$A:$A,Locales!$B:$B,""),"")</f>
        <v/>
      </c>
      <c r="F1385" s="9" cm="1">
        <f t="array" ref="F1385">IFERROR(_xlfn.XLOOKUP(B1385,Personal!$A:$A,Personal!$F:$F,""),"")</f>
        <v>0</v>
      </c>
      <c r="I1385" s="10" cm="1">
        <f t="array" ref="I1385">IFERROR(INDEX(Precios!$D:$F,MATCH(N1385, Precios!$G:$G, 0),CHOOSE(MATCH(H1385, {"SML";"XL";"XXL"}, 0), 1, 2, 3)), 0)</f>
        <v>0</v>
      </c>
      <c r="K1385" s="10">
        <f t="shared" si="48"/>
        <v>0</v>
      </c>
      <c r="N1385" s="9" t="str">
        <f t="shared" si="49"/>
        <v/>
      </c>
      <c r="O1385" s="9" t="str">
        <f>IF(N1385="","",IF(COUNTIF(Precios!$G:$G,N1385)=0,"⚠ No coincide con Precios","OK"))</f>
        <v/>
      </c>
    </row>
    <row r="1386" spans="3:15" x14ac:dyDescent="0.2">
      <c r="C1386" s="9" cm="1">
        <f t="array" ref="C1386">IFERROR(_xlfn.XLOOKUP(B1386,Personal!$A:$A,Personal!$D:$D,""),"")</f>
        <v>0</v>
      </c>
      <c r="D1386" s="9" cm="1">
        <f t="array" ref="D1386">IFERROR(_xlfn.XLOOKUP(B1386,Personal!$A:$A,Personal!$C:$C,""),"")</f>
        <v>0</v>
      </c>
      <c r="E1386" s="9" t="str" cm="1">
        <f t="array" ref="E1386">IFERROR(_xlfn.XLOOKUP(D1386,Locales!$A:$A,Locales!$B:$B,""),"")</f>
        <v/>
      </c>
      <c r="F1386" s="9" cm="1">
        <f t="array" ref="F1386">IFERROR(_xlfn.XLOOKUP(B1386,Personal!$A:$A,Personal!$F:$F,""),"")</f>
        <v>0</v>
      </c>
      <c r="I1386" s="10" cm="1">
        <f t="array" ref="I1386">IFERROR(INDEX(Precios!$D:$F,MATCH(N1386, Precios!$G:$G, 0),CHOOSE(MATCH(H1386, {"SML";"XL";"XXL"}, 0), 1, 2, 3)), 0)</f>
        <v>0</v>
      </c>
      <c r="K1386" s="10">
        <f t="shared" si="48"/>
        <v>0</v>
      </c>
      <c r="N1386" s="9" t="str">
        <f t="shared" si="49"/>
        <v/>
      </c>
      <c r="O1386" s="9" t="str">
        <f>IF(N1386="","",IF(COUNTIF(Precios!$G:$G,N1386)=0,"⚠ No coincide con Precios","OK"))</f>
        <v/>
      </c>
    </row>
    <row r="1387" spans="3:15" x14ac:dyDescent="0.2">
      <c r="C1387" s="9" cm="1">
        <f t="array" ref="C1387">IFERROR(_xlfn.XLOOKUP(B1387,Personal!$A:$A,Personal!$D:$D,""),"")</f>
        <v>0</v>
      </c>
      <c r="D1387" s="9" cm="1">
        <f t="array" ref="D1387">IFERROR(_xlfn.XLOOKUP(B1387,Personal!$A:$A,Personal!$C:$C,""),"")</f>
        <v>0</v>
      </c>
      <c r="E1387" s="9" t="str" cm="1">
        <f t="array" ref="E1387">IFERROR(_xlfn.XLOOKUP(D1387,Locales!$A:$A,Locales!$B:$B,""),"")</f>
        <v/>
      </c>
      <c r="F1387" s="9" cm="1">
        <f t="array" ref="F1387">IFERROR(_xlfn.XLOOKUP(B1387,Personal!$A:$A,Personal!$F:$F,""),"")</f>
        <v>0</v>
      </c>
      <c r="I1387" s="10" cm="1">
        <f t="array" ref="I1387">IFERROR(INDEX(Precios!$D:$F,MATCH(N1387, Precios!$G:$G, 0),CHOOSE(MATCH(H1387, {"SML";"XL";"XXL"}, 0), 1, 2, 3)), 0)</f>
        <v>0</v>
      </c>
      <c r="K1387" s="10">
        <f t="shared" si="48"/>
        <v>0</v>
      </c>
      <c r="N1387" s="9" t="str">
        <f t="shared" si="49"/>
        <v/>
      </c>
      <c r="O1387" s="9" t="str">
        <f>IF(N1387="","",IF(COUNTIF(Precios!$G:$G,N1387)=0,"⚠ No coincide con Precios","OK"))</f>
        <v/>
      </c>
    </row>
    <row r="1388" spans="3:15" x14ac:dyDescent="0.2">
      <c r="C1388" s="9" cm="1">
        <f t="array" ref="C1388">IFERROR(_xlfn.XLOOKUP(B1388,Personal!$A:$A,Personal!$D:$D,""),"")</f>
        <v>0</v>
      </c>
      <c r="D1388" s="9" cm="1">
        <f t="array" ref="D1388">IFERROR(_xlfn.XLOOKUP(B1388,Personal!$A:$A,Personal!$C:$C,""),"")</f>
        <v>0</v>
      </c>
      <c r="E1388" s="9" t="str" cm="1">
        <f t="array" ref="E1388">IFERROR(_xlfn.XLOOKUP(D1388,Locales!$A:$A,Locales!$B:$B,""),"")</f>
        <v/>
      </c>
      <c r="F1388" s="9" cm="1">
        <f t="array" ref="F1388">IFERROR(_xlfn.XLOOKUP(B1388,Personal!$A:$A,Personal!$F:$F,""),"")</f>
        <v>0</v>
      </c>
      <c r="I1388" s="10" cm="1">
        <f t="array" ref="I1388">IFERROR(INDEX(Precios!$D:$F,MATCH(N1388, Precios!$G:$G, 0),CHOOSE(MATCH(H1388, {"SML";"XL";"XXL"}, 0), 1, 2, 3)), 0)</f>
        <v>0</v>
      </c>
      <c r="K1388" s="10">
        <f t="shared" si="48"/>
        <v>0</v>
      </c>
      <c r="N1388" s="9" t="str">
        <f t="shared" si="49"/>
        <v/>
      </c>
      <c r="O1388" s="9" t="str">
        <f>IF(N1388="","",IF(COUNTIF(Precios!$G:$G,N1388)=0,"⚠ No coincide con Precios","OK"))</f>
        <v/>
      </c>
    </row>
    <row r="1389" spans="3:15" x14ac:dyDescent="0.2">
      <c r="C1389" s="9" cm="1">
        <f t="array" ref="C1389">IFERROR(_xlfn.XLOOKUP(B1389,Personal!$A:$A,Personal!$D:$D,""),"")</f>
        <v>0</v>
      </c>
      <c r="D1389" s="9" cm="1">
        <f t="array" ref="D1389">IFERROR(_xlfn.XLOOKUP(B1389,Personal!$A:$A,Personal!$C:$C,""),"")</f>
        <v>0</v>
      </c>
      <c r="E1389" s="9" t="str" cm="1">
        <f t="array" ref="E1389">IFERROR(_xlfn.XLOOKUP(D1389,Locales!$A:$A,Locales!$B:$B,""),"")</f>
        <v/>
      </c>
      <c r="F1389" s="9" cm="1">
        <f t="array" ref="F1389">IFERROR(_xlfn.XLOOKUP(B1389,Personal!$A:$A,Personal!$F:$F,""),"")</f>
        <v>0</v>
      </c>
      <c r="I1389" s="10" cm="1">
        <f t="array" ref="I1389">IFERROR(INDEX(Precios!$D:$F,MATCH(N1389, Precios!$G:$G, 0),CHOOSE(MATCH(H1389, {"SML";"XL";"XXL"}, 0), 1, 2, 3)), 0)</f>
        <v>0</v>
      </c>
      <c r="K1389" s="10">
        <f t="shared" si="48"/>
        <v>0</v>
      </c>
      <c r="N1389" s="9" t="str">
        <f t="shared" si="49"/>
        <v/>
      </c>
      <c r="O1389" s="9" t="str">
        <f>IF(N1389="","",IF(COUNTIF(Precios!$G:$G,N1389)=0,"⚠ No coincide con Precios","OK"))</f>
        <v/>
      </c>
    </row>
    <row r="1390" spans="3:15" x14ac:dyDescent="0.2">
      <c r="C1390" s="9" cm="1">
        <f t="array" ref="C1390">IFERROR(_xlfn.XLOOKUP(B1390,Personal!$A:$A,Personal!$D:$D,""),"")</f>
        <v>0</v>
      </c>
      <c r="D1390" s="9" cm="1">
        <f t="array" ref="D1390">IFERROR(_xlfn.XLOOKUP(B1390,Personal!$A:$A,Personal!$C:$C,""),"")</f>
        <v>0</v>
      </c>
      <c r="E1390" s="9" t="str" cm="1">
        <f t="array" ref="E1390">IFERROR(_xlfn.XLOOKUP(D1390,Locales!$A:$A,Locales!$B:$B,""),"")</f>
        <v/>
      </c>
      <c r="F1390" s="9" cm="1">
        <f t="array" ref="F1390">IFERROR(_xlfn.XLOOKUP(B1390,Personal!$A:$A,Personal!$F:$F,""),"")</f>
        <v>0</v>
      </c>
      <c r="I1390" s="10" cm="1">
        <f t="array" ref="I1390">IFERROR(INDEX(Precios!$D:$F,MATCH(N1390, Precios!$G:$G, 0),CHOOSE(MATCH(H1390, {"SML";"XL";"XXL"}, 0), 1, 2, 3)), 0)</f>
        <v>0</v>
      </c>
      <c r="K1390" s="10">
        <f t="shared" si="48"/>
        <v>0</v>
      </c>
      <c r="N1390" s="9" t="str">
        <f t="shared" si="49"/>
        <v/>
      </c>
      <c r="O1390" s="9" t="str">
        <f>IF(N1390="","",IF(COUNTIF(Precios!$G:$G,N1390)=0,"⚠ No coincide con Precios","OK"))</f>
        <v/>
      </c>
    </row>
    <row r="1391" spans="3:15" x14ac:dyDescent="0.2">
      <c r="C1391" s="9" cm="1">
        <f t="array" ref="C1391">IFERROR(_xlfn.XLOOKUP(B1391,Personal!$A:$A,Personal!$D:$D,""),"")</f>
        <v>0</v>
      </c>
      <c r="D1391" s="9" cm="1">
        <f t="array" ref="D1391">IFERROR(_xlfn.XLOOKUP(B1391,Personal!$A:$A,Personal!$C:$C,""),"")</f>
        <v>0</v>
      </c>
      <c r="E1391" s="9" t="str" cm="1">
        <f t="array" ref="E1391">IFERROR(_xlfn.XLOOKUP(D1391,Locales!$A:$A,Locales!$B:$B,""),"")</f>
        <v/>
      </c>
      <c r="F1391" s="9" cm="1">
        <f t="array" ref="F1391">IFERROR(_xlfn.XLOOKUP(B1391,Personal!$A:$A,Personal!$F:$F,""),"")</f>
        <v>0</v>
      </c>
      <c r="I1391" s="10" cm="1">
        <f t="array" ref="I1391">IFERROR(INDEX(Precios!$D:$F,MATCH(N1391, Precios!$G:$G, 0),CHOOSE(MATCH(H1391, {"SML";"XL";"XXL"}, 0), 1, 2, 3)), 0)</f>
        <v>0</v>
      </c>
      <c r="K1391" s="10">
        <f t="shared" si="48"/>
        <v>0</v>
      </c>
      <c r="N1391" s="9" t="str">
        <f t="shared" si="49"/>
        <v/>
      </c>
      <c r="O1391" s="9" t="str">
        <f>IF(N1391="","",IF(COUNTIF(Precios!$G:$G,N1391)=0,"⚠ No coincide con Precios","OK"))</f>
        <v/>
      </c>
    </row>
    <row r="1392" spans="3:15" x14ac:dyDescent="0.2">
      <c r="C1392" s="9" cm="1">
        <f t="array" ref="C1392">IFERROR(_xlfn.XLOOKUP(B1392,Personal!$A:$A,Personal!$D:$D,""),"")</f>
        <v>0</v>
      </c>
      <c r="D1392" s="9" cm="1">
        <f t="array" ref="D1392">IFERROR(_xlfn.XLOOKUP(B1392,Personal!$A:$A,Personal!$C:$C,""),"")</f>
        <v>0</v>
      </c>
      <c r="E1392" s="9" t="str" cm="1">
        <f t="array" ref="E1392">IFERROR(_xlfn.XLOOKUP(D1392,Locales!$A:$A,Locales!$B:$B,""),"")</f>
        <v/>
      </c>
      <c r="F1392" s="9" cm="1">
        <f t="array" ref="F1392">IFERROR(_xlfn.XLOOKUP(B1392,Personal!$A:$A,Personal!$F:$F,""),"")</f>
        <v>0</v>
      </c>
      <c r="I1392" s="10" cm="1">
        <f t="array" ref="I1392">IFERROR(INDEX(Precios!$D:$F,MATCH(N1392, Precios!$G:$G, 0),CHOOSE(MATCH(H1392, {"SML";"XL";"XXL"}, 0), 1, 2, 3)), 0)</f>
        <v>0</v>
      </c>
      <c r="K1392" s="10">
        <f t="shared" si="48"/>
        <v>0</v>
      </c>
      <c r="N1392" s="9" t="str">
        <f t="shared" si="49"/>
        <v/>
      </c>
      <c r="O1392" s="9" t="str">
        <f>IF(N1392="","",IF(COUNTIF(Precios!$G:$G,N1392)=0,"⚠ No coincide con Precios","OK"))</f>
        <v/>
      </c>
    </row>
    <row r="1393" spans="3:15" x14ac:dyDescent="0.2">
      <c r="C1393" s="9" cm="1">
        <f t="array" ref="C1393">IFERROR(_xlfn.XLOOKUP(B1393,Personal!$A:$A,Personal!$D:$D,""),"")</f>
        <v>0</v>
      </c>
      <c r="D1393" s="9" cm="1">
        <f t="array" ref="D1393">IFERROR(_xlfn.XLOOKUP(B1393,Personal!$A:$A,Personal!$C:$C,""),"")</f>
        <v>0</v>
      </c>
      <c r="E1393" s="9" t="str" cm="1">
        <f t="array" ref="E1393">IFERROR(_xlfn.XLOOKUP(D1393,Locales!$A:$A,Locales!$B:$B,""),"")</f>
        <v/>
      </c>
      <c r="F1393" s="9" cm="1">
        <f t="array" ref="F1393">IFERROR(_xlfn.XLOOKUP(B1393,Personal!$A:$A,Personal!$F:$F,""),"")</f>
        <v>0</v>
      </c>
      <c r="I1393" s="10" cm="1">
        <f t="array" ref="I1393">IFERROR(INDEX(Precios!$D:$F,MATCH(N1393, Precios!$G:$G, 0),CHOOSE(MATCH(H1393, {"SML";"XL";"XXL"}, 0), 1, 2, 3)), 0)</f>
        <v>0</v>
      </c>
      <c r="K1393" s="10">
        <f t="shared" si="48"/>
        <v>0</v>
      </c>
      <c r="N1393" s="9" t="str">
        <f t="shared" si="49"/>
        <v/>
      </c>
      <c r="O1393" s="9" t="str">
        <f>IF(N1393="","",IF(COUNTIF(Precios!$G:$G,N1393)=0,"⚠ No coincide con Precios","OK"))</f>
        <v/>
      </c>
    </row>
    <row r="1394" spans="3:15" x14ac:dyDescent="0.2">
      <c r="C1394" s="9" cm="1">
        <f t="array" ref="C1394">IFERROR(_xlfn.XLOOKUP(B1394,Personal!$A:$A,Personal!$D:$D,""),"")</f>
        <v>0</v>
      </c>
      <c r="D1394" s="9" cm="1">
        <f t="array" ref="D1394">IFERROR(_xlfn.XLOOKUP(B1394,Personal!$A:$A,Personal!$C:$C,""),"")</f>
        <v>0</v>
      </c>
      <c r="E1394" s="9" t="str" cm="1">
        <f t="array" ref="E1394">IFERROR(_xlfn.XLOOKUP(D1394,Locales!$A:$A,Locales!$B:$B,""),"")</f>
        <v/>
      </c>
      <c r="F1394" s="9" cm="1">
        <f t="array" ref="F1394">IFERROR(_xlfn.XLOOKUP(B1394,Personal!$A:$A,Personal!$F:$F,""),"")</f>
        <v>0</v>
      </c>
      <c r="I1394" s="10" cm="1">
        <f t="array" ref="I1394">IFERROR(INDEX(Precios!$D:$F,MATCH(N1394, Precios!$G:$G, 0),CHOOSE(MATCH(H1394, {"SML";"XL";"XXL"}, 0), 1, 2, 3)), 0)</f>
        <v>0</v>
      </c>
      <c r="K1394" s="10">
        <f t="shared" si="48"/>
        <v>0</v>
      </c>
      <c r="N1394" s="9" t="str">
        <f t="shared" si="49"/>
        <v/>
      </c>
      <c r="O1394" s="9" t="str">
        <f>IF(N1394="","",IF(COUNTIF(Precios!$G:$G,N1394)=0,"⚠ No coincide con Precios","OK"))</f>
        <v/>
      </c>
    </row>
    <row r="1395" spans="3:15" x14ac:dyDescent="0.2">
      <c r="C1395" s="9" cm="1">
        <f t="array" ref="C1395">IFERROR(_xlfn.XLOOKUP(B1395,Personal!$A:$A,Personal!$D:$D,""),"")</f>
        <v>0</v>
      </c>
      <c r="D1395" s="9" cm="1">
        <f t="array" ref="D1395">IFERROR(_xlfn.XLOOKUP(B1395,Personal!$A:$A,Personal!$C:$C,""),"")</f>
        <v>0</v>
      </c>
      <c r="E1395" s="9" t="str" cm="1">
        <f t="array" ref="E1395">IFERROR(_xlfn.XLOOKUP(D1395,Locales!$A:$A,Locales!$B:$B,""),"")</f>
        <v/>
      </c>
      <c r="F1395" s="9" cm="1">
        <f t="array" ref="F1395">IFERROR(_xlfn.XLOOKUP(B1395,Personal!$A:$A,Personal!$F:$F,""),"")</f>
        <v>0</v>
      </c>
      <c r="I1395" s="10" cm="1">
        <f t="array" ref="I1395">IFERROR(INDEX(Precios!$D:$F,MATCH(N1395, Precios!$G:$G, 0),CHOOSE(MATCH(H1395, {"SML";"XL";"XXL"}, 0), 1, 2, 3)), 0)</f>
        <v>0</v>
      </c>
      <c r="K1395" s="10">
        <f t="shared" si="48"/>
        <v>0</v>
      </c>
      <c r="N1395" s="9" t="str">
        <f t="shared" si="49"/>
        <v/>
      </c>
      <c r="O1395" s="9" t="str">
        <f>IF(N1395="","",IF(COUNTIF(Precios!$G:$G,N1395)=0,"⚠ No coincide con Precios","OK"))</f>
        <v/>
      </c>
    </row>
    <row r="1396" spans="3:15" x14ac:dyDescent="0.2">
      <c r="C1396" s="9" cm="1">
        <f t="array" ref="C1396">IFERROR(_xlfn.XLOOKUP(B1396,Personal!$A:$A,Personal!$D:$D,""),"")</f>
        <v>0</v>
      </c>
      <c r="D1396" s="9" cm="1">
        <f t="array" ref="D1396">IFERROR(_xlfn.XLOOKUP(B1396,Personal!$A:$A,Personal!$C:$C,""),"")</f>
        <v>0</v>
      </c>
      <c r="E1396" s="9" t="str" cm="1">
        <f t="array" ref="E1396">IFERROR(_xlfn.XLOOKUP(D1396,Locales!$A:$A,Locales!$B:$B,""),"")</f>
        <v/>
      </c>
      <c r="F1396" s="9" cm="1">
        <f t="array" ref="F1396">IFERROR(_xlfn.XLOOKUP(B1396,Personal!$A:$A,Personal!$F:$F,""),"")</f>
        <v>0</v>
      </c>
      <c r="I1396" s="10" cm="1">
        <f t="array" ref="I1396">IFERROR(INDEX(Precios!$D:$F,MATCH(N1396, Precios!$G:$G, 0),CHOOSE(MATCH(H1396, {"SML";"XL";"XXL"}, 0), 1, 2, 3)), 0)</f>
        <v>0</v>
      </c>
      <c r="K1396" s="10">
        <f t="shared" si="48"/>
        <v>0</v>
      </c>
      <c r="N1396" s="9" t="str">
        <f t="shared" si="49"/>
        <v/>
      </c>
      <c r="O1396" s="9" t="str">
        <f>IF(N1396="","",IF(COUNTIF(Precios!$G:$G,N1396)=0,"⚠ No coincide con Precios","OK"))</f>
        <v/>
      </c>
    </row>
    <row r="1397" spans="3:15" x14ac:dyDescent="0.2">
      <c r="C1397" s="9" cm="1">
        <f t="array" ref="C1397">IFERROR(_xlfn.XLOOKUP(B1397,Personal!$A:$A,Personal!$D:$D,""),"")</f>
        <v>0</v>
      </c>
      <c r="D1397" s="9" cm="1">
        <f t="array" ref="D1397">IFERROR(_xlfn.XLOOKUP(B1397,Personal!$A:$A,Personal!$C:$C,""),"")</f>
        <v>0</v>
      </c>
      <c r="E1397" s="9" t="str" cm="1">
        <f t="array" ref="E1397">IFERROR(_xlfn.XLOOKUP(D1397,Locales!$A:$A,Locales!$B:$B,""),"")</f>
        <v/>
      </c>
      <c r="F1397" s="9" cm="1">
        <f t="array" ref="F1397">IFERROR(_xlfn.XLOOKUP(B1397,Personal!$A:$A,Personal!$F:$F,""),"")</f>
        <v>0</v>
      </c>
      <c r="I1397" s="10" cm="1">
        <f t="array" ref="I1397">IFERROR(INDEX(Precios!$D:$F,MATCH(N1397, Precios!$G:$G, 0),CHOOSE(MATCH(H1397, {"SML";"XL";"XXL"}, 0), 1, 2, 3)), 0)</f>
        <v>0</v>
      </c>
      <c r="K1397" s="10">
        <f t="shared" si="48"/>
        <v>0</v>
      </c>
      <c r="N1397" s="9" t="str">
        <f t="shared" si="49"/>
        <v/>
      </c>
      <c r="O1397" s="9" t="str">
        <f>IF(N1397="","",IF(COUNTIF(Precios!$G:$G,N1397)=0,"⚠ No coincide con Precios","OK"))</f>
        <v/>
      </c>
    </row>
    <row r="1398" spans="3:15" x14ac:dyDescent="0.2">
      <c r="C1398" s="9" cm="1">
        <f t="array" ref="C1398">IFERROR(_xlfn.XLOOKUP(B1398,Personal!$A:$A,Personal!$D:$D,""),"")</f>
        <v>0</v>
      </c>
      <c r="D1398" s="9" cm="1">
        <f t="array" ref="D1398">IFERROR(_xlfn.XLOOKUP(B1398,Personal!$A:$A,Personal!$C:$C,""),"")</f>
        <v>0</v>
      </c>
      <c r="E1398" s="9" t="str" cm="1">
        <f t="array" ref="E1398">IFERROR(_xlfn.XLOOKUP(D1398,Locales!$A:$A,Locales!$B:$B,""),"")</f>
        <v/>
      </c>
      <c r="F1398" s="9" cm="1">
        <f t="array" ref="F1398">IFERROR(_xlfn.XLOOKUP(B1398,Personal!$A:$A,Personal!$F:$F,""),"")</f>
        <v>0</v>
      </c>
      <c r="I1398" s="10" cm="1">
        <f t="array" ref="I1398">IFERROR(INDEX(Precios!$D:$F,MATCH(N1398, Precios!$G:$G, 0),CHOOSE(MATCH(H1398, {"SML";"XL";"XXL"}, 0), 1, 2, 3)), 0)</f>
        <v>0</v>
      </c>
      <c r="K1398" s="10">
        <f t="shared" si="48"/>
        <v>0</v>
      </c>
      <c r="N1398" s="9" t="str">
        <f t="shared" si="49"/>
        <v/>
      </c>
      <c r="O1398" s="9" t="str">
        <f>IF(N1398="","",IF(COUNTIF(Precios!$G:$G,N1398)=0,"⚠ No coincide con Precios","OK"))</f>
        <v/>
      </c>
    </row>
    <row r="1399" spans="3:15" x14ac:dyDescent="0.2">
      <c r="C1399" s="9" cm="1">
        <f t="array" ref="C1399">IFERROR(_xlfn.XLOOKUP(B1399,Personal!$A:$A,Personal!$D:$D,""),"")</f>
        <v>0</v>
      </c>
      <c r="D1399" s="9" cm="1">
        <f t="array" ref="D1399">IFERROR(_xlfn.XLOOKUP(B1399,Personal!$A:$A,Personal!$C:$C,""),"")</f>
        <v>0</v>
      </c>
      <c r="E1399" s="9" t="str" cm="1">
        <f t="array" ref="E1399">IFERROR(_xlfn.XLOOKUP(D1399,Locales!$A:$A,Locales!$B:$B,""),"")</f>
        <v/>
      </c>
      <c r="F1399" s="9" cm="1">
        <f t="array" ref="F1399">IFERROR(_xlfn.XLOOKUP(B1399,Personal!$A:$A,Personal!$F:$F,""),"")</f>
        <v>0</v>
      </c>
      <c r="I1399" s="10" cm="1">
        <f t="array" ref="I1399">IFERROR(INDEX(Precios!$D:$F,MATCH(N1399, Precios!$G:$G, 0),CHOOSE(MATCH(H1399, {"SML";"XL";"XXL"}, 0), 1, 2, 3)), 0)</f>
        <v>0</v>
      </c>
      <c r="K1399" s="10">
        <f t="shared" si="48"/>
        <v>0</v>
      </c>
      <c r="N1399" s="9" t="str">
        <f t="shared" si="49"/>
        <v/>
      </c>
      <c r="O1399" s="9" t="str">
        <f>IF(N1399="","",IF(COUNTIF(Precios!$G:$G,N1399)=0,"⚠ No coincide con Precios","OK"))</f>
        <v/>
      </c>
    </row>
    <row r="1400" spans="3:15" x14ac:dyDescent="0.2">
      <c r="C1400" s="9" cm="1">
        <f t="array" ref="C1400">IFERROR(_xlfn.XLOOKUP(B1400,Personal!$A:$A,Personal!$D:$D,""),"")</f>
        <v>0</v>
      </c>
      <c r="D1400" s="9" cm="1">
        <f t="array" ref="D1400">IFERROR(_xlfn.XLOOKUP(B1400,Personal!$A:$A,Personal!$C:$C,""),"")</f>
        <v>0</v>
      </c>
      <c r="E1400" s="9" t="str" cm="1">
        <f t="array" ref="E1400">IFERROR(_xlfn.XLOOKUP(D1400,Locales!$A:$A,Locales!$B:$B,""),"")</f>
        <v/>
      </c>
      <c r="F1400" s="9" cm="1">
        <f t="array" ref="F1400">IFERROR(_xlfn.XLOOKUP(B1400,Personal!$A:$A,Personal!$F:$F,""),"")</f>
        <v>0</v>
      </c>
      <c r="I1400" s="10" cm="1">
        <f t="array" ref="I1400">IFERROR(INDEX(Precios!$D:$F,MATCH(N1400, Precios!$G:$G, 0),CHOOSE(MATCH(H1400, {"SML";"XL";"XXL"}, 0), 1, 2, 3)), 0)</f>
        <v>0</v>
      </c>
      <c r="K1400" s="10">
        <f t="shared" si="48"/>
        <v>0</v>
      </c>
      <c r="N1400" s="9" t="str">
        <f t="shared" si="49"/>
        <v/>
      </c>
      <c r="O1400" s="9" t="str">
        <f>IF(N1400="","",IF(COUNTIF(Precios!$G:$G,N1400)=0,"⚠ No coincide con Precios","OK"))</f>
        <v/>
      </c>
    </row>
    <row r="1401" spans="3:15" x14ac:dyDescent="0.2">
      <c r="C1401" s="9" cm="1">
        <f t="array" ref="C1401">IFERROR(_xlfn.XLOOKUP(B1401,Personal!$A:$A,Personal!$D:$D,""),"")</f>
        <v>0</v>
      </c>
      <c r="D1401" s="9" cm="1">
        <f t="array" ref="D1401">IFERROR(_xlfn.XLOOKUP(B1401,Personal!$A:$A,Personal!$C:$C,""),"")</f>
        <v>0</v>
      </c>
      <c r="E1401" s="9" t="str" cm="1">
        <f t="array" ref="E1401">IFERROR(_xlfn.XLOOKUP(D1401,Locales!$A:$A,Locales!$B:$B,""),"")</f>
        <v/>
      </c>
      <c r="F1401" s="9" cm="1">
        <f t="array" ref="F1401">IFERROR(_xlfn.XLOOKUP(B1401,Personal!$A:$A,Personal!$F:$F,""),"")</f>
        <v>0</v>
      </c>
      <c r="I1401" s="10" cm="1">
        <f t="array" ref="I1401">IFERROR(INDEX(Precios!$D:$F,MATCH(N1401, Precios!$G:$G, 0),CHOOSE(MATCH(H1401, {"SML";"XL";"XXL"}, 0), 1, 2, 3)), 0)</f>
        <v>0</v>
      </c>
      <c r="K1401" s="10">
        <f t="shared" si="48"/>
        <v>0</v>
      </c>
      <c r="N1401" s="9" t="str">
        <f t="shared" si="49"/>
        <v/>
      </c>
      <c r="O1401" s="9" t="str">
        <f>IF(N1401="","",IF(COUNTIF(Precios!$G:$G,N1401)=0,"⚠ No coincide con Precios","OK"))</f>
        <v/>
      </c>
    </row>
    <row r="1402" spans="3:15" x14ac:dyDescent="0.2">
      <c r="C1402" s="9" cm="1">
        <f t="array" ref="C1402">IFERROR(_xlfn.XLOOKUP(B1402,Personal!$A:$A,Personal!$D:$D,""),"")</f>
        <v>0</v>
      </c>
      <c r="D1402" s="9" cm="1">
        <f t="array" ref="D1402">IFERROR(_xlfn.XLOOKUP(B1402,Personal!$A:$A,Personal!$C:$C,""),"")</f>
        <v>0</v>
      </c>
      <c r="E1402" s="9" t="str" cm="1">
        <f t="array" ref="E1402">IFERROR(_xlfn.XLOOKUP(D1402,Locales!$A:$A,Locales!$B:$B,""),"")</f>
        <v/>
      </c>
      <c r="F1402" s="9" cm="1">
        <f t="array" ref="F1402">IFERROR(_xlfn.XLOOKUP(B1402,Personal!$A:$A,Personal!$F:$F,""),"")</f>
        <v>0</v>
      </c>
      <c r="I1402" s="10" cm="1">
        <f t="array" ref="I1402">IFERROR(INDEX(Precios!$D:$F,MATCH(N1402, Precios!$G:$G, 0),CHOOSE(MATCH(H1402, {"SML";"XL";"XXL"}, 0), 1, 2, 3)), 0)</f>
        <v>0</v>
      </c>
      <c r="K1402" s="10">
        <f t="shared" si="48"/>
        <v>0</v>
      </c>
      <c r="N1402" s="9" t="str">
        <f t="shared" si="49"/>
        <v/>
      </c>
      <c r="O1402" s="9" t="str">
        <f>IF(N1402="","",IF(COUNTIF(Precios!$G:$G,N1402)=0,"⚠ No coincide con Precios","OK"))</f>
        <v/>
      </c>
    </row>
    <row r="1403" spans="3:15" x14ac:dyDescent="0.2">
      <c r="C1403" s="9" cm="1">
        <f t="array" ref="C1403">IFERROR(_xlfn.XLOOKUP(B1403,Personal!$A:$A,Personal!$D:$D,""),"")</f>
        <v>0</v>
      </c>
      <c r="D1403" s="9" cm="1">
        <f t="array" ref="D1403">IFERROR(_xlfn.XLOOKUP(B1403,Personal!$A:$A,Personal!$C:$C,""),"")</f>
        <v>0</v>
      </c>
      <c r="E1403" s="9" t="str" cm="1">
        <f t="array" ref="E1403">IFERROR(_xlfn.XLOOKUP(D1403,Locales!$A:$A,Locales!$B:$B,""),"")</f>
        <v/>
      </c>
      <c r="F1403" s="9" cm="1">
        <f t="array" ref="F1403">IFERROR(_xlfn.XLOOKUP(B1403,Personal!$A:$A,Personal!$F:$F,""),"")</f>
        <v>0</v>
      </c>
      <c r="I1403" s="10" cm="1">
        <f t="array" ref="I1403">IFERROR(INDEX(Precios!$D:$F,MATCH(N1403, Precios!$G:$G, 0),CHOOSE(MATCH(H1403, {"SML";"XL";"XXL"}, 0), 1, 2, 3)), 0)</f>
        <v>0</v>
      </c>
      <c r="K1403" s="10">
        <f t="shared" si="48"/>
        <v>0</v>
      </c>
      <c r="N1403" s="9" t="str">
        <f t="shared" si="49"/>
        <v/>
      </c>
      <c r="O1403" s="9" t="str">
        <f>IF(N1403="","",IF(COUNTIF(Precios!$G:$G,N1403)=0,"⚠ No coincide con Precios","OK"))</f>
        <v/>
      </c>
    </row>
    <row r="1404" spans="3:15" x14ac:dyDescent="0.2">
      <c r="C1404" s="9" cm="1">
        <f t="array" ref="C1404">IFERROR(_xlfn.XLOOKUP(B1404,Personal!$A:$A,Personal!$D:$D,""),"")</f>
        <v>0</v>
      </c>
      <c r="D1404" s="9" cm="1">
        <f t="array" ref="D1404">IFERROR(_xlfn.XLOOKUP(B1404,Personal!$A:$A,Personal!$C:$C,""),"")</f>
        <v>0</v>
      </c>
      <c r="E1404" s="9" t="str" cm="1">
        <f t="array" ref="E1404">IFERROR(_xlfn.XLOOKUP(D1404,Locales!$A:$A,Locales!$B:$B,""),"")</f>
        <v/>
      </c>
      <c r="F1404" s="9" cm="1">
        <f t="array" ref="F1404">IFERROR(_xlfn.XLOOKUP(B1404,Personal!$A:$A,Personal!$F:$F,""),"")</f>
        <v>0</v>
      </c>
      <c r="I1404" s="10" cm="1">
        <f t="array" ref="I1404">IFERROR(INDEX(Precios!$D:$F,MATCH(N1404, Precios!$G:$G, 0),CHOOSE(MATCH(H1404, {"SML";"XL";"XXL"}, 0), 1, 2, 3)), 0)</f>
        <v>0</v>
      </c>
      <c r="K1404" s="10">
        <f t="shared" si="48"/>
        <v>0</v>
      </c>
      <c r="N1404" s="9" t="str">
        <f t="shared" si="49"/>
        <v/>
      </c>
      <c r="O1404" s="9" t="str">
        <f>IF(N1404="","",IF(COUNTIF(Precios!$G:$G,N1404)=0,"⚠ No coincide con Precios","OK"))</f>
        <v/>
      </c>
    </row>
    <row r="1405" spans="3:15" x14ac:dyDescent="0.2">
      <c r="C1405" s="9" cm="1">
        <f t="array" ref="C1405">IFERROR(_xlfn.XLOOKUP(B1405,Personal!$A:$A,Personal!$D:$D,""),"")</f>
        <v>0</v>
      </c>
      <c r="D1405" s="9" cm="1">
        <f t="array" ref="D1405">IFERROR(_xlfn.XLOOKUP(B1405,Personal!$A:$A,Personal!$C:$C,""),"")</f>
        <v>0</v>
      </c>
      <c r="E1405" s="9" t="str" cm="1">
        <f t="array" ref="E1405">IFERROR(_xlfn.XLOOKUP(D1405,Locales!$A:$A,Locales!$B:$B,""),"")</f>
        <v/>
      </c>
      <c r="F1405" s="9" cm="1">
        <f t="array" ref="F1405">IFERROR(_xlfn.XLOOKUP(B1405,Personal!$A:$A,Personal!$F:$F,""),"")</f>
        <v>0</v>
      </c>
      <c r="I1405" s="10" cm="1">
        <f t="array" ref="I1405">IFERROR(INDEX(Precios!$D:$F,MATCH(N1405, Precios!$G:$G, 0),CHOOSE(MATCH(H1405, {"SML";"XL";"XXL"}, 0), 1, 2, 3)), 0)</f>
        <v>0</v>
      </c>
      <c r="K1405" s="10">
        <f t="shared" si="48"/>
        <v>0</v>
      </c>
      <c r="N1405" s="9" t="str">
        <f t="shared" si="49"/>
        <v/>
      </c>
      <c r="O1405" s="9" t="str">
        <f>IF(N1405="","",IF(COUNTIF(Precios!$G:$G,N1405)=0,"⚠ No coincide con Precios","OK"))</f>
        <v/>
      </c>
    </row>
    <row r="1406" spans="3:15" x14ac:dyDescent="0.2">
      <c r="C1406" s="9" cm="1">
        <f t="array" ref="C1406">IFERROR(_xlfn.XLOOKUP(B1406,Personal!$A:$A,Personal!$D:$D,""),"")</f>
        <v>0</v>
      </c>
      <c r="D1406" s="9" cm="1">
        <f t="array" ref="D1406">IFERROR(_xlfn.XLOOKUP(B1406,Personal!$A:$A,Personal!$C:$C,""),"")</f>
        <v>0</v>
      </c>
      <c r="E1406" s="9" t="str" cm="1">
        <f t="array" ref="E1406">IFERROR(_xlfn.XLOOKUP(D1406,Locales!$A:$A,Locales!$B:$B,""),"")</f>
        <v/>
      </c>
      <c r="F1406" s="9" cm="1">
        <f t="array" ref="F1406">IFERROR(_xlfn.XLOOKUP(B1406,Personal!$A:$A,Personal!$F:$F,""),"")</f>
        <v>0</v>
      </c>
      <c r="I1406" s="10" cm="1">
        <f t="array" ref="I1406">IFERROR(INDEX(Precios!$D:$F,MATCH(N1406, Precios!$G:$G, 0),CHOOSE(MATCH(H1406, {"SML";"XL";"XXL"}, 0), 1, 2, 3)), 0)</f>
        <v>0</v>
      </c>
      <c r="K1406" s="10">
        <f t="shared" ref="K1406:K1469" si="50">IFERROR(I1406*J1406,0)</f>
        <v>0</v>
      </c>
      <c r="N1406" s="9" t="str">
        <f t="shared" ref="N1406:N1469" si="51">IF( OR(E1406="",F1406="",G1406=""), "",CLEAN(TRIM(E1406)) &amp; "|" &amp; CLEAN(TRIM(F1406)) &amp; "|" &amp; CLEAN(TRIM(G1406)))</f>
        <v/>
      </c>
      <c r="O1406" s="9" t="str">
        <f>IF(N1406="","",IF(COUNTIF(Precios!$G:$G,N1406)=0,"⚠ No coincide con Precios","OK"))</f>
        <v/>
      </c>
    </row>
    <row r="1407" spans="3:15" x14ac:dyDescent="0.2">
      <c r="C1407" s="9" cm="1">
        <f t="array" ref="C1407">IFERROR(_xlfn.XLOOKUP(B1407,Personal!$A:$A,Personal!$D:$D,""),"")</f>
        <v>0</v>
      </c>
      <c r="D1407" s="9" cm="1">
        <f t="array" ref="D1407">IFERROR(_xlfn.XLOOKUP(B1407,Personal!$A:$A,Personal!$C:$C,""),"")</f>
        <v>0</v>
      </c>
      <c r="E1407" s="9" t="str" cm="1">
        <f t="array" ref="E1407">IFERROR(_xlfn.XLOOKUP(D1407,Locales!$A:$A,Locales!$B:$B,""),"")</f>
        <v/>
      </c>
      <c r="F1407" s="9" cm="1">
        <f t="array" ref="F1407">IFERROR(_xlfn.XLOOKUP(B1407,Personal!$A:$A,Personal!$F:$F,""),"")</f>
        <v>0</v>
      </c>
      <c r="I1407" s="10" cm="1">
        <f t="array" ref="I1407">IFERROR(INDEX(Precios!$D:$F,MATCH(N1407, Precios!$G:$G, 0),CHOOSE(MATCH(H1407, {"SML";"XL";"XXL"}, 0), 1, 2, 3)), 0)</f>
        <v>0</v>
      </c>
      <c r="K1407" s="10">
        <f t="shared" si="50"/>
        <v>0</v>
      </c>
      <c r="N1407" s="9" t="str">
        <f t="shared" si="51"/>
        <v/>
      </c>
      <c r="O1407" s="9" t="str">
        <f>IF(N1407="","",IF(COUNTIF(Precios!$G:$G,N1407)=0,"⚠ No coincide con Precios","OK"))</f>
        <v/>
      </c>
    </row>
    <row r="1408" spans="3:15" x14ac:dyDescent="0.2">
      <c r="C1408" s="9" cm="1">
        <f t="array" ref="C1408">IFERROR(_xlfn.XLOOKUP(B1408,Personal!$A:$A,Personal!$D:$D,""),"")</f>
        <v>0</v>
      </c>
      <c r="D1408" s="9" cm="1">
        <f t="array" ref="D1408">IFERROR(_xlfn.XLOOKUP(B1408,Personal!$A:$A,Personal!$C:$C,""),"")</f>
        <v>0</v>
      </c>
      <c r="E1408" s="9" t="str" cm="1">
        <f t="array" ref="E1408">IFERROR(_xlfn.XLOOKUP(D1408,Locales!$A:$A,Locales!$B:$B,""),"")</f>
        <v/>
      </c>
      <c r="F1408" s="9" cm="1">
        <f t="array" ref="F1408">IFERROR(_xlfn.XLOOKUP(B1408,Personal!$A:$A,Personal!$F:$F,""),"")</f>
        <v>0</v>
      </c>
      <c r="I1408" s="10" cm="1">
        <f t="array" ref="I1408">IFERROR(INDEX(Precios!$D:$F,MATCH(N1408, Precios!$G:$G, 0),CHOOSE(MATCH(H1408, {"SML";"XL";"XXL"}, 0), 1, 2, 3)), 0)</f>
        <v>0</v>
      </c>
      <c r="K1408" s="10">
        <f t="shared" si="50"/>
        <v>0</v>
      </c>
      <c r="N1408" s="9" t="str">
        <f t="shared" si="51"/>
        <v/>
      </c>
      <c r="O1408" s="9" t="str">
        <f>IF(N1408="","",IF(COUNTIF(Precios!$G:$G,N1408)=0,"⚠ No coincide con Precios","OK"))</f>
        <v/>
      </c>
    </row>
    <row r="1409" spans="3:15" x14ac:dyDescent="0.2">
      <c r="C1409" s="9" cm="1">
        <f t="array" ref="C1409">IFERROR(_xlfn.XLOOKUP(B1409,Personal!$A:$A,Personal!$D:$D,""),"")</f>
        <v>0</v>
      </c>
      <c r="D1409" s="9" cm="1">
        <f t="array" ref="D1409">IFERROR(_xlfn.XLOOKUP(B1409,Personal!$A:$A,Personal!$C:$C,""),"")</f>
        <v>0</v>
      </c>
      <c r="E1409" s="9" t="str" cm="1">
        <f t="array" ref="E1409">IFERROR(_xlfn.XLOOKUP(D1409,Locales!$A:$A,Locales!$B:$B,""),"")</f>
        <v/>
      </c>
      <c r="F1409" s="9" cm="1">
        <f t="array" ref="F1409">IFERROR(_xlfn.XLOOKUP(B1409,Personal!$A:$A,Personal!$F:$F,""),"")</f>
        <v>0</v>
      </c>
      <c r="I1409" s="10" cm="1">
        <f t="array" ref="I1409">IFERROR(INDEX(Precios!$D:$F,MATCH(N1409, Precios!$G:$G, 0),CHOOSE(MATCH(H1409, {"SML";"XL";"XXL"}, 0), 1, 2, 3)), 0)</f>
        <v>0</v>
      </c>
      <c r="K1409" s="10">
        <f t="shared" si="50"/>
        <v>0</v>
      </c>
      <c r="N1409" s="9" t="str">
        <f t="shared" si="51"/>
        <v/>
      </c>
      <c r="O1409" s="9" t="str">
        <f>IF(N1409="","",IF(COUNTIF(Precios!$G:$G,N1409)=0,"⚠ No coincide con Precios","OK"))</f>
        <v/>
      </c>
    </row>
    <row r="1410" spans="3:15" x14ac:dyDescent="0.2">
      <c r="C1410" s="9" cm="1">
        <f t="array" ref="C1410">IFERROR(_xlfn.XLOOKUP(B1410,Personal!$A:$A,Personal!$D:$D,""),"")</f>
        <v>0</v>
      </c>
      <c r="D1410" s="9" cm="1">
        <f t="array" ref="D1410">IFERROR(_xlfn.XLOOKUP(B1410,Personal!$A:$A,Personal!$C:$C,""),"")</f>
        <v>0</v>
      </c>
      <c r="E1410" s="9" t="str" cm="1">
        <f t="array" ref="E1410">IFERROR(_xlfn.XLOOKUP(D1410,Locales!$A:$A,Locales!$B:$B,""),"")</f>
        <v/>
      </c>
      <c r="F1410" s="9" cm="1">
        <f t="array" ref="F1410">IFERROR(_xlfn.XLOOKUP(B1410,Personal!$A:$A,Personal!$F:$F,""),"")</f>
        <v>0</v>
      </c>
      <c r="I1410" s="10" cm="1">
        <f t="array" ref="I1410">IFERROR(INDEX(Precios!$D:$F,MATCH(N1410, Precios!$G:$G, 0),CHOOSE(MATCH(H1410, {"SML";"XL";"XXL"}, 0), 1, 2, 3)), 0)</f>
        <v>0</v>
      </c>
      <c r="K1410" s="10">
        <f t="shared" si="50"/>
        <v>0</v>
      </c>
      <c r="N1410" s="9" t="str">
        <f t="shared" si="51"/>
        <v/>
      </c>
      <c r="O1410" s="9" t="str">
        <f>IF(N1410="","",IF(COUNTIF(Precios!$G:$G,N1410)=0,"⚠ No coincide con Precios","OK"))</f>
        <v/>
      </c>
    </row>
    <row r="1411" spans="3:15" x14ac:dyDescent="0.2">
      <c r="C1411" s="9" cm="1">
        <f t="array" ref="C1411">IFERROR(_xlfn.XLOOKUP(B1411,Personal!$A:$A,Personal!$D:$D,""),"")</f>
        <v>0</v>
      </c>
      <c r="D1411" s="9" cm="1">
        <f t="array" ref="D1411">IFERROR(_xlfn.XLOOKUP(B1411,Personal!$A:$A,Personal!$C:$C,""),"")</f>
        <v>0</v>
      </c>
      <c r="E1411" s="9" t="str" cm="1">
        <f t="array" ref="E1411">IFERROR(_xlfn.XLOOKUP(D1411,Locales!$A:$A,Locales!$B:$B,""),"")</f>
        <v/>
      </c>
      <c r="F1411" s="9" cm="1">
        <f t="array" ref="F1411">IFERROR(_xlfn.XLOOKUP(B1411,Personal!$A:$A,Personal!$F:$F,""),"")</f>
        <v>0</v>
      </c>
      <c r="I1411" s="10" cm="1">
        <f t="array" ref="I1411">IFERROR(INDEX(Precios!$D:$F,MATCH(N1411, Precios!$G:$G, 0),CHOOSE(MATCH(H1411, {"SML";"XL";"XXL"}, 0), 1, 2, 3)), 0)</f>
        <v>0</v>
      </c>
      <c r="K1411" s="10">
        <f t="shared" si="50"/>
        <v>0</v>
      </c>
      <c r="N1411" s="9" t="str">
        <f t="shared" si="51"/>
        <v/>
      </c>
      <c r="O1411" s="9" t="str">
        <f>IF(N1411="","",IF(COUNTIF(Precios!$G:$G,N1411)=0,"⚠ No coincide con Precios","OK"))</f>
        <v/>
      </c>
    </row>
    <row r="1412" spans="3:15" x14ac:dyDescent="0.2">
      <c r="C1412" s="9" cm="1">
        <f t="array" ref="C1412">IFERROR(_xlfn.XLOOKUP(B1412,Personal!$A:$A,Personal!$D:$D,""),"")</f>
        <v>0</v>
      </c>
      <c r="D1412" s="9" cm="1">
        <f t="array" ref="D1412">IFERROR(_xlfn.XLOOKUP(B1412,Personal!$A:$A,Personal!$C:$C,""),"")</f>
        <v>0</v>
      </c>
      <c r="E1412" s="9" t="str" cm="1">
        <f t="array" ref="E1412">IFERROR(_xlfn.XLOOKUP(D1412,Locales!$A:$A,Locales!$B:$B,""),"")</f>
        <v/>
      </c>
      <c r="F1412" s="9" cm="1">
        <f t="array" ref="F1412">IFERROR(_xlfn.XLOOKUP(B1412,Personal!$A:$A,Personal!$F:$F,""),"")</f>
        <v>0</v>
      </c>
      <c r="I1412" s="10" cm="1">
        <f t="array" ref="I1412">IFERROR(INDEX(Precios!$D:$F,MATCH(N1412, Precios!$G:$G, 0),CHOOSE(MATCH(H1412, {"SML";"XL";"XXL"}, 0), 1, 2, 3)), 0)</f>
        <v>0</v>
      </c>
      <c r="K1412" s="10">
        <f t="shared" si="50"/>
        <v>0</v>
      </c>
      <c r="N1412" s="9" t="str">
        <f t="shared" si="51"/>
        <v/>
      </c>
      <c r="O1412" s="9" t="str">
        <f>IF(N1412="","",IF(COUNTIF(Precios!$G:$G,N1412)=0,"⚠ No coincide con Precios","OK"))</f>
        <v/>
      </c>
    </row>
    <row r="1413" spans="3:15" x14ac:dyDescent="0.2">
      <c r="C1413" s="9" cm="1">
        <f t="array" ref="C1413">IFERROR(_xlfn.XLOOKUP(B1413,Personal!$A:$A,Personal!$D:$D,""),"")</f>
        <v>0</v>
      </c>
      <c r="D1413" s="9" cm="1">
        <f t="array" ref="D1413">IFERROR(_xlfn.XLOOKUP(B1413,Personal!$A:$A,Personal!$C:$C,""),"")</f>
        <v>0</v>
      </c>
      <c r="E1413" s="9" t="str" cm="1">
        <f t="array" ref="E1413">IFERROR(_xlfn.XLOOKUP(D1413,Locales!$A:$A,Locales!$B:$B,""),"")</f>
        <v/>
      </c>
      <c r="F1413" s="9" cm="1">
        <f t="array" ref="F1413">IFERROR(_xlfn.XLOOKUP(B1413,Personal!$A:$A,Personal!$F:$F,""),"")</f>
        <v>0</v>
      </c>
      <c r="I1413" s="10" cm="1">
        <f t="array" ref="I1413">IFERROR(INDEX(Precios!$D:$F,MATCH(N1413, Precios!$G:$G, 0),CHOOSE(MATCH(H1413, {"SML";"XL";"XXL"}, 0), 1, 2, 3)), 0)</f>
        <v>0</v>
      </c>
      <c r="K1413" s="10">
        <f t="shared" si="50"/>
        <v>0</v>
      </c>
      <c r="N1413" s="9" t="str">
        <f t="shared" si="51"/>
        <v/>
      </c>
      <c r="O1413" s="9" t="str">
        <f>IF(N1413="","",IF(COUNTIF(Precios!$G:$G,N1413)=0,"⚠ No coincide con Precios","OK"))</f>
        <v/>
      </c>
    </row>
    <row r="1414" spans="3:15" x14ac:dyDescent="0.2">
      <c r="C1414" s="9" cm="1">
        <f t="array" ref="C1414">IFERROR(_xlfn.XLOOKUP(B1414,Personal!$A:$A,Personal!$D:$D,""),"")</f>
        <v>0</v>
      </c>
      <c r="D1414" s="9" cm="1">
        <f t="array" ref="D1414">IFERROR(_xlfn.XLOOKUP(B1414,Personal!$A:$A,Personal!$C:$C,""),"")</f>
        <v>0</v>
      </c>
      <c r="E1414" s="9" t="str" cm="1">
        <f t="array" ref="E1414">IFERROR(_xlfn.XLOOKUP(D1414,Locales!$A:$A,Locales!$B:$B,""),"")</f>
        <v/>
      </c>
      <c r="F1414" s="9" cm="1">
        <f t="array" ref="F1414">IFERROR(_xlfn.XLOOKUP(B1414,Personal!$A:$A,Personal!$F:$F,""),"")</f>
        <v>0</v>
      </c>
      <c r="I1414" s="10" cm="1">
        <f t="array" ref="I1414">IFERROR(INDEX(Precios!$D:$F,MATCH(N1414, Precios!$G:$G, 0),CHOOSE(MATCH(H1414, {"SML";"XL";"XXL"}, 0), 1, 2, 3)), 0)</f>
        <v>0</v>
      </c>
      <c r="K1414" s="10">
        <f t="shared" si="50"/>
        <v>0</v>
      </c>
      <c r="N1414" s="9" t="str">
        <f t="shared" si="51"/>
        <v/>
      </c>
      <c r="O1414" s="9" t="str">
        <f>IF(N1414="","",IF(COUNTIF(Precios!$G:$G,N1414)=0,"⚠ No coincide con Precios","OK"))</f>
        <v/>
      </c>
    </row>
    <row r="1415" spans="3:15" x14ac:dyDescent="0.2">
      <c r="C1415" s="9" cm="1">
        <f t="array" ref="C1415">IFERROR(_xlfn.XLOOKUP(B1415,Personal!$A:$A,Personal!$D:$D,""),"")</f>
        <v>0</v>
      </c>
      <c r="D1415" s="9" cm="1">
        <f t="array" ref="D1415">IFERROR(_xlfn.XLOOKUP(B1415,Personal!$A:$A,Personal!$C:$C,""),"")</f>
        <v>0</v>
      </c>
      <c r="E1415" s="9" t="str" cm="1">
        <f t="array" ref="E1415">IFERROR(_xlfn.XLOOKUP(D1415,Locales!$A:$A,Locales!$B:$B,""),"")</f>
        <v/>
      </c>
      <c r="F1415" s="9" cm="1">
        <f t="array" ref="F1415">IFERROR(_xlfn.XLOOKUP(B1415,Personal!$A:$A,Personal!$F:$F,""),"")</f>
        <v>0</v>
      </c>
      <c r="I1415" s="10" cm="1">
        <f t="array" ref="I1415">IFERROR(INDEX(Precios!$D:$F,MATCH(N1415, Precios!$G:$G, 0),CHOOSE(MATCH(H1415, {"SML";"XL";"XXL"}, 0), 1, 2, 3)), 0)</f>
        <v>0</v>
      </c>
      <c r="K1415" s="10">
        <f t="shared" si="50"/>
        <v>0</v>
      </c>
      <c r="N1415" s="9" t="str">
        <f t="shared" si="51"/>
        <v/>
      </c>
      <c r="O1415" s="9" t="str">
        <f>IF(N1415="","",IF(COUNTIF(Precios!$G:$G,N1415)=0,"⚠ No coincide con Precios","OK"))</f>
        <v/>
      </c>
    </row>
    <row r="1416" spans="3:15" x14ac:dyDescent="0.2">
      <c r="C1416" s="9" cm="1">
        <f t="array" ref="C1416">IFERROR(_xlfn.XLOOKUP(B1416,Personal!$A:$A,Personal!$D:$D,""),"")</f>
        <v>0</v>
      </c>
      <c r="D1416" s="9" cm="1">
        <f t="array" ref="D1416">IFERROR(_xlfn.XLOOKUP(B1416,Personal!$A:$A,Personal!$C:$C,""),"")</f>
        <v>0</v>
      </c>
      <c r="E1416" s="9" t="str" cm="1">
        <f t="array" ref="E1416">IFERROR(_xlfn.XLOOKUP(D1416,Locales!$A:$A,Locales!$B:$B,""),"")</f>
        <v/>
      </c>
      <c r="F1416" s="9" cm="1">
        <f t="array" ref="F1416">IFERROR(_xlfn.XLOOKUP(B1416,Personal!$A:$A,Personal!$F:$F,""),"")</f>
        <v>0</v>
      </c>
      <c r="I1416" s="10" cm="1">
        <f t="array" ref="I1416">IFERROR(INDEX(Precios!$D:$F,MATCH(N1416, Precios!$G:$G, 0),CHOOSE(MATCH(H1416, {"SML";"XL";"XXL"}, 0), 1, 2, 3)), 0)</f>
        <v>0</v>
      </c>
      <c r="K1416" s="10">
        <f t="shared" si="50"/>
        <v>0</v>
      </c>
      <c r="N1416" s="9" t="str">
        <f t="shared" si="51"/>
        <v/>
      </c>
      <c r="O1416" s="9" t="str">
        <f>IF(N1416="","",IF(COUNTIF(Precios!$G:$G,N1416)=0,"⚠ No coincide con Precios","OK"))</f>
        <v/>
      </c>
    </row>
    <row r="1417" spans="3:15" x14ac:dyDescent="0.2">
      <c r="C1417" s="9" cm="1">
        <f t="array" ref="C1417">IFERROR(_xlfn.XLOOKUP(B1417,Personal!$A:$A,Personal!$D:$D,""),"")</f>
        <v>0</v>
      </c>
      <c r="D1417" s="9" cm="1">
        <f t="array" ref="D1417">IFERROR(_xlfn.XLOOKUP(B1417,Personal!$A:$A,Personal!$C:$C,""),"")</f>
        <v>0</v>
      </c>
      <c r="E1417" s="9" t="str" cm="1">
        <f t="array" ref="E1417">IFERROR(_xlfn.XLOOKUP(D1417,Locales!$A:$A,Locales!$B:$B,""),"")</f>
        <v/>
      </c>
      <c r="F1417" s="9" cm="1">
        <f t="array" ref="F1417">IFERROR(_xlfn.XLOOKUP(B1417,Personal!$A:$A,Personal!$F:$F,""),"")</f>
        <v>0</v>
      </c>
      <c r="I1417" s="10" cm="1">
        <f t="array" ref="I1417">IFERROR(INDEX(Precios!$D:$F,MATCH(N1417, Precios!$G:$G, 0),CHOOSE(MATCH(H1417, {"SML";"XL";"XXL"}, 0), 1, 2, 3)), 0)</f>
        <v>0</v>
      </c>
      <c r="K1417" s="10">
        <f t="shared" si="50"/>
        <v>0</v>
      </c>
      <c r="N1417" s="9" t="str">
        <f t="shared" si="51"/>
        <v/>
      </c>
      <c r="O1417" s="9" t="str">
        <f>IF(N1417="","",IF(COUNTIF(Precios!$G:$G,N1417)=0,"⚠ No coincide con Precios","OK"))</f>
        <v/>
      </c>
    </row>
    <row r="1418" spans="3:15" x14ac:dyDescent="0.2">
      <c r="C1418" s="9" cm="1">
        <f t="array" ref="C1418">IFERROR(_xlfn.XLOOKUP(B1418,Personal!$A:$A,Personal!$D:$D,""),"")</f>
        <v>0</v>
      </c>
      <c r="D1418" s="9" cm="1">
        <f t="array" ref="D1418">IFERROR(_xlfn.XLOOKUP(B1418,Personal!$A:$A,Personal!$C:$C,""),"")</f>
        <v>0</v>
      </c>
      <c r="E1418" s="9" t="str" cm="1">
        <f t="array" ref="E1418">IFERROR(_xlfn.XLOOKUP(D1418,Locales!$A:$A,Locales!$B:$B,""),"")</f>
        <v/>
      </c>
      <c r="F1418" s="9" cm="1">
        <f t="array" ref="F1418">IFERROR(_xlfn.XLOOKUP(B1418,Personal!$A:$A,Personal!$F:$F,""),"")</f>
        <v>0</v>
      </c>
      <c r="I1418" s="10" cm="1">
        <f t="array" ref="I1418">IFERROR(INDEX(Precios!$D:$F,MATCH(N1418, Precios!$G:$G, 0),CHOOSE(MATCH(H1418, {"SML";"XL";"XXL"}, 0), 1, 2, 3)), 0)</f>
        <v>0</v>
      </c>
      <c r="K1418" s="10">
        <f t="shared" si="50"/>
        <v>0</v>
      </c>
      <c r="N1418" s="9" t="str">
        <f t="shared" si="51"/>
        <v/>
      </c>
      <c r="O1418" s="9" t="str">
        <f>IF(N1418="","",IF(COUNTIF(Precios!$G:$G,N1418)=0,"⚠ No coincide con Precios","OK"))</f>
        <v/>
      </c>
    </row>
    <row r="1419" spans="3:15" x14ac:dyDescent="0.2">
      <c r="C1419" s="9" cm="1">
        <f t="array" ref="C1419">IFERROR(_xlfn.XLOOKUP(B1419,Personal!$A:$A,Personal!$D:$D,""),"")</f>
        <v>0</v>
      </c>
      <c r="D1419" s="9" cm="1">
        <f t="array" ref="D1419">IFERROR(_xlfn.XLOOKUP(B1419,Personal!$A:$A,Personal!$C:$C,""),"")</f>
        <v>0</v>
      </c>
      <c r="E1419" s="9" t="str" cm="1">
        <f t="array" ref="E1419">IFERROR(_xlfn.XLOOKUP(D1419,Locales!$A:$A,Locales!$B:$B,""),"")</f>
        <v/>
      </c>
      <c r="F1419" s="9" cm="1">
        <f t="array" ref="F1419">IFERROR(_xlfn.XLOOKUP(B1419,Personal!$A:$A,Personal!$F:$F,""),"")</f>
        <v>0</v>
      </c>
      <c r="I1419" s="10" cm="1">
        <f t="array" ref="I1419">IFERROR(INDEX(Precios!$D:$F,MATCH(N1419, Precios!$G:$G, 0),CHOOSE(MATCH(H1419, {"SML";"XL";"XXL"}, 0), 1, 2, 3)), 0)</f>
        <v>0</v>
      </c>
      <c r="K1419" s="10">
        <f t="shared" si="50"/>
        <v>0</v>
      </c>
      <c r="N1419" s="9" t="str">
        <f t="shared" si="51"/>
        <v/>
      </c>
      <c r="O1419" s="9" t="str">
        <f>IF(N1419="","",IF(COUNTIF(Precios!$G:$G,N1419)=0,"⚠ No coincide con Precios","OK"))</f>
        <v/>
      </c>
    </row>
    <row r="1420" spans="3:15" x14ac:dyDescent="0.2">
      <c r="C1420" s="9" cm="1">
        <f t="array" ref="C1420">IFERROR(_xlfn.XLOOKUP(B1420,Personal!$A:$A,Personal!$D:$D,""),"")</f>
        <v>0</v>
      </c>
      <c r="D1420" s="9" cm="1">
        <f t="array" ref="D1420">IFERROR(_xlfn.XLOOKUP(B1420,Personal!$A:$A,Personal!$C:$C,""),"")</f>
        <v>0</v>
      </c>
      <c r="E1420" s="9" t="str" cm="1">
        <f t="array" ref="E1420">IFERROR(_xlfn.XLOOKUP(D1420,Locales!$A:$A,Locales!$B:$B,""),"")</f>
        <v/>
      </c>
      <c r="F1420" s="9" cm="1">
        <f t="array" ref="F1420">IFERROR(_xlfn.XLOOKUP(B1420,Personal!$A:$A,Personal!$F:$F,""),"")</f>
        <v>0</v>
      </c>
      <c r="I1420" s="10" cm="1">
        <f t="array" ref="I1420">IFERROR(INDEX(Precios!$D:$F,MATCH(N1420, Precios!$G:$G, 0),CHOOSE(MATCH(H1420, {"SML";"XL";"XXL"}, 0), 1, 2, 3)), 0)</f>
        <v>0</v>
      </c>
      <c r="K1420" s="10">
        <f t="shared" si="50"/>
        <v>0</v>
      </c>
      <c r="N1420" s="9" t="str">
        <f t="shared" si="51"/>
        <v/>
      </c>
      <c r="O1420" s="9" t="str">
        <f>IF(N1420="","",IF(COUNTIF(Precios!$G:$G,N1420)=0,"⚠ No coincide con Precios","OK"))</f>
        <v/>
      </c>
    </row>
    <row r="1421" spans="3:15" x14ac:dyDescent="0.2">
      <c r="C1421" s="9" cm="1">
        <f t="array" ref="C1421">IFERROR(_xlfn.XLOOKUP(B1421,Personal!$A:$A,Personal!$D:$D,""),"")</f>
        <v>0</v>
      </c>
      <c r="D1421" s="9" cm="1">
        <f t="array" ref="D1421">IFERROR(_xlfn.XLOOKUP(B1421,Personal!$A:$A,Personal!$C:$C,""),"")</f>
        <v>0</v>
      </c>
      <c r="E1421" s="9" t="str" cm="1">
        <f t="array" ref="E1421">IFERROR(_xlfn.XLOOKUP(D1421,Locales!$A:$A,Locales!$B:$B,""),"")</f>
        <v/>
      </c>
      <c r="F1421" s="9" cm="1">
        <f t="array" ref="F1421">IFERROR(_xlfn.XLOOKUP(B1421,Personal!$A:$A,Personal!$F:$F,""),"")</f>
        <v>0</v>
      </c>
      <c r="I1421" s="10" cm="1">
        <f t="array" ref="I1421">IFERROR(INDEX(Precios!$D:$F,MATCH(N1421, Precios!$G:$G, 0),CHOOSE(MATCH(H1421, {"SML";"XL";"XXL"}, 0), 1, 2, 3)), 0)</f>
        <v>0</v>
      </c>
      <c r="K1421" s="10">
        <f t="shared" si="50"/>
        <v>0</v>
      </c>
      <c r="N1421" s="9" t="str">
        <f t="shared" si="51"/>
        <v/>
      </c>
      <c r="O1421" s="9" t="str">
        <f>IF(N1421="","",IF(COUNTIF(Precios!$G:$G,N1421)=0,"⚠ No coincide con Precios","OK"))</f>
        <v/>
      </c>
    </row>
    <row r="1422" spans="3:15" x14ac:dyDescent="0.2">
      <c r="C1422" s="9" cm="1">
        <f t="array" ref="C1422">IFERROR(_xlfn.XLOOKUP(B1422,Personal!$A:$A,Personal!$D:$D,""),"")</f>
        <v>0</v>
      </c>
      <c r="D1422" s="9" cm="1">
        <f t="array" ref="D1422">IFERROR(_xlfn.XLOOKUP(B1422,Personal!$A:$A,Personal!$C:$C,""),"")</f>
        <v>0</v>
      </c>
      <c r="E1422" s="9" t="str" cm="1">
        <f t="array" ref="E1422">IFERROR(_xlfn.XLOOKUP(D1422,Locales!$A:$A,Locales!$B:$B,""),"")</f>
        <v/>
      </c>
      <c r="F1422" s="9" cm="1">
        <f t="array" ref="F1422">IFERROR(_xlfn.XLOOKUP(B1422,Personal!$A:$A,Personal!$F:$F,""),"")</f>
        <v>0</v>
      </c>
      <c r="I1422" s="10" cm="1">
        <f t="array" ref="I1422">IFERROR(INDEX(Precios!$D:$F,MATCH(N1422, Precios!$G:$G, 0),CHOOSE(MATCH(H1422, {"SML";"XL";"XXL"}, 0), 1, 2, 3)), 0)</f>
        <v>0</v>
      </c>
      <c r="K1422" s="10">
        <f t="shared" si="50"/>
        <v>0</v>
      </c>
      <c r="N1422" s="9" t="str">
        <f t="shared" si="51"/>
        <v/>
      </c>
      <c r="O1422" s="9" t="str">
        <f>IF(N1422="","",IF(COUNTIF(Precios!$G:$G,N1422)=0,"⚠ No coincide con Precios","OK"))</f>
        <v/>
      </c>
    </row>
    <row r="1423" spans="3:15" x14ac:dyDescent="0.2">
      <c r="C1423" s="9" cm="1">
        <f t="array" ref="C1423">IFERROR(_xlfn.XLOOKUP(B1423,Personal!$A:$A,Personal!$D:$D,""),"")</f>
        <v>0</v>
      </c>
      <c r="D1423" s="9" cm="1">
        <f t="array" ref="D1423">IFERROR(_xlfn.XLOOKUP(B1423,Personal!$A:$A,Personal!$C:$C,""),"")</f>
        <v>0</v>
      </c>
      <c r="E1423" s="9" t="str" cm="1">
        <f t="array" ref="E1423">IFERROR(_xlfn.XLOOKUP(D1423,Locales!$A:$A,Locales!$B:$B,""),"")</f>
        <v/>
      </c>
      <c r="F1423" s="9" cm="1">
        <f t="array" ref="F1423">IFERROR(_xlfn.XLOOKUP(B1423,Personal!$A:$A,Personal!$F:$F,""),"")</f>
        <v>0</v>
      </c>
      <c r="I1423" s="10" cm="1">
        <f t="array" ref="I1423">IFERROR(INDEX(Precios!$D:$F,MATCH(N1423, Precios!$G:$G, 0),CHOOSE(MATCH(H1423, {"SML";"XL";"XXL"}, 0), 1, 2, 3)), 0)</f>
        <v>0</v>
      </c>
      <c r="K1423" s="10">
        <f t="shared" si="50"/>
        <v>0</v>
      </c>
      <c r="N1423" s="9" t="str">
        <f t="shared" si="51"/>
        <v/>
      </c>
      <c r="O1423" s="9" t="str">
        <f>IF(N1423="","",IF(COUNTIF(Precios!$G:$G,N1423)=0,"⚠ No coincide con Precios","OK"))</f>
        <v/>
      </c>
    </row>
    <row r="1424" spans="3:15" x14ac:dyDescent="0.2">
      <c r="C1424" s="9" cm="1">
        <f t="array" ref="C1424">IFERROR(_xlfn.XLOOKUP(B1424,Personal!$A:$A,Personal!$D:$D,""),"")</f>
        <v>0</v>
      </c>
      <c r="D1424" s="9" cm="1">
        <f t="array" ref="D1424">IFERROR(_xlfn.XLOOKUP(B1424,Personal!$A:$A,Personal!$C:$C,""),"")</f>
        <v>0</v>
      </c>
      <c r="E1424" s="9" t="str" cm="1">
        <f t="array" ref="E1424">IFERROR(_xlfn.XLOOKUP(D1424,Locales!$A:$A,Locales!$B:$B,""),"")</f>
        <v/>
      </c>
      <c r="F1424" s="9" cm="1">
        <f t="array" ref="F1424">IFERROR(_xlfn.XLOOKUP(B1424,Personal!$A:$A,Personal!$F:$F,""),"")</f>
        <v>0</v>
      </c>
      <c r="I1424" s="10" cm="1">
        <f t="array" ref="I1424">IFERROR(INDEX(Precios!$D:$F,MATCH(N1424, Precios!$G:$G, 0),CHOOSE(MATCH(H1424, {"SML";"XL";"XXL"}, 0), 1, 2, 3)), 0)</f>
        <v>0</v>
      </c>
      <c r="K1424" s="10">
        <f t="shared" si="50"/>
        <v>0</v>
      </c>
      <c r="N1424" s="9" t="str">
        <f t="shared" si="51"/>
        <v/>
      </c>
      <c r="O1424" s="9" t="str">
        <f>IF(N1424="","",IF(COUNTIF(Precios!$G:$G,N1424)=0,"⚠ No coincide con Precios","OK"))</f>
        <v/>
      </c>
    </row>
    <row r="1425" spans="3:15" x14ac:dyDescent="0.2">
      <c r="C1425" s="9" cm="1">
        <f t="array" ref="C1425">IFERROR(_xlfn.XLOOKUP(B1425,Personal!$A:$A,Personal!$D:$D,""),"")</f>
        <v>0</v>
      </c>
      <c r="D1425" s="9" cm="1">
        <f t="array" ref="D1425">IFERROR(_xlfn.XLOOKUP(B1425,Personal!$A:$A,Personal!$C:$C,""),"")</f>
        <v>0</v>
      </c>
      <c r="E1425" s="9" t="str" cm="1">
        <f t="array" ref="E1425">IFERROR(_xlfn.XLOOKUP(D1425,Locales!$A:$A,Locales!$B:$B,""),"")</f>
        <v/>
      </c>
      <c r="F1425" s="9" cm="1">
        <f t="array" ref="F1425">IFERROR(_xlfn.XLOOKUP(B1425,Personal!$A:$A,Personal!$F:$F,""),"")</f>
        <v>0</v>
      </c>
      <c r="I1425" s="10" cm="1">
        <f t="array" ref="I1425">IFERROR(INDEX(Precios!$D:$F,MATCH(N1425, Precios!$G:$G, 0),CHOOSE(MATCH(H1425, {"SML";"XL";"XXL"}, 0), 1, 2, 3)), 0)</f>
        <v>0</v>
      </c>
      <c r="K1425" s="10">
        <f t="shared" si="50"/>
        <v>0</v>
      </c>
      <c r="N1425" s="9" t="str">
        <f t="shared" si="51"/>
        <v/>
      </c>
      <c r="O1425" s="9" t="str">
        <f>IF(N1425="","",IF(COUNTIF(Precios!$G:$G,N1425)=0,"⚠ No coincide con Precios","OK"))</f>
        <v/>
      </c>
    </row>
    <row r="1426" spans="3:15" x14ac:dyDescent="0.2">
      <c r="C1426" s="9" cm="1">
        <f t="array" ref="C1426">IFERROR(_xlfn.XLOOKUP(B1426,Personal!$A:$A,Personal!$D:$D,""),"")</f>
        <v>0</v>
      </c>
      <c r="D1426" s="9" cm="1">
        <f t="array" ref="D1426">IFERROR(_xlfn.XLOOKUP(B1426,Personal!$A:$A,Personal!$C:$C,""),"")</f>
        <v>0</v>
      </c>
      <c r="E1426" s="9" t="str" cm="1">
        <f t="array" ref="E1426">IFERROR(_xlfn.XLOOKUP(D1426,Locales!$A:$A,Locales!$B:$B,""),"")</f>
        <v/>
      </c>
      <c r="F1426" s="9" cm="1">
        <f t="array" ref="F1426">IFERROR(_xlfn.XLOOKUP(B1426,Personal!$A:$A,Personal!$F:$F,""),"")</f>
        <v>0</v>
      </c>
      <c r="I1426" s="10" cm="1">
        <f t="array" ref="I1426">IFERROR(INDEX(Precios!$D:$F,MATCH(N1426, Precios!$G:$G, 0),CHOOSE(MATCH(H1426, {"SML";"XL";"XXL"}, 0), 1, 2, 3)), 0)</f>
        <v>0</v>
      </c>
      <c r="K1426" s="10">
        <f t="shared" si="50"/>
        <v>0</v>
      </c>
      <c r="N1426" s="9" t="str">
        <f t="shared" si="51"/>
        <v/>
      </c>
      <c r="O1426" s="9" t="str">
        <f>IF(N1426="","",IF(COUNTIF(Precios!$G:$G,N1426)=0,"⚠ No coincide con Precios","OK"))</f>
        <v/>
      </c>
    </row>
    <row r="1427" spans="3:15" x14ac:dyDescent="0.2">
      <c r="C1427" s="9" cm="1">
        <f t="array" ref="C1427">IFERROR(_xlfn.XLOOKUP(B1427,Personal!$A:$A,Personal!$D:$D,""),"")</f>
        <v>0</v>
      </c>
      <c r="D1427" s="9" cm="1">
        <f t="array" ref="D1427">IFERROR(_xlfn.XLOOKUP(B1427,Personal!$A:$A,Personal!$C:$C,""),"")</f>
        <v>0</v>
      </c>
      <c r="E1427" s="9" t="str" cm="1">
        <f t="array" ref="E1427">IFERROR(_xlfn.XLOOKUP(D1427,Locales!$A:$A,Locales!$B:$B,""),"")</f>
        <v/>
      </c>
      <c r="F1427" s="9" cm="1">
        <f t="array" ref="F1427">IFERROR(_xlfn.XLOOKUP(B1427,Personal!$A:$A,Personal!$F:$F,""),"")</f>
        <v>0</v>
      </c>
      <c r="I1427" s="10" cm="1">
        <f t="array" ref="I1427">IFERROR(INDEX(Precios!$D:$F,MATCH(N1427, Precios!$G:$G, 0),CHOOSE(MATCH(H1427, {"SML";"XL";"XXL"}, 0), 1, 2, 3)), 0)</f>
        <v>0</v>
      </c>
      <c r="K1427" s="10">
        <f t="shared" si="50"/>
        <v>0</v>
      </c>
      <c r="N1427" s="9" t="str">
        <f t="shared" si="51"/>
        <v/>
      </c>
      <c r="O1427" s="9" t="str">
        <f>IF(N1427="","",IF(COUNTIF(Precios!$G:$G,N1427)=0,"⚠ No coincide con Precios","OK"))</f>
        <v/>
      </c>
    </row>
    <row r="1428" spans="3:15" x14ac:dyDescent="0.2">
      <c r="C1428" s="9" cm="1">
        <f t="array" ref="C1428">IFERROR(_xlfn.XLOOKUP(B1428,Personal!$A:$A,Personal!$D:$D,""),"")</f>
        <v>0</v>
      </c>
      <c r="D1428" s="9" cm="1">
        <f t="array" ref="D1428">IFERROR(_xlfn.XLOOKUP(B1428,Personal!$A:$A,Personal!$C:$C,""),"")</f>
        <v>0</v>
      </c>
      <c r="E1428" s="9" t="str" cm="1">
        <f t="array" ref="E1428">IFERROR(_xlfn.XLOOKUP(D1428,Locales!$A:$A,Locales!$B:$B,""),"")</f>
        <v/>
      </c>
      <c r="F1428" s="9" cm="1">
        <f t="array" ref="F1428">IFERROR(_xlfn.XLOOKUP(B1428,Personal!$A:$A,Personal!$F:$F,""),"")</f>
        <v>0</v>
      </c>
      <c r="I1428" s="10" cm="1">
        <f t="array" ref="I1428">IFERROR(INDEX(Precios!$D:$F,MATCH(N1428, Precios!$G:$G, 0),CHOOSE(MATCH(H1428, {"SML";"XL";"XXL"}, 0), 1, 2, 3)), 0)</f>
        <v>0</v>
      </c>
      <c r="K1428" s="10">
        <f t="shared" si="50"/>
        <v>0</v>
      </c>
      <c r="N1428" s="9" t="str">
        <f t="shared" si="51"/>
        <v/>
      </c>
      <c r="O1428" s="9" t="str">
        <f>IF(N1428="","",IF(COUNTIF(Precios!$G:$G,N1428)=0,"⚠ No coincide con Precios","OK"))</f>
        <v/>
      </c>
    </row>
    <row r="1429" spans="3:15" x14ac:dyDescent="0.2">
      <c r="C1429" s="9" cm="1">
        <f t="array" ref="C1429">IFERROR(_xlfn.XLOOKUP(B1429,Personal!$A:$A,Personal!$D:$D,""),"")</f>
        <v>0</v>
      </c>
      <c r="D1429" s="9" cm="1">
        <f t="array" ref="D1429">IFERROR(_xlfn.XLOOKUP(B1429,Personal!$A:$A,Personal!$C:$C,""),"")</f>
        <v>0</v>
      </c>
      <c r="E1429" s="9" t="str" cm="1">
        <f t="array" ref="E1429">IFERROR(_xlfn.XLOOKUP(D1429,Locales!$A:$A,Locales!$B:$B,""),"")</f>
        <v/>
      </c>
      <c r="F1429" s="9" cm="1">
        <f t="array" ref="F1429">IFERROR(_xlfn.XLOOKUP(B1429,Personal!$A:$A,Personal!$F:$F,""),"")</f>
        <v>0</v>
      </c>
      <c r="I1429" s="10" cm="1">
        <f t="array" ref="I1429">IFERROR(INDEX(Precios!$D:$F,MATCH(N1429, Precios!$G:$G, 0),CHOOSE(MATCH(H1429, {"SML";"XL";"XXL"}, 0), 1, 2, 3)), 0)</f>
        <v>0</v>
      </c>
      <c r="K1429" s="10">
        <f t="shared" si="50"/>
        <v>0</v>
      </c>
      <c r="N1429" s="9" t="str">
        <f t="shared" si="51"/>
        <v/>
      </c>
      <c r="O1429" s="9" t="str">
        <f>IF(N1429="","",IF(COUNTIF(Precios!$G:$G,N1429)=0,"⚠ No coincide con Precios","OK"))</f>
        <v/>
      </c>
    </row>
    <row r="1430" spans="3:15" x14ac:dyDescent="0.2">
      <c r="C1430" s="9" cm="1">
        <f t="array" ref="C1430">IFERROR(_xlfn.XLOOKUP(B1430,Personal!$A:$A,Personal!$D:$D,""),"")</f>
        <v>0</v>
      </c>
      <c r="D1430" s="9" cm="1">
        <f t="array" ref="D1430">IFERROR(_xlfn.XLOOKUP(B1430,Personal!$A:$A,Personal!$C:$C,""),"")</f>
        <v>0</v>
      </c>
      <c r="E1430" s="9" t="str" cm="1">
        <f t="array" ref="E1430">IFERROR(_xlfn.XLOOKUP(D1430,Locales!$A:$A,Locales!$B:$B,""),"")</f>
        <v/>
      </c>
      <c r="F1430" s="9" cm="1">
        <f t="array" ref="F1430">IFERROR(_xlfn.XLOOKUP(B1430,Personal!$A:$A,Personal!$F:$F,""),"")</f>
        <v>0</v>
      </c>
      <c r="I1430" s="10" cm="1">
        <f t="array" ref="I1430">IFERROR(INDEX(Precios!$D:$F,MATCH(N1430, Precios!$G:$G, 0),CHOOSE(MATCH(H1430, {"SML";"XL";"XXL"}, 0), 1, 2, 3)), 0)</f>
        <v>0</v>
      </c>
      <c r="K1430" s="10">
        <f t="shared" si="50"/>
        <v>0</v>
      </c>
      <c r="N1430" s="9" t="str">
        <f t="shared" si="51"/>
        <v/>
      </c>
      <c r="O1430" s="9" t="str">
        <f>IF(N1430="","",IF(COUNTIF(Precios!$G:$G,N1430)=0,"⚠ No coincide con Precios","OK"))</f>
        <v/>
      </c>
    </row>
    <row r="1431" spans="3:15" x14ac:dyDescent="0.2">
      <c r="C1431" s="9" cm="1">
        <f t="array" ref="C1431">IFERROR(_xlfn.XLOOKUP(B1431,Personal!$A:$A,Personal!$D:$D,""),"")</f>
        <v>0</v>
      </c>
      <c r="D1431" s="9" cm="1">
        <f t="array" ref="D1431">IFERROR(_xlfn.XLOOKUP(B1431,Personal!$A:$A,Personal!$C:$C,""),"")</f>
        <v>0</v>
      </c>
      <c r="E1431" s="9" t="str" cm="1">
        <f t="array" ref="E1431">IFERROR(_xlfn.XLOOKUP(D1431,Locales!$A:$A,Locales!$B:$B,""),"")</f>
        <v/>
      </c>
      <c r="F1431" s="9" cm="1">
        <f t="array" ref="F1431">IFERROR(_xlfn.XLOOKUP(B1431,Personal!$A:$A,Personal!$F:$F,""),"")</f>
        <v>0</v>
      </c>
      <c r="I1431" s="10" cm="1">
        <f t="array" ref="I1431">IFERROR(INDEX(Precios!$D:$F,MATCH(N1431, Precios!$G:$G, 0),CHOOSE(MATCH(H1431, {"SML";"XL";"XXL"}, 0), 1, 2, 3)), 0)</f>
        <v>0</v>
      </c>
      <c r="K1431" s="10">
        <f t="shared" si="50"/>
        <v>0</v>
      </c>
      <c r="N1431" s="9" t="str">
        <f t="shared" si="51"/>
        <v/>
      </c>
      <c r="O1431" s="9" t="str">
        <f>IF(N1431="","",IF(COUNTIF(Precios!$G:$G,N1431)=0,"⚠ No coincide con Precios","OK"))</f>
        <v/>
      </c>
    </row>
    <row r="1432" spans="3:15" x14ac:dyDescent="0.2">
      <c r="C1432" s="9" cm="1">
        <f t="array" ref="C1432">IFERROR(_xlfn.XLOOKUP(B1432,Personal!$A:$A,Personal!$D:$D,""),"")</f>
        <v>0</v>
      </c>
      <c r="D1432" s="9" cm="1">
        <f t="array" ref="D1432">IFERROR(_xlfn.XLOOKUP(B1432,Personal!$A:$A,Personal!$C:$C,""),"")</f>
        <v>0</v>
      </c>
      <c r="E1432" s="9" t="str" cm="1">
        <f t="array" ref="E1432">IFERROR(_xlfn.XLOOKUP(D1432,Locales!$A:$A,Locales!$B:$B,""),"")</f>
        <v/>
      </c>
      <c r="F1432" s="9" cm="1">
        <f t="array" ref="F1432">IFERROR(_xlfn.XLOOKUP(B1432,Personal!$A:$A,Personal!$F:$F,""),"")</f>
        <v>0</v>
      </c>
      <c r="I1432" s="10" cm="1">
        <f t="array" ref="I1432">IFERROR(INDEX(Precios!$D:$F,MATCH(N1432, Precios!$G:$G, 0),CHOOSE(MATCH(H1432, {"SML";"XL";"XXL"}, 0), 1, 2, 3)), 0)</f>
        <v>0</v>
      </c>
      <c r="K1432" s="10">
        <f t="shared" si="50"/>
        <v>0</v>
      </c>
      <c r="N1432" s="9" t="str">
        <f t="shared" si="51"/>
        <v/>
      </c>
      <c r="O1432" s="9" t="str">
        <f>IF(N1432="","",IF(COUNTIF(Precios!$G:$G,N1432)=0,"⚠ No coincide con Precios","OK"))</f>
        <v/>
      </c>
    </row>
    <row r="1433" spans="3:15" x14ac:dyDescent="0.2">
      <c r="C1433" s="9" cm="1">
        <f t="array" ref="C1433">IFERROR(_xlfn.XLOOKUP(B1433,Personal!$A:$A,Personal!$D:$D,""),"")</f>
        <v>0</v>
      </c>
      <c r="D1433" s="9" cm="1">
        <f t="array" ref="D1433">IFERROR(_xlfn.XLOOKUP(B1433,Personal!$A:$A,Personal!$C:$C,""),"")</f>
        <v>0</v>
      </c>
      <c r="E1433" s="9" t="str" cm="1">
        <f t="array" ref="E1433">IFERROR(_xlfn.XLOOKUP(D1433,Locales!$A:$A,Locales!$B:$B,""),"")</f>
        <v/>
      </c>
      <c r="F1433" s="9" cm="1">
        <f t="array" ref="F1433">IFERROR(_xlfn.XLOOKUP(B1433,Personal!$A:$A,Personal!$F:$F,""),"")</f>
        <v>0</v>
      </c>
      <c r="I1433" s="10" cm="1">
        <f t="array" ref="I1433">IFERROR(INDEX(Precios!$D:$F,MATCH(N1433, Precios!$G:$G, 0),CHOOSE(MATCH(H1433, {"SML";"XL";"XXL"}, 0), 1, 2, 3)), 0)</f>
        <v>0</v>
      </c>
      <c r="K1433" s="10">
        <f t="shared" si="50"/>
        <v>0</v>
      </c>
      <c r="N1433" s="9" t="str">
        <f t="shared" si="51"/>
        <v/>
      </c>
      <c r="O1433" s="9" t="str">
        <f>IF(N1433="","",IF(COUNTIF(Precios!$G:$G,N1433)=0,"⚠ No coincide con Precios","OK"))</f>
        <v/>
      </c>
    </row>
    <row r="1434" spans="3:15" x14ac:dyDescent="0.2">
      <c r="C1434" s="9" cm="1">
        <f t="array" ref="C1434">IFERROR(_xlfn.XLOOKUP(B1434,Personal!$A:$A,Personal!$D:$D,""),"")</f>
        <v>0</v>
      </c>
      <c r="D1434" s="9" cm="1">
        <f t="array" ref="D1434">IFERROR(_xlfn.XLOOKUP(B1434,Personal!$A:$A,Personal!$C:$C,""),"")</f>
        <v>0</v>
      </c>
      <c r="E1434" s="9" t="str" cm="1">
        <f t="array" ref="E1434">IFERROR(_xlfn.XLOOKUP(D1434,Locales!$A:$A,Locales!$B:$B,""),"")</f>
        <v/>
      </c>
      <c r="F1434" s="9" cm="1">
        <f t="array" ref="F1434">IFERROR(_xlfn.XLOOKUP(B1434,Personal!$A:$A,Personal!$F:$F,""),"")</f>
        <v>0</v>
      </c>
      <c r="I1434" s="10" cm="1">
        <f t="array" ref="I1434">IFERROR(INDEX(Precios!$D:$F,MATCH(N1434, Precios!$G:$G, 0),CHOOSE(MATCH(H1434, {"SML";"XL";"XXL"}, 0), 1, 2, 3)), 0)</f>
        <v>0</v>
      </c>
      <c r="K1434" s="10">
        <f t="shared" si="50"/>
        <v>0</v>
      </c>
      <c r="N1434" s="9" t="str">
        <f t="shared" si="51"/>
        <v/>
      </c>
      <c r="O1434" s="9" t="str">
        <f>IF(N1434="","",IF(COUNTIF(Precios!$G:$G,N1434)=0,"⚠ No coincide con Precios","OK"))</f>
        <v/>
      </c>
    </row>
    <row r="1435" spans="3:15" x14ac:dyDescent="0.2">
      <c r="C1435" s="9" cm="1">
        <f t="array" ref="C1435">IFERROR(_xlfn.XLOOKUP(B1435,Personal!$A:$A,Personal!$D:$D,""),"")</f>
        <v>0</v>
      </c>
      <c r="D1435" s="9" cm="1">
        <f t="array" ref="D1435">IFERROR(_xlfn.XLOOKUP(B1435,Personal!$A:$A,Personal!$C:$C,""),"")</f>
        <v>0</v>
      </c>
      <c r="E1435" s="9" t="str" cm="1">
        <f t="array" ref="E1435">IFERROR(_xlfn.XLOOKUP(D1435,Locales!$A:$A,Locales!$B:$B,""),"")</f>
        <v/>
      </c>
      <c r="F1435" s="9" cm="1">
        <f t="array" ref="F1435">IFERROR(_xlfn.XLOOKUP(B1435,Personal!$A:$A,Personal!$F:$F,""),"")</f>
        <v>0</v>
      </c>
      <c r="I1435" s="10" cm="1">
        <f t="array" ref="I1435">IFERROR(INDEX(Precios!$D:$F,MATCH(N1435, Precios!$G:$G, 0),CHOOSE(MATCH(H1435, {"SML";"XL";"XXL"}, 0), 1, 2, 3)), 0)</f>
        <v>0</v>
      </c>
      <c r="K1435" s="10">
        <f t="shared" si="50"/>
        <v>0</v>
      </c>
      <c r="N1435" s="9" t="str">
        <f t="shared" si="51"/>
        <v/>
      </c>
      <c r="O1435" s="9" t="str">
        <f>IF(N1435="","",IF(COUNTIF(Precios!$G:$G,N1435)=0,"⚠ No coincide con Precios","OK"))</f>
        <v/>
      </c>
    </row>
    <row r="1436" spans="3:15" x14ac:dyDescent="0.2">
      <c r="C1436" s="9" cm="1">
        <f t="array" ref="C1436">IFERROR(_xlfn.XLOOKUP(B1436,Personal!$A:$A,Personal!$D:$D,""),"")</f>
        <v>0</v>
      </c>
      <c r="D1436" s="9" cm="1">
        <f t="array" ref="D1436">IFERROR(_xlfn.XLOOKUP(B1436,Personal!$A:$A,Personal!$C:$C,""),"")</f>
        <v>0</v>
      </c>
      <c r="E1436" s="9" t="str" cm="1">
        <f t="array" ref="E1436">IFERROR(_xlfn.XLOOKUP(D1436,Locales!$A:$A,Locales!$B:$B,""),"")</f>
        <v/>
      </c>
      <c r="F1436" s="9" cm="1">
        <f t="array" ref="F1436">IFERROR(_xlfn.XLOOKUP(B1436,Personal!$A:$A,Personal!$F:$F,""),"")</f>
        <v>0</v>
      </c>
      <c r="I1436" s="10" cm="1">
        <f t="array" ref="I1436">IFERROR(INDEX(Precios!$D:$F,MATCH(N1436, Precios!$G:$G, 0),CHOOSE(MATCH(H1436, {"SML";"XL";"XXL"}, 0), 1, 2, 3)), 0)</f>
        <v>0</v>
      </c>
      <c r="K1436" s="10">
        <f t="shared" si="50"/>
        <v>0</v>
      </c>
      <c r="N1436" s="9" t="str">
        <f t="shared" si="51"/>
        <v/>
      </c>
      <c r="O1436" s="9" t="str">
        <f>IF(N1436="","",IF(COUNTIF(Precios!$G:$G,N1436)=0,"⚠ No coincide con Precios","OK"))</f>
        <v/>
      </c>
    </row>
    <row r="1437" spans="3:15" x14ac:dyDescent="0.2">
      <c r="C1437" s="9" cm="1">
        <f t="array" ref="C1437">IFERROR(_xlfn.XLOOKUP(B1437,Personal!$A:$A,Personal!$D:$D,""),"")</f>
        <v>0</v>
      </c>
      <c r="D1437" s="9" cm="1">
        <f t="array" ref="D1437">IFERROR(_xlfn.XLOOKUP(B1437,Personal!$A:$A,Personal!$C:$C,""),"")</f>
        <v>0</v>
      </c>
      <c r="E1437" s="9" t="str" cm="1">
        <f t="array" ref="E1437">IFERROR(_xlfn.XLOOKUP(D1437,Locales!$A:$A,Locales!$B:$B,""),"")</f>
        <v/>
      </c>
      <c r="F1437" s="9" cm="1">
        <f t="array" ref="F1437">IFERROR(_xlfn.XLOOKUP(B1437,Personal!$A:$A,Personal!$F:$F,""),"")</f>
        <v>0</v>
      </c>
      <c r="I1437" s="10" cm="1">
        <f t="array" ref="I1437">IFERROR(INDEX(Precios!$D:$F,MATCH(N1437, Precios!$G:$G, 0),CHOOSE(MATCH(H1437, {"SML";"XL";"XXL"}, 0), 1, 2, 3)), 0)</f>
        <v>0</v>
      </c>
      <c r="K1437" s="10">
        <f t="shared" si="50"/>
        <v>0</v>
      </c>
      <c r="N1437" s="9" t="str">
        <f t="shared" si="51"/>
        <v/>
      </c>
      <c r="O1437" s="9" t="str">
        <f>IF(N1437="","",IF(COUNTIF(Precios!$G:$G,N1437)=0,"⚠ No coincide con Precios","OK"))</f>
        <v/>
      </c>
    </row>
    <row r="1438" spans="3:15" x14ac:dyDescent="0.2">
      <c r="C1438" s="9" cm="1">
        <f t="array" ref="C1438">IFERROR(_xlfn.XLOOKUP(B1438,Personal!$A:$A,Personal!$D:$D,""),"")</f>
        <v>0</v>
      </c>
      <c r="D1438" s="9" cm="1">
        <f t="array" ref="D1438">IFERROR(_xlfn.XLOOKUP(B1438,Personal!$A:$A,Personal!$C:$C,""),"")</f>
        <v>0</v>
      </c>
      <c r="E1438" s="9" t="str" cm="1">
        <f t="array" ref="E1438">IFERROR(_xlfn.XLOOKUP(D1438,Locales!$A:$A,Locales!$B:$B,""),"")</f>
        <v/>
      </c>
      <c r="F1438" s="9" cm="1">
        <f t="array" ref="F1438">IFERROR(_xlfn.XLOOKUP(B1438,Personal!$A:$A,Personal!$F:$F,""),"")</f>
        <v>0</v>
      </c>
      <c r="I1438" s="10" cm="1">
        <f t="array" ref="I1438">IFERROR(INDEX(Precios!$D:$F,MATCH(N1438, Precios!$G:$G, 0),CHOOSE(MATCH(H1438, {"SML";"XL";"XXL"}, 0), 1, 2, 3)), 0)</f>
        <v>0</v>
      </c>
      <c r="K1438" s="10">
        <f t="shared" si="50"/>
        <v>0</v>
      </c>
      <c r="N1438" s="9" t="str">
        <f t="shared" si="51"/>
        <v/>
      </c>
      <c r="O1438" s="9" t="str">
        <f>IF(N1438="","",IF(COUNTIF(Precios!$G:$G,N1438)=0,"⚠ No coincide con Precios","OK"))</f>
        <v/>
      </c>
    </row>
    <row r="1439" spans="3:15" x14ac:dyDescent="0.2">
      <c r="C1439" s="9" cm="1">
        <f t="array" ref="C1439">IFERROR(_xlfn.XLOOKUP(B1439,Personal!$A:$A,Personal!$D:$D,""),"")</f>
        <v>0</v>
      </c>
      <c r="D1439" s="9" cm="1">
        <f t="array" ref="D1439">IFERROR(_xlfn.XLOOKUP(B1439,Personal!$A:$A,Personal!$C:$C,""),"")</f>
        <v>0</v>
      </c>
      <c r="E1439" s="9" t="str" cm="1">
        <f t="array" ref="E1439">IFERROR(_xlfn.XLOOKUP(D1439,Locales!$A:$A,Locales!$B:$B,""),"")</f>
        <v/>
      </c>
      <c r="F1439" s="9" cm="1">
        <f t="array" ref="F1439">IFERROR(_xlfn.XLOOKUP(B1439,Personal!$A:$A,Personal!$F:$F,""),"")</f>
        <v>0</v>
      </c>
      <c r="I1439" s="10" cm="1">
        <f t="array" ref="I1439">IFERROR(INDEX(Precios!$D:$F,MATCH(N1439, Precios!$G:$G, 0),CHOOSE(MATCH(H1439, {"SML";"XL";"XXL"}, 0), 1, 2, 3)), 0)</f>
        <v>0</v>
      </c>
      <c r="K1439" s="10">
        <f t="shared" si="50"/>
        <v>0</v>
      </c>
      <c r="N1439" s="9" t="str">
        <f t="shared" si="51"/>
        <v/>
      </c>
      <c r="O1439" s="9" t="str">
        <f>IF(N1439="","",IF(COUNTIF(Precios!$G:$G,N1439)=0,"⚠ No coincide con Precios","OK"))</f>
        <v/>
      </c>
    </row>
    <row r="1440" spans="3:15" x14ac:dyDescent="0.2">
      <c r="C1440" s="9" cm="1">
        <f t="array" ref="C1440">IFERROR(_xlfn.XLOOKUP(B1440,Personal!$A:$A,Personal!$D:$D,""),"")</f>
        <v>0</v>
      </c>
      <c r="D1440" s="9" cm="1">
        <f t="array" ref="D1440">IFERROR(_xlfn.XLOOKUP(B1440,Personal!$A:$A,Personal!$C:$C,""),"")</f>
        <v>0</v>
      </c>
      <c r="E1440" s="9" t="str" cm="1">
        <f t="array" ref="E1440">IFERROR(_xlfn.XLOOKUP(D1440,Locales!$A:$A,Locales!$B:$B,""),"")</f>
        <v/>
      </c>
      <c r="F1440" s="9" cm="1">
        <f t="array" ref="F1440">IFERROR(_xlfn.XLOOKUP(B1440,Personal!$A:$A,Personal!$F:$F,""),"")</f>
        <v>0</v>
      </c>
      <c r="I1440" s="10" cm="1">
        <f t="array" ref="I1440">IFERROR(INDEX(Precios!$D:$F,MATCH(N1440, Precios!$G:$G, 0),CHOOSE(MATCH(H1440, {"SML";"XL";"XXL"}, 0), 1, 2, 3)), 0)</f>
        <v>0</v>
      </c>
      <c r="K1440" s="10">
        <f t="shared" si="50"/>
        <v>0</v>
      </c>
      <c r="N1440" s="9" t="str">
        <f t="shared" si="51"/>
        <v/>
      </c>
      <c r="O1440" s="9" t="str">
        <f>IF(N1440="","",IF(COUNTIF(Precios!$G:$G,N1440)=0,"⚠ No coincide con Precios","OK"))</f>
        <v/>
      </c>
    </row>
    <row r="1441" spans="3:15" x14ac:dyDescent="0.2">
      <c r="C1441" s="9" cm="1">
        <f t="array" ref="C1441">IFERROR(_xlfn.XLOOKUP(B1441,Personal!$A:$A,Personal!$D:$D,""),"")</f>
        <v>0</v>
      </c>
      <c r="D1441" s="9" cm="1">
        <f t="array" ref="D1441">IFERROR(_xlfn.XLOOKUP(B1441,Personal!$A:$A,Personal!$C:$C,""),"")</f>
        <v>0</v>
      </c>
      <c r="E1441" s="9" t="str" cm="1">
        <f t="array" ref="E1441">IFERROR(_xlfn.XLOOKUP(D1441,Locales!$A:$A,Locales!$B:$B,""),"")</f>
        <v/>
      </c>
      <c r="F1441" s="9" cm="1">
        <f t="array" ref="F1441">IFERROR(_xlfn.XLOOKUP(B1441,Personal!$A:$A,Personal!$F:$F,""),"")</f>
        <v>0</v>
      </c>
      <c r="I1441" s="10" cm="1">
        <f t="array" ref="I1441">IFERROR(INDEX(Precios!$D:$F,MATCH(N1441, Precios!$G:$G, 0),CHOOSE(MATCH(H1441, {"SML";"XL";"XXL"}, 0), 1, 2, 3)), 0)</f>
        <v>0</v>
      </c>
      <c r="K1441" s="10">
        <f t="shared" si="50"/>
        <v>0</v>
      </c>
      <c r="N1441" s="9" t="str">
        <f t="shared" si="51"/>
        <v/>
      </c>
      <c r="O1441" s="9" t="str">
        <f>IF(N1441="","",IF(COUNTIF(Precios!$G:$G,N1441)=0,"⚠ No coincide con Precios","OK"))</f>
        <v/>
      </c>
    </row>
    <row r="1442" spans="3:15" x14ac:dyDescent="0.2">
      <c r="C1442" s="9" cm="1">
        <f t="array" ref="C1442">IFERROR(_xlfn.XLOOKUP(B1442,Personal!$A:$A,Personal!$D:$D,""),"")</f>
        <v>0</v>
      </c>
      <c r="D1442" s="9" cm="1">
        <f t="array" ref="D1442">IFERROR(_xlfn.XLOOKUP(B1442,Personal!$A:$A,Personal!$C:$C,""),"")</f>
        <v>0</v>
      </c>
      <c r="E1442" s="9" t="str" cm="1">
        <f t="array" ref="E1442">IFERROR(_xlfn.XLOOKUP(D1442,Locales!$A:$A,Locales!$B:$B,""),"")</f>
        <v/>
      </c>
      <c r="F1442" s="9" cm="1">
        <f t="array" ref="F1442">IFERROR(_xlfn.XLOOKUP(B1442,Personal!$A:$A,Personal!$F:$F,""),"")</f>
        <v>0</v>
      </c>
      <c r="I1442" s="10" cm="1">
        <f t="array" ref="I1442">IFERROR(INDEX(Precios!$D:$F,MATCH(N1442, Precios!$G:$G, 0),CHOOSE(MATCH(H1442, {"SML";"XL";"XXL"}, 0), 1, 2, 3)), 0)</f>
        <v>0</v>
      </c>
      <c r="K1442" s="10">
        <f t="shared" si="50"/>
        <v>0</v>
      </c>
      <c r="N1442" s="9" t="str">
        <f t="shared" si="51"/>
        <v/>
      </c>
      <c r="O1442" s="9" t="str">
        <f>IF(N1442="","",IF(COUNTIF(Precios!$G:$G,N1442)=0,"⚠ No coincide con Precios","OK"))</f>
        <v/>
      </c>
    </row>
    <row r="1443" spans="3:15" x14ac:dyDescent="0.2">
      <c r="C1443" s="9" cm="1">
        <f t="array" ref="C1443">IFERROR(_xlfn.XLOOKUP(B1443,Personal!$A:$A,Personal!$D:$D,""),"")</f>
        <v>0</v>
      </c>
      <c r="D1443" s="9" cm="1">
        <f t="array" ref="D1443">IFERROR(_xlfn.XLOOKUP(B1443,Personal!$A:$A,Personal!$C:$C,""),"")</f>
        <v>0</v>
      </c>
      <c r="E1443" s="9" t="str" cm="1">
        <f t="array" ref="E1443">IFERROR(_xlfn.XLOOKUP(D1443,Locales!$A:$A,Locales!$B:$B,""),"")</f>
        <v/>
      </c>
      <c r="F1443" s="9" cm="1">
        <f t="array" ref="F1443">IFERROR(_xlfn.XLOOKUP(B1443,Personal!$A:$A,Personal!$F:$F,""),"")</f>
        <v>0</v>
      </c>
      <c r="I1443" s="10" cm="1">
        <f t="array" ref="I1443">IFERROR(INDEX(Precios!$D:$F,MATCH(N1443, Precios!$G:$G, 0),CHOOSE(MATCH(H1443, {"SML";"XL";"XXL"}, 0), 1, 2, 3)), 0)</f>
        <v>0</v>
      </c>
      <c r="K1443" s="10">
        <f t="shared" si="50"/>
        <v>0</v>
      </c>
      <c r="N1443" s="9" t="str">
        <f t="shared" si="51"/>
        <v/>
      </c>
      <c r="O1443" s="9" t="str">
        <f>IF(N1443="","",IF(COUNTIF(Precios!$G:$G,N1443)=0,"⚠ No coincide con Precios","OK"))</f>
        <v/>
      </c>
    </row>
    <row r="1444" spans="3:15" x14ac:dyDescent="0.2">
      <c r="C1444" s="9" cm="1">
        <f t="array" ref="C1444">IFERROR(_xlfn.XLOOKUP(B1444,Personal!$A:$A,Personal!$D:$D,""),"")</f>
        <v>0</v>
      </c>
      <c r="D1444" s="9" cm="1">
        <f t="array" ref="D1444">IFERROR(_xlfn.XLOOKUP(B1444,Personal!$A:$A,Personal!$C:$C,""),"")</f>
        <v>0</v>
      </c>
      <c r="E1444" s="9" t="str" cm="1">
        <f t="array" ref="E1444">IFERROR(_xlfn.XLOOKUP(D1444,Locales!$A:$A,Locales!$B:$B,""),"")</f>
        <v/>
      </c>
      <c r="F1444" s="9" cm="1">
        <f t="array" ref="F1444">IFERROR(_xlfn.XLOOKUP(B1444,Personal!$A:$A,Personal!$F:$F,""),"")</f>
        <v>0</v>
      </c>
      <c r="I1444" s="10" cm="1">
        <f t="array" ref="I1444">IFERROR(INDEX(Precios!$D:$F,MATCH(N1444, Precios!$G:$G, 0),CHOOSE(MATCH(H1444, {"SML";"XL";"XXL"}, 0), 1, 2, 3)), 0)</f>
        <v>0</v>
      </c>
      <c r="K1444" s="10">
        <f t="shared" si="50"/>
        <v>0</v>
      </c>
      <c r="N1444" s="9" t="str">
        <f t="shared" si="51"/>
        <v/>
      </c>
      <c r="O1444" s="9" t="str">
        <f>IF(N1444="","",IF(COUNTIF(Precios!$G:$G,N1444)=0,"⚠ No coincide con Precios","OK"))</f>
        <v/>
      </c>
    </row>
    <row r="1445" spans="3:15" x14ac:dyDescent="0.2">
      <c r="C1445" s="9" cm="1">
        <f t="array" ref="C1445">IFERROR(_xlfn.XLOOKUP(B1445,Personal!$A:$A,Personal!$D:$D,""),"")</f>
        <v>0</v>
      </c>
      <c r="D1445" s="9" cm="1">
        <f t="array" ref="D1445">IFERROR(_xlfn.XLOOKUP(B1445,Personal!$A:$A,Personal!$C:$C,""),"")</f>
        <v>0</v>
      </c>
      <c r="E1445" s="9" t="str" cm="1">
        <f t="array" ref="E1445">IFERROR(_xlfn.XLOOKUP(D1445,Locales!$A:$A,Locales!$B:$B,""),"")</f>
        <v/>
      </c>
      <c r="F1445" s="9" cm="1">
        <f t="array" ref="F1445">IFERROR(_xlfn.XLOOKUP(B1445,Personal!$A:$A,Personal!$F:$F,""),"")</f>
        <v>0</v>
      </c>
      <c r="I1445" s="10" cm="1">
        <f t="array" ref="I1445">IFERROR(INDEX(Precios!$D:$F,MATCH(N1445, Precios!$G:$G, 0),CHOOSE(MATCH(H1445, {"SML";"XL";"XXL"}, 0), 1, 2, 3)), 0)</f>
        <v>0</v>
      </c>
      <c r="K1445" s="10">
        <f t="shared" si="50"/>
        <v>0</v>
      </c>
      <c r="N1445" s="9" t="str">
        <f t="shared" si="51"/>
        <v/>
      </c>
      <c r="O1445" s="9" t="str">
        <f>IF(N1445="","",IF(COUNTIF(Precios!$G:$G,N1445)=0,"⚠ No coincide con Precios","OK"))</f>
        <v/>
      </c>
    </row>
    <row r="1446" spans="3:15" x14ac:dyDescent="0.2">
      <c r="C1446" s="9" cm="1">
        <f t="array" ref="C1446">IFERROR(_xlfn.XLOOKUP(B1446,Personal!$A:$A,Personal!$D:$D,""),"")</f>
        <v>0</v>
      </c>
      <c r="D1446" s="9" cm="1">
        <f t="array" ref="D1446">IFERROR(_xlfn.XLOOKUP(B1446,Personal!$A:$A,Personal!$C:$C,""),"")</f>
        <v>0</v>
      </c>
      <c r="E1446" s="9" t="str" cm="1">
        <f t="array" ref="E1446">IFERROR(_xlfn.XLOOKUP(D1446,Locales!$A:$A,Locales!$B:$B,""),"")</f>
        <v/>
      </c>
      <c r="F1446" s="9" cm="1">
        <f t="array" ref="F1446">IFERROR(_xlfn.XLOOKUP(B1446,Personal!$A:$A,Personal!$F:$F,""),"")</f>
        <v>0</v>
      </c>
      <c r="I1446" s="10" cm="1">
        <f t="array" ref="I1446">IFERROR(INDEX(Precios!$D:$F,MATCH(N1446, Precios!$G:$G, 0),CHOOSE(MATCH(H1446, {"SML";"XL";"XXL"}, 0), 1, 2, 3)), 0)</f>
        <v>0</v>
      </c>
      <c r="K1446" s="10">
        <f t="shared" si="50"/>
        <v>0</v>
      </c>
      <c r="N1446" s="9" t="str">
        <f t="shared" si="51"/>
        <v/>
      </c>
      <c r="O1446" s="9" t="str">
        <f>IF(N1446="","",IF(COUNTIF(Precios!$G:$G,N1446)=0,"⚠ No coincide con Precios","OK"))</f>
        <v/>
      </c>
    </row>
    <row r="1447" spans="3:15" x14ac:dyDescent="0.2">
      <c r="C1447" s="9" cm="1">
        <f t="array" ref="C1447">IFERROR(_xlfn.XLOOKUP(B1447,Personal!$A:$A,Personal!$D:$D,""),"")</f>
        <v>0</v>
      </c>
      <c r="D1447" s="9" cm="1">
        <f t="array" ref="D1447">IFERROR(_xlfn.XLOOKUP(B1447,Personal!$A:$A,Personal!$C:$C,""),"")</f>
        <v>0</v>
      </c>
      <c r="E1447" s="9" t="str" cm="1">
        <f t="array" ref="E1447">IFERROR(_xlfn.XLOOKUP(D1447,Locales!$A:$A,Locales!$B:$B,""),"")</f>
        <v/>
      </c>
      <c r="F1447" s="9" cm="1">
        <f t="array" ref="F1447">IFERROR(_xlfn.XLOOKUP(B1447,Personal!$A:$A,Personal!$F:$F,""),"")</f>
        <v>0</v>
      </c>
      <c r="I1447" s="10" cm="1">
        <f t="array" ref="I1447">IFERROR(INDEX(Precios!$D:$F,MATCH(N1447, Precios!$G:$G, 0),CHOOSE(MATCH(H1447, {"SML";"XL";"XXL"}, 0), 1, 2, 3)), 0)</f>
        <v>0</v>
      </c>
      <c r="K1447" s="10">
        <f t="shared" si="50"/>
        <v>0</v>
      </c>
      <c r="N1447" s="9" t="str">
        <f t="shared" si="51"/>
        <v/>
      </c>
      <c r="O1447" s="9" t="str">
        <f>IF(N1447="","",IF(COUNTIF(Precios!$G:$G,N1447)=0,"⚠ No coincide con Precios","OK"))</f>
        <v/>
      </c>
    </row>
    <row r="1448" spans="3:15" x14ac:dyDescent="0.2">
      <c r="C1448" s="9" cm="1">
        <f t="array" ref="C1448">IFERROR(_xlfn.XLOOKUP(B1448,Personal!$A:$A,Personal!$D:$D,""),"")</f>
        <v>0</v>
      </c>
      <c r="D1448" s="9" cm="1">
        <f t="array" ref="D1448">IFERROR(_xlfn.XLOOKUP(B1448,Personal!$A:$A,Personal!$C:$C,""),"")</f>
        <v>0</v>
      </c>
      <c r="E1448" s="9" t="str" cm="1">
        <f t="array" ref="E1448">IFERROR(_xlfn.XLOOKUP(D1448,Locales!$A:$A,Locales!$B:$B,""),"")</f>
        <v/>
      </c>
      <c r="F1448" s="9" cm="1">
        <f t="array" ref="F1448">IFERROR(_xlfn.XLOOKUP(B1448,Personal!$A:$A,Personal!$F:$F,""),"")</f>
        <v>0</v>
      </c>
      <c r="I1448" s="10" cm="1">
        <f t="array" ref="I1448">IFERROR(INDEX(Precios!$D:$F,MATCH(N1448, Precios!$G:$G, 0),CHOOSE(MATCH(H1448, {"SML";"XL";"XXL"}, 0), 1, 2, 3)), 0)</f>
        <v>0</v>
      </c>
      <c r="K1448" s="10">
        <f t="shared" si="50"/>
        <v>0</v>
      </c>
      <c r="N1448" s="9" t="str">
        <f t="shared" si="51"/>
        <v/>
      </c>
      <c r="O1448" s="9" t="str">
        <f>IF(N1448="","",IF(COUNTIF(Precios!$G:$G,N1448)=0,"⚠ No coincide con Precios","OK"))</f>
        <v/>
      </c>
    </row>
    <row r="1449" spans="3:15" x14ac:dyDescent="0.2">
      <c r="C1449" s="9" cm="1">
        <f t="array" ref="C1449">IFERROR(_xlfn.XLOOKUP(B1449,Personal!$A:$A,Personal!$D:$D,""),"")</f>
        <v>0</v>
      </c>
      <c r="D1449" s="9" cm="1">
        <f t="array" ref="D1449">IFERROR(_xlfn.XLOOKUP(B1449,Personal!$A:$A,Personal!$C:$C,""),"")</f>
        <v>0</v>
      </c>
      <c r="E1449" s="9" t="str" cm="1">
        <f t="array" ref="E1449">IFERROR(_xlfn.XLOOKUP(D1449,Locales!$A:$A,Locales!$B:$B,""),"")</f>
        <v/>
      </c>
      <c r="F1449" s="9" cm="1">
        <f t="array" ref="F1449">IFERROR(_xlfn.XLOOKUP(B1449,Personal!$A:$A,Personal!$F:$F,""),"")</f>
        <v>0</v>
      </c>
      <c r="I1449" s="10" cm="1">
        <f t="array" ref="I1449">IFERROR(INDEX(Precios!$D:$F,MATCH(N1449, Precios!$G:$G, 0),CHOOSE(MATCH(H1449, {"SML";"XL";"XXL"}, 0), 1, 2, 3)), 0)</f>
        <v>0</v>
      </c>
      <c r="K1449" s="10">
        <f t="shared" si="50"/>
        <v>0</v>
      </c>
      <c r="N1449" s="9" t="str">
        <f t="shared" si="51"/>
        <v/>
      </c>
      <c r="O1449" s="9" t="str">
        <f>IF(N1449="","",IF(COUNTIF(Precios!$G:$G,N1449)=0,"⚠ No coincide con Precios","OK"))</f>
        <v/>
      </c>
    </row>
    <row r="1450" spans="3:15" x14ac:dyDescent="0.2">
      <c r="C1450" s="9" cm="1">
        <f t="array" ref="C1450">IFERROR(_xlfn.XLOOKUP(B1450,Personal!$A:$A,Personal!$D:$D,""),"")</f>
        <v>0</v>
      </c>
      <c r="D1450" s="9" cm="1">
        <f t="array" ref="D1450">IFERROR(_xlfn.XLOOKUP(B1450,Personal!$A:$A,Personal!$C:$C,""),"")</f>
        <v>0</v>
      </c>
      <c r="E1450" s="9" t="str" cm="1">
        <f t="array" ref="E1450">IFERROR(_xlfn.XLOOKUP(D1450,Locales!$A:$A,Locales!$B:$B,""),"")</f>
        <v/>
      </c>
      <c r="F1450" s="9" cm="1">
        <f t="array" ref="F1450">IFERROR(_xlfn.XLOOKUP(B1450,Personal!$A:$A,Personal!$F:$F,""),"")</f>
        <v>0</v>
      </c>
      <c r="I1450" s="10" cm="1">
        <f t="array" ref="I1450">IFERROR(INDEX(Precios!$D:$F,MATCH(N1450, Precios!$G:$G, 0),CHOOSE(MATCH(H1450, {"SML";"XL";"XXL"}, 0), 1, 2, 3)), 0)</f>
        <v>0</v>
      </c>
      <c r="K1450" s="10">
        <f t="shared" si="50"/>
        <v>0</v>
      </c>
      <c r="N1450" s="9" t="str">
        <f t="shared" si="51"/>
        <v/>
      </c>
      <c r="O1450" s="9" t="str">
        <f>IF(N1450="","",IF(COUNTIF(Precios!$G:$G,N1450)=0,"⚠ No coincide con Precios","OK"))</f>
        <v/>
      </c>
    </row>
    <row r="1451" spans="3:15" x14ac:dyDescent="0.2">
      <c r="C1451" s="9" cm="1">
        <f t="array" ref="C1451">IFERROR(_xlfn.XLOOKUP(B1451,Personal!$A:$A,Personal!$D:$D,""),"")</f>
        <v>0</v>
      </c>
      <c r="D1451" s="9" cm="1">
        <f t="array" ref="D1451">IFERROR(_xlfn.XLOOKUP(B1451,Personal!$A:$A,Personal!$C:$C,""),"")</f>
        <v>0</v>
      </c>
      <c r="E1451" s="9" t="str" cm="1">
        <f t="array" ref="E1451">IFERROR(_xlfn.XLOOKUP(D1451,Locales!$A:$A,Locales!$B:$B,""),"")</f>
        <v/>
      </c>
      <c r="F1451" s="9" cm="1">
        <f t="array" ref="F1451">IFERROR(_xlfn.XLOOKUP(B1451,Personal!$A:$A,Personal!$F:$F,""),"")</f>
        <v>0</v>
      </c>
      <c r="I1451" s="10" cm="1">
        <f t="array" ref="I1451">IFERROR(INDEX(Precios!$D:$F,MATCH(N1451, Precios!$G:$G, 0),CHOOSE(MATCH(H1451, {"SML";"XL";"XXL"}, 0), 1, 2, 3)), 0)</f>
        <v>0</v>
      </c>
      <c r="K1451" s="10">
        <f t="shared" si="50"/>
        <v>0</v>
      </c>
      <c r="N1451" s="9" t="str">
        <f t="shared" si="51"/>
        <v/>
      </c>
      <c r="O1451" s="9" t="str">
        <f>IF(N1451="","",IF(COUNTIF(Precios!$G:$G,N1451)=0,"⚠ No coincide con Precios","OK"))</f>
        <v/>
      </c>
    </row>
    <row r="1452" spans="3:15" x14ac:dyDescent="0.2">
      <c r="C1452" s="9" cm="1">
        <f t="array" ref="C1452">IFERROR(_xlfn.XLOOKUP(B1452,Personal!$A:$A,Personal!$D:$D,""),"")</f>
        <v>0</v>
      </c>
      <c r="D1452" s="9" cm="1">
        <f t="array" ref="D1452">IFERROR(_xlfn.XLOOKUP(B1452,Personal!$A:$A,Personal!$C:$C,""),"")</f>
        <v>0</v>
      </c>
      <c r="E1452" s="9" t="str" cm="1">
        <f t="array" ref="E1452">IFERROR(_xlfn.XLOOKUP(D1452,Locales!$A:$A,Locales!$B:$B,""),"")</f>
        <v/>
      </c>
      <c r="F1452" s="9" cm="1">
        <f t="array" ref="F1452">IFERROR(_xlfn.XLOOKUP(B1452,Personal!$A:$A,Personal!$F:$F,""),"")</f>
        <v>0</v>
      </c>
      <c r="I1452" s="10" cm="1">
        <f t="array" ref="I1452">IFERROR(INDEX(Precios!$D:$F,MATCH(N1452, Precios!$G:$G, 0),CHOOSE(MATCH(H1452, {"SML";"XL";"XXL"}, 0), 1, 2, 3)), 0)</f>
        <v>0</v>
      </c>
      <c r="K1452" s="10">
        <f t="shared" si="50"/>
        <v>0</v>
      </c>
      <c r="N1452" s="9" t="str">
        <f t="shared" si="51"/>
        <v/>
      </c>
      <c r="O1452" s="9" t="str">
        <f>IF(N1452="","",IF(COUNTIF(Precios!$G:$G,N1452)=0,"⚠ No coincide con Precios","OK"))</f>
        <v/>
      </c>
    </row>
    <row r="1453" spans="3:15" x14ac:dyDescent="0.2">
      <c r="C1453" s="9" cm="1">
        <f t="array" ref="C1453">IFERROR(_xlfn.XLOOKUP(B1453,Personal!$A:$A,Personal!$D:$D,""),"")</f>
        <v>0</v>
      </c>
      <c r="D1453" s="9" cm="1">
        <f t="array" ref="D1453">IFERROR(_xlfn.XLOOKUP(B1453,Personal!$A:$A,Personal!$C:$C,""),"")</f>
        <v>0</v>
      </c>
      <c r="E1453" s="9" t="str" cm="1">
        <f t="array" ref="E1453">IFERROR(_xlfn.XLOOKUP(D1453,Locales!$A:$A,Locales!$B:$B,""),"")</f>
        <v/>
      </c>
      <c r="F1453" s="9" cm="1">
        <f t="array" ref="F1453">IFERROR(_xlfn.XLOOKUP(B1453,Personal!$A:$A,Personal!$F:$F,""),"")</f>
        <v>0</v>
      </c>
      <c r="I1453" s="10" cm="1">
        <f t="array" ref="I1453">IFERROR(INDEX(Precios!$D:$F,MATCH(N1453, Precios!$G:$G, 0),CHOOSE(MATCH(H1453, {"SML";"XL";"XXL"}, 0), 1, 2, 3)), 0)</f>
        <v>0</v>
      </c>
      <c r="K1453" s="10">
        <f t="shared" si="50"/>
        <v>0</v>
      </c>
      <c r="N1453" s="9" t="str">
        <f t="shared" si="51"/>
        <v/>
      </c>
      <c r="O1453" s="9" t="str">
        <f>IF(N1453="","",IF(COUNTIF(Precios!$G:$G,N1453)=0,"⚠ No coincide con Precios","OK"))</f>
        <v/>
      </c>
    </row>
    <row r="1454" spans="3:15" x14ac:dyDescent="0.2">
      <c r="C1454" s="9" cm="1">
        <f t="array" ref="C1454">IFERROR(_xlfn.XLOOKUP(B1454,Personal!$A:$A,Personal!$D:$D,""),"")</f>
        <v>0</v>
      </c>
      <c r="D1454" s="9" cm="1">
        <f t="array" ref="D1454">IFERROR(_xlfn.XLOOKUP(B1454,Personal!$A:$A,Personal!$C:$C,""),"")</f>
        <v>0</v>
      </c>
      <c r="E1454" s="9" t="str" cm="1">
        <f t="array" ref="E1454">IFERROR(_xlfn.XLOOKUP(D1454,Locales!$A:$A,Locales!$B:$B,""),"")</f>
        <v/>
      </c>
      <c r="F1454" s="9" cm="1">
        <f t="array" ref="F1454">IFERROR(_xlfn.XLOOKUP(B1454,Personal!$A:$A,Personal!$F:$F,""),"")</f>
        <v>0</v>
      </c>
      <c r="I1454" s="10" cm="1">
        <f t="array" ref="I1454">IFERROR(INDEX(Precios!$D:$F,MATCH(N1454, Precios!$G:$G, 0),CHOOSE(MATCH(H1454, {"SML";"XL";"XXL"}, 0), 1, 2, 3)), 0)</f>
        <v>0</v>
      </c>
      <c r="K1454" s="10">
        <f t="shared" si="50"/>
        <v>0</v>
      </c>
      <c r="N1454" s="9" t="str">
        <f t="shared" si="51"/>
        <v/>
      </c>
      <c r="O1454" s="9" t="str">
        <f>IF(N1454="","",IF(COUNTIF(Precios!$G:$G,N1454)=0,"⚠ No coincide con Precios","OK"))</f>
        <v/>
      </c>
    </row>
    <row r="1455" spans="3:15" x14ac:dyDescent="0.2">
      <c r="C1455" s="9" cm="1">
        <f t="array" ref="C1455">IFERROR(_xlfn.XLOOKUP(B1455,Personal!$A:$A,Personal!$D:$D,""),"")</f>
        <v>0</v>
      </c>
      <c r="D1455" s="9" cm="1">
        <f t="array" ref="D1455">IFERROR(_xlfn.XLOOKUP(B1455,Personal!$A:$A,Personal!$C:$C,""),"")</f>
        <v>0</v>
      </c>
      <c r="E1455" s="9" t="str" cm="1">
        <f t="array" ref="E1455">IFERROR(_xlfn.XLOOKUP(D1455,Locales!$A:$A,Locales!$B:$B,""),"")</f>
        <v/>
      </c>
      <c r="F1455" s="9" cm="1">
        <f t="array" ref="F1455">IFERROR(_xlfn.XLOOKUP(B1455,Personal!$A:$A,Personal!$F:$F,""),"")</f>
        <v>0</v>
      </c>
      <c r="I1455" s="10" cm="1">
        <f t="array" ref="I1455">IFERROR(INDEX(Precios!$D:$F,MATCH(N1455, Precios!$G:$G, 0),CHOOSE(MATCH(H1455, {"SML";"XL";"XXL"}, 0), 1, 2, 3)), 0)</f>
        <v>0</v>
      </c>
      <c r="K1455" s="10">
        <f t="shared" si="50"/>
        <v>0</v>
      </c>
      <c r="N1455" s="9" t="str">
        <f t="shared" si="51"/>
        <v/>
      </c>
      <c r="O1455" s="9" t="str">
        <f>IF(N1455="","",IF(COUNTIF(Precios!$G:$G,N1455)=0,"⚠ No coincide con Precios","OK"))</f>
        <v/>
      </c>
    </row>
    <row r="1456" spans="3:15" x14ac:dyDescent="0.2">
      <c r="C1456" s="9" cm="1">
        <f t="array" ref="C1456">IFERROR(_xlfn.XLOOKUP(B1456,Personal!$A:$A,Personal!$D:$D,""),"")</f>
        <v>0</v>
      </c>
      <c r="D1456" s="9" cm="1">
        <f t="array" ref="D1456">IFERROR(_xlfn.XLOOKUP(B1456,Personal!$A:$A,Personal!$C:$C,""),"")</f>
        <v>0</v>
      </c>
      <c r="E1456" s="9" t="str" cm="1">
        <f t="array" ref="E1456">IFERROR(_xlfn.XLOOKUP(D1456,Locales!$A:$A,Locales!$B:$B,""),"")</f>
        <v/>
      </c>
      <c r="F1456" s="9" cm="1">
        <f t="array" ref="F1456">IFERROR(_xlfn.XLOOKUP(B1456,Personal!$A:$A,Personal!$F:$F,""),"")</f>
        <v>0</v>
      </c>
      <c r="I1456" s="10" cm="1">
        <f t="array" ref="I1456">IFERROR(INDEX(Precios!$D:$F,MATCH(N1456, Precios!$G:$G, 0),CHOOSE(MATCH(H1456, {"SML";"XL";"XXL"}, 0), 1, 2, 3)), 0)</f>
        <v>0</v>
      </c>
      <c r="K1456" s="10">
        <f t="shared" si="50"/>
        <v>0</v>
      </c>
      <c r="N1456" s="9" t="str">
        <f t="shared" si="51"/>
        <v/>
      </c>
      <c r="O1456" s="9" t="str">
        <f>IF(N1456="","",IF(COUNTIF(Precios!$G:$G,N1456)=0,"⚠ No coincide con Precios","OK"))</f>
        <v/>
      </c>
    </row>
    <row r="1457" spans="3:15" x14ac:dyDescent="0.2">
      <c r="C1457" s="9" cm="1">
        <f t="array" ref="C1457">IFERROR(_xlfn.XLOOKUP(B1457,Personal!$A:$A,Personal!$D:$D,""),"")</f>
        <v>0</v>
      </c>
      <c r="D1457" s="9" cm="1">
        <f t="array" ref="D1457">IFERROR(_xlfn.XLOOKUP(B1457,Personal!$A:$A,Personal!$C:$C,""),"")</f>
        <v>0</v>
      </c>
      <c r="E1457" s="9" t="str" cm="1">
        <f t="array" ref="E1457">IFERROR(_xlfn.XLOOKUP(D1457,Locales!$A:$A,Locales!$B:$B,""),"")</f>
        <v/>
      </c>
      <c r="F1457" s="9" cm="1">
        <f t="array" ref="F1457">IFERROR(_xlfn.XLOOKUP(B1457,Personal!$A:$A,Personal!$F:$F,""),"")</f>
        <v>0</v>
      </c>
      <c r="I1457" s="10" cm="1">
        <f t="array" ref="I1457">IFERROR(INDEX(Precios!$D:$F,MATCH(N1457, Precios!$G:$G, 0),CHOOSE(MATCH(H1457, {"SML";"XL";"XXL"}, 0), 1, 2, 3)), 0)</f>
        <v>0</v>
      </c>
      <c r="K1457" s="10">
        <f t="shared" si="50"/>
        <v>0</v>
      </c>
      <c r="N1457" s="9" t="str">
        <f t="shared" si="51"/>
        <v/>
      </c>
      <c r="O1457" s="9" t="str">
        <f>IF(N1457="","",IF(COUNTIF(Precios!$G:$G,N1457)=0,"⚠ No coincide con Precios","OK"))</f>
        <v/>
      </c>
    </row>
    <row r="1458" spans="3:15" x14ac:dyDescent="0.2">
      <c r="C1458" s="9" cm="1">
        <f t="array" ref="C1458">IFERROR(_xlfn.XLOOKUP(B1458,Personal!$A:$A,Personal!$D:$D,""),"")</f>
        <v>0</v>
      </c>
      <c r="D1458" s="9" cm="1">
        <f t="array" ref="D1458">IFERROR(_xlfn.XLOOKUP(B1458,Personal!$A:$A,Personal!$C:$C,""),"")</f>
        <v>0</v>
      </c>
      <c r="E1458" s="9" t="str" cm="1">
        <f t="array" ref="E1458">IFERROR(_xlfn.XLOOKUP(D1458,Locales!$A:$A,Locales!$B:$B,""),"")</f>
        <v/>
      </c>
      <c r="F1458" s="9" cm="1">
        <f t="array" ref="F1458">IFERROR(_xlfn.XLOOKUP(B1458,Personal!$A:$A,Personal!$F:$F,""),"")</f>
        <v>0</v>
      </c>
      <c r="I1458" s="10" cm="1">
        <f t="array" ref="I1458">IFERROR(INDEX(Precios!$D:$F,MATCH(N1458, Precios!$G:$G, 0),CHOOSE(MATCH(H1458, {"SML";"XL";"XXL"}, 0), 1, 2, 3)), 0)</f>
        <v>0</v>
      </c>
      <c r="K1458" s="10">
        <f t="shared" si="50"/>
        <v>0</v>
      </c>
      <c r="N1458" s="9" t="str">
        <f t="shared" si="51"/>
        <v/>
      </c>
      <c r="O1458" s="9" t="str">
        <f>IF(N1458="","",IF(COUNTIF(Precios!$G:$G,N1458)=0,"⚠ No coincide con Precios","OK"))</f>
        <v/>
      </c>
    </row>
    <row r="1459" spans="3:15" x14ac:dyDescent="0.2">
      <c r="C1459" s="9" cm="1">
        <f t="array" ref="C1459">IFERROR(_xlfn.XLOOKUP(B1459,Personal!$A:$A,Personal!$D:$D,""),"")</f>
        <v>0</v>
      </c>
      <c r="D1459" s="9" cm="1">
        <f t="array" ref="D1459">IFERROR(_xlfn.XLOOKUP(B1459,Personal!$A:$A,Personal!$C:$C,""),"")</f>
        <v>0</v>
      </c>
      <c r="E1459" s="9" t="str" cm="1">
        <f t="array" ref="E1459">IFERROR(_xlfn.XLOOKUP(D1459,Locales!$A:$A,Locales!$B:$B,""),"")</f>
        <v/>
      </c>
      <c r="F1459" s="9" cm="1">
        <f t="array" ref="F1459">IFERROR(_xlfn.XLOOKUP(B1459,Personal!$A:$A,Personal!$F:$F,""),"")</f>
        <v>0</v>
      </c>
      <c r="I1459" s="10" cm="1">
        <f t="array" ref="I1459">IFERROR(INDEX(Precios!$D:$F,MATCH(N1459, Precios!$G:$G, 0),CHOOSE(MATCH(H1459, {"SML";"XL";"XXL"}, 0), 1, 2, 3)), 0)</f>
        <v>0</v>
      </c>
      <c r="K1459" s="10">
        <f t="shared" si="50"/>
        <v>0</v>
      </c>
      <c r="N1459" s="9" t="str">
        <f t="shared" si="51"/>
        <v/>
      </c>
      <c r="O1459" s="9" t="str">
        <f>IF(N1459="","",IF(COUNTIF(Precios!$G:$G,N1459)=0,"⚠ No coincide con Precios","OK"))</f>
        <v/>
      </c>
    </row>
    <row r="1460" spans="3:15" x14ac:dyDescent="0.2">
      <c r="C1460" s="9" cm="1">
        <f t="array" ref="C1460">IFERROR(_xlfn.XLOOKUP(B1460,Personal!$A:$A,Personal!$D:$D,""),"")</f>
        <v>0</v>
      </c>
      <c r="D1460" s="9" cm="1">
        <f t="array" ref="D1460">IFERROR(_xlfn.XLOOKUP(B1460,Personal!$A:$A,Personal!$C:$C,""),"")</f>
        <v>0</v>
      </c>
      <c r="E1460" s="9" t="str" cm="1">
        <f t="array" ref="E1460">IFERROR(_xlfn.XLOOKUP(D1460,Locales!$A:$A,Locales!$B:$B,""),"")</f>
        <v/>
      </c>
      <c r="F1460" s="9" cm="1">
        <f t="array" ref="F1460">IFERROR(_xlfn.XLOOKUP(B1460,Personal!$A:$A,Personal!$F:$F,""),"")</f>
        <v>0</v>
      </c>
      <c r="I1460" s="10" cm="1">
        <f t="array" ref="I1460">IFERROR(INDEX(Precios!$D:$F,MATCH(N1460, Precios!$G:$G, 0),CHOOSE(MATCH(H1460, {"SML";"XL";"XXL"}, 0), 1, 2, 3)), 0)</f>
        <v>0</v>
      </c>
      <c r="K1460" s="10">
        <f t="shared" si="50"/>
        <v>0</v>
      </c>
      <c r="N1460" s="9" t="str">
        <f t="shared" si="51"/>
        <v/>
      </c>
      <c r="O1460" s="9" t="str">
        <f>IF(N1460="","",IF(COUNTIF(Precios!$G:$G,N1460)=0,"⚠ No coincide con Precios","OK"))</f>
        <v/>
      </c>
    </row>
    <row r="1461" spans="3:15" x14ac:dyDescent="0.2">
      <c r="C1461" s="9" cm="1">
        <f t="array" ref="C1461">IFERROR(_xlfn.XLOOKUP(B1461,Personal!$A:$A,Personal!$D:$D,""),"")</f>
        <v>0</v>
      </c>
      <c r="D1461" s="9" cm="1">
        <f t="array" ref="D1461">IFERROR(_xlfn.XLOOKUP(B1461,Personal!$A:$A,Personal!$C:$C,""),"")</f>
        <v>0</v>
      </c>
      <c r="E1461" s="9" t="str" cm="1">
        <f t="array" ref="E1461">IFERROR(_xlfn.XLOOKUP(D1461,Locales!$A:$A,Locales!$B:$B,""),"")</f>
        <v/>
      </c>
      <c r="F1461" s="9" cm="1">
        <f t="array" ref="F1461">IFERROR(_xlfn.XLOOKUP(B1461,Personal!$A:$A,Personal!$F:$F,""),"")</f>
        <v>0</v>
      </c>
      <c r="I1461" s="10" cm="1">
        <f t="array" ref="I1461">IFERROR(INDEX(Precios!$D:$F,MATCH(N1461, Precios!$G:$G, 0),CHOOSE(MATCH(H1461, {"SML";"XL";"XXL"}, 0), 1, 2, 3)), 0)</f>
        <v>0</v>
      </c>
      <c r="K1461" s="10">
        <f t="shared" si="50"/>
        <v>0</v>
      </c>
      <c r="N1461" s="9" t="str">
        <f t="shared" si="51"/>
        <v/>
      </c>
      <c r="O1461" s="9" t="str">
        <f>IF(N1461="","",IF(COUNTIF(Precios!$G:$G,N1461)=0,"⚠ No coincide con Precios","OK"))</f>
        <v/>
      </c>
    </row>
    <row r="1462" spans="3:15" x14ac:dyDescent="0.2">
      <c r="C1462" s="9" cm="1">
        <f t="array" ref="C1462">IFERROR(_xlfn.XLOOKUP(B1462,Personal!$A:$A,Personal!$D:$D,""),"")</f>
        <v>0</v>
      </c>
      <c r="D1462" s="9" cm="1">
        <f t="array" ref="D1462">IFERROR(_xlfn.XLOOKUP(B1462,Personal!$A:$A,Personal!$C:$C,""),"")</f>
        <v>0</v>
      </c>
      <c r="E1462" s="9" t="str" cm="1">
        <f t="array" ref="E1462">IFERROR(_xlfn.XLOOKUP(D1462,Locales!$A:$A,Locales!$B:$B,""),"")</f>
        <v/>
      </c>
      <c r="F1462" s="9" cm="1">
        <f t="array" ref="F1462">IFERROR(_xlfn.XLOOKUP(B1462,Personal!$A:$A,Personal!$F:$F,""),"")</f>
        <v>0</v>
      </c>
      <c r="I1462" s="10" cm="1">
        <f t="array" ref="I1462">IFERROR(INDEX(Precios!$D:$F,MATCH(N1462, Precios!$G:$G, 0),CHOOSE(MATCH(H1462, {"SML";"XL";"XXL"}, 0), 1, 2, 3)), 0)</f>
        <v>0</v>
      </c>
      <c r="K1462" s="10">
        <f t="shared" si="50"/>
        <v>0</v>
      </c>
      <c r="N1462" s="9" t="str">
        <f t="shared" si="51"/>
        <v/>
      </c>
      <c r="O1462" s="9" t="str">
        <f>IF(N1462="","",IF(COUNTIF(Precios!$G:$G,N1462)=0,"⚠ No coincide con Precios","OK"))</f>
        <v/>
      </c>
    </row>
    <row r="1463" spans="3:15" x14ac:dyDescent="0.2">
      <c r="C1463" s="9" cm="1">
        <f t="array" ref="C1463">IFERROR(_xlfn.XLOOKUP(B1463,Personal!$A:$A,Personal!$D:$D,""),"")</f>
        <v>0</v>
      </c>
      <c r="D1463" s="9" cm="1">
        <f t="array" ref="D1463">IFERROR(_xlfn.XLOOKUP(B1463,Personal!$A:$A,Personal!$C:$C,""),"")</f>
        <v>0</v>
      </c>
      <c r="E1463" s="9" t="str" cm="1">
        <f t="array" ref="E1463">IFERROR(_xlfn.XLOOKUP(D1463,Locales!$A:$A,Locales!$B:$B,""),"")</f>
        <v/>
      </c>
      <c r="F1463" s="9" cm="1">
        <f t="array" ref="F1463">IFERROR(_xlfn.XLOOKUP(B1463,Personal!$A:$A,Personal!$F:$F,""),"")</f>
        <v>0</v>
      </c>
      <c r="I1463" s="10" cm="1">
        <f t="array" ref="I1463">IFERROR(INDEX(Precios!$D:$F,MATCH(N1463, Precios!$G:$G, 0),CHOOSE(MATCH(H1463, {"SML";"XL";"XXL"}, 0), 1, 2, 3)), 0)</f>
        <v>0</v>
      </c>
      <c r="K1463" s="10">
        <f t="shared" si="50"/>
        <v>0</v>
      </c>
      <c r="N1463" s="9" t="str">
        <f t="shared" si="51"/>
        <v/>
      </c>
      <c r="O1463" s="9" t="str">
        <f>IF(N1463="","",IF(COUNTIF(Precios!$G:$G,N1463)=0,"⚠ No coincide con Precios","OK"))</f>
        <v/>
      </c>
    </row>
    <row r="1464" spans="3:15" x14ac:dyDescent="0.2">
      <c r="C1464" s="9" cm="1">
        <f t="array" ref="C1464">IFERROR(_xlfn.XLOOKUP(B1464,Personal!$A:$A,Personal!$D:$D,""),"")</f>
        <v>0</v>
      </c>
      <c r="D1464" s="9" cm="1">
        <f t="array" ref="D1464">IFERROR(_xlfn.XLOOKUP(B1464,Personal!$A:$A,Personal!$C:$C,""),"")</f>
        <v>0</v>
      </c>
      <c r="E1464" s="9" t="str" cm="1">
        <f t="array" ref="E1464">IFERROR(_xlfn.XLOOKUP(D1464,Locales!$A:$A,Locales!$B:$B,""),"")</f>
        <v/>
      </c>
      <c r="F1464" s="9" cm="1">
        <f t="array" ref="F1464">IFERROR(_xlfn.XLOOKUP(B1464,Personal!$A:$A,Personal!$F:$F,""),"")</f>
        <v>0</v>
      </c>
      <c r="I1464" s="10" cm="1">
        <f t="array" ref="I1464">IFERROR(INDEX(Precios!$D:$F,MATCH(N1464, Precios!$G:$G, 0),CHOOSE(MATCH(H1464, {"SML";"XL";"XXL"}, 0), 1, 2, 3)), 0)</f>
        <v>0</v>
      </c>
      <c r="K1464" s="10">
        <f t="shared" si="50"/>
        <v>0</v>
      </c>
      <c r="N1464" s="9" t="str">
        <f t="shared" si="51"/>
        <v/>
      </c>
      <c r="O1464" s="9" t="str">
        <f>IF(N1464="","",IF(COUNTIF(Precios!$G:$G,N1464)=0,"⚠ No coincide con Precios","OK"))</f>
        <v/>
      </c>
    </row>
    <row r="1465" spans="3:15" x14ac:dyDescent="0.2">
      <c r="C1465" s="9" cm="1">
        <f t="array" ref="C1465">IFERROR(_xlfn.XLOOKUP(B1465,Personal!$A:$A,Personal!$D:$D,""),"")</f>
        <v>0</v>
      </c>
      <c r="D1465" s="9" cm="1">
        <f t="array" ref="D1465">IFERROR(_xlfn.XLOOKUP(B1465,Personal!$A:$A,Personal!$C:$C,""),"")</f>
        <v>0</v>
      </c>
      <c r="E1465" s="9" t="str" cm="1">
        <f t="array" ref="E1465">IFERROR(_xlfn.XLOOKUP(D1465,Locales!$A:$A,Locales!$B:$B,""),"")</f>
        <v/>
      </c>
      <c r="F1465" s="9" cm="1">
        <f t="array" ref="F1465">IFERROR(_xlfn.XLOOKUP(B1465,Personal!$A:$A,Personal!$F:$F,""),"")</f>
        <v>0</v>
      </c>
      <c r="I1465" s="10" cm="1">
        <f t="array" ref="I1465">IFERROR(INDEX(Precios!$D:$F,MATCH(N1465, Precios!$G:$G, 0),CHOOSE(MATCH(H1465, {"SML";"XL";"XXL"}, 0), 1, 2, 3)), 0)</f>
        <v>0</v>
      </c>
      <c r="K1465" s="10">
        <f t="shared" si="50"/>
        <v>0</v>
      </c>
      <c r="N1465" s="9" t="str">
        <f t="shared" si="51"/>
        <v/>
      </c>
      <c r="O1465" s="9" t="str">
        <f>IF(N1465="","",IF(COUNTIF(Precios!$G:$G,N1465)=0,"⚠ No coincide con Precios","OK"))</f>
        <v/>
      </c>
    </row>
    <row r="1466" spans="3:15" x14ac:dyDescent="0.2">
      <c r="C1466" s="9" cm="1">
        <f t="array" ref="C1466">IFERROR(_xlfn.XLOOKUP(B1466,Personal!$A:$A,Personal!$D:$D,""),"")</f>
        <v>0</v>
      </c>
      <c r="D1466" s="9" cm="1">
        <f t="array" ref="D1466">IFERROR(_xlfn.XLOOKUP(B1466,Personal!$A:$A,Personal!$C:$C,""),"")</f>
        <v>0</v>
      </c>
      <c r="E1466" s="9" t="str" cm="1">
        <f t="array" ref="E1466">IFERROR(_xlfn.XLOOKUP(D1466,Locales!$A:$A,Locales!$B:$B,""),"")</f>
        <v/>
      </c>
      <c r="F1466" s="9" cm="1">
        <f t="array" ref="F1466">IFERROR(_xlfn.XLOOKUP(B1466,Personal!$A:$A,Personal!$F:$F,""),"")</f>
        <v>0</v>
      </c>
      <c r="I1466" s="10" cm="1">
        <f t="array" ref="I1466">IFERROR(INDEX(Precios!$D:$F,MATCH(N1466, Precios!$G:$G, 0),CHOOSE(MATCH(H1466, {"SML";"XL";"XXL"}, 0), 1, 2, 3)), 0)</f>
        <v>0</v>
      </c>
      <c r="K1466" s="10">
        <f t="shared" si="50"/>
        <v>0</v>
      </c>
      <c r="N1466" s="9" t="str">
        <f t="shared" si="51"/>
        <v/>
      </c>
      <c r="O1466" s="9" t="str">
        <f>IF(N1466="","",IF(COUNTIF(Precios!$G:$G,N1466)=0,"⚠ No coincide con Precios","OK"))</f>
        <v/>
      </c>
    </row>
    <row r="1467" spans="3:15" x14ac:dyDescent="0.2">
      <c r="C1467" s="9" cm="1">
        <f t="array" ref="C1467">IFERROR(_xlfn.XLOOKUP(B1467,Personal!$A:$A,Personal!$D:$D,""),"")</f>
        <v>0</v>
      </c>
      <c r="D1467" s="9" cm="1">
        <f t="array" ref="D1467">IFERROR(_xlfn.XLOOKUP(B1467,Personal!$A:$A,Personal!$C:$C,""),"")</f>
        <v>0</v>
      </c>
      <c r="E1467" s="9" t="str" cm="1">
        <f t="array" ref="E1467">IFERROR(_xlfn.XLOOKUP(D1467,Locales!$A:$A,Locales!$B:$B,""),"")</f>
        <v/>
      </c>
      <c r="F1467" s="9" cm="1">
        <f t="array" ref="F1467">IFERROR(_xlfn.XLOOKUP(B1467,Personal!$A:$A,Personal!$F:$F,""),"")</f>
        <v>0</v>
      </c>
      <c r="I1467" s="10" cm="1">
        <f t="array" ref="I1467">IFERROR(INDEX(Precios!$D:$F,MATCH(N1467, Precios!$G:$G, 0),CHOOSE(MATCH(H1467, {"SML";"XL";"XXL"}, 0), 1, 2, 3)), 0)</f>
        <v>0</v>
      </c>
      <c r="K1467" s="10">
        <f t="shared" si="50"/>
        <v>0</v>
      </c>
      <c r="N1467" s="9" t="str">
        <f t="shared" si="51"/>
        <v/>
      </c>
      <c r="O1467" s="9" t="str">
        <f>IF(N1467="","",IF(COUNTIF(Precios!$G:$G,N1467)=0,"⚠ No coincide con Precios","OK"))</f>
        <v/>
      </c>
    </row>
    <row r="1468" spans="3:15" x14ac:dyDescent="0.2">
      <c r="C1468" s="9" cm="1">
        <f t="array" ref="C1468">IFERROR(_xlfn.XLOOKUP(B1468,Personal!$A:$A,Personal!$D:$D,""),"")</f>
        <v>0</v>
      </c>
      <c r="D1468" s="9" cm="1">
        <f t="array" ref="D1468">IFERROR(_xlfn.XLOOKUP(B1468,Personal!$A:$A,Personal!$C:$C,""),"")</f>
        <v>0</v>
      </c>
      <c r="E1468" s="9" t="str" cm="1">
        <f t="array" ref="E1468">IFERROR(_xlfn.XLOOKUP(D1468,Locales!$A:$A,Locales!$B:$B,""),"")</f>
        <v/>
      </c>
      <c r="F1468" s="9" cm="1">
        <f t="array" ref="F1468">IFERROR(_xlfn.XLOOKUP(B1468,Personal!$A:$A,Personal!$F:$F,""),"")</f>
        <v>0</v>
      </c>
      <c r="I1468" s="10" cm="1">
        <f t="array" ref="I1468">IFERROR(INDEX(Precios!$D:$F,MATCH(N1468, Precios!$G:$G, 0),CHOOSE(MATCH(H1468, {"SML";"XL";"XXL"}, 0), 1, 2, 3)), 0)</f>
        <v>0</v>
      </c>
      <c r="K1468" s="10">
        <f t="shared" si="50"/>
        <v>0</v>
      </c>
      <c r="N1468" s="9" t="str">
        <f t="shared" si="51"/>
        <v/>
      </c>
      <c r="O1468" s="9" t="str">
        <f>IF(N1468="","",IF(COUNTIF(Precios!$G:$G,N1468)=0,"⚠ No coincide con Precios","OK"))</f>
        <v/>
      </c>
    </row>
    <row r="1469" spans="3:15" x14ac:dyDescent="0.2">
      <c r="C1469" s="9" cm="1">
        <f t="array" ref="C1469">IFERROR(_xlfn.XLOOKUP(B1469,Personal!$A:$A,Personal!$D:$D,""),"")</f>
        <v>0</v>
      </c>
      <c r="D1469" s="9" cm="1">
        <f t="array" ref="D1469">IFERROR(_xlfn.XLOOKUP(B1469,Personal!$A:$A,Personal!$C:$C,""),"")</f>
        <v>0</v>
      </c>
      <c r="E1469" s="9" t="str" cm="1">
        <f t="array" ref="E1469">IFERROR(_xlfn.XLOOKUP(D1469,Locales!$A:$A,Locales!$B:$B,""),"")</f>
        <v/>
      </c>
      <c r="F1469" s="9" cm="1">
        <f t="array" ref="F1469">IFERROR(_xlfn.XLOOKUP(B1469,Personal!$A:$A,Personal!$F:$F,""),"")</f>
        <v>0</v>
      </c>
      <c r="I1469" s="10" cm="1">
        <f t="array" ref="I1469">IFERROR(INDEX(Precios!$D:$F,MATCH(N1469, Precios!$G:$G, 0),CHOOSE(MATCH(H1469, {"SML";"XL";"XXL"}, 0), 1, 2, 3)), 0)</f>
        <v>0</v>
      </c>
      <c r="K1469" s="10">
        <f t="shared" si="50"/>
        <v>0</v>
      </c>
      <c r="N1469" s="9" t="str">
        <f t="shared" si="51"/>
        <v/>
      </c>
      <c r="O1469" s="9" t="str">
        <f>IF(N1469="","",IF(COUNTIF(Precios!$G:$G,N1469)=0,"⚠ No coincide con Precios","OK"))</f>
        <v/>
      </c>
    </row>
    <row r="1470" spans="3:15" x14ac:dyDescent="0.2">
      <c r="C1470" s="9" cm="1">
        <f t="array" ref="C1470">IFERROR(_xlfn.XLOOKUP(B1470,Personal!$A:$A,Personal!$D:$D,""),"")</f>
        <v>0</v>
      </c>
      <c r="D1470" s="9" cm="1">
        <f t="array" ref="D1470">IFERROR(_xlfn.XLOOKUP(B1470,Personal!$A:$A,Personal!$C:$C,""),"")</f>
        <v>0</v>
      </c>
      <c r="E1470" s="9" t="str" cm="1">
        <f t="array" ref="E1470">IFERROR(_xlfn.XLOOKUP(D1470,Locales!$A:$A,Locales!$B:$B,""),"")</f>
        <v/>
      </c>
      <c r="F1470" s="9" cm="1">
        <f t="array" ref="F1470">IFERROR(_xlfn.XLOOKUP(B1470,Personal!$A:$A,Personal!$F:$F,""),"")</f>
        <v>0</v>
      </c>
      <c r="I1470" s="10" cm="1">
        <f t="array" ref="I1470">IFERROR(INDEX(Precios!$D:$F,MATCH(N1470, Precios!$G:$G, 0),CHOOSE(MATCH(H1470, {"SML";"XL";"XXL"}, 0), 1, 2, 3)), 0)</f>
        <v>0</v>
      </c>
      <c r="K1470" s="10">
        <f t="shared" ref="K1470:K1473" si="52">IFERROR(I1470*J1470,0)</f>
        <v>0</v>
      </c>
      <c r="N1470" s="9" t="str">
        <f t="shared" ref="N1470:N1473" si="53">IF( OR(E1470="",F1470="",G1470=""), "",CLEAN(TRIM(E1470)) &amp; "|" &amp; CLEAN(TRIM(F1470)) &amp; "|" &amp; CLEAN(TRIM(G1470)))</f>
        <v/>
      </c>
      <c r="O1470" s="9" t="str">
        <f>IF(N1470="","",IF(COUNTIF(Precios!$G:$G,N1470)=0,"⚠ No coincide con Precios","OK"))</f>
        <v/>
      </c>
    </row>
    <row r="1471" spans="3:15" x14ac:dyDescent="0.2">
      <c r="C1471" s="9" cm="1">
        <f t="array" ref="C1471">IFERROR(_xlfn.XLOOKUP(B1471,Personal!$A:$A,Personal!$D:$D,""),"")</f>
        <v>0</v>
      </c>
      <c r="D1471" s="9" cm="1">
        <f t="array" ref="D1471">IFERROR(_xlfn.XLOOKUP(B1471,Personal!$A:$A,Personal!$C:$C,""),"")</f>
        <v>0</v>
      </c>
      <c r="E1471" s="9" t="str" cm="1">
        <f t="array" ref="E1471">IFERROR(_xlfn.XLOOKUP(D1471,Locales!$A:$A,Locales!$B:$B,""),"")</f>
        <v/>
      </c>
      <c r="F1471" s="9" cm="1">
        <f t="array" ref="F1471">IFERROR(_xlfn.XLOOKUP(B1471,Personal!$A:$A,Personal!$F:$F,""),"")</f>
        <v>0</v>
      </c>
      <c r="I1471" s="10" cm="1">
        <f t="array" ref="I1471">IFERROR(INDEX(Precios!$D:$F,MATCH(N1471, Precios!$G:$G, 0),CHOOSE(MATCH(H1471, {"SML";"XL";"XXL"}, 0), 1, 2, 3)), 0)</f>
        <v>0</v>
      </c>
      <c r="K1471" s="10">
        <f t="shared" si="52"/>
        <v>0</v>
      </c>
      <c r="N1471" s="9" t="str">
        <f t="shared" si="53"/>
        <v/>
      </c>
      <c r="O1471" s="9" t="str">
        <f>IF(N1471="","",IF(COUNTIF(Precios!$G:$G,N1471)=0,"⚠ No coincide con Precios","OK"))</f>
        <v/>
      </c>
    </row>
    <row r="1472" spans="3:15" x14ac:dyDescent="0.2">
      <c r="C1472" s="9" cm="1">
        <f t="array" ref="C1472">IFERROR(_xlfn.XLOOKUP(B1472,Personal!$A:$A,Personal!$D:$D,""),"")</f>
        <v>0</v>
      </c>
      <c r="D1472" s="9" cm="1">
        <f t="array" ref="D1472">IFERROR(_xlfn.XLOOKUP(B1472,Personal!$A:$A,Personal!$C:$C,""),"")</f>
        <v>0</v>
      </c>
      <c r="E1472" s="9" t="str" cm="1">
        <f t="array" ref="E1472">IFERROR(_xlfn.XLOOKUP(D1472,Locales!$A:$A,Locales!$B:$B,""),"")</f>
        <v/>
      </c>
      <c r="F1472" s="9" cm="1">
        <f t="array" ref="F1472">IFERROR(_xlfn.XLOOKUP(B1472,Personal!$A:$A,Personal!$F:$F,""),"")</f>
        <v>0</v>
      </c>
      <c r="I1472" s="10" cm="1">
        <f t="array" ref="I1472">IFERROR(INDEX(Precios!$D:$F,MATCH(N1472, Precios!$G:$G, 0),CHOOSE(MATCH(H1472, {"SML";"XL";"XXL"}, 0), 1, 2, 3)), 0)</f>
        <v>0</v>
      </c>
      <c r="K1472" s="10">
        <f t="shared" si="52"/>
        <v>0</v>
      </c>
      <c r="N1472" s="9" t="str">
        <f t="shared" si="53"/>
        <v/>
      </c>
      <c r="O1472" s="9" t="str">
        <f>IF(N1472="","",IF(COUNTIF(Precios!$G:$G,N1472)=0,"⚠ No coincide con Precios","OK"))</f>
        <v/>
      </c>
    </row>
    <row r="1473" spans="3:15" x14ac:dyDescent="0.2">
      <c r="C1473" s="9" cm="1">
        <f t="array" ref="C1473">IFERROR(_xlfn.XLOOKUP(B1473,Personal!$A:$A,Personal!$D:$D,""),"")</f>
        <v>0</v>
      </c>
      <c r="D1473" s="9" cm="1">
        <f t="array" ref="D1473">IFERROR(_xlfn.XLOOKUP(B1473,Personal!$A:$A,Personal!$C:$C,""),"")</f>
        <v>0</v>
      </c>
      <c r="E1473" s="9" t="str" cm="1">
        <f t="array" ref="E1473">IFERROR(_xlfn.XLOOKUP(D1473,Locales!$A:$A,Locales!$B:$B,""),"")</f>
        <v/>
      </c>
      <c r="F1473" s="9" cm="1">
        <f t="array" ref="F1473">IFERROR(_xlfn.XLOOKUP(B1473,Personal!$A:$A,Personal!$F:$F,""),"")</f>
        <v>0</v>
      </c>
      <c r="I1473" s="10" cm="1">
        <f t="array" ref="I1473">IFERROR(INDEX(Precios!$D:$F,MATCH(N1473, Precios!$G:$G, 0),CHOOSE(MATCH(H1473, {"SML";"XL";"XXL"}, 0), 1, 2, 3)), 0)</f>
        <v>0</v>
      </c>
      <c r="K1473" s="10">
        <f t="shared" si="52"/>
        <v>0</v>
      </c>
      <c r="N1473" s="9" t="str">
        <f t="shared" si="53"/>
        <v/>
      </c>
      <c r="O1473" s="9" t="str">
        <f>IF(N1473="","",IF(COUNTIF(Precios!$G:$G,N1473)=0,"⚠ No coincide con Precios","OK"))</f>
        <v/>
      </c>
    </row>
    <row r="1474" spans="3:15" x14ac:dyDescent="0.2">
      <c r="C1474" s="9" cm="1">
        <f t="array" ref="C1474">IFERROR(_xlfn.XLOOKUP(B1474,Personal!$A:$A,Personal!$D:$D,""),"")</f>
        <v>0</v>
      </c>
      <c r="D1474" s="9" cm="1">
        <f t="array" ref="D1474">IFERROR(_xlfn.XLOOKUP(B1474,Personal!$A:$A,Personal!$C:$C,""),"")</f>
        <v>0</v>
      </c>
      <c r="E1474" s="9" t="str" cm="1">
        <f t="array" ref="E1474">IFERROR(_xlfn.XLOOKUP(D1474,Locales!$A:$A,Locales!$B:$B,""),"")</f>
        <v/>
      </c>
      <c r="F1474" s="9" cm="1">
        <f t="array" ref="F1474">IFERROR(_xlfn.XLOOKUP(B1474,Personal!$A:$A,Personal!$F:$F,""),"")</f>
        <v>0</v>
      </c>
      <c r="I1474" s="10" cm="1">
        <f t="array" ref="I1474">IFERROR(INDEX(Precios!$D:$F,MATCH(N1474, Precios!$G:$G, 0),CHOOSE(MATCH(H1474, {"SML";"XL";"XXL"}, 0), 1, 2, 3)), 0)</f>
        <v>0</v>
      </c>
      <c r="K1474" s="10">
        <f t="shared" ref="K1474:K1535" si="54">IFERROR(I1474*J1474,0)</f>
        <v>0</v>
      </c>
      <c r="N1474" s="9" t="str">
        <f t="shared" ref="N1474:N1535" si="55">IF( OR(E1474="",F1474="",G1474=""), "",CLEAN(TRIM(E1474)) &amp; "|" &amp; CLEAN(TRIM(F1474)) &amp; "|" &amp; CLEAN(TRIM(G1474)))</f>
        <v/>
      </c>
      <c r="O1474" s="9" t="str">
        <f>IF(N1474="","",IF(COUNTIF(Precios!$G:$G,N1474)=0,"⚠ No coincide con Precios","OK"))</f>
        <v/>
      </c>
    </row>
    <row r="1475" spans="3:15" x14ac:dyDescent="0.2">
      <c r="C1475" s="9" cm="1">
        <f t="array" ref="C1475">IFERROR(_xlfn.XLOOKUP(B1475,Personal!$A:$A,Personal!$D:$D,""),"")</f>
        <v>0</v>
      </c>
      <c r="D1475" s="9" cm="1">
        <f t="array" ref="D1475">IFERROR(_xlfn.XLOOKUP(B1475,Personal!$A:$A,Personal!$C:$C,""),"")</f>
        <v>0</v>
      </c>
      <c r="E1475" s="9" t="str" cm="1">
        <f t="array" ref="E1475">IFERROR(_xlfn.XLOOKUP(D1475,Locales!$A:$A,Locales!$B:$B,""),"")</f>
        <v/>
      </c>
      <c r="F1475" s="9" cm="1">
        <f t="array" ref="F1475">IFERROR(_xlfn.XLOOKUP(B1475,Personal!$A:$A,Personal!$F:$F,""),"")</f>
        <v>0</v>
      </c>
      <c r="I1475" s="10" cm="1">
        <f t="array" ref="I1475">IFERROR(INDEX(Precios!$D:$F,MATCH(N1475, Precios!$G:$G, 0),CHOOSE(MATCH(H1475, {"SML";"XL";"XXL"}, 0), 1, 2, 3)), 0)</f>
        <v>0</v>
      </c>
      <c r="K1475" s="10">
        <f t="shared" si="54"/>
        <v>0</v>
      </c>
      <c r="N1475" s="9" t="str">
        <f t="shared" si="55"/>
        <v/>
      </c>
      <c r="O1475" s="9" t="str">
        <f>IF(N1475="","",IF(COUNTIF(Precios!$G:$G,N1475)=0,"⚠ No coincide con Precios","OK"))</f>
        <v/>
      </c>
    </row>
    <row r="1476" spans="3:15" x14ac:dyDescent="0.2">
      <c r="C1476" s="9" cm="1">
        <f t="array" ref="C1476">IFERROR(_xlfn.XLOOKUP(B1476,Personal!$A:$A,Personal!$D:$D,""),"")</f>
        <v>0</v>
      </c>
      <c r="D1476" s="9" cm="1">
        <f t="array" ref="D1476">IFERROR(_xlfn.XLOOKUP(B1476,Personal!$A:$A,Personal!$C:$C,""),"")</f>
        <v>0</v>
      </c>
      <c r="E1476" s="9" t="str" cm="1">
        <f t="array" ref="E1476">IFERROR(_xlfn.XLOOKUP(D1476,Locales!$A:$A,Locales!$B:$B,""),"")</f>
        <v/>
      </c>
      <c r="F1476" s="9" cm="1">
        <f t="array" ref="F1476">IFERROR(_xlfn.XLOOKUP(B1476,Personal!$A:$A,Personal!$F:$F,""),"")</f>
        <v>0</v>
      </c>
      <c r="I1476" s="10" cm="1">
        <f t="array" ref="I1476">IFERROR(INDEX(Precios!$D:$F,MATCH(N1476, Precios!$G:$G, 0),CHOOSE(MATCH(H1476, {"SML";"XL";"XXL"}, 0), 1, 2, 3)), 0)</f>
        <v>0</v>
      </c>
      <c r="K1476" s="10">
        <f t="shared" si="54"/>
        <v>0</v>
      </c>
      <c r="N1476" s="9" t="str">
        <f t="shared" si="55"/>
        <v/>
      </c>
      <c r="O1476" s="9" t="str">
        <f>IF(N1476="","",IF(COUNTIF(Precios!$G:$G,N1476)=0,"⚠ No coincide con Precios","OK"))</f>
        <v/>
      </c>
    </row>
    <row r="1477" spans="3:15" x14ac:dyDescent="0.2">
      <c r="C1477" s="9" cm="1">
        <f t="array" ref="C1477">IFERROR(_xlfn.XLOOKUP(B1477,Personal!$A:$A,Personal!$D:$D,""),"")</f>
        <v>0</v>
      </c>
      <c r="D1477" s="9" cm="1">
        <f t="array" ref="D1477">IFERROR(_xlfn.XLOOKUP(B1477,Personal!$A:$A,Personal!$C:$C,""),"")</f>
        <v>0</v>
      </c>
      <c r="E1477" s="9" t="str" cm="1">
        <f t="array" ref="E1477">IFERROR(_xlfn.XLOOKUP(D1477,Locales!$A:$A,Locales!$B:$B,""),"")</f>
        <v/>
      </c>
      <c r="F1477" s="9" cm="1">
        <f t="array" ref="F1477">IFERROR(_xlfn.XLOOKUP(B1477,Personal!$A:$A,Personal!$F:$F,""),"")</f>
        <v>0</v>
      </c>
      <c r="I1477" s="10" cm="1">
        <f t="array" ref="I1477">IFERROR(INDEX(Precios!$D:$F,MATCH(N1477, Precios!$G:$G, 0),CHOOSE(MATCH(H1477, {"SML";"XL";"XXL"}, 0), 1, 2, 3)), 0)</f>
        <v>0</v>
      </c>
      <c r="K1477" s="10">
        <f t="shared" si="54"/>
        <v>0</v>
      </c>
      <c r="N1477" s="9" t="str">
        <f t="shared" si="55"/>
        <v/>
      </c>
      <c r="O1477" s="9" t="str">
        <f>IF(N1477="","",IF(COUNTIF(Precios!$G:$G,N1477)=0,"⚠ No coincide con Precios","OK"))</f>
        <v/>
      </c>
    </row>
    <row r="1478" spans="3:15" x14ac:dyDescent="0.2">
      <c r="C1478" s="9" cm="1">
        <f t="array" ref="C1478">IFERROR(_xlfn.XLOOKUP(B1478,Personal!$A:$A,Personal!$D:$D,""),"")</f>
        <v>0</v>
      </c>
      <c r="D1478" s="9" cm="1">
        <f t="array" ref="D1478">IFERROR(_xlfn.XLOOKUP(B1478,Personal!$A:$A,Personal!$C:$C,""),"")</f>
        <v>0</v>
      </c>
      <c r="E1478" s="9" t="str" cm="1">
        <f t="array" ref="E1478">IFERROR(_xlfn.XLOOKUP(D1478,Locales!$A:$A,Locales!$B:$B,""),"")</f>
        <v/>
      </c>
      <c r="F1478" s="9" cm="1">
        <f t="array" ref="F1478">IFERROR(_xlfn.XLOOKUP(B1478,Personal!$A:$A,Personal!$F:$F,""),"")</f>
        <v>0</v>
      </c>
      <c r="I1478" s="10" cm="1">
        <f t="array" ref="I1478">IFERROR(INDEX(Precios!$D:$F,MATCH(N1478, Precios!$G:$G, 0),CHOOSE(MATCH(H1478, {"SML";"XL";"XXL"}, 0), 1, 2, 3)), 0)</f>
        <v>0</v>
      </c>
      <c r="K1478" s="10">
        <f t="shared" si="54"/>
        <v>0</v>
      </c>
      <c r="N1478" s="9" t="str">
        <f t="shared" si="55"/>
        <v/>
      </c>
      <c r="O1478" s="9" t="str">
        <f>IF(N1478="","",IF(COUNTIF(Precios!$G:$G,N1478)=0,"⚠ No coincide con Precios","OK"))</f>
        <v/>
      </c>
    </row>
    <row r="1479" spans="3:15" x14ac:dyDescent="0.2">
      <c r="C1479" s="9" cm="1">
        <f t="array" ref="C1479">IFERROR(_xlfn.XLOOKUP(B1479,Personal!$A:$A,Personal!$D:$D,""),"")</f>
        <v>0</v>
      </c>
      <c r="D1479" s="9" cm="1">
        <f t="array" ref="D1479">IFERROR(_xlfn.XLOOKUP(B1479,Personal!$A:$A,Personal!$C:$C,""),"")</f>
        <v>0</v>
      </c>
      <c r="E1479" s="9" t="str" cm="1">
        <f t="array" ref="E1479">IFERROR(_xlfn.XLOOKUP(D1479,Locales!$A:$A,Locales!$B:$B,""),"")</f>
        <v/>
      </c>
      <c r="F1479" s="9" cm="1">
        <f t="array" ref="F1479">IFERROR(_xlfn.XLOOKUP(B1479,Personal!$A:$A,Personal!$F:$F,""),"")</f>
        <v>0</v>
      </c>
      <c r="I1479" s="10" cm="1">
        <f t="array" ref="I1479">IFERROR(INDEX(Precios!$D:$F,MATCH(N1479, Precios!$G:$G, 0),CHOOSE(MATCH(H1479, {"SML";"XL";"XXL"}, 0), 1, 2, 3)), 0)</f>
        <v>0</v>
      </c>
      <c r="K1479" s="10">
        <f t="shared" si="54"/>
        <v>0</v>
      </c>
      <c r="N1479" s="9" t="str">
        <f t="shared" si="55"/>
        <v/>
      </c>
      <c r="O1479" s="9" t="str">
        <f>IF(N1479="","",IF(COUNTIF(Precios!$G:$G,N1479)=0,"⚠ No coincide con Precios","OK"))</f>
        <v/>
      </c>
    </row>
    <row r="1480" spans="3:15" x14ac:dyDescent="0.2">
      <c r="C1480" s="9" cm="1">
        <f t="array" ref="C1480">IFERROR(_xlfn.XLOOKUP(B1480,Personal!$A:$A,Personal!$D:$D,""),"")</f>
        <v>0</v>
      </c>
      <c r="D1480" s="9" cm="1">
        <f t="array" ref="D1480">IFERROR(_xlfn.XLOOKUP(B1480,Personal!$A:$A,Personal!$C:$C,""),"")</f>
        <v>0</v>
      </c>
      <c r="E1480" s="9" t="str" cm="1">
        <f t="array" ref="E1480">IFERROR(_xlfn.XLOOKUP(D1480,Locales!$A:$A,Locales!$B:$B,""),"")</f>
        <v/>
      </c>
      <c r="F1480" s="9" cm="1">
        <f t="array" ref="F1480">IFERROR(_xlfn.XLOOKUP(B1480,Personal!$A:$A,Personal!$F:$F,""),"")</f>
        <v>0</v>
      </c>
      <c r="I1480" s="10" cm="1">
        <f t="array" ref="I1480">IFERROR(INDEX(Precios!$D:$F,MATCH(N1480, Precios!$G:$G, 0),CHOOSE(MATCH(H1480, {"SML";"XL";"XXL"}, 0), 1, 2, 3)), 0)</f>
        <v>0</v>
      </c>
      <c r="K1480" s="10">
        <f t="shared" si="54"/>
        <v>0</v>
      </c>
      <c r="N1480" s="9" t="str">
        <f t="shared" si="55"/>
        <v/>
      </c>
      <c r="O1480" s="9" t="str">
        <f>IF(N1480="","",IF(COUNTIF(Precios!$G:$G,N1480)=0,"⚠ No coincide con Precios","OK"))</f>
        <v/>
      </c>
    </row>
    <row r="1481" spans="3:15" x14ac:dyDescent="0.2">
      <c r="C1481" s="9" cm="1">
        <f t="array" ref="C1481">IFERROR(_xlfn.XLOOKUP(B1481,Personal!$A:$A,Personal!$D:$D,""),"")</f>
        <v>0</v>
      </c>
      <c r="D1481" s="9" cm="1">
        <f t="array" ref="D1481">IFERROR(_xlfn.XLOOKUP(B1481,Personal!$A:$A,Personal!$C:$C,""),"")</f>
        <v>0</v>
      </c>
      <c r="E1481" s="9" t="str" cm="1">
        <f t="array" ref="E1481">IFERROR(_xlfn.XLOOKUP(D1481,Locales!$A:$A,Locales!$B:$B,""),"")</f>
        <v/>
      </c>
      <c r="F1481" s="9" cm="1">
        <f t="array" ref="F1481">IFERROR(_xlfn.XLOOKUP(B1481,Personal!$A:$A,Personal!$F:$F,""),"")</f>
        <v>0</v>
      </c>
      <c r="I1481" s="10" cm="1">
        <f t="array" ref="I1481">IFERROR(INDEX(Precios!$D:$F,MATCH(N1481, Precios!$G:$G, 0),CHOOSE(MATCH(H1481, {"SML";"XL";"XXL"}, 0), 1, 2, 3)), 0)</f>
        <v>0</v>
      </c>
      <c r="K1481" s="10">
        <f t="shared" si="54"/>
        <v>0</v>
      </c>
      <c r="N1481" s="9" t="str">
        <f t="shared" si="55"/>
        <v/>
      </c>
      <c r="O1481" s="9" t="str">
        <f>IF(N1481="","",IF(COUNTIF(Precios!$G:$G,N1481)=0,"⚠ No coincide con Precios","OK"))</f>
        <v/>
      </c>
    </row>
    <row r="1482" spans="3:15" x14ac:dyDescent="0.2">
      <c r="C1482" s="9" cm="1">
        <f t="array" ref="C1482">IFERROR(_xlfn.XLOOKUP(B1482,Personal!$A:$A,Personal!$D:$D,""),"")</f>
        <v>0</v>
      </c>
      <c r="D1482" s="9" cm="1">
        <f t="array" ref="D1482">IFERROR(_xlfn.XLOOKUP(B1482,Personal!$A:$A,Personal!$C:$C,""),"")</f>
        <v>0</v>
      </c>
      <c r="E1482" s="9" t="str" cm="1">
        <f t="array" ref="E1482">IFERROR(_xlfn.XLOOKUP(D1482,Locales!$A:$A,Locales!$B:$B,""),"")</f>
        <v/>
      </c>
      <c r="F1482" s="9" cm="1">
        <f t="array" ref="F1482">IFERROR(_xlfn.XLOOKUP(B1482,Personal!$A:$A,Personal!$F:$F,""),"")</f>
        <v>0</v>
      </c>
      <c r="I1482" s="10" cm="1">
        <f t="array" ref="I1482">IFERROR(INDEX(Precios!$D:$F,MATCH(N1482, Precios!$G:$G, 0),CHOOSE(MATCH(H1482, {"SML";"XL";"XXL"}, 0), 1, 2, 3)), 0)</f>
        <v>0</v>
      </c>
      <c r="K1482" s="10">
        <f t="shared" si="54"/>
        <v>0</v>
      </c>
      <c r="N1482" s="9" t="str">
        <f t="shared" si="55"/>
        <v/>
      </c>
      <c r="O1482" s="9" t="str">
        <f>IF(N1482="","",IF(COUNTIF(Precios!$G:$G,N1482)=0,"⚠ No coincide con Precios","OK"))</f>
        <v/>
      </c>
    </row>
    <row r="1483" spans="3:15" x14ac:dyDescent="0.2">
      <c r="C1483" s="9" cm="1">
        <f t="array" ref="C1483">IFERROR(_xlfn.XLOOKUP(B1483,Personal!$A:$A,Personal!$D:$D,""),"")</f>
        <v>0</v>
      </c>
      <c r="D1483" s="9" cm="1">
        <f t="array" ref="D1483">IFERROR(_xlfn.XLOOKUP(B1483,Personal!$A:$A,Personal!$C:$C,""),"")</f>
        <v>0</v>
      </c>
      <c r="E1483" s="9" t="str" cm="1">
        <f t="array" ref="E1483">IFERROR(_xlfn.XLOOKUP(D1483,Locales!$A:$A,Locales!$B:$B,""),"")</f>
        <v/>
      </c>
      <c r="F1483" s="9" cm="1">
        <f t="array" ref="F1483">IFERROR(_xlfn.XLOOKUP(B1483,Personal!$A:$A,Personal!$F:$F,""),"")</f>
        <v>0</v>
      </c>
      <c r="I1483" s="10" cm="1">
        <f t="array" ref="I1483">IFERROR(INDEX(Precios!$D:$F,MATCH(N1483, Precios!$G:$G, 0),CHOOSE(MATCH(H1483, {"SML";"XL";"XXL"}, 0), 1, 2, 3)), 0)</f>
        <v>0</v>
      </c>
      <c r="K1483" s="10">
        <f t="shared" si="54"/>
        <v>0</v>
      </c>
      <c r="N1483" s="9" t="str">
        <f t="shared" si="55"/>
        <v/>
      </c>
      <c r="O1483" s="9" t="str">
        <f>IF(N1483="","",IF(COUNTIF(Precios!$G:$G,N1483)=0,"⚠ No coincide con Precios","OK"))</f>
        <v/>
      </c>
    </row>
    <row r="1484" spans="3:15" x14ac:dyDescent="0.2">
      <c r="C1484" s="9" cm="1">
        <f t="array" ref="C1484">IFERROR(_xlfn.XLOOKUP(B1484,Personal!$A:$A,Personal!$D:$D,""),"")</f>
        <v>0</v>
      </c>
      <c r="D1484" s="9" cm="1">
        <f t="array" ref="D1484">IFERROR(_xlfn.XLOOKUP(B1484,Personal!$A:$A,Personal!$C:$C,""),"")</f>
        <v>0</v>
      </c>
      <c r="E1484" s="9" t="str" cm="1">
        <f t="array" ref="E1484">IFERROR(_xlfn.XLOOKUP(D1484,Locales!$A:$A,Locales!$B:$B,""),"")</f>
        <v/>
      </c>
      <c r="F1484" s="9" cm="1">
        <f t="array" ref="F1484">IFERROR(_xlfn.XLOOKUP(B1484,Personal!$A:$A,Personal!$F:$F,""),"")</f>
        <v>0</v>
      </c>
      <c r="I1484" s="10" cm="1">
        <f t="array" ref="I1484">IFERROR(INDEX(Precios!$D:$F,MATCH(N1484, Precios!$G:$G, 0),CHOOSE(MATCH(H1484, {"SML";"XL";"XXL"}, 0), 1, 2, 3)), 0)</f>
        <v>0</v>
      </c>
      <c r="K1484" s="10">
        <f t="shared" si="54"/>
        <v>0</v>
      </c>
      <c r="N1484" s="9" t="str">
        <f t="shared" si="55"/>
        <v/>
      </c>
      <c r="O1484" s="9" t="str">
        <f>IF(N1484="","",IF(COUNTIF(Precios!$G:$G,N1484)=0,"⚠ No coincide con Precios","OK"))</f>
        <v/>
      </c>
    </row>
    <row r="1485" spans="3:15" x14ac:dyDescent="0.2">
      <c r="C1485" s="9" cm="1">
        <f t="array" ref="C1485">IFERROR(_xlfn.XLOOKUP(B1485,Personal!$A:$A,Personal!$D:$D,""),"")</f>
        <v>0</v>
      </c>
      <c r="D1485" s="9" cm="1">
        <f t="array" ref="D1485">IFERROR(_xlfn.XLOOKUP(B1485,Personal!$A:$A,Personal!$C:$C,""),"")</f>
        <v>0</v>
      </c>
      <c r="E1485" s="9" t="str" cm="1">
        <f t="array" ref="E1485">IFERROR(_xlfn.XLOOKUP(D1485,Locales!$A:$A,Locales!$B:$B,""),"")</f>
        <v/>
      </c>
      <c r="F1485" s="9" cm="1">
        <f t="array" ref="F1485">IFERROR(_xlfn.XLOOKUP(B1485,Personal!$A:$A,Personal!$F:$F,""),"")</f>
        <v>0</v>
      </c>
      <c r="I1485" s="10" cm="1">
        <f t="array" ref="I1485">IFERROR(INDEX(Precios!$D:$F,MATCH(N1485, Precios!$G:$G, 0),CHOOSE(MATCH(H1485, {"SML";"XL";"XXL"}, 0), 1, 2, 3)), 0)</f>
        <v>0</v>
      </c>
      <c r="K1485" s="10">
        <f t="shared" si="54"/>
        <v>0</v>
      </c>
      <c r="N1485" s="9" t="str">
        <f t="shared" si="55"/>
        <v/>
      </c>
      <c r="O1485" s="9" t="str">
        <f>IF(N1485="","",IF(COUNTIF(Precios!$G:$G,N1485)=0,"⚠ No coincide con Precios","OK"))</f>
        <v/>
      </c>
    </row>
    <row r="1486" spans="3:15" x14ac:dyDescent="0.2">
      <c r="C1486" s="9" cm="1">
        <f t="array" ref="C1486">IFERROR(_xlfn.XLOOKUP(B1486,Personal!$A:$A,Personal!$D:$D,""),"")</f>
        <v>0</v>
      </c>
      <c r="D1486" s="9" cm="1">
        <f t="array" ref="D1486">IFERROR(_xlfn.XLOOKUP(B1486,Personal!$A:$A,Personal!$C:$C,""),"")</f>
        <v>0</v>
      </c>
      <c r="E1486" s="9" t="str" cm="1">
        <f t="array" ref="E1486">IFERROR(_xlfn.XLOOKUP(D1486,Locales!$A:$A,Locales!$B:$B,""),"")</f>
        <v/>
      </c>
      <c r="F1486" s="9" cm="1">
        <f t="array" ref="F1486">IFERROR(_xlfn.XLOOKUP(B1486,Personal!$A:$A,Personal!$F:$F,""),"")</f>
        <v>0</v>
      </c>
      <c r="I1486" s="10" cm="1">
        <f t="array" ref="I1486">IFERROR(INDEX(Precios!$D:$F,MATCH(N1486, Precios!$G:$G, 0),CHOOSE(MATCH(H1486, {"SML";"XL";"XXL"}, 0), 1, 2, 3)), 0)</f>
        <v>0</v>
      </c>
      <c r="K1486" s="10">
        <f t="shared" si="54"/>
        <v>0</v>
      </c>
      <c r="N1486" s="9" t="str">
        <f t="shared" si="55"/>
        <v/>
      </c>
      <c r="O1486" s="9" t="str">
        <f>IF(N1486="","",IF(COUNTIF(Precios!$G:$G,N1486)=0,"⚠ No coincide con Precios","OK"))</f>
        <v/>
      </c>
    </row>
    <row r="1487" spans="3:15" x14ac:dyDescent="0.2">
      <c r="C1487" s="9" cm="1">
        <f t="array" ref="C1487">IFERROR(_xlfn.XLOOKUP(B1487,Personal!$A:$A,Personal!$D:$D,""),"")</f>
        <v>0</v>
      </c>
      <c r="D1487" s="9" cm="1">
        <f t="array" ref="D1487">IFERROR(_xlfn.XLOOKUP(B1487,Personal!$A:$A,Personal!$C:$C,""),"")</f>
        <v>0</v>
      </c>
      <c r="E1487" s="9" t="str" cm="1">
        <f t="array" ref="E1487">IFERROR(_xlfn.XLOOKUP(D1487,Locales!$A:$A,Locales!$B:$B,""),"")</f>
        <v/>
      </c>
      <c r="F1487" s="9" cm="1">
        <f t="array" ref="F1487">IFERROR(_xlfn.XLOOKUP(B1487,Personal!$A:$A,Personal!$F:$F,""),"")</f>
        <v>0</v>
      </c>
      <c r="I1487" s="10" cm="1">
        <f t="array" ref="I1487">IFERROR(INDEX(Precios!$D:$F,MATCH(N1487, Precios!$G:$G, 0),CHOOSE(MATCH(H1487, {"SML";"XL";"XXL"}, 0), 1, 2, 3)), 0)</f>
        <v>0</v>
      </c>
      <c r="K1487" s="10">
        <f t="shared" si="54"/>
        <v>0</v>
      </c>
      <c r="N1487" s="9" t="str">
        <f t="shared" si="55"/>
        <v/>
      </c>
      <c r="O1487" s="9" t="str">
        <f>IF(N1487="","",IF(COUNTIF(Precios!$G:$G,N1487)=0,"⚠ No coincide con Precios","OK"))</f>
        <v/>
      </c>
    </row>
    <row r="1488" spans="3:15" x14ac:dyDescent="0.2">
      <c r="C1488" s="9" cm="1">
        <f t="array" ref="C1488">IFERROR(_xlfn.XLOOKUP(B1488,Personal!$A:$A,Personal!$D:$D,""),"")</f>
        <v>0</v>
      </c>
      <c r="D1488" s="9" cm="1">
        <f t="array" ref="D1488">IFERROR(_xlfn.XLOOKUP(B1488,Personal!$A:$A,Personal!$C:$C,""),"")</f>
        <v>0</v>
      </c>
      <c r="E1488" s="9" t="str" cm="1">
        <f t="array" ref="E1488">IFERROR(_xlfn.XLOOKUP(D1488,Locales!$A:$A,Locales!$B:$B,""),"")</f>
        <v/>
      </c>
      <c r="F1488" s="9" cm="1">
        <f t="array" ref="F1488">IFERROR(_xlfn.XLOOKUP(B1488,Personal!$A:$A,Personal!$F:$F,""),"")</f>
        <v>0</v>
      </c>
      <c r="I1488" s="10" cm="1">
        <f t="array" ref="I1488">IFERROR(INDEX(Precios!$D:$F,MATCH(N1488, Precios!$G:$G, 0),CHOOSE(MATCH(H1488, {"SML";"XL";"XXL"}, 0), 1, 2, 3)), 0)</f>
        <v>0</v>
      </c>
      <c r="K1488" s="10">
        <f t="shared" si="54"/>
        <v>0</v>
      </c>
      <c r="N1488" s="9" t="str">
        <f t="shared" si="55"/>
        <v/>
      </c>
      <c r="O1488" s="9" t="str">
        <f>IF(N1488="","",IF(COUNTIF(Precios!$G:$G,N1488)=0,"⚠ No coincide con Precios","OK"))</f>
        <v/>
      </c>
    </row>
    <row r="1489" spans="3:15" x14ac:dyDescent="0.2">
      <c r="C1489" s="9" cm="1">
        <f t="array" ref="C1489">IFERROR(_xlfn.XLOOKUP(B1489,Personal!$A:$A,Personal!$D:$D,""),"")</f>
        <v>0</v>
      </c>
      <c r="D1489" s="9" cm="1">
        <f t="array" ref="D1489">IFERROR(_xlfn.XLOOKUP(B1489,Personal!$A:$A,Personal!$C:$C,""),"")</f>
        <v>0</v>
      </c>
      <c r="E1489" s="9" t="str" cm="1">
        <f t="array" ref="E1489">IFERROR(_xlfn.XLOOKUP(D1489,Locales!$A:$A,Locales!$B:$B,""),"")</f>
        <v/>
      </c>
      <c r="F1489" s="9" cm="1">
        <f t="array" ref="F1489">IFERROR(_xlfn.XLOOKUP(B1489,Personal!$A:$A,Personal!$F:$F,""),"")</f>
        <v>0</v>
      </c>
      <c r="I1489" s="10" cm="1">
        <f t="array" ref="I1489">IFERROR(INDEX(Precios!$D:$F,MATCH(N1489, Precios!$G:$G, 0),CHOOSE(MATCH(H1489, {"SML";"XL";"XXL"}, 0), 1, 2, 3)), 0)</f>
        <v>0</v>
      </c>
      <c r="K1489" s="10">
        <f t="shared" si="54"/>
        <v>0</v>
      </c>
      <c r="N1489" s="9" t="str">
        <f t="shared" si="55"/>
        <v/>
      </c>
      <c r="O1489" s="9" t="str">
        <f>IF(N1489="","",IF(COUNTIF(Precios!$G:$G,N1489)=0,"⚠ No coincide con Precios","OK"))</f>
        <v/>
      </c>
    </row>
    <row r="1490" spans="3:15" x14ac:dyDescent="0.2">
      <c r="C1490" s="9" cm="1">
        <f t="array" ref="C1490">IFERROR(_xlfn.XLOOKUP(B1490,Personal!$A:$A,Personal!$D:$D,""),"")</f>
        <v>0</v>
      </c>
      <c r="D1490" s="9" cm="1">
        <f t="array" ref="D1490">IFERROR(_xlfn.XLOOKUP(B1490,Personal!$A:$A,Personal!$C:$C,""),"")</f>
        <v>0</v>
      </c>
      <c r="E1490" s="9" t="str" cm="1">
        <f t="array" ref="E1490">IFERROR(_xlfn.XLOOKUP(D1490,Locales!$A:$A,Locales!$B:$B,""),"")</f>
        <v/>
      </c>
      <c r="F1490" s="9" cm="1">
        <f t="array" ref="F1490">IFERROR(_xlfn.XLOOKUP(B1490,Personal!$A:$A,Personal!$F:$F,""),"")</f>
        <v>0</v>
      </c>
      <c r="I1490" s="10" cm="1">
        <f t="array" ref="I1490">IFERROR(INDEX(Precios!$D:$F,MATCH(N1490, Precios!$G:$G, 0),CHOOSE(MATCH(H1490, {"SML";"XL";"XXL"}, 0), 1, 2, 3)), 0)</f>
        <v>0</v>
      </c>
      <c r="K1490" s="10">
        <f t="shared" si="54"/>
        <v>0</v>
      </c>
      <c r="N1490" s="9" t="str">
        <f t="shared" si="55"/>
        <v/>
      </c>
      <c r="O1490" s="9" t="str">
        <f>IF(N1490="","",IF(COUNTIF(Precios!$G:$G,N1490)=0,"⚠ No coincide con Precios","OK"))</f>
        <v/>
      </c>
    </row>
    <row r="1491" spans="3:15" x14ac:dyDescent="0.2">
      <c r="C1491" s="9" cm="1">
        <f t="array" ref="C1491">IFERROR(_xlfn.XLOOKUP(B1491,Personal!$A:$A,Personal!$D:$D,""),"")</f>
        <v>0</v>
      </c>
      <c r="D1491" s="9" cm="1">
        <f t="array" ref="D1491">IFERROR(_xlfn.XLOOKUP(B1491,Personal!$A:$A,Personal!$C:$C,""),"")</f>
        <v>0</v>
      </c>
      <c r="E1491" s="9" t="str" cm="1">
        <f t="array" ref="E1491">IFERROR(_xlfn.XLOOKUP(D1491,Locales!$A:$A,Locales!$B:$B,""),"")</f>
        <v/>
      </c>
      <c r="F1491" s="9" cm="1">
        <f t="array" ref="F1491">IFERROR(_xlfn.XLOOKUP(B1491,Personal!$A:$A,Personal!$F:$F,""),"")</f>
        <v>0</v>
      </c>
      <c r="I1491" s="10" cm="1">
        <f t="array" ref="I1491">IFERROR(INDEX(Precios!$D:$F,MATCH(N1491, Precios!$G:$G, 0),CHOOSE(MATCH(H1491, {"SML";"XL";"XXL"}, 0), 1, 2, 3)), 0)</f>
        <v>0</v>
      </c>
      <c r="K1491" s="10">
        <f t="shared" si="54"/>
        <v>0</v>
      </c>
      <c r="N1491" s="9" t="str">
        <f t="shared" si="55"/>
        <v/>
      </c>
      <c r="O1491" s="9" t="str">
        <f>IF(N1491="","",IF(COUNTIF(Precios!$G:$G,N1491)=0,"⚠ No coincide con Precios","OK"))</f>
        <v/>
      </c>
    </row>
    <row r="1492" spans="3:15" x14ac:dyDescent="0.2">
      <c r="C1492" s="9" cm="1">
        <f t="array" ref="C1492">IFERROR(_xlfn.XLOOKUP(B1492,Personal!$A:$A,Personal!$D:$D,""),"")</f>
        <v>0</v>
      </c>
      <c r="D1492" s="9" cm="1">
        <f t="array" ref="D1492">IFERROR(_xlfn.XLOOKUP(B1492,Personal!$A:$A,Personal!$C:$C,""),"")</f>
        <v>0</v>
      </c>
      <c r="E1492" s="9" t="str" cm="1">
        <f t="array" ref="E1492">IFERROR(_xlfn.XLOOKUP(D1492,Locales!$A:$A,Locales!$B:$B,""),"")</f>
        <v/>
      </c>
      <c r="F1492" s="9" cm="1">
        <f t="array" ref="F1492">IFERROR(_xlfn.XLOOKUP(B1492,Personal!$A:$A,Personal!$F:$F,""),"")</f>
        <v>0</v>
      </c>
      <c r="I1492" s="10" cm="1">
        <f t="array" ref="I1492">IFERROR(INDEX(Precios!$D:$F,MATCH(N1492, Precios!$G:$G, 0),CHOOSE(MATCH(H1492, {"SML";"XL";"XXL"}, 0), 1, 2, 3)), 0)</f>
        <v>0</v>
      </c>
      <c r="K1492" s="10">
        <f t="shared" si="54"/>
        <v>0</v>
      </c>
      <c r="N1492" s="9" t="str">
        <f t="shared" si="55"/>
        <v/>
      </c>
      <c r="O1492" s="9" t="str">
        <f>IF(N1492="","",IF(COUNTIF(Precios!$G:$G,N1492)=0,"⚠ No coincide con Precios","OK"))</f>
        <v/>
      </c>
    </row>
    <row r="1493" spans="3:15" x14ac:dyDescent="0.2">
      <c r="C1493" s="9" cm="1">
        <f t="array" ref="C1493">IFERROR(_xlfn.XLOOKUP(B1493,Personal!$A:$A,Personal!$D:$D,""),"")</f>
        <v>0</v>
      </c>
      <c r="D1493" s="9" cm="1">
        <f t="array" ref="D1493">IFERROR(_xlfn.XLOOKUP(B1493,Personal!$A:$A,Personal!$C:$C,""),"")</f>
        <v>0</v>
      </c>
      <c r="E1493" s="9" t="str" cm="1">
        <f t="array" ref="E1493">IFERROR(_xlfn.XLOOKUP(D1493,Locales!$A:$A,Locales!$B:$B,""),"")</f>
        <v/>
      </c>
      <c r="F1493" s="9" cm="1">
        <f t="array" ref="F1493">IFERROR(_xlfn.XLOOKUP(B1493,Personal!$A:$A,Personal!$F:$F,""),"")</f>
        <v>0</v>
      </c>
      <c r="I1493" s="10" cm="1">
        <f t="array" ref="I1493">IFERROR(INDEX(Precios!$D:$F,MATCH(N1493, Precios!$G:$G, 0),CHOOSE(MATCH(H1493, {"SML";"XL";"XXL"}, 0), 1, 2, 3)), 0)</f>
        <v>0</v>
      </c>
      <c r="K1493" s="10">
        <f t="shared" si="54"/>
        <v>0</v>
      </c>
      <c r="N1493" s="9" t="str">
        <f t="shared" si="55"/>
        <v/>
      </c>
      <c r="O1493" s="9" t="str">
        <f>IF(N1493="","",IF(COUNTIF(Precios!$G:$G,N1493)=0,"⚠ No coincide con Precios","OK"))</f>
        <v/>
      </c>
    </row>
    <row r="1494" spans="3:15" x14ac:dyDescent="0.2">
      <c r="C1494" s="9" cm="1">
        <f t="array" ref="C1494">IFERROR(_xlfn.XLOOKUP(B1494,Personal!$A:$A,Personal!$D:$D,""),"")</f>
        <v>0</v>
      </c>
      <c r="D1494" s="9" cm="1">
        <f t="array" ref="D1494">IFERROR(_xlfn.XLOOKUP(B1494,Personal!$A:$A,Personal!$C:$C,""),"")</f>
        <v>0</v>
      </c>
      <c r="E1494" s="9" t="str" cm="1">
        <f t="array" ref="E1494">IFERROR(_xlfn.XLOOKUP(D1494,Locales!$A:$A,Locales!$B:$B,""),"")</f>
        <v/>
      </c>
      <c r="F1494" s="9" cm="1">
        <f t="array" ref="F1494">IFERROR(_xlfn.XLOOKUP(B1494,Personal!$A:$A,Personal!$F:$F,""),"")</f>
        <v>0</v>
      </c>
      <c r="I1494" s="10" cm="1">
        <f t="array" ref="I1494">IFERROR(INDEX(Precios!$D:$F,MATCH(N1494, Precios!$G:$G, 0),CHOOSE(MATCH(H1494, {"SML";"XL";"XXL"}, 0), 1, 2, 3)), 0)</f>
        <v>0</v>
      </c>
      <c r="K1494" s="10">
        <f t="shared" si="54"/>
        <v>0</v>
      </c>
      <c r="N1494" s="9" t="str">
        <f t="shared" si="55"/>
        <v/>
      </c>
      <c r="O1494" s="9" t="str">
        <f>IF(N1494="","",IF(COUNTIF(Precios!$G:$G,N1494)=0,"⚠ No coincide con Precios","OK"))</f>
        <v/>
      </c>
    </row>
    <row r="1495" spans="3:15" x14ac:dyDescent="0.2">
      <c r="C1495" s="9" cm="1">
        <f t="array" ref="C1495">IFERROR(_xlfn.XLOOKUP(B1495,Personal!$A:$A,Personal!$D:$D,""),"")</f>
        <v>0</v>
      </c>
      <c r="D1495" s="9" cm="1">
        <f t="array" ref="D1495">IFERROR(_xlfn.XLOOKUP(B1495,Personal!$A:$A,Personal!$C:$C,""),"")</f>
        <v>0</v>
      </c>
      <c r="E1495" s="9" t="str" cm="1">
        <f t="array" ref="E1495">IFERROR(_xlfn.XLOOKUP(D1495,Locales!$A:$A,Locales!$B:$B,""),"")</f>
        <v/>
      </c>
      <c r="F1495" s="9" cm="1">
        <f t="array" ref="F1495">IFERROR(_xlfn.XLOOKUP(B1495,Personal!$A:$A,Personal!$F:$F,""),"")</f>
        <v>0</v>
      </c>
      <c r="I1495" s="10" cm="1">
        <f t="array" ref="I1495">IFERROR(INDEX(Precios!$D:$F,MATCH(N1495, Precios!$G:$G, 0),CHOOSE(MATCH(H1495, {"SML";"XL";"XXL"}, 0), 1, 2, 3)), 0)</f>
        <v>0</v>
      </c>
      <c r="K1495" s="10">
        <f t="shared" si="54"/>
        <v>0</v>
      </c>
      <c r="N1495" s="9" t="str">
        <f t="shared" si="55"/>
        <v/>
      </c>
      <c r="O1495" s="9" t="str">
        <f>IF(N1495="","",IF(COUNTIF(Precios!$G:$G,N1495)=0,"⚠ No coincide con Precios","OK"))</f>
        <v/>
      </c>
    </row>
    <row r="1496" spans="3:15" x14ac:dyDescent="0.2">
      <c r="C1496" s="9" cm="1">
        <f t="array" ref="C1496">IFERROR(_xlfn.XLOOKUP(B1496,Personal!$A:$A,Personal!$D:$D,""),"")</f>
        <v>0</v>
      </c>
      <c r="D1496" s="9" cm="1">
        <f t="array" ref="D1496">IFERROR(_xlfn.XLOOKUP(B1496,Personal!$A:$A,Personal!$C:$C,""),"")</f>
        <v>0</v>
      </c>
      <c r="E1496" s="9" t="str" cm="1">
        <f t="array" ref="E1496">IFERROR(_xlfn.XLOOKUP(D1496,Locales!$A:$A,Locales!$B:$B,""),"")</f>
        <v/>
      </c>
      <c r="F1496" s="9" cm="1">
        <f t="array" ref="F1496">IFERROR(_xlfn.XLOOKUP(B1496,Personal!$A:$A,Personal!$F:$F,""),"")</f>
        <v>0</v>
      </c>
      <c r="I1496" s="10" cm="1">
        <f t="array" ref="I1496">IFERROR(INDEX(Precios!$D:$F,MATCH(N1496, Precios!$G:$G, 0),CHOOSE(MATCH(H1496, {"SML";"XL";"XXL"}, 0), 1, 2, 3)), 0)</f>
        <v>0</v>
      </c>
      <c r="K1496" s="10">
        <f t="shared" si="54"/>
        <v>0</v>
      </c>
      <c r="N1496" s="9" t="str">
        <f t="shared" si="55"/>
        <v/>
      </c>
      <c r="O1496" s="9" t="str">
        <f>IF(N1496="","",IF(COUNTIF(Precios!$G:$G,N1496)=0,"⚠ No coincide con Precios","OK"))</f>
        <v/>
      </c>
    </row>
    <row r="1497" spans="3:15" x14ac:dyDescent="0.2">
      <c r="C1497" s="9" cm="1">
        <f t="array" ref="C1497">IFERROR(_xlfn.XLOOKUP(B1497,Personal!$A:$A,Personal!$D:$D,""),"")</f>
        <v>0</v>
      </c>
      <c r="D1497" s="9" cm="1">
        <f t="array" ref="D1497">IFERROR(_xlfn.XLOOKUP(B1497,Personal!$A:$A,Personal!$C:$C,""),"")</f>
        <v>0</v>
      </c>
      <c r="E1497" s="9" t="str" cm="1">
        <f t="array" ref="E1497">IFERROR(_xlfn.XLOOKUP(D1497,Locales!$A:$A,Locales!$B:$B,""),"")</f>
        <v/>
      </c>
      <c r="F1497" s="9" cm="1">
        <f t="array" ref="F1497">IFERROR(_xlfn.XLOOKUP(B1497,Personal!$A:$A,Personal!$F:$F,""),"")</f>
        <v>0</v>
      </c>
      <c r="I1497" s="10" cm="1">
        <f t="array" ref="I1497">IFERROR(INDEX(Precios!$D:$F,MATCH(N1497, Precios!$G:$G, 0),CHOOSE(MATCH(H1497, {"SML";"XL";"XXL"}, 0), 1, 2, 3)), 0)</f>
        <v>0</v>
      </c>
      <c r="K1497" s="10">
        <f t="shared" si="54"/>
        <v>0</v>
      </c>
      <c r="N1497" s="9" t="str">
        <f t="shared" si="55"/>
        <v/>
      </c>
      <c r="O1497" s="9" t="str">
        <f>IF(N1497="","",IF(COUNTIF(Precios!$G:$G,N1497)=0,"⚠ No coincide con Precios","OK"))</f>
        <v/>
      </c>
    </row>
    <row r="1498" spans="3:15" x14ac:dyDescent="0.2">
      <c r="C1498" s="9" cm="1">
        <f t="array" ref="C1498">IFERROR(_xlfn.XLOOKUP(B1498,Personal!$A:$A,Personal!$D:$D,""),"")</f>
        <v>0</v>
      </c>
      <c r="D1498" s="9" cm="1">
        <f t="array" ref="D1498">IFERROR(_xlfn.XLOOKUP(B1498,Personal!$A:$A,Personal!$C:$C,""),"")</f>
        <v>0</v>
      </c>
      <c r="E1498" s="9" t="str" cm="1">
        <f t="array" ref="E1498">IFERROR(_xlfn.XLOOKUP(D1498,Locales!$A:$A,Locales!$B:$B,""),"")</f>
        <v/>
      </c>
      <c r="F1498" s="9" cm="1">
        <f t="array" ref="F1498">IFERROR(_xlfn.XLOOKUP(B1498,Personal!$A:$A,Personal!$F:$F,""),"")</f>
        <v>0</v>
      </c>
      <c r="I1498" s="10" cm="1">
        <f t="array" ref="I1498">IFERROR(INDEX(Precios!$D:$F,MATCH(N1498, Precios!$G:$G, 0),CHOOSE(MATCH(H1498, {"SML";"XL";"XXL"}, 0), 1, 2, 3)), 0)</f>
        <v>0</v>
      </c>
      <c r="K1498" s="10">
        <f t="shared" si="54"/>
        <v>0</v>
      </c>
      <c r="N1498" s="9" t="str">
        <f t="shared" si="55"/>
        <v/>
      </c>
      <c r="O1498" s="9" t="str">
        <f>IF(N1498="","",IF(COUNTIF(Precios!$G:$G,N1498)=0,"⚠ No coincide con Precios","OK"))</f>
        <v/>
      </c>
    </row>
    <row r="1499" spans="3:15" x14ac:dyDescent="0.2">
      <c r="C1499" s="9" cm="1">
        <f t="array" ref="C1499">IFERROR(_xlfn.XLOOKUP(B1499,Personal!$A:$A,Personal!$D:$D,""),"")</f>
        <v>0</v>
      </c>
      <c r="D1499" s="9" cm="1">
        <f t="array" ref="D1499">IFERROR(_xlfn.XLOOKUP(B1499,Personal!$A:$A,Personal!$C:$C,""),"")</f>
        <v>0</v>
      </c>
      <c r="E1499" s="9" t="str" cm="1">
        <f t="array" ref="E1499">IFERROR(_xlfn.XLOOKUP(D1499,Locales!$A:$A,Locales!$B:$B,""),"")</f>
        <v/>
      </c>
      <c r="F1499" s="9" cm="1">
        <f t="array" ref="F1499">IFERROR(_xlfn.XLOOKUP(B1499,Personal!$A:$A,Personal!$F:$F,""),"")</f>
        <v>0</v>
      </c>
      <c r="I1499" s="10" cm="1">
        <f t="array" ref="I1499">IFERROR(INDEX(Precios!$D:$F,MATCH(N1499, Precios!$G:$G, 0),CHOOSE(MATCH(H1499, {"SML";"XL";"XXL"}, 0), 1, 2, 3)), 0)</f>
        <v>0</v>
      </c>
      <c r="K1499" s="10">
        <f t="shared" si="54"/>
        <v>0</v>
      </c>
      <c r="N1499" s="9" t="str">
        <f t="shared" si="55"/>
        <v/>
      </c>
      <c r="O1499" s="9" t="str">
        <f>IF(N1499="","",IF(COUNTIF(Precios!$G:$G,N1499)=0,"⚠ No coincide con Precios","OK"))</f>
        <v/>
      </c>
    </row>
    <row r="1500" spans="3:15" x14ac:dyDescent="0.2">
      <c r="C1500" s="9" cm="1">
        <f t="array" ref="C1500">IFERROR(_xlfn.XLOOKUP(B1500,Personal!$A:$A,Personal!$D:$D,""),"")</f>
        <v>0</v>
      </c>
      <c r="D1500" s="9" cm="1">
        <f t="array" ref="D1500">IFERROR(_xlfn.XLOOKUP(B1500,Personal!$A:$A,Personal!$C:$C,""),"")</f>
        <v>0</v>
      </c>
      <c r="E1500" s="9" t="str" cm="1">
        <f t="array" ref="E1500">IFERROR(_xlfn.XLOOKUP(D1500,Locales!$A:$A,Locales!$B:$B,""),"")</f>
        <v/>
      </c>
      <c r="F1500" s="9" cm="1">
        <f t="array" ref="F1500">IFERROR(_xlfn.XLOOKUP(B1500,Personal!$A:$A,Personal!$F:$F,""),"")</f>
        <v>0</v>
      </c>
      <c r="I1500" s="10" cm="1">
        <f t="array" ref="I1500">IFERROR(INDEX(Precios!$D:$F,MATCH(N1500, Precios!$G:$G, 0),CHOOSE(MATCH(H1500, {"SML";"XL";"XXL"}, 0), 1, 2, 3)), 0)</f>
        <v>0</v>
      </c>
      <c r="K1500" s="10">
        <f t="shared" si="54"/>
        <v>0</v>
      </c>
      <c r="N1500" s="9" t="str">
        <f t="shared" si="55"/>
        <v/>
      </c>
      <c r="O1500" s="9" t="str">
        <f>IF(N1500="","",IF(COUNTIF(Precios!$G:$G,N1500)=0,"⚠ No coincide con Precios","OK"))</f>
        <v/>
      </c>
    </row>
    <row r="1501" spans="3:15" x14ac:dyDescent="0.2">
      <c r="C1501" s="9" cm="1">
        <f t="array" ref="C1501">IFERROR(_xlfn.XLOOKUP(B1501,Personal!$A:$A,Personal!$D:$D,""),"")</f>
        <v>0</v>
      </c>
      <c r="D1501" s="9" cm="1">
        <f t="array" ref="D1501">IFERROR(_xlfn.XLOOKUP(B1501,Personal!$A:$A,Personal!$C:$C,""),"")</f>
        <v>0</v>
      </c>
      <c r="E1501" s="9" t="str" cm="1">
        <f t="array" ref="E1501">IFERROR(_xlfn.XLOOKUP(D1501,Locales!$A:$A,Locales!$B:$B,""),"")</f>
        <v/>
      </c>
      <c r="F1501" s="9" cm="1">
        <f t="array" ref="F1501">IFERROR(_xlfn.XLOOKUP(B1501,Personal!$A:$A,Personal!$F:$F,""),"")</f>
        <v>0</v>
      </c>
      <c r="I1501" s="10" cm="1">
        <f t="array" ref="I1501">IFERROR(INDEX(Precios!$D:$F,MATCH(N1501, Precios!$G:$G, 0),CHOOSE(MATCH(H1501, {"SML";"XL";"XXL"}, 0), 1, 2, 3)), 0)</f>
        <v>0</v>
      </c>
      <c r="K1501" s="10">
        <f t="shared" si="54"/>
        <v>0</v>
      </c>
      <c r="N1501" s="9" t="str">
        <f t="shared" si="55"/>
        <v/>
      </c>
      <c r="O1501" s="9" t="str">
        <f>IF(N1501="","",IF(COUNTIF(Precios!$G:$G,N1501)=0,"⚠ No coincide con Precios","OK"))</f>
        <v/>
      </c>
    </row>
    <row r="1502" spans="3:15" x14ac:dyDescent="0.2">
      <c r="C1502" s="9" cm="1">
        <f t="array" ref="C1502">IFERROR(_xlfn.XLOOKUP(B1502,Personal!$A:$A,Personal!$D:$D,""),"")</f>
        <v>0</v>
      </c>
      <c r="D1502" s="9" cm="1">
        <f t="array" ref="D1502">IFERROR(_xlfn.XLOOKUP(B1502,Personal!$A:$A,Personal!$C:$C,""),"")</f>
        <v>0</v>
      </c>
      <c r="E1502" s="9" t="str" cm="1">
        <f t="array" ref="E1502">IFERROR(_xlfn.XLOOKUP(D1502,Locales!$A:$A,Locales!$B:$B,""),"")</f>
        <v/>
      </c>
      <c r="F1502" s="9" cm="1">
        <f t="array" ref="F1502">IFERROR(_xlfn.XLOOKUP(B1502,Personal!$A:$A,Personal!$F:$F,""),"")</f>
        <v>0</v>
      </c>
      <c r="I1502" s="10" cm="1">
        <f t="array" ref="I1502">IFERROR(INDEX(Precios!$D:$F,MATCH(N1502, Precios!$G:$G, 0),CHOOSE(MATCH(H1502, {"SML";"XL";"XXL"}, 0), 1, 2, 3)), 0)</f>
        <v>0</v>
      </c>
      <c r="K1502" s="10">
        <f t="shared" si="54"/>
        <v>0</v>
      </c>
      <c r="N1502" s="9" t="str">
        <f t="shared" si="55"/>
        <v/>
      </c>
      <c r="O1502" s="9" t="str">
        <f>IF(N1502="","",IF(COUNTIF(Precios!$G:$G,N1502)=0,"⚠ No coincide con Precios","OK"))</f>
        <v/>
      </c>
    </row>
    <row r="1503" spans="3:15" x14ac:dyDescent="0.2">
      <c r="C1503" s="9" cm="1">
        <f t="array" ref="C1503">IFERROR(_xlfn.XLOOKUP(B1503,Personal!$A:$A,Personal!$D:$D,""),"")</f>
        <v>0</v>
      </c>
      <c r="D1503" s="9" cm="1">
        <f t="array" ref="D1503">IFERROR(_xlfn.XLOOKUP(B1503,Personal!$A:$A,Personal!$C:$C,""),"")</f>
        <v>0</v>
      </c>
      <c r="E1503" s="9" t="str" cm="1">
        <f t="array" ref="E1503">IFERROR(_xlfn.XLOOKUP(D1503,Locales!$A:$A,Locales!$B:$B,""),"")</f>
        <v/>
      </c>
      <c r="F1503" s="9" cm="1">
        <f t="array" ref="F1503">IFERROR(_xlfn.XLOOKUP(B1503,Personal!$A:$A,Personal!$F:$F,""),"")</f>
        <v>0</v>
      </c>
      <c r="I1503" s="10" cm="1">
        <f t="array" ref="I1503">IFERROR(INDEX(Precios!$D:$F,MATCH(N1503, Precios!$G:$G, 0),CHOOSE(MATCH(H1503, {"SML";"XL";"XXL"}, 0), 1, 2, 3)), 0)</f>
        <v>0</v>
      </c>
      <c r="K1503" s="10">
        <f t="shared" si="54"/>
        <v>0</v>
      </c>
      <c r="N1503" s="9" t="str">
        <f t="shared" si="55"/>
        <v/>
      </c>
      <c r="O1503" s="9" t="str">
        <f>IF(N1503="","",IF(COUNTIF(Precios!$G:$G,N1503)=0,"⚠ No coincide con Precios","OK"))</f>
        <v/>
      </c>
    </row>
    <row r="1504" spans="3:15" x14ac:dyDescent="0.2">
      <c r="C1504" s="9" cm="1">
        <f t="array" ref="C1504">IFERROR(_xlfn.XLOOKUP(B1504,Personal!$A:$A,Personal!$D:$D,""),"")</f>
        <v>0</v>
      </c>
      <c r="D1504" s="9" cm="1">
        <f t="array" ref="D1504">IFERROR(_xlfn.XLOOKUP(B1504,Personal!$A:$A,Personal!$C:$C,""),"")</f>
        <v>0</v>
      </c>
      <c r="E1504" s="9" t="str" cm="1">
        <f t="array" ref="E1504">IFERROR(_xlfn.XLOOKUP(D1504,Locales!$A:$A,Locales!$B:$B,""),"")</f>
        <v/>
      </c>
      <c r="F1504" s="9" cm="1">
        <f t="array" ref="F1504">IFERROR(_xlfn.XLOOKUP(B1504,Personal!$A:$A,Personal!$F:$F,""),"")</f>
        <v>0</v>
      </c>
      <c r="I1504" s="10" cm="1">
        <f t="array" ref="I1504">IFERROR(INDEX(Precios!$D:$F,MATCH(N1504, Precios!$G:$G, 0),CHOOSE(MATCH(H1504, {"SML";"XL";"XXL"}, 0), 1, 2, 3)), 0)</f>
        <v>0</v>
      </c>
      <c r="K1504" s="10">
        <f t="shared" si="54"/>
        <v>0</v>
      </c>
      <c r="N1504" s="9" t="str">
        <f t="shared" si="55"/>
        <v/>
      </c>
      <c r="O1504" s="9" t="str">
        <f>IF(N1504="","",IF(COUNTIF(Precios!$G:$G,N1504)=0,"⚠ No coincide con Precios","OK"))</f>
        <v/>
      </c>
    </row>
    <row r="1505" spans="3:15" x14ac:dyDescent="0.2">
      <c r="C1505" s="9" cm="1">
        <f t="array" ref="C1505">IFERROR(_xlfn.XLOOKUP(B1505,Personal!$A:$A,Personal!$D:$D,""),"")</f>
        <v>0</v>
      </c>
      <c r="D1505" s="9" cm="1">
        <f t="array" ref="D1505">IFERROR(_xlfn.XLOOKUP(B1505,Personal!$A:$A,Personal!$C:$C,""),"")</f>
        <v>0</v>
      </c>
      <c r="E1505" s="9" t="str" cm="1">
        <f t="array" ref="E1505">IFERROR(_xlfn.XLOOKUP(D1505,Locales!$A:$A,Locales!$B:$B,""),"")</f>
        <v/>
      </c>
      <c r="F1505" s="9" cm="1">
        <f t="array" ref="F1505">IFERROR(_xlfn.XLOOKUP(B1505,Personal!$A:$A,Personal!$F:$F,""),"")</f>
        <v>0</v>
      </c>
      <c r="I1505" s="10" cm="1">
        <f t="array" ref="I1505">IFERROR(INDEX(Precios!$D:$F,MATCH(N1505, Precios!$G:$G, 0),CHOOSE(MATCH(H1505, {"SML";"XL";"XXL"}, 0), 1, 2, 3)), 0)</f>
        <v>0</v>
      </c>
      <c r="K1505" s="10">
        <f t="shared" si="54"/>
        <v>0</v>
      </c>
      <c r="N1505" s="9" t="str">
        <f t="shared" si="55"/>
        <v/>
      </c>
      <c r="O1505" s="9" t="str">
        <f>IF(N1505="","",IF(COUNTIF(Precios!$G:$G,N1505)=0,"⚠ No coincide con Precios","OK"))</f>
        <v/>
      </c>
    </row>
    <row r="1506" spans="3:15" x14ac:dyDescent="0.2">
      <c r="C1506" s="9" cm="1">
        <f t="array" ref="C1506">IFERROR(_xlfn.XLOOKUP(B1506,Personal!$A:$A,Personal!$D:$D,""),"")</f>
        <v>0</v>
      </c>
      <c r="D1506" s="9" cm="1">
        <f t="array" ref="D1506">IFERROR(_xlfn.XLOOKUP(B1506,Personal!$A:$A,Personal!$C:$C,""),"")</f>
        <v>0</v>
      </c>
      <c r="E1506" s="9" t="str" cm="1">
        <f t="array" ref="E1506">IFERROR(_xlfn.XLOOKUP(D1506,Locales!$A:$A,Locales!$B:$B,""),"")</f>
        <v/>
      </c>
      <c r="F1506" s="9" cm="1">
        <f t="array" ref="F1506">IFERROR(_xlfn.XLOOKUP(B1506,Personal!$A:$A,Personal!$F:$F,""),"")</f>
        <v>0</v>
      </c>
      <c r="I1506" s="10" cm="1">
        <f t="array" ref="I1506">IFERROR(INDEX(Precios!$D:$F,MATCH(N1506, Precios!$G:$G, 0),CHOOSE(MATCH(H1506, {"SML";"XL";"XXL"}, 0), 1, 2, 3)), 0)</f>
        <v>0</v>
      </c>
      <c r="K1506" s="10">
        <f t="shared" si="54"/>
        <v>0</v>
      </c>
      <c r="N1506" s="9" t="str">
        <f t="shared" si="55"/>
        <v/>
      </c>
      <c r="O1506" s="9" t="str">
        <f>IF(N1506="","",IF(COUNTIF(Precios!$G:$G,N1506)=0,"⚠ No coincide con Precios","OK"))</f>
        <v/>
      </c>
    </row>
    <row r="1507" spans="3:15" x14ac:dyDescent="0.2">
      <c r="C1507" s="9" cm="1">
        <f t="array" ref="C1507">IFERROR(_xlfn.XLOOKUP(B1507,Personal!$A:$A,Personal!$D:$D,""),"")</f>
        <v>0</v>
      </c>
      <c r="D1507" s="9" cm="1">
        <f t="array" ref="D1507">IFERROR(_xlfn.XLOOKUP(B1507,Personal!$A:$A,Personal!$C:$C,""),"")</f>
        <v>0</v>
      </c>
      <c r="E1507" s="9" t="str" cm="1">
        <f t="array" ref="E1507">IFERROR(_xlfn.XLOOKUP(D1507,Locales!$A:$A,Locales!$B:$B,""),"")</f>
        <v/>
      </c>
      <c r="F1507" s="9" cm="1">
        <f t="array" ref="F1507">IFERROR(_xlfn.XLOOKUP(B1507,Personal!$A:$A,Personal!$F:$F,""),"")</f>
        <v>0</v>
      </c>
      <c r="I1507" s="10" cm="1">
        <f t="array" ref="I1507">IFERROR(INDEX(Precios!$D:$F,MATCH(N1507, Precios!$G:$G, 0),CHOOSE(MATCH(H1507, {"SML";"XL";"XXL"}, 0), 1, 2, 3)), 0)</f>
        <v>0</v>
      </c>
      <c r="K1507" s="10">
        <f t="shared" si="54"/>
        <v>0</v>
      </c>
      <c r="N1507" s="9" t="str">
        <f t="shared" si="55"/>
        <v/>
      </c>
      <c r="O1507" s="9" t="str">
        <f>IF(N1507="","",IF(COUNTIF(Precios!$G:$G,N1507)=0,"⚠ No coincide con Precios","OK"))</f>
        <v/>
      </c>
    </row>
    <row r="1508" spans="3:15" x14ac:dyDescent="0.2">
      <c r="C1508" s="9" cm="1">
        <f t="array" ref="C1508">IFERROR(_xlfn.XLOOKUP(B1508,Personal!$A:$A,Personal!$D:$D,""),"")</f>
        <v>0</v>
      </c>
      <c r="D1508" s="9" cm="1">
        <f t="array" ref="D1508">IFERROR(_xlfn.XLOOKUP(B1508,Personal!$A:$A,Personal!$C:$C,""),"")</f>
        <v>0</v>
      </c>
      <c r="E1508" s="9" t="str" cm="1">
        <f t="array" ref="E1508">IFERROR(_xlfn.XLOOKUP(D1508,Locales!$A:$A,Locales!$B:$B,""),"")</f>
        <v/>
      </c>
      <c r="F1508" s="9" cm="1">
        <f t="array" ref="F1508">IFERROR(_xlfn.XLOOKUP(B1508,Personal!$A:$A,Personal!$F:$F,""),"")</f>
        <v>0</v>
      </c>
      <c r="I1508" s="10" cm="1">
        <f t="array" ref="I1508">IFERROR(INDEX(Precios!$D:$F,MATCH(N1508, Precios!$G:$G, 0),CHOOSE(MATCH(H1508, {"SML";"XL";"XXL"}, 0), 1, 2, 3)), 0)</f>
        <v>0</v>
      </c>
      <c r="K1508" s="10">
        <f t="shared" si="54"/>
        <v>0</v>
      </c>
      <c r="N1508" s="9" t="str">
        <f t="shared" si="55"/>
        <v/>
      </c>
      <c r="O1508" s="9" t="str">
        <f>IF(N1508="","",IF(COUNTIF(Precios!$G:$G,N1508)=0,"⚠ No coincide con Precios","OK"))</f>
        <v/>
      </c>
    </row>
    <row r="1509" spans="3:15" x14ac:dyDescent="0.2">
      <c r="C1509" s="9" cm="1">
        <f t="array" ref="C1509">IFERROR(_xlfn.XLOOKUP(B1509,Personal!$A:$A,Personal!$D:$D,""),"")</f>
        <v>0</v>
      </c>
      <c r="D1509" s="9" cm="1">
        <f t="array" ref="D1509">IFERROR(_xlfn.XLOOKUP(B1509,Personal!$A:$A,Personal!$C:$C,""),"")</f>
        <v>0</v>
      </c>
      <c r="E1509" s="9" t="str" cm="1">
        <f t="array" ref="E1509">IFERROR(_xlfn.XLOOKUP(D1509,Locales!$A:$A,Locales!$B:$B,""),"")</f>
        <v/>
      </c>
      <c r="F1509" s="9" cm="1">
        <f t="array" ref="F1509">IFERROR(_xlfn.XLOOKUP(B1509,Personal!$A:$A,Personal!$F:$F,""),"")</f>
        <v>0</v>
      </c>
      <c r="I1509" s="10" cm="1">
        <f t="array" ref="I1509">IFERROR(INDEX(Precios!$D:$F,MATCH(N1509, Precios!$G:$G, 0),CHOOSE(MATCH(H1509, {"SML";"XL";"XXL"}, 0), 1, 2, 3)), 0)</f>
        <v>0</v>
      </c>
      <c r="K1509" s="10">
        <f t="shared" si="54"/>
        <v>0</v>
      </c>
      <c r="N1509" s="9" t="str">
        <f t="shared" si="55"/>
        <v/>
      </c>
      <c r="O1509" s="9" t="str">
        <f>IF(N1509="","",IF(COUNTIF(Precios!$G:$G,N1509)=0,"⚠ No coincide con Precios","OK"))</f>
        <v/>
      </c>
    </row>
    <row r="1510" spans="3:15" x14ac:dyDescent="0.2">
      <c r="C1510" s="9" cm="1">
        <f t="array" ref="C1510">IFERROR(_xlfn.XLOOKUP(B1510,Personal!$A:$A,Personal!$D:$D,""),"")</f>
        <v>0</v>
      </c>
      <c r="D1510" s="9" cm="1">
        <f t="array" ref="D1510">IFERROR(_xlfn.XLOOKUP(B1510,Personal!$A:$A,Personal!$C:$C,""),"")</f>
        <v>0</v>
      </c>
      <c r="E1510" s="9" t="str" cm="1">
        <f t="array" ref="E1510">IFERROR(_xlfn.XLOOKUP(D1510,Locales!$A:$A,Locales!$B:$B,""),"")</f>
        <v/>
      </c>
      <c r="F1510" s="9" cm="1">
        <f t="array" ref="F1510">IFERROR(_xlfn.XLOOKUP(B1510,Personal!$A:$A,Personal!$F:$F,""),"")</f>
        <v>0</v>
      </c>
      <c r="I1510" s="10" cm="1">
        <f t="array" ref="I1510">IFERROR(INDEX(Precios!$D:$F,MATCH(N1510, Precios!$G:$G, 0),CHOOSE(MATCH(H1510, {"SML";"XL";"XXL"}, 0), 1, 2, 3)), 0)</f>
        <v>0</v>
      </c>
      <c r="K1510" s="10">
        <f t="shared" si="54"/>
        <v>0</v>
      </c>
      <c r="N1510" s="9" t="str">
        <f t="shared" si="55"/>
        <v/>
      </c>
      <c r="O1510" s="9" t="str">
        <f>IF(N1510="","",IF(COUNTIF(Precios!$G:$G,N1510)=0,"⚠ No coincide con Precios","OK"))</f>
        <v/>
      </c>
    </row>
    <row r="1511" spans="3:15" x14ac:dyDescent="0.2">
      <c r="C1511" s="9" cm="1">
        <f t="array" ref="C1511">IFERROR(_xlfn.XLOOKUP(B1511,Personal!$A:$A,Personal!$D:$D,""),"")</f>
        <v>0</v>
      </c>
      <c r="D1511" s="9" cm="1">
        <f t="array" ref="D1511">IFERROR(_xlfn.XLOOKUP(B1511,Personal!$A:$A,Personal!$C:$C,""),"")</f>
        <v>0</v>
      </c>
      <c r="E1511" s="9" t="str" cm="1">
        <f t="array" ref="E1511">IFERROR(_xlfn.XLOOKUP(D1511,Locales!$A:$A,Locales!$B:$B,""),"")</f>
        <v/>
      </c>
      <c r="F1511" s="9" cm="1">
        <f t="array" ref="F1511">IFERROR(_xlfn.XLOOKUP(B1511,Personal!$A:$A,Personal!$F:$F,""),"")</f>
        <v>0</v>
      </c>
      <c r="I1511" s="10" cm="1">
        <f t="array" ref="I1511">IFERROR(INDEX(Precios!$D:$F,MATCH(N1511, Precios!$G:$G, 0),CHOOSE(MATCH(H1511, {"SML";"XL";"XXL"}, 0), 1, 2, 3)), 0)</f>
        <v>0</v>
      </c>
      <c r="K1511" s="10">
        <f t="shared" si="54"/>
        <v>0</v>
      </c>
      <c r="N1511" s="9" t="str">
        <f t="shared" si="55"/>
        <v/>
      </c>
      <c r="O1511" s="9" t="str">
        <f>IF(N1511="","",IF(COUNTIF(Precios!$G:$G,N1511)=0,"⚠ No coincide con Precios","OK"))</f>
        <v/>
      </c>
    </row>
    <row r="1512" spans="3:15" x14ac:dyDescent="0.2">
      <c r="C1512" s="9" cm="1">
        <f t="array" ref="C1512">IFERROR(_xlfn.XLOOKUP(B1512,Personal!$A:$A,Personal!$D:$D,""),"")</f>
        <v>0</v>
      </c>
      <c r="D1512" s="9" cm="1">
        <f t="array" ref="D1512">IFERROR(_xlfn.XLOOKUP(B1512,Personal!$A:$A,Personal!$C:$C,""),"")</f>
        <v>0</v>
      </c>
      <c r="E1512" s="9" t="str" cm="1">
        <f t="array" ref="E1512">IFERROR(_xlfn.XLOOKUP(D1512,Locales!$A:$A,Locales!$B:$B,""),"")</f>
        <v/>
      </c>
      <c r="F1512" s="9" cm="1">
        <f t="array" ref="F1512">IFERROR(_xlfn.XLOOKUP(B1512,Personal!$A:$A,Personal!$F:$F,""),"")</f>
        <v>0</v>
      </c>
      <c r="I1512" s="10" cm="1">
        <f t="array" ref="I1512">IFERROR(INDEX(Precios!$D:$F,MATCH(N1512, Precios!$G:$G, 0),CHOOSE(MATCH(H1512, {"SML";"XL";"XXL"}, 0), 1, 2, 3)), 0)</f>
        <v>0</v>
      </c>
      <c r="K1512" s="10">
        <f t="shared" si="54"/>
        <v>0</v>
      </c>
      <c r="N1512" s="9" t="str">
        <f t="shared" si="55"/>
        <v/>
      </c>
      <c r="O1512" s="9" t="str">
        <f>IF(N1512="","",IF(COUNTIF(Precios!$G:$G,N1512)=0,"⚠ No coincide con Precios","OK"))</f>
        <v/>
      </c>
    </row>
    <row r="1513" spans="3:15" x14ac:dyDescent="0.2">
      <c r="C1513" s="9" cm="1">
        <f t="array" ref="C1513">IFERROR(_xlfn.XLOOKUP(B1513,Personal!$A:$A,Personal!$D:$D,""),"")</f>
        <v>0</v>
      </c>
      <c r="D1513" s="9" cm="1">
        <f t="array" ref="D1513">IFERROR(_xlfn.XLOOKUP(B1513,Personal!$A:$A,Personal!$C:$C,""),"")</f>
        <v>0</v>
      </c>
      <c r="E1513" s="9" t="str" cm="1">
        <f t="array" ref="E1513">IFERROR(_xlfn.XLOOKUP(D1513,Locales!$A:$A,Locales!$B:$B,""),"")</f>
        <v/>
      </c>
      <c r="F1513" s="9" cm="1">
        <f t="array" ref="F1513">IFERROR(_xlfn.XLOOKUP(B1513,Personal!$A:$A,Personal!$F:$F,""),"")</f>
        <v>0</v>
      </c>
      <c r="I1513" s="10" cm="1">
        <f t="array" ref="I1513">IFERROR(INDEX(Precios!$D:$F,MATCH(N1513, Precios!$G:$G, 0),CHOOSE(MATCH(H1513, {"SML";"XL";"XXL"}, 0), 1, 2, 3)), 0)</f>
        <v>0</v>
      </c>
      <c r="K1513" s="10">
        <f t="shared" si="54"/>
        <v>0</v>
      </c>
      <c r="N1513" s="9" t="str">
        <f t="shared" si="55"/>
        <v/>
      </c>
      <c r="O1513" s="9" t="str">
        <f>IF(N1513="","",IF(COUNTIF(Precios!$G:$G,N1513)=0,"⚠ No coincide con Precios","OK"))</f>
        <v/>
      </c>
    </row>
    <row r="1514" spans="3:15" x14ac:dyDescent="0.2">
      <c r="C1514" s="9" cm="1">
        <f t="array" ref="C1514">IFERROR(_xlfn.XLOOKUP(B1514,Personal!$A:$A,Personal!$D:$D,""),"")</f>
        <v>0</v>
      </c>
      <c r="D1514" s="9" cm="1">
        <f t="array" ref="D1514">IFERROR(_xlfn.XLOOKUP(B1514,Personal!$A:$A,Personal!$C:$C,""),"")</f>
        <v>0</v>
      </c>
      <c r="E1514" s="9" t="str" cm="1">
        <f t="array" ref="E1514">IFERROR(_xlfn.XLOOKUP(D1514,Locales!$A:$A,Locales!$B:$B,""),"")</f>
        <v/>
      </c>
      <c r="F1514" s="9" cm="1">
        <f t="array" ref="F1514">IFERROR(_xlfn.XLOOKUP(B1514,Personal!$A:$A,Personal!$F:$F,""),"")</f>
        <v>0</v>
      </c>
      <c r="I1514" s="10" cm="1">
        <f t="array" ref="I1514">IFERROR(INDEX(Precios!$D:$F,MATCH(N1514, Precios!$G:$G, 0),CHOOSE(MATCH(H1514, {"SML";"XL";"XXL"}, 0), 1, 2, 3)), 0)</f>
        <v>0</v>
      </c>
      <c r="K1514" s="10">
        <f t="shared" si="54"/>
        <v>0</v>
      </c>
      <c r="N1514" s="9" t="str">
        <f t="shared" si="55"/>
        <v/>
      </c>
      <c r="O1514" s="9" t="str">
        <f>IF(N1514="","",IF(COUNTIF(Precios!$G:$G,N1514)=0,"⚠ No coincide con Precios","OK"))</f>
        <v/>
      </c>
    </row>
    <row r="1515" spans="3:15" x14ac:dyDescent="0.2">
      <c r="C1515" s="9" cm="1">
        <f t="array" ref="C1515">IFERROR(_xlfn.XLOOKUP(B1515,Personal!$A:$A,Personal!$D:$D,""),"")</f>
        <v>0</v>
      </c>
      <c r="D1515" s="9" cm="1">
        <f t="array" ref="D1515">IFERROR(_xlfn.XLOOKUP(B1515,Personal!$A:$A,Personal!$C:$C,""),"")</f>
        <v>0</v>
      </c>
      <c r="E1515" s="9" t="str" cm="1">
        <f t="array" ref="E1515">IFERROR(_xlfn.XLOOKUP(D1515,Locales!$A:$A,Locales!$B:$B,""),"")</f>
        <v/>
      </c>
      <c r="F1515" s="9" cm="1">
        <f t="array" ref="F1515">IFERROR(_xlfn.XLOOKUP(B1515,Personal!$A:$A,Personal!$F:$F,""),"")</f>
        <v>0</v>
      </c>
      <c r="I1515" s="10" cm="1">
        <f t="array" ref="I1515">IFERROR(INDEX(Precios!$D:$F,MATCH(N1515, Precios!$G:$G, 0),CHOOSE(MATCH(H1515, {"SML";"XL";"XXL"}, 0), 1, 2, 3)), 0)</f>
        <v>0</v>
      </c>
      <c r="K1515" s="10">
        <f t="shared" si="54"/>
        <v>0</v>
      </c>
      <c r="N1515" s="9" t="str">
        <f t="shared" si="55"/>
        <v/>
      </c>
      <c r="O1515" s="9" t="str">
        <f>IF(N1515="","",IF(COUNTIF(Precios!$G:$G,N1515)=0,"⚠ No coincide con Precios","OK"))</f>
        <v/>
      </c>
    </row>
    <row r="1516" spans="3:15" x14ac:dyDescent="0.2">
      <c r="C1516" s="9" cm="1">
        <f t="array" ref="C1516">IFERROR(_xlfn.XLOOKUP(B1516,Personal!$A:$A,Personal!$D:$D,""),"")</f>
        <v>0</v>
      </c>
      <c r="D1516" s="9" cm="1">
        <f t="array" ref="D1516">IFERROR(_xlfn.XLOOKUP(B1516,Personal!$A:$A,Personal!$C:$C,""),"")</f>
        <v>0</v>
      </c>
      <c r="E1516" s="9" t="str" cm="1">
        <f t="array" ref="E1516">IFERROR(_xlfn.XLOOKUP(D1516,Locales!$A:$A,Locales!$B:$B,""),"")</f>
        <v/>
      </c>
      <c r="F1516" s="9" cm="1">
        <f t="array" ref="F1516">IFERROR(_xlfn.XLOOKUP(B1516,Personal!$A:$A,Personal!$F:$F,""),"")</f>
        <v>0</v>
      </c>
      <c r="I1516" s="10" cm="1">
        <f t="array" ref="I1516">IFERROR(INDEX(Precios!$D:$F,MATCH(N1516, Precios!$G:$G, 0),CHOOSE(MATCH(H1516, {"SML";"XL";"XXL"}, 0), 1, 2, 3)), 0)</f>
        <v>0</v>
      </c>
      <c r="K1516" s="10">
        <f t="shared" si="54"/>
        <v>0</v>
      </c>
      <c r="N1516" s="9" t="str">
        <f t="shared" si="55"/>
        <v/>
      </c>
      <c r="O1516" s="9" t="str">
        <f>IF(N1516="","",IF(COUNTIF(Precios!$G:$G,N1516)=0,"⚠ No coincide con Precios","OK"))</f>
        <v/>
      </c>
    </row>
    <row r="1517" spans="3:15" x14ac:dyDescent="0.2">
      <c r="C1517" s="9" cm="1">
        <f t="array" ref="C1517">IFERROR(_xlfn.XLOOKUP(B1517,Personal!$A:$A,Personal!$D:$D,""),"")</f>
        <v>0</v>
      </c>
      <c r="D1517" s="9" cm="1">
        <f t="array" ref="D1517">IFERROR(_xlfn.XLOOKUP(B1517,Personal!$A:$A,Personal!$C:$C,""),"")</f>
        <v>0</v>
      </c>
      <c r="E1517" s="9" t="str" cm="1">
        <f t="array" ref="E1517">IFERROR(_xlfn.XLOOKUP(D1517,Locales!$A:$A,Locales!$B:$B,""),"")</f>
        <v/>
      </c>
      <c r="F1517" s="9" cm="1">
        <f t="array" ref="F1517">IFERROR(_xlfn.XLOOKUP(B1517,Personal!$A:$A,Personal!$F:$F,""),"")</f>
        <v>0</v>
      </c>
      <c r="I1517" s="10" cm="1">
        <f t="array" ref="I1517">IFERROR(INDEX(Precios!$D:$F,MATCH(N1517, Precios!$G:$G, 0),CHOOSE(MATCH(H1517, {"SML";"XL";"XXL"}, 0), 1, 2, 3)), 0)</f>
        <v>0</v>
      </c>
      <c r="K1517" s="10">
        <f t="shared" si="54"/>
        <v>0</v>
      </c>
      <c r="N1517" s="9" t="str">
        <f t="shared" si="55"/>
        <v/>
      </c>
      <c r="O1517" s="9" t="str">
        <f>IF(N1517="","",IF(COUNTIF(Precios!$G:$G,N1517)=0,"⚠ No coincide con Precios","OK"))</f>
        <v/>
      </c>
    </row>
    <row r="1518" spans="3:15" x14ac:dyDescent="0.2">
      <c r="C1518" s="9" cm="1">
        <f t="array" ref="C1518">IFERROR(_xlfn.XLOOKUP(B1518,Personal!$A:$A,Personal!$D:$D,""),"")</f>
        <v>0</v>
      </c>
      <c r="D1518" s="9" cm="1">
        <f t="array" ref="D1518">IFERROR(_xlfn.XLOOKUP(B1518,Personal!$A:$A,Personal!$C:$C,""),"")</f>
        <v>0</v>
      </c>
      <c r="E1518" s="9" t="str" cm="1">
        <f t="array" ref="E1518">IFERROR(_xlfn.XLOOKUP(D1518,Locales!$A:$A,Locales!$B:$B,""),"")</f>
        <v/>
      </c>
      <c r="F1518" s="9" cm="1">
        <f t="array" ref="F1518">IFERROR(_xlfn.XLOOKUP(B1518,Personal!$A:$A,Personal!$F:$F,""),"")</f>
        <v>0</v>
      </c>
      <c r="I1518" s="10" cm="1">
        <f t="array" ref="I1518">IFERROR(INDEX(Precios!$D:$F,MATCH(N1518, Precios!$G:$G, 0),CHOOSE(MATCH(H1518, {"SML";"XL";"XXL"}, 0), 1, 2, 3)), 0)</f>
        <v>0</v>
      </c>
      <c r="K1518" s="10">
        <f t="shared" si="54"/>
        <v>0</v>
      </c>
      <c r="N1518" s="9" t="str">
        <f t="shared" si="55"/>
        <v/>
      </c>
      <c r="O1518" s="9" t="str">
        <f>IF(N1518="","",IF(COUNTIF(Precios!$G:$G,N1518)=0,"⚠ No coincide con Precios","OK"))</f>
        <v/>
      </c>
    </row>
    <row r="1519" spans="3:15" x14ac:dyDescent="0.2">
      <c r="C1519" s="9" cm="1">
        <f t="array" ref="C1519">IFERROR(_xlfn.XLOOKUP(B1519,Personal!$A:$A,Personal!$D:$D,""),"")</f>
        <v>0</v>
      </c>
      <c r="D1519" s="9" cm="1">
        <f t="array" ref="D1519">IFERROR(_xlfn.XLOOKUP(B1519,Personal!$A:$A,Personal!$C:$C,""),"")</f>
        <v>0</v>
      </c>
      <c r="E1519" s="9" t="str" cm="1">
        <f t="array" ref="E1519">IFERROR(_xlfn.XLOOKUP(D1519,Locales!$A:$A,Locales!$B:$B,""),"")</f>
        <v/>
      </c>
      <c r="F1519" s="9" cm="1">
        <f t="array" ref="F1519">IFERROR(_xlfn.XLOOKUP(B1519,Personal!$A:$A,Personal!$F:$F,""),"")</f>
        <v>0</v>
      </c>
      <c r="I1519" s="10" cm="1">
        <f t="array" ref="I1519">IFERROR(INDEX(Precios!$D:$F,MATCH(N1519, Precios!$G:$G, 0),CHOOSE(MATCH(H1519, {"SML";"XL";"XXL"}, 0), 1, 2, 3)), 0)</f>
        <v>0</v>
      </c>
      <c r="K1519" s="10">
        <f t="shared" si="54"/>
        <v>0</v>
      </c>
      <c r="N1519" s="9" t="str">
        <f t="shared" si="55"/>
        <v/>
      </c>
      <c r="O1519" s="9" t="str">
        <f>IF(N1519="","",IF(COUNTIF(Precios!$G:$G,N1519)=0,"⚠ No coincide con Precios","OK"))</f>
        <v/>
      </c>
    </row>
    <row r="1520" spans="3:15" x14ac:dyDescent="0.2">
      <c r="C1520" s="9" cm="1">
        <f t="array" ref="C1520">IFERROR(_xlfn.XLOOKUP(B1520,Personal!$A:$A,Personal!$D:$D,""),"")</f>
        <v>0</v>
      </c>
      <c r="D1520" s="9" cm="1">
        <f t="array" ref="D1520">IFERROR(_xlfn.XLOOKUP(B1520,Personal!$A:$A,Personal!$C:$C,""),"")</f>
        <v>0</v>
      </c>
      <c r="E1520" s="9" t="str" cm="1">
        <f t="array" ref="E1520">IFERROR(_xlfn.XLOOKUP(D1520,Locales!$A:$A,Locales!$B:$B,""),"")</f>
        <v/>
      </c>
      <c r="F1520" s="9" cm="1">
        <f t="array" ref="F1520">IFERROR(_xlfn.XLOOKUP(B1520,Personal!$A:$A,Personal!$F:$F,""),"")</f>
        <v>0</v>
      </c>
      <c r="I1520" s="10" cm="1">
        <f t="array" ref="I1520">IFERROR(INDEX(Precios!$D:$F,MATCH(N1520, Precios!$G:$G, 0),CHOOSE(MATCH(H1520, {"SML";"XL";"XXL"}, 0), 1, 2, 3)), 0)</f>
        <v>0</v>
      </c>
      <c r="K1520" s="10">
        <f t="shared" si="54"/>
        <v>0</v>
      </c>
      <c r="N1520" s="9" t="str">
        <f t="shared" si="55"/>
        <v/>
      </c>
      <c r="O1520" s="9" t="str">
        <f>IF(N1520="","",IF(COUNTIF(Precios!$G:$G,N1520)=0,"⚠ No coincide con Precios","OK"))</f>
        <v/>
      </c>
    </row>
    <row r="1521" spans="3:15" x14ac:dyDescent="0.2">
      <c r="C1521" s="9" cm="1">
        <f t="array" ref="C1521">IFERROR(_xlfn.XLOOKUP(B1521,Personal!$A:$A,Personal!$D:$D,""),"")</f>
        <v>0</v>
      </c>
      <c r="D1521" s="9" cm="1">
        <f t="array" ref="D1521">IFERROR(_xlfn.XLOOKUP(B1521,Personal!$A:$A,Personal!$C:$C,""),"")</f>
        <v>0</v>
      </c>
      <c r="E1521" s="9" t="str" cm="1">
        <f t="array" ref="E1521">IFERROR(_xlfn.XLOOKUP(D1521,Locales!$A:$A,Locales!$B:$B,""),"")</f>
        <v/>
      </c>
      <c r="F1521" s="9" cm="1">
        <f t="array" ref="F1521">IFERROR(_xlfn.XLOOKUP(B1521,Personal!$A:$A,Personal!$F:$F,""),"")</f>
        <v>0</v>
      </c>
      <c r="I1521" s="10" cm="1">
        <f t="array" ref="I1521">IFERROR(INDEX(Precios!$D:$F,MATCH(N1521, Precios!$G:$G, 0),CHOOSE(MATCH(H1521, {"SML";"XL";"XXL"}, 0), 1, 2, 3)), 0)</f>
        <v>0</v>
      </c>
      <c r="K1521" s="10">
        <f t="shared" si="54"/>
        <v>0</v>
      </c>
      <c r="N1521" s="9" t="str">
        <f t="shared" si="55"/>
        <v/>
      </c>
      <c r="O1521" s="9" t="str">
        <f>IF(N1521="","",IF(COUNTIF(Precios!$G:$G,N1521)=0,"⚠ No coincide con Precios","OK"))</f>
        <v/>
      </c>
    </row>
    <row r="1522" spans="3:15" x14ac:dyDescent="0.2">
      <c r="C1522" s="9" cm="1">
        <f t="array" ref="C1522">IFERROR(_xlfn.XLOOKUP(B1522,Personal!$A:$A,Personal!$D:$D,""),"")</f>
        <v>0</v>
      </c>
      <c r="D1522" s="9" cm="1">
        <f t="array" ref="D1522">IFERROR(_xlfn.XLOOKUP(B1522,Personal!$A:$A,Personal!$C:$C,""),"")</f>
        <v>0</v>
      </c>
      <c r="E1522" s="9" t="str" cm="1">
        <f t="array" ref="E1522">IFERROR(_xlfn.XLOOKUP(D1522,Locales!$A:$A,Locales!$B:$B,""),"")</f>
        <v/>
      </c>
      <c r="F1522" s="9" cm="1">
        <f t="array" ref="F1522">IFERROR(_xlfn.XLOOKUP(B1522,Personal!$A:$A,Personal!$F:$F,""),"")</f>
        <v>0</v>
      </c>
      <c r="I1522" s="10" cm="1">
        <f t="array" ref="I1522">IFERROR(INDEX(Precios!$D:$F,MATCH(N1522, Precios!$G:$G, 0),CHOOSE(MATCH(H1522, {"SML";"XL";"XXL"}, 0), 1, 2, 3)), 0)</f>
        <v>0</v>
      </c>
      <c r="K1522" s="10">
        <f t="shared" si="54"/>
        <v>0</v>
      </c>
      <c r="N1522" s="9" t="str">
        <f t="shared" si="55"/>
        <v/>
      </c>
      <c r="O1522" s="9" t="str">
        <f>IF(N1522="","",IF(COUNTIF(Precios!$G:$G,N1522)=0,"⚠ No coincide con Precios","OK"))</f>
        <v/>
      </c>
    </row>
    <row r="1523" spans="3:15" x14ac:dyDescent="0.2">
      <c r="C1523" s="9" cm="1">
        <f t="array" ref="C1523">IFERROR(_xlfn.XLOOKUP(B1523,Personal!$A:$A,Personal!$D:$D,""),"")</f>
        <v>0</v>
      </c>
      <c r="D1523" s="9" cm="1">
        <f t="array" ref="D1523">IFERROR(_xlfn.XLOOKUP(B1523,Personal!$A:$A,Personal!$C:$C,""),"")</f>
        <v>0</v>
      </c>
      <c r="E1523" s="9" t="str" cm="1">
        <f t="array" ref="E1523">IFERROR(_xlfn.XLOOKUP(D1523,Locales!$A:$A,Locales!$B:$B,""),"")</f>
        <v/>
      </c>
      <c r="F1523" s="9" cm="1">
        <f t="array" ref="F1523">IFERROR(_xlfn.XLOOKUP(B1523,Personal!$A:$A,Personal!$F:$F,""),"")</f>
        <v>0</v>
      </c>
      <c r="I1523" s="10" cm="1">
        <f t="array" ref="I1523">IFERROR(INDEX(Precios!$D:$F,MATCH(N1523, Precios!$G:$G, 0),CHOOSE(MATCH(H1523, {"SML";"XL";"XXL"}, 0), 1, 2, 3)), 0)</f>
        <v>0</v>
      </c>
      <c r="K1523" s="10">
        <f t="shared" si="54"/>
        <v>0</v>
      </c>
      <c r="N1523" s="9" t="str">
        <f t="shared" si="55"/>
        <v/>
      </c>
      <c r="O1523" s="9" t="str">
        <f>IF(N1523="","",IF(COUNTIF(Precios!$G:$G,N1523)=0,"⚠ No coincide con Precios","OK"))</f>
        <v/>
      </c>
    </row>
    <row r="1524" spans="3:15" x14ac:dyDescent="0.2">
      <c r="C1524" s="9" cm="1">
        <f t="array" ref="C1524">IFERROR(_xlfn.XLOOKUP(B1524,Personal!$A:$A,Personal!$D:$D,""),"")</f>
        <v>0</v>
      </c>
      <c r="D1524" s="9" cm="1">
        <f t="array" ref="D1524">IFERROR(_xlfn.XLOOKUP(B1524,Personal!$A:$A,Personal!$C:$C,""),"")</f>
        <v>0</v>
      </c>
      <c r="E1524" s="9" t="str" cm="1">
        <f t="array" ref="E1524">IFERROR(_xlfn.XLOOKUP(D1524,Locales!$A:$A,Locales!$B:$B,""),"")</f>
        <v/>
      </c>
      <c r="F1524" s="9" cm="1">
        <f t="array" ref="F1524">IFERROR(_xlfn.XLOOKUP(B1524,Personal!$A:$A,Personal!$F:$F,""),"")</f>
        <v>0</v>
      </c>
      <c r="I1524" s="10" cm="1">
        <f t="array" ref="I1524">IFERROR(INDEX(Precios!$D:$F,MATCH(N1524, Precios!$G:$G, 0),CHOOSE(MATCH(H1524, {"SML";"XL";"XXL"}, 0), 1, 2, 3)), 0)</f>
        <v>0</v>
      </c>
      <c r="K1524" s="10">
        <f t="shared" si="54"/>
        <v>0</v>
      </c>
      <c r="N1524" s="9" t="str">
        <f t="shared" si="55"/>
        <v/>
      </c>
      <c r="O1524" s="9" t="str">
        <f>IF(N1524="","",IF(COUNTIF(Precios!$G:$G,N1524)=0,"⚠ No coincide con Precios","OK"))</f>
        <v/>
      </c>
    </row>
    <row r="1525" spans="3:15" x14ac:dyDescent="0.2">
      <c r="C1525" s="9" cm="1">
        <f t="array" ref="C1525">IFERROR(_xlfn.XLOOKUP(B1525,Personal!$A:$A,Personal!$D:$D,""),"")</f>
        <v>0</v>
      </c>
      <c r="D1525" s="9" cm="1">
        <f t="array" ref="D1525">IFERROR(_xlfn.XLOOKUP(B1525,Personal!$A:$A,Personal!$C:$C,""),"")</f>
        <v>0</v>
      </c>
      <c r="E1525" s="9" t="str" cm="1">
        <f t="array" ref="E1525">IFERROR(_xlfn.XLOOKUP(D1525,Locales!$A:$A,Locales!$B:$B,""),"")</f>
        <v/>
      </c>
      <c r="F1525" s="9" cm="1">
        <f t="array" ref="F1525">IFERROR(_xlfn.XLOOKUP(B1525,Personal!$A:$A,Personal!$F:$F,""),"")</f>
        <v>0</v>
      </c>
      <c r="I1525" s="10" cm="1">
        <f t="array" ref="I1525">IFERROR(INDEX(Precios!$D:$F,MATCH(N1525, Precios!$G:$G, 0),CHOOSE(MATCH(H1525, {"SML";"XL";"XXL"}, 0), 1, 2, 3)), 0)</f>
        <v>0</v>
      </c>
      <c r="K1525" s="10">
        <f t="shared" si="54"/>
        <v>0</v>
      </c>
      <c r="N1525" s="9" t="str">
        <f t="shared" si="55"/>
        <v/>
      </c>
      <c r="O1525" s="9" t="str">
        <f>IF(N1525="","",IF(COUNTIF(Precios!$G:$G,N1525)=0,"⚠ No coincide con Precios","OK"))</f>
        <v/>
      </c>
    </row>
    <row r="1526" spans="3:15" x14ac:dyDescent="0.2">
      <c r="C1526" s="9" cm="1">
        <f t="array" ref="C1526">IFERROR(_xlfn.XLOOKUP(B1526,Personal!$A:$A,Personal!$D:$D,""),"")</f>
        <v>0</v>
      </c>
      <c r="D1526" s="9" cm="1">
        <f t="array" ref="D1526">IFERROR(_xlfn.XLOOKUP(B1526,Personal!$A:$A,Personal!$C:$C,""),"")</f>
        <v>0</v>
      </c>
      <c r="E1526" s="9" t="str" cm="1">
        <f t="array" ref="E1526">IFERROR(_xlfn.XLOOKUP(D1526,Locales!$A:$A,Locales!$B:$B,""),"")</f>
        <v/>
      </c>
      <c r="F1526" s="9" cm="1">
        <f t="array" ref="F1526">IFERROR(_xlfn.XLOOKUP(B1526,Personal!$A:$A,Personal!$F:$F,""),"")</f>
        <v>0</v>
      </c>
      <c r="I1526" s="10" cm="1">
        <f t="array" ref="I1526">IFERROR(INDEX(Precios!$D:$F,MATCH(N1526, Precios!$G:$G, 0),CHOOSE(MATCH(H1526, {"SML";"XL";"XXL"}, 0), 1, 2, 3)), 0)</f>
        <v>0</v>
      </c>
      <c r="K1526" s="10">
        <f t="shared" si="54"/>
        <v>0</v>
      </c>
      <c r="N1526" s="9" t="str">
        <f t="shared" si="55"/>
        <v/>
      </c>
      <c r="O1526" s="9" t="str">
        <f>IF(N1526="","",IF(COUNTIF(Precios!$G:$G,N1526)=0,"⚠ No coincide con Precios","OK"))</f>
        <v/>
      </c>
    </row>
    <row r="1527" spans="3:15" x14ac:dyDescent="0.2">
      <c r="C1527" s="9" cm="1">
        <f t="array" ref="C1527">IFERROR(_xlfn.XLOOKUP(B1527,Personal!$A:$A,Personal!$D:$D,""),"")</f>
        <v>0</v>
      </c>
      <c r="D1527" s="9" cm="1">
        <f t="array" ref="D1527">IFERROR(_xlfn.XLOOKUP(B1527,Personal!$A:$A,Personal!$C:$C,""),"")</f>
        <v>0</v>
      </c>
      <c r="E1527" s="9" t="str" cm="1">
        <f t="array" ref="E1527">IFERROR(_xlfn.XLOOKUP(D1527,Locales!$A:$A,Locales!$B:$B,""),"")</f>
        <v/>
      </c>
      <c r="F1527" s="9" cm="1">
        <f t="array" ref="F1527">IFERROR(_xlfn.XLOOKUP(B1527,Personal!$A:$A,Personal!$F:$F,""),"")</f>
        <v>0</v>
      </c>
      <c r="I1527" s="10" cm="1">
        <f t="array" ref="I1527">IFERROR(INDEX(Precios!$D:$F,MATCH(N1527, Precios!$G:$G, 0),CHOOSE(MATCH(H1527, {"SML";"XL";"XXL"}, 0), 1, 2, 3)), 0)</f>
        <v>0</v>
      </c>
      <c r="K1527" s="10">
        <f t="shared" si="54"/>
        <v>0</v>
      </c>
      <c r="N1527" s="9" t="str">
        <f t="shared" si="55"/>
        <v/>
      </c>
      <c r="O1527" s="9" t="str">
        <f>IF(N1527="","",IF(COUNTIF(Precios!$G:$G,N1527)=0,"⚠ No coincide con Precios","OK"))</f>
        <v/>
      </c>
    </row>
    <row r="1528" spans="3:15" x14ac:dyDescent="0.2">
      <c r="C1528" s="9" cm="1">
        <f t="array" ref="C1528">IFERROR(_xlfn.XLOOKUP(B1528,Personal!$A:$A,Personal!$D:$D,""),"")</f>
        <v>0</v>
      </c>
      <c r="D1528" s="9" cm="1">
        <f t="array" ref="D1528">IFERROR(_xlfn.XLOOKUP(B1528,Personal!$A:$A,Personal!$C:$C,""),"")</f>
        <v>0</v>
      </c>
      <c r="E1528" s="9" t="str" cm="1">
        <f t="array" ref="E1528">IFERROR(_xlfn.XLOOKUP(D1528,Locales!$A:$A,Locales!$B:$B,""),"")</f>
        <v/>
      </c>
      <c r="F1528" s="9" cm="1">
        <f t="array" ref="F1528">IFERROR(_xlfn.XLOOKUP(B1528,Personal!$A:$A,Personal!$F:$F,""),"")</f>
        <v>0</v>
      </c>
      <c r="I1528" s="10" cm="1">
        <f t="array" ref="I1528">IFERROR(INDEX(Precios!$D:$F,MATCH(N1528, Precios!$G:$G, 0),CHOOSE(MATCH(H1528, {"SML";"XL";"XXL"}, 0), 1, 2, 3)), 0)</f>
        <v>0</v>
      </c>
      <c r="K1528" s="10">
        <f t="shared" si="54"/>
        <v>0</v>
      </c>
      <c r="N1528" s="9" t="str">
        <f t="shared" si="55"/>
        <v/>
      </c>
      <c r="O1528" s="9" t="str">
        <f>IF(N1528="","",IF(COUNTIF(Precios!$G:$G,N1528)=0,"⚠ No coincide con Precios","OK"))</f>
        <v/>
      </c>
    </row>
    <row r="1529" spans="3:15" x14ac:dyDescent="0.2">
      <c r="C1529" s="9" cm="1">
        <f t="array" ref="C1529">IFERROR(_xlfn.XLOOKUP(B1529,Personal!$A:$A,Personal!$D:$D,""),"")</f>
        <v>0</v>
      </c>
      <c r="D1529" s="9" cm="1">
        <f t="array" ref="D1529">IFERROR(_xlfn.XLOOKUP(B1529,Personal!$A:$A,Personal!$C:$C,""),"")</f>
        <v>0</v>
      </c>
      <c r="E1529" s="9" t="str" cm="1">
        <f t="array" ref="E1529">IFERROR(_xlfn.XLOOKUP(D1529,Locales!$A:$A,Locales!$B:$B,""),"")</f>
        <v/>
      </c>
      <c r="F1529" s="9" cm="1">
        <f t="array" ref="F1529">IFERROR(_xlfn.XLOOKUP(B1529,Personal!$A:$A,Personal!$F:$F,""),"")</f>
        <v>0</v>
      </c>
      <c r="I1529" s="10" cm="1">
        <f t="array" ref="I1529">IFERROR(INDEX(Precios!$D:$F,MATCH(N1529, Precios!$G:$G, 0),CHOOSE(MATCH(H1529, {"SML";"XL";"XXL"}, 0), 1, 2, 3)), 0)</f>
        <v>0</v>
      </c>
      <c r="K1529" s="10">
        <f t="shared" si="54"/>
        <v>0</v>
      </c>
      <c r="N1529" s="9" t="str">
        <f t="shared" si="55"/>
        <v/>
      </c>
      <c r="O1529" s="9" t="str">
        <f>IF(N1529="","",IF(COUNTIF(Precios!$G:$G,N1529)=0,"⚠ No coincide con Precios","OK"))</f>
        <v/>
      </c>
    </row>
    <row r="1530" spans="3:15" x14ac:dyDescent="0.2">
      <c r="C1530" s="9" cm="1">
        <f t="array" ref="C1530">IFERROR(_xlfn.XLOOKUP(B1530,Personal!$A:$A,Personal!$D:$D,""),"")</f>
        <v>0</v>
      </c>
      <c r="D1530" s="9" cm="1">
        <f t="array" ref="D1530">IFERROR(_xlfn.XLOOKUP(B1530,Personal!$A:$A,Personal!$C:$C,""),"")</f>
        <v>0</v>
      </c>
      <c r="E1530" s="9" t="str" cm="1">
        <f t="array" ref="E1530">IFERROR(_xlfn.XLOOKUP(D1530,Locales!$A:$A,Locales!$B:$B,""),"")</f>
        <v/>
      </c>
      <c r="F1530" s="9" cm="1">
        <f t="array" ref="F1530">IFERROR(_xlfn.XLOOKUP(B1530,Personal!$A:$A,Personal!$F:$F,""),"")</f>
        <v>0</v>
      </c>
      <c r="I1530" s="10" cm="1">
        <f t="array" ref="I1530">IFERROR(INDEX(Precios!$D:$F,MATCH(N1530, Precios!$G:$G, 0),CHOOSE(MATCH(H1530, {"SML";"XL";"XXL"}, 0), 1, 2, 3)), 0)</f>
        <v>0</v>
      </c>
      <c r="K1530" s="10">
        <f t="shared" si="54"/>
        <v>0</v>
      </c>
      <c r="N1530" s="9" t="str">
        <f t="shared" si="55"/>
        <v/>
      </c>
      <c r="O1530" s="9" t="str">
        <f>IF(N1530="","",IF(COUNTIF(Precios!$G:$G,N1530)=0,"⚠ No coincide con Precios","OK"))</f>
        <v/>
      </c>
    </row>
    <row r="1531" spans="3:15" x14ac:dyDescent="0.2">
      <c r="C1531" s="9" cm="1">
        <f t="array" ref="C1531">IFERROR(_xlfn.XLOOKUP(B1531,Personal!$A:$A,Personal!$D:$D,""),"")</f>
        <v>0</v>
      </c>
      <c r="D1531" s="9" cm="1">
        <f t="array" ref="D1531">IFERROR(_xlfn.XLOOKUP(B1531,Personal!$A:$A,Personal!$C:$C,""),"")</f>
        <v>0</v>
      </c>
      <c r="E1531" s="9" t="str" cm="1">
        <f t="array" ref="E1531">IFERROR(_xlfn.XLOOKUP(D1531,Locales!$A:$A,Locales!$B:$B,""),"")</f>
        <v/>
      </c>
      <c r="F1531" s="9" cm="1">
        <f t="array" ref="F1531">IFERROR(_xlfn.XLOOKUP(B1531,Personal!$A:$A,Personal!$F:$F,""),"")</f>
        <v>0</v>
      </c>
      <c r="I1531" s="10" cm="1">
        <f t="array" ref="I1531">IFERROR(INDEX(Precios!$D:$F,MATCH(N1531, Precios!$G:$G, 0),CHOOSE(MATCH(H1531, {"SML";"XL";"XXL"}, 0), 1, 2, 3)), 0)</f>
        <v>0</v>
      </c>
      <c r="K1531" s="10">
        <f t="shared" si="54"/>
        <v>0</v>
      </c>
      <c r="N1531" s="9" t="str">
        <f t="shared" si="55"/>
        <v/>
      </c>
      <c r="O1531" s="9" t="str">
        <f>IF(N1531="","",IF(COUNTIF(Precios!$G:$G,N1531)=0,"⚠ No coincide con Precios","OK"))</f>
        <v/>
      </c>
    </row>
    <row r="1532" spans="3:15" x14ac:dyDescent="0.2">
      <c r="C1532" s="9" cm="1">
        <f t="array" ref="C1532">IFERROR(_xlfn.XLOOKUP(B1532,Personal!$A:$A,Personal!$D:$D,""),"")</f>
        <v>0</v>
      </c>
      <c r="D1532" s="9" cm="1">
        <f t="array" ref="D1532">IFERROR(_xlfn.XLOOKUP(B1532,Personal!$A:$A,Personal!$C:$C,""),"")</f>
        <v>0</v>
      </c>
      <c r="E1532" s="9" t="str" cm="1">
        <f t="array" ref="E1532">IFERROR(_xlfn.XLOOKUP(D1532,Locales!$A:$A,Locales!$B:$B,""),"")</f>
        <v/>
      </c>
      <c r="F1532" s="9" cm="1">
        <f t="array" ref="F1532">IFERROR(_xlfn.XLOOKUP(B1532,Personal!$A:$A,Personal!$F:$F,""),"")</f>
        <v>0</v>
      </c>
      <c r="I1532" s="10" cm="1">
        <f t="array" ref="I1532">IFERROR(INDEX(Precios!$D:$F,MATCH(N1532, Precios!$G:$G, 0),CHOOSE(MATCH(H1532, {"SML";"XL";"XXL"}, 0), 1, 2, 3)), 0)</f>
        <v>0</v>
      </c>
      <c r="K1532" s="10">
        <f t="shared" si="54"/>
        <v>0</v>
      </c>
      <c r="N1532" s="9" t="str">
        <f t="shared" si="55"/>
        <v/>
      </c>
      <c r="O1532" s="9" t="str">
        <f>IF(N1532="","",IF(COUNTIF(Precios!$G:$G,N1532)=0,"⚠ No coincide con Precios","OK"))</f>
        <v/>
      </c>
    </row>
    <row r="1533" spans="3:15" x14ac:dyDescent="0.2">
      <c r="C1533" s="9" cm="1">
        <f t="array" ref="C1533">IFERROR(_xlfn.XLOOKUP(B1533,Personal!$A:$A,Personal!$D:$D,""),"")</f>
        <v>0</v>
      </c>
      <c r="D1533" s="9" cm="1">
        <f t="array" ref="D1533">IFERROR(_xlfn.XLOOKUP(B1533,Personal!$A:$A,Personal!$C:$C,""),"")</f>
        <v>0</v>
      </c>
      <c r="E1533" s="9" t="str" cm="1">
        <f t="array" ref="E1533">IFERROR(_xlfn.XLOOKUP(D1533,Locales!$A:$A,Locales!$B:$B,""),"")</f>
        <v/>
      </c>
      <c r="F1533" s="9" cm="1">
        <f t="array" ref="F1533">IFERROR(_xlfn.XLOOKUP(B1533,Personal!$A:$A,Personal!$F:$F,""),"")</f>
        <v>0</v>
      </c>
      <c r="I1533" s="10" cm="1">
        <f t="array" ref="I1533">IFERROR(INDEX(Precios!$D:$F,MATCH(N1533, Precios!$G:$G, 0),CHOOSE(MATCH(H1533, {"SML";"XL";"XXL"}, 0), 1, 2, 3)), 0)</f>
        <v>0</v>
      </c>
      <c r="K1533" s="10">
        <f t="shared" si="54"/>
        <v>0</v>
      </c>
      <c r="N1533" s="9" t="str">
        <f t="shared" si="55"/>
        <v/>
      </c>
      <c r="O1533" s="9" t="str">
        <f>IF(N1533="","",IF(COUNTIF(Precios!$G:$G,N1533)=0,"⚠ No coincide con Precios","OK"))</f>
        <v/>
      </c>
    </row>
    <row r="1534" spans="3:15" x14ac:dyDescent="0.2">
      <c r="C1534" s="9" cm="1">
        <f t="array" ref="C1534">IFERROR(_xlfn.XLOOKUP(B1534,Personal!$A:$A,Personal!$D:$D,""),"")</f>
        <v>0</v>
      </c>
      <c r="D1534" s="9" cm="1">
        <f t="array" ref="D1534">IFERROR(_xlfn.XLOOKUP(B1534,Personal!$A:$A,Personal!$C:$C,""),"")</f>
        <v>0</v>
      </c>
      <c r="E1534" s="9" t="str" cm="1">
        <f t="array" ref="E1534">IFERROR(_xlfn.XLOOKUP(D1534,Locales!$A:$A,Locales!$B:$B,""),"")</f>
        <v/>
      </c>
      <c r="F1534" s="9" cm="1">
        <f t="array" ref="F1534">IFERROR(_xlfn.XLOOKUP(B1534,Personal!$A:$A,Personal!$F:$F,""),"")</f>
        <v>0</v>
      </c>
      <c r="I1534" s="10" cm="1">
        <f t="array" ref="I1534">IFERROR(INDEX(Precios!$D:$F,MATCH(N1534, Precios!$G:$G, 0),CHOOSE(MATCH(H1534, {"SML";"XL";"XXL"}, 0), 1, 2, 3)), 0)</f>
        <v>0</v>
      </c>
      <c r="K1534" s="10">
        <f t="shared" si="54"/>
        <v>0</v>
      </c>
      <c r="N1534" s="9" t="str">
        <f t="shared" si="55"/>
        <v/>
      </c>
      <c r="O1534" s="9" t="str">
        <f>IF(N1534="","",IF(COUNTIF(Precios!$G:$G,N1534)=0,"⚠ No coincide con Precios","OK"))</f>
        <v/>
      </c>
    </row>
    <row r="1535" spans="3:15" x14ac:dyDescent="0.2">
      <c r="C1535" s="9" cm="1">
        <f t="array" ref="C1535">IFERROR(_xlfn.XLOOKUP(B1535,Personal!$A:$A,Personal!$D:$D,""),"")</f>
        <v>0</v>
      </c>
      <c r="D1535" s="9" cm="1">
        <f t="array" ref="D1535">IFERROR(_xlfn.XLOOKUP(B1535,Personal!$A:$A,Personal!$C:$C,""),"")</f>
        <v>0</v>
      </c>
      <c r="E1535" s="9" t="str" cm="1">
        <f t="array" ref="E1535">IFERROR(_xlfn.XLOOKUP(D1535,Locales!$A:$A,Locales!$B:$B,""),"")</f>
        <v/>
      </c>
      <c r="F1535" s="9" cm="1">
        <f t="array" ref="F1535">IFERROR(_xlfn.XLOOKUP(B1535,Personal!$A:$A,Personal!$F:$F,""),"")</f>
        <v>0</v>
      </c>
      <c r="I1535" s="10" cm="1">
        <f t="array" ref="I1535">IFERROR(INDEX(Precios!$D:$F,MATCH(N1535, Precios!$G:$G, 0),CHOOSE(MATCH(H1535, {"SML";"XL";"XXL"}, 0), 1, 2, 3)), 0)</f>
        <v>0</v>
      </c>
      <c r="K1535" s="10">
        <f t="shared" si="54"/>
        <v>0</v>
      </c>
      <c r="N1535" s="9" t="str">
        <f t="shared" si="55"/>
        <v/>
      </c>
      <c r="O1535" s="9" t="str">
        <f>IF(N1535="","",IF(COUNTIF(Precios!$G:$G,N1535)=0,"⚠ No coincide con Precios","OK"))</f>
        <v/>
      </c>
    </row>
    <row r="1536" spans="3:15" x14ac:dyDescent="0.2">
      <c r="C1536" s="9" cm="1">
        <f t="array" ref="C1536">IFERROR(_xlfn.XLOOKUP(B1536,Personal!$A:$A,Personal!$D:$D,""),"")</f>
        <v>0</v>
      </c>
      <c r="D1536" s="9" cm="1">
        <f t="array" ref="D1536">IFERROR(_xlfn.XLOOKUP(B1536,Personal!$A:$A,Personal!$C:$C,""),"")</f>
        <v>0</v>
      </c>
      <c r="E1536" s="9" t="str" cm="1">
        <f t="array" ref="E1536">IFERROR(_xlfn.XLOOKUP(D1536,Locales!$A:$A,Locales!$B:$B,""),"")</f>
        <v/>
      </c>
      <c r="F1536" s="9" cm="1">
        <f t="array" ref="F1536">IFERROR(_xlfn.XLOOKUP(B1536,Personal!$A:$A,Personal!$F:$F,""),"")</f>
        <v>0</v>
      </c>
      <c r="I1536" s="10" cm="1">
        <f t="array" ref="I1536">IFERROR(INDEX(Precios!$D:$F,MATCH(N1536, Precios!$G:$G, 0),CHOOSE(MATCH(H1536, {"SML";"XL";"XXL"}, 0), 1, 2, 3)), 0)</f>
        <v>0</v>
      </c>
      <c r="K1536" s="10">
        <f t="shared" ref="K1536:K1599" si="56">IFERROR(I1536*J1536,0)</f>
        <v>0</v>
      </c>
      <c r="N1536" s="9" t="str">
        <f t="shared" ref="N1536:N1599" si="57">IF( OR(E1536="",F1536="",G1536=""), "",CLEAN(TRIM(E1536)) &amp; "|" &amp; CLEAN(TRIM(F1536)) &amp; "|" &amp; CLEAN(TRIM(G1536)))</f>
        <v/>
      </c>
      <c r="O1536" s="9" t="str">
        <f>IF(N1536="","",IF(COUNTIF(Precios!$G:$G,N1536)=0,"⚠ No coincide con Precios","OK"))</f>
        <v/>
      </c>
    </row>
    <row r="1537" spans="3:15" x14ac:dyDescent="0.2">
      <c r="C1537" s="9" cm="1">
        <f t="array" ref="C1537">IFERROR(_xlfn.XLOOKUP(B1537,Personal!$A:$A,Personal!$D:$D,""),"")</f>
        <v>0</v>
      </c>
      <c r="D1537" s="9" cm="1">
        <f t="array" ref="D1537">IFERROR(_xlfn.XLOOKUP(B1537,Personal!$A:$A,Personal!$C:$C,""),"")</f>
        <v>0</v>
      </c>
      <c r="E1537" s="9" t="str" cm="1">
        <f t="array" ref="E1537">IFERROR(_xlfn.XLOOKUP(D1537,Locales!$A:$A,Locales!$B:$B,""),"")</f>
        <v/>
      </c>
      <c r="F1537" s="9" cm="1">
        <f t="array" ref="F1537">IFERROR(_xlfn.XLOOKUP(B1537,Personal!$A:$A,Personal!$F:$F,""),"")</f>
        <v>0</v>
      </c>
      <c r="I1537" s="10" cm="1">
        <f t="array" ref="I1537">IFERROR(INDEX(Precios!$D:$F,MATCH(N1537, Precios!$G:$G, 0),CHOOSE(MATCH(H1537, {"SML";"XL";"XXL"}, 0), 1, 2, 3)), 0)</f>
        <v>0</v>
      </c>
      <c r="K1537" s="10">
        <f t="shared" si="56"/>
        <v>0</v>
      </c>
      <c r="N1537" s="9" t="str">
        <f t="shared" si="57"/>
        <v/>
      </c>
      <c r="O1537" s="9" t="str">
        <f>IF(N1537="","",IF(COUNTIF(Precios!$G:$G,N1537)=0,"⚠ No coincide con Precios","OK"))</f>
        <v/>
      </c>
    </row>
    <row r="1538" spans="3:15" x14ac:dyDescent="0.2">
      <c r="C1538" s="9" cm="1">
        <f t="array" ref="C1538">IFERROR(_xlfn.XLOOKUP(B1538,Personal!$A:$A,Personal!$D:$D,""),"")</f>
        <v>0</v>
      </c>
      <c r="D1538" s="9" cm="1">
        <f t="array" ref="D1538">IFERROR(_xlfn.XLOOKUP(B1538,Personal!$A:$A,Personal!$C:$C,""),"")</f>
        <v>0</v>
      </c>
      <c r="E1538" s="9" t="str" cm="1">
        <f t="array" ref="E1538">IFERROR(_xlfn.XLOOKUP(D1538,Locales!$A:$A,Locales!$B:$B,""),"")</f>
        <v/>
      </c>
      <c r="F1538" s="9" cm="1">
        <f t="array" ref="F1538">IFERROR(_xlfn.XLOOKUP(B1538,Personal!$A:$A,Personal!$F:$F,""),"")</f>
        <v>0</v>
      </c>
      <c r="I1538" s="10" cm="1">
        <f t="array" ref="I1538">IFERROR(INDEX(Precios!$D:$F,MATCH(N1538, Precios!$G:$G, 0),CHOOSE(MATCH(H1538, {"SML";"XL";"XXL"}, 0), 1, 2, 3)), 0)</f>
        <v>0</v>
      </c>
      <c r="K1538" s="10">
        <f t="shared" si="56"/>
        <v>0</v>
      </c>
      <c r="N1538" s="9" t="str">
        <f t="shared" si="57"/>
        <v/>
      </c>
      <c r="O1538" s="9" t="str">
        <f>IF(N1538="","",IF(COUNTIF(Precios!$G:$G,N1538)=0,"⚠ No coincide con Precios","OK"))</f>
        <v/>
      </c>
    </row>
    <row r="1539" spans="3:15" x14ac:dyDescent="0.2">
      <c r="C1539" s="9" cm="1">
        <f t="array" ref="C1539">IFERROR(_xlfn.XLOOKUP(B1539,Personal!$A:$A,Personal!$D:$D,""),"")</f>
        <v>0</v>
      </c>
      <c r="D1539" s="9" cm="1">
        <f t="array" ref="D1539">IFERROR(_xlfn.XLOOKUP(B1539,Personal!$A:$A,Personal!$C:$C,""),"")</f>
        <v>0</v>
      </c>
      <c r="E1539" s="9" t="str" cm="1">
        <f t="array" ref="E1539">IFERROR(_xlfn.XLOOKUP(D1539,Locales!$A:$A,Locales!$B:$B,""),"")</f>
        <v/>
      </c>
      <c r="F1539" s="9" cm="1">
        <f t="array" ref="F1539">IFERROR(_xlfn.XLOOKUP(B1539,Personal!$A:$A,Personal!$F:$F,""),"")</f>
        <v>0</v>
      </c>
      <c r="I1539" s="10" cm="1">
        <f t="array" ref="I1539">IFERROR(INDEX(Precios!$D:$F,MATCH(N1539, Precios!$G:$G, 0),CHOOSE(MATCH(H1539, {"SML";"XL";"XXL"}, 0), 1, 2, 3)), 0)</f>
        <v>0</v>
      </c>
      <c r="K1539" s="10">
        <f t="shared" si="56"/>
        <v>0</v>
      </c>
      <c r="N1539" s="9" t="str">
        <f t="shared" si="57"/>
        <v/>
      </c>
      <c r="O1539" s="9" t="str">
        <f>IF(N1539="","",IF(COUNTIF(Precios!$G:$G,N1539)=0,"⚠ No coincide con Precios","OK"))</f>
        <v/>
      </c>
    </row>
    <row r="1540" spans="3:15" x14ac:dyDescent="0.2">
      <c r="C1540" s="9" cm="1">
        <f t="array" ref="C1540">IFERROR(_xlfn.XLOOKUP(B1540,Personal!$A:$A,Personal!$D:$D,""),"")</f>
        <v>0</v>
      </c>
      <c r="D1540" s="9" cm="1">
        <f t="array" ref="D1540">IFERROR(_xlfn.XLOOKUP(B1540,Personal!$A:$A,Personal!$C:$C,""),"")</f>
        <v>0</v>
      </c>
      <c r="E1540" s="9" t="str" cm="1">
        <f t="array" ref="E1540">IFERROR(_xlfn.XLOOKUP(D1540,Locales!$A:$A,Locales!$B:$B,""),"")</f>
        <v/>
      </c>
      <c r="F1540" s="9" cm="1">
        <f t="array" ref="F1540">IFERROR(_xlfn.XLOOKUP(B1540,Personal!$A:$A,Personal!$F:$F,""),"")</f>
        <v>0</v>
      </c>
      <c r="I1540" s="10" cm="1">
        <f t="array" ref="I1540">IFERROR(INDEX(Precios!$D:$F,MATCH(N1540, Precios!$G:$G, 0),CHOOSE(MATCH(H1540, {"SML";"XL";"XXL"}, 0), 1, 2, 3)), 0)</f>
        <v>0</v>
      </c>
      <c r="K1540" s="10">
        <f t="shared" si="56"/>
        <v>0</v>
      </c>
      <c r="N1540" s="9" t="str">
        <f t="shared" si="57"/>
        <v/>
      </c>
      <c r="O1540" s="9" t="str">
        <f>IF(N1540="","",IF(COUNTIF(Precios!$G:$G,N1540)=0,"⚠ No coincide con Precios","OK"))</f>
        <v/>
      </c>
    </row>
    <row r="1541" spans="3:15" x14ac:dyDescent="0.2">
      <c r="C1541" s="9" cm="1">
        <f t="array" ref="C1541">IFERROR(_xlfn.XLOOKUP(B1541,Personal!$A:$A,Personal!$D:$D,""),"")</f>
        <v>0</v>
      </c>
      <c r="D1541" s="9" cm="1">
        <f t="array" ref="D1541">IFERROR(_xlfn.XLOOKUP(B1541,Personal!$A:$A,Personal!$C:$C,""),"")</f>
        <v>0</v>
      </c>
      <c r="E1541" s="9" t="str" cm="1">
        <f t="array" ref="E1541">IFERROR(_xlfn.XLOOKUP(D1541,Locales!$A:$A,Locales!$B:$B,""),"")</f>
        <v/>
      </c>
      <c r="F1541" s="9" cm="1">
        <f t="array" ref="F1541">IFERROR(_xlfn.XLOOKUP(B1541,Personal!$A:$A,Personal!$F:$F,""),"")</f>
        <v>0</v>
      </c>
      <c r="I1541" s="10" cm="1">
        <f t="array" ref="I1541">IFERROR(INDEX(Precios!$D:$F,MATCH(N1541, Precios!$G:$G, 0),CHOOSE(MATCH(H1541, {"SML";"XL";"XXL"}, 0), 1, 2, 3)), 0)</f>
        <v>0</v>
      </c>
      <c r="K1541" s="10">
        <f t="shared" si="56"/>
        <v>0</v>
      </c>
      <c r="N1541" s="9" t="str">
        <f t="shared" si="57"/>
        <v/>
      </c>
      <c r="O1541" s="9" t="str">
        <f>IF(N1541="","",IF(COUNTIF(Precios!$G:$G,N1541)=0,"⚠ No coincide con Precios","OK"))</f>
        <v/>
      </c>
    </row>
    <row r="1542" spans="3:15" x14ac:dyDescent="0.2">
      <c r="C1542" s="9" cm="1">
        <f t="array" ref="C1542">IFERROR(_xlfn.XLOOKUP(B1542,Personal!$A:$A,Personal!$D:$D,""),"")</f>
        <v>0</v>
      </c>
      <c r="D1542" s="9" cm="1">
        <f t="array" ref="D1542">IFERROR(_xlfn.XLOOKUP(B1542,Personal!$A:$A,Personal!$C:$C,""),"")</f>
        <v>0</v>
      </c>
      <c r="E1542" s="9" t="str" cm="1">
        <f t="array" ref="E1542">IFERROR(_xlfn.XLOOKUP(D1542,Locales!$A:$A,Locales!$B:$B,""),"")</f>
        <v/>
      </c>
      <c r="F1542" s="9" cm="1">
        <f t="array" ref="F1542">IFERROR(_xlfn.XLOOKUP(B1542,Personal!$A:$A,Personal!$F:$F,""),"")</f>
        <v>0</v>
      </c>
      <c r="I1542" s="10" cm="1">
        <f t="array" ref="I1542">IFERROR(INDEX(Precios!$D:$F,MATCH(N1542, Precios!$G:$G, 0),CHOOSE(MATCH(H1542, {"SML";"XL";"XXL"}, 0), 1, 2, 3)), 0)</f>
        <v>0</v>
      </c>
      <c r="K1542" s="10">
        <f t="shared" si="56"/>
        <v>0</v>
      </c>
      <c r="N1542" s="9" t="str">
        <f t="shared" si="57"/>
        <v/>
      </c>
      <c r="O1542" s="9" t="str">
        <f>IF(N1542="","",IF(COUNTIF(Precios!$G:$G,N1542)=0,"⚠ No coincide con Precios","OK"))</f>
        <v/>
      </c>
    </row>
    <row r="1543" spans="3:15" x14ac:dyDescent="0.2">
      <c r="C1543" s="9" cm="1">
        <f t="array" ref="C1543">IFERROR(_xlfn.XLOOKUP(B1543,Personal!$A:$A,Personal!$D:$D,""),"")</f>
        <v>0</v>
      </c>
      <c r="D1543" s="9" cm="1">
        <f t="array" ref="D1543">IFERROR(_xlfn.XLOOKUP(B1543,Personal!$A:$A,Personal!$C:$C,""),"")</f>
        <v>0</v>
      </c>
      <c r="E1543" s="9" t="str" cm="1">
        <f t="array" ref="E1543">IFERROR(_xlfn.XLOOKUP(D1543,Locales!$A:$A,Locales!$B:$B,""),"")</f>
        <v/>
      </c>
      <c r="F1543" s="9" cm="1">
        <f t="array" ref="F1543">IFERROR(_xlfn.XLOOKUP(B1543,Personal!$A:$A,Personal!$F:$F,""),"")</f>
        <v>0</v>
      </c>
      <c r="I1543" s="10" cm="1">
        <f t="array" ref="I1543">IFERROR(INDEX(Precios!$D:$F,MATCH(N1543, Precios!$G:$G, 0),CHOOSE(MATCH(H1543, {"SML";"XL";"XXL"}, 0), 1, 2, 3)), 0)</f>
        <v>0</v>
      </c>
      <c r="K1543" s="10">
        <f t="shared" si="56"/>
        <v>0</v>
      </c>
      <c r="N1543" s="9" t="str">
        <f t="shared" si="57"/>
        <v/>
      </c>
      <c r="O1543" s="9" t="str">
        <f>IF(N1543="","",IF(COUNTIF(Precios!$G:$G,N1543)=0,"⚠ No coincide con Precios","OK"))</f>
        <v/>
      </c>
    </row>
    <row r="1544" spans="3:15" x14ac:dyDescent="0.2">
      <c r="C1544" s="9" cm="1">
        <f t="array" ref="C1544">IFERROR(_xlfn.XLOOKUP(B1544,Personal!$A:$A,Personal!$D:$D,""),"")</f>
        <v>0</v>
      </c>
      <c r="D1544" s="9" cm="1">
        <f t="array" ref="D1544">IFERROR(_xlfn.XLOOKUP(B1544,Personal!$A:$A,Personal!$C:$C,""),"")</f>
        <v>0</v>
      </c>
      <c r="E1544" s="9" t="str" cm="1">
        <f t="array" ref="E1544">IFERROR(_xlfn.XLOOKUP(D1544,Locales!$A:$A,Locales!$B:$B,""),"")</f>
        <v/>
      </c>
      <c r="F1544" s="9" cm="1">
        <f t="array" ref="F1544">IFERROR(_xlfn.XLOOKUP(B1544,Personal!$A:$A,Personal!$F:$F,""),"")</f>
        <v>0</v>
      </c>
      <c r="I1544" s="10" cm="1">
        <f t="array" ref="I1544">IFERROR(INDEX(Precios!$D:$F,MATCH(N1544, Precios!$G:$G, 0),CHOOSE(MATCH(H1544, {"SML";"XL";"XXL"}, 0), 1, 2, 3)), 0)</f>
        <v>0</v>
      </c>
      <c r="K1544" s="10">
        <f t="shared" si="56"/>
        <v>0</v>
      </c>
      <c r="N1544" s="9" t="str">
        <f t="shared" si="57"/>
        <v/>
      </c>
      <c r="O1544" s="9" t="str">
        <f>IF(N1544="","",IF(COUNTIF(Precios!$G:$G,N1544)=0,"⚠ No coincide con Precios","OK"))</f>
        <v/>
      </c>
    </row>
    <row r="1545" spans="3:15" x14ac:dyDescent="0.2">
      <c r="C1545" s="9" cm="1">
        <f t="array" ref="C1545">IFERROR(_xlfn.XLOOKUP(B1545,Personal!$A:$A,Personal!$D:$D,""),"")</f>
        <v>0</v>
      </c>
      <c r="D1545" s="9" cm="1">
        <f t="array" ref="D1545">IFERROR(_xlfn.XLOOKUP(B1545,Personal!$A:$A,Personal!$C:$C,""),"")</f>
        <v>0</v>
      </c>
      <c r="E1545" s="9" t="str" cm="1">
        <f t="array" ref="E1545">IFERROR(_xlfn.XLOOKUP(D1545,Locales!$A:$A,Locales!$B:$B,""),"")</f>
        <v/>
      </c>
      <c r="F1545" s="9" cm="1">
        <f t="array" ref="F1545">IFERROR(_xlfn.XLOOKUP(B1545,Personal!$A:$A,Personal!$F:$F,""),"")</f>
        <v>0</v>
      </c>
      <c r="I1545" s="10" cm="1">
        <f t="array" ref="I1545">IFERROR(INDEX(Precios!$D:$F,MATCH(N1545, Precios!$G:$G, 0),CHOOSE(MATCH(H1545, {"SML";"XL";"XXL"}, 0), 1, 2, 3)), 0)</f>
        <v>0</v>
      </c>
      <c r="K1545" s="10">
        <f t="shared" si="56"/>
        <v>0</v>
      </c>
      <c r="N1545" s="9" t="str">
        <f t="shared" si="57"/>
        <v/>
      </c>
      <c r="O1545" s="9" t="str">
        <f>IF(N1545="","",IF(COUNTIF(Precios!$G:$G,N1545)=0,"⚠ No coincide con Precios","OK"))</f>
        <v/>
      </c>
    </row>
    <row r="1546" spans="3:15" x14ac:dyDescent="0.2">
      <c r="C1546" s="9" cm="1">
        <f t="array" ref="C1546">IFERROR(_xlfn.XLOOKUP(B1546,Personal!$A:$A,Personal!$D:$D,""),"")</f>
        <v>0</v>
      </c>
      <c r="D1546" s="9" cm="1">
        <f t="array" ref="D1546">IFERROR(_xlfn.XLOOKUP(B1546,Personal!$A:$A,Personal!$C:$C,""),"")</f>
        <v>0</v>
      </c>
      <c r="E1546" s="9" t="str" cm="1">
        <f t="array" ref="E1546">IFERROR(_xlfn.XLOOKUP(D1546,Locales!$A:$A,Locales!$B:$B,""),"")</f>
        <v/>
      </c>
      <c r="F1546" s="9" cm="1">
        <f t="array" ref="F1546">IFERROR(_xlfn.XLOOKUP(B1546,Personal!$A:$A,Personal!$F:$F,""),"")</f>
        <v>0</v>
      </c>
      <c r="I1546" s="10" cm="1">
        <f t="array" ref="I1546">IFERROR(INDEX(Precios!$D:$F,MATCH(N1546, Precios!$G:$G, 0),CHOOSE(MATCH(H1546, {"SML";"XL";"XXL"}, 0), 1, 2, 3)), 0)</f>
        <v>0</v>
      </c>
      <c r="K1546" s="10">
        <f t="shared" si="56"/>
        <v>0</v>
      </c>
      <c r="N1546" s="9" t="str">
        <f t="shared" si="57"/>
        <v/>
      </c>
      <c r="O1546" s="9" t="str">
        <f>IF(N1546="","",IF(COUNTIF(Precios!$G:$G,N1546)=0,"⚠ No coincide con Precios","OK"))</f>
        <v/>
      </c>
    </row>
    <row r="1547" spans="3:15" x14ac:dyDescent="0.2">
      <c r="C1547" s="9" cm="1">
        <f t="array" ref="C1547">IFERROR(_xlfn.XLOOKUP(B1547,Personal!$A:$A,Personal!$D:$D,""),"")</f>
        <v>0</v>
      </c>
      <c r="D1547" s="9" cm="1">
        <f t="array" ref="D1547">IFERROR(_xlfn.XLOOKUP(B1547,Personal!$A:$A,Personal!$C:$C,""),"")</f>
        <v>0</v>
      </c>
      <c r="E1547" s="9" t="str" cm="1">
        <f t="array" ref="E1547">IFERROR(_xlfn.XLOOKUP(D1547,Locales!$A:$A,Locales!$B:$B,""),"")</f>
        <v/>
      </c>
      <c r="F1547" s="9" cm="1">
        <f t="array" ref="F1547">IFERROR(_xlfn.XLOOKUP(B1547,Personal!$A:$A,Personal!$F:$F,""),"")</f>
        <v>0</v>
      </c>
      <c r="I1547" s="10" cm="1">
        <f t="array" ref="I1547">IFERROR(INDEX(Precios!$D:$F,MATCH(N1547, Precios!$G:$G, 0),CHOOSE(MATCH(H1547, {"SML";"XL";"XXL"}, 0), 1, 2, 3)), 0)</f>
        <v>0</v>
      </c>
      <c r="K1547" s="10">
        <f t="shared" si="56"/>
        <v>0</v>
      </c>
      <c r="N1547" s="9" t="str">
        <f t="shared" si="57"/>
        <v/>
      </c>
      <c r="O1547" s="9" t="str">
        <f>IF(N1547="","",IF(COUNTIF(Precios!$G:$G,N1547)=0,"⚠ No coincide con Precios","OK"))</f>
        <v/>
      </c>
    </row>
    <row r="1548" spans="3:15" x14ac:dyDescent="0.2">
      <c r="C1548" s="9" cm="1">
        <f t="array" ref="C1548">IFERROR(_xlfn.XLOOKUP(B1548,Personal!$A:$A,Personal!$D:$D,""),"")</f>
        <v>0</v>
      </c>
      <c r="D1548" s="9" cm="1">
        <f t="array" ref="D1548">IFERROR(_xlfn.XLOOKUP(B1548,Personal!$A:$A,Personal!$C:$C,""),"")</f>
        <v>0</v>
      </c>
      <c r="E1548" s="9" t="str" cm="1">
        <f t="array" ref="E1548">IFERROR(_xlfn.XLOOKUP(D1548,Locales!$A:$A,Locales!$B:$B,""),"")</f>
        <v/>
      </c>
      <c r="F1548" s="9" cm="1">
        <f t="array" ref="F1548">IFERROR(_xlfn.XLOOKUP(B1548,Personal!$A:$A,Personal!$F:$F,""),"")</f>
        <v>0</v>
      </c>
      <c r="I1548" s="10" cm="1">
        <f t="array" ref="I1548">IFERROR(INDEX(Precios!$D:$F,MATCH(N1548, Precios!$G:$G, 0),CHOOSE(MATCH(H1548, {"SML";"XL";"XXL"}, 0), 1, 2, 3)), 0)</f>
        <v>0</v>
      </c>
      <c r="K1548" s="10">
        <f t="shared" si="56"/>
        <v>0</v>
      </c>
      <c r="N1548" s="9" t="str">
        <f t="shared" si="57"/>
        <v/>
      </c>
      <c r="O1548" s="9" t="str">
        <f>IF(N1548="","",IF(COUNTIF(Precios!$G:$G,N1548)=0,"⚠ No coincide con Precios","OK"))</f>
        <v/>
      </c>
    </row>
    <row r="1549" spans="3:15" x14ac:dyDescent="0.2">
      <c r="C1549" s="9" cm="1">
        <f t="array" ref="C1549">IFERROR(_xlfn.XLOOKUP(B1549,Personal!$A:$A,Personal!$D:$D,""),"")</f>
        <v>0</v>
      </c>
      <c r="D1549" s="9" cm="1">
        <f t="array" ref="D1549">IFERROR(_xlfn.XLOOKUP(B1549,Personal!$A:$A,Personal!$C:$C,""),"")</f>
        <v>0</v>
      </c>
      <c r="E1549" s="9" t="str" cm="1">
        <f t="array" ref="E1549">IFERROR(_xlfn.XLOOKUP(D1549,Locales!$A:$A,Locales!$B:$B,""),"")</f>
        <v/>
      </c>
      <c r="F1549" s="9" cm="1">
        <f t="array" ref="F1549">IFERROR(_xlfn.XLOOKUP(B1549,Personal!$A:$A,Personal!$F:$F,""),"")</f>
        <v>0</v>
      </c>
      <c r="I1549" s="10" cm="1">
        <f t="array" ref="I1549">IFERROR(INDEX(Precios!$D:$F,MATCH(N1549, Precios!$G:$G, 0),CHOOSE(MATCH(H1549, {"SML";"XL";"XXL"}, 0), 1, 2, 3)), 0)</f>
        <v>0</v>
      </c>
      <c r="K1549" s="10">
        <f t="shared" si="56"/>
        <v>0</v>
      </c>
      <c r="N1549" s="9" t="str">
        <f t="shared" si="57"/>
        <v/>
      </c>
      <c r="O1549" s="9" t="str">
        <f>IF(N1549="","",IF(COUNTIF(Precios!$G:$G,N1549)=0,"⚠ No coincide con Precios","OK"))</f>
        <v/>
      </c>
    </row>
    <row r="1550" spans="3:15" x14ac:dyDescent="0.2">
      <c r="C1550" s="9" cm="1">
        <f t="array" ref="C1550">IFERROR(_xlfn.XLOOKUP(B1550,Personal!$A:$A,Personal!$D:$D,""),"")</f>
        <v>0</v>
      </c>
      <c r="D1550" s="9" cm="1">
        <f t="array" ref="D1550">IFERROR(_xlfn.XLOOKUP(B1550,Personal!$A:$A,Personal!$C:$C,""),"")</f>
        <v>0</v>
      </c>
      <c r="E1550" s="9" t="str" cm="1">
        <f t="array" ref="E1550">IFERROR(_xlfn.XLOOKUP(D1550,Locales!$A:$A,Locales!$B:$B,""),"")</f>
        <v/>
      </c>
      <c r="F1550" s="9" cm="1">
        <f t="array" ref="F1550">IFERROR(_xlfn.XLOOKUP(B1550,Personal!$A:$A,Personal!$F:$F,""),"")</f>
        <v>0</v>
      </c>
      <c r="I1550" s="10" cm="1">
        <f t="array" ref="I1550">IFERROR(INDEX(Precios!$D:$F,MATCH(N1550, Precios!$G:$G, 0),CHOOSE(MATCH(H1550, {"SML";"XL";"XXL"}, 0), 1, 2, 3)), 0)</f>
        <v>0</v>
      </c>
      <c r="K1550" s="10">
        <f t="shared" si="56"/>
        <v>0</v>
      </c>
      <c r="N1550" s="9" t="str">
        <f t="shared" si="57"/>
        <v/>
      </c>
      <c r="O1550" s="9" t="str">
        <f>IF(N1550="","",IF(COUNTIF(Precios!$G:$G,N1550)=0,"⚠ No coincide con Precios","OK"))</f>
        <v/>
      </c>
    </row>
    <row r="1551" spans="3:15" x14ac:dyDescent="0.2">
      <c r="C1551" s="9" cm="1">
        <f t="array" ref="C1551">IFERROR(_xlfn.XLOOKUP(B1551,Personal!$A:$A,Personal!$D:$D,""),"")</f>
        <v>0</v>
      </c>
      <c r="D1551" s="9" cm="1">
        <f t="array" ref="D1551">IFERROR(_xlfn.XLOOKUP(B1551,Personal!$A:$A,Personal!$C:$C,""),"")</f>
        <v>0</v>
      </c>
      <c r="E1551" s="9" t="str" cm="1">
        <f t="array" ref="E1551">IFERROR(_xlfn.XLOOKUP(D1551,Locales!$A:$A,Locales!$B:$B,""),"")</f>
        <v/>
      </c>
      <c r="F1551" s="9" cm="1">
        <f t="array" ref="F1551">IFERROR(_xlfn.XLOOKUP(B1551,Personal!$A:$A,Personal!$F:$F,""),"")</f>
        <v>0</v>
      </c>
      <c r="I1551" s="10" cm="1">
        <f t="array" ref="I1551">IFERROR(INDEX(Precios!$D:$F,MATCH(N1551, Precios!$G:$G, 0),CHOOSE(MATCH(H1551, {"SML";"XL";"XXL"}, 0), 1, 2, 3)), 0)</f>
        <v>0</v>
      </c>
      <c r="K1551" s="10">
        <f t="shared" si="56"/>
        <v>0</v>
      </c>
      <c r="N1551" s="9" t="str">
        <f t="shared" si="57"/>
        <v/>
      </c>
      <c r="O1551" s="9" t="str">
        <f>IF(N1551="","",IF(COUNTIF(Precios!$G:$G,N1551)=0,"⚠ No coincide con Precios","OK"))</f>
        <v/>
      </c>
    </row>
    <row r="1552" spans="3:15" x14ac:dyDescent="0.2">
      <c r="C1552" s="9" cm="1">
        <f t="array" ref="C1552">IFERROR(_xlfn.XLOOKUP(B1552,Personal!$A:$A,Personal!$D:$D,""),"")</f>
        <v>0</v>
      </c>
      <c r="D1552" s="9" cm="1">
        <f t="array" ref="D1552">IFERROR(_xlfn.XLOOKUP(B1552,Personal!$A:$A,Personal!$C:$C,""),"")</f>
        <v>0</v>
      </c>
      <c r="E1552" s="9" t="str" cm="1">
        <f t="array" ref="E1552">IFERROR(_xlfn.XLOOKUP(D1552,Locales!$A:$A,Locales!$B:$B,""),"")</f>
        <v/>
      </c>
      <c r="F1552" s="9" cm="1">
        <f t="array" ref="F1552">IFERROR(_xlfn.XLOOKUP(B1552,Personal!$A:$A,Personal!$F:$F,""),"")</f>
        <v>0</v>
      </c>
      <c r="I1552" s="10" cm="1">
        <f t="array" ref="I1552">IFERROR(INDEX(Precios!$D:$F,MATCH(N1552, Precios!$G:$G, 0),CHOOSE(MATCH(H1552, {"SML";"XL";"XXL"}, 0), 1, 2, 3)), 0)</f>
        <v>0</v>
      </c>
      <c r="K1552" s="10">
        <f t="shared" si="56"/>
        <v>0</v>
      </c>
      <c r="N1552" s="9" t="str">
        <f t="shared" si="57"/>
        <v/>
      </c>
      <c r="O1552" s="9" t="str">
        <f>IF(N1552="","",IF(COUNTIF(Precios!$G:$G,N1552)=0,"⚠ No coincide con Precios","OK"))</f>
        <v/>
      </c>
    </row>
    <row r="1553" spans="3:15" x14ac:dyDescent="0.2">
      <c r="C1553" s="9" cm="1">
        <f t="array" ref="C1553">IFERROR(_xlfn.XLOOKUP(B1553,Personal!$A:$A,Personal!$D:$D,""),"")</f>
        <v>0</v>
      </c>
      <c r="D1553" s="9" cm="1">
        <f t="array" ref="D1553">IFERROR(_xlfn.XLOOKUP(B1553,Personal!$A:$A,Personal!$C:$C,""),"")</f>
        <v>0</v>
      </c>
      <c r="E1553" s="9" t="str" cm="1">
        <f t="array" ref="E1553">IFERROR(_xlfn.XLOOKUP(D1553,Locales!$A:$A,Locales!$B:$B,""),"")</f>
        <v/>
      </c>
      <c r="F1553" s="9" cm="1">
        <f t="array" ref="F1553">IFERROR(_xlfn.XLOOKUP(B1553,Personal!$A:$A,Personal!$F:$F,""),"")</f>
        <v>0</v>
      </c>
      <c r="I1553" s="10" cm="1">
        <f t="array" ref="I1553">IFERROR(INDEX(Precios!$D:$F,MATCH(N1553, Precios!$G:$G, 0),CHOOSE(MATCH(H1553, {"SML";"XL";"XXL"}, 0), 1, 2, 3)), 0)</f>
        <v>0</v>
      </c>
      <c r="K1553" s="10">
        <f t="shared" si="56"/>
        <v>0</v>
      </c>
      <c r="N1553" s="9" t="str">
        <f t="shared" si="57"/>
        <v/>
      </c>
      <c r="O1553" s="9" t="str">
        <f>IF(N1553="","",IF(COUNTIF(Precios!$G:$G,N1553)=0,"⚠ No coincide con Precios","OK"))</f>
        <v/>
      </c>
    </row>
    <row r="1554" spans="3:15" x14ac:dyDescent="0.2">
      <c r="C1554" s="9" cm="1">
        <f t="array" ref="C1554">IFERROR(_xlfn.XLOOKUP(B1554,Personal!$A:$A,Personal!$D:$D,""),"")</f>
        <v>0</v>
      </c>
      <c r="D1554" s="9" cm="1">
        <f t="array" ref="D1554">IFERROR(_xlfn.XLOOKUP(B1554,Personal!$A:$A,Personal!$C:$C,""),"")</f>
        <v>0</v>
      </c>
      <c r="E1554" s="9" t="str" cm="1">
        <f t="array" ref="E1554">IFERROR(_xlfn.XLOOKUP(D1554,Locales!$A:$A,Locales!$B:$B,""),"")</f>
        <v/>
      </c>
      <c r="F1554" s="9" cm="1">
        <f t="array" ref="F1554">IFERROR(_xlfn.XLOOKUP(B1554,Personal!$A:$A,Personal!$F:$F,""),"")</f>
        <v>0</v>
      </c>
      <c r="I1554" s="10" cm="1">
        <f t="array" ref="I1554">IFERROR(INDEX(Precios!$D:$F,MATCH(N1554, Precios!$G:$G, 0),CHOOSE(MATCH(H1554, {"SML";"XL";"XXL"}, 0), 1, 2, 3)), 0)</f>
        <v>0</v>
      </c>
      <c r="K1554" s="10">
        <f t="shared" si="56"/>
        <v>0</v>
      </c>
      <c r="N1554" s="9" t="str">
        <f t="shared" si="57"/>
        <v/>
      </c>
      <c r="O1554" s="9" t="str">
        <f>IF(N1554="","",IF(COUNTIF(Precios!$G:$G,N1554)=0,"⚠ No coincide con Precios","OK"))</f>
        <v/>
      </c>
    </row>
    <row r="1555" spans="3:15" x14ac:dyDescent="0.2">
      <c r="C1555" s="9" cm="1">
        <f t="array" ref="C1555">IFERROR(_xlfn.XLOOKUP(B1555,Personal!$A:$A,Personal!$D:$D,""),"")</f>
        <v>0</v>
      </c>
      <c r="D1555" s="9" cm="1">
        <f t="array" ref="D1555">IFERROR(_xlfn.XLOOKUP(B1555,Personal!$A:$A,Personal!$C:$C,""),"")</f>
        <v>0</v>
      </c>
      <c r="E1555" s="9" t="str" cm="1">
        <f t="array" ref="E1555">IFERROR(_xlfn.XLOOKUP(D1555,Locales!$A:$A,Locales!$B:$B,""),"")</f>
        <v/>
      </c>
      <c r="F1555" s="9" cm="1">
        <f t="array" ref="F1555">IFERROR(_xlfn.XLOOKUP(B1555,Personal!$A:$A,Personal!$F:$F,""),"")</f>
        <v>0</v>
      </c>
      <c r="I1555" s="10" cm="1">
        <f t="array" ref="I1555">IFERROR(INDEX(Precios!$D:$F,MATCH(N1555, Precios!$G:$G, 0),CHOOSE(MATCH(H1555, {"SML";"XL";"XXL"}, 0), 1, 2, 3)), 0)</f>
        <v>0</v>
      </c>
      <c r="K1555" s="10">
        <f t="shared" si="56"/>
        <v>0</v>
      </c>
      <c r="N1555" s="9" t="str">
        <f t="shared" si="57"/>
        <v/>
      </c>
      <c r="O1555" s="9" t="str">
        <f>IF(N1555="","",IF(COUNTIF(Precios!$G:$G,N1555)=0,"⚠ No coincide con Precios","OK"))</f>
        <v/>
      </c>
    </row>
    <row r="1556" spans="3:15" x14ac:dyDescent="0.2">
      <c r="C1556" s="9" cm="1">
        <f t="array" ref="C1556">IFERROR(_xlfn.XLOOKUP(B1556,Personal!$A:$A,Personal!$D:$D,""),"")</f>
        <v>0</v>
      </c>
      <c r="D1556" s="9" cm="1">
        <f t="array" ref="D1556">IFERROR(_xlfn.XLOOKUP(B1556,Personal!$A:$A,Personal!$C:$C,""),"")</f>
        <v>0</v>
      </c>
      <c r="E1556" s="9" t="str" cm="1">
        <f t="array" ref="E1556">IFERROR(_xlfn.XLOOKUP(D1556,Locales!$A:$A,Locales!$B:$B,""),"")</f>
        <v/>
      </c>
      <c r="F1556" s="9" cm="1">
        <f t="array" ref="F1556">IFERROR(_xlfn.XLOOKUP(B1556,Personal!$A:$A,Personal!$F:$F,""),"")</f>
        <v>0</v>
      </c>
      <c r="I1556" s="10" cm="1">
        <f t="array" ref="I1556">IFERROR(INDEX(Precios!$D:$F,MATCH(N1556, Precios!$G:$G, 0),CHOOSE(MATCH(H1556, {"SML";"XL";"XXL"}, 0), 1, 2, 3)), 0)</f>
        <v>0</v>
      </c>
      <c r="K1556" s="10">
        <f t="shared" si="56"/>
        <v>0</v>
      </c>
      <c r="N1556" s="9" t="str">
        <f t="shared" si="57"/>
        <v/>
      </c>
      <c r="O1556" s="9" t="str">
        <f>IF(N1556="","",IF(COUNTIF(Precios!$G:$G,N1556)=0,"⚠ No coincide con Precios","OK"))</f>
        <v/>
      </c>
    </row>
    <row r="1557" spans="3:15" x14ac:dyDescent="0.2">
      <c r="C1557" s="9" cm="1">
        <f t="array" ref="C1557">IFERROR(_xlfn.XLOOKUP(B1557,Personal!$A:$A,Personal!$D:$D,""),"")</f>
        <v>0</v>
      </c>
      <c r="D1557" s="9" cm="1">
        <f t="array" ref="D1557">IFERROR(_xlfn.XLOOKUP(B1557,Personal!$A:$A,Personal!$C:$C,""),"")</f>
        <v>0</v>
      </c>
      <c r="E1557" s="9" t="str" cm="1">
        <f t="array" ref="E1557">IFERROR(_xlfn.XLOOKUP(D1557,Locales!$A:$A,Locales!$B:$B,""),"")</f>
        <v/>
      </c>
      <c r="F1557" s="9" cm="1">
        <f t="array" ref="F1557">IFERROR(_xlfn.XLOOKUP(B1557,Personal!$A:$A,Personal!$F:$F,""),"")</f>
        <v>0</v>
      </c>
      <c r="I1557" s="10" cm="1">
        <f t="array" ref="I1557">IFERROR(INDEX(Precios!$D:$F,MATCH(N1557, Precios!$G:$G, 0),CHOOSE(MATCH(H1557, {"SML";"XL";"XXL"}, 0), 1, 2, 3)), 0)</f>
        <v>0</v>
      </c>
      <c r="K1557" s="10">
        <f t="shared" si="56"/>
        <v>0</v>
      </c>
      <c r="N1557" s="9" t="str">
        <f t="shared" si="57"/>
        <v/>
      </c>
      <c r="O1557" s="9" t="str">
        <f>IF(N1557="","",IF(COUNTIF(Precios!$G:$G,N1557)=0,"⚠ No coincide con Precios","OK"))</f>
        <v/>
      </c>
    </row>
    <row r="1558" spans="3:15" x14ac:dyDescent="0.2">
      <c r="C1558" s="9" cm="1">
        <f t="array" ref="C1558">IFERROR(_xlfn.XLOOKUP(B1558,Personal!$A:$A,Personal!$D:$D,""),"")</f>
        <v>0</v>
      </c>
      <c r="D1558" s="9" cm="1">
        <f t="array" ref="D1558">IFERROR(_xlfn.XLOOKUP(B1558,Personal!$A:$A,Personal!$C:$C,""),"")</f>
        <v>0</v>
      </c>
      <c r="E1558" s="9" t="str" cm="1">
        <f t="array" ref="E1558">IFERROR(_xlfn.XLOOKUP(D1558,Locales!$A:$A,Locales!$B:$B,""),"")</f>
        <v/>
      </c>
      <c r="F1558" s="9" cm="1">
        <f t="array" ref="F1558">IFERROR(_xlfn.XLOOKUP(B1558,Personal!$A:$A,Personal!$F:$F,""),"")</f>
        <v>0</v>
      </c>
      <c r="I1558" s="10" cm="1">
        <f t="array" ref="I1558">IFERROR(INDEX(Precios!$D:$F,MATCH(N1558, Precios!$G:$G, 0),CHOOSE(MATCH(H1558, {"SML";"XL";"XXL"}, 0), 1, 2, 3)), 0)</f>
        <v>0</v>
      </c>
      <c r="K1558" s="10">
        <f t="shared" si="56"/>
        <v>0</v>
      </c>
      <c r="N1558" s="9" t="str">
        <f t="shared" si="57"/>
        <v/>
      </c>
      <c r="O1558" s="9" t="str">
        <f>IF(N1558="","",IF(COUNTIF(Precios!$G:$G,N1558)=0,"⚠ No coincide con Precios","OK"))</f>
        <v/>
      </c>
    </row>
    <row r="1559" spans="3:15" x14ac:dyDescent="0.2">
      <c r="C1559" s="9" cm="1">
        <f t="array" ref="C1559">IFERROR(_xlfn.XLOOKUP(B1559,Personal!$A:$A,Personal!$D:$D,""),"")</f>
        <v>0</v>
      </c>
      <c r="D1559" s="9" cm="1">
        <f t="array" ref="D1559">IFERROR(_xlfn.XLOOKUP(B1559,Personal!$A:$A,Personal!$C:$C,""),"")</f>
        <v>0</v>
      </c>
      <c r="E1559" s="9" t="str" cm="1">
        <f t="array" ref="E1559">IFERROR(_xlfn.XLOOKUP(D1559,Locales!$A:$A,Locales!$B:$B,""),"")</f>
        <v/>
      </c>
      <c r="F1559" s="9" cm="1">
        <f t="array" ref="F1559">IFERROR(_xlfn.XLOOKUP(B1559,Personal!$A:$A,Personal!$F:$F,""),"")</f>
        <v>0</v>
      </c>
      <c r="I1559" s="10" cm="1">
        <f t="array" ref="I1559">IFERROR(INDEX(Precios!$D:$F,MATCH(N1559, Precios!$G:$G, 0),CHOOSE(MATCH(H1559, {"SML";"XL";"XXL"}, 0), 1, 2, 3)), 0)</f>
        <v>0</v>
      </c>
      <c r="K1559" s="10">
        <f t="shared" si="56"/>
        <v>0</v>
      </c>
      <c r="N1559" s="9" t="str">
        <f t="shared" si="57"/>
        <v/>
      </c>
      <c r="O1559" s="9" t="str">
        <f>IF(N1559="","",IF(COUNTIF(Precios!$G:$G,N1559)=0,"⚠ No coincide con Precios","OK"))</f>
        <v/>
      </c>
    </row>
    <row r="1560" spans="3:15" x14ac:dyDescent="0.2">
      <c r="C1560" s="9" cm="1">
        <f t="array" ref="C1560">IFERROR(_xlfn.XLOOKUP(B1560,Personal!$A:$A,Personal!$D:$D,""),"")</f>
        <v>0</v>
      </c>
      <c r="D1560" s="9" cm="1">
        <f t="array" ref="D1560">IFERROR(_xlfn.XLOOKUP(B1560,Personal!$A:$A,Personal!$C:$C,""),"")</f>
        <v>0</v>
      </c>
      <c r="E1560" s="9" t="str" cm="1">
        <f t="array" ref="E1560">IFERROR(_xlfn.XLOOKUP(D1560,Locales!$A:$A,Locales!$B:$B,""),"")</f>
        <v/>
      </c>
      <c r="F1560" s="9" cm="1">
        <f t="array" ref="F1560">IFERROR(_xlfn.XLOOKUP(B1560,Personal!$A:$A,Personal!$F:$F,""),"")</f>
        <v>0</v>
      </c>
      <c r="I1560" s="10" cm="1">
        <f t="array" ref="I1560">IFERROR(INDEX(Precios!$D:$F,MATCH(N1560, Precios!$G:$G, 0),CHOOSE(MATCH(H1560, {"SML";"XL";"XXL"}, 0), 1, 2, 3)), 0)</f>
        <v>0</v>
      </c>
      <c r="K1560" s="10">
        <f t="shared" si="56"/>
        <v>0</v>
      </c>
      <c r="N1560" s="9" t="str">
        <f t="shared" si="57"/>
        <v/>
      </c>
      <c r="O1560" s="9" t="str">
        <f>IF(N1560="","",IF(COUNTIF(Precios!$G:$G,N1560)=0,"⚠ No coincide con Precios","OK"))</f>
        <v/>
      </c>
    </row>
    <row r="1561" spans="3:15" x14ac:dyDescent="0.2">
      <c r="C1561" s="9" cm="1">
        <f t="array" ref="C1561">IFERROR(_xlfn.XLOOKUP(B1561,Personal!$A:$A,Personal!$D:$D,""),"")</f>
        <v>0</v>
      </c>
      <c r="D1561" s="9" cm="1">
        <f t="array" ref="D1561">IFERROR(_xlfn.XLOOKUP(B1561,Personal!$A:$A,Personal!$C:$C,""),"")</f>
        <v>0</v>
      </c>
      <c r="E1561" s="9" t="str" cm="1">
        <f t="array" ref="E1561">IFERROR(_xlfn.XLOOKUP(D1561,Locales!$A:$A,Locales!$B:$B,""),"")</f>
        <v/>
      </c>
      <c r="F1561" s="9" cm="1">
        <f t="array" ref="F1561">IFERROR(_xlfn.XLOOKUP(B1561,Personal!$A:$A,Personal!$F:$F,""),"")</f>
        <v>0</v>
      </c>
      <c r="I1561" s="10" cm="1">
        <f t="array" ref="I1561">IFERROR(INDEX(Precios!$D:$F,MATCH(N1561, Precios!$G:$G, 0),CHOOSE(MATCH(H1561, {"SML";"XL";"XXL"}, 0), 1, 2, 3)), 0)</f>
        <v>0</v>
      </c>
      <c r="K1561" s="10">
        <f t="shared" si="56"/>
        <v>0</v>
      </c>
      <c r="N1561" s="9" t="str">
        <f t="shared" si="57"/>
        <v/>
      </c>
      <c r="O1561" s="9" t="str">
        <f>IF(N1561="","",IF(COUNTIF(Precios!$G:$G,N1561)=0,"⚠ No coincide con Precios","OK"))</f>
        <v/>
      </c>
    </row>
    <row r="1562" spans="3:15" x14ac:dyDescent="0.2">
      <c r="C1562" s="9" cm="1">
        <f t="array" ref="C1562">IFERROR(_xlfn.XLOOKUP(B1562,Personal!$A:$A,Personal!$D:$D,""),"")</f>
        <v>0</v>
      </c>
      <c r="D1562" s="9" cm="1">
        <f t="array" ref="D1562">IFERROR(_xlfn.XLOOKUP(B1562,Personal!$A:$A,Personal!$C:$C,""),"")</f>
        <v>0</v>
      </c>
      <c r="E1562" s="9" t="str" cm="1">
        <f t="array" ref="E1562">IFERROR(_xlfn.XLOOKUP(D1562,Locales!$A:$A,Locales!$B:$B,""),"")</f>
        <v/>
      </c>
      <c r="F1562" s="9" cm="1">
        <f t="array" ref="F1562">IFERROR(_xlfn.XLOOKUP(B1562,Personal!$A:$A,Personal!$F:$F,""),"")</f>
        <v>0</v>
      </c>
      <c r="I1562" s="10" cm="1">
        <f t="array" ref="I1562">IFERROR(INDEX(Precios!$D:$F,MATCH(N1562, Precios!$G:$G, 0),CHOOSE(MATCH(H1562, {"SML";"XL";"XXL"}, 0), 1, 2, 3)), 0)</f>
        <v>0</v>
      </c>
      <c r="K1562" s="10">
        <f t="shared" si="56"/>
        <v>0</v>
      </c>
      <c r="N1562" s="9" t="str">
        <f t="shared" si="57"/>
        <v/>
      </c>
      <c r="O1562" s="9" t="str">
        <f>IF(N1562="","",IF(COUNTIF(Precios!$G:$G,N1562)=0,"⚠ No coincide con Precios","OK"))</f>
        <v/>
      </c>
    </row>
    <row r="1563" spans="3:15" x14ac:dyDescent="0.2">
      <c r="C1563" s="9" cm="1">
        <f t="array" ref="C1563">IFERROR(_xlfn.XLOOKUP(B1563,Personal!$A:$A,Personal!$D:$D,""),"")</f>
        <v>0</v>
      </c>
      <c r="D1563" s="9" cm="1">
        <f t="array" ref="D1563">IFERROR(_xlfn.XLOOKUP(B1563,Personal!$A:$A,Personal!$C:$C,""),"")</f>
        <v>0</v>
      </c>
      <c r="E1563" s="9" t="str" cm="1">
        <f t="array" ref="E1563">IFERROR(_xlfn.XLOOKUP(D1563,Locales!$A:$A,Locales!$B:$B,""),"")</f>
        <v/>
      </c>
      <c r="F1563" s="9" cm="1">
        <f t="array" ref="F1563">IFERROR(_xlfn.XLOOKUP(B1563,Personal!$A:$A,Personal!$F:$F,""),"")</f>
        <v>0</v>
      </c>
      <c r="I1563" s="10" cm="1">
        <f t="array" ref="I1563">IFERROR(INDEX(Precios!$D:$F,MATCH(N1563, Precios!$G:$G, 0),CHOOSE(MATCH(H1563, {"SML";"XL";"XXL"}, 0), 1, 2, 3)), 0)</f>
        <v>0</v>
      </c>
      <c r="K1563" s="10">
        <f t="shared" si="56"/>
        <v>0</v>
      </c>
      <c r="N1563" s="9" t="str">
        <f t="shared" si="57"/>
        <v/>
      </c>
      <c r="O1563" s="9" t="str">
        <f>IF(N1563="","",IF(COUNTIF(Precios!$G:$G,N1563)=0,"⚠ No coincide con Precios","OK"))</f>
        <v/>
      </c>
    </row>
    <row r="1564" spans="3:15" x14ac:dyDescent="0.2">
      <c r="C1564" s="9" cm="1">
        <f t="array" ref="C1564">IFERROR(_xlfn.XLOOKUP(B1564,Personal!$A:$A,Personal!$D:$D,""),"")</f>
        <v>0</v>
      </c>
      <c r="D1564" s="9" cm="1">
        <f t="array" ref="D1564">IFERROR(_xlfn.XLOOKUP(B1564,Personal!$A:$A,Personal!$C:$C,""),"")</f>
        <v>0</v>
      </c>
      <c r="E1564" s="9" t="str" cm="1">
        <f t="array" ref="E1564">IFERROR(_xlfn.XLOOKUP(D1564,Locales!$A:$A,Locales!$B:$B,""),"")</f>
        <v/>
      </c>
      <c r="F1564" s="9" cm="1">
        <f t="array" ref="F1564">IFERROR(_xlfn.XLOOKUP(B1564,Personal!$A:$A,Personal!$F:$F,""),"")</f>
        <v>0</v>
      </c>
      <c r="I1564" s="10" cm="1">
        <f t="array" ref="I1564">IFERROR(INDEX(Precios!$D:$F,MATCH(N1564, Precios!$G:$G, 0),CHOOSE(MATCH(H1564, {"SML";"XL";"XXL"}, 0), 1, 2, 3)), 0)</f>
        <v>0</v>
      </c>
      <c r="K1564" s="10">
        <f t="shared" si="56"/>
        <v>0</v>
      </c>
      <c r="N1564" s="9" t="str">
        <f t="shared" si="57"/>
        <v/>
      </c>
      <c r="O1564" s="9" t="str">
        <f>IF(N1564="","",IF(COUNTIF(Precios!$G:$G,N1564)=0,"⚠ No coincide con Precios","OK"))</f>
        <v/>
      </c>
    </row>
    <row r="1565" spans="3:15" x14ac:dyDescent="0.2">
      <c r="C1565" s="9" cm="1">
        <f t="array" ref="C1565">IFERROR(_xlfn.XLOOKUP(B1565,Personal!$A:$A,Personal!$D:$D,""),"")</f>
        <v>0</v>
      </c>
      <c r="D1565" s="9" cm="1">
        <f t="array" ref="D1565">IFERROR(_xlfn.XLOOKUP(B1565,Personal!$A:$A,Personal!$C:$C,""),"")</f>
        <v>0</v>
      </c>
      <c r="E1565" s="9" t="str" cm="1">
        <f t="array" ref="E1565">IFERROR(_xlfn.XLOOKUP(D1565,Locales!$A:$A,Locales!$B:$B,""),"")</f>
        <v/>
      </c>
      <c r="F1565" s="9" cm="1">
        <f t="array" ref="F1565">IFERROR(_xlfn.XLOOKUP(B1565,Personal!$A:$A,Personal!$F:$F,""),"")</f>
        <v>0</v>
      </c>
      <c r="I1565" s="10" cm="1">
        <f t="array" ref="I1565">IFERROR(INDEX(Precios!$D:$F,MATCH(N1565, Precios!$G:$G, 0),CHOOSE(MATCH(H1565, {"SML";"XL";"XXL"}, 0), 1, 2, 3)), 0)</f>
        <v>0</v>
      </c>
      <c r="K1565" s="10">
        <f t="shared" si="56"/>
        <v>0</v>
      </c>
      <c r="N1565" s="9" t="str">
        <f t="shared" si="57"/>
        <v/>
      </c>
      <c r="O1565" s="9" t="str">
        <f>IF(N1565="","",IF(COUNTIF(Precios!$G:$G,N1565)=0,"⚠ No coincide con Precios","OK"))</f>
        <v/>
      </c>
    </row>
    <row r="1566" spans="3:15" x14ac:dyDescent="0.2">
      <c r="C1566" s="9" cm="1">
        <f t="array" ref="C1566">IFERROR(_xlfn.XLOOKUP(B1566,Personal!$A:$A,Personal!$D:$D,""),"")</f>
        <v>0</v>
      </c>
      <c r="D1566" s="9" cm="1">
        <f t="array" ref="D1566">IFERROR(_xlfn.XLOOKUP(B1566,Personal!$A:$A,Personal!$C:$C,""),"")</f>
        <v>0</v>
      </c>
      <c r="E1566" s="9" t="str" cm="1">
        <f t="array" ref="E1566">IFERROR(_xlfn.XLOOKUP(D1566,Locales!$A:$A,Locales!$B:$B,""),"")</f>
        <v/>
      </c>
      <c r="F1566" s="9" cm="1">
        <f t="array" ref="F1566">IFERROR(_xlfn.XLOOKUP(B1566,Personal!$A:$A,Personal!$F:$F,""),"")</f>
        <v>0</v>
      </c>
      <c r="I1566" s="10" cm="1">
        <f t="array" ref="I1566">IFERROR(INDEX(Precios!$D:$F,MATCH(N1566, Precios!$G:$G, 0),CHOOSE(MATCH(H1566, {"SML";"XL";"XXL"}, 0), 1, 2, 3)), 0)</f>
        <v>0</v>
      </c>
      <c r="K1566" s="10">
        <f t="shared" si="56"/>
        <v>0</v>
      </c>
      <c r="N1566" s="9" t="str">
        <f t="shared" si="57"/>
        <v/>
      </c>
      <c r="O1566" s="9" t="str">
        <f>IF(N1566="","",IF(COUNTIF(Precios!$G:$G,N1566)=0,"⚠ No coincide con Precios","OK"))</f>
        <v/>
      </c>
    </row>
    <row r="1567" spans="3:15" x14ac:dyDescent="0.2">
      <c r="C1567" s="9" cm="1">
        <f t="array" ref="C1567">IFERROR(_xlfn.XLOOKUP(B1567,Personal!$A:$A,Personal!$D:$D,""),"")</f>
        <v>0</v>
      </c>
      <c r="D1567" s="9" cm="1">
        <f t="array" ref="D1567">IFERROR(_xlfn.XLOOKUP(B1567,Personal!$A:$A,Personal!$C:$C,""),"")</f>
        <v>0</v>
      </c>
      <c r="E1567" s="9" t="str" cm="1">
        <f t="array" ref="E1567">IFERROR(_xlfn.XLOOKUP(D1567,Locales!$A:$A,Locales!$B:$B,""),"")</f>
        <v/>
      </c>
      <c r="F1567" s="9" cm="1">
        <f t="array" ref="F1567">IFERROR(_xlfn.XLOOKUP(B1567,Personal!$A:$A,Personal!$F:$F,""),"")</f>
        <v>0</v>
      </c>
      <c r="I1567" s="10" cm="1">
        <f t="array" ref="I1567">IFERROR(INDEX(Precios!$D:$F,MATCH(N1567, Precios!$G:$G, 0),CHOOSE(MATCH(H1567, {"SML";"XL";"XXL"}, 0), 1, 2, 3)), 0)</f>
        <v>0</v>
      </c>
      <c r="K1567" s="10">
        <f t="shared" si="56"/>
        <v>0</v>
      </c>
      <c r="N1567" s="9" t="str">
        <f t="shared" si="57"/>
        <v/>
      </c>
      <c r="O1567" s="9" t="str">
        <f>IF(N1567="","",IF(COUNTIF(Precios!$G:$G,N1567)=0,"⚠ No coincide con Precios","OK"))</f>
        <v/>
      </c>
    </row>
    <row r="1568" spans="3:15" x14ac:dyDescent="0.2">
      <c r="C1568" s="9" cm="1">
        <f t="array" ref="C1568">IFERROR(_xlfn.XLOOKUP(B1568,Personal!$A:$A,Personal!$D:$D,""),"")</f>
        <v>0</v>
      </c>
      <c r="D1568" s="9" cm="1">
        <f t="array" ref="D1568">IFERROR(_xlfn.XLOOKUP(B1568,Personal!$A:$A,Personal!$C:$C,""),"")</f>
        <v>0</v>
      </c>
      <c r="E1568" s="9" t="str" cm="1">
        <f t="array" ref="E1568">IFERROR(_xlfn.XLOOKUP(D1568,Locales!$A:$A,Locales!$B:$B,""),"")</f>
        <v/>
      </c>
      <c r="F1568" s="9" cm="1">
        <f t="array" ref="F1568">IFERROR(_xlfn.XLOOKUP(B1568,Personal!$A:$A,Personal!$F:$F,""),"")</f>
        <v>0</v>
      </c>
      <c r="I1568" s="10" cm="1">
        <f t="array" ref="I1568">IFERROR(INDEX(Precios!$D:$F,MATCH(N1568, Precios!$G:$G, 0),CHOOSE(MATCH(H1568, {"SML";"XL";"XXL"}, 0), 1, 2, 3)), 0)</f>
        <v>0</v>
      </c>
      <c r="K1568" s="10">
        <f t="shared" si="56"/>
        <v>0</v>
      </c>
      <c r="N1568" s="9" t="str">
        <f t="shared" si="57"/>
        <v/>
      </c>
      <c r="O1568" s="9" t="str">
        <f>IF(N1568="","",IF(COUNTIF(Precios!$G:$G,N1568)=0,"⚠ No coincide con Precios","OK"))</f>
        <v/>
      </c>
    </row>
    <row r="1569" spans="3:15" x14ac:dyDescent="0.2">
      <c r="C1569" s="9" cm="1">
        <f t="array" ref="C1569">IFERROR(_xlfn.XLOOKUP(B1569,Personal!$A:$A,Personal!$D:$D,""),"")</f>
        <v>0</v>
      </c>
      <c r="D1569" s="9" cm="1">
        <f t="array" ref="D1569">IFERROR(_xlfn.XLOOKUP(B1569,Personal!$A:$A,Personal!$C:$C,""),"")</f>
        <v>0</v>
      </c>
      <c r="E1569" s="9" t="str" cm="1">
        <f t="array" ref="E1569">IFERROR(_xlfn.XLOOKUP(D1569,Locales!$A:$A,Locales!$B:$B,""),"")</f>
        <v/>
      </c>
      <c r="F1569" s="9" cm="1">
        <f t="array" ref="F1569">IFERROR(_xlfn.XLOOKUP(B1569,Personal!$A:$A,Personal!$F:$F,""),"")</f>
        <v>0</v>
      </c>
      <c r="I1569" s="10" cm="1">
        <f t="array" ref="I1569">IFERROR(INDEX(Precios!$D:$F,MATCH(N1569, Precios!$G:$G, 0),CHOOSE(MATCH(H1569, {"SML";"XL";"XXL"}, 0), 1, 2, 3)), 0)</f>
        <v>0</v>
      </c>
      <c r="K1569" s="10">
        <f t="shared" si="56"/>
        <v>0</v>
      </c>
      <c r="N1569" s="9" t="str">
        <f t="shared" si="57"/>
        <v/>
      </c>
      <c r="O1569" s="9" t="str">
        <f>IF(N1569="","",IF(COUNTIF(Precios!$G:$G,N1569)=0,"⚠ No coincide con Precios","OK"))</f>
        <v/>
      </c>
    </row>
    <row r="1570" spans="3:15" x14ac:dyDescent="0.2">
      <c r="C1570" s="9" cm="1">
        <f t="array" ref="C1570">IFERROR(_xlfn.XLOOKUP(B1570,Personal!$A:$A,Personal!$D:$D,""),"")</f>
        <v>0</v>
      </c>
      <c r="D1570" s="9" cm="1">
        <f t="array" ref="D1570">IFERROR(_xlfn.XLOOKUP(B1570,Personal!$A:$A,Personal!$C:$C,""),"")</f>
        <v>0</v>
      </c>
      <c r="E1570" s="9" t="str" cm="1">
        <f t="array" ref="E1570">IFERROR(_xlfn.XLOOKUP(D1570,Locales!$A:$A,Locales!$B:$B,""),"")</f>
        <v/>
      </c>
      <c r="F1570" s="9" cm="1">
        <f t="array" ref="F1570">IFERROR(_xlfn.XLOOKUP(B1570,Personal!$A:$A,Personal!$F:$F,""),"")</f>
        <v>0</v>
      </c>
      <c r="I1570" s="10" cm="1">
        <f t="array" ref="I1570">IFERROR(INDEX(Precios!$D:$F,MATCH(N1570, Precios!$G:$G, 0),CHOOSE(MATCH(H1570, {"SML";"XL";"XXL"}, 0), 1, 2, 3)), 0)</f>
        <v>0</v>
      </c>
      <c r="K1570" s="10">
        <f t="shared" si="56"/>
        <v>0</v>
      </c>
      <c r="N1570" s="9" t="str">
        <f t="shared" si="57"/>
        <v/>
      </c>
      <c r="O1570" s="9" t="str">
        <f>IF(N1570="","",IF(COUNTIF(Precios!$G:$G,N1570)=0,"⚠ No coincide con Precios","OK"))</f>
        <v/>
      </c>
    </row>
    <row r="1571" spans="3:15" x14ac:dyDescent="0.2">
      <c r="C1571" s="9" cm="1">
        <f t="array" ref="C1571">IFERROR(_xlfn.XLOOKUP(B1571,Personal!$A:$A,Personal!$D:$D,""),"")</f>
        <v>0</v>
      </c>
      <c r="D1571" s="9" cm="1">
        <f t="array" ref="D1571">IFERROR(_xlfn.XLOOKUP(B1571,Personal!$A:$A,Personal!$C:$C,""),"")</f>
        <v>0</v>
      </c>
      <c r="E1571" s="9" t="str" cm="1">
        <f t="array" ref="E1571">IFERROR(_xlfn.XLOOKUP(D1571,Locales!$A:$A,Locales!$B:$B,""),"")</f>
        <v/>
      </c>
      <c r="F1571" s="9" cm="1">
        <f t="array" ref="F1571">IFERROR(_xlfn.XLOOKUP(B1571,Personal!$A:$A,Personal!$F:$F,""),"")</f>
        <v>0</v>
      </c>
      <c r="I1571" s="10" cm="1">
        <f t="array" ref="I1571">IFERROR(INDEX(Precios!$D:$F,MATCH(N1571, Precios!$G:$G, 0),CHOOSE(MATCH(H1571, {"SML";"XL";"XXL"}, 0), 1, 2, 3)), 0)</f>
        <v>0</v>
      </c>
      <c r="K1571" s="10">
        <f t="shared" si="56"/>
        <v>0</v>
      </c>
      <c r="N1571" s="9" t="str">
        <f t="shared" si="57"/>
        <v/>
      </c>
      <c r="O1571" s="9" t="str">
        <f>IF(N1571="","",IF(COUNTIF(Precios!$G:$G,N1571)=0,"⚠ No coincide con Precios","OK"))</f>
        <v/>
      </c>
    </row>
    <row r="1572" spans="3:15" x14ac:dyDescent="0.2">
      <c r="C1572" s="9" cm="1">
        <f t="array" ref="C1572">IFERROR(_xlfn.XLOOKUP(B1572,Personal!$A:$A,Personal!$D:$D,""),"")</f>
        <v>0</v>
      </c>
      <c r="D1572" s="9" cm="1">
        <f t="array" ref="D1572">IFERROR(_xlfn.XLOOKUP(B1572,Personal!$A:$A,Personal!$C:$C,""),"")</f>
        <v>0</v>
      </c>
      <c r="E1572" s="9" t="str" cm="1">
        <f t="array" ref="E1572">IFERROR(_xlfn.XLOOKUP(D1572,Locales!$A:$A,Locales!$B:$B,""),"")</f>
        <v/>
      </c>
      <c r="F1572" s="9" cm="1">
        <f t="array" ref="F1572">IFERROR(_xlfn.XLOOKUP(B1572,Personal!$A:$A,Personal!$F:$F,""),"")</f>
        <v>0</v>
      </c>
      <c r="I1572" s="10" cm="1">
        <f t="array" ref="I1572">IFERROR(INDEX(Precios!$D:$F,MATCH(N1572, Precios!$G:$G, 0),CHOOSE(MATCH(H1572, {"SML";"XL";"XXL"}, 0), 1, 2, 3)), 0)</f>
        <v>0</v>
      </c>
      <c r="K1572" s="10">
        <f t="shared" si="56"/>
        <v>0</v>
      </c>
      <c r="N1572" s="9" t="str">
        <f t="shared" si="57"/>
        <v/>
      </c>
      <c r="O1572" s="9" t="str">
        <f>IF(N1572="","",IF(COUNTIF(Precios!$G:$G,N1572)=0,"⚠ No coincide con Precios","OK"))</f>
        <v/>
      </c>
    </row>
    <row r="1573" spans="3:15" x14ac:dyDescent="0.2">
      <c r="C1573" s="9" cm="1">
        <f t="array" ref="C1573">IFERROR(_xlfn.XLOOKUP(B1573,Personal!$A:$A,Personal!$D:$D,""),"")</f>
        <v>0</v>
      </c>
      <c r="D1573" s="9" cm="1">
        <f t="array" ref="D1573">IFERROR(_xlfn.XLOOKUP(B1573,Personal!$A:$A,Personal!$C:$C,""),"")</f>
        <v>0</v>
      </c>
      <c r="E1573" s="9" t="str" cm="1">
        <f t="array" ref="E1573">IFERROR(_xlfn.XLOOKUP(D1573,Locales!$A:$A,Locales!$B:$B,""),"")</f>
        <v/>
      </c>
      <c r="F1573" s="9" cm="1">
        <f t="array" ref="F1573">IFERROR(_xlfn.XLOOKUP(B1573,Personal!$A:$A,Personal!$F:$F,""),"")</f>
        <v>0</v>
      </c>
      <c r="I1573" s="10" cm="1">
        <f t="array" ref="I1573">IFERROR(INDEX(Precios!$D:$F,MATCH(N1573, Precios!$G:$G, 0),CHOOSE(MATCH(H1573, {"SML";"XL";"XXL"}, 0), 1, 2, 3)), 0)</f>
        <v>0</v>
      </c>
      <c r="K1573" s="10">
        <f t="shared" si="56"/>
        <v>0</v>
      </c>
      <c r="N1573" s="9" t="str">
        <f t="shared" si="57"/>
        <v/>
      </c>
      <c r="O1573" s="9" t="str">
        <f>IF(N1573="","",IF(COUNTIF(Precios!$G:$G,N1573)=0,"⚠ No coincide con Precios","OK"))</f>
        <v/>
      </c>
    </row>
    <row r="1574" spans="3:15" x14ac:dyDescent="0.2">
      <c r="C1574" s="9" cm="1">
        <f t="array" ref="C1574">IFERROR(_xlfn.XLOOKUP(B1574,Personal!$A:$A,Personal!$D:$D,""),"")</f>
        <v>0</v>
      </c>
      <c r="D1574" s="9" cm="1">
        <f t="array" ref="D1574">IFERROR(_xlfn.XLOOKUP(B1574,Personal!$A:$A,Personal!$C:$C,""),"")</f>
        <v>0</v>
      </c>
      <c r="E1574" s="9" t="str" cm="1">
        <f t="array" ref="E1574">IFERROR(_xlfn.XLOOKUP(D1574,Locales!$A:$A,Locales!$B:$B,""),"")</f>
        <v/>
      </c>
      <c r="F1574" s="9" cm="1">
        <f t="array" ref="F1574">IFERROR(_xlfn.XLOOKUP(B1574,Personal!$A:$A,Personal!$F:$F,""),"")</f>
        <v>0</v>
      </c>
      <c r="I1574" s="10" cm="1">
        <f t="array" ref="I1574">IFERROR(INDEX(Precios!$D:$F,MATCH(N1574, Precios!$G:$G, 0),CHOOSE(MATCH(H1574, {"SML";"XL";"XXL"}, 0), 1, 2, 3)), 0)</f>
        <v>0</v>
      </c>
      <c r="K1574" s="10">
        <f t="shared" si="56"/>
        <v>0</v>
      </c>
      <c r="N1574" s="9" t="str">
        <f t="shared" si="57"/>
        <v/>
      </c>
      <c r="O1574" s="9" t="str">
        <f>IF(N1574="","",IF(COUNTIF(Precios!$G:$G,N1574)=0,"⚠ No coincide con Precios","OK"))</f>
        <v/>
      </c>
    </row>
    <row r="1575" spans="3:15" x14ac:dyDescent="0.2">
      <c r="C1575" s="9" cm="1">
        <f t="array" ref="C1575">IFERROR(_xlfn.XLOOKUP(B1575,Personal!$A:$A,Personal!$D:$D,""),"")</f>
        <v>0</v>
      </c>
      <c r="D1575" s="9" cm="1">
        <f t="array" ref="D1575">IFERROR(_xlfn.XLOOKUP(B1575,Personal!$A:$A,Personal!$C:$C,""),"")</f>
        <v>0</v>
      </c>
      <c r="E1575" s="9" t="str" cm="1">
        <f t="array" ref="E1575">IFERROR(_xlfn.XLOOKUP(D1575,Locales!$A:$A,Locales!$B:$B,""),"")</f>
        <v/>
      </c>
      <c r="F1575" s="9" cm="1">
        <f t="array" ref="F1575">IFERROR(_xlfn.XLOOKUP(B1575,Personal!$A:$A,Personal!$F:$F,""),"")</f>
        <v>0</v>
      </c>
      <c r="I1575" s="10" cm="1">
        <f t="array" ref="I1575">IFERROR(INDEX(Precios!$D:$F,MATCH(N1575, Precios!$G:$G, 0),CHOOSE(MATCH(H1575, {"SML";"XL";"XXL"}, 0), 1, 2, 3)), 0)</f>
        <v>0</v>
      </c>
      <c r="K1575" s="10">
        <f t="shared" si="56"/>
        <v>0</v>
      </c>
      <c r="N1575" s="9" t="str">
        <f t="shared" si="57"/>
        <v/>
      </c>
      <c r="O1575" s="9" t="str">
        <f>IF(N1575="","",IF(COUNTIF(Precios!$G:$G,N1575)=0,"⚠ No coincide con Precios","OK"))</f>
        <v/>
      </c>
    </row>
    <row r="1576" spans="3:15" x14ac:dyDescent="0.2">
      <c r="C1576" s="9" cm="1">
        <f t="array" ref="C1576">IFERROR(_xlfn.XLOOKUP(B1576,Personal!$A:$A,Personal!$D:$D,""),"")</f>
        <v>0</v>
      </c>
      <c r="D1576" s="9" cm="1">
        <f t="array" ref="D1576">IFERROR(_xlfn.XLOOKUP(B1576,Personal!$A:$A,Personal!$C:$C,""),"")</f>
        <v>0</v>
      </c>
      <c r="E1576" s="9" t="str" cm="1">
        <f t="array" ref="E1576">IFERROR(_xlfn.XLOOKUP(D1576,Locales!$A:$A,Locales!$B:$B,""),"")</f>
        <v/>
      </c>
      <c r="F1576" s="9" cm="1">
        <f t="array" ref="F1576">IFERROR(_xlfn.XLOOKUP(B1576,Personal!$A:$A,Personal!$F:$F,""),"")</f>
        <v>0</v>
      </c>
      <c r="I1576" s="10" cm="1">
        <f t="array" ref="I1576">IFERROR(INDEX(Precios!$D:$F,MATCH(N1576, Precios!$G:$G, 0),CHOOSE(MATCH(H1576, {"SML";"XL";"XXL"}, 0), 1, 2, 3)), 0)</f>
        <v>0</v>
      </c>
      <c r="K1576" s="10">
        <f t="shared" si="56"/>
        <v>0</v>
      </c>
      <c r="N1576" s="9" t="str">
        <f t="shared" si="57"/>
        <v/>
      </c>
      <c r="O1576" s="9" t="str">
        <f>IF(N1576="","",IF(COUNTIF(Precios!$G:$G,N1576)=0,"⚠ No coincide con Precios","OK"))</f>
        <v/>
      </c>
    </row>
    <row r="1577" spans="3:15" x14ac:dyDescent="0.2">
      <c r="C1577" s="9" cm="1">
        <f t="array" ref="C1577">IFERROR(_xlfn.XLOOKUP(B1577,Personal!$A:$A,Personal!$D:$D,""),"")</f>
        <v>0</v>
      </c>
      <c r="D1577" s="9" cm="1">
        <f t="array" ref="D1577">IFERROR(_xlfn.XLOOKUP(B1577,Personal!$A:$A,Personal!$C:$C,""),"")</f>
        <v>0</v>
      </c>
      <c r="E1577" s="9" t="str" cm="1">
        <f t="array" ref="E1577">IFERROR(_xlfn.XLOOKUP(D1577,Locales!$A:$A,Locales!$B:$B,""),"")</f>
        <v/>
      </c>
      <c r="F1577" s="9" cm="1">
        <f t="array" ref="F1577">IFERROR(_xlfn.XLOOKUP(B1577,Personal!$A:$A,Personal!$F:$F,""),"")</f>
        <v>0</v>
      </c>
      <c r="I1577" s="10" cm="1">
        <f t="array" ref="I1577">IFERROR(INDEX(Precios!$D:$F,MATCH(N1577, Precios!$G:$G, 0),CHOOSE(MATCH(H1577, {"SML";"XL";"XXL"}, 0), 1, 2, 3)), 0)</f>
        <v>0</v>
      </c>
      <c r="K1577" s="10">
        <f t="shared" si="56"/>
        <v>0</v>
      </c>
      <c r="N1577" s="9" t="str">
        <f t="shared" si="57"/>
        <v/>
      </c>
      <c r="O1577" s="9" t="str">
        <f>IF(N1577="","",IF(COUNTIF(Precios!$G:$G,N1577)=0,"⚠ No coincide con Precios","OK"))</f>
        <v/>
      </c>
    </row>
    <row r="1578" spans="3:15" x14ac:dyDescent="0.2">
      <c r="C1578" s="9" cm="1">
        <f t="array" ref="C1578">IFERROR(_xlfn.XLOOKUP(B1578,Personal!$A:$A,Personal!$D:$D,""),"")</f>
        <v>0</v>
      </c>
      <c r="D1578" s="9" cm="1">
        <f t="array" ref="D1578">IFERROR(_xlfn.XLOOKUP(B1578,Personal!$A:$A,Personal!$C:$C,""),"")</f>
        <v>0</v>
      </c>
      <c r="E1578" s="9" t="str" cm="1">
        <f t="array" ref="E1578">IFERROR(_xlfn.XLOOKUP(D1578,Locales!$A:$A,Locales!$B:$B,""),"")</f>
        <v/>
      </c>
      <c r="F1578" s="9" cm="1">
        <f t="array" ref="F1578">IFERROR(_xlfn.XLOOKUP(B1578,Personal!$A:$A,Personal!$F:$F,""),"")</f>
        <v>0</v>
      </c>
      <c r="I1578" s="10" cm="1">
        <f t="array" ref="I1578">IFERROR(INDEX(Precios!$D:$F,MATCH(N1578, Precios!$G:$G, 0),CHOOSE(MATCH(H1578, {"SML";"XL";"XXL"}, 0), 1, 2, 3)), 0)</f>
        <v>0</v>
      </c>
      <c r="K1578" s="10">
        <f t="shared" si="56"/>
        <v>0</v>
      </c>
      <c r="N1578" s="9" t="str">
        <f t="shared" si="57"/>
        <v/>
      </c>
      <c r="O1578" s="9" t="str">
        <f>IF(N1578="","",IF(COUNTIF(Precios!$G:$G,N1578)=0,"⚠ No coincide con Precios","OK"))</f>
        <v/>
      </c>
    </row>
    <row r="1579" spans="3:15" x14ac:dyDescent="0.2">
      <c r="C1579" s="9" cm="1">
        <f t="array" ref="C1579">IFERROR(_xlfn.XLOOKUP(B1579,Personal!$A:$A,Personal!$D:$D,""),"")</f>
        <v>0</v>
      </c>
      <c r="D1579" s="9" cm="1">
        <f t="array" ref="D1579">IFERROR(_xlfn.XLOOKUP(B1579,Personal!$A:$A,Personal!$C:$C,""),"")</f>
        <v>0</v>
      </c>
      <c r="E1579" s="9" t="str" cm="1">
        <f t="array" ref="E1579">IFERROR(_xlfn.XLOOKUP(D1579,Locales!$A:$A,Locales!$B:$B,""),"")</f>
        <v/>
      </c>
      <c r="F1579" s="9" cm="1">
        <f t="array" ref="F1579">IFERROR(_xlfn.XLOOKUP(B1579,Personal!$A:$A,Personal!$F:$F,""),"")</f>
        <v>0</v>
      </c>
      <c r="I1579" s="10" cm="1">
        <f t="array" ref="I1579">IFERROR(INDEX(Precios!$D:$F,MATCH(N1579, Precios!$G:$G, 0),CHOOSE(MATCH(H1579, {"SML";"XL";"XXL"}, 0), 1, 2, 3)), 0)</f>
        <v>0</v>
      </c>
      <c r="K1579" s="10">
        <f t="shared" si="56"/>
        <v>0</v>
      </c>
      <c r="N1579" s="9" t="str">
        <f t="shared" si="57"/>
        <v/>
      </c>
      <c r="O1579" s="9" t="str">
        <f>IF(N1579="","",IF(COUNTIF(Precios!$G:$G,N1579)=0,"⚠ No coincide con Precios","OK"))</f>
        <v/>
      </c>
    </row>
    <row r="1580" spans="3:15" x14ac:dyDescent="0.2">
      <c r="C1580" s="9" cm="1">
        <f t="array" ref="C1580">IFERROR(_xlfn.XLOOKUP(B1580,Personal!$A:$A,Personal!$D:$D,""),"")</f>
        <v>0</v>
      </c>
      <c r="D1580" s="9" cm="1">
        <f t="array" ref="D1580">IFERROR(_xlfn.XLOOKUP(B1580,Personal!$A:$A,Personal!$C:$C,""),"")</f>
        <v>0</v>
      </c>
      <c r="E1580" s="9" t="str" cm="1">
        <f t="array" ref="E1580">IFERROR(_xlfn.XLOOKUP(D1580,Locales!$A:$A,Locales!$B:$B,""),"")</f>
        <v/>
      </c>
      <c r="F1580" s="9" cm="1">
        <f t="array" ref="F1580">IFERROR(_xlfn.XLOOKUP(B1580,Personal!$A:$A,Personal!$F:$F,""),"")</f>
        <v>0</v>
      </c>
      <c r="I1580" s="10" cm="1">
        <f t="array" ref="I1580">IFERROR(INDEX(Precios!$D:$F,MATCH(N1580, Precios!$G:$G, 0),CHOOSE(MATCH(H1580, {"SML";"XL";"XXL"}, 0), 1, 2, 3)), 0)</f>
        <v>0</v>
      </c>
      <c r="K1580" s="10">
        <f t="shared" si="56"/>
        <v>0</v>
      </c>
      <c r="N1580" s="9" t="str">
        <f t="shared" si="57"/>
        <v/>
      </c>
      <c r="O1580" s="9" t="str">
        <f>IF(N1580="","",IF(COUNTIF(Precios!$G:$G,N1580)=0,"⚠ No coincide con Precios","OK"))</f>
        <v/>
      </c>
    </row>
    <row r="1581" spans="3:15" x14ac:dyDescent="0.2">
      <c r="C1581" s="9" cm="1">
        <f t="array" ref="C1581">IFERROR(_xlfn.XLOOKUP(B1581,Personal!$A:$A,Personal!$D:$D,""),"")</f>
        <v>0</v>
      </c>
      <c r="D1581" s="9" cm="1">
        <f t="array" ref="D1581">IFERROR(_xlfn.XLOOKUP(B1581,Personal!$A:$A,Personal!$C:$C,""),"")</f>
        <v>0</v>
      </c>
      <c r="E1581" s="9" t="str" cm="1">
        <f t="array" ref="E1581">IFERROR(_xlfn.XLOOKUP(D1581,Locales!$A:$A,Locales!$B:$B,""),"")</f>
        <v/>
      </c>
      <c r="F1581" s="9" cm="1">
        <f t="array" ref="F1581">IFERROR(_xlfn.XLOOKUP(B1581,Personal!$A:$A,Personal!$F:$F,""),"")</f>
        <v>0</v>
      </c>
      <c r="I1581" s="10" cm="1">
        <f t="array" ref="I1581">IFERROR(INDEX(Precios!$D:$F,MATCH(N1581, Precios!$G:$G, 0),CHOOSE(MATCH(H1581, {"SML";"XL";"XXL"}, 0), 1, 2, 3)), 0)</f>
        <v>0</v>
      </c>
      <c r="K1581" s="10">
        <f t="shared" si="56"/>
        <v>0</v>
      </c>
      <c r="N1581" s="9" t="str">
        <f t="shared" si="57"/>
        <v/>
      </c>
      <c r="O1581" s="9" t="str">
        <f>IF(N1581="","",IF(COUNTIF(Precios!$G:$G,N1581)=0,"⚠ No coincide con Precios","OK"))</f>
        <v/>
      </c>
    </row>
    <row r="1582" spans="3:15" x14ac:dyDescent="0.2">
      <c r="C1582" s="9" cm="1">
        <f t="array" ref="C1582">IFERROR(_xlfn.XLOOKUP(B1582,Personal!$A:$A,Personal!$D:$D,""),"")</f>
        <v>0</v>
      </c>
      <c r="D1582" s="9" cm="1">
        <f t="array" ref="D1582">IFERROR(_xlfn.XLOOKUP(B1582,Personal!$A:$A,Personal!$C:$C,""),"")</f>
        <v>0</v>
      </c>
      <c r="E1582" s="9" t="str" cm="1">
        <f t="array" ref="E1582">IFERROR(_xlfn.XLOOKUP(D1582,Locales!$A:$A,Locales!$B:$B,""),"")</f>
        <v/>
      </c>
      <c r="F1582" s="9" cm="1">
        <f t="array" ref="F1582">IFERROR(_xlfn.XLOOKUP(B1582,Personal!$A:$A,Personal!$F:$F,""),"")</f>
        <v>0</v>
      </c>
      <c r="I1582" s="10" cm="1">
        <f t="array" ref="I1582">IFERROR(INDEX(Precios!$D:$F,MATCH(N1582, Precios!$G:$G, 0),CHOOSE(MATCH(H1582, {"SML";"XL";"XXL"}, 0), 1, 2, 3)), 0)</f>
        <v>0</v>
      </c>
      <c r="K1582" s="10">
        <f t="shared" si="56"/>
        <v>0</v>
      </c>
      <c r="N1582" s="9" t="str">
        <f t="shared" si="57"/>
        <v/>
      </c>
      <c r="O1582" s="9" t="str">
        <f>IF(N1582="","",IF(COUNTIF(Precios!$G:$G,N1582)=0,"⚠ No coincide con Precios","OK"))</f>
        <v/>
      </c>
    </row>
    <row r="1583" spans="3:15" x14ac:dyDescent="0.2">
      <c r="C1583" s="9" cm="1">
        <f t="array" ref="C1583">IFERROR(_xlfn.XLOOKUP(B1583,Personal!$A:$A,Personal!$D:$D,""),"")</f>
        <v>0</v>
      </c>
      <c r="D1583" s="9" cm="1">
        <f t="array" ref="D1583">IFERROR(_xlfn.XLOOKUP(B1583,Personal!$A:$A,Personal!$C:$C,""),"")</f>
        <v>0</v>
      </c>
      <c r="E1583" s="9" t="str" cm="1">
        <f t="array" ref="E1583">IFERROR(_xlfn.XLOOKUP(D1583,Locales!$A:$A,Locales!$B:$B,""),"")</f>
        <v/>
      </c>
      <c r="F1583" s="9" cm="1">
        <f t="array" ref="F1583">IFERROR(_xlfn.XLOOKUP(B1583,Personal!$A:$A,Personal!$F:$F,""),"")</f>
        <v>0</v>
      </c>
      <c r="I1583" s="10" cm="1">
        <f t="array" ref="I1583">IFERROR(INDEX(Precios!$D:$F,MATCH(N1583, Precios!$G:$G, 0),CHOOSE(MATCH(H1583, {"SML";"XL";"XXL"}, 0), 1, 2, 3)), 0)</f>
        <v>0</v>
      </c>
      <c r="K1583" s="10">
        <f t="shared" si="56"/>
        <v>0</v>
      </c>
      <c r="N1583" s="9" t="str">
        <f t="shared" si="57"/>
        <v/>
      </c>
      <c r="O1583" s="9" t="str">
        <f>IF(N1583="","",IF(COUNTIF(Precios!$G:$G,N1583)=0,"⚠ No coincide con Precios","OK"))</f>
        <v/>
      </c>
    </row>
    <row r="1584" spans="3:15" x14ac:dyDescent="0.2">
      <c r="C1584" s="9" cm="1">
        <f t="array" ref="C1584">IFERROR(_xlfn.XLOOKUP(B1584,Personal!$A:$A,Personal!$D:$D,""),"")</f>
        <v>0</v>
      </c>
      <c r="D1584" s="9" cm="1">
        <f t="array" ref="D1584">IFERROR(_xlfn.XLOOKUP(B1584,Personal!$A:$A,Personal!$C:$C,""),"")</f>
        <v>0</v>
      </c>
      <c r="E1584" s="9" t="str" cm="1">
        <f t="array" ref="E1584">IFERROR(_xlfn.XLOOKUP(D1584,Locales!$A:$A,Locales!$B:$B,""),"")</f>
        <v/>
      </c>
      <c r="F1584" s="9" cm="1">
        <f t="array" ref="F1584">IFERROR(_xlfn.XLOOKUP(B1584,Personal!$A:$A,Personal!$F:$F,""),"")</f>
        <v>0</v>
      </c>
      <c r="I1584" s="10" cm="1">
        <f t="array" ref="I1584">IFERROR(INDEX(Precios!$D:$F,MATCH(N1584, Precios!$G:$G, 0),CHOOSE(MATCH(H1584, {"SML";"XL";"XXL"}, 0), 1, 2, 3)), 0)</f>
        <v>0</v>
      </c>
      <c r="K1584" s="10">
        <f t="shared" si="56"/>
        <v>0</v>
      </c>
      <c r="N1584" s="9" t="str">
        <f t="shared" si="57"/>
        <v/>
      </c>
      <c r="O1584" s="9" t="str">
        <f>IF(N1584="","",IF(COUNTIF(Precios!$G:$G,N1584)=0,"⚠ No coincide con Precios","OK"))</f>
        <v/>
      </c>
    </row>
    <row r="1585" spans="3:15" x14ac:dyDescent="0.2">
      <c r="C1585" s="9" cm="1">
        <f t="array" ref="C1585">IFERROR(_xlfn.XLOOKUP(B1585,Personal!$A:$A,Personal!$D:$D,""),"")</f>
        <v>0</v>
      </c>
      <c r="D1585" s="9" cm="1">
        <f t="array" ref="D1585">IFERROR(_xlfn.XLOOKUP(B1585,Personal!$A:$A,Personal!$C:$C,""),"")</f>
        <v>0</v>
      </c>
      <c r="E1585" s="9" t="str" cm="1">
        <f t="array" ref="E1585">IFERROR(_xlfn.XLOOKUP(D1585,Locales!$A:$A,Locales!$B:$B,""),"")</f>
        <v/>
      </c>
      <c r="F1585" s="9" cm="1">
        <f t="array" ref="F1585">IFERROR(_xlfn.XLOOKUP(B1585,Personal!$A:$A,Personal!$F:$F,""),"")</f>
        <v>0</v>
      </c>
      <c r="I1585" s="10" cm="1">
        <f t="array" ref="I1585">IFERROR(INDEX(Precios!$D:$F,MATCH(N1585, Precios!$G:$G, 0),CHOOSE(MATCH(H1585, {"SML";"XL";"XXL"}, 0), 1, 2, 3)), 0)</f>
        <v>0</v>
      </c>
      <c r="K1585" s="10">
        <f t="shared" si="56"/>
        <v>0</v>
      </c>
      <c r="N1585" s="9" t="str">
        <f t="shared" si="57"/>
        <v/>
      </c>
      <c r="O1585" s="9" t="str">
        <f>IF(N1585="","",IF(COUNTIF(Precios!$G:$G,N1585)=0,"⚠ No coincide con Precios","OK"))</f>
        <v/>
      </c>
    </row>
    <row r="1586" spans="3:15" x14ac:dyDescent="0.2">
      <c r="C1586" s="9" cm="1">
        <f t="array" ref="C1586">IFERROR(_xlfn.XLOOKUP(B1586,Personal!$A:$A,Personal!$D:$D,""),"")</f>
        <v>0</v>
      </c>
      <c r="D1586" s="9" cm="1">
        <f t="array" ref="D1586">IFERROR(_xlfn.XLOOKUP(B1586,Personal!$A:$A,Personal!$C:$C,""),"")</f>
        <v>0</v>
      </c>
      <c r="E1586" s="9" t="str" cm="1">
        <f t="array" ref="E1586">IFERROR(_xlfn.XLOOKUP(D1586,Locales!$A:$A,Locales!$B:$B,""),"")</f>
        <v/>
      </c>
      <c r="F1586" s="9" cm="1">
        <f t="array" ref="F1586">IFERROR(_xlfn.XLOOKUP(B1586,Personal!$A:$A,Personal!$F:$F,""),"")</f>
        <v>0</v>
      </c>
      <c r="I1586" s="10" cm="1">
        <f t="array" ref="I1586">IFERROR(INDEX(Precios!$D:$F,MATCH(N1586, Precios!$G:$G, 0),CHOOSE(MATCH(H1586, {"SML";"XL";"XXL"}, 0), 1, 2, 3)), 0)</f>
        <v>0</v>
      </c>
      <c r="K1586" s="10">
        <f t="shared" si="56"/>
        <v>0</v>
      </c>
      <c r="N1586" s="9" t="str">
        <f t="shared" si="57"/>
        <v/>
      </c>
      <c r="O1586" s="9" t="str">
        <f>IF(N1586="","",IF(COUNTIF(Precios!$G:$G,N1586)=0,"⚠ No coincide con Precios","OK"))</f>
        <v/>
      </c>
    </row>
    <row r="1587" spans="3:15" x14ac:dyDescent="0.2">
      <c r="C1587" s="9" cm="1">
        <f t="array" ref="C1587">IFERROR(_xlfn.XLOOKUP(B1587,Personal!$A:$A,Personal!$D:$D,""),"")</f>
        <v>0</v>
      </c>
      <c r="D1587" s="9" cm="1">
        <f t="array" ref="D1587">IFERROR(_xlfn.XLOOKUP(B1587,Personal!$A:$A,Personal!$C:$C,""),"")</f>
        <v>0</v>
      </c>
      <c r="E1587" s="9" t="str" cm="1">
        <f t="array" ref="E1587">IFERROR(_xlfn.XLOOKUP(D1587,Locales!$A:$A,Locales!$B:$B,""),"")</f>
        <v/>
      </c>
      <c r="F1587" s="9" cm="1">
        <f t="array" ref="F1587">IFERROR(_xlfn.XLOOKUP(B1587,Personal!$A:$A,Personal!$F:$F,""),"")</f>
        <v>0</v>
      </c>
      <c r="I1587" s="10" cm="1">
        <f t="array" ref="I1587">IFERROR(INDEX(Precios!$D:$F,MATCH(N1587, Precios!$G:$G, 0),CHOOSE(MATCH(H1587, {"SML";"XL";"XXL"}, 0), 1, 2, 3)), 0)</f>
        <v>0</v>
      </c>
      <c r="K1587" s="10">
        <f t="shared" si="56"/>
        <v>0</v>
      </c>
      <c r="N1587" s="9" t="str">
        <f t="shared" si="57"/>
        <v/>
      </c>
      <c r="O1587" s="9" t="str">
        <f>IF(N1587="","",IF(COUNTIF(Precios!$G:$G,N1587)=0,"⚠ No coincide con Precios","OK"))</f>
        <v/>
      </c>
    </row>
    <row r="1588" spans="3:15" x14ac:dyDescent="0.2">
      <c r="C1588" s="9" cm="1">
        <f t="array" ref="C1588">IFERROR(_xlfn.XLOOKUP(B1588,Personal!$A:$A,Personal!$D:$D,""),"")</f>
        <v>0</v>
      </c>
      <c r="D1588" s="9" cm="1">
        <f t="array" ref="D1588">IFERROR(_xlfn.XLOOKUP(B1588,Personal!$A:$A,Personal!$C:$C,""),"")</f>
        <v>0</v>
      </c>
      <c r="E1588" s="9" t="str" cm="1">
        <f t="array" ref="E1588">IFERROR(_xlfn.XLOOKUP(D1588,Locales!$A:$A,Locales!$B:$B,""),"")</f>
        <v/>
      </c>
      <c r="F1588" s="9" cm="1">
        <f t="array" ref="F1588">IFERROR(_xlfn.XLOOKUP(B1588,Personal!$A:$A,Personal!$F:$F,""),"")</f>
        <v>0</v>
      </c>
      <c r="I1588" s="10" cm="1">
        <f t="array" ref="I1588">IFERROR(INDEX(Precios!$D:$F,MATCH(N1588, Precios!$G:$G, 0),CHOOSE(MATCH(H1588, {"SML";"XL";"XXL"}, 0), 1, 2, 3)), 0)</f>
        <v>0</v>
      </c>
      <c r="K1588" s="10">
        <f t="shared" si="56"/>
        <v>0</v>
      </c>
      <c r="N1588" s="9" t="str">
        <f t="shared" si="57"/>
        <v/>
      </c>
      <c r="O1588" s="9" t="str">
        <f>IF(N1588="","",IF(COUNTIF(Precios!$G:$G,N1588)=0,"⚠ No coincide con Precios","OK"))</f>
        <v/>
      </c>
    </row>
    <row r="1589" spans="3:15" x14ac:dyDescent="0.2">
      <c r="C1589" s="9" cm="1">
        <f t="array" ref="C1589">IFERROR(_xlfn.XLOOKUP(B1589,Personal!$A:$A,Personal!$D:$D,""),"")</f>
        <v>0</v>
      </c>
      <c r="D1589" s="9" cm="1">
        <f t="array" ref="D1589">IFERROR(_xlfn.XLOOKUP(B1589,Personal!$A:$A,Personal!$C:$C,""),"")</f>
        <v>0</v>
      </c>
      <c r="E1589" s="9" t="str" cm="1">
        <f t="array" ref="E1589">IFERROR(_xlfn.XLOOKUP(D1589,Locales!$A:$A,Locales!$B:$B,""),"")</f>
        <v/>
      </c>
      <c r="F1589" s="9" cm="1">
        <f t="array" ref="F1589">IFERROR(_xlfn.XLOOKUP(B1589,Personal!$A:$A,Personal!$F:$F,""),"")</f>
        <v>0</v>
      </c>
      <c r="I1589" s="10" cm="1">
        <f t="array" ref="I1589">IFERROR(INDEX(Precios!$D:$F,MATCH(N1589, Precios!$G:$G, 0),CHOOSE(MATCH(H1589, {"SML";"XL";"XXL"}, 0), 1, 2, 3)), 0)</f>
        <v>0</v>
      </c>
      <c r="K1589" s="10">
        <f t="shared" si="56"/>
        <v>0</v>
      </c>
      <c r="N1589" s="9" t="str">
        <f t="shared" si="57"/>
        <v/>
      </c>
      <c r="O1589" s="9" t="str">
        <f>IF(N1589="","",IF(COUNTIF(Precios!$G:$G,N1589)=0,"⚠ No coincide con Precios","OK"))</f>
        <v/>
      </c>
    </row>
    <row r="1590" spans="3:15" x14ac:dyDescent="0.2">
      <c r="C1590" s="9" cm="1">
        <f t="array" ref="C1590">IFERROR(_xlfn.XLOOKUP(B1590,Personal!$A:$A,Personal!$D:$D,""),"")</f>
        <v>0</v>
      </c>
      <c r="D1590" s="9" cm="1">
        <f t="array" ref="D1590">IFERROR(_xlfn.XLOOKUP(B1590,Personal!$A:$A,Personal!$C:$C,""),"")</f>
        <v>0</v>
      </c>
      <c r="E1590" s="9" t="str" cm="1">
        <f t="array" ref="E1590">IFERROR(_xlfn.XLOOKUP(D1590,Locales!$A:$A,Locales!$B:$B,""),"")</f>
        <v/>
      </c>
      <c r="F1590" s="9" cm="1">
        <f t="array" ref="F1590">IFERROR(_xlfn.XLOOKUP(B1590,Personal!$A:$A,Personal!$F:$F,""),"")</f>
        <v>0</v>
      </c>
      <c r="I1590" s="10" cm="1">
        <f t="array" ref="I1590">IFERROR(INDEX(Precios!$D:$F,MATCH(N1590, Precios!$G:$G, 0),CHOOSE(MATCH(H1590, {"SML";"XL";"XXL"}, 0), 1, 2, 3)), 0)</f>
        <v>0</v>
      </c>
      <c r="K1590" s="10">
        <f t="shared" si="56"/>
        <v>0</v>
      </c>
      <c r="N1590" s="9" t="str">
        <f t="shared" si="57"/>
        <v/>
      </c>
      <c r="O1590" s="9" t="str">
        <f>IF(N1590="","",IF(COUNTIF(Precios!$G:$G,N1590)=0,"⚠ No coincide con Precios","OK"))</f>
        <v/>
      </c>
    </row>
    <row r="1591" spans="3:15" x14ac:dyDescent="0.2">
      <c r="C1591" s="9" cm="1">
        <f t="array" ref="C1591">IFERROR(_xlfn.XLOOKUP(B1591,Personal!$A:$A,Personal!$D:$D,""),"")</f>
        <v>0</v>
      </c>
      <c r="D1591" s="9" cm="1">
        <f t="array" ref="D1591">IFERROR(_xlfn.XLOOKUP(B1591,Personal!$A:$A,Personal!$C:$C,""),"")</f>
        <v>0</v>
      </c>
      <c r="E1591" s="9" t="str" cm="1">
        <f t="array" ref="E1591">IFERROR(_xlfn.XLOOKUP(D1591,Locales!$A:$A,Locales!$B:$B,""),"")</f>
        <v/>
      </c>
      <c r="F1591" s="9" cm="1">
        <f t="array" ref="F1591">IFERROR(_xlfn.XLOOKUP(B1591,Personal!$A:$A,Personal!$F:$F,""),"")</f>
        <v>0</v>
      </c>
      <c r="I1591" s="10" cm="1">
        <f t="array" ref="I1591">IFERROR(INDEX(Precios!$D:$F,MATCH(N1591, Precios!$G:$G, 0),CHOOSE(MATCH(H1591, {"SML";"XL";"XXL"}, 0), 1, 2, 3)), 0)</f>
        <v>0</v>
      </c>
      <c r="K1591" s="10">
        <f t="shared" si="56"/>
        <v>0</v>
      </c>
      <c r="N1591" s="9" t="str">
        <f t="shared" si="57"/>
        <v/>
      </c>
      <c r="O1591" s="9" t="str">
        <f>IF(N1591="","",IF(COUNTIF(Precios!$G:$G,N1591)=0,"⚠ No coincide con Precios","OK"))</f>
        <v/>
      </c>
    </row>
    <row r="1592" spans="3:15" x14ac:dyDescent="0.2">
      <c r="C1592" s="9" cm="1">
        <f t="array" ref="C1592">IFERROR(_xlfn.XLOOKUP(B1592,Personal!$A:$A,Personal!$D:$D,""),"")</f>
        <v>0</v>
      </c>
      <c r="D1592" s="9" cm="1">
        <f t="array" ref="D1592">IFERROR(_xlfn.XLOOKUP(B1592,Personal!$A:$A,Personal!$C:$C,""),"")</f>
        <v>0</v>
      </c>
      <c r="E1592" s="9" t="str" cm="1">
        <f t="array" ref="E1592">IFERROR(_xlfn.XLOOKUP(D1592,Locales!$A:$A,Locales!$B:$B,""),"")</f>
        <v/>
      </c>
      <c r="F1592" s="9" cm="1">
        <f t="array" ref="F1592">IFERROR(_xlfn.XLOOKUP(B1592,Personal!$A:$A,Personal!$F:$F,""),"")</f>
        <v>0</v>
      </c>
      <c r="I1592" s="10" cm="1">
        <f t="array" ref="I1592">IFERROR(INDEX(Precios!$D:$F,MATCH(N1592, Precios!$G:$G, 0),CHOOSE(MATCH(H1592, {"SML";"XL";"XXL"}, 0), 1, 2, 3)), 0)</f>
        <v>0</v>
      </c>
      <c r="K1592" s="10">
        <f t="shared" si="56"/>
        <v>0</v>
      </c>
      <c r="N1592" s="9" t="str">
        <f t="shared" si="57"/>
        <v/>
      </c>
      <c r="O1592" s="9" t="str">
        <f>IF(N1592="","",IF(COUNTIF(Precios!$G:$G,N1592)=0,"⚠ No coincide con Precios","OK"))</f>
        <v/>
      </c>
    </row>
    <row r="1593" spans="3:15" x14ac:dyDescent="0.2">
      <c r="C1593" s="9" cm="1">
        <f t="array" ref="C1593">IFERROR(_xlfn.XLOOKUP(B1593,Personal!$A:$A,Personal!$D:$D,""),"")</f>
        <v>0</v>
      </c>
      <c r="D1593" s="9" cm="1">
        <f t="array" ref="D1593">IFERROR(_xlfn.XLOOKUP(B1593,Personal!$A:$A,Personal!$C:$C,""),"")</f>
        <v>0</v>
      </c>
      <c r="E1593" s="9" t="str" cm="1">
        <f t="array" ref="E1593">IFERROR(_xlfn.XLOOKUP(D1593,Locales!$A:$A,Locales!$B:$B,""),"")</f>
        <v/>
      </c>
      <c r="F1593" s="9" cm="1">
        <f t="array" ref="F1593">IFERROR(_xlfn.XLOOKUP(B1593,Personal!$A:$A,Personal!$F:$F,""),"")</f>
        <v>0</v>
      </c>
      <c r="I1593" s="10" cm="1">
        <f t="array" ref="I1593">IFERROR(INDEX(Precios!$D:$F,MATCH(N1593, Precios!$G:$G, 0),CHOOSE(MATCH(H1593, {"SML";"XL";"XXL"}, 0), 1, 2, 3)), 0)</f>
        <v>0</v>
      </c>
      <c r="K1593" s="10">
        <f t="shared" si="56"/>
        <v>0</v>
      </c>
      <c r="N1593" s="9" t="str">
        <f t="shared" si="57"/>
        <v/>
      </c>
      <c r="O1593" s="9" t="str">
        <f>IF(N1593="","",IF(COUNTIF(Precios!$G:$G,N1593)=0,"⚠ No coincide con Precios","OK"))</f>
        <v/>
      </c>
    </row>
    <row r="1594" spans="3:15" x14ac:dyDescent="0.2">
      <c r="C1594" s="9" cm="1">
        <f t="array" ref="C1594">IFERROR(_xlfn.XLOOKUP(B1594,Personal!$A:$A,Personal!$D:$D,""),"")</f>
        <v>0</v>
      </c>
      <c r="D1594" s="9" cm="1">
        <f t="array" ref="D1594">IFERROR(_xlfn.XLOOKUP(B1594,Personal!$A:$A,Personal!$C:$C,""),"")</f>
        <v>0</v>
      </c>
      <c r="E1594" s="9" t="str" cm="1">
        <f t="array" ref="E1594">IFERROR(_xlfn.XLOOKUP(D1594,Locales!$A:$A,Locales!$B:$B,""),"")</f>
        <v/>
      </c>
      <c r="F1594" s="9" cm="1">
        <f t="array" ref="F1594">IFERROR(_xlfn.XLOOKUP(B1594,Personal!$A:$A,Personal!$F:$F,""),"")</f>
        <v>0</v>
      </c>
      <c r="I1594" s="10" cm="1">
        <f t="array" ref="I1594">IFERROR(INDEX(Precios!$D:$F,MATCH(N1594, Precios!$G:$G, 0),CHOOSE(MATCH(H1594, {"SML";"XL";"XXL"}, 0), 1, 2, 3)), 0)</f>
        <v>0</v>
      </c>
      <c r="K1594" s="10">
        <f t="shared" si="56"/>
        <v>0</v>
      </c>
      <c r="N1594" s="9" t="str">
        <f t="shared" si="57"/>
        <v/>
      </c>
      <c r="O1594" s="9" t="str">
        <f>IF(N1594="","",IF(COUNTIF(Precios!$G:$G,N1594)=0,"⚠ No coincide con Precios","OK"))</f>
        <v/>
      </c>
    </row>
    <row r="1595" spans="3:15" x14ac:dyDescent="0.2">
      <c r="C1595" s="9" cm="1">
        <f t="array" ref="C1595">IFERROR(_xlfn.XLOOKUP(B1595,Personal!$A:$A,Personal!$D:$D,""),"")</f>
        <v>0</v>
      </c>
      <c r="D1595" s="9" cm="1">
        <f t="array" ref="D1595">IFERROR(_xlfn.XLOOKUP(B1595,Personal!$A:$A,Personal!$C:$C,""),"")</f>
        <v>0</v>
      </c>
      <c r="E1595" s="9" t="str" cm="1">
        <f t="array" ref="E1595">IFERROR(_xlfn.XLOOKUP(D1595,Locales!$A:$A,Locales!$B:$B,""),"")</f>
        <v/>
      </c>
      <c r="F1595" s="9" cm="1">
        <f t="array" ref="F1595">IFERROR(_xlfn.XLOOKUP(B1595,Personal!$A:$A,Personal!$F:$F,""),"")</f>
        <v>0</v>
      </c>
      <c r="I1595" s="10" cm="1">
        <f t="array" ref="I1595">IFERROR(INDEX(Precios!$D:$F,MATCH(N1595, Precios!$G:$G, 0),CHOOSE(MATCH(H1595, {"SML";"XL";"XXL"}, 0), 1, 2, 3)), 0)</f>
        <v>0</v>
      </c>
      <c r="K1595" s="10">
        <f t="shared" si="56"/>
        <v>0</v>
      </c>
      <c r="N1595" s="9" t="str">
        <f t="shared" si="57"/>
        <v/>
      </c>
      <c r="O1595" s="9" t="str">
        <f>IF(N1595="","",IF(COUNTIF(Precios!$G:$G,N1595)=0,"⚠ No coincide con Precios","OK"))</f>
        <v/>
      </c>
    </row>
    <row r="1596" spans="3:15" x14ac:dyDescent="0.2">
      <c r="C1596" s="9" cm="1">
        <f t="array" ref="C1596">IFERROR(_xlfn.XLOOKUP(B1596,Personal!$A:$A,Personal!$D:$D,""),"")</f>
        <v>0</v>
      </c>
      <c r="D1596" s="9" cm="1">
        <f t="array" ref="D1596">IFERROR(_xlfn.XLOOKUP(B1596,Personal!$A:$A,Personal!$C:$C,""),"")</f>
        <v>0</v>
      </c>
      <c r="E1596" s="9" t="str" cm="1">
        <f t="array" ref="E1596">IFERROR(_xlfn.XLOOKUP(D1596,Locales!$A:$A,Locales!$B:$B,""),"")</f>
        <v/>
      </c>
      <c r="F1596" s="9" cm="1">
        <f t="array" ref="F1596">IFERROR(_xlfn.XLOOKUP(B1596,Personal!$A:$A,Personal!$F:$F,""),"")</f>
        <v>0</v>
      </c>
      <c r="I1596" s="10" cm="1">
        <f t="array" ref="I1596">IFERROR(INDEX(Precios!$D:$F,MATCH(N1596, Precios!$G:$G, 0),CHOOSE(MATCH(H1596, {"SML";"XL";"XXL"}, 0), 1, 2, 3)), 0)</f>
        <v>0</v>
      </c>
      <c r="K1596" s="10">
        <f t="shared" si="56"/>
        <v>0</v>
      </c>
      <c r="N1596" s="9" t="str">
        <f t="shared" si="57"/>
        <v/>
      </c>
      <c r="O1596" s="9" t="str">
        <f>IF(N1596="","",IF(COUNTIF(Precios!$G:$G,N1596)=0,"⚠ No coincide con Precios","OK"))</f>
        <v/>
      </c>
    </row>
    <row r="1597" spans="3:15" x14ac:dyDescent="0.2">
      <c r="C1597" s="9" cm="1">
        <f t="array" ref="C1597">IFERROR(_xlfn.XLOOKUP(B1597,Personal!$A:$A,Personal!$D:$D,""),"")</f>
        <v>0</v>
      </c>
      <c r="D1597" s="9" cm="1">
        <f t="array" ref="D1597">IFERROR(_xlfn.XLOOKUP(B1597,Personal!$A:$A,Personal!$C:$C,""),"")</f>
        <v>0</v>
      </c>
      <c r="E1597" s="9" t="str" cm="1">
        <f t="array" ref="E1597">IFERROR(_xlfn.XLOOKUP(D1597,Locales!$A:$A,Locales!$B:$B,""),"")</f>
        <v/>
      </c>
      <c r="F1597" s="9" cm="1">
        <f t="array" ref="F1597">IFERROR(_xlfn.XLOOKUP(B1597,Personal!$A:$A,Personal!$F:$F,""),"")</f>
        <v>0</v>
      </c>
      <c r="I1597" s="10" cm="1">
        <f t="array" ref="I1597">IFERROR(INDEX(Precios!$D:$F,MATCH(N1597, Precios!$G:$G, 0),CHOOSE(MATCH(H1597, {"SML";"XL";"XXL"}, 0), 1, 2, 3)), 0)</f>
        <v>0</v>
      </c>
      <c r="K1597" s="10">
        <f t="shared" si="56"/>
        <v>0</v>
      </c>
      <c r="N1597" s="9" t="str">
        <f t="shared" si="57"/>
        <v/>
      </c>
      <c r="O1597" s="9" t="str">
        <f>IF(N1597="","",IF(COUNTIF(Precios!$G:$G,N1597)=0,"⚠ No coincide con Precios","OK"))</f>
        <v/>
      </c>
    </row>
    <row r="1598" spans="3:15" x14ac:dyDescent="0.2">
      <c r="C1598" s="9" cm="1">
        <f t="array" ref="C1598">IFERROR(_xlfn.XLOOKUP(B1598,Personal!$A:$A,Personal!$D:$D,""),"")</f>
        <v>0</v>
      </c>
      <c r="D1598" s="9" cm="1">
        <f t="array" ref="D1598">IFERROR(_xlfn.XLOOKUP(B1598,Personal!$A:$A,Personal!$C:$C,""),"")</f>
        <v>0</v>
      </c>
      <c r="E1598" s="9" t="str" cm="1">
        <f t="array" ref="E1598">IFERROR(_xlfn.XLOOKUP(D1598,Locales!$A:$A,Locales!$B:$B,""),"")</f>
        <v/>
      </c>
      <c r="F1598" s="9" cm="1">
        <f t="array" ref="F1598">IFERROR(_xlfn.XLOOKUP(B1598,Personal!$A:$A,Personal!$F:$F,""),"")</f>
        <v>0</v>
      </c>
      <c r="I1598" s="10" cm="1">
        <f t="array" ref="I1598">IFERROR(INDEX(Precios!$D:$F,MATCH(N1598, Precios!$G:$G, 0),CHOOSE(MATCH(H1598, {"SML";"XL";"XXL"}, 0), 1, 2, 3)), 0)</f>
        <v>0</v>
      </c>
      <c r="K1598" s="10">
        <f t="shared" si="56"/>
        <v>0</v>
      </c>
      <c r="N1598" s="9" t="str">
        <f t="shared" si="57"/>
        <v/>
      </c>
      <c r="O1598" s="9" t="str">
        <f>IF(N1598="","",IF(COUNTIF(Precios!$G:$G,N1598)=0,"⚠ No coincide con Precios","OK"))</f>
        <v/>
      </c>
    </row>
    <row r="1599" spans="3:15" x14ac:dyDescent="0.2">
      <c r="C1599" s="9" cm="1">
        <f t="array" ref="C1599">IFERROR(_xlfn.XLOOKUP(B1599,Personal!$A:$A,Personal!$D:$D,""),"")</f>
        <v>0</v>
      </c>
      <c r="D1599" s="9" cm="1">
        <f t="array" ref="D1599">IFERROR(_xlfn.XLOOKUP(B1599,Personal!$A:$A,Personal!$C:$C,""),"")</f>
        <v>0</v>
      </c>
      <c r="E1599" s="9" t="str" cm="1">
        <f t="array" ref="E1599">IFERROR(_xlfn.XLOOKUP(D1599,Locales!$A:$A,Locales!$B:$B,""),"")</f>
        <v/>
      </c>
      <c r="F1599" s="9" cm="1">
        <f t="array" ref="F1599">IFERROR(_xlfn.XLOOKUP(B1599,Personal!$A:$A,Personal!$F:$F,""),"")</f>
        <v>0</v>
      </c>
      <c r="I1599" s="10" cm="1">
        <f t="array" ref="I1599">IFERROR(INDEX(Precios!$D:$F,MATCH(N1599, Precios!$G:$G, 0),CHOOSE(MATCH(H1599, {"SML";"XL";"XXL"}, 0), 1, 2, 3)), 0)</f>
        <v>0</v>
      </c>
      <c r="K1599" s="10">
        <f t="shared" si="56"/>
        <v>0</v>
      </c>
      <c r="N1599" s="9" t="str">
        <f t="shared" si="57"/>
        <v/>
      </c>
      <c r="O1599" s="9" t="str">
        <f>IF(N1599="","",IF(COUNTIF(Precios!$G:$G,N1599)=0,"⚠ No coincide con Precios","OK"))</f>
        <v/>
      </c>
    </row>
    <row r="1600" spans="3:15" x14ac:dyDescent="0.2">
      <c r="C1600" s="9" cm="1">
        <f t="array" ref="C1600">IFERROR(_xlfn.XLOOKUP(B1600,Personal!$A:$A,Personal!$D:$D,""),"")</f>
        <v>0</v>
      </c>
      <c r="D1600" s="9" cm="1">
        <f t="array" ref="D1600">IFERROR(_xlfn.XLOOKUP(B1600,Personal!$A:$A,Personal!$C:$C,""),"")</f>
        <v>0</v>
      </c>
      <c r="E1600" s="9" t="str" cm="1">
        <f t="array" ref="E1600">IFERROR(_xlfn.XLOOKUP(D1600,Locales!$A:$A,Locales!$B:$B,""),"")</f>
        <v/>
      </c>
      <c r="F1600" s="9" cm="1">
        <f t="array" ref="F1600">IFERROR(_xlfn.XLOOKUP(B1600,Personal!$A:$A,Personal!$F:$F,""),"")</f>
        <v>0</v>
      </c>
      <c r="I1600" s="10" cm="1">
        <f t="array" ref="I1600">IFERROR(INDEX(Precios!$D:$F,MATCH(N1600, Precios!$G:$G, 0),CHOOSE(MATCH(H1600, {"SML";"XL";"XXL"}, 0), 1, 2, 3)), 0)</f>
        <v>0</v>
      </c>
      <c r="K1600" s="10">
        <f t="shared" ref="K1600:K1663" si="58">IFERROR(I1600*J1600,0)</f>
        <v>0</v>
      </c>
      <c r="N1600" s="9" t="str">
        <f t="shared" ref="N1600:N1663" si="59">IF( OR(E1600="",F1600="",G1600=""), "",CLEAN(TRIM(E1600)) &amp; "|" &amp; CLEAN(TRIM(F1600)) &amp; "|" &amp; CLEAN(TRIM(G1600)))</f>
        <v/>
      </c>
      <c r="O1600" s="9" t="str">
        <f>IF(N1600="","",IF(COUNTIF(Precios!$G:$G,N1600)=0,"⚠ No coincide con Precios","OK"))</f>
        <v/>
      </c>
    </row>
    <row r="1601" spans="3:15" x14ac:dyDescent="0.2">
      <c r="C1601" s="9" cm="1">
        <f t="array" ref="C1601">IFERROR(_xlfn.XLOOKUP(B1601,Personal!$A:$A,Personal!$D:$D,""),"")</f>
        <v>0</v>
      </c>
      <c r="D1601" s="9" cm="1">
        <f t="array" ref="D1601">IFERROR(_xlfn.XLOOKUP(B1601,Personal!$A:$A,Personal!$C:$C,""),"")</f>
        <v>0</v>
      </c>
      <c r="E1601" s="9" t="str" cm="1">
        <f t="array" ref="E1601">IFERROR(_xlfn.XLOOKUP(D1601,Locales!$A:$A,Locales!$B:$B,""),"")</f>
        <v/>
      </c>
      <c r="F1601" s="9" cm="1">
        <f t="array" ref="F1601">IFERROR(_xlfn.XLOOKUP(B1601,Personal!$A:$A,Personal!$F:$F,""),"")</f>
        <v>0</v>
      </c>
      <c r="I1601" s="10" cm="1">
        <f t="array" ref="I1601">IFERROR(INDEX(Precios!$D:$F,MATCH(N1601, Precios!$G:$G, 0),CHOOSE(MATCH(H1601, {"SML";"XL";"XXL"}, 0), 1, 2, 3)), 0)</f>
        <v>0</v>
      </c>
      <c r="K1601" s="10">
        <f t="shared" si="58"/>
        <v>0</v>
      </c>
      <c r="N1601" s="9" t="str">
        <f t="shared" si="59"/>
        <v/>
      </c>
      <c r="O1601" s="9" t="str">
        <f>IF(N1601="","",IF(COUNTIF(Precios!$G:$G,N1601)=0,"⚠ No coincide con Precios","OK"))</f>
        <v/>
      </c>
    </row>
    <row r="1602" spans="3:15" x14ac:dyDescent="0.2">
      <c r="C1602" s="9" cm="1">
        <f t="array" ref="C1602">IFERROR(_xlfn.XLOOKUP(B1602,Personal!$A:$A,Personal!$D:$D,""),"")</f>
        <v>0</v>
      </c>
      <c r="D1602" s="9" cm="1">
        <f t="array" ref="D1602">IFERROR(_xlfn.XLOOKUP(B1602,Personal!$A:$A,Personal!$C:$C,""),"")</f>
        <v>0</v>
      </c>
      <c r="E1602" s="9" t="str" cm="1">
        <f t="array" ref="E1602">IFERROR(_xlfn.XLOOKUP(D1602,Locales!$A:$A,Locales!$B:$B,""),"")</f>
        <v/>
      </c>
      <c r="F1602" s="9" cm="1">
        <f t="array" ref="F1602">IFERROR(_xlfn.XLOOKUP(B1602,Personal!$A:$A,Personal!$F:$F,""),"")</f>
        <v>0</v>
      </c>
      <c r="I1602" s="10" cm="1">
        <f t="array" ref="I1602">IFERROR(INDEX(Precios!$D:$F,MATCH(N1602, Precios!$G:$G, 0),CHOOSE(MATCH(H1602, {"SML";"XL";"XXL"}, 0), 1, 2, 3)), 0)</f>
        <v>0</v>
      </c>
      <c r="K1602" s="10">
        <f t="shared" si="58"/>
        <v>0</v>
      </c>
      <c r="N1602" s="9" t="str">
        <f t="shared" si="59"/>
        <v/>
      </c>
      <c r="O1602" s="9" t="str">
        <f>IF(N1602="","",IF(COUNTIF(Precios!$G:$G,N1602)=0,"⚠ No coincide con Precios","OK"))</f>
        <v/>
      </c>
    </row>
    <row r="1603" spans="3:15" x14ac:dyDescent="0.2">
      <c r="C1603" s="9" cm="1">
        <f t="array" ref="C1603">IFERROR(_xlfn.XLOOKUP(B1603,Personal!$A:$A,Personal!$D:$D,""),"")</f>
        <v>0</v>
      </c>
      <c r="D1603" s="9" cm="1">
        <f t="array" ref="D1603">IFERROR(_xlfn.XLOOKUP(B1603,Personal!$A:$A,Personal!$C:$C,""),"")</f>
        <v>0</v>
      </c>
      <c r="E1603" s="9" t="str" cm="1">
        <f t="array" ref="E1603">IFERROR(_xlfn.XLOOKUP(D1603,Locales!$A:$A,Locales!$B:$B,""),"")</f>
        <v/>
      </c>
      <c r="F1603" s="9" cm="1">
        <f t="array" ref="F1603">IFERROR(_xlfn.XLOOKUP(B1603,Personal!$A:$A,Personal!$F:$F,""),"")</f>
        <v>0</v>
      </c>
      <c r="I1603" s="10" cm="1">
        <f t="array" ref="I1603">IFERROR(INDEX(Precios!$D:$F,MATCH(N1603, Precios!$G:$G, 0),CHOOSE(MATCH(H1603, {"SML";"XL";"XXL"}, 0), 1, 2, 3)), 0)</f>
        <v>0</v>
      </c>
      <c r="K1603" s="10">
        <f t="shared" si="58"/>
        <v>0</v>
      </c>
      <c r="N1603" s="9" t="str">
        <f t="shared" si="59"/>
        <v/>
      </c>
      <c r="O1603" s="9" t="str">
        <f>IF(N1603="","",IF(COUNTIF(Precios!$G:$G,N1603)=0,"⚠ No coincide con Precios","OK"))</f>
        <v/>
      </c>
    </row>
    <row r="1604" spans="3:15" x14ac:dyDescent="0.2">
      <c r="C1604" s="9" cm="1">
        <f t="array" ref="C1604">IFERROR(_xlfn.XLOOKUP(B1604,Personal!$A:$A,Personal!$D:$D,""),"")</f>
        <v>0</v>
      </c>
      <c r="D1604" s="9" cm="1">
        <f t="array" ref="D1604">IFERROR(_xlfn.XLOOKUP(B1604,Personal!$A:$A,Personal!$C:$C,""),"")</f>
        <v>0</v>
      </c>
      <c r="E1604" s="9" t="str" cm="1">
        <f t="array" ref="E1604">IFERROR(_xlfn.XLOOKUP(D1604,Locales!$A:$A,Locales!$B:$B,""),"")</f>
        <v/>
      </c>
      <c r="F1604" s="9" cm="1">
        <f t="array" ref="F1604">IFERROR(_xlfn.XLOOKUP(B1604,Personal!$A:$A,Personal!$F:$F,""),"")</f>
        <v>0</v>
      </c>
      <c r="I1604" s="10" cm="1">
        <f t="array" ref="I1604">IFERROR(INDEX(Precios!$D:$F,MATCH(N1604, Precios!$G:$G, 0),CHOOSE(MATCH(H1604, {"SML";"XL";"XXL"}, 0), 1, 2, 3)), 0)</f>
        <v>0</v>
      </c>
      <c r="K1604" s="10">
        <f t="shared" si="58"/>
        <v>0</v>
      </c>
      <c r="N1604" s="9" t="str">
        <f t="shared" si="59"/>
        <v/>
      </c>
      <c r="O1604" s="9" t="str">
        <f>IF(N1604="","",IF(COUNTIF(Precios!$G:$G,N1604)=0,"⚠ No coincide con Precios","OK"))</f>
        <v/>
      </c>
    </row>
    <row r="1605" spans="3:15" x14ac:dyDescent="0.2">
      <c r="C1605" s="9" cm="1">
        <f t="array" ref="C1605">IFERROR(_xlfn.XLOOKUP(B1605,Personal!$A:$A,Personal!$D:$D,""),"")</f>
        <v>0</v>
      </c>
      <c r="D1605" s="9" cm="1">
        <f t="array" ref="D1605">IFERROR(_xlfn.XLOOKUP(B1605,Personal!$A:$A,Personal!$C:$C,""),"")</f>
        <v>0</v>
      </c>
      <c r="E1605" s="9" t="str" cm="1">
        <f t="array" ref="E1605">IFERROR(_xlfn.XLOOKUP(D1605,Locales!$A:$A,Locales!$B:$B,""),"")</f>
        <v/>
      </c>
      <c r="F1605" s="9" cm="1">
        <f t="array" ref="F1605">IFERROR(_xlfn.XLOOKUP(B1605,Personal!$A:$A,Personal!$F:$F,""),"")</f>
        <v>0</v>
      </c>
      <c r="I1605" s="10" cm="1">
        <f t="array" ref="I1605">IFERROR(INDEX(Precios!$D:$F,MATCH(N1605, Precios!$G:$G, 0),CHOOSE(MATCH(H1605, {"SML";"XL";"XXL"}, 0), 1, 2, 3)), 0)</f>
        <v>0</v>
      </c>
      <c r="K1605" s="10">
        <f t="shared" si="58"/>
        <v>0</v>
      </c>
      <c r="N1605" s="9" t="str">
        <f t="shared" si="59"/>
        <v/>
      </c>
      <c r="O1605" s="9" t="str">
        <f>IF(N1605="","",IF(COUNTIF(Precios!$G:$G,N1605)=0,"⚠ No coincide con Precios","OK"))</f>
        <v/>
      </c>
    </row>
    <row r="1606" spans="3:15" x14ac:dyDescent="0.2">
      <c r="C1606" s="9" cm="1">
        <f t="array" ref="C1606">IFERROR(_xlfn.XLOOKUP(B1606,Personal!$A:$A,Personal!$D:$D,""),"")</f>
        <v>0</v>
      </c>
      <c r="D1606" s="9" cm="1">
        <f t="array" ref="D1606">IFERROR(_xlfn.XLOOKUP(B1606,Personal!$A:$A,Personal!$C:$C,""),"")</f>
        <v>0</v>
      </c>
      <c r="E1606" s="9" t="str" cm="1">
        <f t="array" ref="E1606">IFERROR(_xlfn.XLOOKUP(D1606,Locales!$A:$A,Locales!$B:$B,""),"")</f>
        <v/>
      </c>
      <c r="F1606" s="9" cm="1">
        <f t="array" ref="F1606">IFERROR(_xlfn.XLOOKUP(B1606,Personal!$A:$A,Personal!$F:$F,""),"")</f>
        <v>0</v>
      </c>
      <c r="I1606" s="10" cm="1">
        <f t="array" ref="I1606">IFERROR(INDEX(Precios!$D:$F,MATCH(N1606, Precios!$G:$G, 0),CHOOSE(MATCH(H1606, {"SML";"XL";"XXL"}, 0), 1, 2, 3)), 0)</f>
        <v>0</v>
      </c>
      <c r="K1606" s="10">
        <f t="shared" si="58"/>
        <v>0</v>
      </c>
      <c r="N1606" s="9" t="str">
        <f t="shared" si="59"/>
        <v/>
      </c>
      <c r="O1606" s="9" t="str">
        <f>IF(N1606="","",IF(COUNTIF(Precios!$G:$G,N1606)=0,"⚠ No coincide con Precios","OK"))</f>
        <v/>
      </c>
    </row>
    <row r="1607" spans="3:15" x14ac:dyDescent="0.2">
      <c r="C1607" s="9" cm="1">
        <f t="array" ref="C1607">IFERROR(_xlfn.XLOOKUP(B1607,Personal!$A:$A,Personal!$D:$D,""),"")</f>
        <v>0</v>
      </c>
      <c r="D1607" s="9" cm="1">
        <f t="array" ref="D1607">IFERROR(_xlfn.XLOOKUP(B1607,Personal!$A:$A,Personal!$C:$C,""),"")</f>
        <v>0</v>
      </c>
      <c r="E1607" s="9" t="str" cm="1">
        <f t="array" ref="E1607">IFERROR(_xlfn.XLOOKUP(D1607,Locales!$A:$A,Locales!$B:$B,""),"")</f>
        <v/>
      </c>
      <c r="F1607" s="9" cm="1">
        <f t="array" ref="F1607">IFERROR(_xlfn.XLOOKUP(B1607,Personal!$A:$A,Personal!$F:$F,""),"")</f>
        <v>0</v>
      </c>
      <c r="I1607" s="10" cm="1">
        <f t="array" ref="I1607">IFERROR(INDEX(Precios!$D:$F,MATCH(N1607, Precios!$G:$G, 0),CHOOSE(MATCH(H1607, {"SML";"XL";"XXL"}, 0), 1, 2, 3)), 0)</f>
        <v>0</v>
      </c>
      <c r="K1607" s="10">
        <f t="shared" si="58"/>
        <v>0</v>
      </c>
      <c r="N1607" s="9" t="str">
        <f t="shared" si="59"/>
        <v/>
      </c>
      <c r="O1607" s="9" t="str">
        <f>IF(N1607="","",IF(COUNTIF(Precios!$G:$G,N1607)=0,"⚠ No coincide con Precios","OK"))</f>
        <v/>
      </c>
    </row>
    <row r="1608" spans="3:15" x14ac:dyDescent="0.2">
      <c r="C1608" s="9" cm="1">
        <f t="array" ref="C1608">IFERROR(_xlfn.XLOOKUP(B1608,Personal!$A:$A,Personal!$D:$D,""),"")</f>
        <v>0</v>
      </c>
      <c r="D1608" s="9" cm="1">
        <f t="array" ref="D1608">IFERROR(_xlfn.XLOOKUP(B1608,Personal!$A:$A,Personal!$C:$C,""),"")</f>
        <v>0</v>
      </c>
      <c r="E1608" s="9" t="str" cm="1">
        <f t="array" ref="E1608">IFERROR(_xlfn.XLOOKUP(D1608,Locales!$A:$A,Locales!$B:$B,""),"")</f>
        <v/>
      </c>
      <c r="F1608" s="9" cm="1">
        <f t="array" ref="F1608">IFERROR(_xlfn.XLOOKUP(B1608,Personal!$A:$A,Personal!$F:$F,""),"")</f>
        <v>0</v>
      </c>
      <c r="I1608" s="10" cm="1">
        <f t="array" ref="I1608">IFERROR(INDEX(Precios!$D:$F,MATCH(N1608, Precios!$G:$G, 0),CHOOSE(MATCH(H1608, {"SML";"XL";"XXL"}, 0), 1, 2, 3)), 0)</f>
        <v>0</v>
      </c>
      <c r="K1608" s="10">
        <f t="shared" si="58"/>
        <v>0</v>
      </c>
      <c r="N1608" s="9" t="str">
        <f t="shared" si="59"/>
        <v/>
      </c>
      <c r="O1608" s="9" t="str">
        <f>IF(N1608="","",IF(COUNTIF(Precios!$G:$G,N1608)=0,"⚠ No coincide con Precios","OK"))</f>
        <v/>
      </c>
    </row>
    <row r="1609" spans="3:15" x14ac:dyDescent="0.2">
      <c r="C1609" s="9" cm="1">
        <f t="array" ref="C1609">IFERROR(_xlfn.XLOOKUP(B1609,Personal!$A:$A,Personal!$D:$D,""),"")</f>
        <v>0</v>
      </c>
      <c r="D1609" s="9" cm="1">
        <f t="array" ref="D1609">IFERROR(_xlfn.XLOOKUP(B1609,Personal!$A:$A,Personal!$C:$C,""),"")</f>
        <v>0</v>
      </c>
      <c r="E1609" s="9" t="str" cm="1">
        <f t="array" ref="E1609">IFERROR(_xlfn.XLOOKUP(D1609,Locales!$A:$A,Locales!$B:$B,""),"")</f>
        <v/>
      </c>
      <c r="F1609" s="9" cm="1">
        <f t="array" ref="F1609">IFERROR(_xlfn.XLOOKUP(B1609,Personal!$A:$A,Personal!$F:$F,""),"")</f>
        <v>0</v>
      </c>
      <c r="I1609" s="10" cm="1">
        <f t="array" ref="I1609">IFERROR(INDEX(Precios!$D:$F,MATCH(N1609, Precios!$G:$G, 0),CHOOSE(MATCH(H1609, {"SML";"XL";"XXL"}, 0), 1, 2, 3)), 0)</f>
        <v>0</v>
      </c>
      <c r="K1609" s="10">
        <f t="shared" si="58"/>
        <v>0</v>
      </c>
      <c r="N1609" s="9" t="str">
        <f t="shared" si="59"/>
        <v/>
      </c>
      <c r="O1609" s="9" t="str">
        <f>IF(N1609="","",IF(COUNTIF(Precios!$G:$G,N1609)=0,"⚠ No coincide con Precios","OK"))</f>
        <v/>
      </c>
    </row>
    <row r="1610" spans="3:15" x14ac:dyDescent="0.2">
      <c r="C1610" s="9" cm="1">
        <f t="array" ref="C1610">IFERROR(_xlfn.XLOOKUP(B1610,Personal!$A:$A,Personal!$D:$D,""),"")</f>
        <v>0</v>
      </c>
      <c r="D1610" s="9" cm="1">
        <f t="array" ref="D1610">IFERROR(_xlfn.XLOOKUP(B1610,Personal!$A:$A,Personal!$C:$C,""),"")</f>
        <v>0</v>
      </c>
      <c r="E1610" s="9" t="str" cm="1">
        <f t="array" ref="E1610">IFERROR(_xlfn.XLOOKUP(D1610,Locales!$A:$A,Locales!$B:$B,""),"")</f>
        <v/>
      </c>
      <c r="F1610" s="9" cm="1">
        <f t="array" ref="F1610">IFERROR(_xlfn.XLOOKUP(B1610,Personal!$A:$A,Personal!$F:$F,""),"")</f>
        <v>0</v>
      </c>
      <c r="I1610" s="10" cm="1">
        <f t="array" ref="I1610">IFERROR(INDEX(Precios!$D:$F,MATCH(N1610, Precios!$G:$G, 0),CHOOSE(MATCH(H1610, {"SML";"XL";"XXL"}, 0), 1, 2, 3)), 0)</f>
        <v>0</v>
      </c>
      <c r="K1610" s="10">
        <f t="shared" si="58"/>
        <v>0</v>
      </c>
      <c r="N1610" s="9" t="str">
        <f t="shared" si="59"/>
        <v/>
      </c>
      <c r="O1610" s="9" t="str">
        <f>IF(N1610="","",IF(COUNTIF(Precios!$G:$G,N1610)=0,"⚠ No coincide con Precios","OK"))</f>
        <v/>
      </c>
    </row>
    <row r="1611" spans="3:15" x14ac:dyDescent="0.2">
      <c r="C1611" s="9" cm="1">
        <f t="array" ref="C1611">IFERROR(_xlfn.XLOOKUP(B1611,Personal!$A:$A,Personal!$D:$D,""),"")</f>
        <v>0</v>
      </c>
      <c r="D1611" s="9" cm="1">
        <f t="array" ref="D1611">IFERROR(_xlfn.XLOOKUP(B1611,Personal!$A:$A,Personal!$C:$C,""),"")</f>
        <v>0</v>
      </c>
      <c r="E1611" s="9" t="str" cm="1">
        <f t="array" ref="E1611">IFERROR(_xlfn.XLOOKUP(D1611,Locales!$A:$A,Locales!$B:$B,""),"")</f>
        <v/>
      </c>
      <c r="F1611" s="9" cm="1">
        <f t="array" ref="F1611">IFERROR(_xlfn.XLOOKUP(B1611,Personal!$A:$A,Personal!$F:$F,""),"")</f>
        <v>0</v>
      </c>
      <c r="I1611" s="10" cm="1">
        <f t="array" ref="I1611">IFERROR(INDEX(Precios!$D:$F,MATCH(N1611, Precios!$G:$G, 0),CHOOSE(MATCH(H1611, {"SML";"XL";"XXL"}, 0), 1, 2, 3)), 0)</f>
        <v>0</v>
      </c>
      <c r="K1611" s="10">
        <f t="shared" si="58"/>
        <v>0</v>
      </c>
      <c r="N1611" s="9" t="str">
        <f t="shared" si="59"/>
        <v/>
      </c>
      <c r="O1611" s="9" t="str">
        <f>IF(N1611="","",IF(COUNTIF(Precios!$G:$G,N1611)=0,"⚠ No coincide con Precios","OK"))</f>
        <v/>
      </c>
    </row>
    <row r="1612" spans="3:15" x14ac:dyDescent="0.2">
      <c r="C1612" s="9" cm="1">
        <f t="array" ref="C1612">IFERROR(_xlfn.XLOOKUP(B1612,Personal!$A:$A,Personal!$D:$D,""),"")</f>
        <v>0</v>
      </c>
      <c r="D1612" s="9" cm="1">
        <f t="array" ref="D1612">IFERROR(_xlfn.XLOOKUP(B1612,Personal!$A:$A,Personal!$C:$C,""),"")</f>
        <v>0</v>
      </c>
      <c r="E1612" s="9" t="str" cm="1">
        <f t="array" ref="E1612">IFERROR(_xlfn.XLOOKUP(D1612,Locales!$A:$A,Locales!$B:$B,""),"")</f>
        <v/>
      </c>
      <c r="F1612" s="9" cm="1">
        <f t="array" ref="F1612">IFERROR(_xlfn.XLOOKUP(B1612,Personal!$A:$A,Personal!$F:$F,""),"")</f>
        <v>0</v>
      </c>
      <c r="I1612" s="10" cm="1">
        <f t="array" ref="I1612">IFERROR(INDEX(Precios!$D:$F,MATCH(N1612, Precios!$G:$G, 0),CHOOSE(MATCH(H1612, {"SML";"XL";"XXL"}, 0), 1, 2, 3)), 0)</f>
        <v>0</v>
      </c>
      <c r="K1612" s="10">
        <f t="shared" si="58"/>
        <v>0</v>
      </c>
      <c r="N1612" s="9" t="str">
        <f t="shared" si="59"/>
        <v/>
      </c>
      <c r="O1612" s="9" t="str">
        <f>IF(N1612="","",IF(COUNTIF(Precios!$G:$G,N1612)=0,"⚠ No coincide con Precios","OK"))</f>
        <v/>
      </c>
    </row>
    <row r="1613" spans="3:15" x14ac:dyDescent="0.2">
      <c r="C1613" s="9" cm="1">
        <f t="array" ref="C1613">IFERROR(_xlfn.XLOOKUP(B1613,Personal!$A:$A,Personal!$D:$D,""),"")</f>
        <v>0</v>
      </c>
      <c r="D1613" s="9" cm="1">
        <f t="array" ref="D1613">IFERROR(_xlfn.XLOOKUP(B1613,Personal!$A:$A,Personal!$C:$C,""),"")</f>
        <v>0</v>
      </c>
      <c r="E1613" s="9" t="str" cm="1">
        <f t="array" ref="E1613">IFERROR(_xlfn.XLOOKUP(D1613,Locales!$A:$A,Locales!$B:$B,""),"")</f>
        <v/>
      </c>
      <c r="F1613" s="9" cm="1">
        <f t="array" ref="F1613">IFERROR(_xlfn.XLOOKUP(B1613,Personal!$A:$A,Personal!$F:$F,""),"")</f>
        <v>0</v>
      </c>
      <c r="I1613" s="10" cm="1">
        <f t="array" ref="I1613">IFERROR(INDEX(Precios!$D:$F,MATCH(N1613, Precios!$G:$G, 0),CHOOSE(MATCH(H1613, {"SML";"XL";"XXL"}, 0), 1, 2, 3)), 0)</f>
        <v>0</v>
      </c>
      <c r="K1613" s="10">
        <f t="shared" si="58"/>
        <v>0</v>
      </c>
      <c r="N1613" s="9" t="str">
        <f t="shared" si="59"/>
        <v/>
      </c>
      <c r="O1613" s="9" t="str">
        <f>IF(N1613="","",IF(COUNTIF(Precios!$G:$G,N1613)=0,"⚠ No coincide con Precios","OK"))</f>
        <v/>
      </c>
    </row>
    <row r="1614" spans="3:15" x14ac:dyDescent="0.2">
      <c r="C1614" s="9" cm="1">
        <f t="array" ref="C1614">IFERROR(_xlfn.XLOOKUP(B1614,Personal!$A:$A,Personal!$D:$D,""),"")</f>
        <v>0</v>
      </c>
      <c r="D1614" s="9" cm="1">
        <f t="array" ref="D1614">IFERROR(_xlfn.XLOOKUP(B1614,Personal!$A:$A,Personal!$C:$C,""),"")</f>
        <v>0</v>
      </c>
      <c r="E1614" s="9" t="str" cm="1">
        <f t="array" ref="E1614">IFERROR(_xlfn.XLOOKUP(D1614,Locales!$A:$A,Locales!$B:$B,""),"")</f>
        <v/>
      </c>
      <c r="F1614" s="9" cm="1">
        <f t="array" ref="F1614">IFERROR(_xlfn.XLOOKUP(B1614,Personal!$A:$A,Personal!$F:$F,""),"")</f>
        <v>0</v>
      </c>
      <c r="I1614" s="10" cm="1">
        <f t="array" ref="I1614">IFERROR(INDEX(Precios!$D:$F,MATCH(N1614, Precios!$G:$G, 0),CHOOSE(MATCH(H1614, {"SML";"XL";"XXL"}, 0), 1, 2, 3)), 0)</f>
        <v>0</v>
      </c>
      <c r="K1614" s="10">
        <f t="shared" si="58"/>
        <v>0</v>
      </c>
      <c r="N1614" s="9" t="str">
        <f t="shared" si="59"/>
        <v/>
      </c>
      <c r="O1614" s="9" t="str">
        <f>IF(N1614="","",IF(COUNTIF(Precios!$G:$G,N1614)=0,"⚠ No coincide con Precios","OK"))</f>
        <v/>
      </c>
    </row>
    <row r="1615" spans="3:15" x14ac:dyDescent="0.2">
      <c r="C1615" s="9" cm="1">
        <f t="array" ref="C1615">IFERROR(_xlfn.XLOOKUP(B1615,Personal!$A:$A,Personal!$D:$D,""),"")</f>
        <v>0</v>
      </c>
      <c r="D1615" s="9" cm="1">
        <f t="array" ref="D1615">IFERROR(_xlfn.XLOOKUP(B1615,Personal!$A:$A,Personal!$C:$C,""),"")</f>
        <v>0</v>
      </c>
      <c r="E1615" s="9" t="str" cm="1">
        <f t="array" ref="E1615">IFERROR(_xlfn.XLOOKUP(D1615,Locales!$A:$A,Locales!$B:$B,""),"")</f>
        <v/>
      </c>
      <c r="F1615" s="9" cm="1">
        <f t="array" ref="F1615">IFERROR(_xlfn.XLOOKUP(B1615,Personal!$A:$A,Personal!$F:$F,""),"")</f>
        <v>0</v>
      </c>
      <c r="I1615" s="10" cm="1">
        <f t="array" ref="I1615">IFERROR(INDEX(Precios!$D:$F,MATCH(N1615, Precios!$G:$G, 0),CHOOSE(MATCH(H1615, {"SML";"XL";"XXL"}, 0), 1, 2, 3)), 0)</f>
        <v>0</v>
      </c>
      <c r="K1615" s="10">
        <f t="shared" si="58"/>
        <v>0</v>
      </c>
      <c r="N1615" s="9" t="str">
        <f t="shared" si="59"/>
        <v/>
      </c>
      <c r="O1615" s="9" t="str">
        <f>IF(N1615="","",IF(COUNTIF(Precios!$G:$G,N1615)=0,"⚠ No coincide con Precios","OK"))</f>
        <v/>
      </c>
    </row>
    <row r="1616" spans="3:15" x14ac:dyDescent="0.2">
      <c r="C1616" s="9" cm="1">
        <f t="array" ref="C1616">IFERROR(_xlfn.XLOOKUP(B1616,Personal!$A:$A,Personal!$D:$D,""),"")</f>
        <v>0</v>
      </c>
      <c r="D1616" s="9" cm="1">
        <f t="array" ref="D1616">IFERROR(_xlfn.XLOOKUP(B1616,Personal!$A:$A,Personal!$C:$C,""),"")</f>
        <v>0</v>
      </c>
      <c r="E1616" s="9" t="str" cm="1">
        <f t="array" ref="E1616">IFERROR(_xlfn.XLOOKUP(D1616,Locales!$A:$A,Locales!$B:$B,""),"")</f>
        <v/>
      </c>
      <c r="F1616" s="9" cm="1">
        <f t="array" ref="F1616">IFERROR(_xlfn.XLOOKUP(B1616,Personal!$A:$A,Personal!$F:$F,""),"")</f>
        <v>0</v>
      </c>
      <c r="I1616" s="10" cm="1">
        <f t="array" ref="I1616">IFERROR(INDEX(Precios!$D:$F,MATCH(N1616, Precios!$G:$G, 0),CHOOSE(MATCH(H1616, {"SML";"XL";"XXL"}, 0), 1, 2, 3)), 0)</f>
        <v>0</v>
      </c>
      <c r="K1616" s="10">
        <f t="shared" si="58"/>
        <v>0</v>
      </c>
      <c r="N1616" s="9" t="str">
        <f t="shared" si="59"/>
        <v/>
      </c>
      <c r="O1616" s="9" t="str">
        <f>IF(N1616="","",IF(COUNTIF(Precios!$G:$G,N1616)=0,"⚠ No coincide con Precios","OK"))</f>
        <v/>
      </c>
    </row>
    <row r="1617" spans="3:15" x14ac:dyDescent="0.2">
      <c r="C1617" s="9" cm="1">
        <f t="array" ref="C1617">IFERROR(_xlfn.XLOOKUP(B1617,Personal!$A:$A,Personal!$D:$D,""),"")</f>
        <v>0</v>
      </c>
      <c r="D1617" s="9" cm="1">
        <f t="array" ref="D1617">IFERROR(_xlfn.XLOOKUP(B1617,Personal!$A:$A,Personal!$C:$C,""),"")</f>
        <v>0</v>
      </c>
      <c r="E1617" s="9" t="str" cm="1">
        <f t="array" ref="E1617">IFERROR(_xlfn.XLOOKUP(D1617,Locales!$A:$A,Locales!$B:$B,""),"")</f>
        <v/>
      </c>
      <c r="F1617" s="9" cm="1">
        <f t="array" ref="F1617">IFERROR(_xlfn.XLOOKUP(B1617,Personal!$A:$A,Personal!$F:$F,""),"")</f>
        <v>0</v>
      </c>
      <c r="I1617" s="10" cm="1">
        <f t="array" ref="I1617">IFERROR(INDEX(Precios!$D:$F,MATCH(N1617, Precios!$G:$G, 0),CHOOSE(MATCH(H1617, {"SML";"XL";"XXL"}, 0), 1, 2, 3)), 0)</f>
        <v>0</v>
      </c>
      <c r="K1617" s="10">
        <f t="shared" si="58"/>
        <v>0</v>
      </c>
      <c r="N1617" s="9" t="str">
        <f t="shared" si="59"/>
        <v/>
      </c>
      <c r="O1617" s="9" t="str">
        <f>IF(N1617="","",IF(COUNTIF(Precios!$G:$G,N1617)=0,"⚠ No coincide con Precios","OK"))</f>
        <v/>
      </c>
    </row>
    <row r="1618" spans="3:15" x14ac:dyDescent="0.2">
      <c r="C1618" s="9" cm="1">
        <f t="array" ref="C1618">IFERROR(_xlfn.XLOOKUP(B1618,Personal!$A:$A,Personal!$D:$D,""),"")</f>
        <v>0</v>
      </c>
      <c r="D1618" s="9" cm="1">
        <f t="array" ref="D1618">IFERROR(_xlfn.XLOOKUP(B1618,Personal!$A:$A,Personal!$C:$C,""),"")</f>
        <v>0</v>
      </c>
      <c r="E1618" s="9" t="str" cm="1">
        <f t="array" ref="E1618">IFERROR(_xlfn.XLOOKUP(D1618,Locales!$A:$A,Locales!$B:$B,""),"")</f>
        <v/>
      </c>
      <c r="F1618" s="9" cm="1">
        <f t="array" ref="F1618">IFERROR(_xlfn.XLOOKUP(B1618,Personal!$A:$A,Personal!$F:$F,""),"")</f>
        <v>0</v>
      </c>
      <c r="I1618" s="10" cm="1">
        <f t="array" ref="I1618">IFERROR(INDEX(Precios!$D:$F,MATCH(N1618, Precios!$G:$G, 0),CHOOSE(MATCH(H1618, {"SML";"XL";"XXL"}, 0), 1, 2, 3)), 0)</f>
        <v>0</v>
      </c>
      <c r="K1618" s="10">
        <f t="shared" si="58"/>
        <v>0</v>
      </c>
      <c r="N1618" s="9" t="str">
        <f t="shared" si="59"/>
        <v/>
      </c>
      <c r="O1618" s="9" t="str">
        <f>IF(N1618="","",IF(COUNTIF(Precios!$G:$G,N1618)=0,"⚠ No coincide con Precios","OK"))</f>
        <v/>
      </c>
    </row>
    <row r="1619" spans="3:15" x14ac:dyDescent="0.2">
      <c r="C1619" s="9" cm="1">
        <f t="array" ref="C1619">IFERROR(_xlfn.XLOOKUP(B1619,Personal!$A:$A,Personal!$D:$D,""),"")</f>
        <v>0</v>
      </c>
      <c r="D1619" s="9" cm="1">
        <f t="array" ref="D1619">IFERROR(_xlfn.XLOOKUP(B1619,Personal!$A:$A,Personal!$C:$C,""),"")</f>
        <v>0</v>
      </c>
      <c r="E1619" s="9" t="str" cm="1">
        <f t="array" ref="E1619">IFERROR(_xlfn.XLOOKUP(D1619,Locales!$A:$A,Locales!$B:$B,""),"")</f>
        <v/>
      </c>
      <c r="F1619" s="9" cm="1">
        <f t="array" ref="F1619">IFERROR(_xlfn.XLOOKUP(B1619,Personal!$A:$A,Personal!$F:$F,""),"")</f>
        <v>0</v>
      </c>
      <c r="I1619" s="10" cm="1">
        <f t="array" ref="I1619">IFERROR(INDEX(Precios!$D:$F,MATCH(N1619, Precios!$G:$G, 0),CHOOSE(MATCH(H1619, {"SML";"XL";"XXL"}, 0), 1, 2, 3)), 0)</f>
        <v>0</v>
      </c>
      <c r="K1619" s="10">
        <f t="shared" si="58"/>
        <v>0</v>
      </c>
      <c r="N1619" s="9" t="str">
        <f t="shared" si="59"/>
        <v/>
      </c>
      <c r="O1619" s="9" t="str">
        <f>IF(N1619="","",IF(COUNTIF(Precios!$G:$G,N1619)=0,"⚠ No coincide con Precios","OK"))</f>
        <v/>
      </c>
    </row>
    <row r="1620" spans="3:15" x14ac:dyDescent="0.2">
      <c r="C1620" s="9" cm="1">
        <f t="array" ref="C1620">IFERROR(_xlfn.XLOOKUP(B1620,Personal!$A:$A,Personal!$D:$D,""),"")</f>
        <v>0</v>
      </c>
      <c r="D1620" s="9" cm="1">
        <f t="array" ref="D1620">IFERROR(_xlfn.XLOOKUP(B1620,Personal!$A:$A,Personal!$C:$C,""),"")</f>
        <v>0</v>
      </c>
      <c r="E1620" s="9" t="str" cm="1">
        <f t="array" ref="E1620">IFERROR(_xlfn.XLOOKUP(D1620,Locales!$A:$A,Locales!$B:$B,""),"")</f>
        <v/>
      </c>
      <c r="F1620" s="9" cm="1">
        <f t="array" ref="F1620">IFERROR(_xlfn.XLOOKUP(B1620,Personal!$A:$A,Personal!$F:$F,""),"")</f>
        <v>0</v>
      </c>
      <c r="I1620" s="10" cm="1">
        <f t="array" ref="I1620">IFERROR(INDEX(Precios!$D:$F,MATCH(N1620, Precios!$G:$G, 0),CHOOSE(MATCH(H1620, {"SML";"XL";"XXL"}, 0), 1, 2, 3)), 0)</f>
        <v>0</v>
      </c>
      <c r="K1620" s="10">
        <f t="shared" si="58"/>
        <v>0</v>
      </c>
      <c r="N1620" s="9" t="str">
        <f t="shared" si="59"/>
        <v/>
      </c>
      <c r="O1620" s="9" t="str">
        <f>IF(N1620="","",IF(COUNTIF(Precios!$G:$G,N1620)=0,"⚠ No coincide con Precios","OK"))</f>
        <v/>
      </c>
    </row>
    <row r="1621" spans="3:15" x14ac:dyDescent="0.2">
      <c r="C1621" s="9" cm="1">
        <f t="array" ref="C1621">IFERROR(_xlfn.XLOOKUP(B1621,Personal!$A:$A,Personal!$D:$D,""),"")</f>
        <v>0</v>
      </c>
      <c r="D1621" s="9" cm="1">
        <f t="array" ref="D1621">IFERROR(_xlfn.XLOOKUP(B1621,Personal!$A:$A,Personal!$C:$C,""),"")</f>
        <v>0</v>
      </c>
      <c r="E1621" s="9" t="str" cm="1">
        <f t="array" ref="E1621">IFERROR(_xlfn.XLOOKUP(D1621,Locales!$A:$A,Locales!$B:$B,""),"")</f>
        <v/>
      </c>
      <c r="F1621" s="9" cm="1">
        <f t="array" ref="F1621">IFERROR(_xlfn.XLOOKUP(B1621,Personal!$A:$A,Personal!$F:$F,""),"")</f>
        <v>0</v>
      </c>
      <c r="I1621" s="10" cm="1">
        <f t="array" ref="I1621">IFERROR(INDEX(Precios!$D:$F,MATCH(N1621, Precios!$G:$G, 0),CHOOSE(MATCH(H1621, {"SML";"XL";"XXL"}, 0), 1, 2, 3)), 0)</f>
        <v>0</v>
      </c>
      <c r="K1621" s="10">
        <f t="shared" si="58"/>
        <v>0</v>
      </c>
      <c r="N1621" s="9" t="str">
        <f t="shared" si="59"/>
        <v/>
      </c>
      <c r="O1621" s="9" t="str">
        <f>IF(N1621="","",IF(COUNTIF(Precios!$G:$G,N1621)=0,"⚠ No coincide con Precios","OK"))</f>
        <v/>
      </c>
    </row>
    <row r="1622" spans="3:15" x14ac:dyDescent="0.2">
      <c r="C1622" s="9" cm="1">
        <f t="array" ref="C1622">IFERROR(_xlfn.XLOOKUP(B1622,Personal!$A:$A,Personal!$D:$D,""),"")</f>
        <v>0</v>
      </c>
      <c r="D1622" s="9" cm="1">
        <f t="array" ref="D1622">IFERROR(_xlfn.XLOOKUP(B1622,Personal!$A:$A,Personal!$C:$C,""),"")</f>
        <v>0</v>
      </c>
      <c r="E1622" s="9" t="str" cm="1">
        <f t="array" ref="E1622">IFERROR(_xlfn.XLOOKUP(D1622,Locales!$A:$A,Locales!$B:$B,""),"")</f>
        <v/>
      </c>
      <c r="F1622" s="9" cm="1">
        <f t="array" ref="F1622">IFERROR(_xlfn.XLOOKUP(B1622,Personal!$A:$A,Personal!$F:$F,""),"")</f>
        <v>0</v>
      </c>
      <c r="I1622" s="10" cm="1">
        <f t="array" ref="I1622">IFERROR(INDEX(Precios!$D:$F,MATCH(N1622, Precios!$G:$G, 0),CHOOSE(MATCH(H1622, {"SML";"XL";"XXL"}, 0), 1, 2, 3)), 0)</f>
        <v>0</v>
      </c>
      <c r="K1622" s="10">
        <f t="shared" si="58"/>
        <v>0</v>
      </c>
      <c r="N1622" s="9" t="str">
        <f t="shared" si="59"/>
        <v/>
      </c>
      <c r="O1622" s="9" t="str">
        <f>IF(N1622="","",IF(COUNTIF(Precios!$G:$G,N1622)=0,"⚠ No coincide con Precios","OK"))</f>
        <v/>
      </c>
    </row>
    <row r="1623" spans="3:15" x14ac:dyDescent="0.2">
      <c r="C1623" s="9" cm="1">
        <f t="array" ref="C1623">IFERROR(_xlfn.XLOOKUP(B1623,Personal!$A:$A,Personal!$D:$D,""),"")</f>
        <v>0</v>
      </c>
      <c r="D1623" s="9" cm="1">
        <f t="array" ref="D1623">IFERROR(_xlfn.XLOOKUP(B1623,Personal!$A:$A,Personal!$C:$C,""),"")</f>
        <v>0</v>
      </c>
      <c r="E1623" s="9" t="str" cm="1">
        <f t="array" ref="E1623">IFERROR(_xlfn.XLOOKUP(D1623,Locales!$A:$A,Locales!$B:$B,""),"")</f>
        <v/>
      </c>
      <c r="F1623" s="9" cm="1">
        <f t="array" ref="F1623">IFERROR(_xlfn.XLOOKUP(B1623,Personal!$A:$A,Personal!$F:$F,""),"")</f>
        <v>0</v>
      </c>
      <c r="I1623" s="10" cm="1">
        <f t="array" ref="I1623">IFERROR(INDEX(Precios!$D:$F,MATCH(N1623, Precios!$G:$G, 0),CHOOSE(MATCH(H1623, {"SML";"XL";"XXL"}, 0), 1, 2, 3)), 0)</f>
        <v>0</v>
      </c>
      <c r="K1623" s="10">
        <f t="shared" si="58"/>
        <v>0</v>
      </c>
      <c r="N1623" s="9" t="str">
        <f t="shared" si="59"/>
        <v/>
      </c>
      <c r="O1623" s="9" t="str">
        <f>IF(N1623="","",IF(COUNTIF(Precios!$G:$G,N1623)=0,"⚠ No coincide con Precios","OK"))</f>
        <v/>
      </c>
    </row>
    <row r="1624" spans="3:15" x14ac:dyDescent="0.2">
      <c r="C1624" s="9" cm="1">
        <f t="array" ref="C1624">IFERROR(_xlfn.XLOOKUP(B1624,Personal!$A:$A,Personal!$D:$D,""),"")</f>
        <v>0</v>
      </c>
      <c r="D1624" s="9" cm="1">
        <f t="array" ref="D1624">IFERROR(_xlfn.XLOOKUP(B1624,Personal!$A:$A,Personal!$C:$C,""),"")</f>
        <v>0</v>
      </c>
      <c r="E1624" s="9" t="str" cm="1">
        <f t="array" ref="E1624">IFERROR(_xlfn.XLOOKUP(D1624,Locales!$A:$A,Locales!$B:$B,""),"")</f>
        <v/>
      </c>
      <c r="F1624" s="9" cm="1">
        <f t="array" ref="F1624">IFERROR(_xlfn.XLOOKUP(B1624,Personal!$A:$A,Personal!$F:$F,""),"")</f>
        <v>0</v>
      </c>
      <c r="I1624" s="10" cm="1">
        <f t="array" ref="I1624">IFERROR(INDEX(Precios!$D:$F,MATCH(N1624, Precios!$G:$G, 0),CHOOSE(MATCH(H1624, {"SML";"XL";"XXL"}, 0), 1, 2, 3)), 0)</f>
        <v>0</v>
      </c>
      <c r="K1624" s="10">
        <f t="shared" si="58"/>
        <v>0</v>
      </c>
      <c r="N1624" s="9" t="str">
        <f t="shared" si="59"/>
        <v/>
      </c>
      <c r="O1624" s="9" t="str">
        <f>IF(N1624="","",IF(COUNTIF(Precios!$G:$G,N1624)=0,"⚠ No coincide con Precios","OK"))</f>
        <v/>
      </c>
    </row>
    <row r="1625" spans="3:15" x14ac:dyDescent="0.2">
      <c r="C1625" s="9" cm="1">
        <f t="array" ref="C1625">IFERROR(_xlfn.XLOOKUP(B1625,Personal!$A:$A,Personal!$D:$D,""),"")</f>
        <v>0</v>
      </c>
      <c r="D1625" s="9" cm="1">
        <f t="array" ref="D1625">IFERROR(_xlfn.XLOOKUP(B1625,Personal!$A:$A,Personal!$C:$C,""),"")</f>
        <v>0</v>
      </c>
      <c r="E1625" s="9" t="str" cm="1">
        <f t="array" ref="E1625">IFERROR(_xlfn.XLOOKUP(D1625,Locales!$A:$A,Locales!$B:$B,""),"")</f>
        <v/>
      </c>
      <c r="F1625" s="9" cm="1">
        <f t="array" ref="F1625">IFERROR(_xlfn.XLOOKUP(B1625,Personal!$A:$A,Personal!$F:$F,""),"")</f>
        <v>0</v>
      </c>
      <c r="I1625" s="10" cm="1">
        <f t="array" ref="I1625">IFERROR(INDEX(Precios!$D:$F,MATCH(N1625, Precios!$G:$G, 0),CHOOSE(MATCH(H1625, {"SML";"XL";"XXL"}, 0), 1, 2, 3)), 0)</f>
        <v>0</v>
      </c>
      <c r="K1625" s="10">
        <f t="shared" si="58"/>
        <v>0</v>
      </c>
      <c r="N1625" s="9" t="str">
        <f t="shared" si="59"/>
        <v/>
      </c>
      <c r="O1625" s="9" t="str">
        <f>IF(N1625="","",IF(COUNTIF(Precios!$G:$G,N1625)=0,"⚠ No coincide con Precios","OK"))</f>
        <v/>
      </c>
    </row>
    <row r="1626" spans="3:15" x14ac:dyDescent="0.2">
      <c r="C1626" s="9" cm="1">
        <f t="array" ref="C1626">IFERROR(_xlfn.XLOOKUP(B1626,Personal!$A:$A,Personal!$D:$D,""),"")</f>
        <v>0</v>
      </c>
      <c r="D1626" s="9" cm="1">
        <f t="array" ref="D1626">IFERROR(_xlfn.XLOOKUP(B1626,Personal!$A:$A,Personal!$C:$C,""),"")</f>
        <v>0</v>
      </c>
      <c r="E1626" s="9" t="str" cm="1">
        <f t="array" ref="E1626">IFERROR(_xlfn.XLOOKUP(D1626,Locales!$A:$A,Locales!$B:$B,""),"")</f>
        <v/>
      </c>
      <c r="F1626" s="9" cm="1">
        <f t="array" ref="F1626">IFERROR(_xlfn.XLOOKUP(B1626,Personal!$A:$A,Personal!$F:$F,""),"")</f>
        <v>0</v>
      </c>
      <c r="I1626" s="10" cm="1">
        <f t="array" ref="I1626">IFERROR(INDEX(Precios!$D:$F,MATCH(N1626, Precios!$G:$G, 0),CHOOSE(MATCH(H1626, {"SML";"XL";"XXL"}, 0), 1, 2, 3)), 0)</f>
        <v>0</v>
      </c>
      <c r="K1626" s="10">
        <f t="shared" si="58"/>
        <v>0</v>
      </c>
      <c r="N1626" s="9" t="str">
        <f t="shared" si="59"/>
        <v/>
      </c>
      <c r="O1626" s="9" t="str">
        <f>IF(N1626="","",IF(COUNTIF(Precios!$G:$G,N1626)=0,"⚠ No coincide con Precios","OK"))</f>
        <v/>
      </c>
    </row>
    <row r="1627" spans="3:15" x14ac:dyDescent="0.2">
      <c r="C1627" s="9" cm="1">
        <f t="array" ref="C1627">IFERROR(_xlfn.XLOOKUP(B1627,Personal!$A:$A,Personal!$D:$D,""),"")</f>
        <v>0</v>
      </c>
      <c r="D1627" s="9" cm="1">
        <f t="array" ref="D1627">IFERROR(_xlfn.XLOOKUP(B1627,Personal!$A:$A,Personal!$C:$C,""),"")</f>
        <v>0</v>
      </c>
      <c r="E1627" s="9" t="str" cm="1">
        <f t="array" ref="E1627">IFERROR(_xlfn.XLOOKUP(D1627,Locales!$A:$A,Locales!$B:$B,""),"")</f>
        <v/>
      </c>
      <c r="F1627" s="9" cm="1">
        <f t="array" ref="F1627">IFERROR(_xlfn.XLOOKUP(B1627,Personal!$A:$A,Personal!$F:$F,""),"")</f>
        <v>0</v>
      </c>
      <c r="I1627" s="10" cm="1">
        <f t="array" ref="I1627">IFERROR(INDEX(Precios!$D:$F,MATCH(N1627, Precios!$G:$G, 0),CHOOSE(MATCH(H1627, {"SML";"XL";"XXL"}, 0), 1, 2, 3)), 0)</f>
        <v>0</v>
      </c>
      <c r="K1627" s="10">
        <f t="shared" si="58"/>
        <v>0</v>
      </c>
      <c r="N1627" s="9" t="str">
        <f t="shared" si="59"/>
        <v/>
      </c>
      <c r="O1627" s="9" t="str">
        <f>IF(N1627="","",IF(COUNTIF(Precios!$G:$G,N1627)=0,"⚠ No coincide con Precios","OK"))</f>
        <v/>
      </c>
    </row>
    <row r="1628" spans="3:15" x14ac:dyDescent="0.2">
      <c r="C1628" s="9" cm="1">
        <f t="array" ref="C1628">IFERROR(_xlfn.XLOOKUP(B1628,Personal!$A:$A,Personal!$D:$D,""),"")</f>
        <v>0</v>
      </c>
      <c r="D1628" s="9" cm="1">
        <f t="array" ref="D1628">IFERROR(_xlfn.XLOOKUP(B1628,Personal!$A:$A,Personal!$C:$C,""),"")</f>
        <v>0</v>
      </c>
      <c r="E1628" s="9" t="str" cm="1">
        <f t="array" ref="E1628">IFERROR(_xlfn.XLOOKUP(D1628,Locales!$A:$A,Locales!$B:$B,""),"")</f>
        <v/>
      </c>
      <c r="F1628" s="9" cm="1">
        <f t="array" ref="F1628">IFERROR(_xlfn.XLOOKUP(B1628,Personal!$A:$A,Personal!$F:$F,""),"")</f>
        <v>0</v>
      </c>
      <c r="I1628" s="10" cm="1">
        <f t="array" ref="I1628">IFERROR(INDEX(Precios!$D:$F,MATCH(N1628, Precios!$G:$G, 0),CHOOSE(MATCH(H1628, {"SML";"XL";"XXL"}, 0), 1, 2, 3)), 0)</f>
        <v>0</v>
      </c>
      <c r="K1628" s="10">
        <f t="shared" si="58"/>
        <v>0</v>
      </c>
      <c r="N1628" s="9" t="str">
        <f t="shared" si="59"/>
        <v/>
      </c>
      <c r="O1628" s="9" t="str">
        <f>IF(N1628="","",IF(COUNTIF(Precios!$G:$G,N1628)=0,"⚠ No coincide con Precios","OK"))</f>
        <v/>
      </c>
    </row>
    <row r="1629" spans="3:15" x14ac:dyDescent="0.2">
      <c r="C1629" s="9" cm="1">
        <f t="array" ref="C1629">IFERROR(_xlfn.XLOOKUP(B1629,Personal!$A:$A,Personal!$D:$D,""),"")</f>
        <v>0</v>
      </c>
      <c r="D1629" s="9" cm="1">
        <f t="array" ref="D1629">IFERROR(_xlfn.XLOOKUP(B1629,Personal!$A:$A,Personal!$C:$C,""),"")</f>
        <v>0</v>
      </c>
      <c r="E1629" s="9" t="str" cm="1">
        <f t="array" ref="E1629">IFERROR(_xlfn.XLOOKUP(D1629,Locales!$A:$A,Locales!$B:$B,""),"")</f>
        <v/>
      </c>
      <c r="F1629" s="9" cm="1">
        <f t="array" ref="F1629">IFERROR(_xlfn.XLOOKUP(B1629,Personal!$A:$A,Personal!$F:$F,""),"")</f>
        <v>0</v>
      </c>
      <c r="I1629" s="10" cm="1">
        <f t="array" ref="I1629">IFERROR(INDEX(Precios!$D:$F,MATCH(N1629, Precios!$G:$G, 0),CHOOSE(MATCH(H1629, {"SML";"XL";"XXL"}, 0), 1, 2, 3)), 0)</f>
        <v>0</v>
      </c>
      <c r="K1629" s="10">
        <f t="shared" si="58"/>
        <v>0</v>
      </c>
      <c r="N1629" s="9" t="str">
        <f t="shared" si="59"/>
        <v/>
      </c>
      <c r="O1629" s="9" t="str">
        <f>IF(N1629="","",IF(COUNTIF(Precios!$G:$G,N1629)=0,"⚠ No coincide con Precios","OK"))</f>
        <v/>
      </c>
    </row>
    <row r="1630" spans="3:15" x14ac:dyDescent="0.2">
      <c r="C1630" s="9" cm="1">
        <f t="array" ref="C1630">IFERROR(_xlfn.XLOOKUP(B1630,Personal!$A:$A,Personal!$D:$D,""),"")</f>
        <v>0</v>
      </c>
      <c r="D1630" s="9" cm="1">
        <f t="array" ref="D1630">IFERROR(_xlfn.XLOOKUP(B1630,Personal!$A:$A,Personal!$C:$C,""),"")</f>
        <v>0</v>
      </c>
      <c r="E1630" s="9" t="str" cm="1">
        <f t="array" ref="E1630">IFERROR(_xlfn.XLOOKUP(D1630,Locales!$A:$A,Locales!$B:$B,""),"")</f>
        <v/>
      </c>
      <c r="F1630" s="9" cm="1">
        <f t="array" ref="F1630">IFERROR(_xlfn.XLOOKUP(B1630,Personal!$A:$A,Personal!$F:$F,""),"")</f>
        <v>0</v>
      </c>
      <c r="I1630" s="10" cm="1">
        <f t="array" ref="I1630">IFERROR(INDEX(Precios!$D:$F,MATCH(N1630, Precios!$G:$G, 0),CHOOSE(MATCH(H1630, {"SML";"XL";"XXL"}, 0), 1, 2, 3)), 0)</f>
        <v>0</v>
      </c>
      <c r="K1630" s="10">
        <f t="shared" si="58"/>
        <v>0</v>
      </c>
      <c r="N1630" s="9" t="str">
        <f t="shared" si="59"/>
        <v/>
      </c>
      <c r="O1630" s="9" t="str">
        <f>IF(N1630="","",IF(COUNTIF(Precios!$G:$G,N1630)=0,"⚠ No coincide con Precios","OK"))</f>
        <v/>
      </c>
    </row>
    <row r="1631" spans="3:15" x14ac:dyDescent="0.2">
      <c r="C1631" s="9" cm="1">
        <f t="array" ref="C1631">IFERROR(_xlfn.XLOOKUP(B1631,Personal!$A:$A,Personal!$D:$D,""),"")</f>
        <v>0</v>
      </c>
      <c r="D1631" s="9" cm="1">
        <f t="array" ref="D1631">IFERROR(_xlfn.XLOOKUP(B1631,Personal!$A:$A,Personal!$C:$C,""),"")</f>
        <v>0</v>
      </c>
      <c r="E1631" s="9" t="str" cm="1">
        <f t="array" ref="E1631">IFERROR(_xlfn.XLOOKUP(D1631,Locales!$A:$A,Locales!$B:$B,""),"")</f>
        <v/>
      </c>
      <c r="F1631" s="9" cm="1">
        <f t="array" ref="F1631">IFERROR(_xlfn.XLOOKUP(B1631,Personal!$A:$A,Personal!$F:$F,""),"")</f>
        <v>0</v>
      </c>
      <c r="I1631" s="10" cm="1">
        <f t="array" ref="I1631">IFERROR(INDEX(Precios!$D:$F,MATCH(N1631, Precios!$G:$G, 0),CHOOSE(MATCH(H1631, {"SML";"XL";"XXL"}, 0), 1, 2, 3)), 0)</f>
        <v>0</v>
      </c>
      <c r="K1631" s="10">
        <f t="shared" si="58"/>
        <v>0</v>
      </c>
      <c r="N1631" s="9" t="str">
        <f t="shared" si="59"/>
        <v/>
      </c>
      <c r="O1631" s="9" t="str">
        <f>IF(N1631="","",IF(COUNTIF(Precios!$G:$G,N1631)=0,"⚠ No coincide con Precios","OK"))</f>
        <v/>
      </c>
    </row>
    <row r="1632" spans="3:15" x14ac:dyDescent="0.2">
      <c r="C1632" s="9" cm="1">
        <f t="array" ref="C1632">IFERROR(_xlfn.XLOOKUP(B1632,Personal!$A:$A,Personal!$D:$D,""),"")</f>
        <v>0</v>
      </c>
      <c r="D1632" s="9" cm="1">
        <f t="array" ref="D1632">IFERROR(_xlfn.XLOOKUP(B1632,Personal!$A:$A,Personal!$C:$C,""),"")</f>
        <v>0</v>
      </c>
      <c r="E1632" s="9" t="str" cm="1">
        <f t="array" ref="E1632">IFERROR(_xlfn.XLOOKUP(D1632,Locales!$A:$A,Locales!$B:$B,""),"")</f>
        <v/>
      </c>
      <c r="F1632" s="9" cm="1">
        <f t="array" ref="F1632">IFERROR(_xlfn.XLOOKUP(B1632,Personal!$A:$A,Personal!$F:$F,""),"")</f>
        <v>0</v>
      </c>
      <c r="I1632" s="10" cm="1">
        <f t="array" ref="I1632">IFERROR(INDEX(Precios!$D:$F,MATCH(N1632, Precios!$G:$G, 0),CHOOSE(MATCH(H1632, {"SML";"XL";"XXL"}, 0), 1, 2, 3)), 0)</f>
        <v>0</v>
      </c>
      <c r="K1632" s="10">
        <f t="shared" si="58"/>
        <v>0</v>
      </c>
      <c r="N1632" s="9" t="str">
        <f t="shared" si="59"/>
        <v/>
      </c>
      <c r="O1632" s="9" t="str">
        <f>IF(N1632="","",IF(COUNTIF(Precios!$G:$G,N1632)=0,"⚠ No coincide con Precios","OK"))</f>
        <v/>
      </c>
    </row>
    <row r="1633" spans="3:15" x14ac:dyDescent="0.2">
      <c r="C1633" s="9" cm="1">
        <f t="array" ref="C1633">IFERROR(_xlfn.XLOOKUP(B1633,Personal!$A:$A,Personal!$D:$D,""),"")</f>
        <v>0</v>
      </c>
      <c r="D1633" s="9" cm="1">
        <f t="array" ref="D1633">IFERROR(_xlfn.XLOOKUP(B1633,Personal!$A:$A,Personal!$C:$C,""),"")</f>
        <v>0</v>
      </c>
      <c r="E1633" s="9" t="str" cm="1">
        <f t="array" ref="E1633">IFERROR(_xlfn.XLOOKUP(D1633,Locales!$A:$A,Locales!$B:$B,""),"")</f>
        <v/>
      </c>
      <c r="F1633" s="9" cm="1">
        <f t="array" ref="F1633">IFERROR(_xlfn.XLOOKUP(B1633,Personal!$A:$A,Personal!$F:$F,""),"")</f>
        <v>0</v>
      </c>
      <c r="I1633" s="10" cm="1">
        <f t="array" ref="I1633">IFERROR(INDEX(Precios!$D:$F,MATCH(N1633, Precios!$G:$G, 0),CHOOSE(MATCH(H1633, {"SML";"XL";"XXL"}, 0), 1, 2, 3)), 0)</f>
        <v>0</v>
      </c>
      <c r="K1633" s="10">
        <f t="shared" si="58"/>
        <v>0</v>
      </c>
      <c r="N1633" s="9" t="str">
        <f t="shared" si="59"/>
        <v/>
      </c>
      <c r="O1633" s="9" t="str">
        <f>IF(N1633="","",IF(COUNTIF(Precios!$G:$G,N1633)=0,"⚠ No coincide con Precios","OK"))</f>
        <v/>
      </c>
    </row>
    <row r="1634" spans="3:15" x14ac:dyDescent="0.2">
      <c r="C1634" s="9" cm="1">
        <f t="array" ref="C1634">IFERROR(_xlfn.XLOOKUP(B1634,Personal!$A:$A,Personal!$D:$D,""),"")</f>
        <v>0</v>
      </c>
      <c r="D1634" s="9" cm="1">
        <f t="array" ref="D1634">IFERROR(_xlfn.XLOOKUP(B1634,Personal!$A:$A,Personal!$C:$C,""),"")</f>
        <v>0</v>
      </c>
      <c r="E1634" s="9" t="str" cm="1">
        <f t="array" ref="E1634">IFERROR(_xlfn.XLOOKUP(D1634,Locales!$A:$A,Locales!$B:$B,""),"")</f>
        <v/>
      </c>
      <c r="F1634" s="9" cm="1">
        <f t="array" ref="F1634">IFERROR(_xlfn.XLOOKUP(B1634,Personal!$A:$A,Personal!$F:$F,""),"")</f>
        <v>0</v>
      </c>
      <c r="I1634" s="10" cm="1">
        <f t="array" ref="I1634">IFERROR(INDEX(Precios!$D:$F,MATCH(N1634, Precios!$G:$G, 0),CHOOSE(MATCH(H1634, {"SML";"XL";"XXL"}, 0), 1, 2, 3)), 0)</f>
        <v>0</v>
      </c>
      <c r="K1634" s="10">
        <f t="shared" si="58"/>
        <v>0</v>
      </c>
      <c r="N1634" s="9" t="str">
        <f t="shared" si="59"/>
        <v/>
      </c>
      <c r="O1634" s="9" t="str">
        <f>IF(N1634="","",IF(COUNTIF(Precios!$G:$G,N1634)=0,"⚠ No coincide con Precios","OK"))</f>
        <v/>
      </c>
    </row>
    <row r="1635" spans="3:15" x14ac:dyDescent="0.2">
      <c r="C1635" s="9" cm="1">
        <f t="array" ref="C1635">IFERROR(_xlfn.XLOOKUP(B1635,Personal!$A:$A,Personal!$D:$D,""),"")</f>
        <v>0</v>
      </c>
      <c r="D1635" s="9" cm="1">
        <f t="array" ref="D1635">IFERROR(_xlfn.XLOOKUP(B1635,Personal!$A:$A,Personal!$C:$C,""),"")</f>
        <v>0</v>
      </c>
      <c r="E1635" s="9" t="str" cm="1">
        <f t="array" ref="E1635">IFERROR(_xlfn.XLOOKUP(D1635,Locales!$A:$A,Locales!$B:$B,""),"")</f>
        <v/>
      </c>
      <c r="F1635" s="9" cm="1">
        <f t="array" ref="F1635">IFERROR(_xlfn.XLOOKUP(B1635,Personal!$A:$A,Personal!$F:$F,""),"")</f>
        <v>0</v>
      </c>
      <c r="I1635" s="10" cm="1">
        <f t="array" ref="I1635">IFERROR(INDEX(Precios!$D:$F,MATCH(N1635, Precios!$G:$G, 0),CHOOSE(MATCH(H1635, {"SML";"XL";"XXL"}, 0), 1, 2, 3)), 0)</f>
        <v>0</v>
      </c>
      <c r="K1635" s="10">
        <f t="shared" si="58"/>
        <v>0</v>
      </c>
      <c r="N1635" s="9" t="str">
        <f t="shared" si="59"/>
        <v/>
      </c>
      <c r="O1635" s="9" t="str">
        <f>IF(N1635="","",IF(COUNTIF(Precios!$G:$G,N1635)=0,"⚠ No coincide con Precios","OK"))</f>
        <v/>
      </c>
    </row>
    <row r="1636" spans="3:15" x14ac:dyDescent="0.2">
      <c r="C1636" s="9" cm="1">
        <f t="array" ref="C1636">IFERROR(_xlfn.XLOOKUP(B1636,Personal!$A:$A,Personal!$D:$D,""),"")</f>
        <v>0</v>
      </c>
      <c r="D1636" s="9" cm="1">
        <f t="array" ref="D1636">IFERROR(_xlfn.XLOOKUP(B1636,Personal!$A:$A,Personal!$C:$C,""),"")</f>
        <v>0</v>
      </c>
      <c r="E1636" s="9" t="str" cm="1">
        <f t="array" ref="E1636">IFERROR(_xlfn.XLOOKUP(D1636,Locales!$A:$A,Locales!$B:$B,""),"")</f>
        <v/>
      </c>
      <c r="F1636" s="9" cm="1">
        <f t="array" ref="F1636">IFERROR(_xlfn.XLOOKUP(B1636,Personal!$A:$A,Personal!$F:$F,""),"")</f>
        <v>0</v>
      </c>
      <c r="I1636" s="10" cm="1">
        <f t="array" ref="I1636">IFERROR(INDEX(Precios!$D:$F,MATCH(N1636, Precios!$G:$G, 0),CHOOSE(MATCH(H1636, {"SML";"XL";"XXL"}, 0), 1, 2, 3)), 0)</f>
        <v>0</v>
      </c>
      <c r="K1636" s="10">
        <f t="shared" si="58"/>
        <v>0</v>
      </c>
      <c r="N1636" s="9" t="str">
        <f t="shared" si="59"/>
        <v/>
      </c>
      <c r="O1636" s="9" t="str">
        <f>IF(N1636="","",IF(COUNTIF(Precios!$G:$G,N1636)=0,"⚠ No coincide con Precios","OK"))</f>
        <v/>
      </c>
    </row>
    <row r="1637" spans="3:15" x14ac:dyDescent="0.2">
      <c r="C1637" s="9" cm="1">
        <f t="array" ref="C1637">IFERROR(_xlfn.XLOOKUP(B1637,Personal!$A:$A,Personal!$D:$D,""),"")</f>
        <v>0</v>
      </c>
      <c r="D1637" s="9" cm="1">
        <f t="array" ref="D1637">IFERROR(_xlfn.XLOOKUP(B1637,Personal!$A:$A,Personal!$C:$C,""),"")</f>
        <v>0</v>
      </c>
      <c r="E1637" s="9" t="str" cm="1">
        <f t="array" ref="E1637">IFERROR(_xlfn.XLOOKUP(D1637,Locales!$A:$A,Locales!$B:$B,""),"")</f>
        <v/>
      </c>
      <c r="F1637" s="9" cm="1">
        <f t="array" ref="F1637">IFERROR(_xlfn.XLOOKUP(B1637,Personal!$A:$A,Personal!$F:$F,""),"")</f>
        <v>0</v>
      </c>
      <c r="I1637" s="10" cm="1">
        <f t="array" ref="I1637">IFERROR(INDEX(Precios!$D:$F,MATCH(N1637, Precios!$G:$G, 0),CHOOSE(MATCH(H1637, {"SML";"XL";"XXL"}, 0), 1, 2, 3)), 0)</f>
        <v>0</v>
      </c>
      <c r="K1637" s="10">
        <f t="shared" si="58"/>
        <v>0</v>
      </c>
      <c r="N1637" s="9" t="str">
        <f t="shared" si="59"/>
        <v/>
      </c>
      <c r="O1637" s="9" t="str">
        <f>IF(N1637="","",IF(COUNTIF(Precios!$G:$G,N1637)=0,"⚠ No coincide con Precios","OK"))</f>
        <v/>
      </c>
    </row>
    <row r="1638" spans="3:15" x14ac:dyDescent="0.2">
      <c r="C1638" s="9" cm="1">
        <f t="array" ref="C1638">IFERROR(_xlfn.XLOOKUP(B1638,Personal!$A:$A,Personal!$D:$D,""),"")</f>
        <v>0</v>
      </c>
      <c r="D1638" s="9" cm="1">
        <f t="array" ref="D1638">IFERROR(_xlfn.XLOOKUP(B1638,Personal!$A:$A,Personal!$C:$C,""),"")</f>
        <v>0</v>
      </c>
      <c r="E1638" s="9" t="str" cm="1">
        <f t="array" ref="E1638">IFERROR(_xlfn.XLOOKUP(D1638,Locales!$A:$A,Locales!$B:$B,""),"")</f>
        <v/>
      </c>
      <c r="F1638" s="9" cm="1">
        <f t="array" ref="F1638">IFERROR(_xlfn.XLOOKUP(B1638,Personal!$A:$A,Personal!$F:$F,""),"")</f>
        <v>0</v>
      </c>
      <c r="I1638" s="10" cm="1">
        <f t="array" ref="I1638">IFERROR(INDEX(Precios!$D:$F,MATCH(N1638, Precios!$G:$G, 0),CHOOSE(MATCH(H1638, {"SML";"XL";"XXL"}, 0), 1, 2, 3)), 0)</f>
        <v>0</v>
      </c>
      <c r="K1638" s="10">
        <f t="shared" si="58"/>
        <v>0</v>
      </c>
      <c r="N1638" s="9" t="str">
        <f t="shared" si="59"/>
        <v/>
      </c>
      <c r="O1638" s="9" t="str">
        <f>IF(N1638="","",IF(COUNTIF(Precios!$G:$G,N1638)=0,"⚠ No coincide con Precios","OK"))</f>
        <v/>
      </c>
    </row>
    <row r="1639" spans="3:15" x14ac:dyDescent="0.2">
      <c r="C1639" s="9" cm="1">
        <f t="array" ref="C1639">IFERROR(_xlfn.XLOOKUP(B1639,Personal!$A:$A,Personal!$D:$D,""),"")</f>
        <v>0</v>
      </c>
      <c r="D1639" s="9" cm="1">
        <f t="array" ref="D1639">IFERROR(_xlfn.XLOOKUP(B1639,Personal!$A:$A,Personal!$C:$C,""),"")</f>
        <v>0</v>
      </c>
      <c r="E1639" s="9" t="str" cm="1">
        <f t="array" ref="E1639">IFERROR(_xlfn.XLOOKUP(D1639,Locales!$A:$A,Locales!$B:$B,""),"")</f>
        <v/>
      </c>
      <c r="F1639" s="9" cm="1">
        <f t="array" ref="F1639">IFERROR(_xlfn.XLOOKUP(B1639,Personal!$A:$A,Personal!$F:$F,""),"")</f>
        <v>0</v>
      </c>
      <c r="I1639" s="10" cm="1">
        <f t="array" ref="I1639">IFERROR(INDEX(Precios!$D:$F,MATCH(N1639, Precios!$G:$G, 0),CHOOSE(MATCH(H1639, {"SML";"XL";"XXL"}, 0), 1, 2, 3)), 0)</f>
        <v>0</v>
      </c>
      <c r="K1639" s="10">
        <f t="shared" si="58"/>
        <v>0</v>
      </c>
      <c r="N1639" s="9" t="str">
        <f t="shared" si="59"/>
        <v/>
      </c>
      <c r="O1639" s="9" t="str">
        <f>IF(N1639="","",IF(COUNTIF(Precios!$G:$G,N1639)=0,"⚠ No coincide con Precios","OK"))</f>
        <v/>
      </c>
    </row>
    <row r="1640" spans="3:15" x14ac:dyDescent="0.2">
      <c r="C1640" s="9" cm="1">
        <f t="array" ref="C1640">IFERROR(_xlfn.XLOOKUP(B1640,Personal!$A:$A,Personal!$D:$D,""),"")</f>
        <v>0</v>
      </c>
      <c r="D1640" s="9" cm="1">
        <f t="array" ref="D1640">IFERROR(_xlfn.XLOOKUP(B1640,Personal!$A:$A,Personal!$C:$C,""),"")</f>
        <v>0</v>
      </c>
      <c r="E1640" s="9" t="str" cm="1">
        <f t="array" ref="E1640">IFERROR(_xlfn.XLOOKUP(D1640,Locales!$A:$A,Locales!$B:$B,""),"")</f>
        <v/>
      </c>
      <c r="F1640" s="9" cm="1">
        <f t="array" ref="F1640">IFERROR(_xlfn.XLOOKUP(B1640,Personal!$A:$A,Personal!$F:$F,""),"")</f>
        <v>0</v>
      </c>
      <c r="I1640" s="10" cm="1">
        <f t="array" ref="I1640">IFERROR(INDEX(Precios!$D:$F,MATCH(N1640, Precios!$G:$G, 0),CHOOSE(MATCH(H1640, {"SML";"XL";"XXL"}, 0), 1, 2, 3)), 0)</f>
        <v>0</v>
      </c>
      <c r="K1640" s="10">
        <f t="shared" si="58"/>
        <v>0</v>
      </c>
      <c r="N1640" s="9" t="str">
        <f t="shared" si="59"/>
        <v/>
      </c>
      <c r="O1640" s="9" t="str">
        <f>IF(N1640="","",IF(COUNTIF(Precios!$G:$G,N1640)=0,"⚠ No coincide con Precios","OK"))</f>
        <v/>
      </c>
    </row>
    <row r="1641" spans="3:15" x14ac:dyDescent="0.2">
      <c r="C1641" s="9" cm="1">
        <f t="array" ref="C1641">IFERROR(_xlfn.XLOOKUP(B1641,Personal!$A:$A,Personal!$D:$D,""),"")</f>
        <v>0</v>
      </c>
      <c r="D1641" s="9" cm="1">
        <f t="array" ref="D1641">IFERROR(_xlfn.XLOOKUP(B1641,Personal!$A:$A,Personal!$C:$C,""),"")</f>
        <v>0</v>
      </c>
      <c r="E1641" s="9" t="str" cm="1">
        <f t="array" ref="E1641">IFERROR(_xlfn.XLOOKUP(D1641,Locales!$A:$A,Locales!$B:$B,""),"")</f>
        <v/>
      </c>
      <c r="F1641" s="9" cm="1">
        <f t="array" ref="F1641">IFERROR(_xlfn.XLOOKUP(B1641,Personal!$A:$A,Personal!$F:$F,""),"")</f>
        <v>0</v>
      </c>
      <c r="I1641" s="10" cm="1">
        <f t="array" ref="I1641">IFERROR(INDEX(Precios!$D:$F,MATCH(N1641, Precios!$G:$G, 0),CHOOSE(MATCH(H1641, {"SML";"XL";"XXL"}, 0), 1, 2, 3)), 0)</f>
        <v>0</v>
      </c>
      <c r="K1641" s="10">
        <f t="shared" si="58"/>
        <v>0</v>
      </c>
      <c r="N1641" s="9" t="str">
        <f t="shared" si="59"/>
        <v/>
      </c>
      <c r="O1641" s="9" t="str">
        <f>IF(N1641="","",IF(COUNTIF(Precios!$G:$G,N1641)=0,"⚠ No coincide con Precios","OK"))</f>
        <v/>
      </c>
    </row>
    <row r="1642" spans="3:15" x14ac:dyDescent="0.2">
      <c r="C1642" s="9" cm="1">
        <f t="array" ref="C1642">IFERROR(_xlfn.XLOOKUP(B1642,Personal!$A:$A,Personal!$D:$D,""),"")</f>
        <v>0</v>
      </c>
      <c r="D1642" s="9" cm="1">
        <f t="array" ref="D1642">IFERROR(_xlfn.XLOOKUP(B1642,Personal!$A:$A,Personal!$C:$C,""),"")</f>
        <v>0</v>
      </c>
      <c r="E1642" s="9" t="str" cm="1">
        <f t="array" ref="E1642">IFERROR(_xlfn.XLOOKUP(D1642,Locales!$A:$A,Locales!$B:$B,""),"")</f>
        <v/>
      </c>
      <c r="F1642" s="9" cm="1">
        <f t="array" ref="F1642">IFERROR(_xlfn.XLOOKUP(B1642,Personal!$A:$A,Personal!$F:$F,""),"")</f>
        <v>0</v>
      </c>
      <c r="I1642" s="10" cm="1">
        <f t="array" ref="I1642">IFERROR(INDEX(Precios!$D:$F,MATCH(N1642, Precios!$G:$G, 0),CHOOSE(MATCH(H1642, {"SML";"XL";"XXL"}, 0), 1, 2, 3)), 0)</f>
        <v>0</v>
      </c>
      <c r="K1642" s="10">
        <f t="shared" si="58"/>
        <v>0</v>
      </c>
      <c r="N1642" s="9" t="str">
        <f t="shared" si="59"/>
        <v/>
      </c>
      <c r="O1642" s="9" t="str">
        <f>IF(N1642="","",IF(COUNTIF(Precios!$G:$G,N1642)=0,"⚠ No coincide con Precios","OK"))</f>
        <v/>
      </c>
    </row>
    <row r="1643" spans="3:15" x14ac:dyDescent="0.2">
      <c r="C1643" s="9" cm="1">
        <f t="array" ref="C1643">IFERROR(_xlfn.XLOOKUP(B1643,Personal!$A:$A,Personal!$D:$D,""),"")</f>
        <v>0</v>
      </c>
      <c r="D1643" s="9" cm="1">
        <f t="array" ref="D1643">IFERROR(_xlfn.XLOOKUP(B1643,Personal!$A:$A,Personal!$C:$C,""),"")</f>
        <v>0</v>
      </c>
      <c r="E1643" s="9" t="str" cm="1">
        <f t="array" ref="E1643">IFERROR(_xlfn.XLOOKUP(D1643,Locales!$A:$A,Locales!$B:$B,""),"")</f>
        <v/>
      </c>
      <c r="F1643" s="9" cm="1">
        <f t="array" ref="F1643">IFERROR(_xlfn.XLOOKUP(B1643,Personal!$A:$A,Personal!$F:$F,""),"")</f>
        <v>0</v>
      </c>
      <c r="I1643" s="10" cm="1">
        <f t="array" ref="I1643">IFERROR(INDEX(Precios!$D:$F,MATCH(N1643, Precios!$G:$G, 0),CHOOSE(MATCH(H1643, {"SML";"XL";"XXL"}, 0), 1, 2, 3)), 0)</f>
        <v>0</v>
      </c>
      <c r="K1643" s="10">
        <f t="shared" si="58"/>
        <v>0</v>
      </c>
      <c r="N1643" s="9" t="str">
        <f t="shared" si="59"/>
        <v/>
      </c>
      <c r="O1643" s="9" t="str">
        <f>IF(N1643="","",IF(COUNTIF(Precios!$G:$G,N1643)=0,"⚠ No coincide con Precios","OK"))</f>
        <v/>
      </c>
    </row>
    <row r="1644" spans="3:15" x14ac:dyDescent="0.2">
      <c r="C1644" s="9" cm="1">
        <f t="array" ref="C1644">IFERROR(_xlfn.XLOOKUP(B1644,Personal!$A:$A,Personal!$D:$D,""),"")</f>
        <v>0</v>
      </c>
      <c r="D1644" s="9" cm="1">
        <f t="array" ref="D1644">IFERROR(_xlfn.XLOOKUP(B1644,Personal!$A:$A,Personal!$C:$C,""),"")</f>
        <v>0</v>
      </c>
      <c r="E1644" s="9" t="str" cm="1">
        <f t="array" ref="E1644">IFERROR(_xlfn.XLOOKUP(D1644,Locales!$A:$A,Locales!$B:$B,""),"")</f>
        <v/>
      </c>
      <c r="F1644" s="9" cm="1">
        <f t="array" ref="F1644">IFERROR(_xlfn.XLOOKUP(B1644,Personal!$A:$A,Personal!$F:$F,""),"")</f>
        <v>0</v>
      </c>
      <c r="I1644" s="10" cm="1">
        <f t="array" ref="I1644">IFERROR(INDEX(Precios!$D:$F,MATCH(N1644, Precios!$G:$G, 0),CHOOSE(MATCH(H1644, {"SML";"XL";"XXL"}, 0), 1, 2, 3)), 0)</f>
        <v>0</v>
      </c>
      <c r="K1644" s="10">
        <f t="shared" si="58"/>
        <v>0</v>
      </c>
      <c r="N1644" s="9" t="str">
        <f t="shared" si="59"/>
        <v/>
      </c>
      <c r="O1644" s="9" t="str">
        <f>IF(N1644="","",IF(COUNTIF(Precios!$G:$G,N1644)=0,"⚠ No coincide con Precios","OK"))</f>
        <v/>
      </c>
    </row>
    <row r="1645" spans="3:15" x14ac:dyDescent="0.2">
      <c r="C1645" s="9" cm="1">
        <f t="array" ref="C1645">IFERROR(_xlfn.XLOOKUP(B1645,Personal!$A:$A,Personal!$D:$D,""),"")</f>
        <v>0</v>
      </c>
      <c r="D1645" s="9" cm="1">
        <f t="array" ref="D1645">IFERROR(_xlfn.XLOOKUP(B1645,Personal!$A:$A,Personal!$C:$C,""),"")</f>
        <v>0</v>
      </c>
      <c r="E1645" s="9" t="str" cm="1">
        <f t="array" ref="E1645">IFERROR(_xlfn.XLOOKUP(D1645,Locales!$A:$A,Locales!$B:$B,""),"")</f>
        <v/>
      </c>
      <c r="F1645" s="9" cm="1">
        <f t="array" ref="F1645">IFERROR(_xlfn.XLOOKUP(B1645,Personal!$A:$A,Personal!$F:$F,""),"")</f>
        <v>0</v>
      </c>
      <c r="I1645" s="10" cm="1">
        <f t="array" ref="I1645">IFERROR(INDEX(Precios!$D:$F,MATCH(N1645, Precios!$G:$G, 0),CHOOSE(MATCH(H1645, {"SML";"XL";"XXL"}, 0), 1, 2, 3)), 0)</f>
        <v>0</v>
      </c>
      <c r="K1645" s="10">
        <f t="shared" si="58"/>
        <v>0</v>
      </c>
      <c r="N1645" s="9" t="str">
        <f t="shared" si="59"/>
        <v/>
      </c>
      <c r="O1645" s="9" t="str">
        <f>IF(N1645="","",IF(COUNTIF(Precios!$G:$G,N1645)=0,"⚠ No coincide con Precios","OK"))</f>
        <v/>
      </c>
    </row>
    <row r="1646" spans="3:15" x14ac:dyDescent="0.2">
      <c r="C1646" s="9" cm="1">
        <f t="array" ref="C1646">IFERROR(_xlfn.XLOOKUP(B1646,Personal!$A:$A,Personal!$D:$D,""),"")</f>
        <v>0</v>
      </c>
      <c r="D1646" s="9" cm="1">
        <f t="array" ref="D1646">IFERROR(_xlfn.XLOOKUP(B1646,Personal!$A:$A,Personal!$C:$C,""),"")</f>
        <v>0</v>
      </c>
      <c r="E1646" s="9" t="str" cm="1">
        <f t="array" ref="E1646">IFERROR(_xlfn.XLOOKUP(D1646,Locales!$A:$A,Locales!$B:$B,""),"")</f>
        <v/>
      </c>
      <c r="F1646" s="9" cm="1">
        <f t="array" ref="F1646">IFERROR(_xlfn.XLOOKUP(B1646,Personal!$A:$A,Personal!$F:$F,""),"")</f>
        <v>0</v>
      </c>
      <c r="I1646" s="10" cm="1">
        <f t="array" ref="I1646">IFERROR(INDEX(Precios!$D:$F,MATCH(N1646, Precios!$G:$G, 0),CHOOSE(MATCH(H1646, {"SML";"XL";"XXL"}, 0), 1, 2, 3)), 0)</f>
        <v>0</v>
      </c>
      <c r="K1646" s="10">
        <f t="shared" si="58"/>
        <v>0</v>
      </c>
      <c r="N1646" s="9" t="str">
        <f t="shared" si="59"/>
        <v/>
      </c>
      <c r="O1646" s="9" t="str">
        <f>IF(N1646="","",IF(COUNTIF(Precios!$G:$G,N1646)=0,"⚠ No coincide con Precios","OK"))</f>
        <v/>
      </c>
    </row>
    <row r="1647" spans="3:15" x14ac:dyDescent="0.2">
      <c r="C1647" s="9" cm="1">
        <f t="array" ref="C1647">IFERROR(_xlfn.XLOOKUP(B1647,Personal!$A:$A,Personal!$D:$D,""),"")</f>
        <v>0</v>
      </c>
      <c r="D1647" s="9" cm="1">
        <f t="array" ref="D1647">IFERROR(_xlfn.XLOOKUP(B1647,Personal!$A:$A,Personal!$C:$C,""),"")</f>
        <v>0</v>
      </c>
      <c r="E1647" s="9" t="str" cm="1">
        <f t="array" ref="E1647">IFERROR(_xlfn.XLOOKUP(D1647,Locales!$A:$A,Locales!$B:$B,""),"")</f>
        <v/>
      </c>
      <c r="F1647" s="9" cm="1">
        <f t="array" ref="F1647">IFERROR(_xlfn.XLOOKUP(B1647,Personal!$A:$A,Personal!$F:$F,""),"")</f>
        <v>0</v>
      </c>
      <c r="I1647" s="10" cm="1">
        <f t="array" ref="I1647">IFERROR(INDEX(Precios!$D:$F,MATCH(N1647, Precios!$G:$G, 0),CHOOSE(MATCH(H1647, {"SML";"XL";"XXL"}, 0), 1, 2, 3)), 0)</f>
        <v>0</v>
      </c>
      <c r="K1647" s="10">
        <f t="shared" si="58"/>
        <v>0</v>
      </c>
      <c r="N1647" s="9" t="str">
        <f t="shared" si="59"/>
        <v/>
      </c>
      <c r="O1647" s="9" t="str">
        <f>IF(N1647="","",IF(COUNTIF(Precios!$G:$G,N1647)=0,"⚠ No coincide con Precios","OK"))</f>
        <v/>
      </c>
    </row>
    <row r="1648" spans="3:15" x14ac:dyDescent="0.2">
      <c r="C1648" s="9" cm="1">
        <f t="array" ref="C1648">IFERROR(_xlfn.XLOOKUP(B1648,Personal!$A:$A,Personal!$D:$D,""),"")</f>
        <v>0</v>
      </c>
      <c r="D1648" s="9" cm="1">
        <f t="array" ref="D1648">IFERROR(_xlfn.XLOOKUP(B1648,Personal!$A:$A,Personal!$C:$C,""),"")</f>
        <v>0</v>
      </c>
      <c r="E1648" s="9" t="str" cm="1">
        <f t="array" ref="E1648">IFERROR(_xlfn.XLOOKUP(D1648,Locales!$A:$A,Locales!$B:$B,""),"")</f>
        <v/>
      </c>
      <c r="F1648" s="9" cm="1">
        <f t="array" ref="F1648">IFERROR(_xlfn.XLOOKUP(B1648,Personal!$A:$A,Personal!$F:$F,""),"")</f>
        <v>0</v>
      </c>
      <c r="I1648" s="10" cm="1">
        <f t="array" ref="I1648">IFERROR(INDEX(Precios!$D:$F,MATCH(N1648, Precios!$G:$G, 0),CHOOSE(MATCH(H1648, {"SML";"XL";"XXL"}, 0), 1, 2, 3)), 0)</f>
        <v>0</v>
      </c>
      <c r="K1648" s="10">
        <f t="shared" si="58"/>
        <v>0</v>
      </c>
      <c r="N1648" s="9" t="str">
        <f t="shared" si="59"/>
        <v/>
      </c>
      <c r="O1648" s="9" t="str">
        <f>IF(N1648="","",IF(COUNTIF(Precios!$G:$G,N1648)=0,"⚠ No coincide con Precios","OK"))</f>
        <v/>
      </c>
    </row>
    <row r="1649" spans="3:15" x14ac:dyDescent="0.2">
      <c r="C1649" s="9" cm="1">
        <f t="array" ref="C1649">IFERROR(_xlfn.XLOOKUP(B1649,Personal!$A:$A,Personal!$D:$D,""),"")</f>
        <v>0</v>
      </c>
      <c r="D1649" s="9" cm="1">
        <f t="array" ref="D1649">IFERROR(_xlfn.XLOOKUP(B1649,Personal!$A:$A,Personal!$C:$C,""),"")</f>
        <v>0</v>
      </c>
      <c r="E1649" s="9" t="str" cm="1">
        <f t="array" ref="E1649">IFERROR(_xlfn.XLOOKUP(D1649,Locales!$A:$A,Locales!$B:$B,""),"")</f>
        <v/>
      </c>
      <c r="F1649" s="9" cm="1">
        <f t="array" ref="F1649">IFERROR(_xlfn.XLOOKUP(B1649,Personal!$A:$A,Personal!$F:$F,""),"")</f>
        <v>0</v>
      </c>
      <c r="I1649" s="10" cm="1">
        <f t="array" ref="I1649">IFERROR(INDEX(Precios!$D:$F,MATCH(N1649, Precios!$G:$G, 0),CHOOSE(MATCH(H1649, {"SML";"XL";"XXL"}, 0), 1, 2, 3)), 0)</f>
        <v>0</v>
      </c>
      <c r="K1649" s="10">
        <f t="shared" si="58"/>
        <v>0</v>
      </c>
      <c r="N1649" s="9" t="str">
        <f t="shared" si="59"/>
        <v/>
      </c>
      <c r="O1649" s="9" t="str">
        <f>IF(N1649="","",IF(COUNTIF(Precios!$G:$G,N1649)=0,"⚠ No coincide con Precios","OK"))</f>
        <v/>
      </c>
    </row>
    <row r="1650" spans="3:15" x14ac:dyDescent="0.2">
      <c r="C1650" s="9" cm="1">
        <f t="array" ref="C1650">IFERROR(_xlfn.XLOOKUP(B1650,Personal!$A:$A,Personal!$D:$D,""),"")</f>
        <v>0</v>
      </c>
      <c r="D1650" s="9" cm="1">
        <f t="array" ref="D1650">IFERROR(_xlfn.XLOOKUP(B1650,Personal!$A:$A,Personal!$C:$C,""),"")</f>
        <v>0</v>
      </c>
      <c r="E1650" s="9" t="str" cm="1">
        <f t="array" ref="E1650">IFERROR(_xlfn.XLOOKUP(D1650,Locales!$A:$A,Locales!$B:$B,""),"")</f>
        <v/>
      </c>
      <c r="F1650" s="9" cm="1">
        <f t="array" ref="F1650">IFERROR(_xlfn.XLOOKUP(B1650,Personal!$A:$A,Personal!$F:$F,""),"")</f>
        <v>0</v>
      </c>
      <c r="I1650" s="10" cm="1">
        <f t="array" ref="I1650">IFERROR(INDEX(Precios!$D:$F,MATCH(N1650, Precios!$G:$G, 0),CHOOSE(MATCH(H1650, {"SML";"XL";"XXL"}, 0), 1, 2, 3)), 0)</f>
        <v>0</v>
      </c>
      <c r="K1650" s="10">
        <f t="shared" si="58"/>
        <v>0</v>
      </c>
      <c r="N1650" s="9" t="str">
        <f t="shared" si="59"/>
        <v/>
      </c>
      <c r="O1650" s="9" t="str">
        <f>IF(N1650="","",IF(COUNTIF(Precios!$G:$G,N1650)=0,"⚠ No coincide con Precios","OK"))</f>
        <v/>
      </c>
    </row>
    <row r="1651" spans="3:15" x14ac:dyDescent="0.2">
      <c r="C1651" s="9" cm="1">
        <f t="array" ref="C1651">IFERROR(_xlfn.XLOOKUP(B1651,Personal!$A:$A,Personal!$D:$D,""),"")</f>
        <v>0</v>
      </c>
      <c r="D1651" s="9" cm="1">
        <f t="array" ref="D1651">IFERROR(_xlfn.XLOOKUP(B1651,Personal!$A:$A,Personal!$C:$C,""),"")</f>
        <v>0</v>
      </c>
      <c r="E1651" s="9" t="str" cm="1">
        <f t="array" ref="E1651">IFERROR(_xlfn.XLOOKUP(D1651,Locales!$A:$A,Locales!$B:$B,""),"")</f>
        <v/>
      </c>
      <c r="F1651" s="9" cm="1">
        <f t="array" ref="F1651">IFERROR(_xlfn.XLOOKUP(B1651,Personal!$A:$A,Personal!$F:$F,""),"")</f>
        <v>0</v>
      </c>
      <c r="I1651" s="10" cm="1">
        <f t="array" ref="I1651">IFERROR(INDEX(Precios!$D:$F,MATCH(N1651, Precios!$G:$G, 0),CHOOSE(MATCH(H1651, {"SML";"XL";"XXL"}, 0), 1, 2, 3)), 0)</f>
        <v>0</v>
      </c>
      <c r="K1651" s="10">
        <f t="shared" si="58"/>
        <v>0</v>
      </c>
      <c r="N1651" s="9" t="str">
        <f t="shared" si="59"/>
        <v/>
      </c>
      <c r="O1651" s="9" t="str">
        <f>IF(N1651="","",IF(COUNTIF(Precios!$G:$G,N1651)=0,"⚠ No coincide con Precios","OK"))</f>
        <v/>
      </c>
    </row>
    <row r="1652" spans="3:15" x14ac:dyDescent="0.2">
      <c r="C1652" s="9" cm="1">
        <f t="array" ref="C1652">IFERROR(_xlfn.XLOOKUP(B1652,Personal!$A:$A,Personal!$D:$D,""),"")</f>
        <v>0</v>
      </c>
      <c r="D1652" s="9" cm="1">
        <f t="array" ref="D1652">IFERROR(_xlfn.XLOOKUP(B1652,Personal!$A:$A,Personal!$C:$C,""),"")</f>
        <v>0</v>
      </c>
      <c r="E1652" s="9" t="str" cm="1">
        <f t="array" ref="E1652">IFERROR(_xlfn.XLOOKUP(D1652,Locales!$A:$A,Locales!$B:$B,""),"")</f>
        <v/>
      </c>
      <c r="F1652" s="9" cm="1">
        <f t="array" ref="F1652">IFERROR(_xlfn.XLOOKUP(B1652,Personal!$A:$A,Personal!$F:$F,""),"")</f>
        <v>0</v>
      </c>
      <c r="I1652" s="10" cm="1">
        <f t="array" ref="I1652">IFERROR(INDEX(Precios!$D:$F,MATCH(N1652, Precios!$G:$G, 0),CHOOSE(MATCH(H1652, {"SML";"XL";"XXL"}, 0), 1, 2, 3)), 0)</f>
        <v>0</v>
      </c>
      <c r="K1652" s="10">
        <f t="shared" si="58"/>
        <v>0</v>
      </c>
      <c r="N1652" s="9" t="str">
        <f t="shared" si="59"/>
        <v/>
      </c>
      <c r="O1652" s="9" t="str">
        <f>IF(N1652="","",IF(COUNTIF(Precios!$G:$G,N1652)=0,"⚠ No coincide con Precios","OK"))</f>
        <v/>
      </c>
    </row>
    <row r="1653" spans="3:15" x14ac:dyDescent="0.2">
      <c r="C1653" s="9" cm="1">
        <f t="array" ref="C1653">IFERROR(_xlfn.XLOOKUP(B1653,Personal!$A:$A,Personal!$D:$D,""),"")</f>
        <v>0</v>
      </c>
      <c r="D1653" s="9" cm="1">
        <f t="array" ref="D1653">IFERROR(_xlfn.XLOOKUP(B1653,Personal!$A:$A,Personal!$C:$C,""),"")</f>
        <v>0</v>
      </c>
      <c r="E1653" s="9" t="str" cm="1">
        <f t="array" ref="E1653">IFERROR(_xlfn.XLOOKUP(D1653,Locales!$A:$A,Locales!$B:$B,""),"")</f>
        <v/>
      </c>
      <c r="F1653" s="9" cm="1">
        <f t="array" ref="F1653">IFERROR(_xlfn.XLOOKUP(B1653,Personal!$A:$A,Personal!$F:$F,""),"")</f>
        <v>0</v>
      </c>
      <c r="I1653" s="10" cm="1">
        <f t="array" ref="I1653">IFERROR(INDEX(Precios!$D:$F,MATCH(N1653, Precios!$G:$G, 0),CHOOSE(MATCH(H1653, {"SML";"XL";"XXL"}, 0), 1, 2, 3)), 0)</f>
        <v>0</v>
      </c>
      <c r="K1653" s="10">
        <f t="shared" si="58"/>
        <v>0</v>
      </c>
      <c r="N1653" s="9" t="str">
        <f t="shared" si="59"/>
        <v/>
      </c>
      <c r="O1653" s="9" t="str">
        <f>IF(N1653="","",IF(COUNTIF(Precios!$G:$G,N1653)=0,"⚠ No coincide con Precios","OK"))</f>
        <v/>
      </c>
    </row>
    <row r="1654" spans="3:15" x14ac:dyDescent="0.2">
      <c r="C1654" s="9" cm="1">
        <f t="array" ref="C1654">IFERROR(_xlfn.XLOOKUP(B1654,Personal!$A:$A,Personal!$D:$D,""),"")</f>
        <v>0</v>
      </c>
      <c r="D1654" s="9" cm="1">
        <f t="array" ref="D1654">IFERROR(_xlfn.XLOOKUP(B1654,Personal!$A:$A,Personal!$C:$C,""),"")</f>
        <v>0</v>
      </c>
      <c r="E1654" s="9" t="str" cm="1">
        <f t="array" ref="E1654">IFERROR(_xlfn.XLOOKUP(D1654,Locales!$A:$A,Locales!$B:$B,""),"")</f>
        <v/>
      </c>
      <c r="F1654" s="9" cm="1">
        <f t="array" ref="F1654">IFERROR(_xlfn.XLOOKUP(B1654,Personal!$A:$A,Personal!$F:$F,""),"")</f>
        <v>0</v>
      </c>
      <c r="I1654" s="10" cm="1">
        <f t="array" ref="I1654">IFERROR(INDEX(Precios!$D:$F,MATCH(N1654, Precios!$G:$G, 0),CHOOSE(MATCH(H1654, {"SML";"XL";"XXL"}, 0), 1, 2, 3)), 0)</f>
        <v>0</v>
      </c>
      <c r="K1654" s="10">
        <f t="shared" si="58"/>
        <v>0</v>
      </c>
      <c r="N1654" s="9" t="str">
        <f t="shared" si="59"/>
        <v/>
      </c>
      <c r="O1654" s="9" t="str">
        <f>IF(N1654="","",IF(COUNTIF(Precios!$G:$G,N1654)=0,"⚠ No coincide con Precios","OK"))</f>
        <v/>
      </c>
    </row>
    <row r="1655" spans="3:15" x14ac:dyDescent="0.2">
      <c r="C1655" s="9" cm="1">
        <f t="array" ref="C1655">IFERROR(_xlfn.XLOOKUP(B1655,Personal!$A:$A,Personal!$D:$D,""),"")</f>
        <v>0</v>
      </c>
      <c r="D1655" s="9" cm="1">
        <f t="array" ref="D1655">IFERROR(_xlfn.XLOOKUP(B1655,Personal!$A:$A,Personal!$C:$C,""),"")</f>
        <v>0</v>
      </c>
      <c r="E1655" s="9" t="str" cm="1">
        <f t="array" ref="E1655">IFERROR(_xlfn.XLOOKUP(D1655,Locales!$A:$A,Locales!$B:$B,""),"")</f>
        <v/>
      </c>
      <c r="F1655" s="9" cm="1">
        <f t="array" ref="F1655">IFERROR(_xlfn.XLOOKUP(B1655,Personal!$A:$A,Personal!$F:$F,""),"")</f>
        <v>0</v>
      </c>
      <c r="I1655" s="10" cm="1">
        <f t="array" ref="I1655">IFERROR(INDEX(Precios!$D:$F,MATCH(N1655, Precios!$G:$G, 0),CHOOSE(MATCH(H1655, {"SML";"XL";"XXL"}, 0), 1, 2, 3)), 0)</f>
        <v>0</v>
      </c>
      <c r="K1655" s="10">
        <f t="shared" si="58"/>
        <v>0</v>
      </c>
      <c r="N1655" s="9" t="str">
        <f t="shared" si="59"/>
        <v/>
      </c>
      <c r="O1655" s="9" t="str">
        <f>IF(N1655="","",IF(COUNTIF(Precios!$G:$G,N1655)=0,"⚠ No coincide con Precios","OK"))</f>
        <v/>
      </c>
    </row>
    <row r="1656" spans="3:15" x14ac:dyDescent="0.2">
      <c r="C1656" s="9" cm="1">
        <f t="array" ref="C1656">IFERROR(_xlfn.XLOOKUP(B1656,Personal!$A:$A,Personal!$D:$D,""),"")</f>
        <v>0</v>
      </c>
      <c r="D1656" s="9" cm="1">
        <f t="array" ref="D1656">IFERROR(_xlfn.XLOOKUP(B1656,Personal!$A:$A,Personal!$C:$C,""),"")</f>
        <v>0</v>
      </c>
      <c r="E1656" s="9" t="str" cm="1">
        <f t="array" ref="E1656">IFERROR(_xlfn.XLOOKUP(D1656,Locales!$A:$A,Locales!$B:$B,""),"")</f>
        <v/>
      </c>
      <c r="F1656" s="9" cm="1">
        <f t="array" ref="F1656">IFERROR(_xlfn.XLOOKUP(B1656,Personal!$A:$A,Personal!$F:$F,""),"")</f>
        <v>0</v>
      </c>
      <c r="I1656" s="10" cm="1">
        <f t="array" ref="I1656">IFERROR(INDEX(Precios!$D:$F,MATCH(N1656, Precios!$G:$G, 0),CHOOSE(MATCH(H1656, {"SML";"XL";"XXL"}, 0), 1, 2, 3)), 0)</f>
        <v>0</v>
      </c>
      <c r="K1656" s="10">
        <f t="shared" si="58"/>
        <v>0</v>
      </c>
      <c r="N1656" s="9" t="str">
        <f t="shared" si="59"/>
        <v/>
      </c>
      <c r="O1656" s="9" t="str">
        <f>IF(N1656="","",IF(COUNTIF(Precios!$G:$G,N1656)=0,"⚠ No coincide con Precios","OK"))</f>
        <v/>
      </c>
    </row>
    <row r="1657" spans="3:15" x14ac:dyDescent="0.2">
      <c r="C1657" s="9" cm="1">
        <f t="array" ref="C1657">IFERROR(_xlfn.XLOOKUP(B1657,Personal!$A:$A,Personal!$D:$D,""),"")</f>
        <v>0</v>
      </c>
      <c r="D1657" s="9" cm="1">
        <f t="array" ref="D1657">IFERROR(_xlfn.XLOOKUP(B1657,Personal!$A:$A,Personal!$C:$C,""),"")</f>
        <v>0</v>
      </c>
      <c r="E1657" s="9" t="str" cm="1">
        <f t="array" ref="E1657">IFERROR(_xlfn.XLOOKUP(D1657,Locales!$A:$A,Locales!$B:$B,""),"")</f>
        <v/>
      </c>
      <c r="F1657" s="9" cm="1">
        <f t="array" ref="F1657">IFERROR(_xlfn.XLOOKUP(B1657,Personal!$A:$A,Personal!$F:$F,""),"")</f>
        <v>0</v>
      </c>
      <c r="I1657" s="10" cm="1">
        <f t="array" ref="I1657">IFERROR(INDEX(Precios!$D:$F,MATCH(N1657, Precios!$G:$G, 0),CHOOSE(MATCH(H1657, {"SML";"XL";"XXL"}, 0), 1, 2, 3)), 0)</f>
        <v>0</v>
      </c>
      <c r="K1657" s="10">
        <f t="shared" si="58"/>
        <v>0</v>
      </c>
      <c r="N1657" s="9" t="str">
        <f t="shared" si="59"/>
        <v/>
      </c>
      <c r="O1657" s="9" t="str">
        <f>IF(N1657="","",IF(COUNTIF(Precios!$G:$G,N1657)=0,"⚠ No coincide con Precios","OK"))</f>
        <v/>
      </c>
    </row>
    <row r="1658" spans="3:15" x14ac:dyDescent="0.2">
      <c r="C1658" s="9" cm="1">
        <f t="array" ref="C1658">IFERROR(_xlfn.XLOOKUP(B1658,Personal!$A:$A,Personal!$D:$D,""),"")</f>
        <v>0</v>
      </c>
      <c r="D1658" s="9" cm="1">
        <f t="array" ref="D1658">IFERROR(_xlfn.XLOOKUP(B1658,Personal!$A:$A,Personal!$C:$C,""),"")</f>
        <v>0</v>
      </c>
      <c r="E1658" s="9" t="str" cm="1">
        <f t="array" ref="E1658">IFERROR(_xlfn.XLOOKUP(D1658,Locales!$A:$A,Locales!$B:$B,""),"")</f>
        <v/>
      </c>
      <c r="F1658" s="9" cm="1">
        <f t="array" ref="F1658">IFERROR(_xlfn.XLOOKUP(B1658,Personal!$A:$A,Personal!$F:$F,""),"")</f>
        <v>0</v>
      </c>
      <c r="I1658" s="10" cm="1">
        <f t="array" ref="I1658">IFERROR(INDEX(Precios!$D:$F,MATCH(N1658, Precios!$G:$G, 0),CHOOSE(MATCH(H1658, {"SML";"XL";"XXL"}, 0), 1, 2, 3)), 0)</f>
        <v>0</v>
      </c>
      <c r="K1658" s="10">
        <f t="shared" si="58"/>
        <v>0</v>
      </c>
      <c r="N1658" s="9" t="str">
        <f t="shared" si="59"/>
        <v/>
      </c>
      <c r="O1658" s="9" t="str">
        <f>IF(N1658="","",IF(COUNTIF(Precios!$G:$G,N1658)=0,"⚠ No coincide con Precios","OK"))</f>
        <v/>
      </c>
    </row>
    <row r="1659" spans="3:15" x14ac:dyDescent="0.2">
      <c r="C1659" s="9" cm="1">
        <f t="array" ref="C1659">IFERROR(_xlfn.XLOOKUP(B1659,Personal!$A:$A,Personal!$D:$D,""),"")</f>
        <v>0</v>
      </c>
      <c r="D1659" s="9" cm="1">
        <f t="array" ref="D1659">IFERROR(_xlfn.XLOOKUP(B1659,Personal!$A:$A,Personal!$C:$C,""),"")</f>
        <v>0</v>
      </c>
      <c r="E1659" s="9" t="str" cm="1">
        <f t="array" ref="E1659">IFERROR(_xlfn.XLOOKUP(D1659,Locales!$A:$A,Locales!$B:$B,""),"")</f>
        <v/>
      </c>
      <c r="F1659" s="9" cm="1">
        <f t="array" ref="F1659">IFERROR(_xlfn.XLOOKUP(B1659,Personal!$A:$A,Personal!$F:$F,""),"")</f>
        <v>0</v>
      </c>
      <c r="I1659" s="10" cm="1">
        <f t="array" ref="I1659">IFERROR(INDEX(Precios!$D:$F,MATCH(N1659, Precios!$G:$G, 0),CHOOSE(MATCH(H1659, {"SML";"XL";"XXL"}, 0), 1, 2, 3)), 0)</f>
        <v>0</v>
      </c>
      <c r="K1659" s="10">
        <f t="shared" si="58"/>
        <v>0</v>
      </c>
      <c r="N1659" s="9" t="str">
        <f t="shared" si="59"/>
        <v/>
      </c>
      <c r="O1659" s="9" t="str">
        <f>IF(N1659="","",IF(COUNTIF(Precios!$G:$G,N1659)=0,"⚠ No coincide con Precios","OK"))</f>
        <v/>
      </c>
    </row>
    <row r="1660" spans="3:15" x14ac:dyDescent="0.2">
      <c r="C1660" s="9" cm="1">
        <f t="array" ref="C1660">IFERROR(_xlfn.XLOOKUP(B1660,Personal!$A:$A,Personal!$D:$D,""),"")</f>
        <v>0</v>
      </c>
      <c r="D1660" s="9" cm="1">
        <f t="array" ref="D1660">IFERROR(_xlfn.XLOOKUP(B1660,Personal!$A:$A,Personal!$C:$C,""),"")</f>
        <v>0</v>
      </c>
      <c r="E1660" s="9" t="str" cm="1">
        <f t="array" ref="E1660">IFERROR(_xlfn.XLOOKUP(D1660,Locales!$A:$A,Locales!$B:$B,""),"")</f>
        <v/>
      </c>
      <c r="F1660" s="9" cm="1">
        <f t="array" ref="F1660">IFERROR(_xlfn.XLOOKUP(B1660,Personal!$A:$A,Personal!$F:$F,""),"")</f>
        <v>0</v>
      </c>
      <c r="I1660" s="10" cm="1">
        <f t="array" ref="I1660">IFERROR(INDEX(Precios!$D:$F,MATCH(N1660, Precios!$G:$G, 0),CHOOSE(MATCH(H1660, {"SML";"XL";"XXL"}, 0), 1, 2, 3)), 0)</f>
        <v>0</v>
      </c>
      <c r="K1660" s="10">
        <f t="shared" si="58"/>
        <v>0</v>
      </c>
      <c r="N1660" s="9" t="str">
        <f t="shared" si="59"/>
        <v/>
      </c>
      <c r="O1660" s="9" t="str">
        <f>IF(N1660="","",IF(COUNTIF(Precios!$G:$G,N1660)=0,"⚠ No coincide con Precios","OK"))</f>
        <v/>
      </c>
    </row>
    <row r="1661" spans="3:15" x14ac:dyDescent="0.2">
      <c r="C1661" s="9" cm="1">
        <f t="array" ref="C1661">IFERROR(_xlfn.XLOOKUP(B1661,Personal!$A:$A,Personal!$D:$D,""),"")</f>
        <v>0</v>
      </c>
      <c r="D1661" s="9" cm="1">
        <f t="array" ref="D1661">IFERROR(_xlfn.XLOOKUP(B1661,Personal!$A:$A,Personal!$C:$C,""),"")</f>
        <v>0</v>
      </c>
      <c r="E1661" s="9" t="str" cm="1">
        <f t="array" ref="E1661">IFERROR(_xlfn.XLOOKUP(D1661,Locales!$A:$A,Locales!$B:$B,""),"")</f>
        <v/>
      </c>
      <c r="F1661" s="9" cm="1">
        <f t="array" ref="F1661">IFERROR(_xlfn.XLOOKUP(B1661,Personal!$A:$A,Personal!$F:$F,""),"")</f>
        <v>0</v>
      </c>
      <c r="I1661" s="10" cm="1">
        <f t="array" ref="I1661">IFERROR(INDEX(Precios!$D:$F,MATCH(N1661, Precios!$G:$G, 0),CHOOSE(MATCH(H1661, {"SML";"XL";"XXL"}, 0), 1, 2, 3)), 0)</f>
        <v>0</v>
      </c>
      <c r="K1661" s="10">
        <f t="shared" si="58"/>
        <v>0</v>
      </c>
      <c r="N1661" s="9" t="str">
        <f t="shared" si="59"/>
        <v/>
      </c>
      <c r="O1661" s="9" t="str">
        <f>IF(N1661="","",IF(COUNTIF(Precios!$G:$G,N1661)=0,"⚠ No coincide con Precios","OK"))</f>
        <v/>
      </c>
    </row>
    <row r="1662" spans="3:15" x14ac:dyDescent="0.2">
      <c r="C1662" s="9" cm="1">
        <f t="array" ref="C1662">IFERROR(_xlfn.XLOOKUP(B1662,Personal!$A:$A,Personal!$D:$D,""),"")</f>
        <v>0</v>
      </c>
      <c r="D1662" s="9" cm="1">
        <f t="array" ref="D1662">IFERROR(_xlfn.XLOOKUP(B1662,Personal!$A:$A,Personal!$C:$C,""),"")</f>
        <v>0</v>
      </c>
      <c r="E1662" s="9" t="str" cm="1">
        <f t="array" ref="E1662">IFERROR(_xlfn.XLOOKUP(D1662,Locales!$A:$A,Locales!$B:$B,""),"")</f>
        <v/>
      </c>
      <c r="F1662" s="9" cm="1">
        <f t="array" ref="F1662">IFERROR(_xlfn.XLOOKUP(B1662,Personal!$A:$A,Personal!$F:$F,""),"")</f>
        <v>0</v>
      </c>
      <c r="I1662" s="10" cm="1">
        <f t="array" ref="I1662">IFERROR(INDEX(Precios!$D:$F,MATCH(N1662, Precios!$G:$G, 0),CHOOSE(MATCH(H1662, {"SML";"XL";"XXL"}, 0), 1, 2, 3)), 0)</f>
        <v>0</v>
      </c>
      <c r="K1662" s="10">
        <f t="shared" si="58"/>
        <v>0</v>
      </c>
      <c r="N1662" s="9" t="str">
        <f t="shared" si="59"/>
        <v/>
      </c>
      <c r="O1662" s="9" t="str">
        <f>IF(N1662="","",IF(COUNTIF(Precios!$G:$G,N1662)=0,"⚠ No coincide con Precios","OK"))</f>
        <v/>
      </c>
    </row>
    <row r="1663" spans="3:15" x14ac:dyDescent="0.2">
      <c r="C1663" s="9" cm="1">
        <f t="array" ref="C1663">IFERROR(_xlfn.XLOOKUP(B1663,Personal!$A:$A,Personal!$D:$D,""),"")</f>
        <v>0</v>
      </c>
      <c r="D1663" s="9" cm="1">
        <f t="array" ref="D1663">IFERROR(_xlfn.XLOOKUP(B1663,Personal!$A:$A,Personal!$C:$C,""),"")</f>
        <v>0</v>
      </c>
      <c r="E1663" s="9" t="str" cm="1">
        <f t="array" ref="E1663">IFERROR(_xlfn.XLOOKUP(D1663,Locales!$A:$A,Locales!$B:$B,""),"")</f>
        <v/>
      </c>
      <c r="F1663" s="9" cm="1">
        <f t="array" ref="F1663">IFERROR(_xlfn.XLOOKUP(B1663,Personal!$A:$A,Personal!$F:$F,""),"")</f>
        <v>0</v>
      </c>
      <c r="I1663" s="10" cm="1">
        <f t="array" ref="I1663">IFERROR(INDEX(Precios!$D:$F,MATCH(N1663, Precios!$G:$G, 0),CHOOSE(MATCH(H1663, {"SML";"XL";"XXL"}, 0), 1, 2, 3)), 0)</f>
        <v>0</v>
      </c>
      <c r="K1663" s="10">
        <f t="shared" si="58"/>
        <v>0</v>
      </c>
      <c r="N1663" s="9" t="str">
        <f t="shared" si="59"/>
        <v/>
      </c>
      <c r="O1663" s="9" t="str">
        <f>IF(N1663="","",IF(COUNTIF(Precios!$G:$G,N1663)=0,"⚠ No coincide con Precios","OK"))</f>
        <v/>
      </c>
    </row>
    <row r="1664" spans="3:15" x14ac:dyDescent="0.2">
      <c r="C1664" s="9" cm="1">
        <f t="array" ref="C1664">IFERROR(_xlfn.XLOOKUP(B1664,Personal!$A:$A,Personal!$D:$D,""),"")</f>
        <v>0</v>
      </c>
      <c r="D1664" s="9" cm="1">
        <f t="array" ref="D1664">IFERROR(_xlfn.XLOOKUP(B1664,Personal!$A:$A,Personal!$C:$C,""),"")</f>
        <v>0</v>
      </c>
      <c r="E1664" s="9" t="str" cm="1">
        <f t="array" ref="E1664">IFERROR(_xlfn.XLOOKUP(D1664,Locales!$A:$A,Locales!$B:$B,""),"")</f>
        <v/>
      </c>
      <c r="F1664" s="9" cm="1">
        <f t="array" ref="F1664">IFERROR(_xlfn.XLOOKUP(B1664,Personal!$A:$A,Personal!$F:$F,""),"")</f>
        <v>0</v>
      </c>
      <c r="I1664" s="10" cm="1">
        <f t="array" ref="I1664">IFERROR(INDEX(Precios!$D:$F,MATCH(N1664, Precios!$G:$G, 0),CHOOSE(MATCH(H1664, {"SML";"XL";"XXL"}, 0), 1, 2, 3)), 0)</f>
        <v>0</v>
      </c>
      <c r="K1664" s="10">
        <f t="shared" ref="K1664:K1727" si="60">IFERROR(I1664*J1664,0)</f>
        <v>0</v>
      </c>
      <c r="N1664" s="9" t="str">
        <f t="shared" ref="N1664:N1727" si="61">IF( OR(E1664="",F1664="",G1664=""), "",CLEAN(TRIM(E1664)) &amp; "|" &amp; CLEAN(TRIM(F1664)) &amp; "|" &amp; CLEAN(TRIM(G1664)))</f>
        <v/>
      </c>
      <c r="O1664" s="9" t="str">
        <f>IF(N1664="","",IF(COUNTIF(Precios!$G:$G,N1664)=0,"⚠ No coincide con Precios","OK"))</f>
        <v/>
      </c>
    </row>
    <row r="1665" spans="3:15" x14ac:dyDescent="0.2">
      <c r="C1665" s="9" cm="1">
        <f t="array" ref="C1665">IFERROR(_xlfn.XLOOKUP(B1665,Personal!$A:$A,Personal!$D:$D,""),"")</f>
        <v>0</v>
      </c>
      <c r="D1665" s="9" cm="1">
        <f t="array" ref="D1665">IFERROR(_xlfn.XLOOKUP(B1665,Personal!$A:$A,Personal!$C:$C,""),"")</f>
        <v>0</v>
      </c>
      <c r="E1665" s="9" t="str" cm="1">
        <f t="array" ref="E1665">IFERROR(_xlfn.XLOOKUP(D1665,Locales!$A:$A,Locales!$B:$B,""),"")</f>
        <v/>
      </c>
      <c r="F1665" s="9" cm="1">
        <f t="array" ref="F1665">IFERROR(_xlfn.XLOOKUP(B1665,Personal!$A:$A,Personal!$F:$F,""),"")</f>
        <v>0</v>
      </c>
      <c r="I1665" s="10" cm="1">
        <f t="array" ref="I1665">IFERROR(INDEX(Precios!$D:$F,MATCH(N1665, Precios!$G:$G, 0),CHOOSE(MATCH(H1665, {"SML";"XL";"XXL"}, 0), 1, 2, 3)), 0)</f>
        <v>0</v>
      </c>
      <c r="K1665" s="10">
        <f t="shared" si="60"/>
        <v>0</v>
      </c>
      <c r="N1665" s="9" t="str">
        <f t="shared" si="61"/>
        <v/>
      </c>
      <c r="O1665" s="9" t="str">
        <f>IF(N1665="","",IF(COUNTIF(Precios!$G:$G,N1665)=0,"⚠ No coincide con Precios","OK"))</f>
        <v/>
      </c>
    </row>
    <row r="1666" spans="3:15" x14ac:dyDescent="0.2">
      <c r="C1666" s="9" cm="1">
        <f t="array" ref="C1666">IFERROR(_xlfn.XLOOKUP(B1666,Personal!$A:$A,Personal!$D:$D,""),"")</f>
        <v>0</v>
      </c>
      <c r="D1666" s="9" cm="1">
        <f t="array" ref="D1666">IFERROR(_xlfn.XLOOKUP(B1666,Personal!$A:$A,Personal!$C:$C,""),"")</f>
        <v>0</v>
      </c>
      <c r="E1666" s="9" t="str" cm="1">
        <f t="array" ref="E1666">IFERROR(_xlfn.XLOOKUP(D1666,Locales!$A:$A,Locales!$B:$B,""),"")</f>
        <v/>
      </c>
      <c r="F1666" s="9" cm="1">
        <f t="array" ref="F1666">IFERROR(_xlfn.XLOOKUP(B1666,Personal!$A:$A,Personal!$F:$F,""),"")</f>
        <v>0</v>
      </c>
      <c r="I1666" s="10" cm="1">
        <f t="array" ref="I1666">IFERROR(INDEX(Precios!$D:$F,MATCH(N1666, Precios!$G:$G, 0),CHOOSE(MATCH(H1666, {"SML";"XL";"XXL"}, 0), 1, 2, 3)), 0)</f>
        <v>0</v>
      </c>
      <c r="K1666" s="10">
        <f t="shared" si="60"/>
        <v>0</v>
      </c>
      <c r="N1666" s="9" t="str">
        <f t="shared" si="61"/>
        <v/>
      </c>
      <c r="O1666" s="9" t="str">
        <f>IF(N1666="","",IF(COUNTIF(Precios!$G:$G,N1666)=0,"⚠ No coincide con Precios","OK"))</f>
        <v/>
      </c>
    </row>
    <row r="1667" spans="3:15" x14ac:dyDescent="0.2">
      <c r="C1667" s="9" cm="1">
        <f t="array" ref="C1667">IFERROR(_xlfn.XLOOKUP(B1667,Personal!$A:$A,Personal!$D:$D,""),"")</f>
        <v>0</v>
      </c>
      <c r="D1667" s="9" cm="1">
        <f t="array" ref="D1667">IFERROR(_xlfn.XLOOKUP(B1667,Personal!$A:$A,Personal!$C:$C,""),"")</f>
        <v>0</v>
      </c>
      <c r="E1667" s="9" t="str" cm="1">
        <f t="array" ref="E1667">IFERROR(_xlfn.XLOOKUP(D1667,Locales!$A:$A,Locales!$B:$B,""),"")</f>
        <v/>
      </c>
      <c r="F1667" s="9" cm="1">
        <f t="array" ref="F1667">IFERROR(_xlfn.XLOOKUP(B1667,Personal!$A:$A,Personal!$F:$F,""),"")</f>
        <v>0</v>
      </c>
      <c r="I1667" s="10" cm="1">
        <f t="array" ref="I1667">IFERROR(INDEX(Precios!$D:$F,MATCH(N1667, Precios!$G:$G, 0),CHOOSE(MATCH(H1667, {"SML";"XL";"XXL"}, 0), 1, 2, 3)), 0)</f>
        <v>0</v>
      </c>
      <c r="K1667" s="10">
        <f t="shared" si="60"/>
        <v>0</v>
      </c>
      <c r="N1667" s="9" t="str">
        <f t="shared" si="61"/>
        <v/>
      </c>
      <c r="O1667" s="9" t="str">
        <f>IF(N1667="","",IF(COUNTIF(Precios!$G:$G,N1667)=0,"⚠ No coincide con Precios","OK"))</f>
        <v/>
      </c>
    </row>
    <row r="1668" spans="3:15" x14ac:dyDescent="0.2">
      <c r="C1668" s="9" cm="1">
        <f t="array" ref="C1668">IFERROR(_xlfn.XLOOKUP(B1668,Personal!$A:$A,Personal!$D:$D,""),"")</f>
        <v>0</v>
      </c>
      <c r="D1668" s="9" cm="1">
        <f t="array" ref="D1668">IFERROR(_xlfn.XLOOKUP(B1668,Personal!$A:$A,Personal!$C:$C,""),"")</f>
        <v>0</v>
      </c>
      <c r="E1668" s="9" t="str" cm="1">
        <f t="array" ref="E1668">IFERROR(_xlfn.XLOOKUP(D1668,Locales!$A:$A,Locales!$B:$B,""),"")</f>
        <v/>
      </c>
      <c r="F1668" s="9" cm="1">
        <f t="array" ref="F1668">IFERROR(_xlfn.XLOOKUP(B1668,Personal!$A:$A,Personal!$F:$F,""),"")</f>
        <v>0</v>
      </c>
      <c r="I1668" s="10" cm="1">
        <f t="array" ref="I1668">IFERROR(INDEX(Precios!$D:$F,MATCH(N1668, Precios!$G:$G, 0),CHOOSE(MATCH(H1668, {"SML";"XL";"XXL"}, 0), 1, 2, 3)), 0)</f>
        <v>0</v>
      </c>
      <c r="K1668" s="10">
        <f t="shared" si="60"/>
        <v>0</v>
      </c>
      <c r="N1668" s="9" t="str">
        <f t="shared" si="61"/>
        <v/>
      </c>
      <c r="O1668" s="9" t="str">
        <f>IF(N1668="","",IF(COUNTIF(Precios!$G:$G,N1668)=0,"⚠ No coincide con Precios","OK"))</f>
        <v/>
      </c>
    </row>
    <row r="1669" spans="3:15" x14ac:dyDescent="0.2">
      <c r="C1669" s="9" cm="1">
        <f t="array" ref="C1669">IFERROR(_xlfn.XLOOKUP(B1669,Personal!$A:$A,Personal!$D:$D,""),"")</f>
        <v>0</v>
      </c>
      <c r="D1669" s="9" cm="1">
        <f t="array" ref="D1669">IFERROR(_xlfn.XLOOKUP(B1669,Personal!$A:$A,Personal!$C:$C,""),"")</f>
        <v>0</v>
      </c>
      <c r="E1669" s="9" t="str" cm="1">
        <f t="array" ref="E1669">IFERROR(_xlfn.XLOOKUP(D1669,Locales!$A:$A,Locales!$B:$B,""),"")</f>
        <v/>
      </c>
      <c r="F1669" s="9" cm="1">
        <f t="array" ref="F1669">IFERROR(_xlfn.XLOOKUP(B1669,Personal!$A:$A,Personal!$F:$F,""),"")</f>
        <v>0</v>
      </c>
      <c r="I1669" s="10" cm="1">
        <f t="array" ref="I1669">IFERROR(INDEX(Precios!$D:$F,MATCH(N1669, Precios!$G:$G, 0),CHOOSE(MATCH(H1669, {"SML";"XL";"XXL"}, 0), 1, 2, 3)), 0)</f>
        <v>0</v>
      </c>
      <c r="K1669" s="10">
        <f t="shared" si="60"/>
        <v>0</v>
      </c>
      <c r="N1669" s="9" t="str">
        <f t="shared" si="61"/>
        <v/>
      </c>
      <c r="O1669" s="9" t="str">
        <f>IF(N1669="","",IF(COUNTIF(Precios!$G:$G,N1669)=0,"⚠ No coincide con Precios","OK"))</f>
        <v/>
      </c>
    </row>
    <row r="1670" spans="3:15" x14ac:dyDescent="0.2">
      <c r="C1670" s="9" cm="1">
        <f t="array" ref="C1670">IFERROR(_xlfn.XLOOKUP(B1670,Personal!$A:$A,Personal!$D:$D,""),"")</f>
        <v>0</v>
      </c>
      <c r="D1670" s="9" cm="1">
        <f t="array" ref="D1670">IFERROR(_xlfn.XLOOKUP(B1670,Personal!$A:$A,Personal!$C:$C,""),"")</f>
        <v>0</v>
      </c>
      <c r="E1670" s="9" t="str" cm="1">
        <f t="array" ref="E1670">IFERROR(_xlfn.XLOOKUP(D1670,Locales!$A:$A,Locales!$B:$B,""),"")</f>
        <v/>
      </c>
      <c r="F1670" s="9" cm="1">
        <f t="array" ref="F1670">IFERROR(_xlfn.XLOOKUP(B1670,Personal!$A:$A,Personal!$F:$F,""),"")</f>
        <v>0</v>
      </c>
      <c r="I1670" s="10" cm="1">
        <f t="array" ref="I1670">IFERROR(INDEX(Precios!$D:$F,MATCH(N1670, Precios!$G:$G, 0),CHOOSE(MATCH(H1670, {"SML";"XL";"XXL"}, 0), 1, 2, 3)), 0)</f>
        <v>0</v>
      </c>
      <c r="K1670" s="10">
        <f t="shared" si="60"/>
        <v>0</v>
      </c>
      <c r="N1670" s="9" t="str">
        <f t="shared" si="61"/>
        <v/>
      </c>
      <c r="O1670" s="9" t="str">
        <f>IF(N1670="","",IF(COUNTIF(Precios!$G:$G,N1670)=0,"⚠ No coincide con Precios","OK"))</f>
        <v/>
      </c>
    </row>
    <row r="1671" spans="3:15" x14ac:dyDescent="0.2">
      <c r="C1671" s="9" cm="1">
        <f t="array" ref="C1671">IFERROR(_xlfn.XLOOKUP(B1671,Personal!$A:$A,Personal!$D:$D,""),"")</f>
        <v>0</v>
      </c>
      <c r="D1671" s="9" cm="1">
        <f t="array" ref="D1671">IFERROR(_xlfn.XLOOKUP(B1671,Personal!$A:$A,Personal!$C:$C,""),"")</f>
        <v>0</v>
      </c>
      <c r="E1671" s="9" t="str" cm="1">
        <f t="array" ref="E1671">IFERROR(_xlfn.XLOOKUP(D1671,Locales!$A:$A,Locales!$B:$B,""),"")</f>
        <v/>
      </c>
      <c r="F1671" s="9" cm="1">
        <f t="array" ref="F1671">IFERROR(_xlfn.XLOOKUP(B1671,Personal!$A:$A,Personal!$F:$F,""),"")</f>
        <v>0</v>
      </c>
      <c r="I1671" s="10" cm="1">
        <f t="array" ref="I1671">IFERROR(INDEX(Precios!$D:$F,MATCH(N1671, Precios!$G:$G, 0),CHOOSE(MATCH(H1671, {"SML";"XL";"XXL"}, 0), 1, 2, 3)), 0)</f>
        <v>0</v>
      </c>
      <c r="K1671" s="10">
        <f t="shared" si="60"/>
        <v>0</v>
      </c>
      <c r="N1671" s="9" t="str">
        <f t="shared" si="61"/>
        <v/>
      </c>
      <c r="O1671" s="9" t="str">
        <f>IF(N1671="","",IF(COUNTIF(Precios!$G:$G,N1671)=0,"⚠ No coincide con Precios","OK"))</f>
        <v/>
      </c>
    </row>
    <row r="1672" spans="3:15" x14ac:dyDescent="0.2">
      <c r="C1672" s="9" cm="1">
        <f t="array" ref="C1672">IFERROR(_xlfn.XLOOKUP(B1672,Personal!$A:$A,Personal!$D:$D,""),"")</f>
        <v>0</v>
      </c>
      <c r="D1672" s="9" cm="1">
        <f t="array" ref="D1672">IFERROR(_xlfn.XLOOKUP(B1672,Personal!$A:$A,Personal!$C:$C,""),"")</f>
        <v>0</v>
      </c>
      <c r="E1672" s="9" t="str" cm="1">
        <f t="array" ref="E1672">IFERROR(_xlfn.XLOOKUP(D1672,Locales!$A:$A,Locales!$B:$B,""),"")</f>
        <v/>
      </c>
      <c r="F1672" s="9" cm="1">
        <f t="array" ref="F1672">IFERROR(_xlfn.XLOOKUP(B1672,Personal!$A:$A,Personal!$F:$F,""),"")</f>
        <v>0</v>
      </c>
      <c r="I1672" s="10" cm="1">
        <f t="array" ref="I1672">IFERROR(INDEX(Precios!$D:$F,MATCH(N1672, Precios!$G:$G, 0),CHOOSE(MATCH(H1672, {"SML";"XL";"XXL"}, 0), 1, 2, 3)), 0)</f>
        <v>0</v>
      </c>
      <c r="K1672" s="10">
        <f t="shared" si="60"/>
        <v>0</v>
      </c>
      <c r="N1672" s="9" t="str">
        <f t="shared" si="61"/>
        <v/>
      </c>
      <c r="O1672" s="9" t="str">
        <f>IF(N1672="","",IF(COUNTIF(Precios!$G:$G,N1672)=0,"⚠ No coincide con Precios","OK"))</f>
        <v/>
      </c>
    </row>
    <row r="1673" spans="3:15" x14ac:dyDescent="0.2">
      <c r="C1673" s="9" cm="1">
        <f t="array" ref="C1673">IFERROR(_xlfn.XLOOKUP(B1673,Personal!$A:$A,Personal!$D:$D,""),"")</f>
        <v>0</v>
      </c>
      <c r="D1673" s="9" cm="1">
        <f t="array" ref="D1673">IFERROR(_xlfn.XLOOKUP(B1673,Personal!$A:$A,Personal!$C:$C,""),"")</f>
        <v>0</v>
      </c>
      <c r="E1673" s="9" t="str" cm="1">
        <f t="array" ref="E1673">IFERROR(_xlfn.XLOOKUP(D1673,Locales!$A:$A,Locales!$B:$B,""),"")</f>
        <v/>
      </c>
      <c r="F1673" s="9" cm="1">
        <f t="array" ref="F1673">IFERROR(_xlfn.XLOOKUP(B1673,Personal!$A:$A,Personal!$F:$F,""),"")</f>
        <v>0</v>
      </c>
      <c r="I1673" s="10" cm="1">
        <f t="array" ref="I1673">IFERROR(INDEX(Precios!$D:$F,MATCH(N1673, Precios!$G:$G, 0),CHOOSE(MATCH(H1673, {"SML";"XL";"XXL"}, 0), 1, 2, 3)), 0)</f>
        <v>0</v>
      </c>
      <c r="K1673" s="10">
        <f t="shared" si="60"/>
        <v>0</v>
      </c>
      <c r="N1673" s="9" t="str">
        <f t="shared" si="61"/>
        <v/>
      </c>
      <c r="O1673" s="9" t="str">
        <f>IF(N1673="","",IF(COUNTIF(Precios!$G:$G,N1673)=0,"⚠ No coincide con Precios","OK"))</f>
        <v/>
      </c>
    </row>
    <row r="1674" spans="3:15" x14ac:dyDescent="0.2">
      <c r="C1674" s="9" cm="1">
        <f t="array" ref="C1674">IFERROR(_xlfn.XLOOKUP(B1674,Personal!$A:$A,Personal!$D:$D,""),"")</f>
        <v>0</v>
      </c>
      <c r="D1674" s="9" cm="1">
        <f t="array" ref="D1674">IFERROR(_xlfn.XLOOKUP(B1674,Personal!$A:$A,Personal!$C:$C,""),"")</f>
        <v>0</v>
      </c>
      <c r="E1674" s="9" t="str" cm="1">
        <f t="array" ref="E1674">IFERROR(_xlfn.XLOOKUP(D1674,Locales!$A:$A,Locales!$B:$B,""),"")</f>
        <v/>
      </c>
      <c r="F1674" s="9" cm="1">
        <f t="array" ref="F1674">IFERROR(_xlfn.XLOOKUP(B1674,Personal!$A:$A,Personal!$F:$F,""),"")</f>
        <v>0</v>
      </c>
      <c r="I1674" s="10" cm="1">
        <f t="array" ref="I1674">IFERROR(INDEX(Precios!$D:$F,MATCH(N1674, Precios!$G:$G, 0),CHOOSE(MATCH(H1674, {"SML";"XL";"XXL"}, 0), 1, 2, 3)), 0)</f>
        <v>0</v>
      </c>
      <c r="K1674" s="10">
        <f t="shared" si="60"/>
        <v>0</v>
      </c>
      <c r="N1674" s="9" t="str">
        <f t="shared" si="61"/>
        <v/>
      </c>
      <c r="O1674" s="9" t="str">
        <f>IF(N1674="","",IF(COUNTIF(Precios!$G:$G,N1674)=0,"⚠ No coincide con Precios","OK"))</f>
        <v/>
      </c>
    </row>
    <row r="1675" spans="3:15" x14ac:dyDescent="0.2">
      <c r="C1675" s="9" cm="1">
        <f t="array" ref="C1675">IFERROR(_xlfn.XLOOKUP(B1675,Personal!$A:$A,Personal!$D:$D,""),"")</f>
        <v>0</v>
      </c>
      <c r="D1675" s="9" cm="1">
        <f t="array" ref="D1675">IFERROR(_xlfn.XLOOKUP(B1675,Personal!$A:$A,Personal!$C:$C,""),"")</f>
        <v>0</v>
      </c>
      <c r="E1675" s="9" t="str" cm="1">
        <f t="array" ref="E1675">IFERROR(_xlfn.XLOOKUP(D1675,Locales!$A:$A,Locales!$B:$B,""),"")</f>
        <v/>
      </c>
      <c r="F1675" s="9" cm="1">
        <f t="array" ref="F1675">IFERROR(_xlfn.XLOOKUP(B1675,Personal!$A:$A,Personal!$F:$F,""),"")</f>
        <v>0</v>
      </c>
      <c r="I1675" s="10" cm="1">
        <f t="array" ref="I1675">IFERROR(INDEX(Precios!$D:$F,MATCH(N1675, Precios!$G:$G, 0),CHOOSE(MATCH(H1675, {"SML";"XL";"XXL"}, 0), 1, 2, 3)), 0)</f>
        <v>0</v>
      </c>
      <c r="K1675" s="10">
        <f t="shared" si="60"/>
        <v>0</v>
      </c>
      <c r="N1675" s="9" t="str">
        <f t="shared" si="61"/>
        <v/>
      </c>
      <c r="O1675" s="9" t="str">
        <f>IF(N1675="","",IF(COUNTIF(Precios!$G:$G,N1675)=0,"⚠ No coincide con Precios","OK"))</f>
        <v/>
      </c>
    </row>
    <row r="1676" spans="3:15" x14ac:dyDescent="0.2">
      <c r="C1676" s="9" cm="1">
        <f t="array" ref="C1676">IFERROR(_xlfn.XLOOKUP(B1676,Personal!$A:$A,Personal!$D:$D,""),"")</f>
        <v>0</v>
      </c>
      <c r="D1676" s="9" cm="1">
        <f t="array" ref="D1676">IFERROR(_xlfn.XLOOKUP(B1676,Personal!$A:$A,Personal!$C:$C,""),"")</f>
        <v>0</v>
      </c>
      <c r="E1676" s="9" t="str" cm="1">
        <f t="array" ref="E1676">IFERROR(_xlfn.XLOOKUP(D1676,Locales!$A:$A,Locales!$B:$B,""),"")</f>
        <v/>
      </c>
      <c r="F1676" s="9" cm="1">
        <f t="array" ref="F1676">IFERROR(_xlfn.XLOOKUP(B1676,Personal!$A:$A,Personal!$F:$F,""),"")</f>
        <v>0</v>
      </c>
      <c r="I1676" s="10" cm="1">
        <f t="array" ref="I1676">IFERROR(INDEX(Precios!$D:$F,MATCH(N1676, Precios!$G:$G, 0),CHOOSE(MATCH(H1676, {"SML";"XL";"XXL"}, 0), 1, 2, 3)), 0)</f>
        <v>0</v>
      </c>
      <c r="K1676" s="10">
        <f t="shared" si="60"/>
        <v>0</v>
      </c>
      <c r="N1676" s="9" t="str">
        <f t="shared" si="61"/>
        <v/>
      </c>
      <c r="O1676" s="9" t="str">
        <f>IF(N1676="","",IF(COUNTIF(Precios!$G:$G,N1676)=0,"⚠ No coincide con Precios","OK"))</f>
        <v/>
      </c>
    </row>
    <row r="1677" spans="3:15" x14ac:dyDescent="0.2">
      <c r="C1677" s="9" cm="1">
        <f t="array" ref="C1677">IFERROR(_xlfn.XLOOKUP(B1677,Personal!$A:$A,Personal!$D:$D,""),"")</f>
        <v>0</v>
      </c>
      <c r="D1677" s="9" cm="1">
        <f t="array" ref="D1677">IFERROR(_xlfn.XLOOKUP(B1677,Personal!$A:$A,Personal!$C:$C,""),"")</f>
        <v>0</v>
      </c>
      <c r="E1677" s="9" t="str" cm="1">
        <f t="array" ref="E1677">IFERROR(_xlfn.XLOOKUP(D1677,Locales!$A:$A,Locales!$B:$B,""),"")</f>
        <v/>
      </c>
      <c r="F1677" s="9" cm="1">
        <f t="array" ref="F1677">IFERROR(_xlfn.XLOOKUP(B1677,Personal!$A:$A,Personal!$F:$F,""),"")</f>
        <v>0</v>
      </c>
      <c r="I1677" s="10" cm="1">
        <f t="array" ref="I1677">IFERROR(INDEX(Precios!$D:$F,MATCH(N1677, Precios!$G:$G, 0),CHOOSE(MATCH(H1677, {"SML";"XL";"XXL"}, 0), 1, 2, 3)), 0)</f>
        <v>0</v>
      </c>
      <c r="K1677" s="10">
        <f t="shared" si="60"/>
        <v>0</v>
      </c>
      <c r="N1677" s="9" t="str">
        <f t="shared" si="61"/>
        <v/>
      </c>
      <c r="O1677" s="9" t="str">
        <f>IF(N1677="","",IF(COUNTIF(Precios!$G:$G,N1677)=0,"⚠ No coincide con Precios","OK"))</f>
        <v/>
      </c>
    </row>
    <row r="1678" spans="3:15" x14ac:dyDescent="0.2">
      <c r="C1678" s="9" cm="1">
        <f t="array" ref="C1678">IFERROR(_xlfn.XLOOKUP(B1678,Personal!$A:$A,Personal!$D:$D,""),"")</f>
        <v>0</v>
      </c>
      <c r="D1678" s="9" cm="1">
        <f t="array" ref="D1678">IFERROR(_xlfn.XLOOKUP(B1678,Personal!$A:$A,Personal!$C:$C,""),"")</f>
        <v>0</v>
      </c>
      <c r="E1678" s="9" t="str" cm="1">
        <f t="array" ref="E1678">IFERROR(_xlfn.XLOOKUP(D1678,Locales!$A:$A,Locales!$B:$B,""),"")</f>
        <v/>
      </c>
      <c r="F1678" s="9" cm="1">
        <f t="array" ref="F1678">IFERROR(_xlfn.XLOOKUP(B1678,Personal!$A:$A,Personal!$F:$F,""),"")</f>
        <v>0</v>
      </c>
      <c r="I1678" s="10" cm="1">
        <f t="array" ref="I1678">IFERROR(INDEX(Precios!$D:$F,MATCH(N1678, Precios!$G:$G, 0),CHOOSE(MATCH(H1678, {"SML";"XL";"XXL"}, 0), 1, 2, 3)), 0)</f>
        <v>0</v>
      </c>
      <c r="K1678" s="10">
        <f t="shared" si="60"/>
        <v>0</v>
      </c>
      <c r="N1678" s="9" t="str">
        <f t="shared" si="61"/>
        <v/>
      </c>
      <c r="O1678" s="9" t="str">
        <f>IF(N1678="","",IF(COUNTIF(Precios!$G:$G,N1678)=0,"⚠ No coincide con Precios","OK"))</f>
        <v/>
      </c>
    </row>
    <row r="1679" spans="3:15" x14ac:dyDescent="0.2">
      <c r="C1679" s="9" cm="1">
        <f t="array" ref="C1679">IFERROR(_xlfn.XLOOKUP(B1679,Personal!$A:$A,Personal!$D:$D,""),"")</f>
        <v>0</v>
      </c>
      <c r="D1679" s="9" cm="1">
        <f t="array" ref="D1679">IFERROR(_xlfn.XLOOKUP(B1679,Personal!$A:$A,Personal!$C:$C,""),"")</f>
        <v>0</v>
      </c>
      <c r="E1679" s="9" t="str" cm="1">
        <f t="array" ref="E1679">IFERROR(_xlfn.XLOOKUP(D1679,Locales!$A:$A,Locales!$B:$B,""),"")</f>
        <v/>
      </c>
      <c r="F1679" s="9" cm="1">
        <f t="array" ref="F1679">IFERROR(_xlfn.XLOOKUP(B1679,Personal!$A:$A,Personal!$F:$F,""),"")</f>
        <v>0</v>
      </c>
      <c r="I1679" s="10" cm="1">
        <f t="array" ref="I1679">IFERROR(INDEX(Precios!$D:$F,MATCH(N1679, Precios!$G:$G, 0),CHOOSE(MATCH(H1679, {"SML";"XL";"XXL"}, 0), 1, 2, 3)), 0)</f>
        <v>0</v>
      </c>
      <c r="K1679" s="10">
        <f t="shared" si="60"/>
        <v>0</v>
      </c>
      <c r="N1679" s="9" t="str">
        <f t="shared" si="61"/>
        <v/>
      </c>
      <c r="O1679" s="9" t="str">
        <f>IF(N1679="","",IF(COUNTIF(Precios!$G:$G,N1679)=0,"⚠ No coincide con Precios","OK"))</f>
        <v/>
      </c>
    </row>
    <row r="1680" spans="3:15" x14ac:dyDescent="0.2">
      <c r="C1680" s="9" cm="1">
        <f t="array" ref="C1680">IFERROR(_xlfn.XLOOKUP(B1680,Personal!$A:$A,Personal!$D:$D,""),"")</f>
        <v>0</v>
      </c>
      <c r="D1680" s="9" cm="1">
        <f t="array" ref="D1680">IFERROR(_xlfn.XLOOKUP(B1680,Personal!$A:$A,Personal!$C:$C,""),"")</f>
        <v>0</v>
      </c>
      <c r="E1680" s="9" t="str" cm="1">
        <f t="array" ref="E1680">IFERROR(_xlfn.XLOOKUP(D1680,Locales!$A:$A,Locales!$B:$B,""),"")</f>
        <v/>
      </c>
      <c r="F1680" s="9" cm="1">
        <f t="array" ref="F1680">IFERROR(_xlfn.XLOOKUP(B1680,Personal!$A:$A,Personal!$F:$F,""),"")</f>
        <v>0</v>
      </c>
      <c r="I1680" s="10" cm="1">
        <f t="array" ref="I1680">IFERROR(INDEX(Precios!$D:$F,MATCH(N1680, Precios!$G:$G, 0),CHOOSE(MATCH(H1680, {"SML";"XL";"XXL"}, 0), 1, 2, 3)), 0)</f>
        <v>0</v>
      </c>
      <c r="K1680" s="10">
        <f t="shared" si="60"/>
        <v>0</v>
      </c>
      <c r="N1680" s="9" t="str">
        <f t="shared" si="61"/>
        <v/>
      </c>
      <c r="O1680" s="9" t="str">
        <f>IF(N1680="","",IF(COUNTIF(Precios!$G:$G,N1680)=0,"⚠ No coincide con Precios","OK"))</f>
        <v/>
      </c>
    </row>
    <row r="1681" spans="3:15" x14ac:dyDescent="0.2">
      <c r="C1681" s="9" cm="1">
        <f t="array" ref="C1681">IFERROR(_xlfn.XLOOKUP(B1681,Personal!$A:$A,Personal!$D:$D,""),"")</f>
        <v>0</v>
      </c>
      <c r="D1681" s="9" cm="1">
        <f t="array" ref="D1681">IFERROR(_xlfn.XLOOKUP(B1681,Personal!$A:$A,Personal!$C:$C,""),"")</f>
        <v>0</v>
      </c>
      <c r="E1681" s="9" t="str" cm="1">
        <f t="array" ref="E1681">IFERROR(_xlfn.XLOOKUP(D1681,Locales!$A:$A,Locales!$B:$B,""),"")</f>
        <v/>
      </c>
      <c r="F1681" s="9" cm="1">
        <f t="array" ref="F1681">IFERROR(_xlfn.XLOOKUP(B1681,Personal!$A:$A,Personal!$F:$F,""),"")</f>
        <v>0</v>
      </c>
      <c r="I1681" s="10" cm="1">
        <f t="array" ref="I1681">IFERROR(INDEX(Precios!$D:$F,MATCH(N1681, Precios!$G:$G, 0),CHOOSE(MATCH(H1681, {"SML";"XL";"XXL"}, 0), 1, 2, 3)), 0)</f>
        <v>0</v>
      </c>
      <c r="K1681" s="10">
        <f t="shared" si="60"/>
        <v>0</v>
      </c>
      <c r="N1681" s="9" t="str">
        <f t="shared" si="61"/>
        <v/>
      </c>
      <c r="O1681" s="9" t="str">
        <f>IF(N1681="","",IF(COUNTIF(Precios!$G:$G,N1681)=0,"⚠ No coincide con Precios","OK"))</f>
        <v/>
      </c>
    </row>
    <row r="1682" spans="3:15" x14ac:dyDescent="0.2">
      <c r="C1682" s="9" cm="1">
        <f t="array" ref="C1682">IFERROR(_xlfn.XLOOKUP(B1682,Personal!$A:$A,Personal!$D:$D,""),"")</f>
        <v>0</v>
      </c>
      <c r="D1682" s="9" cm="1">
        <f t="array" ref="D1682">IFERROR(_xlfn.XLOOKUP(B1682,Personal!$A:$A,Personal!$C:$C,""),"")</f>
        <v>0</v>
      </c>
      <c r="E1682" s="9" t="str" cm="1">
        <f t="array" ref="E1682">IFERROR(_xlfn.XLOOKUP(D1682,Locales!$A:$A,Locales!$B:$B,""),"")</f>
        <v/>
      </c>
      <c r="F1682" s="9" cm="1">
        <f t="array" ref="F1682">IFERROR(_xlfn.XLOOKUP(B1682,Personal!$A:$A,Personal!$F:$F,""),"")</f>
        <v>0</v>
      </c>
      <c r="I1682" s="10" cm="1">
        <f t="array" ref="I1682">IFERROR(INDEX(Precios!$D:$F,MATCH(N1682, Precios!$G:$G, 0),CHOOSE(MATCH(H1682, {"SML";"XL";"XXL"}, 0), 1, 2, 3)), 0)</f>
        <v>0</v>
      </c>
      <c r="K1682" s="10">
        <f t="shared" si="60"/>
        <v>0</v>
      </c>
      <c r="N1682" s="9" t="str">
        <f t="shared" si="61"/>
        <v/>
      </c>
      <c r="O1682" s="9" t="str">
        <f>IF(N1682="","",IF(COUNTIF(Precios!$G:$G,N1682)=0,"⚠ No coincide con Precios","OK"))</f>
        <v/>
      </c>
    </row>
    <row r="1683" spans="3:15" x14ac:dyDescent="0.2">
      <c r="C1683" s="9" cm="1">
        <f t="array" ref="C1683">IFERROR(_xlfn.XLOOKUP(B1683,Personal!$A:$A,Personal!$D:$D,""),"")</f>
        <v>0</v>
      </c>
      <c r="D1683" s="9" cm="1">
        <f t="array" ref="D1683">IFERROR(_xlfn.XLOOKUP(B1683,Personal!$A:$A,Personal!$C:$C,""),"")</f>
        <v>0</v>
      </c>
      <c r="E1683" s="9" t="str" cm="1">
        <f t="array" ref="E1683">IFERROR(_xlfn.XLOOKUP(D1683,Locales!$A:$A,Locales!$B:$B,""),"")</f>
        <v/>
      </c>
      <c r="F1683" s="9" cm="1">
        <f t="array" ref="F1683">IFERROR(_xlfn.XLOOKUP(B1683,Personal!$A:$A,Personal!$F:$F,""),"")</f>
        <v>0</v>
      </c>
      <c r="I1683" s="10" cm="1">
        <f t="array" ref="I1683">IFERROR(INDEX(Precios!$D:$F,MATCH(N1683, Precios!$G:$G, 0),CHOOSE(MATCH(H1683, {"SML";"XL";"XXL"}, 0), 1, 2, 3)), 0)</f>
        <v>0</v>
      </c>
      <c r="K1683" s="10">
        <f t="shared" si="60"/>
        <v>0</v>
      </c>
      <c r="N1683" s="9" t="str">
        <f t="shared" si="61"/>
        <v/>
      </c>
      <c r="O1683" s="9" t="str">
        <f>IF(N1683="","",IF(COUNTIF(Precios!$G:$G,N1683)=0,"⚠ No coincide con Precios","OK"))</f>
        <v/>
      </c>
    </row>
    <row r="1684" spans="3:15" x14ac:dyDescent="0.2">
      <c r="C1684" s="9" cm="1">
        <f t="array" ref="C1684">IFERROR(_xlfn.XLOOKUP(B1684,Personal!$A:$A,Personal!$D:$D,""),"")</f>
        <v>0</v>
      </c>
      <c r="D1684" s="9" cm="1">
        <f t="array" ref="D1684">IFERROR(_xlfn.XLOOKUP(B1684,Personal!$A:$A,Personal!$C:$C,""),"")</f>
        <v>0</v>
      </c>
      <c r="E1684" s="9" t="str" cm="1">
        <f t="array" ref="E1684">IFERROR(_xlfn.XLOOKUP(D1684,Locales!$A:$A,Locales!$B:$B,""),"")</f>
        <v/>
      </c>
      <c r="F1684" s="9" cm="1">
        <f t="array" ref="F1684">IFERROR(_xlfn.XLOOKUP(B1684,Personal!$A:$A,Personal!$F:$F,""),"")</f>
        <v>0</v>
      </c>
      <c r="I1684" s="10" cm="1">
        <f t="array" ref="I1684">IFERROR(INDEX(Precios!$D:$F,MATCH(N1684, Precios!$G:$G, 0),CHOOSE(MATCH(H1684, {"SML";"XL";"XXL"}, 0), 1, 2, 3)), 0)</f>
        <v>0</v>
      </c>
      <c r="K1684" s="10">
        <f t="shared" si="60"/>
        <v>0</v>
      </c>
      <c r="N1684" s="9" t="str">
        <f t="shared" si="61"/>
        <v/>
      </c>
      <c r="O1684" s="9" t="str">
        <f>IF(N1684="","",IF(COUNTIF(Precios!$G:$G,N1684)=0,"⚠ No coincide con Precios","OK"))</f>
        <v/>
      </c>
    </row>
    <row r="1685" spans="3:15" x14ac:dyDescent="0.2">
      <c r="C1685" s="9" cm="1">
        <f t="array" ref="C1685">IFERROR(_xlfn.XLOOKUP(B1685,Personal!$A:$A,Personal!$D:$D,""),"")</f>
        <v>0</v>
      </c>
      <c r="D1685" s="9" cm="1">
        <f t="array" ref="D1685">IFERROR(_xlfn.XLOOKUP(B1685,Personal!$A:$A,Personal!$C:$C,""),"")</f>
        <v>0</v>
      </c>
      <c r="E1685" s="9" t="str" cm="1">
        <f t="array" ref="E1685">IFERROR(_xlfn.XLOOKUP(D1685,Locales!$A:$A,Locales!$B:$B,""),"")</f>
        <v/>
      </c>
      <c r="F1685" s="9" cm="1">
        <f t="array" ref="F1685">IFERROR(_xlfn.XLOOKUP(B1685,Personal!$A:$A,Personal!$F:$F,""),"")</f>
        <v>0</v>
      </c>
      <c r="I1685" s="10" cm="1">
        <f t="array" ref="I1685">IFERROR(INDEX(Precios!$D:$F,MATCH(N1685, Precios!$G:$G, 0),CHOOSE(MATCH(H1685, {"SML";"XL";"XXL"}, 0), 1, 2, 3)), 0)</f>
        <v>0</v>
      </c>
      <c r="K1685" s="10">
        <f t="shared" si="60"/>
        <v>0</v>
      </c>
      <c r="N1685" s="9" t="str">
        <f t="shared" si="61"/>
        <v/>
      </c>
      <c r="O1685" s="9" t="str">
        <f>IF(N1685="","",IF(COUNTIF(Precios!$G:$G,N1685)=0,"⚠ No coincide con Precios","OK"))</f>
        <v/>
      </c>
    </row>
    <row r="1686" spans="3:15" x14ac:dyDescent="0.2">
      <c r="C1686" s="9" cm="1">
        <f t="array" ref="C1686">IFERROR(_xlfn.XLOOKUP(B1686,Personal!$A:$A,Personal!$D:$D,""),"")</f>
        <v>0</v>
      </c>
      <c r="D1686" s="9" cm="1">
        <f t="array" ref="D1686">IFERROR(_xlfn.XLOOKUP(B1686,Personal!$A:$A,Personal!$C:$C,""),"")</f>
        <v>0</v>
      </c>
      <c r="E1686" s="9" t="str" cm="1">
        <f t="array" ref="E1686">IFERROR(_xlfn.XLOOKUP(D1686,Locales!$A:$A,Locales!$B:$B,""),"")</f>
        <v/>
      </c>
      <c r="F1686" s="9" cm="1">
        <f t="array" ref="F1686">IFERROR(_xlfn.XLOOKUP(B1686,Personal!$A:$A,Personal!$F:$F,""),"")</f>
        <v>0</v>
      </c>
      <c r="I1686" s="10" cm="1">
        <f t="array" ref="I1686">IFERROR(INDEX(Precios!$D:$F,MATCH(N1686, Precios!$G:$G, 0),CHOOSE(MATCH(H1686, {"SML";"XL";"XXL"}, 0), 1, 2, 3)), 0)</f>
        <v>0</v>
      </c>
      <c r="K1686" s="10">
        <f t="shared" si="60"/>
        <v>0</v>
      </c>
      <c r="N1686" s="9" t="str">
        <f t="shared" si="61"/>
        <v/>
      </c>
      <c r="O1686" s="9" t="str">
        <f>IF(N1686="","",IF(COUNTIF(Precios!$G:$G,N1686)=0,"⚠ No coincide con Precios","OK"))</f>
        <v/>
      </c>
    </row>
    <row r="1687" spans="3:15" x14ac:dyDescent="0.2">
      <c r="C1687" s="9" cm="1">
        <f t="array" ref="C1687">IFERROR(_xlfn.XLOOKUP(B1687,Personal!$A:$A,Personal!$D:$D,""),"")</f>
        <v>0</v>
      </c>
      <c r="D1687" s="9" cm="1">
        <f t="array" ref="D1687">IFERROR(_xlfn.XLOOKUP(B1687,Personal!$A:$A,Personal!$C:$C,""),"")</f>
        <v>0</v>
      </c>
      <c r="E1687" s="9" t="str" cm="1">
        <f t="array" ref="E1687">IFERROR(_xlfn.XLOOKUP(D1687,Locales!$A:$A,Locales!$B:$B,""),"")</f>
        <v/>
      </c>
      <c r="F1687" s="9" cm="1">
        <f t="array" ref="F1687">IFERROR(_xlfn.XLOOKUP(B1687,Personal!$A:$A,Personal!$F:$F,""),"")</f>
        <v>0</v>
      </c>
      <c r="I1687" s="10" cm="1">
        <f t="array" ref="I1687">IFERROR(INDEX(Precios!$D:$F,MATCH(N1687, Precios!$G:$G, 0),CHOOSE(MATCH(H1687, {"SML";"XL";"XXL"}, 0), 1, 2, 3)), 0)</f>
        <v>0</v>
      </c>
      <c r="K1687" s="10">
        <f t="shared" si="60"/>
        <v>0</v>
      </c>
      <c r="N1687" s="9" t="str">
        <f t="shared" si="61"/>
        <v/>
      </c>
      <c r="O1687" s="9" t="str">
        <f>IF(N1687="","",IF(COUNTIF(Precios!$G:$G,N1687)=0,"⚠ No coincide con Precios","OK"))</f>
        <v/>
      </c>
    </row>
    <row r="1688" spans="3:15" x14ac:dyDescent="0.2">
      <c r="C1688" s="9" cm="1">
        <f t="array" ref="C1688">IFERROR(_xlfn.XLOOKUP(B1688,Personal!$A:$A,Personal!$D:$D,""),"")</f>
        <v>0</v>
      </c>
      <c r="D1688" s="9" cm="1">
        <f t="array" ref="D1688">IFERROR(_xlfn.XLOOKUP(B1688,Personal!$A:$A,Personal!$C:$C,""),"")</f>
        <v>0</v>
      </c>
      <c r="E1688" s="9" t="str" cm="1">
        <f t="array" ref="E1688">IFERROR(_xlfn.XLOOKUP(D1688,Locales!$A:$A,Locales!$B:$B,""),"")</f>
        <v/>
      </c>
      <c r="F1688" s="9" cm="1">
        <f t="array" ref="F1688">IFERROR(_xlfn.XLOOKUP(B1688,Personal!$A:$A,Personal!$F:$F,""),"")</f>
        <v>0</v>
      </c>
      <c r="I1688" s="10" cm="1">
        <f t="array" ref="I1688">IFERROR(INDEX(Precios!$D:$F,MATCH(N1688, Precios!$G:$G, 0),CHOOSE(MATCH(H1688, {"SML";"XL";"XXL"}, 0), 1, 2, 3)), 0)</f>
        <v>0</v>
      </c>
      <c r="K1688" s="10">
        <f t="shared" si="60"/>
        <v>0</v>
      </c>
      <c r="N1688" s="9" t="str">
        <f t="shared" si="61"/>
        <v/>
      </c>
      <c r="O1688" s="9" t="str">
        <f>IF(N1688="","",IF(COUNTIF(Precios!$G:$G,N1688)=0,"⚠ No coincide con Precios","OK"))</f>
        <v/>
      </c>
    </row>
    <row r="1689" spans="3:15" x14ac:dyDescent="0.2">
      <c r="C1689" s="9" cm="1">
        <f t="array" ref="C1689">IFERROR(_xlfn.XLOOKUP(B1689,Personal!$A:$A,Personal!$D:$D,""),"")</f>
        <v>0</v>
      </c>
      <c r="D1689" s="9" cm="1">
        <f t="array" ref="D1689">IFERROR(_xlfn.XLOOKUP(B1689,Personal!$A:$A,Personal!$C:$C,""),"")</f>
        <v>0</v>
      </c>
      <c r="E1689" s="9" t="str" cm="1">
        <f t="array" ref="E1689">IFERROR(_xlfn.XLOOKUP(D1689,Locales!$A:$A,Locales!$B:$B,""),"")</f>
        <v/>
      </c>
      <c r="F1689" s="9" cm="1">
        <f t="array" ref="F1689">IFERROR(_xlfn.XLOOKUP(B1689,Personal!$A:$A,Personal!$F:$F,""),"")</f>
        <v>0</v>
      </c>
      <c r="I1689" s="10" cm="1">
        <f t="array" ref="I1689">IFERROR(INDEX(Precios!$D:$F,MATCH(N1689, Precios!$G:$G, 0),CHOOSE(MATCH(H1689, {"SML";"XL";"XXL"}, 0), 1, 2, 3)), 0)</f>
        <v>0</v>
      </c>
      <c r="K1689" s="10">
        <f t="shared" si="60"/>
        <v>0</v>
      </c>
      <c r="N1689" s="9" t="str">
        <f t="shared" si="61"/>
        <v/>
      </c>
      <c r="O1689" s="9" t="str">
        <f>IF(N1689="","",IF(COUNTIF(Precios!$G:$G,N1689)=0,"⚠ No coincide con Precios","OK"))</f>
        <v/>
      </c>
    </row>
    <row r="1690" spans="3:15" x14ac:dyDescent="0.2">
      <c r="C1690" s="9" cm="1">
        <f t="array" ref="C1690">IFERROR(_xlfn.XLOOKUP(B1690,Personal!$A:$A,Personal!$D:$D,""),"")</f>
        <v>0</v>
      </c>
      <c r="D1690" s="9" cm="1">
        <f t="array" ref="D1690">IFERROR(_xlfn.XLOOKUP(B1690,Personal!$A:$A,Personal!$C:$C,""),"")</f>
        <v>0</v>
      </c>
      <c r="E1690" s="9" t="str" cm="1">
        <f t="array" ref="E1690">IFERROR(_xlfn.XLOOKUP(D1690,Locales!$A:$A,Locales!$B:$B,""),"")</f>
        <v/>
      </c>
      <c r="F1690" s="9" cm="1">
        <f t="array" ref="F1690">IFERROR(_xlfn.XLOOKUP(B1690,Personal!$A:$A,Personal!$F:$F,""),"")</f>
        <v>0</v>
      </c>
      <c r="I1690" s="10" cm="1">
        <f t="array" ref="I1690">IFERROR(INDEX(Precios!$D:$F,MATCH(N1690, Precios!$G:$G, 0),CHOOSE(MATCH(H1690, {"SML";"XL";"XXL"}, 0), 1, 2, 3)), 0)</f>
        <v>0</v>
      </c>
      <c r="K1690" s="10">
        <f t="shared" si="60"/>
        <v>0</v>
      </c>
      <c r="N1690" s="9" t="str">
        <f t="shared" si="61"/>
        <v/>
      </c>
      <c r="O1690" s="9" t="str">
        <f>IF(N1690="","",IF(COUNTIF(Precios!$G:$G,N1690)=0,"⚠ No coincide con Precios","OK"))</f>
        <v/>
      </c>
    </row>
    <row r="1691" spans="3:15" x14ac:dyDescent="0.2">
      <c r="C1691" s="9" cm="1">
        <f t="array" ref="C1691">IFERROR(_xlfn.XLOOKUP(B1691,Personal!$A:$A,Personal!$D:$D,""),"")</f>
        <v>0</v>
      </c>
      <c r="D1691" s="9" cm="1">
        <f t="array" ref="D1691">IFERROR(_xlfn.XLOOKUP(B1691,Personal!$A:$A,Personal!$C:$C,""),"")</f>
        <v>0</v>
      </c>
      <c r="E1691" s="9" t="str" cm="1">
        <f t="array" ref="E1691">IFERROR(_xlfn.XLOOKUP(D1691,Locales!$A:$A,Locales!$B:$B,""),"")</f>
        <v/>
      </c>
      <c r="F1691" s="9" cm="1">
        <f t="array" ref="F1691">IFERROR(_xlfn.XLOOKUP(B1691,Personal!$A:$A,Personal!$F:$F,""),"")</f>
        <v>0</v>
      </c>
      <c r="I1691" s="10" cm="1">
        <f t="array" ref="I1691">IFERROR(INDEX(Precios!$D:$F,MATCH(N1691, Precios!$G:$G, 0),CHOOSE(MATCH(H1691, {"SML";"XL";"XXL"}, 0), 1, 2, 3)), 0)</f>
        <v>0</v>
      </c>
      <c r="K1691" s="10">
        <f t="shared" si="60"/>
        <v>0</v>
      </c>
      <c r="N1691" s="9" t="str">
        <f t="shared" si="61"/>
        <v/>
      </c>
      <c r="O1691" s="9" t="str">
        <f>IF(N1691="","",IF(COUNTIF(Precios!$G:$G,N1691)=0,"⚠ No coincide con Precios","OK"))</f>
        <v/>
      </c>
    </row>
    <row r="1692" spans="3:15" x14ac:dyDescent="0.2">
      <c r="C1692" s="9" cm="1">
        <f t="array" ref="C1692">IFERROR(_xlfn.XLOOKUP(B1692,Personal!$A:$A,Personal!$D:$D,""),"")</f>
        <v>0</v>
      </c>
      <c r="D1692" s="9" cm="1">
        <f t="array" ref="D1692">IFERROR(_xlfn.XLOOKUP(B1692,Personal!$A:$A,Personal!$C:$C,""),"")</f>
        <v>0</v>
      </c>
      <c r="E1692" s="9" t="str" cm="1">
        <f t="array" ref="E1692">IFERROR(_xlfn.XLOOKUP(D1692,Locales!$A:$A,Locales!$B:$B,""),"")</f>
        <v/>
      </c>
      <c r="F1692" s="9" cm="1">
        <f t="array" ref="F1692">IFERROR(_xlfn.XLOOKUP(B1692,Personal!$A:$A,Personal!$F:$F,""),"")</f>
        <v>0</v>
      </c>
      <c r="I1692" s="10" cm="1">
        <f t="array" ref="I1692">IFERROR(INDEX(Precios!$D:$F,MATCH(N1692, Precios!$G:$G, 0),CHOOSE(MATCH(H1692, {"SML";"XL";"XXL"}, 0), 1, 2, 3)), 0)</f>
        <v>0</v>
      </c>
      <c r="K1692" s="10">
        <f t="shared" si="60"/>
        <v>0</v>
      </c>
      <c r="N1692" s="9" t="str">
        <f t="shared" si="61"/>
        <v/>
      </c>
      <c r="O1692" s="9" t="str">
        <f>IF(N1692="","",IF(COUNTIF(Precios!$G:$G,N1692)=0,"⚠ No coincide con Precios","OK"))</f>
        <v/>
      </c>
    </row>
    <row r="1693" spans="3:15" x14ac:dyDescent="0.2">
      <c r="C1693" s="9" cm="1">
        <f t="array" ref="C1693">IFERROR(_xlfn.XLOOKUP(B1693,Personal!$A:$A,Personal!$D:$D,""),"")</f>
        <v>0</v>
      </c>
      <c r="D1693" s="9" cm="1">
        <f t="array" ref="D1693">IFERROR(_xlfn.XLOOKUP(B1693,Personal!$A:$A,Personal!$C:$C,""),"")</f>
        <v>0</v>
      </c>
      <c r="E1693" s="9" t="str" cm="1">
        <f t="array" ref="E1693">IFERROR(_xlfn.XLOOKUP(D1693,Locales!$A:$A,Locales!$B:$B,""),"")</f>
        <v/>
      </c>
      <c r="F1693" s="9" cm="1">
        <f t="array" ref="F1693">IFERROR(_xlfn.XLOOKUP(B1693,Personal!$A:$A,Personal!$F:$F,""),"")</f>
        <v>0</v>
      </c>
      <c r="I1693" s="10" cm="1">
        <f t="array" ref="I1693">IFERROR(INDEX(Precios!$D:$F,MATCH(N1693, Precios!$G:$G, 0),CHOOSE(MATCH(H1693, {"SML";"XL";"XXL"}, 0), 1, 2, 3)), 0)</f>
        <v>0</v>
      </c>
      <c r="K1693" s="10">
        <f t="shared" si="60"/>
        <v>0</v>
      </c>
      <c r="N1693" s="9" t="str">
        <f t="shared" si="61"/>
        <v/>
      </c>
      <c r="O1693" s="9" t="str">
        <f>IF(N1693="","",IF(COUNTIF(Precios!$G:$G,N1693)=0,"⚠ No coincide con Precios","OK"))</f>
        <v/>
      </c>
    </row>
    <row r="1694" spans="3:15" x14ac:dyDescent="0.2">
      <c r="C1694" s="9" cm="1">
        <f t="array" ref="C1694">IFERROR(_xlfn.XLOOKUP(B1694,Personal!$A:$A,Personal!$D:$D,""),"")</f>
        <v>0</v>
      </c>
      <c r="D1694" s="9" cm="1">
        <f t="array" ref="D1694">IFERROR(_xlfn.XLOOKUP(B1694,Personal!$A:$A,Personal!$C:$C,""),"")</f>
        <v>0</v>
      </c>
      <c r="E1694" s="9" t="str" cm="1">
        <f t="array" ref="E1694">IFERROR(_xlfn.XLOOKUP(D1694,Locales!$A:$A,Locales!$B:$B,""),"")</f>
        <v/>
      </c>
      <c r="F1694" s="9" cm="1">
        <f t="array" ref="F1694">IFERROR(_xlfn.XLOOKUP(B1694,Personal!$A:$A,Personal!$F:$F,""),"")</f>
        <v>0</v>
      </c>
      <c r="I1694" s="10" cm="1">
        <f t="array" ref="I1694">IFERROR(INDEX(Precios!$D:$F,MATCH(N1694, Precios!$G:$G, 0),CHOOSE(MATCH(H1694, {"SML";"XL";"XXL"}, 0), 1, 2, 3)), 0)</f>
        <v>0</v>
      </c>
      <c r="K1694" s="10">
        <f t="shared" si="60"/>
        <v>0</v>
      </c>
      <c r="N1694" s="9" t="str">
        <f t="shared" si="61"/>
        <v/>
      </c>
      <c r="O1694" s="9" t="str">
        <f>IF(N1694="","",IF(COUNTIF(Precios!$G:$G,N1694)=0,"⚠ No coincide con Precios","OK"))</f>
        <v/>
      </c>
    </row>
    <row r="1695" spans="3:15" x14ac:dyDescent="0.2">
      <c r="C1695" s="9" cm="1">
        <f t="array" ref="C1695">IFERROR(_xlfn.XLOOKUP(B1695,Personal!$A:$A,Personal!$D:$D,""),"")</f>
        <v>0</v>
      </c>
      <c r="D1695" s="9" cm="1">
        <f t="array" ref="D1695">IFERROR(_xlfn.XLOOKUP(B1695,Personal!$A:$A,Personal!$C:$C,""),"")</f>
        <v>0</v>
      </c>
      <c r="E1695" s="9" t="str" cm="1">
        <f t="array" ref="E1695">IFERROR(_xlfn.XLOOKUP(D1695,Locales!$A:$A,Locales!$B:$B,""),"")</f>
        <v/>
      </c>
      <c r="F1695" s="9" cm="1">
        <f t="array" ref="F1695">IFERROR(_xlfn.XLOOKUP(B1695,Personal!$A:$A,Personal!$F:$F,""),"")</f>
        <v>0</v>
      </c>
      <c r="I1695" s="10" cm="1">
        <f t="array" ref="I1695">IFERROR(INDEX(Precios!$D:$F,MATCH(N1695, Precios!$G:$G, 0),CHOOSE(MATCH(H1695, {"SML";"XL";"XXL"}, 0), 1, 2, 3)), 0)</f>
        <v>0</v>
      </c>
      <c r="K1695" s="10">
        <f t="shared" si="60"/>
        <v>0</v>
      </c>
      <c r="N1695" s="9" t="str">
        <f t="shared" si="61"/>
        <v/>
      </c>
      <c r="O1695" s="9" t="str">
        <f>IF(N1695="","",IF(COUNTIF(Precios!$G:$G,N1695)=0,"⚠ No coincide con Precios","OK"))</f>
        <v/>
      </c>
    </row>
    <row r="1696" spans="3:15" x14ac:dyDescent="0.2">
      <c r="C1696" s="9" cm="1">
        <f t="array" ref="C1696">IFERROR(_xlfn.XLOOKUP(B1696,Personal!$A:$A,Personal!$D:$D,""),"")</f>
        <v>0</v>
      </c>
      <c r="D1696" s="9" cm="1">
        <f t="array" ref="D1696">IFERROR(_xlfn.XLOOKUP(B1696,Personal!$A:$A,Personal!$C:$C,""),"")</f>
        <v>0</v>
      </c>
      <c r="E1696" s="9" t="str" cm="1">
        <f t="array" ref="E1696">IFERROR(_xlfn.XLOOKUP(D1696,Locales!$A:$A,Locales!$B:$B,""),"")</f>
        <v/>
      </c>
      <c r="F1696" s="9" cm="1">
        <f t="array" ref="F1696">IFERROR(_xlfn.XLOOKUP(B1696,Personal!$A:$A,Personal!$F:$F,""),"")</f>
        <v>0</v>
      </c>
      <c r="I1696" s="10" cm="1">
        <f t="array" ref="I1696">IFERROR(INDEX(Precios!$D:$F,MATCH(N1696, Precios!$G:$G, 0),CHOOSE(MATCH(H1696, {"SML";"XL";"XXL"}, 0), 1, 2, 3)), 0)</f>
        <v>0</v>
      </c>
      <c r="K1696" s="10">
        <f t="shared" si="60"/>
        <v>0</v>
      </c>
      <c r="N1696" s="9" t="str">
        <f t="shared" si="61"/>
        <v/>
      </c>
      <c r="O1696" s="9" t="str">
        <f>IF(N1696="","",IF(COUNTIF(Precios!$G:$G,N1696)=0,"⚠ No coincide con Precios","OK"))</f>
        <v/>
      </c>
    </row>
    <row r="1697" spans="3:15" x14ac:dyDescent="0.2">
      <c r="C1697" s="9" cm="1">
        <f t="array" ref="C1697">IFERROR(_xlfn.XLOOKUP(B1697,Personal!$A:$A,Personal!$D:$D,""),"")</f>
        <v>0</v>
      </c>
      <c r="D1697" s="9" cm="1">
        <f t="array" ref="D1697">IFERROR(_xlfn.XLOOKUP(B1697,Personal!$A:$A,Personal!$C:$C,""),"")</f>
        <v>0</v>
      </c>
      <c r="E1697" s="9" t="str" cm="1">
        <f t="array" ref="E1697">IFERROR(_xlfn.XLOOKUP(D1697,Locales!$A:$A,Locales!$B:$B,""),"")</f>
        <v/>
      </c>
      <c r="F1697" s="9" cm="1">
        <f t="array" ref="F1697">IFERROR(_xlfn.XLOOKUP(B1697,Personal!$A:$A,Personal!$F:$F,""),"")</f>
        <v>0</v>
      </c>
      <c r="I1697" s="10" cm="1">
        <f t="array" ref="I1697">IFERROR(INDEX(Precios!$D:$F,MATCH(N1697, Precios!$G:$G, 0),CHOOSE(MATCH(H1697, {"SML";"XL";"XXL"}, 0), 1, 2, 3)), 0)</f>
        <v>0</v>
      </c>
      <c r="K1697" s="10">
        <f t="shared" si="60"/>
        <v>0</v>
      </c>
      <c r="N1697" s="9" t="str">
        <f t="shared" si="61"/>
        <v/>
      </c>
      <c r="O1697" s="9" t="str">
        <f>IF(N1697="","",IF(COUNTIF(Precios!$G:$G,N1697)=0,"⚠ No coincide con Precios","OK"))</f>
        <v/>
      </c>
    </row>
    <row r="1698" spans="3:15" x14ac:dyDescent="0.2">
      <c r="C1698" s="9" cm="1">
        <f t="array" ref="C1698">IFERROR(_xlfn.XLOOKUP(B1698,Personal!$A:$A,Personal!$D:$D,""),"")</f>
        <v>0</v>
      </c>
      <c r="D1698" s="9" cm="1">
        <f t="array" ref="D1698">IFERROR(_xlfn.XLOOKUP(B1698,Personal!$A:$A,Personal!$C:$C,""),"")</f>
        <v>0</v>
      </c>
      <c r="E1698" s="9" t="str" cm="1">
        <f t="array" ref="E1698">IFERROR(_xlfn.XLOOKUP(D1698,Locales!$A:$A,Locales!$B:$B,""),"")</f>
        <v/>
      </c>
      <c r="F1698" s="9" cm="1">
        <f t="array" ref="F1698">IFERROR(_xlfn.XLOOKUP(B1698,Personal!$A:$A,Personal!$F:$F,""),"")</f>
        <v>0</v>
      </c>
      <c r="I1698" s="10" cm="1">
        <f t="array" ref="I1698">IFERROR(INDEX(Precios!$D:$F,MATCH(N1698, Precios!$G:$G, 0),CHOOSE(MATCH(H1698, {"SML";"XL";"XXL"}, 0), 1, 2, 3)), 0)</f>
        <v>0</v>
      </c>
      <c r="K1698" s="10">
        <f t="shared" si="60"/>
        <v>0</v>
      </c>
      <c r="N1698" s="9" t="str">
        <f t="shared" si="61"/>
        <v/>
      </c>
      <c r="O1698" s="9" t="str">
        <f>IF(N1698="","",IF(COUNTIF(Precios!$G:$G,N1698)=0,"⚠ No coincide con Precios","OK"))</f>
        <v/>
      </c>
    </row>
    <row r="1699" spans="3:15" x14ac:dyDescent="0.2">
      <c r="C1699" s="9" cm="1">
        <f t="array" ref="C1699">IFERROR(_xlfn.XLOOKUP(B1699,Personal!$A:$A,Personal!$D:$D,""),"")</f>
        <v>0</v>
      </c>
      <c r="D1699" s="9" cm="1">
        <f t="array" ref="D1699">IFERROR(_xlfn.XLOOKUP(B1699,Personal!$A:$A,Personal!$C:$C,""),"")</f>
        <v>0</v>
      </c>
      <c r="E1699" s="9" t="str" cm="1">
        <f t="array" ref="E1699">IFERROR(_xlfn.XLOOKUP(D1699,Locales!$A:$A,Locales!$B:$B,""),"")</f>
        <v/>
      </c>
      <c r="F1699" s="9" cm="1">
        <f t="array" ref="F1699">IFERROR(_xlfn.XLOOKUP(B1699,Personal!$A:$A,Personal!$F:$F,""),"")</f>
        <v>0</v>
      </c>
      <c r="I1699" s="10" cm="1">
        <f t="array" ref="I1699">IFERROR(INDEX(Precios!$D:$F,MATCH(N1699, Precios!$G:$G, 0),CHOOSE(MATCH(H1699, {"SML";"XL";"XXL"}, 0), 1, 2, 3)), 0)</f>
        <v>0</v>
      </c>
      <c r="K1699" s="10">
        <f t="shared" si="60"/>
        <v>0</v>
      </c>
      <c r="N1699" s="9" t="str">
        <f t="shared" si="61"/>
        <v/>
      </c>
      <c r="O1699" s="9" t="str">
        <f>IF(N1699="","",IF(COUNTIF(Precios!$G:$G,N1699)=0,"⚠ No coincide con Precios","OK"))</f>
        <v/>
      </c>
    </row>
    <row r="1700" spans="3:15" x14ac:dyDescent="0.2">
      <c r="C1700" s="9" cm="1">
        <f t="array" ref="C1700">IFERROR(_xlfn.XLOOKUP(B1700,Personal!$A:$A,Personal!$D:$D,""),"")</f>
        <v>0</v>
      </c>
      <c r="D1700" s="9" cm="1">
        <f t="array" ref="D1700">IFERROR(_xlfn.XLOOKUP(B1700,Personal!$A:$A,Personal!$C:$C,""),"")</f>
        <v>0</v>
      </c>
      <c r="E1700" s="9" t="str" cm="1">
        <f t="array" ref="E1700">IFERROR(_xlfn.XLOOKUP(D1700,Locales!$A:$A,Locales!$B:$B,""),"")</f>
        <v/>
      </c>
      <c r="F1700" s="9" cm="1">
        <f t="array" ref="F1700">IFERROR(_xlfn.XLOOKUP(B1700,Personal!$A:$A,Personal!$F:$F,""),"")</f>
        <v>0</v>
      </c>
      <c r="I1700" s="10" cm="1">
        <f t="array" ref="I1700">IFERROR(INDEX(Precios!$D:$F,MATCH(N1700, Precios!$G:$G, 0),CHOOSE(MATCH(H1700, {"SML";"XL";"XXL"}, 0), 1, 2, 3)), 0)</f>
        <v>0</v>
      </c>
      <c r="K1700" s="10">
        <f t="shared" si="60"/>
        <v>0</v>
      </c>
      <c r="N1700" s="9" t="str">
        <f t="shared" si="61"/>
        <v/>
      </c>
      <c r="O1700" s="9" t="str">
        <f>IF(N1700="","",IF(COUNTIF(Precios!$G:$G,N1700)=0,"⚠ No coincide con Precios","OK"))</f>
        <v/>
      </c>
    </row>
    <row r="1701" spans="3:15" x14ac:dyDescent="0.2">
      <c r="C1701" s="9" cm="1">
        <f t="array" ref="C1701">IFERROR(_xlfn.XLOOKUP(B1701,Personal!$A:$A,Personal!$D:$D,""),"")</f>
        <v>0</v>
      </c>
      <c r="D1701" s="9" cm="1">
        <f t="array" ref="D1701">IFERROR(_xlfn.XLOOKUP(B1701,Personal!$A:$A,Personal!$C:$C,""),"")</f>
        <v>0</v>
      </c>
      <c r="E1701" s="9" t="str" cm="1">
        <f t="array" ref="E1701">IFERROR(_xlfn.XLOOKUP(D1701,Locales!$A:$A,Locales!$B:$B,""),"")</f>
        <v/>
      </c>
      <c r="F1701" s="9" cm="1">
        <f t="array" ref="F1701">IFERROR(_xlfn.XLOOKUP(B1701,Personal!$A:$A,Personal!$F:$F,""),"")</f>
        <v>0</v>
      </c>
      <c r="I1701" s="10" cm="1">
        <f t="array" ref="I1701">IFERROR(INDEX(Precios!$D:$F,MATCH(N1701, Precios!$G:$G, 0),CHOOSE(MATCH(H1701, {"SML";"XL";"XXL"}, 0), 1, 2, 3)), 0)</f>
        <v>0</v>
      </c>
      <c r="K1701" s="10">
        <f t="shared" si="60"/>
        <v>0</v>
      </c>
      <c r="N1701" s="9" t="str">
        <f t="shared" si="61"/>
        <v/>
      </c>
      <c r="O1701" s="9" t="str">
        <f>IF(N1701="","",IF(COUNTIF(Precios!$G:$G,N1701)=0,"⚠ No coincide con Precios","OK"))</f>
        <v/>
      </c>
    </row>
    <row r="1702" spans="3:15" x14ac:dyDescent="0.2">
      <c r="C1702" s="9" cm="1">
        <f t="array" ref="C1702">IFERROR(_xlfn.XLOOKUP(B1702,Personal!$A:$A,Personal!$D:$D,""),"")</f>
        <v>0</v>
      </c>
      <c r="D1702" s="9" cm="1">
        <f t="array" ref="D1702">IFERROR(_xlfn.XLOOKUP(B1702,Personal!$A:$A,Personal!$C:$C,""),"")</f>
        <v>0</v>
      </c>
      <c r="E1702" s="9" t="str" cm="1">
        <f t="array" ref="E1702">IFERROR(_xlfn.XLOOKUP(D1702,Locales!$A:$A,Locales!$B:$B,""),"")</f>
        <v/>
      </c>
      <c r="F1702" s="9" cm="1">
        <f t="array" ref="F1702">IFERROR(_xlfn.XLOOKUP(B1702,Personal!$A:$A,Personal!$F:$F,""),"")</f>
        <v>0</v>
      </c>
      <c r="I1702" s="10" cm="1">
        <f t="array" ref="I1702">IFERROR(INDEX(Precios!$D:$F,MATCH(N1702, Precios!$G:$G, 0),CHOOSE(MATCH(H1702, {"SML";"XL";"XXL"}, 0), 1, 2, 3)), 0)</f>
        <v>0</v>
      </c>
      <c r="K1702" s="10">
        <f t="shared" si="60"/>
        <v>0</v>
      </c>
      <c r="N1702" s="9" t="str">
        <f t="shared" si="61"/>
        <v/>
      </c>
      <c r="O1702" s="9" t="str">
        <f>IF(N1702="","",IF(COUNTIF(Precios!$G:$G,N1702)=0,"⚠ No coincide con Precios","OK"))</f>
        <v/>
      </c>
    </row>
    <row r="1703" spans="3:15" x14ac:dyDescent="0.2">
      <c r="C1703" s="9" cm="1">
        <f t="array" ref="C1703">IFERROR(_xlfn.XLOOKUP(B1703,Personal!$A:$A,Personal!$D:$D,""),"")</f>
        <v>0</v>
      </c>
      <c r="D1703" s="9" cm="1">
        <f t="array" ref="D1703">IFERROR(_xlfn.XLOOKUP(B1703,Personal!$A:$A,Personal!$C:$C,""),"")</f>
        <v>0</v>
      </c>
      <c r="E1703" s="9" t="str" cm="1">
        <f t="array" ref="E1703">IFERROR(_xlfn.XLOOKUP(D1703,Locales!$A:$A,Locales!$B:$B,""),"")</f>
        <v/>
      </c>
      <c r="F1703" s="9" cm="1">
        <f t="array" ref="F1703">IFERROR(_xlfn.XLOOKUP(B1703,Personal!$A:$A,Personal!$F:$F,""),"")</f>
        <v>0</v>
      </c>
      <c r="I1703" s="10" cm="1">
        <f t="array" ref="I1703">IFERROR(INDEX(Precios!$D:$F,MATCH(N1703, Precios!$G:$G, 0),CHOOSE(MATCH(H1703, {"SML";"XL";"XXL"}, 0), 1, 2, 3)), 0)</f>
        <v>0</v>
      </c>
      <c r="K1703" s="10">
        <f t="shared" si="60"/>
        <v>0</v>
      </c>
      <c r="N1703" s="9" t="str">
        <f t="shared" si="61"/>
        <v/>
      </c>
      <c r="O1703" s="9" t="str">
        <f>IF(N1703="","",IF(COUNTIF(Precios!$G:$G,N1703)=0,"⚠ No coincide con Precios","OK"))</f>
        <v/>
      </c>
    </row>
    <row r="1704" spans="3:15" x14ac:dyDescent="0.2">
      <c r="C1704" s="9" cm="1">
        <f t="array" ref="C1704">IFERROR(_xlfn.XLOOKUP(B1704,Personal!$A:$A,Personal!$D:$D,""),"")</f>
        <v>0</v>
      </c>
      <c r="D1704" s="9" cm="1">
        <f t="array" ref="D1704">IFERROR(_xlfn.XLOOKUP(B1704,Personal!$A:$A,Personal!$C:$C,""),"")</f>
        <v>0</v>
      </c>
      <c r="E1704" s="9" t="str" cm="1">
        <f t="array" ref="E1704">IFERROR(_xlfn.XLOOKUP(D1704,Locales!$A:$A,Locales!$B:$B,""),"")</f>
        <v/>
      </c>
      <c r="F1704" s="9" cm="1">
        <f t="array" ref="F1704">IFERROR(_xlfn.XLOOKUP(B1704,Personal!$A:$A,Personal!$F:$F,""),"")</f>
        <v>0</v>
      </c>
      <c r="I1704" s="10" cm="1">
        <f t="array" ref="I1704">IFERROR(INDEX(Precios!$D:$F,MATCH(N1704, Precios!$G:$G, 0),CHOOSE(MATCH(H1704, {"SML";"XL";"XXL"}, 0), 1, 2, 3)), 0)</f>
        <v>0</v>
      </c>
      <c r="K1704" s="10">
        <f t="shared" si="60"/>
        <v>0</v>
      </c>
      <c r="N1704" s="9" t="str">
        <f t="shared" si="61"/>
        <v/>
      </c>
      <c r="O1704" s="9" t="str">
        <f>IF(N1704="","",IF(COUNTIF(Precios!$G:$G,N1704)=0,"⚠ No coincide con Precios","OK"))</f>
        <v/>
      </c>
    </row>
    <row r="1705" spans="3:15" x14ac:dyDescent="0.2">
      <c r="C1705" s="9" cm="1">
        <f t="array" ref="C1705">IFERROR(_xlfn.XLOOKUP(B1705,Personal!$A:$A,Personal!$D:$D,""),"")</f>
        <v>0</v>
      </c>
      <c r="D1705" s="9" cm="1">
        <f t="array" ref="D1705">IFERROR(_xlfn.XLOOKUP(B1705,Personal!$A:$A,Personal!$C:$C,""),"")</f>
        <v>0</v>
      </c>
      <c r="E1705" s="9" t="str" cm="1">
        <f t="array" ref="E1705">IFERROR(_xlfn.XLOOKUP(D1705,Locales!$A:$A,Locales!$B:$B,""),"")</f>
        <v/>
      </c>
      <c r="F1705" s="9" cm="1">
        <f t="array" ref="F1705">IFERROR(_xlfn.XLOOKUP(B1705,Personal!$A:$A,Personal!$F:$F,""),"")</f>
        <v>0</v>
      </c>
      <c r="I1705" s="10" cm="1">
        <f t="array" ref="I1705">IFERROR(INDEX(Precios!$D:$F,MATCH(N1705, Precios!$G:$G, 0),CHOOSE(MATCH(H1705, {"SML";"XL";"XXL"}, 0), 1, 2, 3)), 0)</f>
        <v>0</v>
      </c>
      <c r="K1705" s="10">
        <f t="shared" si="60"/>
        <v>0</v>
      </c>
      <c r="N1705" s="9" t="str">
        <f t="shared" si="61"/>
        <v/>
      </c>
      <c r="O1705" s="9" t="str">
        <f>IF(N1705="","",IF(COUNTIF(Precios!$G:$G,N1705)=0,"⚠ No coincide con Precios","OK"))</f>
        <v/>
      </c>
    </row>
    <row r="1706" spans="3:15" x14ac:dyDescent="0.2">
      <c r="C1706" s="9" cm="1">
        <f t="array" ref="C1706">IFERROR(_xlfn.XLOOKUP(B1706,Personal!$A:$A,Personal!$D:$D,""),"")</f>
        <v>0</v>
      </c>
      <c r="D1706" s="9" cm="1">
        <f t="array" ref="D1706">IFERROR(_xlfn.XLOOKUP(B1706,Personal!$A:$A,Personal!$C:$C,""),"")</f>
        <v>0</v>
      </c>
      <c r="E1706" s="9" t="str" cm="1">
        <f t="array" ref="E1706">IFERROR(_xlfn.XLOOKUP(D1706,Locales!$A:$A,Locales!$B:$B,""),"")</f>
        <v/>
      </c>
      <c r="F1706" s="9" cm="1">
        <f t="array" ref="F1706">IFERROR(_xlfn.XLOOKUP(B1706,Personal!$A:$A,Personal!$F:$F,""),"")</f>
        <v>0</v>
      </c>
      <c r="I1706" s="10" cm="1">
        <f t="array" ref="I1706">IFERROR(INDEX(Precios!$D:$F,MATCH(N1706, Precios!$G:$G, 0),CHOOSE(MATCH(H1706, {"SML";"XL";"XXL"}, 0), 1, 2, 3)), 0)</f>
        <v>0</v>
      </c>
      <c r="K1706" s="10">
        <f t="shared" si="60"/>
        <v>0</v>
      </c>
      <c r="N1706" s="9" t="str">
        <f t="shared" si="61"/>
        <v/>
      </c>
      <c r="O1706" s="9" t="str">
        <f>IF(N1706="","",IF(COUNTIF(Precios!$G:$G,N1706)=0,"⚠ No coincide con Precios","OK"))</f>
        <v/>
      </c>
    </row>
    <row r="1707" spans="3:15" x14ac:dyDescent="0.2">
      <c r="C1707" s="9" cm="1">
        <f t="array" ref="C1707">IFERROR(_xlfn.XLOOKUP(B1707,Personal!$A:$A,Personal!$D:$D,""),"")</f>
        <v>0</v>
      </c>
      <c r="D1707" s="9" cm="1">
        <f t="array" ref="D1707">IFERROR(_xlfn.XLOOKUP(B1707,Personal!$A:$A,Personal!$C:$C,""),"")</f>
        <v>0</v>
      </c>
      <c r="E1707" s="9" t="str" cm="1">
        <f t="array" ref="E1707">IFERROR(_xlfn.XLOOKUP(D1707,Locales!$A:$A,Locales!$B:$B,""),"")</f>
        <v/>
      </c>
      <c r="F1707" s="9" cm="1">
        <f t="array" ref="F1707">IFERROR(_xlfn.XLOOKUP(B1707,Personal!$A:$A,Personal!$F:$F,""),"")</f>
        <v>0</v>
      </c>
      <c r="I1707" s="10" cm="1">
        <f t="array" ref="I1707">IFERROR(INDEX(Precios!$D:$F,MATCH(N1707, Precios!$G:$G, 0),CHOOSE(MATCH(H1707, {"SML";"XL";"XXL"}, 0), 1, 2, 3)), 0)</f>
        <v>0</v>
      </c>
      <c r="K1707" s="10">
        <f t="shared" si="60"/>
        <v>0</v>
      </c>
      <c r="N1707" s="9" t="str">
        <f t="shared" si="61"/>
        <v/>
      </c>
      <c r="O1707" s="9" t="str">
        <f>IF(N1707="","",IF(COUNTIF(Precios!$G:$G,N1707)=0,"⚠ No coincide con Precios","OK"))</f>
        <v/>
      </c>
    </row>
    <row r="1708" spans="3:15" x14ac:dyDescent="0.2">
      <c r="C1708" s="9" cm="1">
        <f t="array" ref="C1708">IFERROR(_xlfn.XLOOKUP(B1708,Personal!$A:$A,Personal!$D:$D,""),"")</f>
        <v>0</v>
      </c>
      <c r="D1708" s="9" cm="1">
        <f t="array" ref="D1708">IFERROR(_xlfn.XLOOKUP(B1708,Personal!$A:$A,Personal!$C:$C,""),"")</f>
        <v>0</v>
      </c>
      <c r="E1708" s="9" t="str" cm="1">
        <f t="array" ref="E1708">IFERROR(_xlfn.XLOOKUP(D1708,Locales!$A:$A,Locales!$B:$B,""),"")</f>
        <v/>
      </c>
      <c r="F1708" s="9" cm="1">
        <f t="array" ref="F1708">IFERROR(_xlfn.XLOOKUP(B1708,Personal!$A:$A,Personal!$F:$F,""),"")</f>
        <v>0</v>
      </c>
      <c r="I1708" s="10" cm="1">
        <f t="array" ref="I1708">IFERROR(INDEX(Precios!$D:$F,MATCH(N1708, Precios!$G:$G, 0),CHOOSE(MATCH(H1708, {"SML";"XL";"XXL"}, 0), 1, 2, 3)), 0)</f>
        <v>0</v>
      </c>
      <c r="K1708" s="10">
        <f t="shared" si="60"/>
        <v>0</v>
      </c>
      <c r="N1708" s="9" t="str">
        <f t="shared" si="61"/>
        <v/>
      </c>
      <c r="O1708" s="9" t="str">
        <f>IF(N1708="","",IF(COUNTIF(Precios!$G:$G,N1708)=0,"⚠ No coincide con Precios","OK"))</f>
        <v/>
      </c>
    </row>
    <row r="1709" spans="3:15" x14ac:dyDescent="0.2">
      <c r="C1709" s="9" cm="1">
        <f t="array" ref="C1709">IFERROR(_xlfn.XLOOKUP(B1709,Personal!$A:$A,Personal!$D:$D,""),"")</f>
        <v>0</v>
      </c>
      <c r="D1709" s="9" cm="1">
        <f t="array" ref="D1709">IFERROR(_xlfn.XLOOKUP(B1709,Personal!$A:$A,Personal!$C:$C,""),"")</f>
        <v>0</v>
      </c>
      <c r="E1709" s="9" t="str" cm="1">
        <f t="array" ref="E1709">IFERROR(_xlfn.XLOOKUP(D1709,Locales!$A:$A,Locales!$B:$B,""),"")</f>
        <v/>
      </c>
      <c r="F1709" s="9" cm="1">
        <f t="array" ref="F1709">IFERROR(_xlfn.XLOOKUP(B1709,Personal!$A:$A,Personal!$F:$F,""),"")</f>
        <v>0</v>
      </c>
      <c r="I1709" s="10" cm="1">
        <f t="array" ref="I1709">IFERROR(INDEX(Precios!$D:$F,MATCH(N1709, Precios!$G:$G, 0),CHOOSE(MATCH(H1709, {"SML";"XL";"XXL"}, 0), 1, 2, 3)), 0)</f>
        <v>0</v>
      </c>
      <c r="K1709" s="10">
        <f t="shared" si="60"/>
        <v>0</v>
      </c>
      <c r="N1709" s="9" t="str">
        <f t="shared" si="61"/>
        <v/>
      </c>
      <c r="O1709" s="9" t="str">
        <f>IF(N1709="","",IF(COUNTIF(Precios!$G:$G,N1709)=0,"⚠ No coincide con Precios","OK"))</f>
        <v/>
      </c>
    </row>
    <row r="1710" spans="3:15" x14ac:dyDescent="0.2">
      <c r="C1710" s="9" cm="1">
        <f t="array" ref="C1710">IFERROR(_xlfn.XLOOKUP(B1710,Personal!$A:$A,Personal!$D:$D,""),"")</f>
        <v>0</v>
      </c>
      <c r="D1710" s="9" cm="1">
        <f t="array" ref="D1710">IFERROR(_xlfn.XLOOKUP(B1710,Personal!$A:$A,Personal!$C:$C,""),"")</f>
        <v>0</v>
      </c>
      <c r="E1710" s="9" t="str" cm="1">
        <f t="array" ref="E1710">IFERROR(_xlfn.XLOOKUP(D1710,Locales!$A:$A,Locales!$B:$B,""),"")</f>
        <v/>
      </c>
      <c r="F1710" s="9" cm="1">
        <f t="array" ref="F1710">IFERROR(_xlfn.XLOOKUP(B1710,Personal!$A:$A,Personal!$F:$F,""),"")</f>
        <v>0</v>
      </c>
      <c r="I1710" s="10" cm="1">
        <f t="array" ref="I1710">IFERROR(INDEX(Precios!$D:$F,MATCH(N1710, Precios!$G:$G, 0),CHOOSE(MATCH(H1710, {"SML";"XL";"XXL"}, 0), 1, 2, 3)), 0)</f>
        <v>0</v>
      </c>
      <c r="K1710" s="10">
        <f t="shared" si="60"/>
        <v>0</v>
      </c>
      <c r="N1710" s="9" t="str">
        <f t="shared" si="61"/>
        <v/>
      </c>
      <c r="O1710" s="9" t="str">
        <f>IF(N1710="","",IF(COUNTIF(Precios!$G:$G,N1710)=0,"⚠ No coincide con Precios","OK"))</f>
        <v/>
      </c>
    </row>
    <row r="1711" spans="3:15" x14ac:dyDescent="0.2">
      <c r="C1711" s="9" cm="1">
        <f t="array" ref="C1711">IFERROR(_xlfn.XLOOKUP(B1711,Personal!$A:$A,Personal!$D:$D,""),"")</f>
        <v>0</v>
      </c>
      <c r="D1711" s="9" cm="1">
        <f t="array" ref="D1711">IFERROR(_xlfn.XLOOKUP(B1711,Personal!$A:$A,Personal!$C:$C,""),"")</f>
        <v>0</v>
      </c>
      <c r="E1711" s="9" t="str" cm="1">
        <f t="array" ref="E1711">IFERROR(_xlfn.XLOOKUP(D1711,Locales!$A:$A,Locales!$B:$B,""),"")</f>
        <v/>
      </c>
      <c r="F1711" s="9" cm="1">
        <f t="array" ref="F1711">IFERROR(_xlfn.XLOOKUP(B1711,Personal!$A:$A,Personal!$F:$F,""),"")</f>
        <v>0</v>
      </c>
      <c r="I1711" s="10" cm="1">
        <f t="array" ref="I1711">IFERROR(INDEX(Precios!$D:$F,MATCH(N1711, Precios!$G:$G, 0),CHOOSE(MATCH(H1711, {"SML";"XL";"XXL"}, 0), 1, 2, 3)), 0)</f>
        <v>0</v>
      </c>
      <c r="K1711" s="10">
        <f t="shared" si="60"/>
        <v>0</v>
      </c>
      <c r="N1711" s="9" t="str">
        <f t="shared" si="61"/>
        <v/>
      </c>
      <c r="O1711" s="9" t="str">
        <f>IF(N1711="","",IF(COUNTIF(Precios!$G:$G,N1711)=0,"⚠ No coincide con Precios","OK"))</f>
        <v/>
      </c>
    </row>
    <row r="1712" spans="3:15" x14ac:dyDescent="0.2">
      <c r="C1712" s="9" cm="1">
        <f t="array" ref="C1712">IFERROR(_xlfn.XLOOKUP(B1712,Personal!$A:$A,Personal!$D:$D,""),"")</f>
        <v>0</v>
      </c>
      <c r="D1712" s="9" cm="1">
        <f t="array" ref="D1712">IFERROR(_xlfn.XLOOKUP(B1712,Personal!$A:$A,Personal!$C:$C,""),"")</f>
        <v>0</v>
      </c>
      <c r="E1712" s="9" t="str" cm="1">
        <f t="array" ref="E1712">IFERROR(_xlfn.XLOOKUP(D1712,Locales!$A:$A,Locales!$B:$B,""),"")</f>
        <v/>
      </c>
      <c r="F1712" s="9" cm="1">
        <f t="array" ref="F1712">IFERROR(_xlfn.XLOOKUP(B1712,Personal!$A:$A,Personal!$F:$F,""),"")</f>
        <v>0</v>
      </c>
      <c r="I1712" s="10" cm="1">
        <f t="array" ref="I1712">IFERROR(INDEX(Precios!$D:$F,MATCH(N1712, Precios!$G:$G, 0),CHOOSE(MATCH(H1712, {"SML";"XL";"XXL"}, 0), 1, 2, 3)), 0)</f>
        <v>0</v>
      </c>
      <c r="K1712" s="10">
        <f t="shared" si="60"/>
        <v>0</v>
      </c>
      <c r="N1712" s="9" t="str">
        <f t="shared" si="61"/>
        <v/>
      </c>
      <c r="O1712" s="9" t="str">
        <f>IF(N1712="","",IF(COUNTIF(Precios!$G:$G,N1712)=0,"⚠ No coincide con Precios","OK"))</f>
        <v/>
      </c>
    </row>
    <row r="1713" spans="3:15" x14ac:dyDescent="0.2">
      <c r="C1713" s="9" cm="1">
        <f t="array" ref="C1713">IFERROR(_xlfn.XLOOKUP(B1713,Personal!$A:$A,Personal!$D:$D,""),"")</f>
        <v>0</v>
      </c>
      <c r="D1713" s="9" cm="1">
        <f t="array" ref="D1713">IFERROR(_xlfn.XLOOKUP(B1713,Personal!$A:$A,Personal!$C:$C,""),"")</f>
        <v>0</v>
      </c>
      <c r="E1713" s="9" t="str" cm="1">
        <f t="array" ref="E1713">IFERROR(_xlfn.XLOOKUP(D1713,Locales!$A:$A,Locales!$B:$B,""),"")</f>
        <v/>
      </c>
      <c r="F1713" s="9" cm="1">
        <f t="array" ref="F1713">IFERROR(_xlfn.XLOOKUP(B1713,Personal!$A:$A,Personal!$F:$F,""),"")</f>
        <v>0</v>
      </c>
      <c r="I1713" s="10" cm="1">
        <f t="array" ref="I1713">IFERROR(INDEX(Precios!$D:$F,MATCH(N1713, Precios!$G:$G, 0),CHOOSE(MATCH(H1713, {"SML";"XL";"XXL"}, 0), 1, 2, 3)), 0)</f>
        <v>0</v>
      </c>
      <c r="K1713" s="10">
        <f t="shared" si="60"/>
        <v>0</v>
      </c>
      <c r="N1713" s="9" t="str">
        <f t="shared" si="61"/>
        <v/>
      </c>
      <c r="O1713" s="9" t="str">
        <f>IF(N1713="","",IF(COUNTIF(Precios!$G:$G,N1713)=0,"⚠ No coincide con Precios","OK"))</f>
        <v/>
      </c>
    </row>
    <row r="1714" spans="3:15" x14ac:dyDescent="0.2">
      <c r="C1714" s="9" cm="1">
        <f t="array" ref="C1714">IFERROR(_xlfn.XLOOKUP(B1714,Personal!$A:$A,Personal!$D:$D,""),"")</f>
        <v>0</v>
      </c>
      <c r="D1714" s="9" cm="1">
        <f t="array" ref="D1714">IFERROR(_xlfn.XLOOKUP(B1714,Personal!$A:$A,Personal!$C:$C,""),"")</f>
        <v>0</v>
      </c>
      <c r="E1714" s="9" t="str" cm="1">
        <f t="array" ref="E1714">IFERROR(_xlfn.XLOOKUP(D1714,Locales!$A:$A,Locales!$B:$B,""),"")</f>
        <v/>
      </c>
      <c r="F1714" s="9" cm="1">
        <f t="array" ref="F1714">IFERROR(_xlfn.XLOOKUP(B1714,Personal!$A:$A,Personal!$F:$F,""),"")</f>
        <v>0</v>
      </c>
      <c r="I1714" s="10" cm="1">
        <f t="array" ref="I1714">IFERROR(INDEX(Precios!$D:$F,MATCH(N1714, Precios!$G:$G, 0),CHOOSE(MATCH(H1714, {"SML";"XL";"XXL"}, 0), 1, 2, 3)), 0)</f>
        <v>0</v>
      </c>
      <c r="K1714" s="10">
        <f t="shared" si="60"/>
        <v>0</v>
      </c>
      <c r="N1714" s="9" t="str">
        <f t="shared" si="61"/>
        <v/>
      </c>
      <c r="O1714" s="9" t="str">
        <f>IF(N1714="","",IF(COUNTIF(Precios!$G:$G,N1714)=0,"⚠ No coincide con Precios","OK"))</f>
        <v/>
      </c>
    </row>
    <row r="1715" spans="3:15" x14ac:dyDescent="0.2">
      <c r="C1715" s="9" cm="1">
        <f t="array" ref="C1715">IFERROR(_xlfn.XLOOKUP(B1715,Personal!$A:$A,Personal!$D:$D,""),"")</f>
        <v>0</v>
      </c>
      <c r="D1715" s="9" cm="1">
        <f t="array" ref="D1715">IFERROR(_xlfn.XLOOKUP(B1715,Personal!$A:$A,Personal!$C:$C,""),"")</f>
        <v>0</v>
      </c>
      <c r="E1715" s="9" t="str" cm="1">
        <f t="array" ref="E1715">IFERROR(_xlfn.XLOOKUP(D1715,Locales!$A:$A,Locales!$B:$B,""),"")</f>
        <v/>
      </c>
      <c r="F1715" s="9" cm="1">
        <f t="array" ref="F1715">IFERROR(_xlfn.XLOOKUP(B1715,Personal!$A:$A,Personal!$F:$F,""),"")</f>
        <v>0</v>
      </c>
      <c r="I1715" s="10" cm="1">
        <f t="array" ref="I1715">IFERROR(INDEX(Precios!$D:$F,MATCH(N1715, Precios!$G:$G, 0),CHOOSE(MATCH(H1715, {"SML";"XL";"XXL"}, 0), 1, 2, 3)), 0)</f>
        <v>0</v>
      </c>
      <c r="K1715" s="10">
        <f t="shared" si="60"/>
        <v>0</v>
      </c>
      <c r="N1715" s="9" t="str">
        <f t="shared" si="61"/>
        <v/>
      </c>
      <c r="O1715" s="9" t="str">
        <f>IF(N1715="","",IF(COUNTIF(Precios!$G:$G,N1715)=0,"⚠ No coincide con Precios","OK"))</f>
        <v/>
      </c>
    </row>
    <row r="1716" spans="3:15" x14ac:dyDescent="0.2">
      <c r="C1716" s="9" cm="1">
        <f t="array" ref="C1716">IFERROR(_xlfn.XLOOKUP(B1716,Personal!$A:$A,Personal!$D:$D,""),"")</f>
        <v>0</v>
      </c>
      <c r="D1716" s="9" cm="1">
        <f t="array" ref="D1716">IFERROR(_xlfn.XLOOKUP(B1716,Personal!$A:$A,Personal!$C:$C,""),"")</f>
        <v>0</v>
      </c>
      <c r="E1716" s="9" t="str" cm="1">
        <f t="array" ref="E1716">IFERROR(_xlfn.XLOOKUP(D1716,Locales!$A:$A,Locales!$B:$B,""),"")</f>
        <v/>
      </c>
      <c r="F1716" s="9" cm="1">
        <f t="array" ref="F1716">IFERROR(_xlfn.XLOOKUP(B1716,Personal!$A:$A,Personal!$F:$F,""),"")</f>
        <v>0</v>
      </c>
      <c r="I1716" s="10" cm="1">
        <f t="array" ref="I1716">IFERROR(INDEX(Precios!$D:$F,MATCH(N1716, Precios!$G:$G, 0),CHOOSE(MATCH(H1716, {"SML";"XL";"XXL"}, 0), 1, 2, 3)), 0)</f>
        <v>0</v>
      </c>
      <c r="K1716" s="10">
        <f t="shared" si="60"/>
        <v>0</v>
      </c>
      <c r="N1716" s="9" t="str">
        <f t="shared" si="61"/>
        <v/>
      </c>
      <c r="O1716" s="9" t="str">
        <f>IF(N1716="","",IF(COUNTIF(Precios!$G:$G,N1716)=0,"⚠ No coincide con Precios","OK"))</f>
        <v/>
      </c>
    </row>
    <row r="1717" spans="3:15" x14ac:dyDescent="0.2">
      <c r="C1717" s="9" cm="1">
        <f t="array" ref="C1717">IFERROR(_xlfn.XLOOKUP(B1717,Personal!$A:$A,Personal!$D:$D,""),"")</f>
        <v>0</v>
      </c>
      <c r="D1717" s="9" cm="1">
        <f t="array" ref="D1717">IFERROR(_xlfn.XLOOKUP(B1717,Personal!$A:$A,Personal!$C:$C,""),"")</f>
        <v>0</v>
      </c>
      <c r="E1717" s="9" t="str" cm="1">
        <f t="array" ref="E1717">IFERROR(_xlfn.XLOOKUP(D1717,Locales!$A:$A,Locales!$B:$B,""),"")</f>
        <v/>
      </c>
      <c r="F1717" s="9" cm="1">
        <f t="array" ref="F1717">IFERROR(_xlfn.XLOOKUP(B1717,Personal!$A:$A,Personal!$F:$F,""),"")</f>
        <v>0</v>
      </c>
      <c r="I1717" s="10" cm="1">
        <f t="array" ref="I1717">IFERROR(INDEX(Precios!$D:$F,MATCH(N1717, Precios!$G:$G, 0),CHOOSE(MATCH(H1717, {"SML";"XL";"XXL"}, 0), 1, 2, 3)), 0)</f>
        <v>0</v>
      </c>
      <c r="K1717" s="10">
        <f t="shared" si="60"/>
        <v>0</v>
      </c>
      <c r="N1717" s="9" t="str">
        <f t="shared" si="61"/>
        <v/>
      </c>
      <c r="O1717" s="9" t="str">
        <f>IF(N1717="","",IF(COUNTIF(Precios!$G:$G,N1717)=0,"⚠ No coincide con Precios","OK"))</f>
        <v/>
      </c>
    </row>
    <row r="1718" spans="3:15" x14ac:dyDescent="0.2">
      <c r="C1718" s="9" cm="1">
        <f t="array" ref="C1718">IFERROR(_xlfn.XLOOKUP(B1718,Personal!$A:$A,Personal!$D:$D,""),"")</f>
        <v>0</v>
      </c>
      <c r="D1718" s="9" cm="1">
        <f t="array" ref="D1718">IFERROR(_xlfn.XLOOKUP(B1718,Personal!$A:$A,Personal!$C:$C,""),"")</f>
        <v>0</v>
      </c>
      <c r="E1718" s="9" t="str" cm="1">
        <f t="array" ref="E1718">IFERROR(_xlfn.XLOOKUP(D1718,Locales!$A:$A,Locales!$B:$B,""),"")</f>
        <v/>
      </c>
      <c r="F1718" s="9" cm="1">
        <f t="array" ref="F1718">IFERROR(_xlfn.XLOOKUP(B1718,Personal!$A:$A,Personal!$F:$F,""),"")</f>
        <v>0</v>
      </c>
      <c r="I1718" s="10" cm="1">
        <f t="array" ref="I1718">IFERROR(INDEX(Precios!$D:$F,MATCH(N1718, Precios!$G:$G, 0),CHOOSE(MATCH(H1718, {"SML";"XL";"XXL"}, 0), 1, 2, 3)), 0)</f>
        <v>0</v>
      </c>
      <c r="K1718" s="10">
        <f t="shared" si="60"/>
        <v>0</v>
      </c>
      <c r="N1718" s="9" t="str">
        <f t="shared" si="61"/>
        <v/>
      </c>
      <c r="O1718" s="9" t="str">
        <f>IF(N1718="","",IF(COUNTIF(Precios!$G:$G,N1718)=0,"⚠ No coincide con Precios","OK"))</f>
        <v/>
      </c>
    </row>
    <row r="1719" spans="3:15" x14ac:dyDescent="0.2">
      <c r="C1719" s="9" cm="1">
        <f t="array" ref="C1719">IFERROR(_xlfn.XLOOKUP(B1719,Personal!$A:$A,Personal!$D:$D,""),"")</f>
        <v>0</v>
      </c>
      <c r="D1719" s="9" cm="1">
        <f t="array" ref="D1719">IFERROR(_xlfn.XLOOKUP(B1719,Personal!$A:$A,Personal!$C:$C,""),"")</f>
        <v>0</v>
      </c>
      <c r="E1719" s="9" t="str" cm="1">
        <f t="array" ref="E1719">IFERROR(_xlfn.XLOOKUP(D1719,Locales!$A:$A,Locales!$B:$B,""),"")</f>
        <v/>
      </c>
      <c r="F1719" s="9" cm="1">
        <f t="array" ref="F1719">IFERROR(_xlfn.XLOOKUP(B1719,Personal!$A:$A,Personal!$F:$F,""),"")</f>
        <v>0</v>
      </c>
      <c r="I1719" s="10" cm="1">
        <f t="array" ref="I1719">IFERROR(INDEX(Precios!$D:$F,MATCH(N1719, Precios!$G:$G, 0),CHOOSE(MATCH(H1719, {"SML";"XL";"XXL"}, 0), 1, 2, 3)), 0)</f>
        <v>0</v>
      </c>
      <c r="K1719" s="10">
        <f t="shared" si="60"/>
        <v>0</v>
      </c>
      <c r="N1719" s="9" t="str">
        <f t="shared" si="61"/>
        <v/>
      </c>
      <c r="O1719" s="9" t="str">
        <f>IF(N1719="","",IF(COUNTIF(Precios!$G:$G,N1719)=0,"⚠ No coincide con Precios","OK"))</f>
        <v/>
      </c>
    </row>
    <row r="1720" spans="3:15" x14ac:dyDescent="0.2">
      <c r="C1720" s="9" cm="1">
        <f t="array" ref="C1720">IFERROR(_xlfn.XLOOKUP(B1720,Personal!$A:$A,Personal!$D:$D,""),"")</f>
        <v>0</v>
      </c>
      <c r="D1720" s="9" cm="1">
        <f t="array" ref="D1720">IFERROR(_xlfn.XLOOKUP(B1720,Personal!$A:$A,Personal!$C:$C,""),"")</f>
        <v>0</v>
      </c>
      <c r="E1720" s="9" t="str" cm="1">
        <f t="array" ref="E1720">IFERROR(_xlfn.XLOOKUP(D1720,Locales!$A:$A,Locales!$B:$B,""),"")</f>
        <v/>
      </c>
      <c r="F1720" s="9" cm="1">
        <f t="array" ref="F1720">IFERROR(_xlfn.XLOOKUP(B1720,Personal!$A:$A,Personal!$F:$F,""),"")</f>
        <v>0</v>
      </c>
      <c r="I1720" s="10" cm="1">
        <f t="array" ref="I1720">IFERROR(INDEX(Precios!$D:$F,MATCH(N1720, Precios!$G:$G, 0),CHOOSE(MATCH(H1720, {"SML";"XL";"XXL"}, 0), 1, 2, 3)), 0)</f>
        <v>0</v>
      </c>
      <c r="K1720" s="10">
        <f t="shared" si="60"/>
        <v>0</v>
      </c>
      <c r="N1720" s="9" t="str">
        <f t="shared" si="61"/>
        <v/>
      </c>
      <c r="O1720" s="9" t="str">
        <f>IF(N1720="","",IF(COUNTIF(Precios!$G:$G,N1720)=0,"⚠ No coincide con Precios","OK"))</f>
        <v/>
      </c>
    </row>
    <row r="1721" spans="3:15" x14ac:dyDescent="0.2">
      <c r="C1721" s="9" cm="1">
        <f t="array" ref="C1721">IFERROR(_xlfn.XLOOKUP(B1721,Personal!$A:$A,Personal!$D:$D,""),"")</f>
        <v>0</v>
      </c>
      <c r="D1721" s="9" cm="1">
        <f t="array" ref="D1721">IFERROR(_xlfn.XLOOKUP(B1721,Personal!$A:$A,Personal!$C:$C,""),"")</f>
        <v>0</v>
      </c>
      <c r="E1721" s="9" t="str" cm="1">
        <f t="array" ref="E1721">IFERROR(_xlfn.XLOOKUP(D1721,Locales!$A:$A,Locales!$B:$B,""),"")</f>
        <v/>
      </c>
      <c r="F1721" s="9" cm="1">
        <f t="array" ref="F1721">IFERROR(_xlfn.XLOOKUP(B1721,Personal!$A:$A,Personal!$F:$F,""),"")</f>
        <v>0</v>
      </c>
      <c r="I1721" s="10" cm="1">
        <f t="array" ref="I1721">IFERROR(INDEX(Precios!$D:$F,MATCH(N1721, Precios!$G:$G, 0),CHOOSE(MATCH(H1721, {"SML";"XL";"XXL"}, 0), 1, 2, 3)), 0)</f>
        <v>0</v>
      </c>
      <c r="K1721" s="10">
        <f t="shared" si="60"/>
        <v>0</v>
      </c>
      <c r="N1721" s="9" t="str">
        <f t="shared" si="61"/>
        <v/>
      </c>
      <c r="O1721" s="9" t="str">
        <f>IF(N1721="","",IF(COUNTIF(Precios!$G:$G,N1721)=0,"⚠ No coincide con Precios","OK"))</f>
        <v/>
      </c>
    </row>
    <row r="1722" spans="3:15" x14ac:dyDescent="0.2">
      <c r="C1722" s="9" cm="1">
        <f t="array" ref="C1722">IFERROR(_xlfn.XLOOKUP(B1722,Personal!$A:$A,Personal!$D:$D,""),"")</f>
        <v>0</v>
      </c>
      <c r="D1722" s="9" cm="1">
        <f t="array" ref="D1722">IFERROR(_xlfn.XLOOKUP(B1722,Personal!$A:$A,Personal!$C:$C,""),"")</f>
        <v>0</v>
      </c>
      <c r="E1722" s="9" t="str" cm="1">
        <f t="array" ref="E1722">IFERROR(_xlfn.XLOOKUP(D1722,Locales!$A:$A,Locales!$B:$B,""),"")</f>
        <v/>
      </c>
      <c r="F1722" s="9" cm="1">
        <f t="array" ref="F1722">IFERROR(_xlfn.XLOOKUP(B1722,Personal!$A:$A,Personal!$F:$F,""),"")</f>
        <v>0</v>
      </c>
      <c r="I1722" s="10" cm="1">
        <f t="array" ref="I1722">IFERROR(INDEX(Precios!$D:$F,MATCH(N1722, Precios!$G:$G, 0),CHOOSE(MATCH(H1722, {"SML";"XL";"XXL"}, 0), 1, 2, 3)), 0)</f>
        <v>0</v>
      </c>
      <c r="K1722" s="10">
        <f t="shared" si="60"/>
        <v>0</v>
      </c>
      <c r="N1722" s="9" t="str">
        <f t="shared" si="61"/>
        <v/>
      </c>
      <c r="O1722" s="9" t="str">
        <f>IF(N1722="","",IF(COUNTIF(Precios!$G:$G,N1722)=0,"⚠ No coincide con Precios","OK"))</f>
        <v/>
      </c>
    </row>
    <row r="1723" spans="3:15" x14ac:dyDescent="0.2">
      <c r="C1723" s="9" cm="1">
        <f t="array" ref="C1723">IFERROR(_xlfn.XLOOKUP(B1723,Personal!$A:$A,Personal!$D:$D,""),"")</f>
        <v>0</v>
      </c>
      <c r="D1723" s="9" cm="1">
        <f t="array" ref="D1723">IFERROR(_xlfn.XLOOKUP(B1723,Personal!$A:$A,Personal!$C:$C,""),"")</f>
        <v>0</v>
      </c>
      <c r="E1723" s="9" t="str" cm="1">
        <f t="array" ref="E1723">IFERROR(_xlfn.XLOOKUP(D1723,Locales!$A:$A,Locales!$B:$B,""),"")</f>
        <v/>
      </c>
      <c r="F1723" s="9" cm="1">
        <f t="array" ref="F1723">IFERROR(_xlfn.XLOOKUP(B1723,Personal!$A:$A,Personal!$F:$F,""),"")</f>
        <v>0</v>
      </c>
      <c r="I1723" s="10" cm="1">
        <f t="array" ref="I1723">IFERROR(INDEX(Precios!$D:$F,MATCH(N1723, Precios!$G:$G, 0),CHOOSE(MATCH(H1723, {"SML";"XL";"XXL"}, 0), 1, 2, 3)), 0)</f>
        <v>0</v>
      </c>
      <c r="K1723" s="10">
        <f t="shared" si="60"/>
        <v>0</v>
      </c>
      <c r="N1723" s="9" t="str">
        <f t="shared" si="61"/>
        <v/>
      </c>
      <c r="O1723" s="9" t="str">
        <f>IF(N1723="","",IF(COUNTIF(Precios!$G:$G,N1723)=0,"⚠ No coincide con Precios","OK"))</f>
        <v/>
      </c>
    </row>
    <row r="1724" spans="3:15" x14ac:dyDescent="0.2">
      <c r="C1724" s="9" cm="1">
        <f t="array" ref="C1724">IFERROR(_xlfn.XLOOKUP(B1724,Personal!$A:$A,Personal!$D:$D,""),"")</f>
        <v>0</v>
      </c>
      <c r="D1724" s="9" cm="1">
        <f t="array" ref="D1724">IFERROR(_xlfn.XLOOKUP(B1724,Personal!$A:$A,Personal!$C:$C,""),"")</f>
        <v>0</v>
      </c>
      <c r="E1724" s="9" t="str" cm="1">
        <f t="array" ref="E1724">IFERROR(_xlfn.XLOOKUP(D1724,Locales!$A:$A,Locales!$B:$B,""),"")</f>
        <v/>
      </c>
      <c r="F1724" s="9" cm="1">
        <f t="array" ref="F1724">IFERROR(_xlfn.XLOOKUP(B1724,Personal!$A:$A,Personal!$F:$F,""),"")</f>
        <v>0</v>
      </c>
      <c r="I1724" s="10" cm="1">
        <f t="array" ref="I1724">IFERROR(INDEX(Precios!$D:$F,MATCH(N1724, Precios!$G:$G, 0),CHOOSE(MATCH(H1724, {"SML";"XL";"XXL"}, 0), 1, 2, 3)), 0)</f>
        <v>0</v>
      </c>
      <c r="K1724" s="10">
        <f t="shared" si="60"/>
        <v>0</v>
      </c>
      <c r="N1724" s="9" t="str">
        <f t="shared" si="61"/>
        <v/>
      </c>
      <c r="O1724" s="9" t="str">
        <f>IF(N1724="","",IF(COUNTIF(Precios!$G:$G,N1724)=0,"⚠ No coincide con Precios","OK"))</f>
        <v/>
      </c>
    </row>
    <row r="1725" spans="3:15" x14ac:dyDescent="0.2">
      <c r="C1725" s="9" cm="1">
        <f t="array" ref="C1725">IFERROR(_xlfn.XLOOKUP(B1725,Personal!$A:$A,Personal!$D:$D,""),"")</f>
        <v>0</v>
      </c>
      <c r="D1725" s="9" cm="1">
        <f t="array" ref="D1725">IFERROR(_xlfn.XLOOKUP(B1725,Personal!$A:$A,Personal!$C:$C,""),"")</f>
        <v>0</v>
      </c>
      <c r="E1725" s="9" t="str" cm="1">
        <f t="array" ref="E1725">IFERROR(_xlfn.XLOOKUP(D1725,Locales!$A:$A,Locales!$B:$B,""),"")</f>
        <v/>
      </c>
      <c r="F1725" s="9" cm="1">
        <f t="array" ref="F1725">IFERROR(_xlfn.XLOOKUP(B1725,Personal!$A:$A,Personal!$F:$F,""),"")</f>
        <v>0</v>
      </c>
      <c r="I1725" s="10" cm="1">
        <f t="array" ref="I1725">IFERROR(INDEX(Precios!$D:$F,MATCH(N1725, Precios!$G:$G, 0),CHOOSE(MATCH(H1725, {"SML";"XL";"XXL"}, 0), 1, 2, 3)), 0)</f>
        <v>0</v>
      </c>
      <c r="K1725" s="10">
        <f t="shared" si="60"/>
        <v>0</v>
      </c>
      <c r="N1725" s="9" t="str">
        <f t="shared" si="61"/>
        <v/>
      </c>
      <c r="O1725" s="9" t="str">
        <f>IF(N1725="","",IF(COUNTIF(Precios!$G:$G,N1725)=0,"⚠ No coincide con Precios","OK"))</f>
        <v/>
      </c>
    </row>
    <row r="1726" spans="3:15" x14ac:dyDescent="0.2">
      <c r="C1726" s="9" cm="1">
        <f t="array" ref="C1726">IFERROR(_xlfn.XLOOKUP(B1726,Personal!$A:$A,Personal!$D:$D,""),"")</f>
        <v>0</v>
      </c>
      <c r="D1726" s="9" cm="1">
        <f t="array" ref="D1726">IFERROR(_xlfn.XLOOKUP(B1726,Personal!$A:$A,Personal!$C:$C,""),"")</f>
        <v>0</v>
      </c>
      <c r="E1726" s="9" t="str" cm="1">
        <f t="array" ref="E1726">IFERROR(_xlfn.XLOOKUP(D1726,Locales!$A:$A,Locales!$B:$B,""),"")</f>
        <v/>
      </c>
      <c r="F1726" s="9" cm="1">
        <f t="array" ref="F1726">IFERROR(_xlfn.XLOOKUP(B1726,Personal!$A:$A,Personal!$F:$F,""),"")</f>
        <v>0</v>
      </c>
      <c r="I1726" s="10" cm="1">
        <f t="array" ref="I1726">IFERROR(INDEX(Precios!$D:$F,MATCH(N1726, Precios!$G:$G, 0),CHOOSE(MATCH(H1726, {"SML";"XL";"XXL"}, 0), 1, 2, 3)), 0)</f>
        <v>0</v>
      </c>
      <c r="K1726" s="10">
        <f t="shared" si="60"/>
        <v>0</v>
      </c>
      <c r="N1726" s="9" t="str">
        <f t="shared" si="61"/>
        <v/>
      </c>
      <c r="O1726" s="9" t="str">
        <f>IF(N1726="","",IF(COUNTIF(Precios!$G:$G,N1726)=0,"⚠ No coincide con Precios","OK"))</f>
        <v/>
      </c>
    </row>
    <row r="1727" spans="3:15" x14ac:dyDescent="0.2">
      <c r="C1727" s="9" cm="1">
        <f t="array" ref="C1727">IFERROR(_xlfn.XLOOKUP(B1727,Personal!$A:$A,Personal!$D:$D,""),"")</f>
        <v>0</v>
      </c>
      <c r="D1727" s="9" cm="1">
        <f t="array" ref="D1727">IFERROR(_xlfn.XLOOKUP(B1727,Personal!$A:$A,Personal!$C:$C,""),"")</f>
        <v>0</v>
      </c>
      <c r="E1727" s="9" t="str" cm="1">
        <f t="array" ref="E1727">IFERROR(_xlfn.XLOOKUP(D1727,Locales!$A:$A,Locales!$B:$B,""),"")</f>
        <v/>
      </c>
      <c r="F1727" s="9" cm="1">
        <f t="array" ref="F1727">IFERROR(_xlfn.XLOOKUP(B1727,Personal!$A:$A,Personal!$F:$F,""),"")</f>
        <v>0</v>
      </c>
      <c r="I1727" s="10" cm="1">
        <f t="array" ref="I1727">IFERROR(INDEX(Precios!$D:$F,MATCH(N1727, Precios!$G:$G, 0),CHOOSE(MATCH(H1727, {"SML";"XL";"XXL"}, 0), 1, 2, 3)), 0)</f>
        <v>0</v>
      </c>
      <c r="K1727" s="10">
        <f t="shared" si="60"/>
        <v>0</v>
      </c>
      <c r="N1727" s="9" t="str">
        <f t="shared" si="61"/>
        <v/>
      </c>
      <c r="O1727" s="9" t="str">
        <f>IF(N1727="","",IF(COUNTIF(Precios!$G:$G,N1727)=0,"⚠ No coincide con Precios","OK"))</f>
        <v/>
      </c>
    </row>
    <row r="1728" spans="3:15" x14ac:dyDescent="0.2">
      <c r="C1728" s="9" cm="1">
        <f t="array" ref="C1728">IFERROR(_xlfn.XLOOKUP(B1728,Personal!$A:$A,Personal!$D:$D,""),"")</f>
        <v>0</v>
      </c>
      <c r="D1728" s="9" cm="1">
        <f t="array" ref="D1728">IFERROR(_xlfn.XLOOKUP(B1728,Personal!$A:$A,Personal!$C:$C,""),"")</f>
        <v>0</v>
      </c>
      <c r="E1728" s="9" t="str" cm="1">
        <f t="array" ref="E1728">IFERROR(_xlfn.XLOOKUP(D1728,Locales!$A:$A,Locales!$B:$B,""),"")</f>
        <v/>
      </c>
      <c r="F1728" s="9" cm="1">
        <f t="array" ref="F1728">IFERROR(_xlfn.XLOOKUP(B1728,Personal!$A:$A,Personal!$F:$F,""),"")</f>
        <v>0</v>
      </c>
      <c r="I1728" s="10" cm="1">
        <f t="array" ref="I1728">IFERROR(INDEX(Precios!$D:$F,MATCH(N1728, Precios!$G:$G, 0),CHOOSE(MATCH(H1728, {"SML";"XL";"XXL"}, 0), 1, 2, 3)), 0)</f>
        <v>0</v>
      </c>
      <c r="K1728" s="10">
        <f t="shared" ref="K1728:K1791" si="62">IFERROR(I1728*J1728,0)</f>
        <v>0</v>
      </c>
      <c r="N1728" s="9" t="str">
        <f t="shared" ref="N1728:N1791" si="63">IF( OR(E1728="",F1728="",G1728=""), "",CLEAN(TRIM(E1728)) &amp; "|" &amp; CLEAN(TRIM(F1728)) &amp; "|" &amp; CLEAN(TRIM(G1728)))</f>
        <v/>
      </c>
      <c r="O1728" s="9" t="str">
        <f>IF(N1728="","",IF(COUNTIF(Precios!$G:$G,N1728)=0,"⚠ No coincide con Precios","OK"))</f>
        <v/>
      </c>
    </row>
    <row r="1729" spans="3:15" x14ac:dyDescent="0.2">
      <c r="C1729" s="9" cm="1">
        <f t="array" ref="C1729">IFERROR(_xlfn.XLOOKUP(B1729,Personal!$A:$A,Personal!$D:$D,""),"")</f>
        <v>0</v>
      </c>
      <c r="D1729" s="9" cm="1">
        <f t="array" ref="D1729">IFERROR(_xlfn.XLOOKUP(B1729,Personal!$A:$A,Personal!$C:$C,""),"")</f>
        <v>0</v>
      </c>
      <c r="E1729" s="9" t="str" cm="1">
        <f t="array" ref="E1729">IFERROR(_xlfn.XLOOKUP(D1729,Locales!$A:$A,Locales!$B:$B,""),"")</f>
        <v/>
      </c>
      <c r="F1729" s="9" cm="1">
        <f t="array" ref="F1729">IFERROR(_xlfn.XLOOKUP(B1729,Personal!$A:$A,Personal!$F:$F,""),"")</f>
        <v>0</v>
      </c>
      <c r="I1729" s="10" cm="1">
        <f t="array" ref="I1729">IFERROR(INDEX(Precios!$D:$F,MATCH(N1729, Precios!$G:$G, 0),CHOOSE(MATCH(H1729, {"SML";"XL";"XXL"}, 0), 1, 2, 3)), 0)</f>
        <v>0</v>
      </c>
      <c r="K1729" s="10">
        <f t="shared" si="62"/>
        <v>0</v>
      </c>
      <c r="N1729" s="9" t="str">
        <f t="shared" si="63"/>
        <v/>
      </c>
      <c r="O1729" s="9" t="str">
        <f>IF(N1729="","",IF(COUNTIF(Precios!$G:$G,N1729)=0,"⚠ No coincide con Precios","OK"))</f>
        <v/>
      </c>
    </row>
    <row r="1730" spans="3:15" x14ac:dyDescent="0.2">
      <c r="C1730" s="9" cm="1">
        <f t="array" ref="C1730">IFERROR(_xlfn.XLOOKUP(B1730,Personal!$A:$A,Personal!$D:$D,""),"")</f>
        <v>0</v>
      </c>
      <c r="D1730" s="9" cm="1">
        <f t="array" ref="D1730">IFERROR(_xlfn.XLOOKUP(B1730,Personal!$A:$A,Personal!$C:$C,""),"")</f>
        <v>0</v>
      </c>
      <c r="E1730" s="9" t="str" cm="1">
        <f t="array" ref="E1730">IFERROR(_xlfn.XLOOKUP(D1730,Locales!$A:$A,Locales!$B:$B,""),"")</f>
        <v/>
      </c>
      <c r="F1730" s="9" cm="1">
        <f t="array" ref="F1730">IFERROR(_xlfn.XLOOKUP(B1730,Personal!$A:$A,Personal!$F:$F,""),"")</f>
        <v>0</v>
      </c>
      <c r="I1730" s="10" cm="1">
        <f t="array" ref="I1730">IFERROR(INDEX(Precios!$D:$F,MATCH(N1730, Precios!$G:$G, 0),CHOOSE(MATCH(H1730, {"SML";"XL";"XXL"}, 0), 1, 2, 3)), 0)</f>
        <v>0</v>
      </c>
      <c r="K1730" s="10">
        <f t="shared" si="62"/>
        <v>0</v>
      </c>
      <c r="N1730" s="9" t="str">
        <f t="shared" si="63"/>
        <v/>
      </c>
      <c r="O1730" s="9" t="str">
        <f>IF(N1730="","",IF(COUNTIF(Precios!$G:$G,N1730)=0,"⚠ No coincide con Precios","OK"))</f>
        <v/>
      </c>
    </row>
    <row r="1731" spans="3:15" x14ac:dyDescent="0.2">
      <c r="C1731" s="9" cm="1">
        <f t="array" ref="C1731">IFERROR(_xlfn.XLOOKUP(B1731,Personal!$A:$A,Personal!$D:$D,""),"")</f>
        <v>0</v>
      </c>
      <c r="D1731" s="9" cm="1">
        <f t="array" ref="D1731">IFERROR(_xlfn.XLOOKUP(B1731,Personal!$A:$A,Personal!$C:$C,""),"")</f>
        <v>0</v>
      </c>
      <c r="E1731" s="9" t="str" cm="1">
        <f t="array" ref="E1731">IFERROR(_xlfn.XLOOKUP(D1731,Locales!$A:$A,Locales!$B:$B,""),"")</f>
        <v/>
      </c>
      <c r="F1731" s="9" cm="1">
        <f t="array" ref="F1731">IFERROR(_xlfn.XLOOKUP(B1731,Personal!$A:$A,Personal!$F:$F,""),"")</f>
        <v>0</v>
      </c>
      <c r="I1731" s="10" cm="1">
        <f t="array" ref="I1731">IFERROR(INDEX(Precios!$D:$F,MATCH(N1731, Precios!$G:$G, 0),CHOOSE(MATCH(H1731, {"SML";"XL";"XXL"}, 0), 1, 2, 3)), 0)</f>
        <v>0</v>
      </c>
      <c r="K1731" s="10">
        <f t="shared" si="62"/>
        <v>0</v>
      </c>
      <c r="N1731" s="9" t="str">
        <f t="shared" si="63"/>
        <v/>
      </c>
      <c r="O1731" s="9" t="str">
        <f>IF(N1731="","",IF(COUNTIF(Precios!$G:$G,N1731)=0,"⚠ No coincide con Precios","OK"))</f>
        <v/>
      </c>
    </row>
    <row r="1732" spans="3:15" x14ac:dyDescent="0.2">
      <c r="C1732" s="9" cm="1">
        <f t="array" ref="C1732">IFERROR(_xlfn.XLOOKUP(B1732,Personal!$A:$A,Personal!$D:$D,""),"")</f>
        <v>0</v>
      </c>
      <c r="D1732" s="9" cm="1">
        <f t="array" ref="D1732">IFERROR(_xlfn.XLOOKUP(B1732,Personal!$A:$A,Personal!$C:$C,""),"")</f>
        <v>0</v>
      </c>
      <c r="E1732" s="9" t="str" cm="1">
        <f t="array" ref="E1732">IFERROR(_xlfn.XLOOKUP(D1732,Locales!$A:$A,Locales!$B:$B,""),"")</f>
        <v/>
      </c>
      <c r="F1732" s="9" cm="1">
        <f t="array" ref="F1732">IFERROR(_xlfn.XLOOKUP(B1732,Personal!$A:$A,Personal!$F:$F,""),"")</f>
        <v>0</v>
      </c>
      <c r="I1732" s="10" cm="1">
        <f t="array" ref="I1732">IFERROR(INDEX(Precios!$D:$F,MATCH(N1732, Precios!$G:$G, 0),CHOOSE(MATCH(H1732, {"SML";"XL";"XXL"}, 0), 1, 2, 3)), 0)</f>
        <v>0</v>
      </c>
      <c r="K1732" s="10">
        <f t="shared" si="62"/>
        <v>0</v>
      </c>
      <c r="N1732" s="9" t="str">
        <f t="shared" si="63"/>
        <v/>
      </c>
      <c r="O1732" s="9" t="str">
        <f>IF(N1732="","",IF(COUNTIF(Precios!$G:$G,N1732)=0,"⚠ No coincide con Precios","OK"))</f>
        <v/>
      </c>
    </row>
    <row r="1733" spans="3:15" x14ac:dyDescent="0.2">
      <c r="C1733" s="9" cm="1">
        <f t="array" ref="C1733">IFERROR(_xlfn.XLOOKUP(B1733,Personal!$A:$A,Personal!$D:$D,""),"")</f>
        <v>0</v>
      </c>
      <c r="D1733" s="9" cm="1">
        <f t="array" ref="D1733">IFERROR(_xlfn.XLOOKUP(B1733,Personal!$A:$A,Personal!$C:$C,""),"")</f>
        <v>0</v>
      </c>
      <c r="E1733" s="9" t="str" cm="1">
        <f t="array" ref="E1733">IFERROR(_xlfn.XLOOKUP(D1733,Locales!$A:$A,Locales!$B:$B,""),"")</f>
        <v/>
      </c>
      <c r="F1733" s="9" cm="1">
        <f t="array" ref="F1733">IFERROR(_xlfn.XLOOKUP(B1733,Personal!$A:$A,Personal!$F:$F,""),"")</f>
        <v>0</v>
      </c>
      <c r="I1733" s="10" cm="1">
        <f t="array" ref="I1733">IFERROR(INDEX(Precios!$D:$F,MATCH(N1733, Precios!$G:$G, 0),CHOOSE(MATCH(H1733, {"SML";"XL";"XXL"}, 0), 1, 2, 3)), 0)</f>
        <v>0</v>
      </c>
      <c r="K1733" s="10">
        <f t="shared" si="62"/>
        <v>0</v>
      </c>
      <c r="N1733" s="9" t="str">
        <f t="shared" si="63"/>
        <v/>
      </c>
      <c r="O1733" s="9" t="str">
        <f>IF(N1733="","",IF(COUNTIF(Precios!$G:$G,N1733)=0,"⚠ No coincide con Precios","OK"))</f>
        <v/>
      </c>
    </row>
    <row r="1734" spans="3:15" x14ac:dyDescent="0.2">
      <c r="C1734" s="9" cm="1">
        <f t="array" ref="C1734">IFERROR(_xlfn.XLOOKUP(B1734,Personal!$A:$A,Personal!$D:$D,""),"")</f>
        <v>0</v>
      </c>
      <c r="D1734" s="9" cm="1">
        <f t="array" ref="D1734">IFERROR(_xlfn.XLOOKUP(B1734,Personal!$A:$A,Personal!$C:$C,""),"")</f>
        <v>0</v>
      </c>
      <c r="E1734" s="9" t="str" cm="1">
        <f t="array" ref="E1734">IFERROR(_xlfn.XLOOKUP(D1734,Locales!$A:$A,Locales!$B:$B,""),"")</f>
        <v/>
      </c>
      <c r="F1734" s="9" cm="1">
        <f t="array" ref="F1734">IFERROR(_xlfn.XLOOKUP(B1734,Personal!$A:$A,Personal!$F:$F,""),"")</f>
        <v>0</v>
      </c>
      <c r="I1734" s="10" cm="1">
        <f t="array" ref="I1734">IFERROR(INDEX(Precios!$D:$F,MATCH(N1734, Precios!$G:$G, 0),CHOOSE(MATCH(H1734, {"SML";"XL";"XXL"}, 0), 1, 2, 3)), 0)</f>
        <v>0</v>
      </c>
      <c r="K1734" s="10">
        <f t="shared" si="62"/>
        <v>0</v>
      </c>
      <c r="N1734" s="9" t="str">
        <f t="shared" si="63"/>
        <v/>
      </c>
      <c r="O1734" s="9" t="str">
        <f>IF(N1734="","",IF(COUNTIF(Precios!$G:$G,N1734)=0,"⚠ No coincide con Precios","OK"))</f>
        <v/>
      </c>
    </row>
    <row r="1735" spans="3:15" x14ac:dyDescent="0.2">
      <c r="C1735" s="9" cm="1">
        <f t="array" ref="C1735">IFERROR(_xlfn.XLOOKUP(B1735,Personal!$A:$A,Personal!$D:$D,""),"")</f>
        <v>0</v>
      </c>
      <c r="D1735" s="9" cm="1">
        <f t="array" ref="D1735">IFERROR(_xlfn.XLOOKUP(B1735,Personal!$A:$A,Personal!$C:$C,""),"")</f>
        <v>0</v>
      </c>
      <c r="E1735" s="9" t="str" cm="1">
        <f t="array" ref="E1735">IFERROR(_xlfn.XLOOKUP(D1735,Locales!$A:$A,Locales!$B:$B,""),"")</f>
        <v/>
      </c>
      <c r="F1735" s="9" cm="1">
        <f t="array" ref="F1735">IFERROR(_xlfn.XLOOKUP(B1735,Personal!$A:$A,Personal!$F:$F,""),"")</f>
        <v>0</v>
      </c>
      <c r="I1735" s="10" cm="1">
        <f t="array" ref="I1735">IFERROR(INDEX(Precios!$D:$F,MATCH(N1735, Precios!$G:$G, 0),CHOOSE(MATCH(H1735, {"SML";"XL";"XXL"}, 0), 1, 2, 3)), 0)</f>
        <v>0</v>
      </c>
      <c r="K1735" s="10">
        <f t="shared" si="62"/>
        <v>0</v>
      </c>
      <c r="N1735" s="9" t="str">
        <f t="shared" si="63"/>
        <v/>
      </c>
      <c r="O1735" s="9" t="str">
        <f>IF(N1735="","",IF(COUNTIF(Precios!$G:$G,N1735)=0,"⚠ No coincide con Precios","OK"))</f>
        <v/>
      </c>
    </row>
    <row r="1736" spans="3:15" x14ac:dyDescent="0.2">
      <c r="C1736" s="9" cm="1">
        <f t="array" ref="C1736">IFERROR(_xlfn.XLOOKUP(B1736,Personal!$A:$A,Personal!$D:$D,""),"")</f>
        <v>0</v>
      </c>
      <c r="D1736" s="9" cm="1">
        <f t="array" ref="D1736">IFERROR(_xlfn.XLOOKUP(B1736,Personal!$A:$A,Personal!$C:$C,""),"")</f>
        <v>0</v>
      </c>
      <c r="E1736" s="9" t="str" cm="1">
        <f t="array" ref="E1736">IFERROR(_xlfn.XLOOKUP(D1736,Locales!$A:$A,Locales!$B:$B,""),"")</f>
        <v/>
      </c>
      <c r="F1736" s="9" cm="1">
        <f t="array" ref="F1736">IFERROR(_xlfn.XLOOKUP(B1736,Personal!$A:$A,Personal!$F:$F,""),"")</f>
        <v>0</v>
      </c>
      <c r="I1736" s="10" cm="1">
        <f t="array" ref="I1736">IFERROR(INDEX(Precios!$D:$F,MATCH(N1736, Precios!$G:$G, 0),CHOOSE(MATCH(H1736, {"SML";"XL";"XXL"}, 0), 1, 2, 3)), 0)</f>
        <v>0</v>
      </c>
      <c r="K1736" s="10">
        <f t="shared" si="62"/>
        <v>0</v>
      </c>
      <c r="N1736" s="9" t="str">
        <f t="shared" si="63"/>
        <v/>
      </c>
      <c r="O1736" s="9" t="str">
        <f>IF(N1736="","",IF(COUNTIF(Precios!$G:$G,N1736)=0,"⚠ No coincide con Precios","OK"))</f>
        <v/>
      </c>
    </row>
    <row r="1737" spans="3:15" x14ac:dyDescent="0.2">
      <c r="C1737" s="9" cm="1">
        <f t="array" ref="C1737">IFERROR(_xlfn.XLOOKUP(B1737,Personal!$A:$A,Personal!$D:$D,""),"")</f>
        <v>0</v>
      </c>
      <c r="D1737" s="9" cm="1">
        <f t="array" ref="D1737">IFERROR(_xlfn.XLOOKUP(B1737,Personal!$A:$A,Personal!$C:$C,""),"")</f>
        <v>0</v>
      </c>
      <c r="E1737" s="9" t="str" cm="1">
        <f t="array" ref="E1737">IFERROR(_xlfn.XLOOKUP(D1737,Locales!$A:$A,Locales!$B:$B,""),"")</f>
        <v/>
      </c>
      <c r="F1737" s="9" cm="1">
        <f t="array" ref="F1737">IFERROR(_xlfn.XLOOKUP(B1737,Personal!$A:$A,Personal!$F:$F,""),"")</f>
        <v>0</v>
      </c>
      <c r="I1737" s="10" cm="1">
        <f t="array" ref="I1737">IFERROR(INDEX(Precios!$D:$F,MATCH(N1737, Precios!$G:$G, 0),CHOOSE(MATCH(H1737, {"SML";"XL";"XXL"}, 0), 1, 2, 3)), 0)</f>
        <v>0</v>
      </c>
      <c r="K1737" s="10">
        <f t="shared" si="62"/>
        <v>0</v>
      </c>
      <c r="N1737" s="9" t="str">
        <f t="shared" si="63"/>
        <v/>
      </c>
      <c r="O1737" s="9" t="str">
        <f>IF(N1737="","",IF(COUNTIF(Precios!$G:$G,N1737)=0,"⚠ No coincide con Precios","OK"))</f>
        <v/>
      </c>
    </row>
    <row r="1738" spans="3:15" x14ac:dyDescent="0.2">
      <c r="C1738" s="9" cm="1">
        <f t="array" ref="C1738">IFERROR(_xlfn.XLOOKUP(B1738,Personal!$A:$A,Personal!$D:$D,""),"")</f>
        <v>0</v>
      </c>
      <c r="D1738" s="9" cm="1">
        <f t="array" ref="D1738">IFERROR(_xlfn.XLOOKUP(B1738,Personal!$A:$A,Personal!$C:$C,""),"")</f>
        <v>0</v>
      </c>
      <c r="E1738" s="9" t="str" cm="1">
        <f t="array" ref="E1738">IFERROR(_xlfn.XLOOKUP(D1738,Locales!$A:$A,Locales!$B:$B,""),"")</f>
        <v/>
      </c>
      <c r="F1738" s="9" cm="1">
        <f t="array" ref="F1738">IFERROR(_xlfn.XLOOKUP(B1738,Personal!$A:$A,Personal!$F:$F,""),"")</f>
        <v>0</v>
      </c>
      <c r="I1738" s="10" cm="1">
        <f t="array" ref="I1738">IFERROR(INDEX(Precios!$D:$F,MATCH(N1738, Precios!$G:$G, 0),CHOOSE(MATCH(H1738, {"SML";"XL";"XXL"}, 0), 1, 2, 3)), 0)</f>
        <v>0</v>
      </c>
      <c r="K1738" s="10">
        <f t="shared" si="62"/>
        <v>0</v>
      </c>
      <c r="N1738" s="9" t="str">
        <f t="shared" si="63"/>
        <v/>
      </c>
      <c r="O1738" s="9" t="str">
        <f>IF(N1738="","",IF(COUNTIF(Precios!$G:$G,N1738)=0,"⚠ No coincide con Precios","OK"))</f>
        <v/>
      </c>
    </row>
    <row r="1739" spans="3:15" x14ac:dyDescent="0.2">
      <c r="C1739" s="9" cm="1">
        <f t="array" ref="C1739">IFERROR(_xlfn.XLOOKUP(B1739,Personal!$A:$A,Personal!$D:$D,""),"")</f>
        <v>0</v>
      </c>
      <c r="D1739" s="9" cm="1">
        <f t="array" ref="D1739">IFERROR(_xlfn.XLOOKUP(B1739,Personal!$A:$A,Personal!$C:$C,""),"")</f>
        <v>0</v>
      </c>
      <c r="E1739" s="9" t="str" cm="1">
        <f t="array" ref="E1739">IFERROR(_xlfn.XLOOKUP(D1739,Locales!$A:$A,Locales!$B:$B,""),"")</f>
        <v/>
      </c>
      <c r="F1739" s="9" cm="1">
        <f t="array" ref="F1739">IFERROR(_xlfn.XLOOKUP(B1739,Personal!$A:$A,Personal!$F:$F,""),"")</f>
        <v>0</v>
      </c>
      <c r="I1739" s="10" cm="1">
        <f t="array" ref="I1739">IFERROR(INDEX(Precios!$D:$F,MATCH(N1739, Precios!$G:$G, 0),CHOOSE(MATCH(H1739, {"SML";"XL";"XXL"}, 0), 1, 2, 3)), 0)</f>
        <v>0</v>
      </c>
      <c r="K1739" s="10">
        <f t="shared" si="62"/>
        <v>0</v>
      </c>
      <c r="N1739" s="9" t="str">
        <f t="shared" si="63"/>
        <v/>
      </c>
      <c r="O1739" s="9" t="str">
        <f>IF(N1739="","",IF(COUNTIF(Precios!$G:$G,N1739)=0,"⚠ No coincide con Precios","OK"))</f>
        <v/>
      </c>
    </row>
    <row r="1740" spans="3:15" x14ac:dyDescent="0.2">
      <c r="C1740" s="9" cm="1">
        <f t="array" ref="C1740">IFERROR(_xlfn.XLOOKUP(B1740,Personal!$A:$A,Personal!$D:$D,""),"")</f>
        <v>0</v>
      </c>
      <c r="D1740" s="9" cm="1">
        <f t="array" ref="D1740">IFERROR(_xlfn.XLOOKUP(B1740,Personal!$A:$A,Personal!$C:$C,""),"")</f>
        <v>0</v>
      </c>
      <c r="E1740" s="9" t="str" cm="1">
        <f t="array" ref="E1740">IFERROR(_xlfn.XLOOKUP(D1740,Locales!$A:$A,Locales!$B:$B,""),"")</f>
        <v/>
      </c>
      <c r="F1740" s="9" cm="1">
        <f t="array" ref="F1740">IFERROR(_xlfn.XLOOKUP(B1740,Personal!$A:$A,Personal!$F:$F,""),"")</f>
        <v>0</v>
      </c>
      <c r="I1740" s="10" cm="1">
        <f t="array" ref="I1740">IFERROR(INDEX(Precios!$D:$F,MATCH(N1740, Precios!$G:$G, 0),CHOOSE(MATCH(H1740, {"SML";"XL";"XXL"}, 0), 1, 2, 3)), 0)</f>
        <v>0</v>
      </c>
      <c r="K1740" s="10">
        <f t="shared" si="62"/>
        <v>0</v>
      </c>
      <c r="N1740" s="9" t="str">
        <f t="shared" si="63"/>
        <v/>
      </c>
      <c r="O1740" s="9" t="str">
        <f>IF(N1740="","",IF(COUNTIF(Precios!$G:$G,N1740)=0,"⚠ No coincide con Precios","OK"))</f>
        <v/>
      </c>
    </row>
    <row r="1741" spans="3:15" x14ac:dyDescent="0.2">
      <c r="C1741" s="9" cm="1">
        <f t="array" ref="C1741">IFERROR(_xlfn.XLOOKUP(B1741,Personal!$A:$A,Personal!$D:$D,""),"")</f>
        <v>0</v>
      </c>
      <c r="D1741" s="9" cm="1">
        <f t="array" ref="D1741">IFERROR(_xlfn.XLOOKUP(B1741,Personal!$A:$A,Personal!$C:$C,""),"")</f>
        <v>0</v>
      </c>
      <c r="E1741" s="9" t="str" cm="1">
        <f t="array" ref="E1741">IFERROR(_xlfn.XLOOKUP(D1741,Locales!$A:$A,Locales!$B:$B,""),"")</f>
        <v/>
      </c>
      <c r="F1741" s="9" cm="1">
        <f t="array" ref="F1741">IFERROR(_xlfn.XLOOKUP(B1741,Personal!$A:$A,Personal!$F:$F,""),"")</f>
        <v>0</v>
      </c>
      <c r="I1741" s="10" cm="1">
        <f t="array" ref="I1741">IFERROR(INDEX(Precios!$D:$F,MATCH(N1741, Precios!$G:$G, 0),CHOOSE(MATCH(H1741, {"SML";"XL";"XXL"}, 0), 1, 2, 3)), 0)</f>
        <v>0</v>
      </c>
      <c r="K1741" s="10">
        <f t="shared" si="62"/>
        <v>0</v>
      </c>
      <c r="N1741" s="9" t="str">
        <f t="shared" si="63"/>
        <v/>
      </c>
      <c r="O1741" s="9" t="str">
        <f>IF(N1741="","",IF(COUNTIF(Precios!$G:$G,N1741)=0,"⚠ No coincide con Precios","OK"))</f>
        <v/>
      </c>
    </row>
    <row r="1742" spans="3:15" x14ac:dyDescent="0.2">
      <c r="C1742" s="9" cm="1">
        <f t="array" ref="C1742">IFERROR(_xlfn.XLOOKUP(B1742,Personal!$A:$A,Personal!$D:$D,""),"")</f>
        <v>0</v>
      </c>
      <c r="D1742" s="9" cm="1">
        <f t="array" ref="D1742">IFERROR(_xlfn.XLOOKUP(B1742,Personal!$A:$A,Personal!$C:$C,""),"")</f>
        <v>0</v>
      </c>
      <c r="E1742" s="9" t="str" cm="1">
        <f t="array" ref="E1742">IFERROR(_xlfn.XLOOKUP(D1742,Locales!$A:$A,Locales!$B:$B,""),"")</f>
        <v/>
      </c>
      <c r="F1742" s="9" cm="1">
        <f t="array" ref="F1742">IFERROR(_xlfn.XLOOKUP(B1742,Personal!$A:$A,Personal!$F:$F,""),"")</f>
        <v>0</v>
      </c>
      <c r="I1742" s="10" cm="1">
        <f t="array" ref="I1742">IFERROR(INDEX(Precios!$D:$F,MATCH(N1742, Precios!$G:$G, 0),CHOOSE(MATCH(H1742, {"SML";"XL";"XXL"}, 0), 1, 2, 3)), 0)</f>
        <v>0</v>
      </c>
      <c r="K1742" s="10">
        <f t="shared" si="62"/>
        <v>0</v>
      </c>
      <c r="N1742" s="9" t="str">
        <f t="shared" si="63"/>
        <v/>
      </c>
      <c r="O1742" s="9" t="str">
        <f>IF(N1742="","",IF(COUNTIF(Precios!$G:$G,N1742)=0,"⚠ No coincide con Precios","OK"))</f>
        <v/>
      </c>
    </row>
    <row r="1743" spans="3:15" x14ac:dyDescent="0.2">
      <c r="C1743" s="9" cm="1">
        <f t="array" ref="C1743">IFERROR(_xlfn.XLOOKUP(B1743,Personal!$A:$A,Personal!$D:$D,""),"")</f>
        <v>0</v>
      </c>
      <c r="D1743" s="9" cm="1">
        <f t="array" ref="D1743">IFERROR(_xlfn.XLOOKUP(B1743,Personal!$A:$A,Personal!$C:$C,""),"")</f>
        <v>0</v>
      </c>
      <c r="E1743" s="9" t="str" cm="1">
        <f t="array" ref="E1743">IFERROR(_xlfn.XLOOKUP(D1743,Locales!$A:$A,Locales!$B:$B,""),"")</f>
        <v/>
      </c>
      <c r="F1743" s="9" cm="1">
        <f t="array" ref="F1743">IFERROR(_xlfn.XLOOKUP(B1743,Personal!$A:$A,Personal!$F:$F,""),"")</f>
        <v>0</v>
      </c>
      <c r="I1743" s="10" cm="1">
        <f t="array" ref="I1743">IFERROR(INDEX(Precios!$D:$F,MATCH(N1743, Precios!$G:$G, 0),CHOOSE(MATCH(H1743, {"SML";"XL";"XXL"}, 0), 1, 2, 3)), 0)</f>
        <v>0</v>
      </c>
      <c r="K1743" s="10">
        <f t="shared" si="62"/>
        <v>0</v>
      </c>
      <c r="N1743" s="9" t="str">
        <f t="shared" si="63"/>
        <v/>
      </c>
      <c r="O1743" s="9" t="str">
        <f>IF(N1743="","",IF(COUNTIF(Precios!$G:$G,N1743)=0,"⚠ No coincide con Precios","OK"))</f>
        <v/>
      </c>
    </row>
    <row r="1744" spans="3:15" x14ac:dyDescent="0.2">
      <c r="C1744" s="9" cm="1">
        <f t="array" ref="C1744">IFERROR(_xlfn.XLOOKUP(B1744,Personal!$A:$A,Personal!$D:$D,""),"")</f>
        <v>0</v>
      </c>
      <c r="D1744" s="9" cm="1">
        <f t="array" ref="D1744">IFERROR(_xlfn.XLOOKUP(B1744,Personal!$A:$A,Personal!$C:$C,""),"")</f>
        <v>0</v>
      </c>
      <c r="E1744" s="9" t="str" cm="1">
        <f t="array" ref="E1744">IFERROR(_xlfn.XLOOKUP(D1744,Locales!$A:$A,Locales!$B:$B,""),"")</f>
        <v/>
      </c>
      <c r="F1744" s="9" cm="1">
        <f t="array" ref="F1744">IFERROR(_xlfn.XLOOKUP(B1744,Personal!$A:$A,Personal!$F:$F,""),"")</f>
        <v>0</v>
      </c>
      <c r="I1744" s="10" cm="1">
        <f t="array" ref="I1744">IFERROR(INDEX(Precios!$D:$F,MATCH(N1744, Precios!$G:$G, 0),CHOOSE(MATCH(H1744, {"SML";"XL";"XXL"}, 0), 1, 2, 3)), 0)</f>
        <v>0</v>
      </c>
      <c r="K1744" s="10">
        <f t="shared" si="62"/>
        <v>0</v>
      </c>
      <c r="N1744" s="9" t="str">
        <f t="shared" si="63"/>
        <v/>
      </c>
      <c r="O1744" s="9" t="str">
        <f>IF(N1744="","",IF(COUNTIF(Precios!$G:$G,N1744)=0,"⚠ No coincide con Precios","OK"))</f>
        <v/>
      </c>
    </row>
    <row r="1745" spans="3:15" x14ac:dyDescent="0.2">
      <c r="C1745" s="9" cm="1">
        <f t="array" ref="C1745">IFERROR(_xlfn.XLOOKUP(B1745,Personal!$A:$A,Personal!$D:$D,""),"")</f>
        <v>0</v>
      </c>
      <c r="D1745" s="9" cm="1">
        <f t="array" ref="D1745">IFERROR(_xlfn.XLOOKUP(B1745,Personal!$A:$A,Personal!$C:$C,""),"")</f>
        <v>0</v>
      </c>
      <c r="E1745" s="9" t="str" cm="1">
        <f t="array" ref="E1745">IFERROR(_xlfn.XLOOKUP(D1745,Locales!$A:$A,Locales!$B:$B,""),"")</f>
        <v/>
      </c>
      <c r="F1745" s="9" cm="1">
        <f t="array" ref="F1745">IFERROR(_xlfn.XLOOKUP(B1745,Personal!$A:$A,Personal!$F:$F,""),"")</f>
        <v>0</v>
      </c>
      <c r="I1745" s="10" cm="1">
        <f t="array" ref="I1745">IFERROR(INDEX(Precios!$D:$F,MATCH(N1745, Precios!$G:$G, 0),CHOOSE(MATCH(H1745, {"SML";"XL";"XXL"}, 0), 1, 2, 3)), 0)</f>
        <v>0</v>
      </c>
      <c r="K1745" s="10">
        <f t="shared" si="62"/>
        <v>0</v>
      </c>
      <c r="N1745" s="9" t="str">
        <f t="shared" si="63"/>
        <v/>
      </c>
      <c r="O1745" s="9" t="str">
        <f>IF(N1745="","",IF(COUNTIF(Precios!$G:$G,N1745)=0,"⚠ No coincide con Precios","OK"))</f>
        <v/>
      </c>
    </row>
    <row r="1746" spans="3:15" x14ac:dyDescent="0.2">
      <c r="C1746" s="9" cm="1">
        <f t="array" ref="C1746">IFERROR(_xlfn.XLOOKUP(B1746,Personal!$A:$A,Personal!$D:$D,""),"")</f>
        <v>0</v>
      </c>
      <c r="D1746" s="9" cm="1">
        <f t="array" ref="D1746">IFERROR(_xlfn.XLOOKUP(B1746,Personal!$A:$A,Personal!$C:$C,""),"")</f>
        <v>0</v>
      </c>
      <c r="E1746" s="9" t="str" cm="1">
        <f t="array" ref="E1746">IFERROR(_xlfn.XLOOKUP(D1746,Locales!$A:$A,Locales!$B:$B,""),"")</f>
        <v/>
      </c>
      <c r="F1746" s="9" cm="1">
        <f t="array" ref="F1746">IFERROR(_xlfn.XLOOKUP(B1746,Personal!$A:$A,Personal!$F:$F,""),"")</f>
        <v>0</v>
      </c>
      <c r="I1746" s="10" cm="1">
        <f t="array" ref="I1746">IFERROR(INDEX(Precios!$D:$F,MATCH(N1746, Precios!$G:$G, 0),CHOOSE(MATCH(H1746, {"SML";"XL";"XXL"}, 0), 1, 2, 3)), 0)</f>
        <v>0</v>
      </c>
      <c r="K1746" s="10">
        <f t="shared" si="62"/>
        <v>0</v>
      </c>
      <c r="N1746" s="9" t="str">
        <f t="shared" si="63"/>
        <v/>
      </c>
      <c r="O1746" s="9" t="str">
        <f>IF(N1746="","",IF(COUNTIF(Precios!$G:$G,N1746)=0,"⚠ No coincide con Precios","OK"))</f>
        <v/>
      </c>
    </row>
    <row r="1747" spans="3:15" x14ac:dyDescent="0.2">
      <c r="C1747" s="9" cm="1">
        <f t="array" ref="C1747">IFERROR(_xlfn.XLOOKUP(B1747,Personal!$A:$A,Personal!$D:$D,""),"")</f>
        <v>0</v>
      </c>
      <c r="D1747" s="9" cm="1">
        <f t="array" ref="D1747">IFERROR(_xlfn.XLOOKUP(B1747,Personal!$A:$A,Personal!$C:$C,""),"")</f>
        <v>0</v>
      </c>
      <c r="E1747" s="9" t="str" cm="1">
        <f t="array" ref="E1747">IFERROR(_xlfn.XLOOKUP(D1747,Locales!$A:$A,Locales!$B:$B,""),"")</f>
        <v/>
      </c>
      <c r="F1747" s="9" cm="1">
        <f t="array" ref="F1747">IFERROR(_xlfn.XLOOKUP(B1747,Personal!$A:$A,Personal!$F:$F,""),"")</f>
        <v>0</v>
      </c>
      <c r="I1747" s="10" cm="1">
        <f t="array" ref="I1747">IFERROR(INDEX(Precios!$D:$F,MATCH(N1747, Precios!$G:$G, 0),CHOOSE(MATCH(H1747, {"SML";"XL";"XXL"}, 0), 1, 2, 3)), 0)</f>
        <v>0</v>
      </c>
      <c r="K1747" s="10">
        <f t="shared" si="62"/>
        <v>0</v>
      </c>
      <c r="N1747" s="9" t="str">
        <f t="shared" si="63"/>
        <v/>
      </c>
      <c r="O1747" s="9" t="str">
        <f>IF(N1747="","",IF(COUNTIF(Precios!$G:$G,N1747)=0,"⚠ No coincide con Precios","OK"))</f>
        <v/>
      </c>
    </row>
    <row r="1748" spans="3:15" x14ac:dyDescent="0.2">
      <c r="C1748" s="9" cm="1">
        <f t="array" ref="C1748">IFERROR(_xlfn.XLOOKUP(B1748,Personal!$A:$A,Personal!$D:$D,""),"")</f>
        <v>0</v>
      </c>
      <c r="D1748" s="9" cm="1">
        <f t="array" ref="D1748">IFERROR(_xlfn.XLOOKUP(B1748,Personal!$A:$A,Personal!$C:$C,""),"")</f>
        <v>0</v>
      </c>
      <c r="E1748" s="9" t="str" cm="1">
        <f t="array" ref="E1748">IFERROR(_xlfn.XLOOKUP(D1748,Locales!$A:$A,Locales!$B:$B,""),"")</f>
        <v/>
      </c>
      <c r="F1748" s="9" cm="1">
        <f t="array" ref="F1748">IFERROR(_xlfn.XLOOKUP(B1748,Personal!$A:$A,Personal!$F:$F,""),"")</f>
        <v>0</v>
      </c>
      <c r="I1748" s="10" cm="1">
        <f t="array" ref="I1748">IFERROR(INDEX(Precios!$D:$F,MATCH(N1748, Precios!$G:$G, 0),CHOOSE(MATCH(H1748, {"SML";"XL";"XXL"}, 0), 1, 2, 3)), 0)</f>
        <v>0</v>
      </c>
      <c r="K1748" s="10">
        <f t="shared" si="62"/>
        <v>0</v>
      </c>
      <c r="N1748" s="9" t="str">
        <f t="shared" si="63"/>
        <v/>
      </c>
      <c r="O1748" s="9" t="str">
        <f>IF(N1748="","",IF(COUNTIF(Precios!$G:$G,N1748)=0,"⚠ No coincide con Precios","OK"))</f>
        <v/>
      </c>
    </row>
    <row r="1749" spans="3:15" x14ac:dyDescent="0.2">
      <c r="C1749" s="9" cm="1">
        <f t="array" ref="C1749">IFERROR(_xlfn.XLOOKUP(B1749,Personal!$A:$A,Personal!$D:$D,""),"")</f>
        <v>0</v>
      </c>
      <c r="D1749" s="9" cm="1">
        <f t="array" ref="D1749">IFERROR(_xlfn.XLOOKUP(B1749,Personal!$A:$A,Personal!$C:$C,""),"")</f>
        <v>0</v>
      </c>
      <c r="E1749" s="9" t="str" cm="1">
        <f t="array" ref="E1749">IFERROR(_xlfn.XLOOKUP(D1749,Locales!$A:$A,Locales!$B:$B,""),"")</f>
        <v/>
      </c>
      <c r="F1749" s="9" cm="1">
        <f t="array" ref="F1749">IFERROR(_xlfn.XLOOKUP(B1749,Personal!$A:$A,Personal!$F:$F,""),"")</f>
        <v>0</v>
      </c>
      <c r="I1749" s="10" cm="1">
        <f t="array" ref="I1749">IFERROR(INDEX(Precios!$D:$F,MATCH(N1749, Precios!$G:$G, 0),CHOOSE(MATCH(H1749, {"SML";"XL";"XXL"}, 0), 1, 2, 3)), 0)</f>
        <v>0</v>
      </c>
      <c r="K1749" s="10">
        <f t="shared" si="62"/>
        <v>0</v>
      </c>
      <c r="N1749" s="9" t="str">
        <f t="shared" si="63"/>
        <v/>
      </c>
      <c r="O1749" s="9" t="str">
        <f>IF(N1749="","",IF(COUNTIF(Precios!$G:$G,N1749)=0,"⚠ No coincide con Precios","OK"))</f>
        <v/>
      </c>
    </row>
    <row r="1750" spans="3:15" x14ac:dyDescent="0.2">
      <c r="C1750" s="9" cm="1">
        <f t="array" ref="C1750">IFERROR(_xlfn.XLOOKUP(B1750,Personal!$A:$A,Personal!$D:$D,""),"")</f>
        <v>0</v>
      </c>
      <c r="D1750" s="9" cm="1">
        <f t="array" ref="D1750">IFERROR(_xlfn.XLOOKUP(B1750,Personal!$A:$A,Personal!$C:$C,""),"")</f>
        <v>0</v>
      </c>
      <c r="E1750" s="9" t="str" cm="1">
        <f t="array" ref="E1750">IFERROR(_xlfn.XLOOKUP(D1750,Locales!$A:$A,Locales!$B:$B,""),"")</f>
        <v/>
      </c>
      <c r="F1750" s="9" cm="1">
        <f t="array" ref="F1750">IFERROR(_xlfn.XLOOKUP(B1750,Personal!$A:$A,Personal!$F:$F,""),"")</f>
        <v>0</v>
      </c>
      <c r="I1750" s="10" cm="1">
        <f t="array" ref="I1750">IFERROR(INDEX(Precios!$D:$F,MATCH(N1750, Precios!$G:$G, 0),CHOOSE(MATCH(H1750, {"SML";"XL";"XXL"}, 0), 1, 2, 3)), 0)</f>
        <v>0</v>
      </c>
      <c r="K1750" s="10">
        <f t="shared" si="62"/>
        <v>0</v>
      </c>
      <c r="N1750" s="9" t="str">
        <f t="shared" si="63"/>
        <v/>
      </c>
      <c r="O1750" s="9" t="str">
        <f>IF(N1750="","",IF(COUNTIF(Precios!$G:$G,N1750)=0,"⚠ No coincide con Precios","OK"))</f>
        <v/>
      </c>
    </row>
    <row r="1751" spans="3:15" x14ac:dyDescent="0.2">
      <c r="C1751" s="9" cm="1">
        <f t="array" ref="C1751">IFERROR(_xlfn.XLOOKUP(B1751,Personal!$A:$A,Personal!$D:$D,""),"")</f>
        <v>0</v>
      </c>
      <c r="D1751" s="9" cm="1">
        <f t="array" ref="D1751">IFERROR(_xlfn.XLOOKUP(B1751,Personal!$A:$A,Personal!$C:$C,""),"")</f>
        <v>0</v>
      </c>
      <c r="E1751" s="9" t="str" cm="1">
        <f t="array" ref="E1751">IFERROR(_xlfn.XLOOKUP(D1751,Locales!$A:$A,Locales!$B:$B,""),"")</f>
        <v/>
      </c>
      <c r="F1751" s="9" cm="1">
        <f t="array" ref="F1751">IFERROR(_xlfn.XLOOKUP(B1751,Personal!$A:$A,Personal!$F:$F,""),"")</f>
        <v>0</v>
      </c>
      <c r="I1751" s="10" cm="1">
        <f t="array" ref="I1751">IFERROR(INDEX(Precios!$D:$F,MATCH(N1751, Precios!$G:$G, 0),CHOOSE(MATCH(H1751, {"SML";"XL";"XXL"}, 0), 1, 2, 3)), 0)</f>
        <v>0</v>
      </c>
      <c r="K1751" s="10">
        <f t="shared" si="62"/>
        <v>0</v>
      </c>
      <c r="N1751" s="9" t="str">
        <f t="shared" si="63"/>
        <v/>
      </c>
      <c r="O1751" s="9" t="str">
        <f>IF(N1751="","",IF(COUNTIF(Precios!$G:$G,N1751)=0,"⚠ No coincide con Precios","OK"))</f>
        <v/>
      </c>
    </row>
    <row r="1752" spans="3:15" x14ac:dyDescent="0.2">
      <c r="C1752" s="9" cm="1">
        <f t="array" ref="C1752">IFERROR(_xlfn.XLOOKUP(B1752,Personal!$A:$A,Personal!$D:$D,""),"")</f>
        <v>0</v>
      </c>
      <c r="D1752" s="9" cm="1">
        <f t="array" ref="D1752">IFERROR(_xlfn.XLOOKUP(B1752,Personal!$A:$A,Personal!$C:$C,""),"")</f>
        <v>0</v>
      </c>
      <c r="E1752" s="9" t="str" cm="1">
        <f t="array" ref="E1752">IFERROR(_xlfn.XLOOKUP(D1752,Locales!$A:$A,Locales!$B:$B,""),"")</f>
        <v/>
      </c>
      <c r="F1752" s="9" cm="1">
        <f t="array" ref="F1752">IFERROR(_xlfn.XLOOKUP(B1752,Personal!$A:$A,Personal!$F:$F,""),"")</f>
        <v>0</v>
      </c>
      <c r="I1752" s="10" cm="1">
        <f t="array" ref="I1752">IFERROR(INDEX(Precios!$D:$F,MATCH(N1752, Precios!$G:$G, 0),CHOOSE(MATCH(H1752, {"SML";"XL";"XXL"}, 0), 1, 2, 3)), 0)</f>
        <v>0</v>
      </c>
      <c r="K1752" s="10">
        <f t="shared" si="62"/>
        <v>0</v>
      </c>
      <c r="N1752" s="9" t="str">
        <f t="shared" si="63"/>
        <v/>
      </c>
      <c r="O1752" s="9" t="str">
        <f>IF(N1752="","",IF(COUNTIF(Precios!$G:$G,N1752)=0,"⚠ No coincide con Precios","OK"))</f>
        <v/>
      </c>
    </row>
    <row r="1753" spans="3:15" x14ac:dyDescent="0.2">
      <c r="C1753" s="9" cm="1">
        <f t="array" ref="C1753">IFERROR(_xlfn.XLOOKUP(B1753,Personal!$A:$A,Personal!$D:$D,""),"")</f>
        <v>0</v>
      </c>
      <c r="D1753" s="9" cm="1">
        <f t="array" ref="D1753">IFERROR(_xlfn.XLOOKUP(B1753,Personal!$A:$A,Personal!$C:$C,""),"")</f>
        <v>0</v>
      </c>
      <c r="E1753" s="9" t="str" cm="1">
        <f t="array" ref="E1753">IFERROR(_xlfn.XLOOKUP(D1753,Locales!$A:$A,Locales!$B:$B,""),"")</f>
        <v/>
      </c>
      <c r="F1753" s="9" cm="1">
        <f t="array" ref="F1753">IFERROR(_xlfn.XLOOKUP(B1753,Personal!$A:$A,Personal!$F:$F,""),"")</f>
        <v>0</v>
      </c>
      <c r="I1753" s="10" cm="1">
        <f t="array" ref="I1753">IFERROR(INDEX(Precios!$D:$F,MATCH(N1753, Precios!$G:$G, 0),CHOOSE(MATCH(H1753, {"SML";"XL";"XXL"}, 0), 1, 2, 3)), 0)</f>
        <v>0</v>
      </c>
      <c r="K1753" s="10">
        <f t="shared" si="62"/>
        <v>0</v>
      </c>
      <c r="N1753" s="9" t="str">
        <f t="shared" si="63"/>
        <v/>
      </c>
      <c r="O1753" s="9" t="str">
        <f>IF(N1753="","",IF(COUNTIF(Precios!$G:$G,N1753)=0,"⚠ No coincide con Precios","OK"))</f>
        <v/>
      </c>
    </row>
    <row r="1754" spans="3:15" x14ac:dyDescent="0.2">
      <c r="C1754" s="9" cm="1">
        <f t="array" ref="C1754">IFERROR(_xlfn.XLOOKUP(B1754,Personal!$A:$A,Personal!$D:$D,""),"")</f>
        <v>0</v>
      </c>
      <c r="D1754" s="9" cm="1">
        <f t="array" ref="D1754">IFERROR(_xlfn.XLOOKUP(B1754,Personal!$A:$A,Personal!$C:$C,""),"")</f>
        <v>0</v>
      </c>
      <c r="E1754" s="9" t="str" cm="1">
        <f t="array" ref="E1754">IFERROR(_xlfn.XLOOKUP(D1754,Locales!$A:$A,Locales!$B:$B,""),"")</f>
        <v/>
      </c>
      <c r="F1754" s="9" cm="1">
        <f t="array" ref="F1754">IFERROR(_xlfn.XLOOKUP(B1754,Personal!$A:$A,Personal!$F:$F,""),"")</f>
        <v>0</v>
      </c>
      <c r="I1754" s="10" cm="1">
        <f t="array" ref="I1754">IFERROR(INDEX(Precios!$D:$F,MATCH(N1754, Precios!$G:$G, 0),CHOOSE(MATCH(H1754, {"SML";"XL";"XXL"}, 0), 1, 2, 3)), 0)</f>
        <v>0</v>
      </c>
      <c r="K1754" s="10">
        <f t="shared" si="62"/>
        <v>0</v>
      </c>
      <c r="N1754" s="9" t="str">
        <f t="shared" si="63"/>
        <v/>
      </c>
      <c r="O1754" s="9" t="str">
        <f>IF(N1754="","",IF(COUNTIF(Precios!$G:$G,N1754)=0,"⚠ No coincide con Precios","OK"))</f>
        <v/>
      </c>
    </row>
    <row r="1755" spans="3:15" x14ac:dyDescent="0.2">
      <c r="C1755" s="9" cm="1">
        <f t="array" ref="C1755">IFERROR(_xlfn.XLOOKUP(B1755,Personal!$A:$A,Personal!$D:$D,""),"")</f>
        <v>0</v>
      </c>
      <c r="D1755" s="9" cm="1">
        <f t="array" ref="D1755">IFERROR(_xlfn.XLOOKUP(B1755,Personal!$A:$A,Personal!$C:$C,""),"")</f>
        <v>0</v>
      </c>
      <c r="E1755" s="9" t="str" cm="1">
        <f t="array" ref="E1755">IFERROR(_xlfn.XLOOKUP(D1755,Locales!$A:$A,Locales!$B:$B,""),"")</f>
        <v/>
      </c>
      <c r="F1755" s="9" cm="1">
        <f t="array" ref="F1755">IFERROR(_xlfn.XLOOKUP(B1755,Personal!$A:$A,Personal!$F:$F,""),"")</f>
        <v>0</v>
      </c>
      <c r="I1755" s="10" cm="1">
        <f t="array" ref="I1755">IFERROR(INDEX(Precios!$D:$F,MATCH(N1755, Precios!$G:$G, 0),CHOOSE(MATCH(H1755, {"SML";"XL";"XXL"}, 0), 1, 2, 3)), 0)</f>
        <v>0</v>
      </c>
      <c r="K1755" s="10">
        <f t="shared" si="62"/>
        <v>0</v>
      </c>
      <c r="N1755" s="9" t="str">
        <f t="shared" si="63"/>
        <v/>
      </c>
      <c r="O1755" s="9" t="str">
        <f>IF(N1755="","",IF(COUNTIF(Precios!$G:$G,N1755)=0,"⚠ No coincide con Precios","OK"))</f>
        <v/>
      </c>
    </row>
    <row r="1756" spans="3:15" x14ac:dyDescent="0.2">
      <c r="C1756" s="9" cm="1">
        <f t="array" ref="C1756">IFERROR(_xlfn.XLOOKUP(B1756,Personal!$A:$A,Personal!$D:$D,""),"")</f>
        <v>0</v>
      </c>
      <c r="D1756" s="9" cm="1">
        <f t="array" ref="D1756">IFERROR(_xlfn.XLOOKUP(B1756,Personal!$A:$A,Personal!$C:$C,""),"")</f>
        <v>0</v>
      </c>
      <c r="E1756" s="9" t="str" cm="1">
        <f t="array" ref="E1756">IFERROR(_xlfn.XLOOKUP(D1756,Locales!$A:$A,Locales!$B:$B,""),"")</f>
        <v/>
      </c>
      <c r="F1756" s="9" cm="1">
        <f t="array" ref="F1756">IFERROR(_xlfn.XLOOKUP(B1756,Personal!$A:$A,Personal!$F:$F,""),"")</f>
        <v>0</v>
      </c>
      <c r="I1756" s="10" cm="1">
        <f t="array" ref="I1756">IFERROR(INDEX(Precios!$D:$F,MATCH(N1756, Precios!$G:$G, 0),CHOOSE(MATCH(H1756, {"SML";"XL";"XXL"}, 0), 1, 2, 3)), 0)</f>
        <v>0</v>
      </c>
      <c r="K1756" s="10">
        <f t="shared" si="62"/>
        <v>0</v>
      </c>
      <c r="N1756" s="9" t="str">
        <f t="shared" si="63"/>
        <v/>
      </c>
      <c r="O1756" s="9" t="str">
        <f>IF(N1756="","",IF(COUNTIF(Precios!$G:$G,N1756)=0,"⚠ No coincide con Precios","OK"))</f>
        <v/>
      </c>
    </row>
    <row r="1757" spans="3:15" x14ac:dyDescent="0.2">
      <c r="C1757" s="9" cm="1">
        <f t="array" ref="C1757">IFERROR(_xlfn.XLOOKUP(B1757,Personal!$A:$A,Personal!$D:$D,""),"")</f>
        <v>0</v>
      </c>
      <c r="D1757" s="9" cm="1">
        <f t="array" ref="D1757">IFERROR(_xlfn.XLOOKUP(B1757,Personal!$A:$A,Personal!$C:$C,""),"")</f>
        <v>0</v>
      </c>
      <c r="E1757" s="9" t="str" cm="1">
        <f t="array" ref="E1757">IFERROR(_xlfn.XLOOKUP(D1757,Locales!$A:$A,Locales!$B:$B,""),"")</f>
        <v/>
      </c>
      <c r="F1757" s="9" cm="1">
        <f t="array" ref="F1757">IFERROR(_xlfn.XLOOKUP(B1757,Personal!$A:$A,Personal!$F:$F,""),"")</f>
        <v>0</v>
      </c>
      <c r="I1757" s="10" cm="1">
        <f t="array" ref="I1757">IFERROR(INDEX(Precios!$D:$F,MATCH(N1757, Precios!$G:$G, 0),CHOOSE(MATCH(H1757, {"SML";"XL";"XXL"}, 0), 1, 2, 3)), 0)</f>
        <v>0</v>
      </c>
      <c r="K1757" s="10">
        <f t="shared" si="62"/>
        <v>0</v>
      </c>
      <c r="N1757" s="9" t="str">
        <f t="shared" si="63"/>
        <v/>
      </c>
      <c r="O1757" s="9" t="str">
        <f>IF(N1757="","",IF(COUNTIF(Precios!$G:$G,N1757)=0,"⚠ No coincide con Precios","OK"))</f>
        <v/>
      </c>
    </row>
    <row r="1758" spans="3:15" x14ac:dyDescent="0.2">
      <c r="C1758" s="9" cm="1">
        <f t="array" ref="C1758">IFERROR(_xlfn.XLOOKUP(B1758,Personal!$A:$A,Personal!$D:$D,""),"")</f>
        <v>0</v>
      </c>
      <c r="D1758" s="9" cm="1">
        <f t="array" ref="D1758">IFERROR(_xlfn.XLOOKUP(B1758,Personal!$A:$A,Personal!$C:$C,""),"")</f>
        <v>0</v>
      </c>
      <c r="E1758" s="9" t="str" cm="1">
        <f t="array" ref="E1758">IFERROR(_xlfn.XLOOKUP(D1758,Locales!$A:$A,Locales!$B:$B,""),"")</f>
        <v/>
      </c>
      <c r="F1758" s="9" cm="1">
        <f t="array" ref="F1758">IFERROR(_xlfn.XLOOKUP(B1758,Personal!$A:$A,Personal!$F:$F,""),"")</f>
        <v>0</v>
      </c>
      <c r="I1758" s="10" cm="1">
        <f t="array" ref="I1758">IFERROR(INDEX(Precios!$D:$F,MATCH(N1758, Precios!$G:$G, 0),CHOOSE(MATCH(H1758, {"SML";"XL";"XXL"}, 0), 1, 2, 3)), 0)</f>
        <v>0</v>
      </c>
      <c r="K1758" s="10">
        <f t="shared" si="62"/>
        <v>0</v>
      </c>
      <c r="N1758" s="9" t="str">
        <f t="shared" si="63"/>
        <v/>
      </c>
      <c r="O1758" s="9" t="str">
        <f>IF(N1758="","",IF(COUNTIF(Precios!$G:$G,N1758)=0,"⚠ No coincide con Precios","OK"))</f>
        <v/>
      </c>
    </row>
    <row r="1759" spans="3:15" x14ac:dyDescent="0.2">
      <c r="C1759" s="9" cm="1">
        <f t="array" ref="C1759">IFERROR(_xlfn.XLOOKUP(B1759,Personal!$A:$A,Personal!$D:$D,""),"")</f>
        <v>0</v>
      </c>
      <c r="D1759" s="9" cm="1">
        <f t="array" ref="D1759">IFERROR(_xlfn.XLOOKUP(B1759,Personal!$A:$A,Personal!$C:$C,""),"")</f>
        <v>0</v>
      </c>
      <c r="E1759" s="9" t="str" cm="1">
        <f t="array" ref="E1759">IFERROR(_xlfn.XLOOKUP(D1759,Locales!$A:$A,Locales!$B:$B,""),"")</f>
        <v/>
      </c>
      <c r="F1759" s="9" cm="1">
        <f t="array" ref="F1759">IFERROR(_xlfn.XLOOKUP(B1759,Personal!$A:$A,Personal!$F:$F,""),"")</f>
        <v>0</v>
      </c>
      <c r="I1759" s="10" cm="1">
        <f t="array" ref="I1759">IFERROR(INDEX(Precios!$D:$F,MATCH(N1759, Precios!$G:$G, 0),CHOOSE(MATCH(H1759, {"SML";"XL";"XXL"}, 0), 1, 2, 3)), 0)</f>
        <v>0</v>
      </c>
      <c r="K1759" s="10">
        <f t="shared" si="62"/>
        <v>0</v>
      </c>
      <c r="N1759" s="9" t="str">
        <f t="shared" si="63"/>
        <v/>
      </c>
      <c r="O1759" s="9" t="str">
        <f>IF(N1759="","",IF(COUNTIF(Precios!$G:$G,N1759)=0,"⚠ No coincide con Precios","OK"))</f>
        <v/>
      </c>
    </row>
    <row r="1760" spans="3:15" x14ac:dyDescent="0.2">
      <c r="C1760" s="9" cm="1">
        <f t="array" ref="C1760">IFERROR(_xlfn.XLOOKUP(B1760,Personal!$A:$A,Personal!$D:$D,""),"")</f>
        <v>0</v>
      </c>
      <c r="D1760" s="9" cm="1">
        <f t="array" ref="D1760">IFERROR(_xlfn.XLOOKUP(B1760,Personal!$A:$A,Personal!$C:$C,""),"")</f>
        <v>0</v>
      </c>
      <c r="E1760" s="9" t="str" cm="1">
        <f t="array" ref="E1760">IFERROR(_xlfn.XLOOKUP(D1760,Locales!$A:$A,Locales!$B:$B,""),"")</f>
        <v/>
      </c>
      <c r="F1760" s="9" cm="1">
        <f t="array" ref="F1760">IFERROR(_xlfn.XLOOKUP(B1760,Personal!$A:$A,Personal!$F:$F,""),"")</f>
        <v>0</v>
      </c>
      <c r="I1760" s="10" cm="1">
        <f t="array" ref="I1760">IFERROR(INDEX(Precios!$D:$F,MATCH(N1760, Precios!$G:$G, 0),CHOOSE(MATCH(H1760, {"SML";"XL";"XXL"}, 0), 1, 2, 3)), 0)</f>
        <v>0</v>
      </c>
      <c r="K1760" s="10">
        <f t="shared" si="62"/>
        <v>0</v>
      </c>
      <c r="N1760" s="9" t="str">
        <f t="shared" si="63"/>
        <v/>
      </c>
      <c r="O1760" s="9" t="str">
        <f>IF(N1760="","",IF(COUNTIF(Precios!$G:$G,N1760)=0,"⚠ No coincide con Precios","OK"))</f>
        <v/>
      </c>
    </row>
    <row r="1761" spans="3:15" x14ac:dyDescent="0.2">
      <c r="C1761" s="9" cm="1">
        <f t="array" ref="C1761">IFERROR(_xlfn.XLOOKUP(B1761,Personal!$A:$A,Personal!$D:$D,""),"")</f>
        <v>0</v>
      </c>
      <c r="D1761" s="9" cm="1">
        <f t="array" ref="D1761">IFERROR(_xlfn.XLOOKUP(B1761,Personal!$A:$A,Personal!$C:$C,""),"")</f>
        <v>0</v>
      </c>
      <c r="E1761" s="9" t="str" cm="1">
        <f t="array" ref="E1761">IFERROR(_xlfn.XLOOKUP(D1761,Locales!$A:$A,Locales!$B:$B,""),"")</f>
        <v/>
      </c>
      <c r="F1761" s="9" cm="1">
        <f t="array" ref="F1761">IFERROR(_xlfn.XLOOKUP(B1761,Personal!$A:$A,Personal!$F:$F,""),"")</f>
        <v>0</v>
      </c>
      <c r="I1761" s="10" cm="1">
        <f t="array" ref="I1761">IFERROR(INDEX(Precios!$D:$F,MATCH(N1761, Precios!$G:$G, 0),CHOOSE(MATCH(H1761, {"SML";"XL";"XXL"}, 0), 1, 2, 3)), 0)</f>
        <v>0</v>
      </c>
      <c r="K1761" s="10">
        <f t="shared" si="62"/>
        <v>0</v>
      </c>
      <c r="N1761" s="9" t="str">
        <f t="shared" si="63"/>
        <v/>
      </c>
      <c r="O1761" s="9" t="str">
        <f>IF(N1761="","",IF(COUNTIF(Precios!$G:$G,N1761)=0,"⚠ No coincide con Precios","OK"))</f>
        <v/>
      </c>
    </row>
    <row r="1762" spans="3:15" x14ac:dyDescent="0.2">
      <c r="C1762" s="9" cm="1">
        <f t="array" ref="C1762">IFERROR(_xlfn.XLOOKUP(B1762,Personal!$A:$A,Personal!$D:$D,""),"")</f>
        <v>0</v>
      </c>
      <c r="D1762" s="9" cm="1">
        <f t="array" ref="D1762">IFERROR(_xlfn.XLOOKUP(B1762,Personal!$A:$A,Personal!$C:$C,""),"")</f>
        <v>0</v>
      </c>
      <c r="E1762" s="9" t="str" cm="1">
        <f t="array" ref="E1762">IFERROR(_xlfn.XLOOKUP(D1762,Locales!$A:$A,Locales!$B:$B,""),"")</f>
        <v/>
      </c>
      <c r="F1762" s="9" cm="1">
        <f t="array" ref="F1762">IFERROR(_xlfn.XLOOKUP(B1762,Personal!$A:$A,Personal!$F:$F,""),"")</f>
        <v>0</v>
      </c>
      <c r="I1762" s="10" cm="1">
        <f t="array" ref="I1762">IFERROR(INDEX(Precios!$D:$F,MATCH(N1762, Precios!$G:$G, 0),CHOOSE(MATCH(H1762, {"SML";"XL";"XXL"}, 0), 1, 2, 3)), 0)</f>
        <v>0</v>
      </c>
      <c r="K1762" s="10">
        <f t="shared" si="62"/>
        <v>0</v>
      </c>
      <c r="N1762" s="9" t="str">
        <f t="shared" si="63"/>
        <v/>
      </c>
      <c r="O1762" s="9" t="str">
        <f>IF(N1762="","",IF(COUNTIF(Precios!$G:$G,N1762)=0,"⚠ No coincide con Precios","OK"))</f>
        <v/>
      </c>
    </row>
    <row r="1763" spans="3:15" x14ac:dyDescent="0.2">
      <c r="C1763" s="9" cm="1">
        <f t="array" ref="C1763">IFERROR(_xlfn.XLOOKUP(B1763,Personal!$A:$A,Personal!$D:$D,""),"")</f>
        <v>0</v>
      </c>
      <c r="D1763" s="9" cm="1">
        <f t="array" ref="D1763">IFERROR(_xlfn.XLOOKUP(B1763,Personal!$A:$A,Personal!$C:$C,""),"")</f>
        <v>0</v>
      </c>
      <c r="E1763" s="9" t="str" cm="1">
        <f t="array" ref="E1763">IFERROR(_xlfn.XLOOKUP(D1763,Locales!$A:$A,Locales!$B:$B,""),"")</f>
        <v/>
      </c>
      <c r="F1763" s="9" cm="1">
        <f t="array" ref="F1763">IFERROR(_xlfn.XLOOKUP(B1763,Personal!$A:$A,Personal!$F:$F,""),"")</f>
        <v>0</v>
      </c>
      <c r="I1763" s="10" cm="1">
        <f t="array" ref="I1763">IFERROR(INDEX(Precios!$D:$F,MATCH(N1763, Precios!$G:$G, 0),CHOOSE(MATCH(H1763, {"SML";"XL";"XXL"}, 0), 1, 2, 3)), 0)</f>
        <v>0</v>
      </c>
      <c r="K1763" s="10">
        <f t="shared" si="62"/>
        <v>0</v>
      </c>
      <c r="N1763" s="9" t="str">
        <f t="shared" si="63"/>
        <v/>
      </c>
      <c r="O1763" s="9" t="str">
        <f>IF(N1763="","",IF(COUNTIF(Precios!$G:$G,N1763)=0,"⚠ No coincide con Precios","OK"))</f>
        <v/>
      </c>
    </row>
    <row r="1764" spans="3:15" x14ac:dyDescent="0.2">
      <c r="C1764" s="9" cm="1">
        <f t="array" ref="C1764">IFERROR(_xlfn.XLOOKUP(B1764,Personal!$A:$A,Personal!$D:$D,""),"")</f>
        <v>0</v>
      </c>
      <c r="D1764" s="9" cm="1">
        <f t="array" ref="D1764">IFERROR(_xlfn.XLOOKUP(B1764,Personal!$A:$A,Personal!$C:$C,""),"")</f>
        <v>0</v>
      </c>
      <c r="E1764" s="9" t="str" cm="1">
        <f t="array" ref="E1764">IFERROR(_xlfn.XLOOKUP(D1764,Locales!$A:$A,Locales!$B:$B,""),"")</f>
        <v/>
      </c>
      <c r="F1764" s="9" cm="1">
        <f t="array" ref="F1764">IFERROR(_xlfn.XLOOKUP(B1764,Personal!$A:$A,Personal!$F:$F,""),"")</f>
        <v>0</v>
      </c>
      <c r="I1764" s="10" cm="1">
        <f t="array" ref="I1764">IFERROR(INDEX(Precios!$D:$F,MATCH(N1764, Precios!$G:$G, 0),CHOOSE(MATCH(H1764, {"SML";"XL";"XXL"}, 0), 1, 2, 3)), 0)</f>
        <v>0</v>
      </c>
      <c r="K1764" s="10">
        <f t="shared" si="62"/>
        <v>0</v>
      </c>
      <c r="N1764" s="9" t="str">
        <f t="shared" si="63"/>
        <v/>
      </c>
      <c r="O1764" s="9" t="str">
        <f>IF(N1764="","",IF(COUNTIF(Precios!$G:$G,N1764)=0,"⚠ No coincide con Precios","OK"))</f>
        <v/>
      </c>
    </row>
    <row r="1765" spans="3:15" x14ac:dyDescent="0.2">
      <c r="C1765" s="9" cm="1">
        <f t="array" ref="C1765">IFERROR(_xlfn.XLOOKUP(B1765,Personal!$A:$A,Personal!$D:$D,""),"")</f>
        <v>0</v>
      </c>
      <c r="D1765" s="9" cm="1">
        <f t="array" ref="D1765">IFERROR(_xlfn.XLOOKUP(B1765,Personal!$A:$A,Personal!$C:$C,""),"")</f>
        <v>0</v>
      </c>
      <c r="E1765" s="9" t="str" cm="1">
        <f t="array" ref="E1765">IFERROR(_xlfn.XLOOKUP(D1765,Locales!$A:$A,Locales!$B:$B,""),"")</f>
        <v/>
      </c>
      <c r="F1765" s="9" cm="1">
        <f t="array" ref="F1765">IFERROR(_xlfn.XLOOKUP(B1765,Personal!$A:$A,Personal!$F:$F,""),"")</f>
        <v>0</v>
      </c>
      <c r="I1765" s="10" cm="1">
        <f t="array" ref="I1765">IFERROR(INDEX(Precios!$D:$F,MATCH(N1765, Precios!$G:$G, 0),CHOOSE(MATCH(H1765, {"SML";"XL";"XXL"}, 0), 1, 2, 3)), 0)</f>
        <v>0</v>
      </c>
      <c r="K1765" s="10">
        <f t="shared" si="62"/>
        <v>0</v>
      </c>
      <c r="N1765" s="9" t="str">
        <f t="shared" si="63"/>
        <v/>
      </c>
      <c r="O1765" s="9" t="str">
        <f>IF(N1765="","",IF(COUNTIF(Precios!$G:$G,N1765)=0,"⚠ No coincide con Precios","OK"))</f>
        <v/>
      </c>
    </row>
    <row r="1766" spans="3:15" x14ac:dyDescent="0.2">
      <c r="C1766" s="9" cm="1">
        <f t="array" ref="C1766">IFERROR(_xlfn.XLOOKUP(B1766,Personal!$A:$A,Personal!$D:$D,""),"")</f>
        <v>0</v>
      </c>
      <c r="D1766" s="9" cm="1">
        <f t="array" ref="D1766">IFERROR(_xlfn.XLOOKUP(B1766,Personal!$A:$A,Personal!$C:$C,""),"")</f>
        <v>0</v>
      </c>
      <c r="E1766" s="9" t="str" cm="1">
        <f t="array" ref="E1766">IFERROR(_xlfn.XLOOKUP(D1766,Locales!$A:$A,Locales!$B:$B,""),"")</f>
        <v/>
      </c>
      <c r="F1766" s="9" cm="1">
        <f t="array" ref="F1766">IFERROR(_xlfn.XLOOKUP(B1766,Personal!$A:$A,Personal!$F:$F,""),"")</f>
        <v>0</v>
      </c>
      <c r="I1766" s="10" cm="1">
        <f t="array" ref="I1766">IFERROR(INDEX(Precios!$D:$F,MATCH(N1766, Precios!$G:$G, 0),CHOOSE(MATCH(H1766, {"SML";"XL";"XXL"}, 0), 1, 2, 3)), 0)</f>
        <v>0</v>
      </c>
      <c r="K1766" s="10">
        <f t="shared" si="62"/>
        <v>0</v>
      </c>
      <c r="N1766" s="9" t="str">
        <f t="shared" si="63"/>
        <v/>
      </c>
      <c r="O1766" s="9" t="str">
        <f>IF(N1766="","",IF(COUNTIF(Precios!$G:$G,N1766)=0,"⚠ No coincide con Precios","OK"))</f>
        <v/>
      </c>
    </row>
    <row r="1767" spans="3:15" x14ac:dyDescent="0.2">
      <c r="C1767" s="9" cm="1">
        <f t="array" ref="C1767">IFERROR(_xlfn.XLOOKUP(B1767,Personal!$A:$A,Personal!$D:$D,""),"")</f>
        <v>0</v>
      </c>
      <c r="D1767" s="9" cm="1">
        <f t="array" ref="D1767">IFERROR(_xlfn.XLOOKUP(B1767,Personal!$A:$A,Personal!$C:$C,""),"")</f>
        <v>0</v>
      </c>
      <c r="E1767" s="9" t="str" cm="1">
        <f t="array" ref="E1767">IFERROR(_xlfn.XLOOKUP(D1767,Locales!$A:$A,Locales!$B:$B,""),"")</f>
        <v/>
      </c>
      <c r="F1767" s="9" cm="1">
        <f t="array" ref="F1767">IFERROR(_xlfn.XLOOKUP(B1767,Personal!$A:$A,Personal!$F:$F,""),"")</f>
        <v>0</v>
      </c>
      <c r="I1767" s="10" cm="1">
        <f t="array" ref="I1767">IFERROR(INDEX(Precios!$D:$F,MATCH(N1767, Precios!$G:$G, 0),CHOOSE(MATCH(H1767, {"SML";"XL";"XXL"}, 0), 1, 2, 3)), 0)</f>
        <v>0</v>
      </c>
      <c r="K1767" s="10">
        <f t="shared" si="62"/>
        <v>0</v>
      </c>
      <c r="N1767" s="9" t="str">
        <f t="shared" si="63"/>
        <v/>
      </c>
      <c r="O1767" s="9" t="str">
        <f>IF(N1767="","",IF(COUNTIF(Precios!$G:$G,N1767)=0,"⚠ No coincide con Precios","OK"))</f>
        <v/>
      </c>
    </row>
    <row r="1768" spans="3:15" x14ac:dyDescent="0.2">
      <c r="C1768" s="9" cm="1">
        <f t="array" ref="C1768">IFERROR(_xlfn.XLOOKUP(B1768,Personal!$A:$A,Personal!$D:$D,""),"")</f>
        <v>0</v>
      </c>
      <c r="D1768" s="9" cm="1">
        <f t="array" ref="D1768">IFERROR(_xlfn.XLOOKUP(B1768,Personal!$A:$A,Personal!$C:$C,""),"")</f>
        <v>0</v>
      </c>
      <c r="E1768" s="9" t="str" cm="1">
        <f t="array" ref="E1768">IFERROR(_xlfn.XLOOKUP(D1768,Locales!$A:$A,Locales!$B:$B,""),"")</f>
        <v/>
      </c>
      <c r="F1768" s="9" cm="1">
        <f t="array" ref="F1768">IFERROR(_xlfn.XLOOKUP(B1768,Personal!$A:$A,Personal!$F:$F,""),"")</f>
        <v>0</v>
      </c>
      <c r="I1768" s="10" cm="1">
        <f t="array" ref="I1768">IFERROR(INDEX(Precios!$D:$F,MATCH(N1768, Precios!$G:$G, 0),CHOOSE(MATCH(H1768, {"SML";"XL";"XXL"}, 0), 1, 2, 3)), 0)</f>
        <v>0</v>
      </c>
      <c r="K1768" s="10">
        <f t="shared" si="62"/>
        <v>0</v>
      </c>
      <c r="N1768" s="9" t="str">
        <f t="shared" si="63"/>
        <v/>
      </c>
      <c r="O1768" s="9" t="str">
        <f>IF(N1768="","",IF(COUNTIF(Precios!$G:$G,N1768)=0,"⚠ No coincide con Precios","OK"))</f>
        <v/>
      </c>
    </row>
    <row r="1769" spans="3:15" x14ac:dyDescent="0.2">
      <c r="C1769" s="9" cm="1">
        <f t="array" ref="C1769">IFERROR(_xlfn.XLOOKUP(B1769,Personal!$A:$A,Personal!$D:$D,""),"")</f>
        <v>0</v>
      </c>
      <c r="D1769" s="9" cm="1">
        <f t="array" ref="D1769">IFERROR(_xlfn.XLOOKUP(B1769,Personal!$A:$A,Personal!$C:$C,""),"")</f>
        <v>0</v>
      </c>
      <c r="E1769" s="9" t="str" cm="1">
        <f t="array" ref="E1769">IFERROR(_xlfn.XLOOKUP(D1769,Locales!$A:$A,Locales!$B:$B,""),"")</f>
        <v/>
      </c>
      <c r="F1769" s="9" cm="1">
        <f t="array" ref="F1769">IFERROR(_xlfn.XLOOKUP(B1769,Personal!$A:$A,Personal!$F:$F,""),"")</f>
        <v>0</v>
      </c>
      <c r="I1769" s="10" cm="1">
        <f t="array" ref="I1769">IFERROR(INDEX(Precios!$D:$F,MATCH(N1769, Precios!$G:$G, 0),CHOOSE(MATCH(H1769, {"SML";"XL";"XXL"}, 0), 1, 2, 3)), 0)</f>
        <v>0</v>
      </c>
      <c r="K1769" s="10">
        <f t="shared" si="62"/>
        <v>0</v>
      </c>
      <c r="N1769" s="9" t="str">
        <f t="shared" si="63"/>
        <v/>
      </c>
      <c r="O1769" s="9" t="str">
        <f>IF(N1769="","",IF(COUNTIF(Precios!$G:$G,N1769)=0,"⚠ No coincide con Precios","OK"))</f>
        <v/>
      </c>
    </row>
    <row r="1770" spans="3:15" x14ac:dyDescent="0.2">
      <c r="C1770" s="9" cm="1">
        <f t="array" ref="C1770">IFERROR(_xlfn.XLOOKUP(B1770,Personal!$A:$A,Personal!$D:$D,""),"")</f>
        <v>0</v>
      </c>
      <c r="D1770" s="9" cm="1">
        <f t="array" ref="D1770">IFERROR(_xlfn.XLOOKUP(B1770,Personal!$A:$A,Personal!$C:$C,""),"")</f>
        <v>0</v>
      </c>
      <c r="E1770" s="9" t="str" cm="1">
        <f t="array" ref="E1770">IFERROR(_xlfn.XLOOKUP(D1770,Locales!$A:$A,Locales!$B:$B,""),"")</f>
        <v/>
      </c>
      <c r="F1770" s="9" cm="1">
        <f t="array" ref="F1770">IFERROR(_xlfn.XLOOKUP(B1770,Personal!$A:$A,Personal!$F:$F,""),"")</f>
        <v>0</v>
      </c>
      <c r="I1770" s="10" cm="1">
        <f t="array" ref="I1770">IFERROR(INDEX(Precios!$D:$F,MATCH(N1770, Precios!$G:$G, 0),CHOOSE(MATCH(H1770, {"SML";"XL";"XXL"}, 0), 1, 2, 3)), 0)</f>
        <v>0</v>
      </c>
      <c r="K1770" s="10">
        <f t="shared" si="62"/>
        <v>0</v>
      </c>
      <c r="N1770" s="9" t="str">
        <f t="shared" si="63"/>
        <v/>
      </c>
      <c r="O1770" s="9" t="str">
        <f>IF(N1770="","",IF(COUNTIF(Precios!$G:$G,N1770)=0,"⚠ No coincide con Precios","OK"))</f>
        <v/>
      </c>
    </row>
    <row r="1771" spans="3:15" x14ac:dyDescent="0.2">
      <c r="C1771" s="9" cm="1">
        <f t="array" ref="C1771">IFERROR(_xlfn.XLOOKUP(B1771,Personal!$A:$A,Personal!$D:$D,""),"")</f>
        <v>0</v>
      </c>
      <c r="D1771" s="9" cm="1">
        <f t="array" ref="D1771">IFERROR(_xlfn.XLOOKUP(B1771,Personal!$A:$A,Personal!$C:$C,""),"")</f>
        <v>0</v>
      </c>
      <c r="E1771" s="9" t="str" cm="1">
        <f t="array" ref="E1771">IFERROR(_xlfn.XLOOKUP(D1771,Locales!$A:$A,Locales!$B:$B,""),"")</f>
        <v/>
      </c>
      <c r="F1771" s="9" cm="1">
        <f t="array" ref="F1771">IFERROR(_xlfn.XLOOKUP(B1771,Personal!$A:$A,Personal!$F:$F,""),"")</f>
        <v>0</v>
      </c>
      <c r="I1771" s="10" cm="1">
        <f t="array" ref="I1771">IFERROR(INDEX(Precios!$D:$F,MATCH(N1771, Precios!$G:$G, 0),CHOOSE(MATCH(H1771, {"SML";"XL";"XXL"}, 0), 1, 2, 3)), 0)</f>
        <v>0</v>
      </c>
      <c r="K1771" s="10">
        <f t="shared" si="62"/>
        <v>0</v>
      </c>
      <c r="N1771" s="9" t="str">
        <f t="shared" si="63"/>
        <v/>
      </c>
      <c r="O1771" s="9" t="str">
        <f>IF(N1771="","",IF(COUNTIF(Precios!$G:$G,N1771)=0,"⚠ No coincide con Precios","OK"))</f>
        <v/>
      </c>
    </row>
    <row r="1772" spans="3:15" x14ac:dyDescent="0.2">
      <c r="C1772" s="9" cm="1">
        <f t="array" ref="C1772">IFERROR(_xlfn.XLOOKUP(B1772,Personal!$A:$A,Personal!$D:$D,""),"")</f>
        <v>0</v>
      </c>
      <c r="D1772" s="9" cm="1">
        <f t="array" ref="D1772">IFERROR(_xlfn.XLOOKUP(B1772,Personal!$A:$A,Personal!$C:$C,""),"")</f>
        <v>0</v>
      </c>
      <c r="E1772" s="9" t="str" cm="1">
        <f t="array" ref="E1772">IFERROR(_xlfn.XLOOKUP(D1772,Locales!$A:$A,Locales!$B:$B,""),"")</f>
        <v/>
      </c>
      <c r="F1772" s="9" cm="1">
        <f t="array" ref="F1772">IFERROR(_xlfn.XLOOKUP(B1772,Personal!$A:$A,Personal!$F:$F,""),"")</f>
        <v>0</v>
      </c>
      <c r="I1772" s="10" cm="1">
        <f t="array" ref="I1772">IFERROR(INDEX(Precios!$D:$F,MATCH(N1772, Precios!$G:$G, 0),CHOOSE(MATCH(H1772, {"SML";"XL";"XXL"}, 0), 1, 2, 3)), 0)</f>
        <v>0</v>
      </c>
      <c r="K1772" s="10">
        <f t="shared" si="62"/>
        <v>0</v>
      </c>
      <c r="N1772" s="9" t="str">
        <f t="shared" si="63"/>
        <v/>
      </c>
      <c r="O1772" s="9" t="str">
        <f>IF(N1772="","",IF(COUNTIF(Precios!$G:$G,N1772)=0,"⚠ No coincide con Precios","OK"))</f>
        <v/>
      </c>
    </row>
    <row r="1773" spans="3:15" x14ac:dyDescent="0.2">
      <c r="C1773" s="9" cm="1">
        <f t="array" ref="C1773">IFERROR(_xlfn.XLOOKUP(B1773,Personal!$A:$A,Personal!$D:$D,""),"")</f>
        <v>0</v>
      </c>
      <c r="D1773" s="9" cm="1">
        <f t="array" ref="D1773">IFERROR(_xlfn.XLOOKUP(B1773,Personal!$A:$A,Personal!$C:$C,""),"")</f>
        <v>0</v>
      </c>
      <c r="E1773" s="9" t="str" cm="1">
        <f t="array" ref="E1773">IFERROR(_xlfn.XLOOKUP(D1773,Locales!$A:$A,Locales!$B:$B,""),"")</f>
        <v/>
      </c>
      <c r="F1773" s="9" cm="1">
        <f t="array" ref="F1773">IFERROR(_xlfn.XLOOKUP(B1773,Personal!$A:$A,Personal!$F:$F,""),"")</f>
        <v>0</v>
      </c>
      <c r="I1773" s="10" cm="1">
        <f t="array" ref="I1773">IFERROR(INDEX(Precios!$D:$F,MATCH(N1773, Precios!$G:$G, 0),CHOOSE(MATCH(H1773, {"SML";"XL";"XXL"}, 0), 1, 2, 3)), 0)</f>
        <v>0</v>
      </c>
      <c r="K1773" s="10">
        <f t="shared" si="62"/>
        <v>0</v>
      </c>
      <c r="N1773" s="9" t="str">
        <f t="shared" si="63"/>
        <v/>
      </c>
      <c r="O1773" s="9" t="str">
        <f>IF(N1773="","",IF(COUNTIF(Precios!$G:$G,N1773)=0,"⚠ No coincide con Precios","OK"))</f>
        <v/>
      </c>
    </row>
    <row r="1774" spans="3:15" x14ac:dyDescent="0.2">
      <c r="C1774" s="9" cm="1">
        <f t="array" ref="C1774">IFERROR(_xlfn.XLOOKUP(B1774,Personal!$A:$A,Personal!$D:$D,""),"")</f>
        <v>0</v>
      </c>
      <c r="D1774" s="9" cm="1">
        <f t="array" ref="D1774">IFERROR(_xlfn.XLOOKUP(B1774,Personal!$A:$A,Personal!$C:$C,""),"")</f>
        <v>0</v>
      </c>
      <c r="E1774" s="9" t="str" cm="1">
        <f t="array" ref="E1774">IFERROR(_xlfn.XLOOKUP(D1774,Locales!$A:$A,Locales!$B:$B,""),"")</f>
        <v/>
      </c>
      <c r="F1774" s="9" cm="1">
        <f t="array" ref="F1774">IFERROR(_xlfn.XLOOKUP(B1774,Personal!$A:$A,Personal!$F:$F,""),"")</f>
        <v>0</v>
      </c>
      <c r="I1774" s="10" cm="1">
        <f t="array" ref="I1774">IFERROR(INDEX(Precios!$D:$F,MATCH(N1774, Precios!$G:$G, 0),CHOOSE(MATCH(H1774, {"SML";"XL";"XXL"}, 0), 1, 2, 3)), 0)</f>
        <v>0</v>
      </c>
      <c r="K1774" s="10">
        <f t="shared" si="62"/>
        <v>0</v>
      </c>
      <c r="N1774" s="9" t="str">
        <f t="shared" si="63"/>
        <v/>
      </c>
      <c r="O1774" s="9" t="str">
        <f>IF(N1774="","",IF(COUNTIF(Precios!$G:$G,N1774)=0,"⚠ No coincide con Precios","OK"))</f>
        <v/>
      </c>
    </row>
    <row r="1775" spans="3:15" x14ac:dyDescent="0.2">
      <c r="C1775" s="9" cm="1">
        <f t="array" ref="C1775">IFERROR(_xlfn.XLOOKUP(B1775,Personal!$A:$A,Personal!$D:$D,""),"")</f>
        <v>0</v>
      </c>
      <c r="D1775" s="9" cm="1">
        <f t="array" ref="D1775">IFERROR(_xlfn.XLOOKUP(B1775,Personal!$A:$A,Personal!$C:$C,""),"")</f>
        <v>0</v>
      </c>
      <c r="E1775" s="9" t="str" cm="1">
        <f t="array" ref="E1775">IFERROR(_xlfn.XLOOKUP(D1775,Locales!$A:$A,Locales!$B:$B,""),"")</f>
        <v/>
      </c>
      <c r="F1775" s="9" cm="1">
        <f t="array" ref="F1775">IFERROR(_xlfn.XLOOKUP(B1775,Personal!$A:$A,Personal!$F:$F,""),"")</f>
        <v>0</v>
      </c>
      <c r="I1775" s="10" cm="1">
        <f t="array" ref="I1775">IFERROR(INDEX(Precios!$D:$F,MATCH(N1775, Precios!$G:$G, 0),CHOOSE(MATCH(H1775, {"SML";"XL";"XXL"}, 0), 1, 2, 3)), 0)</f>
        <v>0</v>
      </c>
      <c r="K1775" s="10">
        <f t="shared" si="62"/>
        <v>0</v>
      </c>
      <c r="N1775" s="9" t="str">
        <f t="shared" si="63"/>
        <v/>
      </c>
      <c r="O1775" s="9" t="str">
        <f>IF(N1775="","",IF(COUNTIF(Precios!$G:$G,N1775)=0,"⚠ No coincide con Precios","OK"))</f>
        <v/>
      </c>
    </row>
    <row r="1776" spans="3:15" x14ac:dyDescent="0.2">
      <c r="C1776" s="9" cm="1">
        <f t="array" ref="C1776">IFERROR(_xlfn.XLOOKUP(B1776,Personal!$A:$A,Personal!$D:$D,""),"")</f>
        <v>0</v>
      </c>
      <c r="D1776" s="9" cm="1">
        <f t="array" ref="D1776">IFERROR(_xlfn.XLOOKUP(B1776,Personal!$A:$A,Personal!$C:$C,""),"")</f>
        <v>0</v>
      </c>
      <c r="E1776" s="9" t="str" cm="1">
        <f t="array" ref="E1776">IFERROR(_xlfn.XLOOKUP(D1776,Locales!$A:$A,Locales!$B:$B,""),"")</f>
        <v/>
      </c>
      <c r="F1776" s="9" cm="1">
        <f t="array" ref="F1776">IFERROR(_xlfn.XLOOKUP(B1776,Personal!$A:$A,Personal!$F:$F,""),"")</f>
        <v>0</v>
      </c>
      <c r="I1776" s="10" cm="1">
        <f t="array" ref="I1776">IFERROR(INDEX(Precios!$D:$F,MATCH(N1776, Precios!$G:$G, 0),CHOOSE(MATCH(H1776, {"SML";"XL";"XXL"}, 0), 1, 2, 3)), 0)</f>
        <v>0</v>
      </c>
      <c r="K1776" s="10">
        <f t="shared" si="62"/>
        <v>0</v>
      </c>
      <c r="N1776" s="9" t="str">
        <f t="shared" si="63"/>
        <v/>
      </c>
      <c r="O1776" s="9" t="str">
        <f>IF(N1776="","",IF(COUNTIF(Precios!$G:$G,N1776)=0,"⚠ No coincide con Precios","OK"))</f>
        <v/>
      </c>
    </row>
    <row r="1777" spans="3:15" x14ac:dyDescent="0.2">
      <c r="C1777" s="9" cm="1">
        <f t="array" ref="C1777">IFERROR(_xlfn.XLOOKUP(B1777,Personal!$A:$A,Personal!$D:$D,""),"")</f>
        <v>0</v>
      </c>
      <c r="D1777" s="9" cm="1">
        <f t="array" ref="D1777">IFERROR(_xlfn.XLOOKUP(B1777,Personal!$A:$A,Personal!$C:$C,""),"")</f>
        <v>0</v>
      </c>
      <c r="E1777" s="9" t="str" cm="1">
        <f t="array" ref="E1777">IFERROR(_xlfn.XLOOKUP(D1777,Locales!$A:$A,Locales!$B:$B,""),"")</f>
        <v/>
      </c>
      <c r="F1777" s="9" cm="1">
        <f t="array" ref="F1777">IFERROR(_xlfn.XLOOKUP(B1777,Personal!$A:$A,Personal!$F:$F,""),"")</f>
        <v>0</v>
      </c>
      <c r="I1777" s="10" cm="1">
        <f t="array" ref="I1777">IFERROR(INDEX(Precios!$D:$F,MATCH(N1777, Precios!$G:$G, 0),CHOOSE(MATCH(H1777, {"SML";"XL";"XXL"}, 0), 1, 2, 3)), 0)</f>
        <v>0</v>
      </c>
      <c r="K1777" s="10">
        <f t="shared" si="62"/>
        <v>0</v>
      </c>
      <c r="N1777" s="9" t="str">
        <f t="shared" si="63"/>
        <v/>
      </c>
      <c r="O1777" s="9" t="str">
        <f>IF(N1777="","",IF(COUNTIF(Precios!$G:$G,N1777)=0,"⚠ No coincide con Precios","OK"))</f>
        <v/>
      </c>
    </row>
    <row r="1778" spans="3:15" x14ac:dyDescent="0.2">
      <c r="C1778" s="9" cm="1">
        <f t="array" ref="C1778">IFERROR(_xlfn.XLOOKUP(B1778,Personal!$A:$A,Personal!$D:$D,""),"")</f>
        <v>0</v>
      </c>
      <c r="D1778" s="9" cm="1">
        <f t="array" ref="D1778">IFERROR(_xlfn.XLOOKUP(B1778,Personal!$A:$A,Personal!$C:$C,""),"")</f>
        <v>0</v>
      </c>
      <c r="E1778" s="9" t="str" cm="1">
        <f t="array" ref="E1778">IFERROR(_xlfn.XLOOKUP(D1778,Locales!$A:$A,Locales!$B:$B,""),"")</f>
        <v/>
      </c>
      <c r="F1778" s="9" cm="1">
        <f t="array" ref="F1778">IFERROR(_xlfn.XLOOKUP(B1778,Personal!$A:$A,Personal!$F:$F,""),"")</f>
        <v>0</v>
      </c>
      <c r="I1778" s="10" cm="1">
        <f t="array" ref="I1778">IFERROR(INDEX(Precios!$D:$F,MATCH(N1778, Precios!$G:$G, 0),CHOOSE(MATCH(H1778, {"SML";"XL";"XXL"}, 0), 1, 2, 3)), 0)</f>
        <v>0</v>
      </c>
      <c r="K1778" s="10">
        <f t="shared" si="62"/>
        <v>0</v>
      </c>
      <c r="N1778" s="9" t="str">
        <f t="shared" si="63"/>
        <v/>
      </c>
      <c r="O1778" s="9" t="str">
        <f>IF(N1778="","",IF(COUNTIF(Precios!$G:$G,N1778)=0,"⚠ No coincide con Precios","OK"))</f>
        <v/>
      </c>
    </row>
    <row r="1779" spans="3:15" x14ac:dyDescent="0.2">
      <c r="C1779" s="9" cm="1">
        <f t="array" ref="C1779">IFERROR(_xlfn.XLOOKUP(B1779,Personal!$A:$A,Personal!$D:$D,""),"")</f>
        <v>0</v>
      </c>
      <c r="D1779" s="9" cm="1">
        <f t="array" ref="D1779">IFERROR(_xlfn.XLOOKUP(B1779,Personal!$A:$A,Personal!$C:$C,""),"")</f>
        <v>0</v>
      </c>
      <c r="E1779" s="9" t="str" cm="1">
        <f t="array" ref="E1779">IFERROR(_xlfn.XLOOKUP(D1779,Locales!$A:$A,Locales!$B:$B,""),"")</f>
        <v/>
      </c>
      <c r="F1779" s="9" cm="1">
        <f t="array" ref="F1779">IFERROR(_xlfn.XLOOKUP(B1779,Personal!$A:$A,Personal!$F:$F,""),"")</f>
        <v>0</v>
      </c>
      <c r="I1779" s="10" cm="1">
        <f t="array" ref="I1779">IFERROR(INDEX(Precios!$D:$F,MATCH(N1779, Precios!$G:$G, 0),CHOOSE(MATCH(H1779, {"SML";"XL";"XXL"}, 0), 1, 2, 3)), 0)</f>
        <v>0</v>
      </c>
      <c r="K1779" s="10">
        <f t="shared" si="62"/>
        <v>0</v>
      </c>
      <c r="N1779" s="9" t="str">
        <f t="shared" si="63"/>
        <v/>
      </c>
      <c r="O1779" s="9" t="str">
        <f>IF(N1779="","",IF(COUNTIF(Precios!$G:$G,N1779)=0,"⚠ No coincide con Precios","OK"))</f>
        <v/>
      </c>
    </row>
    <row r="1780" spans="3:15" x14ac:dyDescent="0.2">
      <c r="C1780" s="9" cm="1">
        <f t="array" ref="C1780">IFERROR(_xlfn.XLOOKUP(B1780,Personal!$A:$A,Personal!$D:$D,""),"")</f>
        <v>0</v>
      </c>
      <c r="D1780" s="9" cm="1">
        <f t="array" ref="D1780">IFERROR(_xlfn.XLOOKUP(B1780,Personal!$A:$A,Personal!$C:$C,""),"")</f>
        <v>0</v>
      </c>
      <c r="E1780" s="9" t="str" cm="1">
        <f t="array" ref="E1780">IFERROR(_xlfn.XLOOKUP(D1780,Locales!$A:$A,Locales!$B:$B,""),"")</f>
        <v/>
      </c>
      <c r="F1780" s="9" cm="1">
        <f t="array" ref="F1780">IFERROR(_xlfn.XLOOKUP(B1780,Personal!$A:$A,Personal!$F:$F,""),"")</f>
        <v>0</v>
      </c>
      <c r="I1780" s="10" cm="1">
        <f t="array" ref="I1780">IFERROR(INDEX(Precios!$D:$F,MATCH(N1780, Precios!$G:$G, 0),CHOOSE(MATCH(H1780, {"SML";"XL";"XXL"}, 0), 1, 2, 3)), 0)</f>
        <v>0</v>
      </c>
      <c r="K1780" s="10">
        <f t="shared" si="62"/>
        <v>0</v>
      </c>
      <c r="N1780" s="9" t="str">
        <f t="shared" si="63"/>
        <v/>
      </c>
      <c r="O1780" s="9" t="str">
        <f>IF(N1780="","",IF(COUNTIF(Precios!$G:$G,N1780)=0,"⚠ No coincide con Precios","OK"))</f>
        <v/>
      </c>
    </row>
    <row r="1781" spans="3:15" x14ac:dyDescent="0.2">
      <c r="C1781" s="9" cm="1">
        <f t="array" ref="C1781">IFERROR(_xlfn.XLOOKUP(B1781,Personal!$A:$A,Personal!$D:$D,""),"")</f>
        <v>0</v>
      </c>
      <c r="D1781" s="9" cm="1">
        <f t="array" ref="D1781">IFERROR(_xlfn.XLOOKUP(B1781,Personal!$A:$A,Personal!$C:$C,""),"")</f>
        <v>0</v>
      </c>
      <c r="E1781" s="9" t="str" cm="1">
        <f t="array" ref="E1781">IFERROR(_xlfn.XLOOKUP(D1781,Locales!$A:$A,Locales!$B:$B,""),"")</f>
        <v/>
      </c>
      <c r="F1781" s="9" cm="1">
        <f t="array" ref="F1781">IFERROR(_xlfn.XLOOKUP(B1781,Personal!$A:$A,Personal!$F:$F,""),"")</f>
        <v>0</v>
      </c>
      <c r="I1781" s="10" cm="1">
        <f t="array" ref="I1781">IFERROR(INDEX(Precios!$D:$F,MATCH(N1781, Precios!$G:$G, 0),CHOOSE(MATCH(H1781, {"SML";"XL";"XXL"}, 0), 1, 2, 3)), 0)</f>
        <v>0</v>
      </c>
      <c r="K1781" s="10">
        <f t="shared" si="62"/>
        <v>0</v>
      </c>
      <c r="N1781" s="9" t="str">
        <f t="shared" si="63"/>
        <v/>
      </c>
      <c r="O1781" s="9" t="str">
        <f>IF(N1781="","",IF(COUNTIF(Precios!$G:$G,N1781)=0,"⚠ No coincide con Precios","OK"))</f>
        <v/>
      </c>
    </row>
    <row r="1782" spans="3:15" x14ac:dyDescent="0.2">
      <c r="C1782" s="9" cm="1">
        <f t="array" ref="C1782">IFERROR(_xlfn.XLOOKUP(B1782,Personal!$A:$A,Personal!$D:$D,""),"")</f>
        <v>0</v>
      </c>
      <c r="D1782" s="9" cm="1">
        <f t="array" ref="D1782">IFERROR(_xlfn.XLOOKUP(B1782,Personal!$A:$A,Personal!$C:$C,""),"")</f>
        <v>0</v>
      </c>
      <c r="E1782" s="9" t="str" cm="1">
        <f t="array" ref="E1782">IFERROR(_xlfn.XLOOKUP(D1782,Locales!$A:$A,Locales!$B:$B,""),"")</f>
        <v/>
      </c>
      <c r="F1782" s="9" cm="1">
        <f t="array" ref="F1782">IFERROR(_xlfn.XLOOKUP(B1782,Personal!$A:$A,Personal!$F:$F,""),"")</f>
        <v>0</v>
      </c>
      <c r="I1782" s="10" cm="1">
        <f t="array" ref="I1782">IFERROR(INDEX(Precios!$D:$F,MATCH(N1782, Precios!$G:$G, 0),CHOOSE(MATCH(H1782, {"SML";"XL";"XXL"}, 0), 1, 2, 3)), 0)</f>
        <v>0</v>
      </c>
      <c r="K1782" s="10">
        <f t="shared" si="62"/>
        <v>0</v>
      </c>
      <c r="N1782" s="9" t="str">
        <f t="shared" si="63"/>
        <v/>
      </c>
      <c r="O1782" s="9" t="str">
        <f>IF(N1782="","",IF(COUNTIF(Precios!$G:$G,N1782)=0,"⚠ No coincide con Precios","OK"))</f>
        <v/>
      </c>
    </row>
    <row r="1783" spans="3:15" x14ac:dyDescent="0.2">
      <c r="C1783" s="9" cm="1">
        <f t="array" ref="C1783">IFERROR(_xlfn.XLOOKUP(B1783,Personal!$A:$A,Personal!$D:$D,""),"")</f>
        <v>0</v>
      </c>
      <c r="D1783" s="9" cm="1">
        <f t="array" ref="D1783">IFERROR(_xlfn.XLOOKUP(B1783,Personal!$A:$A,Personal!$C:$C,""),"")</f>
        <v>0</v>
      </c>
      <c r="E1783" s="9" t="str" cm="1">
        <f t="array" ref="E1783">IFERROR(_xlfn.XLOOKUP(D1783,Locales!$A:$A,Locales!$B:$B,""),"")</f>
        <v/>
      </c>
      <c r="F1783" s="9" cm="1">
        <f t="array" ref="F1783">IFERROR(_xlfn.XLOOKUP(B1783,Personal!$A:$A,Personal!$F:$F,""),"")</f>
        <v>0</v>
      </c>
      <c r="I1783" s="10" cm="1">
        <f t="array" ref="I1783">IFERROR(INDEX(Precios!$D:$F,MATCH(N1783, Precios!$G:$G, 0),CHOOSE(MATCH(H1783, {"SML";"XL";"XXL"}, 0), 1, 2, 3)), 0)</f>
        <v>0</v>
      </c>
      <c r="K1783" s="10">
        <f t="shared" si="62"/>
        <v>0</v>
      </c>
      <c r="N1783" s="9" t="str">
        <f t="shared" si="63"/>
        <v/>
      </c>
      <c r="O1783" s="9" t="str">
        <f>IF(N1783="","",IF(COUNTIF(Precios!$G:$G,N1783)=0,"⚠ No coincide con Precios","OK"))</f>
        <v/>
      </c>
    </row>
    <row r="1784" spans="3:15" x14ac:dyDescent="0.2">
      <c r="C1784" s="9" cm="1">
        <f t="array" ref="C1784">IFERROR(_xlfn.XLOOKUP(B1784,Personal!$A:$A,Personal!$D:$D,""),"")</f>
        <v>0</v>
      </c>
      <c r="D1784" s="9" cm="1">
        <f t="array" ref="D1784">IFERROR(_xlfn.XLOOKUP(B1784,Personal!$A:$A,Personal!$C:$C,""),"")</f>
        <v>0</v>
      </c>
      <c r="E1784" s="9" t="str" cm="1">
        <f t="array" ref="E1784">IFERROR(_xlfn.XLOOKUP(D1784,Locales!$A:$A,Locales!$B:$B,""),"")</f>
        <v/>
      </c>
      <c r="F1784" s="9" cm="1">
        <f t="array" ref="F1784">IFERROR(_xlfn.XLOOKUP(B1784,Personal!$A:$A,Personal!$F:$F,""),"")</f>
        <v>0</v>
      </c>
      <c r="I1784" s="10" cm="1">
        <f t="array" ref="I1784">IFERROR(INDEX(Precios!$D:$F,MATCH(N1784, Precios!$G:$G, 0),CHOOSE(MATCH(H1784, {"SML";"XL";"XXL"}, 0), 1, 2, 3)), 0)</f>
        <v>0</v>
      </c>
      <c r="K1784" s="10">
        <f t="shared" si="62"/>
        <v>0</v>
      </c>
      <c r="N1784" s="9" t="str">
        <f t="shared" si="63"/>
        <v/>
      </c>
      <c r="O1784" s="9" t="str">
        <f>IF(N1784="","",IF(COUNTIF(Precios!$G:$G,N1784)=0,"⚠ No coincide con Precios","OK"))</f>
        <v/>
      </c>
    </row>
    <row r="1785" spans="3:15" x14ac:dyDescent="0.2">
      <c r="C1785" s="9" cm="1">
        <f t="array" ref="C1785">IFERROR(_xlfn.XLOOKUP(B1785,Personal!$A:$A,Personal!$D:$D,""),"")</f>
        <v>0</v>
      </c>
      <c r="D1785" s="9" cm="1">
        <f t="array" ref="D1785">IFERROR(_xlfn.XLOOKUP(B1785,Personal!$A:$A,Personal!$C:$C,""),"")</f>
        <v>0</v>
      </c>
      <c r="E1785" s="9" t="str" cm="1">
        <f t="array" ref="E1785">IFERROR(_xlfn.XLOOKUP(D1785,Locales!$A:$A,Locales!$B:$B,""),"")</f>
        <v/>
      </c>
      <c r="F1785" s="9" cm="1">
        <f t="array" ref="F1785">IFERROR(_xlfn.XLOOKUP(B1785,Personal!$A:$A,Personal!$F:$F,""),"")</f>
        <v>0</v>
      </c>
      <c r="I1785" s="10" cm="1">
        <f t="array" ref="I1785">IFERROR(INDEX(Precios!$D:$F,MATCH(N1785, Precios!$G:$G, 0),CHOOSE(MATCH(H1785, {"SML";"XL";"XXL"}, 0), 1, 2, 3)), 0)</f>
        <v>0</v>
      </c>
      <c r="K1785" s="10">
        <f t="shared" si="62"/>
        <v>0</v>
      </c>
      <c r="N1785" s="9" t="str">
        <f t="shared" si="63"/>
        <v/>
      </c>
      <c r="O1785" s="9" t="str">
        <f>IF(N1785="","",IF(COUNTIF(Precios!$G:$G,N1785)=0,"⚠ No coincide con Precios","OK"))</f>
        <v/>
      </c>
    </row>
    <row r="1786" spans="3:15" x14ac:dyDescent="0.2">
      <c r="C1786" s="9" cm="1">
        <f t="array" ref="C1786">IFERROR(_xlfn.XLOOKUP(B1786,Personal!$A:$A,Personal!$D:$D,""),"")</f>
        <v>0</v>
      </c>
      <c r="D1786" s="9" cm="1">
        <f t="array" ref="D1786">IFERROR(_xlfn.XLOOKUP(B1786,Personal!$A:$A,Personal!$C:$C,""),"")</f>
        <v>0</v>
      </c>
      <c r="E1786" s="9" t="str" cm="1">
        <f t="array" ref="E1786">IFERROR(_xlfn.XLOOKUP(D1786,Locales!$A:$A,Locales!$B:$B,""),"")</f>
        <v/>
      </c>
      <c r="F1786" s="9" cm="1">
        <f t="array" ref="F1786">IFERROR(_xlfn.XLOOKUP(B1786,Personal!$A:$A,Personal!$F:$F,""),"")</f>
        <v>0</v>
      </c>
      <c r="I1786" s="10" cm="1">
        <f t="array" ref="I1786">IFERROR(INDEX(Precios!$D:$F,MATCH(N1786, Precios!$G:$G, 0),CHOOSE(MATCH(H1786, {"SML";"XL";"XXL"}, 0), 1, 2, 3)), 0)</f>
        <v>0</v>
      </c>
      <c r="K1786" s="10">
        <f t="shared" si="62"/>
        <v>0</v>
      </c>
      <c r="N1786" s="9" t="str">
        <f t="shared" si="63"/>
        <v/>
      </c>
      <c r="O1786" s="9" t="str">
        <f>IF(N1786="","",IF(COUNTIF(Precios!$G:$G,N1786)=0,"⚠ No coincide con Precios","OK"))</f>
        <v/>
      </c>
    </row>
    <row r="1787" spans="3:15" x14ac:dyDescent="0.2">
      <c r="C1787" s="9" cm="1">
        <f t="array" ref="C1787">IFERROR(_xlfn.XLOOKUP(B1787,Personal!$A:$A,Personal!$D:$D,""),"")</f>
        <v>0</v>
      </c>
      <c r="D1787" s="9" cm="1">
        <f t="array" ref="D1787">IFERROR(_xlfn.XLOOKUP(B1787,Personal!$A:$A,Personal!$C:$C,""),"")</f>
        <v>0</v>
      </c>
      <c r="E1787" s="9" t="str" cm="1">
        <f t="array" ref="E1787">IFERROR(_xlfn.XLOOKUP(D1787,Locales!$A:$A,Locales!$B:$B,""),"")</f>
        <v/>
      </c>
      <c r="F1787" s="9" cm="1">
        <f t="array" ref="F1787">IFERROR(_xlfn.XLOOKUP(B1787,Personal!$A:$A,Personal!$F:$F,""),"")</f>
        <v>0</v>
      </c>
      <c r="I1787" s="10" cm="1">
        <f t="array" ref="I1787">IFERROR(INDEX(Precios!$D:$F,MATCH(N1787, Precios!$G:$G, 0),CHOOSE(MATCH(H1787, {"SML";"XL";"XXL"}, 0), 1, 2, 3)), 0)</f>
        <v>0</v>
      </c>
      <c r="K1787" s="10">
        <f t="shared" si="62"/>
        <v>0</v>
      </c>
      <c r="N1787" s="9" t="str">
        <f t="shared" si="63"/>
        <v/>
      </c>
      <c r="O1787" s="9" t="str">
        <f>IF(N1787="","",IF(COUNTIF(Precios!$G:$G,N1787)=0,"⚠ No coincide con Precios","OK"))</f>
        <v/>
      </c>
    </row>
    <row r="1788" spans="3:15" x14ac:dyDescent="0.2">
      <c r="C1788" s="9" cm="1">
        <f t="array" ref="C1788">IFERROR(_xlfn.XLOOKUP(B1788,Personal!$A:$A,Personal!$D:$D,""),"")</f>
        <v>0</v>
      </c>
      <c r="D1788" s="9" cm="1">
        <f t="array" ref="D1788">IFERROR(_xlfn.XLOOKUP(B1788,Personal!$A:$A,Personal!$C:$C,""),"")</f>
        <v>0</v>
      </c>
      <c r="E1788" s="9" t="str" cm="1">
        <f t="array" ref="E1788">IFERROR(_xlfn.XLOOKUP(D1788,Locales!$A:$A,Locales!$B:$B,""),"")</f>
        <v/>
      </c>
      <c r="F1788" s="9" cm="1">
        <f t="array" ref="F1788">IFERROR(_xlfn.XLOOKUP(B1788,Personal!$A:$A,Personal!$F:$F,""),"")</f>
        <v>0</v>
      </c>
      <c r="I1788" s="10" cm="1">
        <f t="array" ref="I1788">IFERROR(INDEX(Precios!$D:$F,MATCH(N1788, Precios!$G:$G, 0),CHOOSE(MATCH(H1788, {"SML";"XL";"XXL"}, 0), 1, 2, 3)), 0)</f>
        <v>0</v>
      </c>
      <c r="K1788" s="10">
        <f t="shared" si="62"/>
        <v>0</v>
      </c>
      <c r="N1788" s="9" t="str">
        <f t="shared" si="63"/>
        <v/>
      </c>
      <c r="O1788" s="9" t="str">
        <f>IF(N1788="","",IF(COUNTIF(Precios!$G:$G,N1788)=0,"⚠ No coincide con Precios","OK"))</f>
        <v/>
      </c>
    </row>
    <row r="1789" spans="3:15" x14ac:dyDescent="0.2">
      <c r="C1789" s="9" cm="1">
        <f t="array" ref="C1789">IFERROR(_xlfn.XLOOKUP(B1789,Personal!$A:$A,Personal!$D:$D,""),"")</f>
        <v>0</v>
      </c>
      <c r="D1789" s="9" cm="1">
        <f t="array" ref="D1789">IFERROR(_xlfn.XLOOKUP(B1789,Personal!$A:$A,Personal!$C:$C,""),"")</f>
        <v>0</v>
      </c>
      <c r="E1789" s="9" t="str" cm="1">
        <f t="array" ref="E1789">IFERROR(_xlfn.XLOOKUP(D1789,Locales!$A:$A,Locales!$B:$B,""),"")</f>
        <v/>
      </c>
      <c r="F1789" s="9" cm="1">
        <f t="array" ref="F1789">IFERROR(_xlfn.XLOOKUP(B1789,Personal!$A:$A,Personal!$F:$F,""),"")</f>
        <v>0</v>
      </c>
      <c r="I1789" s="10" cm="1">
        <f t="array" ref="I1789">IFERROR(INDEX(Precios!$D:$F,MATCH(N1789, Precios!$G:$G, 0),CHOOSE(MATCH(H1789, {"SML";"XL";"XXL"}, 0), 1, 2, 3)), 0)</f>
        <v>0</v>
      </c>
      <c r="K1789" s="10">
        <f t="shared" si="62"/>
        <v>0</v>
      </c>
      <c r="N1789" s="9" t="str">
        <f t="shared" si="63"/>
        <v/>
      </c>
      <c r="O1789" s="9" t="str">
        <f>IF(N1789="","",IF(COUNTIF(Precios!$G:$G,N1789)=0,"⚠ No coincide con Precios","OK"))</f>
        <v/>
      </c>
    </row>
    <row r="1790" spans="3:15" x14ac:dyDescent="0.2">
      <c r="C1790" s="9" cm="1">
        <f t="array" ref="C1790">IFERROR(_xlfn.XLOOKUP(B1790,Personal!$A:$A,Personal!$D:$D,""),"")</f>
        <v>0</v>
      </c>
      <c r="D1790" s="9" cm="1">
        <f t="array" ref="D1790">IFERROR(_xlfn.XLOOKUP(B1790,Personal!$A:$A,Personal!$C:$C,""),"")</f>
        <v>0</v>
      </c>
      <c r="E1790" s="9" t="str" cm="1">
        <f t="array" ref="E1790">IFERROR(_xlfn.XLOOKUP(D1790,Locales!$A:$A,Locales!$B:$B,""),"")</f>
        <v/>
      </c>
      <c r="F1790" s="9" cm="1">
        <f t="array" ref="F1790">IFERROR(_xlfn.XLOOKUP(B1790,Personal!$A:$A,Personal!$F:$F,""),"")</f>
        <v>0</v>
      </c>
      <c r="I1790" s="10" cm="1">
        <f t="array" ref="I1790">IFERROR(INDEX(Precios!$D:$F,MATCH(N1790, Precios!$G:$G, 0),CHOOSE(MATCH(H1790, {"SML";"XL";"XXL"}, 0), 1, 2, 3)), 0)</f>
        <v>0</v>
      </c>
      <c r="K1790" s="10">
        <f t="shared" si="62"/>
        <v>0</v>
      </c>
      <c r="N1790" s="9" t="str">
        <f t="shared" si="63"/>
        <v/>
      </c>
      <c r="O1790" s="9" t="str">
        <f>IF(N1790="","",IF(COUNTIF(Precios!$G:$G,N1790)=0,"⚠ No coincide con Precios","OK"))</f>
        <v/>
      </c>
    </row>
    <row r="1791" spans="3:15" x14ac:dyDescent="0.2">
      <c r="C1791" s="9" cm="1">
        <f t="array" ref="C1791">IFERROR(_xlfn.XLOOKUP(B1791,Personal!$A:$A,Personal!$D:$D,""),"")</f>
        <v>0</v>
      </c>
      <c r="D1791" s="9" cm="1">
        <f t="array" ref="D1791">IFERROR(_xlfn.XLOOKUP(B1791,Personal!$A:$A,Personal!$C:$C,""),"")</f>
        <v>0</v>
      </c>
      <c r="E1791" s="9" t="str" cm="1">
        <f t="array" ref="E1791">IFERROR(_xlfn.XLOOKUP(D1791,Locales!$A:$A,Locales!$B:$B,""),"")</f>
        <v/>
      </c>
      <c r="F1791" s="9" cm="1">
        <f t="array" ref="F1791">IFERROR(_xlfn.XLOOKUP(B1791,Personal!$A:$A,Personal!$F:$F,""),"")</f>
        <v>0</v>
      </c>
      <c r="I1791" s="10" cm="1">
        <f t="array" ref="I1791">IFERROR(INDEX(Precios!$D:$F,MATCH(N1791, Precios!$G:$G, 0),CHOOSE(MATCH(H1791, {"SML";"XL";"XXL"}, 0), 1, 2, 3)), 0)</f>
        <v>0</v>
      </c>
      <c r="K1791" s="10">
        <f t="shared" si="62"/>
        <v>0</v>
      </c>
      <c r="N1791" s="9" t="str">
        <f t="shared" si="63"/>
        <v/>
      </c>
      <c r="O1791" s="9" t="str">
        <f>IF(N1791="","",IF(COUNTIF(Precios!$G:$G,N1791)=0,"⚠ No coincide con Precios","OK"))</f>
        <v/>
      </c>
    </row>
    <row r="1792" spans="3:15" x14ac:dyDescent="0.2">
      <c r="C1792" s="9" cm="1">
        <f t="array" ref="C1792">IFERROR(_xlfn.XLOOKUP(B1792,Personal!$A:$A,Personal!$D:$D,""),"")</f>
        <v>0</v>
      </c>
      <c r="D1792" s="9" cm="1">
        <f t="array" ref="D1792">IFERROR(_xlfn.XLOOKUP(B1792,Personal!$A:$A,Personal!$C:$C,""),"")</f>
        <v>0</v>
      </c>
      <c r="E1792" s="9" t="str" cm="1">
        <f t="array" ref="E1792">IFERROR(_xlfn.XLOOKUP(D1792,Locales!$A:$A,Locales!$B:$B,""),"")</f>
        <v/>
      </c>
      <c r="F1792" s="9" cm="1">
        <f t="array" ref="F1792">IFERROR(_xlfn.XLOOKUP(B1792,Personal!$A:$A,Personal!$F:$F,""),"")</f>
        <v>0</v>
      </c>
      <c r="I1792" s="10" cm="1">
        <f t="array" ref="I1792">IFERROR(INDEX(Precios!$D:$F,MATCH(N1792, Precios!$G:$G, 0),CHOOSE(MATCH(H1792, {"SML";"XL";"XXL"}, 0), 1, 2, 3)), 0)</f>
        <v>0</v>
      </c>
      <c r="K1792" s="10">
        <f t="shared" ref="K1792:K1855" si="64">IFERROR(I1792*J1792,0)</f>
        <v>0</v>
      </c>
      <c r="N1792" s="9" t="str">
        <f t="shared" ref="N1792:N1855" si="65">IF( OR(E1792="",F1792="",G1792=""), "",CLEAN(TRIM(E1792)) &amp; "|" &amp; CLEAN(TRIM(F1792)) &amp; "|" &amp; CLEAN(TRIM(G1792)))</f>
        <v/>
      </c>
      <c r="O1792" s="9" t="str">
        <f>IF(N1792="","",IF(COUNTIF(Precios!$G:$G,N1792)=0,"⚠ No coincide con Precios","OK"))</f>
        <v/>
      </c>
    </row>
    <row r="1793" spans="3:15" x14ac:dyDescent="0.2">
      <c r="C1793" s="9" cm="1">
        <f t="array" ref="C1793">IFERROR(_xlfn.XLOOKUP(B1793,Personal!$A:$A,Personal!$D:$D,""),"")</f>
        <v>0</v>
      </c>
      <c r="D1793" s="9" cm="1">
        <f t="array" ref="D1793">IFERROR(_xlfn.XLOOKUP(B1793,Personal!$A:$A,Personal!$C:$C,""),"")</f>
        <v>0</v>
      </c>
      <c r="E1793" s="9" t="str" cm="1">
        <f t="array" ref="E1793">IFERROR(_xlfn.XLOOKUP(D1793,Locales!$A:$A,Locales!$B:$B,""),"")</f>
        <v/>
      </c>
      <c r="F1793" s="9" cm="1">
        <f t="array" ref="F1793">IFERROR(_xlfn.XLOOKUP(B1793,Personal!$A:$A,Personal!$F:$F,""),"")</f>
        <v>0</v>
      </c>
      <c r="I1793" s="10" cm="1">
        <f t="array" ref="I1793">IFERROR(INDEX(Precios!$D:$F,MATCH(N1793, Precios!$G:$G, 0),CHOOSE(MATCH(H1793, {"SML";"XL";"XXL"}, 0), 1, 2, 3)), 0)</f>
        <v>0</v>
      </c>
      <c r="K1793" s="10">
        <f t="shared" si="64"/>
        <v>0</v>
      </c>
      <c r="N1793" s="9" t="str">
        <f t="shared" si="65"/>
        <v/>
      </c>
      <c r="O1793" s="9" t="str">
        <f>IF(N1793="","",IF(COUNTIF(Precios!$G:$G,N1793)=0,"⚠ No coincide con Precios","OK"))</f>
        <v/>
      </c>
    </row>
    <row r="1794" spans="3:15" x14ac:dyDescent="0.2">
      <c r="C1794" s="9" cm="1">
        <f t="array" ref="C1794">IFERROR(_xlfn.XLOOKUP(B1794,Personal!$A:$A,Personal!$D:$D,""),"")</f>
        <v>0</v>
      </c>
      <c r="D1794" s="9" cm="1">
        <f t="array" ref="D1794">IFERROR(_xlfn.XLOOKUP(B1794,Personal!$A:$A,Personal!$C:$C,""),"")</f>
        <v>0</v>
      </c>
      <c r="E1794" s="9" t="str" cm="1">
        <f t="array" ref="E1794">IFERROR(_xlfn.XLOOKUP(D1794,Locales!$A:$A,Locales!$B:$B,""),"")</f>
        <v/>
      </c>
      <c r="F1794" s="9" cm="1">
        <f t="array" ref="F1794">IFERROR(_xlfn.XLOOKUP(B1794,Personal!$A:$A,Personal!$F:$F,""),"")</f>
        <v>0</v>
      </c>
      <c r="I1794" s="10" cm="1">
        <f t="array" ref="I1794">IFERROR(INDEX(Precios!$D:$F,MATCH(N1794, Precios!$G:$G, 0),CHOOSE(MATCH(H1794, {"SML";"XL";"XXL"}, 0), 1, 2, 3)), 0)</f>
        <v>0</v>
      </c>
      <c r="K1794" s="10">
        <f t="shared" si="64"/>
        <v>0</v>
      </c>
      <c r="N1794" s="9" t="str">
        <f t="shared" si="65"/>
        <v/>
      </c>
      <c r="O1794" s="9" t="str">
        <f>IF(N1794="","",IF(COUNTIF(Precios!$G:$G,N1794)=0,"⚠ No coincide con Precios","OK"))</f>
        <v/>
      </c>
    </row>
    <row r="1795" spans="3:15" x14ac:dyDescent="0.2">
      <c r="C1795" s="9" cm="1">
        <f t="array" ref="C1795">IFERROR(_xlfn.XLOOKUP(B1795,Personal!$A:$A,Personal!$D:$D,""),"")</f>
        <v>0</v>
      </c>
      <c r="D1795" s="9" cm="1">
        <f t="array" ref="D1795">IFERROR(_xlfn.XLOOKUP(B1795,Personal!$A:$A,Personal!$C:$C,""),"")</f>
        <v>0</v>
      </c>
      <c r="E1795" s="9" t="str" cm="1">
        <f t="array" ref="E1795">IFERROR(_xlfn.XLOOKUP(D1795,Locales!$A:$A,Locales!$B:$B,""),"")</f>
        <v/>
      </c>
      <c r="F1795" s="9" cm="1">
        <f t="array" ref="F1795">IFERROR(_xlfn.XLOOKUP(B1795,Personal!$A:$A,Personal!$F:$F,""),"")</f>
        <v>0</v>
      </c>
      <c r="I1795" s="10" cm="1">
        <f t="array" ref="I1795">IFERROR(INDEX(Precios!$D:$F,MATCH(N1795, Precios!$G:$G, 0),CHOOSE(MATCH(H1795, {"SML";"XL";"XXL"}, 0), 1, 2, 3)), 0)</f>
        <v>0</v>
      </c>
      <c r="K1795" s="10">
        <f t="shared" si="64"/>
        <v>0</v>
      </c>
      <c r="N1795" s="9" t="str">
        <f t="shared" si="65"/>
        <v/>
      </c>
      <c r="O1795" s="9" t="str">
        <f>IF(N1795="","",IF(COUNTIF(Precios!$G:$G,N1795)=0,"⚠ No coincide con Precios","OK"))</f>
        <v/>
      </c>
    </row>
    <row r="1796" spans="3:15" x14ac:dyDescent="0.2">
      <c r="C1796" s="9" cm="1">
        <f t="array" ref="C1796">IFERROR(_xlfn.XLOOKUP(B1796,Personal!$A:$A,Personal!$D:$D,""),"")</f>
        <v>0</v>
      </c>
      <c r="D1796" s="9" cm="1">
        <f t="array" ref="D1796">IFERROR(_xlfn.XLOOKUP(B1796,Personal!$A:$A,Personal!$C:$C,""),"")</f>
        <v>0</v>
      </c>
      <c r="E1796" s="9" t="str" cm="1">
        <f t="array" ref="E1796">IFERROR(_xlfn.XLOOKUP(D1796,Locales!$A:$A,Locales!$B:$B,""),"")</f>
        <v/>
      </c>
      <c r="F1796" s="9" cm="1">
        <f t="array" ref="F1796">IFERROR(_xlfn.XLOOKUP(B1796,Personal!$A:$A,Personal!$F:$F,""),"")</f>
        <v>0</v>
      </c>
      <c r="I1796" s="10" cm="1">
        <f t="array" ref="I1796">IFERROR(INDEX(Precios!$D:$F,MATCH(N1796, Precios!$G:$G, 0),CHOOSE(MATCH(H1796, {"SML";"XL";"XXL"}, 0), 1, 2, 3)), 0)</f>
        <v>0</v>
      </c>
      <c r="K1796" s="10">
        <f t="shared" si="64"/>
        <v>0</v>
      </c>
      <c r="N1796" s="9" t="str">
        <f t="shared" si="65"/>
        <v/>
      </c>
      <c r="O1796" s="9" t="str">
        <f>IF(N1796="","",IF(COUNTIF(Precios!$G:$G,N1796)=0,"⚠ No coincide con Precios","OK"))</f>
        <v/>
      </c>
    </row>
    <row r="1797" spans="3:15" x14ac:dyDescent="0.2">
      <c r="C1797" s="9" cm="1">
        <f t="array" ref="C1797">IFERROR(_xlfn.XLOOKUP(B1797,Personal!$A:$A,Personal!$D:$D,""),"")</f>
        <v>0</v>
      </c>
      <c r="D1797" s="9" cm="1">
        <f t="array" ref="D1797">IFERROR(_xlfn.XLOOKUP(B1797,Personal!$A:$A,Personal!$C:$C,""),"")</f>
        <v>0</v>
      </c>
      <c r="E1797" s="9" t="str" cm="1">
        <f t="array" ref="E1797">IFERROR(_xlfn.XLOOKUP(D1797,Locales!$A:$A,Locales!$B:$B,""),"")</f>
        <v/>
      </c>
      <c r="F1797" s="9" cm="1">
        <f t="array" ref="F1797">IFERROR(_xlfn.XLOOKUP(B1797,Personal!$A:$A,Personal!$F:$F,""),"")</f>
        <v>0</v>
      </c>
      <c r="I1797" s="10" cm="1">
        <f t="array" ref="I1797">IFERROR(INDEX(Precios!$D:$F,MATCH(N1797, Precios!$G:$G, 0),CHOOSE(MATCH(H1797, {"SML";"XL";"XXL"}, 0), 1, 2, 3)), 0)</f>
        <v>0</v>
      </c>
      <c r="K1797" s="10">
        <f t="shared" si="64"/>
        <v>0</v>
      </c>
      <c r="N1797" s="9" t="str">
        <f t="shared" si="65"/>
        <v/>
      </c>
      <c r="O1797" s="9" t="str">
        <f>IF(N1797="","",IF(COUNTIF(Precios!$G:$G,N1797)=0,"⚠ No coincide con Precios","OK"))</f>
        <v/>
      </c>
    </row>
    <row r="1798" spans="3:15" x14ac:dyDescent="0.2">
      <c r="C1798" s="9" cm="1">
        <f t="array" ref="C1798">IFERROR(_xlfn.XLOOKUP(B1798,Personal!$A:$A,Personal!$D:$D,""),"")</f>
        <v>0</v>
      </c>
      <c r="D1798" s="9" cm="1">
        <f t="array" ref="D1798">IFERROR(_xlfn.XLOOKUP(B1798,Personal!$A:$A,Personal!$C:$C,""),"")</f>
        <v>0</v>
      </c>
      <c r="E1798" s="9" t="str" cm="1">
        <f t="array" ref="E1798">IFERROR(_xlfn.XLOOKUP(D1798,Locales!$A:$A,Locales!$B:$B,""),"")</f>
        <v/>
      </c>
      <c r="F1798" s="9" cm="1">
        <f t="array" ref="F1798">IFERROR(_xlfn.XLOOKUP(B1798,Personal!$A:$A,Personal!$F:$F,""),"")</f>
        <v>0</v>
      </c>
      <c r="I1798" s="10" cm="1">
        <f t="array" ref="I1798">IFERROR(INDEX(Precios!$D:$F,MATCH(N1798, Precios!$G:$G, 0),CHOOSE(MATCH(H1798, {"SML";"XL";"XXL"}, 0), 1, 2, 3)), 0)</f>
        <v>0</v>
      </c>
      <c r="K1798" s="10">
        <f t="shared" si="64"/>
        <v>0</v>
      </c>
      <c r="N1798" s="9" t="str">
        <f t="shared" si="65"/>
        <v/>
      </c>
      <c r="O1798" s="9" t="str">
        <f>IF(N1798="","",IF(COUNTIF(Precios!$G:$G,N1798)=0,"⚠ No coincide con Precios","OK"))</f>
        <v/>
      </c>
    </row>
    <row r="1799" spans="3:15" x14ac:dyDescent="0.2">
      <c r="C1799" s="9" cm="1">
        <f t="array" ref="C1799">IFERROR(_xlfn.XLOOKUP(B1799,Personal!$A:$A,Personal!$D:$D,""),"")</f>
        <v>0</v>
      </c>
      <c r="D1799" s="9" cm="1">
        <f t="array" ref="D1799">IFERROR(_xlfn.XLOOKUP(B1799,Personal!$A:$A,Personal!$C:$C,""),"")</f>
        <v>0</v>
      </c>
      <c r="E1799" s="9" t="str" cm="1">
        <f t="array" ref="E1799">IFERROR(_xlfn.XLOOKUP(D1799,Locales!$A:$A,Locales!$B:$B,""),"")</f>
        <v/>
      </c>
      <c r="F1799" s="9" cm="1">
        <f t="array" ref="F1799">IFERROR(_xlfn.XLOOKUP(B1799,Personal!$A:$A,Personal!$F:$F,""),"")</f>
        <v>0</v>
      </c>
      <c r="I1799" s="10" cm="1">
        <f t="array" ref="I1799">IFERROR(INDEX(Precios!$D:$F,MATCH(N1799, Precios!$G:$G, 0),CHOOSE(MATCH(H1799, {"SML";"XL";"XXL"}, 0), 1, 2, 3)), 0)</f>
        <v>0</v>
      </c>
      <c r="K1799" s="10">
        <f t="shared" si="64"/>
        <v>0</v>
      </c>
      <c r="N1799" s="9" t="str">
        <f t="shared" si="65"/>
        <v/>
      </c>
      <c r="O1799" s="9" t="str">
        <f>IF(N1799="","",IF(COUNTIF(Precios!$G:$G,N1799)=0,"⚠ No coincide con Precios","OK"))</f>
        <v/>
      </c>
    </row>
    <row r="1800" spans="3:15" x14ac:dyDescent="0.2">
      <c r="C1800" s="9" cm="1">
        <f t="array" ref="C1800">IFERROR(_xlfn.XLOOKUP(B1800,Personal!$A:$A,Personal!$D:$D,""),"")</f>
        <v>0</v>
      </c>
      <c r="D1800" s="9" cm="1">
        <f t="array" ref="D1800">IFERROR(_xlfn.XLOOKUP(B1800,Personal!$A:$A,Personal!$C:$C,""),"")</f>
        <v>0</v>
      </c>
      <c r="E1800" s="9" t="str" cm="1">
        <f t="array" ref="E1800">IFERROR(_xlfn.XLOOKUP(D1800,Locales!$A:$A,Locales!$B:$B,""),"")</f>
        <v/>
      </c>
      <c r="F1800" s="9" cm="1">
        <f t="array" ref="F1800">IFERROR(_xlfn.XLOOKUP(B1800,Personal!$A:$A,Personal!$F:$F,""),"")</f>
        <v>0</v>
      </c>
      <c r="I1800" s="10" cm="1">
        <f t="array" ref="I1800">IFERROR(INDEX(Precios!$D:$F,MATCH(N1800, Precios!$G:$G, 0),CHOOSE(MATCH(H1800, {"SML";"XL";"XXL"}, 0), 1, 2, 3)), 0)</f>
        <v>0</v>
      </c>
      <c r="K1800" s="10">
        <f t="shared" si="64"/>
        <v>0</v>
      </c>
      <c r="N1800" s="9" t="str">
        <f t="shared" si="65"/>
        <v/>
      </c>
      <c r="O1800" s="9" t="str">
        <f>IF(N1800="","",IF(COUNTIF(Precios!$G:$G,N1800)=0,"⚠ No coincide con Precios","OK"))</f>
        <v/>
      </c>
    </row>
    <row r="1801" spans="3:15" x14ac:dyDescent="0.2">
      <c r="C1801" s="9" cm="1">
        <f t="array" ref="C1801">IFERROR(_xlfn.XLOOKUP(B1801,Personal!$A:$A,Personal!$D:$D,""),"")</f>
        <v>0</v>
      </c>
      <c r="D1801" s="9" cm="1">
        <f t="array" ref="D1801">IFERROR(_xlfn.XLOOKUP(B1801,Personal!$A:$A,Personal!$C:$C,""),"")</f>
        <v>0</v>
      </c>
      <c r="E1801" s="9" t="str" cm="1">
        <f t="array" ref="E1801">IFERROR(_xlfn.XLOOKUP(D1801,Locales!$A:$A,Locales!$B:$B,""),"")</f>
        <v/>
      </c>
      <c r="F1801" s="9" cm="1">
        <f t="array" ref="F1801">IFERROR(_xlfn.XLOOKUP(B1801,Personal!$A:$A,Personal!$F:$F,""),"")</f>
        <v>0</v>
      </c>
      <c r="I1801" s="10" cm="1">
        <f t="array" ref="I1801">IFERROR(INDEX(Precios!$D:$F,MATCH(N1801, Precios!$G:$G, 0),CHOOSE(MATCH(H1801, {"SML";"XL";"XXL"}, 0), 1, 2, 3)), 0)</f>
        <v>0</v>
      </c>
      <c r="K1801" s="10">
        <f t="shared" si="64"/>
        <v>0</v>
      </c>
      <c r="N1801" s="9" t="str">
        <f t="shared" si="65"/>
        <v/>
      </c>
      <c r="O1801" s="9" t="str">
        <f>IF(N1801="","",IF(COUNTIF(Precios!$G:$G,N1801)=0,"⚠ No coincide con Precios","OK"))</f>
        <v/>
      </c>
    </row>
    <row r="1802" spans="3:15" x14ac:dyDescent="0.2">
      <c r="C1802" s="9" cm="1">
        <f t="array" ref="C1802">IFERROR(_xlfn.XLOOKUP(B1802,Personal!$A:$A,Personal!$D:$D,""),"")</f>
        <v>0</v>
      </c>
      <c r="D1802" s="9" cm="1">
        <f t="array" ref="D1802">IFERROR(_xlfn.XLOOKUP(B1802,Personal!$A:$A,Personal!$C:$C,""),"")</f>
        <v>0</v>
      </c>
      <c r="E1802" s="9" t="str" cm="1">
        <f t="array" ref="E1802">IFERROR(_xlfn.XLOOKUP(D1802,Locales!$A:$A,Locales!$B:$B,""),"")</f>
        <v/>
      </c>
      <c r="F1802" s="9" cm="1">
        <f t="array" ref="F1802">IFERROR(_xlfn.XLOOKUP(B1802,Personal!$A:$A,Personal!$F:$F,""),"")</f>
        <v>0</v>
      </c>
      <c r="I1802" s="10" cm="1">
        <f t="array" ref="I1802">IFERROR(INDEX(Precios!$D:$F,MATCH(N1802, Precios!$G:$G, 0),CHOOSE(MATCH(H1802, {"SML";"XL";"XXL"}, 0), 1, 2, 3)), 0)</f>
        <v>0</v>
      </c>
      <c r="K1802" s="10">
        <f t="shared" si="64"/>
        <v>0</v>
      </c>
      <c r="N1802" s="9" t="str">
        <f t="shared" si="65"/>
        <v/>
      </c>
      <c r="O1802" s="9" t="str">
        <f>IF(N1802="","",IF(COUNTIF(Precios!$G:$G,N1802)=0,"⚠ No coincide con Precios","OK"))</f>
        <v/>
      </c>
    </row>
    <row r="1803" spans="3:15" x14ac:dyDescent="0.2">
      <c r="C1803" s="9" cm="1">
        <f t="array" ref="C1803">IFERROR(_xlfn.XLOOKUP(B1803,Personal!$A:$A,Personal!$D:$D,""),"")</f>
        <v>0</v>
      </c>
      <c r="D1803" s="9" cm="1">
        <f t="array" ref="D1803">IFERROR(_xlfn.XLOOKUP(B1803,Personal!$A:$A,Personal!$C:$C,""),"")</f>
        <v>0</v>
      </c>
      <c r="E1803" s="9" t="str" cm="1">
        <f t="array" ref="E1803">IFERROR(_xlfn.XLOOKUP(D1803,Locales!$A:$A,Locales!$B:$B,""),"")</f>
        <v/>
      </c>
      <c r="F1803" s="9" cm="1">
        <f t="array" ref="F1803">IFERROR(_xlfn.XLOOKUP(B1803,Personal!$A:$A,Personal!$F:$F,""),"")</f>
        <v>0</v>
      </c>
      <c r="I1803" s="10" cm="1">
        <f t="array" ref="I1803">IFERROR(INDEX(Precios!$D:$F,MATCH(N1803, Precios!$G:$G, 0),CHOOSE(MATCH(H1803, {"SML";"XL";"XXL"}, 0), 1, 2, 3)), 0)</f>
        <v>0</v>
      </c>
      <c r="K1803" s="10">
        <f t="shared" si="64"/>
        <v>0</v>
      </c>
      <c r="N1803" s="9" t="str">
        <f t="shared" si="65"/>
        <v/>
      </c>
      <c r="O1803" s="9" t="str">
        <f>IF(N1803="","",IF(COUNTIF(Precios!$G:$G,N1803)=0,"⚠ No coincide con Precios","OK"))</f>
        <v/>
      </c>
    </row>
    <row r="1804" spans="3:15" x14ac:dyDescent="0.2">
      <c r="C1804" s="9" cm="1">
        <f t="array" ref="C1804">IFERROR(_xlfn.XLOOKUP(B1804,Personal!$A:$A,Personal!$D:$D,""),"")</f>
        <v>0</v>
      </c>
      <c r="D1804" s="9" cm="1">
        <f t="array" ref="D1804">IFERROR(_xlfn.XLOOKUP(B1804,Personal!$A:$A,Personal!$C:$C,""),"")</f>
        <v>0</v>
      </c>
      <c r="E1804" s="9" t="str" cm="1">
        <f t="array" ref="E1804">IFERROR(_xlfn.XLOOKUP(D1804,Locales!$A:$A,Locales!$B:$B,""),"")</f>
        <v/>
      </c>
      <c r="F1804" s="9" cm="1">
        <f t="array" ref="F1804">IFERROR(_xlfn.XLOOKUP(B1804,Personal!$A:$A,Personal!$F:$F,""),"")</f>
        <v>0</v>
      </c>
      <c r="I1804" s="10" cm="1">
        <f t="array" ref="I1804">IFERROR(INDEX(Precios!$D:$F,MATCH(N1804, Precios!$G:$G, 0),CHOOSE(MATCH(H1804, {"SML";"XL";"XXL"}, 0), 1, 2, 3)), 0)</f>
        <v>0</v>
      </c>
      <c r="K1804" s="10">
        <f t="shared" si="64"/>
        <v>0</v>
      </c>
      <c r="N1804" s="9" t="str">
        <f t="shared" si="65"/>
        <v/>
      </c>
      <c r="O1804" s="9" t="str">
        <f>IF(N1804="","",IF(COUNTIF(Precios!$G:$G,N1804)=0,"⚠ No coincide con Precios","OK"))</f>
        <v/>
      </c>
    </row>
    <row r="1805" spans="3:15" x14ac:dyDescent="0.2">
      <c r="C1805" s="9" cm="1">
        <f t="array" ref="C1805">IFERROR(_xlfn.XLOOKUP(B1805,Personal!$A:$A,Personal!$D:$D,""),"")</f>
        <v>0</v>
      </c>
      <c r="D1805" s="9" cm="1">
        <f t="array" ref="D1805">IFERROR(_xlfn.XLOOKUP(B1805,Personal!$A:$A,Personal!$C:$C,""),"")</f>
        <v>0</v>
      </c>
      <c r="E1805" s="9" t="str" cm="1">
        <f t="array" ref="E1805">IFERROR(_xlfn.XLOOKUP(D1805,Locales!$A:$A,Locales!$B:$B,""),"")</f>
        <v/>
      </c>
      <c r="F1805" s="9" cm="1">
        <f t="array" ref="F1805">IFERROR(_xlfn.XLOOKUP(B1805,Personal!$A:$A,Personal!$F:$F,""),"")</f>
        <v>0</v>
      </c>
      <c r="I1805" s="10" cm="1">
        <f t="array" ref="I1805">IFERROR(INDEX(Precios!$D:$F,MATCH(N1805, Precios!$G:$G, 0),CHOOSE(MATCH(H1805, {"SML";"XL";"XXL"}, 0), 1, 2, 3)), 0)</f>
        <v>0</v>
      </c>
      <c r="K1805" s="10">
        <f t="shared" si="64"/>
        <v>0</v>
      </c>
      <c r="N1805" s="9" t="str">
        <f t="shared" si="65"/>
        <v/>
      </c>
      <c r="O1805" s="9" t="str">
        <f>IF(N1805="","",IF(COUNTIF(Precios!$G:$G,N1805)=0,"⚠ No coincide con Precios","OK"))</f>
        <v/>
      </c>
    </row>
    <row r="1806" spans="3:15" x14ac:dyDescent="0.2">
      <c r="C1806" s="9" cm="1">
        <f t="array" ref="C1806">IFERROR(_xlfn.XLOOKUP(B1806,Personal!$A:$A,Personal!$D:$D,""),"")</f>
        <v>0</v>
      </c>
      <c r="D1806" s="9" cm="1">
        <f t="array" ref="D1806">IFERROR(_xlfn.XLOOKUP(B1806,Personal!$A:$A,Personal!$C:$C,""),"")</f>
        <v>0</v>
      </c>
      <c r="E1806" s="9" t="str" cm="1">
        <f t="array" ref="E1806">IFERROR(_xlfn.XLOOKUP(D1806,Locales!$A:$A,Locales!$B:$B,""),"")</f>
        <v/>
      </c>
      <c r="F1806" s="9" cm="1">
        <f t="array" ref="F1806">IFERROR(_xlfn.XLOOKUP(B1806,Personal!$A:$A,Personal!$F:$F,""),"")</f>
        <v>0</v>
      </c>
      <c r="I1806" s="10" cm="1">
        <f t="array" ref="I1806">IFERROR(INDEX(Precios!$D:$F,MATCH(N1806, Precios!$G:$G, 0),CHOOSE(MATCH(H1806, {"SML";"XL";"XXL"}, 0), 1, 2, 3)), 0)</f>
        <v>0</v>
      </c>
      <c r="K1806" s="10">
        <f t="shared" si="64"/>
        <v>0</v>
      </c>
      <c r="N1806" s="9" t="str">
        <f t="shared" si="65"/>
        <v/>
      </c>
      <c r="O1806" s="9" t="str">
        <f>IF(N1806="","",IF(COUNTIF(Precios!$G:$G,N1806)=0,"⚠ No coincide con Precios","OK"))</f>
        <v/>
      </c>
    </row>
    <row r="1807" spans="3:15" x14ac:dyDescent="0.2">
      <c r="C1807" s="9" cm="1">
        <f t="array" ref="C1807">IFERROR(_xlfn.XLOOKUP(B1807,Personal!$A:$A,Personal!$D:$D,""),"")</f>
        <v>0</v>
      </c>
      <c r="D1807" s="9" cm="1">
        <f t="array" ref="D1807">IFERROR(_xlfn.XLOOKUP(B1807,Personal!$A:$A,Personal!$C:$C,""),"")</f>
        <v>0</v>
      </c>
      <c r="E1807" s="9" t="str" cm="1">
        <f t="array" ref="E1807">IFERROR(_xlfn.XLOOKUP(D1807,Locales!$A:$A,Locales!$B:$B,""),"")</f>
        <v/>
      </c>
      <c r="F1807" s="9" cm="1">
        <f t="array" ref="F1807">IFERROR(_xlfn.XLOOKUP(B1807,Personal!$A:$A,Personal!$F:$F,""),"")</f>
        <v>0</v>
      </c>
      <c r="I1807" s="10" cm="1">
        <f t="array" ref="I1807">IFERROR(INDEX(Precios!$D:$F,MATCH(N1807, Precios!$G:$G, 0),CHOOSE(MATCH(H1807, {"SML";"XL";"XXL"}, 0), 1, 2, 3)), 0)</f>
        <v>0</v>
      </c>
      <c r="K1807" s="10">
        <f t="shared" si="64"/>
        <v>0</v>
      </c>
      <c r="N1807" s="9" t="str">
        <f t="shared" si="65"/>
        <v/>
      </c>
      <c r="O1807" s="9" t="str">
        <f>IF(N1807="","",IF(COUNTIF(Precios!$G:$G,N1807)=0,"⚠ No coincide con Precios","OK"))</f>
        <v/>
      </c>
    </row>
    <row r="1808" spans="3:15" x14ac:dyDescent="0.2">
      <c r="C1808" s="9" cm="1">
        <f t="array" ref="C1808">IFERROR(_xlfn.XLOOKUP(B1808,Personal!$A:$A,Personal!$D:$D,""),"")</f>
        <v>0</v>
      </c>
      <c r="D1808" s="9" cm="1">
        <f t="array" ref="D1808">IFERROR(_xlfn.XLOOKUP(B1808,Personal!$A:$A,Personal!$C:$C,""),"")</f>
        <v>0</v>
      </c>
      <c r="E1808" s="9" t="str" cm="1">
        <f t="array" ref="E1808">IFERROR(_xlfn.XLOOKUP(D1808,Locales!$A:$A,Locales!$B:$B,""),"")</f>
        <v/>
      </c>
      <c r="F1808" s="9" cm="1">
        <f t="array" ref="F1808">IFERROR(_xlfn.XLOOKUP(B1808,Personal!$A:$A,Personal!$F:$F,""),"")</f>
        <v>0</v>
      </c>
      <c r="I1808" s="10" cm="1">
        <f t="array" ref="I1808">IFERROR(INDEX(Precios!$D:$F,MATCH(N1808, Precios!$G:$G, 0),CHOOSE(MATCH(H1808, {"SML";"XL";"XXL"}, 0), 1, 2, 3)), 0)</f>
        <v>0</v>
      </c>
      <c r="K1808" s="10">
        <f t="shared" si="64"/>
        <v>0</v>
      </c>
      <c r="N1808" s="9" t="str">
        <f t="shared" si="65"/>
        <v/>
      </c>
      <c r="O1808" s="9" t="str">
        <f>IF(N1808="","",IF(COUNTIF(Precios!$G:$G,N1808)=0,"⚠ No coincide con Precios","OK"))</f>
        <v/>
      </c>
    </row>
    <row r="1809" spans="3:15" x14ac:dyDescent="0.2">
      <c r="C1809" s="9" cm="1">
        <f t="array" ref="C1809">IFERROR(_xlfn.XLOOKUP(B1809,Personal!$A:$A,Personal!$D:$D,""),"")</f>
        <v>0</v>
      </c>
      <c r="D1809" s="9" cm="1">
        <f t="array" ref="D1809">IFERROR(_xlfn.XLOOKUP(B1809,Personal!$A:$A,Personal!$C:$C,""),"")</f>
        <v>0</v>
      </c>
      <c r="E1809" s="9" t="str" cm="1">
        <f t="array" ref="E1809">IFERROR(_xlfn.XLOOKUP(D1809,Locales!$A:$A,Locales!$B:$B,""),"")</f>
        <v/>
      </c>
      <c r="F1809" s="9" cm="1">
        <f t="array" ref="F1809">IFERROR(_xlfn.XLOOKUP(B1809,Personal!$A:$A,Personal!$F:$F,""),"")</f>
        <v>0</v>
      </c>
      <c r="I1809" s="10" cm="1">
        <f t="array" ref="I1809">IFERROR(INDEX(Precios!$D:$F,MATCH(N1809, Precios!$G:$G, 0),CHOOSE(MATCH(H1809, {"SML";"XL";"XXL"}, 0), 1, 2, 3)), 0)</f>
        <v>0</v>
      </c>
      <c r="K1809" s="10">
        <f t="shared" si="64"/>
        <v>0</v>
      </c>
      <c r="N1809" s="9" t="str">
        <f t="shared" si="65"/>
        <v/>
      </c>
      <c r="O1809" s="9" t="str">
        <f>IF(N1809="","",IF(COUNTIF(Precios!$G:$G,N1809)=0,"⚠ No coincide con Precios","OK"))</f>
        <v/>
      </c>
    </row>
    <row r="1810" spans="3:15" x14ac:dyDescent="0.2">
      <c r="C1810" s="9" cm="1">
        <f t="array" ref="C1810">IFERROR(_xlfn.XLOOKUP(B1810,Personal!$A:$A,Personal!$D:$D,""),"")</f>
        <v>0</v>
      </c>
      <c r="D1810" s="9" cm="1">
        <f t="array" ref="D1810">IFERROR(_xlfn.XLOOKUP(B1810,Personal!$A:$A,Personal!$C:$C,""),"")</f>
        <v>0</v>
      </c>
      <c r="E1810" s="9" t="str" cm="1">
        <f t="array" ref="E1810">IFERROR(_xlfn.XLOOKUP(D1810,Locales!$A:$A,Locales!$B:$B,""),"")</f>
        <v/>
      </c>
      <c r="F1810" s="9" cm="1">
        <f t="array" ref="F1810">IFERROR(_xlfn.XLOOKUP(B1810,Personal!$A:$A,Personal!$F:$F,""),"")</f>
        <v>0</v>
      </c>
      <c r="I1810" s="10" cm="1">
        <f t="array" ref="I1810">IFERROR(INDEX(Precios!$D:$F,MATCH(N1810, Precios!$G:$G, 0),CHOOSE(MATCH(H1810, {"SML";"XL";"XXL"}, 0), 1, 2, 3)), 0)</f>
        <v>0</v>
      </c>
      <c r="K1810" s="10">
        <f t="shared" si="64"/>
        <v>0</v>
      </c>
      <c r="N1810" s="9" t="str">
        <f t="shared" si="65"/>
        <v/>
      </c>
      <c r="O1810" s="9" t="str">
        <f>IF(N1810="","",IF(COUNTIF(Precios!$G:$G,N1810)=0,"⚠ No coincide con Precios","OK"))</f>
        <v/>
      </c>
    </row>
    <row r="1811" spans="3:15" x14ac:dyDescent="0.2">
      <c r="C1811" s="9" cm="1">
        <f t="array" ref="C1811">IFERROR(_xlfn.XLOOKUP(B1811,Personal!$A:$A,Personal!$D:$D,""),"")</f>
        <v>0</v>
      </c>
      <c r="D1811" s="9" cm="1">
        <f t="array" ref="D1811">IFERROR(_xlfn.XLOOKUP(B1811,Personal!$A:$A,Personal!$C:$C,""),"")</f>
        <v>0</v>
      </c>
      <c r="E1811" s="9" t="str" cm="1">
        <f t="array" ref="E1811">IFERROR(_xlfn.XLOOKUP(D1811,Locales!$A:$A,Locales!$B:$B,""),"")</f>
        <v/>
      </c>
      <c r="F1811" s="9" cm="1">
        <f t="array" ref="F1811">IFERROR(_xlfn.XLOOKUP(B1811,Personal!$A:$A,Personal!$F:$F,""),"")</f>
        <v>0</v>
      </c>
      <c r="I1811" s="10" cm="1">
        <f t="array" ref="I1811">IFERROR(INDEX(Precios!$D:$F,MATCH(N1811, Precios!$G:$G, 0),CHOOSE(MATCH(H1811, {"SML";"XL";"XXL"}, 0), 1, 2, 3)), 0)</f>
        <v>0</v>
      </c>
      <c r="K1811" s="10">
        <f t="shared" si="64"/>
        <v>0</v>
      </c>
      <c r="N1811" s="9" t="str">
        <f t="shared" si="65"/>
        <v/>
      </c>
      <c r="O1811" s="9" t="str">
        <f>IF(N1811="","",IF(COUNTIF(Precios!$G:$G,N1811)=0,"⚠ No coincide con Precios","OK"))</f>
        <v/>
      </c>
    </row>
    <row r="1812" spans="3:15" x14ac:dyDescent="0.2">
      <c r="C1812" s="9" cm="1">
        <f t="array" ref="C1812">IFERROR(_xlfn.XLOOKUP(B1812,Personal!$A:$A,Personal!$D:$D,""),"")</f>
        <v>0</v>
      </c>
      <c r="D1812" s="9" cm="1">
        <f t="array" ref="D1812">IFERROR(_xlfn.XLOOKUP(B1812,Personal!$A:$A,Personal!$C:$C,""),"")</f>
        <v>0</v>
      </c>
      <c r="E1812" s="9" t="str" cm="1">
        <f t="array" ref="E1812">IFERROR(_xlfn.XLOOKUP(D1812,Locales!$A:$A,Locales!$B:$B,""),"")</f>
        <v/>
      </c>
      <c r="F1812" s="9" cm="1">
        <f t="array" ref="F1812">IFERROR(_xlfn.XLOOKUP(B1812,Personal!$A:$A,Personal!$F:$F,""),"")</f>
        <v>0</v>
      </c>
      <c r="I1812" s="10" cm="1">
        <f t="array" ref="I1812">IFERROR(INDEX(Precios!$D:$F,MATCH(N1812, Precios!$G:$G, 0),CHOOSE(MATCH(H1812, {"SML";"XL";"XXL"}, 0), 1, 2, 3)), 0)</f>
        <v>0</v>
      </c>
      <c r="K1812" s="10">
        <f t="shared" si="64"/>
        <v>0</v>
      </c>
      <c r="N1812" s="9" t="str">
        <f t="shared" si="65"/>
        <v/>
      </c>
      <c r="O1812" s="9" t="str">
        <f>IF(N1812="","",IF(COUNTIF(Precios!$G:$G,N1812)=0,"⚠ No coincide con Precios","OK"))</f>
        <v/>
      </c>
    </row>
    <row r="1813" spans="3:15" x14ac:dyDescent="0.2">
      <c r="C1813" s="9" cm="1">
        <f t="array" ref="C1813">IFERROR(_xlfn.XLOOKUP(B1813,Personal!$A:$A,Personal!$D:$D,""),"")</f>
        <v>0</v>
      </c>
      <c r="D1813" s="9" cm="1">
        <f t="array" ref="D1813">IFERROR(_xlfn.XLOOKUP(B1813,Personal!$A:$A,Personal!$C:$C,""),"")</f>
        <v>0</v>
      </c>
      <c r="E1813" s="9" t="str" cm="1">
        <f t="array" ref="E1813">IFERROR(_xlfn.XLOOKUP(D1813,Locales!$A:$A,Locales!$B:$B,""),"")</f>
        <v/>
      </c>
      <c r="F1813" s="9" cm="1">
        <f t="array" ref="F1813">IFERROR(_xlfn.XLOOKUP(B1813,Personal!$A:$A,Personal!$F:$F,""),"")</f>
        <v>0</v>
      </c>
      <c r="I1813" s="10" cm="1">
        <f t="array" ref="I1813">IFERROR(INDEX(Precios!$D:$F,MATCH(N1813, Precios!$G:$G, 0),CHOOSE(MATCH(H1813, {"SML";"XL";"XXL"}, 0), 1, 2, 3)), 0)</f>
        <v>0</v>
      </c>
      <c r="K1813" s="10">
        <f t="shared" si="64"/>
        <v>0</v>
      </c>
      <c r="N1813" s="9" t="str">
        <f t="shared" si="65"/>
        <v/>
      </c>
      <c r="O1813" s="9" t="str">
        <f>IF(N1813="","",IF(COUNTIF(Precios!$G:$G,N1813)=0,"⚠ No coincide con Precios","OK"))</f>
        <v/>
      </c>
    </row>
    <row r="1814" spans="3:15" x14ac:dyDescent="0.2">
      <c r="C1814" s="9" cm="1">
        <f t="array" ref="C1814">IFERROR(_xlfn.XLOOKUP(B1814,Personal!$A:$A,Personal!$D:$D,""),"")</f>
        <v>0</v>
      </c>
      <c r="D1814" s="9" cm="1">
        <f t="array" ref="D1814">IFERROR(_xlfn.XLOOKUP(B1814,Personal!$A:$A,Personal!$C:$C,""),"")</f>
        <v>0</v>
      </c>
      <c r="E1814" s="9" t="str" cm="1">
        <f t="array" ref="E1814">IFERROR(_xlfn.XLOOKUP(D1814,Locales!$A:$A,Locales!$B:$B,""),"")</f>
        <v/>
      </c>
      <c r="F1814" s="9" cm="1">
        <f t="array" ref="F1814">IFERROR(_xlfn.XLOOKUP(B1814,Personal!$A:$A,Personal!$F:$F,""),"")</f>
        <v>0</v>
      </c>
      <c r="I1814" s="10" cm="1">
        <f t="array" ref="I1814">IFERROR(INDEX(Precios!$D:$F,MATCH(N1814, Precios!$G:$G, 0),CHOOSE(MATCH(H1814, {"SML";"XL";"XXL"}, 0), 1, 2, 3)), 0)</f>
        <v>0</v>
      </c>
      <c r="K1814" s="10">
        <f t="shared" si="64"/>
        <v>0</v>
      </c>
      <c r="N1814" s="9" t="str">
        <f t="shared" si="65"/>
        <v/>
      </c>
      <c r="O1814" s="9" t="str">
        <f>IF(N1814="","",IF(COUNTIF(Precios!$G:$G,N1814)=0,"⚠ No coincide con Precios","OK"))</f>
        <v/>
      </c>
    </row>
    <row r="1815" spans="3:15" x14ac:dyDescent="0.2">
      <c r="C1815" s="9" cm="1">
        <f t="array" ref="C1815">IFERROR(_xlfn.XLOOKUP(B1815,Personal!$A:$A,Personal!$D:$D,""),"")</f>
        <v>0</v>
      </c>
      <c r="D1815" s="9" cm="1">
        <f t="array" ref="D1815">IFERROR(_xlfn.XLOOKUP(B1815,Personal!$A:$A,Personal!$C:$C,""),"")</f>
        <v>0</v>
      </c>
      <c r="E1815" s="9" t="str" cm="1">
        <f t="array" ref="E1815">IFERROR(_xlfn.XLOOKUP(D1815,Locales!$A:$A,Locales!$B:$B,""),"")</f>
        <v/>
      </c>
      <c r="F1815" s="9" cm="1">
        <f t="array" ref="F1815">IFERROR(_xlfn.XLOOKUP(B1815,Personal!$A:$A,Personal!$F:$F,""),"")</f>
        <v>0</v>
      </c>
      <c r="I1815" s="10" cm="1">
        <f t="array" ref="I1815">IFERROR(INDEX(Precios!$D:$F,MATCH(N1815, Precios!$G:$G, 0),CHOOSE(MATCH(H1815, {"SML";"XL";"XXL"}, 0), 1, 2, 3)), 0)</f>
        <v>0</v>
      </c>
      <c r="K1815" s="10">
        <f t="shared" si="64"/>
        <v>0</v>
      </c>
      <c r="N1815" s="9" t="str">
        <f t="shared" si="65"/>
        <v/>
      </c>
      <c r="O1815" s="9" t="str">
        <f>IF(N1815="","",IF(COUNTIF(Precios!$G:$G,N1815)=0,"⚠ No coincide con Precios","OK"))</f>
        <v/>
      </c>
    </row>
    <row r="1816" spans="3:15" x14ac:dyDescent="0.2">
      <c r="C1816" s="9" cm="1">
        <f t="array" ref="C1816">IFERROR(_xlfn.XLOOKUP(B1816,Personal!$A:$A,Personal!$D:$D,""),"")</f>
        <v>0</v>
      </c>
      <c r="D1816" s="9" cm="1">
        <f t="array" ref="D1816">IFERROR(_xlfn.XLOOKUP(B1816,Personal!$A:$A,Personal!$C:$C,""),"")</f>
        <v>0</v>
      </c>
      <c r="E1816" s="9" t="str" cm="1">
        <f t="array" ref="E1816">IFERROR(_xlfn.XLOOKUP(D1816,Locales!$A:$A,Locales!$B:$B,""),"")</f>
        <v/>
      </c>
      <c r="F1816" s="9" cm="1">
        <f t="array" ref="F1816">IFERROR(_xlfn.XLOOKUP(B1816,Personal!$A:$A,Personal!$F:$F,""),"")</f>
        <v>0</v>
      </c>
      <c r="I1816" s="10" cm="1">
        <f t="array" ref="I1816">IFERROR(INDEX(Precios!$D:$F,MATCH(N1816, Precios!$G:$G, 0),CHOOSE(MATCH(H1816, {"SML";"XL";"XXL"}, 0), 1, 2, 3)), 0)</f>
        <v>0</v>
      </c>
      <c r="K1816" s="10">
        <f t="shared" si="64"/>
        <v>0</v>
      </c>
      <c r="N1816" s="9" t="str">
        <f t="shared" si="65"/>
        <v/>
      </c>
      <c r="O1816" s="9" t="str">
        <f>IF(N1816="","",IF(COUNTIF(Precios!$G:$G,N1816)=0,"⚠ No coincide con Precios","OK"))</f>
        <v/>
      </c>
    </row>
    <row r="1817" spans="3:15" x14ac:dyDescent="0.2">
      <c r="C1817" s="9" cm="1">
        <f t="array" ref="C1817">IFERROR(_xlfn.XLOOKUP(B1817,Personal!$A:$A,Personal!$D:$D,""),"")</f>
        <v>0</v>
      </c>
      <c r="D1817" s="9" cm="1">
        <f t="array" ref="D1817">IFERROR(_xlfn.XLOOKUP(B1817,Personal!$A:$A,Personal!$C:$C,""),"")</f>
        <v>0</v>
      </c>
      <c r="E1817" s="9" t="str" cm="1">
        <f t="array" ref="E1817">IFERROR(_xlfn.XLOOKUP(D1817,Locales!$A:$A,Locales!$B:$B,""),"")</f>
        <v/>
      </c>
      <c r="F1817" s="9" cm="1">
        <f t="array" ref="F1817">IFERROR(_xlfn.XLOOKUP(B1817,Personal!$A:$A,Personal!$F:$F,""),"")</f>
        <v>0</v>
      </c>
      <c r="I1817" s="10" cm="1">
        <f t="array" ref="I1817">IFERROR(INDEX(Precios!$D:$F,MATCH(N1817, Precios!$G:$G, 0),CHOOSE(MATCH(H1817, {"SML";"XL";"XXL"}, 0), 1, 2, 3)), 0)</f>
        <v>0</v>
      </c>
      <c r="K1817" s="10">
        <f t="shared" si="64"/>
        <v>0</v>
      </c>
      <c r="N1817" s="9" t="str">
        <f t="shared" si="65"/>
        <v/>
      </c>
      <c r="O1817" s="9" t="str">
        <f>IF(N1817="","",IF(COUNTIF(Precios!$G:$G,N1817)=0,"⚠ No coincide con Precios","OK"))</f>
        <v/>
      </c>
    </row>
    <row r="1818" spans="3:15" x14ac:dyDescent="0.2">
      <c r="C1818" s="9" cm="1">
        <f t="array" ref="C1818">IFERROR(_xlfn.XLOOKUP(B1818,Personal!$A:$A,Personal!$D:$D,""),"")</f>
        <v>0</v>
      </c>
      <c r="D1818" s="9" cm="1">
        <f t="array" ref="D1818">IFERROR(_xlfn.XLOOKUP(B1818,Personal!$A:$A,Personal!$C:$C,""),"")</f>
        <v>0</v>
      </c>
      <c r="E1818" s="9" t="str" cm="1">
        <f t="array" ref="E1818">IFERROR(_xlfn.XLOOKUP(D1818,Locales!$A:$A,Locales!$B:$B,""),"")</f>
        <v/>
      </c>
      <c r="F1818" s="9" cm="1">
        <f t="array" ref="F1818">IFERROR(_xlfn.XLOOKUP(B1818,Personal!$A:$A,Personal!$F:$F,""),"")</f>
        <v>0</v>
      </c>
      <c r="I1818" s="10" cm="1">
        <f t="array" ref="I1818">IFERROR(INDEX(Precios!$D:$F,MATCH(N1818, Precios!$G:$G, 0),CHOOSE(MATCH(H1818, {"SML";"XL";"XXL"}, 0), 1, 2, 3)), 0)</f>
        <v>0</v>
      </c>
      <c r="K1818" s="10">
        <f t="shared" si="64"/>
        <v>0</v>
      </c>
      <c r="N1818" s="9" t="str">
        <f t="shared" si="65"/>
        <v/>
      </c>
      <c r="O1818" s="9" t="str">
        <f>IF(N1818="","",IF(COUNTIF(Precios!$G:$G,N1818)=0,"⚠ No coincide con Precios","OK"))</f>
        <v/>
      </c>
    </row>
    <row r="1819" spans="3:15" x14ac:dyDescent="0.2">
      <c r="C1819" s="9" cm="1">
        <f t="array" ref="C1819">IFERROR(_xlfn.XLOOKUP(B1819,Personal!$A:$A,Personal!$D:$D,""),"")</f>
        <v>0</v>
      </c>
      <c r="D1819" s="9" cm="1">
        <f t="array" ref="D1819">IFERROR(_xlfn.XLOOKUP(B1819,Personal!$A:$A,Personal!$C:$C,""),"")</f>
        <v>0</v>
      </c>
      <c r="E1819" s="9" t="str" cm="1">
        <f t="array" ref="E1819">IFERROR(_xlfn.XLOOKUP(D1819,Locales!$A:$A,Locales!$B:$B,""),"")</f>
        <v/>
      </c>
      <c r="F1819" s="9" cm="1">
        <f t="array" ref="F1819">IFERROR(_xlfn.XLOOKUP(B1819,Personal!$A:$A,Personal!$F:$F,""),"")</f>
        <v>0</v>
      </c>
      <c r="I1819" s="10" cm="1">
        <f t="array" ref="I1819">IFERROR(INDEX(Precios!$D:$F,MATCH(N1819, Precios!$G:$G, 0),CHOOSE(MATCH(H1819, {"SML";"XL";"XXL"}, 0), 1, 2, 3)), 0)</f>
        <v>0</v>
      </c>
      <c r="K1819" s="10">
        <f t="shared" si="64"/>
        <v>0</v>
      </c>
      <c r="N1819" s="9" t="str">
        <f t="shared" si="65"/>
        <v/>
      </c>
      <c r="O1819" s="9" t="str">
        <f>IF(N1819="","",IF(COUNTIF(Precios!$G:$G,N1819)=0,"⚠ No coincide con Precios","OK"))</f>
        <v/>
      </c>
    </row>
    <row r="1820" spans="3:15" x14ac:dyDescent="0.2">
      <c r="C1820" s="9" cm="1">
        <f t="array" ref="C1820">IFERROR(_xlfn.XLOOKUP(B1820,Personal!$A:$A,Personal!$D:$D,""),"")</f>
        <v>0</v>
      </c>
      <c r="D1820" s="9" cm="1">
        <f t="array" ref="D1820">IFERROR(_xlfn.XLOOKUP(B1820,Personal!$A:$A,Personal!$C:$C,""),"")</f>
        <v>0</v>
      </c>
      <c r="E1820" s="9" t="str" cm="1">
        <f t="array" ref="E1820">IFERROR(_xlfn.XLOOKUP(D1820,Locales!$A:$A,Locales!$B:$B,""),"")</f>
        <v/>
      </c>
      <c r="F1820" s="9" cm="1">
        <f t="array" ref="F1820">IFERROR(_xlfn.XLOOKUP(B1820,Personal!$A:$A,Personal!$F:$F,""),"")</f>
        <v>0</v>
      </c>
      <c r="I1820" s="10" cm="1">
        <f t="array" ref="I1820">IFERROR(INDEX(Precios!$D:$F,MATCH(N1820, Precios!$G:$G, 0),CHOOSE(MATCH(H1820, {"SML";"XL";"XXL"}, 0), 1, 2, 3)), 0)</f>
        <v>0</v>
      </c>
      <c r="K1820" s="10">
        <f t="shared" si="64"/>
        <v>0</v>
      </c>
      <c r="N1820" s="9" t="str">
        <f t="shared" si="65"/>
        <v/>
      </c>
      <c r="O1820" s="9" t="str">
        <f>IF(N1820="","",IF(COUNTIF(Precios!$G:$G,N1820)=0,"⚠ No coincide con Precios","OK"))</f>
        <v/>
      </c>
    </row>
    <row r="1821" spans="3:15" x14ac:dyDescent="0.2">
      <c r="C1821" s="9" cm="1">
        <f t="array" ref="C1821">IFERROR(_xlfn.XLOOKUP(B1821,Personal!$A:$A,Personal!$D:$D,""),"")</f>
        <v>0</v>
      </c>
      <c r="D1821" s="9" cm="1">
        <f t="array" ref="D1821">IFERROR(_xlfn.XLOOKUP(B1821,Personal!$A:$A,Personal!$C:$C,""),"")</f>
        <v>0</v>
      </c>
      <c r="E1821" s="9" t="str" cm="1">
        <f t="array" ref="E1821">IFERROR(_xlfn.XLOOKUP(D1821,Locales!$A:$A,Locales!$B:$B,""),"")</f>
        <v/>
      </c>
      <c r="F1821" s="9" cm="1">
        <f t="array" ref="F1821">IFERROR(_xlfn.XLOOKUP(B1821,Personal!$A:$A,Personal!$F:$F,""),"")</f>
        <v>0</v>
      </c>
      <c r="I1821" s="10" cm="1">
        <f t="array" ref="I1821">IFERROR(INDEX(Precios!$D:$F,MATCH(N1821, Precios!$G:$G, 0),CHOOSE(MATCH(H1821, {"SML";"XL";"XXL"}, 0), 1, 2, 3)), 0)</f>
        <v>0</v>
      </c>
      <c r="K1821" s="10">
        <f t="shared" si="64"/>
        <v>0</v>
      </c>
      <c r="N1821" s="9" t="str">
        <f t="shared" si="65"/>
        <v/>
      </c>
      <c r="O1821" s="9" t="str">
        <f>IF(N1821="","",IF(COUNTIF(Precios!$G:$G,N1821)=0,"⚠ No coincide con Precios","OK"))</f>
        <v/>
      </c>
    </row>
    <row r="1822" spans="3:15" x14ac:dyDescent="0.2">
      <c r="C1822" s="9" cm="1">
        <f t="array" ref="C1822">IFERROR(_xlfn.XLOOKUP(B1822,Personal!$A:$A,Personal!$D:$D,""),"")</f>
        <v>0</v>
      </c>
      <c r="D1822" s="9" cm="1">
        <f t="array" ref="D1822">IFERROR(_xlfn.XLOOKUP(B1822,Personal!$A:$A,Personal!$C:$C,""),"")</f>
        <v>0</v>
      </c>
      <c r="E1822" s="9" t="str" cm="1">
        <f t="array" ref="E1822">IFERROR(_xlfn.XLOOKUP(D1822,Locales!$A:$A,Locales!$B:$B,""),"")</f>
        <v/>
      </c>
      <c r="F1822" s="9" cm="1">
        <f t="array" ref="F1822">IFERROR(_xlfn.XLOOKUP(B1822,Personal!$A:$A,Personal!$F:$F,""),"")</f>
        <v>0</v>
      </c>
      <c r="I1822" s="10" cm="1">
        <f t="array" ref="I1822">IFERROR(INDEX(Precios!$D:$F,MATCH(N1822, Precios!$G:$G, 0),CHOOSE(MATCH(H1822, {"SML";"XL";"XXL"}, 0), 1, 2, 3)), 0)</f>
        <v>0</v>
      </c>
      <c r="K1822" s="10">
        <f t="shared" si="64"/>
        <v>0</v>
      </c>
      <c r="N1822" s="9" t="str">
        <f t="shared" si="65"/>
        <v/>
      </c>
      <c r="O1822" s="9" t="str">
        <f>IF(N1822="","",IF(COUNTIF(Precios!$G:$G,N1822)=0,"⚠ No coincide con Precios","OK"))</f>
        <v/>
      </c>
    </row>
    <row r="1823" spans="3:15" x14ac:dyDescent="0.2">
      <c r="C1823" s="9" cm="1">
        <f t="array" ref="C1823">IFERROR(_xlfn.XLOOKUP(B1823,Personal!$A:$A,Personal!$D:$D,""),"")</f>
        <v>0</v>
      </c>
      <c r="D1823" s="9" cm="1">
        <f t="array" ref="D1823">IFERROR(_xlfn.XLOOKUP(B1823,Personal!$A:$A,Personal!$C:$C,""),"")</f>
        <v>0</v>
      </c>
      <c r="E1823" s="9" t="str" cm="1">
        <f t="array" ref="E1823">IFERROR(_xlfn.XLOOKUP(D1823,Locales!$A:$A,Locales!$B:$B,""),"")</f>
        <v/>
      </c>
      <c r="F1823" s="9" cm="1">
        <f t="array" ref="F1823">IFERROR(_xlfn.XLOOKUP(B1823,Personal!$A:$A,Personal!$F:$F,""),"")</f>
        <v>0</v>
      </c>
      <c r="I1823" s="10" cm="1">
        <f t="array" ref="I1823">IFERROR(INDEX(Precios!$D:$F,MATCH(N1823, Precios!$G:$G, 0),CHOOSE(MATCH(H1823, {"SML";"XL";"XXL"}, 0), 1, 2, 3)), 0)</f>
        <v>0</v>
      </c>
      <c r="K1823" s="10">
        <f t="shared" si="64"/>
        <v>0</v>
      </c>
      <c r="N1823" s="9" t="str">
        <f t="shared" si="65"/>
        <v/>
      </c>
      <c r="O1823" s="9" t="str">
        <f>IF(N1823="","",IF(COUNTIF(Precios!$G:$G,N1823)=0,"⚠ No coincide con Precios","OK"))</f>
        <v/>
      </c>
    </row>
    <row r="1824" spans="3:15" x14ac:dyDescent="0.2">
      <c r="C1824" s="9" cm="1">
        <f t="array" ref="C1824">IFERROR(_xlfn.XLOOKUP(B1824,Personal!$A:$A,Personal!$D:$D,""),"")</f>
        <v>0</v>
      </c>
      <c r="D1824" s="9" cm="1">
        <f t="array" ref="D1824">IFERROR(_xlfn.XLOOKUP(B1824,Personal!$A:$A,Personal!$C:$C,""),"")</f>
        <v>0</v>
      </c>
      <c r="E1824" s="9" t="str" cm="1">
        <f t="array" ref="E1824">IFERROR(_xlfn.XLOOKUP(D1824,Locales!$A:$A,Locales!$B:$B,""),"")</f>
        <v/>
      </c>
      <c r="F1824" s="9" cm="1">
        <f t="array" ref="F1824">IFERROR(_xlfn.XLOOKUP(B1824,Personal!$A:$A,Personal!$F:$F,""),"")</f>
        <v>0</v>
      </c>
      <c r="I1824" s="10" cm="1">
        <f t="array" ref="I1824">IFERROR(INDEX(Precios!$D:$F,MATCH(N1824, Precios!$G:$G, 0),CHOOSE(MATCH(H1824, {"SML";"XL";"XXL"}, 0), 1, 2, 3)), 0)</f>
        <v>0</v>
      </c>
      <c r="K1824" s="10">
        <f t="shared" si="64"/>
        <v>0</v>
      </c>
      <c r="N1824" s="9" t="str">
        <f t="shared" si="65"/>
        <v/>
      </c>
      <c r="O1824" s="9" t="str">
        <f>IF(N1824="","",IF(COUNTIF(Precios!$G:$G,N1824)=0,"⚠ No coincide con Precios","OK"))</f>
        <v/>
      </c>
    </row>
    <row r="1825" spans="3:15" x14ac:dyDescent="0.2">
      <c r="C1825" s="9" cm="1">
        <f t="array" ref="C1825">IFERROR(_xlfn.XLOOKUP(B1825,Personal!$A:$A,Personal!$D:$D,""),"")</f>
        <v>0</v>
      </c>
      <c r="D1825" s="9" cm="1">
        <f t="array" ref="D1825">IFERROR(_xlfn.XLOOKUP(B1825,Personal!$A:$A,Personal!$C:$C,""),"")</f>
        <v>0</v>
      </c>
      <c r="E1825" s="9" t="str" cm="1">
        <f t="array" ref="E1825">IFERROR(_xlfn.XLOOKUP(D1825,Locales!$A:$A,Locales!$B:$B,""),"")</f>
        <v/>
      </c>
      <c r="F1825" s="9" cm="1">
        <f t="array" ref="F1825">IFERROR(_xlfn.XLOOKUP(B1825,Personal!$A:$A,Personal!$F:$F,""),"")</f>
        <v>0</v>
      </c>
      <c r="I1825" s="10" cm="1">
        <f t="array" ref="I1825">IFERROR(INDEX(Precios!$D:$F,MATCH(N1825, Precios!$G:$G, 0),CHOOSE(MATCH(H1825, {"SML";"XL";"XXL"}, 0), 1, 2, 3)), 0)</f>
        <v>0</v>
      </c>
      <c r="K1825" s="10">
        <f t="shared" si="64"/>
        <v>0</v>
      </c>
      <c r="N1825" s="9" t="str">
        <f t="shared" si="65"/>
        <v/>
      </c>
      <c r="O1825" s="9" t="str">
        <f>IF(N1825="","",IF(COUNTIF(Precios!$G:$G,N1825)=0,"⚠ No coincide con Precios","OK"))</f>
        <v/>
      </c>
    </row>
    <row r="1826" spans="3:15" x14ac:dyDescent="0.2">
      <c r="C1826" s="9" cm="1">
        <f t="array" ref="C1826">IFERROR(_xlfn.XLOOKUP(B1826,Personal!$A:$A,Personal!$D:$D,""),"")</f>
        <v>0</v>
      </c>
      <c r="D1826" s="9" cm="1">
        <f t="array" ref="D1826">IFERROR(_xlfn.XLOOKUP(B1826,Personal!$A:$A,Personal!$C:$C,""),"")</f>
        <v>0</v>
      </c>
      <c r="E1826" s="9" t="str" cm="1">
        <f t="array" ref="E1826">IFERROR(_xlfn.XLOOKUP(D1826,Locales!$A:$A,Locales!$B:$B,""),"")</f>
        <v/>
      </c>
      <c r="F1826" s="9" cm="1">
        <f t="array" ref="F1826">IFERROR(_xlfn.XLOOKUP(B1826,Personal!$A:$A,Personal!$F:$F,""),"")</f>
        <v>0</v>
      </c>
      <c r="I1826" s="10" cm="1">
        <f t="array" ref="I1826">IFERROR(INDEX(Precios!$D:$F,MATCH(N1826, Precios!$G:$G, 0),CHOOSE(MATCH(H1826, {"SML";"XL";"XXL"}, 0), 1, 2, 3)), 0)</f>
        <v>0</v>
      </c>
      <c r="K1826" s="10">
        <f t="shared" si="64"/>
        <v>0</v>
      </c>
      <c r="N1826" s="9" t="str">
        <f t="shared" si="65"/>
        <v/>
      </c>
      <c r="O1826" s="9" t="str">
        <f>IF(N1826="","",IF(COUNTIF(Precios!$G:$G,N1826)=0,"⚠ No coincide con Precios","OK"))</f>
        <v/>
      </c>
    </row>
    <row r="1827" spans="3:15" x14ac:dyDescent="0.2">
      <c r="C1827" s="9" cm="1">
        <f t="array" ref="C1827">IFERROR(_xlfn.XLOOKUP(B1827,Personal!$A:$A,Personal!$D:$D,""),"")</f>
        <v>0</v>
      </c>
      <c r="D1827" s="9" cm="1">
        <f t="array" ref="D1827">IFERROR(_xlfn.XLOOKUP(B1827,Personal!$A:$A,Personal!$C:$C,""),"")</f>
        <v>0</v>
      </c>
      <c r="E1827" s="9" t="str" cm="1">
        <f t="array" ref="E1827">IFERROR(_xlfn.XLOOKUP(D1827,Locales!$A:$A,Locales!$B:$B,""),"")</f>
        <v/>
      </c>
      <c r="F1827" s="9" cm="1">
        <f t="array" ref="F1827">IFERROR(_xlfn.XLOOKUP(B1827,Personal!$A:$A,Personal!$F:$F,""),"")</f>
        <v>0</v>
      </c>
      <c r="I1827" s="10" cm="1">
        <f t="array" ref="I1827">IFERROR(INDEX(Precios!$D:$F,MATCH(N1827, Precios!$G:$G, 0),CHOOSE(MATCH(H1827, {"SML";"XL";"XXL"}, 0), 1, 2, 3)), 0)</f>
        <v>0</v>
      </c>
      <c r="K1827" s="10">
        <f t="shared" si="64"/>
        <v>0</v>
      </c>
      <c r="N1827" s="9" t="str">
        <f t="shared" si="65"/>
        <v/>
      </c>
      <c r="O1827" s="9" t="str">
        <f>IF(N1827="","",IF(COUNTIF(Precios!$G:$G,N1827)=0,"⚠ No coincide con Precios","OK"))</f>
        <v/>
      </c>
    </row>
    <row r="1828" spans="3:15" x14ac:dyDescent="0.2">
      <c r="C1828" s="9" cm="1">
        <f t="array" ref="C1828">IFERROR(_xlfn.XLOOKUP(B1828,Personal!$A:$A,Personal!$D:$D,""),"")</f>
        <v>0</v>
      </c>
      <c r="D1828" s="9" cm="1">
        <f t="array" ref="D1828">IFERROR(_xlfn.XLOOKUP(B1828,Personal!$A:$A,Personal!$C:$C,""),"")</f>
        <v>0</v>
      </c>
      <c r="E1828" s="9" t="str" cm="1">
        <f t="array" ref="E1828">IFERROR(_xlfn.XLOOKUP(D1828,Locales!$A:$A,Locales!$B:$B,""),"")</f>
        <v/>
      </c>
      <c r="F1828" s="9" cm="1">
        <f t="array" ref="F1828">IFERROR(_xlfn.XLOOKUP(B1828,Personal!$A:$A,Personal!$F:$F,""),"")</f>
        <v>0</v>
      </c>
      <c r="I1828" s="10" cm="1">
        <f t="array" ref="I1828">IFERROR(INDEX(Precios!$D:$F,MATCH(N1828, Precios!$G:$G, 0),CHOOSE(MATCH(H1828, {"SML";"XL";"XXL"}, 0), 1, 2, 3)), 0)</f>
        <v>0</v>
      </c>
      <c r="K1828" s="10">
        <f t="shared" si="64"/>
        <v>0</v>
      </c>
      <c r="N1828" s="9" t="str">
        <f t="shared" si="65"/>
        <v/>
      </c>
      <c r="O1828" s="9" t="str">
        <f>IF(N1828="","",IF(COUNTIF(Precios!$G:$G,N1828)=0,"⚠ No coincide con Precios","OK"))</f>
        <v/>
      </c>
    </row>
    <row r="1829" spans="3:15" x14ac:dyDescent="0.2">
      <c r="C1829" s="9" cm="1">
        <f t="array" ref="C1829">IFERROR(_xlfn.XLOOKUP(B1829,Personal!$A:$A,Personal!$D:$D,""),"")</f>
        <v>0</v>
      </c>
      <c r="D1829" s="9" cm="1">
        <f t="array" ref="D1829">IFERROR(_xlfn.XLOOKUP(B1829,Personal!$A:$A,Personal!$C:$C,""),"")</f>
        <v>0</v>
      </c>
      <c r="E1829" s="9" t="str" cm="1">
        <f t="array" ref="E1829">IFERROR(_xlfn.XLOOKUP(D1829,Locales!$A:$A,Locales!$B:$B,""),"")</f>
        <v/>
      </c>
      <c r="F1829" s="9" cm="1">
        <f t="array" ref="F1829">IFERROR(_xlfn.XLOOKUP(B1829,Personal!$A:$A,Personal!$F:$F,""),"")</f>
        <v>0</v>
      </c>
      <c r="I1829" s="10" cm="1">
        <f t="array" ref="I1829">IFERROR(INDEX(Precios!$D:$F,MATCH(N1829, Precios!$G:$G, 0),CHOOSE(MATCH(H1829, {"SML";"XL";"XXL"}, 0), 1, 2, 3)), 0)</f>
        <v>0</v>
      </c>
      <c r="K1829" s="10">
        <f t="shared" si="64"/>
        <v>0</v>
      </c>
      <c r="N1829" s="9" t="str">
        <f t="shared" si="65"/>
        <v/>
      </c>
      <c r="O1829" s="9" t="str">
        <f>IF(N1829="","",IF(COUNTIF(Precios!$G:$G,N1829)=0,"⚠ No coincide con Precios","OK"))</f>
        <v/>
      </c>
    </row>
    <row r="1830" spans="3:15" x14ac:dyDescent="0.2">
      <c r="C1830" s="9" cm="1">
        <f t="array" ref="C1830">IFERROR(_xlfn.XLOOKUP(B1830,Personal!$A:$A,Personal!$D:$D,""),"")</f>
        <v>0</v>
      </c>
      <c r="D1830" s="9" cm="1">
        <f t="array" ref="D1830">IFERROR(_xlfn.XLOOKUP(B1830,Personal!$A:$A,Personal!$C:$C,""),"")</f>
        <v>0</v>
      </c>
      <c r="E1830" s="9" t="str" cm="1">
        <f t="array" ref="E1830">IFERROR(_xlfn.XLOOKUP(D1830,Locales!$A:$A,Locales!$B:$B,""),"")</f>
        <v/>
      </c>
      <c r="F1830" s="9" cm="1">
        <f t="array" ref="F1830">IFERROR(_xlfn.XLOOKUP(B1830,Personal!$A:$A,Personal!$F:$F,""),"")</f>
        <v>0</v>
      </c>
      <c r="I1830" s="10" cm="1">
        <f t="array" ref="I1830">IFERROR(INDEX(Precios!$D:$F,MATCH(N1830, Precios!$G:$G, 0),CHOOSE(MATCH(H1830, {"SML";"XL";"XXL"}, 0), 1, 2, 3)), 0)</f>
        <v>0</v>
      </c>
      <c r="K1830" s="10">
        <f t="shared" si="64"/>
        <v>0</v>
      </c>
      <c r="N1830" s="9" t="str">
        <f t="shared" si="65"/>
        <v/>
      </c>
      <c r="O1830" s="9" t="str">
        <f>IF(N1830="","",IF(COUNTIF(Precios!$G:$G,N1830)=0,"⚠ No coincide con Precios","OK"))</f>
        <v/>
      </c>
    </row>
    <row r="1831" spans="3:15" x14ac:dyDescent="0.2">
      <c r="C1831" s="9" cm="1">
        <f t="array" ref="C1831">IFERROR(_xlfn.XLOOKUP(B1831,Personal!$A:$A,Personal!$D:$D,""),"")</f>
        <v>0</v>
      </c>
      <c r="D1831" s="9" cm="1">
        <f t="array" ref="D1831">IFERROR(_xlfn.XLOOKUP(B1831,Personal!$A:$A,Personal!$C:$C,""),"")</f>
        <v>0</v>
      </c>
      <c r="E1831" s="9" t="str" cm="1">
        <f t="array" ref="E1831">IFERROR(_xlfn.XLOOKUP(D1831,Locales!$A:$A,Locales!$B:$B,""),"")</f>
        <v/>
      </c>
      <c r="F1831" s="9" cm="1">
        <f t="array" ref="F1831">IFERROR(_xlfn.XLOOKUP(B1831,Personal!$A:$A,Personal!$F:$F,""),"")</f>
        <v>0</v>
      </c>
      <c r="I1831" s="10" cm="1">
        <f t="array" ref="I1831">IFERROR(INDEX(Precios!$D:$F,MATCH(N1831, Precios!$G:$G, 0),CHOOSE(MATCH(H1831, {"SML";"XL";"XXL"}, 0), 1, 2, 3)), 0)</f>
        <v>0</v>
      </c>
      <c r="K1831" s="10">
        <f t="shared" si="64"/>
        <v>0</v>
      </c>
      <c r="N1831" s="9" t="str">
        <f t="shared" si="65"/>
        <v/>
      </c>
      <c r="O1831" s="9" t="str">
        <f>IF(N1831="","",IF(COUNTIF(Precios!$G:$G,N1831)=0,"⚠ No coincide con Precios","OK"))</f>
        <v/>
      </c>
    </row>
    <row r="1832" spans="3:15" x14ac:dyDescent="0.2">
      <c r="C1832" s="9" cm="1">
        <f t="array" ref="C1832">IFERROR(_xlfn.XLOOKUP(B1832,Personal!$A:$A,Personal!$D:$D,""),"")</f>
        <v>0</v>
      </c>
      <c r="D1832" s="9" cm="1">
        <f t="array" ref="D1832">IFERROR(_xlfn.XLOOKUP(B1832,Personal!$A:$A,Personal!$C:$C,""),"")</f>
        <v>0</v>
      </c>
      <c r="E1832" s="9" t="str" cm="1">
        <f t="array" ref="E1832">IFERROR(_xlfn.XLOOKUP(D1832,Locales!$A:$A,Locales!$B:$B,""),"")</f>
        <v/>
      </c>
      <c r="F1832" s="9" cm="1">
        <f t="array" ref="F1832">IFERROR(_xlfn.XLOOKUP(B1832,Personal!$A:$A,Personal!$F:$F,""),"")</f>
        <v>0</v>
      </c>
      <c r="I1832" s="10" cm="1">
        <f t="array" ref="I1832">IFERROR(INDEX(Precios!$D:$F,MATCH(N1832, Precios!$G:$G, 0),CHOOSE(MATCH(H1832, {"SML";"XL";"XXL"}, 0), 1, 2, 3)), 0)</f>
        <v>0</v>
      </c>
      <c r="K1832" s="10">
        <f t="shared" si="64"/>
        <v>0</v>
      </c>
      <c r="N1832" s="9" t="str">
        <f t="shared" si="65"/>
        <v/>
      </c>
      <c r="O1832" s="9" t="str">
        <f>IF(N1832="","",IF(COUNTIF(Precios!$G:$G,N1832)=0,"⚠ No coincide con Precios","OK"))</f>
        <v/>
      </c>
    </row>
    <row r="1833" spans="3:15" x14ac:dyDescent="0.2">
      <c r="C1833" s="9" cm="1">
        <f t="array" ref="C1833">IFERROR(_xlfn.XLOOKUP(B1833,Personal!$A:$A,Personal!$D:$D,""),"")</f>
        <v>0</v>
      </c>
      <c r="D1833" s="9" cm="1">
        <f t="array" ref="D1833">IFERROR(_xlfn.XLOOKUP(B1833,Personal!$A:$A,Personal!$C:$C,""),"")</f>
        <v>0</v>
      </c>
      <c r="E1833" s="9" t="str" cm="1">
        <f t="array" ref="E1833">IFERROR(_xlfn.XLOOKUP(D1833,Locales!$A:$A,Locales!$B:$B,""),"")</f>
        <v/>
      </c>
      <c r="F1833" s="9" cm="1">
        <f t="array" ref="F1833">IFERROR(_xlfn.XLOOKUP(B1833,Personal!$A:$A,Personal!$F:$F,""),"")</f>
        <v>0</v>
      </c>
      <c r="I1833" s="10" cm="1">
        <f t="array" ref="I1833">IFERROR(INDEX(Precios!$D:$F,MATCH(N1833, Precios!$G:$G, 0),CHOOSE(MATCH(H1833, {"SML";"XL";"XXL"}, 0), 1, 2, 3)), 0)</f>
        <v>0</v>
      </c>
      <c r="K1833" s="10">
        <f t="shared" si="64"/>
        <v>0</v>
      </c>
      <c r="N1833" s="9" t="str">
        <f t="shared" si="65"/>
        <v/>
      </c>
      <c r="O1833" s="9" t="str">
        <f>IF(N1833="","",IF(COUNTIF(Precios!$G:$G,N1833)=0,"⚠ No coincide con Precios","OK"))</f>
        <v/>
      </c>
    </row>
    <row r="1834" spans="3:15" x14ac:dyDescent="0.2">
      <c r="C1834" s="9" cm="1">
        <f t="array" ref="C1834">IFERROR(_xlfn.XLOOKUP(B1834,Personal!$A:$A,Personal!$D:$D,""),"")</f>
        <v>0</v>
      </c>
      <c r="D1834" s="9" cm="1">
        <f t="array" ref="D1834">IFERROR(_xlfn.XLOOKUP(B1834,Personal!$A:$A,Personal!$C:$C,""),"")</f>
        <v>0</v>
      </c>
      <c r="E1834" s="9" t="str" cm="1">
        <f t="array" ref="E1834">IFERROR(_xlfn.XLOOKUP(D1834,Locales!$A:$A,Locales!$B:$B,""),"")</f>
        <v/>
      </c>
      <c r="F1834" s="9" cm="1">
        <f t="array" ref="F1834">IFERROR(_xlfn.XLOOKUP(B1834,Personal!$A:$A,Personal!$F:$F,""),"")</f>
        <v>0</v>
      </c>
      <c r="I1834" s="10" cm="1">
        <f t="array" ref="I1834">IFERROR(INDEX(Precios!$D:$F,MATCH(N1834, Precios!$G:$G, 0),CHOOSE(MATCH(H1834, {"SML";"XL";"XXL"}, 0), 1, 2, 3)), 0)</f>
        <v>0</v>
      </c>
      <c r="K1834" s="10">
        <f t="shared" si="64"/>
        <v>0</v>
      </c>
      <c r="N1834" s="9" t="str">
        <f t="shared" si="65"/>
        <v/>
      </c>
      <c r="O1834" s="9" t="str">
        <f>IF(N1834="","",IF(COUNTIF(Precios!$G:$G,N1834)=0,"⚠ No coincide con Precios","OK"))</f>
        <v/>
      </c>
    </row>
    <row r="1835" spans="3:15" x14ac:dyDescent="0.2">
      <c r="C1835" s="9" cm="1">
        <f t="array" ref="C1835">IFERROR(_xlfn.XLOOKUP(B1835,Personal!$A:$A,Personal!$D:$D,""),"")</f>
        <v>0</v>
      </c>
      <c r="D1835" s="9" cm="1">
        <f t="array" ref="D1835">IFERROR(_xlfn.XLOOKUP(B1835,Personal!$A:$A,Personal!$C:$C,""),"")</f>
        <v>0</v>
      </c>
      <c r="E1835" s="9" t="str" cm="1">
        <f t="array" ref="E1835">IFERROR(_xlfn.XLOOKUP(D1835,Locales!$A:$A,Locales!$B:$B,""),"")</f>
        <v/>
      </c>
      <c r="F1835" s="9" cm="1">
        <f t="array" ref="F1835">IFERROR(_xlfn.XLOOKUP(B1835,Personal!$A:$A,Personal!$F:$F,""),"")</f>
        <v>0</v>
      </c>
      <c r="I1835" s="10" cm="1">
        <f t="array" ref="I1835">IFERROR(INDEX(Precios!$D:$F,MATCH(N1835, Precios!$G:$G, 0),CHOOSE(MATCH(H1835, {"SML";"XL";"XXL"}, 0), 1, 2, 3)), 0)</f>
        <v>0</v>
      </c>
      <c r="K1835" s="10">
        <f t="shared" si="64"/>
        <v>0</v>
      </c>
      <c r="N1835" s="9" t="str">
        <f t="shared" si="65"/>
        <v/>
      </c>
      <c r="O1835" s="9" t="str">
        <f>IF(N1835="","",IF(COUNTIF(Precios!$G:$G,N1835)=0,"⚠ No coincide con Precios","OK"))</f>
        <v/>
      </c>
    </row>
    <row r="1836" spans="3:15" x14ac:dyDescent="0.2">
      <c r="C1836" s="9" cm="1">
        <f t="array" ref="C1836">IFERROR(_xlfn.XLOOKUP(B1836,Personal!$A:$A,Personal!$D:$D,""),"")</f>
        <v>0</v>
      </c>
      <c r="D1836" s="9" cm="1">
        <f t="array" ref="D1836">IFERROR(_xlfn.XLOOKUP(B1836,Personal!$A:$A,Personal!$C:$C,""),"")</f>
        <v>0</v>
      </c>
      <c r="E1836" s="9" t="str" cm="1">
        <f t="array" ref="E1836">IFERROR(_xlfn.XLOOKUP(D1836,Locales!$A:$A,Locales!$B:$B,""),"")</f>
        <v/>
      </c>
      <c r="F1836" s="9" cm="1">
        <f t="array" ref="F1836">IFERROR(_xlfn.XLOOKUP(B1836,Personal!$A:$A,Personal!$F:$F,""),"")</f>
        <v>0</v>
      </c>
      <c r="I1836" s="10" cm="1">
        <f t="array" ref="I1836">IFERROR(INDEX(Precios!$D:$F,MATCH(N1836, Precios!$G:$G, 0),CHOOSE(MATCH(H1836, {"SML";"XL";"XXL"}, 0), 1, 2, 3)), 0)</f>
        <v>0</v>
      </c>
      <c r="K1836" s="10">
        <f t="shared" si="64"/>
        <v>0</v>
      </c>
      <c r="N1836" s="9" t="str">
        <f t="shared" si="65"/>
        <v/>
      </c>
      <c r="O1836" s="9" t="str">
        <f>IF(N1836="","",IF(COUNTIF(Precios!$G:$G,N1836)=0,"⚠ No coincide con Precios","OK"))</f>
        <v/>
      </c>
    </row>
    <row r="1837" spans="3:15" x14ac:dyDescent="0.2">
      <c r="C1837" s="9" cm="1">
        <f t="array" ref="C1837">IFERROR(_xlfn.XLOOKUP(B1837,Personal!$A:$A,Personal!$D:$D,""),"")</f>
        <v>0</v>
      </c>
      <c r="D1837" s="9" cm="1">
        <f t="array" ref="D1837">IFERROR(_xlfn.XLOOKUP(B1837,Personal!$A:$A,Personal!$C:$C,""),"")</f>
        <v>0</v>
      </c>
      <c r="E1837" s="9" t="str" cm="1">
        <f t="array" ref="E1837">IFERROR(_xlfn.XLOOKUP(D1837,Locales!$A:$A,Locales!$B:$B,""),"")</f>
        <v/>
      </c>
      <c r="F1837" s="9" cm="1">
        <f t="array" ref="F1837">IFERROR(_xlfn.XLOOKUP(B1837,Personal!$A:$A,Personal!$F:$F,""),"")</f>
        <v>0</v>
      </c>
      <c r="I1837" s="10" cm="1">
        <f t="array" ref="I1837">IFERROR(INDEX(Precios!$D:$F,MATCH(N1837, Precios!$G:$G, 0),CHOOSE(MATCH(H1837, {"SML";"XL";"XXL"}, 0), 1, 2, 3)), 0)</f>
        <v>0</v>
      </c>
      <c r="K1837" s="10">
        <f t="shared" si="64"/>
        <v>0</v>
      </c>
      <c r="N1837" s="9" t="str">
        <f t="shared" si="65"/>
        <v/>
      </c>
      <c r="O1837" s="9" t="str">
        <f>IF(N1837="","",IF(COUNTIF(Precios!$G:$G,N1837)=0,"⚠ No coincide con Precios","OK"))</f>
        <v/>
      </c>
    </row>
    <row r="1838" spans="3:15" x14ac:dyDescent="0.2">
      <c r="C1838" s="9" cm="1">
        <f t="array" ref="C1838">IFERROR(_xlfn.XLOOKUP(B1838,Personal!$A:$A,Personal!$D:$D,""),"")</f>
        <v>0</v>
      </c>
      <c r="D1838" s="9" cm="1">
        <f t="array" ref="D1838">IFERROR(_xlfn.XLOOKUP(B1838,Personal!$A:$A,Personal!$C:$C,""),"")</f>
        <v>0</v>
      </c>
      <c r="E1838" s="9" t="str" cm="1">
        <f t="array" ref="E1838">IFERROR(_xlfn.XLOOKUP(D1838,Locales!$A:$A,Locales!$B:$B,""),"")</f>
        <v/>
      </c>
      <c r="F1838" s="9" cm="1">
        <f t="array" ref="F1838">IFERROR(_xlfn.XLOOKUP(B1838,Personal!$A:$A,Personal!$F:$F,""),"")</f>
        <v>0</v>
      </c>
      <c r="I1838" s="10" cm="1">
        <f t="array" ref="I1838">IFERROR(INDEX(Precios!$D:$F,MATCH(N1838, Precios!$G:$G, 0),CHOOSE(MATCH(H1838, {"SML";"XL";"XXL"}, 0), 1, 2, 3)), 0)</f>
        <v>0</v>
      </c>
      <c r="K1838" s="10">
        <f t="shared" si="64"/>
        <v>0</v>
      </c>
      <c r="N1838" s="9" t="str">
        <f t="shared" si="65"/>
        <v/>
      </c>
      <c r="O1838" s="9" t="str">
        <f>IF(N1838="","",IF(COUNTIF(Precios!$G:$G,N1838)=0,"⚠ No coincide con Precios","OK"))</f>
        <v/>
      </c>
    </row>
    <row r="1839" spans="3:15" x14ac:dyDescent="0.2">
      <c r="C1839" s="9" cm="1">
        <f t="array" ref="C1839">IFERROR(_xlfn.XLOOKUP(B1839,Personal!$A:$A,Personal!$D:$D,""),"")</f>
        <v>0</v>
      </c>
      <c r="D1839" s="9" cm="1">
        <f t="array" ref="D1839">IFERROR(_xlfn.XLOOKUP(B1839,Personal!$A:$A,Personal!$C:$C,""),"")</f>
        <v>0</v>
      </c>
      <c r="E1839" s="9" t="str" cm="1">
        <f t="array" ref="E1839">IFERROR(_xlfn.XLOOKUP(D1839,Locales!$A:$A,Locales!$B:$B,""),"")</f>
        <v/>
      </c>
      <c r="F1839" s="9" cm="1">
        <f t="array" ref="F1839">IFERROR(_xlfn.XLOOKUP(B1839,Personal!$A:$A,Personal!$F:$F,""),"")</f>
        <v>0</v>
      </c>
      <c r="I1839" s="10" cm="1">
        <f t="array" ref="I1839">IFERROR(INDEX(Precios!$D:$F,MATCH(N1839, Precios!$G:$G, 0),CHOOSE(MATCH(H1839, {"SML";"XL";"XXL"}, 0), 1, 2, 3)), 0)</f>
        <v>0</v>
      </c>
      <c r="K1839" s="10">
        <f t="shared" si="64"/>
        <v>0</v>
      </c>
      <c r="N1839" s="9" t="str">
        <f t="shared" si="65"/>
        <v/>
      </c>
      <c r="O1839" s="9" t="str">
        <f>IF(N1839="","",IF(COUNTIF(Precios!$G:$G,N1839)=0,"⚠ No coincide con Precios","OK"))</f>
        <v/>
      </c>
    </row>
    <row r="1840" spans="3:15" x14ac:dyDescent="0.2">
      <c r="C1840" s="9" cm="1">
        <f t="array" ref="C1840">IFERROR(_xlfn.XLOOKUP(B1840,Personal!$A:$A,Personal!$D:$D,""),"")</f>
        <v>0</v>
      </c>
      <c r="D1840" s="9" cm="1">
        <f t="array" ref="D1840">IFERROR(_xlfn.XLOOKUP(B1840,Personal!$A:$A,Personal!$C:$C,""),"")</f>
        <v>0</v>
      </c>
      <c r="E1840" s="9" t="str" cm="1">
        <f t="array" ref="E1840">IFERROR(_xlfn.XLOOKUP(D1840,Locales!$A:$A,Locales!$B:$B,""),"")</f>
        <v/>
      </c>
      <c r="F1840" s="9" cm="1">
        <f t="array" ref="F1840">IFERROR(_xlfn.XLOOKUP(B1840,Personal!$A:$A,Personal!$F:$F,""),"")</f>
        <v>0</v>
      </c>
      <c r="I1840" s="10" cm="1">
        <f t="array" ref="I1840">IFERROR(INDEX(Precios!$D:$F,MATCH(N1840, Precios!$G:$G, 0),CHOOSE(MATCH(H1840, {"SML";"XL";"XXL"}, 0), 1, 2, 3)), 0)</f>
        <v>0</v>
      </c>
      <c r="K1840" s="10">
        <f t="shared" si="64"/>
        <v>0</v>
      </c>
      <c r="N1840" s="9" t="str">
        <f t="shared" si="65"/>
        <v/>
      </c>
      <c r="O1840" s="9" t="str">
        <f>IF(N1840="","",IF(COUNTIF(Precios!$G:$G,N1840)=0,"⚠ No coincide con Precios","OK"))</f>
        <v/>
      </c>
    </row>
    <row r="1841" spans="3:15" x14ac:dyDescent="0.2">
      <c r="C1841" s="9" cm="1">
        <f t="array" ref="C1841">IFERROR(_xlfn.XLOOKUP(B1841,Personal!$A:$A,Personal!$D:$D,""),"")</f>
        <v>0</v>
      </c>
      <c r="D1841" s="9" cm="1">
        <f t="array" ref="D1841">IFERROR(_xlfn.XLOOKUP(B1841,Personal!$A:$A,Personal!$C:$C,""),"")</f>
        <v>0</v>
      </c>
      <c r="E1841" s="9" t="str" cm="1">
        <f t="array" ref="E1841">IFERROR(_xlfn.XLOOKUP(D1841,Locales!$A:$A,Locales!$B:$B,""),"")</f>
        <v/>
      </c>
      <c r="F1841" s="9" cm="1">
        <f t="array" ref="F1841">IFERROR(_xlfn.XLOOKUP(B1841,Personal!$A:$A,Personal!$F:$F,""),"")</f>
        <v>0</v>
      </c>
      <c r="I1841" s="10" cm="1">
        <f t="array" ref="I1841">IFERROR(INDEX(Precios!$D:$F,MATCH(N1841, Precios!$G:$G, 0),CHOOSE(MATCH(H1841, {"SML";"XL";"XXL"}, 0), 1, 2, 3)), 0)</f>
        <v>0</v>
      </c>
      <c r="K1841" s="10">
        <f t="shared" si="64"/>
        <v>0</v>
      </c>
      <c r="N1841" s="9" t="str">
        <f t="shared" si="65"/>
        <v/>
      </c>
      <c r="O1841" s="9" t="str">
        <f>IF(N1841="","",IF(COUNTIF(Precios!$G:$G,N1841)=0,"⚠ No coincide con Precios","OK"))</f>
        <v/>
      </c>
    </row>
    <row r="1842" spans="3:15" x14ac:dyDescent="0.2">
      <c r="C1842" s="9" cm="1">
        <f t="array" ref="C1842">IFERROR(_xlfn.XLOOKUP(B1842,Personal!$A:$A,Personal!$D:$D,""),"")</f>
        <v>0</v>
      </c>
      <c r="D1842" s="9" cm="1">
        <f t="array" ref="D1842">IFERROR(_xlfn.XLOOKUP(B1842,Personal!$A:$A,Personal!$C:$C,""),"")</f>
        <v>0</v>
      </c>
      <c r="E1842" s="9" t="str" cm="1">
        <f t="array" ref="E1842">IFERROR(_xlfn.XLOOKUP(D1842,Locales!$A:$A,Locales!$B:$B,""),"")</f>
        <v/>
      </c>
      <c r="F1842" s="9" cm="1">
        <f t="array" ref="F1842">IFERROR(_xlfn.XLOOKUP(B1842,Personal!$A:$A,Personal!$F:$F,""),"")</f>
        <v>0</v>
      </c>
      <c r="I1842" s="10" cm="1">
        <f t="array" ref="I1842">IFERROR(INDEX(Precios!$D:$F,MATCH(N1842, Precios!$G:$G, 0),CHOOSE(MATCH(H1842, {"SML";"XL";"XXL"}, 0), 1, 2, 3)), 0)</f>
        <v>0</v>
      </c>
      <c r="K1842" s="10">
        <f t="shared" si="64"/>
        <v>0</v>
      </c>
      <c r="N1842" s="9" t="str">
        <f t="shared" si="65"/>
        <v/>
      </c>
      <c r="O1842" s="9" t="str">
        <f>IF(N1842="","",IF(COUNTIF(Precios!$G:$G,N1842)=0,"⚠ No coincide con Precios","OK"))</f>
        <v/>
      </c>
    </row>
    <row r="1843" spans="3:15" x14ac:dyDescent="0.2">
      <c r="C1843" s="9" cm="1">
        <f t="array" ref="C1843">IFERROR(_xlfn.XLOOKUP(B1843,Personal!$A:$A,Personal!$D:$D,""),"")</f>
        <v>0</v>
      </c>
      <c r="D1843" s="9" cm="1">
        <f t="array" ref="D1843">IFERROR(_xlfn.XLOOKUP(B1843,Personal!$A:$A,Personal!$C:$C,""),"")</f>
        <v>0</v>
      </c>
      <c r="E1843" s="9" t="str" cm="1">
        <f t="array" ref="E1843">IFERROR(_xlfn.XLOOKUP(D1843,Locales!$A:$A,Locales!$B:$B,""),"")</f>
        <v/>
      </c>
      <c r="F1843" s="9" cm="1">
        <f t="array" ref="F1843">IFERROR(_xlfn.XLOOKUP(B1843,Personal!$A:$A,Personal!$F:$F,""),"")</f>
        <v>0</v>
      </c>
      <c r="I1843" s="10" cm="1">
        <f t="array" ref="I1843">IFERROR(INDEX(Precios!$D:$F,MATCH(N1843, Precios!$G:$G, 0),CHOOSE(MATCH(H1843, {"SML";"XL";"XXL"}, 0), 1, 2, 3)), 0)</f>
        <v>0</v>
      </c>
      <c r="K1843" s="10">
        <f t="shared" si="64"/>
        <v>0</v>
      </c>
      <c r="N1843" s="9" t="str">
        <f t="shared" si="65"/>
        <v/>
      </c>
      <c r="O1843" s="9" t="str">
        <f>IF(N1843="","",IF(COUNTIF(Precios!$G:$G,N1843)=0,"⚠ No coincide con Precios","OK"))</f>
        <v/>
      </c>
    </row>
    <row r="1844" spans="3:15" x14ac:dyDescent="0.2">
      <c r="C1844" s="9" cm="1">
        <f t="array" ref="C1844">IFERROR(_xlfn.XLOOKUP(B1844,Personal!$A:$A,Personal!$D:$D,""),"")</f>
        <v>0</v>
      </c>
      <c r="D1844" s="9" cm="1">
        <f t="array" ref="D1844">IFERROR(_xlfn.XLOOKUP(B1844,Personal!$A:$A,Personal!$C:$C,""),"")</f>
        <v>0</v>
      </c>
      <c r="E1844" s="9" t="str" cm="1">
        <f t="array" ref="E1844">IFERROR(_xlfn.XLOOKUP(D1844,Locales!$A:$A,Locales!$B:$B,""),"")</f>
        <v/>
      </c>
      <c r="F1844" s="9" cm="1">
        <f t="array" ref="F1844">IFERROR(_xlfn.XLOOKUP(B1844,Personal!$A:$A,Personal!$F:$F,""),"")</f>
        <v>0</v>
      </c>
      <c r="I1844" s="10" cm="1">
        <f t="array" ref="I1844">IFERROR(INDEX(Precios!$D:$F,MATCH(N1844, Precios!$G:$G, 0),CHOOSE(MATCH(H1844, {"SML";"XL";"XXL"}, 0), 1, 2, 3)), 0)</f>
        <v>0</v>
      </c>
      <c r="K1844" s="10">
        <f t="shared" si="64"/>
        <v>0</v>
      </c>
      <c r="N1844" s="9" t="str">
        <f t="shared" si="65"/>
        <v/>
      </c>
      <c r="O1844" s="9" t="str">
        <f>IF(N1844="","",IF(COUNTIF(Precios!$G:$G,N1844)=0,"⚠ No coincide con Precios","OK"))</f>
        <v/>
      </c>
    </row>
    <row r="1845" spans="3:15" x14ac:dyDescent="0.2">
      <c r="C1845" s="9" cm="1">
        <f t="array" ref="C1845">IFERROR(_xlfn.XLOOKUP(B1845,Personal!$A:$A,Personal!$D:$D,""),"")</f>
        <v>0</v>
      </c>
      <c r="D1845" s="9" cm="1">
        <f t="array" ref="D1845">IFERROR(_xlfn.XLOOKUP(B1845,Personal!$A:$A,Personal!$C:$C,""),"")</f>
        <v>0</v>
      </c>
      <c r="E1845" s="9" t="str" cm="1">
        <f t="array" ref="E1845">IFERROR(_xlfn.XLOOKUP(D1845,Locales!$A:$A,Locales!$B:$B,""),"")</f>
        <v/>
      </c>
      <c r="F1845" s="9" cm="1">
        <f t="array" ref="F1845">IFERROR(_xlfn.XLOOKUP(B1845,Personal!$A:$A,Personal!$F:$F,""),"")</f>
        <v>0</v>
      </c>
      <c r="I1845" s="10" cm="1">
        <f t="array" ref="I1845">IFERROR(INDEX(Precios!$D:$F,MATCH(N1845, Precios!$G:$G, 0),CHOOSE(MATCH(H1845, {"SML";"XL";"XXL"}, 0), 1, 2, 3)), 0)</f>
        <v>0</v>
      </c>
      <c r="K1845" s="10">
        <f t="shared" si="64"/>
        <v>0</v>
      </c>
      <c r="N1845" s="9" t="str">
        <f t="shared" si="65"/>
        <v/>
      </c>
      <c r="O1845" s="9" t="str">
        <f>IF(N1845="","",IF(COUNTIF(Precios!$G:$G,N1845)=0,"⚠ No coincide con Precios","OK"))</f>
        <v/>
      </c>
    </row>
    <row r="1846" spans="3:15" x14ac:dyDescent="0.2">
      <c r="C1846" s="9" cm="1">
        <f t="array" ref="C1846">IFERROR(_xlfn.XLOOKUP(B1846,Personal!$A:$A,Personal!$D:$D,""),"")</f>
        <v>0</v>
      </c>
      <c r="D1846" s="9" cm="1">
        <f t="array" ref="D1846">IFERROR(_xlfn.XLOOKUP(B1846,Personal!$A:$A,Personal!$C:$C,""),"")</f>
        <v>0</v>
      </c>
      <c r="E1846" s="9" t="str" cm="1">
        <f t="array" ref="E1846">IFERROR(_xlfn.XLOOKUP(D1846,Locales!$A:$A,Locales!$B:$B,""),"")</f>
        <v/>
      </c>
      <c r="F1846" s="9" cm="1">
        <f t="array" ref="F1846">IFERROR(_xlfn.XLOOKUP(B1846,Personal!$A:$A,Personal!$F:$F,""),"")</f>
        <v>0</v>
      </c>
      <c r="I1846" s="10" cm="1">
        <f t="array" ref="I1846">IFERROR(INDEX(Precios!$D:$F,MATCH(N1846, Precios!$G:$G, 0),CHOOSE(MATCH(H1846, {"SML";"XL";"XXL"}, 0), 1, 2, 3)), 0)</f>
        <v>0</v>
      </c>
      <c r="K1846" s="10">
        <f t="shared" si="64"/>
        <v>0</v>
      </c>
      <c r="N1846" s="9" t="str">
        <f t="shared" si="65"/>
        <v/>
      </c>
      <c r="O1846" s="9" t="str">
        <f>IF(N1846="","",IF(COUNTIF(Precios!$G:$G,N1846)=0,"⚠ No coincide con Precios","OK"))</f>
        <v/>
      </c>
    </row>
    <row r="1847" spans="3:15" x14ac:dyDescent="0.2">
      <c r="C1847" s="9" cm="1">
        <f t="array" ref="C1847">IFERROR(_xlfn.XLOOKUP(B1847,Personal!$A:$A,Personal!$D:$D,""),"")</f>
        <v>0</v>
      </c>
      <c r="D1847" s="9" cm="1">
        <f t="array" ref="D1847">IFERROR(_xlfn.XLOOKUP(B1847,Personal!$A:$A,Personal!$C:$C,""),"")</f>
        <v>0</v>
      </c>
      <c r="E1847" s="9" t="str" cm="1">
        <f t="array" ref="E1847">IFERROR(_xlfn.XLOOKUP(D1847,Locales!$A:$A,Locales!$B:$B,""),"")</f>
        <v/>
      </c>
      <c r="F1847" s="9" cm="1">
        <f t="array" ref="F1847">IFERROR(_xlfn.XLOOKUP(B1847,Personal!$A:$A,Personal!$F:$F,""),"")</f>
        <v>0</v>
      </c>
      <c r="I1847" s="10" cm="1">
        <f t="array" ref="I1847">IFERROR(INDEX(Precios!$D:$F,MATCH(N1847, Precios!$G:$G, 0),CHOOSE(MATCH(H1847, {"SML";"XL";"XXL"}, 0), 1, 2, 3)), 0)</f>
        <v>0</v>
      </c>
      <c r="K1847" s="10">
        <f t="shared" si="64"/>
        <v>0</v>
      </c>
      <c r="N1847" s="9" t="str">
        <f t="shared" si="65"/>
        <v/>
      </c>
      <c r="O1847" s="9" t="str">
        <f>IF(N1847="","",IF(COUNTIF(Precios!$G:$G,N1847)=0,"⚠ No coincide con Precios","OK"))</f>
        <v/>
      </c>
    </row>
    <row r="1848" spans="3:15" x14ac:dyDescent="0.2">
      <c r="C1848" s="9" cm="1">
        <f t="array" ref="C1848">IFERROR(_xlfn.XLOOKUP(B1848,Personal!$A:$A,Personal!$D:$D,""),"")</f>
        <v>0</v>
      </c>
      <c r="D1848" s="9" cm="1">
        <f t="array" ref="D1848">IFERROR(_xlfn.XLOOKUP(B1848,Personal!$A:$A,Personal!$C:$C,""),"")</f>
        <v>0</v>
      </c>
      <c r="E1848" s="9" t="str" cm="1">
        <f t="array" ref="E1848">IFERROR(_xlfn.XLOOKUP(D1848,Locales!$A:$A,Locales!$B:$B,""),"")</f>
        <v/>
      </c>
      <c r="F1848" s="9" cm="1">
        <f t="array" ref="F1848">IFERROR(_xlfn.XLOOKUP(B1848,Personal!$A:$A,Personal!$F:$F,""),"")</f>
        <v>0</v>
      </c>
      <c r="I1848" s="10" cm="1">
        <f t="array" ref="I1848">IFERROR(INDEX(Precios!$D:$F,MATCH(N1848, Precios!$G:$G, 0),CHOOSE(MATCH(H1848, {"SML";"XL";"XXL"}, 0), 1, 2, 3)), 0)</f>
        <v>0</v>
      </c>
      <c r="K1848" s="10">
        <f t="shared" si="64"/>
        <v>0</v>
      </c>
      <c r="N1848" s="9" t="str">
        <f t="shared" si="65"/>
        <v/>
      </c>
      <c r="O1848" s="9" t="str">
        <f>IF(N1848="","",IF(COUNTIF(Precios!$G:$G,N1848)=0,"⚠ No coincide con Precios","OK"))</f>
        <v/>
      </c>
    </row>
    <row r="1849" spans="3:15" x14ac:dyDescent="0.2">
      <c r="C1849" s="9" cm="1">
        <f t="array" ref="C1849">IFERROR(_xlfn.XLOOKUP(B1849,Personal!$A:$A,Personal!$D:$D,""),"")</f>
        <v>0</v>
      </c>
      <c r="D1849" s="9" cm="1">
        <f t="array" ref="D1849">IFERROR(_xlfn.XLOOKUP(B1849,Personal!$A:$A,Personal!$C:$C,""),"")</f>
        <v>0</v>
      </c>
      <c r="E1849" s="9" t="str" cm="1">
        <f t="array" ref="E1849">IFERROR(_xlfn.XLOOKUP(D1849,Locales!$A:$A,Locales!$B:$B,""),"")</f>
        <v/>
      </c>
      <c r="F1849" s="9" cm="1">
        <f t="array" ref="F1849">IFERROR(_xlfn.XLOOKUP(B1849,Personal!$A:$A,Personal!$F:$F,""),"")</f>
        <v>0</v>
      </c>
      <c r="I1849" s="10" cm="1">
        <f t="array" ref="I1849">IFERROR(INDEX(Precios!$D:$F,MATCH(N1849, Precios!$G:$G, 0),CHOOSE(MATCH(H1849, {"SML";"XL";"XXL"}, 0), 1, 2, 3)), 0)</f>
        <v>0</v>
      </c>
      <c r="K1849" s="10">
        <f t="shared" si="64"/>
        <v>0</v>
      </c>
      <c r="N1849" s="9" t="str">
        <f t="shared" si="65"/>
        <v/>
      </c>
      <c r="O1849" s="9" t="str">
        <f>IF(N1849="","",IF(COUNTIF(Precios!$G:$G,N1849)=0,"⚠ No coincide con Precios","OK"))</f>
        <v/>
      </c>
    </row>
    <row r="1850" spans="3:15" x14ac:dyDescent="0.2">
      <c r="C1850" s="9" cm="1">
        <f t="array" ref="C1850">IFERROR(_xlfn.XLOOKUP(B1850,Personal!$A:$A,Personal!$D:$D,""),"")</f>
        <v>0</v>
      </c>
      <c r="D1850" s="9" cm="1">
        <f t="array" ref="D1850">IFERROR(_xlfn.XLOOKUP(B1850,Personal!$A:$A,Personal!$C:$C,""),"")</f>
        <v>0</v>
      </c>
      <c r="E1850" s="9" t="str" cm="1">
        <f t="array" ref="E1850">IFERROR(_xlfn.XLOOKUP(D1850,Locales!$A:$A,Locales!$B:$B,""),"")</f>
        <v/>
      </c>
      <c r="F1850" s="9" cm="1">
        <f t="array" ref="F1850">IFERROR(_xlfn.XLOOKUP(B1850,Personal!$A:$A,Personal!$F:$F,""),"")</f>
        <v>0</v>
      </c>
      <c r="I1850" s="10" cm="1">
        <f t="array" ref="I1850">IFERROR(INDEX(Precios!$D:$F,MATCH(N1850, Precios!$G:$G, 0),CHOOSE(MATCH(H1850, {"SML";"XL";"XXL"}, 0), 1, 2, 3)), 0)</f>
        <v>0</v>
      </c>
      <c r="K1850" s="10">
        <f t="shared" si="64"/>
        <v>0</v>
      </c>
      <c r="N1850" s="9" t="str">
        <f t="shared" si="65"/>
        <v/>
      </c>
      <c r="O1850" s="9" t="str">
        <f>IF(N1850="","",IF(COUNTIF(Precios!$G:$G,N1850)=0,"⚠ No coincide con Precios","OK"))</f>
        <v/>
      </c>
    </row>
    <row r="1851" spans="3:15" x14ac:dyDescent="0.2">
      <c r="C1851" s="9" cm="1">
        <f t="array" ref="C1851">IFERROR(_xlfn.XLOOKUP(B1851,Personal!$A:$A,Personal!$D:$D,""),"")</f>
        <v>0</v>
      </c>
      <c r="D1851" s="9" cm="1">
        <f t="array" ref="D1851">IFERROR(_xlfn.XLOOKUP(B1851,Personal!$A:$A,Personal!$C:$C,""),"")</f>
        <v>0</v>
      </c>
      <c r="E1851" s="9" t="str" cm="1">
        <f t="array" ref="E1851">IFERROR(_xlfn.XLOOKUP(D1851,Locales!$A:$A,Locales!$B:$B,""),"")</f>
        <v/>
      </c>
      <c r="F1851" s="9" cm="1">
        <f t="array" ref="F1851">IFERROR(_xlfn.XLOOKUP(B1851,Personal!$A:$A,Personal!$F:$F,""),"")</f>
        <v>0</v>
      </c>
      <c r="I1851" s="10" cm="1">
        <f t="array" ref="I1851">IFERROR(INDEX(Precios!$D:$F,MATCH(N1851, Precios!$G:$G, 0),CHOOSE(MATCH(H1851, {"SML";"XL";"XXL"}, 0), 1, 2, 3)), 0)</f>
        <v>0</v>
      </c>
      <c r="K1851" s="10">
        <f t="shared" si="64"/>
        <v>0</v>
      </c>
      <c r="N1851" s="9" t="str">
        <f t="shared" si="65"/>
        <v/>
      </c>
      <c r="O1851" s="9" t="str">
        <f>IF(N1851="","",IF(COUNTIF(Precios!$G:$G,N1851)=0,"⚠ No coincide con Precios","OK"))</f>
        <v/>
      </c>
    </row>
    <row r="1852" spans="3:15" x14ac:dyDescent="0.2">
      <c r="C1852" s="9" cm="1">
        <f t="array" ref="C1852">IFERROR(_xlfn.XLOOKUP(B1852,Personal!$A:$A,Personal!$D:$D,""),"")</f>
        <v>0</v>
      </c>
      <c r="D1852" s="9" cm="1">
        <f t="array" ref="D1852">IFERROR(_xlfn.XLOOKUP(B1852,Personal!$A:$A,Personal!$C:$C,""),"")</f>
        <v>0</v>
      </c>
      <c r="E1852" s="9" t="str" cm="1">
        <f t="array" ref="E1852">IFERROR(_xlfn.XLOOKUP(D1852,Locales!$A:$A,Locales!$B:$B,""),"")</f>
        <v/>
      </c>
      <c r="F1852" s="9" cm="1">
        <f t="array" ref="F1852">IFERROR(_xlfn.XLOOKUP(B1852,Personal!$A:$A,Personal!$F:$F,""),"")</f>
        <v>0</v>
      </c>
      <c r="I1852" s="10" cm="1">
        <f t="array" ref="I1852">IFERROR(INDEX(Precios!$D:$F,MATCH(N1852, Precios!$G:$G, 0),CHOOSE(MATCH(H1852, {"SML";"XL";"XXL"}, 0), 1, 2, 3)), 0)</f>
        <v>0</v>
      </c>
      <c r="K1852" s="10">
        <f t="shared" si="64"/>
        <v>0</v>
      </c>
      <c r="N1852" s="9" t="str">
        <f t="shared" si="65"/>
        <v/>
      </c>
      <c r="O1852" s="9" t="str">
        <f>IF(N1852="","",IF(COUNTIF(Precios!$G:$G,N1852)=0,"⚠ No coincide con Precios","OK"))</f>
        <v/>
      </c>
    </row>
    <row r="1853" spans="3:15" x14ac:dyDescent="0.2">
      <c r="C1853" s="9" cm="1">
        <f t="array" ref="C1853">IFERROR(_xlfn.XLOOKUP(B1853,Personal!$A:$A,Personal!$D:$D,""),"")</f>
        <v>0</v>
      </c>
      <c r="D1853" s="9" cm="1">
        <f t="array" ref="D1853">IFERROR(_xlfn.XLOOKUP(B1853,Personal!$A:$A,Personal!$C:$C,""),"")</f>
        <v>0</v>
      </c>
      <c r="E1853" s="9" t="str" cm="1">
        <f t="array" ref="E1853">IFERROR(_xlfn.XLOOKUP(D1853,Locales!$A:$A,Locales!$B:$B,""),"")</f>
        <v/>
      </c>
      <c r="F1853" s="9" cm="1">
        <f t="array" ref="F1853">IFERROR(_xlfn.XLOOKUP(B1853,Personal!$A:$A,Personal!$F:$F,""),"")</f>
        <v>0</v>
      </c>
      <c r="I1853" s="10" cm="1">
        <f t="array" ref="I1853">IFERROR(INDEX(Precios!$D:$F,MATCH(N1853, Precios!$G:$G, 0),CHOOSE(MATCH(H1853, {"SML";"XL";"XXL"}, 0), 1, 2, 3)), 0)</f>
        <v>0</v>
      </c>
      <c r="K1853" s="10">
        <f t="shared" si="64"/>
        <v>0</v>
      </c>
      <c r="N1853" s="9" t="str">
        <f t="shared" si="65"/>
        <v/>
      </c>
      <c r="O1853" s="9" t="str">
        <f>IF(N1853="","",IF(COUNTIF(Precios!$G:$G,N1853)=0,"⚠ No coincide con Precios","OK"))</f>
        <v/>
      </c>
    </row>
    <row r="1854" spans="3:15" x14ac:dyDescent="0.2">
      <c r="C1854" s="9" cm="1">
        <f t="array" ref="C1854">IFERROR(_xlfn.XLOOKUP(B1854,Personal!$A:$A,Personal!$D:$D,""),"")</f>
        <v>0</v>
      </c>
      <c r="D1854" s="9" cm="1">
        <f t="array" ref="D1854">IFERROR(_xlfn.XLOOKUP(B1854,Personal!$A:$A,Personal!$C:$C,""),"")</f>
        <v>0</v>
      </c>
      <c r="E1854" s="9" t="str" cm="1">
        <f t="array" ref="E1854">IFERROR(_xlfn.XLOOKUP(D1854,Locales!$A:$A,Locales!$B:$B,""),"")</f>
        <v/>
      </c>
      <c r="F1854" s="9" cm="1">
        <f t="array" ref="F1854">IFERROR(_xlfn.XLOOKUP(B1854,Personal!$A:$A,Personal!$F:$F,""),"")</f>
        <v>0</v>
      </c>
      <c r="I1854" s="10" cm="1">
        <f t="array" ref="I1854">IFERROR(INDEX(Precios!$D:$F,MATCH(N1854, Precios!$G:$G, 0),CHOOSE(MATCH(H1854, {"SML";"XL";"XXL"}, 0), 1, 2, 3)), 0)</f>
        <v>0</v>
      </c>
      <c r="K1854" s="10">
        <f t="shared" si="64"/>
        <v>0</v>
      </c>
      <c r="N1854" s="9" t="str">
        <f t="shared" si="65"/>
        <v/>
      </c>
      <c r="O1854" s="9" t="str">
        <f>IF(N1854="","",IF(COUNTIF(Precios!$G:$G,N1854)=0,"⚠ No coincide con Precios","OK"))</f>
        <v/>
      </c>
    </row>
    <row r="1855" spans="3:15" x14ac:dyDescent="0.2">
      <c r="C1855" s="9" cm="1">
        <f t="array" ref="C1855">IFERROR(_xlfn.XLOOKUP(B1855,Personal!$A:$A,Personal!$D:$D,""),"")</f>
        <v>0</v>
      </c>
      <c r="D1855" s="9" cm="1">
        <f t="array" ref="D1855">IFERROR(_xlfn.XLOOKUP(B1855,Personal!$A:$A,Personal!$C:$C,""),"")</f>
        <v>0</v>
      </c>
      <c r="E1855" s="9" t="str" cm="1">
        <f t="array" ref="E1855">IFERROR(_xlfn.XLOOKUP(D1855,Locales!$A:$A,Locales!$B:$B,""),"")</f>
        <v/>
      </c>
      <c r="F1855" s="9" cm="1">
        <f t="array" ref="F1855">IFERROR(_xlfn.XLOOKUP(B1855,Personal!$A:$A,Personal!$F:$F,""),"")</f>
        <v>0</v>
      </c>
      <c r="I1855" s="10" cm="1">
        <f t="array" ref="I1855">IFERROR(INDEX(Precios!$D:$F,MATCH(N1855, Precios!$G:$G, 0),CHOOSE(MATCH(H1855, {"SML";"XL";"XXL"}, 0), 1, 2, 3)), 0)</f>
        <v>0</v>
      </c>
      <c r="K1855" s="10">
        <f t="shared" si="64"/>
        <v>0</v>
      </c>
      <c r="N1855" s="9" t="str">
        <f t="shared" si="65"/>
        <v/>
      </c>
      <c r="O1855" s="9" t="str">
        <f>IF(N1855="","",IF(COUNTIF(Precios!$G:$G,N1855)=0,"⚠ No coincide con Precios","OK"))</f>
        <v/>
      </c>
    </row>
    <row r="1856" spans="3:15" x14ac:dyDescent="0.2">
      <c r="C1856" s="9" cm="1">
        <f t="array" ref="C1856">IFERROR(_xlfn.XLOOKUP(B1856,Personal!$A:$A,Personal!$D:$D,""),"")</f>
        <v>0</v>
      </c>
      <c r="D1856" s="9" cm="1">
        <f t="array" ref="D1856">IFERROR(_xlfn.XLOOKUP(B1856,Personal!$A:$A,Personal!$C:$C,""),"")</f>
        <v>0</v>
      </c>
      <c r="E1856" s="9" t="str" cm="1">
        <f t="array" ref="E1856">IFERROR(_xlfn.XLOOKUP(D1856,Locales!$A:$A,Locales!$B:$B,""),"")</f>
        <v/>
      </c>
      <c r="F1856" s="9" cm="1">
        <f t="array" ref="F1856">IFERROR(_xlfn.XLOOKUP(B1856,Personal!$A:$A,Personal!$F:$F,""),"")</f>
        <v>0</v>
      </c>
      <c r="I1856" s="10" cm="1">
        <f t="array" ref="I1856">IFERROR(INDEX(Precios!$D:$F,MATCH(N1856, Precios!$G:$G, 0),CHOOSE(MATCH(H1856, {"SML";"XL";"XXL"}, 0), 1, 2, 3)), 0)</f>
        <v>0</v>
      </c>
      <c r="K1856" s="10">
        <f t="shared" ref="K1856:K1919" si="66">IFERROR(I1856*J1856,0)</f>
        <v>0</v>
      </c>
      <c r="N1856" s="9" t="str">
        <f t="shared" ref="N1856:N1919" si="67">IF( OR(E1856="",F1856="",G1856=""), "",CLEAN(TRIM(E1856)) &amp; "|" &amp; CLEAN(TRIM(F1856)) &amp; "|" &amp; CLEAN(TRIM(G1856)))</f>
        <v/>
      </c>
      <c r="O1856" s="9" t="str">
        <f>IF(N1856="","",IF(COUNTIF(Precios!$G:$G,N1856)=0,"⚠ No coincide con Precios","OK"))</f>
        <v/>
      </c>
    </row>
    <row r="1857" spans="3:15" x14ac:dyDescent="0.2">
      <c r="C1857" s="9" cm="1">
        <f t="array" ref="C1857">IFERROR(_xlfn.XLOOKUP(B1857,Personal!$A:$A,Personal!$D:$D,""),"")</f>
        <v>0</v>
      </c>
      <c r="D1857" s="9" cm="1">
        <f t="array" ref="D1857">IFERROR(_xlfn.XLOOKUP(B1857,Personal!$A:$A,Personal!$C:$C,""),"")</f>
        <v>0</v>
      </c>
      <c r="E1857" s="9" t="str" cm="1">
        <f t="array" ref="E1857">IFERROR(_xlfn.XLOOKUP(D1857,Locales!$A:$A,Locales!$B:$B,""),"")</f>
        <v/>
      </c>
      <c r="F1857" s="9" cm="1">
        <f t="array" ref="F1857">IFERROR(_xlfn.XLOOKUP(B1857,Personal!$A:$A,Personal!$F:$F,""),"")</f>
        <v>0</v>
      </c>
      <c r="I1857" s="10" cm="1">
        <f t="array" ref="I1857">IFERROR(INDEX(Precios!$D:$F,MATCH(N1857, Precios!$G:$G, 0),CHOOSE(MATCH(H1857, {"SML";"XL";"XXL"}, 0), 1, 2, 3)), 0)</f>
        <v>0</v>
      </c>
      <c r="K1857" s="10">
        <f t="shared" si="66"/>
        <v>0</v>
      </c>
      <c r="N1857" s="9" t="str">
        <f t="shared" si="67"/>
        <v/>
      </c>
      <c r="O1857" s="9" t="str">
        <f>IF(N1857="","",IF(COUNTIF(Precios!$G:$G,N1857)=0,"⚠ No coincide con Precios","OK"))</f>
        <v/>
      </c>
    </row>
    <row r="1858" spans="3:15" x14ac:dyDescent="0.2">
      <c r="C1858" s="9" cm="1">
        <f t="array" ref="C1858">IFERROR(_xlfn.XLOOKUP(B1858,Personal!$A:$A,Personal!$D:$D,""),"")</f>
        <v>0</v>
      </c>
      <c r="D1858" s="9" cm="1">
        <f t="array" ref="D1858">IFERROR(_xlfn.XLOOKUP(B1858,Personal!$A:$A,Personal!$C:$C,""),"")</f>
        <v>0</v>
      </c>
      <c r="E1858" s="9" t="str" cm="1">
        <f t="array" ref="E1858">IFERROR(_xlfn.XLOOKUP(D1858,Locales!$A:$A,Locales!$B:$B,""),"")</f>
        <v/>
      </c>
      <c r="F1858" s="9" cm="1">
        <f t="array" ref="F1858">IFERROR(_xlfn.XLOOKUP(B1858,Personal!$A:$A,Personal!$F:$F,""),"")</f>
        <v>0</v>
      </c>
      <c r="I1858" s="10" cm="1">
        <f t="array" ref="I1858">IFERROR(INDEX(Precios!$D:$F,MATCH(N1858, Precios!$G:$G, 0),CHOOSE(MATCH(H1858, {"SML";"XL";"XXL"}, 0), 1, 2, 3)), 0)</f>
        <v>0</v>
      </c>
      <c r="K1858" s="10">
        <f t="shared" si="66"/>
        <v>0</v>
      </c>
      <c r="N1858" s="9" t="str">
        <f t="shared" si="67"/>
        <v/>
      </c>
      <c r="O1858" s="9" t="str">
        <f>IF(N1858="","",IF(COUNTIF(Precios!$G:$G,N1858)=0,"⚠ No coincide con Precios","OK"))</f>
        <v/>
      </c>
    </row>
    <row r="1859" spans="3:15" x14ac:dyDescent="0.2">
      <c r="C1859" s="9" cm="1">
        <f t="array" ref="C1859">IFERROR(_xlfn.XLOOKUP(B1859,Personal!$A:$A,Personal!$D:$D,""),"")</f>
        <v>0</v>
      </c>
      <c r="D1859" s="9" cm="1">
        <f t="array" ref="D1859">IFERROR(_xlfn.XLOOKUP(B1859,Personal!$A:$A,Personal!$C:$C,""),"")</f>
        <v>0</v>
      </c>
      <c r="E1859" s="9" t="str" cm="1">
        <f t="array" ref="E1859">IFERROR(_xlfn.XLOOKUP(D1859,Locales!$A:$A,Locales!$B:$B,""),"")</f>
        <v/>
      </c>
      <c r="F1859" s="9" cm="1">
        <f t="array" ref="F1859">IFERROR(_xlfn.XLOOKUP(B1859,Personal!$A:$A,Personal!$F:$F,""),"")</f>
        <v>0</v>
      </c>
      <c r="I1859" s="10" cm="1">
        <f t="array" ref="I1859">IFERROR(INDEX(Precios!$D:$F,MATCH(N1859, Precios!$G:$G, 0),CHOOSE(MATCH(H1859, {"SML";"XL";"XXL"}, 0), 1, 2, 3)), 0)</f>
        <v>0</v>
      </c>
      <c r="K1859" s="10">
        <f t="shared" si="66"/>
        <v>0</v>
      </c>
      <c r="N1859" s="9" t="str">
        <f t="shared" si="67"/>
        <v/>
      </c>
      <c r="O1859" s="9" t="str">
        <f>IF(N1859="","",IF(COUNTIF(Precios!$G:$G,N1859)=0,"⚠ No coincide con Precios","OK"))</f>
        <v/>
      </c>
    </row>
    <row r="1860" spans="3:15" x14ac:dyDescent="0.2">
      <c r="C1860" s="9" cm="1">
        <f t="array" ref="C1860">IFERROR(_xlfn.XLOOKUP(B1860,Personal!$A:$A,Personal!$D:$D,""),"")</f>
        <v>0</v>
      </c>
      <c r="D1860" s="9" cm="1">
        <f t="array" ref="D1860">IFERROR(_xlfn.XLOOKUP(B1860,Personal!$A:$A,Personal!$C:$C,""),"")</f>
        <v>0</v>
      </c>
      <c r="E1860" s="9" t="str" cm="1">
        <f t="array" ref="E1860">IFERROR(_xlfn.XLOOKUP(D1860,Locales!$A:$A,Locales!$B:$B,""),"")</f>
        <v/>
      </c>
      <c r="F1860" s="9" cm="1">
        <f t="array" ref="F1860">IFERROR(_xlfn.XLOOKUP(B1860,Personal!$A:$A,Personal!$F:$F,""),"")</f>
        <v>0</v>
      </c>
      <c r="I1860" s="10" cm="1">
        <f t="array" ref="I1860">IFERROR(INDEX(Precios!$D:$F,MATCH(N1860, Precios!$G:$G, 0),CHOOSE(MATCH(H1860, {"SML";"XL";"XXL"}, 0), 1, 2, 3)), 0)</f>
        <v>0</v>
      </c>
      <c r="K1860" s="10">
        <f t="shared" si="66"/>
        <v>0</v>
      </c>
      <c r="N1860" s="9" t="str">
        <f t="shared" si="67"/>
        <v/>
      </c>
      <c r="O1860" s="9" t="str">
        <f>IF(N1860="","",IF(COUNTIF(Precios!$G:$G,N1860)=0,"⚠ No coincide con Precios","OK"))</f>
        <v/>
      </c>
    </row>
    <row r="1861" spans="3:15" x14ac:dyDescent="0.2">
      <c r="C1861" s="9" cm="1">
        <f t="array" ref="C1861">IFERROR(_xlfn.XLOOKUP(B1861,Personal!$A:$A,Personal!$D:$D,""),"")</f>
        <v>0</v>
      </c>
      <c r="D1861" s="9" cm="1">
        <f t="array" ref="D1861">IFERROR(_xlfn.XLOOKUP(B1861,Personal!$A:$A,Personal!$C:$C,""),"")</f>
        <v>0</v>
      </c>
      <c r="E1861" s="9" t="str" cm="1">
        <f t="array" ref="E1861">IFERROR(_xlfn.XLOOKUP(D1861,Locales!$A:$A,Locales!$B:$B,""),"")</f>
        <v/>
      </c>
      <c r="F1861" s="9" cm="1">
        <f t="array" ref="F1861">IFERROR(_xlfn.XLOOKUP(B1861,Personal!$A:$A,Personal!$F:$F,""),"")</f>
        <v>0</v>
      </c>
      <c r="I1861" s="10" cm="1">
        <f t="array" ref="I1861">IFERROR(INDEX(Precios!$D:$F,MATCH(N1861, Precios!$G:$G, 0),CHOOSE(MATCH(H1861, {"SML";"XL";"XXL"}, 0), 1, 2, 3)), 0)</f>
        <v>0</v>
      </c>
      <c r="K1861" s="10">
        <f t="shared" si="66"/>
        <v>0</v>
      </c>
      <c r="N1861" s="9" t="str">
        <f t="shared" si="67"/>
        <v/>
      </c>
      <c r="O1861" s="9" t="str">
        <f>IF(N1861="","",IF(COUNTIF(Precios!$G:$G,N1861)=0,"⚠ No coincide con Precios","OK"))</f>
        <v/>
      </c>
    </row>
    <row r="1862" spans="3:15" x14ac:dyDescent="0.2">
      <c r="C1862" s="9" cm="1">
        <f t="array" ref="C1862">IFERROR(_xlfn.XLOOKUP(B1862,Personal!$A:$A,Personal!$D:$D,""),"")</f>
        <v>0</v>
      </c>
      <c r="D1862" s="9" cm="1">
        <f t="array" ref="D1862">IFERROR(_xlfn.XLOOKUP(B1862,Personal!$A:$A,Personal!$C:$C,""),"")</f>
        <v>0</v>
      </c>
      <c r="E1862" s="9" t="str" cm="1">
        <f t="array" ref="E1862">IFERROR(_xlfn.XLOOKUP(D1862,Locales!$A:$A,Locales!$B:$B,""),"")</f>
        <v/>
      </c>
      <c r="F1862" s="9" cm="1">
        <f t="array" ref="F1862">IFERROR(_xlfn.XLOOKUP(B1862,Personal!$A:$A,Personal!$F:$F,""),"")</f>
        <v>0</v>
      </c>
      <c r="I1862" s="10" cm="1">
        <f t="array" ref="I1862">IFERROR(INDEX(Precios!$D:$F,MATCH(N1862, Precios!$G:$G, 0),CHOOSE(MATCH(H1862, {"SML";"XL";"XXL"}, 0), 1, 2, 3)), 0)</f>
        <v>0</v>
      </c>
      <c r="K1862" s="10">
        <f t="shared" si="66"/>
        <v>0</v>
      </c>
      <c r="N1862" s="9" t="str">
        <f t="shared" si="67"/>
        <v/>
      </c>
      <c r="O1862" s="9" t="str">
        <f>IF(N1862="","",IF(COUNTIF(Precios!$G:$G,N1862)=0,"⚠ No coincide con Precios","OK"))</f>
        <v/>
      </c>
    </row>
    <row r="1863" spans="3:15" x14ac:dyDescent="0.2">
      <c r="C1863" s="9" cm="1">
        <f t="array" ref="C1863">IFERROR(_xlfn.XLOOKUP(B1863,Personal!$A:$A,Personal!$D:$D,""),"")</f>
        <v>0</v>
      </c>
      <c r="D1863" s="9" cm="1">
        <f t="array" ref="D1863">IFERROR(_xlfn.XLOOKUP(B1863,Personal!$A:$A,Personal!$C:$C,""),"")</f>
        <v>0</v>
      </c>
      <c r="E1863" s="9" t="str" cm="1">
        <f t="array" ref="E1863">IFERROR(_xlfn.XLOOKUP(D1863,Locales!$A:$A,Locales!$B:$B,""),"")</f>
        <v/>
      </c>
      <c r="F1863" s="9" cm="1">
        <f t="array" ref="F1863">IFERROR(_xlfn.XLOOKUP(B1863,Personal!$A:$A,Personal!$F:$F,""),"")</f>
        <v>0</v>
      </c>
      <c r="I1863" s="10" cm="1">
        <f t="array" ref="I1863">IFERROR(INDEX(Precios!$D:$F,MATCH(N1863, Precios!$G:$G, 0),CHOOSE(MATCH(H1863, {"SML";"XL";"XXL"}, 0), 1, 2, 3)), 0)</f>
        <v>0</v>
      </c>
      <c r="K1863" s="10">
        <f t="shared" si="66"/>
        <v>0</v>
      </c>
      <c r="N1863" s="9" t="str">
        <f t="shared" si="67"/>
        <v/>
      </c>
      <c r="O1863" s="9" t="str">
        <f>IF(N1863="","",IF(COUNTIF(Precios!$G:$G,N1863)=0,"⚠ No coincide con Precios","OK"))</f>
        <v/>
      </c>
    </row>
    <row r="1864" spans="3:15" x14ac:dyDescent="0.2">
      <c r="C1864" s="9" cm="1">
        <f t="array" ref="C1864">IFERROR(_xlfn.XLOOKUP(B1864,Personal!$A:$A,Personal!$D:$D,""),"")</f>
        <v>0</v>
      </c>
      <c r="D1864" s="9" cm="1">
        <f t="array" ref="D1864">IFERROR(_xlfn.XLOOKUP(B1864,Personal!$A:$A,Personal!$C:$C,""),"")</f>
        <v>0</v>
      </c>
      <c r="E1864" s="9" t="str" cm="1">
        <f t="array" ref="E1864">IFERROR(_xlfn.XLOOKUP(D1864,Locales!$A:$A,Locales!$B:$B,""),"")</f>
        <v/>
      </c>
      <c r="F1864" s="9" cm="1">
        <f t="array" ref="F1864">IFERROR(_xlfn.XLOOKUP(B1864,Personal!$A:$A,Personal!$F:$F,""),"")</f>
        <v>0</v>
      </c>
      <c r="I1864" s="10" cm="1">
        <f t="array" ref="I1864">IFERROR(INDEX(Precios!$D:$F,MATCH(N1864, Precios!$G:$G, 0),CHOOSE(MATCH(H1864, {"SML";"XL";"XXL"}, 0), 1, 2, 3)), 0)</f>
        <v>0</v>
      </c>
      <c r="K1864" s="10">
        <f t="shared" si="66"/>
        <v>0</v>
      </c>
      <c r="N1864" s="9" t="str">
        <f t="shared" si="67"/>
        <v/>
      </c>
      <c r="O1864" s="9" t="str">
        <f>IF(N1864="","",IF(COUNTIF(Precios!$G:$G,N1864)=0,"⚠ No coincide con Precios","OK"))</f>
        <v/>
      </c>
    </row>
    <row r="1865" spans="3:15" x14ac:dyDescent="0.2">
      <c r="C1865" s="9" cm="1">
        <f t="array" ref="C1865">IFERROR(_xlfn.XLOOKUP(B1865,Personal!$A:$A,Personal!$D:$D,""),"")</f>
        <v>0</v>
      </c>
      <c r="D1865" s="9" cm="1">
        <f t="array" ref="D1865">IFERROR(_xlfn.XLOOKUP(B1865,Personal!$A:$A,Personal!$C:$C,""),"")</f>
        <v>0</v>
      </c>
      <c r="E1865" s="9" t="str" cm="1">
        <f t="array" ref="E1865">IFERROR(_xlfn.XLOOKUP(D1865,Locales!$A:$A,Locales!$B:$B,""),"")</f>
        <v/>
      </c>
      <c r="F1865" s="9" cm="1">
        <f t="array" ref="F1865">IFERROR(_xlfn.XLOOKUP(B1865,Personal!$A:$A,Personal!$F:$F,""),"")</f>
        <v>0</v>
      </c>
      <c r="I1865" s="10" cm="1">
        <f t="array" ref="I1865">IFERROR(INDEX(Precios!$D:$F,MATCH(N1865, Precios!$G:$G, 0),CHOOSE(MATCH(H1865, {"SML";"XL";"XXL"}, 0), 1, 2, 3)), 0)</f>
        <v>0</v>
      </c>
      <c r="K1865" s="10">
        <f t="shared" si="66"/>
        <v>0</v>
      </c>
      <c r="N1865" s="9" t="str">
        <f t="shared" si="67"/>
        <v/>
      </c>
      <c r="O1865" s="9" t="str">
        <f>IF(N1865="","",IF(COUNTIF(Precios!$G:$G,N1865)=0,"⚠ No coincide con Precios","OK"))</f>
        <v/>
      </c>
    </row>
    <row r="1866" spans="3:15" x14ac:dyDescent="0.2">
      <c r="C1866" s="9" cm="1">
        <f t="array" ref="C1866">IFERROR(_xlfn.XLOOKUP(B1866,Personal!$A:$A,Personal!$D:$D,""),"")</f>
        <v>0</v>
      </c>
      <c r="D1866" s="9" cm="1">
        <f t="array" ref="D1866">IFERROR(_xlfn.XLOOKUP(B1866,Personal!$A:$A,Personal!$C:$C,""),"")</f>
        <v>0</v>
      </c>
      <c r="E1866" s="9" t="str" cm="1">
        <f t="array" ref="E1866">IFERROR(_xlfn.XLOOKUP(D1866,Locales!$A:$A,Locales!$B:$B,""),"")</f>
        <v/>
      </c>
      <c r="F1866" s="9" cm="1">
        <f t="array" ref="F1866">IFERROR(_xlfn.XLOOKUP(B1866,Personal!$A:$A,Personal!$F:$F,""),"")</f>
        <v>0</v>
      </c>
      <c r="I1866" s="10" cm="1">
        <f t="array" ref="I1866">IFERROR(INDEX(Precios!$D:$F,MATCH(N1866, Precios!$G:$G, 0),CHOOSE(MATCH(H1866, {"SML";"XL";"XXL"}, 0), 1, 2, 3)), 0)</f>
        <v>0</v>
      </c>
      <c r="K1866" s="10">
        <f t="shared" si="66"/>
        <v>0</v>
      </c>
      <c r="N1866" s="9" t="str">
        <f t="shared" si="67"/>
        <v/>
      </c>
      <c r="O1866" s="9" t="str">
        <f>IF(N1866="","",IF(COUNTIF(Precios!$G:$G,N1866)=0,"⚠ No coincide con Precios","OK"))</f>
        <v/>
      </c>
    </row>
    <row r="1867" spans="3:15" x14ac:dyDescent="0.2">
      <c r="C1867" s="9" cm="1">
        <f t="array" ref="C1867">IFERROR(_xlfn.XLOOKUP(B1867,Personal!$A:$A,Personal!$D:$D,""),"")</f>
        <v>0</v>
      </c>
      <c r="D1867" s="9" cm="1">
        <f t="array" ref="D1867">IFERROR(_xlfn.XLOOKUP(B1867,Personal!$A:$A,Personal!$C:$C,""),"")</f>
        <v>0</v>
      </c>
      <c r="E1867" s="9" t="str" cm="1">
        <f t="array" ref="E1867">IFERROR(_xlfn.XLOOKUP(D1867,Locales!$A:$A,Locales!$B:$B,""),"")</f>
        <v/>
      </c>
      <c r="F1867" s="9" cm="1">
        <f t="array" ref="F1867">IFERROR(_xlfn.XLOOKUP(B1867,Personal!$A:$A,Personal!$F:$F,""),"")</f>
        <v>0</v>
      </c>
      <c r="I1867" s="10" cm="1">
        <f t="array" ref="I1867">IFERROR(INDEX(Precios!$D:$F,MATCH(N1867, Precios!$G:$G, 0),CHOOSE(MATCH(H1867, {"SML";"XL";"XXL"}, 0), 1, 2, 3)), 0)</f>
        <v>0</v>
      </c>
      <c r="K1867" s="10">
        <f t="shared" si="66"/>
        <v>0</v>
      </c>
      <c r="N1867" s="9" t="str">
        <f t="shared" si="67"/>
        <v/>
      </c>
      <c r="O1867" s="9" t="str">
        <f>IF(N1867="","",IF(COUNTIF(Precios!$G:$G,N1867)=0,"⚠ No coincide con Precios","OK"))</f>
        <v/>
      </c>
    </row>
    <row r="1868" spans="3:15" x14ac:dyDescent="0.2">
      <c r="C1868" s="9" cm="1">
        <f t="array" ref="C1868">IFERROR(_xlfn.XLOOKUP(B1868,Personal!$A:$A,Personal!$D:$D,""),"")</f>
        <v>0</v>
      </c>
      <c r="D1868" s="9" cm="1">
        <f t="array" ref="D1868">IFERROR(_xlfn.XLOOKUP(B1868,Personal!$A:$A,Personal!$C:$C,""),"")</f>
        <v>0</v>
      </c>
      <c r="E1868" s="9" t="str" cm="1">
        <f t="array" ref="E1868">IFERROR(_xlfn.XLOOKUP(D1868,Locales!$A:$A,Locales!$B:$B,""),"")</f>
        <v/>
      </c>
      <c r="F1868" s="9" cm="1">
        <f t="array" ref="F1868">IFERROR(_xlfn.XLOOKUP(B1868,Personal!$A:$A,Personal!$F:$F,""),"")</f>
        <v>0</v>
      </c>
      <c r="I1868" s="10" cm="1">
        <f t="array" ref="I1868">IFERROR(INDEX(Precios!$D:$F,MATCH(N1868, Precios!$G:$G, 0),CHOOSE(MATCH(H1868, {"SML";"XL";"XXL"}, 0), 1, 2, 3)), 0)</f>
        <v>0</v>
      </c>
      <c r="K1868" s="10">
        <f t="shared" si="66"/>
        <v>0</v>
      </c>
      <c r="N1868" s="9" t="str">
        <f t="shared" si="67"/>
        <v/>
      </c>
      <c r="O1868" s="9" t="str">
        <f>IF(N1868="","",IF(COUNTIF(Precios!$G:$G,N1868)=0,"⚠ No coincide con Precios","OK"))</f>
        <v/>
      </c>
    </row>
    <row r="1869" spans="3:15" x14ac:dyDescent="0.2">
      <c r="C1869" s="9" cm="1">
        <f t="array" ref="C1869">IFERROR(_xlfn.XLOOKUP(B1869,Personal!$A:$A,Personal!$D:$D,""),"")</f>
        <v>0</v>
      </c>
      <c r="D1869" s="9" cm="1">
        <f t="array" ref="D1869">IFERROR(_xlfn.XLOOKUP(B1869,Personal!$A:$A,Personal!$C:$C,""),"")</f>
        <v>0</v>
      </c>
      <c r="E1869" s="9" t="str" cm="1">
        <f t="array" ref="E1869">IFERROR(_xlfn.XLOOKUP(D1869,Locales!$A:$A,Locales!$B:$B,""),"")</f>
        <v/>
      </c>
      <c r="F1869" s="9" cm="1">
        <f t="array" ref="F1869">IFERROR(_xlfn.XLOOKUP(B1869,Personal!$A:$A,Personal!$F:$F,""),"")</f>
        <v>0</v>
      </c>
      <c r="I1869" s="10" cm="1">
        <f t="array" ref="I1869">IFERROR(INDEX(Precios!$D:$F,MATCH(N1869, Precios!$G:$G, 0),CHOOSE(MATCH(H1869, {"SML";"XL";"XXL"}, 0), 1, 2, 3)), 0)</f>
        <v>0</v>
      </c>
      <c r="K1869" s="10">
        <f t="shared" si="66"/>
        <v>0</v>
      </c>
      <c r="N1869" s="9" t="str">
        <f t="shared" si="67"/>
        <v/>
      </c>
      <c r="O1869" s="9" t="str">
        <f>IF(N1869="","",IF(COUNTIF(Precios!$G:$G,N1869)=0,"⚠ No coincide con Precios","OK"))</f>
        <v/>
      </c>
    </row>
    <row r="1870" spans="3:15" x14ac:dyDescent="0.2">
      <c r="C1870" s="9" cm="1">
        <f t="array" ref="C1870">IFERROR(_xlfn.XLOOKUP(B1870,Personal!$A:$A,Personal!$D:$D,""),"")</f>
        <v>0</v>
      </c>
      <c r="D1870" s="9" cm="1">
        <f t="array" ref="D1870">IFERROR(_xlfn.XLOOKUP(B1870,Personal!$A:$A,Personal!$C:$C,""),"")</f>
        <v>0</v>
      </c>
      <c r="E1870" s="9" t="str" cm="1">
        <f t="array" ref="E1870">IFERROR(_xlfn.XLOOKUP(D1870,Locales!$A:$A,Locales!$B:$B,""),"")</f>
        <v/>
      </c>
      <c r="F1870" s="9" cm="1">
        <f t="array" ref="F1870">IFERROR(_xlfn.XLOOKUP(B1870,Personal!$A:$A,Personal!$F:$F,""),"")</f>
        <v>0</v>
      </c>
      <c r="I1870" s="10" cm="1">
        <f t="array" ref="I1870">IFERROR(INDEX(Precios!$D:$F,MATCH(N1870, Precios!$G:$G, 0),CHOOSE(MATCH(H1870, {"SML";"XL";"XXL"}, 0), 1, 2, 3)), 0)</f>
        <v>0</v>
      </c>
      <c r="K1870" s="10">
        <f t="shared" si="66"/>
        <v>0</v>
      </c>
      <c r="N1870" s="9" t="str">
        <f t="shared" si="67"/>
        <v/>
      </c>
      <c r="O1870" s="9" t="str">
        <f>IF(N1870="","",IF(COUNTIF(Precios!$G:$G,N1870)=0,"⚠ No coincide con Precios","OK"))</f>
        <v/>
      </c>
    </row>
    <row r="1871" spans="3:15" x14ac:dyDescent="0.2">
      <c r="C1871" s="9" cm="1">
        <f t="array" ref="C1871">IFERROR(_xlfn.XLOOKUP(B1871,Personal!$A:$A,Personal!$D:$D,""),"")</f>
        <v>0</v>
      </c>
      <c r="D1871" s="9" cm="1">
        <f t="array" ref="D1871">IFERROR(_xlfn.XLOOKUP(B1871,Personal!$A:$A,Personal!$C:$C,""),"")</f>
        <v>0</v>
      </c>
      <c r="E1871" s="9" t="str" cm="1">
        <f t="array" ref="E1871">IFERROR(_xlfn.XLOOKUP(D1871,Locales!$A:$A,Locales!$B:$B,""),"")</f>
        <v/>
      </c>
      <c r="F1871" s="9" cm="1">
        <f t="array" ref="F1871">IFERROR(_xlfn.XLOOKUP(B1871,Personal!$A:$A,Personal!$F:$F,""),"")</f>
        <v>0</v>
      </c>
      <c r="I1871" s="10" cm="1">
        <f t="array" ref="I1871">IFERROR(INDEX(Precios!$D:$F,MATCH(N1871, Precios!$G:$G, 0),CHOOSE(MATCH(H1871, {"SML";"XL";"XXL"}, 0), 1, 2, 3)), 0)</f>
        <v>0</v>
      </c>
      <c r="K1871" s="10">
        <f t="shared" si="66"/>
        <v>0</v>
      </c>
      <c r="N1871" s="9" t="str">
        <f t="shared" si="67"/>
        <v/>
      </c>
      <c r="O1871" s="9" t="str">
        <f>IF(N1871="","",IF(COUNTIF(Precios!$G:$G,N1871)=0,"⚠ No coincide con Precios","OK"))</f>
        <v/>
      </c>
    </row>
    <row r="1872" spans="3:15" x14ac:dyDescent="0.2">
      <c r="C1872" s="9" cm="1">
        <f t="array" ref="C1872">IFERROR(_xlfn.XLOOKUP(B1872,Personal!$A:$A,Personal!$D:$D,""),"")</f>
        <v>0</v>
      </c>
      <c r="D1872" s="9" cm="1">
        <f t="array" ref="D1872">IFERROR(_xlfn.XLOOKUP(B1872,Personal!$A:$A,Personal!$C:$C,""),"")</f>
        <v>0</v>
      </c>
      <c r="E1872" s="9" t="str" cm="1">
        <f t="array" ref="E1872">IFERROR(_xlfn.XLOOKUP(D1872,Locales!$A:$A,Locales!$B:$B,""),"")</f>
        <v/>
      </c>
      <c r="F1872" s="9" cm="1">
        <f t="array" ref="F1872">IFERROR(_xlfn.XLOOKUP(B1872,Personal!$A:$A,Personal!$F:$F,""),"")</f>
        <v>0</v>
      </c>
      <c r="I1872" s="10" cm="1">
        <f t="array" ref="I1872">IFERROR(INDEX(Precios!$D:$F,MATCH(N1872, Precios!$G:$G, 0),CHOOSE(MATCH(H1872, {"SML";"XL";"XXL"}, 0), 1, 2, 3)), 0)</f>
        <v>0</v>
      </c>
      <c r="K1872" s="10">
        <f t="shared" si="66"/>
        <v>0</v>
      </c>
      <c r="N1872" s="9" t="str">
        <f t="shared" si="67"/>
        <v/>
      </c>
      <c r="O1872" s="9" t="str">
        <f>IF(N1872="","",IF(COUNTIF(Precios!$G:$G,N1872)=0,"⚠ No coincide con Precios","OK"))</f>
        <v/>
      </c>
    </row>
    <row r="1873" spans="3:15" x14ac:dyDescent="0.2">
      <c r="C1873" s="9" cm="1">
        <f t="array" ref="C1873">IFERROR(_xlfn.XLOOKUP(B1873,Personal!$A:$A,Personal!$D:$D,""),"")</f>
        <v>0</v>
      </c>
      <c r="D1873" s="9" cm="1">
        <f t="array" ref="D1873">IFERROR(_xlfn.XLOOKUP(B1873,Personal!$A:$A,Personal!$C:$C,""),"")</f>
        <v>0</v>
      </c>
      <c r="E1873" s="9" t="str" cm="1">
        <f t="array" ref="E1873">IFERROR(_xlfn.XLOOKUP(D1873,Locales!$A:$A,Locales!$B:$B,""),"")</f>
        <v/>
      </c>
      <c r="F1873" s="9" cm="1">
        <f t="array" ref="F1873">IFERROR(_xlfn.XLOOKUP(B1873,Personal!$A:$A,Personal!$F:$F,""),"")</f>
        <v>0</v>
      </c>
      <c r="I1873" s="10" cm="1">
        <f t="array" ref="I1873">IFERROR(INDEX(Precios!$D:$F,MATCH(N1873, Precios!$G:$G, 0),CHOOSE(MATCH(H1873, {"SML";"XL";"XXL"}, 0), 1, 2, 3)), 0)</f>
        <v>0</v>
      </c>
      <c r="K1873" s="10">
        <f t="shared" si="66"/>
        <v>0</v>
      </c>
      <c r="N1873" s="9" t="str">
        <f t="shared" si="67"/>
        <v/>
      </c>
      <c r="O1873" s="9" t="str">
        <f>IF(N1873="","",IF(COUNTIF(Precios!$G:$G,N1873)=0,"⚠ No coincide con Precios","OK"))</f>
        <v/>
      </c>
    </row>
    <row r="1874" spans="3:15" x14ac:dyDescent="0.2">
      <c r="C1874" s="9" cm="1">
        <f t="array" ref="C1874">IFERROR(_xlfn.XLOOKUP(B1874,Personal!$A:$A,Personal!$D:$D,""),"")</f>
        <v>0</v>
      </c>
      <c r="D1874" s="9" cm="1">
        <f t="array" ref="D1874">IFERROR(_xlfn.XLOOKUP(B1874,Personal!$A:$A,Personal!$C:$C,""),"")</f>
        <v>0</v>
      </c>
      <c r="E1874" s="9" t="str" cm="1">
        <f t="array" ref="E1874">IFERROR(_xlfn.XLOOKUP(D1874,Locales!$A:$A,Locales!$B:$B,""),"")</f>
        <v/>
      </c>
      <c r="F1874" s="9" cm="1">
        <f t="array" ref="F1874">IFERROR(_xlfn.XLOOKUP(B1874,Personal!$A:$A,Personal!$F:$F,""),"")</f>
        <v>0</v>
      </c>
      <c r="I1874" s="10" cm="1">
        <f t="array" ref="I1874">IFERROR(INDEX(Precios!$D:$F,MATCH(N1874, Precios!$G:$G, 0),CHOOSE(MATCH(H1874, {"SML";"XL";"XXL"}, 0), 1, 2, 3)), 0)</f>
        <v>0</v>
      </c>
      <c r="K1874" s="10">
        <f t="shared" si="66"/>
        <v>0</v>
      </c>
      <c r="N1874" s="9" t="str">
        <f t="shared" si="67"/>
        <v/>
      </c>
      <c r="O1874" s="9" t="str">
        <f>IF(N1874="","",IF(COUNTIF(Precios!$G:$G,N1874)=0,"⚠ No coincide con Precios","OK"))</f>
        <v/>
      </c>
    </row>
    <row r="1875" spans="3:15" x14ac:dyDescent="0.2">
      <c r="C1875" s="9" cm="1">
        <f t="array" ref="C1875">IFERROR(_xlfn.XLOOKUP(B1875,Personal!$A:$A,Personal!$D:$D,""),"")</f>
        <v>0</v>
      </c>
      <c r="D1875" s="9" cm="1">
        <f t="array" ref="D1875">IFERROR(_xlfn.XLOOKUP(B1875,Personal!$A:$A,Personal!$C:$C,""),"")</f>
        <v>0</v>
      </c>
      <c r="E1875" s="9" t="str" cm="1">
        <f t="array" ref="E1875">IFERROR(_xlfn.XLOOKUP(D1875,Locales!$A:$A,Locales!$B:$B,""),"")</f>
        <v/>
      </c>
      <c r="F1875" s="9" cm="1">
        <f t="array" ref="F1875">IFERROR(_xlfn.XLOOKUP(B1875,Personal!$A:$A,Personal!$F:$F,""),"")</f>
        <v>0</v>
      </c>
      <c r="I1875" s="10" cm="1">
        <f t="array" ref="I1875">IFERROR(INDEX(Precios!$D:$F,MATCH(N1875, Precios!$G:$G, 0),CHOOSE(MATCH(H1875, {"SML";"XL";"XXL"}, 0), 1, 2, 3)), 0)</f>
        <v>0</v>
      </c>
      <c r="K1875" s="10">
        <f t="shared" si="66"/>
        <v>0</v>
      </c>
      <c r="N1875" s="9" t="str">
        <f t="shared" si="67"/>
        <v/>
      </c>
      <c r="O1875" s="9" t="str">
        <f>IF(N1875="","",IF(COUNTIF(Precios!$G:$G,N1875)=0,"⚠ No coincide con Precios","OK"))</f>
        <v/>
      </c>
    </row>
    <row r="1876" spans="3:15" x14ac:dyDescent="0.2">
      <c r="C1876" s="9" cm="1">
        <f t="array" ref="C1876">IFERROR(_xlfn.XLOOKUP(B1876,Personal!$A:$A,Personal!$D:$D,""),"")</f>
        <v>0</v>
      </c>
      <c r="D1876" s="9" cm="1">
        <f t="array" ref="D1876">IFERROR(_xlfn.XLOOKUP(B1876,Personal!$A:$A,Personal!$C:$C,""),"")</f>
        <v>0</v>
      </c>
      <c r="E1876" s="9" t="str" cm="1">
        <f t="array" ref="E1876">IFERROR(_xlfn.XLOOKUP(D1876,Locales!$A:$A,Locales!$B:$B,""),"")</f>
        <v/>
      </c>
      <c r="F1876" s="9" cm="1">
        <f t="array" ref="F1876">IFERROR(_xlfn.XLOOKUP(B1876,Personal!$A:$A,Personal!$F:$F,""),"")</f>
        <v>0</v>
      </c>
      <c r="I1876" s="10" cm="1">
        <f t="array" ref="I1876">IFERROR(INDEX(Precios!$D:$F,MATCH(N1876, Precios!$G:$G, 0),CHOOSE(MATCH(H1876, {"SML";"XL";"XXL"}, 0), 1, 2, 3)), 0)</f>
        <v>0</v>
      </c>
      <c r="K1876" s="10">
        <f t="shared" si="66"/>
        <v>0</v>
      </c>
      <c r="N1876" s="9" t="str">
        <f t="shared" si="67"/>
        <v/>
      </c>
      <c r="O1876" s="9" t="str">
        <f>IF(N1876="","",IF(COUNTIF(Precios!$G:$G,N1876)=0,"⚠ No coincide con Precios","OK"))</f>
        <v/>
      </c>
    </row>
    <row r="1877" spans="3:15" x14ac:dyDescent="0.2">
      <c r="C1877" s="9" cm="1">
        <f t="array" ref="C1877">IFERROR(_xlfn.XLOOKUP(B1877,Personal!$A:$A,Personal!$D:$D,""),"")</f>
        <v>0</v>
      </c>
      <c r="D1877" s="9" cm="1">
        <f t="array" ref="D1877">IFERROR(_xlfn.XLOOKUP(B1877,Personal!$A:$A,Personal!$C:$C,""),"")</f>
        <v>0</v>
      </c>
      <c r="E1877" s="9" t="str" cm="1">
        <f t="array" ref="E1877">IFERROR(_xlfn.XLOOKUP(D1877,Locales!$A:$A,Locales!$B:$B,""),"")</f>
        <v/>
      </c>
      <c r="F1877" s="9" cm="1">
        <f t="array" ref="F1877">IFERROR(_xlfn.XLOOKUP(B1877,Personal!$A:$A,Personal!$F:$F,""),"")</f>
        <v>0</v>
      </c>
      <c r="I1877" s="10" cm="1">
        <f t="array" ref="I1877">IFERROR(INDEX(Precios!$D:$F,MATCH(N1877, Precios!$G:$G, 0),CHOOSE(MATCH(H1877, {"SML";"XL";"XXL"}, 0), 1, 2, 3)), 0)</f>
        <v>0</v>
      </c>
      <c r="K1877" s="10">
        <f t="shared" si="66"/>
        <v>0</v>
      </c>
      <c r="N1877" s="9" t="str">
        <f t="shared" si="67"/>
        <v/>
      </c>
      <c r="O1877" s="9" t="str">
        <f>IF(N1877="","",IF(COUNTIF(Precios!$G:$G,N1877)=0,"⚠ No coincide con Precios","OK"))</f>
        <v/>
      </c>
    </row>
    <row r="1878" spans="3:15" x14ac:dyDescent="0.2">
      <c r="C1878" s="9" cm="1">
        <f t="array" ref="C1878">IFERROR(_xlfn.XLOOKUP(B1878,Personal!$A:$A,Personal!$D:$D,""),"")</f>
        <v>0</v>
      </c>
      <c r="D1878" s="9" cm="1">
        <f t="array" ref="D1878">IFERROR(_xlfn.XLOOKUP(B1878,Personal!$A:$A,Personal!$C:$C,""),"")</f>
        <v>0</v>
      </c>
      <c r="E1878" s="9" t="str" cm="1">
        <f t="array" ref="E1878">IFERROR(_xlfn.XLOOKUP(D1878,Locales!$A:$A,Locales!$B:$B,""),"")</f>
        <v/>
      </c>
      <c r="F1878" s="9" cm="1">
        <f t="array" ref="F1878">IFERROR(_xlfn.XLOOKUP(B1878,Personal!$A:$A,Personal!$F:$F,""),"")</f>
        <v>0</v>
      </c>
      <c r="I1878" s="10" cm="1">
        <f t="array" ref="I1878">IFERROR(INDEX(Precios!$D:$F,MATCH(N1878, Precios!$G:$G, 0),CHOOSE(MATCH(H1878, {"SML";"XL";"XXL"}, 0), 1, 2, 3)), 0)</f>
        <v>0</v>
      </c>
      <c r="K1878" s="10">
        <f t="shared" si="66"/>
        <v>0</v>
      </c>
      <c r="N1878" s="9" t="str">
        <f t="shared" si="67"/>
        <v/>
      </c>
      <c r="O1878" s="9" t="str">
        <f>IF(N1878="","",IF(COUNTIF(Precios!$G:$G,N1878)=0,"⚠ No coincide con Precios","OK"))</f>
        <v/>
      </c>
    </row>
    <row r="1879" spans="3:15" x14ac:dyDescent="0.2">
      <c r="C1879" s="9" cm="1">
        <f t="array" ref="C1879">IFERROR(_xlfn.XLOOKUP(B1879,Personal!$A:$A,Personal!$D:$D,""),"")</f>
        <v>0</v>
      </c>
      <c r="D1879" s="9" cm="1">
        <f t="array" ref="D1879">IFERROR(_xlfn.XLOOKUP(B1879,Personal!$A:$A,Personal!$C:$C,""),"")</f>
        <v>0</v>
      </c>
      <c r="E1879" s="9" t="str" cm="1">
        <f t="array" ref="E1879">IFERROR(_xlfn.XLOOKUP(D1879,Locales!$A:$A,Locales!$B:$B,""),"")</f>
        <v/>
      </c>
      <c r="F1879" s="9" cm="1">
        <f t="array" ref="F1879">IFERROR(_xlfn.XLOOKUP(B1879,Personal!$A:$A,Personal!$F:$F,""),"")</f>
        <v>0</v>
      </c>
      <c r="I1879" s="10" cm="1">
        <f t="array" ref="I1879">IFERROR(INDEX(Precios!$D:$F,MATCH(N1879, Precios!$G:$G, 0),CHOOSE(MATCH(H1879, {"SML";"XL";"XXL"}, 0), 1, 2, 3)), 0)</f>
        <v>0</v>
      </c>
      <c r="K1879" s="10">
        <f t="shared" si="66"/>
        <v>0</v>
      </c>
      <c r="N1879" s="9" t="str">
        <f t="shared" si="67"/>
        <v/>
      </c>
      <c r="O1879" s="9" t="str">
        <f>IF(N1879="","",IF(COUNTIF(Precios!$G:$G,N1879)=0,"⚠ No coincide con Precios","OK"))</f>
        <v/>
      </c>
    </row>
    <row r="1880" spans="3:15" x14ac:dyDescent="0.2">
      <c r="C1880" s="9" cm="1">
        <f t="array" ref="C1880">IFERROR(_xlfn.XLOOKUP(B1880,Personal!$A:$A,Personal!$D:$D,""),"")</f>
        <v>0</v>
      </c>
      <c r="D1880" s="9" cm="1">
        <f t="array" ref="D1880">IFERROR(_xlfn.XLOOKUP(B1880,Personal!$A:$A,Personal!$C:$C,""),"")</f>
        <v>0</v>
      </c>
      <c r="E1880" s="9" t="str" cm="1">
        <f t="array" ref="E1880">IFERROR(_xlfn.XLOOKUP(D1880,Locales!$A:$A,Locales!$B:$B,""),"")</f>
        <v/>
      </c>
      <c r="F1880" s="9" cm="1">
        <f t="array" ref="F1880">IFERROR(_xlfn.XLOOKUP(B1880,Personal!$A:$A,Personal!$F:$F,""),"")</f>
        <v>0</v>
      </c>
      <c r="I1880" s="10" cm="1">
        <f t="array" ref="I1880">IFERROR(INDEX(Precios!$D:$F,MATCH(N1880, Precios!$G:$G, 0),CHOOSE(MATCH(H1880, {"SML";"XL";"XXL"}, 0), 1, 2, 3)), 0)</f>
        <v>0</v>
      </c>
      <c r="K1880" s="10">
        <f t="shared" si="66"/>
        <v>0</v>
      </c>
      <c r="N1880" s="9" t="str">
        <f t="shared" si="67"/>
        <v/>
      </c>
      <c r="O1880" s="9" t="str">
        <f>IF(N1880="","",IF(COUNTIF(Precios!$G:$G,N1880)=0,"⚠ No coincide con Precios","OK"))</f>
        <v/>
      </c>
    </row>
    <row r="1881" spans="3:15" x14ac:dyDescent="0.2">
      <c r="C1881" s="9" cm="1">
        <f t="array" ref="C1881">IFERROR(_xlfn.XLOOKUP(B1881,Personal!$A:$A,Personal!$D:$D,""),"")</f>
        <v>0</v>
      </c>
      <c r="D1881" s="9" cm="1">
        <f t="array" ref="D1881">IFERROR(_xlfn.XLOOKUP(B1881,Personal!$A:$A,Personal!$C:$C,""),"")</f>
        <v>0</v>
      </c>
      <c r="E1881" s="9" t="str" cm="1">
        <f t="array" ref="E1881">IFERROR(_xlfn.XLOOKUP(D1881,Locales!$A:$A,Locales!$B:$B,""),"")</f>
        <v/>
      </c>
      <c r="F1881" s="9" cm="1">
        <f t="array" ref="F1881">IFERROR(_xlfn.XLOOKUP(B1881,Personal!$A:$A,Personal!$F:$F,""),"")</f>
        <v>0</v>
      </c>
      <c r="I1881" s="10" cm="1">
        <f t="array" ref="I1881">IFERROR(INDEX(Precios!$D:$F,MATCH(N1881, Precios!$G:$G, 0),CHOOSE(MATCH(H1881, {"SML";"XL";"XXL"}, 0), 1, 2, 3)), 0)</f>
        <v>0</v>
      </c>
      <c r="K1881" s="10">
        <f t="shared" si="66"/>
        <v>0</v>
      </c>
      <c r="N1881" s="9" t="str">
        <f t="shared" si="67"/>
        <v/>
      </c>
      <c r="O1881" s="9" t="str">
        <f>IF(N1881="","",IF(COUNTIF(Precios!$G:$G,N1881)=0,"⚠ No coincide con Precios","OK"))</f>
        <v/>
      </c>
    </row>
    <row r="1882" spans="3:15" x14ac:dyDescent="0.2">
      <c r="C1882" s="9" cm="1">
        <f t="array" ref="C1882">IFERROR(_xlfn.XLOOKUP(B1882,Personal!$A:$A,Personal!$D:$D,""),"")</f>
        <v>0</v>
      </c>
      <c r="D1882" s="9" cm="1">
        <f t="array" ref="D1882">IFERROR(_xlfn.XLOOKUP(B1882,Personal!$A:$A,Personal!$C:$C,""),"")</f>
        <v>0</v>
      </c>
      <c r="E1882" s="9" t="str" cm="1">
        <f t="array" ref="E1882">IFERROR(_xlfn.XLOOKUP(D1882,Locales!$A:$A,Locales!$B:$B,""),"")</f>
        <v/>
      </c>
      <c r="F1882" s="9" cm="1">
        <f t="array" ref="F1882">IFERROR(_xlfn.XLOOKUP(B1882,Personal!$A:$A,Personal!$F:$F,""),"")</f>
        <v>0</v>
      </c>
      <c r="I1882" s="10" cm="1">
        <f t="array" ref="I1882">IFERROR(INDEX(Precios!$D:$F,MATCH(N1882, Precios!$G:$G, 0),CHOOSE(MATCH(H1882, {"SML";"XL";"XXL"}, 0), 1, 2, 3)), 0)</f>
        <v>0</v>
      </c>
      <c r="K1882" s="10">
        <f t="shared" si="66"/>
        <v>0</v>
      </c>
      <c r="N1882" s="9" t="str">
        <f t="shared" si="67"/>
        <v/>
      </c>
      <c r="O1882" s="9" t="str">
        <f>IF(N1882="","",IF(COUNTIF(Precios!$G:$G,N1882)=0,"⚠ No coincide con Precios","OK"))</f>
        <v/>
      </c>
    </row>
    <row r="1883" spans="3:15" x14ac:dyDescent="0.2">
      <c r="C1883" s="9" cm="1">
        <f t="array" ref="C1883">IFERROR(_xlfn.XLOOKUP(B1883,Personal!$A:$A,Personal!$D:$D,""),"")</f>
        <v>0</v>
      </c>
      <c r="D1883" s="9" cm="1">
        <f t="array" ref="D1883">IFERROR(_xlfn.XLOOKUP(B1883,Personal!$A:$A,Personal!$C:$C,""),"")</f>
        <v>0</v>
      </c>
      <c r="E1883" s="9" t="str" cm="1">
        <f t="array" ref="E1883">IFERROR(_xlfn.XLOOKUP(D1883,Locales!$A:$A,Locales!$B:$B,""),"")</f>
        <v/>
      </c>
      <c r="F1883" s="9" cm="1">
        <f t="array" ref="F1883">IFERROR(_xlfn.XLOOKUP(B1883,Personal!$A:$A,Personal!$F:$F,""),"")</f>
        <v>0</v>
      </c>
      <c r="I1883" s="10" cm="1">
        <f t="array" ref="I1883">IFERROR(INDEX(Precios!$D:$F,MATCH(N1883, Precios!$G:$G, 0),CHOOSE(MATCH(H1883, {"SML";"XL";"XXL"}, 0), 1, 2, 3)), 0)</f>
        <v>0</v>
      </c>
      <c r="K1883" s="10">
        <f t="shared" si="66"/>
        <v>0</v>
      </c>
      <c r="N1883" s="9" t="str">
        <f t="shared" si="67"/>
        <v/>
      </c>
      <c r="O1883" s="9" t="str">
        <f>IF(N1883="","",IF(COUNTIF(Precios!$G:$G,N1883)=0,"⚠ No coincide con Precios","OK"))</f>
        <v/>
      </c>
    </row>
    <row r="1884" spans="3:15" x14ac:dyDescent="0.2">
      <c r="C1884" s="9" cm="1">
        <f t="array" ref="C1884">IFERROR(_xlfn.XLOOKUP(B1884,Personal!$A:$A,Personal!$D:$D,""),"")</f>
        <v>0</v>
      </c>
      <c r="D1884" s="9" cm="1">
        <f t="array" ref="D1884">IFERROR(_xlfn.XLOOKUP(B1884,Personal!$A:$A,Personal!$C:$C,""),"")</f>
        <v>0</v>
      </c>
      <c r="E1884" s="9" t="str" cm="1">
        <f t="array" ref="E1884">IFERROR(_xlfn.XLOOKUP(D1884,Locales!$A:$A,Locales!$B:$B,""),"")</f>
        <v/>
      </c>
      <c r="F1884" s="9" cm="1">
        <f t="array" ref="F1884">IFERROR(_xlfn.XLOOKUP(B1884,Personal!$A:$A,Personal!$F:$F,""),"")</f>
        <v>0</v>
      </c>
      <c r="I1884" s="10" cm="1">
        <f t="array" ref="I1884">IFERROR(INDEX(Precios!$D:$F,MATCH(N1884, Precios!$G:$G, 0),CHOOSE(MATCH(H1884, {"SML";"XL";"XXL"}, 0), 1, 2, 3)), 0)</f>
        <v>0</v>
      </c>
      <c r="K1884" s="10">
        <f t="shared" si="66"/>
        <v>0</v>
      </c>
      <c r="N1884" s="9" t="str">
        <f t="shared" si="67"/>
        <v/>
      </c>
      <c r="O1884" s="9" t="str">
        <f>IF(N1884="","",IF(COUNTIF(Precios!$G:$G,N1884)=0,"⚠ No coincide con Precios","OK"))</f>
        <v/>
      </c>
    </row>
    <row r="1885" spans="3:15" x14ac:dyDescent="0.2">
      <c r="C1885" s="9" cm="1">
        <f t="array" ref="C1885">IFERROR(_xlfn.XLOOKUP(B1885,Personal!$A:$A,Personal!$D:$D,""),"")</f>
        <v>0</v>
      </c>
      <c r="D1885" s="9" cm="1">
        <f t="array" ref="D1885">IFERROR(_xlfn.XLOOKUP(B1885,Personal!$A:$A,Personal!$C:$C,""),"")</f>
        <v>0</v>
      </c>
      <c r="E1885" s="9" t="str" cm="1">
        <f t="array" ref="E1885">IFERROR(_xlfn.XLOOKUP(D1885,Locales!$A:$A,Locales!$B:$B,""),"")</f>
        <v/>
      </c>
      <c r="F1885" s="9" cm="1">
        <f t="array" ref="F1885">IFERROR(_xlfn.XLOOKUP(B1885,Personal!$A:$A,Personal!$F:$F,""),"")</f>
        <v>0</v>
      </c>
      <c r="I1885" s="10" cm="1">
        <f t="array" ref="I1885">IFERROR(INDEX(Precios!$D:$F,MATCH(N1885, Precios!$G:$G, 0),CHOOSE(MATCH(H1885, {"SML";"XL";"XXL"}, 0), 1, 2, 3)), 0)</f>
        <v>0</v>
      </c>
      <c r="K1885" s="10">
        <f t="shared" si="66"/>
        <v>0</v>
      </c>
      <c r="N1885" s="9" t="str">
        <f t="shared" si="67"/>
        <v/>
      </c>
      <c r="O1885" s="9" t="str">
        <f>IF(N1885="","",IF(COUNTIF(Precios!$G:$G,N1885)=0,"⚠ No coincide con Precios","OK"))</f>
        <v/>
      </c>
    </row>
    <row r="1886" spans="3:15" x14ac:dyDescent="0.2">
      <c r="C1886" s="9" cm="1">
        <f t="array" ref="C1886">IFERROR(_xlfn.XLOOKUP(B1886,Personal!$A:$A,Personal!$D:$D,""),"")</f>
        <v>0</v>
      </c>
      <c r="D1886" s="9" cm="1">
        <f t="array" ref="D1886">IFERROR(_xlfn.XLOOKUP(B1886,Personal!$A:$A,Personal!$C:$C,""),"")</f>
        <v>0</v>
      </c>
      <c r="E1886" s="9" t="str" cm="1">
        <f t="array" ref="E1886">IFERROR(_xlfn.XLOOKUP(D1886,Locales!$A:$A,Locales!$B:$B,""),"")</f>
        <v/>
      </c>
      <c r="F1886" s="9" cm="1">
        <f t="array" ref="F1886">IFERROR(_xlfn.XLOOKUP(B1886,Personal!$A:$A,Personal!$F:$F,""),"")</f>
        <v>0</v>
      </c>
      <c r="I1886" s="10" cm="1">
        <f t="array" ref="I1886">IFERROR(INDEX(Precios!$D:$F,MATCH(N1886, Precios!$G:$G, 0),CHOOSE(MATCH(H1886, {"SML";"XL";"XXL"}, 0), 1, 2, 3)), 0)</f>
        <v>0</v>
      </c>
      <c r="K1886" s="10">
        <f t="shared" si="66"/>
        <v>0</v>
      </c>
      <c r="N1886" s="9" t="str">
        <f t="shared" si="67"/>
        <v/>
      </c>
      <c r="O1886" s="9" t="str">
        <f>IF(N1886="","",IF(COUNTIF(Precios!$G:$G,N1886)=0,"⚠ No coincide con Precios","OK"))</f>
        <v/>
      </c>
    </row>
    <row r="1887" spans="3:15" x14ac:dyDescent="0.2">
      <c r="C1887" s="9" cm="1">
        <f t="array" ref="C1887">IFERROR(_xlfn.XLOOKUP(B1887,Personal!$A:$A,Personal!$D:$D,""),"")</f>
        <v>0</v>
      </c>
      <c r="D1887" s="9" cm="1">
        <f t="array" ref="D1887">IFERROR(_xlfn.XLOOKUP(B1887,Personal!$A:$A,Personal!$C:$C,""),"")</f>
        <v>0</v>
      </c>
      <c r="E1887" s="9" t="str" cm="1">
        <f t="array" ref="E1887">IFERROR(_xlfn.XLOOKUP(D1887,Locales!$A:$A,Locales!$B:$B,""),"")</f>
        <v/>
      </c>
      <c r="F1887" s="9" cm="1">
        <f t="array" ref="F1887">IFERROR(_xlfn.XLOOKUP(B1887,Personal!$A:$A,Personal!$F:$F,""),"")</f>
        <v>0</v>
      </c>
      <c r="I1887" s="10" cm="1">
        <f t="array" ref="I1887">IFERROR(INDEX(Precios!$D:$F,MATCH(N1887, Precios!$G:$G, 0),CHOOSE(MATCH(H1887, {"SML";"XL";"XXL"}, 0), 1, 2, 3)), 0)</f>
        <v>0</v>
      </c>
      <c r="K1887" s="10">
        <f t="shared" si="66"/>
        <v>0</v>
      </c>
      <c r="N1887" s="9" t="str">
        <f t="shared" si="67"/>
        <v/>
      </c>
      <c r="O1887" s="9" t="str">
        <f>IF(N1887="","",IF(COUNTIF(Precios!$G:$G,N1887)=0,"⚠ No coincide con Precios","OK"))</f>
        <v/>
      </c>
    </row>
    <row r="1888" spans="3:15" x14ac:dyDescent="0.2">
      <c r="C1888" s="9" cm="1">
        <f t="array" ref="C1888">IFERROR(_xlfn.XLOOKUP(B1888,Personal!$A:$A,Personal!$D:$D,""),"")</f>
        <v>0</v>
      </c>
      <c r="D1888" s="9" cm="1">
        <f t="array" ref="D1888">IFERROR(_xlfn.XLOOKUP(B1888,Personal!$A:$A,Personal!$C:$C,""),"")</f>
        <v>0</v>
      </c>
      <c r="E1888" s="9" t="str" cm="1">
        <f t="array" ref="E1888">IFERROR(_xlfn.XLOOKUP(D1888,Locales!$A:$A,Locales!$B:$B,""),"")</f>
        <v/>
      </c>
      <c r="F1888" s="9" cm="1">
        <f t="array" ref="F1888">IFERROR(_xlfn.XLOOKUP(B1888,Personal!$A:$A,Personal!$F:$F,""),"")</f>
        <v>0</v>
      </c>
      <c r="I1888" s="10" cm="1">
        <f t="array" ref="I1888">IFERROR(INDEX(Precios!$D:$F,MATCH(N1888, Precios!$G:$G, 0),CHOOSE(MATCH(H1888, {"SML";"XL";"XXL"}, 0), 1, 2, 3)), 0)</f>
        <v>0</v>
      </c>
      <c r="K1888" s="10">
        <f t="shared" si="66"/>
        <v>0</v>
      </c>
      <c r="N1888" s="9" t="str">
        <f t="shared" si="67"/>
        <v/>
      </c>
      <c r="O1888" s="9" t="str">
        <f>IF(N1888="","",IF(COUNTIF(Precios!$G:$G,N1888)=0,"⚠ No coincide con Precios","OK"))</f>
        <v/>
      </c>
    </row>
    <row r="1889" spans="3:15" x14ac:dyDescent="0.2">
      <c r="C1889" s="9" cm="1">
        <f t="array" ref="C1889">IFERROR(_xlfn.XLOOKUP(B1889,Personal!$A:$A,Personal!$D:$D,""),"")</f>
        <v>0</v>
      </c>
      <c r="D1889" s="9" cm="1">
        <f t="array" ref="D1889">IFERROR(_xlfn.XLOOKUP(B1889,Personal!$A:$A,Personal!$C:$C,""),"")</f>
        <v>0</v>
      </c>
      <c r="E1889" s="9" t="str" cm="1">
        <f t="array" ref="E1889">IFERROR(_xlfn.XLOOKUP(D1889,Locales!$A:$A,Locales!$B:$B,""),"")</f>
        <v/>
      </c>
      <c r="F1889" s="9" cm="1">
        <f t="array" ref="F1889">IFERROR(_xlfn.XLOOKUP(B1889,Personal!$A:$A,Personal!$F:$F,""),"")</f>
        <v>0</v>
      </c>
      <c r="I1889" s="10" cm="1">
        <f t="array" ref="I1889">IFERROR(INDEX(Precios!$D:$F,MATCH(N1889, Precios!$G:$G, 0),CHOOSE(MATCH(H1889, {"SML";"XL";"XXL"}, 0), 1, 2, 3)), 0)</f>
        <v>0</v>
      </c>
      <c r="K1889" s="10">
        <f t="shared" si="66"/>
        <v>0</v>
      </c>
      <c r="N1889" s="9" t="str">
        <f t="shared" si="67"/>
        <v/>
      </c>
      <c r="O1889" s="9" t="str">
        <f>IF(N1889="","",IF(COUNTIF(Precios!$G:$G,N1889)=0,"⚠ No coincide con Precios","OK"))</f>
        <v/>
      </c>
    </row>
    <row r="1890" spans="3:15" x14ac:dyDescent="0.2">
      <c r="C1890" s="9" cm="1">
        <f t="array" ref="C1890">IFERROR(_xlfn.XLOOKUP(B1890,Personal!$A:$A,Personal!$D:$D,""),"")</f>
        <v>0</v>
      </c>
      <c r="D1890" s="9" cm="1">
        <f t="array" ref="D1890">IFERROR(_xlfn.XLOOKUP(B1890,Personal!$A:$A,Personal!$C:$C,""),"")</f>
        <v>0</v>
      </c>
      <c r="E1890" s="9" t="str" cm="1">
        <f t="array" ref="E1890">IFERROR(_xlfn.XLOOKUP(D1890,Locales!$A:$A,Locales!$B:$B,""),"")</f>
        <v/>
      </c>
      <c r="F1890" s="9" cm="1">
        <f t="array" ref="F1890">IFERROR(_xlfn.XLOOKUP(B1890,Personal!$A:$A,Personal!$F:$F,""),"")</f>
        <v>0</v>
      </c>
      <c r="I1890" s="10" cm="1">
        <f t="array" ref="I1890">IFERROR(INDEX(Precios!$D:$F,MATCH(N1890, Precios!$G:$G, 0),CHOOSE(MATCH(H1890, {"SML";"XL";"XXL"}, 0), 1, 2, 3)), 0)</f>
        <v>0</v>
      </c>
      <c r="K1890" s="10">
        <f t="shared" si="66"/>
        <v>0</v>
      </c>
      <c r="N1890" s="9" t="str">
        <f t="shared" si="67"/>
        <v/>
      </c>
      <c r="O1890" s="9" t="str">
        <f>IF(N1890="","",IF(COUNTIF(Precios!$G:$G,N1890)=0,"⚠ No coincide con Precios","OK"))</f>
        <v/>
      </c>
    </row>
    <row r="1891" spans="3:15" x14ac:dyDescent="0.2">
      <c r="C1891" s="9" cm="1">
        <f t="array" ref="C1891">IFERROR(_xlfn.XLOOKUP(B1891,Personal!$A:$A,Personal!$D:$D,""),"")</f>
        <v>0</v>
      </c>
      <c r="D1891" s="9" cm="1">
        <f t="array" ref="D1891">IFERROR(_xlfn.XLOOKUP(B1891,Personal!$A:$A,Personal!$C:$C,""),"")</f>
        <v>0</v>
      </c>
      <c r="E1891" s="9" t="str" cm="1">
        <f t="array" ref="E1891">IFERROR(_xlfn.XLOOKUP(D1891,Locales!$A:$A,Locales!$B:$B,""),"")</f>
        <v/>
      </c>
      <c r="F1891" s="9" cm="1">
        <f t="array" ref="F1891">IFERROR(_xlfn.XLOOKUP(B1891,Personal!$A:$A,Personal!$F:$F,""),"")</f>
        <v>0</v>
      </c>
      <c r="I1891" s="10" cm="1">
        <f t="array" ref="I1891">IFERROR(INDEX(Precios!$D:$F,MATCH(N1891, Precios!$G:$G, 0),CHOOSE(MATCH(H1891, {"SML";"XL";"XXL"}, 0), 1, 2, 3)), 0)</f>
        <v>0</v>
      </c>
      <c r="K1891" s="10">
        <f t="shared" si="66"/>
        <v>0</v>
      </c>
      <c r="N1891" s="9" t="str">
        <f t="shared" si="67"/>
        <v/>
      </c>
      <c r="O1891" s="9" t="str">
        <f>IF(N1891="","",IF(COUNTIF(Precios!$G:$G,N1891)=0,"⚠ No coincide con Precios","OK"))</f>
        <v/>
      </c>
    </row>
    <row r="1892" spans="3:15" x14ac:dyDescent="0.2">
      <c r="C1892" s="9" cm="1">
        <f t="array" ref="C1892">IFERROR(_xlfn.XLOOKUP(B1892,Personal!$A:$A,Personal!$D:$D,""),"")</f>
        <v>0</v>
      </c>
      <c r="D1892" s="9" cm="1">
        <f t="array" ref="D1892">IFERROR(_xlfn.XLOOKUP(B1892,Personal!$A:$A,Personal!$C:$C,""),"")</f>
        <v>0</v>
      </c>
      <c r="E1892" s="9" t="str" cm="1">
        <f t="array" ref="E1892">IFERROR(_xlfn.XLOOKUP(D1892,Locales!$A:$A,Locales!$B:$B,""),"")</f>
        <v/>
      </c>
      <c r="F1892" s="9" cm="1">
        <f t="array" ref="F1892">IFERROR(_xlfn.XLOOKUP(B1892,Personal!$A:$A,Personal!$F:$F,""),"")</f>
        <v>0</v>
      </c>
      <c r="I1892" s="10" cm="1">
        <f t="array" ref="I1892">IFERROR(INDEX(Precios!$D:$F,MATCH(N1892, Precios!$G:$G, 0),CHOOSE(MATCH(H1892, {"SML";"XL";"XXL"}, 0), 1, 2, 3)), 0)</f>
        <v>0</v>
      </c>
      <c r="K1892" s="10">
        <f t="shared" si="66"/>
        <v>0</v>
      </c>
      <c r="N1892" s="9" t="str">
        <f t="shared" si="67"/>
        <v/>
      </c>
      <c r="O1892" s="9" t="str">
        <f>IF(N1892="","",IF(COUNTIF(Precios!$G:$G,N1892)=0,"⚠ No coincide con Precios","OK"))</f>
        <v/>
      </c>
    </row>
    <row r="1893" spans="3:15" x14ac:dyDescent="0.2">
      <c r="C1893" s="9" cm="1">
        <f t="array" ref="C1893">IFERROR(_xlfn.XLOOKUP(B1893,Personal!$A:$A,Personal!$D:$D,""),"")</f>
        <v>0</v>
      </c>
      <c r="D1893" s="9" cm="1">
        <f t="array" ref="D1893">IFERROR(_xlfn.XLOOKUP(B1893,Personal!$A:$A,Personal!$C:$C,""),"")</f>
        <v>0</v>
      </c>
      <c r="E1893" s="9" t="str" cm="1">
        <f t="array" ref="E1893">IFERROR(_xlfn.XLOOKUP(D1893,Locales!$A:$A,Locales!$B:$B,""),"")</f>
        <v/>
      </c>
      <c r="F1893" s="9" cm="1">
        <f t="array" ref="F1893">IFERROR(_xlfn.XLOOKUP(B1893,Personal!$A:$A,Personal!$F:$F,""),"")</f>
        <v>0</v>
      </c>
      <c r="I1893" s="10" cm="1">
        <f t="array" ref="I1893">IFERROR(INDEX(Precios!$D:$F,MATCH(N1893, Precios!$G:$G, 0),CHOOSE(MATCH(H1893, {"SML";"XL";"XXL"}, 0), 1, 2, 3)), 0)</f>
        <v>0</v>
      </c>
      <c r="K1893" s="10">
        <f t="shared" si="66"/>
        <v>0</v>
      </c>
      <c r="N1893" s="9" t="str">
        <f t="shared" si="67"/>
        <v/>
      </c>
      <c r="O1893" s="9" t="str">
        <f>IF(N1893="","",IF(COUNTIF(Precios!$G:$G,N1893)=0,"⚠ No coincide con Precios","OK"))</f>
        <v/>
      </c>
    </row>
    <row r="1894" spans="3:15" x14ac:dyDescent="0.2">
      <c r="C1894" s="9" cm="1">
        <f t="array" ref="C1894">IFERROR(_xlfn.XLOOKUP(B1894,Personal!$A:$A,Personal!$D:$D,""),"")</f>
        <v>0</v>
      </c>
      <c r="D1894" s="9" cm="1">
        <f t="array" ref="D1894">IFERROR(_xlfn.XLOOKUP(B1894,Personal!$A:$A,Personal!$C:$C,""),"")</f>
        <v>0</v>
      </c>
      <c r="E1894" s="9" t="str" cm="1">
        <f t="array" ref="E1894">IFERROR(_xlfn.XLOOKUP(D1894,Locales!$A:$A,Locales!$B:$B,""),"")</f>
        <v/>
      </c>
      <c r="F1894" s="9" cm="1">
        <f t="array" ref="F1894">IFERROR(_xlfn.XLOOKUP(B1894,Personal!$A:$A,Personal!$F:$F,""),"")</f>
        <v>0</v>
      </c>
      <c r="I1894" s="10" cm="1">
        <f t="array" ref="I1894">IFERROR(INDEX(Precios!$D:$F,MATCH(N1894, Precios!$G:$G, 0),CHOOSE(MATCH(H1894, {"SML";"XL";"XXL"}, 0), 1, 2, 3)), 0)</f>
        <v>0</v>
      </c>
      <c r="K1894" s="10">
        <f t="shared" si="66"/>
        <v>0</v>
      </c>
      <c r="N1894" s="9" t="str">
        <f t="shared" si="67"/>
        <v/>
      </c>
      <c r="O1894" s="9" t="str">
        <f>IF(N1894="","",IF(COUNTIF(Precios!$G:$G,N1894)=0,"⚠ No coincide con Precios","OK"))</f>
        <v/>
      </c>
    </row>
    <row r="1895" spans="3:15" x14ac:dyDescent="0.2">
      <c r="C1895" s="9" cm="1">
        <f t="array" ref="C1895">IFERROR(_xlfn.XLOOKUP(B1895,Personal!$A:$A,Personal!$D:$D,""),"")</f>
        <v>0</v>
      </c>
      <c r="D1895" s="9" cm="1">
        <f t="array" ref="D1895">IFERROR(_xlfn.XLOOKUP(B1895,Personal!$A:$A,Personal!$C:$C,""),"")</f>
        <v>0</v>
      </c>
      <c r="E1895" s="9" t="str" cm="1">
        <f t="array" ref="E1895">IFERROR(_xlfn.XLOOKUP(D1895,Locales!$A:$A,Locales!$B:$B,""),"")</f>
        <v/>
      </c>
      <c r="F1895" s="9" cm="1">
        <f t="array" ref="F1895">IFERROR(_xlfn.XLOOKUP(B1895,Personal!$A:$A,Personal!$F:$F,""),"")</f>
        <v>0</v>
      </c>
      <c r="I1895" s="10" cm="1">
        <f t="array" ref="I1895">IFERROR(INDEX(Precios!$D:$F,MATCH(N1895, Precios!$G:$G, 0),CHOOSE(MATCH(H1895, {"SML";"XL";"XXL"}, 0), 1, 2, 3)), 0)</f>
        <v>0</v>
      </c>
      <c r="K1895" s="10">
        <f t="shared" si="66"/>
        <v>0</v>
      </c>
      <c r="N1895" s="9" t="str">
        <f t="shared" si="67"/>
        <v/>
      </c>
      <c r="O1895" s="9" t="str">
        <f>IF(N1895="","",IF(COUNTIF(Precios!$G:$G,N1895)=0,"⚠ No coincide con Precios","OK"))</f>
        <v/>
      </c>
    </row>
    <row r="1896" spans="3:15" x14ac:dyDescent="0.2">
      <c r="C1896" s="9" cm="1">
        <f t="array" ref="C1896">IFERROR(_xlfn.XLOOKUP(B1896,Personal!$A:$A,Personal!$D:$D,""),"")</f>
        <v>0</v>
      </c>
      <c r="D1896" s="9" cm="1">
        <f t="array" ref="D1896">IFERROR(_xlfn.XLOOKUP(B1896,Personal!$A:$A,Personal!$C:$C,""),"")</f>
        <v>0</v>
      </c>
      <c r="E1896" s="9" t="str" cm="1">
        <f t="array" ref="E1896">IFERROR(_xlfn.XLOOKUP(D1896,Locales!$A:$A,Locales!$B:$B,""),"")</f>
        <v/>
      </c>
      <c r="F1896" s="9" cm="1">
        <f t="array" ref="F1896">IFERROR(_xlfn.XLOOKUP(B1896,Personal!$A:$A,Personal!$F:$F,""),"")</f>
        <v>0</v>
      </c>
      <c r="I1896" s="10" cm="1">
        <f t="array" ref="I1896">IFERROR(INDEX(Precios!$D:$F,MATCH(N1896, Precios!$G:$G, 0),CHOOSE(MATCH(H1896, {"SML";"XL";"XXL"}, 0), 1, 2, 3)), 0)</f>
        <v>0</v>
      </c>
      <c r="K1896" s="10">
        <f t="shared" si="66"/>
        <v>0</v>
      </c>
      <c r="N1896" s="9" t="str">
        <f t="shared" si="67"/>
        <v/>
      </c>
      <c r="O1896" s="9" t="str">
        <f>IF(N1896="","",IF(COUNTIF(Precios!$G:$G,N1896)=0,"⚠ No coincide con Precios","OK"))</f>
        <v/>
      </c>
    </row>
    <row r="1897" spans="3:15" x14ac:dyDescent="0.2">
      <c r="C1897" s="9" cm="1">
        <f t="array" ref="C1897">IFERROR(_xlfn.XLOOKUP(B1897,Personal!$A:$A,Personal!$D:$D,""),"")</f>
        <v>0</v>
      </c>
      <c r="D1897" s="9" cm="1">
        <f t="array" ref="D1897">IFERROR(_xlfn.XLOOKUP(B1897,Personal!$A:$A,Personal!$C:$C,""),"")</f>
        <v>0</v>
      </c>
      <c r="E1897" s="9" t="str" cm="1">
        <f t="array" ref="E1897">IFERROR(_xlfn.XLOOKUP(D1897,Locales!$A:$A,Locales!$B:$B,""),"")</f>
        <v/>
      </c>
      <c r="F1897" s="9" cm="1">
        <f t="array" ref="F1897">IFERROR(_xlfn.XLOOKUP(B1897,Personal!$A:$A,Personal!$F:$F,""),"")</f>
        <v>0</v>
      </c>
      <c r="I1897" s="10" cm="1">
        <f t="array" ref="I1897">IFERROR(INDEX(Precios!$D:$F,MATCH(N1897, Precios!$G:$G, 0),CHOOSE(MATCH(H1897, {"SML";"XL";"XXL"}, 0), 1, 2, 3)), 0)</f>
        <v>0</v>
      </c>
      <c r="K1897" s="10">
        <f t="shared" si="66"/>
        <v>0</v>
      </c>
      <c r="N1897" s="9" t="str">
        <f t="shared" si="67"/>
        <v/>
      </c>
      <c r="O1897" s="9" t="str">
        <f>IF(N1897="","",IF(COUNTIF(Precios!$G:$G,N1897)=0,"⚠ No coincide con Precios","OK"))</f>
        <v/>
      </c>
    </row>
    <row r="1898" spans="3:15" x14ac:dyDescent="0.2">
      <c r="C1898" s="9" cm="1">
        <f t="array" ref="C1898">IFERROR(_xlfn.XLOOKUP(B1898,Personal!$A:$A,Personal!$D:$D,""),"")</f>
        <v>0</v>
      </c>
      <c r="D1898" s="9" cm="1">
        <f t="array" ref="D1898">IFERROR(_xlfn.XLOOKUP(B1898,Personal!$A:$A,Personal!$C:$C,""),"")</f>
        <v>0</v>
      </c>
      <c r="E1898" s="9" t="str" cm="1">
        <f t="array" ref="E1898">IFERROR(_xlfn.XLOOKUP(D1898,Locales!$A:$A,Locales!$B:$B,""),"")</f>
        <v/>
      </c>
      <c r="F1898" s="9" cm="1">
        <f t="array" ref="F1898">IFERROR(_xlfn.XLOOKUP(B1898,Personal!$A:$A,Personal!$F:$F,""),"")</f>
        <v>0</v>
      </c>
      <c r="I1898" s="10" cm="1">
        <f t="array" ref="I1898">IFERROR(INDEX(Precios!$D:$F,MATCH(N1898, Precios!$G:$G, 0),CHOOSE(MATCH(H1898, {"SML";"XL";"XXL"}, 0), 1, 2, 3)), 0)</f>
        <v>0</v>
      </c>
      <c r="K1898" s="10">
        <f t="shared" si="66"/>
        <v>0</v>
      </c>
      <c r="N1898" s="9" t="str">
        <f t="shared" si="67"/>
        <v/>
      </c>
      <c r="O1898" s="9" t="str">
        <f>IF(N1898="","",IF(COUNTIF(Precios!$G:$G,N1898)=0,"⚠ No coincide con Precios","OK"))</f>
        <v/>
      </c>
    </row>
    <row r="1899" spans="3:15" x14ac:dyDescent="0.2">
      <c r="C1899" s="9" cm="1">
        <f t="array" ref="C1899">IFERROR(_xlfn.XLOOKUP(B1899,Personal!$A:$A,Personal!$D:$D,""),"")</f>
        <v>0</v>
      </c>
      <c r="D1899" s="9" cm="1">
        <f t="array" ref="D1899">IFERROR(_xlfn.XLOOKUP(B1899,Personal!$A:$A,Personal!$C:$C,""),"")</f>
        <v>0</v>
      </c>
      <c r="E1899" s="9" t="str" cm="1">
        <f t="array" ref="E1899">IFERROR(_xlfn.XLOOKUP(D1899,Locales!$A:$A,Locales!$B:$B,""),"")</f>
        <v/>
      </c>
      <c r="F1899" s="9" cm="1">
        <f t="array" ref="F1899">IFERROR(_xlfn.XLOOKUP(B1899,Personal!$A:$A,Personal!$F:$F,""),"")</f>
        <v>0</v>
      </c>
      <c r="I1899" s="10" cm="1">
        <f t="array" ref="I1899">IFERROR(INDEX(Precios!$D:$F,MATCH(N1899, Precios!$G:$G, 0),CHOOSE(MATCH(H1899, {"SML";"XL";"XXL"}, 0), 1, 2, 3)), 0)</f>
        <v>0</v>
      </c>
      <c r="K1899" s="10">
        <f t="shared" si="66"/>
        <v>0</v>
      </c>
      <c r="N1899" s="9" t="str">
        <f t="shared" si="67"/>
        <v/>
      </c>
      <c r="O1899" s="9" t="str">
        <f>IF(N1899="","",IF(COUNTIF(Precios!$G:$G,N1899)=0,"⚠ No coincide con Precios","OK"))</f>
        <v/>
      </c>
    </row>
    <row r="1900" spans="3:15" x14ac:dyDescent="0.2">
      <c r="C1900" s="9" cm="1">
        <f t="array" ref="C1900">IFERROR(_xlfn.XLOOKUP(B1900,Personal!$A:$A,Personal!$D:$D,""),"")</f>
        <v>0</v>
      </c>
      <c r="D1900" s="9" cm="1">
        <f t="array" ref="D1900">IFERROR(_xlfn.XLOOKUP(B1900,Personal!$A:$A,Personal!$C:$C,""),"")</f>
        <v>0</v>
      </c>
      <c r="E1900" s="9" t="str" cm="1">
        <f t="array" ref="E1900">IFERROR(_xlfn.XLOOKUP(D1900,Locales!$A:$A,Locales!$B:$B,""),"")</f>
        <v/>
      </c>
      <c r="F1900" s="9" cm="1">
        <f t="array" ref="F1900">IFERROR(_xlfn.XLOOKUP(B1900,Personal!$A:$A,Personal!$F:$F,""),"")</f>
        <v>0</v>
      </c>
      <c r="I1900" s="10" cm="1">
        <f t="array" ref="I1900">IFERROR(INDEX(Precios!$D:$F,MATCH(N1900, Precios!$G:$G, 0),CHOOSE(MATCH(H1900, {"SML";"XL";"XXL"}, 0), 1, 2, 3)), 0)</f>
        <v>0</v>
      </c>
      <c r="K1900" s="10">
        <f t="shared" si="66"/>
        <v>0</v>
      </c>
      <c r="N1900" s="9" t="str">
        <f t="shared" si="67"/>
        <v/>
      </c>
      <c r="O1900" s="9" t="str">
        <f>IF(N1900="","",IF(COUNTIF(Precios!$G:$G,N1900)=0,"⚠ No coincide con Precios","OK"))</f>
        <v/>
      </c>
    </row>
    <row r="1901" spans="3:15" x14ac:dyDescent="0.2">
      <c r="C1901" s="9" cm="1">
        <f t="array" ref="C1901">IFERROR(_xlfn.XLOOKUP(B1901,Personal!$A:$A,Personal!$D:$D,""),"")</f>
        <v>0</v>
      </c>
      <c r="D1901" s="9" cm="1">
        <f t="array" ref="D1901">IFERROR(_xlfn.XLOOKUP(B1901,Personal!$A:$A,Personal!$C:$C,""),"")</f>
        <v>0</v>
      </c>
      <c r="E1901" s="9" t="str" cm="1">
        <f t="array" ref="E1901">IFERROR(_xlfn.XLOOKUP(D1901,Locales!$A:$A,Locales!$B:$B,""),"")</f>
        <v/>
      </c>
      <c r="F1901" s="9" cm="1">
        <f t="array" ref="F1901">IFERROR(_xlfn.XLOOKUP(B1901,Personal!$A:$A,Personal!$F:$F,""),"")</f>
        <v>0</v>
      </c>
      <c r="I1901" s="10" cm="1">
        <f t="array" ref="I1901">IFERROR(INDEX(Precios!$D:$F,MATCH(N1901, Precios!$G:$G, 0),CHOOSE(MATCH(H1901, {"SML";"XL";"XXL"}, 0), 1, 2, 3)), 0)</f>
        <v>0</v>
      </c>
      <c r="K1901" s="10">
        <f t="shared" si="66"/>
        <v>0</v>
      </c>
      <c r="N1901" s="9" t="str">
        <f t="shared" si="67"/>
        <v/>
      </c>
      <c r="O1901" s="9" t="str">
        <f>IF(N1901="","",IF(COUNTIF(Precios!$G:$G,N1901)=0,"⚠ No coincide con Precios","OK"))</f>
        <v/>
      </c>
    </row>
    <row r="1902" spans="3:15" x14ac:dyDescent="0.2">
      <c r="C1902" s="9" cm="1">
        <f t="array" ref="C1902">IFERROR(_xlfn.XLOOKUP(B1902,Personal!$A:$A,Personal!$D:$D,""),"")</f>
        <v>0</v>
      </c>
      <c r="D1902" s="9" cm="1">
        <f t="array" ref="D1902">IFERROR(_xlfn.XLOOKUP(B1902,Personal!$A:$A,Personal!$C:$C,""),"")</f>
        <v>0</v>
      </c>
      <c r="E1902" s="9" t="str" cm="1">
        <f t="array" ref="E1902">IFERROR(_xlfn.XLOOKUP(D1902,Locales!$A:$A,Locales!$B:$B,""),"")</f>
        <v/>
      </c>
      <c r="F1902" s="9" cm="1">
        <f t="array" ref="F1902">IFERROR(_xlfn.XLOOKUP(B1902,Personal!$A:$A,Personal!$F:$F,""),"")</f>
        <v>0</v>
      </c>
      <c r="I1902" s="10" cm="1">
        <f t="array" ref="I1902">IFERROR(INDEX(Precios!$D:$F,MATCH(N1902, Precios!$G:$G, 0),CHOOSE(MATCH(H1902, {"SML";"XL";"XXL"}, 0), 1, 2, 3)), 0)</f>
        <v>0</v>
      </c>
      <c r="K1902" s="10">
        <f t="shared" si="66"/>
        <v>0</v>
      </c>
      <c r="N1902" s="9" t="str">
        <f t="shared" si="67"/>
        <v/>
      </c>
      <c r="O1902" s="9" t="str">
        <f>IF(N1902="","",IF(COUNTIF(Precios!$G:$G,N1902)=0,"⚠ No coincide con Precios","OK"))</f>
        <v/>
      </c>
    </row>
    <row r="1903" spans="3:15" x14ac:dyDescent="0.2">
      <c r="C1903" s="9" cm="1">
        <f t="array" ref="C1903">IFERROR(_xlfn.XLOOKUP(B1903,Personal!$A:$A,Personal!$D:$D,""),"")</f>
        <v>0</v>
      </c>
      <c r="D1903" s="9" cm="1">
        <f t="array" ref="D1903">IFERROR(_xlfn.XLOOKUP(B1903,Personal!$A:$A,Personal!$C:$C,""),"")</f>
        <v>0</v>
      </c>
      <c r="E1903" s="9" t="str" cm="1">
        <f t="array" ref="E1903">IFERROR(_xlfn.XLOOKUP(D1903,Locales!$A:$A,Locales!$B:$B,""),"")</f>
        <v/>
      </c>
      <c r="F1903" s="9" cm="1">
        <f t="array" ref="F1903">IFERROR(_xlfn.XLOOKUP(B1903,Personal!$A:$A,Personal!$F:$F,""),"")</f>
        <v>0</v>
      </c>
      <c r="I1903" s="10" cm="1">
        <f t="array" ref="I1903">IFERROR(INDEX(Precios!$D:$F,MATCH(N1903, Precios!$G:$G, 0),CHOOSE(MATCH(H1903, {"SML";"XL";"XXL"}, 0), 1, 2, 3)), 0)</f>
        <v>0</v>
      </c>
      <c r="K1903" s="10">
        <f t="shared" si="66"/>
        <v>0</v>
      </c>
      <c r="N1903" s="9" t="str">
        <f t="shared" si="67"/>
        <v/>
      </c>
      <c r="O1903" s="9" t="str">
        <f>IF(N1903="","",IF(COUNTIF(Precios!$G:$G,N1903)=0,"⚠ No coincide con Precios","OK"))</f>
        <v/>
      </c>
    </row>
    <row r="1904" spans="3:15" x14ac:dyDescent="0.2">
      <c r="C1904" s="9" cm="1">
        <f t="array" ref="C1904">IFERROR(_xlfn.XLOOKUP(B1904,Personal!$A:$A,Personal!$D:$D,""),"")</f>
        <v>0</v>
      </c>
      <c r="D1904" s="9" cm="1">
        <f t="array" ref="D1904">IFERROR(_xlfn.XLOOKUP(B1904,Personal!$A:$A,Personal!$C:$C,""),"")</f>
        <v>0</v>
      </c>
      <c r="E1904" s="9" t="str" cm="1">
        <f t="array" ref="E1904">IFERROR(_xlfn.XLOOKUP(D1904,Locales!$A:$A,Locales!$B:$B,""),"")</f>
        <v/>
      </c>
      <c r="F1904" s="9" cm="1">
        <f t="array" ref="F1904">IFERROR(_xlfn.XLOOKUP(B1904,Personal!$A:$A,Personal!$F:$F,""),"")</f>
        <v>0</v>
      </c>
      <c r="I1904" s="10" cm="1">
        <f t="array" ref="I1904">IFERROR(INDEX(Precios!$D:$F,MATCH(N1904, Precios!$G:$G, 0),CHOOSE(MATCH(H1904, {"SML";"XL";"XXL"}, 0), 1, 2, 3)), 0)</f>
        <v>0</v>
      </c>
      <c r="K1904" s="10">
        <f t="shared" si="66"/>
        <v>0</v>
      </c>
      <c r="N1904" s="9" t="str">
        <f t="shared" si="67"/>
        <v/>
      </c>
      <c r="O1904" s="9" t="str">
        <f>IF(N1904="","",IF(COUNTIF(Precios!$G:$G,N1904)=0,"⚠ No coincide con Precios","OK"))</f>
        <v/>
      </c>
    </row>
    <row r="1905" spans="3:15" x14ac:dyDescent="0.2">
      <c r="C1905" s="9" cm="1">
        <f t="array" ref="C1905">IFERROR(_xlfn.XLOOKUP(B1905,Personal!$A:$A,Personal!$D:$D,""),"")</f>
        <v>0</v>
      </c>
      <c r="D1905" s="9" cm="1">
        <f t="array" ref="D1905">IFERROR(_xlfn.XLOOKUP(B1905,Personal!$A:$A,Personal!$C:$C,""),"")</f>
        <v>0</v>
      </c>
      <c r="E1905" s="9" t="str" cm="1">
        <f t="array" ref="E1905">IFERROR(_xlfn.XLOOKUP(D1905,Locales!$A:$A,Locales!$B:$B,""),"")</f>
        <v/>
      </c>
      <c r="F1905" s="9" cm="1">
        <f t="array" ref="F1905">IFERROR(_xlfn.XLOOKUP(B1905,Personal!$A:$A,Personal!$F:$F,""),"")</f>
        <v>0</v>
      </c>
      <c r="I1905" s="10" cm="1">
        <f t="array" ref="I1905">IFERROR(INDEX(Precios!$D:$F,MATCH(N1905, Precios!$G:$G, 0),CHOOSE(MATCH(H1905, {"SML";"XL";"XXL"}, 0), 1, 2, 3)), 0)</f>
        <v>0</v>
      </c>
      <c r="K1905" s="10">
        <f t="shared" si="66"/>
        <v>0</v>
      </c>
      <c r="N1905" s="9" t="str">
        <f t="shared" si="67"/>
        <v/>
      </c>
      <c r="O1905" s="9" t="str">
        <f>IF(N1905="","",IF(COUNTIF(Precios!$G:$G,N1905)=0,"⚠ No coincide con Precios","OK"))</f>
        <v/>
      </c>
    </row>
    <row r="1906" spans="3:15" x14ac:dyDescent="0.2">
      <c r="C1906" s="9" cm="1">
        <f t="array" ref="C1906">IFERROR(_xlfn.XLOOKUP(B1906,Personal!$A:$A,Personal!$D:$D,""),"")</f>
        <v>0</v>
      </c>
      <c r="D1906" s="9" cm="1">
        <f t="array" ref="D1906">IFERROR(_xlfn.XLOOKUP(B1906,Personal!$A:$A,Personal!$C:$C,""),"")</f>
        <v>0</v>
      </c>
      <c r="E1906" s="9" t="str" cm="1">
        <f t="array" ref="E1906">IFERROR(_xlfn.XLOOKUP(D1906,Locales!$A:$A,Locales!$B:$B,""),"")</f>
        <v/>
      </c>
      <c r="F1906" s="9" cm="1">
        <f t="array" ref="F1906">IFERROR(_xlfn.XLOOKUP(B1906,Personal!$A:$A,Personal!$F:$F,""),"")</f>
        <v>0</v>
      </c>
      <c r="I1906" s="10" cm="1">
        <f t="array" ref="I1906">IFERROR(INDEX(Precios!$D:$F,MATCH(N1906, Precios!$G:$G, 0),CHOOSE(MATCH(H1906, {"SML";"XL";"XXL"}, 0), 1, 2, 3)), 0)</f>
        <v>0</v>
      </c>
      <c r="K1906" s="10">
        <f t="shared" si="66"/>
        <v>0</v>
      </c>
      <c r="N1906" s="9" t="str">
        <f t="shared" si="67"/>
        <v/>
      </c>
      <c r="O1906" s="9" t="str">
        <f>IF(N1906="","",IF(COUNTIF(Precios!$G:$G,N1906)=0,"⚠ No coincide con Precios","OK"))</f>
        <v/>
      </c>
    </row>
    <row r="1907" spans="3:15" x14ac:dyDescent="0.2">
      <c r="C1907" s="9" cm="1">
        <f t="array" ref="C1907">IFERROR(_xlfn.XLOOKUP(B1907,Personal!$A:$A,Personal!$D:$D,""),"")</f>
        <v>0</v>
      </c>
      <c r="D1907" s="9" cm="1">
        <f t="array" ref="D1907">IFERROR(_xlfn.XLOOKUP(B1907,Personal!$A:$A,Personal!$C:$C,""),"")</f>
        <v>0</v>
      </c>
      <c r="E1907" s="9" t="str" cm="1">
        <f t="array" ref="E1907">IFERROR(_xlfn.XLOOKUP(D1907,Locales!$A:$A,Locales!$B:$B,""),"")</f>
        <v/>
      </c>
      <c r="F1907" s="9" cm="1">
        <f t="array" ref="F1907">IFERROR(_xlfn.XLOOKUP(B1907,Personal!$A:$A,Personal!$F:$F,""),"")</f>
        <v>0</v>
      </c>
      <c r="I1907" s="10" cm="1">
        <f t="array" ref="I1907">IFERROR(INDEX(Precios!$D:$F,MATCH(N1907, Precios!$G:$G, 0),CHOOSE(MATCH(H1907, {"SML";"XL";"XXL"}, 0), 1, 2, 3)), 0)</f>
        <v>0</v>
      </c>
      <c r="K1907" s="10">
        <f t="shared" si="66"/>
        <v>0</v>
      </c>
      <c r="N1907" s="9" t="str">
        <f t="shared" si="67"/>
        <v/>
      </c>
      <c r="O1907" s="9" t="str">
        <f>IF(N1907="","",IF(COUNTIF(Precios!$G:$G,N1907)=0,"⚠ No coincide con Precios","OK"))</f>
        <v/>
      </c>
    </row>
    <row r="1908" spans="3:15" x14ac:dyDescent="0.2">
      <c r="C1908" s="9" cm="1">
        <f t="array" ref="C1908">IFERROR(_xlfn.XLOOKUP(B1908,Personal!$A:$A,Personal!$D:$D,""),"")</f>
        <v>0</v>
      </c>
      <c r="D1908" s="9" cm="1">
        <f t="array" ref="D1908">IFERROR(_xlfn.XLOOKUP(B1908,Personal!$A:$A,Personal!$C:$C,""),"")</f>
        <v>0</v>
      </c>
      <c r="E1908" s="9" t="str" cm="1">
        <f t="array" ref="E1908">IFERROR(_xlfn.XLOOKUP(D1908,Locales!$A:$A,Locales!$B:$B,""),"")</f>
        <v/>
      </c>
      <c r="F1908" s="9" cm="1">
        <f t="array" ref="F1908">IFERROR(_xlfn.XLOOKUP(B1908,Personal!$A:$A,Personal!$F:$F,""),"")</f>
        <v>0</v>
      </c>
      <c r="I1908" s="10" cm="1">
        <f t="array" ref="I1908">IFERROR(INDEX(Precios!$D:$F,MATCH(N1908, Precios!$G:$G, 0),CHOOSE(MATCH(H1908, {"SML";"XL";"XXL"}, 0), 1, 2, 3)), 0)</f>
        <v>0</v>
      </c>
      <c r="K1908" s="10">
        <f t="shared" si="66"/>
        <v>0</v>
      </c>
      <c r="N1908" s="9" t="str">
        <f t="shared" si="67"/>
        <v/>
      </c>
      <c r="O1908" s="9" t="str">
        <f>IF(N1908="","",IF(COUNTIF(Precios!$G:$G,N1908)=0,"⚠ No coincide con Precios","OK"))</f>
        <v/>
      </c>
    </row>
    <row r="1909" spans="3:15" x14ac:dyDescent="0.2">
      <c r="C1909" s="9" cm="1">
        <f t="array" ref="C1909">IFERROR(_xlfn.XLOOKUP(B1909,Personal!$A:$A,Personal!$D:$D,""),"")</f>
        <v>0</v>
      </c>
      <c r="D1909" s="9" cm="1">
        <f t="array" ref="D1909">IFERROR(_xlfn.XLOOKUP(B1909,Personal!$A:$A,Personal!$C:$C,""),"")</f>
        <v>0</v>
      </c>
      <c r="E1909" s="9" t="str" cm="1">
        <f t="array" ref="E1909">IFERROR(_xlfn.XLOOKUP(D1909,Locales!$A:$A,Locales!$B:$B,""),"")</f>
        <v/>
      </c>
      <c r="F1909" s="9" cm="1">
        <f t="array" ref="F1909">IFERROR(_xlfn.XLOOKUP(B1909,Personal!$A:$A,Personal!$F:$F,""),"")</f>
        <v>0</v>
      </c>
      <c r="I1909" s="10" cm="1">
        <f t="array" ref="I1909">IFERROR(INDEX(Precios!$D:$F,MATCH(N1909, Precios!$G:$G, 0),CHOOSE(MATCH(H1909, {"SML";"XL";"XXL"}, 0), 1, 2, 3)), 0)</f>
        <v>0</v>
      </c>
      <c r="K1909" s="10">
        <f t="shared" si="66"/>
        <v>0</v>
      </c>
      <c r="N1909" s="9" t="str">
        <f t="shared" si="67"/>
        <v/>
      </c>
      <c r="O1909" s="9" t="str">
        <f>IF(N1909="","",IF(COUNTIF(Precios!$G:$G,N1909)=0,"⚠ No coincide con Precios","OK"))</f>
        <v/>
      </c>
    </row>
    <row r="1910" spans="3:15" x14ac:dyDescent="0.2">
      <c r="C1910" s="9" cm="1">
        <f t="array" ref="C1910">IFERROR(_xlfn.XLOOKUP(B1910,Personal!$A:$A,Personal!$D:$D,""),"")</f>
        <v>0</v>
      </c>
      <c r="D1910" s="9" cm="1">
        <f t="array" ref="D1910">IFERROR(_xlfn.XLOOKUP(B1910,Personal!$A:$A,Personal!$C:$C,""),"")</f>
        <v>0</v>
      </c>
      <c r="E1910" s="9" t="str" cm="1">
        <f t="array" ref="E1910">IFERROR(_xlfn.XLOOKUP(D1910,Locales!$A:$A,Locales!$B:$B,""),"")</f>
        <v/>
      </c>
      <c r="F1910" s="9" cm="1">
        <f t="array" ref="F1910">IFERROR(_xlfn.XLOOKUP(B1910,Personal!$A:$A,Personal!$F:$F,""),"")</f>
        <v>0</v>
      </c>
      <c r="I1910" s="10" cm="1">
        <f t="array" ref="I1910">IFERROR(INDEX(Precios!$D:$F,MATCH(N1910, Precios!$G:$G, 0),CHOOSE(MATCH(H1910, {"SML";"XL";"XXL"}, 0), 1, 2, 3)), 0)</f>
        <v>0</v>
      </c>
      <c r="K1910" s="10">
        <f t="shared" si="66"/>
        <v>0</v>
      </c>
      <c r="N1910" s="9" t="str">
        <f t="shared" si="67"/>
        <v/>
      </c>
      <c r="O1910" s="9" t="str">
        <f>IF(N1910="","",IF(COUNTIF(Precios!$G:$G,N1910)=0,"⚠ No coincide con Precios","OK"))</f>
        <v/>
      </c>
    </row>
    <row r="1911" spans="3:15" x14ac:dyDescent="0.2">
      <c r="C1911" s="9" cm="1">
        <f t="array" ref="C1911">IFERROR(_xlfn.XLOOKUP(B1911,Personal!$A:$A,Personal!$D:$D,""),"")</f>
        <v>0</v>
      </c>
      <c r="D1911" s="9" cm="1">
        <f t="array" ref="D1911">IFERROR(_xlfn.XLOOKUP(B1911,Personal!$A:$A,Personal!$C:$C,""),"")</f>
        <v>0</v>
      </c>
      <c r="E1911" s="9" t="str" cm="1">
        <f t="array" ref="E1911">IFERROR(_xlfn.XLOOKUP(D1911,Locales!$A:$A,Locales!$B:$B,""),"")</f>
        <v/>
      </c>
      <c r="F1911" s="9" cm="1">
        <f t="array" ref="F1911">IFERROR(_xlfn.XLOOKUP(B1911,Personal!$A:$A,Personal!$F:$F,""),"")</f>
        <v>0</v>
      </c>
      <c r="I1911" s="10" cm="1">
        <f t="array" ref="I1911">IFERROR(INDEX(Precios!$D:$F,MATCH(N1911, Precios!$G:$G, 0),CHOOSE(MATCH(H1911, {"SML";"XL";"XXL"}, 0), 1, 2, 3)), 0)</f>
        <v>0</v>
      </c>
      <c r="K1911" s="10">
        <f t="shared" si="66"/>
        <v>0</v>
      </c>
      <c r="N1911" s="9" t="str">
        <f t="shared" si="67"/>
        <v/>
      </c>
      <c r="O1911" s="9" t="str">
        <f>IF(N1911="","",IF(COUNTIF(Precios!$G:$G,N1911)=0,"⚠ No coincide con Precios","OK"))</f>
        <v/>
      </c>
    </row>
    <row r="1912" spans="3:15" x14ac:dyDescent="0.2">
      <c r="C1912" s="9" cm="1">
        <f t="array" ref="C1912">IFERROR(_xlfn.XLOOKUP(B1912,Personal!$A:$A,Personal!$D:$D,""),"")</f>
        <v>0</v>
      </c>
      <c r="D1912" s="9" cm="1">
        <f t="array" ref="D1912">IFERROR(_xlfn.XLOOKUP(B1912,Personal!$A:$A,Personal!$C:$C,""),"")</f>
        <v>0</v>
      </c>
      <c r="E1912" s="9" t="str" cm="1">
        <f t="array" ref="E1912">IFERROR(_xlfn.XLOOKUP(D1912,Locales!$A:$A,Locales!$B:$B,""),"")</f>
        <v/>
      </c>
      <c r="F1912" s="9" cm="1">
        <f t="array" ref="F1912">IFERROR(_xlfn.XLOOKUP(B1912,Personal!$A:$A,Personal!$F:$F,""),"")</f>
        <v>0</v>
      </c>
      <c r="I1912" s="10" cm="1">
        <f t="array" ref="I1912">IFERROR(INDEX(Precios!$D:$F,MATCH(N1912, Precios!$G:$G, 0),CHOOSE(MATCH(H1912, {"SML";"XL";"XXL"}, 0), 1, 2, 3)), 0)</f>
        <v>0</v>
      </c>
      <c r="K1912" s="10">
        <f t="shared" si="66"/>
        <v>0</v>
      </c>
      <c r="N1912" s="9" t="str">
        <f t="shared" si="67"/>
        <v/>
      </c>
      <c r="O1912" s="9" t="str">
        <f>IF(N1912="","",IF(COUNTIF(Precios!$G:$G,N1912)=0,"⚠ No coincide con Precios","OK"))</f>
        <v/>
      </c>
    </row>
    <row r="1913" spans="3:15" x14ac:dyDescent="0.2">
      <c r="C1913" s="9" cm="1">
        <f t="array" ref="C1913">IFERROR(_xlfn.XLOOKUP(B1913,Personal!$A:$A,Personal!$D:$D,""),"")</f>
        <v>0</v>
      </c>
      <c r="D1913" s="9" cm="1">
        <f t="array" ref="D1913">IFERROR(_xlfn.XLOOKUP(B1913,Personal!$A:$A,Personal!$C:$C,""),"")</f>
        <v>0</v>
      </c>
      <c r="E1913" s="9" t="str" cm="1">
        <f t="array" ref="E1913">IFERROR(_xlfn.XLOOKUP(D1913,Locales!$A:$A,Locales!$B:$B,""),"")</f>
        <v/>
      </c>
      <c r="F1913" s="9" cm="1">
        <f t="array" ref="F1913">IFERROR(_xlfn.XLOOKUP(B1913,Personal!$A:$A,Personal!$F:$F,""),"")</f>
        <v>0</v>
      </c>
      <c r="I1913" s="10" cm="1">
        <f t="array" ref="I1913">IFERROR(INDEX(Precios!$D:$F,MATCH(N1913, Precios!$G:$G, 0),CHOOSE(MATCH(H1913, {"SML";"XL";"XXL"}, 0), 1, 2, 3)), 0)</f>
        <v>0</v>
      </c>
      <c r="K1913" s="10">
        <f t="shared" si="66"/>
        <v>0</v>
      </c>
      <c r="N1913" s="9" t="str">
        <f t="shared" si="67"/>
        <v/>
      </c>
      <c r="O1913" s="9" t="str">
        <f>IF(N1913="","",IF(COUNTIF(Precios!$G:$G,N1913)=0,"⚠ No coincide con Precios","OK"))</f>
        <v/>
      </c>
    </row>
    <row r="1914" spans="3:15" x14ac:dyDescent="0.2">
      <c r="C1914" s="9" cm="1">
        <f t="array" ref="C1914">IFERROR(_xlfn.XLOOKUP(B1914,Personal!$A:$A,Personal!$D:$D,""),"")</f>
        <v>0</v>
      </c>
      <c r="D1914" s="9" cm="1">
        <f t="array" ref="D1914">IFERROR(_xlfn.XLOOKUP(B1914,Personal!$A:$A,Personal!$C:$C,""),"")</f>
        <v>0</v>
      </c>
      <c r="E1914" s="9" t="str" cm="1">
        <f t="array" ref="E1914">IFERROR(_xlfn.XLOOKUP(D1914,Locales!$A:$A,Locales!$B:$B,""),"")</f>
        <v/>
      </c>
      <c r="F1914" s="9" cm="1">
        <f t="array" ref="F1914">IFERROR(_xlfn.XLOOKUP(B1914,Personal!$A:$A,Personal!$F:$F,""),"")</f>
        <v>0</v>
      </c>
      <c r="I1914" s="10" cm="1">
        <f t="array" ref="I1914">IFERROR(INDEX(Precios!$D:$F,MATCH(N1914, Precios!$G:$G, 0),CHOOSE(MATCH(H1914, {"SML";"XL";"XXL"}, 0), 1, 2, 3)), 0)</f>
        <v>0</v>
      </c>
      <c r="K1914" s="10">
        <f t="shared" si="66"/>
        <v>0</v>
      </c>
      <c r="N1914" s="9" t="str">
        <f t="shared" si="67"/>
        <v/>
      </c>
      <c r="O1914" s="9" t="str">
        <f>IF(N1914="","",IF(COUNTIF(Precios!$G:$G,N1914)=0,"⚠ No coincide con Precios","OK"))</f>
        <v/>
      </c>
    </row>
    <row r="1915" spans="3:15" x14ac:dyDescent="0.2">
      <c r="C1915" s="9" cm="1">
        <f t="array" ref="C1915">IFERROR(_xlfn.XLOOKUP(B1915,Personal!$A:$A,Personal!$D:$D,""),"")</f>
        <v>0</v>
      </c>
      <c r="D1915" s="9" cm="1">
        <f t="array" ref="D1915">IFERROR(_xlfn.XLOOKUP(B1915,Personal!$A:$A,Personal!$C:$C,""),"")</f>
        <v>0</v>
      </c>
      <c r="E1915" s="9" t="str" cm="1">
        <f t="array" ref="E1915">IFERROR(_xlfn.XLOOKUP(D1915,Locales!$A:$A,Locales!$B:$B,""),"")</f>
        <v/>
      </c>
      <c r="F1915" s="9" cm="1">
        <f t="array" ref="F1915">IFERROR(_xlfn.XLOOKUP(B1915,Personal!$A:$A,Personal!$F:$F,""),"")</f>
        <v>0</v>
      </c>
      <c r="I1915" s="10" cm="1">
        <f t="array" ref="I1915">IFERROR(INDEX(Precios!$D:$F,MATCH(N1915, Precios!$G:$G, 0),CHOOSE(MATCH(H1915, {"SML";"XL";"XXL"}, 0), 1, 2, 3)), 0)</f>
        <v>0</v>
      </c>
      <c r="K1915" s="10">
        <f t="shared" si="66"/>
        <v>0</v>
      </c>
      <c r="N1915" s="9" t="str">
        <f t="shared" si="67"/>
        <v/>
      </c>
      <c r="O1915" s="9" t="str">
        <f>IF(N1915="","",IF(COUNTIF(Precios!$G:$G,N1915)=0,"⚠ No coincide con Precios","OK"))</f>
        <v/>
      </c>
    </row>
    <row r="1916" spans="3:15" x14ac:dyDescent="0.2">
      <c r="C1916" s="9" cm="1">
        <f t="array" ref="C1916">IFERROR(_xlfn.XLOOKUP(B1916,Personal!$A:$A,Personal!$D:$D,""),"")</f>
        <v>0</v>
      </c>
      <c r="D1916" s="9" cm="1">
        <f t="array" ref="D1916">IFERROR(_xlfn.XLOOKUP(B1916,Personal!$A:$A,Personal!$C:$C,""),"")</f>
        <v>0</v>
      </c>
      <c r="E1916" s="9" t="str" cm="1">
        <f t="array" ref="E1916">IFERROR(_xlfn.XLOOKUP(D1916,Locales!$A:$A,Locales!$B:$B,""),"")</f>
        <v/>
      </c>
      <c r="F1916" s="9" cm="1">
        <f t="array" ref="F1916">IFERROR(_xlfn.XLOOKUP(B1916,Personal!$A:$A,Personal!$F:$F,""),"")</f>
        <v>0</v>
      </c>
      <c r="I1916" s="10" cm="1">
        <f t="array" ref="I1916">IFERROR(INDEX(Precios!$D:$F,MATCH(N1916, Precios!$G:$G, 0),CHOOSE(MATCH(H1916, {"SML";"XL";"XXL"}, 0), 1, 2, 3)), 0)</f>
        <v>0</v>
      </c>
      <c r="K1916" s="10">
        <f t="shared" si="66"/>
        <v>0</v>
      </c>
      <c r="N1916" s="9" t="str">
        <f t="shared" si="67"/>
        <v/>
      </c>
      <c r="O1916" s="9" t="str">
        <f>IF(N1916="","",IF(COUNTIF(Precios!$G:$G,N1916)=0,"⚠ No coincide con Precios","OK"))</f>
        <v/>
      </c>
    </row>
    <row r="1917" spans="3:15" x14ac:dyDescent="0.2">
      <c r="C1917" s="9" cm="1">
        <f t="array" ref="C1917">IFERROR(_xlfn.XLOOKUP(B1917,Personal!$A:$A,Personal!$D:$D,""),"")</f>
        <v>0</v>
      </c>
      <c r="D1917" s="9" cm="1">
        <f t="array" ref="D1917">IFERROR(_xlfn.XLOOKUP(B1917,Personal!$A:$A,Personal!$C:$C,""),"")</f>
        <v>0</v>
      </c>
      <c r="E1917" s="9" t="str" cm="1">
        <f t="array" ref="E1917">IFERROR(_xlfn.XLOOKUP(D1917,Locales!$A:$A,Locales!$B:$B,""),"")</f>
        <v/>
      </c>
      <c r="F1917" s="9" cm="1">
        <f t="array" ref="F1917">IFERROR(_xlfn.XLOOKUP(B1917,Personal!$A:$A,Personal!$F:$F,""),"")</f>
        <v>0</v>
      </c>
      <c r="I1917" s="10" cm="1">
        <f t="array" ref="I1917">IFERROR(INDEX(Precios!$D:$F,MATCH(N1917, Precios!$G:$G, 0),CHOOSE(MATCH(H1917, {"SML";"XL";"XXL"}, 0), 1, 2, 3)), 0)</f>
        <v>0</v>
      </c>
      <c r="K1917" s="10">
        <f t="shared" si="66"/>
        <v>0</v>
      </c>
      <c r="N1917" s="9" t="str">
        <f t="shared" si="67"/>
        <v/>
      </c>
      <c r="O1917" s="9" t="str">
        <f>IF(N1917="","",IF(COUNTIF(Precios!$G:$G,N1917)=0,"⚠ No coincide con Precios","OK"))</f>
        <v/>
      </c>
    </row>
    <row r="1918" spans="3:15" x14ac:dyDescent="0.2">
      <c r="C1918" s="9" cm="1">
        <f t="array" ref="C1918">IFERROR(_xlfn.XLOOKUP(B1918,Personal!$A:$A,Personal!$D:$D,""),"")</f>
        <v>0</v>
      </c>
      <c r="D1918" s="9" cm="1">
        <f t="array" ref="D1918">IFERROR(_xlfn.XLOOKUP(B1918,Personal!$A:$A,Personal!$C:$C,""),"")</f>
        <v>0</v>
      </c>
      <c r="E1918" s="9" t="str" cm="1">
        <f t="array" ref="E1918">IFERROR(_xlfn.XLOOKUP(D1918,Locales!$A:$A,Locales!$B:$B,""),"")</f>
        <v/>
      </c>
      <c r="F1918" s="9" cm="1">
        <f t="array" ref="F1918">IFERROR(_xlfn.XLOOKUP(B1918,Personal!$A:$A,Personal!$F:$F,""),"")</f>
        <v>0</v>
      </c>
      <c r="I1918" s="10" cm="1">
        <f t="array" ref="I1918">IFERROR(INDEX(Precios!$D:$F,MATCH(N1918, Precios!$G:$G, 0),CHOOSE(MATCH(H1918, {"SML";"XL";"XXL"}, 0), 1, 2, 3)), 0)</f>
        <v>0</v>
      </c>
      <c r="K1918" s="10">
        <f t="shared" si="66"/>
        <v>0</v>
      </c>
      <c r="N1918" s="9" t="str">
        <f t="shared" si="67"/>
        <v/>
      </c>
      <c r="O1918" s="9" t="str">
        <f>IF(N1918="","",IF(COUNTIF(Precios!$G:$G,N1918)=0,"⚠ No coincide con Precios","OK"))</f>
        <v/>
      </c>
    </row>
    <row r="1919" spans="3:15" x14ac:dyDescent="0.2">
      <c r="C1919" s="9" cm="1">
        <f t="array" ref="C1919">IFERROR(_xlfn.XLOOKUP(B1919,Personal!$A:$A,Personal!$D:$D,""),"")</f>
        <v>0</v>
      </c>
      <c r="D1919" s="9" cm="1">
        <f t="array" ref="D1919">IFERROR(_xlfn.XLOOKUP(B1919,Personal!$A:$A,Personal!$C:$C,""),"")</f>
        <v>0</v>
      </c>
      <c r="E1919" s="9" t="str" cm="1">
        <f t="array" ref="E1919">IFERROR(_xlfn.XLOOKUP(D1919,Locales!$A:$A,Locales!$B:$B,""),"")</f>
        <v/>
      </c>
      <c r="F1919" s="9" cm="1">
        <f t="array" ref="F1919">IFERROR(_xlfn.XLOOKUP(B1919,Personal!$A:$A,Personal!$F:$F,""),"")</f>
        <v>0</v>
      </c>
      <c r="I1919" s="10" cm="1">
        <f t="array" ref="I1919">IFERROR(INDEX(Precios!$D:$F,MATCH(N1919, Precios!$G:$G, 0),CHOOSE(MATCH(H1919, {"SML";"XL";"XXL"}, 0), 1, 2, 3)), 0)</f>
        <v>0</v>
      </c>
      <c r="K1919" s="10">
        <f t="shared" si="66"/>
        <v>0</v>
      </c>
      <c r="N1919" s="9" t="str">
        <f t="shared" si="67"/>
        <v/>
      </c>
      <c r="O1919" s="9" t="str">
        <f>IF(N1919="","",IF(COUNTIF(Precios!$G:$G,N1919)=0,"⚠ No coincide con Precios","OK"))</f>
        <v/>
      </c>
    </row>
    <row r="1920" spans="3:15" x14ac:dyDescent="0.2">
      <c r="C1920" s="9" cm="1">
        <f t="array" ref="C1920">IFERROR(_xlfn.XLOOKUP(B1920,Personal!$A:$A,Personal!$D:$D,""),"")</f>
        <v>0</v>
      </c>
      <c r="D1920" s="9" cm="1">
        <f t="array" ref="D1920">IFERROR(_xlfn.XLOOKUP(B1920,Personal!$A:$A,Personal!$C:$C,""),"")</f>
        <v>0</v>
      </c>
      <c r="E1920" s="9" t="str" cm="1">
        <f t="array" ref="E1920">IFERROR(_xlfn.XLOOKUP(D1920,Locales!$A:$A,Locales!$B:$B,""),"")</f>
        <v/>
      </c>
      <c r="F1920" s="9" cm="1">
        <f t="array" ref="F1920">IFERROR(_xlfn.XLOOKUP(B1920,Personal!$A:$A,Personal!$F:$F,""),"")</f>
        <v>0</v>
      </c>
      <c r="I1920" s="10" cm="1">
        <f t="array" ref="I1920">IFERROR(INDEX(Precios!$D:$F,MATCH(N1920, Precios!$G:$G, 0),CHOOSE(MATCH(H1920, {"SML";"XL";"XXL"}, 0), 1, 2, 3)), 0)</f>
        <v>0</v>
      </c>
      <c r="K1920" s="10">
        <f t="shared" ref="K1920:K1983" si="68">IFERROR(I1920*J1920,0)</f>
        <v>0</v>
      </c>
      <c r="N1920" s="9" t="str">
        <f t="shared" ref="N1920:N1983" si="69">IF( OR(E1920="",F1920="",G1920=""), "",CLEAN(TRIM(E1920)) &amp; "|" &amp; CLEAN(TRIM(F1920)) &amp; "|" &amp; CLEAN(TRIM(G1920)))</f>
        <v/>
      </c>
      <c r="O1920" s="9" t="str">
        <f>IF(N1920="","",IF(COUNTIF(Precios!$G:$G,N1920)=0,"⚠ No coincide con Precios","OK"))</f>
        <v/>
      </c>
    </row>
    <row r="1921" spans="3:15" x14ac:dyDescent="0.2">
      <c r="C1921" s="9" cm="1">
        <f t="array" ref="C1921">IFERROR(_xlfn.XLOOKUP(B1921,Personal!$A:$A,Personal!$D:$D,""),"")</f>
        <v>0</v>
      </c>
      <c r="D1921" s="9" cm="1">
        <f t="array" ref="D1921">IFERROR(_xlfn.XLOOKUP(B1921,Personal!$A:$A,Personal!$C:$C,""),"")</f>
        <v>0</v>
      </c>
      <c r="E1921" s="9" t="str" cm="1">
        <f t="array" ref="E1921">IFERROR(_xlfn.XLOOKUP(D1921,Locales!$A:$A,Locales!$B:$B,""),"")</f>
        <v/>
      </c>
      <c r="F1921" s="9" cm="1">
        <f t="array" ref="F1921">IFERROR(_xlfn.XLOOKUP(B1921,Personal!$A:$A,Personal!$F:$F,""),"")</f>
        <v>0</v>
      </c>
      <c r="I1921" s="10" cm="1">
        <f t="array" ref="I1921">IFERROR(INDEX(Precios!$D:$F,MATCH(N1921, Precios!$G:$G, 0),CHOOSE(MATCH(H1921, {"SML";"XL";"XXL"}, 0), 1, 2, 3)), 0)</f>
        <v>0</v>
      </c>
      <c r="K1921" s="10">
        <f t="shared" si="68"/>
        <v>0</v>
      </c>
      <c r="N1921" s="9" t="str">
        <f t="shared" si="69"/>
        <v/>
      </c>
      <c r="O1921" s="9" t="str">
        <f>IF(N1921="","",IF(COUNTIF(Precios!$G:$G,N1921)=0,"⚠ No coincide con Precios","OK"))</f>
        <v/>
      </c>
    </row>
    <row r="1922" spans="3:15" x14ac:dyDescent="0.2">
      <c r="C1922" s="9" cm="1">
        <f t="array" ref="C1922">IFERROR(_xlfn.XLOOKUP(B1922,Personal!$A:$A,Personal!$D:$D,""),"")</f>
        <v>0</v>
      </c>
      <c r="D1922" s="9" cm="1">
        <f t="array" ref="D1922">IFERROR(_xlfn.XLOOKUP(B1922,Personal!$A:$A,Personal!$C:$C,""),"")</f>
        <v>0</v>
      </c>
      <c r="E1922" s="9" t="str" cm="1">
        <f t="array" ref="E1922">IFERROR(_xlfn.XLOOKUP(D1922,Locales!$A:$A,Locales!$B:$B,""),"")</f>
        <v/>
      </c>
      <c r="F1922" s="9" cm="1">
        <f t="array" ref="F1922">IFERROR(_xlfn.XLOOKUP(B1922,Personal!$A:$A,Personal!$F:$F,""),"")</f>
        <v>0</v>
      </c>
      <c r="I1922" s="10" cm="1">
        <f t="array" ref="I1922">IFERROR(INDEX(Precios!$D:$F,MATCH(N1922, Precios!$G:$G, 0),CHOOSE(MATCH(H1922, {"SML";"XL";"XXL"}, 0), 1, 2, 3)), 0)</f>
        <v>0</v>
      </c>
      <c r="K1922" s="10">
        <f t="shared" si="68"/>
        <v>0</v>
      </c>
      <c r="N1922" s="9" t="str">
        <f t="shared" si="69"/>
        <v/>
      </c>
      <c r="O1922" s="9" t="str">
        <f>IF(N1922="","",IF(COUNTIF(Precios!$G:$G,N1922)=0,"⚠ No coincide con Precios","OK"))</f>
        <v/>
      </c>
    </row>
    <row r="1923" spans="3:15" x14ac:dyDescent="0.2">
      <c r="C1923" s="9" cm="1">
        <f t="array" ref="C1923">IFERROR(_xlfn.XLOOKUP(B1923,Personal!$A:$A,Personal!$D:$D,""),"")</f>
        <v>0</v>
      </c>
      <c r="D1923" s="9" cm="1">
        <f t="array" ref="D1923">IFERROR(_xlfn.XLOOKUP(B1923,Personal!$A:$A,Personal!$C:$C,""),"")</f>
        <v>0</v>
      </c>
      <c r="E1923" s="9" t="str" cm="1">
        <f t="array" ref="E1923">IFERROR(_xlfn.XLOOKUP(D1923,Locales!$A:$A,Locales!$B:$B,""),"")</f>
        <v/>
      </c>
      <c r="F1923" s="9" cm="1">
        <f t="array" ref="F1923">IFERROR(_xlfn.XLOOKUP(B1923,Personal!$A:$A,Personal!$F:$F,""),"")</f>
        <v>0</v>
      </c>
      <c r="I1923" s="10" cm="1">
        <f t="array" ref="I1923">IFERROR(INDEX(Precios!$D:$F,MATCH(N1923, Precios!$G:$G, 0),CHOOSE(MATCH(H1923, {"SML";"XL";"XXL"}, 0), 1, 2, 3)), 0)</f>
        <v>0</v>
      </c>
      <c r="K1923" s="10">
        <f t="shared" si="68"/>
        <v>0</v>
      </c>
      <c r="N1923" s="9" t="str">
        <f t="shared" si="69"/>
        <v/>
      </c>
      <c r="O1923" s="9" t="str">
        <f>IF(N1923="","",IF(COUNTIF(Precios!$G:$G,N1923)=0,"⚠ No coincide con Precios","OK"))</f>
        <v/>
      </c>
    </row>
    <row r="1924" spans="3:15" x14ac:dyDescent="0.2">
      <c r="C1924" s="9" cm="1">
        <f t="array" ref="C1924">IFERROR(_xlfn.XLOOKUP(B1924,Personal!$A:$A,Personal!$D:$D,""),"")</f>
        <v>0</v>
      </c>
      <c r="D1924" s="9" cm="1">
        <f t="array" ref="D1924">IFERROR(_xlfn.XLOOKUP(B1924,Personal!$A:$A,Personal!$C:$C,""),"")</f>
        <v>0</v>
      </c>
      <c r="E1924" s="9" t="str" cm="1">
        <f t="array" ref="E1924">IFERROR(_xlfn.XLOOKUP(D1924,Locales!$A:$A,Locales!$B:$B,""),"")</f>
        <v/>
      </c>
      <c r="F1924" s="9" cm="1">
        <f t="array" ref="F1924">IFERROR(_xlfn.XLOOKUP(B1924,Personal!$A:$A,Personal!$F:$F,""),"")</f>
        <v>0</v>
      </c>
      <c r="I1924" s="10" cm="1">
        <f t="array" ref="I1924">IFERROR(INDEX(Precios!$D:$F,MATCH(N1924, Precios!$G:$G, 0),CHOOSE(MATCH(H1924, {"SML";"XL";"XXL"}, 0), 1, 2, 3)), 0)</f>
        <v>0</v>
      </c>
      <c r="K1924" s="10">
        <f t="shared" si="68"/>
        <v>0</v>
      </c>
      <c r="N1924" s="9" t="str">
        <f t="shared" si="69"/>
        <v/>
      </c>
      <c r="O1924" s="9" t="str">
        <f>IF(N1924="","",IF(COUNTIF(Precios!$G:$G,N1924)=0,"⚠ No coincide con Precios","OK"))</f>
        <v/>
      </c>
    </row>
    <row r="1925" spans="3:15" x14ac:dyDescent="0.2">
      <c r="C1925" s="9" cm="1">
        <f t="array" ref="C1925">IFERROR(_xlfn.XLOOKUP(B1925,Personal!$A:$A,Personal!$D:$D,""),"")</f>
        <v>0</v>
      </c>
      <c r="D1925" s="9" cm="1">
        <f t="array" ref="D1925">IFERROR(_xlfn.XLOOKUP(B1925,Personal!$A:$A,Personal!$C:$C,""),"")</f>
        <v>0</v>
      </c>
      <c r="E1925" s="9" t="str" cm="1">
        <f t="array" ref="E1925">IFERROR(_xlfn.XLOOKUP(D1925,Locales!$A:$A,Locales!$B:$B,""),"")</f>
        <v/>
      </c>
      <c r="F1925" s="9" cm="1">
        <f t="array" ref="F1925">IFERROR(_xlfn.XLOOKUP(B1925,Personal!$A:$A,Personal!$F:$F,""),"")</f>
        <v>0</v>
      </c>
      <c r="I1925" s="10" cm="1">
        <f t="array" ref="I1925">IFERROR(INDEX(Precios!$D:$F,MATCH(N1925, Precios!$G:$G, 0),CHOOSE(MATCH(H1925, {"SML";"XL";"XXL"}, 0), 1, 2, 3)), 0)</f>
        <v>0</v>
      </c>
      <c r="K1925" s="10">
        <f t="shared" si="68"/>
        <v>0</v>
      </c>
      <c r="N1925" s="9" t="str">
        <f t="shared" si="69"/>
        <v/>
      </c>
      <c r="O1925" s="9" t="str">
        <f>IF(N1925="","",IF(COUNTIF(Precios!$G:$G,N1925)=0,"⚠ No coincide con Precios","OK"))</f>
        <v/>
      </c>
    </row>
    <row r="1926" spans="3:15" x14ac:dyDescent="0.2">
      <c r="C1926" s="9" cm="1">
        <f t="array" ref="C1926">IFERROR(_xlfn.XLOOKUP(B1926,Personal!$A:$A,Personal!$D:$D,""),"")</f>
        <v>0</v>
      </c>
      <c r="D1926" s="9" cm="1">
        <f t="array" ref="D1926">IFERROR(_xlfn.XLOOKUP(B1926,Personal!$A:$A,Personal!$C:$C,""),"")</f>
        <v>0</v>
      </c>
      <c r="E1926" s="9" t="str" cm="1">
        <f t="array" ref="E1926">IFERROR(_xlfn.XLOOKUP(D1926,Locales!$A:$A,Locales!$B:$B,""),"")</f>
        <v/>
      </c>
      <c r="F1926" s="9" cm="1">
        <f t="array" ref="F1926">IFERROR(_xlfn.XLOOKUP(B1926,Personal!$A:$A,Personal!$F:$F,""),"")</f>
        <v>0</v>
      </c>
      <c r="I1926" s="10" cm="1">
        <f t="array" ref="I1926">IFERROR(INDEX(Precios!$D:$F,MATCH(N1926, Precios!$G:$G, 0),CHOOSE(MATCH(H1926, {"SML";"XL";"XXL"}, 0), 1, 2, 3)), 0)</f>
        <v>0</v>
      </c>
      <c r="K1926" s="10">
        <f t="shared" si="68"/>
        <v>0</v>
      </c>
      <c r="N1926" s="9" t="str">
        <f t="shared" si="69"/>
        <v/>
      </c>
      <c r="O1926" s="9" t="str">
        <f>IF(N1926="","",IF(COUNTIF(Precios!$G:$G,N1926)=0,"⚠ No coincide con Precios","OK"))</f>
        <v/>
      </c>
    </row>
    <row r="1927" spans="3:15" x14ac:dyDescent="0.2">
      <c r="C1927" s="9" cm="1">
        <f t="array" ref="C1927">IFERROR(_xlfn.XLOOKUP(B1927,Personal!$A:$A,Personal!$D:$D,""),"")</f>
        <v>0</v>
      </c>
      <c r="D1927" s="9" cm="1">
        <f t="array" ref="D1927">IFERROR(_xlfn.XLOOKUP(B1927,Personal!$A:$A,Personal!$C:$C,""),"")</f>
        <v>0</v>
      </c>
      <c r="E1927" s="9" t="str" cm="1">
        <f t="array" ref="E1927">IFERROR(_xlfn.XLOOKUP(D1927,Locales!$A:$A,Locales!$B:$B,""),"")</f>
        <v/>
      </c>
      <c r="F1927" s="9" cm="1">
        <f t="array" ref="F1927">IFERROR(_xlfn.XLOOKUP(B1927,Personal!$A:$A,Personal!$F:$F,""),"")</f>
        <v>0</v>
      </c>
      <c r="I1927" s="10" cm="1">
        <f t="array" ref="I1927">IFERROR(INDEX(Precios!$D:$F,MATCH(N1927, Precios!$G:$G, 0),CHOOSE(MATCH(H1927, {"SML";"XL";"XXL"}, 0), 1, 2, 3)), 0)</f>
        <v>0</v>
      </c>
      <c r="K1927" s="10">
        <f t="shared" si="68"/>
        <v>0</v>
      </c>
      <c r="N1927" s="9" t="str">
        <f t="shared" si="69"/>
        <v/>
      </c>
      <c r="O1927" s="9" t="str">
        <f>IF(N1927="","",IF(COUNTIF(Precios!$G:$G,N1927)=0,"⚠ No coincide con Precios","OK"))</f>
        <v/>
      </c>
    </row>
    <row r="1928" spans="3:15" x14ac:dyDescent="0.2">
      <c r="C1928" s="9" cm="1">
        <f t="array" ref="C1928">IFERROR(_xlfn.XLOOKUP(B1928,Personal!$A:$A,Personal!$D:$D,""),"")</f>
        <v>0</v>
      </c>
      <c r="D1928" s="9" cm="1">
        <f t="array" ref="D1928">IFERROR(_xlfn.XLOOKUP(B1928,Personal!$A:$A,Personal!$C:$C,""),"")</f>
        <v>0</v>
      </c>
      <c r="E1928" s="9" t="str" cm="1">
        <f t="array" ref="E1928">IFERROR(_xlfn.XLOOKUP(D1928,Locales!$A:$A,Locales!$B:$B,""),"")</f>
        <v/>
      </c>
      <c r="F1928" s="9" cm="1">
        <f t="array" ref="F1928">IFERROR(_xlfn.XLOOKUP(B1928,Personal!$A:$A,Personal!$F:$F,""),"")</f>
        <v>0</v>
      </c>
      <c r="I1928" s="10" cm="1">
        <f t="array" ref="I1928">IFERROR(INDEX(Precios!$D:$F,MATCH(N1928, Precios!$G:$G, 0),CHOOSE(MATCH(H1928, {"SML";"XL";"XXL"}, 0), 1, 2, 3)), 0)</f>
        <v>0</v>
      </c>
      <c r="K1928" s="10">
        <f t="shared" si="68"/>
        <v>0</v>
      </c>
      <c r="N1928" s="9" t="str">
        <f t="shared" si="69"/>
        <v/>
      </c>
      <c r="O1928" s="9" t="str">
        <f>IF(N1928="","",IF(COUNTIF(Precios!$G:$G,N1928)=0,"⚠ No coincide con Precios","OK"))</f>
        <v/>
      </c>
    </row>
    <row r="1929" spans="3:15" x14ac:dyDescent="0.2">
      <c r="C1929" s="9" cm="1">
        <f t="array" ref="C1929">IFERROR(_xlfn.XLOOKUP(B1929,Personal!$A:$A,Personal!$D:$D,""),"")</f>
        <v>0</v>
      </c>
      <c r="D1929" s="9" cm="1">
        <f t="array" ref="D1929">IFERROR(_xlfn.XLOOKUP(B1929,Personal!$A:$A,Personal!$C:$C,""),"")</f>
        <v>0</v>
      </c>
      <c r="E1929" s="9" t="str" cm="1">
        <f t="array" ref="E1929">IFERROR(_xlfn.XLOOKUP(D1929,Locales!$A:$A,Locales!$B:$B,""),"")</f>
        <v/>
      </c>
      <c r="F1929" s="9" cm="1">
        <f t="array" ref="F1929">IFERROR(_xlfn.XLOOKUP(B1929,Personal!$A:$A,Personal!$F:$F,""),"")</f>
        <v>0</v>
      </c>
      <c r="I1929" s="10" cm="1">
        <f t="array" ref="I1929">IFERROR(INDEX(Precios!$D:$F,MATCH(N1929, Precios!$G:$G, 0),CHOOSE(MATCH(H1929, {"SML";"XL";"XXL"}, 0), 1, 2, 3)), 0)</f>
        <v>0</v>
      </c>
      <c r="K1929" s="10">
        <f t="shared" si="68"/>
        <v>0</v>
      </c>
      <c r="N1929" s="9" t="str">
        <f t="shared" si="69"/>
        <v/>
      </c>
      <c r="O1929" s="9" t="str">
        <f>IF(N1929="","",IF(COUNTIF(Precios!$G:$G,N1929)=0,"⚠ No coincide con Precios","OK"))</f>
        <v/>
      </c>
    </row>
    <row r="1930" spans="3:15" x14ac:dyDescent="0.2">
      <c r="C1930" s="9" cm="1">
        <f t="array" ref="C1930">IFERROR(_xlfn.XLOOKUP(B1930,Personal!$A:$A,Personal!$D:$D,""),"")</f>
        <v>0</v>
      </c>
      <c r="D1930" s="9" cm="1">
        <f t="array" ref="D1930">IFERROR(_xlfn.XLOOKUP(B1930,Personal!$A:$A,Personal!$C:$C,""),"")</f>
        <v>0</v>
      </c>
      <c r="E1930" s="9" t="str" cm="1">
        <f t="array" ref="E1930">IFERROR(_xlfn.XLOOKUP(D1930,Locales!$A:$A,Locales!$B:$B,""),"")</f>
        <v/>
      </c>
      <c r="F1930" s="9" cm="1">
        <f t="array" ref="F1930">IFERROR(_xlfn.XLOOKUP(B1930,Personal!$A:$A,Personal!$F:$F,""),"")</f>
        <v>0</v>
      </c>
      <c r="I1930" s="10" cm="1">
        <f t="array" ref="I1930">IFERROR(INDEX(Precios!$D:$F,MATCH(N1930, Precios!$G:$G, 0),CHOOSE(MATCH(H1930, {"SML";"XL";"XXL"}, 0), 1, 2, 3)), 0)</f>
        <v>0</v>
      </c>
      <c r="K1930" s="10">
        <f t="shared" si="68"/>
        <v>0</v>
      </c>
      <c r="N1930" s="9" t="str">
        <f t="shared" si="69"/>
        <v/>
      </c>
      <c r="O1930" s="9" t="str">
        <f>IF(N1930="","",IF(COUNTIF(Precios!$G:$G,N1930)=0,"⚠ No coincide con Precios","OK"))</f>
        <v/>
      </c>
    </row>
    <row r="1931" spans="3:15" x14ac:dyDescent="0.2">
      <c r="C1931" s="9" cm="1">
        <f t="array" ref="C1931">IFERROR(_xlfn.XLOOKUP(B1931,Personal!$A:$A,Personal!$D:$D,""),"")</f>
        <v>0</v>
      </c>
      <c r="D1931" s="9" cm="1">
        <f t="array" ref="D1931">IFERROR(_xlfn.XLOOKUP(B1931,Personal!$A:$A,Personal!$C:$C,""),"")</f>
        <v>0</v>
      </c>
      <c r="E1931" s="9" t="str" cm="1">
        <f t="array" ref="E1931">IFERROR(_xlfn.XLOOKUP(D1931,Locales!$A:$A,Locales!$B:$B,""),"")</f>
        <v/>
      </c>
      <c r="F1931" s="9" cm="1">
        <f t="array" ref="F1931">IFERROR(_xlfn.XLOOKUP(B1931,Personal!$A:$A,Personal!$F:$F,""),"")</f>
        <v>0</v>
      </c>
      <c r="I1931" s="10" cm="1">
        <f t="array" ref="I1931">IFERROR(INDEX(Precios!$D:$F,MATCH(N1931, Precios!$G:$G, 0),CHOOSE(MATCH(H1931, {"SML";"XL";"XXL"}, 0), 1, 2, 3)), 0)</f>
        <v>0</v>
      </c>
      <c r="K1931" s="10">
        <f t="shared" si="68"/>
        <v>0</v>
      </c>
      <c r="N1931" s="9" t="str">
        <f t="shared" si="69"/>
        <v/>
      </c>
      <c r="O1931" s="9" t="str">
        <f>IF(N1931="","",IF(COUNTIF(Precios!$G:$G,N1931)=0,"⚠ No coincide con Precios","OK"))</f>
        <v/>
      </c>
    </row>
    <row r="1932" spans="3:15" x14ac:dyDescent="0.2">
      <c r="C1932" s="9" cm="1">
        <f t="array" ref="C1932">IFERROR(_xlfn.XLOOKUP(B1932,Personal!$A:$A,Personal!$D:$D,""),"")</f>
        <v>0</v>
      </c>
      <c r="D1932" s="9" cm="1">
        <f t="array" ref="D1932">IFERROR(_xlfn.XLOOKUP(B1932,Personal!$A:$A,Personal!$C:$C,""),"")</f>
        <v>0</v>
      </c>
      <c r="E1932" s="9" t="str" cm="1">
        <f t="array" ref="E1932">IFERROR(_xlfn.XLOOKUP(D1932,Locales!$A:$A,Locales!$B:$B,""),"")</f>
        <v/>
      </c>
      <c r="F1932" s="9" cm="1">
        <f t="array" ref="F1932">IFERROR(_xlfn.XLOOKUP(B1932,Personal!$A:$A,Personal!$F:$F,""),"")</f>
        <v>0</v>
      </c>
      <c r="I1932" s="10" cm="1">
        <f t="array" ref="I1932">IFERROR(INDEX(Precios!$D:$F,MATCH(N1932, Precios!$G:$G, 0),CHOOSE(MATCH(H1932, {"SML";"XL";"XXL"}, 0), 1, 2, 3)), 0)</f>
        <v>0</v>
      </c>
      <c r="K1932" s="10">
        <f t="shared" si="68"/>
        <v>0</v>
      </c>
      <c r="N1932" s="9" t="str">
        <f t="shared" si="69"/>
        <v/>
      </c>
      <c r="O1932" s="9" t="str">
        <f>IF(N1932="","",IF(COUNTIF(Precios!$G:$G,N1932)=0,"⚠ No coincide con Precios","OK"))</f>
        <v/>
      </c>
    </row>
    <row r="1933" spans="3:15" x14ac:dyDescent="0.2">
      <c r="C1933" s="9" cm="1">
        <f t="array" ref="C1933">IFERROR(_xlfn.XLOOKUP(B1933,Personal!$A:$A,Personal!$D:$D,""),"")</f>
        <v>0</v>
      </c>
      <c r="D1933" s="9" cm="1">
        <f t="array" ref="D1933">IFERROR(_xlfn.XLOOKUP(B1933,Personal!$A:$A,Personal!$C:$C,""),"")</f>
        <v>0</v>
      </c>
      <c r="E1933" s="9" t="str" cm="1">
        <f t="array" ref="E1933">IFERROR(_xlfn.XLOOKUP(D1933,Locales!$A:$A,Locales!$B:$B,""),"")</f>
        <v/>
      </c>
      <c r="F1933" s="9" cm="1">
        <f t="array" ref="F1933">IFERROR(_xlfn.XLOOKUP(B1933,Personal!$A:$A,Personal!$F:$F,""),"")</f>
        <v>0</v>
      </c>
      <c r="I1933" s="10" cm="1">
        <f t="array" ref="I1933">IFERROR(INDEX(Precios!$D:$F,MATCH(N1933, Precios!$G:$G, 0),CHOOSE(MATCH(H1933, {"SML";"XL";"XXL"}, 0), 1, 2, 3)), 0)</f>
        <v>0</v>
      </c>
      <c r="K1933" s="10">
        <f t="shared" si="68"/>
        <v>0</v>
      </c>
      <c r="N1933" s="9" t="str">
        <f t="shared" si="69"/>
        <v/>
      </c>
      <c r="O1933" s="9" t="str">
        <f>IF(N1933="","",IF(COUNTIF(Precios!$G:$G,N1933)=0,"⚠ No coincide con Precios","OK"))</f>
        <v/>
      </c>
    </row>
    <row r="1934" spans="3:15" x14ac:dyDescent="0.2">
      <c r="C1934" s="9" cm="1">
        <f t="array" ref="C1934">IFERROR(_xlfn.XLOOKUP(B1934,Personal!$A:$A,Personal!$D:$D,""),"")</f>
        <v>0</v>
      </c>
      <c r="D1934" s="9" cm="1">
        <f t="array" ref="D1934">IFERROR(_xlfn.XLOOKUP(B1934,Personal!$A:$A,Personal!$C:$C,""),"")</f>
        <v>0</v>
      </c>
      <c r="E1934" s="9" t="str" cm="1">
        <f t="array" ref="E1934">IFERROR(_xlfn.XLOOKUP(D1934,Locales!$A:$A,Locales!$B:$B,""),"")</f>
        <v/>
      </c>
      <c r="F1934" s="9" cm="1">
        <f t="array" ref="F1934">IFERROR(_xlfn.XLOOKUP(B1934,Personal!$A:$A,Personal!$F:$F,""),"")</f>
        <v>0</v>
      </c>
      <c r="I1934" s="10" cm="1">
        <f t="array" ref="I1934">IFERROR(INDEX(Precios!$D:$F,MATCH(N1934, Precios!$G:$G, 0),CHOOSE(MATCH(H1934, {"SML";"XL";"XXL"}, 0), 1, 2, 3)), 0)</f>
        <v>0</v>
      </c>
      <c r="K1934" s="10">
        <f t="shared" si="68"/>
        <v>0</v>
      </c>
      <c r="N1934" s="9" t="str">
        <f t="shared" si="69"/>
        <v/>
      </c>
      <c r="O1934" s="9" t="str">
        <f>IF(N1934="","",IF(COUNTIF(Precios!$G:$G,N1934)=0,"⚠ No coincide con Precios","OK"))</f>
        <v/>
      </c>
    </row>
    <row r="1935" spans="3:15" x14ac:dyDescent="0.2">
      <c r="C1935" s="9" cm="1">
        <f t="array" ref="C1935">IFERROR(_xlfn.XLOOKUP(B1935,Personal!$A:$A,Personal!$D:$D,""),"")</f>
        <v>0</v>
      </c>
      <c r="D1935" s="9" cm="1">
        <f t="array" ref="D1935">IFERROR(_xlfn.XLOOKUP(B1935,Personal!$A:$A,Personal!$C:$C,""),"")</f>
        <v>0</v>
      </c>
      <c r="E1935" s="9" t="str" cm="1">
        <f t="array" ref="E1935">IFERROR(_xlfn.XLOOKUP(D1935,Locales!$A:$A,Locales!$B:$B,""),"")</f>
        <v/>
      </c>
      <c r="F1935" s="9" cm="1">
        <f t="array" ref="F1935">IFERROR(_xlfn.XLOOKUP(B1935,Personal!$A:$A,Personal!$F:$F,""),"")</f>
        <v>0</v>
      </c>
      <c r="I1935" s="10" cm="1">
        <f t="array" ref="I1935">IFERROR(INDEX(Precios!$D:$F,MATCH(N1935, Precios!$G:$G, 0),CHOOSE(MATCH(H1935, {"SML";"XL";"XXL"}, 0), 1, 2, 3)), 0)</f>
        <v>0</v>
      </c>
      <c r="K1935" s="10">
        <f t="shared" si="68"/>
        <v>0</v>
      </c>
      <c r="N1935" s="9" t="str">
        <f t="shared" si="69"/>
        <v/>
      </c>
      <c r="O1935" s="9" t="str">
        <f>IF(N1935="","",IF(COUNTIF(Precios!$G:$G,N1935)=0,"⚠ No coincide con Precios","OK"))</f>
        <v/>
      </c>
    </row>
    <row r="1936" spans="3:15" x14ac:dyDescent="0.2">
      <c r="C1936" s="9" cm="1">
        <f t="array" ref="C1936">IFERROR(_xlfn.XLOOKUP(B1936,Personal!$A:$A,Personal!$D:$D,""),"")</f>
        <v>0</v>
      </c>
      <c r="D1936" s="9" cm="1">
        <f t="array" ref="D1936">IFERROR(_xlfn.XLOOKUP(B1936,Personal!$A:$A,Personal!$C:$C,""),"")</f>
        <v>0</v>
      </c>
      <c r="E1936" s="9" t="str" cm="1">
        <f t="array" ref="E1936">IFERROR(_xlfn.XLOOKUP(D1936,Locales!$A:$A,Locales!$B:$B,""),"")</f>
        <v/>
      </c>
      <c r="F1936" s="9" cm="1">
        <f t="array" ref="F1936">IFERROR(_xlfn.XLOOKUP(B1936,Personal!$A:$A,Personal!$F:$F,""),"")</f>
        <v>0</v>
      </c>
      <c r="I1936" s="10" cm="1">
        <f t="array" ref="I1936">IFERROR(INDEX(Precios!$D:$F,MATCH(N1936, Precios!$G:$G, 0),CHOOSE(MATCH(H1936, {"SML";"XL";"XXL"}, 0), 1, 2, 3)), 0)</f>
        <v>0</v>
      </c>
      <c r="K1936" s="10">
        <f t="shared" si="68"/>
        <v>0</v>
      </c>
      <c r="N1936" s="9" t="str">
        <f t="shared" si="69"/>
        <v/>
      </c>
      <c r="O1936" s="9" t="str">
        <f>IF(N1936="","",IF(COUNTIF(Precios!$G:$G,N1936)=0,"⚠ No coincide con Precios","OK"))</f>
        <v/>
      </c>
    </row>
    <row r="1937" spans="3:15" x14ac:dyDescent="0.2">
      <c r="C1937" s="9" cm="1">
        <f t="array" ref="C1937">IFERROR(_xlfn.XLOOKUP(B1937,Personal!$A:$A,Personal!$D:$D,""),"")</f>
        <v>0</v>
      </c>
      <c r="D1937" s="9" cm="1">
        <f t="array" ref="D1937">IFERROR(_xlfn.XLOOKUP(B1937,Personal!$A:$A,Personal!$C:$C,""),"")</f>
        <v>0</v>
      </c>
      <c r="E1937" s="9" t="str" cm="1">
        <f t="array" ref="E1937">IFERROR(_xlfn.XLOOKUP(D1937,Locales!$A:$A,Locales!$B:$B,""),"")</f>
        <v/>
      </c>
      <c r="F1937" s="9" cm="1">
        <f t="array" ref="F1937">IFERROR(_xlfn.XLOOKUP(B1937,Personal!$A:$A,Personal!$F:$F,""),"")</f>
        <v>0</v>
      </c>
      <c r="I1937" s="10" cm="1">
        <f t="array" ref="I1937">IFERROR(INDEX(Precios!$D:$F,MATCH(N1937, Precios!$G:$G, 0),CHOOSE(MATCH(H1937, {"SML";"XL";"XXL"}, 0), 1, 2, 3)), 0)</f>
        <v>0</v>
      </c>
      <c r="K1937" s="10">
        <f t="shared" si="68"/>
        <v>0</v>
      </c>
      <c r="N1937" s="9" t="str">
        <f t="shared" si="69"/>
        <v/>
      </c>
      <c r="O1937" s="9" t="str">
        <f>IF(N1937="","",IF(COUNTIF(Precios!$G:$G,N1937)=0,"⚠ No coincide con Precios","OK"))</f>
        <v/>
      </c>
    </row>
    <row r="1938" spans="3:15" x14ac:dyDescent="0.2">
      <c r="C1938" s="9" cm="1">
        <f t="array" ref="C1938">IFERROR(_xlfn.XLOOKUP(B1938,Personal!$A:$A,Personal!$D:$D,""),"")</f>
        <v>0</v>
      </c>
      <c r="D1938" s="9" cm="1">
        <f t="array" ref="D1938">IFERROR(_xlfn.XLOOKUP(B1938,Personal!$A:$A,Personal!$C:$C,""),"")</f>
        <v>0</v>
      </c>
      <c r="E1938" s="9" t="str" cm="1">
        <f t="array" ref="E1938">IFERROR(_xlfn.XLOOKUP(D1938,Locales!$A:$A,Locales!$B:$B,""),"")</f>
        <v/>
      </c>
      <c r="F1938" s="9" cm="1">
        <f t="array" ref="F1938">IFERROR(_xlfn.XLOOKUP(B1938,Personal!$A:$A,Personal!$F:$F,""),"")</f>
        <v>0</v>
      </c>
      <c r="I1938" s="10" cm="1">
        <f t="array" ref="I1938">IFERROR(INDEX(Precios!$D:$F,MATCH(N1938, Precios!$G:$G, 0),CHOOSE(MATCH(H1938, {"SML";"XL";"XXL"}, 0), 1, 2, 3)), 0)</f>
        <v>0</v>
      </c>
      <c r="K1938" s="10">
        <f t="shared" si="68"/>
        <v>0</v>
      </c>
      <c r="N1938" s="9" t="str">
        <f t="shared" si="69"/>
        <v/>
      </c>
      <c r="O1938" s="9" t="str">
        <f>IF(N1938="","",IF(COUNTIF(Precios!$G:$G,N1938)=0,"⚠ No coincide con Precios","OK"))</f>
        <v/>
      </c>
    </row>
    <row r="1939" spans="3:15" x14ac:dyDescent="0.2">
      <c r="C1939" s="9" cm="1">
        <f t="array" ref="C1939">IFERROR(_xlfn.XLOOKUP(B1939,Personal!$A:$A,Personal!$D:$D,""),"")</f>
        <v>0</v>
      </c>
      <c r="D1939" s="9" cm="1">
        <f t="array" ref="D1939">IFERROR(_xlfn.XLOOKUP(B1939,Personal!$A:$A,Personal!$C:$C,""),"")</f>
        <v>0</v>
      </c>
      <c r="E1939" s="9" t="str" cm="1">
        <f t="array" ref="E1939">IFERROR(_xlfn.XLOOKUP(D1939,Locales!$A:$A,Locales!$B:$B,""),"")</f>
        <v/>
      </c>
      <c r="F1939" s="9" cm="1">
        <f t="array" ref="F1939">IFERROR(_xlfn.XLOOKUP(B1939,Personal!$A:$A,Personal!$F:$F,""),"")</f>
        <v>0</v>
      </c>
      <c r="I1939" s="10" cm="1">
        <f t="array" ref="I1939">IFERROR(INDEX(Precios!$D:$F,MATCH(N1939, Precios!$G:$G, 0),CHOOSE(MATCH(H1939, {"SML";"XL";"XXL"}, 0), 1, 2, 3)), 0)</f>
        <v>0</v>
      </c>
      <c r="K1939" s="10">
        <f t="shared" si="68"/>
        <v>0</v>
      </c>
      <c r="N1939" s="9" t="str">
        <f t="shared" si="69"/>
        <v/>
      </c>
      <c r="O1939" s="9" t="str">
        <f>IF(N1939="","",IF(COUNTIF(Precios!$G:$G,N1939)=0,"⚠ No coincide con Precios","OK"))</f>
        <v/>
      </c>
    </row>
    <row r="1940" spans="3:15" x14ac:dyDescent="0.2">
      <c r="C1940" s="9" cm="1">
        <f t="array" ref="C1940">IFERROR(_xlfn.XLOOKUP(B1940,Personal!$A:$A,Personal!$D:$D,""),"")</f>
        <v>0</v>
      </c>
      <c r="D1940" s="9" cm="1">
        <f t="array" ref="D1940">IFERROR(_xlfn.XLOOKUP(B1940,Personal!$A:$A,Personal!$C:$C,""),"")</f>
        <v>0</v>
      </c>
      <c r="E1940" s="9" t="str" cm="1">
        <f t="array" ref="E1940">IFERROR(_xlfn.XLOOKUP(D1940,Locales!$A:$A,Locales!$B:$B,""),"")</f>
        <v/>
      </c>
      <c r="F1940" s="9" cm="1">
        <f t="array" ref="F1940">IFERROR(_xlfn.XLOOKUP(B1940,Personal!$A:$A,Personal!$F:$F,""),"")</f>
        <v>0</v>
      </c>
      <c r="I1940" s="10" cm="1">
        <f t="array" ref="I1940">IFERROR(INDEX(Precios!$D:$F,MATCH(N1940, Precios!$G:$G, 0),CHOOSE(MATCH(H1940, {"SML";"XL";"XXL"}, 0), 1, 2, 3)), 0)</f>
        <v>0</v>
      </c>
      <c r="K1940" s="10">
        <f t="shared" si="68"/>
        <v>0</v>
      </c>
      <c r="N1940" s="9" t="str">
        <f t="shared" si="69"/>
        <v/>
      </c>
      <c r="O1940" s="9" t="str">
        <f>IF(N1940="","",IF(COUNTIF(Precios!$G:$G,N1940)=0,"⚠ No coincide con Precios","OK"))</f>
        <v/>
      </c>
    </row>
    <row r="1941" spans="3:15" x14ac:dyDescent="0.2">
      <c r="C1941" s="9" cm="1">
        <f t="array" ref="C1941">IFERROR(_xlfn.XLOOKUP(B1941,Personal!$A:$A,Personal!$D:$D,""),"")</f>
        <v>0</v>
      </c>
      <c r="D1941" s="9" cm="1">
        <f t="array" ref="D1941">IFERROR(_xlfn.XLOOKUP(B1941,Personal!$A:$A,Personal!$C:$C,""),"")</f>
        <v>0</v>
      </c>
      <c r="E1941" s="9" t="str" cm="1">
        <f t="array" ref="E1941">IFERROR(_xlfn.XLOOKUP(D1941,Locales!$A:$A,Locales!$B:$B,""),"")</f>
        <v/>
      </c>
      <c r="F1941" s="9" cm="1">
        <f t="array" ref="F1941">IFERROR(_xlfn.XLOOKUP(B1941,Personal!$A:$A,Personal!$F:$F,""),"")</f>
        <v>0</v>
      </c>
      <c r="I1941" s="10" cm="1">
        <f t="array" ref="I1941">IFERROR(INDEX(Precios!$D:$F,MATCH(N1941, Precios!$G:$G, 0),CHOOSE(MATCH(H1941, {"SML";"XL";"XXL"}, 0), 1, 2, 3)), 0)</f>
        <v>0</v>
      </c>
      <c r="K1941" s="10">
        <f t="shared" si="68"/>
        <v>0</v>
      </c>
      <c r="N1941" s="9" t="str">
        <f t="shared" si="69"/>
        <v/>
      </c>
      <c r="O1941" s="9" t="str">
        <f>IF(N1941="","",IF(COUNTIF(Precios!$G:$G,N1941)=0,"⚠ No coincide con Precios","OK"))</f>
        <v/>
      </c>
    </row>
    <row r="1942" spans="3:15" x14ac:dyDescent="0.2">
      <c r="C1942" s="9" cm="1">
        <f t="array" ref="C1942">IFERROR(_xlfn.XLOOKUP(B1942,Personal!$A:$A,Personal!$D:$D,""),"")</f>
        <v>0</v>
      </c>
      <c r="D1942" s="9" cm="1">
        <f t="array" ref="D1942">IFERROR(_xlfn.XLOOKUP(B1942,Personal!$A:$A,Personal!$C:$C,""),"")</f>
        <v>0</v>
      </c>
      <c r="E1942" s="9" t="str" cm="1">
        <f t="array" ref="E1942">IFERROR(_xlfn.XLOOKUP(D1942,Locales!$A:$A,Locales!$B:$B,""),"")</f>
        <v/>
      </c>
      <c r="F1942" s="9" cm="1">
        <f t="array" ref="F1942">IFERROR(_xlfn.XLOOKUP(B1942,Personal!$A:$A,Personal!$F:$F,""),"")</f>
        <v>0</v>
      </c>
      <c r="I1942" s="10" cm="1">
        <f t="array" ref="I1942">IFERROR(INDEX(Precios!$D:$F,MATCH(N1942, Precios!$G:$G, 0),CHOOSE(MATCH(H1942, {"SML";"XL";"XXL"}, 0), 1, 2, 3)), 0)</f>
        <v>0</v>
      </c>
      <c r="K1942" s="10">
        <f t="shared" si="68"/>
        <v>0</v>
      </c>
      <c r="N1942" s="9" t="str">
        <f t="shared" si="69"/>
        <v/>
      </c>
      <c r="O1942" s="9" t="str">
        <f>IF(N1942="","",IF(COUNTIF(Precios!$G:$G,N1942)=0,"⚠ No coincide con Precios","OK"))</f>
        <v/>
      </c>
    </row>
    <row r="1943" spans="3:15" x14ac:dyDescent="0.2">
      <c r="C1943" s="9" cm="1">
        <f t="array" ref="C1943">IFERROR(_xlfn.XLOOKUP(B1943,Personal!$A:$A,Personal!$D:$D,""),"")</f>
        <v>0</v>
      </c>
      <c r="D1943" s="9" cm="1">
        <f t="array" ref="D1943">IFERROR(_xlfn.XLOOKUP(B1943,Personal!$A:$A,Personal!$C:$C,""),"")</f>
        <v>0</v>
      </c>
      <c r="E1943" s="9" t="str" cm="1">
        <f t="array" ref="E1943">IFERROR(_xlfn.XLOOKUP(D1943,Locales!$A:$A,Locales!$B:$B,""),"")</f>
        <v/>
      </c>
      <c r="F1943" s="9" cm="1">
        <f t="array" ref="F1943">IFERROR(_xlfn.XLOOKUP(B1943,Personal!$A:$A,Personal!$F:$F,""),"")</f>
        <v>0</v>
      </c>
      <c r="I1943" s="10" cm="1">
        <f t="array" ref="I1943">IFERROR(INDEX(Precios!$D:$F,MATCH(N1943, Precios!$G:$G, 0),CHOOSE(MATCH(H1943, {"SML";"XL";"XXL"}, 0), 1, 2, 3)), 0)</f>
        <v>0</v>
      </c>
      <c r="K1943" s="10">
        <f t="shared" si="68"/>
        <v>0</v>
      </c>
      <c r="N1943" s="9" t="str">
        <f t="shared" si="69"/>
        <v/>
      </c>
      <c r="O1943" s="9" t="str">
        <f>IF(N1943="","",IF(COUNTIF(Precios!$G:$G,N1943)=0,"⚠ No coincide con Precios","OK"))</f>
        <v/>
      </c>
    </row>
    <row r="1944" spans="3:15" x14ac:dyDescent="0.2">
      <c r="C1944" s="9" cm="1">
        <f t="array" ref="C1944">IFERROR(_xlfn.XLOOKUP(B1944,Personal!$A:$A,Personal!$D:$D,""),"")</f>
        <v>0</v>
      </c>
      <c r="D1944" s="9" cm="1">
        <f t="array" ref="D1944">IFERROR(_xlfn.XLOOKUP(B1944,Personal!$A:$A,Personal!$C:$C,""),"")</f>
        <v>0</v>
      </c>
      <c r="E1944" s="9" t="str" cm="1">
        <f t="array" ref="E1944">IFERROR(_xlfn.XLOOKUP(D1944,Locales!$A:$A,Locales!$B:$B,""),"")</f>
        <v/>
      </c>
      <c r="F1944" s="9" cm="1">
        <f t="array" ref="F1944">IFERROR(_xlfn.XLOOKUP(B1944,Personal!$A:$A,Personal!$F:$F,""),"")</f>
        <v>0</v>
      </c>
      <c r="I1944" s="10" cm="1">
        <f t="array" ref="I1944">IFERROR(INDEX(Precios!$D:$F,MATCH(N1944, Precios!$G:$G, 0),CHOOSE(MATCH(H1944, {"SML";"XL";"XXL"}, 0), 1, 2, 3)), 0)</f>
        <v>0</v>
      </c>
      <c r="K1944" s="10">
        <f t="shared" si="68"/>
        <v>0</v>
      </c>
      <c r="N1944" s="9" t="str">
        <f t="shared" si="69"/>
        <v/>
      </c>
      <c r="O1944" s="9" t="str">
        <f>IF(N1944="","",IF(COUNTIF(Precios!$G:$G,N1944)=0,"⚠ No coincide con Precios","OK"))</f>
        <v/>
      </c>
    </row>
    <row r="1945" spans="3:15" x14ac:dyDescent="0.2">
      <c r="C1945" s="9" cm="1">
        <f t="array" ref="C1945">IFERROR(_xlfn.XLOOKUP(B1945,Personal!$A:$A,Personal!$D:$D,""),"")</f>
        <v>0</v>
      </c>
      <c r="D1945" s="9" cm="1">
        <f t="array" ref="D1945">IFERROR(_xlfn.XLOOKUP(B1945,Personal!$A:$A,Personal!$C:$C,""),"")</f>
        <v>0</v>
      </c>
      <c r="E1945" s="9" t="str" cm="1">
        <f t="array" ref="E1945">IFERROR(_xlfn.XLOOKUP(D1945,Locales!$A:$A,Locales!$B:$B,""),"")</f>
        <v/>
      </c>
      <c r="F1945" s="9" cm="1">
        <f t="array" ref="F1945">IFERROR(_xlfn.XLOOKUP(B1945,Personal!$A:$A,Personal!$F:$F,""),"")</f>
        <v>0</v>
      </c>
      <c r="I1945" s="10" cm="1">
        <f t="array" ref="I1945">IFERROR(INDEX(Precios!$D:$F,MATCH(N1945, Precios!$G:$G, 0),CHOOSE(MATCH(H1945, {"SML";"XL";"XXL"}, 0), 1, 2, 3)), 0)</f>
        <v>0</v>
      </c>
      <c r="K1945" s="10">
        <f t="shared" si="68"/>
        <v>0</v>
      </c>
      <c r="N1945" s="9" t="str">
        <f t="shared" si="69"/>
        <v/>
      </c>
      <c r="O1945" s="9" t="str">
        <f>IF(N1945="","",IF(COUNTIF(Precios!$G:$G,N1945)=0,"⚠ No coincide con Precios","OK"))</f>
        <v/>
      </c>
    </row>
    <row r="1946" spans="3:15" x14ac:dyDescent="0.2">
      <c r="C1946" s="9" cm="1">
        <f t="array" ref="C1946">IFERROR(_xlfn.XLOOKUP(B1946,Personal!$A:$A,Personal!$D:$D,""),"")</f>
        <v>0</v>
      </c>
      <c r="D1946" s="9" cm="1">
        <f t="array" ref="D1946">IFERROR(_xlfn.XLOOKUP(B1946,Personal!$A:$A,Personal!$C:$C,""),"")</f>
        <v>0</v>
      </c>
      <c r="E1946" s="9" t="str" cm="1">
        <f t="array" ref="E1946">IFERROR(_xlfn.XLOOKUP(D1946,Locales!$A:$A,Locales!$B:$B,""),"")</f>
        <v/>
      </c>
      <c r="F1946" s="9" cm="1">
        <f t="array" ref="F1946">IFERROR(_xlfn.XLOOKUP(B1946,Personal!$A:$A,Personal!$F:$F,""),"")</f>
        <v>0</v>
      </c>
      <c r="I1946" s="10" cm="1">
        <f t="array" ref="I1946">IFERROR(INDEX(Precios!$D:$F,MATCH(N1946, Precios!$G:$G, 0),CHOOSE(MATCH(H1946, {"SML";"XL";"XXL"}, 0), 1, 2, 3)), 0)</f>
        <v>0</v>
      </c>
      <c r="K1946" s="10">
        <f t="shared" si="68"/>
        <v>0</v>
      </c>
      <c r="N1946" s="9" t="str">
        <f t="shared" si="69"/>
        <v/>
      </c>
      <c r="O1946" s="9" t="str">
        <f>IF(N1946="","",IF(COUNTIF(Precios!$G:$G,N1946)=0,"⚠ No coincide con Precios","OK"))</f>
        <v/>
      </c>
    </row>
    <row r="1947" spans="3:15" x14ac:dyDescent="0.2">
      <c r="C1947" s="9" cm="1">
        <f t="array" ref="C1947">IFERROR(_xlfn.XLOOKUP(B1947,Personal!$A:$A,Personal!$D:$D,""),"")</f>
        <v>0</v>
      </c>
      <c r="D1947" s="9" cm="1">
        <f t="array" ref="D1947">IFERROR(_xlfn.XLOOKUP(B1947,Personal!$A:$A,Personal!$C:$C,""),"")</f>
        <v>0</v>
      </c>
      <c r="E1947" s="9" t="str" cm="1">
        <f t="array" ref="E1947">IFERROR(_xlfn.XLOOKUP(D1947,Locales!$A:$A,Locales!$B:$B,""),"")</f>
        <v/>
      </c>
      <c r="F1947" s="9" cm="1">
        <f t="array" ref="F1947">IFERROR(_xlfn.XLOOKUP(B1947,Personal!$A:$A,Personal!$F:$F,""),"")</f>
        <v>0</v>
      </c>
      <c r="I1947" s="10" cm="1">
        <f t="array" ref="I1947">IFERROR(INDEX(Precios!$D:$F,MATCH(N1947, Precios!$G:$G, 0),CHOOSE(MATCH(H1947, {"SML";"XL";"XXL"}, 0), 1, 2, 3)), 0)</f>
        <v>0</v>
      </c>
      <c r="K1947" s="10">
        <f t="shared" si="68"/>
        <v>0</v>
      </c>
      <c r="N1947" s="9" t="str">
        <f t="shared" si="69"/>
        <v/>
      </c>
      <c r="O1947" s="9" t="str">
        <f>IF(N1947="","",IF(COUNTIF(Precios!$G:$G,N1947)=0,"⚠ No coincide con Precios","OK"))</f>
        <v/>
      </c>
    </row>
    <row r="1948" spans="3:15" x14ac:dyDescent="0.2">
      <c r="C1948" s="9" cm="1">
        <f t="array" ref="C1948">IFERROR(_xlfn.XLOOKUP(B1948,Personal!$A:$A,Personal!$D:$D,""),"")</f>
        <v>0</v>
      </c>
      <c r="D1948" s="9" cm="1">
        <f t="array" ref="D1948">IFERROR(_xlfn.XLOOKUP(B1948,Personal!$A:$A,Personal!$C:$C,""),"")</f>
        <v>0</v>
      </c>
      <c r="E1948" s="9" t="str" cm="1">
        <f t="array" ref="E1948">IFERROR(_xlfn.XLOOKUP(D1948,Locales!$A:$A,Locales!$B:$B,""),"")</f>
        <v/>
      </c>
      <c r="F1948" s="9" cm="1">
        <f t="array" ref="F1948">IFERROR(_xlfn.XLOOKUP(B1948,Personal!$A:$A,Personal!$F:$F,""),"")</f>
        <v>0</v>
      </c>
      <c r="I1948" s="10" cm="1">
        <f t="array" ref="I1948">IFERROR(INDEX(Precios!$D:$F,MATCH(N1948, Precios!$G:$G, 0),CHOOSE(MATCH(H1948, {"SML";"XL";"XXL"}, 0), 1, 2, 3)), 0)</f>
        <v>0</v>
      </c>
      <c r="K1948" s="10">
        <f t="shared" si="68"/>
        <v>0</v>
      </c>
      <c r="N1948" s="9" t="str">
        <f t="shared" si="69"/>
        <v/>
      </c>
      <c r="O1948" s="9" t="str">
        <f>IF(N1948="","",IF(COUNTIF(Precios!$G:$G,N1948)=0,"⚠ No coincide con Precios","OK"))</f>
        <v/>
      </c>
    </row>
    <row r="1949" spans="3:15" x14ac:dyDescent="0.2">
      <c r="C1949" s="9" cm="1">
        <f t="array" ref="C1949">IFERROR(_xlfn.XLOOKUP(B1949,Personal!$A:$A,Personal!$D:$D,""),"")</f>
        <v>0</v>
      </c>
      <c r="D1949" s="9" cm="1">
        <f t="array" ref="D1949">IFERROR(_xlfn.XLOOKUP(B1949,Personal!$A:$A,Personal!$C:$C,""),"")</f>
        <v>0</v>
      </c>
      <c r="E1949" s="9" t="str" cm="1">
        <f t="array" ref="E1949">IFERROR(_xlfn.XLOOKUP(D1949,Locales!$A:$A,Locales!$B:$B,""),"")</f>
        <v/>
      </c>
      <c r="F1949" s="9" cm="1">
        <f t="array" ref="F1949">IFERROR(_xlfn.XLOOKUP(B1949,Personal!$A:$A,Personal!$F:$F,""),"")</f>
        <v>0</v>
      </c>
      <c r="I1949" s="10" cm="1">
        <f t="array" ref="I1949">IFERROR(INDEX(Precios!$D:$F,MATCH(N1949, Precios!$G:$G, 0),CHOOSE(MATCH(H1949, {"SML";"XL";"XXL"}, 0), 1, 2, 3)), 0)</f>
        <v>0</v>
      </c>
      <c r="K1949" s="10">
        <f t="shared" si="68"/>
        <v>0</v>
      </c>
      <c r="N1949" s="9" t="str">
        <f t="shared" si="69"/>
        <v/>
      </c>
      <c r="O1949" s="9" t="str">
        <f>IF(N1949="","",IF(COUNTIF(Precios!$G:$G,N1949)=0,"⚠ No coincide con Precios","OK"))</f>
        <v/>
      </c>
    </row>
    <row r="1950" spans="3:15" x14ac:dyDescent="0.2">
      <c r="C1950" s="9" cm="1">
        <f t="array" ref="C1950">IFERROR(_xlfn.XLOOKUP(B1950,Personal!$A:$A,Personal!$D:$D,""),"")</f>
        <v>0</v>
      </c>
      <c r="D1950" s="9" cm="1">
        <f t="array" ref="D1950">IFERROR(_xlfn.XLOOKUP(B1950,Personal!$A:$A,Personal!$C:$C,""),"")</f>
        <v>0</v>
      </c>
      <c r="E1950" s="9" t="str" cm="1">
        <f t="array" ref="E1950">IFERROR(_xlfn.XLOOKUP(D1950,Locales!$A:$A,Locales!$B:$B,""),"")</f>
        <v/>
      </c>
      <c r="F1950" s="9" cm="1">
        <f t="array" ref="F1950">IFERROR(_xlfn.XLOOKUP(B1950,Personal!$A:$A,Personal!$F:$F,""),"")</f>
        <v>0</v>
      </c>
      <c r="I1950" s="10" cm="1">
        <f t="array" ref="I1950">IFERROR(INDEX(Precios!$D:$F,MATCH(N1950, Precios!$G:$G, 0),CHOOSE(MATCH(H1950, {"SML";"XL";"XXL"}, 0), 1, 2, 3)), 0)</f>
        <v>0</v>
      </c>
      <c r="K1950" s="10">
        <f t="shared" si="68"/>
        <v>0</v>
      </c>
      <c r="N1950" s="9" t="str">
        <f t="shared" si="69"/>
        <v/>
      </c>
      <c r="O1950" s="9" t="str">
        <f>IF(N1950="","",IF(COUNTIF(Precios!$G:$G,N1950)=0,"⚠ No coincide con Precios","OK"))</f>
        <v/>
      </c>
    </row>
    <row r="1951" spans="3:15" x14ac:dyDescent="0.2">
      <c r="C1951" s="9" cm="1">
        <f t="array" ref="C1951">IFERROR(_xlfn.XLOOKUP(B1951,Personal!$A:$A,Personal!$D:$D,""),"")</f>
        <v>0</v>
      </c>
      <c r="D1951" s="9" cm="1">
        <f t="array" ref="D1951">IFERROR(_xlfn.XLOOKUP(B1951,Personal!$A:$A,Personal!$C:$C,""),"")</f>
        <v>0</v>
      </c>
      <c r="E1951" s="9" t="str" cm="1">
        <f t="array" ref="E1951">IFERROR(_xlfn.XLOOKUP(D1951,Locales!$A:$A,Locales!$B:$B,""),"")</f>
        <v/>
      </c>
      <c r="F1951" s="9" cm="1">
        <f t="array" ref="F1951">IFERROR(_xlfn.XLOOKUP(B1951,Personal!$A:$A,Personal!$F:$F,""),"")</f>
        <v>0</v>
      </c>
      <c r="I1951" s="10" cm="1">
        <f t="array" ref="I1951">IFERROR(INDEX(Precios!$D:$F,MATCH(N1951, Precios!$G:$G, 0),CHOOSE(MATCH(H1951, {"SML";"XL";"XXL"}, 0), 1, 2, 3)), 0)</f>
        <v>0</v>
      </c>
      <c r="K1951" s="10">
        <f t="shared" si="68"/>
        <v>0</v>
      </c>
      <c r="N1951" s="9" t="str">
        <f t="shared" si="69"/>
        <v/>
      </c>
      <c r="O1951" s="9" t="str">
        <f>IF(N1951="","",IF(COUNTIF(Precios!$G:$G,N1951)=0,"⚠ No coincide con Precios","OK"))</f>
        <v/>
      </c>
    </row>
    <row r="1952" spans="3:15" x14ac:dyDescent="0.2">
      <c r="C1952" s="9" cm="1">
        <f t="array" ref="C1952">IFERROR(_xlfn.XLOOKUP(B1952,Personal!$A:$A,Personal!$D:$D,""),"")</f>
        <v>0</v>
      </c>
      <c r="D1952" s="9" cm="1">
        <f t="array" ref="D1952">IFERROR(_xlfn.XLOOKUP(B1952,Personal!$A:$A,Personal!$C:$C,""),"")</f>
        <v>0</v>
      </c>
      <c r="E1952" s="9" t="str" cm="1">
        <f t="array" ref="E1952">IFERROR(_xlfn.XLOOKUP(D1952,Locales!$A:$A,Locales!$B:$B,""),"")</f>
        <v/>
      </c>
      <c r="F1952" s="9" cm="1">
        <f t="array" ref="F1952">IFERROR(_xlfn.XLOOKUP(B1952,Personal!$A:$A,Personal!$F:$F,""),"")</f>
        <v>0</v>
      </c>
      <c r="I1952" s="10" cm="1">
        <f t="array" ref="I1952">IFERROR(INDEX(Precios!$D:$F,MATCH(N1952, Precios!$G:$G, 0),CHOOSE(MATCH(H1952, {"SML";"XL";"XXL"}, 0), 1, 2, 3)), 0)</f>
        <v>0</v>
      </c>
      <c r="K1952" s="10">
        <f t="shared" si="68"/>
        <v>0</v>
      </c>
      <c r="N1952" s="9" t="str">
        <f t="shared" si="69"/>
        <v/>
      </c>
      <c r="O1952" s="9" t="str">
        <f>IF(N1952="","",IF(COUNTIF(Precios!$G:$G,N1952)=0,"⚠ No coincide con Precios","OK"))</f>
        <v/>
      </c>
    </row>
    <row r="1953" spans="3:15" x14ac:dyDescent="0.2">
      <c r="C1953" s="9" cm="1">
        <f t="array" ref="C1953">IFERROR(_xlfn.XLOOKUP(B1953,Personal!$A:$A,Personal!$D:$D,""),"")</f>
        <v>0</v>
      </c>
      <c r="D1953" s="9" cm="1">
        <f t="array" ref="D1953">IFERROR(_xlfn.XLOOKUP(B1953,Personal!$A:$A,Personal!$C:$C,""),"")</f>
        <v>0</v>
      </c>
      <c r="E1953" s="9" t="str" cm="1">
        <f t="array" ref="E1953">IFERROR(_xlfn.XLOOKUP(D1953,Locales!$A:$A,Locales!$B:$B,""),"")</f>
        <v/>
      </c>
      <c r="F1953" s="9" cm="1">
        <f t="array" ref="F1953">IFERROR(_xlfn.XLOOKUP(B1953,Personal!$A:$A,Personal!$F:$F,""),"")</f>
        <v>0</v>
      </c>
      <c r="I1953" s="10" cm="1">
        <f t="array" ref="I1953">IFERROR(INDEX(Precios!$D:$F,MATCH(N1953, Precios!$G:$G, 0),CHOOSE(MATCH(H1953, {"SML";"XL";"XXL"}, 0), 1, 2, 3)), 0)</f>
        <v>0</v>
      </c>
      <c r="K1953" s="10">
        <f t="shared" si="68"/>
        <v>0</v>
      </c>
      <c r="N1953" s="9" t="str">
        <f t="shared" si="69"/>
        <v/>
      </c>
      <c r="O1953" s="9" t="str">
        <f>IF(N1953="","",IF(COUNTIF(Precios!$G:$G,N1953)=0,"⚠ No coincide con Precios","OK"))</f>
        <v/>
      </c>
    </row>
    <row r="1954" spans="3:15" x14ac:dyDescent="0.2">
      <c r="C1954" s="9" cm="1">
        <f t="array" ref="C1954">IFERROR(_xlfn.XLOOKUP(B1954,Personal!$A:$A,Personal!$D:$D,""),"")</f>
        <v>0</v>
      </c>
      <c r="D1954" s="9" cm="1">
        <f t="array" ref="D1954">IFERROR(_xlfn.XLOOKUP(B1954,Personal!$A:$A,Personal!$C:$C,""),"")</f>
        <v>0</v>
      </c>
      <c r="E1954" s="9" t="str" cm="1">
        <f t="array" ref="E1954">IFERROR(_xlfn.XLOOKUP(D1954,Locales!$A:$A,Locales!$B:$B,""),"")</f>
        <v/>
      </c>
      <c r="F1954" s="9" cm="1">
        <f t="array" ref="F1954">IFERROR(_xlfn.XLOOKUP(B1954,Personal!$A:$A,Personal!$F:$F,""),"")</f>
        <v>0</v>
      </c>
      <c r="I1954" s="10" cm="1">
        <f t="array" ref="I1954">IFERROR(INDEX(Precios!$D:$F,MATCH(N1954, Precios!$G:$G, 0),CHOOSE(MATCH(H1954, {"SML";"XL";"XXL"}, 0), 1, 2, 3)), 0)</f>
        <v>0</v>
      </c>
      <c r="K1954" s="10">
        <f t="shared" si="68"/>
        <v>0</v>
      </c>
      <c r="N1954" s="9" t="str">
        <f t="shared" si="69"/>
        <v/>
      </c>
      <c r="O1954" s="9" t="str">
        <f>IF(N1954="","",IF(COUNTIF(Precios!$G:$G,N1954)=0,"⚠ No coincide con Precios","OK"))</f>
        <v/>
      </c>
    </row>
    <row r="1955" spans="3:15" x14ac:dyDescent="0.2">
      <c r="C1955" s="9" cm="1">
        <f t="array" ref="C1955">IFERROR(_xlfn.XLOOKUP(B1955,Personal!$A:$A,Personal!$D:$D,""),"")</f>
        <v>0</v>
      </c>
      <c r="D1955" s="9" cm="1">
        <f t="array" ref="D1955">IFERROR(_xlfn.XLOOKUP(B1955,Personal!$A:$A,Personal!$C:$C,""),"")</f>
        <v>0</v>
      </c>
      <c r="E1955" s="9" t="str" cm="1">
        <f t="array" ref="E1955">IFERROR(_xlfn.XLOOKUP(D1955,Locales!$A:$A,Locales!$B:$B,""),"")</f>
        <v/>
      </c>
      <c r="F1955" s="9" cm="1">
        <f t="array" ref="F1955">IFERROR(_xlfn.XLOOKUP(B1955,Personal!$A:$A,Personal!$F:$F,""),"")</f>
        <v>0</v>
      </c>
      <c r="I1955" s="10" cm="1">
        <f t="array" ref="I1955">IFERROR(INDEX(Precios!$D:$F,MATCH(N1955, Precios!$G:$G, 0),CHOOSE(MATCH(H1955, {"SML";"XL";"XXL"}, 0), 1, 2, 3)), 0)</f>
        <v>0</v>
      </c>
      <c r="K1955" s="10">
        <f t="shared" si="68"/>
        <v>0</v>
      </c>
      <c r="N1955" s="9" t="str">
        <f t="shared" si="69"/>
        <v/>
      </c>
      <c r="O1955" s="9" t="str">
        <f>IF(N1955="","",IF(COUNTIF(Precios!$G:$G,N1955)=0,"⚠ No coincide con Precios","OK"))</f>
        <v/>
      </c>
    </row>
    <row r="1956" spans="3:15" x14ac:dyDescent="0.2">
      <c r="C1956" s="9" cm="1">
        <f t="array" ref="C1956">IFERROR(_xlfn.XLOOKUP(B1956,Personal!$A:$A,Personal!$D:$D,""),"")</f>
        <v>0</v>
      </c>
      <c r="D1956" s="9" cm="1">
        <f t="array" ref="D1956">IFERROR(_xlfn.XLOOKUP(B1956,Personal!$A:$A,Personal!$C:$C,""),"")</f>
        <v>0</v>
      </c>
      <c r="E1956" s="9" t="str" cm="1">
        <f t="array" ref="E1956">IFERROR(_xlfn.XLOOKUP(D1956,Locales!$A:$A,Locales!$B:$B,""),"")</f>
        <v/>
      </c>
      <c r="F1956" s="9" cm="1">
        <f t="array" ref="F1956">IFERROR(_xlfn.XLOOKUP(B1956,Personal!$A:$A,Personal!$F:$F,""),"")</f>
        <v>0</v>
      </c>
      <c r="I1956" s="10" cm="1">
        <f t="array" ref="I1956">IFERROR(INDEX(Precios!$D:$F,MATCH(N1956, Precios!$G:$G, 0),CHOOSE(MATCH(H1956, {"SML";"XL";"XXL"}, 0), 1, 2, 3)), 0)</f>
        <v>0</v>
      </c>
      <c r="K1956" s="10">
        <f t="shared" si="68"/>
        <v>0</v>
      </c>
      <c r="N1956" s="9" t="str">
        <f t="shared" si="69"/>
        <v/>
      </c>
      <c r="O1956" s="9" t="str">
        <f>IF(N1956="","",IF(COUNTIF(Precios!$G:$G,N1956)=0,"⚠ No coincide con Precios","OK"))</f>
        <v/>
      </c>
    </row>
    <row r="1957" spans="3:15" x14ac:dyDescent="0.2">
      <c r="C1957" s="9" cm="1">
        <f t="array" ref="C1957">IFERROR(_xlfn.XLOOKUP(B1957,Personal!$A:$A,Personal!$D:$D,""),"")</f>
        <v>0</v>
      </c>
      <c r="D1957" s="9" cm="1">
        <f t="array" ref="D1957">IFERROR(_xlfn.XLOOKUP(B1957,Personal!$A:$A,Personal!$C:$C,""),"")</f>
        <v>0</v>
      </c>
      <c r="E1957" s="9" t="str" cm="1">
        <f t="array" ref="E1957">IFERROR(_xlfn.XLOOKUP(D1957,Locales!$A:$A,Locales!$B:$B,""),"")</f>
        <v/>
      </c>
      <c r="F1957" s="9" cm="1">
        <f t="array" ref="F1957">IFERROR(_xlfn.XLOOKUP(B1957,Personal!$A:$A,Personal!$F:$F,""),"")</f>
        <v>0</v>
      </c>
      <c r="I1957" s="10" cm="1">
        <f t="array" ref="I1957">IFERROR(INDEX(Precios!$D:$F,MATCH(N1957, Precios!$G:$G, 0),CHOOSE(MATCH(H1957, {"SML";"XL";"XXL"}, 0), 1, 2, 3)), 0)</f>
        <v>0</v>
      </c>
      <c r="K1957" s="10">
        <f t="shared" si="68"/>
        <v>0</v>
      </c>
      <c r="N1957" s="9" t="str">
        <f t="shared" si="69"/>
        <v/>
      </c>
      <c r="O1957" s="9" t="str">
        <f>IF(N1957="","",IF(COUNTIF(Precios!$G:$G,N1957)=0,"⚠ No coincide con Precios","OK"))</f>
        <v/>
      </c>
    </row>
    <row r="1958" spans="3:15" x14ac:dyDescent="0.2">
      <c r="C1958" s="9" cm="1">
        <f t="array" ref="C1958">IFERROR(_xlfn.XLOOKUP(B1958,Personal!$A:$A,Personal!$D:$D,""),"")</f>
        <v>0</v>
      </c>
      <c r="D1958" s="9" cm="1">
        <f t="array" ref="D1958">IFERROR(_xlfn.XLOOKUP(B1958,Personal!$A:$A,Personal!$C:$C,""),"")</f>
        <v>0</v>
      </c>
      <c r="E1958" s="9" t="str" cm="1">
        <f t="array" ref="E1958">IFERROR(_xlfn.XLOOKUP(D1958,Locales!$A:$A,Locales!$B:$B,""),"")</f>
        <v/>
      </c>
      <c r="F1958" s="9" cm="1">
        <f t="array" ref="F1958">IFERROR(_xlfn.XLOOKUP(B1958,Personal!$A:$A,Personal!$F:$F,""),"")</f>
        <v>0</v>
      </c>
      <c r="I1958" s="10" cm="1">
        <f t="array" ref="I1958">IFERROR(INDEX(Precios!$D:$F,MATCH(N1958, Precios!$G:$G, 0),CHOOSE(MATCH(H1958, {"SML";"XL";"XXL"}, 0), 1, 2, 3)), 0)</f>
        <v>0</v>
      </c>
      <c r="K1958" s="10">
        <f t="shared" si="68"/>
        <v>0</v>
      </c>
      <c r="N1958" s="9" t="str">
        <f t="shared" si="69"/>
        <v/>
      </c>
      <c r="O1958" s="9" t="str">
        <f>IF(N1958="","",IF(COUNTIF(Precios!$G:$G,N1958)=0,"⚠ No coincide con Precios","OK"))</f>
        <v/>
      </c>
    </row>
    <row r="1959" spans="3:15" x14ac:dyDescent="0.2">
      <c r="C1959" s="9" cm="1">
        <f t="array" ref="C1959">IFERROR(_xlfn.XLOOKUP(B1959,Personal!$A:$A,Personal!$D:$D,""),"")</f>
        <v>0</v>
      </c>
      <c r="D1959" s="9" cm="1">
        <f t="array" ref="D1959">IFERROR(_xlfn.XLOOKUP(B1959,Personal!$A:$A,Personal!$C:$C,""),"")</f>
        <v>0</v>
      </c>
      <c r="E1959" s="9" t="str" cm="1">
        <f t="array" ref="E1959">IFERROR(_xlfn.XLOOKUP(D1959,Locales!$A:$A,Locales!$B:$B,""),"")</f>
        <v/>
      </c>
      <c r="F1959" s="9" cm="1">
        <f t="array" ref="F1959">IFERROR(_xlfn.XLOOKUP(B1959,Personal!$A:$A,Personal!$F:$F,""),"")</f>
        <v>0</v>
      </c>
      <c r="I1959" s="10" cm="1">
        <f t="array" ref="I1959">IFERROR(INDEX(Precios!$D:$F,MATCH(N1959, Precios!$G:$G, 0),CHOOSE(MATCH(H1959, {"SML";"XL";"XXL"}, 0), 1, 2, 3)), 0)</f>
        <v>0</v>
      </c>
      <c r="K1959" s="10">
        <f t="shared" si="68"/>
        <v>0</v>
      </c>
      <c r="N1959" s="9" t="str">
        <f t="shared" si="69"/>
        <v/>
      </c>
      <c r="O1959" s="9" t="str">
        <f>IF(N1959="","",IF(COUNTIF(Precios!$G:$G,N1959)=0,"⚠ No coincide con Precios","OK"))</f>
        <v/>
      </c>
    </row>
    <row r="1960" spans="3:15" x14ac:dyDescent="0.2">
      <c r="C1960" s="9" cm="1">
        <f t="array" ref="C1960">IFERROR(_xlfn.XLOOKUP(B1960,Personal!$A:$A,Personal!$D:$D,""),"")</f>
        <v>0</v>
      </c>
      <c r="D1960" s="9" cm="1">
        <f t="array" ref="D1960">IFERROR(_xlfn.XLOOKUP(B1960,Personal!$A:$A,Personal!$C:$C,""),"")</f>
        <v>0</v>
      </c>
      <c r="E1960" s="9" t="str" cm="1">
        <f t="array" ref="E1960">IFERROR(_xlfn.XLOOKUP(D1960,Locales!$A:$A,Locales!$B:$B,""),"")</f>
        <v/>
      </c>
      <c r="F1960" s="9" cm="1">
        <f t="array" ref="F1960">IFERROR(_xlfn.XLOOKUP(B1960,Personal!$A:$A,Personal!$F:$F,""),"")</f>
        <v>0</v>
      </c>
      <c r="I1960" s="10" cm="1">
        <f t="array" ref="I1960">IFERROR(INDEX(Precios!$D:$F,MATCH(N1960, Precios!$G:$G, 0),CHOOSE(MATCH(H1960, {"SML";"XL";"XXL"}, 0), 1, 2, 3)), 0)</f>
        <v>0</v>
      </c>
      <c r="K1960" s="10">
        <f t="shared" si="68"/>
        <v>0</v>
      </c>
      <c r="N1960" s="9" t="str">
        <f t="shared" si="69"/>
        <v/>
      </c>
      <c r="O1960" s="9" t="str">
        <f>IF(N1960="","",IF(COUNTIF(Precios!$G:$G,N1960)=0,"⚠ No coincide con Precios","OK"))</f>
        <v/>
      </c>
    </row>
    <row r="1961" spans="3:15" x14ac:dyDescent="0.2">
      <c r="C1961" s="9" cm="1">
        <f t="array" ref="C1961">IFERROR(_xlfn.XLOOKUP(B1961,Personal!$A:$A,Personal!$D:$D,""),"")</f>
        <v>0</v>
      </c>
      <c r="D1961" s="9" cm="1">
        <f t="array" ref="D1961">IFERROR(_xlfn.XLOOKUP(B1961,Personal!$A:$A,Personal!$C:$C,""),"")</f>
        <v>0</v>
      </c>
      <c r="E1961" s="9" t="str" cm="1">
        <f t="array" ref="E1961">IFERROR(_xlfn.XLOOKUP(D1961,Locales!$A:$A,Locales!$B:$B,""),"")</f>
        <v/>
      </c>
      <c r="F1961" s="9" cm="1">
        <f t="array" ref="F1961">IFERROR(_xlfn.XLOOKUP(B1961,Personal!$A:$A,Personal!$F:$F,""),"")</f>
        <v>0</v>
      </c>
      <c r="I1961" s="10" cm="1">
        <f t="array" ref="I1961">IFERROR(INDEX(Precios!$D:$F,MATCH(N1961, Precios!$G:$G, 0),CHOOSE(MATCH(H1961, {"SML";"XL";"XXL"}, 0), 1, 2, 3)), 0)</f>
        <v>0</v>
      </c>
      <c r="K1961" s="10">
        <f t="shared" si="68"/>
        <v>0</v>
      </c>
      <c r="N1961" s="9" t="str">
        <f t="shared" si="69"/>
        <v/>
      </c>
      <c r="O1961" s="9" t="str">
        <f>IF(N1961="","",IF(COUNTIF(Precios!$G:$G,N1961)=0,"⚠ No coincide con Precios","OK"))</f>
        <v/>
      </c>
    </row>
    <row r="1962" spans="3:15" x14ac:dyDescent="0.2">
      <c r="C1962" s="9" cm="1">
        <f t="array" ref="C1962">IFERROR(_xlfn.XLOOKUP(B1962,Personal!$A:$A,Personal!$D:$D,""),"")</f>
        <v>0</v>
      </c>
      <c r="D1962" s="9" cm="1">
        <f t="array" ref="D1962">IFERROR(_xlfn.XLOOKUP(B1962,Personal!$A:$A,Personal!$C:$C,""),"")</f>
        <v>0</v>
      </c>
      <c r="E1962" s="9" t="str" cm="1">
        <f t="array" ref="E1962">IFERROR(_xlfn.XLOOKUP(D1962,Locales!$A:$A,Locales!$B:$B,""),"")</f>
        <v/>
      </c>
      <c r="F1962" s="9" cm="1">
        <f t="array" ref="F1962">IFERROR(_xlfn.XLOOKUP(B1962,Personal!$A:$A,Personal!$F:$F,""),"")</f>
        <v>0</v>
      </c>
      <c r="I1962" s="10" cm="1">
        <f t="array" ref="I1962">IFERROR(INDEX(Precios!$D:$F,MATCH(N1962, Precios!$G:$G, 0),CHOOSE(MATCH(H1962, {"SML";"XL";"XXL"}, 0), 1, 2, 3)), 0)</f>
        <v>0</v>
      </c>
      <c r="K1962" s="10">
        <f t="shared" si="68"/>
        <v>0</v>
      </c>
      <c r="N1962" s="9" t="str">
        <f t="shared" si="69"/>
        <v/>
      </c>
      <c r="O1962" s="9" t="str">
        <f>IF(N1962="","",IF(COUNTIF(Precios!$G:$G,N1962)=0,"⚠ No coincide con Precios","OK"))</f>
        <v/>
      </c>
    </row>
    <row r="1963" spans="3:15" x14ac:dyDescent="0.2">
      <c r="C1963" s="9" cm="1">
        <f t="array" ref="C1963">IFERROR(_xlfn.XLOOKUP(B1963,Personal!$A:$A,Personal!$D:$D,""),"")</f>
        <v>0</v>
      </c>
      <c r="D1963" s="9" cm="1">
        <f t="array" ref="D1963">IFERROR(_xlfn.XLOOKUP(B1963,Personal!$A:$A,Personal!$C:$C,""),"")</f>
        <v>0</v>
      </c>
      <c r="E1963" s="9" t="str" cm="1">
        <f t="array" ref="E1963">IFERROR(_xlfn.XLOOKUP(D1963,Locales!$A:$A,Locales!$B:$B,""),"")</f>
        <v/>
      </c>
      <c r="F1963" s="9" cm="1">
        <f t="array" ref="F1963">IFERROR(_xlfn.XLOOKUP(B1963,Personal!$A:$A,Personal!$F:$F,""),"")</f>
        <v>0</v>
      </c>
      <c r="I1963" s="10" cm="1">
        <f t="array" ref="I1963">IFERROR(INDEX(Precios!$D:$F,MATCH(N1963, Precios!$G:$G, 0),CHOOSE(MATCH(H1963, {"SML";"XL";"XXL"}, 0), 1, 2, 3)), 0)</f>
        <v>0</v>
      </c>
      <c r="K1963" s="10">
        <f t="shared" si="68"/>
        <v>0</v>
      </c>
      <c r="N1963" s="9" t="str">
        <f t="shared" si="69"/>
        <v/>
      </c>
      <c r="O1963" s="9" t="str">
        <f>IF(N1963="","",IF(COUNTIF(Precios!$G:$G,N1963)=0,"⚠ No coincide con Precios","OK"))</f>
        <v/>
      </c>
    </row>
    <row r="1964" spans="3:15" x14ac:dyDescent="0.2">
      <c r="C1964" s="9" cm="1">
        <f t="array" ref="C1964">IFERROR(_xlfn.XLOOKUP(B1964,Personal!$A:$A,Personal!$D:$D,""),"")</f>
        <v>0</v>
      </c>
      <c r="D1964" s="9" cm="1">
        <f t="array" ref="D1964">IFERROR(_xlfn.XLOOKUP(B1964,Personal!$A:$A,Personal!$C:$C,""),"")</f>
        <v>0</v>
      </c>
      <c r="E1964" s="9" t="str" cm="1">
        <f t="array" ref="E1964">IFERROR(_xlfn.XLOOKUP(D1964,Locales!$A:$A,Locales!$B:$B,""),"")</f>
        <v/>
      </c>
      <c r="F1964" s="9" cm="1">
        <f t="array" ref="F1964">IFERROR(_xlfn.XLOOKUP(B1964,Personal!$A:$A,Personal!$F:$F,""),"")</f>
        <v>0</v>
      </c>
      <c r="I1964" s="10" cm="1">
        <f t="array" ref="I1964">IFERROR(INDEX(Precios!$D:$F,MATCH(N1964, Precios!$G:$G, 0),CHOOSE(MATCH(H1964, {"SML";"XL";"XXL"}, 0), 1, 2, 3)), 0)</f>
        <v>0</v>
      </c>
      <c r="K1964" s="10">
        <f t="shared" si="68"/>
        <v>0</v>
      </c>
      <c r="N1964" s="9" t="str">
        <f t="shared" si="69"/>
        <v/>
      </c>
      <c r="O1964" s="9" t="str">
        <f>IF(N1964="","",IF(COUNTIF(Precios!$G:$G,N1964)=0,"⚠ No coincide con Precios","OK"))</f>
        <v/>
      </c>
    </row>
    <row r="1965" spans="3:15" x14ac:dyDescent="0.2">
      <c r="C1965" s="9" cm="1">
        <f t="array" ref="C1965">IFERROR(_xlfn.XLOOKUP(B1965,Personal!$A:$A,Personal!$D:$D,""),"")</f>
        <v>0</v>
      </c>
      <c r="D1965" s="9" cm="1">
        <f t="array" ref="D1965">IFERROR(_xlfn.XLOOKUP(B1965,Personal!$A:$A,Personal!$C:$C,""),"")</f>
        <v>0</v>
      </c>
      <c r="E1965" s="9" t="str" cm="1">
        <f t="array" ref="E1965">IFERROR(_xlfn.XLOOKUP(D1965,Locales!$A:$A,Locales!$B:$B,""),"")</f>
        <v/>
      </c>
      <c r="F1965" s="9" cm="1">
        <f t="array" ref="F1965">IFERROR(_xlfn.XLOOKUP(B1965,Personal!$A:$A,Personal!$F:$F,""),"")</f>
        <v>0</v>
      </c>
      <c r="I1965" s="10" cm="1">
        <f t="array" ref="I1965">IFERROR(INDEX(Precios!$D:$F,MATCH(N1965, Precios!$G:$G, 0),CHOOSE(MATCH(H1965, {"SML";"XL";"XXL"}, 0), 1, 2, 3)), 0)</f>
        <v>0</v>
      </c>
      <c r="K1965" s="10">
        <f t="shared" si="68"/>
        <v>0</v>
      </c>
      <c r="N1965" s="9" t="str">
        <f t="shared" si="69"/>
        <v/>
      </c>
      <c r="O1965" s="9" t="str">
        <f>IF(N1965="","",IF(COUNTIF(Precios!$G:$G,N1965)=0,"⚠ No coincide con Precios","OK"))</f>
        <v/>
      </c>
    </row>
    <row r="1966" spans="3:15" x14ac:dyDescent="0.2">
      <c r="C1966" s="9" cm="1">
        <f t="array" ref="C1966">IFERROR(_xlfn.XLOOKUP(B1966,Personal!$A:$A,Personal!$D:$D,""),"")</f>
        <v>0</v>
      </c>
      <c r="D1966" s="9" cm="1">
        <f t="array" ref="D1966">IFERROR(_xlfn.XLOOKUP(B1966,Personal!$A:$A,Personal!$C:$C,""),"")</f>
        <v>0</v>
      </c>
      <c r="E1966" s="9" t="str" cm="1">
        <f t="array" ref="E1966">IFERROR(_xlfn.XLOOKUP(D1966,Locales!$A:$A,Locales!$B:$B,""),"")</f>
        <v/>
      </c>
      <c r="F1966" s="9" cm="1">
        <f t="array" ref="F1966">IFERROR(_xlfn.XLOOKUP(B1966,Personal!$A:$A,Personal!$F:$F,""),"")</f>
        <v>0</v>
      </c>
      <c r="I1966" s="10" cm="1">
        <f t="array" ref="I1966">IFERROR(INDEX(Precios!$D:$F,MATCH(N1966, Precios!$G:$G, 0),CHOOSE(MATCH(H1966, {"SML";"XL";"XXL"}, 0), 1, 2, 3)), 0)</f>
        <v>0</v>
      </c>
      <c r="K1966" s="10">
        <f t="shared" si="68"/>
        <v>0</v>
      </c>
      <c r="N1966" s="9" t="str">
        <f t="shared" si="69"/>
        <v/>
      </c>
      <c r="O1966" s="9" t="str">
        <f>IF(N1966="","",IF(COUNTIF(Precios!$G:$G,N1966)=0,"⚠ No coincide con Precios","OK"))</f>
        <v/>
      </c>
    </row>
    <row r="1967" spans="3:15" x14ac:dyDescent="0.2">
      <c r="C1967" s="9" cm="1">
        <f t="array" ref="C1967">IFERROR(_xlfn.XLOOKUP(B1967,Personal!$A:$A,Personal!$D:$D,""),"")</f>
        <v>0</v>
      </c>
      <c r="D1967" s="9" cm="1">
        <f t="array" ref="D1967">IFERROR(_xlfn.XLOOKUP(B1967,Personal!$A:$A,Personal!$C:$C,""),"")</f>
        <v>0</v>
      </c>
      <c r="E1967" s="9" t="str" cm="1">
        <f t="array" ref="E1967">IFERROR(_xlfn.XLOOKUP(D1967,Locales!$A:$A,Locales!$B:$B,""),"")</f>
        <v/>
      </c>
      <c r="F1967" s="9" cm="1">
        <f t="array" ref="F1967">IFERROR(_xlfn.XLOOKUP(B1967,Personal!$A:$A,Personal!$F:$F,""),"")</f>
        <v>0</v>
      </c>
      <c r="I1967" s="10" cm="1">
        <f t="array" ref="I1967">IFERROR(INDEX(Precios!$D:$F,MATCH(N1967, Precios!$G:$G, 0),CHOOSE(MATCH(H1967, {"SML";"XL";"XXL"}, 0), 1, 2, 3)), 0)</f>
        <v>0</v>
      </c>
      <c r="K1967" s="10">
        <f t="shared" si="68"/>
        <v>0</v>
      </c>
      <c r="N1967" s="9" t="str">
        <f t="shared" si="69"/>
        <v/>
      </c>
      <c r="O1967" s="9" t="str">
        <f>IF(N1967="","",IF(COUNTIF(Precios!$G:$G,N1967)=0,"⚠ No coincide con Precios","OK"))</f>
        <v/>
      </c>
    </row>
    <row r="1968" spans="3:15" x14ac:dyDescent="0.2">
      <c r="C1968" s="9" cm="1">
        <f t="array" ref="C1968">IFERROR(_xlfn.XLOOKUP(B1968,Personal!$A:$A,Personal!$D:$D,""),"")</f>
        <v>0</v>
      </c>
      <c r="D1968" s="9" cm="1">
        <f t="array" ref="D1968">IFERROR(_xlfn.XLOOKUP(B1968,Personal!$A:$A,Personal!$C:$C,""),"")</f>
        <v>0</v>
      </c>
      <c r="E1968" s="9" t="str" cm="1">
        <f t="array" ref="E1968">IFERROR(_xlfn.XLOOKUP(D1968,Locales!$A:$A,Locales!$B:$B,""),"")</f>
        <v/>
      </c>
      <c r="F1968" s="9" cm="1">
        <f t="array" ref="F1968">IFERROR(_xlfn.XLOOKUP(B1968,Personal!$A:$A,Personal!$F:$F,""),"")</f>
        <v>0</v>
      </c>
      <c r="I1968" s="10" cm="1">
        <f t="array" ref="I1968">IFERROR(INDEX(Precios!$D:$F,MATCH(N1968, Precios!$G:$G, 0),CHOOSE(MATCH(H1968, {"SML";"XL";"XXL"}, 0), 1, 2, 3)), 0)</f>
        <v>0</v>
      </c>
      <c r="K1968" s="10">
        <f t="shared" si="68"/>
        <v>0</v>
      </c>
      <c r="N1968" s="9" t="str">
        <f t="shared" si="69"/>
        <v/>
      </c>
      <c r="O1968" s="9" t="str">
        <f>IF(N1968="","",IF(COUNTIF(Precios!$G:$G,N1968)=0,"⚠ No coincide con Precios","OK"))</f>
        <v/>
      </c>
    </row>
    <row r="1969" spans="3:15" x14ac:dyDescent="0.2">
      <c r="C1969" s="9" cm="1">
        <f t="array" ref="C1969">IFERROR(_xlfn.XLOOKUP(B1969,Personal!$A:$A,Personal!$D:$D,""),"")</f>
        <v>0</v>
      </c>
      <c r="D1969" s="9" cm="1">
        <f t="array" ref="D1969">IFERROR(_xlfn.XLOOKUP(B1969,Personal!$A:$A,Personal!$C:$C,""),"")</f>
        <v>0</v>
      </c>
      <c r="E1969" s="9" t="str" cm="1">
        <f t="array" ref="E1969">IFERROR(_xlfn.XLOOKUP(D1969,Locales!$A:$A,Locales!$B:$B,""),"")</f>
        <v/>
      </c>
      <c r="F1969" s="9" cm="1">
        <f t="array" ref="F1969">IFERROR(_xlfn.XLOOKUP(B1969,Personal!$A:$A,Personal!$F:$F,""),"")</f>
        <v>0</v>
      </c>
      <c r="I1969" s="10" cm="1">
        <f t="array" ref="I1969">IFERROR(INDEX(Precios!$D:$F,MATCH(N1969, Precios!$G:$G, 0),CHOOSE(MATCH(H1969, {"SML";"XL";"XXL"}, 0), 1, 2, 3)), 0)</f>
        <v>0</v>
      </c>
      <c r="K1969" s="10">
        <f t="shared" si="68"/>
        <v>0</v>
      </c>
      <c r="N1969" s="9" t="str">
        <f t="shared" si="69"/>
        <v/>
      </c>
      <c r="O1969" s="9" t="str">
        <f>IF(N1969="","",IF(COUNTIF(Precios!$G:$G,N1969)=0,"⚠ No coincide con Precios","OK"))</f>
        <v/>
      </c>
    </row>
    <row r="1970" spans="3:15" x14ac:dyDescent="0.2">
      <c r="C1970" s="9" cm="1">
        <f t="array" ref="C1970">IFERROR(_xlfn.XLOOKUP(B1970,Personal!$A:$A,Personal!$D:$D,""),"")</f>
        <v>0</v>
      </c>
      <c r="D1970" s="9" cm="1">
        <f t="array" ref="D1970">IFERROR(_xlfn.XLOOKUP(B1970,Personal!$A:$A,Personal!$C:$C,""),"")</f>
        <v>0</v>
      </c>
      <c r="E1970" s="9" t="str" cm="1">
        <f t="array" ref="E1970">IFERROR(_xlfn.XLOOKUP(D1970,Locales!$A:$A,Locales!$B:$B,""),"")</f>
        <v/>
      </c>
      <c r="F1970" s="9" cm="1">
        <f t="array" ref="F1970">IFERROR(_xlfn.XLOOKUP(B1970,Personal!$A:$A,Personal!$F:$F,""),"")</f>
        <v>0</v>
      </c>
      <c r="I1970" s="10" cm="1">
        <f t="array" ref="I1970">IFERROR(INDEX(Precios!$D:$F,MATCH(N1970, Precios!$G:$G, 0),CHOOSE(MATCH(H1970, {"SML";"XL";"XXL"}, 0), 1, 2, 3)), 0)</f>
        <v>0</v>
      </c>
      <c r="K1970" s="10">
        <f t="shared" si="68"/>
        <v>0</v>
      </c>
      <c r="N1970" s="9" t="str">
        <f t="shared" si="69"/>
        <v/>
      </c>
      <c r="O1970" s="9" t="str">
        <f>IF(N1970="","",IF(COUNTIF(Precios!$G:$G,N1970)=0,"⚠ No coincide con Precios","OK"))</f>
        <v/>
      </c>
    </row>
    <row r="1971" spans="3:15" x14ac:dyDescent="0.2">
      <c r="C1971" s="9" cm="1">
        <f t="array" ref="C1971">IFERROR(_xlfn.XLOOKUP(B1971,Personal!$A:$A,Personal!$D:$D,""),"")</f>
        <v>0</v>
      </c>
      <c r="D1971" s="9" cm="1">
        <f t="array" ref="D1971">IFERROR(_xlfn.XLOOKUP(B1971,Personal!$A:$A,Personal!$C:$C,""),"")</f>
        <v>0</v>
      </c>
      <c r="E1971" s="9" t="str" cm="1">
        <f t="array" ref="E1971">IFERROR(_xlfn.XLOOKUP(D1971,Locales!$A:$A,Locales!$B:$B,""),"")</f>
        <v/>
      </c>
      <c r="F1971" s="9" cm="1">
        <f t="array" ref="F1971">IFERROR(_xlfn.XLOOKUP(B1971,Personal!$A:$A,Personal!$F:$F,""),"")</f>
        <v>0</v>
      </c>
      <c r="I1971" s="10" cm="1">
        <f t="array" ref="I1971">IFERROR(INDEX(Precios!$D:$F,MATCH(N1971, Precios!$G:$G, 0),CHOOSE(MATCH(H1971, {"SML";"XL";"XXL"}, 0), 1, 2, 3)), 0)</f>
        <v>0</v>
      </c>
      <c r="K1971" s="10">
        <f t="shared" si="68"/>
        <v>0</v>
      </c>
      <c r="N1971" s="9" t="str">
        <f t="shared" si="69"/>
        <v/>
      </c>
      <c r="O1971" s="9" t="str">
        <f>IF(N1971="","",IF(COUNTIF(Precios!$G:$G,N1971)=0,"⚠ No coincide con Precios","OK"))</f>
        <v/>
      </c>
    </row>
    <row r="1972" spans="3:15" x14ac:dyDescent="0.2">
      <c r="C1972" s="9" cm="1">
        <f t="array" ref="C1972">IFERROR(_xlfn.XLOOKUP(B1972,Personal!$A:$A,Personal!$D:$D,""),"")</f>
        <v>0</v>
      </c>
      <c r="D1972" s="9" cm="1">
        <f t="array" ref="D1972">IFERROR(_xlfn.XLOOKUP(B1972,Personal!$A:$A,Personal!$C:$C,""),"")</f>
        <v>0</v>
      </c>
      <c r="E1972" s="9" t="str" cm="1">
        <f t="array" ref="E1972">IFERROR(_xlfn.XLOOKUP(D1972,Locales!$A:$A,Locales!$B:$B,""),"")</f>
        <v/>
      </c>
      <c r="F1972" s="9" cm="1">
        <f t="array" ref="F1972">IFERROR(_xlfn.XLOOKUP(B1972,Personal!$A:$A,Personal!$F:$F,""),"")</f>
        <v>0</v>
      </c>
      <c r="I1972" s="10" cm="1">
        <f t="array" ref="I1972">IFERROR(INDEX(Precios!$D:$F,MATCH(N1972, Precios!$G:$G, 0),CHOOSE(MATCH(H1972, {"SML";"XL";"XXL"}, 0), 1, 2, 3)), 0)</f>
        <v>0</v>
      </c>
      <c r="K1972" s="10">
        <f t="shared" si="68"/>
        <v>0</v>
      </c>
      <c r="N1972" s="9" t="str">
        <f t="shared" si="69"/>
        <v/>
      </c>
      <c r="O1972" s="9" t="str">
        <f>IF(N1972="","",IF(COUNTIF(Precios!$G:$G,N1972)=0,"⚠ No coincide con Precios","OK"))</f>
        <v/>
      </c>
    </row>
    <row r="1973" spans="3:15" x14ac:dyDescent="0.2">
      <c r="C1973" s="9" cm="1">
        <f t="array" ref="C1973">IFERROR(_xlfn.XLOOKUP(B1973,Personal!$A:$A,Personal!$D:$D,""),"")</f>
        <v>0</v>
      </c>
      <c r="D1973" s="9" cm="1">
        <f t="array" ref="D1973">IFERROR(_xlfn.XLOOKUP(B1973,Personal!$A:$A,Personal!$C:$C,""),"")</f>
        <v>0</v>
      </c>
      <c r="E1973" s="9" t="str" cm="1">
        <f t="array" ref="E1973">IFERROR(_xlfn.XLOOKUP(D1973,Locales!$A:$A,Locales!$B:$B,""),"")</f>
        <v/>
      </c>
      <c r="F1973" s="9" cm="1">
        <f t="array" ref="F1973">IFERROR(_xlfn.XLOOKUP(B1973,Personal!$A:$A,Personal!$F:$F,""),"")</f>
        <v>0</v>
      </c>
      <c r="I1973" s="10" cm="1">
        <f t="array" ref="I1973">IFERROR(INDEX(Precios!$D:$F,MATCH(N1973, Precios!$G:$G, 0),CHOOSE(MATCH(H1973, {"SML";"XL";"XXL"}, 0), 1, 2, 3)), 0)</f>
        <v>0</v>
      </c>
      <c r="K1973" s="10">
        <f t="shared" si="68"/>
        <v>0</v>
      </c>
      <c r="N1973" s="9" t="str">
        <f t="shared" si="69"/>
        <v/>
      </c>
      <c r="O1973" s="9" t="str">
        <f>IF(N1973="","",IF(COUNTIF(Precios!$G:$G,N1973)=0,"⚠ No coincide con Precios","OK"))</f>
        <v/>
      </c>
    </row>
    <row r="1974" spans="3:15" x14ac:dyDescent="0.2">
      <c r="C1974" s="9" cm="1">
        <f t="array" ref="C1974">IFERROR(_xlfn.XLOOKUP(B1974,Personal!$A:$A,Personal!$D:$D,""),"")</f>
        <v>0</v>
      </c>
      <c r="D1974" s="9" cm="1">
        <f t="array" ref="D1974">IFERROR(_xlfn.XLOOKUP(B1974,Personal!$A:$A,Personal!$C:$C,""),"")</f>
        <v>0</v>
      </c>
      <c r="E1974" s="9" t="str" cm="1">
        <f t="array" ref="E1974">IFERROR(_xlfn.XLOOKUP(D1974,Locales!$A:$A,Locales!$B:$B,""),"")</f>
        <v/>
      </c>
      <c r="F1974" s="9" cm="1">
        <f t="array" ref="F1974">IFERROR(_xlfn.XLOOKUP(B1974,Personal!$A:$A,Personal!$F:$F,""),"")</f>
        <v>0</v>
      </c>
      <c r="I1974" s="10" cm="1">
        <f t="array" ref="I1974">IFERROR(INDEX(Precios!$D:$F,MATCH(N1974, Precios!$G:$G, 0),CHOOSE(MATCH(H1974, {"SML";"XL";"XXL"}, 0), 1, 2, 3)), 0)</f>
        <v>0</v>
      </c>
      <c r="K1974" s="10">
        <f t="shared" si="68"/>
        <v>0</v>
      </c>
      <c r="N1974" s="9" t="str">
        <f t="shared" si="69"/>
        <v/>
      </c>
      <c r="O1974" s="9" t="str">
        <f>IF(N1974="","",IF(COUNTIF(Precios!$G:$G,N1974)=0,"⚠ No coincide con Precios","OK"))</f>
        <v/>
      </c>
    </row>
    <row r="1975" spans="3:15" x14ac:dyDescent="0.2">
      <c r="C1975" s="9" cm="1">
        <f t="array" ref="C1975">IFERROR(_xlfn.XLOOKUP(B1975,Personal!$A:$A,Personal!$D:$D,""),"")</f>
        <v>0</v>
      </c>
      <c r="D1975" s="9" cm="1">
        <f t="array" ref="D1975">IFERROR(_xlfn.XLOOKUP(B1975,Personal!$A:$A,Personal!$C:$C,""),"")</f>
        <v>0</v>
      </c>
      <c r="E1975" s="9" t="str" cm="1">
        <f t="array" ref="E1975">IFERROR(_xlfn.XLOOKUP(D1975,Locales!$A:$A,Locales!$B:$B,""),"")</f>
        <v/>
      </c>
      <c r="F1975" s="9" cm="1">
        <f t="array" ref="F1975">IFERROR(_xlfn.XLOOKUP(B1975,Personal!$A:$A,Personal!$F:$F,""),"")</f>
        <v>0</v>
      </c>
      <c r="I1975" s="10" cm="1">
        <f t="array" ref="I1975">IFERROR(INDEX(Precios!$D:$F,MATCH(N1975, Precios!$G:$G, 0),CHOOSE(MATCH(H1975, {"SML";"XL";"XXL"}, 0), 1, 2, 3)), 0)</f>
        <v>0</v>
      </c>
      <c r="K1975" s="10">
        <f t="shared" si="68"/>
        <v>0</v>
      </c>
      <c r="N1975" s="9" t="str">
        <f t="shared" si="69"/>
        <v/>
      </c>
      <c r="O1975" s="9" t="str">
        <f>IF(N1975="","",IF(COUNTIF(Precios!$G:$G,N1975)=0,"⚠ No coincide con Precios","OK"))</f>
        <v/>
      </c>
    </row>
    <row r="1976" spans="3:15" x14ac:dyDescent="0.2">
      <c r="C1976" s="9" cm="1">
        <f t="array" ref="C1976">IFERROR(_xlfn.XLOOKUP(B1976,Personal!$A:$A,Personal!$D:$D,""),"")</f>
        <v>0</v>
      </c>
      <c r="D1976" s="9" cm="1">
        <f t="array" ref="D1976">IFERROR(_xlfn.XLOOKUP(B1976,Personal!$A:$A,Personal!$C:$C,""),"")</f>
        <v>0</v>
      </c>
      <c r="E1976" s="9" t="str" cm="1">
        <f t="array" ref="E1976">IFERROR(_xlfn.XLOOKUP(D1976,Locales!$A:$A,Locales!$B:$B,""),"")</f>
        <v/>
      </c>
      <c r="F1976" s="9" cm="1">
        <f t="array" ref="F1976">IFERROR(_xlfn.XLOOKUP(B1976,Personal!$A:$A,Personal!$F:$F,""),"")</f>
        <v>0</v>
      </c>
      <c r="I1976" s="10" cm="1">
        <f t="array" ref="I1976">IFERROR(INDEX(Precios!$D:$F,MATCH(N1976, Precios!$G:$G, 0),CHOOSE(MATCH(H1976, {"SML";"XL";"XXL"}, 0), 1, 2, 3)), 0)</f>
        <v>0</v>
      </c>
      <c r="K1976" s="10">
        <f t="shared" si="68"/>
        <v>0</v>
      </c>
      <c r="N1976" s="9" t="str">
        <f t="shared" si="69"/>
        <v/>
      </c>
      <c r="O1976" s="9" t="str">
        <f>IF(N1976="","",IF(COUNTIF(Precios!$G:$G,N1976)=0,"⚠ No coincide con Precios","OK"))</f>
        <v/>
      </c>
    </row>
    <row r="1977" spans="3:15" x14ac:dyDescent="0.2">
      <c r="C1977" s="9" cm="1">
        <f t="array" ref="C1977">IFERROR(_xlfn.XLOOKUP(B1977,Personal!$A:$A,Personal!$D:$D,""),"")</f>
        <v>0</v>
      </c>
      <c r="D1977" s="9" cm="1">
        <f t="array" ref="D1977">IFERROR(_xlfn.XLOOKUP(B1977,Personal!$A:$A,Personal!$C:$C,""),"")</f>
        <v>0</v>
      </c>
      <c r="E1977" s="9" t="str" cm="1">
        <f t="array" ref="E1977">IFERROR(_xlfn.XLOOKUP(D1977,Locales!$A:$A,Locales!$B:$B,""),"")</f>
        <v/>
      </c>
      <c r="F1977" s="9" cm="1">
        <f t="array" ref="F1977">IFERROR(_xlfn.XLOOKUP(B1977,Personal!$A:$A,Personal!$F:$F,""),"")</f>
        <v>0</v>
      </c>
      <c r="I1977" s="10" cm="1">
        <f t="array" ref="I1977">IFERROR(INDEX(Precios!$D:$F,MATCH(N1977, Precios!$G:$G, 0),CHOOSE(MATCH(H1977, {"SML";"XL";"XXL"}, 0), 1, 2, 3)), 0)</f>
        <v>0</v>
      </c>
      <c r="K1977" s="10">
        <f t="shared" si="68"/>
        <v>0</v>
      </c>
      <c r="N1977" s="9" t="str">
        <f t="shared" si="69"/>
        <v/>
      </c>
      <c r="O1977" s="9" t="str">
        <f>IF(N1977="","",IF(COUNTIF(Precios!$G:$G,N1977)=0,"⚠ No coincide con Precios","OK"))</f>
        <v/>
      </c>
    </row>
    <row r="1978" spans="3:15" x14ac:dyDescent="0.2">
      <c r="C1978" s="9" cm="1">
        <f t="array" ref="C1978">IFERROR(_xlfn.XLOOKUP(B1978,Personal!$A:$A,Personal!$D:$D,""),"")</f>
        <v>0</v>
      </c>
      <c r="D1978" s="9" cm="1">
        <f t="array" ref="D1978">IFERROR(_xlfn.XLOOKUP(B1978,Personal!$A:$A,Personal!$C:$C,""),"")</f>
        <v>0</v>
      </c>
      <c r="E1978" s="9" t="str" cm="1">
        <f t="array" ref="E1978">IFERROR(_xlfn.XLOOKUP(D1978,Locales!$A:$A,Locales!$B:$B,""),"")</f>
        <v/>
      </c>
      <c r="F1978" s="9" cm="1">
        <f t="array" ref="F1978">IFERROR(_xlfn.XLOOKUP(B1978,Personal!$A:$A,Personal!$F:$F,""),"")</f>
        <v>0</v>
      </c>
      <c r="I1978" s="10" cm="1">
        <f t="array" ref="I1978">IFERROR(INDEX(Precios!$D:$F,MATCH(N1978, Precios!$G:$G, 0),CHOOSE(MATCH(H1978, {"SML";"XL";"XXL"}, 0), 1, 2, 3)), 0)</f>
        <v>0</v>
      </c>
      <c r="K1978" s="10">
        <f t="shared" si="68"/>
        <v>0</v>
      </c>
      <c r="N1978" s="9" t="str">
        <f t="shared" si="69"/>
        <v/>
      </c>
      <c r="O1978" s="9" t="str">
        <f>IF(N1978="","",IF(COUNTIF(Precios!$G:$G,N1978)=0,"⚠ No coincide con Precios","OK"))</f>
        <v/>
      </c>
    </row>
    <row r="1979" spans="3:15" x14ac:dyDescent="0.2">
      <c r="C1979" s="9" cm="1">
        <f t="array" ref="C1979">IFERROR(_xlfn.XLOOKUP(B1979,Personal!$A:$A,Personal!$D:$D,""),"")</f>
        <v>0</v>
      </c>
      <c r="D1979" s="9" cm="1">
        <f t="array" ref="D1979">IFERROR(_xlfn.XLOOKUP(B1979,Personal!$A:$A,Personal!$C:$C,""),"")</f>
        <v>0</v>
      </c>
      <c r="E1979" s="9" t="str" cm="1">
        <f t="array" ref="E1979">IFERROR(_xlfn.XLOOKUP(D1979,Locales!$A:$A,Locales!$B:$B,""),"")</f>
        <v/>
      </c>
      <c r="F1979" s="9" cm="1">
        <f t="array" ref="F1979">IFERROR(_xlfn.XLOOKUP(B1979,Personal!$A:$A,Personal!$F:$F,""),"")</f>
        <v>0</v>
      </c>
      <c r="I1979" s="10" cm="1">
        <f t="array" ref="I1979">IFERROR(INDEX(Precios!$D:$F,MATCH(N1979, Precios!$G:$G, 0),CHOOSE(MATCH(H1979, {"SML";"XL";"XXL"}, 0), 1, 2, 3)), 0)</f>
        <v>0</v>
      </c>
      <c r="K1979" s="10">
        <f t="shared" si="68"/>
        <v>0</v>
      </c>
      <c r="N1979" s="9" t="str">
        <f t="shared" si="69"/>
        <v/>
      </c>
      <c r="O1979" s="9" t="str">
        <f>IF(N1979="","",IF(COUNTIF(Precios!$G:$G,N1979)=0,"⚠ No coincide con Precios","OK"))</f>
        <v/>
      </c>
    </row>
    <row r="1980" spans="3:15" x14ac:dyDescent="0.2">
      <c r="C1980" s="9" cm="1">
        <f t="array" ref="C1980">IFERROR(_xlfn.XLOOKUP(B1980,Personal!$A:$A,Personal!$D:$D,""),"")</f>
        <v>0</v>
      </c>
      <c r="D1980" s="9" cm="1">
        <f t="array" ref="D1980">IFERROR(_xlfn.XLOOKUP(B1980,Personal!$A:$A,Personal!$C:$C,""),"")</f>
        <v>0</v>
      </c>
      <c r="E1980" s="9" t="str" cm="1">
        <f t="array" ref="E1980">IFERROR(_xlfn.XLOOKUP(D1980,Locales!$A:$A,Locales!$B:$B,""),"")</f>
        <v/>
      </c>
      <c r="F1980" s="9" cm="1">
        <f t="array" ref="F1980">IFERROR(_xlfn.XLOOKUP(B1980,Personal!$A:$A,Personal!$F:$F,""),"")</f>
        <v>0</v>
      </c>
      <c r="I1980" s="10" cm="1">
        <f t="array" ref="I1980">IFERROR(INDEX(Precios!$D:$F,MATCH(N1980, Precios!$G:$G, 0),CHOOSE(MATCH(H1980, {"SML";"XL";"XXL"}, 0), 1, 2, 3)), 0)</f>
        <v>0</v>
      </c>
      <c r="K1980" s="10">
        <f t="shared" si="68"/>
        <v>0</v>
      </c>
      <c r="N1980" s="9" t="str">
        <f t="shared" si="69"/>
        <v/>
      </c>
      <c r="O1980" s="9" t="str">
        <f>IF(N1980="","",IF(COUNTIF(Precios!$G:$G,N1980)=0,"⚠ No coincide con Precios","OK"))</f>
        <v/>
      </c>
    </row>
    <row r="1981" spans="3:15" x14ac:dyDescent="0.2">
      <c r="C1981" s="9" cm="1">
        <f t="array" ref="C1981">IFERROR(_xlfn.XLOOKUP(B1981,Personal!$A:$A,Personal!$D:$D,""),"")</f>
        <v>0</v>
      </c>
      <c r="D1981" s="9" cm="1">
        <f t="array" ref="D1981">IFERROR(_xlfn.XLOOKUP(B1981,Personal!$A:$A,Personal!$C:$C,""),"")</f>
        <v>0</v>
      </c>
      <c r="E1981" s="9" t="str" cm="1">
        <f t="array" ref="E1981">IFERROR(_xlfn.XLOOKUP(D1981,Locales!$A:$A,Locales!$B:$B,""),"")</f>
        <v/>
      </c>
      <c r="F1981" s="9" cm="1">
        <f t="array" ref="F1981">IFERROR(_xlfn.XLOOKUP(B1981,Personal!$A:$A,Personal!$F:$F,""),"")</f>
        <v>0</v>
      </c>
      <c r="I1981" s="10" cm="1">
        <f t="array" ref="I1981">IFERROR(INDEX(Precios!$D:$F,MATCH(N1981, Precios!$G:$G, 0),CHOOSE(MATCH(H1981, {"SML";"XL";"XXL"}, 0), 1, 2, 3)), 0)</f>
        <v>0</v>
      </c>
      <c r="K1981" s="10">
        <f t="shared" si="68"/>
        <v>0</v>
      </c>
      <c r="N1981" s="9" t="str">
        <f t="shared" si="69"/>
        <v/>
      </c>
      <c r="O1981" s="9" t="str">
        <f>IF(N1981="","",IF(COUNTIF(Precios!$G:$G,N1981)=0,"⚠ No coincide con Precios","OK"))</f>
        <v/>
      </c>
    </row>
    <row r="1982" spans="3:15" x14ac:dyDescent="0.2">
      <c r="C1982" s="9" cm="1">
        <f t="array" ref="C1982">IFERROR(_xlfn.XLOOKUP(B1982,Personal!$A:$A,Personal!$D:$D,""),"")</f>
        <v>0</v>
      </c>
      <c r="D1982" s="9" cm="1">
        <f t="array" ref="D1982">IFERROR(_xlfn.XLOOKUP(B1982,Personal!$A:$A,Personal!$C:$C,""),"")</f>
        <v>0</v>
      </c>
      <c r="E1982" s="9" t="str" cm="1">
        <f t="array" ref="E1982">IFERROR(_xlfn.XLOOKUP(D1982,Locales!$A:$A,Locales!$B:$B,""),"")</f>
        <v/>
      </c>
      <c r="F1982" s="9" cm="1">
        <f t="array" ref="F1982">IFERROR(_xlfn.XLOOKUP(B1982,Personal!$A:$A,Personal!$F:$F,""),"")</f>
        <v>0</v>
      </c>
      <c r="I1982" s="10" cm="1">
        <f t="array" ref="I1982">IFERROR(INDEX(Precios!$D:$F,MATCH(N1982, Precios!$G:$G, 0),CHOOSE(MATCH(H1982, {"SML";"XL";"XXL"}, 0), 1, 2, 3)), 0)</f>
        <v>0</v>
      </c>
      <c r="K1982" s="10">
        <f t="shared" si="68"/>
        <v>0</v>
      </c>
      <c r="N1982" s="9" t="str">
        <f t="shared" si="69"/>
        <v/>
      </c>
      <c r="O1982" s="9" t="str">
        <f>IF(N1982="","",IF(COUNTIF(Precios!$G:$G,N1982)=0,"⚠ No coincide con Precios","OK"))</f>
        <v/>
      </c>
    </row>
    <row r="1983" spans="3:15" x14ac:dyDescent="0.2">
      <c r="C1983" s="9" cm="1">
        <f t="array" ref="C1983">IFERROR(_xlfn.XLOOKUP(B1983,Personal!$A:$A,Personal!$D:$D,""),"")</f>
        <v>0</v>
      </c>
      <c r="D1983" s="9" cm="1">
        <f t="array" ref="D1983">IFERROR(_xlfn.XLOOKUP(B1983,Personal!$A:$A,Personal!$C:$C,""),"")</f>
        <v>0</v>
      </c>
      <c r="E1983" s="9" t="str" cm="1">
        <f t="array" ref="E1983">IFERROR(_xlfn.XLOOKUP(D1983,Locales!$A:$A,Locales!$B:$B,""),"")</f>
        <v/>
      </c>
      <c r="F1983" s="9" cm="1">
        <f t="array" ref="F1983">IFERROR(_xlfn.XLOOKUP(B1983,Personal!$A:$A,Personal!$F:$F,""),"")</f>
        <v>0</v>
      </c>
      <c r="I1983" s="10" cm="1">
        <f t="array" ref="I1983">IFERROR(INDEX(Precios!$D:$F,MATCH(N1983, Precios!$G:$G, 0),CHOOSE(MATCH(H1983, {"SML";"XL";"XXL"}, 0), 1, 2, 3)), 0)</f>
        <v>0</v>
      </c>
      <c r="K1983" s="10">
        <f t="shared" si="68"/>
        <v>0</v>
      </c>
      <c r="N1983" s="9" t="str">
        <f t="shared" si="69"/>
        <v/>
      </c>
      <c r="O1983" s="9" t="str">
        <f>IF(N1983="","",IF(COUNTIF(Precios!$G:$G,N1983)=0,"⚠ No coincide con Precios","OK"))</f>
        <v/>
      </c>
    </row>
    <row r="1984" spans="3:15" x14ac:dyDescent="0.2">
      <c r="C1984" s="9" cm="1">
        <f t="array" ref="C1984">IFERROR(_xlfn.XLOOKUP(B1984,Personal!$A:$A,Personal!$D:$D,""),"")</f>
        <v>0</v>
      </c>
      <c r="D1984" s="9" cm="1">
        <f t="array" ref="D1984">IFERROR(_xlfn.XLOOKUP(B1984,Personal!$A:$A,Personal!$C:$C,""),"")</f>
        <v>0</v>
      </c>
      <c r="E1984" s="9" t="str" cm="1">
        <f t="array" ref="E1984">IFERROR(_xlfn.XLOOKUP(D1984,Locales!$A:$A,Locales!$B:$B,""),"")</f>
        <v/>
      </c>
      <c r="F1984" s="9" cm="1">
        <f t="array" ref="F1984">IFERROR(_xlfn.XLOOKUP(B1984,Personal!$A:$A,Personal!$F:$F,""),"")</f>
        <v>0</v>
      </c>
      <c r="I1984" s="10" cm="1">
        <f t="array" ref="I1984">IFERROR(INDEX(Precios!$D:$F,MATCH(N1984, Precios!$G:$G, 0),CHOOSE(MATCH(H1984, {"SML";"XL";"XXL"}, 0), 1, 2, 3)), 0)</f>
        <v>0</v>
      </c>
      <c r="K1984" s="10">
        <f t="shared" ref="K1984:K2047" si="70">IFERROR(I1984*J1984,0)</f>
        <v>0</v>
      </c>
      <c r="N1984" s="9" t="str">
        <f t="shared" ref="N1984:N2047" si="71">IF( OR(E1984="",F1984="",G1984=""), "",CLEAN(TRIM(E1984)) &amp; "|" &amp; CLEAN(TRIM(F1984)) &amp; "|" &amp; CLEAN(TRIM(G1984)))</f>
        <v/>
      </c>
      <c r="O1984" s="9" t="str">
        <f>IF(N1984="","",IF(COUNTIF(Precios!$G:$G,N1984)=0,"⚠ No coincide con Precios","OK"))</f>
        <v/>
      </c>
    </row>
    <row r="1985" spans="3:15" x14ac:dyDescent="0.2">
      <c r="C1985" s="9" cm="1">
        <f t="array" ref="C1985">IFERROR(_xlfn.XLOOKUP(B1985,Personal!$A:$A,Personal!$D:$D,""),"")</f>
        <v>0</v>
      </c>
      <c r="D1985" s="9" cm="1">
        <f t="array" ref="D1985">IFERROR(_xlfn.XLOOKUP(B1985,Personal!$A:$A,Personal!$C:$C,""),"")</f>
        <v>0</v>
      </c>
      <c r="E1985" s="9" t="str" cm="1">
        <f t="array" ref="E1985">IFERROR(_xlfn.XLOOKUP(D1985,Locales!$A:$A,Locales!$B:$B,""),"")</f>
        <v/>
      </c>
      <c r="F1985" s="9" cm="1">
        <f t="array" ref="F1985">IFERROR(_xlfn.XLOOKUP(B1985,Personal!$A:$A,Personal!$F:$F,""),"")</f>
        <v>0</v>
      </c>
      <c r="I1985" s="10" cm="1">
        <f t="array" ref="I1985">IFERROR(INDEX(Precios!$D:$F,MATCH(N1985, Precios!$G:$G, 0),CHOOSE(MATCH(H1985, {"SML";"XL";"XXL"}, 0), 1, 2, 3)), 0)</f>
        <v>0</v>
      </c>
      <c r="K1985" s="10">
        <f t="shared" si="70"/>
        <v>0</v>
      </c>
      <c r="N1985" s="9" t="str">
        <f t="shared" si="71"/>
        <v/>
      </c>
      <c r="O1985" s="9" t="str">
        <f>IF(N1985="","",IF(COUNTIF(Precios!$G:$G,N1985)=0,"⚠ No coincide con Precios","OK"))</f>
        <v/>
      </c>
    </row>
    <row r="1986" spans="3:15" x14ac:dyDescent="0.2">
      <c r="C1986" s="9" cm="1">
        <f t="array" ref="C1986">IFERROR(_xlfn.XLOOKUP(B1986,Personal!$A:$A,Personal!$D:$D,""),"")</f>
        <v>0</v>
      </c>
      <c r="D1986" s="9" cm="1">
        <f t="array" ref="D1986">IFERROR(_xlfn.XLOOKUP(B1986,Personal!$A:$A,Personal!$C:$C,""),"")</f>
        <v>0</v>
      </c>
      <c r="E1986" s="9" t="str" cm="1">
        <f t="array" ref="E1986">IFERROR(_xlfn.XLOOKUP(D1986,Locales!$A:$A,Locales!$B:$B,""),"")</f>
        <v/>
      </c>
      <c r="F1986" s="9" cm="1">
        <f t="array" ref="F1986">IFERROR(_xlfn.XLOOKUP(B1986,Personal!$A:$A,Personal!$F:$F,""),"")</f>
        <v>0</v>
      </c>
      <c r="I1986" s="10" cm="1">
        <f t="array" ref="I1986">IFERROR(INDEX(Precios!$D:$F,MATCH(N1986, Precios!$G:$G, 0),CHOOSE(MATCH(H1986, {"SML";"XL";"XXL"}, 0), 1, 2, 3)), 0)</f>
        <v>0</v>
      </c>
      <c r="K1986" s="10">
        <f t="shared" si="70"/>
        <v>0</v>
      </c>
      <c r="N1986" s="9" t="str">
        <f t="shared" si="71"/>
        <v/>
      </c>
      <c r="O1986" s="9" t="str">
        <f>IF(N1986="","",IF(COUNTIF(Precios!$G:$G,N1986)=0,"⚠ No coincide con Precios","OK"))</f>
        <v/>
      </c>
    </row>
    <row r="1987" spans="3:15" x14ac:dyDescent="0.2">
      <c r="C1987" s="9" cm="1">
        <f t="array" ref="C1987">IFERROR(_xlfn.XLOOKUP(B1987,Personal!$A:$A,Personal!$D:$D,""),"")</f>
        <v>0</v>
      </c>
      <c r="D1987" s="9" cm="1">
        <f t="array" ref="D1987">IFERROR(_xlfn.XLOOKUP(B1987,Personal!$A:$A,Personal!$C:$C,""),"")</f>
        <v>0</v>
      </c>
      <c r="E1987" s="9" t="str" cm="1">
        <f t="array" ref="E1987">IFERROR(_xlfn.XLOOKUP(D1987,Locales!$A:$A,Locales!$B:$B,""),"")</f>
        <v/>
      </c>
      <c r="F1987" s="9" cm="1">
        <f t="array" ref="F1987">IFERROR(_xlfn.XLOOKUP(B1987,Personal!$A:$A,Personal!$F:$F,""),"")</f>
        <v>0</v>
      </c>
      <c r="I1987" s="10" cm="1">
        <f t="array" ref="I1987">IFERROR(INDEX(Precios!$D:$F,MATCH(N1987, Precios!$G:$G, 0),CHOOSE(MATCH(H1987, {"SML";"XL";"XXL"}, 0), 1, 2, 3)), 0)</f>
        <v>0</v>
      </c>
      <c r="K1987" s="10">
        <f t="shared" si="70"/>
        <v>0</v>
      </c>
      <c r="N1987" s="9" t="str">
        <f t="shared" si="71"/>
        <v/>
      </c>
      <c r="O1987" s="9" t="str">
        <f>IF(N1987="","",IF(COUNTIF(Precios!$G:$G,N1987)=0,"⚠ No coincide con Precios","OK"))</f>
        <v/>
      </c>
    </row>
    <row r="1988" spans="3:15" x14ac:dyDescent="0.2">
      <c r="C1988" s="9" cm="1">
        <f t="array" ref="C1988">IFERROR(_xlfn.XLOOKUP(B1988,Personal!$A:$A,Personal!$D:$D,""),"")</f>
        <v>0</v>
      </c>
      <c r="D1988" s="9" cm="1">
        <f t="array" ref="D1988">IFERROR(_xlfn.XLOOKUP(B1988,Personal!$A:$A,Personal!$C:$C,""),"")</f>
        <v>0</v>
      </c>
      <c r="E1988" s="9" t="str" cm="1">
        <f t="array" ref="E1988">IFERROR(_xlfn.XLOOKUP(D1988,Locales!$A:$A,Locales!$B:$B,""),"")</f>
        <v/>
      </c>
      <c r="F1988" s="9" cm="1">
        <f t="array" ref="F1988">IFERROR(_xlfn.XLOOKUP(B1988,Personal!$A:$A,Personal!$F:$F,""),"")</f>
        <v>0</v>
      </c>
      <c r="I1988" s="10" cm="1">
        <f t="array" ref="I1988">IFERROR(INDEX(Precios!$D:$F,MATCH(N1988, Precios!$G:$G, 0),CHOOSE(MATCH(H1988, {"SML";"XL";"XXL"}, 0), 1, 2, 3)), 0)</f>
        <v>0</v>
      </c>
      <c r="K1988" s="10">
        <f t="shared" si="70"/>
        <v>0</v>
      </c>
      <c r="N1988" s="9" t="str">
        <f t="shared" si="71"/>
        <v/>
      </c>
      <c r="O1988" s="9" t="str">
        <f>IF(N1988="","",IF(COUNTIF(Precios!$G:$G,N1988)=0,"⚠ No coincide con Precios","OK"))</f>
        <v/>
      </c>
    </row>
    <row r="1989" spans="3:15" x14ac:dyDescent="0.2">
      <c r="C1989" s="9" cm="1">
        <f t="array" ref="C1989">IFERROR(_xlfn.XLOOKUP(B1989,Personal!$A:$A,Personal!$D:$D,""),"")</f>
        <v>0</v>
      </c>
      <c r="D1989" s="9" cm="1">
        <f t="array" ref="D1989">IFERROR(_xlfn.XLOOKUP(B1989,Personal!$A:$A,Personal!$C:$C,""),"")</f>
        <v>0</v>
      </c>
      <c r="E1989" s="9" t="str" cm="1">
        <f t="array" ref="E1989">IFERROR(_xlfn.XLOOKUP(D1989,Locales!$A:$A,Locales!$B:$B,""),"")</f>
        <v/>
      </c>
      <c r="F1989" s="9" cm="1">
        <f t="array" ref="F1989">IFERROR(_xlfn.XLOOKUP(B1989,Personal!$A:$A,Personal!$F:$F,""),"")</f>
        <v>0</v>
      </c>
      <c r="I1989" s="10" cm="1">
        <f t="array" ref="I1989">IFERROR(INDEX(Precios!$D:$F,MATCH(N1989, Precios!$G:$G, 0),CHOOSE(MATCH(H1989, {"SML";"XL";"XXL"}, 0), 1, 2, 3)), 0)</f>
        <v>0</v>
      </c>
      <c r="K1989" s="10">
        <f t="shared" si="70"/>
        <v>0</v>
      </c>
      <c r="N1989" s="9" t="str">
        <f t="shared" si="71"/>
        <v/>
      </c>
      <c r="O1989" s="9" t="str">
        <f>IF(N1989="","",IF(COUNTIF(Precios!$G:$G,N1989)=0,"⚠ No coincide con Precios","OK"))</f>
        <v/>
      </c>
    </row>
    <row r="1990" spans="3:15" x14ac:dyDescent="0.2">
      <c r="C1990" s="9" cm="1">
        <f t="array" ref="C1990">IFERROR(_xlfn.XLOOKUP(B1990,Personal!$A:$A,Personal!$D:$D,""),"")</f>
        <v>0</v>
      </c>
      <c r="D1990" s="9" cm="1">
        <f t="array" ref="D1990">IFERROR(_xlfn.XLOOKUP(B1990,Personal!$A:$A,Personal!$C:$C,""),"")</f>
        <v>0</v>
      </c>
      <c r="E1990" s="9" t="str" cm="1">
        <f t="array" ref="E1990">IFERROR(_xlfn.XLOOKUP(D1990,Locales!$A:$A,Locales!$B:$B,""),"")</f>
        <v/>
      </c>
      <c r="F1990" s="9" cm="1">
        <f t="array" ref="F1990">IFERROR(_xlfn.XLOOKUP(B1990,Personal!$A:$A,Personal!$F:$F,""),"")</f>
        <v>0</v>
      </c>
      <c r="I1990" s="10" cm="1">
        <f t="array" ref="I1990">IFERROR(INDEX(Precios!$D:$F,MATCH(N1990, Precios!$G:$G, 0),CHOOSE(MATCH(H1990, {"SML";"XL";"XXL"}, 0), 1, 2, 3)), 0)</f>
        <v>0</v>
      </c>
      <c r="K1990" s="10">
        <f t="shared" si="70"/>
        <v>0</v>
      </c>
      <c r="N1990" s="9" t="str">
        <f t="shared" si="71"/>
        <v/>
      </c>
      <c r="O1990" s="9" t="str">
        <f>IF(N1990="","",IF(COUNTIF(Precios!$G:$G,N1990)=0,"⚠ No coincide con Precios","OK"))</f>
        <v/>
      </c>
    </row>
    <row r="1991" spans="3:15" x14ac:dyDescent="0.2">
      <c r="C1991" s="9" cm="1">
        <f t="array" ref="C1991">IFERROR(_xlfn.XLOOKUP(B1991,Personal!$A:$A,Personal!$D:$D,""),"")</f>
        <v>0</v>
      </c>
      <c r="D1991" s="9" cm="1">
        <f t="array" ref="D1991">IFERROR(_xlfn.XLOOKUP(B1991,Personal!$A:$A,Personal!$C:$C,""),"")</f>
        <v>0</v>
      </c>
      <c r="E1991" s="9" t="str" cm="1">
        <f t="array" ref="E1991">IFERROR(_xlfn.XLOOKUP(D1991,Locales!$A:$A,Locales!$B:$B,""),"")</f>
        <v/>
      </c>
      <c r="F1991" s="9" cm="1">
        <f t="array" ref="F1991">IFERROR(_xlfn.XLOOKUP(B1991,Personal!$A:$A,Personal!$F:$F,""),"")</f>
        <v>0</v>
      </c>
      <c r="I1991" s="10" cm="1">
        <f t="array" ref="I1991">IFERROR(INDEX(Precios!$D:$F,MATCH(N1991, Precios!$G:$G, 0),CHOOSE(MATCH(H1991, {"SML";"XL";"XXL"}, 0), 1, 2, 3)), 0)</f>
        <v>0</v>
      </c>
      <c r="K1991" s="10">
        <f t="shared" si="70"/>
        <v>0</v>
      </c>
      <c r="N1991" s="9" t="str">
        <f t="shared" si="71"/>
        <v/>
      </c>
      <c r="O1991" s="9" t="str">
        <f>IF(N1991="","",IF(COUNTIF(Precios!$G:$G,N1991)=0,"⚠ No coincide con Precios","OK"))</f>
        <v/>
      </c>
    </row>
    <row r="1992" spans="3:15" x14ac:dyDescent="0.2">
      <c r="C1992" s="9" cm="1">
        <f t="array" ref="C1992">IFERROR(_xlfn.XLOOKUP(B1992,Personal!$A:$A,Personal!$D:$D,""),"")</f>
        <v>0</v>
      </c>
      <c r="D1992" s="9" cm="1">
        <f t="array" ref="D1992">IFERROR(_xlfn.XLOOKUP(B1992,Personal!$A:$A,Personal!$C:$C,""),"")</f>
        <v>0</v>
      </c>
      <c r="E1992" s="9" t="str" cm="1">
        <f t="array" ref="E1992">IFERROR(_xlfn.XLOOKUP(D1992,Locales!$A:$A,Locales!$B:$B,""),"")</f>
        <v/>
      </c>
      <c r="F1992" s="9" cm="1">
        <f t="array" ref="F1992">IFERROR(_xlfn.XLOOKUP(B1992,Personal!$A:$A,Personal!$F:$F,""),"")</f>
        <v>0</v>
      </c>
      <c r="I1992" s="10" cm="1">
        <f t="array" ref="I1992">IFERROR(INDEX(Precios!$D:$F,MATCH(N1992, Precios!$G:$G, 0),CHOOSE(MATCH(H1992, {"SML";"XL";"XXL"}, 0), 1, 2, 3)), 0)</f>
        <v>0</v>
      </c>
      <c r="K1992" s="10">
        <f t="shared" si="70"/>
        <v>0</v>
      </c>
      <c r="N1992" s="9" t="str">
        <f t="shared" si="71"/>
        <v/>
      </c>
      <c r="O1992" s="9" t="str">
        <f>IF(N1992="","",IF(COUNTIF(Precios!$G:$G,N1992)=0,"⚠ No coincide con Precios","OK"))</f>
        <v/>
      </c>
    </row>
    <row r="1993" spans="3:15" x14ac:dyDescent="0.2">
      <c r="C1993" s="9" cm="1">
        <f t="array" ref="C1993">IFERROR(_xlfn.XLOOKUP(B1993,Personal!$A:$A,Personal!$D:$D,""),"")</f>
        <v>0</v>
      </c>
      <c r="D1993" s="9" cm="1">
        <f t="array" ref="D1993">IFERROR(_xlfn.XLOOKUP(B1993,Personal!$A:$A,Personal!$C:$C,""),"")</f>
        <v>0</v>
      </c>
      <c r="E1993" s="9" t="str" cm="1">
        <f t="array" ref="E1993">IFERROR(_xlfn.XLOOKUP(D1993,Locales!$A:$A,Locales!$B:$B,""),"")</f>
        <v/>
      </c>
      <c r="F1993" s="9" cm="1">
        <f t="array" ref="F1993">IFERROR(_xlfn.XLOOKUP(B1993,Personal!$A:$A,Personal!$F:$F,""),"")</f>
        <v>0</v>
      </c>
      <c r="I1993" s="10" cm="1">
        <f t="array" ref="I1993">IFERROR(INDEX(Precios!$D:$F,MATCH(N1993, Precios!$G:$G, 0),CHOOSE(MATCH(H1993, {"SML";"XL";"XXL"}, 0), 1, 2, 3)), 0)</f>
        <v>0</v>
      </c>
      <c r="K1993" s="10">
        <f t="shared" si="70"/>
        <v>0</v>
      </c>
      <c r="N1993" s="9" t="str">
        <f t="shared" si="71"/>
        <v/>
      </c>
      <c r="O1993" s="9" t="str">
        <f>IF(N1993="","",IF(COUNTIF(Precios!$G:$G,N1993)=0,"⚠ No coincide con Precios","OK"))</f>
        <v/>
      </c>
    </row>
    <row r="1994" spans="3:15" x14ac:dyDescent="0.2">
      <c r="C1994" s="9" cm="1">
        <f t="array" ref="C1994">IFERROR(_xlfn.XLOOKUP(B1994,Personal!$A:$A,Personal!$D:$D,""),"")</f>
        <v>0</v>
      </c>
      <c r="D1994" s="9" cm="1">
        <f t="array" ref="D1994">IFERROR(_xlfn.XLOOKUP(B1994,Personal!$A:$A,Personal!$C:$C,""),"")</f>
        <v>0</v>
      </c>
      <c r="E1994" s="9" t="str" cm="1">
        <f t="array" ref="E1994">IFERROR(_xlfn.XLOOKUP(D1994,Locales!$A:$A,Locales!$B:$B,""),"")</f>
        <v/>
      </c>
      <c r="F1994" s="9" cm="1">
        <f t="array" ref="F1994">IFERROR(_xlfn.XLOOKUP(B1994,Personal!$A:$A,Personal!$F:$F,""),"")</f>
        <v>0</v>
      </c>
      <c r="I1994" s="10" cm="1">
        <f t="array" ref="I1994">IFERROR(INDEX(Precios!$D:$F,MATCH(N1994, Precios!$G:$G, 0),CHOOSE(MATCH(H1994, {"SML";"XL";"XXL"}, 0), 1, 2, 3)), 0)</f>
        <v>0</v>
      </c>
      <c r="K1994" s="10">
        <f t="shared" si="70"/>
        <v>0</v>
      </c>
      <c r="N1994" s="9" t="str">
        <f t="shared" si="71"/>
        <v/>
      </c>
      <c r="O1994" s="9" t="str">
        <f>IF(N1994="","",IF(COUNTIF(Precios!$G:$G,N1994)=0,"⚠ No coincide con Precios","OK"))</f>
        <v/>
      </c>
    </row>
    <row r="1995" spans="3:15" x14ac:dyDescent="0.2">
      <c r="C1995" s="9" cm="1">
        <f t="array" ref="C1995">IFERROR(_xlfn.XLOOKUP(B1995,Personal!$A:$A,Personal!$D:$D,""),"")</f>
        <v>0</v>
      </c>
      <c r="D1995" s="9" cm="1">
        <f t="array" ref="D1995">IFERROR(_xlfn.XLOOKUP(B1995,Personal!$A:$A,Personal!$C:$C,""),"")</f>
        <v>0</v>
      </c>
      <c r="E1995" s="9" t="str" cm="1">
        <f t="array" ref="E1995">IFERROR(_xlfn.XLOOKUP(D1995,Locales!$A:$A,Locales!$B:$B,""),"")</f>
        <v/>
      </c>
      <c r="F1995" s="9" cm="1">
        <f t="array" ref="F1995">IFERROR(_xlfn.XLOOKUP(B1995,Personal!$A:$A,Personal!$F:$F,""),"")</f>
        <v>0</v>
      </c>
      <c r="I1995" s="10" cm="1">
        <f t="array" ref="I1995">IFERROR(INDEX(Precios!$D:$F,MATCH(N1995, Precios!$G:$G, 0),CHOOSE(MATCH(H1995, {"SML";"XL";"XXL"}, 0), 1, 2, 3)), 0)</f>
        <v>0</v>
      </c>
      <c r="K1995" s="10">
        <f t="shared" si="70"/>
        <v>0</v>
      </c>
      <c r="N1995" s="9" t="str">
        <f t="shared" si="71"/>
        <v/>
      </c>
      <c r="O1995" s="9" t="str">
        <f>IF(N1995="","",IF(COUNTIF(Precios!$G:$G,N1995)=0,"⚠ No coincide con Precios","OK"))</f>
        <v/>
      </c>
    </row>
    <row r="1996" spans="3:15" x14ac:dyDescent="0.2">
      <c r="C1996" s="9" cm="1">
        <f t="array" ref="C1996">IFERROR(_xlfn.XLOOKUP(B1996,Personal!$A:$A,Personal!$D:$D,""),"")</f>
        <v>0</v>
      </c>
      <c r="D1996" s="9" cm="1">
        <f t="array" ref="D1996">IFERROR(_xlfn.XLOOKUP(B1996,Personal!$A:$A,Personal!$C:$C,""),"")</f>
        <v>0</v>
      </c>
      <c r="E1996" s="9" t="str" cm="1">
        <f t="array" ref="E1996">IFERROR(_xlfn.XLOOKUP(D1996,Locales!$A:$A,Locales!$B:$B,""),"")</f>
        <v/>
      </c>
      <c r="F1996" s="9" cm="1">
        <f t="array" ref="F1996">IFERROR(_xlfn.XLOOKUP(B1996,Personal!$A:$A,Personal!$F:$F,""),"")</f>
        <v>0</v>
      </c>
      <c r="I1996" s="10" cm="1">
        <f t="array" ref="I1996">IFERROR(INDEX(Precios!$D:$F,MATCH(N1996, Precios!$G:$G, 0),CHOOSE(MATCH(H1996, {"SML";"XL";"XXL"}, 0), 1, 2, 3)), 0)</f>
        <v>0</v>
      </c>
      <c r="K1996" s="10">
        <f t="shared" si="70"/>
        <v>0</v>
      </c>
      <c r="N1996" s="9" t="str">
        <f t="shared" si="71"/>
        <v/>
      </c>
      <c r="O1996" s="9" t="str">
        <f>IF(N1996="","",IF(COUNTIF(Precios!$G:$G,N1996)=0,"⚠ No coincide con Precios","OK"))</f>
        <v/>
      </c>
    </row>
    <row r="1997" spans="3:15" x14ac:dyDescent="0.2">
      <c r="C1997" s="9" cm="1">
        <f t="array" ref="C1997">IFERROR(_xlfn.XLOOKUP(B1997,Personal!$A:$A,Personal!$D:$D,""),"")</f>
        <v>0</v>
      </c>
      <c r="D1997" s="9" cm="1">
        <f t="array" ref="D1997">IFERROR(_xlfn.XLOOKUP(B1997,Personal!$A:$A,Personal!$C:$C,""),"")</f>
        <v>0</v>
      </c>
      <c r="E1997" s="9" t="str" cm="1">
        <f t="array" ref="E1997">IFERROR(_xlfn.XLOOKUP(D1997,Locales!$A:$A,Locales!$B:$B,""),"")</f>
        <v/>
      </c>
      <c r="F1997" s="9" cm="1">
        <f t="array" ref="F1997">IFERROR(_xlfn.XLOOKUP(B1997,Personal!$A:$A,Personal!$F:$F,""),"")</f>
        <v>0</v>
      </c>
      <c r="I1997" s="10" cm="1">
        <f t="array" ref="I1997">IFERROR(INDEX(Precios!$D:$F,MATCH(N1997, Precios!$G:$G, 0),CHOOSE(MATCH(H1997, {"SML";"XL";"XXL"}, 0), 1, 2, 3)), 0)</f>
        <v>0</v>
      </c>
      <c r="K1997" s="10">
        <f t="shared" si="70"/>
        <v>0</v>
      </c>
      <c r="N1997" s="9" t="str">
        <f t="shared" si="71"/>
        <v/>
      </c>
      <c r="O1997" s="9" t="str">
        <f>IF(N1997="","",IF(COUNTIF(Precios!$G:$G,N1997)=0,"⚠ No coincide con Precios","OK"))</f>
        <v/>
      </c>
    </row>
    <row r="1998" spans="3:15" x14ac:dyDescent="0.2">
      <c r="C1998" s="9" cm="1">
        <f t="array" ref="C1998">IFERROR(_xlfn.XLOOKUP(B1998,Personal!$A:$A,Personal!$D:$D,""),"")</f>
        <v>0</v>
      </c>
      <c r="D1998" s="9" cm="1">
        <f t="array" ref="D1998">IFERROR(_xlfn.XLOOKUP(B1998,Personal!$A:$A,Personal!$C:$C,""),"")</f>
        <v>0</v>
      </c>
      <c r="E1998" s="9" t="str" cm="1">
        <f t="array" ref="E1998">IFERROR(_xlfn.XLOOKUP(D1998,Locales!$A:$A,Locales!$B:$B,""),"")</f>
        <v/>
      </c>
      <c r="F1998" s="9" cm="1">
        <f t="array" ref="F1998">IFERROR(_xlfn.XLOOKUP(B1998,Personal!$A:$A,Personal!$F:$F,""),"")</f>
        <v>0</v>
      </c>
      <c r="I1998" s="10" cm="1">
        <f t="array" ref="I1998">IFERROR(INDEX(Precios!$D:$F,MATCH(N1998, Precios!$G:$G, 0),CHOOSE(MATCH(H1998, {"SML";"XL";"XXL"}, 0), 1, 2, 3)), 0)</f>
        <v>0</v>
      </c>
      <c r="K1998" s="10">
        <f t="shared" si="70"/>
        <v>0</v>
      </c>
      <c r="N1998" s="9" t="str">
        <f t="shared" si="71"/>
        <v/>
      </c>
      <c r="O1998" s="9" t="str">
        <f>IF(N1998="","",IF(COUNTIF(Precios!$G:$G,N1998)=0,"⚠ No coincide con Precios","OK"))</f>
        <v/>
      </c>
    </row>
    <row r="1999" spans="3:15" x14ac:dyDescent="0.2">
      <c r="C1999" s="9" cm="1">
        <f t="array" ref="C1999">IFERROR(_xlfn.XLOOKUP(B1999,Personal!$A:$A,Personal!$D:$D,""),"")</f>
        <v>0</v>
      </c>
      <c r="D1999" s="9" cm="1">
        <f t="array" ref="D1999">IFERROR(_xlfn.XLOOKUP(B1999,Personal!$A:$A,Personal!$C:$C,""),"")</f>
        <v>0</v>
      </c>
      <c r="E1999" s="9" t="str" cm="1">
        <f t="array" ref="E1999">IFERROR(_xlfn.XLOOKUP(D1999,Locales!$A:$A,Locales!$B:$B,""),"")</f>
        <v/>
      </c>
      <c r="F1999" s="9" cm="1">
        <f t="array" ref="F1999">IFERROR(_xlfn.XLOOKUP(B1999,Personal!$A:$A,Personal!$F:$F,""),"")</f>
        <v>0</v>
      </c>
      <c r="I1999" s="10" cm="1">
        <f t="array" ref="I1999">IFERROR(INDEX(Precios!$D:$F,MATCH(N1999, Precios!$G:$G, 0),CHOOSE(MATCH(H1999, {"SML";"XL";"XXL"}, 0), 1, 2, 3)), 0)</f>
        <v>0</v>
      </c>
      <c r="K1999" s="10">
        <f t="shared" si="70"/>
        <v>0</v>
      </c>
      <c r="N1999" s="9" t="str">
        <f t="shared" si="71"/>
        <v/>
      </c>
      <c r="O1999" s="9" t="str">
        <f>IF(N1999="","",IF(COUNTIF(Precios!$G:$G,N1999)=0,"⚠ No coincide con Precios","OK"))</f>
        <v/>
      </c>
    </row>
    <row r="2000" spans="3:15" x14ac:dyDescent="0.2">
      <c r="C2000" s="9" cm="1">
        <f t="array" ref="C2000">IFERROR(_xlfn.XLOOKUP(B2000,Personal!$A:$A,Personal!$D:$D,""),"")</f>
        <v>0</v>
      </c>
      <c r="D2000" s="9" cm="1">
        <f t="array" ref="D2000">IFERROR(_xlfn.XLOOKUP(B2000,Personal!$A:$A,Personal!$C:$C,""),"")</f>
        <v>0</v>
      </c>
      <c r="E2000" s="9" t="str" cm="1">
        <f t="array" ref="E2000">IFERROR(_xlfn.XLOOKUP(D2000,Locales!$A:$A,Locales!$B:$B,""),"")</f>
        <v/>
      </c>
      <c r="F2000" s="9" cm="1">
        <f t="array" ref="F2000">IFERROR(_xlfn.XLOOKUP(B2000,Personal!$A:$A,Personal!$F:$F,""),"")</f>
        <v>0</v>
      </c>
      <c r="I2000" s="10" cm="1">
        <f t="array" ref="I2000">IFERROR(INDEX(Precios!$D:$F,MATCH(N2000, Precios!$G:$G, 0),CHOOSE(MATCH(H2000, {"SML";"XL";"XXL"}, 0), 1, 2, 3)), 0)</f>
        <v>0</v>
      </c>
      <c r="K2000" s="10">
        <f t="shared" si="70"/>
        <v>0</v>
      </c>
      <c r="N2000" s="9" t="str">
        <f t="shared" si="71"/>
        <v/>
      </c>
      <c r="O2000" s="9" t="str">
        <f>IF(N2000="","",IF(COUNTIF(Precios!$G:$G,N2000)=0,"⚠ No coincide con Precios","OK"))</f>
        <v/>
      </c>
    </row>
    <row r="2001" spans="3:15" x14ac:dyDescent="0.2">
      <c r="C2001" s="9" cm="1">
        <f t="array" ref="C2001">IFERROR(_xlfn.XLOOKUP(B2001,Personal!$A:$A,Personal!$D:$D,""),"")</f>
        <v>0</v>
      </c>
      <c r="D2001" s="9" cm="1">
        <f t="array" ref="D2001">IFERROR(_xlfn.XLOOKUP(B2001,Personal!$A:$A,Personal!$C:$C,""),"")</f>
        <v>0</v>
      </c>
      <c r="E2001" s="9" t="str" cm="1">
        <f t="array" ref="E2001">IFERROR(_xlfn.XLOOKUP(D2001,Locales!$A:$A,Locales!$B:$B,""),"")</f>
        <v/>
      </c>
      <c r="F2001" s="9" cm="1">
        <f t="array" ref="F2001">IFERROR(_xlfn.XLOOKUP(B2001,Personal!$A:$A,Personal!$F:$F,""),"")</f>
        <v>0</v>
      </c>
      <c r="I2001" s="10" cm="1">
        <f t="array" ref="I2001">IFERROR(INDEX(Precios!$D:$F,MATCH(N2001, Precios!$G:$G, 0),CHOOSE(MATCH(H2001, {"SML";"XL";"XXL"}, 0), 1, 2, 3)), 0)</f>
        <v>0</v>
      </c>
      <c r="K2001" s="10">
        <f t="shared" si="70"/>
        <v>0</v>
      </c>
      <c r="N2001" s="9" t="str">
        <f t="shared" si="71"/>
        <v/>
      </c>
      <c r="O2001" s="9" t="str">
        <f>IF(N2001="","",IF(COUNTIF(Precios!$G:$G,N2001)=0,"⚠ No coincide con Precios","OK"))</f>
        <v/>
      </c>
    </row>
    <row r="2002" spans="3:15" x14ac:dyDescent="0.2">
      <c r="C2002" s="9" cm="1">
        <f t="array" ref="C2002">IFERROR(_xlfn.XLOOKUP(B2002,Personal!$A:$A,Personal!$D:$D,""),"")</f>
        <v>0</v>
      </c>
      <c r="D2002" s="9" cm="1">
        <f t="array" ref="D2002">IFERROR(_xlfn.XLOOKUP(B2002,Personal!$A:$A,Personal!$C:$C,""),"")</f>
        <v>0</v>
      </c>
      <c r="E2002" s="9" t="str" cm="1">
        <f t="array" ref="E2002">IFERROR(_xlfn.XLOOKUP(D2002,Locales!$A:$A,Locales!$B:$B,""),"")</f>
        <v/>
      </c>
      <c r="F2002" s="9" cm="1">
        <f t="array" ref="F2002">IFERROR(_xlfn.XLOOKUP(B2002,Personal!$A:$A,Personal!$F:$F,""),"")</f>
        <v>0</v>
      </c>
      <c r="I2002" s="10" cm="1">
        <f t="array" ref="I2002">IFERROR(INDEX(Precios!$D:$F,MATCH(N2002, Precios!$G:$G, 0),CHOOSE(MATCH(H2002, {"SML";"XL";"XXL"}, 0), 1, 2, 3)), 0)</f>
        <v>0</v>
      </c>
      <c r="K2002" s="10">
        <f t="shared" si="70"/>
        <v>0</v>
      </c>
      <c r="N2002" s="9" t="str">
        <f t="shared" si="71"/>
        <v/>
      </c>
      <c r="O2002" s="9" t="str">
        <f>IF(N2002="","",IF(COUNTIF(Precios!$G:$G,N2002)=0,"⚠ No coincide con Precios","OK"))</f>
        <v/>
      </c>
    </row>
    <row r="2003" spans="3:15" x14ac:dyDescent="0.2">
      <c r="C2003" s="9" cm="1">
        <f t="array" ref="C2003">IFERROR(_xlfn.XLOOKUP(B2003,Personal!$A:$A,Personal!$D:$D,""),"")</f>
        <v>0</v>
      </c>
      <c r="D2003" s="9" cm="1">
        <f t="array" ref="D2003">IFERROR(_xlfn.XLOOKUP(B2003,Personal!$A:$A,Personal!$C:$C,""),"")</f>
        <v>0</v>
      </c>
      <c r="E2003" s="9" t="str" cm="1">
        <f t="array" ref="E2003">IFERROR(_xlfn.XLOOKUP(D2003,Locales!$A:$A,Locales!$B:$B,""),"")</f>
        <v/>
      </c>
      <c r="F2003" s="9" cm="1">
        <f t="array" ref="F2003">IFERROR(_xlfn.XLOOKUP(B2003,Personal!$A:$A,Personal!$F:$F,""),"")</f>
        <v>0</v>
      </c>
      <c r="I2003" s="10" cm="1">
        <f t="array" ref="I2003">IFERROR(INDEX(Precios!$D:$F,MATCH(N2003, Precios!$G:$G, 0),CHOOSE(MATCH(H2003, {"SML";"XL";"XXL"}, 0), 1, 2, 3)), 0)</f>
        <v>0</v>
      </c>
      <c r="K2003" s="10">
        <f t="shared" si="70"/>
        <v>0</v>
      </c>
      <c r="N2003" s="9" t="str">
        <f t="shared" si="71"/>
        <v/>
      </c>
      <c r="O2003" s="9" t="str">
        <f>IF(N2003="","",IF(COUNTIF(Precios!$G:$G,N2003)=0,"⚠ No coincide con Precios","OK"))</f>
        <v/>
      </c>
    </row>
    <row r="2004" spans="3:15" x14ac:dyDescent="0.2">
      <c r="C2004" s="9" cm="1">
        <f t="array" ref="C2004">IFERROR(_xlfn.XLOOKUP(B2004,Personal!$A:$A,Personal!$D:$D,""),"")</f>
        <v>0</v>
      </c>
      <c r="D2004" s="9" cm="1">
        <f t="array" ref="D2004">IFERROR(_xlfn.XLOOKUP(B2004,Personal!$A:$A,Personal!$C:$C,""),"")</f>
        <v>0</v>
      </c>
      <c r="E2004" s="9" t="str" cm="1">
        <f t="array" ref="E2004">IFERROR(_xlfn.XLOOKUP(D2004,Locales!$A:$A,Locales!$B:$B,""),"")</f>
        <v/>
      </c>
      <c r="F2004" s="9" cm="1">
        <f t="array" ref="F2004">IFERROR(_xlfn.XLOOKUP(B2004,Personal!$A:$A,Personal!$F:$F,""),"")</f>
        <v>0</v>
      </c>
      <c r="I2004" s="10" cm="1">
        <f t="array" ref="I2004">IFERROR(INDEX(Precios!$D:$F,MATCH(N2004, Precios!$G:$G, 0),CHOOSE(MATCH(H2004, {"SML";"XL";"XXL"}, 0), 1, 2, 3)), 0)</f>
        <v>0</v>
      </c>
      <c r="K2004" s="10">
        <f t="shared" si="70"/>
        <v>0</v>
      </c>
      <c r="N2004" s="9" t="str">
        <f t="shared" si="71"/>
        <v/>
      </c>
      <c r="O2004" s="9" t="str">
        <f>IF(N2004="","",IF(COUNTIF(Precios!$G:$G,N2004)=0,"⚠ No coincide con Precios","OK"))</f>
        <v/>
      </c>
    </row>
    <row r="2005" spans="3:15" x14ac:dyDescent="0.2">
      <c r="C2005" s="9" cm="1">
        <f t="array" ref="C2005">IFERROR(_xlfn.XLOOKUP(B2005,Personal!$A:$A,Personal!$D:$D,""),"")</f>
        <v>0</v>
      </c>
      <c r="D2005" s="9" cm="1">
        <f t="array" ref="D2005">IFERROR(_xlfn.XLOOKUP(B2005,Personal!$A:$A,Personal!$C:$C,""),"")</f>
        <v>0</v>
      </c>
      <c r="E2005" s="9" t="str" cm="1">
        <f t="array" ref="E2005">IFERROR(_xlfn.XLOOKUP(D2005,Locales!$A:$A,Locales!$B:$B,""),"")</f>
        <v/>
      </c>
      <c r="F2005" s="9" cm="1">
        <f t="array" ref="F2005">IFERROR(_xlfn.XLOOKUP(B2005,Personal!$A:$A,Personal!$F:$F,""),"")</f>
        <v>0</v>
      </c>
      <c r="I2005" s="10" cm="1">
        <f t="array" ref="I2005">IFERROR(INDEX(Precios!$D:$F,MATCH(N2005, Precios!$G:$G, 0),CHOOSE(MATCH(H2005, {"SML";"XL";"XXL"}, 0), 1, 2, 3)), 0)</f>
        <v>0</v>
      </c>
      <c r="K2005" s="10">
        <f t="shared" si="70"/>
        <v>0</v>
      </c>
      <c r="N2005" s="9" t="str">
        <f t="shared" si="71"/>
        <v/>
      </c>
      <c r="O2005" s="9" t="str">
        <f>IF(N2005="","",IF(COUNTIF(Precios!$G:$G,N2005)=0,"⚠ No coincide con Precios","OK"))</f>
        <v/>
      </c>
    </row>
    <row r="2006" spans="3:15" x14ac:dyDescent="0.2">
      <c r="C2006" s="9" cm="1">
        <f t="array" ref="C2006">IFERROR(_xlfn.XLOOKUP(B2006,Personal!$A:$A,Personal!$D:$D,""),"")</f>
        <v>0</v>
      </c>
      <c r="D2006" s="9" cm="1">
        <f t="array" ref="D2006">IFERROR(_xlfn.XLOOKUP(B2006,Personal!$A:$A,Personal!$C:$C,""),"")</f>
        <v>0</v>
      </c>
      <c r="E2006" s="9" t="str" cm="1">
        <f t="array" ref="E2006">IFERROR(_xlfn.XLOOKUP(D2006,Locales!$A:$A,Locales!$B:$B,""),"")</f>
        <v/>
      </c>
      <c r="F2006" s="9" cm="1">
        <f t="array" ref="F2006">IFERROR(_xlfn.XLOOKUP(B2006,Personal!$A:$A,Personal!$F:$F,""),"")</f>
        <v>0</v>
      </c>
      <c r="I2006" s="10" cm="1">
        <f t="array" ref="I2006">IFERROR(INDEX(Precios!$D:$F,MATCH(N2006, Precios!$G:$G, 0),CHOOSE(MATCH(H2006, {"SML";"XL";"XXL"}, 0), 1, 2, 3)), 0)</f>
        <v>0</v>
      </c>
      <c r="K2006" s="10">
        <f t="shared" si="70"/>
        <v>0</v>
      </c>
      <c r="N2006" s="9" t="str">
        <f t="shared" si="71"/>
        <v/>
      </c>
      <c r="O2006" s="9" t="str">
        <f>IF(N2006="","",IF(COUNTIF(Precios!$G:$G,N2006)=0,"⚠ No coincide con Precios","OK"))</f>
        <v/>
      </c>
    </row>
    <row r="2007" spans="3:15" x14ac:dyDescent="0.2">
      <c r="C2007" s="9" cm="1">
        <f t="array" ref="C2007">IFERROR(_xlfn.XLOOKUP(B2007,Personal!$A:$A,Personal!$D:$D,""),"")</f>
        <v>0</v>
      </c>
      <c r="D2007" s="9" cm="1">
        <f t="array" ref="D2007">IFERROR(_xlfn.XLOOKUP(B2007,Personal!$A:$A,Personal!$C:$C,""),"")</f>
        <v>0</v>
      </c>
      <c r="E2007" s="9" t="str" cm="1">
        <f t="array" ref="E2007">IFERROR(_xlfn.XLOOKUP(D2007,Locales!$A:$A,Locales!$B:$B,""),"")</f>
        <v/>
      </c>
      <c r="F2007" s="9" cm="1">
        <f t="array" ref="F2007">IFERROR(_xlfn.XLOOKUP(B2007,Personal!$A:$A,Personal!$F:$F,""),"")</f>
        <v>0</v>
      </c>
      <c r="I2007" s="10" cm="1">
        <f t="array" ref="I2007">IFERROR(INDEX(Precios!$D:$F,MATCH(N2007, Precios!$G:$G, 0),CHOOSE(MATCH(H2007, {"SML";"XL";"XXL"}, 0), 1, 2, 3)), 0)</f>
        <v>0</v>
      </c>
      <c r="K2007" s="10">
        <f t="shared" si="70"/>
        <v>0</v>
      </c>
      <c r="N2007" s="9" t="str">
        <f t="shared" si="71"/>
        <v/>
      </c>
      <c r="O2007" s="9" t="str">
        <f>IF(N2007="","",IF(COUNTIF(Precios!$G:$G,N2007)=0,"⚠ No coincide con Precios","OK"))</f>
        <v/>
      </c>
    </row>
    <row r="2008" spans="3:15" x14ac:dyDescent="0.2">
      <c r="C2008" s="9" cm="1">
        <f t="array" ref="C2008">IFERROR(_xlfn.XLOOKUP(B2008,Personal!$A:$A,Personal!$D:$D,""),"")</f>
        <v>0</v>
      </c>
      <c r="D2008" s="9" cm="1">
        <f t="array" ref="D2008">IFERROR(_xlfn.XLOOKUP(B2008,Personal!$A:$A,Personal!$C:$C,""),"")</f>
        <v>0</v>
      </c>
      <c r="E2008" s="9" t="str" cm="1">
        <f t="array" ref="E2008">IFERROR(_xlfn.XLOOKUP(D2008,Locales!$A:$A,Locales!$B:$B,""),"")</f>
        <v/>
      </c>
      <c r="F2008" s="9" cm="1">
        <f t="array" ref="F2008">IFERROR(_xlfn.XLOOKUP(B2008,Personal!$A:$A,Personal!$F:$F,""),"")</f>
        <v>0</v>
      </c>
      <c r="I2008" s="10" cm="1">
        <f t="array" ref="I2008">IFERROR(INDEX(Precios!$D:$F,MATCH(N2008, Precios!$G:$G, 0),CHOOSE(MATCH(H2008, {"SML";"XL";"XXL"}, 0), 1, 2, 3)), 0)</f>
        <v>0</v>
      </c>
      <c r="K2008" s="10">
        <f t="shared" si="70"/>
        <v>0</v>
      </c>
      <c r="N2008" s="9" t="str">
        <f t="shared" si="71"/>
        <v/>
      </c>
      <c r="O2008" s="9" t="str">
        <f>IF(N2008="","",IF(COUNTIF(Precios!$G:$G,N2008)=0,"⚠ No coincide con Precios","OK"))</f>
        <v/>
      </c>
    </row>
    <row r="2009" spans="3:15" x14ac:dyDescent="0.2">
      <c r="C2009" s="9" cm="1">
        <f t="array" ref="C2009">IFERROR(_xlfn.XLOOKUP(B2009,Personal!$A:$A,Personal!$D:$D,""),"")</f>
        <v>0</v>
      </c>
      <c r="D2009" s="9" cm="1">
        <f t="array" ref="D2009">IFERROR(_xlfn.XLOOKUP(B2009,Personal!$A:$A,Personal!$C:$C,""),"")</f>
        <v>0</v>
      </c>
      <c r="E2009" s="9" t="str" cm="1">
        <f t="array" ref="E2009">IFERROR(_xlfn.XLOOKUP(D2009,Locales!$A:$A,Locales!$B:$B,""),"")</f>
        <v/>
      </c>
      <c r="F2009" s="9" cm="1">
        <f t="array" ref="F2009">IFERROR(_xlfn.XLOOKUP(B2009,Personal!$A:$A,Personal!$F:$F,""),"")</f>
        <v>0</v>
      </c>
      <c r="I2009" s="10" cm="1">
        <f t="array" ref="I2009">IFERROR(INDEX(Precios!$D:$F,MATCH(N2009, Precios!$G:$G, 0),CHOOSE(MATCH(H2009, {"SML";"XL";"XXL"}, 0), 1, 2, 3)), 0)</f>
        <v>0</v>
      </c>
      <c r="K2009" s="10">
        <f t="shared" si="70"/>
        <v>0</v>
      </c>
      <c r="N2009" s="9" t="str">
        <f t="shared" si="71"/>
        <v/>
      </c>
      <c r="O2009" s="9" t="str">
        <f>IF(N2009="","",IF(COUNTIF(Precios!$G:$G,N2009)=0,"⚠ No coincide con Precios","OK"))</f>
        <v/>
      </c>
    </row>
    <row r="2010" spans="3:15" x14ac:dyDescent="0.2">
      <c r="C2010" s="9" cm="1">
        <f t="array" ref="C2010">IFERROR(_xlfn.XLOOKUP(B2010,Personal!$A:$A,Personal!$D:$D,""),"")</f>
        <v>0</v>
      </c>
      <c r="D2010" s="9" cm="1">
        <f t="array" ref="D2010">IFERROR(_xlfn.XLOOKUP(B2010,Personal!$A:$A,Personal!$C:$C,""),"")</f>
        <v>0</v>
      </c>
      <c r="E2010" s="9" t="str" cm="1">
        <f t="array" ref="E2010">IFERROR(_xlfn.XLOOKUP(D2010,Locales!$A:$A,Locales!$B:$B,""),"")</f>
        <v/>
      </c>
      <c r="F2010" s="9" cm="1">
        <f t="array" ref="F2010">IFERROR(_xlfn.XLOOKUP(B2010,Personal!$A:$A,Personal!$F:$F,""),"")</f>
        <v>0</v>
      </c>
      <c r="I2010" s="10" cm="1">
        <f t="array" ref="I2010">IFERROR(INDEX(Precios!$D:$F,MATCH(N2010, Precios!$G:$G, 0),CHOOSE(MATCH(H2010, {"SML";"XL";"XXL"}, 0), 1, 2, 3)), 0)</f>
        <v>0</v>
      </c>
      <c r="K2010" s="10">
        <f t="shared" si="70"/>
        <v>0</v>
      </c>
      <c r="N2010" s="9" t="str">
        <f t="shared" si="71"/>
        <v/>
      </c>
      <c r="O2010" s="9" t="str">
        <f>IF(N2010="","",IF(COUNTIF(Precios!$G:$G,N2010)=0,"⚠ No coincide con Precios","OK"))</f>
        <v/>
      </c>
    </row>
    <row r="2011" spans="3:15" x14ac:dyDescent="0.2">
      <c r="C2011" s="9" cm="1">
        <f t="array" ref="C2011">IFERROR(_xlfn.XLOOKUP(B2011,Personal!$A:$A,Personal!$D:$D,""),"")</f>
        <v>0</v>
      </c>
      <c r="D2011" s="9" cm="1">
        <f t="array" ref="D2011">IFERROR(_xlfn.XLOOKUP(B2011,Personal!$A:$A,Personal!$C:$C,""),"")</f>
        <v>0</v>
      </c>
      <c r="E2011" s="9" t="str" cm="1">
        <f t="array" ref="E2011">IFERROR(_xlfn.XLOOKUP(D2011,Locales!$A:$A,Locales!$B:$B,""),"")</f>
        <v/>
      </c>
      <c r="F2011" s="9" cm="1">
        <f t="array" ref="F2011">IFERROR(_xlfn.XLOOKUP(B2011,Personal!$A:$A,Personal!$F:$F,""),"")</f>
        <v>0</v>
      </c>
      <c r="I2011" s="10" cm="1">
        <f t="array" ref="I2011">IFERROR(INDEX(Precios!$D:$F,MATCH(N2011, Precios!$G:$G, 0),CHOOSE(MATCH(H2011, {"SML";"XL";"XXL"}, 0), 1, 2, 3)), 0)</f>
        <v>0</v>
      </c>
      <c r="K2011" s="10">
        <f t="shared" si="70"/>
        <v>0</v>
      </c>
      <c r="N2011" s="9" t="str">
        <f t="shared" si="71"/>
        <v/>
      </c>
      <c r="O2011" s="9" t="str">
        <f>IF(N2011="","",IF(COUNTIF(Precios!$G:$G,N2011)=0,"⚠ No coincide con Precios","OK"))</f>
        <v/>
      </c>
    </row>
    <row r="2012" spans="3:15" x14ac:dyDescent="0.2">
      <c r="C2012" s="9" cm="1">
        <f t="array" ref="C2012">IFERROR(_xlfn.XLOOKUP(B2012,Personal!$A:$A,Personal!$D:$D,""),"")</f>
        <v>0</v>
      </c>
      <c r="D2012" s="9" cm="1">
        <f t="array" ref="D2012">IFERROR(_xlfn.XLOOKUP(B2012,Personal!$A:$A,Personal!$C:$C,""),"")</f>
        <v>0</v>
      </c>
      <c r="E2012" s="9" t="str" cm="1">
        <f t="array" ref="E2012">IFERROR(_xlfn.XLOOKUP(D2012,Locales!$A:$A,Locales!$B:$B,""),"")</f>
        <v/>
      </c>
      <c r="F2012" s="9" cm="1">
        <f t="array" ref="F2012">IFERROR(_xlfn.XLOOKUP(B2012,Personal!$A:$A,Personal!$F:$F,""),"")</f>
        <v>0</v>
      </c>
      <c r="I2012" s="10" cm="1">
        <f t="array" ref="I2012">IFERROR(INDEX(Precios!$D:$F,MATCH(N2012, Precios!$G:$G, 0),CHOOSE(MATCH(H2012, {"SML";"XL";"XXL"}, 0), 1, 2, 3)), 0)</f>
        <v>0</v>
      </c>
      <c r="K2012" s="10">
        <f t="shared" si="70"/>
        <v>0</v>
      </c>
      <c r="N2012" s="9" t="str">
        <f t="shared" si="71"/>
        <v/>
      </c>
      <c r="O2012" s="9" t="str">
        <f>IF(N2012="","",IF(COUNTIF(Precios!$G:$G,N2012)=0,"⚠ No coincide con Precios","OK"))</f>
        <v/>
      </c>
    </row>
    <row r="2013" spans="3:15" x14ac:dyDescent="0.2">
      <c r="C2013" s="9" cm="1">
        <f t="array" ref="C2013">IFERROR(_xlfn.XLOOKUP(B2013,Personal!$A:$A,Personal!$D:$D,""),"")</f>
        <v>0</v>
      </c>
      <c r="D2013" s="9" cm="1">
        <f t="array" ref="D2013">IFERROR(_xlfn.XLOOKUP(B2013,Personal!$A:$A,Personal!$C:$C,""),"")</f>
        <v>0</v>
      </c>
      <c r="E2013" s="9" t="str" cm="1">
        <f t="array" ref="E2013">IFERROR(_xlfn.XLOOKUP(D2013,Locales!$A:$A,Locales!$B:$B,""),"")</f>
        <v/>
      </c>
      <c r="F2013" s="9" cm="1">
        <f t="array" ref="F2013">IFERROR(_xlfn.XLOOKUP(B2013,Personal!$A:$A,Personal!$F:$F,""),"")</f>
        <v>0</v>
      </c>
      <c r="I2013" s="10" cm="1">
        <f t="array" ref="I2013">IFERROR(INDEX(Precios!$D:$F,MATCH(N2013, Precios!$G:$G, 0),CHOOSE(MATCH(H2013, {"SML";"XL";"XXL"}, 0), 1, 2, 3)), 0)</f>
        <v>0</v>
      </c>
      <c r="K2013" s="10">
        <f t="shared" si="70"/>
        <v>0</v>
      </c>
      <c r="N2013" s="9" t="str">
        <f t="shared" si="71"/>
        <v/>
      </c>
      <c r="O2013" s="9" t="str">
        <f>IF(N2013="","",IF(COUNTIF(Precios!$G:$G,N2013)=0,"⚠ No coincide con Precios","OK"))</f>
        <v/>
      </c>
    </row>
    <row r="2014" spans="3:15" x14ac:dyDescent="0.2">
      <c r="C2014" s="9" cm="1">
        <f t="array" ref="C2014">IFERROR(_xlfn.XLOOKUP(B2014,Personal!$A:$A,Personal!$D:$D,""),"")</f>
        <v>0</v>
      </c>
      <c r="D2014" s="9" cm="1">
        <f t="array" ref="D2014">IFERROR(_xlfn.XLOOKUP(B2014,Personal!$A:$A,Personal!$C:$C,""),"")</f>
        <v>0</v>
      </c>
      <c r="E2014" s="9" t="str" cm="1">
        <f t="array" ref="E2014">IFERROR(_xlfn.XLOOKUP(D2014,Locales!$A:$A,Locales!$B:$B,""),"")</f>
        <v/>
      </c>
      <c r="F2014" s="9" cm="1">
        <f t="array" ref="F2014">IFERROR(_xlfn.XLOOKUP(B2014,Personal!$A:$A,Personal!$F:$F,""),"")</f>
        <v>0</v>
      </c>
      <c r="I2014" s="10" cm="1">
        <f t="array" ref="I2014">IFERROR(INDEX(Precios!$D:$F,MATCH(N2014, Precios!$G:$G, 0),CHOOSE(MATCH(H2014, {"SML";"XL";"XXL"}, 0), 1, 2, 3)), 0)</f>
        <v>0</v>
      </c>
      <c r="K2014" s="10">
        <f t="shared" si="70"/>
        <v>0</v>
      </c>
      <c r="N2014" s="9" t="str">
        <f t="shared" si="71"/>
        <v/>
      </c>
      <c r="O2014" s="9" t="str">
        <f>IF(N2014="","",IF(COUNTIF(Precios!$G:$G,N2014)=0,"⚠ No coincide con Precios","OK"))</f>
        <v/>
      </c>
    </row>
    <row r="2015" spans="3:15" x14ac:dyDescent="0.2">
      <c r="C2015" s="9" cm="1">
        <f t="array" ref="C2015">IFERROR(_xlfn.XLOOKUP(B2015,Personal!$A:$A,Personal!$D:$D,""),"")</f>
        <v>0</v>
      </c>
      <c r="D2015" s="9" cm="1">
        <f t="array" ref="D2015">IFERROR(_xlfn.XLOOKUP(B2015,Personal!$A:$A,Personal!$C:$C,""),"")</f>
        <v>0</v>
      </c>
      <c r="E2015" s="9" t="str" cm="1">
        <f t="array" ref="E2015">IFERROR(_xlfn.XLOOKUP(D2015,Locales!$A:$A,Locales!$B:$B,""),"")</f>
        <v/>
      </c>
      <c r="F2015" s="9" cm="1">
        <f t="array" ref="F2015">IFERROR(_xlfn.XLOOKUP(B2015,Personal!$A:$A,Personal!$F:$F,""),"")</f>
        <v>0</v>
      </c>
      <c r="I2015" s="10" cm="1">
        <f t="array" ref="I2015">IFERROR(INDEX(Precios!$D:$F,MATCH(N2015, Precios!$G:$G, 0),CHOOSE(MATCH(H2015, {"SML";"XL";"XXL"}, 0), 1, 2, 3)), 0)</f>
        <v>0</v>
      </c>
      <c r="K2015" s="10">
        <f t="shared" si="70"/>
        <v>0</v>
      </c>
      <c r="N2015" s="9" t="str">
        <f t="shared" si="71"/>
        <v/>
      </c>
      <c r="O2015" s="9" t="str">
        <f>IF(N2015="","",IF(COUNTIF(Precios!$G:$G,N2015)=0,"⚠ No coincide con Precios","OK"))</f>
        <v/>
      </c>
    </row>
    <row r="2016" spans="3:15" x14ac:dyDescent="0.2">
      <c r="C2016" s="9" cm="1">
        <f t="array" ref="C2016">IFERROR(_xlfn.XLOOKUP(B2016,Personal!$A:$A,Personal!$D:$D,""),"")</f>
        <v>0</v>
      </c>
      <c r="D2016" s="9" cm="1">
        <f t="array" ref="D2016">IFERROR(_xlfn.XLOOKUP(B2016,Personal!$A:$A,Personal!$C:$C,""),"")</f>
        <v>0</v>
      </c>
      <c r="E2016" s="9" t="str" cm="1">
        <f t="array" ref="E2016">IFERROR(_xlfn.XLOOKUP(D2016,Locales!$A:$A,Locales!$B:$B,""),"")</f>
        <v/>
      </c>
      <c r="F2016" s="9" cm="1">
        <f t="array" ref="F2016">IFERROR(_xlfn.XLOOKUP(B2016,Personal!$A:$A,Personal!$F:$F,""),"")</f>
        <v>0</v>
      </c>
      <c r="I2016" s="10" cm="1">
        <f t="array" ref="I2016">IFERROR(INDEX(Precios!$D:$F,MATCH(N2016, Precios!$G:$G, 0),CHOOSE(MATCH(H2016, {"SML";"XL";"XXL"}, 0), 1, 2, 3)), 0)</f>
        <v>0</v>
      </c>
      <c r="K2016" s="10">
        <f t="shared" si="70"/>
        <v>0</v>
      </c>
      <c r="N2016" s="9" t="str">
        <f t="shared" si="71"/>
        <v/>
      </c>
      <c r="O2016" s="9" t="str">
        <f>IF(N2016="","",IF(COUNTIF(Precios!$G:$G,N2016)=0,"⚠ No coincide con Precios","OK"))</f>
        <v/>
      </c>
    </row>
    <row r="2017" spans="3:15" x14ac:dyDescent="0.2">
      <c r="C2017" s="9" cm="1">
        <f t="array" ref="C2017">IFERROR(_xlfn.XLOOKUP(B2017,Personal!$A:$A,Personal!$D:$D,""),"")</f>
        <v>0</v>
      </c>
      <c r="D2017" s="9" cm="1">
        <f t="array" ref="D2017">IFERROR(_xlfn.XLOOKUP(B2017,Personal!$A:$A,Personal!$C:$C,""),"")</f>
        <v>0</v>
      </c>
      <c r="E2017" s="9" t="str" cm="1">
        <f t="array" ref="E2017">IFERROR(_xlfn.XLOOKUP(D2017,Locales!$A:$A,Locales!$B:$B,""),"")</f>
        <v/>
      </c>
      <c r="F2017" s="9" cm="1">
        <f t="array" ref="F2017">IFERROR(_xlfn.XLOOKUP(B2017,Personal!$A:$A,Personal!$F:$F,""),"")</f>
        <v>0</v>
      </c>
      <c r="I2017" s="10" cm="1">
        <f t="array" ref="I2017">IFERROR(INDEX(Precios!$D:$F,MATCH(N2017, Precios!$G:$G, 0),CHOOSE(MATCH(H2017, {"SML";"XL";"XXL"}, 0), 1, 2, 3)), 0)</f>
        <v>0</v>
      </c>
      <c r="K2017" s="10">
        <f t="shared" si="70"/>
        <v>0</v>
      </c>
      <c r="N2017" s="9" t="str">
        <f t="shared" si="71"/>
        <v/>
      </c>
      <c r="O2017" s="9" t="str">
        <f>IF(N2017="","",IF(COUNTIF(Precios!$G:$G,N2017)=0,"⚠ No coincide con Precios","OK"))</f>
        <v/>
      </c>
    </row>
    <row r="2018" spans="3:15" x14ac:dyDescent="0.2">
      <c r="C2018" s="9" cm="1">
        <f t="array" ref="C2018">IFERROR(_xlfn.XLOOKUP(B2018,Personal!$A:$A,Personal!$D:$D,""),"")</f>
        <v>0</v>
      </c>
      <c r="D2018" s="9" cm="1">
        <f t="array" ref="D2018">IFERROR(_xlfn.XLOOKUP(B2018,Personal!$A:$A,Personal!$C:$C,""),"")</f>
        <v>0</v>
      </c>
      <c r="E2018" s="9" t="str" cm="1">
        <f t="array" ref="E2018">IFERROR(_xlfn.XLOOKUP(D2018,Locales!$A:$A,Locales!$B:$B,""),"")</f>
        <v/>
      </c>
      <c r="F2018" s="9" cm="1">
        <f t="array" ref="F2018">IFERROR(_xlfn.XLOOKUP(B2018,Personal!$A:$A,Personal!$F:$F,""),"")</f>
        <v>0</v>
      </c>
      <c r="I2018" s="10" cm="1">
        <f t="array" ref="I2018">IFERROR(INDEX(Precios!$D:$F,MATCH(N2018, Precios!$G:$G, 0),CHOOSE(MATCH(H2018, {"SML";"XL";"XXL"}, 0), 1, 2, 3)), 0)</f>
        <v>0</v>
      </c>
      <c r="K2018" s="10">
        <f t="shared" si="70"/>
        <v>0</v>
      </c>
      <c r="N2018" s="9" t="str">
        <f t="shared" si="71"/>
        <v/>
      </c>
      <c r="O2018" s="9" t="str">
        <f>IF(N2018="","",IF(COUNTIF(Precios!$G:$G,N2018)=0,"⚠ No coincide con Precios","OK"))</f>
        <v/>
      </c>
    </row>
    <row r="2019" spans="3:15" x14ac:dyDescent="0.2">
      <c r="C2019" s="9" cm="1">
        <f t="array" ref="C2019">IFERROR(_xlfn.XLOOKUP(B2019,Personal!$A:$A,Personal!$D:$D,""),"")</f>
        <v>0</v>
      </c>
      <c r="D2019" s="9" cm="1">
        <f t="array" ref="D2019">IFERROR(_xlfn.XLOOKUP(B2019,Personal!$A:$A,Personal!$C:$C,""),"")</f>
        <v>0</v>
      </c>
      <c r="E2019" s="9" t="str" cm="1">
        <f t="array" ref="E2019">IFERROR(_xlfn.XLOOKUP(D2019,Locales!$A:$A,Locales!$B:$B,""),"")</f>
        <v/>
      </c>
      <c r="F2019" s="9" cm="1">
        <f t="array" ref="F2019">IFERROR(_xlfn.XLOOKUP(B2019,Personal!$A:$A,Personal!$F:$F,""),"")</f>
        <v>0</v>
      </c>
      <c r="I2019" s="10" cm="1">
        <f t="array" ref="I2019">IFERROR(INDEX(Precios!$D:$F,MATCH(N2019, Precios!$G:$G, 0),CHOOSE(MATCH(H2019, {"SML";"XL";"XXL"}, 0), 1, 2, 3)), 0)</f>
        <v>0</v>
      </c>
      <c r="K2019" s="10">
        <f t="shared" si="70"/>
        <v>0</v>
      </c>
      <c r="N2019" s="9" t="str">
        <f t="shared" si="71"/>
        <v/>
      </c>
      <c r="O2019" s="9" t="str">
        <f>IF(N2019="","",IF(COUNTIF(Precios!$G:$G,N2019)=0,"⚠ No coincide con Precios","OK"))</f>
        <v/>
      </c>
    </row>
    <row r="2020" spans="3:15" x14ac:dyDescent="0.2">
      <c r="C2020" s="9" cm="1">
        <f t="array" ref="C2020">IFERROR(_xlfn.XLOOKUP(B2020,Personal!$A:$A,Personal!$D:$D,""),"")</f>
        <v>0</v>
      </c>
      <c r="D2020" s="9" cm="1">
        <f t="array" ref="D2020">IFERROR(_xlfn.XLOOKUP(B2020,Personal!$A:$A,Personal!$C:$C,""),"")</f>
        <v>0</v>
      </c>
      <c r="E2020" s="9" t="str" cm="1">
        <f t="array" ref="E2020">IFERROR(_xlfn.XLOOKUP(D2020,Locales!$A:$A,Locales!$B:$B,""),"")</f>
        <v/>
      </c>
      <c r="F2020" s="9" cm="1">
        <f t="array" ref="F2020">IFERROR(_xlfn.XLOOKUP(B2020,Personal!$A:$A,Personal!$F:$F,""),"")</f>
        <v>0</v>
      </c>
      <c r="I2020" s="10" cm="1">
        <f t="array" ref="I2020">IFERROR(INDEX(Precios!$D:$F,MATCH(N2020, Precios!$G:$G, 0),CHOOSE(MATCH(H2020, {"SML";"XL";"XXL"}, 0), 1, 2, 3)), 0)</f>
        <v>0</v>
      </c>
      <c r="K2020" s="10">
        <f t="shared" si="70"/>
        <v>0</v>
      </c>
      <c r="N2020" s="9" t="str">
        <f t="shared" si="71"/>
        <v/>
      </c>
      <c r="O2020" s="9" t="str">
        <f>IF(N2020="","",IF(COUNTIF(Precios!$G:$G,N2020)=0,"⚠ No coincide con Precios","OK"))</f>
        <v/>
      </c>
    </row>
    <row r="2021" spans="3:15" x14ac:dyDescent="0.2">
      <c r="C2021" s="9" cm="1">
        <f t="array" ref="C2021">IFERROR(_xlfn.XLOOKUP(B2021,Personal!$A:$A,Personal!$D:$D,""),"")</f>
        <v>0</v>
      </c>
      <c r="D2021" s="9" cm="1">
        <f t="array" ref="D2021">IFERROR(_xlfn.XLOOKUP(B2021,Personal!$A:$A,Personal!$C:$C,""),"")</f>
        <v>0</v>
      </c>
      <c r="E2021" s="9" t="str" cm="1">
        <f t="array" ref="E2021">IFERROR(_xlfn.XLOOKUP(D2021,Locales!$A:$A,Locales!$B:$B,""),"")</f>
        <v/>
      </c>
      <c r="F2021" s="9" cm="1">
        <f t="array" ref="F2021">IFERROR(_xlfn.XLOOKUP(B2021,Personal!$A:$A,Personal!$F:$F,""),"")</f>
        <v>0</v>
      </c>
      <c r="I2021" s="10" cm="1">
        <f t="array" ref="I2021">IFERROR(INDEX(Precios!$D:$F,MATCH(N2021, Precios!$G:$G, 0),CHOOSE(MATCH(H2021, {"SML";"XL";"XXL"}, 0), 1, 2, 3)), 0)</f>
        <v>0</v>
      </c>
      <c r="K2021" s="10">
        <f t="shared" si="70"/>
        <v>0</v>
      </c>
      <c r="N2021" s="9" t="str">
        <f t="shared" si="71"/>
        <v/>
      </c>
      <c r="O2021" s="9" t="str">
        <f>IF(N2021="","",IF(COUNTIF(Precios!$G:$G,N2021)=0,"⚠ No coincide con Precios","OK"))</f>
        <v/>
      </c>
    </row>
    <row r="2022" spans="3:15" x14ac:dyDescent="0.2">
      <c r="C2022" s="9" cm="1">
        <f t="array" ref="C2022">IFERROR(_xlfn.XLOOKUP(B2022,Personal!$A:$A,Personal!$D:$D,""),"")</f>
        <v>0</v>
      </c>
      <c r="D2022" s="9" cm="1">
        <f t="array" ref="D2022">IFERROR(_xlfn.XLOOKUP(B2022,Personal!$A:$A,Personal!$C:$C,""),"")</f>
        <v>0</v>
      </c>
      <c r="E2022" s="9" t="str" cm="1">
        <f t="array" ref="E2022">IFERROR(_xlfn.XLOOKUP(D2022,Locales!$A:$A,Locales!$B:$B,""),"")</f>
        <v/>
      </c>
      <c r="F2022" s="9" cm="1">
        <f t="array" ref="F2022">IFERROR(_xlfn.XLOOKUP(B2022,Personal!$A:$A,Personal!$F:$F,""),"")</f>
        <v>0</v>
      </c>
      <c r="I2022" s="10" cm="1">
        <f t="array" ref="I2022">IFERROR(INDEX(Precios!$D:$F,MATCH(N2022, Precios!$G:$G, 0),CHOOSE(MATCH(H2022, {"SML";"XL";"XXL"}, 0), 1, 2, 3)), 0)</f>
        <v>0</v>
      </c>
      <c r="K2022" s="10">
        <f t="shared" si="70"/>
        <v>0</v>
      </c>
      <c r="N2022" s="9" t="str">
        <f t="shared" si="71"/>
        <v/>
      </c>
      <c r="O2022" s="9" t="str">
        <f>IF(N2022="","",IF(COUNTIF(Precios!$G:$G,N2022)=0,"⚠ No coincide con Precios","OK"))</f>
        <v/>
      </c>
    </row>
    <row r="2023" spans="3:15" x14ac:dyDescent="0.2">
      <c r="C2023" s="9" cm="1">
        <f t="array" ref="C2023">IFERROR(_xlfn.XLOOKUP(B2023,Personal!$A:$A,Personal!$D:$D,""),"")</f>
        <v>0</v>
      </c>
      <c r="D2023" s="9" cm="1">
        <f t="array" ref="D2023">IFERROR(_xlfn.XLOOKUP(B2023,Personal!$A:$A,Personal!$C:$C,""),"")</f>
        <v>0</v>
      </c>
      <c r="E2023" s="9" t="str" cm="1">
        <f t="array" ref="E2023">IFERROR(_xlfn.XLOOKUP(D2023,Locales!$A:$A,Locales!$B:$B,""),"")</f>
        <v/>
      </c>
      <c r="F2023" s="9" cm="1">
        <f t="array" ref="F2023">IFERROR(_xlfn.XLOOKUP(B2023,Personal!$A:$A,Personal!$F:$F,""),"")</f>
        <v>0</v>
      </c>
      <c r="I2023" s="10" cm="1">
        <f t="array" ref="I2023">IFERROR(INDEX(Precios!$D:$F,MATCH(N2023, Precios!$G:$G, 0),CHOOSE(MATCH(H2023, {"SML";"XL";"XXL"}, 0), 1, 2, 3)), 0)</f>
        <v>0</v>
      </c>
      <c r="K2023" s="10">
        <f t="shared" si="70"/>
        <v>0</v>
      </c>
      <c r="N2023" s="9" t="str">
        <f t="shared" si="71"/>
        <v/>
      </c>
      <c r="O2023" s="9" t="str">
        <f>IF(N2023="","",IF(COUNTIF(Precios!$G:$G,N2023)=0,"⚠ No coincide con Precios","OK"))</f>
        <v/>
      </c>
    </row>
    <row r="2024" spans="3:15" x14ac:dyDescent="0.2">
      <c r="C2024" s="9" cm="1">
        <f t="array" ref="C2024">IFERROR(_xlfn.XLOOKUP(B2024,Personal!$A:$A,Personal!$D:$D,""),"")</f>
        <v>0</v>
      </c>
      <c r="D2024" s="9" cm="1">
        <f t="array" ref="D2024">IFERROR(_xlfn.XLOOKUP(B2024,Personal!$A:$A,Personal!$C:$C,""),"")</f>
        <v>0</v>
      </c>
      <c r="E2024" s="9" t="str" cm="1">
        <f t="array" ref="E2024">IFERROR(_xlfn.XLOOKUP(D2024,Locales!$A:$A,Locales!$B:$B,""),"")</f>
        <v/>
      </c>
      <c r="F2024" s="9" cm="1">
        <f t="array" ref="F2024">IFERROR(_xlfn.XLOOKUP(B2024,Personal!$A:$A,Personal!$F:$F,""),"")</f>
        <v>0</v>
      </c>
      <c r="I2024" s="10" cm="1">
        <f t="array" ref="I2024">IFERROR(INDEX(Precios!$D:$F,MATCH(N2024, Precios!$G:$G, 0),CHOOSE(MATCH(H2024, {"SML";"XL";"XXL"}, 0), 1, 2, 3)), 0)</f>
        <v>0</v>
      </c>
      <c r="K2024" s="10">
        <f t="shared" si="70"/>
        <v>0</v>
      </c>
      <c r="N2024" s="9" t="str">
        <f t="shared" si="71"/>
        <v/>
      </c>
      <c r="O2024" s="9" t="str">
        <f>IF(N2024="","",IF(COUNTIF(Precios!$G:$G,N2024)=0,"⚠ No coincide con Precios","OK"))</f>
        <v/>
      </c>
    </row>
    <row r="2025" spans="3:15" x14ac:dyDescent="0.2">
      <c r="C2025" s="9" cm="1">
        <f t="array" ref="C2025">IFERROR(_xlfn.XLOOKUP(B2025,Personal!$A:$A,Personal!$D:$D,""),"")</f>
        <v>0</v>
      </c>
      <c r="D2025" s="9" cm="1">
        <f t="array" ref="D2025">IFERROR(_xlfn.XLOOKUP(B2025,Personal!$A:$A,Personal!$C:$C,""),"")</f>
        <v>0</v>
      </c>
      <c r="E2025" s="9" t="str" cm="1">
        <f t="array" ref="E2025">IFERROR(_xlfn.XLOOKUP(D2025,Locales!$A:$A,Locales!$B:$B,""),"")</f>
        <v/>
      </c>
      <c r="F2025" s="9" cm="1">
        <f t="array" ref="F2025">IFERROR(_xlfn.XLOOKUP(B2025,Personal!$A:$A,Personal!$F:$F,""),"")</f>
        <v>0</v>
      </c>
      <c r="I2025" s="10" cm="1">
        <f t="array" ref="I2025">IFERROR(INDEX(Precios!$D:$F,MATCH(N2025, Precios!$G:$G, 0),CHOOSE(MATCH(H2025, {"SML";"XL";"XXL"}, 0), 1, 2, 3)), 0)</f>
        <v>0</v>
      </c>
      <c r="K2025" s="10">
        <f t="shared" si="70"/>
        <v>0</v>
      </c>
      <c r="N2025" s="9" t="str">
        <f t="shared" si="71"/>
        <v/>
      </c>
      <c r="O2025" s="9" t="str">
        <f>IF(N2025="","",IF(COUNTIF(Precios!$G:$G,N2025)=0,"⚠ No coincide con Precios","OK"))</f>
        <v/>
      </c>
    </row>
    <row r="2026" spans="3:15" x14ac:dyDescent="0.2">
      <c r="C2026" s="9" cm="1">
        <f t="array" ref="C2026">IFERROR(_xlfn.XLOOKUP(B2026,Personal!$A:$A,Personal!$D:$D,""),"")</f>
        <v>0</v>
      </c>
      <c r="D2026" s="9" cm="1">
        <f t="array" ref="D2026">IFERROR(_xlfn.XLOOKUP(B2026,Personal!$A:$A,Personal!$C:$C,""),"")</f>
        <v>0</v>
      </c>
      <c r="E2026" s="9" t="str" cm="1">
        <f t="array" ref="E2026">IFERROR(_xlfn.XLOOKUP(D2026,Locales!$A:$A,Locales!$B:$B,""),"")</f>
        <v/>
      </c>
      <c r="F2026" s="9" cm="1">
        <f t="array" ref="F2026">IFERROR(_xlfn.XLOOKUP(B2026,Personal!$A:$A,Personal!$F:$F,""),"")</f>
        <v>0</v>
      </c>
      <c r="I2026" s="10" cm="1">
        <f t="array" ref="I2026">IFERROR(INDEX(Precios!$D:$F,MATCH(N2026, Precios!$G:$G, 0),CHOOSE(MATCH(H2026, {"SML";"XL";"XXL"}, 0), 1, 2, 3)), 0)</f>
        <v>0</v>
      </c>
      <c r="K2026" s="10">
        <f t="shared" si="70"/>
        <v>0</v>
      </c>
      <c r="N2026" s="9" t="str">
        <f t="shared" si="71"/>
        <v/>
      </c>
      <c r="O2026" s="9" t="str">
        <f>IF(N2026="","",IF(COUNTIF(Precios!$G:$G,N2026)=0,"⚠ No coincide con Precios","OK"))</f>
        <v/>
      </c>
    </row>
    <row r="2027" spans="3:15" x14ac:dyDescent="0.2">
      <c r="C2027" s="9" cm="1">
        <f t="array" ref="C2027">IFERROR(_xlfn.XLOOKUP(B2027,Personal!$A:$A,Personal!$D:$D,""),"")</f>
        <v>0</v>
      </c>
      <c r="D2027" s="9" cm="1">
        <f t="array" ref="D2027">IFERROR(_xlfn.XLOOKUP(B2027,Personal!$A:$A,Personal!$C:$C,""),"")</f>
        <v>0</v>
      </c>
      <c r="E2027" s="9" t="str" cm="1">
        <f t="array" ref="E2027">IFERROR(_xlfn.XLOOKUP(D2027,Locales!$A:$A,Locales!$B:$B,""),"")</f>
        <v/>
      </c>
      <c r="F2027" s="9" cm="1">
        <f t="array" ref="F2027">IFERROR(_xlfn.XLOOKUP(B2027,Personal!$A:$A,Personal!$F:$F,""),"")</f>
        <v>0</v>
      </c>
      <c r="I2027" s="10" cm="1">
        <f t="array" ref="I2027">IFERROR(INDEX(Precios!$D:$F,MATCH(N2027, Precios!$G:$G, 0),CHOOSE(MATCH(H2027, {"SML";"XL";"XXL"}, 0), 1, 2, 3)), 0)</f>
        <v>0</v>
      </c>
      <c r="K2027" s="10">
        <f t="shared" si="70"/>
        <v>0</v>
      </c>
      <c r="N2027" s="9" t="str">
        <f t="shared" si="71"/>
        <v/>
      </c>
      <c r="O2027" s="9" t="str">
        <f>IF(N2027="","",IF(COUNTIF(Precios!$G:$G,N2027)=0,"⚠ No coincide con Precios","OK"))</f>
        <v/>
      </c>
    </row>
    <row r="2028" spans="3:15" x14ac:dyDescent="0.2">
      <c r="C2028" s="9" cm="1">
        <f t="array" ref="C2028">IFERROR(_xlfn.XLOOKUP(B2028,Personal!$A:$A,Personal!$D:$D,""),"")</f>
        <v>0</v>
      </c>
      <c r="D2028" s="9" cm="1">
        <f t="array" ref="D2028">IFERROR(_xlfn.XLOOKUP(B2028,Personal!$A:$A,Personal!$C:$C,""),"")</f>
        <v>0</v>
      </c>
      <c r="E2028" s="9" t="str" cm="1">
        <f t="array" ref="E2028">IFERROR(_xlfn.XLOOKUP(D2028,Locales!$A:$A,Locales!$B:$B,""),"")</f>
        <v/>
      </c>
      <c r="F2028" s="9" cm="1">
        <f t="array" ref="F2028">IFERROR(_xlfn.XLOOKUP(B2028,Personal!$A:$A,Personal!$F:$F,""),"")</f>
        <v>0</v>
      </c>
      <c r="I2028" s="10" cm="1">
        <f t="array" ref="I2028">IFERROR(INDEX(Precios!$D:$F,MATCH(N2028, Precios!$G:$G, 0),CHOOSE(MATCH(H2028, {"SML";"XL";"XXL"}, 0), 1, 2, 3)), 0)</f>
        <v>0</v>
      </c>
      <c r="K2028" s="10">
        <f t="shared" si="70"/>
        <v>0</v>
      </c>
      <c r="N2028" s="9" t="str">
        <f t="shared" si="71"/>
        <v/>
      </c>
      <c r="O2028" s="9" t="str">
        <f>IF(N2028="","",IF(COUNTIF(Precios!$G:$G,N2028)=0,"⚠ No coincide con Precios","OK"))</f>
        <v/>
      </c>
    </row>
    <row r="2029" spans="3:15" x14ac:dyDescent="0.2">
      <c r="C2029" s="9" cm="1">
        <f t="array" ref="C2029">IFERROR(_xlfn.XLOOKUP(B2029,Personal!$A:$A,Personal!$D:$D,""),"")</f>
        <v>0</v>
      </c>
      <c r="D2029" s="9" cm="1">
        <f t="array" ref="D2029">IFERROR(_xlfn.XLOOKUP(B2029,Personal!$A:$A,Personal!$C:$C,""),"")</f>
        <v>0</v>
      </c>
      <c r="E2029" s="9" t="str" cm="1">
        <f t="array" ref="E2029">IFERROR(_xlfn.XLOOKUP(D2029,Locales!$A:$A,Locales!$B:$B,""),"")</f>
        <v/>
      </c>
      <c r="F2029" s="9" cm="1">
        <f t="array" ref="F2029">IFERROR(_xlfn.XLOOKUP(B2029,Personal!$A:$A,Personal!$F:$F,""),"")</f>
        <v>0</v>
      </c>
      <c r="I2029" s="10" cm="1">
        <f t="array" ref="I2029">IFERROR(INDEX(Precios!$D:$F,MATCH(N2029, Precios!$G:$G, 0),CHOOSE(MATCH(H2029, {"SML";"XL";"XXL"}, 0), 1, 2, 3)), 0)</f>
        <v>0</v>
      </c>
      <c r="K2029" s="10">
        <f t="shared" si="70"/>
        <v>0</v>
      </c>
      <c r="N2029" s="9" t="str">
        <f t="shared" si="71"/>
        <v/>
      </c>
      <c r="O2029" s="9" t="str">
        <f>IF(N2029="","",IF(COUNTIF(Precios!$G:$G,N2029)=0,"⚠ No coincide con Precios","OK"))</f>
        <v/>
      </c>
    </row>
    <row r="2030" spans="3:15" x14ac:dyDescent="0.2">
      <c r="C2030" s="9" cm="1">
        <f t="array" ref="C2030">IFERROR(_xlfn.XLOOKUP(B2030,Personal!$A:$A,Personal!$D:$D,""),"")</f>
        <v>0</v>
      </c>
      <c r="D2030" s="9" cm="1">
        <f t="array" ref="D2030">IFERROR(_xlfn.XLOOKUP(B2030,Personal!$A:$A,Personal!$C:$C,""),"")</f>
        <v>0</v>
      </c>
      <c r="E2030" s="9" t="str" cm="1">
        <f t="array" ref="E2030">IFERROR(_xlfn.XLOOKUP(D2030,Locales!$A:$A,Locales!$B:$B,""),"")</f>
        <v/>
      </c>
      <c r="F2030" s="9" cm="1">
        <f t="array" ref="F2030">IFERROR(_xlfn.XLOOKUP(B2030,Personal!$A:$A,Personal!$F:$F,""),"")</f>
        <v>0</v>
      </c>
      <c r="I2030" s="10" cm="1">
        <f t="array" ref="I2030">IFERROR(INDEX(Precios!$D:$F,MATCH(N2030, Precios!$G:$G, 0),CHOOSE(MATCH(H2030, {"SML";"XL";"XXL"}, 0), 1, 2, 3)), 0)</f>
        <v>0</v>
      </c>
      <c r="K2030" s="10">
        <f t="shared" si="70"/>
        <v>0</v>
      </c>
      <c r="N2030" s="9" t="str">
        <f t="shared" si="71"/>
        <v/>
      </c>
      <c r="O2030" s="9" t="str">
        <f>IF(N2030="","",IF(COUNTIF(Precios!$G:$G,N2030)=0,"⚠ No coincide con Precios","OK"))</f>
        <v/>
      </c>
    </row>
    <row r="2031" spans="3:15" x14ac:dyDescent="0.2">
      <c r="C2031" s="9" cm="1">
        <f t="array" ref="C2031">IFERROR(_xlfn.XLOOKUP(B2031,Personal!$A:$A,Personal!$D:$D,""),"")</f>
        <v>0</v>
      </c>
      <c r="D2031" s="9" cm="1">
        <f t="array" ref="D2031">IFERROR(_xlfn.XLOOKUP(B2031,Personal!$A:$A,Personal!$C:$C,""),"")</f>
        <v>0</v>
      </c>
      <c r="E2031" s="9" t="str" cm="1">
        <f t="array" ref="E2031">IFERROR(_xlfn.XLOOKUP(D2031,Locales!$A:$A,Locales!$B:$B,""),"")</f>
        <v/>
      </c>
      <c r="F2031" s="9" cm="1">
        <f t="array" ref="F2031">IFERROR(_xlfn.XLOOKUP(B2031,Personal!$A:$A,Personal!$F:$F,""),"")</f>
        <v>0</v>
      </c>
      <c r="I2031" s="10" cm="1">
        <f t="array" ref="I2031">IFERROR(INDEX(Precios!$D:$F,MATCH(N2031, Precios!$G:$G, 0),CHOOSE(MATCH(H2031, {"SML";"XL";"XXL"}, 0), 1, 2, 3)), 0)</f>
        <v>0</v>
      </c>
      <c r="K2031" s="10">
        <f t="shared" si="70"/>
        <v>0</v>
      </c>
      <c r="N2031" s="9" t="str">
        <f t="shared" si="71"/>
        <v/>
      </c>
      <c r="O2031" s="9" t="str">
        <f>IF(N2031="","",IF(COUNTIF(Precios!$G:$G,N2031)=0,"⚠ No coincide con Precios","OK"))</f>
        <v/>
      </c>
    </row>
    <row r="2032" spans="3:15" x14ac:dyDescent="0.2">
      <c r="C2032" s="9" cm="1">
        <f t="array" ref="C2032">IFERROR(_xlfn.XLOOKUP(B2032,Personal!$A:$A,Personal!$D:$D,""),"")</f>
        <v>0</v>
      </c>
      <c r="D2032" s="9" cm="1">
        <f t="array" ref="D2032">IFERROR(_xlfn.XLOOKUP(B2032,Personal!$A:$A,Personal!$C:$C,""),"")</f>
        <v>0</v>
      </c>
      <c r="E2032" s="9" t="str" cm="1">
        <f t="array" ref="E2032">IFERROR(_xlfn.XLOOKUP(D2032,Locales!$A:$A,Locales!$B:$B,""),"")</f>
        <v/>
      </c>
      <c r="F2032" s="9" cm="1">
        <f t="array" ref="F2032">IFERROR(_xlfn.XLOOKUP(B2032,Personal!$A:$A,Personal!$F:$F,""),"")</f>
        <v>0</v>
      </c>
      <c r="I2032" s="10" cm="1">
        <f t="array" ref="I2032">IFERROR(INDEX(Precios!$D:$F,MATCH(N2032, Precios!$G:$G, 0),CHOOSE(MATCH(H2032, {"SML";"XL";"XXL"}, 0), 1, 2, 3)), 0)</f>
        <v>0</v>
      </c>
      <c r="K2032" s="10">
        <f t="shared" si="70"/>
        <v>0</v>
      </c>
      <c r="N2032" s="9" t="str">
        <f t="shared" si="71"/>
        <v/>
      </c>
      <c r="O2032" s="9" t="str">
        <f>IF(N2032="","",IF(COUNTIF(Precios!$G:$G,N2032)=0,"⚠ No coincide con Precios","OK"))</f>
        <v/>
      </c>
    </row>
    <row r="2033" spans="3:15" x14ac:dyDescent="0.2">
      <c r="C2033" s="9" cm="1">
        <f t="array" ref="C2033">IFERROR(_xlfn.XLOOKUP(B2033,Personal!$A:$A,Personal!$D:$D,""),"")</f>
        <v>0</v>
      </c>
      <c r="D2033" s="9" cm="1">
        <f t="array" ref="D2033">IFERROR(_xlfn.XLOOKUP(B2033,Personal!$A:$A,Personal!$C:$C,""),"")</f>
        <v>0</v>
      </c>
      <c r="E2033" s="9" t="str" cm="1">
        <f t="array" ref="E2033">IFERROR(_xlfn.XLOOKUP(D2033,Locales!$A:$A,Locales!$B:$B,""),"")</f>
        <v/>
      </c>
      <c r="F2033" s="9" cm="1">
        <f t="array" ref="F2033">IFERROR(_xlfn.XLOOKUP(B2033,Personal!$A:$A,Personal!$F:$F,""),"")</f>
        <v>0</v>
      </c>
      <c r="I2033" s="10" cm="1">
        <f t="array" ref="I2033">IFERROR(INDEX(Precios!$D:$F,MATCH(N2033, Precios!$G:$G, 0),CHOOSE(MATCH(H2033, {"SML";"XL";"XXL"}, 0), 1, 2, 3)), 0)</f>
        <v>0</v>
      </c>
      <c r="K2033" s="10">
        <f t="shared" si="70"/>
        <v>0</v>
      </c>
      <c r="N2033" s="9" t="str">
        <f t="shared" si="71"/>
        <v/>
      </c>
      <c r="O2033" s="9" t="str">
        <f>IF(N2033="","",IF(COUNTIF(Precios!$G:$G,N2033)=0,"⚠ No coincide con Precios","OK"))</f>
        <v/>
      </c>
    </row>
    <row r="2034" spans="3:15" x14ac:dyDescent="0.2">
      <c r="C2034" s="9" cm="1">
        <f t="array" ref="C2034">IFERROR(_xlfn.XLOOKUP(B2034,Personal!$A:$A,Personal!$D:$D,""),"")</f>
        <v>0</v>
      </c>
      <c r="D2034" s="9" cm="1">
        <f t="array" ref="D2034">IFERROR(_xlfn.XLOOKUP(B2034,Personal!$A:$A,Personal!$C:$C,""),"")</f>
        <v>0</v>
      </c>
      <c r="E2034" s="9" t="str" cm="1">
        <f t="array" ref="E2034">IFERROR(_xlfn.XLOOKUP(D2034,Locales!$A:$A,Locales!$B:$B,""),"")</f>
        <v/>
      </c>
      <c r="F2034" s="9" cm="1">
        <f t="array" ref="F2034">IFERROR(_xlfn.XLOOKUP(B2034,Personal!$A:$A,Personal!$F:$F,""),"")</f>
        <v>0</v>
      </c>
      <c r="I2034" s="10" cm="1">
        <f t="array" ref="I2034">IFERROR(INDEX(Precios!$D:$F,MATCH(N2034, Precios!$G:$G, 0),CHOOSE(MATCH(H2034, {"SML";"XL";"XXL"}, 0), 1, 2, 3)), 0)</f>
        <v>0</v>
      </c>
      <c r="K2034" s="10">
        <f t="shared" si="70"/>
        <v>0</v>
      </c>
      <c r="N2034" s="9" t="str">
        <f t="shared" si="71"/>
        <v/>
      </c>
      <c r="O2034" s="9" t="str">
        <f>IF(N2034="","",IF(COUNTIF(Precios!$G:$G,N2034)=0,"⚠ No coincide con Precios","OK"))</f>
        <v/>
      </c>
    </row>
    <row r="2035" spans="3:15" x14ac:dyDescent="0.2">
      <c r="C2035" s="9" cm="1">
        <f t="array" ref="C2035">IFERROR(_xlfn.XLOOKUP(B2035,Personal!$A:$A,Personal!$D:$D,""),"")</f>
        <v>0</v>
      </c>
      <c r="D2035" s="9" cm="1">
        <f t="array" ref="D2035">IFERROR(_xlfn.XLOOKUP(B2035,Personal!$A:$A,Personal!$C:$C,""),"")</f>
        <v>0</v>
      </c>
      <c r="E2035" s="9" t="str" cm="1">
        <f t="array" ref="E2035">IFERROR(_xlfn.XLOOKUP(D2035,Locales!$A:$A,Locales!$B:$B,""),"")</f>
        <v/>
      </c>
      <c r="F2035" s="9" cm="1">
        <f t="array" ref="F2035">IFERROR(_xlfn.XLOOKUP(B2035,Personal!$A:$A,Personal!$F:$F,""),"")</f>
        <v>0</v>
      </c>
      <c r="I2035" s="10" cm="1">
        <f t="array" ref="I2035">IFERROR(INDEX(Precios!$D:$F,MATCH(N2035, Precios!$G:$G, 0),CHOOSE(MATCH(H2035, {"SML";"XL";"XXL"}, 0), 1, 2, 3)), 0)</f>
        <v>0</v>
      </c>
      <c r="K2035" s="10">
        <f t="shared" si="70"/>
        <v>0</v>
      </c>
      <c r="N2035" s="9" t="str">
        <f t="shared" si="71"/>
        <v/>
      </c>
      <c r="O2035" s="9" t="str">
        <f>IF(N2035="","",IF(COUNTIF(Precios!$G:$G,N2035)=0,"⚠ No coincide con Precios","OK"))</f>
        <v/>
      </c>
    </row>
    <row r="2036" spans="3:15" x14ac:dyDescent="0.2">
      <c r="C2036" s="9" cm="1">
        <f t="array" ref="C2036">IFERROR(_xlfn.XLOOKUP(B2036,Personal!$A:$A,Personal!$D:$D,""),"")</f>
        <v>0</v>
      </c>
      <c r="D2036" s="9" cm="1">
        <f t="array" ref="D2036">IFERROR(_xlfn.XLOOKUP(B2036,Personal!$A:$A,Personal!$C:$C,""),"")</f>
        <v>0</v>
      </c>
      <c r="E2036" s="9" t="str" cm="1">
        <f t="array" ref="E2036">IFERROR(_xlfn.XLOOKUP(D2036,Locales!$A:$A,Locales!$B:$B,""),"")</f>
        <v/>
      </c>
      <c r="F2036" s="9" cm="1">
        <f t="array" ref="F2036">IFERROR(_xlfn.XLOOKUP(B2036,Personal!$A:$A,Personal!$F:$F,""),"")</f>
        <v>0</v>
      </c>
      <c r="I2036" s="10" cm="1">
        <f t="array" ref="I2036">IFERROR(INDEX(Precios!$D:$F,MATCH(N2036, Precios!$G:$G, 0),CHOOSE(MATCH(H2036, {"SML";"XL";"XXL"}, 0), 1, 2, 3)), 0)</f>
        <v>0</v>
      </c>
      <c r="K2036" s="10">
        <f t="shared" si="70"/>
        <v>0</v>
      </c>
      <c r="N2036" s="9" t="str">
        <f t="shared" si="71"/>
        <v/>
      </c>
      <c r="O2036" s="9" t="str">
        <f>IF(N2036="","",IF(COUNTIF(Precios!$G:$G,N2036)=0,"⚠ No coincide con Precios","OK"))</f>
        <v/>
      </c>
    </row>
    <row r="2037" spans="3:15" x14ac:dyDescent="0.2">
      <c r="C2037" s="9" cm="1">
        <f t="array" ref="C2037">IFERROR(_xlfn.XLOOKUP(B2037,Personal!$A:$A,Personal!$D:$D,""),"")</f>
        <v>0</v>
      </c>
      <c r="D2037" s="9" cm="1">
        <f t="array" ref="D2037">IFERROR(_xlfn.XLOOKUP(B2037,Personal!$A:$A,Personal!$C:$C,""),"")</f>
        <v>0</v>
      </c>
      <c r="E2037" s="9" t="str" cm="1">
        <f t="array" ref="E2037">IFERROR(_xlfn.XLOOKUP(D2037,Locales!$A:$A,Locales!$B:$B,""),"")</f>
        <v/>
      </c>
      <c r="F2037" s="9" cm="1">
        <f t="array" ref="F2037">IFERROR(_xlfn.XLOOKUP(B2037,Personal!$A:$A,Personal!$F:$F,""),"")</f>
        <v>0</v>
      </c>
      <c r="I2037" s="10" cm="1">
        <f t="array" ref="I2037">IFERROR(INDEX(Precios!$D:$F,MATCH(N2037, Precios!$G:$G, 0),CHOOSE(MATCH(H2037, {"SML";"XL";"XXL"}, 0), 1, 2, 3)), 0)</f>
        <v>0</v>
      </c>
      <c r="K2037" s="10">
        <f t="shared" si="70"/>
        <v>0</v>
      </c>
      <c r="N2037" s="9" t="str">
        <f t="shared" si="71"/>
        <v/>
      </c>
      <c r="O2037" s="9" t="str">
        <f>IF(N2037="","",IF(COUNTIF(Precios!$G:$G,N2037)=0,"⚠ No coincide con Precios","OK"))</f>
        <v/>
      </c>
    </row>
    <row r="2038" spans="3:15" x14ac:dyDescent="0.2">
      <c r="C2038" s="9" cm="1">
        <f t="array" ref="C2038">IFERROR(_xlfn.XLOOKUP(B2038,Personal!$A:$A,Personal!$D:$D,""),"")</f>
        <v>0</v>
      </c>
      <c r="D2038" s="9" cm="1">
        <f t="array" ref="D2038">IFERROR(_xlfn.XLOOKUP(B2038,Personal!$A:$A,Personal!$C:$C,""),"")</f>
        <v>0</v>
      </c>
      <c r="E2038" s="9" t="str" cm="1">
        <f t="array" ref="E2038">IFERROR(_xlfn.XLOOKUP(D2038,Locales!$A:$A,Locales!$B:$B,""),"")</f>
        <v/>
      </c>
      <c r="F2038" s="9" cm="1">
        <f t="array" ref="F2038">IFERROR(_xlfn.XLOOKUP(B2038,Personal!$A:$A,Personal!$F:$F,""),"")</f>
        <v>0</v>
      </c>
      <c r="I2038" s="10" cm="1">
        <f t="array" ref="I2038">IFERROR(INDEX(Precios!$D:$F,MATCH(N2038, Precios!$G:$G, 0),CHOOSE(MATCH(H2038, {"SML";"XL";"XXL"}, 0), 1, 2, 3)), 0)</f>
        <v>0</v>
      </c>
      <c r="K2038" s="10">
        <f t="shared" si="70"/>
        <v>0</v>
      </c>
      <c r="N2038" s="9" t="str">
        <f t="shared" si="71"/>
        <v/>
      </c>
      <c r="O2038" s="9" t="str">
        <f>IF(N2038="","",IF(COUNTIF(Precios!$G:$G,N2038)=0,"⚠ No coincide con Precios","OK"))</f>
        <v/>
      </c>
    </row>
    <row r="2039" spans="3:15" x14ac:dyDescent="0.2">
      <c r="C2039" s="9" cm="1">
        <f t="array" ref="C2039">IFERROR(_xlfn.XLOOKUP(B2039,Personal!$A:$A,Personal!$D:$D,""),"")</f>
        <v>0</v>
      </c>
      <c r="D2039" s="9" cm="1">
        <f t="array" ref="D2039">IFERROR(_xlfn.XLOOKUP(B2039,Personal!$A:$A,Personal!$C:$C,""),"")</f>
        <v>0</v>
      </c>
      <c r="E2039" s="9" t="str" cm="1">
        <f t="array" ref="E2039">IFERROR(_xlfn.XLOOKUP(D2039,Locales!$A:$A,Locales!$B:$B,""),"")</f>
        <v/>
      </c>
      <c r="F2039" s="9" cm="1">
        <f t="array" ref="F2039">IFERROR(_xlfn.XLOOKUP(B2039,Personal!$A:$A,Personal!$F:$F,""),"")</f>
        <v>0</v>
      </c>
      <c r="I2039" s="10" cm="1">
        <f t="array" ref="I2039">IFERROR(INDEX(Precios!$D:$F,MATCH(N2039, Precios!$G:$G, 0),CHOOSE(MATCH(H2039, {"SML";"XL";"XXL"}, 0), 1, 2, 3)), 0)</f>
        <v>0</v>
      </c>
      <c r="K2039" s="10">
        <f t="shared" si="70"/>
        <v>0</v>
      </c>
      <c r="N2039" s="9" t="str">
        <f t="shared" si="71"/>
        <v/>
      </c>
      <c r="O2039" s="9" t="str">
        <f>IF(N2039="","",IF(COUNTIF(Precios!$G:$G,N2039)=0,"⚠ No coincide con Precios","OK"))</f>
        <v/>
      </c>
    </row>
    <row r="2040" spans="3:15" x14ac:dyDescent="0.2">
      <c r="C2040" s="9" cm="1">
        <f t="array" ref="C2040">IFERROR(_xlfn.XLOOKUP(B2040,Personal!$A:$A,Personal!$D:$D,""),"")</f>
        <v>0</v>
      </c>
      <c r="D2040" s="9" cm="1">
        <f t="array" ref="D2040">IFERROR(_xlfn.XLOOKUP(B2040,Personal!$A:$A,Personal!$C:$C,""),"")</f>
        <v>0</v>
      </c>
      <c r="E2040" s="9" t="str" cm="1">
        <f t="array" ref="E2040">IFERROR(_xlfn.XLOOKUP(D2040,Locales!$A:$A,Locales!$B:$B,""),"")</f>
        <v/>
      </c>
      <c r="F2040" s="9" cm="1">
        <f t="array" ref="F2040">IFERROR(_xlfn.XLOOKUP(B2040,Personal!$A:$A,Personal!$F:$F,""),"")</f>
        <v>0</v>
      </c>
      <c r="I2040" s="10" cm="1">
        <f t="array" ref="I2040">IFERROR(INDEX(Precios!$D:$F,MATCH(N2040, Precios!$G:$G, 0),CHOOSE(MATCH(H2040, {"SML";"XL";"XXL"}, 0), 1, 2, 3)), 0)</f>
        <v>0</v>
      </c>
      <c r="K2040" s="10">
        <f t="shared" si="70"/>
        <v>0</v>
      </c>
      <c r="N2040" s="9" t="str">
        <f t="shared" si="71"/>
        <v/>
      </c>
      <c r="O2040" s="9" t="str">
        <f>IF(N2040="","",IF(COUNTIF(Precios!$G:$G,N2040)=0,"⚠ No coincide con Precios","OK"))</f>
        <v/>
      </c>
    </row>
    <row r="2041" spans="3:15" x14ac:dyDescent="0.2">
      <c r="C2041" s="9" cm="1">
        <f t="array" ref="C2041">IFERROR(_xlfn.XLOOKUP(B2041,Personal!$A:$A,Personal!$D:$D,""),"")</f>
        <v>0</v>
      </c>
      <c r="D2041" s="9" cm="1">
        <f t="array" ref="D2041">IFERROR(_xlfn.XLOOKUP(B2041,Personal!$A:$A,Personal!$C:$C,""),"")</f>
        <v>0</v>
      </c>
      <c r="E2041" s="9" t="str" cm="1">
        <f t="array" ref="E2041">IFERROR(_xlfn.XLOOKUP(D2041,Locales!$A:$A,Locales!$B:$B,""),"")</f>
        <v/>
      </c>
      <c r="F2041" s="9" cm="1">
        <f t="array" ref="F2041">IFERROR(_xlfn.XLOOKUP(B2041,Personal!$A:$A,Personal!$F:$F,""),"")</f>
        <v>0</v>
      </c>
      <c r="I2041" s="10" cm="1">
        <f t="array" ref="I2041">IFERROR(INDEX(Precios!$D:$F,MATCH(N2041, Precios!$G:$G, 0),CHOOSE(MATCH(H2041, {"SML";"XL";"XXL"}, 0), 1, 2, 3)), 0)</f>
        <v>0</v>
      </c>
      <c r="K2041" s="10">
        <f t="shared" si="70"/>
        <v>0</v>
      </c>
      <c r="N2041" s="9" t="str">
        <f t="shared" si="71"/>
        <v/>
      </c>
      <c r="O2041" s="9" t="str">
        <f>IF(N2041="","",IF(COUNTIF(Precios!$G:$G,N2041)=0,"⚠ No coincide con Precios","OK"))</f>
        <v/>
      </c>
    </row>
    <row r="2042" spans="3:15" x14ac:dyDescent="0.2">
      <c r="C2042" s="9" cm="1">
        <f t="array" ref="C2042">IFERROR(_xlfn.XLOOKUP(B2042,Personal!$A:$A,Personal!$D:$D,""),"")</f>
        <v>0</v>
      </c>
      <c r="D2042" s="9" cm="1">
        <f t="array" ref="D2042">IFERROR(_xlfn.XLOOKUP(B2042,Personal!$A:$A,Personal!$C:$C,""),"")</f>
        <v>0</v>
      </c>
      <c r="E2042" s="9" t="str" cm="1">
        <f t="array" ref="E2042">IFERROR(_xlfn.XLOOKUP(D2042,Locales!$A:$A,Locales!$B:$B,""),"")</f>
        <v/>
      </c>
      <c r="F2042" s="9" cm="1">
        <f t="array" ref="F2042">IFERROR(_xlfn.XLOOKUP(B2042,Personal!$A:$A,Personal!$F:$F,""),"")</f>
        <v>0</v>
      </c>
      <c r="I2042" s="10" cm="1">
        <f t="array" ref="I2042">IFERROR(INDEX(Precios!$D:$F,MATCH(N2042, Precios!$G:$G, 0),CHOOSE(MATCH(H2042, {"SML";"XL";"XXL"}, 0), 1, 2, 3)), 0)</f>
        <v>0</v>
      </c>
      <c r="K2042" s="10">
        <f t="shared" si="70"/>
        <v>0</v>
      </c>
      <c r="N2042" s="9" t="str">
        <f t="shared" si="71"/>
        <v/>
      </c>
      <c r="O2042" s="9" t="str">
        <f>IF(N2042="","",IF(COUNTIF(Precios!$G:$G,N2042)=0,"⚠ No coincide con Precios","OK"))</f>
        <v/>
      </c>
    </row>
    <row r="2043" spans="3:15" x14ac:dyDescent="0.2">
      <c r="C2043" s="9" cm="1">
        <f t="array" ref="C2043">IFERROR(_xlfn.XLOOKUP(B2043,Personal!$A:$A,Personal!$D:$D,""),"")</f>
        <v>0</v>
      </c>
      <c r="D2043" s="9" cm="1">
        <f t="array" ref="D2043">IFERROR(_xlfn.XLOOKUP(B2043,Personal!$A:$A,Personal!$C:$C,""),"")</f>
        <v>0</v>
      </c>
      <c r="E2043" s="9" t="str" cm="1">
        <f t="array" ref="E2043">IFERROR(_xlfn.XLOOKUP(D2043,Locales!$A:$A,Locales!$B:$B,""),"")</f>
        <v/>
      </c>
      <c r="F2043" s="9" cm="1">
        <f t="array" ref="F2043">IFERROR(_xlfn.XLOOKUP(B2043,Personal!$A:$A,Personal!$F:$F,""),"")</f>
        <v>0</v>
      </c>
      <c r="I2043" s="10" cm="1">
        <f t="array" ref="I2043">IFERROR(INDEX(Precios!$D:$F,MATCH(N2043, Precios!$G:$G, 0),CHOOSE(MATCH(H2043, {"SML";"XL";"XXL"}, 0), 1, 2, 3)), 0)</f>
        <v>0</v>
      </c>
      <c r="K2043" s="10">
        <f t="shared" si="70"/>
        <v>0</v>
      </c>
      <c r="N2043" s="9" t="str">
        <f t="shared" si="71"/>
        <v/>
      </c>
      <c r="O2043" s="9" t="str">
        <f>IF(N2043="","",IF(COUNTIF(Precios!$G:$G,N2043)=0,"⚠ No coincide con Precios","OK"))</f>
        <v/>
      </c>
    </row>
    <row r="2044" spans="3:15" x14ac:dyDescent="0.2">
      <c r="C2044" s="9" cm="1">
        <f t="array" ref="C2044">IFERROR(_xlfn.XLOOKUP(B2044,Personal!$A:$A,Personal!$D:$D,""),"")</f>
        <v>0</v>
      </c>
      <c r="D2044" s="9" cm="1">
        <f t="array" ref="D2044">IFERROR(_xlfn.XLOOKUP(B2044,Personal!$A:$A,Personal!$C:$C,""),"")</f>
        <v>0</v>
      </c>
      <c r="E2044" s="9" t="str" cm="1">
        <f t="array" ref="E2044">IFERROR(_xlfn.XLOOKUP(D2044,Locales!$A:$A,Locales!$B:$B,""),"")</f>
        <v/>
      </c>
      <c r="F2044" s="9" cm="1">
        <f t="array" ref="F2044">IFERROR(_xlfn.XLOOKUP(B2044,Personal!$A:$A,Personal!$F:$F,""),"")</f>
        <v>0</v>
      </c>
      <c r="I2044" s="10" cm="1">
        <f t="array" ref="I2044">IFERROR(INDEX(Precios!$D:$F,MATCH(N2044, Precios!$G:$G, 0),CHOOSE(MATCH(H2044, {"SML";"XL";"XXL"}, 0), 1, 2, 3)), 0)</f>
        <v>0</v>
      </c>
      <c r="K2044" s="10">
        <f t="shared" si="70"/>
        <v>0</v>
      </c>
      <c r="N2044" s="9" t="str">
        <f t="shared" si="71"/>
        <v/>
      </c>
      <c r="O2044" s="9" t="str">
        <f>IF(N2044="","",IF(COUNTIF(Precios!$G:$G,N2044)=0,"⚠ No coincide con Precios","OK"))</f>
        <v/>
      </c>
    </row>
    <row r="2045" spans="3:15" x14ac:dyDescent="0.2">
      <c r="C2045" s="9" cm="1">
        <f t="array" ref="C2045">IFERROR(_xlfn.XLOOKUP(B2045,Personal!$A:$A,Personal!$D:$D,""),"")</f>
        <v>0</v>
      </c>
      <c r="D2045" s="9" cm="1">
        <f t="array" ref="D2045">IFERROR(_xlfn.XLOOKUP(B2045,Personal!$A:$A,Personal!$C:$C,""),"")</f>
        <v>0</v>
      </c>
      <c r="E2045" s="9" t="str" cm="1">
        <f t="array" ref="E2045">IFERROR(_xlfn.XLOOKUP(D2045,Locales!$A:$A,Locales!$B:$B,""),"")</f>
        <v/>
      </c>
      <c r="F2045" s="9" cm="1">
        <f t="array" ref="F2045">IFERROR(_xlfn.XLOOKUP(B2045,Personal!$A:$A,Personal!$F:$F,""),"")</f>
        <v>0</v>
      </c>
      <c r="I2045" s="10" cm="1">
        <f t="array" ref="I2045">IFERROR(INDEX(Precios!$D:$F,MATCH(N2045, Precios!$G:$G, 0),CHOOSE(MATCH(H2045, {"SML";"XL";"XXL"}, 0), 1, 2, 3)), 0)</f>
        <v>0</v>
      </c>
      <c r="K2045" s="10">
        <f t="shared" si="70"/>
        <v>0</v>
      </c>
      <c r="N2045" s="9" t="str">
        <f t="shared" si="71"/>
        <v/>
      </c>
      <c r="O2045" s="9" t="str">
        <f>IF(N2045="","",IF(COUNTIF(Precios!$G:$G,N2045)=0,"⚠ No coincide con Precios","OK"))</f>
        <v/>
      </c>
    </row>
    <row r="2046" spans="3:15" x14ac:dyDescent="0.2">
      <c r="C2046" s="9" cm="1">
        <f t="array" ref="C2046">IFERROR(_xlfn.XLOOKUP(B2046,Personal!$A:$A,Personal!$D:$D,""),"")</f>
        <v>0</v>
      </c>
      <c r="D2046" s="9" cm="1">
        <f t="array" ref="D2046">IFERROR(_xlfn.XLOOKUP(B2046,Personal!$A:$A,Personal!$C:$C,""),"")</f>
        <v>0</v>
      </c>
      <c r="E2046" s="9" t="str" cm="1">
        <f t="array" ref="E2046">IFERROR(_xlfn.XLOOKUP(D2046,Locales!$A:$A,Locales!$B:$B,""),"")</f>
        <v/>
      </c>
      <c r="F2046" s="9" cm="1">
        <f t="array" ref="F2046">IFERROR(_xlfn.XLOOKUP(B2046,Personal!$A:$A,Personal!$F:$F,""),"")</f>
        <v>0</v>
      </c>
      <c r="I2046" s="10" cm="1">
        <f t="array" ref="I2046">IFERROR(INDEX(Precios!$D:$F,MATCH(N2046, Precios!$G:$G, 0),CHOOSE(MATCH(H2046, {"SML";"XL";"XXL"}, 0), 1, 2, 3)), 0)</f>
        <v>0</v>
      </c>
      <c r="K2046" s="10">
        <f t="shared" si="70"/>
        <v>0</v>
      </c>
      <c r="N2046" s="9" t="str">
        <f t="shared" si="71"/>
        <v/>
      </c>
      <c r="O2046" s="9" t="str">
        <f>IF(N2046="","",IF(COUNTIF(Precios!$G:$G,N2046)=0,"⚠ No coincide con Precios","OK"))</f>
        <v/>
      </c>
    </row>
    <row r="2047" spans="3:15" x14ac:dyDescent="0.2">
      <c r="C2047" s="9" cm="1">
        <f t="array" ref="C2047">IFERROR(_xlfn.XLOOKUP(B2047,Personal!$A:$A,Personal!$D:$D,""),"")</f>
        <v>0</v>
      </c>
      <c r="D2047" s="9" cm="1">
        <f t="array" ref="D2047">IFERROR(_xlfn.XLOOKUP(B2047,Personal!$A:$A,Personal!$C:$C,""),"")</f>
        <v>0</v>
      </c>
      <c r="E2047" s="9" t="str" cm="1">
        <f t="array" ref="E2047">IFERROR(_xlfn.XLOOKUP(D2047,Locales!$A:$A,Locales!$B:$B,""),"")</f>
        <v/>
      </c>
      <c r="F2047" s="9" cm="1">
        <f t="array" ref="F2047">IFERROR(_xlfn.XLOOKUP(B2047,Personal!$A:$A,Personal!$F:$F,""),"")</f>
        <v>0</v>
      </c>
      <c r="I2047" s="10" cm="1">
        <f t="array" ref="I2047">IFERROR(INDEX(Precios!$D:$F,MATCH(N2047, Precios!$G:$G, 0),CHOOSE(MATCH(H2047, {"SML";"XL";"XXL"}, 0), 1, 2, 3)), 0)</f>
        <v>0</v>
      </c>
      <c r="K2047" s="10">
        <f t="shared" si="70"/>
        <v>0</v>
      </c>
      <c r="N2047" s="9" t="str">
        <f t="shared" si="71"/>
        <v/>
      </c>
      <c r="O2047" s="9" t="str">
        <f>IF(N2047="","",IF(COUNTIF(Precios!$G:$G,N2047)=0,"⚠ No coincide con Precios","OK"))</f>
        <v/>
      </c>
    </row>
    <row r="2048" spans="3:15" x14ac:dyDescent="0.2">
      <c r="C2048" s="9" cm="1">
        <f t="array" ref="C2048">IFERROR(_xlfn.XLOOKUP(B2048,Personal!$A:$A,Personal!$D:$D,""),"")</f>
        <v>0</v>
      </c>
      <c r="D2048" s="9" cm="1">
        <f t="array" ref="D2048">IFERROR(_xlfn.XLOOKUP(B2048,Personal!$A:$A,Personal!$C:$C,""),"")</f>
        <v>0</v>
      </c>
      <c r="E2048" s="9" t="str" cm="1">
        <f t="array" ref="E2048">IFERROR(_xlfn.XLOOKUP(D2048,Locales!$A:$A,Locales!$B:$B,""),"")</f>
        <v/>
      </c>
      <c r="F2048" s="9" cm="1">
        <f t="array" ref="F2048">IFERROR(_xlfn.XLOOKUP(B2048,Personal!$A:$A,Personal!$F:$F,""),"")</f>
        <v>0</v>
      </c>
      <c r="I2048" s="10" cm="1">
        <f t="array" ref="I2048">IFERROR(INDEX(Precios!$D:$F,MATCH(N2048, Precios!$G:$G, 0),CHOOSE(MATCH(H2048, {"SML";"XL";"XXL"}, 0), 1, 2, 3)), 0)</f>
        <v>0</v>
      </c>
      <c r="K2048" s="10">
        <f t="shared" ref="K2048:K2111" si="72">IFERROR(I2048*J2048,0)</f>
        <v>0</v>
      </c>
      <c r="N2048" s="9" t="str">
        <f t="shared" ref="N2048:N2111" si="73">IF( OR(E2048="",F2048="",G2048=""), "",CLEAN(TRIM(E2048)) &amp; "|" &amp; CLEAN(TRIM(F2048)) &amp; "|" &amp; CLEAN(TRIM(G2048)))</f>
        <v/>
      </c>
      <c r="O2048" s="9" t="str">
        <f>IF(N2048="","",IF(COUNTIF(Precios!$G:$G,N2048)=0,"⚠ No coincide con Precios","OK"))</f>
        <v/>
      </c>
    </row>
    <row r="2049" spans="3:15" x14ac:dyDescent="0.2">
      <c r="C2049" s="9" cm="1">
        <f t="array" ref="C2049">IFERROR(_xlfn.XLOOKUP(B2049,Personal!$A:$A,Personal!$D:$D,""),"")</f>
        <v>0</v>
      </c>
      <c r="D2049" s="9" cm="1">
        <f t="array" ref="D2049">IFERROR(_xlfn.XLOOKUP(B2049,Personal!$A:$A,Personal!$C:$C,""),"")</f>
        <v>0</v>
      </c>
      <c r="E2049" s="9" t="str" cm="1">
        <f t="array" ref="E2049">IFERROR(_xlfn.XLOOKUP(D2049,Locales!$A:$A,Locales!$B:$B,""),"")</f>
        <v/>
      </c>
      <c r="F2049" s="9" cm="1">
        <f t="array" ref="F2049">IFERROR(_xlfn.XLOOKUP(B2049,Personal!$A:$A,Personal!$F:$F,""),"")</f>
        <v>0</v>
      </c>
      <c r="I2049" s="10" cm="1">
        <f t="array" ref="I2049">IFERROR(INDEX(Precios!$D:$F,MATCH(N2049, Precios!$G:$G, 0),CHOOSE(MATCH(H2049, {"SML";"XL";"XXL"}, 0), 1, 2, 3)), 0)</f>
        <v>0</v>
      </c>
      <c r="K2049" s="10">
        <f t="shared" si="72"/>
        <v>0</v>
      </c>
      <c r="N2049" s="9" t="str">
        <f t="shared" si="73"/>
        <v/>
      </c>
      <c r="O2049" s="9" t="str">
        <f>IF(N2049="","",IF(COUNTIF(Precios!$G:$G,N2049)=0,"⚠ No coincide con Precios","OK"))</f>
        <v/>
      </c>
    </row>
    <row r="2050" spans="3:15" x14ac:dyDescent="0.2">
      <c r="C2050" s="9" cm="1">
        <f t="array" ref="C2050">IFERROR(_xlfn.XLOOKUP(B2050,Personal!$A:$A,Personal!$D:$D,""),"")</f>
        <v>0</v>
      </c>
      <c r="D2050" s="9" cm="1">
        <f t="array" ref="D2050">IFERROR(_xlfn.XLOOKUP(B2050,Personal!$A:$A,Personal!$C:$C,""),"")</f>
        <v>0</v>
      </c>
      <c r="E2050" s="9" t="str" cm="1">
        <f t="array" ref="E2050">IFERROR(_xlfn.XLOOKUP(D2050,Locales!$A:$A,Locales!$B:$B,""),"")</f>
        <v/>
      </c>
      <c r="F2050" s="9" cm="1">
        <f t="array" ref="F2050">IFERROR(_xlfn.XLOOKUP(B2050,Personal!$A:$A,Personal!$F:$F,""),"")</f>
        <v>0</v>
      </c>
      <c r="I2050" s="10" cm="1">
        <f t="array" ref="I2050">IFERROR(INDEX(Precios!$D:$F,MATCH(N2050, Precios!$G:$G, 0),CHOOSE(MATCH(H2050, {"SML";"XL";"XXL"}, 0), 1, 2, 3)), 0)</f>
        <v>0</v>
      </c>
      <c r="K2050" s="10">
        <f t="shared" si="72"/>
        <v>0</v>
      </c>
      <c r="N2050" s="9" t="str">
        <f t="shared" si="73"/>
        <v/>
      </c>
      <c r="O2050" s="9" t="str">
        <f>IF(N2050="","",IF(COUNTIF(Precios!$G:$G,N2050)=0,"⚠ No coincide con Precios","OK"))</f>
        <v/>
      </c>
    </row>
    <row r="2051" spans="3:15" x14ac:dyDescent="0.2">
      <c r="C2051" s="9" cm="1">
        <f t="array" ref="C2051">IFERROR(_xlfn.XLOOKUP(B2051,Personal!$A:$A,Personal!$D:$D,""),"")</f>
        <v>0</v>
      </c>
      <c r="D2051" s="9" cm="1">
        <f t="array" ref="D2051">IFERROR(_xlfn.XLOOKUP(B2051,Personal!$A:$A,Personal!$C:$C,""),"")</f>
        <v>0</v>
      </c>
      <c r="E2051" s="9" t="str" cm="1">
        <f t="array" ref="E2051">IFERROR(_xlfn.XLOOKUP(D2051,Locales!$A:$A,Locales!$B:$B,""),"")</f>
        <v/>
      </c>
      <c r="F2051" s="9" cm="1">
        <f t="array" ref="F2051">IFERROR(_xlfn.XLOOKUP(B2051,Personal!$A:$A,Personal!$F:$F,""),"")</f>
        <v>0</v>
      </c>
      <c r="I2051" s="10" cm="1">
        <f t="array" ref="I2051">IFERROR(INDEX(Precios!$D:$F,MATCH(N2051, Precios!$G:$G, 0),CHOOSE(MATCH(H2051, {"SML";"XL";"XXL"}, 0), 1, 2, 3)), 0)</f>
        <v>0</v>
      </c>
      <c r="K2051" s="10">
        <f t="shared" si="72"/>
        <v>0</v>
      </c>
      <c r="N2051" s="9" t="str">
        <f t="shared" si="73"/>
        <v/>
      </c>
      <c r="O2051" s="9" t="str">
        <f>IF(N2051="","",IF(COUNTIF(Precios!$G:$G,N2051)=0,"⚠ No coincide con Precios","OK"))</f>
        <v/>
      </c>
    </row>
    <row r="2052" spans="3:15" x14ac:dyDescent="0.2">
      <c r="C2052" s="9" cm="1">
        <f t="array" ref="C2052">IFERROR(_xlfn.XLOOKUP(B2052,Personal!$A:$A,Personal!$D:$D,""),"")</f>
        <v>0</v>
      </c>
      <c r="D2052" s="9" cm="1">
        <f t="array" ref="D2052">IFERROR(_xlfn.XLOOKUP(B2052,Personal!$A:$A,Personal!$C:$C,""),"")</f>
        <v>0</v>
      </c>
      <c r="E2052" s="9" t="str" cm="1">
        <f t="array" ref="E2052">IFERROR(_xlfn.XLOOKUP(D2052,Locales!$A:$A,Locales!$B:$B,""),"")</f>
        <v/>
      </c>
      <c r="F2052" s="9" cm="1">
        <f t="array" ref="F2052">IFERROR(_xlfn.XLOOKUP(B2052,Personal!$A:$A,Personal!$F:$F,""),"")</f>
        <v>0</v>
      </c>
      <c r="I2052" s="10" cm="1">
        <f t="array" ref="I2052">IFERROR(INDEX(Precios!$D:$F,MATCH(N2052, Precios!$G:$G, 0),CHOOSE(MATCH(H2052, {"SML";"XL";"XXL"}, 0), 1, 2, 3)), 0)</f>
        <v>0</v>
      </c>
      <c r="K2052" s="10">
        <f t="shared" si="72"/>
        <v>0</v>
      </c>
      <c r="N2052" s="9" t="str">
        <f t="shared" si="73"/>
        <v/>
      </c>
      <c r="O2052" s="9" t="str">
        <f>IF(N2052="","",IF(COUNTIF(Precios!$G:$G,N2052)=0,"⚠ No coincide con Precios","OK"))</f>
        <v/>
      </c>
    </row>
    <row r="2053" spans="3:15" x14ac:dyDescent="0.2">
      <c r="C2053" s="9" cm="1">
        <f t="array" ref="C2053">IFERROR(_xlfn.XLOOKUP(B2053,Personal!$A:$A,Personal!$D:$D,""),"")</f>
        <v>0</v>
      </c>
      <c r="D2053" s="9" cm="1">
        <f t="array" ref="D2053">IFERROR(_xlfn.XLOOKUP(B2053,Personal!$A:$A,Personal!$C:$C,""),"")</f>
        <v>0</v>
      </c>
      <c r="E2053" s="9" t="str" cm="1">
        <f t="array" ref="E2053">IFERROR(_xlfn.XLOOKUP(D2053,Locales!$A:$A,Locales!$B:$B,""),"")</f>
        <v/>
      </c>
      <c r="F2053" s="9" cm="1">
        <f t="array" ref="F2053">IFERROR(_xlfn.XLOOKUP(B2053,Personal!$A:$A,Personal!$F:$F,""),"")</f>
        <v>0</v>
      </c>
      <c r="I2053" s="10" cm="1">
        <f t="array" ref="I2053">IFERROR(INDEX(Precios!$D:$F,MATCH(N2053, Precios!$G:$G, 0),CHOOSE(MATCH(H2053, {"SML";"XL";"XXL"}, 0), 1, 2, 3)), 0)</f>
        <v>0</v>
      </c>
      <c r="K2053" s="10">
        <f t="shared" si="72"/>
        <v>0</v>
      </c>
      <c r="N2053" s="9" t="str">
        <f t="shared" si="73"/>
        <v/>
      </c>
      <c r="O2053" s="9" t="str">
        <f>IF(N2053="","",IF(COUNTIF(Precios!$G:$G,N2053)=0,"⚠ No coincide con Precios","OK"))</f>
        <v/>
      </c>
    </row>
    <row r="2054" spans="3:15" x14ac:dyDescent="0.2">
      <c r="C2054" s="9" cm="1">
        <f t="array" ref="C2054">IFERROR(_xlfn.XLOOKUP(B2054,Personal!$A:$A,Personal!$D:$D,""),"")</f>
        <v>0</v>
      </c>
      <c r="D2054" s="9" cm="1">
        <f t="array" ref="D2054">IFERROR(_xlfn.XLOOKUP(B2054,Personal!$A:$A,Personal!$C:$C,""),"")</f>
        <v>0</v>
      </c>
      <c r="E2054" s="9" t="str" cm="1">
        <f t="array" ref="E2054">IFERROR(_xlfn.XLOOKUP(D2054,Locales!$A:$A,Locales!$B:$B,""),"")</f>
        <v/>
      </c>
      <c r="F2054" s="9" cm="1">
        <f t="array" ref="F2054">IFERROR(_xlfn.XLOOKUP(B2054,Personal!$A:$A,Personal!$F:$F,""),"")</f>
        <v>0</v>
      </c>
      <c r="I2054" s="10" cm="1">
        <f t="array" ref="I2054">IFERROR(INDEX(Precios!$D:$F,MATCH(N2054, Precios!$G:$G, 0),CHOOSE(MATCH(H2054, {"SML";"XL";"XXL"}, 0), 1, 2, 3)), 0)</f>
        <v>0</v>
      </c>
      <c r="K2054" s="10">
        <f t="shared" si="72"/>
        <v>0</v>
      </c>
      <c r="N2054" s="9" t="str">
        <f t="shared" si="73"/>
        <v/>
      </c>
      <c r="O2054" s="9" t="str">
        <f>IF(N2054="","",IF(COUNTIF(Precios!$G:$G,N2054)=0,"⚠ No coincide con Precios","OK"))</f>
        <v/>
      </c>
    </row>
    <row r="2055" spans="3:15" x14ac:dyDescent="0.2">
      <c r="C2055" s="9" cm="1">
        <f t="array" ref="C2055">IFERROR(_xlfn.XLOOKUP(B2055,Personal!$A:$A,Personal!$D:$D,""),"")</f>
        <v>0</v>
      </c>
      <c r="D2055" s="9" cm="1">
        <f t="array" ref="D2055">IFERROR(_xlfn.XLOOKUP(B2055,Personal!$A:$A,Personal!$C:$C,""),"")</f>
        <v>0</v>
      </c>
      <c r="E2055" s="9" t="str" cm="1">
        <f t="array" ref="E2055">IFERROR(_xlfn.XLOOKUP(D2055,Locales!$A:$A,Locales!$B:$B,""),"")</f>
        <v/>
      </c>
      <c r="F2055" s="9" cm="1">
        <f t="array" ref="F2055">IFERROR(_xlfn.XLOOKUP(B2055,Personal!$A:$A,Personal!$F:$F,""),"")</f>
        <v>0</v>
      </c>
      <c r="I2055" s="10" cm="1">
        <f t="array" ref="I2055">IFERROR(INDEX(Precios!$D:$F,MATCH(N2055, Precios!$G:$G, 0),CHOOSE(MATCH(H2055, {"SML";"XL";"XXL"}, 0), 1, 2, 3)), 0)</f>
        <v>0</v>
      </c>
      <c r="K2055" s="10">
        <f t="shared" si="72"/>
        <v>0</v>
      </c>
      <c r="N2055" s="9" t="str">
        <f t="shared" si="73"/>
        <v/>
      </c>
      <c r="O2055" s="9" t="str">
        <f>IF(N2055="","",IF(COUNTIF(Precios!$G:$G,N2055)=0,"⚠ No coincide con Precios","OK"))</f>
        <v/>
      </c>
    </row>
    <row r="2056" spans="3:15" x14ac:dyDescent="0.2">
      <c r="C2056" s="9" cm="1">
        <f t="array" ref="C2056">IFERROR(_xlfn.XLOOKUP(B2056,Personal!$A:$A,Personal!$D:$D,""),"")</f>
        <v>0</v>
      </c>
      <c r="D2056" s="9" cm="1">
        <f t="array" ref="D2056">IFERROR(_xlfn.XLOOKUP(B2056,Personal!$A:$A,Personal!$C:$C,""),"")</f>
        <v>0</v>
      </c>
      <c r="E2056" s="9" t="str" cm="1">
        <f t="array" ref="E2056">IFERROR(_xlfn.XLOOKUP(D2056,Locales!$A:$A,Locales!$B:$B,""),"")</f>
        <v/>
      </c>
      <c r="F2056" s="9" cm="1">
        <f t="array" ref="F2056">IFERROR(_xlfn.XLOOKUP(B2056,Personal!$A:$A,Personal!$F:$F,""),"")</f>
        <v>0</v>
      </c>
      <c r="I2056" s="10" cm="1">
        <f t="array" ref="I2056">IFERROR(INDEX(Precios!$D:$F,MATCH(N2056, Precios!$G:$G, 0),CHOOSE(MATCH(H2056, {"SML";"XL";"XXL"}, 0), 1, 2, 3)), 0)</f>
        <v>0</v>
      </c>
      <c r="K2056" s="10">
        <f t="shared" si="72"/>
        <v>0</v>
      </c>
      <c r="N2056" s="9" t="str">
        <f t="shared" si="73"/>
        <v/>
      </c>
      <c r="O2056" s="9" t="str">
        <f>IF(N2056="","",IF(COUNTIF(Precios!$G:$G,N2056)=0,"⚠ No coincide con Precios","OK"))</f>
        <v/>
      </c>
    </row>
    <row r="2057" spans="3:15" x14ac:dyDescent="0.2">
      <c r="C2057" s="9" cm="1">
        <f t="array" ref="C2057">IFERROR(_xlfn.XLOOKUP(B2057,Personal!$A:$A,Personal!$D:$D,""),"")</f>
        <v>0</v>
      </c>
      <c r="D2057" s="9" cm="1">
        <f t="array" ref="D2057">IFERROR(_xlfn.XLOOKUP(B2057,Personal!$A:$A,Personal!$C:$C,""),"")</f>
        <v>0</v>
      </c>
      <c r="E2057" s="9" t="str" cm="1">
        <f t="array" ref="E2057">IFERROR(_xlfn.XLOOKUP(D2057,Locales!$A:$A,Locales!$B:$B,""),"")</f>
        <v/>
      </c>
      <c r="F2057" s="9" cm="1">
        <f t="array" ref="F2057">IFERROR(_xlfn.XLOOKUP(B2057,Personal!$A:$A,Personal!$F:$F,""),"")</f>
        <v>0</v>
      </c>
      <c r="I2057" s="10" cm="1">
        <f t="array" ref="I2057">IFERROR(INDEX(Precios!$D:$F,MATCH(N2057, Precios!$G:$G, 0),CHOOSE(MATCH(H2057, {"SML";"XL";"XXL"}, 0), 1, 2, 3)), 0)</f>
        <v>0</v>
      </c>
      <c r="K2057" s="10">
        <f t="shared" si="72"/>
        <v>0</v>
      </c>
      <c r="N2057" s="9" t="str">
        <f t="shared" si="73"/>
        <v/>
      </c>
      <c r="O2057" s="9" t="str">
        <f>IF(N2057="","",IF(COUNTIF(Precios!$G:$G,N2057)=0,"⚠ No coincide con Precios","OK"))</f>
        <v/>
      </c>
    </row>
    <row r="2058" spans="3:15" x14ac:dyDescent="0.2">
      <c r="C2058" s="9" cm="1">
        <f t="array" ref="C2058">IFERROR(_xlfn.XLOOKUP(B2058,Personal!$A:$A,Personal!$D:$D,""),"")</f>
        <v>0</v>
      </c>
      <c r="D2058" s="9" cm="1">
        <f t="array" ref="D2058">IFERROR(_xlfn.XLOOKUP(B2058,Personal!$A:$A,Personal!$C:$C,""),"")</f>
        <v>0</v>
      </c>
      <c r="E2058" s="9" t="str" cm="1">
        <f t="array" ref="E2058">IFERROR(_xlfn.XLOOKUP(D2058,Locales!$A:$A,Locales!$B:$B,""),"")</f>
        <v/>
      </c>
      <c r="F2058" s="9" cm="1">
        <f t="array" ref="F2058">IFERROR(_xlfn.XLOOKUP(B2058,Personal!$A:$A,Personal!$F:$F,""),"")</f>
        <v>0</v>
      </c>
      <c r="I2058" s="10" cm="1">
        <f t="array" ref="I2058">IFERROR(INDEX(Precios!$D:$F,MATCH(N2058, Precios!$G:$G, 0),CHOOSE(MATCH(H2058, {"SML";"XL";"XXL"}, 0), 1, 2, 3)), 0)</f>
        <v>0</v>
      </c>
      <c r="K2058" s="10">
        <f t="shared" si="72"/>
        <v>0</v>
      </c>
      <c r="N2058" s="9" t="str">
        <f t="shared" si="73"/>
        <v/>
      </c>
      <c r="O2058" s="9" t="str">
        <f>IF(N2058="","",IF(COUNTIF(Precios!$G:$G,N2058)=0,"⚠ No coincide con Precios","OK"))</f>
        <v/>
      </c>
    </row>
    <row r="2059" spans="3:15" x14ac:dyDescent="0.2">
      <c r="C2059" s="9" cm="1">
        <f t="array" ref="C2059">IFERROR(_xlfn.XLOOKUP(B2059,Personal!$A:$A,Personal!$D:$D,""),"")</f>
        <v>0</v>
      </c>
      <c r="D2059" s="9" cm="1">
        <f t="array" ref="D2059">IFERROR(_xlfn.XLOOKUP(B2059,Personal!$A:$A,Personal!$C:$C,""),"")</f>
        <v>0</v>
      </c>
      <c r="E2059" s="9" t="str" cm="1">
        <f t="array" ref="E2059">IFERROR(_xlfn.XLOOKUP(D2059,Locales!$A:$A,Locales!$B:$B,""),"")</f>
        <v/>
      </c>
      <c r="F2059" s="9" cm="1">
        <f t="array" ref="F2059">IFERROR(_xlfn.XLOOKUP(B2059,Personal!$A:$A,Personal!$F:$F,""),"")</f>
        <v>0</v>
      </c>
      <c r="I2059" s="10" cm="1">
        <f t="array" ref="I2059">IFERROR(INDEX(Precios!$D:$F,MATCH(N2059, Precios!$G:$G, 0),CHOOSE(MATCH(H2059, {"SML";"XL";"XXL"}, 0), 1, 2, 3)), 0)</f>
        <v>0</v>
      </c>
      <c r="K2059" s="10">
        <f t="shared" si="72"/>
        <v>0</v>
      </c>
      <c r="N2059" s="9" t="str">
        <f t="shared" si="73"/>
        <v/>
      </c>
      <c r="O2059" s="9" t="str">
        <f>IF(N2059="","",IF(COUNTIF(Precios!$G:$G,N2059)=0,"⚠ No coincide con Precios","OK"))</f>
        <v/>
      </c>
    </row>
    <row r="2060" spans="3:15" x14ac:dyDescent="0.2">
      <c r="C2060" s="9" cm="1">
        <f t="array" ref="C2060">IFERROR(_xlfn.XLOOKUP(B2060,Personal!$A:$A,Personal!$D:$D,""),"")</f>
        <v>0</v>
      </c>
      <c r="D2060" s="9" cm="1">
        <f t="array" ref="D2060">IFERROR(_xlfn.XLOOKUP(B2060,Personal!$A:$A,Personal!$C:$C,""),"")</f>
        <v>0</v>
      </c>
      <c r="E2060" s="9" t="str" cm="1">
        <f t="array" ref="E2060">IFERROR(_xlfn.XLOOKUP(D2060,Locales!$A:$A,Locales!$B:$B,""),"")</f>
        <v/>
      </c>
      <c r="F2060" s="9" cm="1">
        <f t="array" ref="F2060">IFERROR(_xlfn.XLOOKUP(B2060,Personal!$A:$A,Personal!$F:$F,""),"")</f>
        <v>0</v>
      </c>
      <c r="I2060" s="10" cm="1">
        <f t="array" ref="I2060">IFERROR(INDEX(Precios!$D:$F,MATCH(N2060, Precios!$G:$G, 0),CHOOSE(MATCH(H2060, {"SML";"XL";"XXL"}, 0), 1, 2, 3)), 0)</f>
        <v>0</v>
      </c>
      <c r="K2060" s="10">
        <f t="shared" si="72"/>
        <v>0</v>
      </c>
      <c r="N2060" s="9" t="str">
        <f t="shared" si="73"/>
        <v/>
      </c>
      <c r="O2060" s="9" t="str">
        <f>IF(N2060="","",IF(COUNTIF(Precios!$G:$G,N2060)=0,"⚠ No coincide con Precios","OK"))</f>
        <v/>
      </c>
    </row>
    <row r="2061" spans="3:15" x14ac:dyDescent="0.2">
      <c r="C2061" s="9" cm="1">
        <f t="array" ref="C2061">IFERROR(_xlfn.XLOOKUP(B2061,Personal!$A:$A,Personal!$D:$D,""),"")</f>
        <v>0</v>
      </c>
      <c r="D2061" s="9" cm="1">
        <f t="array" ref="D2061">IFERROR(_xlfn.XLOOKUP(B2061,Personal!$A:$A,Personal!$C:$C,""),"")</f>
        <v>0</v>
      </c>
      <c r="E2061" s="9" t="str" cm="1">
        <f t="array" ref="E2061">IFERROR(_xlfn.XLOOKUP(D2061,Locales!$A:$A,Locales!$B:$B,""),"")</f>
        <v/>
      </c>
      <c r="F2061" s="9" cm="1">
        <f t="array" ref="F2061">IFERROR(_xlfn.XLOOKUP(B2061,Personal!$A:$A,Personal!$F:$F,""),"")</f>
        <v>0</v>
      </c>
      <c r="I2061" s="10" cm="1">
        <f t="array" ref="I2061">IFERROR(INDEX(Precios!$D:$F,MATCH(N2061, Precios!$G:$G, 0),CHOOSE(MATCH(H2061, {"SML";"XL";"XXL"}, 0), 1, 2, 3)), 0)</f>
        <v>0</v>
      </c>
      <c r="K2061" s="10">
        <f t="shared" si="72"/>
        <v>0</v>
      </c>
      <c r="N2061" s="9" t="str">
        <f t="shared" si="73"/>
        <v/>
      </c>
      <c r="O2061" s="9" t="str">
        <f>IF(N2061="","",IF(COUNTIF(Precios!$G:$G,N2061)=0,"⚠ No coincide con Precios","OK"))</f>
        <v/>
      </c>
    </row>
    <row r="2062" spans="3:15" x14ac:dyDescent="0.2">
      <c r="C2062" s="9" cm="1">
        <f t="array" ref="C2062">IFERROR(_xlfn.XLOOKUP(B2062,Personal!$A:$A,Personal!$D:$D,""),"")</f>
        <v>0</v>
      </c>
      <c r="D2062" s="9" cm="1">
        <f t="array" ref="D2062">IFERROR(_xlfn.XLOOKUP(B2062,Personal!$A:$A,Personal!$C:$C,""),"")</f>
        <v>0</v>
      </c>
      <c r="E2062" s="9" t="str" cm="1">
        <f t="array" ref="E2062">IFERROR(_xlfn.XLOOKUP(D2062,Locales!$A:$A,Locales!$B:$B,""),"")</f>
        <v/>
      </c>
      <c r="F2062" s="9" cm="1">
        <f t="array" ref="F2062">IFERROR(_xlfn.XLOOKUP(B2062,Personal!$A:$A,Personal!$F:$F,""),"")</f>
        <v>0</v>
      </c>
      <c r="I2062" s="10" cm="1">
        <f t="array" ref="I2062">IFERROR(INDEX(Precios!$D:$F,MATCH(N2062, Precios!$G:$G, 0),CHOOSE(MATCH(H2062, {"SML";"XL";"XXL"}, 0), 1, 2, 3)), 0)</f>
        <v>0</v>
      </c>
      <c r="K2062" s="10">
        <f t="shared" si="72"/>
        <v>0</v>
      </c>
      <c r="N2062" s="9" t="str">
        <f t="shared" si="73"/>
        <v/>
      </c>
      <c r="O2062" s="9" t="str">
        <f>IF(N2062="","",IF(COUNTIF(Precios!$G:$G,N2062)=0,"⚠ No coincide con Precios","OK"))</f>
        <v/>
      </c>
    </row>
    <row r="2063" spans="3:15" x14ac:dyDescent="0.2">
      <c r="C2063" s="9" cm="1">
        <f t="array" ref="C2063">IFERROR(_xlfn.XLOOKUP(B2063,Personal!$A:$A,Personal!$D:$D,""),"")</f>
        <v>0</v>
      </c>
      <c r="D2063" s="9" cm="1">
        <f t="array" ref="D2063">IFERROR(_xlfn.XLOOKUP(B2063,Personal!$A:$A,Personal!$C:$C,""),"")</f>
        <v>0</v>
      </c>
      <c r="E2063" s="9" t="str" cm="1">
        <f t="array" ref="E2063">IFERROR(_xlfn.XLOOKUP(D2063,Locales!$A:$A,Locales!$B:$B,""),"")</f>
        <v/>
      </c>
      <c r="F2063" s="9" cm="1">
        <f t="array" ref="F2063">IFERROR(_xlfn.XLOOKUP(B2063,Personal!$A:$A,Personal!$F:$F,""),"")</f>
        <v>0</v>
      </c>
      <c r="I2063" s="10" cm="1">
        <f t="array" ref="I2063">IFERROR(INDEX(Precios!$D:$F,MATCH(N2063, Precios!$G:$G, 0),CHOOSE(MATCH(H2063, {"SML";"XL";"XXL"}, 0), 1, 2, 3)), 0)</f>
        <v>0</v>
      </c>
      <c r="K2063" s="10">
        <f t="shared" si="72"/>
        <v>0</v>
      </c>
      <c r="N2063" s="9" t="str">
        <f t="shared" si="73"/>
        <v/>
      </c>
      <c r="O2063" s="9" t="str">
        <f>IF(N2063="","",IF(COUNTIF(Precios!$G:$G,N2063)=0,"⚠ No coincide con Precios","OK"))</f>
        <v/>
      </c>
    </row>
    <row r="2064" spans="3:15" x14ac:dyDescent="0.2">
      <c r="C2064" s="9" cm="1">
        <f t="array" ref="C2064">IFERROR(_xlfn.XLOOKUP(B2064,Personal!$A:$A,Personal!$D:$D,""),"")</f>
        <v>0</v>
      </c>
      <c r="D2064" s="9" cm="1">
        <f t="array" ref="D2064">IFERROR(_xlfn.XLOOKUP(B2064,Personal!$A:$A,Personal!$C:$C,""),"")</f>
        <v>0</v>
      </c>
      <c r="E2064" s="9" t="str" cm="1">
        <f t="array" ref="E2064">IFERROR(_xlfn.XLOOKUP(D2064,Locales!$A:$A,Locales!$B:$B,""),"")</f>
        <v/>
      </c>
      <c r="F2064" s="9" cm="1">
        <f t="array" ref="F2064">IFERROR(_xlfn.XLOOKUP(B2064,Personal!$A:$A,Personal!$F:$F,""),"")</f>
        <v>0</v>
      </c>
      <c r="I2064" s="10" cm="1">
        <f t="array" ref="I2064">IFERROR(INDEX(Precios!$D:$F,MATCH(N2064, Precios!$G:$G, 0),CHOOSE(MATCH(H2064, {"SML";"XL";"XXL"}, 0), 1, 2, 3)), 0)</f>
        <v>0</v>
      </c>
      <c r="K2064" s="10">
        <f t="shared" si="72"/>
        <v>0</v>
      </c>
      <c r="N2064" s="9" t="str">
        <f t="shared" si="73"/>
        <v/>
      </c>
      <c r="O2064" s="9" t="str">
        <f>IF(N2064="","",IF(COUNTIF(Precios!$G:$G,N2064)=0,"⚠ No coincide con Precios","OK"))</f>
        <v/>
      </c>
    </row>
    <row r="2065" spans="3:15" x14ac:dyDescent="0.2">
      <c r="C2065" s="9" cm="1">
        <f t="array" ref="C2065">IFERROR(_xlfn.XLOOKUP(B2065,Personal!$A:$A,Personal!$D:$D,""),"")</f>
        <v>0</v>
      </c>
      <c r="D2065" s="9" cm="1">
        <f t="array" ref="D2065">IFERROR(_xlfn.XLOOKUP(B2065,Personal!$A:$A,Personal!$C:$C,""),"")</f>
        <v>0</v>
      </c>
      <c r="E2065" s="9" t="str" cm="1">
        <f t="array" ref="E2065">IFERROR(_xlfn.XLOOKUP(D2065,Locales!$A:$A,Locales!$B:$B,""),"")</f>
        <v/>
      </c>
      <c r="F2065" s="9" cm="1">
        <f t="array" ref="F2065">IFERROR(_xlfn.XLOOKUP(B2065,Personal!$A:$A,Personal!$F:$F,""),"")</f>
        <v>0</v>
      </c>
      <c r="I2065" s="10" cm="1">
        <f t="array" ref="I2065">IFERROR(INDEX(Precios!$D:$F,MATCH(N2065, Precios!$G:$G, 0),CHOOSE(MATCH(H2065, {"SML";"XL";"XXL"}, 0), 1, 2, 3)), 0)</f>
        <v>0</v>
      </c>
      <c r="K2065" s="10">
        <f t="shared" si="72"/>
        <v>0</v>
      </c>
      <c r="N2065" s="9" t="str">
        <f t="shared" si="73"/>
        <v/>
      </c>
      <c r="O2065" s="9" t="str">
        <f>IF(N2065="","",IF(COUNTIF(Precios!$G:$G,N2065)=0,"⚠ No coincide con Precios","OK"))</f>
        <v/>
      </c>
    </row>
    <row r="2066" spans="3:15" x14ac:dyDescent="0.2">
      <c r="C2066" s="9" cm="1">
        <f t="array" ref="C2066">IFERROR(_xlfn.XLOOKUP(B2066,Personal!$A:$A,Personal!$D:$D,""),"")</f>
        <v>0</v>
      </c>
      <c r="D2066" s="9" cm="1">
        <f t="array" ref="D2066">IFERROR(_xlfn.XLOOKUP(B2066,Personal!$A:$A,Personal!$C:$C,""),"")</f>
        <v>0</v>
      </c>
      <c r="E2066" s="9" t="str" cm="1">
        <f t="array" ref="E2066">IFERROR(_xlfn.XLOOKUP(D2066,Locales!$A:$A,Locales!$B:$B,""),"")</f>
        <v/>
      </c>
      <c r="F2066" s="9" cm="1">
        <f t="array" ref="F2066">IFERROR(_xlfn.XLOOKUP(B2066,Personal!$A:$A,Personal!$F:$F,""),"")</f>
        <v>0</v>
      </c>
      <c r="I2066" s="10" cm="1">
        <f t="array" ref="I2066">IFERROR(INDEX(Precios!$D:$F,MATCH(N2066, Precios!$G:$G, 0),CHOOSE(MATCH(H2066, {"SML";"XL";"XXL"}, 0), 1, 2, 3)), 0)</f>
        <v>0</v>
      </c>
      <c r="K2066" s="10">
        <f t="shared" si="72"/>
        <v>0</v>
      </c>
      <c r="N2066" s="9" t="str">
        <f t="shared" si="73"/>
        <v/>
      </c>
      <c r="O2066" s="9" t="str">
        <f>IF(N2066="","",IF(COUNTIF(Precios!$G:$G,N2066)=0,"⚠ No coincide con Precios","OK"))</f>
        <v/>
      </c>
    </row>
    <row r="2067" spans="3:15" x14ac:dyDescent="0.2">
      <c r="C2067" s="9" cm="1">
        <f t="array" ref="C2067">IFERROR(_xlfn.XLOOKUP(B2067,Personal!$A:$A,Personal!$D:$D,""),"")</f>
        <v>0</v>
      </c>
      <c r="D2067" s="9" cm="1">
        <f t="array" ref="D2067">IFERROR(_xlfn.XLOOKUP(B2067,Personal!$A:$A,Personal!$C:$C,""),"")</f>
        <v>0</v>
      </c>
      <c r="E2067" s="9" t="str" cm="1">
        <f t="array" ref="E2067">IFERROR(_xlfn.XLOOKUP(D2067,Locales!$A:$A,Locales!$B:$B,""),"")</f>
        <v/>
      </c>
      <c r="F2067" s="9" cm="1">
        <f t="array" ref="F2067">IFERROR(_xlfn.XLOOKUP(B2067,Personal!$A:$A,Personal!$F:$F,""),"")</f>
        <v>0</v>
      </c>
      <c r="I2067" s="10" cm="1">
        <f t="array" ref="I2067">IFERROR(INDEX(Precios!$D:$F,MATCH(N2067, Precios!$G:$G, 0),CHOOSE(MATCH(H2067, {"SML";"XL";"XXL"}, 0), 1, 2, 3)), 0)</f>
        <v>0</v>
      </c>
      <c r="K2067" s="10">
        <f t="shared" si="72"/>
        <v>0</v>
      </c>
      <c r="N2067" s="9" t="str">
        <f t="shared" si="73"/>
        <v/>
      </c>
      <c r="O2067" s="9" t="str">
        <f>IF(N2067="","",IF(COUNTIF(Precios!$G:$G,N2067)=0,"⚠ No coincide con Precios","OK"))</f>
        <v/>
      </c>
    </row>
    <row r="2068" spans="3:15" x14ac:dyDescent="0.2">
      <c r="C2068" s="9" cm="1">
        <f t="array" ref="C2068">IFERROR(_xlfn.XLOOKUP(B2068,Personal!$A:$A,Personal!$D:$D,""),"")</f>
        <v>0</v>
      </c>
      <c r="D2068" s="9" cm="1">
        <f t="array" ref="D2068">IFERROR(_xlfn.XLOOKUP(B2068,Personal!$A:$A,Personal!$C:$C,""),"")</f>
        <v>0</v>
      </c>
      <c r="E2068" s="9" t="str" cm="1">
        <f t="array" ref="E2068">IFERROR(_xlfn.XLOOKUP(D2068,Locales!$A:$A,Locales!$B:$B,""),"")</f>
        <v/>
      </c>
      <c r="F2068" s="9" cm="1">
        <f t="array" ref="F2068">IFERROR(_xlfn.XLOOKUP(B2068,Personal!$A:$A,Personal!$F:$F,""),"")</f>
        <v>0</v>
      </c>
      <c r="I2068" s="10" cm="1">
        <f t="array" ref="I2068">IFERROR(INDEX(Precios!$D:$F,MATCH(N2068, Precios!$G:$G, 0),CHOOSE(MATCH(H2068, {"SML";"XL";"XXL"}, 0), 1, 2, 3)), 0)</f>
        <v>0</v>
      </c>
      <c r="K2068" s="10">
        <f t="shared" si="72"/>
        <v>0</v>
      </c>
      <c r="N2068" s="9" t="str">
        <f t="shared" si="73"/>
        <v/>
      </c>
      <c r="O2068" s="9" t="str">
        <f>IF(N2068="","",IF(COUNTIF(Precios!$G:$G,N2068)=0,"⚠ No coincide con Precios","OK"))</f>
        <v/>
      </c>
    </row>
    <row r="2069" spans="3:15" x14ac:dyDescent="0.2">
      <c r="C2069" s="9" cm="1">
        <f t="array" ref="C2069">IFERROR(_xlfn.XLOOKUP(B2069,Personal!$A:$A,Personal!$D:$D,""),"")</f>
        <v>0</v>
      </c>
      <c r="D2069" s="9" cm="1">
        <f t="array" ref="D2069">IFERROR(_xlfn.XLOOKUP(B2069,Personal!$A:$A,Personal!$C:$C,""),"")</f>
        <v>0</v>
      </c>
      <c r="E2069" s="9" t="str" cm="1">
        <f t="array" ref="E2069">IFERROR(_xlfn.XLOOKUP(D2069,Locales!$A:$A,Locales!$B:$B,""),"")</f>
        <v/>
      </c>
      <c r="F2069" s="9" cm="1">
        <f t="array" ref="F2069">IFERROR(_xlfn.XLOOKUP(B2069,Personal!$A:$A,Personal!$F:$F,""),"")</f>
        <v>0</v>
      </c>
      <c r="I2069" s="10" cm="1">
        <f t="array" ref="I2069">IFERROR(INDEX(Precios!$D:$F,MATCH(N2069, Precios!$G:$G, 0),CHOOSE(MATCH(H2069, {"SML";"XL";"XXL"}, 0), 1, 2, 3)), 0)</f>
        <v>0</v>
      </c>
      <c r="K2069" s="10">
        <f t="shared" si="72"/>
        <v>0</v>
      </c>
      <c r="N2069" s="9" t="str">
        <f t="shared" si="73"/>
        <v/>
      </c>
      <c r="O2069" s="9" t="str">
        <f>IF(N2069="","",IF(COUNTIF(Precios!$G:$G,N2069)=0,"⚠ No coincide con Precios","OK"))</f>
        <v/>
      </c>
    </row>
    <row r="2070" spans="3:15" x14ac:dyDescent="0.2">
      <c r="C2070" s="9" cm="1">
        <f t="array" ref="C2070">IFERROR(_xlfn.XLOOKUP(B2070,Personal!$A:$A,Personal!$D:$D,""),"")</f>
        <v>0</v>
      </c>
      <c r="D2070" s="9" cm="1">
        <f t="array" ref="D2070">IFERROR(_xlfn.XLOOKUP(B2070,Personal!$A:$A,Personal!$C:$C,""),"")</f>
        <v>0</v>
      </c>
      <c r="E2070" s="9" t="str" cm="1">
        <f t="array" ref="E2070">IFERROR(_xlfn.XLOOKUP(D2070,Locales!$A:$A,Locales!$B:$B,""),"")</f>
        <v/>
      </c>
      <c r="F2070" s="9" cm="1">
        <f t="array" ref="F2070">IFERROR(_xlfn.XLOOKUP(B2070,Personal!$A:$A,Personal!$F:$F,""),"")</f>
        <v>0</v>
      </c>
      <c r="I2070" s="10" cm="1">
        <f t="array" ref="I2070">IFERROR(INDEX(Precios!$D:$F,MATCH(N2070, Precios!$G:$G, 0),CHOOSE(MATCH(H2070, {"SML";"XL";"XXL"}, 0), 1, 2, 3)), 0)</f>
        <v>0</v>
      </c>
      <c r="K2070" s="10">
        <f t="shared" si="72"/>
        <v>0</v>
      </c>
      <c r="N2070" s="9" t="str">
        <f t="shared" si="73"/>
        <v/>
      </c>
      <c r="O2070" s="9" t="str">
        <f>IF(N2070="","",IF(COUNTIF(Precios!$G:$G,N2070)=0,"⚠ No coincide con Precios","OK"))</f>
        <v/>
      </c>
    </row>
    <row r="2071" spans="3:15" x14ac:dyDescent="0.2">
      <c r="C2071" s="9" cm="1">
        <f t="array" ref="C2071">IFERROR(_xlfn.XLOOKUP(B2071,Personal!$A:$A,Personal!$D:$D,""),"")</f>
        <v>0</v>
      </c>
      <c r="D2071" s="9" cm="1">
        <f t="array" ref="D2071">IFERROR(_xlfn.XLOOKUP(B2071,Personal!$A:$A,Personal!$C:$C,""),"")</f>
        <v>0</v>
      </c>
      <c r="E2071" s="9" t="str" cm="1">
        <f t="array" ref="E2071">IFERROR(_xlfn.XLOOKUP(D2071,Locales!$A:$A,Locales!$B:$B,""),"")</f>
        <v/>
      </c>
      <c r="F2071" s="9" cm="1">
        <f t="array" ref="F2071">IFERROR(_xlfn.XLOOKUP(B2071,Personal!$A:$A,Personal!$F:$F,""),"")</f>
        <v>0</v>
      </c>
      <c r="I2071" s="10" cm="1">
        <f t="array" ref="I2071">IFERROR(INDEX(Precios!$D:$F,MATCH(N2071, Precios!$G:$G, 0),CHOOSE(MATCH(H2071, {"SML";"XL";"XXL"}, 0), 1, 2, 3)), 0)</f>
        <v>0</v>
      </c>
      <c r="K2071" s="10">
        <f t="shared" si="72"/>
        <v>0</v>
      </c>
      <c r="N2071" s="9" t="str">
        <f t="shared" si="73"/>
        <v/>
      </c>
      <c r="O2071" s="9" t="str">
        <f>IF(N2071="","",IF(COUNTIF(Precios!$G:$G,N2071)=0,"⚠ No coincide con Precios","OK"))</f>
        <v/>
      </c>
    </row>
    <row r="2072" spans="3:15" x14ac:dyDescent="0.2">
      <c r="C2072" s="9" cm="1">
        <f t="array" ref="C2072">IFERROR(_xlfn.XLOOKUP(B2072,Personal!$A:$A,Personal!$D:$D,""),"")</f>
        <v>0</v>
      </c>
      <c r="D2072" s="9" cm="1">
        <f t="array" ref="D2072">IFERROR(_xlfn.XLOOKUP(B2072,Personal!$A:$A,Personal!$C:$C,""),"")</f>
        <v>0</v>
      </c>
      <c r="E2072" s="9" t="str" cm="1">
        <f t="array" ref="E2072">IFERROR(_xlfn.XLOOKUP(D2072,Locales!$A:$A,Locales!$B:$B,""),"")</f>
        <v/>
      </c>
      <c r="F2072" s="9" cm="1">
        <f t="array" ref="F2072">IFERROR(_xlfn.XLOOKUP(B2072,Personal!$A:$A,Personal!$F:$F,""),"")</f>
        <v>0</v>
      </c>
      <c r="I2072" s="10" cm="1">
        <f t="array" ref="I2072">IFERROR(INDEX(Precios!$D:$F,MATCH(N2072, Precios!$G:$G, 0),CHOOSE(MATCH(H2072, {"SML";"XL";"XXL"}, 0), 1, 2, 3)), 0)</f>
        <v>0</v>
      </c>
      <c r="K2072" s="10">
        <f t="shared" si="72"/>
        <v>0</v>
      </c>
      <c r="N2072" s="9" t="str">
        <f t="shared" si="73"/>
        <v/>
      </c>
      <c r="O2072" s="9" t="str">
        <f>IF(N2072="","",IF(COUNTIF(Precios!$G:$G,N2072)=0,"⚠ No coincide con Precios","OK"))</f>
        <v/>
      </c>
    </row>
    <row r="2073" spans="3:15" x14ac:dyDescent="0.2">
      <c r="C2073" s="9" cm="1">
        <f t="array" ref="C2073">IFERROR(_xlfn.XLOOKUP(B2073,Personal!$A:$A,Personal!$D:$D,""),"")</f>
        <v>0</v>
      </c>
      <c r="D2073" s="9" cm="1">
        <f t="array" ref="D2073">IFERROR(_xlfn.XLOOKUP(B2073,Personal!$A:$A,Personal!$C:$C,""),"")</f>
        <v>0</v>
      </c>
      <c r="E2073" s="9" t="str" cm="1">
        <f t="array" ref="E2073">IFERROR(_xlfn.XLOOKUP(D2073,Locales!$A:$A,Locales!$B:$B,""),"")</f>
        <v/>
      </c>
      <c r="F2073" s="9" cm="1">
        <f t="array" ref="F2073">IFERROR(_xlfn.XLOOKUP(B2073,Personal!$A:$A,Personal!$F:$F,""),"")</f>
        <v>0</v>
      </c>
      <c r="I2073" s="10" cm="1">
        <f t="array" ref="I2073">IFERROR(INDEX(Precios!$D:$F,MATCH(N2073, Precios!$G:$G, 0),CHOOSE(MATCH(H2073, {"SML";"XL";"XXL"}, 0), 1, 2, 3)), 0)</f>
        <v>0</v>
      </c>
      <c r="K2073" s="10">
        <f t="shared" si="72"/>
        <v>0</v>
      </c>
      <c r="N2073" s="9" t="str">
        <f t="shared" si="73"/>
        <v/>
      </c>
      <c r="O2073" s="9" t="str">
        <f>IF(N2073="","",IF(COUNTIF(Precios!$G:$G,N2073)=0,"⚠ No coincide con Precios","OK"))</f>
        <v/>
      </c>
    </row>
    <row r="2074" spans="3:15" x14ac:dyDescent="0.2">
      <c r="C2074" s="9" cm="1">
        <f t="array" ref="C2074">IFERROR(_xlfn.XLOOKUP(B2074,Personal!$A:$A,Personal!$D:$D,""),"")</f>
        <v>0</v>
      </c>
      <c r="D2074" s="9" cm="1">
        <f t="array" ref="D2074">IFERROR(_xlfn.XLOOKUP(B2074,Personal!$A:$A,Personal!$C:$C,""),"")</f>
        <v>0</v>
      </c>
      <c r="E2074" s="9" t="str" cm="1">
        <f t="array" ref="E2074">IFERROR(_xlfn.XLOOKUP(D2074,Locales!$A:$A,Locales!$B:$B,""),"")</f>
        <v/>
      </c>
      <c r="F2074" s="9" cm="1">
        <f t="array" ref="F2074">IFERROR(_xlfn.XLOOKUP(B2074,Personal!$A:$A,Personal!$F:$F,""),"")</f>
        <v>0</v>
      </c>
      <c r="I2074" s="10" cm="1">
        <f t="array" ref="I2074">IFERROR(INDEX(Precios!$D:$F,MATCH(N2074, Precios!$G:$G, 0),CHOOSE(MATCH(H2074, {"SML";"XL";"XXL"}, 0), 1, 2, 3)), 0)</f>
        <v>0</v>
      </c>
      <c r="K2074" s="10">
        <f t="shared" si="72"/>
        <v>0</v>
      </c>
      <c r="N2074" s="9" t="str">
        <f t="shared" si="73"/>
        <v/>
      </c>
      <c r="O2074" s="9" t="str">
        <f>IF(N2074="","",IF(COUNTIF(Precios!$G:$G,N2074)=0,"⚠ No coincide con Precios","OK"))</f>
        <v/>
      </c>
    </row>
    <row r="2075" spans="3:15" x14ac:dyDescent="0.2">
      <c r="C2075" s="9" cm="1">
        <f t="array" ref="C2075">IFERROR(_xlfn.XLOOKUP(B2075,Personal!$A:$A,Personal!$D:$D,""),"")</f>
        <v>0</v>
      </c>
      <c r="D2075" s="9" cm="1">
        <f t="array" ref="D2075">IFERROR(_xlfn.XLOOKUP(B2075,Personal!$A:$A,Personal!$C:$C,""),"")</f>
        <v>0</v>
      </c>
      <c r="E2075" s="9" t="str" cm="1">
        <f t="array" ref="E2075">IFERROR(_xlfn.XLOOKUP(D2075,Locales!$A:$A,Locales!$B:$B,""),"")</f>
        <v/>
      </c>
      <c r="F2075" s="9" cm="1">
        <f t="array" ref="F2075">IFERROR(_xlfn.XLOOKUP(B2075,Personal!$A:$A,Personal!$F:$F,""),"")</f>
        <v>0</v>
      </c>
      <c r="I2075" s="10" cm="1">
        <f t="array" ref="I2075">IFERROR(INDEX(Precios!$D:$F,MATCH(N2075, Precios!$G:$G, 0),CHOOSE(MATCH(H2075, {"SML";"XL";"XXL"}, 0), 1, 2, 3)), 0)</f>
        <v>0</v>
      </c>
      <c r="K2075" s="10">
        <f t="shared" si="72"/>
        <v>0</v>
      </c>
      <c r="N2075" s="9" t="str">
        <f t="shared" si="73"/>
        <v/>
      </c>
      <c r="O2075" s="9" t="str">
        <f>IF(N2075="","",IF(COUNTIF(Precios!$G:$G,N2075)=0,"⚠ No coincide con Precios","OK"))</f>
        <v/>
      </c>
    </row>
    <row r="2076" spans="3:15" x14ac:dyDescent="0.2">
      <c r="C2076" s="9" cm="1">
        <f t="array" ref="C2076">IFERROR(_xlfn.XLOOKUP(B2076,Personal!$A:$A,Personal!$D:$D,""),"")</f>
        <v>0</v>
      </c>
      <c r="D2076" s="9" cm="1">
        <f t="array" ref="D2076">IFERROR(_xlfn.XLOOKUP(B2076,Personal!$A:$A,Personal!$C:$C,""),"")</f>
        <v>0</v>
      </c>
      <c r="E2076" s="9" t="str" cm="1">
        <f t="array" ref="E2076">IFERROR(_xlfn.XLOOKUP(D2076,Locales!$A:$A,Locales!$B:$B,""),"")</f>
        <v/>
      </c>
      <c r="F2076" s="9" cm="1">
        <f t="array" ref="F2076">IFERROR(_xlfn.XLOOKUP(B2076,Personal!$A:$A,Personal!$F:$F,""),"")</f>
        <v>0</v>
      </c>
      <c r="I2076" s="10" cm="1">
        <f t="array" ref="I2076">IFERROR(INDEX(Precios!$D:$F,MATCH(N2076, Precios!$G:$G, 0),CHOOSE(MATCH(H2076, {"SML";"XL";"XXL"}, 0), 1, 2, 3)), 0)</f>
        <v>0</v>
      </c>
      <c r="K2076" s="10">
        <f t="shared" si="72"/>
        <v>0</v>
      </c>
      <c r="N2076" s="9" t="str">
        <f t="shared" si="73"/>
        <v/>
      </c>
      <c r="O2076" s="9" t="str">
        <f>IF(N2076="","",IF(COUNTIF(Precios!$G:$G,N2076)=0,"⚠ No coincide con Precios","OK"))</f>
        <v/>
      </c>
    </row>
    <row r="2077" spans="3:15" x14ac:dyDescent="0.2">
      <c r="C2077" s="9" cm="1">
        <f t="array" ref="C2077">IFERROR(_xlfn.XLOOKUP(B2077,Personal!$A:$A,Personal!$D:$D,""),"")</f>
        <v>0</v>
      </c>
      <c r="D2077" s="9" cm="1">
        <f t="array" ref="D2077">IFERROR(_xlfn.XLOOKUP(B2077,Personal!$A:$A,Personal!$C:$C,""),"")</f>
        <v>0</v>
      </c>
      <c r="E2077" s="9" t="str" cm="1">
        <f t="array" ref="E2077">IFERROR(_xlfn.XLOOKUP(D2077,Locales!$A:$A,Locales!$B:$B,""),"")</f>
        <v/>
      </c>
      <c r="F2077" s="9" cm="1">
        <f t="array" ref="F2077">IFERROR(_xlfn.XLOOKUP(B2077,Personal!$A:$A,Personal!$F:$F,""),"")</f>
        <v>0</v>
      </c>
      <c r="I2077" s="10" cm="1">
        <f t="array" ref="I2077">IFERROR(INDEX(Precios!$D:$F,MATCH(N2077, Precios!$G:$G, 0),CHOOSE(MATCH(H2077, {"SML";"XL";"XXL"}, 0), 1, 2, 3)), 0)</f>
        <v>0</v>
      </c>
      <c r="K2077" s="10">
        <f t="shared" si="72"/>
        <v>0</v>
      </c>
      <c r="N2077" s="9" t="str">
        <f t="shared" si="73"/>
        <v/>
      </c>
      <c r="O2077" s="9" t="str">
        <f>IF(N2077="","",IF(COUNTIF(Precios!$G:$G,N2077)=0,"⚠ No coincide con Precios","OK"))</f>
        <v/>
      </c>
    </row>
    <row r="2078" spans="3:15" x14ac:dyDescent="0.2">
      <c r="C2078" s="9" cm="1">
        <f t="array" ref="C2078">IFERROR(_xlfn.XLOOKUP(B2078,Personal!$A:$A,Personal!$D:$D,""),"")</f>
        <v>0</v>
      </c>
      <c r="D2078" s="9" cm="1">
        <f t="array" ref="D2078">IFERROR(_xlfn.XLOOKUP(B2078,Personal!$A:$A,Personal!$C:$C,""),"")</f>
        <v>0</v>
      </c>
      <c r="E2078" s="9" t="str" cm="1">
        <f t="array" ref="E2078">IFERROR(_xlfn.XLOOKUP(D2078,Locales!$A:$A,Locales!$B:$B,""),"")</f>
        <v/>
      </c>
      <c r="F2078" s="9" cm="1">
        <f t="array" ref="F2078">IFERROR(_xlfn.XLOOKUP(B2078,Personal!$A:$A,Personal!$F:$F,""),"")</f>
        <v>0</v>
      </c>
      <c r="I2078" s="10" cm="1">
        <f t="array" ref="I2078">IFERROR(INDEX(Precios!$D:$F,MATCH(N2078, Precios!$G:$G, 0),CHOOSE(MATCH(H2078, {"SML";"XL";"XXL"}, 0), 1, 2, 3)), 0)</f>
        <v>0</v>
      </c>
      <c r="K2078" s="10">
        <f t="shared" si="72"/>
        <v>0</v>
      </c>
      <c r="N2078" s="9" t="str">
        <f t="shared" si="73"/>
        <v/>
      </c>
      <c r="O2078" s="9" t="str">
        <f>IF(N2078="","",IF(COUNTIF(Precios!$G:$G,N2078)=0,"⚠ No coincide con Precios","OK"))</f>
        <v/>
      </c>
    </row>
    <row r="2079" spans="3:15" x14ac:dyDescent="0.2">
      <c r="C2079" s="9" cm="1">
        <f t="array" ref="C2079">IFERROR(_xlfn.XLOOKUP(B2079,Personal!$A:$A,Personal!$D:$D,""),"")</f>
        <v>0</v>
      </c>
      <c r="D2079" s="9" cm="1">
        <f t="array" ref="D2079">IFERROR(_xlfn.XLOOKUP(B2079,Personal!$A:$A,Personal!$C:$C,""),"")</f>
        <v>0</v>
      </c>
      <c r="E2079" s="9" t="str" cm="1">
        <f t="array" ref="E2079">IFERROR(_xlfn.XLOOKUP(D2079,Locales!$A:$A,Locales!$B:$B,""),"")</f>
        <v/>
      </c>
      <c r="F2079" s="9" cm="1">
        <f t="array" ref="F2079">IFERROR(_xlfn.XLOOKUP(B2079,Personal!$A:$A,Personal!$F:$F,""),"")</f>
        <v>0</v>
      </c>
      <c r="I2079" s="10" cm="1">
        <f t="array" ref="I2079">IFERROR(INDEX(Precios!$D:$F,MATCH(N2079, Precios!$G:$G, 0),CHOOSE(MATCH(H2079, {"SML";"XL";"XXL"}, 0), 1, 2, 3)), 0)</f>
        <v>0</v>
      </c>
      <c r="K2079" s="10">
        <f t="shared" si="72"/>
        <v>0</v>
      </c>
      <c r="N2079" s="9" t="str">
        <f t="shared" si="73"/>
        <v/>
      </c>
      <c r="O2079" s="9" t="str">
        <f>IF(N2079="","",IF(COUNTIF(Precios!$G:$G,N2079)=0,"⚠ No coincide con Precios","OK"))</f>
        <v/>
      </c>
    </row>
    <row r="2080" spans="3:15" x14ac:dyDescent="0.2">
      <c r="C2080" s="9" cm="1">
        <f t="array" ref="C2080">IFERROR(_xlfn.XLOOKUP(B2080,Personal!$A:$A,Personal!$D:$D,""),"")</f>
        <v>0</v>
      </c>
      <c r="D2080" s="9" cm="1">
        <f t="array" ref="D2080">IFERROR(_xlfn.XLOOKUP(B2080,Personal!$A:$A,Personal!$C:$C,""),"")</f>
        <v>0</v>
      </c>
      <c r="E2080" s="9" t="str" cm="1">
        <f t="array" ref="E2080">IFERROR(_xlfn.XLOOKUP(D2080,Locales!$A:$A,Locales!$B:$B,""),"")</f>
        <v/>
      </c>
      <c r="F2080" s="9" cm="1">
        <f t="array" ref="F2080">IFERROR(_xlfn.XLOOKUP(B2080,Personal!$A:$A,Personal!$F:$F,""),"")</f>
        <v>0</v>
      </c>
      <c r="I2080" s="10" cm="1">
        <f t="array" ref="I2080">IFERROR(INDEX(Precios!$D:$F,MATCH(N2080, Precios!$G:$G, 0),CHOOSE(MATCH(H2080, {"SML";"XL";"XXL"}, 0), 1, 2, 3)), 0)</f>
        <v>0</v>
      </c>
      <c r="K2080" s="10">
        <f t="shared" si="72"/>
        <v>0</v>
      </c>
      <c r="N2080" s="9" t="str">
        <f t="shared" si="73"/>
        <v/>
      </c>
      <c r="O2080" s="9" t="str">
        <f>IF(N2080="","",IF(COUNTIF(Precios!$G:$G,N2080)=0,"⚠ No coincide con Precios","OK"))</f>
        <v/>
      </c>
    </row>
    <row r="2081" spans="3:15" x14ac:dyDescent="0.2">
      <c r="C2081" s="9" cm="1">
        <f t="array" ref="C2081">IFERROR(_xlfn.XLOOKUP(B2081,Personal!$A:$A,Personal!$D:$D,""),"")</f>
        <v>0</v>
      </c>
      <c r="D2081" s="9" cm="1">
        <f t="array" ref="D2081">IFERROR(_xlfn.XLOOKUP(B2081,Personal!$A:$A,Personal!$C:$C,""),"")</f>
        <v>0</v>
      </c>
      <c r="E2081" s="9" t="str" cm="1">
        <f t="array" ref="E2081">IFERROR(_xlfn.XLOOKUP(D2081,Locales!$A:$A,Locales!$B:$B,""),"")</f>
        <v/>
      </c>
      <c r="F2081" s="9" cm="1">
        <f t="array" ref="F2081">IFERROR(_xlfn.XLOOKUP(B2081,Personal!$A:$A,Personal!$F:$F,""),"")</f>
        <v>0</v>
      </c>
      <c r="I2081" s="10" cm="1">
        <f t="array" ref="I2081">IFERROR(INDEX(Precios!$D:$F,MATCH(N2081, Precios!$G:$G, 0),CHOOSE(MATCH(H2081, {"SML";"XL";"XXL"}, 0), 1, 2, 3)), 0)</f>
        <v>0</v>
      </c>
      <c r="K2081" s="10">
        <f t="shared" si="72"/>
        <v>0</v>
      </c>
      <c r="N2081" s="9" t="str">
        <f t="shared" si="73"/>
        <v/>
      </c>
      <c r="O2081" s="9" t="str">
        <f>IF(N2081="","",IF(COUNTIF(Precios!$G:$G,N2081)=0,"⚠ No coincide con Precios","OK"))</f>
        <v/>
      </c>
    </row>
    <row r="2082" spans="3:15" x14ac:dyDescent="0.2">
      <c r="C2082" s="9" cm="1">
        <f t="array" ref="C2082">IFERROR(_xlfn.XLOOKUP(B2082,Personal!$A:$A,Personal!$D:$D,""),"")</f>
        <v>0</v>
      </c>
      <c r="D2082" s="9" cm="1">
        <f t="array" ref="D2082">IFERROR(_xlfn.XLOOKUP(B2082,Personal!$A:$A,Personal!$C:$C,""),"")</f>
        <v>0</v>
      </c>
      <c r="E2082" s="9" t="str" cm="1">
        <f t="array" ref="E2082">IFERROR(_xlfn.XLOOKUP(D2082,Locales!$A:$A,Locales!$B:$B,""),"")</f>
        <v/>
      </c>
      <c r="F2082" s="9" cm="1">
        <f t="array" ref="F2082">IFERROR(_xlfn.XLOOKUP(B2082,Personal!$A:$A,Personal!$F:$F,""),"")</f>
        <v>0</v>
      </c>
      <c r="I2082" s="10" cm="1">
        <f t="array" ref="I2082">IFERROR(INDEX(Precios!$D:$F,MATCH(N2082, Precios!$G:$G, 0),CHOOSE(MATCH(H2082, {"SML";"XL";"XXL"}, 0), 1, 2, 3)), 0)</f>
        <v>0</v>
      </c>
      <c r="K2082" s="10">
        <f t="shared" si="72"/>
        <v>0</v>
      </c>
      <c r="N2082" s="9" t="str">
        <f t="shared" si="73"/>
        <v/>
      </c>
      <c r="O2082" s="9" t="str">
        <f>IF(N2082="","",IF(COUNTIF(Precios!$G:$G,N2082)=0,"⚠ No coincide con Precios","OK"))</f>
        <v/>
      </c>
    </row>
    <row r="2083" spans="3:15" x14ac:dyDescent="0.2">
      <c r="C2083" s="9" cm="1">
        <f t="array" ref="C2083">IFERROR(_xlfn.XLOOKUP(B2083,Personal!$A:$A,Personal!$D:$D,""),"")</f>
        <v>0</v>
      </c>
      <c r="D2083" s="9" cm="1">
        <f t="array" ref="D2083">IFERROR(_xlfn.XLOOKUP(B2083,Personal!$A:$A,Personal!$C:$C,""),"")</f>
        <v>0</v>
      </c>
      <c r="E2083" s="9" t="str" cm="1">
        <f t="array" ref="E2083">IFERROR(_xlfn.XLOOKUP(D2083,Locales!$A:$A,Locales!$B:$B,""),"")</f>
        <v/>
      </c>
      <c r="F2083" s="9" cm="1">
        <f t="array" ref="F2083">IFERROR(_xlfn.XLOOKUP(B2083,Personal!$A:$A,Personal!$F:$F,""),"")</f>
        <v>0</v>
      </c>
      <c r="I2083" s="10" cm="1">
        <f t="array" ref="I2083">IFERROR(INDEX(Precios!$D:$F,MATCH(N2083, Precios!$G:$G, 0),CHOOSE(MATCH(H2083, {"SML";"XL";"XXL"}, 0), 1, 2, 3)), 0)</f>
        <v>0</v>
      </c>
      <c r="K2083" s="10">
        <f t="shared" si="72"/>
        <v>0</v>
      </c>
      <c r="N2083" s="9" t="str">
        <f t="shared" si="73"/>
        <v/>
      </c>
      <c r="O2083" s="9" t="str">
        <f>IF(N2083="","",IF(COUNTIF(Precios!$G:$G,N2083)=0,"⚠ No coincide con Precios","OK"))</f>
        <v/>
      </c>
    </row>
    <row r="2084" spans="3:15" x14ac:dyDescent="0.2">
      <c r="C2084" s="9" cm="1">
        <f t="array" ref="C2084">IFERROR(_xlfn.XLOOKUP(B2084,Personal!$A:$A,Personal!$D:$D,""),"")</f>
        <v>0</v>
      </c>
      <c r="D2084" s="9" cm="1">
        <f t="array" ref="D2084">IFERROR(_xlfn.XLOOKUP(B2084,Personal!$A:$A,Personal!$C:$C,""),"")</f>
        <v>0</v>
      </c>
      <c r="E2084" s="9" t="str" cm="1">
        <f t="array" ref="E2084">IFERROR(_xlfn.XLOOKUP(D2084,Locales!$A:$A,Locales!$B:$B,""),"")</f>
        <v/>
      </c>
      <c r="F2084" s="9" cm="1">
        <f t="array" ref="F2084">IFERROR(_xlfn.XLOOKUP(B2084,Personal!$A:$A,Personal!$F:$F,""),"")</f>
        <v>0</v>
      </c>
      <c r="I2084" s="10" cm="1">
        <f t="array" ref="I2084">IFERROR(INDEX(Precios!$D:$F,MATCH(N2084, Precios!$G:$G, 0),CHOOSE(MATCH(H2084, {"SML";"XL";"XXL"}, 0), 1, 2, 3)), 0)</f>
        <v>0</v>
      </c>
      <c r="K2084" s="10">
        <f t="shared" si="72"/>
        <v>0</v>
      </c>
      <c r="N2084" s="9" t="str">
        <f t="shared" si="73"/>
        <v/>
      </c>
      <c r="O2084" s="9" t="str">
        <f>IF(N2084="","",IF(COUNTIF(Precios!$G:$G,N2084)=0,"⚠ No coincide con Precios","OK"))</f>
        <v/>
      </c>
    </row>
    <row r="2085" spans="3:15" x14ac:dyDescent="0.2">
      <c r="C2085" s="9" cm="1">
        <f t="array" ref="C2085">IFERROR(_xlfn.XLOOKUP(B2085,Personal!$A:$A,Personal!$D:$D,""),"")</f>
        <v>0</v>
      </c>
      <c r="D2085" s="9" cm="1">
        <f t="array" ref="D2085">IFERROR(_xlfn.XLOOKUP(B2085,Personal!$A:$A,Personal!$C:$C,""),"")</f>
        <v>0</v>
      </c>
      <c r="E2085" s="9" t="str" cm="1">
        <f t="array" ref="E2085">IFERROR(_xlfn.XLOOKUP(D2085,Locales!$A:$A,Locales!$B:$B,""),"")</f>
        <v/>
      </c>
      <c r="F2085" s="9" cm="1">
        <f t="array" ref="F2085">IFERROR(_xlfn.XLOOKUP(B2085,Personal!$A:$A,Personal!$F:$F,""),"")</f>
        <v>0</v>
      </c>
      <c r="I2085" s="10" cm="1">
        <f t="array" ref="I2085">IFERROR(INDEX(Precios!$D:$F,MATCH(N2085, Precios!$G:$G, 0),CHOOSE(MATCH(H2085, {"SML";"XL";"XXL"}, 0), 1, 2, 3)), 0)</f>
        <v>0</v>
      </c>
      <c r="K2085" s="10">
        <f t="shared" si="72"/>
        <v>0</v>
      </c>
      <c r="N2085" s="9" t="str">
        <f t="shared" si="73"/>
        <v/>
      </c>
      <c r="O2085" s="9" t="str">
        <f>IF(N2085="","",IF(COUNTIF(Precios!$G:$G,N2085)=0,"⚠ No coincide con Precios","OK"))</f>
        <v/>
      </c>
    </row>
    <row r="2086" spans="3:15" x14ac:dyDescent="0.2">
      <c r="C2086" s="9" cm="1">
        <f t="array" ref="C2086">IFERROR(_xlfn.XLOOKUP(B2086,Personal!$A:$A,Personal!$D:$D,""),"")</f>
        <v>0</v>
      </c>
      <c r="D2086" s="9" cm="1">
        <f t="array" ref="D2086">IFERROR(_xlfn.XLOOKUP(B2086,Personal!$A:$A,Personal!$C:$C,""),"")</f>
        <v>0</v>
      </c>
      <c r="E2086" s="9" t="str" cm="1">
        <f t="array" ref="E2086">IFERROR(_xlfn.XLOOKUP(D2086,Locales!$A:$A,Locales!$B:$B,""),"")</f>
        <v/>
      </c>
      <c r="F2086" s="9" cm="1">
        <f t="array" ref="F2086">IFERROR(_xlfn.XLOOKUP(B2086,Personal!$A:$A,Personal!$F:$F,""),"")</f>
        <v>0</v>
      </c>
      <c r="I2086" s="10" cm="1">
        <f t="array" ref="I2086">IFERROR(INDEX(Precios!$D:$F,MATCH(N2086, Precios!$G:$G, 0),CHOOSE(MATCH(H2086, {"SML";"XL";"XXL"}, 0), 1, 2, 3)), 0)</f>
        <v>0</v>
      </c>
      <c r="K2086" s="10">
        <f t="shared" si="72"/>
        <v>0</v>
      </c>
      <c r="N2086" s="9" t="str">
        <f t="shared" si="73"/>
        <v/>
      </c>
      <c r="O2086" s="9" t="str">
        <f>IF(N2086="","",IF(COUNTIF(Precios!$G:$G,N2086)=0,"⚠ No coincide con Precios","OK"))</f>
        <v/>
      </c>
    </row>
    <row r="2087" spans="3:15" x14ac:dyDescent="0.2">
      <c r="C2087" s="9" cm="1">
        <f t="array" ref="C2087">IFERROR(_xlfn.XLOOKUP(B2087,Personal!$A:$A,Personal!$D:$D,""),"")</f>
        <v>0</v>
      </c>
      <c r="D2087" s="9" cm="1">
        <f t="array" ref="D2087">IFERROR(_xlfn.XLOOKUP(B2087,Personal!$A:$A,Personal!$C:$C,""),"")</f>
        <v>0</v>
      </c>
      <c r="E2087" s="9" t="str" cm="1">
        <f t="array" ref="E2087">IFERROR(_xlfn.XLOOKUP(D2087,Locales!$A:$A,Locales!$B:$B,""),"")</f>
        <v/>
      </c>
      <c r="F2087" s="9" cm="1">
        <f t="array" ref="F2087">IFERROR(_xlfn.XLOOKUP(B2087,Personal!$A:$A,Personal!$F:$F,""),"")</f>
        <v>0</v>
      </c>
      <c r="I2087" s="10" cm="1">
        <f t="array" ref="I2087">IFERROR(INDEX(Precios!$D:$F,MATCH(N2087, Precios!$G:$G, 0),CHOOSE(MATCH(H2087, {"SML";"XL";"XXL"}, 0), 1, 2, 3)), 0)</f>
        <v>0</v>
      </c>
      <c r="K2087" s="10">
        <f t="shared" si="72"/>
        <v>0</v>
      </c>
      <c r="N2087" s="9" t="str">
        <f t="shared" si="73"/>
        <v/>
      </c>
      <c r="O2087" s="9" t="str">
        <f>IF(N2087="","",IF(COUNTIF(Precios!$G:$G,N2087)=0,"⚠ No coincide con Precios","OK"))</f>
        <v/>
      </c>
    </row>
    <row r="2088" spans="3:15" x14ac:dyDescent="0.2">
      <c r="C2088" s="9" cm="1">
        <f t="array" ref="C2088">IFERROR(_xlfn.XLOOKUP(B2088,Personal!$A:$A,Personal!$D:$D,""),"")</f>
        <v>0</v>
      </c>
      <c r="D2088" s="9" cm="1">
        <f t="array" ref="D2088">IFERROR(_xlfn.XLOOKUP(B2088,Personal!$A:$A,Personal!$C:$C,""),"")</f>
        <v>0</v>
      </c>
      <c r="E2088" s="9" t="str" cm="1">
        <f t="array" ref="E2088">IFERROR(_xlfn.XLOOKUP(D2088,Locales!$A:$A,Locales!$B:$B,""),"")</f>
        <v/>
      </c>
      <c r="F2088" s="9" cm="1">
        <f t="array" ref="F2088">IFERROR(_xlfn.XLOOKUP(B2088,Personal!$A:$A,Personal!$F:$F,""),"")</f>
        <v>0</v>
      </c>
      <c r="I2088" s="10" cm="1">
        <f t="array" ref="I2088">IFERROR(INDEX(Precios!$D:$F,MATCH(N2088, Precios!$G:$G, 0),CHOOSE(MATCH(H2088, {"SML";"XL";"XXL"}, 0), 1, 2, 3)), 0)</f>
        <v>0</v>
      </c>
      <c r="K2088" s="10">
        <f t="shared" si="72"/>
        <v>0</v>
      </c>
      <c r="N2088" s="9" t="str">
        <f t="shared" si="73"/>
        <v/>
      </c>
      <c r="O2088" s="9" t="str">
        <f>IF(N2088="","",IF(COUNTIF(Precios!$G:$G,N2088)=0,"⚠ No coincide con Precios","OK"))</f>
        <v/>
      </c>
    </row>
    <row r="2089" spans="3:15" x14ac:dyDescent="0.2">
      <c r="C2089" s="9" cm="1">
        <f t="array" ref="C2089">IFERROR(_xlfn.XLOOKUP(B2089,Personal!$A:$A,Personal!$D:$D,""),"")</f>
        <v>0</v>
      </c>
      <c r="D2089" s="9" cm="1">
        <f t="array" ref="D2089">IFERROR(_xlfn.XLOOKUP(B2089,Personal!$A:$A,Personal!$C:$C,""),"")</f>
        <v>0</v>
      </c>
      <c r="E2089" s="9" t="str" cm="1">
        <f t="array" ref="E2089">IFERROR(_xlfn.XLOOKUP(D2089,Locales!$A:$A,Locales!$B:$B,""),"")</f>
        <v/>
      </c>
      <c r="F2089" s="9" cm="1">
        <f t="array" ref="F2089">IFERROR(_xlfn.XLOOKUP(B2089,Personal!$A:$A,Personal!$F:$F,""),"")</f>
        <v>0</v>
      </c>
      <c r="I2089" s="10" cm="1">
        <f t="array" ref="I2089">IFERROR(INDEX(Precios!$D:$F,MATCH(N2089, Precios!$G:$G, 0),CHOOSE(MATCH(H2089, {"SML";"XL";"XXL"}, 0), 1, 2, 3)), 0)</f>
        <v>0</v>
      </c>
      <c r="K2089" s="10">
        <f t="shared" si="72"/>
        <v>0</v>
      </c>
      <c r="N2089" s="9" t="str">
        <f t="shared" si="73"/>
        <v/>
      </c>
      <c r="O2089" s="9" t="str">
        <f>IF(N2089="","",IF(COUNTIF(Precios!$G:$G,N2089)=0,"⚠ No coincide con Precios","OK"))</f>
        <v/>
      </c>
    </row>
    <row r="2090" spans="3:15" x14ac:dyDescent="0.2">
      <c r="C2090" s="9" cm="1">
        <f t="array" ref="C2090">IFERROR(_xlfn.XLOOKUP(B2090,Personal!$A:$A,Personal!$D:$D,""),"")</f>
        <v>0</v>
      </c>
      <c r="D2090" s="9" cm="1">
        <f t="array" ref="D2090">IFERROR(_xlfn.XLOOKUP(B2090,Personal!$A:$A,Personal!$C:$C,""),"")</f>
        <v>0</v>
      </c>
      <c r="E2090" s="9" t="str" cm="1">
        <f t="array" ref="E2090">IFERROR(_xlfn.XLOOKUP(D2090,Locales!$A:$A,Locales!$B:$B,""),"")</f>
        <v/>
      </c>
      <c r="F2090" s="9" cm="1">
        <f t="array" ref="F2090">IFERROR(_xlfn.XLOOKUP(B2090,Personal!$A:$A,Personal!$F:$F,""),"")</f>
        <v>0</v>
      </c>
      <c r="I2090" s="10" cm="1">
        <f t="array" ref="I2090">IFERROR(INDEX(Precios!$D:$F,MATCH(N2090, Precios!$G:$G, 0),CHOOSE(MATCH(H2090, {"SML";"XL";"XXL"}, 0), 1, 2, 3)), 0)</f>
        <v>0</v>
      </c>
      <c r="K2090" s="10">
        <f t="shared" si="72"/>
        <v>0</v>
      </c>
      <c r="N2090" s="9" t="str">
        <f t="shared" si="73"/>
        <v/>
      </c>
      <c r="O2090" s="9" t="str">
        <f>IF(N2090="","",IF(COUNTIF(Precios!$G:$G,N2090)=0,"⚠ No coincide con Precios","OK"))</f>
        <v/>
      </c>
    </row>
    <row r="2091" spans="3:15" x14ac:dyDescent="0.2">
      <c r="C2091" s="9" cm="1">
        <f t="array" ref="C2091">IFERROR(_xlfn.XLOOKUP(B2091,Personal!$A:$A,Personal!$D:$D,""),"")</f>
        <v>0</v>
      </c>
      <c r="D2091" s="9" cm="1">
        <f t="array" ref="D2091">IFERROR(_xlfn.XLOOKUP(B2091,Personal!$A:$A,Personal!$C:$C,""),"")</f>
        <v>0</v>
      </c>
      <c r="E2091" s="9" t="str" cm="1">
        <f t="array" ref="E2091">IFERROR(_xlfn.XLOOKUP(D2091,Locales!$A:$A,Locales!$B:$B,""),"")</f>
        <v/>
      </c>
      <c r="F2091" s="9" cm="1">
        <f t="array" ref="F2091">IFERROR(_xlfn.XLOOKUP(B2091,Personal!$A:$A,Personal!$F:$F,""),"")</f>
        <v>0</v>
      </c>
      <c r="I2091" s="10" cm="1">
        <f t="array" ref="I2091">IFERROR(INDEX(Precios!$D:$F,MATCH(N2091, Precios!$G:$G, 0),CHOOSE(MATCH(H2091, {"SML";"XL";"XXL"}, 0), 1, 2, 3)), 0)</f>
        <v>0</v>
      </c>
      <c r="K2091" s="10">
        <f t="shared" si="72"/>
        <v>0</v>
      </c>
      <c r="N2091" s="9" t="str">
        <f t="shared" si="73"/>
        <v/>
      </c>
      <c r="O2091" s="9" t="str">
        <f>IF(N2091="","",IF(COUNTIF(Precios!$G:$G,N2091)=0,"⚠ No coincide con Precios","OK"))</f>
        <v/>
      </c>
    </row>
    <row r="2092" spans="3:15" x14ac:dyDescent="0.2">
      <c r="C2092" s="9" cm="1">
        <f t="array" ref="C2092">IFERROR(_xlfn.XLOOKUP(B2092,Personal!$A:$A,Personal!$D:$D,""),"")</f>
        <v>0</v>
      </c>
      <c r="D2092" s="9" cm="1">
        <f t="array" ref="D2092">IFERROR(_xlfn.XLOOKUP(B2092,Personal!$A:$A,Personal!$C:$C,""),"")</f>
        <v>0</v>
      </c>
      <c r="E2092" s="9" t="str" cm="1">
        <f t="array" ref="E2092">IFERROR(_xlfn.XLOOKUP(D2092,Locales!$A:$A,Locales!$B:$B,""),"")</f>
        <v/>
      </c>
      <c r="F2092" s="9" cm="1">
        <f t="array" ref="F2092">IFERROR(_xlfn.XLOOKUP(B2092,Personal!$A:$A,Personal!$F:$F,""),"")</f>
        <v>0</v>
      </c>
      <c r="I2092" s="10" cm="1">
        <f t="array" ref="I2092">IFERROR(INDEX(Precios!$D:$F,MATCH(N2092, Precios!$G:$G, 0),CHOOSE(MATCH(H2092, {"SML";"XL";"XXL"}, 0), 1, 2, 3)), 0)</f>
        <v>0</v>
      </c>
      <c r="K2092" s="10">
        <f t="shared" si="72"/>
        <v>0</v>
      </c>
      <c r="N2092" s="9" t="str">
        <f t="shared" si="73"/>
        <v/>
      </c>
      <c r="O2092" s="9" t="str">
        <f>IF(N2092="","",IF(COUNTIF(Precios!$G:$G,N2092)=0,"⚠ No coincide con Precios","OK"))</f>
        <v/>
      </c>
    </row>
    <row r="2093" spans="3:15" x14ac:dyDescent="0.2">
      <c r="C2093" s="9" cm="1">
        <f t="array" ref="C2093">IFERROR(_xlfn.XLOOKUP(B2093,Personal!$A:$A,Personal!$D:$D,""),"")</f>
        <v>0</v>
      </c>
      <c r="D2093" s="9" cm="1">
        <f t="array" ref="D2093">IFERROR(_xlfn.XLOOKUP(B2093,Personal!$A:$A,Personal!$C:$C,""),"")</f>
        <v>0</v>
      </c>
      <c r="E2093" s="9" t="str" cm="1">
        <f t="array" ref="E2093">IFERROR(_xlfn.XLOOKUP(D2093,Locales!$A:$A,Locales!$B:$B,""),"")</f>
        <v/>
      </c>
      <c r="F2093" s="9" cm="1">
        <f t="array" ref="F2093">IFERROR(_xlfn.XLOOKUP(B2093,Personal!$A:$A,Personal!$F:$F,""),"")</f>
        <v>0</v>
      </c>
      <c r="I2093" s="10" cm="1">
        <f t="array" ref="I2093">IFERROR(INDEX(Precios!$D:$F,MATCH(N2093, Precios!$G:$G, 0),CHOOSE(MATCH(H2093, {"SML";"XL";"XXL"}, 0), 1, 2, 3)), 0)</f>
        <v>0</v>
      </c>
      <c r="K2093" s="10">
        <f t="shared" si="72"/>
        <v>0</v>
      </c>
      <c r="N2093" s="9" t="str">
        <f t="shared" si="73"/>
        <v/>
      </c>
      <c r="O2093" s="9" t="str">
        <f>IF(N2093="","",IF(COUNTIF(Precios!$G:$G,N2093)=0,"⚠ No coincide con Precios","OK"))</f>
        <v/>
      </c>
    </row>
    <row r="2094" spans="3:15" x14ac:dyDescent="0.2">
      <c r="C2094" s="9" cm="1">
        <f t="array" ref="C2094">IFERROR(_xlfn.XLOOKUP(B2094,Personal!$A:$A,Personal!$D:$D,""),"")</f>
        <v>0</v>
      </c>
      <c r="D2094" s="9" cm="1">
        <f t="array" ref="D2094">IFERROR(_xlfn.XLOOKUP(B2094,Personal!$A:$A,Personal!$C:$C,""),"")</f>
        <v>0</v>
      </c>
      <c r="E2094" s="9" t="str" cm="1">
        <f t="array" ref="E2094">IFERROR(_xlfn.XLOOKUP(D2094,Locales!$A:$A,Locales!$B:$B,""),"")</f>
        <v/>
      </c>
      <c r="F2094" s="9" cm="1">
        <f t="array" ref="F2094">IFERROR(_xlfn.XLOOKUP(B2094,Personal!$A:$A,Personal!$F:$F,""),"")</f>
        <v>0</v>
      </c>
      <c r="I2094" s="10" cm="1">
        <f t="array" ref="I2094">IFERROR(INDEX(Precios!$D:$F,MATCH(N2094, Precios!$G:$G, 0),CHOOSE(MATCH(H2094, {"SML";"XL";"XXL"}, 0), 1, 2, 3)), 0)</f>
        <v>0</v>
      </c>
      <c r="K2094" s="10">
        <f t="shared" si="72"/>
        <v>0</v>
      </c>
      <c r="N2094" s="9" t="str">
        <f t="shared" si="73"/>
        <v/>
      </c>
      <c r="O2094" s="9" t="str">
        <f>IF(N2094="","",IF(COUNTIF(Precios!$G:$G,N2094)=0,"⚠ No coincide con Precios","OK"))</f>
        <v/>
      </c>
    </row>
    <row r="2095" spans="3:15" x14ac:dyDescent="0.2">
      <c r="C2095" s="9" cm="1">
        <f t="array" ref="C2095">IFERROR(_xlfn.XLOOKUP(B2095,Personal!$A:$A,Personal!$D:$D,""),"")</f>
        <v>0</v>
      </c>
      <c r="D2095" s="9" cm="1">
        <f t="array" ref="D2095">IFERROR(_xlfn.XLOOKUP(B2095,Personal!$A:$A,Personal!$C:$C,""),"")</f>
        <v>0</v>
      </c>
      <c r="E2095" s="9" t="str" cm="1">
        <f t="array" ref="E2095">IFERROR(_xlfn.XLOOKUP(D2095,Locales!$A:$A,Locales!$B:$B,""),"")</f>
        <v/>
      </c>
      <c r="F2095" s="9" cm="1">
        <f t="array" ref="F2095">IFERROR(_xlfn.XLOOKUP(B2095,Personal!$A:$A,Personal!$F:$F,""),"")</f>
        <v>0</v>
      </c>
      <c r="I2095" s="10" cm="1">
        <f t="array" ref="I2095">IFERROR(INDEX(Precios!$D:$F,MATCH(N2095, Precios!$G:$G, 0),CHOOSE(MATCH(H2095, {"SML";"XL";"XXL"}, 0), 1, 2, 3)), 0)</f>
        <v>0</v>
      </c>
      <c r="K2095" s="10">
        <f t="shared" si="72"/>
        <v>0</v>
      </c>
      <c r="N2095" s="9" t="str">
        <f t="shared" si="73"/>
        <v/>
      </c>
      <c r="O2095" s="9" t="str">
        <f>IF(N2095="","",IF(COUNTIF(Precios!$G:$G,N2095)=0,"⚠ No coincide con Precios","OK"))</f>
        <v/>
      </c>
    </row>
    <row r="2096" spans="3:15" x14ac:dyDescent="0.2">
      <c r="C2096" s="9" cm="1">
        <f t="array" ref="C2096">IFERROR(_xlfn.XLOOKUP(B2096,Personal!$A:$A,Personal!$D:$D,""),"")</f>
        <v>0</v>
      </c>
      <c r="D2096" s="9" cm="1">
        <f t="array" ref="D2096">IFERROR(_xlfn.XLOOKUP(B2096,Personal!$A:$A,Personal!$C:$C,""),"")</f>
        <v>0</v>
      </c>
      <c r="E2096" s="9" t="str" cm="1">
        <f t="array" ref="E2096">IFERROR(_xlfn.XLOOKUP(D2096,Locales!$A:$A,Locales!$B:$B,""),"")</f>
        <v/>
      </c>
      <c r="F2096" s="9" cm="1">
        <f t="array" ref="F2096">IFERROR(_xlfn.XLOOKUP(B2096,Personal!$A:$A,Personal!$F:$F,""),"")</f>
        <v>0</v>
      </c>
      <c r="I2096" s="10" cm="1">
        <f t="array" ref="I2096">IFERROR(INDEX(Precios!$D:$F,MATCH(N2096, Precios!$G:$G, 0),CHOOSE(MATCH(H2096, {"SML";"XL";"XXL"}, 0), 1, 2, 3)), 0)</f>
        <v>0</v>
      </c>
      <c r="K2096" s="10">
        <f t="shared" si="72"/>
        <v>0</v>
      </c>
      <c r="N2096" s="9" t="str">
        <f t="shared" si="73"/>
        <v/>
      </c>
      <c r="O2096" s="9" t="str">
        <f>IF(N2096="","",IF(COUNTIF(Precios!$G:$G,N2096)=0,"⚠ No coincide con Precios","OK"))</f>
        <v/>
      </c>
    </row>
    <row r="2097" spans="3:15" x14ac:dyDescent="0.2">
      <c r="C2097" s="9" cm="1">
        <f t="array" ref="C2097">IFERROR(_xlfn.XLOOKUP(B2097,Personal!$A:$A,Personal!$D:$D,""),"")</f>
        <v>0</v>
      </c>
      <c r="D2097" s="9" cm="1">
        <f t="array" ref="D2097">IFERROR(_xlfn.XLOOKUP(B2097,Personal!$A:$A,Personal!$C:$C,""),"")</f>
        <v>0</v>
      </c>
      <c r="E2097" s="9" t="str" cm="1">
        <f t="array" ref="E2097">IFERROR(_xlfn.XLOOKUP(D2097,Locales!$A:$A,Locales!$B:$B,""),"")</f>
        <v/>
      </c>
      <c r="F2097" s="9" cm="1">
        <f t="array" ref="F2097">IFERROR(_xlfn.XLOOKUP(B2097,Personal!$A:$A,Personal!$F:$F,""),"")</f>
        <v>0</v>
      </c>
      <c r="I2097" s="10" cm="1">
        <f t="array" ref="I2097">IFERROR(INDEX(Precios!$D:$F,MATCH(N2097, Precios!$G:$G, 0),CHOOSE(MATCH(H2097, {"SML";"XL";"XXL"}, 0), 1, 2, 3)), 0)</f>
        <v>0</v>
      </c>
      <c r="K2097" s="10">
        <f t="shared" si="72"/>
        <v>0</v>
      </c>
      <c r="N2097" s="9" t="str">
        <f t="shared" si="73"/>
        <v/>
      </c>
      <c r="O2097" s="9" t="str">
        <f>IF(N2097="","",IF(COUNTIF(Precios!$G:$G,N2097)=0,"⚠ No coincide con Precios","OK"))</f>
        <v/>
      </c>
    </row>
    <row r="2098" spans="3:15" x14ac:dyDescent="0.2">
      <c r="C2098" s="9" cm="1">
        <f t="array" ref="C2098">IFERROR(_xlfn.XLOOKUP(B2098,Personal!$A:$A,Personal!$D:$D,""),"")</f>
        <v>0</v>
      </c>
      <c r="D2098" s="9" cm="1">
        <f t="array" ref="D2098">IFERROR(_xlfn.XLOOKUP(B2098,Personal!$A:$A,Personal!$C:$C,""),"")</f>
        <v>0</v>
      </c>
      <c r="E2098" s="9" t="str" cm="1">
        <f t="array" ref="E2098">IFERROR(_xlfn.XLOOKUP(D2098,Locales!$A:$A,Locales!$B:$B,""),"")</f>
        <v/>
      </c>
      <c r="F2098" s="9" cm="1">
        <f t="array" ref="F2098">IFERROR(_xlfn.XLOOKUP(B2098,Personal!$A:$A,Personal!$F:$F,""),"")</f>
        <v>0</v>
      </c>
      <c r="I2098" s="10" cm="1">
        <f t="array" ref="I2098">IFERROR(INDEX(Precios!$D:$F,MATCH(N2098, Precios!$G:$G, 0),CHOOSE(MATCH(H2098, {"SML";"XL";"XXL"}, 0), 1, 2, 3)), 0)</f>
        <v>0</v>
      </c>
      <c r="K2098" s="10">
        <f t="shared" si="72"/>
        <v>0</v>
      </c>
      <c r="N2098" s="9" t="str">
        <f t="shared" si="73"/>
        <v/>
      </c>
      <c r="O2098" s="9" t="str">
        <f>IF(N2098="","",IF(COUNTIF(Precios!$G:$G,N2098)=0,"⚠ No coincide con Precios","OK"))</f>
        <v/>
      </c>
    </row>
    <row r="2099" spans="3:15" x14ac:dyDescent="0.2">
      <c r="C2099" s="9" cm="1">
        <f t="array" ref="C2099">IFERROR(_xlfn.XLOOKUP(B2099,Personal!$A:$A,Personal!$D:$D,""),"")</f>
        <v>0</v>
      </c>
      <c r="D2099" s="9" cm="1">
        <f t="array" ref="D2099">IFERROR(_xlfn.XLOOKUP(B2099,Personal!$A:$A,Personal!$C:$C,""),"")</f>
        <v>0</v>
      </c>
      <c r="E2099" s="9" t="str" cm="1">
        <f t="array" ref="E2099">IFERROR(_xlfn.XLOOKUP(D2099,Locales!$A:$A,Locales!$B:$B,""),"")</f>
        <v/>
      </c>
      <c r="F2099" s="9" cm="1">
        <f t="array" ref="F2099">IFERROR(_xlfn.XLOOKUP(B2099,Personal!$A:$A,Personal!$F:$F,""),"")</f>
        <v>0</v>
      </c>
      <c r="I2099" s="10" cm="1">
        <f t="array" ref="I2099">IFERROR(INDEX(Precios!$D:$F,MATCH(N2099, Precios!$G:$G, 0),CHOOSE(MATCH(H2099, {"SML";"XL";"XXL"}, 0), 1, 2, 3)), 0)</f>
        <v>0</v>
      </c>
      <c r="K2099" s="10">
        <f t="shared" si="72"/>
        <v>0</v>
      </c>
      <c r="N2099" s="9" t="str">
        <f t="shared" si="73"/>
        <v/>
      </c>
      <c r="O2099" s="9" t="str">
        <f>IF(N2099="","",IF(COUNTIF(Precios!$G:$G,N2099)=0,"⚠ No coincide con Precios","OK"))</f>
        <v/>
      </c>
    </row>
    <row r="2100" spans="3:15" x14ac:dyDescent="0.2">
      <c r="C2100" s="9" cm="1">
        <f t="array" ref="C2100">IFERROR(_xlfn.XLOOKUP(B2100,Personal!$A:$A,Personal!$D:$D,""),"")</f>
        <v>0</v>
      </c>
      <c r="D2100" s="9" cm="1">
        <f t="array" ref="D2100">IFERROR(_xlfn.XLOOKUP(B2100,Personal!$A:$A,Personal!$C:$C,""),"")</f>
        <v>0</v>
      </c>
      <c r="E2100" s="9" t="str" cm="1">
        <f t="array" ref="E2100">IFERROR(_xlfn.XLOOKUP(D2100,Locales!$A:$A,Locales!$B:$B,""),"")</f>
        <v/>
      </c>
      <c r="F2100" s="9" cm="1">
        <f t="array" ref="F2100">IFERROR(_xlfn.XLOOKUP(B2100,Personal!$A:$A,Personal!$F:$F,""),"")</f>
        <v>0</v>
      </c>
      <c r="I2100" s="10" cm="1">
        <f t="array" ref="I2100">IFERROR(INDEX(Precios!$D:$F,MATCH(N2100, Precios!$G:$G, 0),CHOOSE(MATCH(H2100, {"SML";"XL";"XXL"}, 0), 1, 2, 3)), 0)</f>
        <v>0</v>
      </c>
      <c r="K2100" s="10">
        <f t="shared" si="72"/>
        <v>0</v>
      </c>
      <c r="N2100" s="9" t="str">
        <f t="shared" si="73"/>
        <v/>
      </c>
      <c r="O2100" s="9" t="str">
        <f>IF(N2100="","",IF(COUNTIF(Precios!$G:$G,N2100)=0,"⚠ No coincide con Precios","OK"))</f>
        <v/>
      </c>
    </row>
    <row r="2101" spans="3:15" x14ac:dyDescent="0.2">
      <c r="C2101" s="9" cm="1">
        <f t="array" ref="C2101">IFERROR(_xlfn.XLOOKUP(B2101,Personal!$A:$A,Personal!$D:$D,""),"")</f>
        <v>0</v>
      </c>
      <c r="D2101" s="9" cm="1">
        <f t="array" ref="D2101">IFERROR(_xlfn.XLOOKUP(B2101,Personal!$A:$A,Personal!$C:$C,""),"")</f>
        <v>0</v>
      </c>
      <c r="E2101" s="9" t="str" cm="1">
        <f t="array" ref="E2101">IFERROR(_xlfn.XLOOKUP(D2101,Locales!$A:$A,Locales!$B:$B,""),"")</f>
        <v/>
      </c>
      <c r="F2101" s="9" cm="1">
        <f t="array" ref="F2101">IFERROR(_xlfn.XLOOKUP(B2101,Personal!$A:$A,Personal!$F:$F,""),"")</f>
        <v>0</v>
      </c>
      <c r="I2101" s="10" cm="1">
        <f t="array" ref="I2101">IFERROR(INDEX(Precios!$D:$F,MATCH(N2101, Precios!$G:$G, 0),CHOOSE(MATCH(H2101, {"SML";"XL";"XXL"}, 0), 1, 2, 3)), 0)</f>
        <v>0</v>
      </c>
      <c r="K2101" s="10">
        <f t="shared" si="72"/>
        <v>0</v>
      </c>
      <c r="N2101" s="9" t="str">
        <f t="shared" si="73"/>
        <v/>
      </c>
      <c r="O2101" s="9" t="str">
        <f>IF(N2101="","",IF(COUNTIF(Precios!$G:$G,N2101)=0,"⚠ No coincide con Precios","OK"))</f>
        <v/>
      </c>
    </row>
    <row r="2102" spans="3:15" x14ac:dyDescent="0.2">
      <c r="C2102" s="9" cm="1">
        <f t="array" ref="C2102">IFERROR(_xlfn.XLOOKUP(B2102,Personal!$A:$A,Personal!$D:$D,""),"")</f>
        <v>0</v>
      </c>
      <c r="D2102" s="9" cm="1">
        <f t="array" ref="D2102">IFERROR(_xlfn.XLOOKUP(B2102,Personal!$A:$A,Personal!$C:$C,""),"")</f>
        <v>0</v>
      </c>
      <c r="E2102" s="9" t="str" cm="1">
        <f t="array" ref="E2102">IFERROR(_xlfn.XLOOKUP(D2102,Locales!$A:$A,Locales!$B:$B,""),"")</f>
        <v/>
      </c>
      <c r="F2102" s="9" cm="1">
        <f t="array" ref="F2102">IFERROR(_xlfn.XLOOKUP(B2102,Personal!$A:$A,Personal!$F:$F,""),"")</f>
        <v>0</v>
      </c>
      <c r="I2102" s="10" cm="1">
        <f t="array" ref="I2102">IFERROR(INDEX(Precios!$D:$F,MATCH(N2102, Precios!$G:$G, 0),CHOOSE(MATCH(H2102, {"SML";"XL";"XXL"}, 0), 1, 2, 3)), 0)</f>
        <v>0</v>
      </c>
      <c r="K2102" s="10">
        <f t="shared" si="72"/>
        <v>0</v>
      </c>
      <c r="N2102" s="9" t="str">
        <f t="shared" si="73"/>
        <v/>
      </c>
      <c r="O2102" s="9" t="str">
        <f>IF(N2102="","",IF(COUNTIF(Precios!$G:$G,N2102)=0,"⚠ No coincide con Precios","OK"))</f>
        <v/>
      </c>
    </row>
    <row r="2103" spans="3:15" x14ac:dyDescent="0.2">
      <c r="C2103" s="9" cm="1">
        <f t="array" ref="C2103">IFERROR(_xlfn.XLOOKUP(B2103,Personal!$A:$A,Personal!$D:$D,""),"")</f>
        <v>0</v>
      </c>
      <c r="D2103" s="9" cm="1">
        <f t="array" ref="D2103">IFERROR(_xlfn.XLOOKUP(B2103,Personal!$A:$A,Personal!$C:$C,""),"")</f>
        <v>0</v>
      </c>
      <c r="E2103" s="9" t="str" cm="1">
        <f t="array" ref="E2103">IFERROR(_xlfn.XLOOKUP(D2103,Locales!$A:$A,Locales!$B:$B,""),"")</f>
        <v/>
      </c>
      <c r="F2103" s="9" cm="1">
        <f t="array" ref="F2103">IFERROR(_xlfn.XLOOKUP(B2103,Personal!$A:$A,Personal!$F:$F,""),"")</f>
        <v>0</v>
      </c>
      <c r="I2103" s="10" cm="1">
        <f t="array" ref="I2103">IFERROR(INDEX(Precios!$D:$F,MATCH(N2103, Precios!$G:$G, 0),CHOOSE(MATCH(H2103, {"SML";"XL";"XXL"}, 0), 1, 2, 3)), 0)</f>
        <v>0</v>
      </c>
      <c r="K2103" s="10">
        <f t="shared" si="72"/>
        <v>0</v>
      </c>
      <c r="N2103" s="9" t="str">
        <f t="shared" si="73"/>
        <v/>
      </c>
      <c r="O2103" s="9" t="str">
        <f>IF(N2103="","",IF(COUNTIF(Precios!$G:$G,N2103)=0,"⚠ No coincide con Precios","OK"))</f>
        <v/>
      </c>
    </row>
    <row r="2104" spans="3:15" x14ac:dyDescent="0.2">
      <c r="C2104" s="9" cm="1">
        <f t="array" ref="C2104">IFERROR(_xlfn.XLOOKUP(B2104,Personal!$A:$A,Personal!$D:$D,""),"")</f>
        <v>0</v>
      </c>
      <c r="D2104" s="9" cm="1">
        <f t="array" ref="D2104">IFERROR(_xlfn.XLOOKUP(B2104,Personal!$A:$A,Personal!$C:$C,""),"")</f>
        <v>0</v>
      </c>
      <c r="E2104" s="9" t="str" cm="1">
        <f t="array" ref="E2104">IFERROR(_xlfn.XLOOKUP(D2104,Locales!$A:$A,Locales!$B:$B,""),"")</f>
        <v/>
      </c>
      <c r="F2104" s="9" cm="1">
        <f t="array" ref="F2104">IFERROR(_xlfn.XLOOKUP(B2104,Personal!$A:$A,Personal!$F:$F,""),"")</f>
        <v>0</v>
      </c>
      <c r="I2104" s="10" cm="1">
        <f t="array" ref="I2104">IFERROR(INDEX(Precios!$D:$F,MATCH(N2104, Precios!$G:$G, 0),CHOOSE(MATCH(H2104, {"SML";"XL";"XXL"}, 0), 1, 2, 3)), 0)</f>
        <v>0</v>
      </c>
      <c r="K2104" s="10">
        <f t="shared" si="72"/>
        <v>0</v>
      </c>
      <c r="N2104" s="9" t="str">
        <f t="shared" si="73"/>
        <v/>
      </c>
      <c r="O2104" s="9" t="str">
        <f>IF(N2104="","",IF(COUNTIF(Precios!$G:$G,N2104)=0,"⚠ No coincide con Precios","OK"))</f>
        <v/>
      </c>
    </row>
    <row r="2105" spans="3:15" x14ac:dyDescent="0.2">
      <c r="C2105" s="9" cm="1">
        <f t="array" ref="C2105">IFERROR(_xlfn.XLOOKUP(B2105,Personal!$A:$A,Personal!$D:$D,""),"")</f>
        <v>0</v>
      </c>
      <c r="D2105" s="9" cm="1">
        <f t="array" ref="D2105">IFERROR(_xlfn.XLOOKUP(B2105,Personal!$A:$A,Personal!$C:$C,""),"")</f>
        <v>0</v>
      </c>
      <c r="E2105" s="9" t="str" cm="1">
        <f t="array" ref="E2105">IFERROR(_xlfn.XLOOKUP(D2105,Locales!$A:$A,Locales!$B:$B,""),"")</f>
        <v/>
      </c>
      <c r="F2105" s="9" cm="1">
        <f t="array" ref="F2105">IFERROR(_xlfn.XLOOKUP(B2105,Personal!$A:$A,Personal!$F:$F,""),"")</f>
        <v>0</v>
      </c>
      <c r="I2105" s="10" cm="1">
        <f t="array" ref="I2105">IFERROR(INDEX(Precios!$D:$F,MATCH(N2105, Precios!$G:$G, 0),CHOOSE(MATCH(H2105, {"SML";"XL";"XXL"}, 0), 1, 2, 3)), 0)</f>
        <v>0</v>
      </c>
      <c r="K2105" s="10">
        <f t="shared" si="72"/>
        <v>0</v>
      </c>
      <c r="N2105" s="9" t="str">
        <f t="shared" si="73"/>
        <v/>
      </c>
      <c r="O2105" s="9" t="str">
        <f>IF(N2105="","",IF(COUNTIF(Precios!$G:$G,N2105)=0,"⚠ No coincide con Precios","OK"))</f>
        <v/>
      </c>
    </row>
    <row r="2106" spans="3:15" x14ac:dyDescent="0.2">
      <c r="C2106" s="9" cm="1">
        <f t="array" ref="C2106">IFERROR(_xlfn.XLOOKUP(B2106,Personal!$A:$A,Personal!$D:$D,""),"")</f>
        <v>0</v>
      </c>
      <c r="D2106" s="9" cm="1">
        <f t="array" ref="D2106">IFERROR(_xlfn.XLOOKUP(B2106,Personal!$A:$A,Personal!$C:$C,""),"")</f>
        <v>0</v>
      </c>
      <c r="E2106" s="9" t="str" cm="1">
        <f t="array" ref="E2106">IFERROR(_xlfn.XLOOKUP(D2106,Locales!$A:$A,Locales!$B:$B,""),"")</f>
        <v/>
      </c>
      <c r="F2106" s="9" cm="1">
        <f t="array" ref="F2106">IFERROR(_xlfn.XLOOKUP(B2106,Personal!$A:$A,Personal!$F:$F,""),"")</f>
        <v>0</v>
      </c>
      <c r="I2106" s="10" cm="1">
        <f t="array" ref="I2106">IFERROR(INDEX(Precios!$D:$F,MATCH(N2106, Precios!$G:$G, 0),CHOOSE(MATCH(H2106, {"SML";"XL";"XXL"}, 0), 1, 2, 3)), 0)</f>
        <v>0</v>
      </c>
      <c r="K2106" s="10">
        <f t="shared" si="72"/>
        <v>0</v>
      </c>
      <c r="N2106" s="9" t="str">
        <f t="shared" si="73"/>
        <v/>
      </c>
      <c r="O2106" s="9" t="str">
        <f>IF(N2106="","",IF(COUNTIF(Precios!$G:$G,N2106)=0,"⚠ No coincide con Precios","OK"))</f>
        <v/>
      </c>
    </row>
    <row r="2107" spans="3:15" x14ac:dyDescent="0.2">
      <c r="C2107" s="9" cm="1">
        <f t="array" ref="C2107">IFERROR(_xlfn.XLOOKUP(B2107,Personal!$A:$A,Personal!$D:$D,""),"")</f>
        <v>0</v>
      </c>
      <c r="D2107" s="9" cm="1">
        <f t="array" ref="D2107">IFERROR(_xlfn.XLOOKUP(B2107,Personal!$A:$A,Personal!$C:$C,""),"")</f>
        <v>0</v>
      </c>
      <c r="E2107" s="9" t="str" cm="1">
        <f t="array" ref="E2107">IFERROR(_xlfn.XLOOKUP(D2107,Locales!$A:$A,Locales!$B:$B,""),"")</f>
        <v/>
      </c>
      <c r="F2107" s="9" cm="1">
        <f t="array" ref="F2107">IFERROR(_xlfn.XLOOKUP(B2107,Personal!$A:$A,Personal!$F:$F,""),"")</f>
        <v>0</v>
      </c>
      <c r="I2107" s="10" cm="1">
        <f t="array" ref="I2107">IFERROR(INDEX(Precios!$D:$F,MATCH(N2107, Precios!$G:$G, 0),CHOOSE(MATCH(H2107, {"SML";"XL";"XXL"}, 0), 1, 2, 3)), 0)</f>
        <v>0</v>
      </c>
      <c r="K2107" s="10">
        <f t="shared" si="72"/>
        <v>0</v>
      </c>
      <c r="N2107" s="9" t="str">
        <f t="shared" si="73"/>
        <v/>
      </c>
      <c r="O2107" s="9" t="str">
        <f>IF(N2107="","",IF(COUNTIF(Precios!$G:$G,N2107)=0,"⚠ No coincide con Precios","OK"))</f>
        <v/>
      </c>
    </row>
    <row r="2108" spans="3:15" x14ac:dyDescent="0.2">
      <c r="C2108" s="9" cm="1">
        <f t="array" ref="C2108">IFERROR(_xlfn.XLOOKUP(B2108,Personal!$A:$A,Personal!$D:$D,""),"")</f>
        <v>0</v>
      </c>
      <c r="D2108" s="9" cm="1">
        <f t="array" ref="D2108">IFERROR(_xlfn.XLOOKUP(B2108,Personal!$A:$A,Personal!$C:$C,""),"")</f>
        <v>0</v>
      </c>
      <c r="E2108" s="9" t="str" cm="1">
        <f t="array" ref="E2108">IFERROR(_xlfn.XLOOKUP(D2108,Locales!$A:$A,Locales!$B:$B,""),"")</f>
        <v/>
      </c>
      <c r="F2108" s="9" cm="1">
        <f t="array" ref="F2108">IFERROR(_xlfn.XLOOKUP(B2108,Personal!$A:$A,Personal!$F:$F,""),"")</f>
        <v>0</v>
      </c>
      <c r="I2108" s="10" cm="1">
        <f t="array" ref="I2108">IFERROR(INDEX(Precios!$D:$F,MATCH(N2108, Precios!$G:$G, 0),CHOOSE(MATCH(H2108, {"SML";"XL";"XXL"}, 0), 1, 2, 3)), 0)</f>
        <v>0</v>
      </c>
      <c r="K2108" s="10">
        <f t="shared" si="72"/>
        <v>0</v>
      </c>
      <c r="N2108" s="9" t="str">
        <f t="shared" si="73"/>
        <v/>
      </c>
      <c r="O2108" s="9" t="str">
        <f>IF(N2108="","",IF(COUNTIF(Precios!$G:$G,N2108)=0,"⚠ No coincide con Precios","OK"))</f>
        <v/>
      </c>
    </row>
    <row r="2109" spans="3:15" x14ac:dyDescent="0.2">
      <c r="C2109" s="9" cm="1">
        <f t="array" ref="C2109">IFERROR(_xlfn.XLOOKUP(B2109,Personal!$A:$A,Personal!$D:$D,""),"")</f>
        <v>0</v>
      </c>
      <c r="D2109" s="9" cm="1">
        <f t="array" ref="D2109">IFERROR(_xlfn.XLOOKUP(B2109,Personal!$A:$A,Personal!$C:$C,""),"")</f>
        <v>0</v>
      </c>
      <c r="E2109" s="9" t="str" cm="1">
        <f t="array" ref="E2109">IFERROR(_xlfn.XLOOKUP(D2109,Locales!$A:$A,Locales!$B:$B,""),"")</f>
        <v/>
      </c>
      <c r="F2109" s="9" cm="1">
        <f t="array" ref="F2109">IFERROR(_xlfn.XLOOKUP(B2109,Personal!$A:$A,Personal!$F:$F,""),"")</f>
        <v>0</v>
      </c>
      <c r="I2109" s="10" cm="1">
        <f t="array" ref="I2109">IFERROR(INDEX(Precios!$D:$F,MATCH(N2109, Precios!$G:$G, 0),CHOOSE(MATCH(H2109, {"SML";"XL";"XXL"}, 0), 1, 2, 3)), 0)</f>
        <v>0</v>
      </c>
      <c r="K2109" s="10">
        <f t="shared" si="72"/>
        <v>0</v>
      </c>
      <c r="N2109" s="9" t="str">
        <f t="shared" si="73"/>
        <v/>
      </c>
      <c r="O2109" s="9" t="str">
        <f>IF(N2109="","",IF(COUNTIF(Precios!$G:$G,N2109)=0,"⚠ No coincide con Precios","OK"))</f>
        <v/>
      </c>
    </row>
    <row r="2110" spans="3:15" x14ac:dyDescent="0.2">
      <c r="C2110" s="9" cm="1">
        <f t="array" ref="C2110">IFERROR(_xlfn.XLOOKUP(B2110,Personal!$A:$A,Personal!$D:$D,""),"")</f>
        <v>0</v>
      </c>
      <c r="D2110" s="9" cm="1">
        <f t="array" ref="D2110">IFERROR(_xlfn.XLOOKUP(B2110,Personal!$A:$A,Personal!$C:$C,""),"")</f>
        <v>0</v>
      </c>
      <c r="E2110" s="9" t="str" cm="1">
        <f t="array" ref="E2110">IFERROR(_xlfn.XLOOKUP(D2110,Locales!$A:$A,Locales!$B:$B,""),"")</f>
        <v/>
      </c>
      <c r="F2110" s="9" cm="1">
        <f t="array" ref="F2110">IFERROR(_xlfn.XLOOKUP(B2110,Personal!$A:$A,Personal!$F:$F,""),"")</f>
        <v>0</v>
      </c>
      <c r="I2110" s="10" cm="1">
        <f t="array" ref="I2110">IFERROR(INDEX(Precios!$D:$F,MATCH(N2110, Precios!$G:$G, 0),CHOOSE(MATCH(H2110, {"SML";"XL";"XXL"}, 0), 1, 2, 3)), 0)</f>
        <v>0</v>
      </c>
      <c r="K2110" s="10">
        <f t="shared" si="72"/>
        <v>0</v>
      </c>
      <c r="N2110" s="9" t="str">
        <f t="shared" si="73"/>
        <v/>
      </c>
      <c r="O2110" s="9" t="str">
        <f>IF(N2110="","",IF(COUNTIF(Precios!$G:$G,N2110)=0,"⚠ No coincide con Precios","OK"))</f>
        <v/>
      </c>
    </row>
    <row r="2111" spans="3:15" x14ac:dyDescent="0.2">
      <c r="C2111" s="9" cm="1">
        <f t="array" ref="C2111">IFERROR(_xlfn.XLOOKUP(B2111,Personal!$A:$A,Personal!$D:$D,""),"")</f>
        <v>0</v>
      </c>
      <c r="D2111" s="9" cm="1">
        <f t="array" ref="D2111">IFERROR(_xlfn.XLOOKUP(B2111,Personal!$A:$A,Personal!$C:$C,""),"")</f>
        <v>0</v>
      </c>
      <c r="E2111" s="9" t="str" cm="1">
        <f t="array" ref="E2111">IFERROR(_xlfn.XLOOKUP(D2111,Locales!$A:$A,Locales!$B:$B,""),"")</f>
        <v/>
      </c>
      <c r="F2111" s="9" cm="1">
        <f t="array" ref="F2111">IFERROR(_xlfn.XLOOKUP(B2111,Personal!$A:$A,Personal!$F:$F,""),"")</f>
        <v>0</v>
      </c>
      <c r="I2111" s="10" cm="1">
        <f t="array" ref="I2111">IFERROR(INDEX(Precios!$D:$F,MATCH(N2111, Precios!$G:$G, 0),CHOOSE(MATCH(H2111, {"SML";"XL";"XXL"}, 0), 1, 2, 3)), 0)</f>
        <v>0</v>
      </c>
      <c r="K2111" s="10">
        <f t="shared" si="72"/>
        <v>0</v>
      </c>
      <c r="N2111" s="9" t="str">
        <f t="shared" si="73"/>
        <v/>
      </c>
      <c r="O2111" s="9" t="str">
        <f>IF(N2111="","",IF(COUNTIF(Precios!$G:$G,N2111)=0,"⚠ No coincide con Precios","OK"))</f>
        <v/>
      </c>
    </row>
    <row r="2112" spans="3:15" x14ac:dyDescent="0.2">
      <c r="C2112" s="9" cm="1">
        <f t="array" ref="C2112">IFERROR(_xlfn.XLOOKUP(B2112,Personal!$A:$A,Personal!$D:$D,""),"")</f>
        <v>0</v>
      </c>
      <c r="D2112" s="9" cm="1">
        <f t="array" ref="D2112">IFERROR(_xlfn.XLOOKUP(B2112,Personal!$A:$A,Personal!$C:$C,""),"")</f>
        <v>0</v>
      </c>
      <c r="E2112" s="9" t="str" cm="1">
        <f t="array" ref="E2112">IFERROR(_xlfn.XLOOKUP(D2112,Locales!$A:$A,Locales!$B:$B,""),"")</f>
        <v/>
      </c>
      <c r="F2112" s="9" cm="1">
        <f t="array" ref="F2112">IFERROR(_xlfn.XLOOKUP(B2112,Personal!$A:$A,Personal!$F:$F,""),"")</f>
        <v>0</v>
      </c>
      <c r="I2112" s="10" cm="1">
        <f t="array" ref="I2112">IFERROR(INDEX(Precios!$D:$F,MATCH(N2112, Precios!$G:$G, 0),CHOOSE(MATCH(H2112, {"SML";"XL";"XXL"}, 0), 1, 2, 3)), 0)</f>
        <v>0</v>
      </c>
      <c r="K2112" s="10">
        <f t="shared" ref="K2112:K2175" si="74">IFERROR(I2112*J2112,0)</f>
        <v>0</v>
      </c>
      <c r="N2112" s="9" t="str">
        <f t="shared" ref="N2112:N2175" si="75">IF( OR(E2112="",F2112="",G2112=""), "",CLEAN(TRIM(E2112)) &amp; "|" &amp; CLEAN(TRIM(F2112)) &amp; "|" &amp; CLEAN(TRIM(G2112)))</f>
        <v/>
      </c>
      <c r="O2112" s="9" t="str">
        <f>IF(N2112="","",IF(COUNTIF(Precios!$G:$G,N2112)=0,"⚠ No coincide con Precios","OK"))</f>
        <v/>
      </c>
    </row>
    <row r="2113" spans="3:15" x14ac:dyDescent="0.2">
      <c r="C2113" s="9" cm="1">
        <f t="array" ref="C2113">IFERROR(_xlfn.XLOOKUP(B2113,Personal!$A:$A,Personal!$D:$D,""),"")</f>
        <v>0</v>
      </c>
      <c r="D2113" s="9" cm="1">
        <f t="array" ref="D2113">IFERROR(_xlfn.XLOOKUP(B2113,Personal!$A:$A,Personal!$C:$C,""),"")</f>
        <v>0</v>
      </c>
      <c r="E2113" s="9" t="str" cm="1">
        <f t="array" ref="E2113">IFERROR(_xlfn.XLOOKUP(D2113,Locales!$A:$A,Locales!$B:$B,""),"")</f>
        <v/>
      </c>
      <c r="F2113" s="9" cm="1">
        <f t="array" ref="F2113">IFERROR(_xlfn.XLOOKUP(B2113,Personal!$A:$A,Personal!$F:$F,""),"")</f>
        <v>0</v>
      </c>
      <c r="I2113" s="10" cm="1">
        <f t="array" ref="I2113">IFERROR(INDEX(Precios!$D:$F,MATCH(N2113, Precios!$G:$G, 0),CHOOSE(MATCH(H2113, {"SML";"XL";"XXL"}, 0), 1, 2, 3)), 0)</f>
        <v>0</v>
      </c>
      <c r="K2113" s="10">
        <f t="shared" si="74"/>
        <v>0</v>
      </c>
      <c r="N2113" s="9" t="str">
        <f t="shared" si="75"/>
        <v/>
      </c>
      <c r="O2113" s="9" t="str">
        <f>IF(N2113="","",IF(COUNTIF(Precios!$G:$G,N2113)=0,"⚠ No coincide con Precios","OK"))</f>
        <v/>
      </c>
    </row>
    <row r="2114" spans="3:15" x14ac:dyDescent="0.2">
      <c r="C2114" s="9" cm="1">
        <f t="array" ref="C2114">IFERROR(_xlfn.XLOOKUP(B2114,Personal!$A:$A,Personal!$D:$D,""),"")</f>
        <v>0</v>
      </c>
      <c r="D2114" s="9" cm="1">
        <f t="array" ref="D2114">IFERROR(_xlfn.XLOOKUP(B2114,Personal!$A:$A,Personal!$C:$C,""),"")</f>
        <v>0</v>
      </c>
      <c r="E2114" s="9" t="str" cm="1">
        <f t="array" ref="E2114">IFERROR(_xlfn.XLOOKUP(D2114,Locales!$A:$A,Locales!$B:$B,""),"")</f>
        <v/>
      </c>
      <c r="F2114" s="9" cm="1">
        <f t="array" ref="F2114">IFERROR(_xlfn.XLOOKUP(B2114,Personal!$A:$A,Personal!$F:$F,""),"")</f>
        <v>0</v>
      </c>
      <c r="I2114" s="10" cm="1">
        <f t="array" ref="I2114">IFERROR(INDEX(Precios!$D:$F,MATCH(N2114, Precios!$G:$G, 0),CHOOSE(MATCH(H2114, {"SML";"XL";"XXL"}, 0), 1, 2, 3)), 0)</f>
        <v>0</v>
      </c>
      <c r="K2114" s="10">
        <f t="shared" si="74"/>
        <v>0</v>
      </c>
      <c r="N2114" s="9" t="str">
        <f t="shared" si="75"/>
        <v/>
      </c>
      <c r="O2114" s="9" t="str">
        <f>IF(N2114="","",IF(COUNTIF(Precios!$G:$G,N2114)=0,"⚠ No coincide con Precios","OK"))</f>
        <v/>
      </c>
    </row>
    <row r="2115" spans="3:15" x14ac:dyDescent="0.2">
      <c r="C2115" s="9" cm="1">
        <f t="array" ref="C2115">IFERROR(_xlfn.XLOOKUP(B2115,Personal!$A:$A,Personal!$D:$D,""),"")</f>
        <v>0</v>
      </c>
      <c r="D2115" s="9" cm="1">
        <f t="array" ref="D2115">IFERROR(_xlfn.XLOOKUP(B2115,Personal!$A:$A,Personal!$C:$C,""),"")</f>
        <v>0</v>
      </c>
      <c r="E2115" s="9" t="str" cm="1">
        <f t="array" ref="E2115">IFERROR(_xlfn.XLOOKUP(D2115,Locales!$A:$A,Locales!$B:$B,""),"")</f>
        <v/>
      </c>
      <c r="F2115" s="9" cm="1">
        <f t="array" ref="F2115">IFERROR(_xlfn.XLOOKUP(B2115,Personal!$A:$A,Personal!$F:$F,""),"")</f>
        <v>0</v>
      </c>
      <c r="I2115" s="10" cm="1">
        <f t="array" ref="I2115">IFERROR(INDEX(Precios!$D:$F,MATCH(N2115, Precios!$G:$G, 0),CHOOSE(MATCH(H2115, {"SML";"XL";"XXL"}, 0), 1, 2, 3)), 0)</f>
        <v>0</v>
      </c>
      <c r="K2115" s="10">
        <f t="shared" si="74"/>
        <v>0</v>
      </c>
      <c r="N2115" s="9" t="str">
        <f t="shared" si="75"/>
        <v/>
      </c>
      <c r="O2115" s="9" t="str">
        <f>IF(N2115="","",IF(COUNTIF(Precios!$G:$G,N2115)=0,"⚠ No coincide con Precios","OK"))</f>
        <v/>
      </c>
    </row>
    <row r="2116" spans="3:15" x14ac:dyDescent="0.2">
      <c r="C2116" s="9" cm="1">
        <f t="array" ref="C2116">IFERROR(_xlfn.XLOOKUP(B2116,Personal!$A:$A,Personal!$D:$D,""),"")</f>
        <v>0</v>
      </c>
      <c r="D2116" s="9" cm="1">
        <f t="array" ref="D2116">IFERROR(_xlfn.XLOOKUP(B2116,Personal!$A:$A,Personal!$C:$C,""),"")</f>
        <v>0</v>
      </c>
      <c r="E2116" s="9" t="str" cm="1">
        <f t="array" ref="E2116">IFERROR(_xlfn.XLOOKUP(D2116,Locales!$A:$A,Locales!$B:$B,""),"")</f>
        <v/>
      </c>
      <c r="F2116" s="9" cm="1">
        <f t="array" ref="F2116">IFERROR(_xlfn.XLOOKUP(B2116,Personal!$A:$A,Personal!$F:$F,""),"")</f>
        <v>0</v>
      </c>
      <c r="I2116" s="10" cm="1">
        <f t="array" ref="I2116">IFERROR(INDEX(Precios!$D:$F,MATCH(N2116, Precios!$G:$G, 0),CHOOSE(MATCH(H2116, {"SML";"XL";"XXL"}, 0), 1, 2, 3)), 0)</f>
        <v>0</v>
      </c>
      <c r="K2116" s="10">
        <f t="shared" si="74"/>
        <v>0</v>
      </c>
      <c r="N2116" s="9" t="str">
        <f t="shared" si="75"/>
        <v/>
      </c>
      <c r="O2116" s="9" t="str">
        <f>IF(N2116="","",IF(COUNTIF(Precios!$G:$G,N2116)=0,"⚠ No coincide con Precios","OK"))</f>
        <v/>
      </c>
    </row>
    <row r="2117" spans="3:15" x14ac:dyDescent="0.2">
      <c r="C2117" s="9" cm="1">
        <f t="array" ref="C2117">IFERROR(_xlfn.XLOOKUP(B2117,Personal!$A:$A,Personal!$D:$D,""),"")</f>
        <v>0</v>
      </c>
      <c r="D2117" s="9" cm="1">
        <f t="array" ref="D2117">IFERROR(_xlfn.XLOOKUP(B2117,Personal!$A:$A,Personal!$C:$C,""),"")</f>
        <v>0</v>
      </c>
      <c r="E2117" s="9" t="str" cm="1">
        <f t="array" ref="E2117">IFERROR(_xlfn.XLOOKUP(D2117,Locales!$A:$A,Locales!$B:$B,""),"")</f>
        <v/>
      </c>
      <c r="F2117" s="9" cm="1">
        <f t="array" ref="F2117">IFERROR(_xlfn.XLOOKUP(B2117,Personal!$A:$A,Personal!$F:$F,""),"")</f>
        <v>0</v>
      </c>
      <c r="I2117" s="10" cm="1">
        <f t="array" ref="I2117">IFERROR(INDEX(Precios!$D:$F,MATCH(N2117, Precios!$G:$G, 0),CHOOSE(MATCH(H2117, {"SML";"XL";"XXL"}, 0), 1, 2, 3)), 0)</f>
        <v>0</v>
      </c>
      <c r="K2117" s="10">
        <f t="shared" si="74"/>
        <v>0</v>
      </c>
      <c r="N2117" s="9" t="str">
        <f t="shared" si="75"/>
        <v/>
      </c>
      <c r="O2117" s="9" t="str">
        <f>IF(N2117="","",IF(COUNTIF(Precios!$G:$G,N2117)=0,"⚠ No coincide con Precios","OK"))</f>
        <v/>
      </c>
    </row>
    <row r="2118" spans="3:15" x14ac:dyDescent="0.2">
      <c r="C2118" s="9" cm="1">
        <f t="array" ref="C2118">IFERROR(_xlfn.XLOOKUP(B2118,Personal!$A:$A,Personal!$D:$D,""),"")</f>
        <v>0</v>
      </c>
      <c r="D2118" s="9" cm="1">
        <f t="array" ref="D2118">IFERROR(_xlfn.XLOOKUP(B2118,Personal!$A:$A,Personal!$C:$C,""),"")</f>
        <v>0</v>
      </c>
      <c r="E2118" s="9" t="str" cm="1">
        <f t="array" ref="E2118">IFERROR(_xlfn.XLOOKUP(D2118,Locales!$A:$A,Locales!$B:$B,""),"")</f>
        <v/>
      </c>
      <c r="F2118" s="9" cm="1">
        <f t="array" ref="F2118">IFERROR(_xlfn.XLOOKUP(B2118,Personal!$A:$A,Personal!$F:$F,""),"")</f>
        <v>0</v>
      </c>
      <c r="I2118" s="10" cm="1">
        <f t="array" ref="I2118">IFERROR(INDEX(Precios!$D:$F,MATCH(N2118, Precios!$G:$G, 0),CHOOSE(MATCH(H2118, {"SML";"XL";"XXL"}, 0), 1, 2, 3)), 0)</f>
        <v>0</v>
      </c>
      <c r="K2118" s="10">
        <f t="shared" si="74"/>
        <v>0</v>
      </c>
      <c r="N2118" s="9" t="str">
        <f t="shared" si="75"/>
        <v/>
      </c>
      <c r="O2118" s="9" t="str">
        <f>IF(N2118="","",IF(COUNTIF(Precios!$G:$G,N2118)=0,"⚠ No coincide con Precios","OK"))</f>
        <v/>
      </c>
    </row>
    <row r="2119" spans="3:15" x14ac:dyDescent="0.2">
      <c r="C2119" s="9" cm="1">
        <f t="array" ref="C2119">IFERROR(_xlfn.XLOOKUP(B2119,Personal!$A:$A,Personal!$D:$D,""),"")</f>
        <v>0</v>
      </c>
      <c r="D2119" s="9" cm="1">
        <f t="array" ref="D2119">IFERROR(_xlfn.XLOOKUP(B2119,Personal!$A:$A,Personal!$C:$C,""),"")</f>
        <v>0</v>
      </c>
      <c r="E2119" s="9" t="str" cm="1">
        <f t="array" ref="E2119">IFERROR(_xlfn.XLOOKUP(D2119,Locales!$A:$A,Locales!$B:$B,""),"")</f>
        <v/>
      </c>
      <c r="F2119" s="9" cm="1">
        <f t="array" ref="F2119">IFERROR(_xlfn.XLOOKUP(B2119,Personal!$A:$A,Personal!$F:$F,""),"")</f>
        <v>0</v>
      </c>
      <c r="I2119" s="10" cm="1">
        <f t="array" ref="I2119">IFERROR(INDEX(Precios!$D:$F,MATCH(N2119, Precios!$G:$G, 0),CHOOSE(MATCH(H2119, {"SML";"XL";"XXL"}, 0), 1, 2, 3)), 0)</f>
        <v>0</v>
      </c>
      <c r="K2119" s="10">
        <f t="shared" si="74"/>
        <v>0</v>
      </c>
      <c r="N2119" s="9" t="str">
        <f t="shared" si="75"/>
        <v/>
      </c>
      <c r="O2119" s="9" t="str">
        <f>IF(N2119="","",IF(COUNTIF(Precios!$G:$G,N2119)=0,"⚠ No coincide con Precios","OK"))</f>
        <v/>
      </c>
    </row>
    <row r="2120" spans="3:15" x14ac:dyDescent="0.2">
      <c r="C2120" s="9" cm="1">
        <f t="array" ref="C2120">IFERROR(_xlfn.XLOOKUP(B2120,Personal!$A:$A,Personal!$D:$D,""),"")</f>
        <v>0</v>
      </c>
      <c r="D2120" s="9" cm="1">
        <f t="array" ref="D2120">IFERROR(_xlfn.XLOOKUP(B2120,Personal!$A:$A,Personal!$C:$C,""),"")</f>
        <v>0</v>
      </c>
      <c r="E2120" s="9" t="str" cm="1">
        <f t="array" ref="E2120">IFERROR(_xlfn.XLOOKUP(D2120,Locales!$A:$A,Locales!$B:$B,""),"")</f>
        <v/>
      </c>
      <c r="F2120" s="9" cm="1">
        <f t="array" ref="F2120">IFERROR(_xlfn.XLOOKUP(B2120,Personal!$A:$A,Personal!$F:$F,""),"")</f>
        <v>0</v>
      </c>
      <c r="I2120" s="10" cm="1">
        <f t="array" ref="I2120">IFERROR(INDEX(Precios!$D:$F,MATCH(N2120, Precios!$G:$G, 0),CHOOSE(MATCH(H2120, {"SML";"XL";"XXL"}, 0), 1, 2, 3)), 0)</f>
        <v>0</v>
      </c>
      <c r="K2120" s="10">
        <f t="shared" si="74"/>
        <v>0</v>
      </c>
      <c r="N2120" s="9" t="str">
        <f t="shared" si="75"/>
        <v/>
      </c>
      <c r="O2120" s="9" t="str">
        <f>IF(N2120="","",IF(COUNTIF(Precios!$G:$G,N2120)=0,"⚠ No coincide con Precios","OK"))</f>
        <v/>
      </c>
    </row>
    <row r="2121" spans="3:15" x14ac:dyDescent="0.2">
      <c r="C2121" s="9" cm="1">
        <f t="array" ref="C2121">IFERROR(_xlfn.XLOOKUP(B2121,Personal!$A:$A,Personal!$D:$D,""),"")</f>
        <v>0</v>
      </c>
      <c r="D2121" s="9" cm="1">
        <f t="array" ref="D2121">IFERROR(_xlfn.XLOOKUP(B2121,Personal!$A:$A,Personal!$C:$C,""),"")</f>
        <v>0</v>
      </c>
      <c r="E2121" s="9" t="str" cm="1">
        <f t="array" ref="E2121">IFERROR(_xlfn.XLOOKUP(D2121,Locales!$A:$A,Locales!$B:$B,""),"")</f>
        <v/>
      </c>
      <c r="F2121" s="9" cm="1">
        <f t="array" ref="F2121">IFERROR(_xlfn.XLOOKUP(B2121,Personal!$A:$A,Personal!$F:$F,""),"")</f>
        <v>0</v>
      </c>
      <c r="I2121" s="10" cm="1">
        <f t="array" ref="I2121">IFERROR(INDEX(Precios!$D:$F,MATCH(N2121, Precios!$G:$G, 0),CHOOSE(MATCH(H2121, {"SML";"XL";"XXL"}, 0), 1, 2, 3)), 0)</f>
        <v>0</v>
      </c>
      <c r="K2121" s="10">
        <f t="shared" si="74"/>
        <v>0</v>
      </c>
      <c r="N2121" s="9" t="str">
        <f t="shared" si="75"/>
        <v/>
      </c>
      <c r="O2121" s="9" t="str">
        <f>IF(N2121="","",IF(COUNTIF(Precios!$G:$G,N2121)=0,"⚠ No coincide con Precios","OK"))</f>
        <v/>
      </c>
    </row>
    <row r="2122" spans="3:15" x14ac:dyDescent="0.2">
      <c r="C2122" s="9" cm="1">
        <f t="array" ref="C2122">IFERROR(_xlfn.XLOOKUP(B2122,Personal!$A:$A,Personal!$D:$D,""),"")</f>
        <v>0</v>
      </c>
      <c r="D2122" s="9" cm="1">
        <f t="array" ref="D2122">IFERROR(_xlfn.XLOOKUP(B2122,Personal!$A:$A,Personal!$C:$C,""),"")</f>
        <v>0</v>
      </c>
      <c r="E2122" s="9" t="str" cm="1">
        <f t="array" ref="E2122">IFERROR(_xlfn.XLOOKUP(D2122,Locales!$A:$A,Locales!$B:$B,""),"")</f>
        <v/>
      </c>
      <c r="F2122" s="9" cm="1">
        <f t="array" ref="F2122">IFERROR(_xlfn.XLOOKUP(B2122,Personal!$A:$A,Personal!$F:$F,""),"")</f>
        <v>0</v>
      </c>
      <c r="I2122" s="10" cm="1">
        <f t="array" ref="I2122">IFERROR(INDEX(Precios!$D:$F,MATCH(N2122, Precios!$G:$G, 0),CHOOSE(MATCH(H2122, {"SML";"XL";"XXL"}, 0), 1, 2, 3)), 0)</f>
        <v>0</v>
      </c>
      <c r="K2122" s="10">
        <f t="shared" si="74"/>
        <v>0</v>
      </c>
      <c r="N2122" s="9" t="str">
        <f t="shared" si="75"/>
        <v/>
      </c>
      <c r="O2122" s="9" t="str">
        <f>IF(N2122="","",IF(COUNTIF(Precios!$G:$G,N2122)=0,"⚠ No coincide con Precios","OK"))</f>
        <v/>
      </c>
    </row>
    <row r="2123" spans="3:15" x14ac:dyDescent="0.2">
      <c r="C2123" s="9" cm="1">
        <f t="array" ref="C2123">IFERROR(_xlfn.XLOOKUP(B2123,Personal!$A:$A,Personal!$D:$D,""),"")</f>
        <v>0</v>
      </c>
      <c r="D2123" s="9" cm="1">
        <f t="array" ref="D2123">IFERROR(_xlfn.XLOOKUP(B2123,Personal!$A:$A,Personal!$C:$C,""),"")</f>
        <v>0</v>
      </c>
      <c r="E2123" s="9" t="str" cm="1">
        <f t="array" ref="E2123">IFERROR(_xlfn.XLOOKUP(D2123,Locales!$A:$A,Locales!$B:$B,""),"")</f>
        <v/>
      </c>
      <c r="F2123" s="9" cm="1">
        <f t="array" ref="F2123">IFERROR(_xlfn.XLOOKUP(B2123,Personal!$A:$A,Personal!$F:$F,""),"")</f>
        <v>0</v>
      </c>
      <c r="I2123" s="10" cm="1">
        <f t="array" ref="I2123">IFERROR(INDEX(Precios!$D:$F,MATCH(N2123, Precios!$G:$G, 0),CHOOSE(MATCH(H2123, {"SML";"XL";"XXL"}, 0), 1, 2, 3)), 0)</f>
        <v>0</v>
      </c>
      <c r="K2123" s="10">
        <f t="shared" si="74"/>
        <v>0</v>
      </c>
      <c r="N2123" s="9" t="str">
        <f t="shared" si="75"/>
        <v/>
      </c>
      <c r="O2123" s="9" t="str">
        <f>IF(N2123="","",IF(COUNTIF(Precios!$G:$G,N2123)=0,"⚠ No coincide con Precios","OK"))</f>
        <v/>
      </c>
    </row>
    <row r="2124" spans="3:15" x14ac:dyDescent="0.2">
      <c r="C2124" s="9" cm="1">
        <f t="array" ref="C2124">IFERROR(_xlfn.XLOOKUP(B2124,Personal!$A:$A,Personal!$D:$D,""),"")</f>
        <v>0</v>
      </c>
      <c r="D2124" s="9" cm="1">
        <f t="array" ref="D2124">IFERROR(_xlfn.XLOOKUP(B2124,Personal!$A:$A,Personal!$C:$C,""),"")</f>
        <v>0</v>
      </c>
      <c r="E2124" s="9" t="str" cm="1">
        <f t="array" ref="E2124">IFERROR(_xlfn.XLOOKUP(D2124,Locales!$A:$A,Locales!$B:$B,""),"")</f>
        <v/>
      </c>
      <c r="F2124" s="9" cm="1">
        <f t="array" ref="F2124">IFERROR(_xlfn.XLOOKUP(B2124,Personal!$A:$A,Personal!$F:$F,""),"")</f>
        <v>0</v>
      </c>
      <c r="I2124" s="10" cm="1">
        <f t="array" ref="I2124">IFERROR(INDEX(Precios!$D:$F,MATCH(N2124, Precios!$G:$G, 0),CHOOSE(MATCH(H2124, {"SML";"XL";"XXL"}, 0), 1, 2, 3)), 0)</f>
        <v>0</v>
      </c>
      <c r="K2124" s="10">
        <f t="shared" si="74"/>
        <v>0</v>
      </c>
      <c r="N2124" s="9" t="str">
        <f t="shared" si="75"/>
        <v/>
      </c>
      <c r="O2124" s="9" t="str">
        <f>IF(N2124="","",IF(COUNTIF(Precios!$G:$G,N2124)=0,"⚠ No coincide con Precios","OK"))</f>
        <v/>
      </c>
    </row>
    <row r="2125" spans="3:15" x14ac:dyDescent="0.2">
      <c r="C2125" s="9" cm="1">
        <f t="array" ref="C2125">IFERROR(_xlfn.XLOOKUP(B2125,Personal!$A:$A,Personal!$D:$D,""),"")</f>
        <v>0</v>
      </c>
      <c r="D2125" s="9" cm="1">
        <f t="array" ref="D2125">IFERROR(_xlfn.XLOOKUP(B2125,Personal!$A:$A,Personal!$C:$C,""),"")</f>
        <v>0</v>
      </c>
      <c r="E2125" s="9" t="str" cm="1">
        <f t="array" ref="E2125">IFERROR(_xlfn.XLOOKUP(D2125,Locales!$A:$A,Locales!$B:$B,""),"")</f>
        <v/>
      </c>
      <c r="F2125" s="9" cm="1">
        <f t="array" ref="F2125">IFERROR(_xlfn.XLOOKUP(B2125,Personal!$A:$A,Personal!$F:$F,""),"")</f>
        <v>0</v>
      </c>
      <c r="I2125" s="10" cm="1">
        <f t="array" ref="I2125">IFERROR(INDEX(Precios!$D:$F,MATCH(N2125, Precios!$G:$G, 0),CHOOSE(MATCH(H2125, {"SML";"XL";"XXL"}, 0), 1, 2, 3)), 0)</f>
        <v>0</v>
      </c>
      <c r="K2125" s="10">
        <f t="shared" si="74"/>
        <v>0</v>
      </c>
      <c r="N2125" s="9" t="str">
        <f t="shared" si="75"/>
        <v/>
      </c>
      <c r="O2125" s="9" t="str">
        <f>IF(N2125="","",IF(COUNTIF(Precios!$G:$G,N2125)=0,"⚠ No coincide con Precios","OK"))</f>
        <v/>
      </c>
    </row>
    <row r="2126" spans="3:15" x14ac:dyDescent="0.2">
      <c r="C2126" s="9" cm="1">
        <f t="array" ref="C2126">IFERROR(_xlfn.XLOOKUP(B2126,Personal!$A:$A,Personal!$D:$D,""),"")</f>
        <v>0</v>
      </c>
      <c r="D2126" s="9" cm="1">
        <f t="array" ref="D2126">IFERROR(_xlfn.XLOOKUP(B2126,Personal!$A:$A,Personal!$C:$C,""),"")</f>
        <v>0</v>
      </c>
      <c r="E2126" s="9" t="str" cm="1">
        <f t="array" ref="E2126">IFERROR(_xlfn.XLOOKUP(D2126,Locales!$A:$A,Locales!$B:$B,""),"")</f>
        <v/>
      </c>
      <c r="F2126" s="9" cm="1">
        <f t="array" ref="F2126">IFERROR(_xlfn.XLOOKUP(B2126,Personal!$A:$A,Personal!$F:$F,""),"")</f>
        <v>0</v>
      </c>
      <c r="I2126" s="10" cm="1">
        <f t="array" ref="I2126">IFERROR(INDEX(Precios!$D:$F,MATCH(N2126, Precios!$G:$G, 0),CHOOSE(MATCH(H2126, {"SML";"XL";"XXL"}, 0), 1, 2, 3)), 0)</f>
        <v>0</v>
      </c>
      <c r="K2126" s="10">
        <f t="shared" si="74"/>
        <v>0</v>
      </c>
      <c r="N2126" s="9" t="str">
        <f t="shared" si="75"/>
        <v/>
      </c>
      <c r="O2126" s="9" t="str">
        <f>IF(N2126="","",IF(COUNTIF(Precios!$G:$G,N2126)=0,"⚠ No coincide con Precios","OK"))</f>
        <v/>
      </c>
    </row>
    <row r="2127" spans="3:15" x14ac:dyDescent="0.2">
      <c r="C2127" s="9" cm="1">
        <f t="array" ref="C2127">IFERROR(_xlfn.XLOOKUP(B2127,Personal!$A:$A,Personal!$D:$D,""),"")</f>
        <v>0</v>
      </c>
      <c r="D2127" s="9" cm="1">
        <f t="array" ref="D2127">IFERROR(_xlfn.XLOOKUP(B2127,Personal!$A:$A,Personal!$C:$C,""),"")</f>
        <v>0</v>
      </c>
      <c r="E2127" s="9" t="str" cm="1">
        <f t="array" ref="E2127">IFERROR(_xlfn.XLOOKUP(D2127,Locales!$A:$A,Locales!$B:$B,""),"")</f>
        <v/>
      </c>
      <c r="F2127" s="9" cm="1">
        <f t="array" ref="F2127">IFERROR(_xlfn.XLOOKUP(B2127,Personal!$A:$A,Personal!$F:$F,""),"")</f>
        <v>0</v>
      </c>
      <c r="I2127" s="10" cm="1">
        <f t="array" ref="I2127">IFERROR(INDEX(Precios!$D:$F,MATCH(N2127, Precios!$G:$G, 0),CHOOSE(MATCH(H2127, {"SML";"XL";"XXL"}, 0), 1, 2, 3)), 0)</f>
        <v>0</v>
      </c>
      <c r="K2127" s="10">
        <f t="shared" si="74"/>
        <v>0</v>
      </c>
      <c r="N2127" s="9" t="str">
        <f t="shared" si="75"/>
        <v/>
      </c>
      <c r="O2127" s="9" t="str">
        <f>IF(N2127="","",IF(COUNTIF(Precios!$G:$G,N2127)=0,"⚠ No coincide con Precios","OK"))</f>
        <v/>
      </c>
    </row>
    <row r="2128" spans="3:15" x14ac:dyDescent="0.2">
      <c r="C2128" s="9" cm="1">
        <f t="array" ref="C2128">IFERROR(_xlfn.XLOOKUP(B2128,Personal!$A:$A,Personal!$D:$D,""),"")</f>
        <v>0</v>
      </c>
      <c r="D2128" s="9" cm="1">
        <f t="array" ref="D2128">IFERROR(_xlfn.XLOOKUP(B2128,Personal!$A:$A,Personal!$C:$C,""),"")</f>
        <v>0</v>
      </c>
      <c r="E2128" s="9" t="str" cm="1">
        <f t="array" ref="E2128">IFERROR(_xlfn.XLOOKUP(D2128,Locales!$A:$A,Locales!$B:$B,""),"")</f>
        <v/>
      </c>
      <c r="F2128" s="9" cm="1">
        <f t="array" ref="F2128">IFERROR(_xlfn.XLOOKUP(B2128,Personal!$A:$A,Personal!$F:$F,""),"")</f>
        <v>0</v>
      </c>
      <c r="I2128" s="10" cm="1">
        <f t="array" ref="I2128">IFERROR(INDEX(Precios!$D:$F,MATCH(N2128, Precios!$G:$G, 0),CHOOSE(MATCH(H2128, {"SML";"XL";"XXL"}, 0), 1, 2, 3)), 0)</f>
        <v>0</v>
      </c>
      <c r="K2128" s="10">
        <f t="shared" si="74"/>
        <v>0</v>
      </c>
      <c r="N2128" s="9" t="str">
        <f t="shared" si="75"/>
        <v/>
      </c>
      <c r="O2128" s="9" t="str">
        <f>IF(N2128="","",IF(COUNTIF(Precios!$G:$G,N2128)=0,"⚠ No coincide con Precios","OK"))</f>
        <v/>
      </c>
    </row>
    <row r="2129" spans="3:15" x14ac:dyDescent="0.2">
      <c r="C2129" s="9" cm="1">
        <f t="array" ref="C2129">IFERROR(_xlfn.XLOOKUP(B2129,Personal!$A:$A,Personal!$D:$D,""),"")</f>
        <v>0</v>
      </c>
      <c r="D2129" s="9" cm="1">
        <f t="array" ref="D2129">IFERROR(_xlfn.XLOOKUP(B2129,Personal!$A:$A,Personal!$C:$C,""),"")</f>
        <v>0</v>
      </c>
      <c r="E2129" s="9" t="str" cm="1">
        <f t="array" ref="E2129">IFERROR(_xlfn.XLOOKUP(D2129,Locales!$A:$A,Locales!$B:$B,""),"")</f>
        <v/>
      </c>
      <c r="F2129" s="9" cm="1">
        <f t="array" ref="F2129">IFERROR(_xlfn.XLOOKUP(B2129,Personal!$A:$A,Personal!$F:$F,""),"")</f>
        <v>0</v>
      </c>
      <c r="I2129" s="10" cm="1">
        <f t="array" ref="I2129">IFERROR(INDEX(Precios!$D:$F,MATCH(N2129, Precios!$G:$G, 0),CHOOSE(MATCH(H2129, {"SML";"XL";"XXL"}, 0), 1, 2, 3)), 0)</f>
        <v>0</v>
      </c>
      <c r="K2129" s="10">
        <f t="shared" si="74"/>
        <v>0</v>
      </c>
      <c r="N2129" s="9" t="str">
        <f t="shared" si="75"/>
        <v/>
      </c>
      <c r="O2129" s="9" t="str">
        <f>IF(N2129="","",IF(COUNTIF(Precios!$G:$G,N2129)=0,"⚠ No coincide con Precios","OK"))</f>
        <v/>
      </c>
    </row>
    <row r="2130" spans="3:15" x14ac:dyDescent="0.2">
      <c r="C2130" s="9" cm="1">
        <f t="array" ref="C2130">IFERROR(_xlfn.XLOOKUP(B2130,Personal!$A:$A,Personal!$D:$D,""),"")</f>
        <v>0</v>
      </c>
      <c r="D2130" s="9" cm="1">
        <f t="array" ref="D2130">IFERROR(_xlfn.XLOOKUP(B2130,Personal!$A:$A,Personal!$C:$C,""),"")</f>
        <v>0</v>
      </c>
      <c r="E2130" s="9" t="str" cm="1">
        <f t="array" ref="E2130">IFERROR(_xlfn.XLOOKUP(D2130,Locales!$A:$A,Locales!$B:$B,""),"")</f>
        <v/>
      </c>
      <c r="F2130" s="9" cm="1">
        <f t="array" ref="F2130">IFERROR(_xlfn.XLOOKUP(B2130,Personal!$A:$A,Personal!$F:$F,""),"")</f>
        <v>0</v>
      </c>
      <c r="I2130" s="10" cm="1">
        <f t="array" ref="I2130">IFERROR(INDEX(Precios!$D:$F,MATCH(N2130, Precios!$G:$G, 0),CHOOSE(MATCH(H2130, {"SML";"XL";"XXL"}, 0), 1, 2, 3)), 0)</f>
        <v>0</v>
      </c>
      <c r="K2130" s="10">
        <f t="shared" si="74"/>
        <v>0</v>
      </c>
      <c r="N2130" s="9" t="str">
        <f t="shared" si="75"/>
        <v/>
      </c>
      <c r="O2130" s="9" t="str">
        <f>IF(N2130="","",IF(COUNTIF(Precios!$G:$G,N2130)=0,"⚠ No coincide con Precios","OK"))</f>
        <v/>
      </c>
    </row>
    <row r="2131" spans="3:15" x14ac:dyDescent="0.2">
      <c r="C2131" s="9" cm="1">
        <f t="array" ref="C2131">IFERROR(_xlfn.XLOOKUP(B2131,Personal!$A:$A,Personal!$D:$D,""),"")</f>
        <v>0</v>
      </c>
      <c r="D2131" s="9" cm="1">
        <f t="array" ref="D2131">IFERROR(_xlfn.XLOOKUP(B2131,Personal!$A:$A,Personal!$C:$C,""),"")</f>
        <v>0</v>
      </c>
      <c r="E2131" s="9" t="str" cm="1">
        <f t="array" ref="E2131">IFERROR(_xlfn.XLOOKUP(D2131,Locales!$A:$A,Locales!$B:$B,""),"")</f>
        <v/>
      </c>
      <c r="F2131" s="9" cm="1">
        <f t="array" ref="F2131">IFERROR(_xlfn.XLOOKUP(B2131,Personal!$A:$A,Personal!$F:$F,""),"")</f>
        <v>0</v>
      </c>
      <c r="I2131" s="10" cm="1">
        <f t="array" ref="I2131">IFERROR(INDEX(Precios!$D:$F,MATCH(N2131, Precios!$G:$G, 0),CHOOSE(MATCH(H2131, {"SML";"XL";"XXL"}, 0), 1, 2, 3)), 0)</f>
        <v>0</v>
      </c>
      <c r="K2131" s="10">
        <f t="shared" si="74"/>
        <v>0</v>
      </c>
      <c r="N2131" s="9" t="str">
        <f t="shared" si="75"/>
        <v/>
      </c>
      <c r="O2131" s="9" t="str">
        <f>IF(N2131="","",IF(COUNTIF(Precios!$G:$G,N2131)=0,"⚠ No coincide con Precios","OK"))</f>
        <v/>
      </c>
    </row>
    <row r="2132" spans="3:15" x14ac:dyDescent="0.2">
      <c r="C2132" s="9" cm="1">
        <f t="array" ref="C2132">IFERROR(_xlfn.XLOOKUP(B2132,Personal!$A:$A,Personal!$D:$D,""),"")</f>
        <v>0</v>
      </c>
      <c r="D2132" s="9" cm="1">
        <f t="array" ref="D2132">IFERROR(_xlfn.XLOOKUP(B2132,Personal!$A:$A,Personal!$C:$C,""),"")</f>
        <v>0</v>
      </c>
      <c r="E2132" s="9" t="str" cm="1">
        <f t="array" ref="E2132">IFERROR(_xlfn.XLOOKUP(D2132,Locales!$A:$A,Locales!$B:$B,""),"")</f>
        <v/>
      </c>
      <c r="F2132" s="9" cm="1">
        <f t="array" ref="F2132">IFERROR(_xlfn.XLOOKUP(B2132,Personal!$A:$A,Personal!$F:$F,""),"")</f>
        <v>0</v>
      </c>
      <c r="I2132" s="10" cm="1">
        <f t="array" ref="I2132">IFERROR(INDEX(Precios!$D:$F,MATCH(N2132, Precios!$G:$G, 0),CHOOSE(MATCH(H2132, {"SML";"XL";"XXL"}, 0), 1, 2, 3)), 0)</f>
        <v>0</v>
      </c>
      <c r="K2132" s="10">
        <f t="shared" si="74"/>
        <v>0</v>
      </c>
      <c r="N2132" s="9" t="str">
        <f t="shared" si="75"/>
        <v/>
      </c>
      <c r="O2132" s="9" t="str">
        <f>IF(N2132="","",IF(COUNTIF(Precios!$G:$G,N2132)=0,"⚠ No coincide con Precios","OK"))</f>
        <v/>
      </c>
    </row>
    <row r="2133" spans="3:15" x14ac:dyDescent="0.2">
      <c r="C2133" s="9" cm="1">
        <f t="array" ref="C2133">IFERROR(_xlfn.XLOOKUP(B2133,Personal!$A:$A,Personal!$D:$D,""),"")</f>
        <v>0</v>
      </c>
      <c r="D2133" s="9" cm="1">
        <f t="array" ref="D2133">IFERROR(_xlfn.XLOOKUP(B2133,Personal!$A:$A,Personal!$C:$C,""),"")</f>
        <v>0</v>
      </c>
      <c r="E2133" s="9" t="str" cm="1">
        <f t="array" ref="E2133">IFERROR(_xlfn.XLOOKUP(D2133,Locales!$A:$A,Locales!$B:$B,""),"")</f>
        <v/>
      </c>
      <c r="F2133" s="9" cm="1">
        <f t="array" ref="F2133">IFERROR(_xlfn.XLOOKUP(B2133,Personal!$A:$A,Personal!$F:$F,""),"")</f>
        <v>0</v>
      </c>
      <c r="I2133" s="10" cm="1">
        <f t="array" ref="I2133">IFERROR(INDEX(Precios!$D:$F,MATCH(N2133, Precios!$G:$G, 0),CHOOSE(MATCH(H2133, {"SML";"XL";"XXL"}, 0), 1, 2, 3)), 0)</f>
        <v>0</v>
      </c>
      <c r="K2133" s="10">
        <f t="shared" si="74"/>
        <v>0</v>
      </c>
      <c r="N2133" s="9" t="str">
        <f t="shared" si="75"/>
        <v/>
      </c>
      <c r="O2133" s="9" t="str">
        <f>IF(N2133="","",IF(COUNTIF(Precios!$G:$G,N2133)=0,"⚠ No coincide con Precios","OK"))</f>
        <v/>
      </c>
    </row>
    <row r="2134" spans="3:15" x14ac:dyDescent="0.2">
      <c r="C2134" s="9" cm="1">
        <f t="array" ref="C2134">IFERROR(_xlfn.XLOOKUP(B2134,Personal!$A:$A,Personal!$D:$D,""),"")</f>
        <v>0</v>
      </c>
      <c r="D2134" s="9" cm="1">
        <f t="array" ref="D2134">IFERROR(_xlfn.XLOOKUP(B2134,Personal!$A:$A,Personal!$C:$C,""),"")</f>
        <v>0</v>
      </c>
      <c r="E2134" s="9" t="str" cm="1">
        <f t="array" ref="E2134">IFERROR(_xlfn.XLOOKUP(D2134,Locales!$A:$A,Locales!$B:$B,""),"")</f>
        <v/>
      </c>
      <c r="F2134" s="9" cm="1">
        <f t="array" ref="F2134">IFERROR(_xlfn.XLOOKUP(B2134,Personal!$A:$A,Personal!$F:$F,""),"")</f>
        <v>0</v>
      </c>
      <c r="I2134" s="10" cm="1">
        <f t="array" ref="I2134">IFERROR(INDEX(Precios!$D:$F,MATCH(N2134, Precios!$G:$G, 0),CHOOSE(MATCH(H2134, {"SML";"XL";"XXL"}, 0), 1, 2, 3)), 0)</f>
        <v>0</v>
      </c>
      <c r="K2134" s="10">
        <f t="shared" si="74"/>
        <v>0</v>
      </c>
      <c r="N2134" s="9" t="str">
        <f t="shared" si="75"/>
        <v/>
      </c>
      <c r="O2134" s="9" t="str">
        <f>IF(N2134="","",IF(COUNTIF(Precios!$G:$G,N2134)=0,"⚠ No coincide con Precios","OK"))</f>
        <v/>
      </c>
    </row>
    <row r="2135" spans="3:15" x14ac:dyDescent="0.2">
      <c r="C2135" s="9" cm="1">
        <f t="array" ref="C2135">IFERROR(_xlfn.XLOOKUP(B2135,Personal!$A:$A,Personal!$D:$D,""),"")</f>
        <v>0</v>
      </c>
      <c r="D2135" s="9" cm="1">
        <f t="array" ref="D2135">IFERROR(_xlfn.XLOOKUP(B2135,Personal!$A:$A,Personal!$C:$C,""),"")</f>
        <v>0</v>
      </c>
      <c r="E2135" s="9" t="str" cm="1">
        <f t="array" ref="E2135">IFERROR(_xlfn.XLOOKUP(D2135,Locales!$A:$A,Locales!$B:$B,""),"")</f>
        <v/>
      </c>
      <c r="F2135" s="9" cm="1">
        <f t="array" ref="F2135">IFERROR(_xlfn.XLOOKUP(B2135,Personal!$A:$A,Personal!$F:$F,""),"")</f>
        <v>0</v>
      </c>
      <c r="I2135" s="10" cm="1">
        <f t="array" ref="I2135">IFERROR(INDEX(Precios!$D:$F,MATCH(N2135, Precios!$G:$G, 0),CHOOSE(MATCH(H2135, {"SML";"XL";"XXL"}, 0), 1, 2, 3)), 0)</f>
        <v>0</v>
      </c>
      <c r="K2135" s="10">
        <f t="shared" si="74"/>
        <v>0</v>
      </c>
      <c r="N2135" s="9" t="str">
        <f t="shared" si="75"/>
        <v/>
      </c>
      <c r="O2135" s="9" t="str">
        <f>IF(N2135="","",IF(COUNTIF(Precios!$G:$G,N2135)=0,"⚠ No coincide con Precios","OK"))</f>
        <v/>
      </c>
    </row>
    <row r="2136" spans="3:15" x14ac:dyDescent="0.2">
      <c r="C2136" s="9" cm="1">
        <f t="array" ref="C2136">IFERROR(_xlfn.XLOOKUP(B2136,Personal!$A:$A,Personal!$D:$D,""),"")</f>
        <v>0</v>
      </c>
      <c r="D2136" s="9" cm="1">
        <f t="array" ref="D2136">IFERROR(_xlfn.XLOOKUP(B2136,Personal!$A:$A,Personal!$C:$C,""),"")</f>
        <v>0</v>
      </c>
      <c r="E2136" s="9" t="str" cm="1">
        <f t="array" ref="E2136">IFERROR(_xlfn.XLOOKUP(D2136,Locales!$A:$A,Locales!$B:$B,""),"")</f>
        <v/>
      </c>
      <c r="F2136" s="9" cm="1">
        <f t="array" ref="F2136">IFERROR(_xlfn.XLOOKUP(B2136,Personal!$A:$A,Personal!$F:$F,""),"")</f>
        <v>0</v>
      </c>
      <c r="I2136" s="10" cm="1">
        <f t="array" ref="I2136">IFERROR(INDEX(Precios!$D:$F,MATCH(N2136, Precios!$G:$G, 0),CHOOSE(MATCH(H2136, {"SML";"XL";"XXL"}, 0), 1, 2, 3)), 0)</f>
        <v>0</v>
      </c>
      <c r="K2136" s="10">
        <f t="shared" si="74"/>
        <v>0</v>
      </c>
      <c r="N2136" s="9" t="str">
        <f t="shared" si="75"/>
        <v/>
      </c>
      <c r="O2136" s="9" t="str">
        <f>IF(N2136="","",IF(COUNTIF(Precios!$G:$G,N2136)=0,"⚠ No coincide con Precios","OK"))</f>
        <v/>
      </c>
    </row>
    <row r="2137" spans="3:15" x14ac:dyDescent="0.2">
      <c r="C2137" s="9" cm="1">
        <f t="array" ref="C2137">IFERROR(_xlfn.XLOOKUP(B2137,Personal!$A:$A,Personal!$D:$D,""),"")</f>
        <v>0</v>
      </c>
      <c r="D2137" s="9" cm="1">
        <f t="array" ref="D2137">IFERROR(_xlfn.XLOOKUP(B2137,Personal!$A:$A,Personal!$C:$C,""),"")</f>
        <v>0</v>
      </c>
      <c r="E2137" s="9" t="str" cm="1">
        <f t="array" ref="E2137">IFERROR(_xlfn.XLOOKUP(D2137,Locales!$A:$A,Locales!$B:$B,""),"")</f>
        <v/>
      </c>
      <c r="F2137" s="9" cm="1">
        <f t="array" ref="F2137">IFERROR(_xlfn.XLOOKUP(B2137,Personal!$A:$A,Personal!$F:$F,""),"")</f>
        <v>0</v>
      </c>
      <c r="I2137" s="10" cm="1">
        <f t="array" ref="I2137">IFERROR(INDEX(Precios!$D:$F,MATCH(N2137, Precios!$G:$G, 0),CHOOSE(MATCH(H2137, {"SML";"XL";"XXL"}, 0), 1, 2, 3)), 0)</f>
        <v>0</v>
      </c>
      <c r="K2137" s="10">
        <f t="shared" si="74"/>
        <v>0</v>
      </c>
      <c r="N2137" s="9" t="str">
        <f t="shared" si="75"/>
        <v/>
      </c>
      <c r="O2137" s="9" t="str">
        <f>IF(N2137="","",IF(COUNTIF(Precios!$G:$G,N2137)=0,"⚠ No coincide con Precios","OK"))</f>
        <v/>
      </c>
    </row>
    <row r="2138" spans="3:15" x14ac:dyDescent="0.2">
      <c r="C2138" s="9" cm="1">
        <f t="array" ref="C2138">IFERROR(_xlfn.XLOOKUP(B2138,Personal!$A:$A,Personal!$D:$D,""),"")</f>
        <v>0</v>
      </c>
      <c r="D2138" s="9" cm="1">
        <f t="array" ref="D2138">IFERROR(_xlfn.XLOOKUP(B2138,Personal!$A:$A,Personal!$C:$C,""),"")</f>
        <v>0</v>
      </c>
      <c r="E2138" s="9" t="str" cm="1">
        <f t="array" ref="E2138">IFERROR(_xlfn.XLOOKUP(D2138,Locales!$A:$A,Locales!$B:$B,""),"")</f>
        <v/>
      </c>
      <c r="F2138" s="9" cm="1">
        <f t="array" ref="F2138">IFERROR(_xlfn.XLOOKUP(B2138,Personal!$A:$A,Personal!$F:$F,""),"")</f>
        <v>0</v>
      </c>
      <c r="I2138" s="10" cm="1">
        <f t="array" ref="I2138">IFERROR(INDEX(Precios!$D:$F,MATCH(N2138, Precios!$G:$G, 0),CHOOSE(MATCH(H2138, {"SML";"XL";"XXL"}, 0), 1, 2, 3)), 0)</f>
        <v>0</v>
      </c>
      <c r="K2138" s="10">
        <f t="shared" si="74"/>
        <v>0</v>
      </c>
      <c r="N2138" s="9" t="str">
        <f t="shared" si="75"/>
        <v/>
      </c>
      <c r="O2138" s="9" t="str">
        <f>IF(N2138="","",IF(COUNTIF(Precios!$G:$G,N2138)=0,"⚠ No coincide con Precios","OK"))</f>
        <v/>
      </c>
    </row>
    <row r="2139" spans="3:15" x14ac:dyDescent="0.2">
      <c r="C2139" s="9" cm="1">
        <f t="array" ref="C2139">IFERROR(_xlfn.XLOOKUP(B2139,Personal!$A:$A,Personal!$D:$D,""),"")</f>
        <v>0</v>
      </c>
      <c r="D2139" s="9" cm="1">
        <f t="array" ref="D2139">IFERROR(_xlfn.XLOOKUP(B2139,Personal!$A:$A,Personal!$C:$C,""),"")</f>
        <v>0</v>
      </c>
      <c r="E2139" s="9" t="str" cm="1">
        <f t="array" ref="E2139">IFERROR(_xlfn.XLOOKUP(D2139,Locales!$A:$A,Locales!$B:$B,""),"")</f>
        <v/>
      </c>
      <c r="F2139" s="9" cm="1">
        <f t="array" ref="F2139">IFERROR(_xlfn.XLOOKUP(B2139,Personal!$A:$A,Personal!$F:$F,""),"")</f>
        <v>0</v>
      </c>
      <c r="I2139" s="10" cm="1">
        <f t="array" ref="I2139">IFERROR(INDEX(Precios!$D:$F,MATCH(N2139, Precios!$G:$G, 0),CHOOSE(MATCH(H2139, {"SML";"XL";"XXL"}, 0), 1, 2, 3)), 0)</f>
        <v>0</v>
      </c>
      <c r="K2139" s="10">
        <f t="shared" si="74"/>
        <v>0</v>
      </c>
      <c r="N2139" s="9" t="str">
        <f t="shared" si="75"/>
        <v/>
      </c>
      <c r="O2139" s="9" t="str">
        <f>IF(N2139="","",IF(COUNTIF(Precios!$G:$G,N2139)=0,"⚠ No coincide con Precios","OK"))</f>
        <v/>
      </c>
    </row>
    <row r="2140" spans="3:15" x14ac:dyDescent="0.2">
      <c r="C2140" s="9" cm="1">
        <f t="array" ref="C2140">IFERROR(_xlfn.XLOOKUP(B2140,Personal!$A:$A,Personal!$D:$D,""),"")</f>
        <v>0</v>
      </c>
      <c r="D2140" s="9" cm="1">
        <f t="array" ref="D2140">IFERROR(_xlfn.XLOOKUP(B2140,Personal!$A:$A,Personal!$C:$C,""),"")</f>
        <v>0</v>
      </c>
      <c r="E2140" s="9" t="str" cm="1">
        <f t="array" ref="E2140">IFERROR(_xlfn.XLOOKUP(D2140,Locales!$A:$A,Locales!$B:$B,""),"")</f>
        <v/>
      </c>
      <c r="F2140" s="9" cm="1">
        <f t="array" ref="F2140">IFERROR(_xlfn.XLOOKUP(B2140,Personal!$A:$A,Personal!$F:$F,""),"")</f>
        <v>0</v>
      </c>
      <c r="I2140" s="10" cm="1">
        <f t="array" ref="I2140">IFERROR(INDEX(Precios!$D:$F,MATCH(N2140, Precios!$G:$G, 0),CHOOSE(MATCH(H2140, {"SML";"XL";"XXL"}, 0), 1, 2, 3)), 0)</f>
        <v>0</v>
      </c>
      <c r="K2140" s="10">
        <f t="shared" si="74"/>
        <v>0</v>
      </c>
      <c r="N2140" s="9" t="str">
        <f t="shared" si="75"/>
        <v/>
      </c>
      <c r="O2140" s="9" t="str">
        <f>IF(N2140="","",IF(COUNTIF(Precios!$G:$G,N2140)=0,"⚠ No coincide con Precios","OK"))</f>
        <v/>
      </c>
    </row>
    <row r="2141" spans="3:15" x14ac:dyDescent="0.2">
      <c r="C2141" s="9" cm="1">
        <f t="array" ref="C2141">IFERROR(_xlfn.XLOOKUP(B2141,Personal!$A:$A,Personal!$D:$D,""),"")</f>
        <v>0</v>
      </c>
      <c r="D2141" s="9" cm="1">
        <f t="array" ref="D2141">IFERROR(_xlfn.XLOOKUP(B2141,Personal!$A:$A,Personal!$C:$C,""),"")</f>
        <v>0</v>
      </c>
      <c r="E2141" s="9" t="str" cm="1">
        <f t="array" ref="E2141">IFERROR(_xlfn.XLOOKUP(D2141,Locales!$A:$A,Locales!$B:$B,""),"")</f>
        <v/>
      </c>
      <c r="F2141" s="9" cm="1">
        <f t="array" ref="F2141">IFERROR(_xlfn.XLOOKUP(B2141,Personal!$A:$A,Personal!$F:$F,""),"")</f>
        <v>0</v>
      </c>
      <c r="I2141" s="10" cm="1">
        <f t="array" ref="I2141">IFERROR(INDEX(Precios!$D:$F,MATCH(N2141, Precios!$G:$G, 0),CHOOSE(MATCH(H2141, {"SML";"XL";"XXL"}, 0), 1, 2, 3)), 0)</f>
        <v>0</v>
      </c>
      <c r="K2141" s="10">
        <f t="shared" si="74"/>
        <v>0</v>
      </c>
      <c r="N2141" s="9" t="str">
        <f t="shared" si="75"/>
        <v/>
      </c>
      <c r="O2141" s="9" t="str">
        <f>IF(N2141="","",IF(COUNTIF(Precios!$G:$G,N2141)=0,"⚠ No coincide con Precios","OK"))</f>
        <v/>
      </c>
    </row>
    <row r="2142" spans="3:15" x14ac:dyDescent="0.2">
      <c r="C2142" s="9" cm="1">
        <f t="array" ref="C2142">IFERROR(_xlfn.XLOOKUP(B2142,Personal!$A:$A,Personal!$D:$D,""),"")</f>
        <v>0</v>
      </c>
      <c r="D2142" s="9" cm="1">
        <f t="array" ref="D2142">IFERROR(_xlfn.XLOOKUP(B2142,Personal!$A:$A,Personal!$C:$C,""),"")</f>
        <v>0</v>
      </c>
      <c r="E2142" s="9" t="str" cm="1">
        <f t="array" ref="E2142">IFERROR(_xlfn.XLOOKUP(D2142,Locales!$A:$A,Locales!$B:$B,""),"")</f>
        <v/>
      </c>
      <c r="F2142" s="9" cm="1">
        <f t="array" ref="F2142">IFERROR(_xlfn.XLOOKUP(B2142,Personal!$A:$A,Personal!$F:$F,""),"")</f>
        <v>0</v>
      </c>
      <c r="I2142" s="10" cm="1">
        <f t="array" ref="I2142">IFERROR(INDEX(Precios!$D:$F,MATCH(N2142, Precios!$G:$G, 0),CHOOSE(MATCH(H2142, {"SML";"XL";"XXL"}, 0), 1, 2, 3)), 0)</f>
        <v>0</v>
      </c>
      <c r="K2142" s="10">
        <f t="shared" si="74"/>
        <v>0</v>
      </c>
      <c r="N2142" s="9" t="str">
        <f t="shared" si="75"/>
        <v/>
      </c>
      <c r="O2142" s="9" t="str">
        <f>IF(N2142="","",IF(COUNTIF(Precios!$G:$G,N2142)=0,"⚠ No coincide con Precios","OK"))</f>
        <v/>
      </c>
    </row>
    <row r="2143" spans="3:15" x14ac:dyDescent="0.2">
      <c r="C2143" s="9" cm="1">
        <f t="array" ref="C2143">IFERROR(_xlfn.XLOOKUP(B2143,Personal!$A:$A,Personal!$D:$D,""),"")</f>
        <v>0</v>
      </c>
      <c r="D2143" s="9" cm="1">
        <f t="array" ref="D2143">IFERROR(_xlfn.XLOOKUP(B2143,Personal!$A:$A,Personal!$C:$C,""),"")</f>
        <v>0</v>
      </c>
      <c r="E2143" s="9" t="str" cm="1">
        <f t="array" ref="E2143">IFERROR(_xlfn.XLOOKUP(D2143,Locales!$A:$A,Locales!$B:$B,""),"")</f>
        <v/>
      </c>
      <c r="F2143" s="9" cm="1">
        <f t="array" ref="F2143">IFERROR(_xlfn.XLOOKUP(B2143,Personal!$A:$A,Personal!$F:$F,""),"")</f>
        <v>0</v>
      </c>
      <c r="I2143" s="10" cm="1">
        <f t="array" ref="I2143">IFERROR(INDEX(Precios!$D:$F,MATCH(N2143, Precios!$G:$G, 0),CHOOSE(MATCH(H2143, {"SML";"XL";"XXL"}, 0), 1, 2, 3)), 0)</f>
        <v>0</v>
      </c>
      <c r="K2143" s="10">
        <f t="shared" si="74"/>
        <v>0</v>
      </c>
      <c r="N2143" s="9" t="str">
        <f t="shared" si="75"/>
        <v/>
      </c>
      <c r="O2143" s="9" t="str">
        <f>IF(N2143="","",IF(COUNTIF(Precios!$G:$G,N2143)=0,"⚠ No coincide con Precios","OK"))</f>
        <v/>
      </c>
    </row>
    <row r="2144" spans="3:15" x14ac:dyDescent="0.2">
      <c r="C2144" s="9" cm="1">
        <f t="array" ref="C2144">IFERROR(_xlfn.XLOOKUP(B2144,Personal!$A:$A,Personal!$D:$D,""),"")</f>
        <v>0</v>
      </c>
      <c r="D2144" s="9" cm="1">
        <f t="array" ref="D2144">IFERROR(_xlfn.XLOOKUP(B2144,Personal!$A:$A,Personal!$C:$C,""),"")</f>
        <v>0</v>
      </c>
      <c r="E2144" s="9" t="str" cm="1">
        <f t="array" ref="E2144">IFERROR(_xlfn.XLOOKUP(D2144,Locales!$A:$A,Locales!$B:$B,""),"")</f>
        <v/>
      </c>
      <c r="F2144" s="9" cm="1">
        <f t="array" ref="F2144">IFERROR(_xlfn.XLOOKUP(B2144,Personal!$A:$A,Personal!$F:$F,""),"")</f>
        <v>0</v>
      </c>
      <c r="I2144" s="10" cm="1">
        <f t="array" ref="I2144">IFERROR(INDEX(Precios!$D:$F,MATCH(N2144, Precios!$G:$G, 0),CHOOSE(MATCH(H2144, {"SML";"XL";"XXL"}, 0), 1, 2, 3)), 0)</f>
        <v>0</v>
      </c>
      <c r="K2144" s="10">
        <f t="shared" si="74"/>
        <v>0</v>
      </c>
      <c r="N2144" s="9" t="str">
        <f t="shared" si="75"/>
        <v/>
      </c>
      <c r="O2144" s="9" t="str">
        <f>IF(N2144="","",IF(COUNTIF(Precios!$G:$G,N2144)=0,"⚠ No coincide con Precios","OK"))</f>
        <v/>
      </c>
    </row>
    <row r="2145" spans="3:15" x14ac:dyDescent="0.2">
      <c r="C2145" s="9" cm="1">
        <f t="array" ref="C2145">IFERROR(_xlfn.XLOOKUP(B2145,Personal!$A:$A,Personal!$D:$D,""),"")</f>
        <v>0</v>
      </c>
      <c r="D2145" s="9" cm="1">
        <f t="array" ref="D2145">IFERROR(_xlfn.XLOOKUP(B2145,Personal!$A:$A,Personal!$C:$C,""),"")</f>
        <v>0</v>
      </c>
      <c r="E2145" s="9" t="str" cm="1">
        <f t="array" ref="E2145">IFERROR(_xlfn.XLOOKUP(D2145,Locales!$A:$A,Locales!$B:$B,""),"")</f>
        <v/>
      </c>
      <c r="F2145" s="9" cm="1">
        <f t="array" ref="F2145">IFERROR(_xlfn.XLOOKUP(B2145,Personal!$A:$A,Personal!$F:$F,""),"")</f>
        <v>0</v>
      </c>
      <c r="I2145" s="10" cm="1">
        <f t="array" ref="I2145">IFERROR(INDEX(Precios!$D:$F,MATCH(N2145, Precios!$G:$G, 0),CHOOSE(MATCH(H2145, {"SML";"XL";"XXL"}, 0), 1, 2, 3)), 0)</f>
        <v>0</v>
      </c>
      <c r="K2145" s="10">
        <f t="shared" si="74"/>
        <v>0</v>
      </c>
      <c r="N2145" s="9" t="str">
        <f t="shared" si="75"/>
        <v/>
      </c>
      <c r="O2145" s="9" t="str">
        <f>IF(N2145="","",IF(COUNTIF(Precios!$G:$G,N2145)=0,"⚠ No coincide con Precios","OK"))</f>
        <v/>
      </c>
    </row>
    <row r="2146" spans="3:15" x14ac:dyDescent="0.2">
      <c r="C2146" s="9" cm="1">
        <f t="array" ref="C2146">IFERROR(_xlfn.XLOOKUP(B2146,Personal!$A:$A,Personal!$D:$D,""),"")</f>
        <v>0</v>
      </c>
      <c r="D2146" s="9" cm="1">
        <f t="array" ref="D2146">IFERROR(_xlfn.XLOOKUP(B2146,Personal!$A:$A,Personal!$C:$C,""),"")</f>
        <v>0</v>
      </c>
      <c r="E2146" s="9" t="str" cm="1">
        <f t="array" ref="E2146">IFERROR(_xlfn.XLOOKUP(D2146,Locales!$A:$A,Locales!$B:$B,""),"")</f>
        <v/>
      </c>
      <c r="F2146" s="9" cm="1">
        <f t="array" ref="F2146">IFERROR(_xlfn.XLOOKUP(B2146,Personal!$A:$A,Personal!$F:$F,""),"")</f>
        <v>0</v>
      </c>
      <c r="I2146" s="10" cm="1">
        <f t="array" ref="I2146">IFERROR(INDEX(Precios!$D:$F,MATCH(N2146, Precios!$G:$G, 0),CHOOSE(MATCH(H2146, {"SML";"XL";"XXL"}, 0), 1, 2, 3)), 0)</f>
        <v>0</v>
      </c>
      <c r="K2146" s="10">
        <f t="shared" si="74"/>
        <v>0</v>
      </c>
      <c r="N2146" s="9" t="str">
        <f t="shared" si="75"/>
        <v/>
      </c>
      <c r="O2146" s="9" t="str">
        <f>IF(N2146="","",IF(COUNTIF(Precios!$G:$G,N2146)=0,"⚠ No coincide con Precios","OK"))</f>
        <v/>
      </c>
    </row>
    <row r="2147" spans="3:15" x14ac:dyDescent="0.2">
      <c r="C2147" s="9" cm="1">
        <f t="array" ref="C2147">IFERROR(_xlfn.XLOOKUP(B2147,Personal!$A:$A,Personal!$D:$D,""),"")</f>
        <v>0</v>
      </c>
      <c r="D2147" s="9" cm="1">
        <f t="array" ref="D2147">IFERROR(_xlfn.XLOOKUP(B2147,Personal!$A:$A,Personal!$C:$C,""),"")</f>
        <v>0</v>
      </c>
      <c r="E2147" s="9" t="str" cm="1">
        <f t="array" ref="E2147">IFERROR(_xlfn.XLOOKUP(D2147,Locales!$A:$A,Locales!$B:$B,""),"")</f>
        <v/>
      </c>
      <c r="F2147" s="9" cm="1">
        <f t="array" ref="F2147">IFERROR(_xlfn.XLOOKUP(B2147,Personal!$A:$A,Personal!$F:$F,""),"")</f>
        <v>0</v>
      </c>
      <c r="I2147" s="10" cm="1">
        <f t="array" ref="I2147">IFERROR(INDEX(Precios!$D:$F,MATCH(N2147, Precios!$G:$G, 0),CHOOSE(MATCH(H2147, {"SML";"XL";"XXL"}, 0), 1, 2, 3)), 0)</f>
        <v>0</v>
      </c>
      <c r="K2147" s="10">
        <f t="shared" si="74"/>
        <v>0</v>
      </c>
      <c r="N2147" s="9" t="str">
        <f t="shared" si="75"/>
        <v/>
      </c>
      <c r="O2147" s="9" t="str">
        <f>IF(N2147="","",IF(COUNTIF(Precios!$G:$G,N2147)=0,"⚠ No coincide con Precios","OK"))</f>
        <v/>
      </c>
    </row>
    <row r="2148" spans="3:15" x14ac:dyDescent="0.2">
      <c r="C2148" s="9" cm="1">
        <f t="array" ref="C2148">IFERROR(_xlfn.XLOOKUP(B2148,Personal!$A:$A,Personal!$D:$D,""),"")</f>
        <v>0</v>
      </c>
      <c r="D2148" s="9" cm="1">
        <f t="array" ref="D2148">IFERROR(_xlfn.XLOOKUP(B2148,Personal!$A:$A,Personal!$C:$C,""),"")</f>
        <v>0</v>
      </c>
      <c r="E2148" s="9" t="str" cm="1">
        <f t="array" ref="E2148">IFERROR(_xlfn.XLOOKUP(D2148,Locales!$A:$A,Locales!$B:$B,""),"")</f>
        <v/>
      </c>
      <c r="F2148" s="9" cm="1">
        <f t="array" ref="F2148">IFERROR(_xlfn.XLOOKUP(B2148,Personal!$A:$A,Personal!$F:$F,""),"")</f>
        <v>0</v>
      </c>
      <c r="I2148" s="10" cm="1">
        <f t="array" ref="I2148">IFERROR(INDEX(Precios!$D:$F,MATCH(N2148, Precios!$G:$G, 0),CHOOSE(MATCH(H2148, {"SML";"XL";"XXL"}, 0), 1, 2, 3)), 0)</f>
        <v>0</v>
      </c>
      <c r="K2148" s="10">
        <f t="shared" si="74"/>
        <v>0</v>
      </c>
      <c r="N2148" s="9" t="str">
        <f t="shared" si="75"/>
        <v/>
      </c>
      <c r="O2148" s="9" t="str">
        <f>IF(N2148="","",IF(COUNTIF(Precios!$G:$G,N2148)=0,"⚠ No coincide con Precios","OK"))</f>
        <v/>
      </c>
    </row>
    <row r="2149" spans="3:15" x14ac:dyDescent="0.2">
      <c r="C2149" s="9" cm="1">
        <f t="array" ref="C2149">IFERROR(_xlfn.XLOOKUP(B2149,Personal!$A:$A,Personal!$D:$D,""),"")</f>
        <v>0</v>
      </c>
      <c r="D2149" s="9" cm="1">
        <f t="array" ref="D2149">IFERROR(_xlfn.XLOOKUP(B2149,Personal!$A:$A,Personal!$C:$C,""),"")</f>
        <v>0</v>
      </c>
      <c r="E2149" s="9" t="str" cm="1">
        <f t="array" ref="E2149">IFERROR(_xlfn.XLOOKUP(D2149,Locales!$A:$A,Locales!$B:$B,""),"")</f>
        <v/>
      </c>
      <c r="F2149" s="9" cm="1">
        <f t="array" ref="F2149">IFERROR(_xlfn.XLOOKUP(B2149,Personal!$A:$A,Personal!$F:$F,""),"")</f>
        <v>0</v>
      </c>
      <c r="I2149" s="10" cm="1">
        <f t="array" ref="I2149">IFERROR(INDEX(Precios!$D:$F,MATCH(N2149, Precios!$G:$G, 0),CHOOSE(MATCH(H2149, {"SML";"XL";"XXL"}, 0), 1, 2, 3)), 0)</f>
        <v>0</v>
      </c>
      <c r="K2149" s="10">
        <f t="shared" si="74"/>
        <v>0</v>
      </c>
      <c r="N2149" s="9" t="str">
        <f t="shared" si="75"/>
        <v/>
      </c>
      <c r="O2149" s="9" t="str">
        <f>IF(N2149="","",IF(COUNTIF(Precios!$G:$G,N2149)=0,"⚠ No coincide con Precios","OK"))</f>
        <v/>
      </c>
    </row>
    <row r="2150" spans="3:15" x14ac:dyDescent="0.2">
      <c r="C2150" s="9" cm="1">
        <f t="array" ref="C2150">IFERROR(_xlfn.XLOOKUP(B2150,Personal!$A:$A,Personal!$D:$D,""),"")</f>
        <v>0</v>
      </c>
      <c r="D2150" s="9" cm="1">
        <f t="array" ref="D2150">IFERROR(_xlfn.XLOOKUP(B2150,Personal!$A:$A,Personal!$C:$C,""),"")</f>
        <v>0</v>
      </c>
      <c r="E2150" s="9" t="str" cm="1">
        <f t="array" ref="E2150">IFERROR(_xlfn.XLOOKUP(D2150,Locales!$A:$A,Locales!$B:$B,""),"")</f>
        <v/>
      </c>
      <c r="F2150" s="9" cm="1">
        <f t="array" ref="F2150">IFERROR(_xlfn.XLOOKUP(B2150,Personal!$A:$A,Personal!$F:$F,""),"")</f>
        <v>0</v>
      </c>
      <c r="I2150" s="10" cm="1">
        <f t="array" ref="I2150">IFERROR(INDEX(Precios!$D:$F,MATCH(N2150, Precios!$G:$G, 0),CHOOSE(MATCH(H2150, {"SML";"XL";"XXL"}, 0), 1, 2, 3)), 0)</f>
        <v>0</v>
      </c>
      <c r="K2150" s="10">
        <f t="shared" si="74"/>
        <v>0</v>
      </c>
      <c r="N2150" s="9" t="str">
        <f t="shared" si="75"/>
        <v/>
      </c>
      <c r="O2150" s="9" t="str">
        <f>IF(N2150="","",IF(COUNTIF(Precios!$G:$G,N2150)=0,"⚠ No coincide con Precios","OK"))</f>
        <v/>
      </c>
    </row>
    <row r="2151" spans="3:15" x14ac:dyDescent="0.2">
      <c r="C2151" s="9" cm="1">
        <f t="array" ref="C2151">IFERROR(_xlfn.XLOOKUP(B2151,Personal!$A:$A,Personal!$D:$D,""),"")</f>
        <v>0</v>
      </c>
      <c r="D2151" s="9" cm="1">
        <f t="array" ref="D2151">IFERROR(_xlfn.XLOOKUP(B2151,Personal!$A:$A,Personal!$C:$C,""),"")</f>
        <v>0</v>
      </c>
      <c r="E2151" s="9" t="str" cm="1">
        <f t="array" ref="E2151">IFERROR(_xlfn.XLOOKUP(D2151,Locales!$A:$A,Locales!$B:$B,""),"")</f>
        <v/>
      </c>
      <c r="F2151" s="9" cm="1">
        <f t="array" ref="F2151">IFERROR(_xlfn.XLOOKUP(B2151,Personal!$A:$A,Personal!$F:$F,""),"")</f>
        <v>0</v>
      </c>
      <c r="I2151" s="10" cm="1">
        <f t="array" ref="I2151">IFERROR(INDEX(Precios!$D:$F,MATCH(N2151, Precios!$G:$G, 0),CHOOSE(MATCH(H2151, {"SML";"XL";"XXL"}, 0), 1, 2, 3)), 0)</f>
        <v>0</v>
      </c>
      <c r="K2151" s="10">
        <f t="shared" si="74"/>
        <v>0</v>
      </c>
      <c r="N2151" s="9" t="str">
        <f t="shared" si="75"/>
        <v/>
      </c>
      <c r="O2151" s="9" t="str">
        <f>IF(N2151="","",IF(COUNTIF(Precios!$G:$G,N2151)=0,"⚠ No coincide con Precios","OK"))</f>
        <v/>
      </c>
    </row>
    <row r="2152" spans="3:15" x14ac:dyDescent="0.2">
      <c r="C2152" s="9" cm="1">
        <f t="array" ref="C2152">IFERROR(_xlfn.XLOOKUP(B2152,Personal!$A:$A,Personal!$D:$D,""),"")</f>
        <v>0</v>
      </c>
      <c r="D2152" s="9" cm="1">
        <f t="array" ref="D2152">IFERROR(_xlfn.XLOOKUP(B2152,Personal!$A:$A,Personal!$C:$C,""),"")</f>
        <v>0</v>
      </c>
      <c r="E2152" s="9" t="str" cm="1">
        <f t="array" ref="E2152">IFERROR(_xlfn.XLOOKUP(D2152,Locales!$A:$A,Locales!$B:$B,""),"")</f>
        <v/>
      </c>
      <c r="F2152" s="9" cm="1">
        <f t="array" ref="F2152">IFERROR(_xlfn.XLOOKUP(B2152,Personal!$A:$A,Personal!$F:$F,""),"")</f>
        <v>0</v>
      </c>
      <c r="I2152" s="10" cm="1">
        <f t="array" ref="I2152">IFERROR(INDEX(Precios!$D:$F,MATCH(N2152, Precios!$G:$G, 0),CHOOSE(MATCH(H2152, {"SML";"XL";"XXL"}, 0), 1, 2, 3)), 0)</f>
        <v>0</v>
      </c>
      <c r="K2152" s="10">
        <f t="shared" si="74"/>
        <v>0</v>
      </c>
      <c r="N2152" s="9" t="str">
        <f t="shared" si="75"/>
        <v/>
      </c>
      <c r="O2152" s="9" t="str">
        <f>IF(N2152="","",IF(COUNTIF(Precios!$G:$G,N2152)=0,"⚠ No coincide con Precios","OK"))</f>
        <v/>
      </c>
    </row>
    <row r="2153" spans="3:15" x14ac:dyDescent="0.2">
      <c r="C2153" s="9" cm="1">
        <f t="array" ref="C2153">IFERROR(_xlfn.XLOOKUP(B2153,Personal!$A:$A,Personal!$D:$D,""),"")</f>
        <v>0</v>
      </c>
      <c r="D2153" s="9" cm="1">
        <f t="array" ref="D2153">IFERROR(_xlfn.XLOOKUP(B2153,Personal!$A:$A,Personal!$C:$C,""),"")</f>
        <v>0</v>
      </c>
      <c r="E2153" s="9" t="str" cm="1">
        <f t="array" ref="E2153">IFERROR(_xlfn.XLOOKUP(D2153,Locales!$A:$A,Locales!$B:$B,""),"")</f>
        <v/>
      </c>
      <c r="F2153" s="9" cm="1">
        <f t="array" ref="F2153">IFERROR(_xlfn.XLOOKUP(B2153,Personal!$A:$A,Personal!$F:$F,""),"")</f>
        <v>0</v>
      </c>
      <c r="I2153" s="10" cm="1">
        <f t="array" ref="I2153">IFERROR(INDEX(Precios!$D:$F,MATCH(N2153, Precios!$G:$G, 0),CHOOSE(MATCH(H2153, {"SML";"XL";"XXL"}, 0), 1, 2, 3)), 0)</f>
        <v>0</v>
      </c>
      <c r="K2153" s="10">
        <f t="shared" si="74"/>
        <v>0</v>
      </c>
      <c r="N2153" s="9" t="str">
        <f t="shared" si="75"/>
        <v/>
      </c>
      <c r="O2153" s="9" t="str">
        <f>IF(N2153="","",IF(COUNTIF(Precios!$G:$G,N2153)=0,"⚠ No coincide con Precios","OK"))</f>
        <v/>
      </c>
    </row>
    <row r="2154" spans="3:15" x14ac:dyDescent="0.2">
      <c r="C2154" s="9" cm="1">
        <f t="array" ref="C2154">IFERROR(_xlfn.XLOOKUP(B2154,Personal!$A:$A,Personal!$D:$D,""),"")</f>
        <v>0</v>
      </c>
      <c r="D2154" s="9" cm="1">
        <f t="array" ref="D2154">IFERROR(_xlfn.XLOOKUP(B2154,Personal!$A:$A,Personal!$C:$C,""),"")</f>
        <v>0</v>
      </c>
      <c r="E2154" s="9" t="str" cm="1">
        <f t="array" ref="E2154">IFERROR(_xlfn.XLOOKUP(D2154,Locales!$A:$A,Locales!$B:$B,""),"")</f>
        <v/>
      </c>
      <c r="F2154" s="9" cm="1">
        <f t="array" ref="F2154">IFERROR(_xlfn.XLOOKUP(B2154,Personal!$A:$A,Personal!$F:$F,""),"")</f>
        <v>0</v>
      </c>
      <c r="I2154" s="10" cm="1">
        <f t="array" ref="I2154">IFERROR(INDEX(Precios!$D:$F,MATCH(N2154, Precios!$G:$G, 0),CHOOSE(MATCH(H2154, {"SML";"XL";"XXL"}, 0), 1, 2, 3)), 0)</f>
        <v>0</v>
      </c>
      <c r="K2154" s="10">
        <f t="shared" si="74"/>
        <v>0</v>
      </c>
      <c r="N2154" s="9" t="str">
        <f t="shared" si="75"/>
        <v/>
      </c>
      <c r="O2154" s="9" t="str">
        <f>IF(N2154="","",IF(COUNTIF(Precios!$G:$G,N2154)=0,"⚠ No coincide con Precios","OK"))</f>
        <v/>
      </c>
    </row>
    <row r="2155" spans="3:15" x14ac:dyDescent="0.2">
      <c r="C2155" s="9" cm="1">
        <f t="array" ref="C2155">IFERROR(_xlfn.XLOOKUP(B2155,Personal!$A:$A,Personal!$D:$D,""),"")</f>
        <v>0</v>
      </c>
      <c r="D2155" s="9" cm="1">
        <f t="array" ref="D2155">IFERROR(_xlfn.XLOOKUP(B2155,Personal!$A:$A,Personal!$C:$C,""),"")</f>
        <v>0</v>
      </c>
      <c r="E2155" s="9" t="str" cm="1">
        <f t="array" ref="E2155">IFERROR(_xlfn.XLOOKUP(D2155,Locales!$A:$A,Locales!$B:$B,""),"")</f>
        <v/>
      </c>
      <c r="F2155" s="9" cm="1">
        <f t="array" ref="F2155">IFERROR(_xlfn.XLOOKUP(B2155,Personal!$A:$A,Personal!$F:$F,""),"")</f>
        <v>0</v>
      </c>
      <c r="I2155" s="10" cm="1">
        <f t="array" ref="I2155">IFERROR(INDEX(Precios!$D:$F,MATCH(N2155, Precios!$G:$G, 0),CHOOSE(MATCH(H2155, {"SML";"XL";"XXL"}, 0), 1, 2, 3)), 0)</f>
        <v>0</v>
      </c>
      <c r="K2155" s="10">
        <f t="shared" si="74"/>
        <v>0</v>
      </c>
      <c r="N2155" s="9" t="str">
        <f t="shared" si="75"/>
        <v/>
      </c>
      <c r="O2155" s="9" t="str">
        <f>IF(N2155="","",IF(COUNTIF(Precios!$G:$G,N2155)=0,"⚠ No coincide con Precios","OK"))</f>
        <v/>
      </c>
    </row>
    <row r="2156" spans="3:15" x14ac:dyDescent="0.2">
      <c r="C2156" s="9" cm="1">
        <f t="array" ref="C2156">IFERROR(_xlfn.XLOOKUP(B2156,Personal!$A:$A,Personal!$D:$D,""),"")</f>
        <v>0</v>
      </c>
      <c r="D2156" s="9" cm="1">
        <f t="array" ref="D2156">IFERROR(_xlfn.XLOOKUP(B2156,Personal!$A:$A,Personal!$C:$C,""),"")</f>
        <v>0</v>
      </c>
      <c r="E2156" s="9" t="str" cm="1">
        <f t="array" ref="E2156">IFERROR(_xlfn.XLOOKUP(D2156,Locales!$A:$A,Locales!$B:$B,""),"")</f>
        <v/>
      </c>
      <c r="F2156" s="9" cm="1">
        <f t="array" ref="F2156">IFERROR(_xlfn.XLOOKUP(B2156,Personal!$A:$A,Personal!$F:$F,""),"")</f>
        <v>0</v>
      </c>
      <c r="I2156" s="10" cm="1">
        <f t="array" ref="I2156">IFERROR(INDEX(Precios!$D:$F,MATCH(N2156, Precios!$G:$G, 0),CHOOSE(MATCH(H2156, {"SML";"XL";"XXL"}, 0), 1, 2, 3)), 0)</f>
        <v>0</v>
      </c>
      <c r="K2156" s="10">
        <f t="shared" si="74"/>
        <v>0</v>
      </c>
      <c r="N2156" s="9" t="str">
        <f t="shared" si="75"/>
        <v/>
      </c>
      <c r="O2156" s="9" t="str">
        <f>IF(N2156="","",IF(COUNTIF(Precios!$G:$G,N2156)=0,"⚠ No coincide con Precios","OK"))</f>
        <v/>
      </c>
    </row>
    <row r="2157" spans="3:15" x14ac:dyDescent="0.2">
      <c r="C2157" s="9" cm="1">
        <f t="array" ref="C2157">IFERROR(_xlfn.XLOOKUP(B2157,Personal!$A:$A,Personal!$D:$D,""),"")</f>
        <v>0</v>
      </c>
      <c r="D2157" s="9" cm="1">
        <f t="array" ref="D2157">IFERROR(_xlfn.XLOOKUP(B2157,Personal!$A:$A,Personal!$C:$C,""),"")</f>
        <v>0</v>
      </c>
      <c r="E2157" s="9" t="str" cm="1">
        <f t="array" ref="E2157">IFERROR(_xlfn.XLOOKUP(D2157,Locales!$A:$A,Locales!$B:$B,""),"")</f>
        <v/>
      </c>
      <c r="F2157" s="9" cm="1">
        <f t="array" ref="F2157">IFERROR(_xlfn.XLOOKUP(B2157,Personal!$A:$A,Personal!$F:$F,""),"")</f>
        <v>0</v>
      </c>
      <c r="I2157" s="10" cm="1">
        <f t="array" ref="I2157">IFERROR(INDEX(Precios!$D:$F,MATCH(N2157, Precios!$G:$G, 0),CHOOSE(MATCH(H2157, {"SML";"XL";"XXL"}, 0), 1, 2, 3)), 0)</f>
        <v>0</v>
      </c>
      <c r="K2157" s="10">
        <f t="shared" si="74"/>
        <v>0</v>
      </c>
      <c r="N2157" s="9" t="str">
        <f t="shared" si="75"/>
        <v/>
      </c>
      <c r="O2157" s="9" t="str">
        <f>IF(N2157="","",IF(COUNTIF(Precios!$G:$G,N2157)=0,"⚠ No coincide con Precios","OK"))</f>
        <v/>
      </c>
    </row>
    <row r="2158" spans="3:15" x14ac:dyDescent="0.2">
      <c r="C2158" s="9" cm="1">
        <f t="array" ref="C2158">IFERROR(_xlfn.XLOOKUP(B2158,Personal!$A:$A,Personal!$D:$D,""),"")</f>
        <v>0</v>
      </c>
      <c r="D2158" s="9" cm="1">
        <f t="array" ref="D2158">IFERROR(_xlfn.XLOOKUP(B2158,Personal!$A:$A,Personal!$C:$C,""),"")</f>
        <v>0</v>
      </c>
      <c r="E2158" s="9" t="str" cm="1">
        <f t="array" ref="E2158">IFERROR(_xlfn.XLOOKUP(D2158,Locales!$A:$A,Locales!$B:$B,""),"")</f>
        <v/>
      </c>
      <c r="F2158" s="9" cm="1">
        <f t="array" ref="F2158">IFERROR(_xlfn.XLOOKUP(B2158,Personal!$A:$A,Personal!$F:$F,""),"")</f>
        <v>0</v>
      </c>
      <c r="I2158" s="10" cm="1">
        <f t="array" ref="I2158">IFERROR(INDEX(Precios!$D:$F,MATCH(N2158, Precios!$G:$G, 0),CHOOSE(MATCH(H2158, {"SML";"XL";"XXL"}, 0), 1, 2, 3)), 0)</f>
        <v>0</v>
      </c>
      <c r="K2158" s="10">
        <f t="shared" si="74"/>
        <v>0</v>
      </c>
      <c r="N2158" s="9" t="str">
        <f t="shared" si="75"/>
        <v/>
      </c>
      <c r="O2158" s="9" t="str">
        <f>IF(N2158="","",IF(COUNTIF(Precios!$G:$G,N2158)=0,"⚠ No coincide con Precios","OK"))</f>
        <v/>
      </c>
    </row>
    <row r="2159" spans="3:15" x14ac:dyDescent="0.2">
      <c r="C2159" s="9" cm="1">
        <f t="array" ref="C2159">IFERROR(_xlfn.XLOOKUP(B2159,Personal!$A:$A,Personal!$D:$D,""),"")</f>
        <v>0</v>
      </c>
      <c r="D2159" s="9" cm="1">
        <f t="array" ref="D2159">IFERROR(_xlfn.XLOOKUP(B2159,Personal!$A:$A,Personal!$C:$C,""),"")</f>
        <v>0</v>
      </c>
      <c r="E2159" s="9" t="str" cm="1">
        <f t="array" ref="E2159">IFERROR(_xlfn.XLOOKUP(D2159,Locales!$A:$A,Locales!$B:$B,""),"")</f>
        <v/>
      </c>
      <c r="F2159" s="9" cm="1">
        <f t="array" ref="F2159">IFERROR(_xlfn.XLOOKUP(B2159,Personal!$A:$A,Personal!$F:$F,""),"")</f>
        <v>0</v>
      </c>
      <c r="I2159" s="10" cm="1">
        <f t="array" ref="I2159">IFERROR(INDEX(Precios!$D:$F,MATCH(N2159, Precios!$G:$G, 0),CHOOSE(MATCH(H2159, {"SML";"XL";"XXL"}, 0), 1, 2, 3)), 0)</f>
        <v>0</v>
      </c>
      <c r="K2159" s="10">
        <f t="shared" si="74"/>
        <v>0</v>
      </c>
      <c r="N2159" s="9" t="str">
        <f t="shared" si="75"/>
        <v/>
      </c>
      <c r="O2159" s="9" t="str">
        <f>IF(N2159="","",IF(COUNTIF(Precios!$G:$G,N2159)=0,"⚠ No coincide con Precios","OK"))</f>
        <v/>
      </c>
    </row>
    <row r="2160" spans="3:15" x14ac:dyDescent="0.2">
      <c r="C2160" s="9" cm="1">
        <f t="array" ref="C2160">IFERROR(_xlfn.XLOOKUP(B2160,Personal!$A:$A,Personal!$D:$D,""),"")</f>
        <v>0</v>
      </c>
      <c r="D2160" s="9" cm="1">
        <f t="array" ref="D2160">IFERROR(_xlfn.XLOOKUP(B2160,Personal!$A:$A,Personal!$C:$C,""),"")</f>
        <v>0</v>
      </c>
      <c r="E2160" s="9" t="str" cm="1">
        <f t="array" ref="E2160">IFERROR(_xlfn.XLOOKUP(D2160,Locales!$A:$A,Locales!$B:$B,""),"")</f>
        <v/>
      </c>
      <c r="F2160" s="9" cm="1">
        <f t="array" ref="F2160">IFERROR(_xlfn.XLOOKUP(B2160,Personal!$A:$A,Personal!$F:$F,""),"")</f>
        <v>0</v>
      </c>
      <c r="I2160" s="10" cm="1">
        <f t="array" ref="I2160">IFERROR(INDEX(Precios!$D:$F,MATCH(N2160, Precios!$G:$G, 0),CHOOSE(MATCH(H2160, {"SML";"XL";"XXL"}, 0), 1, 2, 3)), 0)</f>
        <v>0</v>
      </c>
      <c r="K2160" s="10">
        <f t="shared" si="74"/>
        <v>0</v>
      </c>
      <c r="N2160" s="9" t="str">
        <f t="shared" si="75"/>
        <v/>
      </c>
      <c r="O2160" s="9" t="str">
        <f>IF(N2160="","",IF(COUNTIF(Precios!$G:$G,N2160)=0,"⚠ No coincide con Precios","OK"))</f>
        <v/>
      </c>
    </row>
    <row r="2161" spans="3:15" x14ac:dyDescent="0.2">
      <c r="C2161" s="9" cm="1">
        <f t="array" ref="C2161">IFERROR(_xlfn.XLOOKUP(B2161,Personal!$A:$A,Personal!$D:$D,""),"")</f>
        <v>0</v>
      </c>
      <c r="D2161" s="9" cm="1">
        <f t="array" ref="D2161">IFERROR(_xlfn.XLOOKUP(B2161,Personal!$A:$A,Personal!$C:$C,""),"")</f>
        <v>0</v>
      </c>
      <c r="E2161" s="9" t="str" cm="1">
        <f t="array" ref="E2161">IFERROR(_xlfn.XLOOKUP(D2161,Locales!$A:$A,Locales!$B:$B,""),"")</f>
        <v/>
      </c>
      <c r="F2161" s="9" cm="1">
        <f t="array" ref="F2161">IFERROR(_xlfn.XLOOKUP(B2161,Personal!$A:$A,Personal!$F:$F,""),"")</f>
        <v>0</v>
      </c>
      <c r="I2161" s="10" cm="1">
        <f t="array" ref="I2161">IFERROR(INDEX(Precios!$D:$F,MATCH(N2161, Precios!$G:$G, 0),CHOOSE(MATCH(H2161, {"SML";"XL";"XXL"}, 0), 1, 2, 3)), 0)</f>
        <v>0</v>
      </c>
      <c r="K2161" s="10">
        <f t="shared" si="74"/>
        <v>0</v>
      </c>
      <c r="N2161" s="9" t="str">
        <f t="shared" si="75"/>
        <v/>
      </c>
      <c r="O2161" s="9" t="str">
        <f>IF(N2161="","",IF(COUNTIF(Precios!$G:$G,N2161)=0,"⚠ No coincide con Precios","OK"))</f>
        <v/>
      </c>
    </row>
    <row r="2162" spans="3:15" x14ac:dyDescent="0.2">
      <c r="C2162" s="9" cm="1">
        <f t="array" ref="C2162">IFERROR(_xlfn.XLOOKUP(B2162,Personal!$A:$A,Personal!$D:$D,""),"")</f>
        <v>0</v>
      </c>
      <c r="D2162" s="9" cm="1">
        <f t="array" ref="D2162">IFERROR(_xlfn.XLOOKUP(B2162,Personal!$A:$A,Personal!$C:$C,""),"")</f>
        <v>0</v>
      </c>
      <c r="E2162" s="9" t="str" cm="1">
        <f t="array" ref="E2162">IFERROR(_xlfn.XLOOKUP(D2162,Locales!$A:$A,Locales!$B:$B,""),"")</f>
        <v/>
      </c>
      <c r="F2162" s="9" cm="1">
        <f t="array" ref="F2162">IFERROR(_xlfn.XLOOKUP(B2162,Personal!$A:$A,Personal!$F:$F,""),"")</f>
        <v>0</v>
      </c>
      <c r="I2162" s="10" cm="1">
        <f t="array" ref="I2162">IFERROR(INDEX(Precios!$D:$F,MATCH(N2162, Precios!$G:$G, 0),CHOOSE(MATCH(H2162, {"SML";"XL";"XXL"}, 0), 1, 2, 3)), 0)</f>
        <v>0</v>
      </c>
      <c r="K2162" s="10">
        <f t="shared" si="74"/>
        <v>0</v>
      </c>
      <c r="N2162" s="9" t="str">
        <f t="shared" si="75"/>
        <v/>
      </c>
      <c r="O2162" s="9" t="str">
        <f>IF(N2162="","",IF(COUNTIF(Precios!$G:$G,N2162)=0,"⚠ No coincide con Precios","OK"))</f>
        <v/>
      </c>
    </row>
    <row r="2163" spans="3:15" x14ac:dyDescent="0.2">
      <c r="C2163" s="9" cm="1">
        <f t="array" ref="C2163">IFERROR(_xlfn.XLOOKUP(B2163,Personal!$A:$A,Personal!$D:$D,""),"")</f>
        <v>0</v>
      </c>
      <c r="D2163" s="9" cm="1">
        <f t="array" ref="D2163">IFERROR(_xlfn.XLOOKUP(B2163,Personal!$A:$A,Personal!$C:$C,""),"")</f>
        <v>0</v>
      </c>
      <c r="E2163" s="9" t="str" cm="1">
        <f t="array" ref="E2163">IFERROR(_xlfn.XLOOKUP(D2163,Locales!$A:$A,Locales!$B:$B,""),"")</f>
        <v/>
      </c>
      <c r="F2163" s="9" cm="1">
        <f t="array" ref="F2163">IFERROR(_xlfn.XLOOKUP(B2163,Personal!$A:$A,Personal!$F:$F,""),"")</f>
        <v>0</v>
      </c>
      <c r="I2163" s="10" cm="1">
        <f t="array" ref="I2163">IFERROR(INDEX(Precios!$D:$F,MATCH(N2163, Precios!$G:$G, 0),CHOOSE(MATCH(H2163, {"SML";"XL";"XXL"}, 0), 1, 2, 3)), 0)</f>
        <v>0</v>
      </c>
      <c r="K2163" s="10">
        <f t="shared" si="74"/>
        <v>0</v>
      </c>
      <c r="N2163" s="9" t="str">
        <f t="shared" si="75"/>
        <v/>
      </c>
      <c r="O2163" s="9" t="str">
        <f>IF(N2163="","",IF(COUNTIF(Precios!$G:$G,N2163)=0,"⚠ No coincide con Precios","OK"))</f>
        <v/>
      </c>
    </row>
    <row r="2164" spans="3:15" x14ac:dyDescent="0.2">
      <c r="C2164" s="9" cm="1">
        <f t="array" ref="C2164">IFERROR(_xlfn.XLOOKUP(B2164,Personal!$A:$A,Personal!$D:$D,""),"")</f>
        <v>0</v>
      </c>
      <c r="D2164" s="9" cm="1">
        <f t="array" ref="D2164">IFERROR(_xlfn.XLOOKUP(B2164,Personal!$A:$A,Personal!$C:$C,""),"")</f>
        <v>0</v>
      </c>
      <c r="E2164" s="9" t="str" cm="1">
        <f t="array" ref="E2164">IFERROR(_xlfn.XLOOKUP(D2164,Locales!$A:$A,Locales!$B:$B,""),"")</f>
        <v/>
      </c>
      <c r="F2164" s="9" cm="1">
        <f t="array" ref="F2164">IFERROR(_xlfn.XLOOKUP(B2164,Personal!$A:$A,Personal!$F:$F,""),"")</f>
        <v>0</v>
      </c>
      <c r="I2164" s="10" cm="1">
        <f t="array" ref="I2164">IFERROR(INDEX(Precios!$D:$F,MATCH(N2164, Precios!$G:$G, 0),CHOOSE(MATCH(H2164, {"SML";"XL";"XXL"}, 0), 1, 2, 3)), 0)</f>
        <v>0</v>
      </c>
      <c r="K2164" s="10">
        <f t="shared" si="74"/>
        <v>0</v>
      </c>
      <c r="N2164" s="9" t="str">
        <f t="shared" si="75"/>
        <v/>
      </c>
      <c r="O2164" s="9" t="str">
        <f>IF(N2164="","",IF(COUNTIF(Precios!$G:$G,N2164)=0,"⚠ No coincide con Precios","OK"))</f>
        <v/>
      </c>
    </row>
    <row r="2165" spans="3:15" x14ac:dyDescent="0.2">
      <c r="C2165" s="9" cm="1">
        <f t="array" ref="C2165">IFERROR(_xlfn.XLOOKUP(B2165,Personal!$A:$A,Personal!$D:$D,""),"")</f>
        <v>0</v>
      </c>
      <c r="D2165" s="9" cm="1">
        <f t="array" ref="D2165">IFERROR(_xlfn.XLOOKUP(B2165,Personal!$A:$A,Personal!$C:$C,""),"")</f>
        <v>0</v>
      </c>
      <c r="E2165" s="9" t="str" cm="1">
        <f t="array" ref="E2165">IFERROR(_xlfn.XLOOKUP(D2165,Locales!$A:$A,Locales!$B:$B,""),"")</f>
        <v/>
      </c>
      <c r="F2165" s="9" cm="1">
        <f t="array" ref="F2165">IFERROR(_xlfn.XLOOKUP(B2165,Personal!$A:$A,Personal!$F:$F,""),"")</f>
        <v>0</v>
      </c>
      <c r="I2165" s="10" cm="1">
        <f t="array" ref="I2165">IFERROR(INDEX(Precios!$D:$F,MATCH(N2165, Precios!$G:$G, 0),CHOOSE(MATCH(H2165, {"SML";"XL";"XXL"}, 0), 1, 2, 3)), 0)</f>
        <v>0</v>
      </c>
      <c r="K2165" s="10">
        <f t="shared" si="74"/>
        <v>0</v>
      </c>
      <c r="N2165" s="9" t="str">
        <f t="shared" si="75"/>
        <v/>
      </c>
      <c r="O2165" s="9" t="str">
        <f>IF(N2165="","",IF(COUNTIF(Precios!$G:$G,N2165)=0,"⚠ No coincide con Precios","OK"))</f>
        <v/>
      </c>
    </row>
    <row r="2166" spans="3:15" x14ac:dyDescent="0.2">
      <c r="C2166" s="9" cm="1">
        <f t="array" ref="C2166">IFERROR(_xlfn.XLOOKUP(B2166,Personal!$A:$A,Personal!$D:$D,""),"")</f>
        <v>0</v>
      </c>
      <c r="D2166" s="9" cm="1">
        <f t="array" ref="D2166">IFERROR(_xlfn.XLOOKUP(B2166,Personal!$A:$A,Personal!$C:$C,""),"")</f>
        <v>0</v>
      </c>
      <c r="E2166" s="9" t="str" cm="1">
        <f t="array" ref="E2166">IFERROR(_xlfn.XLOOKUP(D2166,Locales!$A:$A,Locales!$B:$B,""),"")</f>
        <v/>
      </c>
      <c r="F2166" s="9" cm="1">
        <f t="array" ref="F2166">IFERROR(_xlfn.XLOOKUP(B2166,Personal!$A:$A,Personal!$F:$F,""),"")</f>
        <v>0</v>
      </c>
      <c r="I2166" s="10" cm="1">
        <f t="array" ref="I2166">IFERROR(INDEX(Precios!$D:$F,MATCH(N2166, Precios!$G:$G, 0),CHOOSE(MATCH(H2166, {"SML";"XL";"XXL"}, 0), 1, 2, 3)), 0)</f>
        <v>0</v>
      </c>
      <c r="K2166" s="10">
        <f t="shared" si="74"/>
        <v>0</v>
      </c>
      <c r="N2166" s="9" t="str">
        <f t="shared" si="75"/>
        <v/>
      </c>
      <c r="O2166" s="9" t="str">
        <f>IF(N2166="","",IF(COUNTIF(Precios!$G:$G,N2166)=0,"⚠ No coincide con Precios","OK"))</f>
        <v/>
      </c>
    </row>
    <row r="2167" spans="3:15" x14ac:dyDescent="0.2">
      <c r="C2167" s="9" cm="1">
        <f t="array" ref="C2167">IFERROR(_xlfn.XLOOKUP(B2167,Personal!$A:$A,Personal!$D:$D,""),"")</f>
        <v>0</v>
      </c>
      <c r="D2167" s="9" cm="1">
        <f t="array" ref="D2167">IFERROR(_xlfn.XLOOKUP(B2167,Personal!$A:$A,Personal!$C:$C,""),"")</f>
        <v>0</v>
      </c>
      <c r="E2167" s="9" t="str" cm="1">
        <f t="array" ref="E2167">IFERROR(_xlfn.XLOOKUP(D2167,Locales!$A:$A,Locales!$B:$B,""),"")</f>
        <v/>
      </c>
      <c r="F2167" s="9" cm="1">
        <f t="array" ref="F2167">IFERROR(_xlfn.XLOOKUP(B2167,Personal!$A:$A,Personal!$F:$F,""),"")</f>
        <v>0</v>
      </c>
      <c r="I2167" s="10" cm="1">
        <f t="array" ref="I2167">IFERROR(INDEX(Precios!$D:$F,MATCH(N2167, Precios!$G:$G, 0),CHOOSE(MATCH(H2167, {"SML";"XL";"XXL"}, 0), 1, 2, 3)), 0)</f>
        <v>0</v>
      </c>
      <c r="K2167" s="10">
        <f t="shared" si="74"/>
        <v>0</v>
      </c>
      <c r="N2167" s="9" t="str">
        <f t="shared" si="75"/>
        <v/>
      </c>
      <c r="O2167" s="9" t="str">
        <f>IF(N2167="","",IF(COUNTIF(Precios!$G:$G,N2167)=0,"⚠ No coincide con Precios","OK"))</f>
        <v/>
      </c>
    </row>
    <row r="2168" spans="3:15" x14ac:dyDescent="0.2">
      <c r="C2168" s="9" cm="1">
        <f t="array" ref="C2168">IFERROR(_xlfn.XLOOKUP(B2168,Personal!$A:$A,Personal!$D:$D,""),"")</f>
        <v>0</v>
      </c>
      <c r="D2168" s="9" cm="1">
        <f t="array" ref="D2168">IFERROR(_xlfn.XLOOKUP(B2168,Personal!$A:$A,Personal!$C:$C,""),"")</f>
        <v>0</v>
      </c>
      <c r="E2168" s="9" t="str" cm="1">
        <f t="array" ref="E2168">IFERROR(_xlfn.XLOOKUP(D2168,Locales!$A:$A,Locales!$B:$B,""),"")</f>
        <v/>
      </c>
      <c r="F2168" s="9" cm="1">
        <f t="array" ref="F2168">IFERROR(_xlfn.XLOOKUP(B2168,Personal!$A:$A,Personal!$F:$F,""),"")</f>
        <v>0</v>
      </c>
      <c r="I2168" s="10" cm="1">
        <f t="array" ref="I2168">IFERROR(INDEX(Precios!$D:$F,MATCH(N2168, Precios!$G:$G, 0),CHOOSE(MATCH(H2168, {"SML";"XL";"XXL"}, 0), 1, 2, 3)), 0)</f>
        <v>0</v>
      </c>
      <c r="K2168" s="10">
        <f t="shared" si="74"/>
        <v>0</v>
      </c>
      <c r="N2168" s="9" t="str">
        <f t="shared" si="75"/>
        <v/>
      </c>
      <c r="O2168" s="9" t="str">
        <f>IF(N2168="","",IF(COUNTIF(Precios!$G:$G,N2168)=0,"⚠ No coincide con Precios","OK"))</f>
        <v/>
      </c>
    </row>
    <row r="2169" spans="3:15" x14ac:dyDescent="0.2">
      <c r="C2169" s="9" cm="1">
        <f t="array" ref="C2169">IFERROR(_xlfn.XLOOKUP(B2169,Personal!$A:$A,Personal!$D:$D,""),"")</f>
        <v>0</v>
      </c>
      <c r="D2169" s="9" cm="1">
        <f t="array" ref="D2169">IFERROR(_xlfn.XLOOKUP(B2169,Personal!$A:$A,Personal!$C:$C,""),"")</f>
        <v>0</v>
      </c>
      <c r="E2169" s="9" t="str" cm="1">
        <f t="array" ref="E2169">IFERROR(_xlfn.XLOOKUP(D2169,Locales!$A:$A,Locales!$B:$B,""),"")</f>
        <v/>
      </c>
      <c r="F2169" s="9" cm="1">
        <f t="array" ref="F2169">IFERROR(_xlfn.XLOOKUP(B2169,Personal!$A:$A,Personal!$F:$F,""),"")</f>
        <v>0</v>
      </c>
      <c r="I2169" s="10" cm="1">
        <f t="array" ref="I2169">IFERROR(INDEX(Precios!$D:$F,MATCH(N2169, Precios!$G:$G, 0),CHOOSE(MATCH(H2169, {"SML";"XL";"XXL"}, 0), 1, 2, 3)), 0)</f>
        <v>0</v>
      </c>
      <c r="K2169" s="10">
        <f t="shared" si="74"/>
        <v>0</v>
      </c>
      <c r="N2169" s="9" t="str">
        <f t="shared" si="75"/>
        <v/>
      </c>
      <c r="O2169" s="9" t="str">
        <f>IF(N2169="","",IF(COUNTIF(Precios!$G:$G,N2169)=0,"⚠ No coincide con Precios","OK"))</f>
        <v/>
      </c>
    </row>
    <row r="2170" spans="3:15" x14ac:dyDescent="0.2">
      <c r="C2170" s="9" cm="1">
        <f t="array" ref="C2170">IFERROR(_xlfn.XLOOKUP(B2170,Personal!$A:$A,Personal!$D:$D,""),"")</f>
        <v>0</v>
      </c>
      <c r="D2170" s="9" cm="1">
        <f t="array" ref="D2170">IFERROR(_xlfn.XLOOKUP(B2170,Personal!$A:$A,Personal!$C:$C,""),"")</f>
        <v>0</v>
      </c>
      <c r="E2170" s="9" t="str" cm="1">
        <f t="array" ref="E2170">IFERROR(_xlfn.XLOOKUP(D2170,Locales!$A:$A,Locales!$B:$B,""),"")</f>
        <v/>
      </c>
      <c r="F2170" s="9" cm="1">
        <f t="array" ref="F2170">IFERROR(_xlfn.XLOOKUP(B2170,Personal!$A:$A,Personal!$F:$F,""),"")</f>
        <v>0</v>
      </c>
      <c r="I2170" s="10" cm="1">
        <f t="array" ref="I2170">IFERROR(INDEX(Precios!$D:$F,MATCH(N2170, Precios!$G:$G, 0),CHOOSE(MATCH(H2170, {"SML";"XL";"XXL"}, 0), 1, 2, 3)), 0)</f>
        <v>0</v>
      </c>
      <c r="K2170" s="10">
        <f t="shared" si="74"/>
        <v>0</v>
      </c>
      <c r="N2170" s="9" t="str">
        <f t="shared" si="75"/>
        <v/>
      </c>
      <c r="O2170" s="9" t="str">
        <f>IF(N2170="","",IF(COUNTIF(Precios!$G:$G,N2170)=0,"⚠ No coincide con Precios","OK"))</f>
        <v/>
      </c>
    </row>
    <row r="2171" spans="3:15" x14ac:dyDescent="0.2">
      <c r="C2171" s="9" cm="1">
        <f t="array" ref="C2171">IFERROR(_xlfn.XLOOKUP(B2171,Personal!$A:$A,Personal!$D:$D,""),"")</f>
        <v>0</v>
      </c>
      <c r="D2171" s="9" cm="1">
        <f t="array" ref="D2171">IFERROR(_xlfn.XLOOKUP(B2171,Personal!$A:$A,Personal!$C:$C,""),"")</f>
        <v>0</v>
      </c>
      <c r="E2171" s="9" t="str" cm="1">
        <f t="array" ref="E2171">IFERROR(_xlfn.XLOOKUP(D2171,Locales!$A:$A,Locales!$B:$B,""),"")</f>
        <v/>
      </c>
      <c r="F2171" s="9" cm="1">
        <f t="array" ref="F2171">IFERROR(_xlfn.XLOOKUP(B2171,Personal!$A:$A,Personal!$F:$F,""),"")</f>
        <v>0</v>
      </c>
      <c r="I2171" s="10" cm="1">
        <f t="array" ref="I2171">IFERROR(INDEX(Precios!$D:$F,MATCH(N2171, Precios!$G:$G, 0),CHOOSE(MATCH(H2171, {"SML";"XL";"XXL"}, 0), 1, 2, 3)), 0)</f>
        <v>0</v>
      </c>
      <c r="K2171" s="10">
        <f t="shared" si="74"/>
        <v>0</v>
      </c>
      <c r="N2171" s="9" t="str">
        <f t="shared" si="75"/>
        <v/>
      </c>
      <c r="O2171" s="9" t="str">
        <f>IF(N2171="","",IF(COUNTIF(Precios!$G:$G,N2171)=0,"⚠ No coincide con Precios","OK"))</f>
        <v/>
      </c>
    </row>
    <row r="2172" spans="3:15" x14ac:dyDescent="0.2">
      <c r="C2172" s="9" cm="1">
        <f t="array" ref="C2172">IFERROR(_xlfn.XLOOKUP(B2172,Personal!$A:$A,Personal!$D:$D,""),"")</f>
        <v>0</v>
      </c>
      <c r="D2172" s="9" cm="1">
        <f t="array" ref="D2172">IFERROR(_xlfn.XLOOKUP(B2172,Personal!$A:$A,Personal!$C:$C,""),"")</f>
        <v>0</v>
      </c>
      <c r="E2172" s="9" t="str" cm="1">
        <f t="array" ref="E2172">IFERROR(_xlfn.XLOOKUP(D2172,Locales!$A:$A,Locales!$B:$B,""),"")</f>
        <v/>
      </c>
      <c r="F2172" s="9" cm="1">
        <f t="array" ref="F2172">IFERROR(_xlfn.XLOOKUP(B2172,Personal!$A:$A,Personal!$F:$F,""),"")</f>
        <v>0</v>
      </c>
      <c r="I2172" s="10" cm="1">
        <f t="array" ref="I2172">IFERROR(INDEX(Precios!$D:$F,MATCH(N2172, Precios!$G:$G, 0),CHOOSE(MATCH(H2172, {"SML";"XL";"XXL"}, 0), 1, 2, 3)), 0)</f>
        <v>0</v>
      </c>
      <c r="K2172" s="10">
        <f t="shared" si="74"/>
        <v>0</v>
      </c>
      <c r="N2172" s="9" t="str">
        <f t="shared" si="75"/>
        <v/>
      </c>
      <c r="O2172" s="9" t="str">
        <f>IF(N2172="","",IF(COUNTIF(Precios!$G:$G,N2172)=0,"⚠ No coincide con Precios","OK"))</f>
        <v/>
      </c>
    </row>
    <row r="2173" spans="3:15" x14ac:dyDescent="0.2">
      <c r="C2173" s="9" cm="1">
        <f t="array" ref="C2173">IFERROR(_xlfn.XLOOKUP(B2173,Personal!$A:$A,Personal!$D:$D,""),"")</f>
        <v>0</v>
      </c>
      <c r="D2173" s="9" cm="1">
        <f t="array" ref="D2173">IFERROR(_xlfn.XLOOKUP(B2173,Personal!$A:$A,Personal!$C:$C,""),"")</f>
        <v>0</v>
      </c>
      <c r="E2173" s="9" t="str" cm="1">
        <f t="array" ref="E2173">IFERROR(_xlfn.XLOOKUP(D2173,Locales!$A:$A,Locales!$B:$B,""),"")</f>
        <v/>
      </c>
      <c r="F2173" s="9" cm="1">
        <f t="array" ref="F2173">IFERROR(_xlfn.XLOOKUP(B2173,Personal!$A:$A,Personal!$F:$F,""),"")</f>
        <v>0</v>
      </c>
      <c r="I2173" s="10" cm="1">
        <f t="array" ref="I2173">IFERROR(INDEX(Precios!$D:$F,MATCH(N2173, Precios!$G:$G, 0),CHOOSE(MATCH(H2173, {"SML";"XL";"XXL"}, 0), 1, 2, 3)), 0)</f>
        <v>0</v>
      </c>
      <c r="K2173" s="10">
        <f t="shared" si="74"/>
        <v>0</v>
      </c>
      <c r="N2173" s="9" t="str">
        <f t="shared" si="75"/>
        <v/>
      </c>
      <c r="O2173" s="9" t="str">
        <f>IF(N2173="","",IF(COUNTIF(Precios!$G:$G,N2173)=0,"⚠ No coincide con Precios","OK"))</f>
        <v/>
      </c>
    </row>
    <row r="2174" spans="3:15" x14ac:dyDescent="0.2">
      <c r="C2174" s="9" cm="1">
        <f t="array" ref="C2174">IFERROR(_xlfn.XLOOKUP(B2174,Personal!$A:$A,Personal!$D:$D,""),"")</f>
        <v>0</v>
      </c>
      <c r="D2174" s="9" cm="1">
        <f t="array" ref="D2174">IFERROR(_xlfn.XLOOKUP(B2174,Personal!$A:$A,Personal!$C:$C,""),"")</f>
        <v>0</v>
      </c>
      <c r="E2174" s="9" t="str" cm="1">
        <f t="array" ref="E2174">IFERROR(_xlfn.XLOOKUP(D2174,Locales!$A:$A,Locales!$B:$B,""),"")</f>
        <v/>
      </c>
      <c r="F2174" s="9" cm="1">
        <f t="array" ref="F2174">IFERROR(_xlfn.XLOOKUP(B2174,Personal!$A:$A,Personal!$F:$F,""),"")</f>
        <v>0</v>
      </c>
      <c r="I2174" s="10" cm="1">
        <f t="array" ref="I2174">IFERROR(INDEX(Precios!$D:$F,MATCH(N2174, Precios!$G:$G, 0),CHOOSE(MATCH(H2174, {"SML";"XL";"XXL"}, 0), 1, 2, 3)), 0)</f>
        <v>0</v>
      </c>
      <c r="K2174" s="10">
        <f t="shared" si="74"/>
        <v>0</v>
      </c>
      <c r="N2174" s="9" t="str">
        <f t="shared" si="75"/>
        <v/>
      </c>
      <c r="O2174" s="9" t="str">
        <f>IF(N2174="","",IF(COUNTIF(Precios!$G:$G,N2174)=0,"⚠ No coincide con Precios","OK"))</f>
        <v/>
      </c>
    </row>
    <row r="2175" spans="3:15" x14ac:dyDescent="0.2">
      <c r="C2175" s="9" cm="1">
        <f t="array" ref="C2175">IFERROR(_xlfn.XLOOKUP(B2175,Personal!$A:$A,Personal!$D:$D,""),"")</f>
        <v>0</v>
      </c>
      <c r="D2175" s="9" cm="1">
        <f t="array" ref="D2175">IFERROR(_xlfn.XLOOKUP(B2175,Personal!$A:$A,Personal!$C:$C,""),"")</f>
        <v>0</v>
      </c>
      <c r="E2175" s="9" t="str" cm="1">
        <f t="array" ref="E2175">IFERROR(_xlfn.XLOOKUP(D2175,Locales!$A:$A,Locales!$B:$B,""),"")</f>
        <v/>
      </c>
      <c r="F2175" s="9" cm="1">
        <f t="array" ref="F2175">IFERROR(_xlfn.XLOOKUP(B2175,Personal!$A:$A,Personal!$F:$F,""),"")</f>
        <v>0</v>
      </c>
      <c r="I2175" s="10" cm="1">
        <f t="array" ref="I2175">IFERROR(INDEX(Precios!$D:$F,MATCH(N2175, Precios!$G:$G, 0),CHOOSE(MATCH(H2175, {"SML";"XL";"XXL"}, 0), 1, 2, 3)), 0)</f>
        <v>0</v>
      </c>
      <c r="K2175" s="10">
        <f t="shared" si="74"/>
        <v>0</v>
      </c>
      <c r="N2175" s="9" t="str">
        <f t="shared" si="75"/>
        <v/>
      </c>
      <c r="O2175" s="9" t="str">
        <f>IF(N2175="","",IF(COUNTIF(Precios!$G:$G,N2175)=0,"⚠ No coincide con Precios","OK"))</f>
        <v/>
      </c>
    </row>
    <row r="2176" spans="3:15" x14ac:dyDescent="0.2">
      <c r="C2176" s="9" cm="1">
        <f t="array" ref="C2176">IFERROR(_xlfn.XLOOKUP(B2176,Personal!$A:$A,Personal!$D:$D,""),"")</f>
        <v>0</v>
      </c>
      <c r="D2176" s="9" cm="1">
        <f t="array" ref="D2176">IFERROR(_xlfn.XLOOKUP(B2176,Personal!$A:$A,Personal!$C:$C,""),"")</f>
        <v>0</v>
      </c>
      <c r="E2176" s="9" t="str" cm="1">
        <f t="array" ref="E2176">IFERROR(_xlfn.XLOOKUP(D2176,Locales!$A:$A,Locales!$B:$B,""),"")</f>
        <v/>
      </c>
      <c r="F2176" s="9" cm="1">
        <f t="array" ref="F2176">IFERROR(_xlfn.XLOOKUP(B2176,Personal!$A:$A,Personal!$F:$F,""),"")</f>
        <v>0</v>
      </c>
      <c r="I2176" s="10" cm="1">
        <f t="array" ref="I2176">IFERROR(INDEX(Precios!$D:$F,MATCH(N2176, Precios!$G:$G, 0),CHOOSE(MATCH(H2176, {"SML";"XL";"XXL"}, 0), 1, 2, 3)), 0)</f>
        <v>0</v>
      </c>
      <c r="K2176" s="10">
        <f t="shared" ref="K2176:K2239" si="76">IFERROR(I2176*J2176,0)</f>
        <v>0</v>
      </c>
      <c r="N2176" s="9" t="str">
        <f t="shared" ref="N2176:N2239" si="77">IF( OR(E2176="",F2176="",G2176=""), "",CLEAN(TRIM(E2176)) &amp; "|" &amp; CLEAN(TRIM(F2176)) &amp; "|" &amp; CLEAN(TRIM(G2176)))</f>
        <v/>
      </c>
      <c r="O2176" s="9" t="str">
        <f>IF(N2176="","",IF(COUNTIF(Precios!$G:$G,N2176)=0,"⚠ No coincide con Precios","OK"))</f>
        <v/>
      </c>
    </row>
    <row r="2177" spans="3:15" x14ac:dyDescent="0.2">
      <c r="C2177" s="9" cm="1">
        <f t="array" ref="C2177">IFERROR(_xlfn.XLOOKUP(B2177,Personal!$A:$A,Personal!$D:$D,""),"")</f>
        <v>0</v>
      </c>
      <c r="D2177" s="9" cm="1">
        <f t="array" ref="D2177">IFERROR(_xlfn.XLOOKUP(B2177,Personal!$A:$A,Personal!$C:$C,""),"")</f>
        <v>0</v>
      </c>
      <c r="E2177" s="9" t="str" cm="1">
        <f t="array" ref="E2177">IFERROR(_xlfn.XLOOKUP(D2177,Locales!$A:$A,Locales!$B:$B,""),"")</f>
        <v/>
      </c>
      <c r="F2177" s="9" cm="1">
        <f t="array" ref="F2177">IFERROR(_xlfn.XLOOKUP(B2177,Personal!$A:$A,Personal!$F:$F,""),"")</f>
        <v>0</v>
      </c>
      <c r="I2177" s="10" cm="1">
        <f t="array" ref="I2177">IFERROR(INDEX(Precios!$D:$F,MATCH(N2177, Precios!$G:$G, 0),CHOOSE(MATCH(H2177, {"SML";"XL";"XXL"}, 0), 1, 2, 3)), 0)</f>
        <v>0</v>
      </c>
      <c r="K2177" s="10">
        <f t="shared" si="76"/>
        <v>0</v>
      </c>
      <c r="N2177" s="9" t="str">
        <f t="shared" si="77"/>
        <v/>
      </c>
      <c r="O2177" s="9" t="str">
        <f>IF(N2177="","",IF(COUNTIF(Precios!$G:$G,N2177)=0,"⚠ No coincide con Precios","OK"))</f>
        <v/>
      </c>
    </row>
    <row r="2178" spans="3:15" x14ac:dyDescent="0.2">
      <c r="C2178" s="9" cm="1">
        <f t="array" ref="C2178">IFERROR(_xlfn.XLOOKUP(B2178,Personal!$A:$A,Personal!$D:$D,""),"")</f>
        <v>0</v>
      </c>
      <c r="D2178" s="9" cm="1">
        <f t="array" ref="D2178">IFERROR(_xlfn.XLOOKUP(B2178,Personal!$A:$A,Personal!$C:$C,""),"")</f>
        <v>0</v>
      </c>
      <c r="E2178" s="9" t="str" cm="1">
        <f t="array" ref="E2178">IFERROR(_xlfn.XLOOKUP(D2178,Locales!$A:$A,Locales!$B:$B,""),"")</f>
        <v/>
      </c>
      <c r="F2178" s="9" cm="1">
        <f t="array" ref="F2178">IFERROR(_xlfn.XLOOKUP(B2178,Personal!$A:$A,Personal!$F:$F,""),"")</f>
        <v>0</v>
      </c>
      <c r="I2178" s="10" cm="1">
        <f t="array" ref="I2178">IFERROR(INDEX(Precios!$D:$F,MATCH(N2178, Precios!$G:$G, 0),CHOOSE(MATCH(H2178, {"SML";"XL";"XXL"}, 0), 1, 2, 3)), 0)</f>
        <v>0</v>
      </c>
      <c r="K2178" s="10">
        <f t="shared" si="76"/>
        <v>0</v>
      </c>
      <c r="N2178" s="9" t="str">
        <f t="shared" si="77"/>
        <v/>
      </c>
      <c r="O2178" s="9" t="str">
        <f>IF(N2178="","",IF(COUNTIF(Precios!$G:$G,N2178)=0,"⚠ No coincide con Precios","OK"))</f>
        <v/>
      </c>
    </row>
    <row r="2179" spans="3:15" x14ac:dyDescent="0.2">
      <c r="C2179" s="9" cm="1">
        <f t="array" ref="C2179">IFERROR(_xlfn.XLOOKUP(B2179,Personal!$A:$A,Personal!$D:$D,""),"")</f>
        <v>0</v>
      </c>
      <c r="D2179" s="9" cm="1">
        <f t="array" ref="D2179">IFERROR(_xlfn.XLOOKUP(B2179,Personal!$A:$A,Personal!$C:$C,""),"")</f>
        <v>0</v>
      </c>
      <c r="E2179" s="9" t="str" cm="1">
        <f t="array" ref="E2179">IFERROR(_xlfn.XLOOKUP(D2179,Locales!$A:$A,Locales!$B:$B,""),"")</f>
        <v/>
      </c>
      <c r="F2179" s="9" cm="1">
        <f t="array" ref="F2179">IFERROR(_xlfn.XLOOKUP(B2179,Personal!$A:$A,Personal!$F:$F,""),"")</f>
        <v>0</v>
      </c>
      <c r="I2179" s="10" cm="1">
        <f t="array" ref="I2179">IFERROR(INDEX(Precios!$D:$F,MATCH(N2179, Precios!$G:$G, 0),CHOOSE(MATCH(H2179, {"SML";"XL";"XXL"}, 0), 1, 2, 3)), 0)</f>
        <v>0</v>
      </c>
      <c r="K2179" s="10">
        <f t="shared" si="76"/>
        <v>0</v>
      </c>
      <c r="N2179" s="9" t="str">
        <f t="shared" si="77"/>
        <v/>
      </c>
      <c r="O2179" s="9" t="str">
        <f>IF(N2179="","",IF(COUNTIF(Precios!$G:$G,N2179)=0,"⚠ No coincide con Precios","OK"))</f>
        <v/>
      </c>
    </row>
    <row r="2180" spans="3:15" x14ac:dyDescent="0.2">
      <c r="C2180" s="9" cm="1">
        <f t="array" ref="C2180">IFERROR(_xlfn.XLOOKUP(B2180,Personal!$A:$A,Personal!$D:$D,""),"")</f>
        <v>0</v>
      </c>
      <c r="D2180" s="9" cm="1">
        <f t="array" ref="D2180">IFERROR(_xlfn.XLOOKUP(B2180,Personal!$A:$A,Personal!$C:$C,""),"")</f>
        <v>0</v>
      </c>
      <c r="E2180" s="9" t="str" cm="1">
        <f t="array" ref="E2180">IFERROR(_xlfn.XLOOKUP(D2180,Locales!$A:$A,Locales!$B:$B,""),"")</f>
        <v/>
      </c>
      <c r="F2180" s="9" cm="1">
        <f t="array" ref="F2180">IFERROR(_xlfn.XLOOKUP(B2180,Personal!$A:$A,Personal!$F:$F,""),"")</f>
        <v>0</v>
      </c>
      <c r="I2180" s="10" cm="1">
        <f t="array" ref="I2180">IFERROR(INDEX(Precios!$D:$F,MATCH(N2180, Precios!$G:$G, 0),CHOOSE(MATCH(H2180, {"SML";"XL";"XXL"}, 0), 1, 2, 3)), 0)</f>
        <v>0</v>
      </c>
      <c r="K2180" s="10">
        <f t="shared" si="76"/>
        <v>0</v>
      </c>
      <c r="N2180" s="9" t="str">
        <f t="shared" si="77"/>
        <v/>
      </c>
      <c r="O2180" s="9" t="str">
        <f>IF(N2180="","",IF(COUNTIF(Precios!$G:$G,N2180)=0,"⚠ No coincide con Precios","OK"))</f>
        <v/>
      </c>
    </row>
    <row r="2181" spans="3:15" x14ac:dyDescent="0.2">
      <c r="C2181" s="9" cm="1">
        <f t="array" ref="C2181">IFERROR(_xlfn.XLOOKUP(B2181,Personal!$A:$A,Personal!$D:$D,""),"")</f>
        <v>0</v>
      </c>
      <c r="D2181" s="9" cm="1">
        <f t="array" ref="D2181">IFERROR(_xlfn.XLOOKUP(B2181,Personal!$A:$A,Personal!$C:$C,""),"")</f>
        <v>0</v>
      </c>
      <c r="E2181" s="9" t="str" cm="1">
        <f t="array" ref="E2181">IFERROR(_xlfn.XLOOKUP(D2181,Locales!$A:$A,Locales!$B:$B,""),"")</f>
        <v/>
      </c>
      <c r="F2181" s="9" cm="1">
        <f t="array" ref="F2181">IFERROR(_xlfn.XLOOKUP(B2181,Personal!$A:$A,Personal!$F:$F,""),"")</f>
        <v>0</v>
      </c>
      <c r="I2181" s="10" cm="1">
        <f t="array" ref="I2181">IFERROR(INDEX(Precios!$D:$F,MATCH(N2181, Precios!$G:$G, 0),CHOOSE(MATCH(H2181, {"SML";"XL";"XXL"}, 0), 1, 2, 3)), 0)</f>
        <v>0</v>
      </c>
      <c r="K2181" s="10">
        <f t="shared" si="76"/>
        <v>0</v>
      </c>
      <c r="N2181" s="9" t="str">
        <f t="shared" si="77"/>
        <v/>
      </c>
      <c r="O2181" s="9" t="str">
        <f>IF(N2181="","",IF(COUNTIF(Precios!$G:$G,N2181)=0,"⚠ No coincide con Precios","OK"))</f>
        <v/>
      </c>
    </row>
    <row r="2182" spans="3:15" x14ac:dyDescent="0.2">
      <c r="C2182" s="9" cm="1">
        <f t="array" ref="C2182">IFERROR(_xlfn.XLOOKUP(B2182,Personal!$A:$A,Personal!$D:$D,""),"")</f>
        <v>0</v>
      </c>
      <c r="D2182" s="9" cm="1">
        <f t="array" ref="D2182">IFERROR(_xlfn.XLOOKUP(B2182,Personal!$A:$A,Personal!$C:$C,""),"")</f>
        <v>0</v>
      </c>
      <c r="E2182" s="9" t="str" cm="1">
        <f t="array" ref="E2182">IFERROR(_xlfn.XLOOKUP(D2182,Locales!$A:$A,Locales!$B:$B,""),"")</f>
        <v/>
      </c>
      <c r="F2182" s="9" cm="1">
        <f t="array" ref="F2182">IFERROR(_xlfn.XLOOKUP(B2182,Personal!$A:$A,Personal!$F:$F,""),"")</f>
        <v>0</v>
      </c>
      <c r="I2182" s="10" cm="1">
        <f t="array" ref="I2182">IFERROR(INDEX(Precios!$D:$F,MATCH(N2182, Precios!$G:$G, 0),CHOOSE(MATCH(H2182, {"SML";"XL";"XXL"}, 0), 1, 2, 3)), 0)</f>
        <v>0</v>
      </c>
      <c r="K2182" s="10">
        <f t="shared" si="76"/>
        <v>0</v>
      </c>
      <c r="N2182" s="9" t="str">
        <f t="shared" si="77"/>
        <v/>
      </c>
      <c r="O2182" s="9" t="str">
        <f>IF(N2182="","",IF(COUNTIF(Precios!$G:$G,N2182)=0,"⚠ No coincide con Precios","OK"))</f>
        <v/>
      </c>
    </row>
    <row r="2183" spans="3:15" x14ac:dyDescent="0.2">
      <c r="C2183" s="9" cm="1">
        <f t="array" ref="C2183">IFERROR(_xlfn.XLOOKUP(B2183,Personal!$A:$A,Personal!$D:$D,""),"")</f>
        <v>0</v>
      </c>
      <c r="D2183" s="9" cm="1">
        <f t="array" ref="D2183">IFERROR(_xlfn.XLOOKUP(B2183,Personal!$A:$A,Personal!$C:$C,""),"")</f>
        <v>0</v>
      </c>
      <c r="E2183" s="9" t="str" cm="1">
        <f t="array" ref="E2183">IFERROR(_xlfn.XLOOKUP(D2183,Locales!$A:$A,Locales!$B:$B,""),"")</f>
        <v/>
      </c>
      <c r="F2183" s="9" cm="1">
        <f t="array" ref="F2183">IFERROR(_xlfn.XLOOKUP(B2183,Personal!$A:$A,Personal!$F:$F,""),"")</f>
        <v>0</v>
      </c>
      <c r="I2183" s="10" cm="1">
        <f t="array" ref="I2183">IFERROR(INDEX(Precios!$D:$F,MATCH(N2183, Precios!$G:$G, 0),CHOOSE(MATCH(H2183, {"SML";"XL";"XXL"}, 0), 1, 2, 3)), 0)</f>
        <v>0</v>
      </c>
      <c r="K2183" s="10">
        <f t="shared" si="76"/>
        <v>0</v>
      </c>
      <c r="N2183" s="9" t="str">
        <f t="shared" si="77"/>
        <v/>
      </c>
      <c r="O2183" s="9" t="str">
        <f>IF(N2183="","",IF(COUNTIF(Precios!$G:$G,N2183)=0,"⚠ No coincide con Precios","OK"))</f>
        <v/>
      </c>
    </row>
    <row r="2184" spans="3:15" x14ac:dyDescent="0.2">
      <c r="C2184" s="9" cm="1">
        <f t="array" ref="C2184">IFERROR(_xlfn.XLOOKUP(B2184,Personal!$A:$A,Personal!$D:$D,""),"")</f>
        <v>0</v>
      </c>
      <c r="D2184" s="9" cm="1">
        <f t="array" ref="D2184">IFERROR(_xlfn.XLOOKUP(B2184,Personal!$A:$A,Personal!$C:$C,""),"")</f>
        <v>0</v>
      </c>
      <c r="E2184" s="9" t="str" cm="1">
        <f t="array" ref="E2184">IFERROR(_xlfn.XLOOKUP(D2184,Locales!$A:$A,Locales!$B:$B,""),"")</f>
        <v/>
      </c>
      <c r="F2184" s="9" cm="1">
        <f t="array" ref="F2184">IFERROR(_xlfn.XLOOKUP(B2184,Personal!$A:$A,Personal!$F:$F,""),"")</f>
        <v>0</v>
      </c>
      <c r="I2184" s="10" cm="1">
        <f t="array" ref="I2184">IFERROR(INDEX(Precios!$D:$F,MATCH(N2184, Precios!$G:$G, 0),CHOOSE(MATCH(H2184, {"SML";"XL";"XXL"}, 0), 1, 2, 3)), 0)</f>
        <v>0</v>
      </c>
      <c r="K2184" s="10">
        <f t="shared" si="76"/>
        <v>0</v>
      </c>
      <c r="N2184" s="9" t="str">
        <f t="shared" si="77"/>
        <v/>
      </c>
      <c r="O2184" s="9" t="str">
        <f>IF(N2184="","",IF(COUNTIF(Precios!$G:$G,N2184)=0,"⚠ No coincide con Precios","OK"))</f>
        <v/>
      </c>
    </row>
    <row r="2185" spans="3:15" x14ac:dyDescent="0.2">
      <c r="C2185" s="9" cm="1">
        <f t="array" ref="C2185">IFERROR(_xlfn.XLOOKUP(B2185,Personal!$A:$A,Personal!$D:$D,""),"")</f>
        <v>0</v>
      </c>
      <c r="D2185" s="9" cm="1">
        <f t="array" ref="D2185">IFERROR(_xlfn.XLOOKUP(B2185,Personal!$A:$A,Personal!$C:$C,""),"")</f>
        <v>0</v>
      </c>
      <c r="E2185" s="9" t="str" cm="1">
        <f t="array" ref="E2185">IFERROR(_xlfn.XLOOKUP(D2185,Locales!$A:$A,Locales!$B:$B,""),"")</f>
        <v/>
      </c>
      <c r="F2185" s="9" cm="1">
        <f t="array" ref="F2185">IFERROR(_xlfn.XLOOKUP(B2185,Personal!$A:$A,Personal!$F:$F,""),"")</f>
        <v>0</v>
      </c>
      <c r="I2185" s="10" cm="1">
        <f t="array" ref="I2185">IFERROR(INDEX(Precios!$D:$F,MATCH(N2185, Precios!$G:$G, 0),CHOOSE(MATCH(H2185, {"SML";"XL";"XXL"}, 0), 1, 2, 3)), 0)</f>
        <v>0</v>
      </c>
      <c r="K2185" s="10">
        <f t="shared" si="76"/>
        <v>0</v>
      </c>
      <c r="N2185" s="9" t="str">
        <f t="shared" si="77"/>
        <v/>
      </c>
      <c r="O2185" s="9" t="str">
        <f>IF(N2185="","",IF(COUNTIF(Precios!$G:$G,N2185)=0,"⚠ No coincide con Precios","OK"))</f>
        <v/>
      </c>
    </row>
    <row r="2186" spans="3:15" x14ac:dyDescent="0.2">
      <c r="C2186" s="9" cm="1">
        <f t="array" ref="C2186">IFERROR(_xlfn.XLOOKUP(B2186,Personal!$A:$A,Personal!$D:$D,""),"")</f>
        <v>0</v>
      </c>
      <c r="D2186" s="9" cm="1">
        <f t="array" ref="D2186">IFERROR(_xlfn.XLOOKUP(B2186,Personal!$A:$A,Personal!$C:$C,""),"")</f>
        <v>0</v>
      </c>
      <c r="E2186" s="9" t="str" cm="1">
        <f t="array" ref="E2186">IFERROR(_xlfn.XLOOKUP(D2186,Locales!$A:$A,Locales!$B:$B,""),"")</f>
        <v/>
      </c>
      <c r="F2186" s="9" cm="1">
        <f t="array" ref="F2186">IFERROR(_xlfn.XLOOKUP(B2186,Personal!$A:$A,Personal!$F:$F,""),"")</f>
        <v>0</v>
      </c>
      <c r="I2186" s="10" cm="1">
        <f t="array" ref="I2186">IFERROR(INDEX(Precios!$D:$F,MATCH(N2186, Precios!$G:$G, 0),CHOOSE(MATCH(H2186, {"SML";"XL";"XXL"}, 0), 1, 2, 3)), 0)</f>
        <v>0</v>
      </c>
      <c r="K2186" s="10">
        <f t="shared" si="76"/>
        <v>0</v>
      </c>
      <c r="N2186" s="9" t="str">
        <f t="shared" si="77"/>
        <v/>
      </c>
      <c r="O2186" s="9" t="str">
        <f>IF(N2186="","",IF(COUNTIF(Precios!$G:$G,N2186)=0,"⚠ No coincide con Precios","OK"))</f>
        <v/>
      </c>
    </row>
    <row r="2187" spans="3:15" x14ac:dyDescent="0.2">
      <c r="C2187" s="9" cm="1">
        <f t="array" ref="C2187">IFERROR(_xlfn.XLOOKUP(B2187,Personal!$A:$A,Personal!$D:$D,""),"")</f>
        <v>0</v>
      </c>
      <c r="D2187" s="9" cm="1">
        <f t="array" ref="D2187">IFERROR(_xlfn.XLOOKUP(B2187,Personal!$A:$A,Personal!$C:$C,""),"")</f>
        <v>0</v>
      </c>
      <c r="E2187" s="9" t="str" cm="1">
        <f t="array" ref="E2187">IFERROR(_xlfn.XLOOKUP(D2187,Locales!$A:$A,Locales!$B:$B,""),"")</f>
        <v/>
      </c>
      <c r="F2187" s="9" cm="1">
        <f t="array" ref="F2187">IFERROR(_xlfn.XLOOKUP(B2187,Personal!$A:$A,Personal!$F:$F,""),"")</f>
        <v>0</v>
      </c>
      <c r="I2187" s="10" cm="1">
        <f t="array" ref="I2187">IFERROR(INDEX(Precios!$D:$F,MATCH(N2187, Precios!$G:$G, 0),CHOOSE(MATCH(H2187, {"SML";"XL";"XXL"}, 0), 1, 2, 3)), 0)</f>
        <v>0</v>
      </c>
      <c r="K2187" s="10">
        <f t="shared" si="76"/>
        <v>0</v>
      </c>
      <c r="N2187" s="9" t="str">
        <f t="shared" si="77"/>
        <v/>
      </c>
      <c r="O2187" s="9" t="str">
        <f>IF(N2187="","",IF(COUNTIF(Precios!$G:$G,N2187)=0,"⚠ No coincide con Precios","OK"))</f>
        <v/>
      </c>
    </row>
    <row r="2188" spans="3:15" x14ac:dyDescent="0.2">
      <c r="C2188" s="9" cm="1">
        <f t="array" ref="C2188">IFERROR(_xlfn.XLOOKUP(B2188,Personal!$A:$A,Personal!$D:$D,""),"")</f>
        <v>0</v>
      </c>
      <c r="D2188" s="9" cm="1">
        <f t="array" ref="D2188">IFERROR(_xlfn.XLOOKUP(B2188,Personal!$A:$A,Personal!$C:$C,""),"")</f>
        <v>0</v>
      </c>
      <c r="E2188" s="9" t="str" cm="1">
        <f t="array" ref="E2188">IFERROR(_xlfn.XLOOKUP(D2188,Locales!$A:$A,Locales!$B:$B,""),"")</f>
        <v/>
      </c>
      <c r="F2188" s="9" cm="1">
        <f t="array" ref="F2188">IFERROR(_xlfn.XLOOKUP(B2188,Personal!$A:$A,Personal!$F:$F,""),"")</f>
        <v>0</v>
      </c>
      <c r="I2188" s="10" cm="1">
        <f t="array" ref="I2188">IFERROR(INDEX(Precios!$D:$F,MATCH(N2188, Precios!$G:$G, 0),CHOOSE(MATCH(H2188, {"SML";"XL";"XXL"}, 0), 1, 2, 3)), 0)</f>
        <v>0</v>
      </c>
      <c r="K2188" s="10">
        <f t="shared" si="76"/>
        <v>0</v>
      </c>
      <c r="N2188" s="9" t="str">
        <f t="shared" si="77"/>
        <v/>
      </c>
      <c r="O2188" s="9" t="str">
        <f>IF(N2188="","",IF(COUNTIF(Precios!$G:$G,N2188)=0,"⚠ No coincide con Precios","OK"))</f>
        <v/>
      </c>
    </row>
    <row r="2189" spans="3:15" x14ac:dyDescent="0.2">
      <c r="C2189" s="9" cm="1">
        <f t="array" ref="C2189">IFERROR(_xlfn.XLOOKUP(B2189,Personal!$A:$A,Personal!$D:$D,""),"")</f>
        <v>0</v>
      </c>
      <c r="D2189" s="9" cm="1">
        <f t="array" ref="D2189">IFERROR(_xlfn.XLOOKUP(B2189,Personal!$A:$A,Personal!$C:$C,""),"")</f>
        <v>0</v>
      </c>
      <c r="E2189" s="9" t="str" cm="1">
        <f t="array" ref="E2189">IFERROR(_xlfn.XLOOKUP(D2189,Locales!$A:$A,Locales!$B:$B,""),"")</f>
        <v/>
      </c>
      <c r="F2189" s="9" cm="1">
        <f t="array" ref="F2189">IFERROR(_xlfn.XLOOKUP(B2189,Personal!$A:$A,Personal!$F:$F,""),"")</f>
        <v>0</v>
      </c>
      <c r="I2189" s="10" cm="1">
        <f t="array" ref="I2189">IFERROR(INDEX(Precios!$D:$F,MATCH(N2189, Precios!$G:$G, 0),CHOOSE(MATCH(H2189, {"SML";"XL";"XXL"}, 0), 1, 2, 3)), 0)</f>
        <v>0</v>
      </c>
      <c r="K2189" s="10">
        <f t="shared" si="76"/>
        <v>0</v>
      </c>
      <c r="N2189" s="9" t="str">
        <f t="shared" si="77"/>
        <v/>
      </c>
      <c r="O2189" s="9" t="str">
        <f>IF(N2189="","",IF(COUNTIF(Precios!$G:$G,N2189)=0,"⚠ No coincide con Precios","OK"))</f>
        <v/>
      </c>
    </row>
    <row r="2190" spans="3:15" x14ac:dyDescent="0.2">
      <c r="C2190" s="9" cm="1">
        <f t="array" ref="C2190">IFERROR(_xlfn.XLOOKUP(B2190,Personal!$A:$A,Personal!$D:$D,""),"")</f>
        <v>0</v>
      </c>
      <c r="D2190" s="9" cm="1">
        <f t="array" ref="D2190">IFERROR(_xlfn.XLOOKUP(B2190,Personal!$A:$A,Personal!$C:$C,""),"")</f>
        <v>0</v>
      </c>
      <c r="E2190" s="9" t="str" cm="1">
        <f t="array" ref="E2190">IFERROR(_xlfn.XLOOKUP(D2190,Locales!$A:$A,Locales!$B:$B,""),"")</f>
        <v/>
      </c>
      <c r="F2190" s="9" cm="1">
        <f t="array" ref="F2190">IFERROR(_xlfn.XLOOKUP(B2190,Personal!$A:$A,Personal!$F:$F,""),"")</f>
        <v>0</v>
      </c>
      <c r="I2190" s="10" cm="1">
        <f t="array" ref="I2190">IFERROR(INDEX(Precios!$D:$F,MATCH(N2190, Precios!$G:$G, 0),CHOOSE(MATCH(H2190, {"SML";"XL";"XXL"}, 0), 1, 2, 3)), 0)</f>
        <v>0</v>
      </c>
      <c r="K2190" s="10">
        <f t="shared" si="76"/>
        <v>0</v>
      </c>
      <c r="N2190" s="9" t="str">
        <f t="shared" si="77"/>
        <v/>
      </c>
      <c r="O2190" s="9" t="str">
        <f>IF(N2190="","",IF(COUNTIF(Precios!$G:$G,N2190)=0,"⚠ No coincide con Precios","OK"))</f>
        <v/>
      </c>
    </row>
    <row r="2191" spans="3:15" x14ac:dyDescent="0.2">
      <c r="C2191" s="9" cm="1">
        <f t="array" ref="C2191">IFERROR(_xlfn.XLOOKUP(B2191,Personal!$A:$A,Personal!$D:$D,""),"")</f>
        <v>0</v>
      </c>
      <c r="D2191" s="9" cm="1">
        <f t="array" ref="D2191">IFERROR(_xlfn.XLOOKUP(B2191,Personal!$A:$A,Personal!$C:$C,""),"")</f>
        <v>0</v>
      </c>
      <c r="E2191" s="9" t="str" cm="1">
        <f t="array" ref="E2191">IFERROR(_xlfn.XLOOKUP(D2191,Locales!$A:$A,Locales!$B:$B,""),"")</f>
        <v/>
      </c>
      <c r="F2191" s="9" cm="1">
        <f t="array" ref="F2191">IFERROR(_xlfn.XLOOKUP(B2191,Personal!$A:$A,Personal!$F:$F,""),"")</f>
        <v>0</v>
      </c>
      <c r="I2191" s="10" cm="1">
        <f t="array" ref="I2191">IFERROR(INDEX(Precios!$D:$F,MATCH(N2191, Precios!$G:$G, 0),CHOOSE(MATCH(H2191, {"SML";"XL";"XXL"}, 0), 1, 2, 3)), 0)</f>
        <v>0</v>
      </c>
      <c r="K2191" s="10">
        <f t="shared" si="76"/>
        <v>0</v>
      </c>
      <c r="N2191" s="9" t="str">
        <f t="shared" si="77"/>
        <v/>
      </c>
      <c r="O2191" s="9" t="str">
        <f>IF(N2191="","",IF(COUNTIF(Precios!$G:$G,N2191)=0,"⚠ No coincide con Precios","OK"))</f>
        <v/>
      </c>
    </row>
    <row r="2192" spans="3:15" x14ac:dyDescent="0.2">
      <c r="C2192" s="9" cm="1">
        <f t="array" ref="C2192">IFERROR(_xlfn.XLOOKUP(B2192,Personal!$A:$A,Personal!$D:$D,""),"")</f>
        <v>0</v>
      </c>
      <c r="D2192" s="9" cm="1">
        <f t="array" ref="D2192">IFERROR(_xlfn.XLOOKUP(B2192,Personal!$A:$A,Personal!$C:$C,""),"")</f>
        <v>0</v>
      </c>
      <c r="E2192" s="9" t="str" cm="1">
        <f t="array" ref="E2192">IFERROR(_xlfn.XLOOKUP(D2192,Locales!$A:$A,Locales!$B:$B,""),"")</f>
        <v/>
      </c>
      <c r="F2192" s="9" cm="1">
        <f t="array" ref="F2192">IFERROR(_xlfn.XLOOKUP(B2192,Personal!$A:$A,Personal!$F:$F,""),"")</f>
        <v>0</v>
      </c>
      <c r="I2192" s="10" cm="1">
        <f t="array" ref="I2192">IFERROR(INDEX(Precios!$D:$F,MATCH(N2192, Precios!$G:$G, 0),CHOOSE(MATCH(H2192, {"SML";"XL";"XXL"}, 0), 1, 2, 3)), 0)</f>
        <v>0</v>
      </c>
      <c r="K2192" s="10">
        <f t="shared" si="76"/>
        <v>0</v>
      </c>
      <c r="N2192" s="9" t="str">
        <f t="shared" si="77"/>
        <v/>
      </c>
      <c r="O2192" s="9" t="str">
        <f>IF(N2192="","",IF(COUNTIF(Precios!$G:$G,N2192)=0,"⚠ No coincide con Precios","OK"))</f>
        <v/>
      </c>
    </row>
    <row r="2193" spans="3:15" x14ac:dyDescent="0.2">
      <c r="C2193" s="9" cm="1">
        <f t="array" ref="C2193">IFERROR(_xlfn.XLOOKUP(B2193,Personal!$A:$A,Personal!$D:$D,""),"")</f>
        <v>0</v>
      </c>
      <c r="D2193" s="9" cm="1">
        <f t="array" ref="D2193">IFERROR(_xlfn.XLOOKUP(B2193,Personal!$A:$A,Personal!$C:$C,""),"")</f>
        <v>0</v>
      </c>
      <c r="E2193" s="9" t="str" cm="1">
        <f t="array" ref="E2193">IFERROR(_xlfn.XLOOKUP(D2193,Locales!$A:$A,Locales!$B:$B,""),"")</f>
        <v/>
      </c>
      <c r="F2193" s="9" cm="1">
        <f t="array" ref="F2193">IFERROR(_xlfn.XLOOKUP(B2193,Personal!$A:$A,Personal!$F:$F,""),"")</f>
        <v>0</v>
      </c>
      <c r="I2193" s="10" cm="1">
        <f t="array" ref="I2193">IFERROR(INDEX(Precios!$D:$F,MATCH(N2193, Precios!$G:$G, 0),CHOOSE(MATCH(H2193, {"SML";"XL";"XXL"}, 0), 1, 2, 3)), 0)</f>
        <v>0</v>
      </c>
      <c r="K2193" s="10">
        <f t="shared" si="76"/>
        <v>0</v>
      </c>
      <c r="N2193" s="9" t="str">
        <f t="shared" si="77"/>
        <v/>
      </c>
      <c r="O2193" s="9" t="str">
        <f>IF(N2193="","",IF(COUNTIF(Precios!$G:$G,N2193)=0,"⚠ No coincide con Precios","OK"))</f>
        <v/>
      </c>
    </row>
    <row r="2194" spans="3:15" x14ac:dyDescent="0.2">
      <c r="C2194" s="9" cm="1">
        <f t="array" ref="C2194">IFERROR(_xlfn.XLOOKUP(B2194,Personal!$A:$A,Personal!$D:$D,""),"")</f>
        <v>0</v>
      </c>
      <c r="D2194" s="9" cm="1">
        <f t="array" ref="D2194">IFERROR(_xlfn.XLOOKUP(B2194,Personal!$A:$A,Personal!$C:$C,""),"")</f>
        <v>0</v>
      </c>
      <c r="E2194" s="9" t="str" cm="1">
        <f t="array" ref="E2194">IFERROR(_xlfn.XLOOKUP(D2194,Locales!$A:$A,Locales!$B:$B,""),"")</f>
        <v/>
      </c>
      <c r="F2194" s="9" cm="1">
        <f t="array" ref="F2194">IFERROR(_xlfn.XLOOKUP(B2194,Personal!$A:$A,Personal!$F:$F,""),"")</f>
        <v>0</v>
      </c>
      <c r="I2194" s="10" cm="1">
        <f t="array" ref="I2194">IFERROR(INDEX(Precios!$D:$F,MATCH(N2194, Precios!$G:$G, 0),CHOOSE(MATCH(H2194, {"SML";"XL";"XXL"}, 0), 1, 2, 3)), 0)</f>
        <v>0</v>
      </c>
      <c r="K2194" s="10">
        <f t="shared" si="76"/>
        <v>0</v>
      </c>
      <c r="N2194" s="9" t="str">
        <f t="shared" si="77"/>
        <v/>
      </c>
      <c r="O2194" s="9" t="str">
        <f>IF(N2194="","",IF(COUNTIF(Precios!$G:$G,N2194)=0,"⚠ No coincide con Precios","OK"))</f>
        <v/>
      </c>
    </row>
    <row r="2195" spans="3:15" x14ac:dyDescent="0.2">
      <c r="C2195" s="9" cm="1">
        <f t="array" ref="C2195">IFERROR(_xlfn.XLOOKUP(B2195,Personal!$A:$A,Personal!$D:$D,""),"")</f>
        <v>0</v>
      </c>
      <c r="D2195" s="9" cm="1">
        <f t="array" ref="D2195">IFERROR(_xlfn.XLOOKUP(B2195,Personal!$A:$A,Personal!$C:$C,""),"")</f>
        <v>0</v>
      </c>
      <c r="E2195" s="9" t="str" cm="1">
        <f t="array" ref="E2195">IFERROR(_xlfn.XLOOKUP(D2195,Locales!$A:$A,Locales!$B:$B,""),"")</f>
        <v/>
      </c>
      <c r="F2195" s="9" cm="1">
        <f t="array" ref="F2195">IFERROR(_xlfn.XLOOKUP(B2195,Personal!$A:$A,Personal!$F:$F,""),"")</f>
        <v>0</v>
      </c>
      <c r="I2195" s="10" cm="1">
        <f t="array" ref="I2195">IFERROR(INDEX(Precios!$D:$F,MATCH(N2195, Precios!$G:$G, 0),CHOOSE(MATCH(H2195, {"SML";"XL";"XXL"}, 0), 1, 2, 3)), 0)</f>
        <v>0</v>
      </c>
      <c r="K2195" s="10">
        <f t="shared" si="76"/>
        <v>0</v>
      </c>
      <c r="N2195" s="9" t="str">
        <f t="shared" si="77"/>
        <v/>
      </c>
      <c r="O2195" s="9" t="str">
        <f>IF(N2195="","",IF(COUNTIF(Precios!$G:$G,N2195)=0,"⚠ No coincide con Precios","OK"))</f>
        <v/>
      </c>
    </row>
    <row r="2196" spans="3:15" x14ac:dyDescent="0.2">
      <c r="C2196" s="9" cm="1">
        <f t="array" ref="C2196">IFERROR(_xlfn.XLOOKUP(B2196,Personal!$A:$A,Personal!$D:$D,""),"")</f>
        <v>0</v>
      </c>
      <c r="D2196" s="9" cm="1">
        <f t="array" ref="D2196">IFERROR(_xlfn.XLOOKUP(B2196,Personal!$A:$A,Personal!$C:$C,""),"")</f>
        <v>0</v>
      </c>
      <c r="E2196" s="9" t="str" cm="1">
        <f t="array" ref="E2196">IFERROR(_xlfn.XLOOKUP(D2196,Locales!$A:$A,Locales!$B:$B,""),"")</f>
        <v/>
      </c>
      <c r="F2196" s="9" cm="1">
        <f t="array" ref="F2196">IFERROR(_xlfn.XLOOKUP(B2196,Personal!$A:$A,Personal!$F:$F,""),"")</f>
        <v>0</v>
      </c>
      <c r="I2196" s="10" cm="1">
        <f t="array" ref="I2196">IFERROR(INDEX(Precios!$D:$F,MATCH(N2196, Precios!$G:$G, 0),CHOOSE(MATCH(H2196, {"SML";"XL";"XXL"}, 0), 1, 2, 3)), 0)</f>
        <v>0</v>
      </c>
      <c r="K2196" s="10">
        <f t="shared" si="76"/>
        <v>0</v>
      </c>
      <c r="N2196" s="9" t="str">
        <f t="shared" si="77"/>
        <v/>
      </c>
      <c r="O2196" s="9" t="str">
        <f>IF(N2196="","",IF(COUNTIF(Precios!$G:$G,N2196)=0,"⚠ No coincide con Precios","OK"))</f>
        <v/>
      </c>
    </row>
    <row r="2197" spans="3:15" x14ac:dyDescent="0.2">
      <c r="C2197" s="9" cm="1">
        <f t="array" ref="C2197">IFERROR(_xlfn.XLOOKUP(B2197,Personal!$A:$A,Personal!$D:$D,""),"")</f>
        <v>0</v>
      </c>
      <c r="D2197" s="9" cm="1">
        <f t="array" ref="D2197">IFERROR(_xlfn.XLOOKUP(B2197,Personal!$A:$A,Personal!$C:$C,""),"")</f>
        <v>0</v>
      </c>
      <c r="E2197" s="9" t="str" cm="1">
        <f t="array" ref="E2197">IFERROR(_xlfn.XLOOKUP(D2197,Locales!$A:$A,Locales!$B:$B,""),"")</f>
        <v/>
      </c>
      <c r="F2197" s="9" cm="1">
        <f t="array" ref="F2197">IFERROR(_xlfn.XLOOKUP(B2197,Personal!$A:$A,Personal!$F:$F,""),"")</f>
        <v>0</v>
      </c>
      <c r="I2197" s="10" cm="1">
        <f t="array" ref="I2197">IFERROR(INDEX(Precios!$D:$F,MATCH(N2197, Precios!$G:$G, 0),CHOOSE(MATCH(H2197, {"SML";"XL";"XXL"}, 0), 1, 2, 3)), 0)</f>
        <v>0</v>
      </c>
      <c r="K2197" s="10">
        <f t="shared" si="76"/>
        <v>0</v>
      </c>
      <c r="N2197" s="9" t="str">
        <f t="shared" si="77"/>
        <v/>
      </c>
      <c r="O2197" s="9" t="str">
        <f>IF(N2197="","",IF(COUNTIF(Precios!$G:$G,N2197)=0,"⚠ No coincide con Precios","OK"))</f>
        <v/>
      </c>
    </row>
    <row r="2198" spans="3:15" x14ac:dyDescent="0.2">
      <c r="C2198" s="9" cm="1">
        <f t="array" ref="C2198">IFERROR(_xlfn.XLOOKUP(B2198,Personal!$A:$A,Personal!$D:$D,""),"")</f>
        <v>0</v>
      </c>
      <c r="D2198" s="9" cm="1">
        <f t="array" ref="D2198">IFERROR(_xlfn.XLOOKUP(B2198,Personal!$A:$A,Personal!$C:$C,""),"")</f>
        <v>0</v>
      </c>
      <c r="E2198" s="9" t="str" cm="1">
        <f t="array" ref="E2198">IFERROR(_xlfn.XLOOKUP(D2198,Locales!$A:$A,Locales!$B:$B,""),"")</f>
        <v/>
      </c>
      <c r="F2198" s="9" cm="1">
        <f t="array" ref="F2198">IFERROR(_xlfn.XLOOKUP(B2198,Personal!$A:$A,Personal!$F:$F,""),"")</f>
        <v>0</v>
      </c>
      <c r="I2198" s="10" cm="1">
        <f t="array" ref="I2198">IFERROR(INDEX(Precios!$D:$F,MATCH(N2198, Precios!$G:$G, 0),CHOOSE(MATCH(H2198, {"SML";"XL";"XXL"}, 0), 1, 2, 3)), 0)</f>
        <v>0</v>
      </c>
      <c r="K2198" s="10">
        <f t="shared" si="76"/>
        <v>0</v>
      </c>
      <c r="N2198" s="9" t="str">
        <f t="shared" si="77"/>
        <v/>
      </c>
      <c r="O2198" s="9" t="str">
        <f>IF(N2198="","",IF(COUNTIF(Precios!$G:$G,N2198)=0,"⚠ No coincide con Precios","OK"))</f>
        <v/>
      </c>
    </row>
    <row r="2199" spans="3:15" x14ac:dyDescent="0.2">
      <c r="C2199" s="9" cm="1">
        <f t="array" ref="C2199">IFERROR(_xlfn.XLOOKUP(B2199,Personal!$A:$A,Personal!$D:$D,""),"")</f>
        <v>0</v>
      </c>
      <c r="D2199" s="9" cm="1">
        <f t="array" ref="D2199">IFERROR(_xlfn.XLOOKUP(B2199,Personal!$A:$A,Personal!$C:$C,""),"")</f>
        <v>0</v>
      </c>
      <c r="E2199" s="9" t="str" cm="1">
        <f t="array" ref="E2199">IFERROR(_xlfn.XLOOKUP(D2199,Locales!$A:$A,Locales!$B:$B,""),"")</f>
        <v/>
      </c>
      <c r="F2199" s="9" cm="1">
        <f t="array" ref="F2199">IFERROR(_xlfn.XLOOKUP(B2199,Personal!$A:$A,Personal!$F:$F,""),"")</f>
        <v>0</v>
      </c>
      <c r="I2199" s="10" cm="1">
        <f t="array" ref="I2199">IFERROR(INDEX(Precios!$D:$F,MATCH(N2199, Precios!$G:$G, 0),CHOOSE(MATCH(H2199, {"SML";"XL";"XXL"}, 0), 1, 2, 3)), 0)</f>
        <v>0</v>
      </c>
      <c r="K2199" s="10">
        <f t="shared" si="76"/>
        <v>0</v>
      </c>
      <c r="N2199" s="9" t="str">
        <f t="shared" si="77"/>
        <v/>
      </c>
      <c r="O2199" s="9" t="str">
        <f>IF(N2199="","",IF(COUNTIF(Precios!$G:$G,N2199)=0,"⚠ No coincide con Precios","OK"))</f>
        <v/>
      </c>
    </row>
    <row r="2200" spans="3:15" x14ac:dyDescent="0.2">
      <c r="C2200" s="9" cm="1">
        <f t="array" ref="C2200">IFERROR(_xlfn.XLOOKUP(B2200,Personal!$A:$A,Personal!$D:$D,""),"")</f>
        <v>0</v>
      </c>
      <c r="D2200" s="9" cm="1">
        <f t="array" ref="D2200">IFERROR(_xlfn.XLOOKUP(B2200,Personal!$A:$A,Personal!$C:$C,""),"")</f>
        <v>0</v>
      </c>
      <c r="E2200" s="9" t="str" cm="1">
        <f t="array" ref="E2200">IFERROR(_xlfn.XLOOKUP(D2200,Locales!$A:$A,Locales!$B:$B,""),"")</f>
        <v/>
      </c>
      <c r="F2200" s="9" cm="1">
        <f t="array" ref="F2200">IFERROR(_xlfn.XLOOKUP(B2200,Personal!$A:$A,Personal!$F:$F,""),"")</f>
        <v>0</v>
      </c>
      <c r="I2200" s="10" cm="1">
        <f t="array" ref="I2200">IFERROR(INDEX(Precios!$D:$F,MATCH(N2200, Precios!$G:$G, 0),CHOOSE(MATCH(H2200, {"SML";"XL";"XXL"}, 0), 1, 2, 3)), 0)</f>
        <v>0</v>
      </c>
      <c r="K2200" s="10">
        <f t="shared" si="76"/>
        <v>0</v>
      </c>
      <c r="N2200" s="9" t="str">
        <f t="shared" si="77"/>
        <v/>
      </c>
      <c r="O2200" s="9" t="str">
        <f>IF(N2200="","",IF(COUNTIF(Precios!$G:$G,N2200)=0,"⚠ No coincide con Precios","OK"))</f>
        <v/>
      </c>
    </row>
    <row r="2201" spans="3:15" x14ac:dyDescent="0.2">
      <c r="C2201" s="9" cm="1">
        <f t="array" ref="C2201">IFERROR(_xlfn.XLOOKUP(B2201,Personal!$A:$A,Personal!$D:$D,""),"")</f>
        <v>0</v>
      </c>
      <c r="D2201" s="9" cm="1">
        <f t="array" ref="D2201">IFERROR(_xlfn.XLOOKUP(B2201,Personal!$A:$A,Personal!$C:$C,""),"")</f>
        <v>0</v>
      </c>
      <c r="E2201" s="9" t="str" cm="1">
        <f t="array" ref="E2201">IFERROR(_xlfn.XLOOKUP(D2201,Locales!$A:$A,Locales!$B:$B,""),"")</f>
        <v/>
      </c>
      <c r="F2201" s="9" cm="1">
        <f t="array" ref="F2201">IFERROR(_xlfn.XLOOKUP(B2201,Personal!$A:$A,Personal!$F:$F,""),"")</f>
        <v>0</v>
      </c>
      <c r="I2201" s="10" cm="1">
        <f t="array" ref="I2201">IFERROR(INDEX(Precios!$D:$F,MATCH(N2201, Precios!$G:$G, 0),CHOOSE(MATCH(H2201, {"SML";"XL";"XXL"}, 0), 1, 2, 3)), 0)</f>
        <v>0</v>
      </c>
      <c r="K2201" s="10">
        <f t="shared" si="76"/>
        <v>0</v>
      </c>
      <c r="N2201" s="9" t="str">
        <f t="shared" si="77"/>
        <v/>
      </c>
      <c r="O2201" s="9" t="str">
        <f>IF(N2201="","",IF(COUNTIF(Precios!$G:$G,N2201)=0,"⚠ No coincide con Precios","OK"))</f>
        <v/>
      </c>
    </row>
    <row r="2202" spans="3:15" x14ac:dyDescent="0.2">
      <c r="C2202" s="9" cm="1">
        <f t="array" ref="C2202">IFERROR(_xlfn.XLOOKUP(B2202,Personal!$A:$A,Personal!$D:$D,""),"")</f>
        <v>0</v>
      </c>
      <c r="D2202" s="9" cm="1">
        <f t="array" ref="D2202">IFERROR(_xlfn.XLOOKUP(B2202,Personal!$A:$A,Personal!$C:$C,""),"")</f>
        <v>0</v>
      </c>
      <c r="E2202" s="9" t="str" cm="1">
        <f t="array" ref="E2202">IFERROR(_xlfn.XLOOKUP(D2202,Locales!$A:$A,Locales!$B:$B,""),"")</f>
        <v/>
      </c>
      <c r="F2202" s="9" cm="1">
        <f t="array" ref="F2202">IFERROR(_xlfn.XLOOKUP(B2202,Personal!$A:$A,Personal!$F:$F,""),"")</f>
        <v>0</v>
      </c>
      <c r="I2202" s="10" cm="1">
        <f t="array" ref="I2202">IFERROR(INDEX(Precios!$D:$F,MATCH(N2202, Precios!$G:$G, 0),CHOOSE(MATCH(H2202, {"SML";"XL";"XXL"}, 0), 1, 2, 3)), 0)</f>
        <v>0</v>
      </c>
      <c r="K2202" s="10">
        <f t="shared" si="76"/>
        <v>0</v>
      </c>
      <c r="N2202" s="9" t="str">
        <f t="shared" si="77"/>
        <v/>
      </c>
      <c r="O2202" s="9" t="str">
        <f>IF(N2202="","",IF(COUNTIF(Precios!$G:$G,N2202)=0,"⚠ No coincide con Precios","OK"))</f>
        <v/>
      </c>
    </row>
    <row r="2203" spans="3:15" x14ac:dyDescent="0.2">
      <c r="C2203" s="9" cm="1">
        <f t="array" ref="C2203">IFERROR(_xlfn.XLOOKUP(B2203,Personal!$A:$A,Personal!$D:$D,""),"")</f>
        <v>0</v>
      </c>
      <c r="D2203" s="9" cm="1">
        <f t="array" ref="D2203">IFERROR(_xlfn.XLOOKUP(B2203,Personal!$A:$A,Personal!$C:$C,""),"")</f>
        <v>0</v>
      </c>
      <c r="E2203" s="9" t="str" cm="1">
        <f t="array" ref="E2203">IFERROR(_xlfn.XLOOKUP(D2203,Locales!$A:$A,Locales!$B:$B,""),"")</f>
        <v/>
      </c>
      <c r="F2203" s="9" cm="1">
        <f t="array" ref="F2203">IFERROR(_xlfn.XLOOKUP(B2203,Personal!$A:$A,Personal!$F:$F,""),"")</f>
        <v>0</v>
      </c>
      <c r="I2203" s="10" cm="1">
        <f t="array" ref="I2203">IFERROR(INDEX(Precios!$D:$F,MATCH(N2203, Precios!$G:$G, 0),CHOOSE(MATCH(H2203, {"SML";"XL";"XXL"}, 0), 1, 2, 3)), 0)</f>
        <v>0</v>
      </c>
      <c r="K2203" s="10">
        <f t="shared" si="76"/>
        <v>0</v>
      </c>
      <c r="N2203" s="9" t="str">
        <f t="shared" si="77"/>
        <v/>
      </c>
      <c r="O2203" s="9" t="str">
        <f>IF(N2203="","",IF(COUNTIF(Precios!$G:$G,N2203)=0,"⚠ No coincide con Precios","OK"))</f>
        <v/>
      </c>
    </row>
    <row r="2204" spans="3:15" x14ac:dyDescent="0.2">
      <c r="C2204" s="9" cm="1">
        <f t="array" ref="C2204">IFERROR(_xlfn.XLOOKUP(B2204,Personal!$A:$A,Personal!$D:$D,""),"")</f>
        <v>0</v>
      </c>
      <c r="D2204" s="9" cm="1">
        <f t="array" ref="D2204">IFERROR(_xlfn.XLOOKUP(B2204,Personal!$A:$A,Personal!$C:$C,""),"")</f>
        <v>0</v>
      </c>
      <c r="E2204" s="9" t="str" cm="1">
        <f t="array" ref="E2204">IFERROR(_xlfn.XLOOKUP(D2204,Locales!$A:$A,Locales!$B:$B,""),"")</f>
        <v/>
      </c>
      <c r="F2204" s="9" cm="1">
        <f t="array" ref="F2204">IFERROR(_xlfn.XLOOKUP(B2204,Personal!$A:$A,Personal!$F:$F,""),"")</f>
        <v>0</v>
      </c>
      <c r="I2204" s="10" cm="1">
        <f t="array" ref="I2204">IFERROR(INDEX(Precios!$D:$F,MATCH(N2204, Precios!$G:$G, 0),CHOOSE(MATCH(H2204, {"SML";"XL";"XXL"}, 0), 1, 2, 3)), 0)</f>
        <v>0</v>
      </c>
      <c r="K2204" s="10">
        <f t="shared" si="76"/>
        <v>0</v>
      </c>
      <c r="N2204" s="9" t="str">
        <f t="shared" si="77"/>
        <v/>
      </c>
      <c r="O2204" s="9" t="str">
        <f>IF(N2204="","",IF(COUNTIF(Precios!$G:$G,N2204)=0,"⚠ No coincide con Precios","OK"))</f>
        <v/>
      </c>
    </row>
    <row r="2205" spans="3:15" x14ac:dyDescent="0.2">
      <c r="C2205" s="9" cm="1">
        <f t="array" ref="C2205">IFERROR(_xlfn.XLOOKUP(B2205,Personal!$A:$A,Personal!$D:$D,""),"")</f>
        <v>0</v>
      </c>
      <c r="D2205" s="9" cm="1">
        <f t="array" ref="D2205">IFERROR(_xlfn.XLOOKUP(B2205,Personal!$A:$A,Personal!$C:$C,""),"")</f>
        <v>0</v>
      </c>
      <c r="E2205" s="9" t="str" cm="1">
        <f t="array" ref="E2205">IFERROR(_xlfn.XLOOKUP(D2205,Locales!$A:$A,Locales!$B:$B,""),"")</f>
        <v/>
      </c>
      <c r="F2205" s="9" cm="1">
        <f t="array" ref="F2205">IFERROR(_xlfn.XLOOKUP(B2205,Personal!$A:$A,Personal!$F:$F,""),"")</f>
        <v>0</v>
      </c>
      <c r="I2205" s="10" cm="1">
        <f t="array" ref="I2205">IFERROR(INDEX(Precios!$D:$F,MATCH(N2205, Precios!$G:$G, 0),CHOOSE(MATCH(H2205, {"SML";"XL";"XXL"}, 0), 1, 2, 3)), 0)</f>
        <v>0</v>
      </c>
      <c r="K2205" s="10">
        <f t="shared" si="76"/>
        <v>0</v>
      </c>
      <c r="N2205" s="9" t="str">
        <f t="shared" si="77"/>
        <v/>
      </c>
      <c r="O2205" s="9" t="str">
        <f>IF(N2205="","",IF(COUNTIF(Precios!$G:$G,N2205)=0,"⚠ No coincide con Precios","OK"))</f>
        <v/>
      </c>
    </row>
    <row r="2206" spans="3:15" x14ac:dyDescent="0.2">
      <c r="C2206" s="9" cm="1">
        <f t="array" ref="C2206">IFERROR(_xlfn.XLOOKUP(B2206,Personal!$A:$A,Personal!$D:$D,""),"")</f>
        <v>0</v>
      </c>
      <c r="D2206" s="9" cm="1">
        <f t="array" ref="D2206">IFERROR(_xlfn.XLOOKUP(B2206,Personal!$A:$A,Personal!$C:$C,""),"")</f>
        <v>0</v>
      </c>
      <c r="E2206" s="9" t="str" cm="1">
        <f t="array" ref="E2206">IFERROR(_xlfn.XLOOKUP(D2206,Locales!$A:$A,Locales!$B:$B,""),"")</f>
        <v/>
      </c>
      <c r="F2206" s="9" cm="1">
        <f t="array" ref="F2206">IFERROR(_xlfn.XLOOKUP(B2206,Personal!$A:$A,Personal!$F:$F,""),"")</f>
        <v>0</v>
      </c>
      <c r="I2206" s="10" cm="1">
        <f t="array" ref="I2206">IFERROR(INDEX(Precios!$D:$F,MATCH(N2206, Precios!$G:$G, 0),CHOOSE(MATCH(H2206, {"SML";"XL";"XXL"}, 0), 1, 2, 3)), 0)</f>
        <v>0</v>
      </c>
      <c r="K2206" s="10">
        <f t="shared" si="76"/>
        <v>0</v>
      </c>
      <c r="N2206" s="9" t="str">
        <f t="shared" si="77"/>
        <v/>
      </c>
      <c r="O2206" s="9" t="str">
        <f>IF(N2206="","",IF(COUNTIF(Precios!$G:$G,N2206)=0,"⚠ No coincide con Precios","OK"))</f>
        <v/>
      </c>
    </row>
    <row r="2207" spans="3:15" x14ac:dyDescent="0.2">
      <c r="C2207" s="9" cm="1">
        <f t="array" ref="C2207">IFERROR(_xlfn.XLOOKUP(B2207,Personal!$A:$A,Personal!$D:$D,""),"")</f>
        <v>0</v>
      </c>
      <c r="D2207" s="9" cm="1">
        <f t="array" ref="D2207">IFERROR(_xlfn.XLOOKUP(B2207,Personal!$A:$A,Personal!$C:$C,""),"")</f>
        <v>0</v>
      </c>
      <c r="E2207" s="9" t="str" cm="1">
        <f t="array" ref="E2207">IFERROR(_xlfn.XLOOKUP(D2207,Locales!$A:$A,Locales!$B:$B,""),"")</f>
        <v/>
      </c>
      <c r="F2207" s="9" cm="1">
        <f t="array" ref="F2207">IFERROR(_xlfn.XLOOKUP(B2207,Personal!$A:$A,Personal!$F:$F,""),"")</f>
        <v>0</v>
      </c>
      <c r="I2207" s="10" cm="1">
        <f t="array" ref="I2207">IFERROR(INDEX(Precios!$D:$F,MATCH(N2207, Precios!$G:$G, 0),CHOOSE(MATCH(H2207, {"SML";"XL";"XXL"}, 0), 1, 2, 3)), 0)</f>
        <v>0</v>
      </c>
      <c r="K2207" s="10">
        <f t="shared" si="76"/>
        <v>0</v>
      </c>
      <c r="N2207" s="9" t="str">
        <f t="shared" si="77"/>
        <v/>
      </c>
      <c r="O2207" s="9" t="str">
        <f>IF(N2207="","",IF(COUNTIF(Precios!$G:$G,N2207)=0,"⚠ No coincide con Precios","OK"))</f>
        <v/>
      </c>
    </row>
    <row r="2208" spans="3:15" x14ac:dyDescent="0.2">
      <c r="C2208" s="9" cm="1">
        <f t="array" ref="C2208">IFERROR(_xlfn.XLOOKUP(B2208,Personal!$A:$A,Personal!$D:$D,""),"")</f>
        <v>0</v>
      </c>
      <c r="D2208" s="9" cm="1">
        <f t="array" ref="D2208">IFERROR(_xlfn.XLOOKUP(B2208,Personal!$A:$A,Personal!$C:$C,""),"")</f>
        <v>0</v>
      </c>
      <c r="E2208" s="9" t="str" cm="1">
        <f t="array" ref="E2208">IFERROR(_xlfn.XLOOKUP(D2208,Locales!$A:$A,Locales!$B:$B,""),"")</f>
        <v/>
      </c>
      <c r="F2208" s="9" cm="1">
        <f t="array" ref="F2208">IFERROR(_xlfn.XLOOKUP(B2208,Personal!$A:$A,Personal!$F:$F,""),"")</f>
        <v>0</v>
      </c>
      <c r="I2208" s="10" cm="1">
        <f t="array" ref="I2208">IFERROR(INDEX(Precios!$D:$F,MATCH(N2208, Precios!$G:$G, 0),CHOOSE(MATCH(H2208, {"SML";"XL";"XXL"}, 0), 1, 2, 3)), 0)</f>
        <v>0</v>
      </c>
      <c r="K2208" s="10">
        <f t="shared" si="76"/>
        <v>0</v>
      </c>
      <c r="N2208" s="9" t="str">
        <f t="shared" si="77"/>
        <v/>
      </c>
      <c r="O2208" s="9" t="str">
        <f>IF(N2208="","",IF(COUNTIF(Precios!$G:$G,N2208)=0,"⚠ No coincide con Precios","OK"))</f>
        <v/>
      </c>
    </row>
    <row r="2209" spans="3:15" x14ac:dyDescent="0.2">
      <c r="C2209" s="9" cm="1">
        <f t="array" ref="C2209">IFERROR(_xlfn.XLOOKUP(B2209,Personal!$A:$A,Personal!$D:$D,""),"")</f>
        <v>0</v>
      </c>
      <c r="D2209" s="9" cm="1">
        <f t="array" ref="D2209">IFERROR(_xlfn.XLOOKUP(B2209,Personal!$A:$A,Personal!$C:$C,""),"")</f>
        <v>0</v>
      </c>
      <c r="E2209" s="9" t="str" cm="1">
        <f t="array" ref="E2209">IFERROR(_xlfn.XLOOKUP(D2209,Locales!$A:$A,Locales!$B:$B,""),"")</f>
        <v/>
      </c>
      <c r="F2209" s="9" cm="1">
        <f t="array" ref="F2209">IFERROR(_xlfn.XLOOKUP(B2209,Personal!$A:$A,Personal!$F:$F,""),"")</f>
        <v>0</v>
      </c>
      <c r="I2209" s="10" cm="1">
        <f t="array" ref="I2209">IFERROR(INDEX(Precios!$D:$F,MATCH(N2209, Precios!$G:$G, 0),CHOOSE(MATCH(H2209, {"SML";"XL";"XXL"}, 0), 1, 2, 3)), 0)</f>
        <v>0</v>
      </c>
      <c r="K2209" s="10">
        <f t="shared" si="76"/>
        <v>0</v>
      </c>
      <c r="N2209" s="9" t="str">
        <f t="shared" si="77"/>
        <v/>
      </c>
      <c r="O2209" s="9" t="str">
        <f>IF(N2209="","",IF(COUNTIF(Precios!$G:$G,N2209)=0,"⚠ No coincide con Precios","OK"))</f>
        <v/>
      </c>
    </row>
    <row r="2210" spans="3:15" x14ac:dyDescent="0.2">
      <c r="C2210" s="9" cm="1">
        <f t="array" ref="C2210">IFERROR(_xlfn.XLOOKUP(B2210,Personal!$A:$A,Personal!$D:$D,""),"")</f>
        <v>0</v>
      </c>
      <c r="D2210" s="9" cm="1">
        <f t="array" ref="D2210">IFERROR(_xlfn.XLOOKUP(B2210,Personal!$A:$A,Personal!$C:$C,""),"")</f>
        <v>0</v>
      </c>
      <c r="E2210" s="9" t="str" cm="1">
        <f t="array" ref="E2210">IFERROR(_xlfn.XLOOKUP(D2210,Locales!$A:$A,Locales!$B:$B,""),"")</f>
        <v/>
      </c>
      <c r="F2210" s="9" cm="1">
        <f t="array" ref="F2210">IFERROR(_xlfn.XLOOKUP(B2210,Personal!$A:$A,Personal!$F:$F,""),"")</f>
        <v>0</v>
      </c>
      <c r="I2210" s="10" cm="1">
        <f t="array" ref="I2210">IFERROR(INDEX(Precios!$D:$F,MATCH(N2210, Precios!$G:$G, 0),CHOOSE(MATCH(H2210, {"SML";"XL";"XXL"}, 0), 1, 2, 3)), 0)</f>
        <v>0</v>
      </c>
      <c r="K2210" s="10">
        <f t="shared" si="76"/>
        <v>0</v>
      </c>
      <c r="N2210" s="9" t="str">
        <f t="shared" si="77"/>
        <v/>
      </c>
      <c r="O2210" s="9" t="str">
        <f>IF(N2210="","",IF(COUNTIF(Precios!$G:$G,N2210)=0,"⚠ No coincide con Precios","OK"))</f>
        <v/>
      </c>
    </row>
    <row r="2211" spans="3:15" x14ac:dyDescent="0.2">
      <c r="C2211" s="9" cm="1">
        <f t="array" ref="C2211">IFERROR(_xlfn.XLOOKUP(B2211,Personal!$A:$A,Personal!$D:$D,""),"")</f>
        <v>0</v>
      </c>
      <c r="D2211" s="9" cm="1">
        <f t="array" ref="D2211">IFERROR(_xlfn.XLOOKUP(B2211,Personal!$A:$A,Personal!$C:$C,""),"")</f>
        <v>0</v>
      </c>
      <c r="E2211" s="9" t="str" cm="1">
        <f t="array" ref="E2211">IFERROR(_xlfn.XLOOKUP(D2211,Locales!$A:$A,Locales!$B:$B,""),"")</f>
        <v/>
      </c>
      <c r="F2211" s="9" cm="1">
        <f t="array" ref="F2211">IFERROR(_xlfn.XLOOKUP(B2211,Personal!$A:$A,Personal!$F:$F,""),"")</f>
        <v>0</v>
      </c>
      <c r="I2211" s="10" cm="1">
        <f t="array" ref="I2211">IFERROR(INDEX(Precios!$D:$F,MATCH(N2211, Precios!$G:$G, 0),CHOOSE(MATCH(H2211, {"SML";"XL";"XXL"}, 0), 1, 2, 3)), 0)</f>
        <v>0</v>
      </c>
      <c r="K2211" s="10">
        <f t="shared" si="76"/>
        <v>0</v>
      </c>
      <c r="N2211" s="9" t="str">
        <f t="shared" si="77"/>
        <v/>
      </c>
      <c r="O2211" s="9" t="str">
        <f>IF(N2211="","",IF(COUNTIF(Precios!$G:$G,N2211)=0,"⚠ No coincide con Precios","OK"))</f>
        <v/>
      </c>
    </row>
    <row r="2212" spans="3:15" x14ac:dyDescent="0.2">
      <c r="C2212" s="9" cm="1">
        <f t="array" ref="C2212">IFERROR(_xlfn.XLOOKUP(B2212,Personal!$A:$A,Personal!$D:$D,""),"")</f>
        <v>0</v>
      </c>
      <c r="D2212" s="9" cm="1">
        <f t="array" ref="D2212">IFERROR(_xlfn.XLOOKUP(B2212,Personal!$A:$A,Personal!$C:$C,""),"")</f>
        <v>0</v>
      </c>
      <c r="E2212" s="9" t="str" cm="1">
        <f t="array" ref="E2212">IFERROR(_xlfn.XLOOKUP(D2212,Locales!$A:$A,Locales!$B:$B,""),"")</f>
        <v/>
      </c>
      <c r="F2212" s="9" cm="1">
        <f t="array" ref="F2212">IFERROR(_xlfn.XLOOKUP(B2212,Personal!$A:$A,Personal!$F:$F,""),"")</f>
        <v>0</v>
      </c>
      <c r="I2212" s="10" cm="1">
        <f t="array" ref="I2212">IFERROR(INDEX(Precios!$D:$F,MATCH(N2212, Precios!$G:$G, 0),CHOOSE(MATCH(H2212, {"SML";"XL";"XXL"}, 0), 1, 2, 3)), 0)</f>
        <v>0</v>
      </c>
      <c r="K2212" s="10">
        <f t="shared" si="76"/>
        <v>0</v>
      </c>
      <c r="N2212" s="9" t="str">
        <f t="shared" si="77"/>
        <v/>
      </c>
      <c r="O2212" s="9" t="str">
        <f>IF(N2212="","",IF(COUNTIF(Precios!$G:$G,N2212)=0,"⚠ No coincide con Precios","OK"))</f>
        <v/>
      </c>
    </row>
    <row r="2213" spans="3:15" x14ac:dyDescent="0.2">
      <c r="C2213" s="9" cm="1">
        <f t="array" ref="C2213">IFERROR(_xlfn.XLOOKUP(B2213,Personal!$A:$A,Personal!$D:$D,""),"")</f>
        <v>0</v>
      </c>
      <c r="D2213" s="9" cm="1">
        <f t="array" ref="D2213">IFERROR(_xlfn.XLOOKUP(B2213,Personal!$A:$A,Personal!$C:$C,""),"")</f>
        <v>0</v>
      </c>
      <c r="E2213" s="9" t="str" cm="1">
        <f t="array" ref="E2213">IFERROR(_xlfn.XLOOKUP(D2213,Locales!$A:$A,Locales!$B:$B,""),"")</f>
        <v/>
      </c>
      <c r="F2213" s="9" cm="1">
        <f t="array" ref="F2213">IFERROR(_xlfn.XLOOKUP(B2213,Personal!$A:$A,Personal!$F:$F,""),"")</f>
        <v>0</v>
      </c>
      <c r="I2213" s="10" cm="1">
        <f t="array" ref="I2213">IFERROR(INDEX(Precios!$D:$F,MATCH(N2213, Precios!$G:$G, 0),CHOOSE(MATCH(H2213, {"SML";"XL";"XXL"}, 0), 1, 2, 3)), 0)</f>
        <v>0</v>
      </c>
      <c r="K2213" s="10">
        <f t="shared" si="76"/>
        <v>0</v>
      </c>
      <c r="N2213" s="9" t="str">
        <f t="shared" si="77"/>
        <v/>
      </c>
      <c r="O2213" s="9" t="str">
        <f>IF(N2213="","",IF(COUNTIF(Precios!$G:$G,N2213)=0,"⚠ No coincide con Precios","OK"))</f>
        <v/>
      </c>
    </row>
    <row r="2214" spans="3:15" x14ac:dyDescent="0.2">
      <c r="C2214" s="9" cm="1">
        <f t="array" ref="C2214">IFERROR(_xlfn.XLOOKUP(B2214,Personal!$A:$A,Personal!$D:$D,""),"")</f>
        <v>0</v>
      </c>
      <c r="D2214" s="9" cm="1">
        <f t="array" ref="D2214">IFERROR(_xlfn.XLOOKUP(B2214,Personal!$A:$A,Personal!$C:$C,""),"")</f>
        <v>0</v>
      </c>
      <c r="E2214" s="9" t="str" cm="1">
        <f t="array" ref="E2214">IFERROR(_xlfn.XLOOKUP(D2214,Locales!$A:$A,Locales!$B:$B,""),"")</f>
        <v/>
      </c>
      <c r="F2214" s="9" cm="1">
        <f t="array" ref="F2214">IFERROR(_xlfn.XLOOKUP(B2214,Personal!$A:$A,Personal!$F:$F,""),"")</f>
        <v>0</v>
      </c>
      <c r="I2214" s="10" cm="1">
        <f t="array" ref="I2214">IFERROR(INDEX(Precios!$D:$F,MATCH(N2214, Precios!$G:$G, 0),CHOOSE(MATCH(H2214, {"SML";"XL";"XXL"}, 0), 1, 2, 3)), 0)</f>
        <v>0</v>
      </c>
      <c r="K2214" s="10">
        <f t="shared" si="76"/>
        <v>0</v>
      </c>
      <c r="N2214" s="9" t="str">
        <f t="shared" si="77"/>
        <v/>
      </c>
      <c r="O2214" s="9" t="str">
        <f>IF(N2214="","",IF(COUNTIF(Precios!$G:$G,N2214)=0,"⚠ No coincide con Precios","OK"))</f>
        <v/>
      </c>
    </row>
    <row r="2215" spans="3:15" x14ac:dyDescent="0.2">
      <c r="C2215" s="9" cm="1">
        <f t="array" ref="C2215">IFERROR(_xlfn.XLOOKUP(B2215,Personal!$A:$A,Personal!$D:$D,""),"")</f>
        <v>0</v>
      </c>
      <c r="D2215" s="9" cm="1">
        <f t="array" ref="D2215">IFERROR(_xlfn.XLOOKUP(B2215,Personal!$A:$A,Personal!$C:$C,""),"")</f>
        <v>0</v>
      </c>
      <c r="E2215" s="9" t="str" cm="1">
        <f t="array" ref="E2215">IFERROR(_xlfn.XLOOKUP(D2215,Locales!$A:$A,Locales!$B:$B,""),"")</f>
        <v/>
      </c>
      <c r="F2215" s="9" cm="1">
        <f t="array" ref="F2215">IFERROR(_xlfn.XLOOKUP(B2215,Personal!$A:$A,Personal!$F:$F,""),"")</f>
        <v>0</v>
      </c>
      <c r="I2215" s="10" cm="1">
        <f t="array" ref="I2215">IFERROR(INDEX(Precios!$D:$F,MATCH(N2215, Precios!$G:$G, 0),CHOOSE(MATCH(H2215, {"SML";"XL";"XXL"}, 0), 1, 2, 3)), 0)</f>
        <v>0</v>
      </c>
      <c r="K2215" s="10">
        <f t="shared" si="76"/>
        <v>0</v>
      </c>
      <c r="N2215" s="9" t="str">
        <f t="shared" si="77"/>
        <v/>
      </c>
      <c r="O2215" s="9" t="str">
        <f>IF(N2215="","",IF(COUNTIF(Precios!$G:$G,N2215)=0,"⚠ No coincide con Precios","OK"))</f>
        <v/>
      </c>
    </row>
    <row r="2216" spans="3:15" x14ac:dyDescent="0.2">
      <c r="C2216" s="9" cm="1">
        <f t="array" ref="C2216">IFERROR(_xlfn.XLOOKUP(B2216,Personal!$A:$A,Personal!$D:$D,""),"")</f>
        <v>0</v>
      </c>
      <c r="D2216" s="9" cm="1">
        <f t="array" ref="D2216">IFERROR(_xlfn.XLOOKUP(B2216,Personal!$A:$A,Personal!$C:$C,""),"")</f>
        <v>0</v>
      </c>
      <c r="E2216" s="9" t="str" cm="1">
        <f t="array" ref="E2216">IFERROR(_xlfn.XLOOKUP(D2216,Locales!$A:$A,Locales!$B:$B,""),"")</f>
        <v/>
      </c>
      <c r="F2216" s="9" cm="1">
        <f t="array" ref="F2216">IFERROR(_xlfn.XLOOKUP(B2216,Personal!$A:$A,Personal!$F:$F,""),"")</f>
        <v>0</v>
      </c>
      <c r="I2216" s="10" cm="1">
        <f t="array" ref="I2216">IFERROR(INDEX(Precios!$D:$F,MATCH(N2216, Precios!$G:$G, 0),CHOOSE(MATCH(H2216, {"SML";"XL";"XXL"}, 0), 1, 2, 3)), 0)</f>
        <v>0</v>
      </c>
      <c r="K2216" s="10">
        <f t="shared" si="76"/>
        <v>0</v>
      </c>
      <c r="N2216" s="9" t="str">
        <f t="shared" si="77"/>
        <v/>
      </c>
      <c r="O2216" s="9" t="str">
        <f>IF(N2216="","",IF(COUNTIF(Precios!$G:$G,N2216)=0,"⚠ No coincide con Precios","OK"))</f>
        <v/>
      </c>
    </row>
    <row r="2217" spans="3:15" x14ac:dyDescent="0.2">
      <c r="C2217" s="9" cm="1">
        <f t="array" ref="C2217">IFERROR(_xlfn.XLOOKUP(B2217,Personal!$A:$A,Personal!$D:$D,""),"")</f>
        <v>0</v>
      </c>
      <c r="D2217" s="9" cm="1">
        <f t="array" ref="D2217">IFERROR(_xlfn.XLOOKUP(B2217,Personal!$A:$A,Personal!$C:$C,""),"")</f>
        <v>0</v>
      </c>
      <c r="E2217" s="9" t="str" cm="1">
        <f t="array" ref="E2217">IFERROR(_xlfn.XLOOKUP(D2217,Locales!$A:$A,Locales!$B:$B,""),"")</f>
        <v/>
      </c>
      <c r="F2217" s="9" cm="1">
        <f t="array" ref="F2217">IFERROR(_xlfn.XLOOKUP(B2217,Personal!$A:$A,Personal!$F:$F,""),"")</f>
        <v>0</v>
      </c>
      <c r="I2217" s="10" cm="1">
        <f t="array" ref="I2217">IFERROR(INDEX(Precios!$D:$F,MATCH(N2217, Precios!$G:$G, 0),CHOOSE(MATCH(H2217, {"SML";"XL";"XXL"}, 0), 1, 2, 3)), 0)</f>
        <v>0</v>
      </c>
      <c r="K2217" s="10">
        <f t="shared" si="76"/>
        <v>0</v>
      </c>
      <c r="N2217" s="9" t="str">
        <f t="shared" si="77"/>
        <v/>
      </c>
      <c r="O2217" s="9" t="str">
        <f>IF(N2217="","",IF(COUNTIF(Precios!$G:$G,N2217)=0,"⚠ No coincide con Precios","OK"))</f>
        <v/>
      </c>
    </row>
    <row r="2218" spans="3:15" x14ac:dyDescent="0.2">
      <c r="C2218" s="9" cm="1">
        <f t="array" ref="C2218">IFERROR(_xlfn.XLOOKUP(B2218,Personal!$A:$A,Personal!$D:$D,""),"")</f>
        <v>0</v>
      </c>
      <c r="D2218" s="9" cm="1">
        <f t="array" ref="D2218">IFERROR(_xlfn.XLOOKUP(B2218,Personal!$A:$A,Personal!$C:$C,""),"")</f>
        <v>0</v>
      </c>
      <c r="E2218" s="9" t="str" cm="1">
        <f t="array" ref="E2218">IFERROR(_xlfn.XLOOKUP(D2218,Locales!$A:$A,Locales!$B:$B,""),"")</f>
        <v/>
      </c>
      <c r="F2218" s="9" cm="1">
        <f t="array" ref="F2218">IFERROR(_xlfn.XLOOKUP(B2218,Personal!$A:$A,Personal!$F:$F,""),"")</f>
        <v>0</v>
      </c>
      <c r="I2218" s="10" cm="1">
        <f t="array" ref="I2218">IFERROR(INDEX(Precios!$D:$F,MATCH(N2218, Precios!$G:$G, 0),CHOOSE(MATCH(H2218, {"SML";"XL";"XXL"}, 0), 1, 2, 3)), 0)</f>
        <v>0</v>
      </c>
      <c r="K2218" s="10">
        <f t="shared" si="76"/>
        <v>0</v>
      </c>
      <c r="N2218" s="9" t="str">
        <f t="shared" si="77"/>
        <v/>
      </c>
      <c r="O2218" s="9" t="str">
        <f>IF(N2218="","",IF(COUNTIF(Precios!$G:$G,N2218)=0,"⚠ No coincide con Precios","OK"))</f>
        <v/>
      </c>
    </row>
    <row r="2219" spans="3:15" x14ac:dyDescent="0.2">
      <c r="C2219" s="9" cm="1">
        <f t="array" ref="C2219">IFERROR(_xlfn.XLOOKUP(B2219,Personal!$A:$A,Personal!$D:$D,""),"")</f>
        <v>0</v>
      </c>
      <c r="D2219" s="9" cm="1">
        <f t="array" ref="D2219">IFERROR(_xlfn.XLOOKUP(B2219,Personal!$A:$A,Personal!$C:$C,""),"")</f>
        <v>0</v>
      </c>
      <c r="E2219" s="9" t="str" cm="1">
        <f t="array" ref="E2219">IFERROR(_xlfn.XLOOKUP(D2219,Locales!$A:$A,Locales!$B:$B,""),"")</f>
        <v/>
      </c>
      <c r="F2219" s="9" cm="1">
        <f t="array" ref="F2219">IFERROR(_xlfn.XLOOKUP(B2219,Personal!$A:$A,Personal!$F:$F,""),"")</f>
        <v>0</v>
      </c>
      <c r="I2219" s="10" cm="1">
        <f t="array" ref="I2219">IFERROR(INDEX(Precios!$D:$F,MATCH(N2219, Precios!$G:$G, 0),CHOOSE(MATCH(H2219, {"SML";"XL";"XXL"}, 0), 1, 2, 3)), 0)</f>
        <v>0</v>
      </c>
      <c r="K2219" s="10">
        <f t="shared" si="76"/>
        <v>0</v>
      </c>
      <c r="N2219" s="9" t="str">
        <f t="shared" si="77"/>
        <v/>
      </c>
      <c r="O2219" s="9" t="str">
        <f>IF(N2219="","",IF(COUNTIF(Precios!$G:$G,N2219)=0,"⚠ No coincide con Precios","OK"))</f>
        <v/>
      </c>
    </row>
    <row r="2220" spans="3:15" x14ac:dyDescent="0.2">
      <c r="C2220" s="9" cm="1">
        <f t="array" ref="C2220">IFERROR(_xlfn.XLOOKUP(B2220,Personal!$A:$A,Personal!$D:$D,""),"")</f>
        <v>0</v>
      </c>
      <c r="D2220" s="9" cm="1">
        <f t="array" ref="D2220">IFERROR(_xlfn.XLOOKUP(B2220,Personal!$A:$A,Personal!$C:$C,""),"")</f>
        <v>0</v>
      </c>
      <c r="E2220" s="9" t="str" cm="1">
        <f t="array" ref="E2220">IFERROR(_xlfn.XLOOKUP(D2220,Locales!$A:$A,Locales!$B:$B,""),"")</f>
        <v/>
      </c>
      <c r="F2220" s="9" cm="1">
        <f t="array" ref="F2220">IFERROR(_xlfn.XLOOKUP(B2220,Personal!$A:$A,Personal!$F:$F,""),"")</f>
        <v>0</v>
      </c>
      <c r="I2220" s="10" cm="1">
        <f t="array" ref="I2220">IFERROR(INDEX(Precios!$D:$F,MATCH(N2220, Precios!$G:$G, 0),CHOOSE(MATCH(H2220, {"SML";"XL";"XXL"}, 0), 1, 2, 3)), 0)</f>
        <v>0</v>
      </c>
      <c r="K2220" s="10">
        <f t="shared" si="76"/>
        <v>0</v>
      </c>
      <c r="N2220" s="9" t="str">
        <f t="shared" si="77"/>
        <v/>
      </c>
      <c r="O2220" s="9" t="str">
        <f>IF(N2220="","",IF(COUNTIF(Precios!$G:$G,N2220)=0,"⚠ No coincide con Precios","OK"))</f>
        <v/>
      </c>
    </row>
    <row r="2221" spans="3:15" x14ac:dyDescent="0.2">
      <c r="C2221" s="9" cm="1">
        <f t="array" ref="C2221">IFERROR(_xlfn.XLOOKUP(B2221,Personal!$A:$A,Personal!$D:$D,""),"")</f>
        <v>0</v>
      </c>
      <c r="D2221" s="9" cm="1">
        <f t="array" ref="D2221">IFERROR(_xlfn.XLOOKUP(B2221,Personal!$A:$A,Personal!$C:$C,""),"")</f>
        <v>0</v>
      </c>
      <c r="E2221" s="9" t="str" cm="1">
        <f t="array" ref="E2221">IFERROR(_xlfn.XLOOKUP(D2221,Locales!$A:$A,Locales!$B:$B,""),"")</f>
        <v/>
      </c>
      <c r="F2221" s="9" cm="1">
        <f t="array" ref="F2221">IFERROR(_xlfn.XLOOKUP(B2221,Personal!$A:$A,Personal!$F:$F,""),"")</f>
        <v>0</v>
      </c>
      <c r="I2221" s="10" cm="1">
        <f t="array" ref="I2221">IFERROR(INDEX(Precios!$D:$F,MATCH(N2221, Precios!$G:$G, 0),CHOOSE(MATCH(H2221, {"SML";"XL";"XXL"}, 0), 1, 2, 3)), 0)</f>
        <v>0</v>
      </c>
      <c r="K2221" s="10">
        <f t="shared" si="76"/>
        <v>0</v>
      </c>
      <c r="N2221" s="9" t="str">
        <f t="shared" si="77"/>
        <v/>
      </c>
      <c r="O2221" s="9" t="str">
        <f>IF(N2221="","",IF(COUNTIF(Precios!$G:$G,N2221)=0,"⚠ No coincide con Precios","OK"))</f>
        <v/>
      </c>
    </row>
    <row r="2222" spans="3:15" x14ac:dyDescent="0.2">
      <c r="C2222" s="9" cm="1">
        <f t="array" ref="C2222">IFERROR(_xlfn.XLOOKUP(B2222,Personal!$A:$A,Personal!$D:$D,""),"")</f>
        <v>0</v>
      </c>
      <c r="D2222" s="9" cm="1">
        <f t="array" ref="D2222">IFERROR(_xlfn.XLOOKUP(B2222,Personal!$A:$A,Personal!$C:$C,""),"")</f>
        <v>0</v>
      </c>
      <c r="E2222" s="9" t="str" cm="1">
        <f t="array" ref="E2222">IFERROR(_xlfn.XLOOKUP(D2222,Locales!$A:$A,Locales!$B:$B,""),"")</f>
        <v/>
      </c>
      <c r="F2222" s="9" cm="1">
        <f t="array" ref="F2222">IFERROR(_xlfn.XLOOKUP(B2222,Personal!$A:$A,Personal!$F:$F,""),"")</f>
        <v>0</v>
      </c>
      <c r="I2222" s="10" cm="1">
        <f t="array" ref="I2222">IFERROR(INDEX(Precios!$D:$F,MATCH(N2222, Precios!$G:$G, 0),CHOOSE(MATCH(H2222, {"SML";"XL";"XXL"}, 0), 1, 2, 3)), 0)</f>
        <v>0</v>
      </c>
      <c r="K2222" s="10">
        <f t="shared" si="76"/>
        <v>0</v>
      </c>
      <c r="N2222" s="9" t="str">
        <f t="shared" si="77"/>
        <v/>
      </c>
      <c r="O2222" s="9" t="str">
        <f>IF(N2222="","",IF(COUNTIF(Precios!$G:$G,N2222)=0,"⚠ No coincide con Precios","OK"))</f>
        <v/>
      </c>
    </row>
    <row r="2223" spans="3:15" x14ac:dyDescent="0.2">
      <c r="C2223" s="9" cm="1">
        <f t="array" ref="C2223">IFERROR(_xlfn.XLOOKUP(B2223,Personal!$A:$A,Personal!$D:$D,""),"")</f>
        <v>0</v>
      </c>
      <c r="D2223" s="9" cm="1">
        <f t="array" ref="D2223">IFERROR(_xlfn.XLOOKUP(B2223,Personal!$A:$A,Personal!$C:$C,""),"")</f>
        <v>0</v>
      </c>
      <c r="E2223" s="9" t="str" cm="1">
        <f t="array" ref="E2223">IFERROR(_xlfn.XLOOKUP(D2223,Locales!$A:$A,Locales!$B:$B,""),"")</f>
        <v/>
      </c>
      <c r="F2223" s="9" cm="1">
        <f t="array" ref="F2223">IFERROR(_xlfn.XLOOKUP(B2223,Personal!$A:$A,Personal!$F:$F,""),"")</f>
        <v>0</v>
      </c>
      <c r="I2223" s="10" cm="1">
        <f t="array" ref="I2223">IFERROR(INDEX(Precios!$D:$F,MATCH(N2223, Precios!$G:$G, 0),CHOOSE(MATCH(H2223, {"SML";"XL";"XXL"}, 0), 1, 2, 3)), 0)</f>
        <v>0</v>
      </c>
      <c r="K2223" s="10">
        <f t="shared" si="76"/>
        <v>0</v>
      </c>
      <c r="N2223" s="9" t="str">
        <f t="shared" si="77"/>
        <v/>
      </c>
      <c r="O2223" s="9" t="str">
        <f>IF(N2223="","",IF(COUNTIF(Precios!$G:$G,N2223)=0,"⚠ No coincide con Precios","OK"))</f>
        <v/>
      </c>
    </row>
    <row r="2224" spans="3:15" x14ac:dyDescent="0.2">
      <c r="C2224" s="9" cm="1">
        <f t="array" ref="C2224">IFERROR(_xlfn.XLOOKUP(B2224,Personal!$A:$A,Personal!$D:$D,""),"")</f>
        <v>0</v>
      </c>
      <c r="D2224" s="9" cm="1">
        <f t="array" ref="D2224">IFERROR(_xlfn.XLOOKUP(B2224,Personal!$A:$A,Personal!$C:$C,""),"")</f>
        <v>0</v>
      </c>
      <c r="E2224" s="9" t="str" cm="1">
        <f t="array" ref="E2224">IFERROR(_xlfn.XLOOKUP(D2224,Locales!$A:$A,Locales!$B:$B,""),"")</f>
        <v/>
      </c>
      <c r="F2224" s="9" cm="1">
        <f t="array" ref="F2224">IFERROR(_xlfn.XLOOKUP(B2224,Personal!$A:$A,Personal!$F:$F,""),"")</f>
        <v>0</v>
      </c>
      <c r="I2224" s="10" cm="1">
        <f t="array" ref="I2224">IFERROR(INDEX(Precios!$D:$F,MATCH(N2224, Precios!$G:$G, 0),CHOOSE(MATCH(H2224, {"SML";"XL";"XXL"}, 0), 1, 2, 3)), 0)</f>
        <v>0</v>
      </c>
      <c r="K2224" s="10">
        <f t="shared" si="76"/>
        <v>0</v>
      </c>
      <c r="N2224" s="9" t="str">
        <f t="shared" si="77"/>
        <v/>
      </c>
      <c r="O2224" s="9" t="str">
        <f>IF(N2224="","",IF(COUNTIF(Precios!$G:$G,N2224)=0,"⚠ No coincide con Precios","OK"))</f>
        <v/>
      </c>
    </row>
    <row r="2225" spans="3:15" x14ac:dyDescent="0.2">
      <c r="C2225" s="9" cm="1">
        <f t="array" ref="C2225">IFERROR(_xlfn.XLOOKUP(B2225,Personal!$A:$A,Personal!$D:$D,""),"")</f>
        <v>0</v>
      </c>
      <c r="D2225" s="9" cm="1">
        <f t="array" ref="D2225">IFERROR(_xlfn.XLOOKUP(B2225,Personal!$A:$A,Personal!$C:$C,""),"")</f>
        <v>0</v>
      </c>
      <c r="E2225" s="9" t="str" cm="1">
        <f t="array" ref="E2225">IFERROR(_xlfn.XLOOKUP(D2225,Locales!$A:$A,Locales!$B:$B,""),"")</f>
        <v/>
      </c>
      <c r="F2225" s="9" cm="1">
        <f t="array" ref="F2225">IFERROR(_xlfn.XLOOKUP(B2225,Personal!$A:$A,Personal!$F:$F,""),"")</f>
        <v>0</v>
      </c>
      <c r="I2225" s="10" cm="1">
        <f t="array" ref="I2225">IFERROR(INDEX(Precios!$D:$F,MATCH(N2225, Precios!$G:$G, 0),CHOOSE(MATCH(H2225, {"SML";"XL";"XXL"}, 0), 1, 2, 3)), 0)</f>
        <v>0</v>
      </c>
      <c r="K2225" s="10">
        <f t="shared" si="76"/>
        <v>0</v>
      </c>
      <c r="N2225" s="9" t="str">
        <f t="shared" si="77"/>
        <v/>
      </c>
      <c r="O2225" s="9" t="str">
        <f>IF(N2225="","",IF(COUNTIF(Precios!$G:$G,N2225)=0,"⚠ No coincide con Precios","OK"))</f>
        <v/>
      </c>
    </row>
    <row r="2226" spans="3:15" x14ac:dyDescent="0.2">
      <c r="C2226" s="9" cm="1">
        <f t="array" ref="C2226">IFERROR(_xlfn.XLOOKUP(B2226,Personal!$A:$A,Personal!$D:$D,""),"")</f>
        <v>0</v>
      </c>
      <c r="D2226" s="9" cm="1">
        <f t="array" ref="D2226">IFERROR(_xlfn.XLOOKUP(B2226,Personal!$A:$A,Personal!$C:$C,""),"")</f>
        <v>0</v>
      </c>
      <c r="E2226" s="9" t="str" cm="1">
        <f t="array" ref="E2226">IFERROR(_xlfn.XLOOKUP(D2226,Locales!$A:$A,Locales!$B:$B,""),"")</f>
        <v/>
      </c>
      <c r="F2226" s="9" cm="1">
        <f t="array" ref="F2226">IFERROR(_xlfn.XLOOKUP(B2226,Personal!$A:$A,Personal!$F:$F,""),"")</f>
        <v>0</v>
      </c>
      <c r="I2226" s="10" cm="1">
        <f t="array" ref="I2226">IFERROR(INDEX(Precios!$D:$F,MATCH(N2226, Precios!$G:$G, 0),CHOOSE(MATCH(H2226, {"SML";"XL";"XXL"}, 0), 1, 2, 3)), 0)</f>
        <v>0</v>
      </c>
      <c r="K2226" s="10">
        <f t="shared" si="76"/>
        <v>0</v>
      </c>
      <c r="N2226" s="9" t="str">
        <f t="shared" si="77"/>
        <v/>
      </c>
      <c r="O2226" s="9" t="str">
        <f>IF(N2226="","",IF(COUNTIF(Precios!$G:$G,N2226)=0,"⚠ No coincide con Precios","OK"))</f>
        <v/>
      </c>
    </row>
    <row r="2227" spans="3:15" x14ac:dyDescent="0.2">
      <c r="C2227" s="9" cm="1">
        <f t="array" ref="C2227">IFERROR(_xlfn.XLOOKUP(B2227,Personal!$A:$A,Personal!$D:$D,""),"")</f>
        <v>0</v>
      </c>
      <c r="D2227" s="9" cm="1">
        <f t="array" ref="D2227">IFERROR(_xlfn.XLOOKUP(B2227,Personal!$A:$A,Personal!$C:$C,""),"")</f>
        <v>0</v>
      </c>
      <c r="E2227" s="9" t="str" cm="1">
        <f t="array" ref="E2227">IFERROR(_xlfn.XLOOKUP(D2227,Locales!$A:$A,Locales!$B:$B,""),"")</f>
        <v/>
      </c>
      <c r="F2227" s="9" cm="1">
        <f t="array" ref="F2227">IFERROR(_xlfn.XLOOKUP(B2227,Personal!$A:$A,Personal!$F:$F,""),"")</f>
        <v>0</v>
      </c>
      <c r="I2227" s="10" cm="1">
        <f t="array" ref="I2227">IFERROR(INDEX(Precios!$D:$F,MATCH(N2227, Precios!$G:$G, 0),CHOOSE(MATCH(H2227, {"SML";"XL";"XXL"}, 0), 1, 2, 3)), 0)</f>
        <v>0</v>
      </c>
      <c r="K2227" s="10">
        <f t="shared" si="76"/>
        <v>0</v>
      </c>
      <c r="N2227" s="9" t="str">
        <f t="shared" si="77"/>
        <v/>
      </c>
      <c r="O2227" s="9" t="str">
        <f>IF(N2227="","",IF(COUNTIF(Precios!$G:$G,N2227)=0,"⚠ No coincide con Precios","OK"))</f>
        <v/>
      </c>
    </row>
    <row r="2228" spans="3:15" x14ac:dyDescent="0.2">
      <c r="C2228" s="9" cm="1">
        <f t="array" ref="C2228">IFERROR(_xlfn.XLOOKUP(B2228,Personal!$A:$A,Personal!$D:$D,""),"")</f>
        <v>0</v>
      </c>
      <c r="D2228" s="9" cm="1">
        <f t="array" ref="D2228">IFERROR(_xlfn.XLOOKUP(B2228,Personal!$A:$A,Personal!$C:$C,""),"")</f>
        <v>0</v>
      </c>
      <c r="E2228" s="9" t="str" cm="1">
        <f t="array" ref="E2228">IFERROR(_xlfn.XLOOKUP(D2228,Locales!$A:$A,Locales!$B:$B,""),"")</f>
        <v/>
      </c>
      <c r="F2228" s="9" cm="1">
        <f t="array" ref="F2228">IFERROR(_xlfn.XLOOKUP(B2228,Personal!$A:$A,Personal!$F:$F,""),"")</f>
        <v>0</v>
      </c>
      <c r="I2228" s="10" cm="1">
        <f t="array" ref="I2228">IFERROR(INDEX(Precios!$D:$F,MATCH(N2228, Precios!$G:$G, 0),CHOOSE(MATCH(H2228, {"SML";"XL";"XXL"}, 0), 1, 2, 3)), 0)</f>
        <v>0</v>
      </c>
      <c r="K2228" s="10">
        <f t="shared" si="76"/>
        <v>0</v>
      </c>
      <c r="N2228" s="9" t="str">
        <f t="shared" si="77"/>
        <v/>
      </c>
      <c r="O2228" s="9" t="str">
        <f>IF(N2228="","",IF(COUNTIF(Precios!$G:$G,N2228)=0,"⚠ No coincide con Precios","OK"))</f>
        <v/>
      </c>
    </row>
    <row r="2229" spans="3:15" x14ac:dyDescent="0.2">
      <c r="C2229" s="9" cm="1">
        <f t="array" ref="C2229">IFERROR(_xlfn.XLOOKUP(B2229,Personal!$A:$A,Personal!$D:$D,""),"")</f>
        <v>0</v>
      </c>
      <c r="D2229" s="9" cm="1">
        <f t="array" ref="D2229">IFERROR(_xlfn.XLOOKUP(B2229,Personal!$A:$A,Personal!$C:$C,""),"")</f>
        <v>0</v>
      </c>
      <c r="E2229" s="9" t="str" cm="1">
        <f t="array" ref="E2229">IFERROR(_xlfn.XLOOKUP(D2229,Locales!$A:$A,Locales!$B:$B,""),"")</f>
        <v/>
      </c>
      <c r="F2229" s="9" cm="1">
        <f t="array" ref="F2229">IFERROR(_xlfn.XLOOKUP(B2229,Personal!$A:$A,Personal!$F:$F,""),"")</f>
        <v>0</v>
      </c>
      <c r="I2229" s="10" cm="1">
        <f t="array" ref="I2229">IFERROR(INDEX(Precios!$D:$F,MATCH(N2229, Precios!$G:$G, 0),CHOOSE(MATCH(H2229, {"SML";"XL";"XXL"}, 0), 1, 2, 3)), 0)</f>
        <v>0</v>
      </c>
      <c r="K2229" s="10">
        <f t="shared" si="76"/>
        <v>0</v>
      </c>
      <c r="N2229" s="9" t="str">
        <f t="shared" si="77"/>
        <v/>
      </c>
      <c r="O2229" s="9" t="str">
        <f>IF(N2229="","",IF(COUNTIF(Precios!$G:$G,N2229)=0,"⚠ No coincide con Precios","OK"))</f>
        <v/>
      </c>
    </row>
    <row r="2230" spans="3:15" x14ac:dyDescent="0.2">
      <c r="C2230" s="9" cm="1">
        <f t="array" ref="C2230">IFERROR(_xlfn.XLOOKUP(B2230,Personal!$A:$A,Personal!$D:$D,""),"")</f>
        <v>0</v>
      </c>
      <c r="D2230" s="9" cm="1">
        <f t="array" ref="D2230">IFERROR(_xlfn.XLOOKUP(B2230,Personal!$A:$A,Personal!$C:$C,""),"")</f>
        <v>0</v>
      </c>
      <c r="E2230" s="9" t="str" cm="1">
        <f t="array" ref="E2230">IFERROR(_xlfn.XLOOKUP(D2230,Locales!$A:$A,Locales!$B:$B,""),"")</f>
        <v/>
      </c>
      <c r="F2230" s="9" cm="1">
        <f t="array" ref="F2230">IFERROR(_xlfn.XLOOKUP(B2230,Personal!$A:$A,Personal!$F:$F,""),"")</f>
        <v>0</v>
      </c>
      <c r="I2230" s="10" cm="1">
        <f t="array" ref="I2230">IFERROR(INDEX(Precios!$D:$F,MATCH(N2230, Precios!$G:$G, 0),CHOOSE(MATCH(H2230, {"SML";"XL";"XXL"}, 0), 1, 2, 3)), 0)</f>
        <v>0</v>
      </c>
      <c r="K2230" s="10">
        <f t="shared" si="76"/>
        <v>0</v>
      </c>
      <c r="N2230" s="9" t="str">
        <f t="shared" si="77"/>
        <v/>
      </c>
      <c r="O2230" s="9" t="str">
        <f>IF(N2230="","",IF(COUNTIF(Precios!$G:$G,N2230)=0,"⚠ No coincide con Precios","OK"))</f>
        <v/>
      </c>
    </row>
    <row r="2231" spans="3:15" x14ac:dyDescent="0.2">
      <c r="C2231" s="9" cm="1">
        <f t="array" ref="C2231">IFERROR(_xlfn.XLOOKUP(B2231,Personal!$A:$A,Personal!$D:$D,""),"")</f>
        <v>0</v>
      </c>
      <c r="D2231" s="9" cm="1">
        <f t="array" ref="D2231">IFERROR(_xlfn.XLOOKUP(B2231,Personal!$A:$A,Personal!$C:$C,""),"")</f>
        <v>0</v>
      </c>
      <c r="E2231" s="9" t="str" cm="1">
        <f t="array" ref="E2231">IFERROR(_xlfn.XLOOKUP(D2231,Locales!$A:$A,Locales!$B:$B,""),"")</f>
        <v/>
      </c>
      <c r="F2231" s="9" cm="1">
        <f t="array" ref="F2231">IFERROR(_xlfn.XLOOKUP(B2231,Personal!$A:$A,Personal!$F:$F,""),"")</f>
        <v>0</v>
      </c>
      <c r="I2231" s="10" cm="1">
        <f t="array" ref="I2231">IFERROR(INDEX(Precios!$D:$F,MATCH(N2231, Precios!$G:$G, 0),CHOOSE(MATCH(H2231, {"SML";"XL";"XXL"}, 0), 1, 2, 3)), 0)</f>
        <v>0</v>
      </c>
      <c r="K2231" s="10">
        <f t="shared" si="76"/>
        <v>0</v>
      </c>
      <c r="N2231" s="9" t="str">
        <f t="shared" si="77"/>
        <v/>
      </c>
      <c r="O2231" s="9" t="str">
        <f>IF(N2231="","",IF(COUNTIF(Precios!$G:$G,N2231)=0,"⚠ No coincide con Precios","OK"))</f>
        <v/>
      </c>
    </row>
    <row r="2232" spans="3:15" x14ac:dyDescent="0.2">
      <c r="C2232" s="9" cm="1">
        <f t="array" ref="C2232">IFERROR(_xlfn.XLOOKUP(B2232,Personal!$A:$A,Personal!$D:$D,""),"")</f>
        <v>0</v>
      </c>
      <c r="D2232" s="9" cm="1">
        <f t="array" ref="D2232">IFERROR(_xlfn.XLOOKUP(B2232,Personal!$A:$A,Personal!$C:$C,""),"")</f>
        <v>0</v>
      </c>
      <c r="E2232" s="9" t="str" cm="1">
        <f t="array" ref="E2232">IFERROR(_xlfn.XLOOKUP(D2232,Locales!$A:$A,Locales!$B:$B,""),"")</f>
        <v/>
      </c>
      <c r="F2232" s="9" cm="1">
        <f t="array" ref="F2232">IFERROR(_xlfn.XLOOKUP(B2232,Personal!$A:$A,Personal!$F:$F,""),"")</f>
        <v>0</v>
      </c>
      <c r="I2232" s="10" cm="1">
        <f t="array" ref="I2232">IFERROR(INDEX(Precios!$D:$F,MATCH(N2232, Precios!$G:$G, 0),CHOOSE(MATCH(H2232, {"SML";"XL";"XXL"}, 0), 1, 2, 3)), 0)</f>
        <v>0</v>
      </c>
      <c r="K2232" s="10">
        <f t="shared" si="76"/>
        <v>0</v>
      </c>
      <c r="N2232" s="9" t="str">
        <f t="shared" si="77"/>
        <v/>
      </c>
      <c r="O2232" s="9" t="str">
        <f>IF(N2232="","",IF(COUNTIF(Precios!$G:$G,N2232)=0,"⚠ No coincide con Precios","OK"))</f>
        <v/>
      </c>
    </row>
    <row r="2233" spans="3:15" x14ac:dyDescent="0.2">
      <c r="C2233" s="9" cm="1">
        <f t="array" ref="C2233">IFERROR(_xlfn.XLOOKUP(B2233,Personal!$A:$A,Personal!$D:$D,""),"")</f>
        <v>0</v>
      </c>
      <c r="D2233" s="9" cm="1">
        <f t="array" ref="D2233">IFERROR(_xlfn.XLOOKUP(B2233,Personal!$A:$A,Personal!$C:$C,""),"")</f>
        <v>0</v>
      </c>
      <c r="E2233" s="9" t="str" cm="1">
        <f t="array" ref="E2233">IFERROR(_xlfn.XLOOKUP(D2233,Locales!$A:$A,Locales!$B:$B,""),"")</f>
        <v/>
      </c>
      <c r="F2233" s="9" cm="1">
        <f t="array" ref="F2233">IFERROR(_xlfn.XLOOKUP(B2233,Personal!$A:$A,Personal!$F:$F,""),"")</f>
        <v>0</v>
      </c>
      <c r="I2233" s="10" cm="1">
        <f t="array" ref="I2233">IFERROR(INDEX(Precios!$D:$F,MATCH(N2233, Precios!$G:$G, 0),CHOOSE(MATCH(H2233, {"SML";"XL";"XXL"}, 0), 1, 2, 3)), 0)</f>
        <v>0</v>
      </c>
      <c r="K2233" s="10">
        <f t="shared" si="76"/>
        <v>0</v>
      </c>
      <c r="N2233" s="9" t="str">
        <f t="shared" si="77"/>
        <v/>
      </c>
      <c r="O2233" s="9" t="str">
        <f>IF(N2233="","",IF(COUNTIF(Precios!$G:$G,N2233)=0,"⚠ No coincide con Precios","OK"))</f>
        <v/>
      </c>
    </row>
    <row r="2234" spans="3:15" x14ac:dyDescent="0.2">
      <c r="C2234" s="9" cm="1">
        <f t="array" ref="C2234">IFERROR(_xlfn.XLOOKUP(B2234,Personal!$A:$A,Personal!$D:$D,""),"")</f>
        <v>0</v>
      </c>
      <c r="D2234" s="9" cm="1">
        <f t="array" ref="D2234">IFERROR(_xlfn.XLOOKUP(B2234,Personal!$A:$A,Personal!$C:$C,""),"")</f>
        <v>0</v>
      </c>
      <c r="E2234" s="9" t="str" cm="1">
        <f t="array" ref="E2234">IFERROR(_xlfn.XLOOKUP(D2234,Locales!$A:$A,Locales!$B:$B,""),"")</f>
        <v/>
      </c>
      <c r="F2234" s="9" cm="1">
        <f t="array" ref="F2234">IFERROR(_xlfn.XLOOKUP(B2234,Personal!$A:$A,Personal!$F:$F,""),"")</f>
        <v>0</v>
      </c>
      <c r="I2234" s="10" cm="1">
        <f t="array" ref="I2234">IFERROR(INDEX(Precios!$D:$F,MATCH(N2234, Precios!$G:$G, 0),CHOOSE(MATCH(H2234, {"SML";"XL";"XXL"}, 0), 1, 2, 3)), 0)</f>
        <v>0</v>
      </c>
      <c r="K2234" s="10">
        <f t="shared" si="76"/>
        <v>0</v>
      </c>
      <c r="N2234" s="9" t="str">
        <f t="shared" si="77"/>
        <v/>
      </c>
      <c r="O2234" s="9" t="str">
        <f>IF(N2234="","",IF(COUNTIF(Precios!$G:$G,N2234)=0,"⚠ No coincide con Precios","OK"))</f>
        <v/>
      </c>
    </row>
    <row r="2235" spans="3:15" x14ac:dyDescent="0.2">
      <c r="C2235" s="9" cm="1">
        <f t="array" ref="C2235">IFERROR(_xlfn.XLOOKUP(B2235,Personal!$A:$A,Personal!$D:$D,""),"")</f>
        <v>0</v>
      </c>
      <c r="D2235" s="9" cm="1">
        <f t="array" ref="D2235">IFERROR(_xlfn.XLOOKUP(B2235,Personal!$A:$A,Personal!$C:$C,""),"")</f>
        <v>0</v>
      </c>
      <c r="E2235" s="9" t="str" cm="1">
        <f t="array" ref="E2235">IFERROR(_xlfn.XLOOKUP(D2235,Locales!$A:$A,Locales!$B:$B,""),"")</f>
        <v/>
      </c>
      <c r="F2235" s="9" cm="1">
        <f t="array" ref="F2235">IFERROR(_xlfn.XLOOKUP(B2235,Personal!$A:$A,Personal!$F:$F,""),"")</f>
        <v>0</v>
      </c>
      <c r="I2235" s="10" cm="1">
        <f t="array" ref="I2235">IFERROR(INDEX(Precios!$D:$F,MATCH(N2235, Precios!$G:$G, 0),CHOOSE(MATCH(H2235, {"SML";"XL";"XXL"}, 0), 1, 2, 3)), 0)</f>
        <v>0</v>
      </c>
      <c r="K2235" s="10">
        <f t="shared" si="76"/>
        <v>0</v>
      </c>
      <c r="N2235" s="9" t="str">
        <f t="shared" si="77"/>
        <v/>
      </c>
      <c r="O2235" s="9" t="str">
        <f>IF(N2235="","",IF(COUNTIF(Precios!$G:$G,N2235)=0,"⚠ No coincide con Precios","OK"))</f>
        <v/>
      </c>
    </row>
    <row r="2236" spans="3:15" x14ac:dyDescent="0.2">
      <c r="C2236" s="9" cm="1">
        <f t="array" ref="C2236">IFERROR(_xlfn.XLOOKUP(B2236,Personal!$A:$A,Personal!$D:$D,""),"")</f>
        <v>0</v>
      </c>
      <c r="D2236" s="9" cm="1">
        <f t="array" ref="D2236">IFERROR(_xlfn.XLOOKUP(B2236,Personal!$A:$A,Personal!$C:$C,""),"")</f>
        <v>0</v>
      </c>
      <c r="E2236" s="9" t="str" cm="1">
        <f t="array" ref="E2236">IFERROR(_xlfn.XLOOKUP(D2236,Locales!$A:$A,Locales!$B:$B,""),"")</f>
        <v/>
      </c>
      <c r="F2236" s="9" cm="1">
        <f t="array" ref="F2236">IFERROR(_xlfn.XLOOKUP(B2236,Personal!$A:$A,Personal!$F:$F,""),"")</f>
        <v>0</v>
      </c>
      <c r="I2236" s="10" cm="1">
        <f t="array" ref="I2236">IFERROR(INDEX(Precios!$D:$F,MATCH(N2236, Precios!$G:$G, 0),CHOOSE(MATCH(H2236, {"SML";"XL";"XXL"}, 0), 1, 2, 3)), 0)</f>
        <v>0</v>
      </c>
      <c r="K2236" s="10">
        <f t="shared" si="76"/>
        <v>0</v>
      </c>
      <c r="N2236" s="9" t="str">
        <f t="shared" si="77"/>
        <v/>
      </c>
      <c r="O2236" s="9" t="str">
        <f>IF(N2236="","",IF(COUNTIF(Precios!$G:$G,N2236)=0,"⚠ No coincide con Precios","OK"))</f>
        <v/>
      </c>
    </row>
    <row r="2237" spans="3:15" x14ac:dyDescent="0.2">
      <c r="C2237" s="9" cm="1">
        <f t="array" ref="C2237">IFERROR(_xlfn.XLOOKUP(B2237,Personal!$A:$A,Personal!$D:$D,""),"")</f>
        <v>0</v>
      </c>
      <c r="D2237" s="9" cm="1">
        <f t="array" ref="D2237">IFERROR(_xlfn.XLOOKUP(B2237,Personal!$A:$A,Personal!$C:$C,""),"")</f>
        <v>0</v>
      </c>
      <c r="E2237" s="9" t="str" cm="1">
        <f t="array" ref="E2237">IFERROR(_xlfn.XLOOKUP(D2237,Locales!$A:$A,Locales!$B:$B,""),"")</f>
        <v/>
      </c>
      <c r="F2237" s="9" cm="1">
        <f t="array" ref="F2237">IFERROR(_xlfn.XLOOKUP(B2237,Personal!$A:$A,Personal!$F:$F,""),"")</f>
        <v>0</v>
      </c>
      <c r="I2237" s="10" cm="1">
        <f t="array" ref="I2237">IFERROR(INDEX(Precios!$D:$F,MATCH(N2237, Precios!$G:$G, 0),CHOOSE(MATCH(H2237, {"SML";"XL";"XXL"}, 0), 1, 2, 3)), 0)</f>
        <v>0</v>
      </c>
      <c r="K2237" s="10">
        <f t="shared" si="76"/>
        <v>0</v>
      </c>
      <c r="N2237" s="9" t="str">
        <f t="shared" si="77"/>
        <v/>
      </c>
      <c r="O2237" s="9" t="str">
        <f>IF(N2237="","",IF(COUNTIF(Precios!$G:$G,N2237)=0,"⚠ No coincide con Precios","OK"))</f>
        <v/>
      </c>
    </row>
    <row r="2238" spans="3:15" x14ac:dyDescent="0.2">
      <c r="C2238" s="9" cm="1">
        <f t="array" ref="C2238">IFERROR(_xlfn.XLOOKUP(B2238,Personal!$A:$A,Personal!$D:$D,""),"")</f>
        <v>0</v>
      </c>
      <c r="D2238" s="9" cm="1">
        <f t="array" ref="D2238">IFERROR(_xlfn.XLOOKUP(B2238,Personal!$A:$A,Personal!$C:$C,""),"")</f>
        <v>0</v>
      </c>
      <c r="E2238" s="9" t="str" cm="1">
        <f t="array" ref="E2238">IFERROR(_xlfn.XLOOKUP(D2238,Locales!$A:$A,Locales!$B:$B,""),"")</f>
        <v/>
      </c>
      <c r="F2238" s="9" cm="1">
        <f t="array" ref="F2238">IFERROR(_xlfn.XLOOKUP(B2238,Personal!$A:$A,Personal!$F:$F,""),"")</f>
        <v>0</v>
      </c>
      <c r="I2238" s="10" cm="1">
        <f t="array" ref="I2238">IFERROR(INDEX(Precios!$D:$F,MATCH(N2238, Precios!$G:$G, 0),CHOOSE(MATCH(H2238, {"SML";"XL";"XXL"}, 0), 1, 2, 3)), 0)</f>
        <v>0</v>
      </c>
      <c r="K2238" s="10">
        <f t="shared" si="76"/>
        <v>0</v>
      </c>
      <c r="N2238" s="9" t="str">
        <f t="shared" si="77"/>
        <v/>
      </c>
      <c r="O2238" s="9" t="str">
        <f>IF(N2238="","",IF(COUNTIF(Precios!$G:$G,N2238)=0,"⚠ No coincide con Precios","OK"))</f>
        <v/>
      </c>
    </row>
    <row r="2239" spans="3:15" x14ac:dyDescent="0.2">
      <c r="C2239" s="9" cm="1">
        <f t="array" ref="C2239">IFERROR(_xlfn.XLOOKUP(B2239,Personal!$A:$A,Personal!$D:$D,""),"")</f>
        <v>0</v>
      </c>
      <c r="D2239" s="9" cm="1">
        <f t="array" ref="D2239">IFERROR(_xlfn.XLOOKUP(B2239,Personal!$A:$A,Personal!$C:$C,""),"")</f>
        <v>0</v>
      </c>
      <c r="E2239" s="9" t="str" cm="1">
        <f t="array" ref="E2239">IFERROR(_xlfn.XLOOKUP(D2239,Locales!$A:$A,Locales!$B:$B,""),"")</f>
        <v/>
      </c>
      <c r="F2239" s="9" cm="1">
        <f t="array" ref="F2239">IFERROR(_xlfn.XLOOKUP(B2239,Personal!$A:$A,Personal!$F:$F,""),"")</f>
        <v>0</v>
      </c>
      <c r="I2239" s="10" cm="1">
        <f t="array" ref="I2239">IFERROR(INDEX(Precios!$D:$F,MATCH(N2239, Precios!$G:$G, 0),CHOOSE(MATCH(H2239, {"SML";"XL";"XXL"}, 0), 1, 2, 3)), 0)</f>
        <v>0</v>
      </c>
      <c r="K2239" s="10">
        <f t="shared" si="76"/>
        <v>0</v>
      </c>
      <c r="N2239" s="9" t="str">
        <f t="shared" si="77"/>
        <v/>
      </c>
      <c r="O2239" s="9" t="str">
        <f>IF(N2239="","",IF(COUNTIF(Precios!$G:$G,N2239)=0,"⚠ No coincide con Precios","OK"))</f>
        <v/>
      </c>
    </row>
    <row r="2240" spans="3:15" x14ac:dyDescent="0.2">
      <c r="C2240" s="9" cm="1">
        <f t="array" ref="C2240">IFERROR(_xlfn.XLOOKUP(B2240,Personal!$A:$A,Personal!$D:$D,""),"")</f>
        <v>0</v>
      </c>
      <c r="D2240" s="9" cm="1">
        <f t="array" ref="D2240">IFERROR(_xlfn.XLOOKUP(B2240,Personal!$A:$A,Personal!$C:$C,""),"")</f>
        <v>0</v>
      </c>
      <c r="E2240" s="9" t="str" cm="1">
        <f t="array" ref="E2240">IFERROR(_xlfn.XLOOKUP(D2240,Locales!$A:$A,Locales!$B:$B,""),"")</f>
        <v/>
      </c>
      <c r="F2240" s="9" cm="1">
        <f t="array" ref="F2240">IFERROR(_xlfn.XLOOKUP(B2240,Personal!$A:$A,Personal!$F:$F,""),"")</f>
        <v>0</v>
      </c>
      <c r="I2240" s="10" cm="1">
        <f t="array" ref="I2240">IFERROR(INDEX(Precios!$D:$F,MATCH(N2240, Precios!$G:$G, 0),CHOOSE(MATCH(H2240, {"SML";"XL";"XXL"}, 0), 1, 2, 3)), 0)</f>
        <v>0</v>
      </c>
      <c r="K2240" s="10">
        <f t="shared" ref="K2240:K2303" si="78">IFERROR(I2240*J2240,0)</f>
        <v>0</v>
      </c>
      <c r="N2240" s="9" t="str">
        <f t="shared" ref="N2240:N2303" si="79">IF( OR(E2240="",F2240="",G2240=""), "",CLEAN(TRIM(E2240)) &amp; "|" &amp; CLEAN(TRIM(F2240)) &amp; "|" &amp; CLEAN(TRIM(G2240)))</f>
        <v/>
      </c>
      <c r="O2240" s="9" t="str">
        <f>IF(N2240="","",IF(COUNTIF(Precios!$G:$G,N2240)=0,"⚠ No coincide con Precios","OK"))</f>
        <v/>
      </c>
    </row>
    <row r="2241" spans="3:15" x14ac:dyDescent="0.2">
      <c r="C2241" s="9" cm="1">
        <f t="array" ref="C2241">IFERROR(_xlfn.XLOOKUP(B2241,Personal!$A:$A,Personal!$D:$D,""),"")</f>
        <v>0</v>
      </c>
      <c r="D2241" s="9" cm="1">
        <f t="array" ref="D2241">IFERROR(_xlfn.XLOOKUP(B2241,Personal!$A:$A,Personal!$C:$C,""),"")</f>
        <v>0</v>
      </c>
      <c r="E2241" s="9" t="str" cm="1">
        <f t="array" ref="E2241">IFERROR(_xlfn.XLOOKUP(D2241,Locales!$A:$A,Locales!$B:$B,""),"")</f>
        <v/>
      </c>
      <c r="F2241" s="9" cm="1">
        <f t="array" ref="F2241">IFERROR(_xlfn.XLOOKUP(B2241,Personal!$A:$A,Personal!$F:$F,""),"")</f>
        <v>0</v>
      </c>
      <c r="I2241" s="10" cm="1">
        <f t="array" ref="I2241">IFERROR(INDEX(Precios!$D:$F,MATCH(N2241, Precios!$G:$G, 0),CHOOSE(MATCH(H2241, {"SML";"XL";"XXL"}, 0), 1, 2, 3)), 0)</f>
        <v>0</v>
      </c>
      <c r="K2241" s="10">
        <f t="shared" si="78"/>
        <v>0</v>
      </c>
      <c r="N2241" s="9" t="str">
        <f t="shared" si="79"/>
        <v/>
      </c>
      <c r="O2241" s="9" t="str">
        <f>IF(N2241="","",IF(COUNTIF(Precios!$G:$G,N2241)=0,"⚠ No coincide con Precios","OK"))</f>
        <v/>
      </c>
    </row>
    <row r="2242" spans="3:15" x14ac:dyDescent="0.2">
      <c r="C2242" s="9" cm="1">
        <f t="array" ref="C2242">IFERROR(_xlfn.XLOOKUP(B2242,Personal!$A:$A,Personal!$D:$D,""),"")</f>
        <v>0</v>
      </c>
      <c r="D2242" s="9" cm="1">
        <f t="array" ref="D2242">IFERROR(_xlfn.XLOOKUP(B2242,Personal!$A:$A,Personal!$C:$C,""),"")</f>
        <v>0</v>
      </c>
      <c r="E2242" s="9" t="str" cm="1">
        <f t="array" ref="E2242">IFERROR(_xlfn.XLOOKUP(D2242,Locales!$A:$A,Locales!$B:$B,""),"")</f>
        <v/>
      </c>
      <c r="F2242" s="9" cm="1">
        <f t="array" ref="F2242">IFERROR(_xlfn.XLOOKUP(B2242,Personal!$A:$A,Personal!$F:$F,""),"")</f>
        <v>0</v>
      </c>
      <c r="I2242" s="10" cm="1">
        <f t="array" ref="I2242">IFERROR(INDEX(Precios!$D:$F,MATCH(N2242, Precios!$G:$G, 0),CHOOSE(MATCH(H2242, {"SML";"XL";"XXL"}, 0), 1, 2, 3)), 0)</f>
        <v>0</v>
      </c>
      <c r="K2242" s="10">
        <f t="shared" si="78"/>
        <v>0</v>
      </c>
      <c r="N2242" s="9" t="str">
        <f t="shared" si="79"/>
        <v/>
      </c>
      <c r="O2242" s="9" t="str">
        <f>IF(N2242="","",IF(COUNTIF(Precios!$G:$G,N2242)=0,"⚠ No coincide con Precios","OK"))</f>
        <v/>
      </c>
    </row>
    <row r="2243" spans="3:15" x14ac:dyDescent="0.2">
      <c r="C2243" s="9" cm="1">
        <f t="array" ref="C2243">IFERROR(_xlfn.XLOOKUP(B2243,Personal!$A:$A,Personal!$D:$D,""),"")</f>
        <v>0</v>
      </c>
      <c r="D2243" s="9" cm="1">
        <f t="array" ref="D2243">IFERROR(_xlfn.XLOOKUP(B2243,Personal!$A:$A,Personal!$C:$C,""),"")</f>
        <v>0</v>
      </c>
      <c r="E2243" s="9" t="str" cm="1">
        <f t="array" ref="E2243">IFERROR(_xlfn.XLOOKUP(D2243,Locales!$A:$A,Locales!$B:$B,""),"")</f>
        <v/>
      </c>
      <c r="F2243" s="9" cm="1">
        <f t="array" ref="F2243">IFERROR(_xlfn.XLOOKUP(B2243,Personal!$A:$A,Personal!$F:$F,""),"")</f>
        <v>0</v>
      </c>
      <c r="I2243" s="10" cm="1">
        <f t="array" ref="I2243">IFERROR(INDEX(Precios!$D:$F,MATCH(N2243, Precios!$G:$G, 0),CHOOSE(MATCH(H2243, {"SML";"XL";"XXL"}, 0), 1, 2, 3)), 0)</f>
        <v>0</v>
      </c>
      <c r="K2243" s="10">
        <f t="shared" si="78"/>
        <v>0</v>
      </c>
      <c r="N2243" s="9" t="str">
        <f t="shared" si="79"/>
        <v/>
      </c>
      <c r="O2243" s="9" t="str">
        <f>IF(N2243="","",IF(COUNTIF(Precios!$G:$G,N2243)=0,"⚠ No coincide con Precios","OK"))</f>
        <v/>
      </c>
    </row>
    <row r="2244" spans="3:15" x14ac:dyDescent="0.2">
      <c r="C2244" s="9" cm="1">
        <f t="array" ref="C2244">IFERROR(_xlfn.XLOOKUP(B2244,Personal!$A:$A,Personal!$D:$D,""),"")</f>
        <v>0</v>
      </c>
      <c r="D2244" s="9" cm="1">
        <f t="array" ref="D2244">IFERROR(_xlfn.XLOOKUP(B2244,Personal!$A:$A,Personal!$C:$C,""),"")</f>
        <v>0</v>
      </c>
      <c r="E2244" s="9" t="str" cm="1">
        <f t="array" ref="E2244">IFERROR(_xlfn.XLOOKUP(D2244,Locales!$A:$A,Locales!$B:$B,""),"")</f>
        <v/>
      </c>
      <c r="F2244" s="9" cm="1">
        <f t="array" ref="F2244">IFERROR(_xlfn.XLOOKUP(B2244,Personal!$A:$A,Personal!$F:$F,""),"")</f>
        <v>0</v>
      </c>
      <c r="I2244" s="10" cm="1">
        <f t="array" ref="I2244">IFERROR(INDEX(Precios!$D:$F,MATCH(N2244, Precios!$G:$G, 0),CHOOSE(MATCH(H2244, {"SML";"XL";"XXL"}, 0), 1, 2, 3)), 0)</f>
        <v>0</v>
      </c>
      <c r="K2244" s="10">
        <f t="shared" si="78"/>
        <v>0</v>
      </c>
      <c r="N2244" s="9" t="str">
        <f t="shared" si="79"/>
        <v/>
      </c>
      <c r="O2244" s="9" t="str">
        <f>IF(N2244="","",IF(COUNTIF(Precios!$G:$G,N2244)=0,"⚠ No coincide con Precios","OK"))</f>
        <v/>
      </c>
    </row>
    <row r="2245" spans="3:15" x14ac:dyDescent="0.2">
      <c r="C2245" s="9" cm="1">
        <f t="array" ref="C2245">IFERROR(_xlfn.XLOOKUP(B2245,Personal!$A:$A,Personal!$D:$D,""),"")</f>
        <v>0</v>
      </c>
      <c r="D2245" s="9" cm="1">
        <f t="array" ref="D2245">IFERROR(_xlfn.XLOOKUP(B2245,Personal!$A:$A,Personal!$C:$C,""),"")</f>
        <v>0</v>
      </c>
      <c r="E2245" s="9" t="str" cm="1">
        <f t="array" ref="E2245">IFERROR(_xlfn.XLOOKUP(D2245,Locales!$A:$A,Locales!$B:$B,""),"")</f>
        <v/>
      </c>
      <c r="F2245" s="9" cm="1">
        <f t="array" ref="F2245">IFERROR(_xlfn.XLOOKUP(B2245,Personal!$A:$A,Personal!$F:$F,""),"")</f>
        <v>0</v>
      </c>
      <c r="I2245" s="10" cm="1">
        <f t="array" ref="I2245">IFERROR(INDEX(Precios!$D:$F,MATCH(N2245, Precios!$G:$G, 0),CHOOSE(MATCH(H2245, {"SML";"XL";"XXL"}, 0), 1, 2, 3)), 0)</f>
        <v>0</v>
      </c>
      <c r="K2245" s="10">
        <f t="shared" si="78"/>
        <v>0</v>
      </c>
      <c r="N2245" s="9" t="str">
        <f t="shared" si="79"/>
        <v/>
      </c>
      <c r="O2245" s="9" t="str">
        <f>IF(N2245="","",IF(COUNTIF(Precios!$G:$G,N2245)=0,"⚠ No coincide con Precios","OK"))</f>
        <v/>
      </c>
    </row>
    <row r="2246" spans="3:15" x14ac:dyDescent="0.2">
      <c r="C2246" s="9" cm="1">
        <f t="array" ref="C2246">IFERROR(_xlfn.XLOOKUP(B2246,Personal!$A:$A,Personal!$D:$D,""),"")</f>
        <v>0</v>
      </c>
      <c r="D2246" s="9" cm="1">
        <f t="array" ref="D2246">IFERROR(_xlfn.XLOOKUP(B2246,Personal!$A:$A,Personal!$C:$C,""),"")</f>
        <v>0</v>
      </c>
      <c r="E2246" s="9" t="str" cm="1">
        <f t="array" ref="E2246">IFERROR(_xlfn.XLOOKUP(D2246,Locales!$A:$A,Locales!$B:$B,""),"")</f>
        <v/>
      </c>
      <c r="F2246" s="9" cm="1">
        <f t="array" ref="F2246">IFERROR(_xlfn.XLOOKUP(B2246,Personal!$A:$A,Personal!$F:$F,""),"")</f>
        <v>0</v>
      </c>
      <c r="I2246" s="10" cm="1">
        <f t="array" ref="I2246">IFERROR(INDEX(Precios!$D:$F,MATCH(N2246, Precios!$G:$G, 0),CHOOSE(MATCH(H2246, {"SML";"XL";"XXL"}, 0), 1, 2, 3)), 0)</f>
        <v>0</v>
      </c>
      <c r="K2246" s="10">
        <f t="shared" si="78"/>
        <v>0</v>
      </c>
      <c r="N2246" s="9" t="str">
        <f t="shared" si="79"/>
        <v/>
      </c>
      <c r="O2246" s="9" t="str">
        <f>IF(N2246="","",IF(COUNTIF(Precios!$G:$G,N2246)=0,"⚠ No coincide con Precios","OK"))</f>
        <v/>
      </c>
    </row>
    <row r="2247" spans="3:15" x14ac:dyDescent="0.2">
      <c r="C2247" s="9" cm="1">
        <f t="array" ref="C2247">IFERROR(_xlfn.XLOOKUP(B2247,Personal!$A:$A,Personal!$D:$D,""),"")</f>
        <v>0</v>
      </c>
      <c r="D2247" s="9" cm="1">
        <f t="array" ref="D2247">IFERROR(_xlfn.XLOOKUP(B2247,Personal!$A:$A,Personal!$C:$C,""),"")</f>
        <v>0</v>
      </c>
      <c r="E2247" s="9" t="str" cm="1">
        <f t="array" ref="E2247">IFERROR(_xlfn.XLOOKUP(D2247,Locales!$A:$A,Locales!$B:$B,""),"")</f>
        <v/>
      </c>
      <c r="F2247" s="9" cm="1">
        <f t="array" ref="F2247">IFERROR(_xlfn.XLOOKUP(B2247,Personal!$A:$A,Personal!$F:$F,""),"")</f>
        <v>0</v>
      </c>
      <c r="I2247" s="10" cm="1">
        <f t="array" ref="I2247">IFERROR(INDEX(Precios!$D:$F,MATCH(N2247, Precios!$G:$G, 0),CHOOSE(MATCH(H2247, {"SML";"XL";"XXL"}, 0), 1, 2, 3)), 0)</f>
        <v>0</v>
      </c>
      <c r="K2247" s="10">
        <f t="shared" si="78"/>
        <v>0</v>
      </c>
      <c r="N2247" s="9" t="str">
        <f t="shared" si="79"/>
        <v/>
      </c>
      <c r="O2247" s="9" t="str">
        <f>IF(N2247="","",IF(COUNTIF(Precios!$G:$G,N2247)=0,"⚠ No coincide con Precios","OK"))</f>
        <v/>
      </c>
    </row>
    <row r="2248" spans="3:15" x14ac:dyDescent="0.2">
      <c r="C2248" s="9" cm="1">
        <f t="array" ref="C2248">IFERROR(_xlfn.XLOOKUP(B2248,Personal!$A:$A,Personal!$D:$D,""),"")</f>
        <v>0</v>
      </c>
      <c r="D2248" s="9" cm="1">
        <f t="array" ref="D2248">IFERROR(_xlfn.XLOOKUP(B2248,Personal!$A:$A,Personal!$C:$C,""),"")</f>
        <v>0</v>
      </c>
      <c r="E2248" s="9" t="str" cm="1">
        <f t="array" ref="E2248">IFERROR(_xlfn.XLOOKUP(D2248,Locales!$A:$A,Locales!$B:$B,""),"")</f>
        <v/>
      </c>
      <c r="F2248" s="9" cm="1">
        <f t="array" ref="F2248">IFERROR(_xlfn.XLOOKUP(B2248,Personal!$A:$A,Personal!$F:$F,""),"")</f>
        <v>0</v>
      </c>
      <c r="I2248" s="10" cm="1">
        <f t="array" ref="I2248">IFERROR(INDEX(Precios!$D:$F,MATCH(N2248, Precios!$G:$G, 0),CHOOSE(MATCH(H2248, {"SML";"XL";"XXL"}, 0), 1, 2, 3)), 0)</f>
        <v>0</v>
      </c>
      <c r="K2248" s="10">
        <f t="shared" si="78"/>
        <v>0</v>
      </c>
      <c r="N2248" s="9" t="str">
        <f t="shared" si="79"/>
        <v/>
      </c>
      <c r="O2248" s="9" t="str">
        <f>IF(N2248="","",IF(COUNTIF(Precios!$G:$G,N2248)=0,"⚠ No coincide con Precios","OK"))</f>
        <v/>
      </c>
    </row>
    <row r="2249" spans="3:15" x14ac:dyDescent="0.2">
      <c r="C2249" s="9" cm="1">
        <f t="array" ref="C2249">IFERROR(_xlfn.XLOOKUP(B2249,Personal!$A:$A,Personal!$D:$D,""),"")</f>
        <v>0</v>
      </c>
      <c r="D2249" s="9" cm="1">
        <f t="array" ref="D2249">IFERROR(_xlfn.XLOOKUP(B2249,Personal!$A:$A,Personal!$C:$C,""),"")</f>
        <v>0</v>
      </c>
      <c r="E2249" s="9" t="str" cm="1">
        <f t="array" ref="E2249">IFERROR(_xlfn.XLOOKUP(D2249,Locales!$A:$A,Locales!$B:$B,""),"")</f>
        <v/>
      </c>
      <c r="F2249" s="9" cm="1">
        <f t="array" ref="F2249">IFERROR(_xlfn.XLOOKUP(B2249,Personal!$A:$A,Personal!$F:$F,""),"")</f>
        <v>0</v>
      </c>
      <c r="I2249" s="10" cm="1">
        <f t="array" ref="I2249">IFERROR(INDEX(Precios!$D:$F,MATCH(N2249, Precios!$G:$G, 0),CHOOSE(MATCH(H2249, {"SML";"XL";"XXL"}, 0), 1, 2, 3)), 0)</f>
        <v>0</v>
      </c>
      <c r="K2249" s="10">
        <f t="shared" si="78"/>
        <v>0</v>
      </c>
      <c r="N2249" s="9" t="str">
        <f t="shared" si="79"/>
        <v/>
      </c>
      <c r="O2249" s="9" t="str">
        <f>IF(N2249="","",IF(COUNTIF(Precios!$G:$G,N2249)=0,"⚠ No coincide con Precios","OK"))</f>
        <v/>
      </c>
    </row>
    <row r="2250" spans="3:15" x14ac:dyDescent="0.2">
      <c r="C2250" s="9" cm="1">
        <f t="array" ref="C2250">IFERROR(_xlfn.XLOOKUP(B2250,Personal!$A:$A,Personal!$D:$D,""),"")</f>
        <v>0</v>
      </c>
      <c r="D2250" s="9" cm="1">
        <f t="array" ref="D2250">IFERROR(_xlfn.XLOOKUP(B2250,Personal!$A:$A,Personal!$C:$C,""),"")</f>
        <v>0</v>
      </c>
      <c r="E2250" s="9" t="str" cm="1">
        <f t="array" ref="E2250">IFERROR(_xlfn.XLOOKUP(D2250,Locales!$A:$A,Locales!$B:$B,""),"")</f>
        <v/>
      </c>
      <c r="F2250" s="9" cm="1">
        <f t="array" ref="F2250">IFERROR(_xlfn.XLOOKUP(B2250,Personal!$A:$A,Personal!$F:$F,""),"")</f>
        <v>0</v>
      </c>
      <c r="I2250" s="10" cm="1">
        <f t="array" ref="I2250">IFERROR(INDEX(Precios!$D:$F,MATCH(N2250, Precios!$G:$G, 0),CHOOSE(MATCH(H2250, {"SML";"XL";"XXL"}, 0), 1, 2, 3)), 0)</f>
        <v>0</v>
      </c>
      <c r="K2250" s="10">
        <f t="shared" si="78"/>
        <v>0</v>
      </c>
      <c r="N2250" s="9" t="str">
        <f t="shared" si="79"/>
        <v/>
      </c>
      <c r="O2250" s="9" t="str">
        <f>IF(N2250="","",IF(COUNTIF(Precios!$G:$G,N2250)=0,"⚠ No coincide con Precios","OK"))</f>
        <v/>
      </c>
    </row>
    <row r="2251" spans="3:15" x14ac:dyDescent="0.2">
      <c r="C2251" s="9" cm="1">
        <f t="array" ref="C2251">IFERROR(_xlfn.XLOOKUP(B2251,Personal!$A:$A,Personal!$D:$D,""),"")</f>
        <v>0</v>
      </c>
      <c r="D2251" s="9" cm="1">
        <f t="array" ref="D2251">IFERROR(_xlfn.XLOOKUP(B2251,Personal!$A:$A,Personal!$C:$C,""),"")</f>
        <v>0</v>
      </c>
      <c r="E2251" s="9" t="str" cm="1">
        <f t="array" ref="E2251">IFERROR(_xlfn.XLOOKUP(D2251,Locales!$A:$A,Locales!$B:$B,""),"")</f>
        <v/>
      </c>
      <c r="F2251" s="9" cm="1">
        <f t="array" ref="F2251">IFERROR(_xlfn.XLOOKUP(B2251,Personal!$A:$A,Personal!$F:$F,""),"")</f>
        <v>0</v>
      </c>
      <c r="I2251" s="10" cm="1">
        <f t="array" ref="I2251">IFERROR(INDEX(Precios!$D:$F,MATCH(N2251, Precios!$G:$G, 0),CHOOSE(MATCH(H2251, {"SML";"XL";"XXL"}, 0), 1, 2, 3)), 0)</f>
        <v>0</v>
      </c>
      <c r="K2251" s="10">
        <f t="shared" si="78"/>
        <v>0</v>
      </c>
      <c r="N2251" s="9" t="str">
        <f t="shared" si="79"/>
        <v/>
      </c>
      <c r="O2251" s="9" t="str">
        <f>IF(N2251="","",IF(COUNTIF(Precios!$G:$G,N2251)=0,"⚠ No coincide con Precios","OK"))</f>
        <v/>
      </c>
    </row>
    <row r="2252" spans="3:15" x14ac:dyDescent="0.2">
      <c r="C2252" s="9" cm="1">
        <f t="array" ref="C2252">IFERROR(_xlfn.XLOOKUP(B2252,Personal!$A:$A,Personal!$D:$D,""),"")</f>
        <v>0</v>
      </c>
      <c r="D2252" s="9" cm="1">
        <f t="array" ref="D2252">IFERROR(_xlfn.XLOOKUP(B2252,Personal!$A:$A,Personal!$C:$C,""),"")</f>
        <v>0</v>
      </c>
      <c r="E2252" s="9" t="str" cm="1">
        <f t="array" ref="E2252">IFERROR(_xlfn.XLOOKUP(D2252,Locales!$A:$A,Locales!$B:$B,""),"")</f>
        <v/>
      </c>
      <c r="F2252" s="9" cm="1">
        <f t="array" ref="F2252">IFERROR(_xlfn.XLOOKUP(B2252,Personal!$A:$A,Personal!$F:$F,""),"")</f>
        <v>0</v>
      </c>
      <c r="I2252" s="10" cm="1">
        <f t="array" ref="I2252">IFERROR(INDEX(Precios!$D:$F,MATCH(N2252, Precios!$G:$G, 0),CHOOSE(MATCH(H2252, {"SML";"XL";"XXL"}, 0), 1, 2, 3)), 0)</f>
        <v>0</v>
      </c>
      <c r="K2252" s="10">
        <f t="shared" si="78"/>
        <v>0</v>
      </c>
      <c r="N2252" s="9" t="str">
        <f t="shared" si="79"/>
        <v/>
      </c>
      <c r="O2252" s="9" t="str">
        <f>IF(N2252="","",IF(COUNTIF(Precios!$G:$G,N2252)=0,"⚠ No coincide con Precios","OK"))</f>
        <v/>
      </c>
    </row>
    <row r="2253" spans="3:15" x14ac:dyDescent="0.2">
      <c r="C2253" s="9" cm="1">
        <f t="array" ref="C2253">IFERROR(_xlfn.XLOOKUP(B2253,Personal!$A:$A,Personal!$D:$D,""),"")</f>
        <v>0</v>
      </c>
      <c r="D2253" s="9" cm="1">
        <f t="array" ref="D2253">IFERROR(_xlfn.XLOOKUP(B2253,Personal!$A:$A,Personal!$C:$C,""),"")</f>
        <v>0</v>
      </c>
      <c r="E2253" s="9" t="str" cm="1">
        <f t="array" ref="E2253">IFERROR(_xlfn.XLOOKUP(D2253,Locales!$A:$A,Locales!$B:$B,""),"")</f>
        <v/>
      </c>
      <c r="F2253" s="9" cm="1">
        <f t="array" ref="F2253">IFERROR(_xlfn.XLOOKUP(B2253,Personal!$A:$A,Personal!$F:$F,""),"")</f>
        <v>0</v>
      </c>
      <c r="I2253" s="10" cm="1">
        <f t="array" ref="I2253">IFERROR(INDEX(Precios!$D:$F,MATCH(N2253, Precios!$G:$G, 0),CHOOSE(MATCH(H2253, {"SML";"XL";"XXL"}, 0), 1, 2, 3)), 0)</f>
        <v>0</v>
      </c>
      <c r="K2253" s="10">
        <f t="shared" si="78"/>
        <v>0</v>
      </c>
      <c r="N2253" s="9" t="str">
        <f t="shared" si="79"/>
        <v/>
      </c>
      <c r="O2253" s="9" t="str">
        <f>IF(N2253="","",IF(COUNTIF(Precios!$G:$G,N2253)=0,"⚠ No coincide con Precios","OK"))</f>
        <v/>
      </c>
    </row>
    <row r="2254" spans="3:15" x14ac:dyDescent="0.2">
      <c r="C2254" s="9" cm="1">
        <f t="array" ref="C2254">IFERROR(_xlfn.XLOOKUP(B2254,Personal!$A:$A,Personal!$D:$D,""),"")</f>
        <v>0</v>
      </c>
      <c r="D2254" s="9" cm="1">
        <f t="array" ref="D2254">IFERROR(_xlfn.XLOOKUP(B2254,Personal!$A:$A,Personal!$C:$C,""),"")</f>
        <v>0</v>
      </c>
      <c r="E2254" s="9" t="str" cm="1">
        <f t="array" ref="E2254">IFERROR(_xlfn.XLOOKUP(D2254,Locales!$A:$A,Locales!$B:$B,""),"")</f>
        <v/>
      </c>
      <c r="F2254" s="9" cm="1">
        <f t="array" ref="F2254">IFERROR(_xlfn.XLOOKUP(B2254,Personal!$A:$A,Personal!$F:$F,""),"")</f>
        <v>0</v>
      </c>
      <c r="I2254" s="10" cm="1">
        <f t="array" ref="I2254">IFERROR(INDEX(Precios!$D:$F,MATCH(N2254, Precios!$G:$G, 0),CHOOSE(MATCH(H2254, {"SML";"XL";"XXL"}, 0), 1, 2, 3)), 0)</f>
        <v>0</v>
      </c>
      <c r="K2254" s="10">
        <f t="shared" si="78"/>
        <v>0</v>
      </c>
      <c r="N2254" s="9" t="str">
        <f t="shared" si="79"/>
        <v/>
      </c>
      <c r="O2254" s="9" t="str">
        <f>IF(N2254="","",IF(COUNTIF(Precios!$G:$G,N2254)=0,"⚠ No coincide con Precios","OK"))</f>
        <v/>
      </c>
    </row>
    <row r="2255" spans="3:15" x14ac:dyDescent="0.2">
      <c r="C2255" s="9" cm="1">
        <f t="array" ref="C2255">IFERROR(_xlfn.XLOOKUP(B2255,Personal!$A:$A,Personal!$D:$D,""),"")</f>
        <v>0</v>
      </c>
      <c r="D2255" s="9" cm="1">
        <f t="array" ref="D2255">IFERROR(_xlfn.XLOOKUP(B2255,Personal!$A:$A,Personal!$C:$C,""),"")</f>
        <v>0</v>
      </c>
      <c r="E2255" s="9" t="str" cm="1">
        <f t="array" ref="E2255">IFERROR(_xlfn.XLOOKUP(D2255,Locales!$A:$A,Locales!$B:$B,""),"")</f>
        <v/>
      </c>
      <c r="F2255" s="9" cm="1">
        <f t="array" ref="F2255">IFERROR(_xlfn.XLOOKUP(B2255,Personal!$A:$A,Personal!$F:$F,""),"")</f>
        <v>0</v>
      </c>
      <c r="I2255" s="10" cm="1">
        <f t="array" ref="I2255">IFERROR(INDEX(Precios!$D:$F,MATCH(N2255, Precios!$G:$G, 0),CHOOSE(MATCH(H2255, {"SML";"XL";"XXL"}, 0), 1, 2, 3)), 0)</f>
        <v>0</v>
      </c>
      <c r="K2255" s="10">
        <f t="shared" si="78"/>
        <v>0</v>
      </c>
      <c r="N2255" s="9" t="str">
        <f t="shared" si="79"/>
        <v/>
      </c>
      <c r="O2255" s="9" t="str">
        <f>IF(N2255="","",IF(COUNTIF(Precios!$G:$G,N2255)=0,"⚠ No coincide con Precios","OK"))</f>
        <v/>
      </c>
    </row>
    <row r="2256" spans="3:15" x14ac:dyDescent="0.2">
      <c r="C2256" s="9" cm="1">
        <f t="array" ref="C2256">IFERROR(_xlfn.XLOOKUP(B2256,Personal!$A:$A,Personal!$D:$D,""),"")</f>
        <v>0</v>
      </c>
      <c r="D2256" s="9" cm="1">
        <f t="array" ref="D2256">IFERROR(_xlfn.XLOOKUP(B2256,Personal!$A:$A,Personal!$C:$C,""),"")</f>
        <v>0</v>
      </c>
      <c r="E2256" s="9" t="str" cm="1">
        <f t="array" ref="E2256">IFERROR(_xlfn.XLOOKUP(D2256,Locales!$A:$A,Locales!$B:$B,""),"")</f>
        <v/>
      </c>
      <c r="F2256" s="9" cm="1">
        <f t="array" ref="F2256">IFERROR(_xlfn.XLOOKUP(B2256,Personal!$A:$A,Personal!$F:$F,""),"")</f>
        <v>0</v>
      </c>
      <c r="I2256" s="10" cm="1">
        <f t="array" ref="I2256">IFERROR(INDEX(Precios!$D:$F,MATCH(N2256, Precios!$G:$G, 0),CHOOSE(MATCH(H2256, {"SML";"XL";"XXL"}, 0), 1, 2, 3)), 0)</f>
        <v>0</v>
      </c>
      <c r="K2256" s="10">
        <f t="shared" si="78"/>
        <v>0</v>
      </c>
      <c r="N2256" s="9" t="str">
        <f t="shared" si="79"/>
        <v/>
      </c>
      <c r="O2256" s="9" t="str">
        <f>IF(N2256="","",IF(COUNTIF(Precios!$G:$G,N2256)=0,"⚠ No coincide con Precios","OK"))</f>
        <v/>
      </c>
    </row>
    <row r="2257" spans="3:15" x14ac:dyDescent="0.2">
      <c r="C2257" s="9" cm="1">
        <f t="array" ref="C2257">IFERROR(_xlfn.XLOOKUP(B2257,Personal!$A:$A,Personal!$D:$D,""),"")</f>
        <v>0</v>
      </c>
      <c r="D2257" s="9" cm="1">
        <f t="array" ref="D2257">IFERROR(_xlfn.XLOOKUP(B2257,Personal!$A:$A,Personal!$C:$C,""),"")</f>
        <v>0</v>
      </c>
      <c r="E2257" s="9" t="str" cm="1">
        <f t="array" ref="E2257">IFERROR(_xlfn.XLOOKUP(D2257,Locales!$A:$A,Locales!$B:$B,""),"")</f>
        <v/>
      </c>
      <c r="F2257" s="9" cm="1">
        <f t="array" ref="F2257">IFERROR(_xlfn.XLOOKUP(B2257,Personal!$A:$A,Personal!$F:$F,""),"")</f>
        <v>0</v>
      </c>
      <c r="I2257" s="10" cm="1">
        <f t="array" ref="I2257">IFERROR(INDEX(Precios!$D:$F,MATCH(N2257, Precios!$G:$G, 0),CHOOSE(MATCH(H2257, {"SML";"XL";"XXL"}, 0), 1, 2, 3)), 0)</f>
        <v>0</v>
      </c>
      <c r="K2257" s="10">
        <f t="shared" si="78"/>
        <v>0</v>
      </c>
      <c r="N2257" s="9" t="str">
        <f t="shared" si="79"/>
        <v/>
      </c>
      <c r="O2257" s="9" t="str">
        <f>IF(N2257="","",IF(COUNTIF(Precios!$G:$G,N2257)=0,"⚠ No coincide con Precios","OK"))</f>
        <v/>
      </c>
    </row>
    <row r="2258" spans="3:15" x14ac:dyDescent="0.2">
      <c r="C2258" s="9" cm="1">
        <f t="array" ref="C2258">IFERROR(_xlfn.XLOOKUP(B2258,Personal!$A:$A,Personal!$D:$D,""),"")</f>
        <v>0</v>
      </c>
      <c r="D2258" s="9" cm="1">
        <f t="array" ref="D2258">IFERROR(_xlfn.XLOOKUP(B2258,Personal!$A:$A,Personal!$C:$C,""),"")</f>
        <v>0</v>
      </c>
      <c r="E2258" s="9" t="str" cm="1">
        <f t="array" ref="E2258">IFERROR(_xlfn.XLOOKUP(D2258,Locales!$A:$A,Locales!$B:$B,""),"")</f>
        <v/>
      </c>
      <c r="F2258" s="9" cm="1">
        <f t="array" ref="F2258">IFERROR(_xlfn.XLOOKUP(B2258,Personal!$A:$A,Personal!$F:$F,""),"")</f>
        <v>0</v>
      </c>
      <c r="I2258" s="10" cm="1">
        <f t="array" ref="I2258">IFERROR(INDEX(Precios!$D:$F,MATCH(N2258, Precios!$G:$G, 0),CHOOSE(MATCH(H2258, {"SML";"XL";"XXL"}, 0), 1, 2, 3)), 0)</f>
        <v>0</v>
      </c>
      <c r="K2258" s="10">
        <f t="shared" si="78"/>
        <v>0</v>
      </c>
      <c r="N2258" s="9" t="str">
        <f t="shared" si="79"/>
        <v/>
      </c>
      <c r="O2258" s="9" t="str">
        <f>IF(N2258="","",IF(COUNTIF(Precios!$G:$G,N2258)=0,"⚠ No coincide con Precios","OK"))</f>
        <v/>
      </c>
    </row>
    <row r="2259" spans="3:15" x14ac:dyDescent="0.2">
      <c r="C2259" s="9" cm="1">
        <f t="array" ref="C2259">IFERROR(_xlfn.XLOOKUP(B2259,Personal!$A:$A,Personal!$D:$D,""),"")</f>
        <v>0</v>
      </c>
      <c r="D2259" s="9" cm="1">
        <f t="array" ref="D2259">IFERROR(_xlfn.XLOOKUP(B2259,Personal!$A:$A,Personal!$C:$C,""),"")</f>
        <v>0</v>
      </c>
      <c r="E2259" s="9" t="str" cm="1">
        <f t="array" ref="E2259">IFERROR(_xlfn.XLOOKUP(D2259,Locales!$A:$A,Locales!$B:$B,""),"")</f>
        <v/>
      </c>
      <c r="F2259" s="9" cm="1">
        <f t="array" ref="F2259">IFERROR(_xlfn.XLOOKUP(B2259,Personal!$A:$A,Personal!$F:$F,""),"")</f>
        <v>0</v>
      </c>
      <c r="I2259" s="10" cm="1">
        <f t="array" ref="I2259">IFERROR(INDEX(Precios!$D:$F,MATCH(N2259, Precios!$G:$G, 0),CHOOSE(MATCH(H2259, {"SML";"XL";"XXL"}, 0), 1, 2, 3)), 0)</f>
        <v>0</v>
      </c>
      <c r="K2259" s="10">
        <f t="shared" si="78"/>
        <v>0</v>
      </c>
      <c r="N2259" s="9" t="str">
        <f t="shared" si="79"/>
        <v/>
      </c>
      <c r="O2259" s="9" t="str">
        <f>IF(N2259="","",IF(COUNTIF(Precios!$G:$G,N2259)=0,"⚠ No coincide con Precios","OK"))</f>
        <v/>
      </c>
    </row>
    <row r="2260" spans="3:15" x14ac:dyDescent="0.2">
      <c r="C2260" s="9" cm="1">
        <f t="array" ref="C2260">IFERROR(_xlfn.XLOOKUP(B2260,Personal!$A:$A,Personal!$D:$D,""),"")</f>
        <v>0</v>
      </c>
      <c r="D2260" s="9" cm="1">
        <f t="array" ref="D2260">IFERROR(_xlfn.XLOOKUP(B2260,Personal!$A:$A,Personal!$C:$C,""),"")</f>
        <v>0</v>
      </c>
      <c r="E2260" s="9" t="str" cm="1">
        <f t="array" ref="E2260">IFERROR(_xlfn.XLOOKUP(D2260,Locales!$A:$A,Locales!$B:$B,""),"")</f>
        <v/>
      </c>
      <c r="F2260" s="9" cm="1">
        <f t="array" ref="F2260">IFERROR(_xlfn.XLOOKUP(B2260,Personal!$A:$A,Personal!$F:$F,""),"")</f>
        <v>0</v>
      </c>
      <c r="I2260" s="10" cm="1">
        <f t="array" ref="I2260">IFERROR(INDEX(Precios!$D:$F,MATCH(N2260, Precios!$G:$G, 0),CHOOSE(MATCH(H2260, {"SML";"XL";"XXL"}, 0), 1, 2, 3)), 0)</f>
        <v>0</v>
      </c>
      <c r="K2260" s="10">
        <f t="shared" si="78"/>
        <v>0</v>
      </c>
      <c r="N2260" s="9" t="str">
        <f t="shared" si="79"/>
        <v/>
      </c>
      <c r="O2260" s="9" t="str">
        <f>IF(N2260="","",IF(COUNTIF(Precios!$G:$G,N2260)=0,"⚠ No coincide con Precios","OK"))</f>
        <v/>
      </c>
    </row>
    <row r="2261" spans="3:15" x14ac:dyDescent="0.2">
      <c r="C2261" s="9" cm="1">
        <f t="array" ref="C2261">IFERROR(_xlfn.XLOOKUP(B2261,Personal!$A:$A,Personal!$D:$D,""),"")</f>
        <v>0</v>
      </c>
      <c r="D2261" s="9" cm="1">
        <f t="array" ref="D2261">IFERROR(_xlfn.XLOOKUP(B2261,Personal!$A:$A,Personal!$C:$C,""),"")</f>
        <v>0</v>
      </c>
      <c r="E2261" s="9" t="str" cm="1">
        <f t="array" ref="E2261">IFERROR(_xlfn.XLOOKUP(D2261,Locales!$A:$A,Locales!$B:$B,""),"")</f>
        <v/>
      </c>
      <c r="F2261" s="9" cm="1">
        <f t="array" ref="F2261">IFERROR(_xlfn.XLOOKUP(B2261,Personal!$A:$A,Personal!$F:$F,""),"")</f>
        <v>0</v>
      </c>
      <c r="I2261" s="10" cm="1">
        <f t="array" ref="I2261">IFERROR(INDEX(Precios!$D:$F,MATCH(N2261, Precios!$G:$G, 0),CHOOSE(MATCH(H2261, {"SML";"XL";"XXL"}, 0), 1, 2, 3)), 0)</f>
        <v>0</v>
      </c>
      <c r="K2261" s="10">
        <f t="shared" si="78"/>
        <v>0</v>
      </c>
      <c r="N2261" s="9" t="str">
        <f t="shared" si="79"/>
        <v/>
      </c>
      <c r="O2261" s="9" t="str">
        <f>IF(N2261="","",IF(COUNTIF(Precios!$G:$G,N2261)=0,"⚠ No coincide con Precios","OK"))</f>
        <v/>
      </c>
    </row>
    <row r="2262" spans="3:15" x14ac:dyDescent="0.2">
      <c r="C2262" s="9" cm="1">
        <f t="array" ref="C2262">IFERROR(_xlfn.XLOOKUP(B2262,Personal!$A:$A,Personal!$D:$D,""),"")</f>
        <v>0</v>
      </c>
      <c r="D2262" s="9" cm="1">
        <f t="array" ref="D2262">IFERROR(_xlfn.XLOOKUP(B2262,Personal!$A:$A,Personal!$C:$C,""),"")</f>
        <v>0</v>
      </c>
      <c r="E2262" s="9" t="str" cm="1">
        <f t="array" ref="E2262">IFERROR(_xlfn.XLOOKUP(D2262,Locales!$A:$A,Locales!$B:$B,""),"")</f>
        <v/>
      </c>
      <c r="F2262" s="9" cm="1">
        <f t="array" ref="F2262">IFERROR(_xlfn.XLOOKUP(B2262,Personal!$A:$A,Personal!$F:$F,""),"")</f>
        <v>0</v>
      </c>
      <c r="I2262" s="10" cm="1">
        <f t="array" ref="I2262">IFERROR(INDEX(Precios!$D:$F,MATCH(N2262, Precios!$G:$G, 0),CHOOSE(MATCH(H2262, {"SML";"XL";"XXL"}, 0), 1, 2, 3)), 0)</f>
        <v>0</v>
      </c>
      <c r="K2262" s="10">
        <f t="shared" si="78"/>
        <v>0</v>
      </c>
      <c r="N2262" s="9" t="str">
        <f t="shared" si="79"/>
        <v/>
      </c>
      <c r="O2262" s="9" t="str">
        <f>IF(N2262="","",IF(COUNTIF(Precios!$G:$G,N2262)=0,"⚠ No coincide con Precios","OK"))</f>
        <v/>
      </c>
    </row>
    <row r="2263" spans="3:15" x14ac:dyDescent="0.2">
      <c r="C2263" s="9" cm="1">
        <f t="array" ref="C2263">IFERROR(_xlfn.XLOOKUP(B2263,Personal!$A:$A,Personal!$D:$D,""),"")</f>
        <v>0</v>
      </c>
      <c r="D2263" s="9" cm="1">
        <f t="array" ref="D2263">IFERROR(_xlfn.XLOOKUP(B2263,Personal!$A:$A,Personal!$C:$C,""),"")</f>
        <v>0</v>
      </c>
      <c r="E2263" s="9" t="str" cm="1">
        <f t="array" ref="E2263">IFERROR(_xlfn.XLOOKUP(D2263,Locales!$A:$A,Locales!$B:$B,""),"")</f>
        <v/>
      </c>
      <c r="F2263" s="9" cm="1">
        <f t="array" ref="F2263">IFERROR(_xlfn.XLOOKUP(B2263,Personal!$A:$A,Personal!$F:$F,""),"")</f>
        <v>0</v>
      </c>
      <c r="I2263" s="10" cm="1">
        <f t="array" ref="I2263">IFERROR(INDEX(Precios!$D:$F,MATCH(N2263, Precios!$G:$G, 0),CHOOSE(MATCH(H2263, {"SML";"XL";"XXL"}, 0), 1, 2, 3)), 0)</f>
        <v>0</v>
      </c>
      <c r="K2263" s="10">
        <f t="shared" si="78"/>
        <v>0</v>
      </c>
      <c r="N2263" s="9" t="str">
        <f t="shared" si="79"/>
        <v/>
      </c>
      <c r="O2263" s="9" t="str">
        <f>IF(N2263="","",IF(COUNTIF(Precios!$G:$G,N2263)=0,"⚠ No coincide con Precios","OK"))</f>
        <v/>
      </c>
    </row>
    <row r="2264" spans="3:15" x14ac:dyDescent="0.2">
      <c r="C2264" s="9" cm="1">
        <f t="array" ref="C2264">IFERROR(_xlfn.XLOOKUP(B2264,Personal!$A:$A,Personal!$D:$D,""),"")</f>
        <v>0</v>
      </c>
      <c r="D2264" s="9" cm="1">
        <f t="array" ref="D2264">IFERROR(_xlfn.XLOOKUP(B2264,Personal!$A:$A,Personal!$C:$C,""),"")</f>
        <v>0</v>
      </c>
      <c r="E2264" s="9" t="str" cm="1">
        <f t="array" ref="E2264">IFERROR(_xlfn.XLOOKUP(D2264,Locales!$A:$A,Locales!$B:$B,""),"")</f>
        <v/>
      </c>
      <c r="F2264" s="9" cm="1">
        <f t="array" ref="F2264">IFERROR(_xlfn.XLOOKUP(B2264,Personal!$A:$A,Personal!$F:$F,""),"")</f>
        <v>0</v>
      </c>
      <c r="I2264" s="10" cm="1">
        <f t="array" ref="I2264">IFERROR(INDEX(Precios!$D:$F,MATCH(N2264, Precios!$G:$G, 0),CHOOSE(MATCH(H2264, {"SML";"XL";"XXL"}, 0), 1, 2, 3)), 0)</f>
        <v>0</v>
      </c>
      <c r="K2264" s="10">
        <f t="shared" si="78"/>
        <v>0</v>
      </c>
      <c r="N2264" s="9" t="str">
        <f t="shared" si="79"/>
        <v/>
      </c>
      <c r="O2264" s="9" t="str">
        <f>IF(N2264="","",IF(COUNTIF(Precios!$G:$G,N2264)=0,"⚠ No coincide con Precios","OK"))</f>
        <v/>
      </c>
    </row>
    <row r="2265" spans="3:15" x14ac:dyDescent="0.2">
      <c r="C2265" s="9" cm="1">
        <f t="array" ref="C2265">IFERROR(_xlfn.XLOOKUP(B2265,Personal!$A:$A,Personal!$D:$D,""),"")</f>
        <v>0</v>
      </c>
      <c r="D2265" s="9" cm="1">
        <f t="array" ref="D2265">IFERROR(_xlfn.XLOOKUP(B2265,Personal!$A:$A,Personal!$C:$C,""),"")</f>
        <v>0</v>
      </c>
      <c r="E2265" s="9" t="str" cm="1">
        <f t="array" ref="E2265">IFERROR(_xlfn.XLOOKUP(D2265,Locales!$A:$A,Locales!$B:$B,""),"")</f>
        <v/>
      </c>
      <c r="F2265" s="9" cm="1">
        <f t="array" ref="F2265">IFERROR(_xlfn.XLOOKUP(B2265,Personal!$A:$A,Personal!$F:$F,""),"")</f>
        <v>0</v>
      </c>
      <c r="I2265" s="10" cm="1">
        <f t="array" ref="I2265">IFERROR(INDEX(Precios!$D:$F,MATCH(N2265, Precios!$G:$G, 0),CHOOSE(MATCH(H2265, {"SML";"XL";"XXL"}, 0), 1, 2, 3)), 0)</f>
        <v>0</v>
      </c>
      <c r="K2265" s="10">
        <f t="shared" si="78"/>
        <v>0</v>
      </c>
      <c r="N2265" s="9" t="str">
        <f t="shared" si="79"/>
        <v/>
      </c>
      <c r="O2265" s="9" t="str">
        <f>IF(N2265="","",IF(COUNTIF(Precios!$G:$G,N2265)=0,"⚠ No coincide con Precios","OK"))</f>
        <v/>
      </c>
    </row>
    <row r="2266" spans="3:15" x14ac:dyDescent="0.2">
      <c r="C2266" s="9" cm="1">
        <f t="array" ref="C2266">IFERROR(_xlfn.XLOOKUP(B2266,Personal!$A:$A,Personal!$D:$D,""),"")</f>
        <v>0</v>
      </c>
      <c r="D2266" s="9" cm="1">
        <f t="array" ref="D2266">IFERROR(_xlfn.XLOOKUP(B2266,Personal!$A:$A,Personal!$C:$C,""),"")</f>
        <v>0</v>
      </c>
      <c r="E2266" s="9" t="str" cm="1">
        <f t="array" ref="E2266">IFERROR(_xlfn.XLOOKUP(D2266,Locales!$A:$A,Locales!$B:$B,""),"")</f>
        <v/>
      </c>
      <c r="F2266" s="9" cm="1">
        <f t="array" ref="F2266">IFERROR(_xlfn.XLOOKUP(B2266,Personal!$A:$A,Personal!$F:$F,""),"")</f>
        <v>0</v>
      </c>
      <c r="I2266" s="10" cm="1">
        <f t="array" ref="I2266">IFERROR(INDEX(Precios!$D:$F,MATCH(N2266, Precios!$G:$G, 0),CHOOSE(MATCH(H2266, {"SML";"XL";"XXL"}, 0), 1, 2, 3)), 0)</f>
        <v>0</v>
      </c>
      <c r="K2266" s="10">
        <f t="shared" si="78"/>
        <v>0</v>
      </c>
      <c r="N2266" s="9" t="str">
        <f t="shared" si="79"/>
        <v/>
      </c>
      <c r="O2266" s="9" t="str">
        <f>IF(N2266="","",IF(COUNTIF(Precios!$G:$G,N2266)=0,"⚠ No coincide con Precios","OK"))</f>
        <v/>
      </c>
    </row>
    <row r="2267" spans="3:15" x14ac:dyDescent="0.2">
      <c r="C2267" s="9" cm="1">
        <f t="array" ref="C2267">IFERROR(_xlfn.XLOOKUP(B2267,Personal!$A:$A,Personal!$D:$D,""),"")</f>
        <v>0</v>
      </c>
      <c r="D2267" s="9" cm="1">
        <f t="array" ref="D2267">IFERROR(_xlfn.XLOOKUP(B2267,Personal!$A:$A,Personal!$C:$C,""),"")</f>
        <v>0</v>
      </c>
      <c r="E2267" s="9" t="str" cm="1">
        <f t="array" ref="E2267">IFERROR(_xlfn.XLOOKUP(D2267,Locales!$A:$A,Locales!$B:$B,""),"")</f>
        <v/>
      </c>
      <c r="F2267" s="9" cm="1">
        <f t="array" ref="F2267">IFERROR(_xlfn.XLOOKUP(B2267,Personal!$A:$A,Personal!$F:$F,""),"")</f>
        <v>0</v>
      </c>
      <c r="I2267" s="10" cm="1">
        <f t="array" ref="I2267">IFERROR(INDEX(Precios!$D:$F,MATCH(N2267, Precios!$G:$G, 0),CHOOSE(MATCH(H2267, {"SML";"XL";"XXL"}, 0), 1, 2, 3)), 0)</f>
        <v>0</v>
      </c>
      <c r="K2267" s="10">
        <f t="shared" si="78"/>
        <v>0</v>
      </c>
      <c r="N2267" s="9" t="str">
        <f t="shared" si="79"/>
        <v/>
      </c>
      <c r="O2267" s="9" t="str">
        <f>IF(N2267="","",IF(COUNTIF(Precios!$G:$G,N2267)=0,"⚠ No coincide con Precios","OK"))</f>
        <v/>
      </c>
    </row>
    <row r="2268" spans="3:15" x14ac:dyDescent="0.2">
      <c r="C2268" s="9" cm="1">
        <f t="array" ref="C2268">IFERROR(_xlfn.XLOOKUP(B2268,Personal!$A:$A,Personal!$D:$D,""),"")</f>
        <v>0</v>
      </c>
      <c r="D2268" s="9" cm="1">
        <f t="array" ref="D2268">IFERROR(_xlfn.XLOOKUP(B2268,Personal!$A:$A,Personal!$C:$C,""),"")</f>
        <v>0</v>
      </c>
      <c r="E2268" s="9" t="str" cm="1">
        <f t="array" ref="E2268">IFERROR(_xlfn.XLOOKUP(D2268,Locales!$A:$A,Locales!$B:$B,""),"")</f>
        <v/>
      </c>
      <c r="F2268" s="9" cm="1">
        <f t="array" ref="F2268">IFERROR(_xlfn.XLOOKUP(B2268,Personal!$A:$A,Personal!$F:$F,""),"")</f>
        <v>0</v>
      </c>
      <c r="I2268" s="10" cm="1">
        <f t="array" ref="I2268">IFERROR(INDEX(Precios!$D:$F,MATCH(N2268, Precios!$G:$G, 0),CHOOSE(MATCH(H2268, {"SML";"XL";"XXL"}, 0), 1, 2, 3)), 0)</f>
        <v>0</v>
      </c>
      <c r="K2268" s="10">
        <f t="shared" si="78"/>
        <v>0</v>
      </c>
      <c r="N2268" s="9" t="str">
        <f t="shared" si="79"/>
        <v/>
      </c>
      <c r="O2268" s="9" t="str">
        <f>IF(N2268="","",IF(COUNTIF(Precios!$G:$G,N2268)=0,"⚠ No coincide con Precios","OK"))</f>
        <v/>
      </c>
    </row>
    <row r="2269" spans="3:15" x14ac:dyDescent="0.2">
      <c r="C2269" s="9" cm="1">
        <f t="array" ref="C2269">IFERROR(_xlfn.XLOOKUP(B2269,Personal!$A:$A,Personal!$D:$D,""),"")</f>
        <v>0</v>
      </c>
      <c r="D2269" s="9" cm="1">
        <f t="array" ref="D2269">IFERROR(_xlfn.XLOOKUP(B2269,Personal!$A:$A,Personal!$C:$C,""),"")</f>
        <v>0</v>
      </c>
      <c r="E2269" s="9" t="str" cm="1">
        <f t="array" ref="E2269">IFERROR(_xlfn.XLOOKUP(D2269,Locales!$A:$A,Locales!$B:$B,""),"")</f>
        <v/>
      </c>
      <c r="F2269" s="9" cm="1">
        <f t="array" ref="F2269">IFERROR(_xlfn.XLOOKUP(B2269,Personal!$A:$A,Personal!$F:$F,""),"")</f>
        <v>0</v>
      </c>
      <c r="I2269" s="10" cm="1">
        <f t="array" ref="I2269">IFERROR(INDEX(Precios!$D:$F,MATCH(N2269, Precios!$G:$G, 0),CHOOSE(MATCH(H2269, {"SML";"XL";"XXL"}, 0), 1, 2, 3)), 0)</f>
        <v>0</v>
      </c>
      <c r="K2269" s="10">
        <f t="shared" si="78"/>
        <v>0</v>
      </c>
      <c r="N2269" s="9" t="str">
        <f t="shared" si="79"/>
        <v/>
      </c>
      <c r="O2269" s="9" t="str">
        <f>IF(N2269="","",IF(COUNTIF(Precios!$G:$G,N2269)=0,"⚠ No coincide con Precios","OK"))</f>
        <v/>
      </c>
    </row>
    <row r="2270" spans="3:15" x14ac:dyDescent="0.2">
      <c r="C2270" s="9" cm="1">
        <f t="array" ref="C2270">IFERROR(_xlfn.XLOOKUP(B2270,Personal!$A:$A,Personal!$D:$D,""),"")</f>
        <v>0</v>
      </c>
      <c r="D2270" s="9" cm="1">
        <f t="array" ref="D2270">IFERROR(_xlfn.XLOOKUP(B2270,Personal!$A:$A,Personal!$C:$C,""),"")</f>
        <v>0</v>
      </c>
      <c r="E2270" s="9" t="str" cm="1">
        <f t="array" ref="E2270">IFERROR(_xlfn.XLOOKUP(D2270,Locales!$A:$A,Locales!$B:$B,""),"")</f>
        <v/>
      </c>
      <c r="F2270" s="9" cm="1">
        <f t="array" ref="F2270">IFERROR(_xlfn.XLOOKUP(B2270,Personal!$A:$A,Personal!$F:$F,""),"")</f>
        <v>0</v>
      </c>
      <c r="I2270" s="10" cm="1">
        <f t="array" ref="I2270">IFERROR(INDEX(Precios!$D:$F,MATCH(N2270, Precios!$G:$G, 0),CHOOSE(MATCH(H2270, {"SML";"XL";"XXL"}, 0), 1, 2, 3)), 0)</f>
        <v>0</v>
      </c>
      <c r="K2270" s="10">
        <f t="shared" si="78"/>
        <v>0</v>
      </c>
      <c r="N2270" s="9" t="str">
        <f t="shared" si="79"/>
        <v/>
      </c>
      <c r="O2270" s="9" t="str">
        <f>IF(N2270="","",IF(COUNTIF(Precios!$G:$G,N2270)=0,"⚠ No coincide con Precios","OK"))</f>
        <v/>
      </c>
    </row>
    <row r="2271" spans="3:15" x14ac:dyDescent="0.2">
      <c r="C2271" s="9" cm="1">
        <f t="array" ref="C2271">IFERROR(_xlfn.XLOOKUP(B2271,Personal!$A:$A,Personal!$D:$D,""),"")</f>
        <v>0</v>
      </c>
      <c r="D2271" s="9" cm="1">
        <f t="array" ref="D2271">IFERROR(_xlfn.XLOOKUP(B2271,Personal!$A:$A,Personal!$C:$C,""),"")</f>
        <v>0</v>
      </c>
      <c r="E2271" s="9" t="str" cm="1">
        <f t="array" ref="E2271">IFERROR(_xlfn.XLOOKUP(D2271,Locales!$A:$A,Locales!$B:$B,""),"")</f>
        <v/>
      </c>
      <c r="F2271" s="9" cm="1">
        <f t="array" ref="F2271">IFERROR(_xlfn.XLOOKUP(B2271,Personal!$A:$A,Personal!$F:$F,""),"")</f>
        <v>0</v>
      </c>
      <c r="I2271" s="10" cm="1">
        <f t="array" ref="I2271">IFERROR(INDEX(Precios!$D:$F,MATCH(N2271, Precios!$G:$G, 0),CHOOSE(MATCH(H2271, {"SML";"XL";"XXL"}, 0), 1, 2, 3)), 0)</f>
        <v>0</v>
      </c>
      <c r="K2271" s="10">
        <f t="shared" si="78"/>
        <v>0</v>
      </c>
      <c r="N2271" s="9" t="str">
        <f t="shared" si="79"/>
        <v/>
      </c>
      <c r="O2271" s="9" t="str">
        <f>IF(N2271="","",IF(COUNTIF(Precios!$G:$G,N2271)=0,"⚠ No coincide con Precios","OK"))</f>
        <v/>
      </c>
    </row>
    <row r="2272" spans="3:15" x14ac:dyDescent="0.2">
      <c r="C2272" s="9" cm="1">
        <f t="array" ref="C2272">IFERROR(_xlfn.XLOOKUP(B2272,Personal!$A:$A,Personal!$D:$D,""),"")</f>
        <v>0</v>
      </c>
      <c r="D2272" s="9" cm="1">
        <f t="array" ref="D2272">IFERROR(_xlfn.XLOOKUP(B2272,Personal!$A:$A,Personal!$C:$C,""),"")</f>
        <v>0</v>
      </c>
      <c r="E2272" s="9" t="str" cm="1">
        <f t="array" ref="E2272">IFERROR(_xlfn.XLOOKUP(D2272,Locales!$A:$A,Locales!$B:$B,""),"")</f>
        <v/>
      </c>
      <c r="F2272" s="9" cm="1">
        <f t="array" ref="F2272">IFERROR(_xlfn.XLOOKUP(B2272,Personal!$A:$A,Personal!$F:$F,""),"")</f>
        <v>0</v>
      </c>
      <c r="I2272" s="10" cm="1">
        <f t="array" ref="I2272">IFERROR(INDEX(Precios!$D:$F,MATCH(N2272, Precios!$G:$G, 0),CHOOSE(MATCH(H2272, {"SML";"XL";"XXL"}, 0), 1, 2, 3)), 0)</f>
        <v>0</v>
      </c>
      <c r="K2272" s="10">
        <f t="shared" si="78"/>
        <v>0</v>
      </c>
      <c r="N2272" s="9" t="str">
        <f t="shared" si="79"/>
        <v/>
      </c>
      <c r="O2272" s="9" t="str">
        <f>IF(N2272="","",IF(COUNTIF(Precios!$G:$G,N2272)=0,"⚠ No coincide con Precios","OK"))</f>
        <v/>
      </c>
    </row>
    <row r="2273" spans="3:15" x14ac:dyDescent="0.2">
      <c r="C2273" s="9" cm="1">
        <f t="array" ref="C2273">IFERROR(_xlfn.XLOOKUP(B2273,Personal!$A:$A,Personal!$D:$D,""),"")</f>
        <v>0</v>
      </c>
      <c r="D2273" s="9" cm="1">
        <f t="array" ref="D2273">IFERROR(_xlfn.XLOOKUP(B2273,Personal!$A:$A,Personal!$C:$C,""),"")</f>
        <v>0</v>
      </c>
      <c r="E2273" s="9" t="str" cm="1">
        <f t="array" ref="E2273">IFERROR(_xlfn.XLOOKUP(D2273,Locales!$A:$A,Locales!$B:$B,""),"")</f>
        <v/>
      </c>
      <c r="F2273" s="9" cm="1">
        <f t="array" ref="F2273">IFERROR(_xlfn.XLOOKUP(B2273,Personal!$A:$A,Personal!$F:$F,""),"")</f>
        <v>0</v>
      </c>
      <c r="I2273" s="10" cm="1">
        <f t="array" ref="I2273">IFERROR(INDEX(Precios!$D:$F,MATCH(N2273, Precios!$G:$G, 0),CHOOSE(MATCH(H2273, {"SML";"XL";"XXL"}, 0), 1, 2, 3)), 0)</f>
        <v>0</v>
      </c>
      <c r="K2273" s="10">
        <f t="shared" si="78"/>
        <v>0</v>
      </c>
      <c r="N2273" s="9" t="str">
        <f t="shared" si="79"/>
        <v/>
      </c>
      <c r="O2273" s="9" t="str">
        <f>IF(N2273="","",IF(COUNTIF(Precios!$G:$G,N2273)=0,"⚠ No coincide con Precios","OK"))</f>
        <v/>
      </c>
    </row>
    <row r="2274" spans="3:15" x14ac:dyDescent="0.2">
      <c r="C2274" s="9" cm="1">
        <f t="array" ref="C2274">IFERROR(_xlfn.XLOOKUP(B2274,Personal!$A:$A,Personal!$D:$D,""),"")</f>
        <v>0</v>
      </c>
      <c r="D2274" s="9" cm="1">
        <f t="array" ref="D2274">IFERROR(_xlfn.XLOOKUP(B2274,Personal!$A:$A,Personal!$C:$C,""),"")</f>
        <v>0</v>
      </c>
      <c r="E2274" s="9" t="str" cm="1">
        <f t="array" ref="E2274">IFERROR(_xlfn.XLOOKUP(D2274,Locales!$A:$A,Locales!$B:$B,""),"")</f>
        <v/>
      </c>
      <c r="F2274" s="9" cm="1">
        <f t="array" ref="F2274">IFERROR(_xlfn.XLOOKUP(B2274,Personal!$A:$A,Personal!$F:$F,""),"")</f>
        <v>0</v>
      </c>
      <c r="I2274" s="10" cm="1">
        <f t="array" ref="I2274">IFERROR(INDEX(Precios!$D:$F,MATCH(N2274, Precios!$G:$G, 0),CHOOSE(MATCH(H2274, {"SML";"XL";"XXL"}, 0), 1, 2, 3)), 0)</f>
        <v>0</v>
      </c>
      <c r="K2274" s="10">
        <f t="shared" si="78"/>
        <v>0</v>
      </c>
      <c r="N2274" s="9" t="str">
        <f t="shared" si="79"/>
        <v/>
      </c>
      <c r="O2274" s="9" t="str">
        <f>IF(N2274="","",IF(COUNTIF(Precios!$G:$G,N2274)=0,"⚠ No coincide con Precios","OK"))</f>
        <v/>
      </c>
    </row>
    <row r="2275" spans="3:15" x14ac:dyDescent="0.2">
      <c r="C2275" s="9" cm="1">
        <f t="array" ref="C2275">IFERROR(_xlfn.XLOOKUP(B2275,Personal!$A:$A,Personal!$D:$D,""),"")</f>
        <v>0</v>
      </c>
      <c r="D2275" s="9" cm="1">
        <f t="array" ref="D2275">IFERROR(_xlfn.XLOOKUP(B2275,Personal!$A:$A,Personal!$C:$C,""),"")</f>
        <v>0</v>
      </c>
      <c r="E2275" s="9" t="str" cm="1">
        <f t="array" ref="E2275">IFERROR(_xlfn.XLOOKUP(D2275,Locales!$A:$A,Locales!$B:$B,""),"")</f>
        <v/>
      </c>
      <c r="F2275" s="9" cm="1">
        <f t="array" ref="F2275">IFERROR(_xlfn.XLOOKUP(B2275,Personal!$A:$A,Personal!$F:$F,""),"")</f>
        <v>0</v>
      </c>
      <c r="I2275" s="10" cm="1">
        <f t="array" ref="I2275">IFERROR(INDEX(Precios!$D:$F,MATCH(N2275, Precios!$G:$G, 0),CHOOSE(MATCH(H2275, {"SML";"XL";"XXL"}, 0), 1, 2, 3)), 0)</f>
        <v>0</v>
      </c>
      <c r="K2275" s="10">
        <f t="shared" si="78"/>
        <v>0</v>
      </c>
      <c r="N2275" s="9" t="str">
        <f t="shared" si="79"/>
        <v/>
      </c>
      <c r="O2275" s="9" t="str">
        <f>IF(N2275="","",IF(COUNTIF(Precios!$G:$G,N2275)=0,"⚠ No coincide con Precios","OK"))</f>
        <v/>
      </c>
    </row>
    <row r="2276" spans="3:15" x14ac:dyDescent="0.2">
      <c r="C2276" s="9" cm="1">
        <f t="array" ref="C2276">IFERROR(_xlfn.XLOOKUP(B2276,Personal!$A:$A,Personal!$D:$D,""),"")</f>
        <v>0</v>
      </c>
      <c r="D2276" s="9" cm="1">
        <f t="array" ref="D2276">IFERROR(_xlfn.XLOOKUP(B2276,Personal!$A:$A,Personal!$C:$C,""),"")</f>
        <v>0</v>
      </c>
      <c r="E2276" s="9" t="str" cm="1">
        <f t="array" ref="E2276">IFERROR(_xlfn.XLOOKUP(D2276,Locales!$A:$A,Locales!$B:$B,""),"")</f>
        <v/>
      </c>
      <c r="F2276" s="9" cm="1">
        <f t="array" ref="F2276">IFERROR(_xlfn.XLOOKUP(B2276,Personal!$A:$A,Personal!$F:$F,""),"")</f>
        <v>0</v>
      </c>
      <c r="I2276" s="10" cm="1">
        <f t="array" ref="I2276">IFERROR(INDEX(Precios!$D:$F,MATCH(N2276, Precios!$G:$G, 0),CHOOSE(MATCH(H2276, {"SML";"XL";"XXL"}, 0), 1, 2, 3)), 0)</f>
        <v>0</v>
      </c>
      <c r="K2276" s="10">
        <f t="shared" si="78"/>
        <v>0</v>
      </c>
      <c r="N2276" s="9" t="str">
        <f t="shared" si="79"/>
        <v/>
      </c>
      <c r="O2276" s="9" t="str">
        <f>IF(N2276="","",IF(COUNTIF(Precios!$G:$G,N2276)=0,"⚠ No coincide con Precios","OK"))</f>
        <v/>
      </c>
    </row>
    <row r="2277" spans="3:15" x14ac:dyDescent="0.2">
      <c r="C2277" s="9" cm="1">
        <f t="array" ref="C2277">IFERROR(_xlfn.XLOOKUP(B2277,Personal!$A:$A,Personal!$D:$D,""),"")</f>
        <v>0</v>
      </c>
      <c r="D2277" s="9" cm="1">
        <f t="array" ref="D2277">IFERROR(_xlfn.XLOOKUP(B2277,Personal!$A:$A,Personal!$C:$C,""),"")</f>
        <v>0</v>
      </c>
      <c r="E2277" s="9" t="str" cm="1">
        <f t="array" ref="E2277">IFERROR(_xlfn.XLOOKUP(D2277,Locales!$A:$A,Locales!$B:$B,""),"")</f>
        <v/>
      </c>
      <c r="F2277" s="9" cm="1">
        <f t="array" ref="F2277">IFERROR(_xlfn.XLOOKUP(B2277,Personal!$A:$A,Personal!$F:$F,""),"")</f>
        <v>0</v>
      </c>
      <c r="I2277" s="10" cm="1">
        <f t="array" ref="I2277">IFERROR(INDEX(Precios!$D:$F,MATCH(N2277, Precios!$G:$G, 0),CHOOSE(MATCH(H2277, {"SML";"XL";"XXL"}, 0), 1, 2, 3)), 0)</f>
        <v>0</v>
      </c>
      <c r="K2277" s="10">
        <f t="shared" si="78"/>
        <v>0</v>
      </c>
      <c r="N2277" s="9" t="str">
        <f t="shared" si="79"/>
        <v/>
      </c>
      <c r="O2277" s="9" t="str">
        <f>IF(N2277="","",IF(COUNTIF(Precios!$G:$G,N2277)=0,"⚠ No coincide con Precios","OK"))</f>
        <v/>
      </c>
    </row>
    <row r="2278" spans="3:15" x14ac:dyDescent="0.2">
      <c r="C2278" s="9" cm="1">
        <f t="array" ref="C2278">IFERROR(_xlfn.XLOOKUP(B2278,Personal!$A:$A,Personal!$D:$D,""),"")</f>
        <v>0</v>
      </c>
      <c r="D2278" s="9" cm="1">
        <f t="array" ref="D2278">IFERROR(_xlfn.XLOOKUP(B2278,Personal!$A:$A,Personal!$C:$C,""),"")</f>
        <v>0</v>
      </c>
      <c r="E2278" s="9" t="str" cm="1">
        <f t="array" ref="E2278">IFERROR(_xlfn.XLOOKUP(D2278,Locales!$A:$A,Locales!$B:$B,""),"")</f>
        <v/>
      </c>
      <c r="F2278" s="9" cm="1">
        <f t="array" ref="F2278">IFERROR(_xlfn.XLOOKUP(B2278,Personal!$A:$A,Personal!$F:$F,""),"")</f>
        <v>0</v>
      </c>
      <c r="I2278" s="10" cm="1">
        <f t="array" ref="I2278">IFERROR(INDEX(Precios!$D:$F,MATCH(N2278, Precios!$G:$G, 0),CHOOSE(MATCH(H2278, {"SML";"XL";"XXL"}, 0), 1, 2, 3)), 0)</f>
        <v>0</v>
      </c>
      <c r="K2278" s="10">
        <f t="shared" si="78"/>
        <v>0</v>
      </c>
      <c r="N2278" s="9" t="str">
        <f t="shared" si="79"/>
        <v/>
      </c>
      <c r="O2278" s="9" t="str">
        <f>IF(N2278="","",IF(COUNTIF(Precios!$G:$G,N2278)=0,"⚠ No coincide con Precios","OK"))</f>
        <v/>
      </c>
    </row>
    <row r="2279" spans="3:15" x14ac:dyDescent="0.2">
      <c r="C2279" s="9" cm="1">
        <f t="array" ref="C2279">IFERROR(_xlfn.XLOOKUP(B2279,Personal!$A:$A,Personal!$D:$D,""),"")</f>
        <v>0</v>
      </c>
      <c r="D2279" s="9" cm="1">
        <f t="array" ref="D2279">IFERROR(_xlfn.XLOOKUP(B2279,Personal!$A:$A,Personal!$C:$C,""),"")</f>
        <v>0</v>
      </c>
      <c r="E2279" s="9" t="str" cm="1">
        <f t="array" ref="E2279">IFERROR(_xlfn.XLOOKUP(D2279,Locales!$A:$A,Locales!$B:$B,""),"")</f>
        <v/>
      </c>
      <c r="F2279" s="9" cm="1">
        <f t="array" ref="F2279">IFERROR(_xlfn.XLOOKUP(B2279,Personal!$A:$A,Personal!$F:$F,""),"")</f>
        <v>0</v>
      </c>
      <c r="I2279" s="10" cm="1">
        <f t="array" ref="I2279">IFERROR(INDEX(Precios!$D:$F,MATCH(N2279, Precios!$G:$G, 0),CHOOSE(MATCH(H2279, {"SML";"XL";"XXL"}, 0), 1, 2, 3)), 0)</f>
        <v>0</v>
      </c>
      <c r="K2279" s="10">
        <f t="shared" si="78"/>
        <v>0</v>
      </c>
      <c r="N2279" s="9" t="str">
        <f t="shared" si="79"/>
        <v/>
      </c>
      <c r="O2279" s="9" t="str">
        <f>IF(N2279="","",IF(COUNTIF(Precios!$G:$G,N2279)=0,"⚠ No coincide con Precios","OK"))</f>
        <v/>
      </c>
    </row>
    <row r="2280" spans="3:15" x14ac:dyDescent="0.2">
      <c r="C2280" s="9" cm="1">
        <f t="array" ref="C2280">IFERROR(_xlfn.XLOOKUP(B2280,Personal!$A:$A,Personal!$D:$D,""),"")</f>
        <v>0</v>
      </c>
      <c r="D2280" s="9" cm="1">
        <f t="array" ref="D2280">IFERROR(_xlfn.XLOOKUP(B2280,Personal!$A:$A,Personal!$C:$C,""),"")</f>
        <v>0</v>
      </c>
      <c r="E2280" s="9" t="str" cm="1">
        <f t="array" ref="E2280">IFERROR(_xlfn.XLOOKUP(D2280,Locales!$A:$A,Locales!$B:$B,""),"")</f>
        <v/>
      </c>
      <c r="F2280" s="9" cm="1">
        <f t="array" ref="F2280">IFERROR(_xlfn.XLOOKUP(B2280,Personal!$A:$A,Personal!$F:$F,""),"")</f>
        <v>0</v>
      </c>
      <c r="I2280" s="10" cm="1">
        <f t="array" ref="I2280">IFERROR(INDEX(Precios!$D:$F,MATCH(N2280, Precios!$G:$G, 0),CHOOSE(MATCH(H2280, {"SML";"XL";"XXL"}, 0), 1, 2, 3)), 0)</f>
        <v>0</v>
      </c>
      <c r="K2280" s="10">
        <f t="shared" si="78"/>
        <v>0</v>
      </c>
      <c r="N2280" s="9" t="str">
        <f t="shared" si="79"/>
        <v/>
      </c>
      <c r="O2280" s="9" t="str">
        <f>IF(N2280="","",IF(COUNTIF(Precios!$G:$G,N2280)=0,"⚠ No coincide con Precios","OK"))</f>
        <v/>
      </c>
    </row>
    <row r="2281" spans="3:15" x14ac:dyDescent="0.2">
      <c r="C2281" s="9" cm="1">
        <f t="array" ref="C2281">IFERROR(_xlfn.XLOOKUP(B2281,Personal!$A:$A,Personal!$D:$D,""),"")</f>
        <v>0</v>
      </c>
      <c r="D2281" s="9" cm="1">
        <f t="array" ref="D2281">IFERROR(_xlfn.XLOOKUP(B2281,Personal!$A:$A,Personal!$C:$C,""),"")</f>
        <v>0</v>
      </c>
      <c r="E2281" s="9" t="str" cm="1">
        <f t="array" ref="E2281">IFERROR(_xlfn.XLOOKUP(D2281,Locales!$A:$A,Locales!$B:$B,""),"")</f>
        <v/>
      </c>
      <c r="F2281" s="9" cm="1">
        <f t="array" ref="F2281">IFERROR(_xlfn.XLOOKUP(B2281,Personal!$A:$A,Personal!$F:$F,""),"")</f>
        <v>0</v>
      </c>
      <c r="I2281" s="10" cm="1">
        <f t="array" ref="I2281">IFERROR(INDEX(Precios!$D:$F,MATCH(N2281, Precios!$G:$G, 0),CHOOSE(MATCH(H2281, {"SML";"XL";"XXL"}, 0), 1, 2, 3)), 0)</f>
        <v>0</v>
      </c>
      <c r="K2281" s="10">
        <f t="shared" si="78"/>
        <v>0</v>
      </c>
      <c r="N2281" s="9" t="str">
        <f t="shared" si="79"/>
        <v/>
      </c>
      <c r="O2281" s="9" t="str">
        <f>IF(N2281="","",IF(COUNTIF(Precios!$G:$G,N2281)=0,"⚠ No coincide con Precios","OK"))</f>
        <v/>
      </c>
    </row>
    <row r="2282" spans="3:15" x14ac:dyDescent="0.2">
      <c r="C2282" s="9" cm="1">
        <f t="array" ref="C2282">IFERROR(_xlfn.XLOOKUP(B2282,Personal!$A:$A,Personal!$D:$D,""),"")</f>
        <v>0</v>
      </c>
      <c r="D2282" s="9" cm="1">
        <f t="array" ref="D2282">IFERROR(_xlfn.XLOOKUP(B2282,Personal!$A:$A,Personal!$C:$C,""),"")</f>
        <v>0</v>
      </c>
      <c r="E2282" s="9" t="str" cm="1">
        <f t="array" ref="E2282">IFERROR(_xlfn.XLOOKUP(D2282,Locales!$A:$A,Locales!$B:$B,""),"")</f>
        <v/>
      </c>
      <c r="F2282" s="9" cm="1">
        <f t="array" ref="F2282">IFERROR(_xlfn.XLOOKUP(B2282,Personal!$A:$A,Personal!$F:$F,""),"")</f>
        <v>0</v>
      </c>
      <c r="I2282" s="10" cm="1">
        <f t="array" ref="I2282">IFERROR(INDEX(Precios!$D:$F,MATCH(N2282, Precios!$G:$G, 0),CHOOSE(MATCH(H2282, {"SML";"XL";"XXL"}, 0), 1, 2, 3)), 0)</f>
        <v>0</v>
      </c>
      <c r="K2282" s="10">
        <f t="shared" si="78"/>
        <v>0</v>
      </c>
      <c r="N2282" s="9" t="str">
        <f t="shared" si="79"/>
        <v/>
      </c>
      <c r="O2282" s="9" t="str">
        <f>IF(N2282="","",IF(COUNTIF(Precios!$G:$G,N2282)=0,"⚠ No coincide con Precios","OK"))</f>
        <v/>
      </c>
    </row>
    <row r="2283" spans="3:15" x14ac:dyDescent="0.2">
      <c r="C2283" s="9" cm="1">
        <f t="array" ref="C2283">IFERROR(_xlfn.XLOOKUP(B2283,Personal!$A:$A,Personal!$D:$D,""),"")</f>
        <v>0</v>
      </c>
      <c r="D2283" s="9" cm="1">
        <f t="array" ref="D2283">IFERROR(_xlfn.XLOOKUP(B2283,Personal!$A:$A,Personal!$C:$C,""),"")</f>
        <v>0</v>
      </c>
      <c r="E2283" s="9" t="str" cm="1">
        <f t="array" ref="E2283">IFERROR(_xlfn.XLOOKUP(D2283,Locales!$A:$A,Locales!$B:$B,""),"")</f>
        <v/>
      </c>
      <c r="F2283" s="9" cm="1">
        <f t="array" ref="F2283">IFERROR(_xlfn.XLOOKUP(B2283,Personal!$A:$A,Personal!$F:$F,""),"")</f>
        <v>0</v>
      </c>
      <c r="I2283" s="10" cm="1">
        <f t="array" ref="I2283">IFERROR(INDEX(Precios!$D:$F,MATCH(N2283, Precios!$G:$G, 0),CHOOSE(MATCH(H2283, {"SML";"XL";"XXL"}, 0), 1, 2, 3)), 0)</f>
        <v>0</v>
      </c>
      <c r="K2283" s="10">
        <f t="shared" si="78"/>
        <v>0</v>
      </c>
      <c r="N2283" s="9" t="str">
        <f t="shared" si="79"/>
        <v/>
      </c>
      <c r="O2283" s="9" t="str">
        <f>IF(N2283="","",IF(COUNTIF(Precios!$G:$G,N2283)=0,"⚠ No coincide con Precios","OK"))</f>
        <v/>
      </c>
    </row>
    <row r="2284" spans="3:15" x14ac:dyDescent="0.2">
      <c r="C2284" s="9" cm="1">
        <f t="array" ref="C2284">IFERROR(_xlfn.XLOOKUP(B2284,Personal!$A:$A,Personal!$D:$D,""),"")</f>
        <v>0</v>
      </c>
      <c r="D2284" s="9" cm="1">
        <f t="array" ref="D2284">IFERROR(_xlfn.XLOOKUP(B2284,Personal!$A:$A,Personal!$C:$C,""),"")</f>
        <v>0</v>
      </c>
      <c r="E2284" s="9" t="str" cm="1">
        <f t="array" ref="E2284">IFERROR(_xlfn.XLOOKUP(D2284,Locales!$A:$A,Locales!$B:$B,""),"")</f>
        <v/>
      </c>
      <c r="F2284" s="9" cm="1">
        <f t="array" ref="F2284">IFERROR(_xlfn.XLOOKUP(B2284,Personal!$A:$A,Personal!$F:$F,""),"")</f>
        <v>0</v>
      </c>
      <c r="I2284" s="10" cm="1">
        <f t="array" ref="I2284">IFERROR(INDEX(Precios!$D:$F,MATCH(N2284, Precios!$G:$G, 0),CHOOSE(MATCH(H2284, {"SML";"XL";"XXL"}, 0), 1, 2, 3)), 0)</f>
        <v>0</v>
      </c>
      <c r="K2284" s="10">
        <f t="shared" si="78"/>
        <v>0</v>
      </c>
      <c r="N2284" s="9" t="str">
        <f t="shared" si="79"/>
        <v/>
      </c>
      <c r="O2284" s="9" t="str">
        <f>IF(N2284="","",IF(COUNTIF(Precios!$G:$G,N2284)=0,"⚠ No coincide con Precios","OK"))</f>
        <v/>
      </c>
    </row>
    <row r="2285" spans="3:15" x14ac:dyDescent="0.2">
      <c r="C2285" s="9" cm="1">
        <f t="array" ref="C2285">IFERROR(_xlfn.XLOOKUP(B2285,Personal!$A:$A,Personal!$D:$D,""),"")</f>
        <v>0</v>
      </c>
      <c r="D2285" s="9" cm="1">
        <f t="array" ref="D2285">IFERROR(_xlfn.XLOOKUP(B2285,Personal!$A:$A,Personal!$C:$C,""),"")</f>
        <v>0</v>
      </c>
      <c r="E2285" s="9" t="str" cm="1">
        <f t="array" ref="E2285">IFERROR(_xlfn.XLOOKUP(D2285,Locales!$A:$A,Locales!$B:$B,""),"")</f>
        <v/>
      </c>
      <c r="F2285" s="9" cm="1">
        <f t="array" ref="F2285">IFERROR(_xlfn.XLOOKUP(B2285,Personal!$A:$A,Personal!$F:$F,""),"")</f>
        <v>0</v>
      </c>
      <c r="I2285" s="10" cm="1">
        <f t="array" ref="I2285">IFERROR(INDEX(Precios!$D:$F,MATCH(N2285, Precios!$G:$G, 0),CHOOSE(MATCH(H2285, {"SML";"XL";"XXL"}, 0), 1, 2, 3)), 0)</f>
        <v>0</v>
      </c>
      <c r="K2285" s="10">
        <f t="shared" si="78"/>
        <v>0</v>
      </c>
      <c r="N2285" s="9" t="str">
        <f t="shared" si="79"/>
        <v/>
      </c>
      <c r="O2285" s="9" t="str">
        <f>IF(N2285="","",IF(COUNTIF(Precios!$G:$G,N2285)=0,"⚠ No coincide con Precios","OK"))</f>
        <v/>
      </c>
    </row>
    <row r="2286" spans="3:15" x14ac:dyDescent="0.2">
      <c r="C2286" s="9" cm="1">
        <f t="array" ref="C2286">IFERROR(_xlfn.XLOOKUP(B2286,Personal!$A:$A,Personal!$D:$D,""),"")</f>
        <v>0</v>
      </c>
      <c r="D2286" s="9" cm="1">
        <f t="array" ref="D2286">IFERROR(_xlfn.XLOOKUP(B2286,Personal!$A:$A,Personal!$C:$C,""),"")</f>
        <v>0</v>
      </c>
      <c r="E2286" s="9" t="str" cm="1">
        <f t="array" ref="E2286">IFERROR(_xlfn.XLOOKUP(D2286,Locales!$A:$A,Locales!$B:$B,""),"")</f>
        <v/>
      </c>
      <c r="F2286" s="9" cm="1">
        <f t="array" ref="F2286">IFERROR(_xlfn.XLOOKUP(B2286,Personal!$A:$A,Personal!$F:$F,""),"")</f>
        <v>0</v>
      </c>
      <c r="I2286" s="10" cm="1">
        <f t="array" ref="I2286">IFERROR(INDEX(Precios!$D:$F,MATCH(N2286, Precios!$G:$G, 0),CHOOSE(MATCH(H2286, {"SML";"XL";"XXL"}, 0), 1, 2, 3)), 0)</f>
        <v>0</v>
      </c>
      <c r="K2286" s="10">
        <f t="shared" si="78"/>
        <v>0</v>
      </c>
      <c r="N2286" s="9" t="str">
        <f t="shared" si="79"/>
        <v/>
      </c>
      <c r="O2286" s="9" t="str">
        <f>IF(N2286="","",IF(COUNTIF(Precios!$G:$G,N2286)=0,"⚠ No coincide con Precios","OK"))</f>
        <v/>
      </c>
    </row>
    <row r="2287" spans="3:15" x14ac:dyDescent="0.2">
      <c r="C2287" s="9" cm="1">
        <f t="array" ref="C2287">IFERROR(_xlfn.XLOOKUP(B2287,Personal!$A:$A,Personal!$D:$D,""),"")</f>
        <v>0</v>
      </c>
      <c r="D2287" s="9" cm="1">
        <f t="array" ref="D2287">IFERROR(_xlfn.XLOOKUP(B2287,Personal!$A:$A,Personal!$C:$C,""),"")</f>
        <v>0</v>
      </c>
      <c r="E2287" s="9" t="str" cm="1">
        <f t="array" ref="E2287">IFERROR(_xlfn.XLOOKUP(D2287,Locales!$A:$A,Locales!$B:$B,""),"")</f>
        <v/>
      </c>
      <c r="F2287" s="9" cm="1">
        <f t="array" ref="F2287">IFERROR(_xlfn.XLOOKUP(B2287,Personal!$A:$A,Personal!$F:$F,""),"")</f>
        <v>0</v>
      </c>
      <c r="I2287" s="10" cm="1">
        <f t="array" ref="I2287">IFERROR(INDEX(Precios!$D:$F,MATCH(N2287, Precios!$G:$G, 0),CHOOSE(MATCH(H2287, {"SML";"XL";"XXL"}, 0), 1, 2, 3)), 0)</f>
        <v>0</v>
      </c>
      <c r="K2287" s="10">
        <f t="shared" si="78"/>
        <v>0</v>
      </c>
      <c r="N2287" s="9" t="str">
        <f t="shared" si="79"/>
        <v/>
      </c>
      <c r="O2287" s="9" t="str">
        <f>IF(N2287="","",IF(COUNTIF(Precios!$G:$G,N2287)=0,"⚠ No coincide con Precios","OK"))</f>
        <v/>
      </c>
    </row>
    <row r="2288" spans="3:15" x14ac:dyDescent="0.2">
      <c r="C2288" s="9" cm="1">
        <f t="array" ref="C2288">IFERROR(_xlfn.XLOOKUP(B2288,Personal!$A:$A,Personal!$D:$D,""),"")</f>
        <v>0</v>
      </c>
      <c r="D2288" s="9" cm="1">
        <f t="array" ref="D2288">IFERROR(_xlfn.XLOOKUP(B2288,Personal!$A:$A,Personal!$C:$C,""),"")</f>
        <v>0</v>
      </c>
      <c r="E2288" s="9" t="str" cm="1">
        <f t="array" ref="E2288">IFERROR(_xlfn.XLOOKUP(D2288,Locales!$A:$A,Locales!$B:$B,""),"")</f>
        <v/>
      </c>
      <c r="F2288" s="9" cm="1">
        <f t="array" ref="F2288">IFERROR(_xlfn.XLOOKUP(B2288,Personal!$A:$A,Personal!$F:$F,""),"")</f>
        <v>0</v>
      </c>
      <c r="I2288" s="10" cm="1">
        <f t="array" ref="I2288">IFERROR(INDEX(Precios!$D:$F,MATCH(N2288, Precios!$G:$G, 0),CHOOSE(MATCH(H2288, {"SML";"XL";"XXL"}, 0), 1, 2, 3)), 0)</f>
        <v>0</v>
      </c>
      <c r="K2288" s="10">
        <f t="shared" si="78"/>
        <v>0</v>
      </c>
      <c r="N2288" s="9" t="str">
        <f t="shared" si="79"/>
        <v/>
      </c>
      <c r="O2288" s="9" t="str">
        <f>IF(N2288="","",IF(COUNTIF(Precios!$G:$G,N2288)=0,"⚠ No coincide con Precios","OK"))</f>
        <v/>
      </c>
    </row>
    <row r="2289" spans="3:15" x14ac:dyDescent="0.2">
      <c r="C2289" s="9" cm="1">
        <f t="array" ref="C2289">IFERROR(_xlfn.XLOOKUP(B2289,Personal!$A:$A,Personal!$D:$D,""),"")</f>
        <v>0</v>
      </c>
      <c r="D2289" s="9" cm="1">
        <f t="array" ref="D2289">IFERROR(_xlfn.XLOOKUP(B2289,Personal!$A:$A,Personal!$C:$C,""),"")</f>
        <v>0</v>
      </c>
      <c r="E2289" s="9" t="str" cm="1">
        <f t="array" ref="E2289">IFERROR(_xlfn.XLOOKUP(D2289,Locales!$A:$A,Locales!$B:$B,""),"")</f>
        <v/>
      </c>
      <c r="F2289" s="9" cm="1">
        <f t="array" ref="F2289">IFERROR(_xlfn.XLOOKUP(B2289,Personal!$A:$A,Personal!$F:$F,""),"")</f>
        <v>0</v>
      </c>
      <c r="I2289" s="10" cm="1">
        <f t="array" ref="I2289">IFERROR(INDEX(Precios!$D:$F,MATCH(N2289, Precios!$G:$G, 0),CHOOSE(MATCH(H2289, {"SML";"XL";"XXL"}, 0), 1, 2, 3)), 0)</f>
        <v>0</v>
      </c>
      <c r="K2289" s="10">
        <f t="shared" si="78"/>
        <v>0</v>
      </c>
      <c r="N2289" s="9" t="str">
        <f t="shared" si="79"/>
        <v/>
      </c>
      <c r="O2289" s="9" t="str">
        <f>IF(N2289="","",IF(COUNTIF(Precios!$G:$G,N2289)=0,"⚠ No coincide con Precios","OK"))</f>
        <v/>
      </c>
    </row>
    <row r="2290" spans="3:15" x14ac:dyDescent="0.2">
      <c r="C2290" s="9" cm="1">
        <f t="array" ref="C2290">IFERROR(_xlfn.XLOOKUP(B2290,Personal!$A:$A,Personal!$D:$D,""),"")</f>
        <v>0</v>
      </c>
      <c r="D2290" s="9" cm="1">
        <f t="array" ref="D2290">IFERROR(_xlfn.XLOOKUP(B2290,Personal!$A:$A,Personal!$C:$C,""),"")</f>
        <v>0</v>
      </c>
      <c r="E2290" s="9" t="str" cm="1">
        <f t="array" ref="E2290">IFERROR(_xlfn.XLOOKUP(D2290,Locales!$A:$A,Locales!$B:$B,""),"")</f>
        <v/>
      </c>
      <c r="F2290" s="9" cm="1">
        <f t="array" ref="F2290">IFERROR(_xlfn.XLOOKUP(B2290,Personal!$A:$A,Personal!$F:$F,""),"")</f>
        <v>0</v>
      </c>
      <c r="I2290" s="10" cm="1">
        <f t="array" ref="I2290">IFERROR(INDEX(Precios!$D:$F,MATCH(N2290, Precios!$G:$G, 0),CHOOSE(MATCH(H2290, {"SML";"XL";"XXL"}, 0), 1, 2, 3)), 0)</f>
        <v>0</v>
      </c>
      <c r="K2290" s="10">
        <f t="shared" si="78"/>
        <v>0</v>
      </c>
      <c r="N2290" s="9" t="str">
        <f t="shared" si="79"/>
        <v/>
      </c>
      <c r="O2290" s="9" t="str">
        <f>IF(N2290="","",IF(COUNTIF(Precios!$G:$G,N2290)=0,"⚠ No coincide con Precios","OK"))</f>
        <v/>
      </c>
    </row>
    <row r="2291" spans="3:15" x14ac:dyDescent="0.2">
      <c r="C2291" s="9" cm="1">
        <f t="array" ref="C2291">IFERROR(_xlfn.XLOOKUP(B2291,Personal!$A:$A,Personal!$D:$D,""),"")</f>
        <v>0</v>
      </c>
      <c r="D2291" s="9" cm="1">
        <f t="array" ref="D2291">IFERROR(_xlfn.XLOOKUP(B2291,Personal!$A:$A,Personal!$C:$C,""),"")</f>
        <v>0</v>
      </c>
      <c r="E2291" s="9" t="str" cm="1">
        <f t="array" ref="E2291">IFERROR(_xlfn.XLOOKUP(D2291,Locales!$A:$A,Locales!$B:$B,""),"")</f>
        <v/>
      </c>
      <c r="F2291" s="9" cm="1">
        <f t="array" ref="F2291">IFERROR(_xlfn.XLOOKUP(B2291,Personal!$A:$A,Personal!$F:$F,""),"")</f>
        <v>0</v>
      </c>
      <c r="I2291" s="10" cm="1">
        <f t="array" ref="I2291">IFERROR(INDEX(Precios!$D:$F,MATCH(N2291, Precios!$G:$G, 0),CHOOSE(MATCH(H2291, {"SML";"XL";"XXL"}, 0), 1, 2, 3)), 0)</f>
        <v>0</v>
      </c>
      <c r="K2291" s="10">
        <f t="shared" si="78"/>
        <v>0</v>
      </c>
      <c r="N2291" s="9" t="str">
        <f t="shared" si="79"/>
        <v/>
      </c>
      <c r="O2291" s="9" t="str">
        <f>IF(N2291="","",IF(COUNTIF(Precios!$G:$G,N2291)=0,"⚠ No coincide con Precios","OK"))</f>
        <v/>
      </c>
    </row>
    <row r="2292" spans="3:15" x14ac:dyDescent="0.2">
      <c r="C2292" s="9" cm="1">
        <f t="array" ref="C2292">IFERROR(_xlfn.XLOOKUP(B2292,Personal!$A:$A,Personal!$D:$D,""),"")</f>
        <v>0</v>
      </c>
      <c r="D2292" s="9" cm="1">
        <f t="array" ref="D2292">IFERROR(_xlfn.XLOOKUP(B2292,Personal!$A:$A,Personal!$C:$C,""),"")</f>
        <v>0</v>
      </c>
      <c r="E2292" s="9" t="str" cm="1">
        <f t="array" ref="E2292">IFERROR(_xlfn.XLOOKUP(D2292,Locales!$A:$A,Locales!$B:$B,""),"")</f>
        <v/>
      </c>
      <c r="F2292" s="9" cm="1">
        <f t="array" ref="F2292">IFERROR(_xlfn.XLOOKUP(B2292,Personal!$A:$A,Personal!$F:$F,""),"")</f>
        <v>0</v>
      </c>
      <c r="I2292" s="10" cm="1">
        <f t="array" ref="I2292">IFERROR(INDEX(Precios!$D:$F,MATCH(N2292, Precios!$G:$G, 0),CHOOSE(MATCH(H2292, {"SML";"XL";"XXL"}, 0), 1, 2, 3)), 0)</f>
        <v>0</v>
      </c>
      <c r="K2292" s="10">
        <f t="shared" si="78"/>
        <v>0</v>
      </c>
      <c r="N2292" s="9" t="str">
        <f t="shared" si="79"/>
        <v/>
      </c>
      <c r="O2292" s="9" t="str">
        <f>IF(N2292="","",IF(COUNTIF(Precios!$G:$G,N2292)=0,"⚠ No coincide con Precios","OK"))</f>
        <v/>
      </c>
    </row>
    <row r="2293" spans="3:15" x14ac:dyDescent="0.2">
      <c r="C2293" s="9" cm="1">
        <f t="array" ref="C2293">IFERROR(_xlfn.XLOOKUP(B2293,Personal!$A:$A,Personal!$D:$D,""),"")</f>
        <v>0</v>
      </c>
      <c r="D2293" s="9" cm="1">
        <f t="array" ref="D2293">IFERROR(_xlfn.XLOOKUP(B2293,Personal!$A:$A,Personal!$C:$C,""),"")</f>
        <v>0</v>
      </c>
      <c r="E2293" s="9" t="str" cm="1">
        <f t="array" ref="E2293">IFERROR(_xlfn.XLOOKUP(D2293,Locales!$A:$A,Locales!$B:$B,""),"")</f>
        <v/>
      </c>
      <c r="F2293" s="9" cm="1">
        <f t="array" ref="F2293">IFERROR(_xlfn.XLOOKUP(B2293,Personal!$A:$A,Personal!$F:$F,""),"")</f>
        <v>0</v>
      </c>
      <c r="I2293" s="10" cm="1">
        <f t="array" ref="I2293">IFERROR(INDEX(Precios!$D:$F,MATCH(N2293, Precios!$G:$G, 0),CHOOSE(MATCH(H2293, {"SML";"XL";"XXL"}, 0), 1, 2, 3)), 0)</f>
        <v>0</v>
      </c>
      <c r="K2293" s="10">
        <f t="shared" si="78"/>
        <v>0</v>
      </c>
      <c r="N2293" s="9" t="str">
        <f t="shared" si="79"/>
        <v/>
      </c>
      <c r="O2293" s="9" t="str">
        <f>IF(N2293="","",IF(COUNTIF(Precios!$G:$G,N2293)=0,"⚠ No coincide con Precios","OK"))</f>
        <v/>
      </c>
    </row>
    <row r="2294" spans="3:15" x14ac:dyDescent="0.2">
      <c r="C2294" s="9" cm="1">
        <f t="array" ref="C2294">IFERROR(_xlfn.XLOOKUP(B2294,Personal!$A:$A,Personal!$D:$D,""),"")</f>
        <v>0</v>
      </c>
      <c r="D2294" s="9" cm="1">
        <f t="array" ref="D2294">IFERROR(_xlfn.XLOOKUP(B2294,Personal!$A:$A,Personal!$C:$C,""),"")</f>
        <v>0</v>
      </c>
      <c r="E2294" s="9" t="str" cm="1">
        <f t="array" ref="E2294">IFERROR(_xlfn.XLOOKUP(D2294,Locales!$A:$A,Locales!$B:$B,""),"")</f>
        <v/>
      </c>
      <c r="F2294" s="9" cm="1">
        <f t="array" ref="F2294">IFERROR(_xlfn.XLOOKUP(B2294,Personal!$A:$A,Personal!$F:$F,""),"")</f>
        <v>0</v>
      </c>
      <c r="I2294" s="10" cm="1">
        <f t="array" ref="I2294">IFERROR(INDEX(Precios!$D:$F,MATCH(N2294, Precios!$G:$G, 0),CHOOSE(MATCH(H2294, {"SML";"XL";"XXL"}, 0), 1, 2, 3)), 0)</f>
        <v>0</v>
      </c>
      <c r="K2294" s="10">
        <f t="shared" si="78"/>
        <v>0</v>
      </c>
      <c r="N2294" s="9" t="str">
        <f t="shared" si="79"/>
        <v/>
      </c>
      <c r="O2294" s="9" t="str">
        <f>IF(N2294="","",IF(COUNTIF(Precios!$G:$G,N2294)=0,"⚠ No coincide con Precios","OK"))</f>
        <v/>
      </c>
    </row>
    <row r="2295" spans="3:15" x14ac:dyDescent="0.2">
      <c r="C2295" s="9" cm="1">
        <f t="array" ref="C2295">IFERROR(_xlfn.XLOOKUP(B2295,Personal!$A:$A,Personal!$D:$D,""),"")</f>
        <v>0</v>
      </c>
      <c r="D2295" s="9" cm="1">
        <f t="array" ref="D2295">IFERROR(_xlfn.XLOOKUP(B2295,Personal!$A:$A,Personal!$C:$C,""),"")</f>
        <v>0</v>
      </c>
      <c r="E2295" s="9" t="str" cm="1">
        <f t="array" ref="E2295">IFERROR(_xlfn.XLOOKUP(D2295,Locales!$A:$A,Locales!$B:$B,""),"")</f>
        <v/>
      </c>
      <c r="F2295" s="9" cm="1">
        <f t="array" ref="F2295">IFERROR(_xlfn.XLOOKUP(B2295,Personal!$A:$A,Personal!$F:$F,""),"")</f>
        <v>0</v>
      </c>
      <c r="I2295" s="10" cm="1">
        <f t="array" ref="I2295">IFERROR(INDEX(Precios!$D:$F,MATCH(N2295, Precios!$G:$G, 0),CHOOSE(MATCH(H2295, {"SML";"XL";"XXL"}, 0), 1, 2, 3)), 0)</f>
        <v>0</v>
      </c>
      <c r="K2295" s="10">
        <f t="shared" si="78"/>
        <v>0</v>
      </c>
      <c r="N2295" s="9" t="str">
        <f t="shared" si="79"/>
        <v/>
      </c>
      <c r="O2295" s="9" t="str">
        <f>IF(N2295="","",IF(COUNTIF(Precios!$G:$G,N2295)=0,"⚠ No coincide con Precios","OK"))</f>
        <v/>
      </c>
    </row>
    <row r="2296" spans="3:15" x14ac:dyDescent="0.2">
      <c r="C2296" s="9" cm="1">
        <f t="array" ref="C2296">IFERROR(_xlfn.XLOOKUP(B2296,Personal!$A:$A,Personal!$D:$D,""),"")</f>
        <v>0</v>
      </c>
      <c r="D2296" s="9" cm="1">
        <f t="array" ref="D2296">IFERROR(_xlfn.XLOOKUP(B2296,Personal!$A:$A,Personal!$C:$C,""),"")</f>
        <v>0</v>
      </c>
      <c r="E2296" s="9" t="str" cm="1">
        <f t="array" ref="E2296">IFERROR(_xlfn.XLOOKUP(D2296,Locales!$A:$A,Locales!$B:$B,""),"")</f>
        <v/>
      </c>
      <c r="F2296" s="9" cm="1">
        <f t="array" ref="F2296">IFERROR(_xlfn.XLOOKUP(B2296,Personal!$A:$A,Personal!$F:$F,""),"")</f>
        <v>0</v>
      </c>
      <c r="I2296" s="10" cm="1">
        <f t="array" ref="I2296">IFERROR(INDEX(Precios!$D:$F,MATCH(N2296, Precios!$G:$G, 0),CHOOSE(MATCH(H2296, {"SML";"XL";"XXL"}, 0), 1, 2, 3)), 0)</f>
        <v>0</v>
      </c>
      <c r="K2296" s="10">
        <f t="shared" si="78"/>
        <v>0</v>
      </c>
      <c r="N2296" s="9" t="str">
        <f t="shared" si="79"/>
        <v/>
      </c>
      <c r="O2296" s="9" t="str">
        <f>IF(N2296="","",IF(COUNTIF(Precios!$G:$G,N2296)=0,"⚠ No coincide con Precios","OK"))</f>
        <v/>
      </c>
    </row>
    <row r="2297" spans="3:15" x14ac:dyDescent="0.2">
      <c r="C2297" s="9" cm="1">
        <f t="array" ref="C2297">IFERROR(_xlfn.XLOOKUP(B2297,Personal!$A:$A,Personal!$D:$D,""),"")</f>
        <v>0</v>
      </c>
      <c r="D2297" s="9" cm="1">
        <f t="array" ref="D2297">IFERROR(_xlfn.XLOOKUP(B2297,Personal!$A:$A,Personal!$C:$C,""),"")</f>
        <v>0</v>
      </c>
      <c r="E2297" s="9" t="str" cm="1">
        <f t="array" ref="E2297">IFERROR(_xlfn.XLOOKUP(D2297,Locales!$A:$A,Locales!$B:$B,""),"")</f>
        <v/>
      </c>
      <c r="F2297" s="9" cm="1">
        <f t="array" ref="F2297">IFERROR(_xlfn.XLOOKUP(B2297,Personal!$A:$A,Personal!$F:$F,""),"")</f>
        <v>0</v>
      </c>
      <c r="I2297" s="10" cm="1">
        <f t="array" ref="I2297">IFERROR(INDEX(Precios!$D:$F,MATCH(N2297, Precios!$G:$G, 0),CHOOSE(MATCH(H2297, {"SML";"XL";"XXL"}, 0), 1, 2, 3)), 0)</f>
        <v>0</v>
      </c>
      <c r="K2297" s="10">
        <f t="shared" si="78"/>
        <v>0</v>
      </c>
      <c r="N2297" s="9" t="str">
        <f t="shared" si="79"/>
        <v/>
      </c>
      <c r="O2297" s="9" t="str">
        <f>IF(N2297="","",IF(COUNTIF(Precios!$G:$G,N2297)=0,"⚠ No coincide con Precios","OK"))</f>
        <v/>
      </c>
    </row>
    <row r="2298" spans="3:15" x14ac:dyDescent="0.2">
      <c r="C2298" s="9" cm="1">
        <f t="array" ref="C2298">IFERROR(_xlfn.XLOOKUP(B2298,Personal!$A:$A,Personal!$D:$D,""),"")</f>
        <v>0</v>
      </c>
      <c r="D2298" s="9" cm="1">
        <f t="array" ref="D2298">IFERROR(_xlfn.XLOOKUP(B2298,Personal!$A:$A,Personal!$C:$C,""),"")</f>
        <v>0</v>
      </c>
      <c r="E2298" s="9" t="str" cm="1">
        <f t="array" ref="E2298">IFERROR(_xlfn.XLOOKUP(D2298,Locales!$A:$A,Locales!$B:$B,""),"")</f>
        <v/>
      </c>
      <c r="F2298" s="9" cm="1">
        <f t="array" ref="F2298">IFERROR(_xlfn.XLOOKUP(B2298,Personal!$A:$A,Personal!$F:$F,""),"")</f>
        <v>0</v>
      </c>
      <c r="I2298" s="10" cm="1">
        <f t="array" ref="I2298">IFERROR(INDEX(Precios!$D:$F,MATCH(N2298, Precios!$G:$G, 0),CHOOSE(MATCH(H2298, {"SML";"XL";"XXL"}, 0), 1, 2, 3)), 0)</f>
        <v>0</v>
      </c>
      <c r="K2298" s="10">
        <f t="shared" si="78"/>
        <v>0</v>
      </c>
      <c r="N2298" s="9" t="str">
        <f t="shared" si="79"/>
        <v/>
      </c>
      <c r="O2298" s="9" t="str">
        <f>IF(N2298="","",IF(COUNTIF(Precios!$G:$G,N2298)=0,"⚠ No coincide con Precios","OK"))</f>
        <v/>
      </c>
    </row>
    <row r="2299" spans="3:15" x14ac:dyDescent="0.2">
      <c r="C2299" s="9" cm="1">
        <f t="array" ref="C2299">IFERROR(_xlfn.XLOOKUP(B2299,Personal!$A:$A,Personal!$D:$D,""),"")</f>
        <v>0</v>
      </c>
      <c r="D2299" s="9" cm="1">
        <f t="array" ref="D2299">IFERROR(_xlfn.XLOOKUP(B2299,Personal!$A:$A,Personal!$C:$C,""),"")</f>
        <v>0</v>
      </c>
      <c r="E2299" s="9" t="str" cm="1">
        <f t="array" ref="E2299">IFERROR(_xlfn.XLOOKUP(D2299,Locales!$A:$A,Locales!$B:$B,""),"")</f>
        <v/>
      </c>
      <c r="F2299" s="9" cm="1">
        <f t="array" ref="F2299">IFERROR(_xlfn.XLOOKUP(B2299,Personal!$A:$A,Personal!$F:$F,""),"")</f>
        <v>0</v>
      </c>
      <c r="I2299" s="10" cm="1">
        <f t="array" ref="I2299">IFERROR(INDEX(Precios!$D:$F,MATCH(N2299, Precios!$G:$G, 0),CHOOSE(MATCH(H2299, {"SML";"XL";"XXL"}, 0), 1, 2, 3)), 0)</f>
        <v>0</v>
      </c>
      <c r="K2299" s="10">
        <f t="shared" si="78"/>
        <v>0</v>
      </c>
      <c r="N2299" s="9" t="str">
        <f t="shared" si="79"/>
        <v/>
      </c>
      <c r="O2299" s="9" t="str">
        <f>IF(N2299="","",IF(COUNTIF(Precios!$G:$G,N2299)=0,"⚠ No coincide con Precios","OK"))</f>
        <v/>
      </c>
    </row>
    <row r="2300" spans="3:15" x14ac:dyDescent="0.2">
      <c r="C2300" s="9" cm="1">
        <f t="array" ref="C2300">IFERROR(_xlfn.XLOOKUP(B2300,Personal!$A:$A,Personal!$D:$D,""),"")</f>
        <v>0</v>
      </c>
      <c r="D2300" s="9" cm="1">
        <f t="array" ref="D2300">IFERROR(_xlfn.XLOOKUP(B2300,Personal!$A:$A,Personal!$C:$C,""),"")</f>
        <v>0</v>
      </c>
      <c r="E2300" s="9" t="str" cm="1">
        <f t="array" ref="E2300">IFERROR(_xlfn.XLOOKUP(D2300,Locales!$A:$A,Locales!$B:$B,""),"")</f>
        <v/>
      </c>
      <c r="F2300" s="9" cm="1">
        <f t="array" ref="F2300">IFERROR(_xlfn.XLOOKUP(B2300,Personal!$A:$A,Personal!$F:$F,""),"")</f>
        <v>0</v>
      </c>
      <c r="I2300" s="10" cm="1">
        <f t="array" ref="I2300">IFERROR(INDEX(Precios!$D:$F,MATCH(N2300, Precios!$G:$G, 0),CHOOSE(MATCH(H2300, {"SML";"XL";"XXL"}, 0), 1, 2, 3)), 0)</f>
        <v>0</v>
      </c>
      <c r="K2300" s="10">
        <f t="shared" si="78"/>
        <v>0</v>
      </c>
      <c r="N2300" s="9" t="str">
        <f t="shared" si="79"/>
        <v/>
      </c>
      <c r="O2300" s="9" t="str">
        <f>IF(N2300="","",IF(COUNTIF(Precios!$G:$G,N2300)=0,"⚠ No coincide con Precios","OK"))</f>
        <v/>
      </c>
    </row>
    <row r="2301" spans="3:15" x14ac:dyDescent="0.2">
      <c r="C2301" s="9" cm="1">
        <f t="array" ref="C2301">IFERROR(_xlfn.XLOOKUP(B2301,Personal!$A:$A,Personal!$D:$D,""),"")</f>
        <v>0</v>
      </c>
      <c r="D2301" s="9" cm="1">
        <f t="array" ref="D2301">IFERROR(_xlfn.XLOOKUP(B2301,Personal!$A:$A,Personal!$C:$C,""),"")</f>
        <v>0</v>
      </c>
      <c r="E2301" s="9" t="str" cm="1">
        <f t="array" ref="E2301">IFERROR(_xlfn.XLOOKUP(D2301,Locales!$A:$A,Locales!$B:$B,""),"")</f>
        <v/>
      </c>
      <c r="F2301" s="9" cm="1">
        <f t="array" ref="F2301">IFERROR(_xlfn.XLOOKUP(B2301,Personal!$A:$A,Personal!$F:$F,""),"")</f>
        <v>0</v>
      </c>
      <c r="I2301" s="10" cm="1">
        <f t="array" ref="I2301">IFERROR(INDEX(Precios!$D:$F,MATCH(N2301, Precios!$G:$G, 0),CHOOSE(MATCH(H2301, {"SML";"XL";"XXL"}, 0), 1, 2, 3)), 0)</f>
        <v>0</v>
      </c>
      <c r="K2301" s="10">
        <f t="shared" si="78"/>
        <v>0</v>
      </c>
      <c r="N2301" s="9" t="str">
        <f t="shared" si="79"/>
        <v/>
      </c>
      <c r="O2301" s="9" t="str">
        <f>IF(N2301="","",IF(COUNTIF(Precios!$G:$G,N2301)=0,"⚠ No coincide con Precios","OK"))</f>
        <v/>
      </c>
    </row>
    <row r="2302" spans="3:15" x14ac:dyDescent="0.2">
      <c r="C2302" s="9" cm="1">
        <f t="array" ref="C2302">IFERROR(_xlfn.XLOOKUP(B2302,Personal!$A:$A,Personal!$D:$D,""),"")</f>
        <v>0</v>
      </c>
      <c r="D2302" s="9" cm="1">
        <f t="array" ref="D2302">IFERROR(_xlfn.XLOOKUP(B2302,Personal!$A:$A,Personal!$C:$C,""),"")</f>
        <v>0</v>
      </c>
      <c r="E2302" s="9" t="str" cm="1">
        <f t="array" ref="E2302">IFERROR(_xlfn.XLOOKUP(D2302,Locales!$A:$A,Locales!$B:$B,""),"")</f>
        <v/>
      </c>
      <c r="F2302" s="9" cm="1">
        <f t="array" ref="F2302">IFERROR(_xlfn.XLOOKUP(B2302,Personal!$A:$A,Personal!$F:$F,""),"")</f>
        <v>0</v>
      </c>
      <c r="I2302" s="10" cm="1">
        <f t="array" ref="I2302">IFERROR(INDEX(Precios!$D:$F,MATCH(N2302, Precios!$G:$G, 0),CHOOSE(MATCH(H2302, {"SML";"XL";"XXL"}, 0), 1, 2, 3)), 0)</f>
        <v>0</v>
      </c>
      <c r="K2302" s="10">
        <f t="shared" si="78"/>
        <v>0</v>
      </c>
      <c r="N2302" s="9" t="str">
        <f t="shared" si="79"/>
        <v/>
      </c>
      <c r="O2302" s="9" t="str">
        <f>IF(N2302="","",IF(COUNTIF(Precios!$G:$G,N2302)=0,"⚠ No coincide con Precios","OK"))</f>
        <v/>
      </c>
    </row>
    <row r="2303" spans="3:15" x14ac:dyDescent="0.2">
      <c r="C2303" s="9" cm="1">
        <f t="array" ref="C2303">IFERROR(_xlfn.XLOOKUP(B2303,Personal!$A:$A,Personal!$D:$D,""),"")</f>
        <v>0</v>
      </c>
      <c r="D2303" s="9" cm="1">
        <f t="array" ref="D2303">IFERROR(_xlfn.XLOOKUP(B2303,Personal!$A:$A,Personal!$C:$C,""),"")</f>
        <v>0</v>
      </c>
      <c r="E2303" s="9" t="str" cm="1">
        <f t="array" ref="E2303">IFERROR(_xlfn.XLOOKUP(D2303,Locales!$A:$A,Locales!$B:$B,""),"")</f>
        <v/>
      </c>
      <c r="F2303" s="9" cm="1">
        <f t="array" ref="F2303">IFERROR(_xlfn.XLOOKUP(B2303,Personal!$A:$A,Personal!$F:$F,""),"")</f>
        <v>0</v>
      </c>
      <c r="I2303" s="10" cm="1">
        <f t="array" ref="I2303">IFERROR(INDEX(Precios!$D:$F,MATCH(N2303, Precios!$G:$G, 0),CHOOSE(MATCH(H2303, {"SML";"XL";"XXL"}, 0), 1, 2, 3)), 0)</f>
        <v>0</v>
      </c>
      <c r="K2303" s="10">
        <f t="shared" si="78"/>
        <v>0</v>
      </c>
      <c r="N2303" s="9" t="str">
        <f t="shared" si="79"/>
        <v/>
      </c>
      <c r="O2303" s="9" t="str">
        <f>IF(N2303="","",IF(COUNTIF(Precios!$G:$G,N2303)=0,"⚠ No coincide con Precios","OK"))</f>
        <v/>
      </c>
    </row>
    <row r="2304" spans="3:15" x14ac:dyDescent="0.2">
      <c r="C2304" s="9" cm="1">
        <f t="array" ref="C2304">IFERROR(_xlfn.XLOOKUP(B2304,Personal!$A:$A,Personal!$D:$D,""),"")</f>
        <v>0</v>
      </c>
      <c r="D2304" s="9" cm="1">
        <f t="array" ref="D2304">IFERROR(_xlfn.XLOOKUP(B2304,Personal!$A:$A,Personal!$C:$C,""),"")</f>
        <v>0</v>
      </c>
      <c r="E2304" s="9" t="str" cm="1">
        <f t="array" ref="E2304">IFERROR(_xlfn.XLOOKUP(D2304,Locales!$A:$A,Locales!$B:$B,""),"")</f>
        <v/>
      </c>
      <c r="F2304" s="9" cm="1">
        <f t="array" ref="F2304">IFERROR(_xlfn.XLOOKUP(B2304,Personal!$A:$A,Personal!$F:$F,""),"")</f>
        <v>0</v>
      </c>
      <c r="I2304" s="10" cm="1">
        <f t="array" ref="I2304">IFERROR(INDEX(Precios!$D:$F,MATCH(N2304, Precios!$G:$G, 0),CHOOSE(MATCH(H2304, {"SML";"XL";"XXL"}, 0), 1, 2, 3)), 0)</f>
        <v>0</v>
      </c>
      <c r="K2304" s="10">
        <f t="shared" ref="K2304:K2367" si="80">IFERROR(I2304*J2304,0)</f>
        <v>0</v>
      </c>
      <c r="N2304" s="9" t="str">
        <f t="shared" ref="N2304:N2367" si="81">IF( OR(E2304="",F2304="",G2304=""), "",CLEAN(TRIM(E2304)) &amp; "|" &amp; CLEAN(TRIM(F2304)) &amp; "|" &amp; CLEAN(TRIM(G2304)))</f>
        <v/>
      </c>
      <c r="O2304" s="9" t="str">
        <f>IF(N2304="","",IF(COUNTIF(Precios!$G:$G,N2304)=0,"⚠ No coincide con Precios","OK"))</f>
        <v/>
      </c>
    </row>
    <row r="2305" spans="3:15" x14ac:dyDescent="0.2">
      <c r="C2305" s="9" cm="1">
        <f t="array" ref="C2305">IFERROR(_xlfn.XLOOKUP(B2305,Personal!$A:$A,Personal!$D:$D,""),"")</f>
        <v>0</v>
      </c>
      <c r="D2305" s="9" cm="1">
        <f t="array" ref="D2305">IFERROR(_xlfn.XLOOKUP(B2305,Personal!$A:$A,Personal!$C:$C,""),"")</f>
        <v>0</v>
      </c>
      <c r="E2305" s="9" t="str" cm="1">
        <f t="array" ref="E2305">IFERROR(_xlfn.XLOOKUP(D2305,Locales!$A:$A,Locales!$B:$B,""),"")</f>
        <v/>
      </c>
      <c r="F2305" s="9" cm="1">
        <f t="array" ref="F2305">IFERROR(_xlfn.XLOOKUP(B2305,Personal!$A:$A,Personal!$F:$F,""),"")</f>
        <v>0</v>
      </c>
      <c r="I2305" s="10" cm="1">
        <f t="array" ref="I2305">IFERROR(INDEX(Precios!$D:$F,MATCH(N2305, Precios!$G:$G, 0),CHOOSE(MATCH(H2305, {"SML";"XL";"XXL"}, 0), 1, 2, 3)), 0)</f>
        <v>0</v>
      </c>
      <c r="K2305" s="10">
        <f t="shared" si="80"/>
        <v>0</v>
      </c>
      <c r="N2305" s="9" t="str">
        <f t="shared" si="81"/>
        <v/>
      </c>
      <c r="O2305" s="9" t="str">
        <f>IF(N2305="","",IF(COUNTIF(Precios!$G:$G,N2305)=0,"⚠ No coincide con Precios","OK"))</f>
        <v/>
      </c>
    </row>
    <row r="2306" spans="3:15" x14ac:dyDescent="0.2">
      <c r="C2306" s="9" cm="1">
        <f t="array" ref="C2306">IFERROR(_xlfn.XLOOKUP(B2306,Personal!$A:$A,Personal!$D:$D,""),"")</f>
        <v>0</v>
      </c>
      <c r="D2306" s="9" cm="1">
        <f t="array" ref="D2306">IFERROR(_xlfn.XLOOKUP(B2306,Personal!$A:$A,Personal!$C:$C,""),"")</f>
        <v>0</v>
      </c>
      <c r="E2306" s="9" t="str" cm="1">
        <f t="array" ref="E2306">IFERROR(_xlfn.XLOOKUP(D2306,Locales!$A:$A,Locales!$B:$B,""),"")</f>
        <v/>
      </c>
      <c r="F2306" s="9" cm="1">
        <f t="array" ref="F2306">IFERROR(_xlfn.XLOOKUP(B2306,Personal!$A:$A,Personal!$F:$F,""),"")</f>
        <v>0</v>
      </c>
      <c r="I2306" s="10" cm="1">
        <f t="array" ref="I2306">IFERROR(INDEX(Precios!$D:$F,MATCH(N2306, Precios!$G:$G, 0),CHOOSE(MATCH(H2306, {"SML";"XL";"XXL"}, 0), 1, 2, 3)), 0)</f>
        <v>0</v>
      </c>
      <c r="K2306" s="10">
        <f t="shared" si="80"/>
        <v>0</v>
      </c>
      <c r="N2306" s="9" t="str">
        <f t="shared" si="81"/>
        <v/>
      </c>
      <c r="O2306" s="9" t="str">
        <f>IF(N2306="","",IF(COUNTIF(Precios!$G:$G,N2306)=0,"⚠ No coincide con Precios","OK"))</f>
        <v/>
      </c>
    </row>
    <row r="2307" spans="3:15" x14ac:dyDescent="0.2">
      <c r="C2307" s="9" cm="1">
        <f t="array" ref="C2307">IFERROR(_xlfn.XLOOKUP(B2307,Personal!$A:$A,Personal!$D:$D,""),"")</f>
        <v>0</v>
      </c>
      <c r="D2307" s="9" cm="1">
        <f t="array" ref="D2307">IFERROR(_xlfn.XLOOKUP(B2307,Personal!$A:$A,Personal!$C:$C,""),"")</f>
        <v>0</v>
      </c>
      <c r="E2307" s="9" t="str" cm="1">
        <f t="array" ref="E2307">IFERROR(_xlfn.XLOOKUP(D2307,Locales!$A:$A,Locales!$B:$B,""),"")</f>
        <v/>
      </c>
      <c r="F2307" s="9" cm="1">
        <f t="array" ref="F2307">IFERROR(_xlfn.XLOOKUP(B2307,Personal!$A:$A,Personal!$F:$F,""),"")</f>
        <v>0</v>
      </c>
      <c r="I2307" s="10" cm="1">
        <f t="array" ref="I2307">IFERROR(INDEX(Precios!$D:$F,MATCH(N2307, Precios!$G:$G, 0),CHOOSE(MATCH(H2307, {"SML";"XL";"XXL"}, 0), 1, 2, 3)), 0)</f>
        <v>0</v>
      </c>
      <c r="K2307" s="10">
        <f t="shared" si="80"/>
        <v>0</v>
      </c>
      <c r="N2307" s="9" t="str">
        <f t="shared" si="81"/>
        <v/>
      </c>
      <c r="O2307" s="9" t="str">
        <f>IF(N2307="","",IF(COUNTIF(Precios!$G:$G,N2307)=0,"⚠ No coincide con Precios","OK"))</f>
        <v/>
      </c>
    </row>
    <row r="2308" spans="3:15" x14ac:dyDescent="0.2">
      <c r="C2308" s="9" cm="1">
        <f t="array" ref="C2308">IFERROR(_xlfn.XLOOKUP(B2308,Personal!$A:$A,Personal!$D:$D,""),"")</f>
        <v>0</v>
      </c>
      <c r="D2308" s="9" cm="1">
        <f t="array" ref="D2308">IFERROR(_xlfn.XLOOKUP(B2308,Personal!$A:$A,Personal!$C:$C,""),"")</f>
        <v>0</v>
      </c>
      <c r="E2308" s="9" t="str" cm="1">
        <f t="array" ref="E2308">IFERROR(_xlfn.XLOOKUP(D2308,Locales!$A:$A,Locales!$B:$B,""),"")</f>
        <v/>
      </c>
      <c r="F2308" s="9" cm="1">
        <f t="array" ref="F2308">IFERROR(_xlfn.XLOOKUP(B2308,Personal!$A:$A,Personal!$F:$F,""),"")</f>
        <v>0</v>
      </c>
      <c r="I2308" s="10" cm="1">
        <f t="array" ref="I2308">IFERROR(INDEX(Precios!$D:$F,MATCH(N2308, Precios!$G:$G, 0),CHOOSE(MATCH(H2308, {"SML";"XL";"XXL"}, 0), 1, 2, 3)), 0)</f>
        <v>0</v>
      </c>
      <c r="K2308" s="10">
        <f t="shared" si="80"/>
        <v>0</v>
      </c>
      <c r="N2308" s="9" t="str">
        <f t="shared" si="81"/>
        <v/>
      </c>
      <c r="O2308" s="9" t="str">
        <f>IF(N2308="","",IF(COUNTIF(Precios!$G:$G,N2308)=0,"⚠ No coincide con Precios","OK"))</f>
        <v/>
      </c>
    </row>
    <row r="2309" spans="3:15" x14ac:dyDescent="0.2">
      <c r="C2309" s="9" cm="1">
        <f t="array" ref="C2309">IFERROR(_xlfn.XLOOKUP(B2309,Personal!$A:$A,Personal!$D:$D,""),"")</f>
        <v>0</v>
      </c>
      <c r="D2309" s="9" cm="1">
        <f t="array" ref="D2309">IFERROR(_xlfn.XLOOKUP(B2309,Personal!$A:$A,Personal!$C:$C,""),"")</f>
        <v>0</v>
      </c>
      <c r="E2309" s="9" t="str" cm="1">
        <f t="array" ref="E2309">IFERROR(_xlfn.XLOOKUP(D2309,Locales!$A:$A,Locales!$B:$B,""),"")</f>
        <v/>
      </c>
      <c r="F2309" s="9" cm="1">
        <f t="array" ref="F2309">IFERROR(_xlfn.XLOOKUP(B2309,Personal!$A:$A,Personal!$F:$F,""),"")</f>
        <v>0</v>
      </c>
      <c r="I2309" s="10" cm="1">
        <f t="array" ref="I2309">IFERROR(INDEX(Precios!$D:$F,MATCH(N2309, Precios!$G:$G, 0),CHOOSE(MATCH(H2309, {"SML";"XL";"XXL"}, 0), 1, 2, 3)), 0)</f>
        <v>0</v>
      </c>
      <c r="K2309" s="10">
        <f t="shared" si="80"/>
        <v>0</v>
      </c>
      <c r="N2309" s="9" t="str">
        <f t="shared" si="81"/>
        <v/>
      </c>
      <c r="O2309" s="9" t="str">
        <f>IF(N2309="","",IF(COUNTIF(Precios!$G:$G,N2309)=0,"⚠ No coincide con Precios","OK"))</f>
        <v/>
      </c>
    </row>
    <row r="2310" spans="3:15" x14ac:dyDescent="0.2">
      <c r="C2310" s="9" cm="1">
        <f t="array" ref="C2310">IFERROR(_xlfn.XLOOKUP(B2310,Personal!$A:$A,Personal!$D:$D,""),"")</f>
        <v>0</v>
      </c>
      <c r="D2310" s="9" cm="1">
        <f t="array" ref="D2310">IFERROR(_xlfn.XLOOKUP(B2310,Personal!$A:$A,Personal!$C:$C,""),"")</f>
        <v>0</v>
      </c>
      <c r="E2310" s="9" t="str" cm="1">
        <f t="array" ref="E2310">IFERROR(_xlfn.XLOOKUP(D2310,Locales!$A:$A,Locales!$B:$B,""),"")</f>
        <v/>
      </c>
      <c r="F2310" s="9" cm="1">
        <f t="array" ref="F2310">IFERROR(_xlfn.XLOOKUP(B2310,Personal!$A:$A,Personal!$F:$F,""),"")</f>
        <v>0</v>
      </c>
      <c r="I2310" s="10" cm="1">
        <f t="array" ref="I2310">IFERROR(INDEX(Precios!$D:$F,MATCH(N2310, Precios!$G:$G, 0),CHOOSE(MATCH(H2310, {"SML";"XL";"XXL"}, 0), 1, 2, 3)), 0)</f>
        <v>0</v>
      </c>
      <c r="K2310" s="10">
        <f t="shared" si="80"/>
        <v>0</v>
      </c>
      <c r="N2310" s="9" t="str">
        <f t="shared" si="81"/>
        <v/>
      </c>
      <c r="O2310" s="9" t="str">
        <f>IF(N2310="","",IF(COUNTIF(Precios!$G:$G,N2310)=0,"⚠ No coincide con Precios","OK"))</f>
        <v/>
      </c>
    </row>
    <row r="2311" spans="3:15" x14ac:dyDescent="0.2">
      <c r="C2311" s="9" cm="1">
        <f t="array" ref="C2311">IFERROR(_xlfn.XLOOKUP(B2311,Personal!$A:$A,Personal!$D:$D,""),"")</f>
        <v>0</v>
      </c>
      <c r="D2311" s="9" cm="1">
        <f t="array" ref="D2311">IFERROR(_xlfn.XLOOKUP(B2311,Personal!$A:$A,Personal!$C:$C,""),"")</f>
        <v>0</v>
      </c>
      <c r="E2311" s="9" t="str" cm="1">
        <f t="array" ref="E2311">IFERROR(_xlfn.XLOOKUP(D2311,Locales!$A:$A,Locales!$B:$B,""),"")</f>
        <v/>
      </c>
      <c r="F2311" s="9" cm="1">
        <f t="array" ref="F2311">IFERROR(_xlfn.XLOOKUP(B2311,Personal!$A:$A,Personal!$F:$F,""),"")</f>
        <v>0</v>
      </c>
      <c r="I2311" s="10" cm="1">
        <f t="array" ref="I2311">IFERROR(INDEX(Precios!$D:$F,MATCH(N2311, Precios!$G:$G, 0),CHOOSE(MATCH(H2311, {"SML";"XL";"XXL"}, 0), 1, 2, 3)), 0)</f>
        <v>0</v>
      </c>
      <c r="K2311" s="10">
        <f t="shared" si="80"/>
        <v>0</v>
      </c>
      <c r="N2311" s="9" t="str">
        <f t="shared" si="81"/>
        <v/>
      </c>
      <c r="O2311" s="9" t="str">
        <f>IF(N2311="","",IF(COUNTIF(Precios!$G:$G,N2311)=0,"⚠ No coincide con Precios","OK"))</f>
        <v/>
      </c>
    </row>
    <row r="2312" spans="3:15" x14ac:dyDescent="0.2">
      <c r="C2312" s="9" cm="1">
        <f t="array" ref="C2312">IFERROR(_xlfn.XLOOKUP(B2312,Personal!$A:$A,Personal!$D:$D,""),"")</f>
        <v>0</v>
      </c>
      <c r="D2312" s="9" cm="1">
        <f t="array" ref="D2312">IFERROR(_xlfn.XLOOKUP(B2312,Personal!$A:$A,Personal!$C:$C,""),"")</f>
        <v>0</v>
      </c>
      <c r="E2312" s="9" t="str" cm="1">
        <f t="array" ref="E2312">IFERROR(_xlfn.XLOOKUP(D2312,Locales!$A:$A,Locales!$B:$B,""),"")</f>
        <v/>
      </c>
      <c r="F2312" s="9" cm="1">
        <f t="array" ref="F2312">IFERROR(_xlfn.XLOOKUP(B2312,Personal!$A:$A,Personal!$F:$F,""),"")</f>
        <v>0</v>
      </c>
      <c r="I2312" s="10" cm="1">
        <f t="array" ref="I2312">IFERROR(INDEX(Precios!$D:$F,MATCH(N2312, Precios!$G:$G, 0),CHOOSE(MATCH(H2312, {"SML";"XL";"XXL"}, 0), 1, 2, 3)), 0)</f>
        <v>0</v>
      </c>
      <c r="K2312" s="10">
        <f t="shared" si="80"/>
        <v>0</v>
      </c>
      <c r="N2312" s="9" t="str">
        <f t="shared" si="81"/>
        <v/>
      </c>
      <c r="O2312" s="9" t="str">
        <f>IF(N2312="","",IF(COUNTIF(Precios!$G:$G,N2312)=0,"⚠ No coincide con Precios","OK"))</f>
        <v/>
      </c>
    </row>
    <row r="2313" spans="3:15" x14ac:dyDescent="0.2">
      <c r="C2313" s="9" cm="1">
        <f t="array" ref="C2313">IFERROR(_xlfn.XLOOKUP(B2313,Personal!$A:$A,Personal!$D:$D,""),"")</f>
        <v>0</v>
      </c>
      <c r="D2313" s="9" cm="1">
        <f t="array" ref="D2313">IFERROR(_xlfn.XLOOKUP(B2313,Personal!$A:$A,Personal!$C:$C,""),"")</f>
        <v>0</v>
      </c>
      <c r="E2313" s="9" t="str" cm="1">
        <f t="array" ref="E2313">IFERROR(_xlfn.XLOOKUP(D2313,Locales!$A:$A,Locales!$B:$B,""),"")</f>
        <v/>
      </c>
      <c r="F2313" s="9" cm="1">
        <f t="array" ref="F2313">IFERROR(_xlfn.XLOOKUP(B2313,Personal!$A:$A,Personal!$F:$F,""),"")</f>
        <v>0</v>
      </c>
      <c r="I2313" s="10" cm="1">
        <f t="array" ref="I2313">IFERROR(INDEX(Precios!$D:$F,MATCH(N2313, Precios!$G:$G, 0),CHOOSE(MATCH(H2313, {"SML";"XL";"XXL"}, 0), 1, 2, 3)), 0)</f>
        <v>0</v>
      </c>
      <c r="K2313" s="10">
        <f t="shared" si="80"/>
        <v>0</v>
      </c>
      <c r="N2313" s="9" t="str">
        <f t="shared" si="81"/>
        <v/>
      </c>
      <c r="O2313" s="9" t="str">
        <f>IF(N2313="","",IF(COUNTIF(Precios!$G:$G,N2313)=0,"⚠ No coincide con Precios","OK"))</f>
        <v/>
      </c>
    </row>
    <row r="2314" spans="3:15" x14ac:dyDescent="0.2">
      <c r="C2314" s="9" cm="1">
        <f t="array" ref="C2314">IFERROR(_xlfn.XLOOKUP(B2314,Personal!$A:$A,Personal!$D:$D,""),"")</f>
        <v>0</v>
      </c>
      <c r="D2314" s="9" cm="1">
        <f t="array" ref="D2314">IFERROR(_xlfn.XLOOKUP(B2314,Personal!$A:$A,Personal!$C:$C,""),"")</f>
        <v>0</v>
      </c>
      <c r="E2314" s="9" t="str" cm="1">
        <f t="array" ref="E2314">IFERROR(_xlfn.XLOOKUP(D2314,Locales!$A:$A,Locales!$B:$B,""),"")</f>
        <v/>
      </c>
      <c r="F2314" s="9" cm="1">
        <f t="array" ref="F2314">IFERROR(_xlfn.XLOOKUP(B2314,Personal!$A:$A,Personal!$F:$F,""),"")</f>
        <v>0</v>
      </c>
      <c r="I2314" s="10" cm="1">
        <f t="array" ref="I2314">IFERROR(INDEX(Precios!$D:$F,MATCH(N2314, Precios!$G:$G, 0),CHOOSE(MATCH(H2314, {"SML";"XL";"XXL"}, 0), 1, 2, 3)), 0)</f>
        <v>0</v>
      </c>
      <c r="K2314" s="10">
        <f t="shared" si="80"/>
        <v>0</v>
      </c>
      <c r="N2314" s="9" t="str">
        <f t="shared" si="81"/>
        <v/>
      </c>
      <c r="O2314" s="9" t="str">
        <f>IF(N2314="","",IF(COUNTIF(Precios!$G:$G,N2314)=0,"⚠ No coincide con Precios","OK"))</f>
        <v/>
      </c>
    </row>
    <row r="2315" spans="3:15" x14ac:dyDescent="0.2">
      <c r="C2315" s="9" cm="1">
        <f t="array" ref="C2315">IFERROR(_xlfn.XLOOKUP(B2315,Personal!$A:$A,Personal!$D:$D,""),"")</f>
        <v>0</v>
      </c>
      <c r="D2315" s="9" cm="1">
        <f t="array" ref="D2315">IFERROR(_xlfn.XLOOKUP(B2315,Personal!$A:$A,Personal!$C:$C,""),"")</f>
        <v>0</v>
      </c>
      <c r="E2315" s="9" t="str" cm="1">
        <f t="array" ref="E2315">IFERROR(_xlfn.XLOOKUP(D2315,Locales!$A:$A,Locales!$B:$B,""),"")</f>
        <v/>
      </c>
      <c r="F2315" s="9" cm="1">
        <f t="array" ref="F2315">IFERROR(_xlfn.XLOOKUP(B2315,Personal!$A:$A,Personal!$F:$F,""),"")</f>
        <v>0</v>
      </c>
      <c r="I2315" s="10" cm="1">
        <f t="array" ref="I2315">IFERROR(INDEX(Precios!$D:$F,MATCH(N2315, Precios!$G:$G, 0),CHOOSE(MATCH(H2315, {"SML";"XL";"XXL"}, 0), 1, 2, 3)), 0)</f>
        <v>0</v>
      </c>
      <c r="K2315" s="10">
        <f t="shared" si="80"/>
        <v>0</v>
      </c>
      <c r="N2315" s="9" t="str">
        <f t="shared" si="81"/>
        <v/>
      </c>
      <c r="O2315" s="9" t="str">
        <f>IF(N2315="","",IF(COUNTIF(Precios!$G:$G,N2315)=0,"⚠ No coincide con Precios","OK"))</f>
        <v/>
      </c>
    </row>
    <row r="2316" spans="3:15" x14ac:dyDescent="0.2">
      <c r="C2316" s="9" cm="1">
        <f t="array" ref="C2316">IFERROR(_xlfn.XLOOKUP(B2316,Personal!$A:$A,Personal!$D:$D,""),"")</f>
        <v>0</v>
      </c>
      <c r="D2316" s="9" cm="1">
        <f t="array" ref="D2316">IFERROR(_xlfn.XLOOKUP(B2316,Personal!$A:$A,Personal!$C:$C,""),"")</f>
        <v>0</v>
      </c>
      <c r="E2316" s="9" t="str" cm="1">
        <f t="array" ref="E2316">IFERROR(_xlfn.XLOOKUP(D2316,Locales!$A:$A,Locales!$B:$B,""),"")</f>
        <v/>
      </c>
      <c r="F2316" s="9" cm="1">
        <f t="array" ref="F2316">IFERROR(_xlfn.XLOOKUP(B2316,Personal!$A:$A,Personal!$F:$F,""),"")</f>
        <v>0</v>
      </c>
      <c r="I2316" s="10" cm="1">
        <f t="array" ref="I2316">IFERROR(INDEX(Precios!$D:$F,MATCH(N2316, Precios!$G:$G, 0),CHOOSE(MATCH(H2316, {"SML";"XL";"XXL"}, 0), 1, 2, 3)), 0)</f>
        <v>0</v>
      </c>
      <c r="K2316" s="10">
        <f t="shared" si="80"/>
        <v>0</v>
      </c>
      <c r="N2316" s="9" t="str">
        <f t="shared" si="81"/>
        <v/>
      </c>
      <c r="O2316" s="9" t="str">
        <f>IF(N2316="","",IF(COUNTIF(Precios!$G:$G,N2316)=0,"⚠ No coincide con Precios","OK"))</f>
        <v/>
      </c>
    </row>
    <row r="2317" spans="3:15" x14ac:dyDescent="0.2">
      <c r="C2317" s="9" cm="1">
        <f t="array" ref="C2317">IFERROR(_xlfn.XLOOKUP(B2317,Personal!$A:$A,Personal!$D:$D,""),"")</f>
        <v>0</v>
      </c>
      <c r="D2317" s="9" cm="1">
        <f t="array" ref="D2317">IFERROR(_xlfn.XLOOKUP(B2317,Personal!$A:$A,Personal!$C:$C,""),"")</f>
        <v>0</v>
      </c>
      <c r="E2317" s="9" t="str" cm="1">
        <f t="array" ref="E2317">IFERROR(_xlfn.XLOOKUP(D2317,Locales!$A:$A,Locales!$B:$B,""),"")</f>
        <v/>
      </c>
      <c r="F2317" s="9" cm="1">
        <f t="array" ref="F2317">IFERROR(_xlfn.XLOOKUP(B2317,Personal!$A:$A,Personal!$F:$F,""),"")</f>
        <v>0</v>
      </c>
      <c r="I2317" s="10" cm="1">
        <f t="array" ref="I2317">IFERROR(INDEX(Precios!$D:$F,MATCH(N2317, Precios!$G:$G, 0),CHOOSE(MATCH(H2317, {"SML";"XL";"XXL"}, 0), 1, 2, 3)), 0)</f>
        <v>0</v>
      </c>
      <c r="K2317" s="10">
        <f t="shared" si="80"/>
        <v>0</v>
      </c>
      <c r="N2317" s="9" t="str">
        <f t="shared" si="81"/>
        <v/>
      </c>
      <c r="O2317" s="9" t="str">
        <f>IF(N2317="","",IF(COUNTIF(Precios!$G:$G,N2317)=0,"⚠ No coincide con Precios","OK"))</f>
        <v/>
      </c>
    </row>
    <row r="2318" spans="3:15" x14ac:dyDescent="0.2">
      <c r="C2318" s="9" cm="1">
        <f t="array" ref="C2318">IFERROR(_xlfn.XLOOKUP(B2318,Personal!$A:$A,Personal!$D:$D,""),"")</f>
        <v>0</v>
      </c>
      <c r="D2318" s="9" cm="1">
        <f t="array" ref="D2318">IFERROR(_xlfn.XLOOKUP(B2318,Personal!$A:$A,Personal!$C:$C,""),"")</f>
        <v>0</v>
      </c>
      <c r="E2318" s="9" t="str" cm="1">
        <f t="array" ref="E2318">IFERROR(_xlfn.XLOOKUP(D2318,Locales!$A:$A,Locales!$B:$B,""),"")</f>
        <v/>
      </c>
      <c r="F2318" s="9" cm="1">
        <f t="array" ref="F2318">IFERROR(_xlfn.XLOOKUP(B2318,Personal!$A:$A,Personal!$F:$F,""),"")</f>
        <v>0</v>
      </c>
      <c r="I2318" s="10" cm="1">
        <f t="array" ref="I2318">IFERROR(INDEX(Precios!$D:$F,MATCH(N2318, Precios!$G:$G, 0),CHOOSE(MATCH(H2318, {"SML";"XL";"XXL"}, 0), 1, 2, 3)), 0)</f>
        <v>0</v>
      </c>
      <c r="K2318" s="10">
        <f t="shared" si="80"/>
        <v>0</v>
      </c>
      <c r="N2318" s="9" t="str">
        <f t="shared" si="81"/>
        <v/>
      </c>
      <c r="O2318" s="9" t="str">
        <f>IF(N2318="","",IF(COUNTIF(Precios!$G:$G,N2318)=0,"⚠ No coincide con Precios","OK"))</f>
        <v/>
      </c>
    </row>
    <row r="2319" spans="3:15" x14ac:dyDescent="0.2">
      <c r="C2319" s="9" cm="1">
        <f t="array" ref="C2319">IFERROR(_xlfn.XLOOKUP(B2319,Personal!$A:$A,Personal!$D:$D,""),"")</f>
        <v>0</v>
      </c>
      <c r="D2319" s="9" cm="1">
        <f t="array" ref="D2319">IFERROR(_xlfn.XLOOKUP(B2319,Personal!$A:$A,Personal!$C:$C,""),"")</f>
        <v>0</v>
      </c>
      <c r="E2319" s="9" t="str" cm="1">
        <f t="array" ref="E2319">IFERROR(_xlfn.XLOOKUP(D2319,Locales!$A:$A,Locales!$B:$B,""),"")</f>
        <v/>
      </c>
      <c r="F2319" s="9" cm="1">
        <f t="array" ref="F2319">IFERROR(_xlfn.XLOOKUP(B2319,Personal!$A:$A,Personal!$F:$F,""),"")</f>
        <v>0</v>
      </c>
      <c r="I2319" s="10" cm="1">
        <f t="array" ref="I2319">IFERROR(INDEX(Precios!$D:$F,MATCH(N2319, Precios!$G:$G, 0),CHOOSE(MATCH(H2319, {"SML";"XL";"XXL"}, 0), 1, 2, 3)), 0)</f>
        <v>0</v>
      </c>
      <c r="K2319" s="10">
        <f t="shared" si="80"/>
        <v>0</v>
      </c>
      <c r="N2319" s="9" t="str">
        <f t="shared" si="81"/>
        <v/>
      </c>
      <c r="O2319" s="9" t="str">
        <f>IF(N2319="","",IF(COUNTIF(Precios!$G:$G,N2319)=0,"⚠ No coincide con Precios","OK"))</f>
        <v/>
      </c>
    </row>
    <row r="2320" spans="3:15" x14ac:dyDescent="0.2">
      <c r="C2320" s="9" cm="1">
        <f t="array" ref="C2320">IFERROR(_xlfn.XLOOKUP(B2320,Personal!$A:$A,Personal!$D:$D,""),"")</f>
        <v>0</v>
      </c>
      <c r="D2320" s="9" cm="1">
        <f t="array" ref="D2320">IFERROR(_xlfn.XLOOKUP(B2320,Personal!$A:$A,Personal!$C:$C,""),"")</f>
        <v>0</v>
      </c>
      <c r="E2320" s="9" t="str" cm="1">
        <f t="array" ref="E2320">IFERROR(_xlfn.XLOOKUP(D2320,Locales!$A:$A,Locales!$B:$B,""),"")</f>
        <v/>
      </c>
      <c r="F2320" s="9" cm="1">
        <f t="array" ref="F2320">IFERROR(_xlfn.XLOOKUP(B2320,Personal!$A:$A,Personal!$F:$F,""),"")</f>
        <v>0</v>
      </c>
      <c r="I2320" s="10" cm="1">
        <f t="array" ref="I2320">IFERROR(INDEX(Precios!$D:$F,MATCH(N2320, Precios!$G:$G, 0),CHOOSE(MATCH(H2320, {"SML";"XL";"XXL"}, 0), 1, 2, 3)), 0)</f>
        <v>0</v>
      </c>
      <c r="K2320" s="10">
        <f t="shared" si="80"/>
        <v>0</v>
      </c>
      <c r="N2320" s="9" t="str">
        <f t="shared" si="81"/>
        <v/>
      </c>
      <c r="O2320" s="9" t="str">
        <f>IF(N2320="","",IF(COUNTIF(Precios!$G:$G,N2320)=0,"⚠ No coincide con Precios","OK"))</f>
        <v/>
      </c>
    </row>
    <row r="2321" spans="3:15" x14ac:dyDescent="0.2">
      <c r="C2321" s="9" cm="1">
        <f t="array" ref="C2321">IFERROR(_xlfn.XLOOKUP(B2321,Personal!$A:$A,Personal!$D:$D,""),"")</f>
        <v>0</v>
      </c>
      <c r="D2321" s="9" cm="1">
        <f t="array" ref="D2321">IFERROR(_xlfn.XLOOKUP(B2321,Personal!$A:$A,Personal!$C:$C,""),"")</f>
        <v>0</v>
      </c>
      <c r="E2321" s="9" t="str" cm="1">
        <f t="array" ref="E2321">IFERROR(_xlfn.XLOOKUP(D2321,Locales!$A:$A,Locales!$B:$B,""),"")</f>
        <v/>
      </c>
      <c r="F2321" s="9" cm="1">
        <f t="array" ref="F2321">IFERROR(_xlfn.XLOOKUP(B2321,Personal!$A:$A,Personal!$F:$F,""),"")</f>
        <v>0</v>
      </c>
      <c r="I2321" s="10" cm="1">
        <f t="array" ref="I2321">IFERROR(INDEX(Precios!$D:$F,MATCH(N2321, Precios!$G:$G, 0),CHOOSE(MATCH(H2321, {"SML";"XL";"XXL"}, 0), 1, 2, 3)), 0)</f>
        <v>0</v>
      </c>
      <c r="K2321" s="10">
        <f t="shared" si="80"/>
        <v>0</v>
      </c>
      <c r="N2321" s="9" t="str">
        <f t="shared" si="81"/>
        <v/>
      </c>
      <c r="O2321" s="9" t="str">
        <f>IF(N2321="","",IF(COUNTIF(Precios!$G:$G,N2321)=0,"⚠ No coincide con Precios","OK"))</f>
        <v/>
      </c>
    </row>
    <row r="2322" spans="3:15" x14ac:dyDescent="0.2">
      <c r="C2322" s="9" cm="1">
        <f t="array" ref="C2322">IFERROR(_xlfn.XLOOKUP(B2322,Personal!$A:$A,Personal!$D:$D,""),"")</f>
        <v>0</v>
      </c>
      <c r="D2322" s="9" cm="1">
        <f t="array" ref="D2322">IFERROR(_xlfn.XLOOKUP(B2322,Personal!$A:$A,Personal!$C:$C,""),"")</f>
        <v>0</v>
      </c>
      <c r="E2322" s="9" t="str" cm="1">
        <f t="array" ref="E2322">IFERROR(_xlfn.XLOOKUP(D2322,Locales!$A:$A,Locales!$B:$B,""),"")</f>
        <v/>
      </c>
      <c r="F2322" s="9" cm="1">
        <f t="array" ref="F2322">IFERROR(_xlfn.XLOOKUP(B2322,Personal!$A:$A,Personal!$F:$F,""),"")</f>
        <v>0</v>
      </c>
      <c r="I2322" s="10" cm="1">
        <f t="array" ref="I2322">IFERROR(INDEX(Precios!$D:$F,MATCH(N2322, Precios!$G:$G, 0),CHOOSE(MATCH(H2322, {"SML";"XL";"XXL"}, 0), 1, 2, 3)), 0)</f>
        <v>0</v>
      </c>
      <c r="K2322" s="10">
        <f t="shared" si="80"/>
        <v>0</v>
      </c>
      <c r="N2322" s="9" t="str">
        <f t="shared" si="81"/>
        <v/>
      </c>
      <c r="O2322" s="9" t="str">
        <f>IF(N2322="","",IF(COUNTIF(Precios!$G:$G,N2322)=0,"⚠ No coincide con Precios","OK"))</f>
        <v/>
      </c>
    </row>
    <row r="2323" spans="3:15" x14ac:dyDescent="0.2">
      <c r="C2323" s="9" cm="1">
        <f t="array" ref="C2323">IFERROR(_xlfn.XLOOKUP(B2323,Personal!$A:$A,Personal!$D:$D,""),"")</f>
        <v>0</v>
      </c>
      <c r="D2323" s="9" cm="1">
        <f t="array" ref="D2323">IFERROR(_xlfn.XLOOKUP(B2323,Personal!$A:$A,Personal!$C:$C,""),"")</f>
        <v>0</v>
      </c>
      <c r="E2323" s="9" t="str" cm="1">
        <f t="array" ref="E2323">IFERROR(_xlfn.XLOOKUP(D2323,Locales!$A:$A,Locales!$B:$B,""),"")</f>
        <v/>
      </c>
      <c r="F2323" s="9" cm="1">
        <f t="array" ref="F2323">IFERROR(_xlfn.XLOOKUP(B2323,Personal!$A:$A,Personal!$F:$F,""),"")</f>
        <v>0</v>
      </c>
      <c r="I2323" s="10" cm="1">
        <f t="array" ref="I2323">IFERROR(INDEX(Precios!$D:$F,MATCH(N2323, Precios!$G:$G, 0),CHOOSE(MATCH(H2323, {"SML";"XL";"XXL"}, 0), 1, 2, 3)), 0)</f>
        <v>0</v>
      </c>
      <c r="K2323" s="10">
        <f t="shared" si="80"/>
        <v>0</v>
      </c>
      <c r="N2323" s="9" t="str">
        <f t="shared" si="81"/>
        <v/>
      </c>
      <c r="O2323" s="9" t="str">
        <f>IF(N2323="","",IF(COUNTIF(Precios!$G:$G,N2323)=0,"⚠ No coincide con Precios","OK"))</f>
        <v/>
      </c>
    </row>
    <row r="2324" spans="3:15" x14ac:dyDescent="0.2">
      <c r="C2324" s="9" cm="1">
        <f t="array" ref="C2324">IFERROR(_xlfn.XLOOKUP(B2324,Personal!$A:$A,Personal!$D:$D,""),"")</f>
        <v>0</v>
      </c>
      <c r="D2324" s="9" cm="1">
        <f t="array" ref="D2324">IFERROR(_xlfn.XLOOKUP(B2324,Personal!$A:$A,Personal!$C:$C,""),"")</f>
        <v>0</v>
      </c>
      <c r="E2324" s="9" t="str" cm="1">
        <f t="array" ref="E2324">IFERROR(_xlfn.XLOOKUP(D2324,Locales!$A:$A,Locales!$B:$B,""),"")</f>
        <v/>
      </c>
      <c r="F2324" s="9" cm="1">
        <f t="array" ref="F2324">IFERROR(_xlfn.XLOOKUP(B2324,Personal!$A:$A,Personal!$F:$F,""),"")</f>
        <v>0</v>
      </c>
      <c r="I2324" s="10" cm="1">
        <f t="array" ref="I2324">IFERROR(INDEX(Precios!$D:$F,MATCH(N2324, Precios!$G:$G, 0),CHOOSE(MATCH(H2324, {"SML";"XL";"XXL"}, 0), 1, 2, 3)), 0)</f>
        <v>0</v>
      </c>
      <c r="K2324" s="10">
        <f t="shared" si="80"/>
        <v>0</v>
      </c>
      <c r="N2324" s="9" t="str">
        <f t="shared" si="81"/>
        <v/>
      </c>
      <c r="O2324" s="9" t="str">
        <f>IF(N2324="","",IF(COUNTIF(Precios!$G:$G,N2324)=0,"⚠ No coincide con Precios","OK"))</f>
        <v/>
      </c>
    </row>
    <row r="2325" spans="3:15" x14ac:dyDescent="0.2">
      <c r="C2325" s="9" cm="1">
        <f t="array" ref="C2325">IFERROR(_xlfn.XLOOKUP(B2325,Personal!$A:$A,Personal!$D:$D,""),"")</f>
        <v>0</v>
      </c>
      <c r="D2325" s="9" cm="1">
        <f t="array" ref="D2325">IFERROR(_xlfn.XLOOKUP(B2325,Personal!$A:$A,Personal!$C:$C,""),"")</f>
        <v>0</v>
      </c>
      <c r="E2325" s="9" t="str" cm="1">
        <f t="array" ref="E2325">IFERROR(_xlfn.XLOOKUP(D2325,Locales!$A:$A,Locales!$B:$B,""),"")</f>
        <v/>
      </c>
      <c r="F2325" s="9" cm="1">
        <f t="array" ref="F2325">IFERROR(_xlfn.XLOOKUP(B2325,Personal!$A:$A,Personal!$F:$F,""),"")</f>
        <v>0</v>
      </c>
      <c r="I2325" s="10" cm="1">
        <f t="array" ref="I2325">IFERROR(INDEX(Precios!$D:$F,MATCH(N2325, Precios!$G:$G, 0),CHOOSE(MATCH(H2325, {"SML";"XL";"XXL"}, 0), 1, 2, 3)), 0)</f>
        <v>0</v>
      </c>
      <c r="K2325" s="10">
        <f t="shared" si="80"/>
        <v>0</v>
      </c>
      <c r="N2325" s="9" t="str">
        <f t="shared" si="81"/>
        <v/>
      </c>
      <c r="O2325" s="9" t="str">
        <f>IF(N2325="","",IF(COUNTIF(Precios!$G:$G,N2325)=0,"⚠ No coincide con Precios","OK"))</f>
        <v/>
      </c>
    </row>
    <row r="2326" spans="3:15" x14ac:dyDescent="0.2">
      <c r="C2326" s="9" cm="1">
        <f t="array" ref="C2326">IFERROR(_xlfn.XLOOKUP(B2326,Personal!$A:$A,Personal!$D:$D,""),"")</f>
        <v>0</v>
      </c>
      <c r="D2326" s="9" cm="1">
        <f t="array" ref="D2326">IFERROR(_xlfn.XLOOKUP(B2326,Personal!$A:$A,Personal!$C:$C,""),"")</f>
        <v>0</v>
      </c>
      <c r="E2326" s="9" t="str" cm="1">
        <f t="array" ref="E2326">IFERROR(_xlfn.XLOOKUP(D2326,Locales!$A:$A,Locales!$B:$B,""),"")</f>
        <v/>
      </c>
      <c r="F2326" s="9" cm="1">
        <f t="array" ref="F2326">IFERROR(_xlfn.XLOOKUP(B2326,Personal!$A:$A,Personal!$F:$F,""),"")</f>
        <v>0</v>
      </c>
      <c r="I2326" s="10" cm="1">
        <f t="array" ref="I2326">IFERROR(INDEX(Precios!$D:$F,MATCH(N2326, Precios!$G:$G, 0),CHOOSE(MATCH(H2326, {"SML";"XL";"XXL"}, 0), 1, 2, 3)), 0)</f>
        <v>0</v>
      </c>
      <c r="K2326" s="10">
        <f t="shared" si="80"/>
        <v>0</v>
      </c>
      <c r="N2326" s="9" t="str">
        <f t="shared" si="81"/>
        <v/>
      </c>
      <c r="O2326" s="9" t="str">
        <f>IF(N2326="","",IF(COUNTIF(Precios!$G:$G,N2326)=0,"⚠ No coincide con Precios","OK"))</f>
        <v/>
      </c>
    </row>
    <row r="2327" spans="3:15" x14ac:dyDescent="0.2">
      <c r="C2327" s="9" cm="1">
        <f t="array" ref="C2327">IFERROR(_xlfn.XLOOKUP(B2327,Personal!$A:$A,Personal!$D:$D,""),"")</f>
        <v>0</v>
      </c>
      <c r="D2327" s="9" cm="1">
        <f t="array" ref="D2327">IFERROR(_xlfn.XLOOKUP(B2327,Personal!$A:$A,Personal!$C:$C,""),"")</f>
        <v>0</v>
      </c>
      <c r="E2327" s="9" t="str" cm="1">
        <f t="array" ref="E2327">IFERROR(_xlfn.XLOOKUP(D2327,Locales!$A:$A,Locales!$B:$B,""),"")</f>
        <v/>
      </c>
      <c r="F2327" s="9" cm="1">
        <f t="array" ref="F2327">IFERROR(_xlfn.XLOOKUP(B2327,Personal!$A:$A,Personal!$F:$F,""),"")</f>
        <v>0</v>
      </c>
      <c r="I2327" s="10" cm="1">
        <f t="array" ref="I2327">IFERROR(INDEX(Precios!$D:$F,MATCH(N2327, Precios!$G:$G, 0),CHOOSE(MATCH(H2327, {"SML";"XL";"XXL"}, 0), 1, 2, 3)), 0)</f>
        <v>0</v>
      </c>
      <c r="K2327" s="10">
        <f t="shared" si="80"/>
        <v>0</v>
      </c>
      <c r="N2327" s="9" t="str">
        <f t="shared" si="81"/>
        <v/>
      </c>
      <c r="O2327" s="9" t="str">
        <f>IF(N2327="","",IF(COUNTIF(Precios!$G:$G,N2327)=0,"⚠ No coincide con Precios","OK"))</f>
        <v/>
      </c>
    </row>
    <row r="2328" spans="3:15" x14ac:dyDescent="0.2">
      <c r="C2328" s="9" cm="1">
        <f t="array" ref="C2328">IFERROR(_xlfn.XLOOKUP(B2328,Personal!$A:$A,Personal!$D:$D,""),"")</f>
        <v>0</v>
      </c>
      <c r="D2328" s="9" cm="1">
        <f t="array" ref="D2328">IFERROR(_xlfn.XLOOKUP(B2328,Personal!$A:$A,Personal!$C:$C,""),"")</f>
        <v>0</v>
      </c>
      <c r="E2328" s="9" t="str" cm="1">
        <f t="array" ref="E2328">IFERROR(_xlfn.XLOOKUP(D2328,Locales!$A:$A,Locales!$B:$B,""),"")</f>
        <v/>
      </c>
      <c r="F2328" s="9" cm="1">
        <f t="array" ref="F2328">IFERROR(_xlfn.XLOOKUP(B2328,Personal!$A:$A,Personal!$F:$F,""),"")</f>
        <v>0</v>
      </c>
      <c r="I2328" s="10" cm="1">
        <f t="array" ref="I2328">IFERROR(INDEX(Precios!$D:$F,MATCH(N2328, Precios!$G:$G, 0),CHOOSE(MATCH(H2328, {"SML";"XL";"XXL"}, 0), 1, 2, 3)), 0)</f>
        <v>0</v>
      </c>
      <c r="K2328" s="10">
        <f t="shared" si="80"/>
        <v>0</v>
      </c>
      <c r="N2328" s="9" t="str">
        <f t="shared" si="81"/>
        <v/>
      </c>
      <c r="O2328" s="9" t="str">
        <f>IF(N2328="","",IF(COUNTIF(Precios!$G:$G,N2328)=0,"⚠ No coincide con Precios","OK"))</f>
        <v/>
      </c>
    </row>
    <row r="2329" spans="3:15" x14ac:dyDescent="0.2">
      <c r="C2329" s="9" cm="1">
        <f t="array" ref="C2329">IFERROR(_xlfn.XLOOKUP(B2329,Personal!$A:$A,Personal!$D:$D,""),"")</f>
        <v>0</v>
      </c>
      <c r="D2329" s="9" cm="1">
        <f t="array" ref="D2329">IFERROR(_xlfn.XLOOKUP(B2329,Personal!$A:$A,Personal!$C:$C,""),"")</f>
        <v>0</v>
      </c>
      <c r="E2329" s="9" t="str" cm="1">
        <f t="array" ref="E2329">IFERROR(_xlfn.XLOOKUP(D2329,Locales!$A:$A,Locales!$B:$B,""),"")</f>
        <v/>
      </c>
      <c r="F2329" s="9" cm="1">
        <f t="array" ref="F2329">IFERROR(_xlfn.XLOOKUP(B2329,Personal!$A:$A,Personal!$F:$F,""),"")</f>
        <v>0</v>
      </c>
      <c r="I2329" s="10" cm="1">
        <f t="array" ref="I2329">IFERROR(INDEX(Precios!$D:$F,MATCH(N2329, Precios!$G:$G, 0),CHOOSE(MATCH(H2329, {"SML";"XL";"XXL"}, 0), 1, 2, 3)), 0)</f>
        <v>0</v>
      </c>
      <c r="K2329" s="10">
        <f t="shared" si="80"/>
        <v>0</v>
      </c>
      <c r="N2329" s="9" t="str">
        <f t="shared" si="81"/>
        <v/>
      </c>
      <c r="O2329" s="9" t="str">
        <f>IF(N2329="","",IF(COUNTIF(Precios!$G:$G,N2329)=0,"⚠ No coincide con Precios","OK"))</f>
        <v/>
      </c>
    </row>
    <row r="2330" spans="3:15" x14ac:dyDescent="0.2">
      <c r="C2330" s="9" cm="1">
        <f t="array" ref="C2330">IFERROR(_xlfn.XLOOKUP(B2330,Personal!$A:$A,Personal!$D:$D,""),"")</f>
        <v>0</v>
      </c>
      <c r="D2330" s="9" cm="1">
        <f t="array" ref="D2330">IFERROR(_xlfn.XLOOKUP(B2330,Personal!$A:$A,Personal!$C:$C,""),"")</f>
        <v>0</v>
      </c>
      <c r="E2330" s="9" t="str" cm="1">
        <f t="array" ref="E2330">IFERROR(_xlfn.XLOOKUP(D2330,Locales!$A:$A,Locales!$B:$B,""),"")</f>
        <v/>
      </c>
      <c r="F2330" s="9" cm="1">
        <f t="array" ref="F2330">IFERROR(_xlfn.XLOOKUP(B2330,Personal!$A:$A,Personal!$F:$F,""),"")</f>
        <v>0</v>
      </c>
      <c r="I2330" s="10" cm="1">
        <f t="array" ref="I2330">IFERROR(INDEX(Precios!$D:$F,MATCH(N2330, Precios!$G:$G, 0),CHOOSE(MATCH(H2330, {"SML";"XL";"XXL"}, 0), 1, 2, 3)), 0)</f>
        <v>0</v>
      </c>
      <c r="K2330" s="10">
        <f t="shared" si="80"/>
        <v>0</v>
      </c>
      <c r="N2330" s="9" t="str">
        <f t="shared" si="81"/>
        <v/>
      </c>
      <c r="O2330" s="9" t="str">
        <f>IF(N2330="","",IF(COUNTIF(Precios!$G:$G,N2330)=0,"⚠ No coincide con Precios","OK"))</f>
        <v/>
      </c>
    </row>
    <row r="2331" spans="3:15" x14ac:dyDescent="0.2">
      <c r="C2331" s="9" cm="1">
        <f t="array" ref="C2331">IFERROR(_xlfn.XLOOKUP(B2331,Personal!$A:$A,Personal!$D:$D,""),"")</f>
        <v>0</v>
      </c>
      <c r="D2331" s="9" cm="1">
        <f t="array" ref="D2331">IFERROR(_xlfn.XLOOKUP(B2331,Personal!$A:$A,Personal!$C:$C,""),"")</f>
        <v>0</v>
      </c>
      <c r="E2331" s="9" t="str" cm="1">
        <f t="array" ref="E2331">IFERROR(_xlfn.XLOOKUP(D2331,Locales!$A:$A,Locales!$B:$B,""),"")</f>
        <v/>
      </c>
      <c r="F2331" s="9" cm="1">
        <f t="array" ref="F2331">IFERROR(_xlfn.XLOOKUP(B2331,Personal!$A:$A,Personal!$F:$F,""),"")</f>
        <v>0</v>
      </c>
      <c r="I2331" s="10" cm="1">
        <f t="array" ref="I2331">IFERROR(INDEX(Precios!$D:$F,MATCH(N2331, Precios!$G:$G, 0),CHOOSE(MATCH(H2331, {"SML";"XL";"XXL"}, 0), 1, 2, 3)), 0)</f>
        <v>0</v>
      </c>
      <c r="K2331" s="10">
        <f t="shared" si="80"/>
        <v>0</v>
      </c>
      <c r="N2331" s="9" t="str">
        <f t="shared" si="81"/>
        <v/>
      </c>
      <c r="O2331" s="9" t="str">
        <f>IF(N2331="","",IF(COUNTIF(Precios!$G:$G,N2331)=0,"⚠ No coincide con Precios","OK"))</f>
        <v/>
      </c>
    </row>
    <row r="2332" spans="3:15" x14ac:dyDescent="0.2">
      <c r="C2332" s="9" cm="1">
        <f t="array" ref="C2332">IFERROR(_xlfn.XLOOKUP(B2332,Personal!$A:$A,Personal!$D:$D,""),"")</f>
        <v>0</v>
      </c>
      <c r="D2332" s="9" cm="1">
        <f t="array" ref="D2332">IFERROR(_xlfn.XLOOKUP(B2332,Personal!$A:$A,Personal!$C:$C,""),"")</f>
        <v>0</v>
      </c>
      <c r="E2332" s="9" t="str" cm="1">
        <f t="array" ref="E2332">IFERROR(_xlfn.XLOOKUP(D2332,Locales!$A:$A,Locales!$B:$B,""),"")</f>
        <v/>
      </c>
      <c r="F2332" s="9" cm="1">
        <f t="array" ref="F2332">IFERROR(_xlfn.XLOOKUP(B2332,Personal!$A:$A,Personal!$F:$F,""),"")</f>
        <v>0</v>
      </c>
      <c r="I2332" s="10" cm="1">
        <f t="array" ref="I2332">IFERROR(INDEX(Precios!$D:$F,MATCH(N2332, Precios!$G:$G, 0),CHOOSE(MATCH(H2332, {"SML";"XL";"XXL"}, 0), 1, 2, 3)), 0)</f>
        <v>0</v>
      </c>
      <c r="K2332" s="10">
        <f t="shared" si="80"/>
        <v>0</v>
      </c>
      <c r="N2332" s="9" t="str">
        <f t="shared" si="81"/>
        <v/>
      </c>
      <c r="O2332" s="9" t="str">
        <f>IF(N2332="","",IF(COUNTIF(Precios!$G:$G,N2332)=0,"⚠ No coincide con Precios","OK"))</f>
        <v/>
      </c>
    </row>
    <row r="2333" spans="3:15" x14ac:dyDescent="0.2">
      <c r="C2333" s="9" cm="1">
        <f t="array" ref="C2333">IFERROR(_xlfn.XLOOKUP(B2333,Personal!$A:$A,Personal!$D:$D,""),"")</f>
        <v>0</v>
      </c>
      <c r="D2333" s="9" cm="1">
        <f t="array" ref="D2333">IFERROR(_xlfn.XLOOKUP(B2333,Personal!$A:$A,Personal!$C:$C,""),"")</f>
        <v>0</v>
      </c>
      <c r="E2333" s="9" t="str" cm="1">
        <f t="array" ref="E2333">IFERROR(_xlfn.XLOOKUP(D2333,Locales!$A:$A,Locales!$B:$B,""),"")</f>
        <v/>
      </c>
      <c r="F2333" s="9" cm="1">
        <f t="array" ref="F2333">IFERROR(_xlfn.XLOOKUP(B2333,Personal!$A:$A,Personal!$F:$F,""),"")</f>
        <v>0</v>
      </c>
      <c r="I2333" s="10" cm="1">
        <f t="array" ref="I2333">IFERROR(INDEX(Precios!$D:$F,MATCH(N2333, Precios!$G:$G, 0),CHOOSE(MATCH(H2333, {"SML";"XL";"XXL"}, 0), 1, 2, 3)), 0)</f>
        <v>0</v>
      </c>
      <c r="K2333" s="10">
        <f t="shared" si="80"/>
        <v>0</v>
      </c>
      <c r="N2333" s="9" t="str">
        <f t="shared" si="81"/>
        <v/>
      </c>
      <c r="O2333" s="9" t="str">
        <f>IF(N2333="","",IF(COUNTIF(Precios!$G:$G,N2333)=0,"⚠ No coincide con Precios","OK"))</f>
        <v/>
      </c>
    </row>
    <row r="2334" spans="3:15" x14ac:dyDescent="0.2">
      <c r="C2334" s="9" cm="1">
        <f t="array" ref="C2334">IFERROR(_xlfn.XLOOKUP(B2334,Personal!$A:$A,Personal!$D:$D,""),"")</f>
        <v>0</v>
      </c>
      <c r="D2334" s="9" cm="1">
        <f t="array" ref="D2334">IFERROR(_xlfn.XLOOKUP(B2334,Personal!$A:$A,Personal!$C:$C,""),"")</f>
        <v>0</v>
      </c>
      <c r="E2334" s="9" t="str" cm="1">
        <f t="array" ref="E2334">IFERROR(_xlfn.XLOOKUP(D2334,Locales!$A:$A,Locales!$B:$B,""),"")</f>
        <v/>
      </c>
      <c r="F2334" s="9" cm="1">
        <f t="array" ref="F2334">IFERROR(_xlfn.XLOOKUP(B2334,Personal!$A:$A,Personal!$F:$F,""),"")</f>
        <v>0</v>
      </c>
      <c r="I2334" s="10" cm="1">
        <f t="array" ref="I2334">IFERROR(INDEX(Precios!$D:$F,MATCH(N2334, Precios!$G:$G, 0),CHOOSE(MATCH(H2334, {"SML";"XL";"XXL"}, 0), 1, 2, 3)), 0)</f>
        <v>0</v>
      </c>
      <c r="K2334" s="10">
        <f t="shared" si="80"/>
        <v>0</v>
      </c>
      <c r="N2334" s="9" t="str">
        <f t="shared" si="81"/>
        <v/>
      </c>
      <c r="O2334" s="9" t="str">
        <f>IF(N2334="","",IF(COUNTIF(Precios!$G:$G,N2334)=0,"⚠ No coincide con Precios","OK"))</f>
        <v/>
      </c>
    </row>
    <row r="2335" spans="3:15" x14ac:dyDescent="0.2">
      <c r="C2335" s="9" cm="1">
        <f t="array" ref="C2335">IFERROR(_xlfn.XLOOKUP(B2335,Personal!$A:$A,Personal!$D:$D,""),"")</f>
        <v>0</v>
      </c>
      <c r="D2335" s="9" cm="1">
        <f t="array" ref="D2335">IFERROR(_xlfn.XLOOKUP(B2335,Personal!$A:$A,Personal!$C:$C,""),"")</f>
        <v>0</v>
      </c>
      <c r="E2335" s="9" t="str" cm="1">
        <f t="array" ref="E2335">IFERROR(_xlfn.XLOOKUP(D2335,Locales!$A:$A,Locales!$B:$B,""),"")</f>
        <v/>
      </c>
      <c r="F2335" s="9" cm="1">
        <f t="array" ref="F2335">IFERROR(_xlfn.XLOOKUP(B2335,Personal!$A:$A,Personal!$F:$F,""),"")</f>
        <v>0</v>
      </c>
      <c r="I2335" s="10" cm="1">
        <f t="array" ref="I2335">IFERROR(INDEX(Precios!$D:$F,MATCH(N2335, Precios!$G:$G, 0),CHOOSE(MATCH(H2335, {"SML";"XL";"XXL"}, 0), 1, 2, 3)), 0)</f>
        <v>0</v>
      </c>
      <c r="K2335" s="10">
        <f t="shared" si="80"/>
        <v>0</v>
      </c>
      <c r="N2335" s="9" t="str">
        <f t="shared" si="81"/>
        <v/>
      </c>
      <c r="O2335" s="9" t="str">
        <f>IF(N2335="","",IF(COUNTIF(Precios!$G:$G,N2335)=0,"⚠ No coincide con Precios","OK"))</f>
        <v/>
      </c>
    </row>
    <row r="2336" spans="3:15" x14ac:dyDescent="0.2">
      <c r="C2336" s="9" cm="1">
        <f t="array" ref="C2336">IFERROR(_xlfn.XLOOKUP(B2336,Personal!$A:$A,Personal!$D:$D,""),"")</f>
        <v>0</v>
      </c>
      <c r="D2336" s="9" cm="1">
        <f t="array" ref="D2336">IFERROR(_xlfn.XLOOKUP(B2336,Personal!$A:$A,Personal!$C:$C,""),"")</f>
        <v>0</v>
      </c>
      <c r="E2336" s="9" t="str" cm="1">
        <f t="array" ref="E2336">IFERROR(_xlfn.XLOOKUP(D2336,Locales!$A:$A,Locales!$B:$B,""),"")</f>
        <v/>
      </c>
      <c r="F2336" s="9" cm="1">
        <f t="array" ref="F2336">IFERROR(_xlfn.XLOOKUP(B2336,Personal!$A:$A,Personal!$F:$F,""),"")</f>
        <v>0</v>
      </c>
      <c r="I2336" s="10" cm="1">
        <f t="array" ref="I2336">IFERROR(INDEX(Precios!$D:$F,MATCH(N2336, Precios!$G:$G, 0),CHOOSE(MATCH(H2336, {"SML";"XL";"XXL"}, 0), 1, 2, 3)), 0)</f>
        <v>0</v>
      </c>
      <c r="K2336" s="10">
        <f t="shared" si="80"/>
        <v>0</v>
      </c>
      <c r="N2336" s="9" t="str">
        <f t="shared" si="81"/>
        <v/>
      </c>
      <c r="O2336" s="9" t="str">
        <f>IF(N2336="","",IF(COUNTIF(Precios!$G:$G,N2336)=0,"⚠ No coincide con Precios","OK"))</f>
        <v/>
      </c>
    </row>
    <row r="2337" spans="3:15" x14ac:dyDescent="0.2">
      <c r="C2337" s="9" cm="1">
        <f t="array" ref="C2337">IFERROR(_xlfn.XLOOKUP(B2337,Personal!$A:$A,Personal!$D:$D,""),"")</f>
        <v>0</v>
      </c>
      <c r="D2337" s="9" cm="1">
        <f t="array" ref="D2337">IFERROR(_xlfn.XLOOKUP(B2337,Personal!$A:$A,Personal!$C:$C,""),"")</f>
        <v>0</v>
      </c>
      <c r="E2337" s="9" t="str" cm="1">
        <f t="array" ref="E2337">IFERROR(_xlfn.XLOOKUP(D2337,Locales!$A:$A,Locales!$B:$B,""),"")</f>
        <v/>
      </c>
      <c r="F2337" s="9" cm="1">
        <f t="array" ref="F2337">IFERROR(_xlfn.XLOOKUP(B2337,Personal!$A:$A,Personal!$F:$F,""),"")</f>
        <v>0</v>
      </c>
      <c r="I2337" s="10" cm="1">
        <f t="array" ref="I2337">IFERROR(INDEX(Precios!$D:$F,MATCH(N2337, Precios!$G:$G, 0),CHOOSE(MATCH(H2337, {"SML";"XL";"XXL"}, 0), 1, 2, 3)), 0)</f>
        <v>0</v>
      </c>
      <c r="K2337" s="10">
        <f t="shared" si="80"/>
        <v>0</v>
      </c>
      <c r="N2337" s="9" t="str">
        <f t="shared" si="81"/>
        <v/>
      </c>
      <c r="O2337" s="9" t="str">
        <f>IF(N2337="","",IF(COUNTIF(Precios!$G:$G,N2337)=0,"⚠ No coincide con Precios","OK"))</f>
        <v/>
      </c>
    </row>
    <row r="2338" spans="3:15" x14ac:dyDescent="0.2">
      <c r="C2338" s="9" cm="1">
        <f t="array" ref="C2338">IFERROR(_xlfn.XLOOKUP(B2338,Personal!$A:$A,Personal!$D:$D,""),"")</f>
        <v>0</v>
      </c>
      <c r="D2338" s="9" cm="1">
        <f t="array" ref="D2338">IFERROR(_xlfn.XLOOKUP(B2338,Personal!$A:$A,Personal!$C:$C,""),"")</f>
        <v>0</v>
      </c>
      <c r="E2338" s="9" t="str" cm="1">
        <f t="array" ref="E2338">IFERROR(_xlfn.XLOOKUP(D2338,Locales!$A:$A,Locales!$B:$B,""),"")</f>
        <v/>
      </c>
      <c r="F2338" s="9" cm="1">
        <f t="array" ref="F2338">IFERROR(_xlfn.XLOOKUP(B2338,Personal!$A:$A,Personal!$F:$F,""),"")</f>
        <v>0</v>
      </c>
      <c r="I2338" s="10" cm="1">
        <f t="array" ref="I2338">IFERROR(INDEX(Precios!$D:$F,MATCH(N2338, Precios!$G:$G, 0),CHOOSE(MATCH(H2338, {"SML";"XL";"XXL"}, 0), 1, 2, 3)), 0)</f>
        <v>0</v>
      </c>
      <c r="K2338" s="10">
        <f t="shared" si="80"/>
        <v>0</v>
      </c>
      <c r="N2338" s="9" t="str">
        <f t="shared" si="81"/>
        <v/>
      </c>
      <c r="O2338" s="9" t="str">
        <f>IF(N2338="","",IF(COUNTIF(Precios!$G:$G,N2338)=0,"⚠ No coincide con Precios","OK"))</f>
        <v/>
      </c>
    </row>
    <row r="2339" spans="3:15" x14ac:dyDescent="0.2">
      <c r="C2339" s="9" cm="1">
        <f t="array" ref="C2339">IFERROR(_xlfn.XLOOKUP(B2339,Personal!$A:$A,Personal!$D:$D,""),"")</f>
        <v>0</v>
      </c>
      <c r="D2339" s="9" cm="1">
        <f t="array" ref="D2339">IFERROR(_xlfn.XLOOKUP(B2339,Personal!$A:$A,Personal!$C:$C,""),"")</f>
        <v>0</v>
      </c>
      <c r="E2339" s="9" t="str" cm="1">
        <f t="array" ref="E2339">IFERROR(_xlfn.XLOOKUP(D2339,Locales!$A:$A,Locales!$B:$B,""),"")</f>
        <v/>
      </c>
      <c r="F2339" s="9" cm="1">
        <f t="array" ref="F2339">IFERROR(_xlfn.XLOOKUP(B2339,Personal!$A:$A,Personal!$F:$F,""),"")</f>
        <v>0</v>
      </c>
      <c r="I2339" s="10" cm="1">
        <f t="array" ref="I2339">IFERROR(INDEX(Precios!$D:$F,MATCH(N2339, Precios!$G:$G, 0),CHOOSE(MATCH(H2339, {"SML";"XL";"XXL"}, 0), 1, 2, 3)), 0)</f>
        <v>0</v>
      </c>
      <c r="K2339" s="10">
        <f t="shared" si="80"/>
        <v>0</v>
      </c>
      <c r="N2339" s="9" t="str">
        <f t="shared" si="81"/>
        <v/>
      </c>
      <c r="O2339" s="9" t="str">
        <f>IF(N2339="","",IF(COUNTIF(Precios!$G:$G,N2339)=0,"⚠ No coincide con Precios","OK"))</f>
        <v/>
      </c>
    </row>
    <row r="2340" spans="3:15" x14ac:dyDescent="0.2">
      <c r="C2340" s="9" cm="1">
        <f t="array" ref="C2340">IFERROR(_xlfn.XLOOKUP(B2340,Personal!$A:$A,Personal!$D:$D,""),"")</f>
        <v>0</v>
      </c>
      <c r="D2340" s="9" cm="1">
        <f t="array" ref="D2340">IFERROR(_xlfn.XLOOKUP(B2340,Personal!$A:$A,Personal!$C:$C,""),"")</f>
        <v>0</v>
      </c>
      <c r="E2340" s="9" t="str" cm="1">
        <f t="array" ref="E2340">IFERROR(_xlfn.XLOOKUP(D2340,Locales!$A:$A,Locales!$B:$B,""),"")</f>
        <v/>
      </c>
      <c r="F2340" s="9" cm="1">
        <f t="array" ref="F2340">IFERROR(_xlfn.XLOOKUP(B2340,Personal!$A:$A,Personal!$F:$F,""),"")</f>
        <v>0</v>
      </c>
      <c r="I2340" s="10" cm="1">
        <f t="array" ref="I2340">IFERROR(INDEX(Precios!$D:$F,MATCH(N2340, Precios!$G:$G, 0),CHOOSE(MATCH(H2340, {"SML";"XL";"XXL"}, 0), 1, 2, 3)), 0)</f>
        <v>0</v>
      </c>
      <c r="K2340" s="10">
        <f t="shared" si="80"/>
        <v>0</v>
      </c>
      <c r="N2340" s="9" t="str">
        <f t="shared" si="81"/>
        <v/>
      </c>
      <c r="O2340" s="9" t="str">
        <f>IF(N2340="","",IF(COUNTIF(Precios!$G:$G,N2340)=0,"⚠ No coincide con Precios","OK"))</f>
        <v/>
      </c>
    </row>
    <row r="2341" spans="3:15" x14ac:dyDescent="0.2">
      <c r="C2341" s="9" cm="1">
        <f t="array" ref="C2341">IFERROR(_xlfn.XLOOKUP(B2341,Personal!$A:$A,Personal!$D:$D,""),"")</f>
        <v>0</v>
      </c>
      <c r="D2341" s="9" cm="1">
        <f t="array" ref="D2341">IFERROR(_xlfn.XLOOKUP(B2341,Personal!$A:$A,Personal!$C:$C,""),"")</f>
        <v>0</v>
      </c>
      <c r="E2341" s="9" t="str" cm="1">
        <f t="array" ref="E2341">IFERROR(_xlfn.XLOOKUP(D2341,Locales!$A:$A,Locales!$B:$B,""),"")</f>
        <v/>
      </c>
      <c r="F2341" s="9" cm="1">
        <f t="array" ref="F2341">IFERROR(_xlfn.XLOOKUP(B2341,Personal!$A:$A,Personal!$F:$F,""),"")</f>
        <v>0</v>
      </c>
      <c r="I2341" s="10" cm="1">
        <f t="array" ref="I2341">IFERROR(INDEX(Precios!$D:$F,MATCH(N2341, Precios!$G:$G, 0),CHOOSE(MATCH(H2341, {"SML";"XL";"XXL"}, 0), 1, 2, 3)), 0)</f>
        <v>0</v>
      </c>
      <c r="K2341" s="10">
        <f t="shared" si="80"/>
        <v>0</v>
      </c>
      <c r="N2341" s="9" t="str">
        <f t="shared" si="81"/>
        <v/>
      </c>
      <c r="O2341" s="9" t="str">
        <f>IF(N2341="","",IF(COUNTIF(Precios!$G:$G,N2341)=0,"⚠ No coincide con Precios","OK"))</f>
        <v/>
      </c>
    </row>
    <row r="2342" spans="3:15" x14ac:dyDescent="0.2">
      <c r="C2342" s="9" cm="1">
        <f t="array" ref="C2342">IFERROR(_xlfn.XLOOKUP(B2342,Personal!$A:$A,Personal!$D:$D,""),"")</f>
        <v>0</v>
      </c>
      <c r="D2342" s="9" cm="1">
        <f t="array" ref="D2342">IFERROR(_xlfn.XLOOKUP(B2342,Personal!$A:$A,Personal!$C:$C,""),"")</f>
        <v>0</v>
      </c>
      <c r="E2342" s="9" t="str" cm="1">
        <f t="array" ref="E2342">IFERROR(_xlfn.XLOOKUP(D2342,Locales!$A:$A,Locales!$B:$B,""),"")</f>
        <v/>
      </c>
      <c r="F2342" s="9" cm="1">
        <f t="array" ref="F2342">IFERROR(_xlfn.XLOOKUP(B2342,Personal!$A:$A,Personal!$F:$F,""),"")</f>
        <v>0</v>
      </c>
      <c r="I2342" s="10" cm="1">
        <f t="array" ref="I2342">IFERROR(INDEX(Precios!$D:$F,MATCH(N2342, Precios!$G:$G, 0),CHOOSE(MATCH(H2342, {"SML";"XL";"XXL"}, 0), 1, 2, 3)), 0)</f>
        <v>0</v>
      </c>
      <c r="K2342" s="10">
        <f t="shared" si="80"/>
        <v>0</v>
      </c>
      <c r="N2342" s="9" t="str">
        <f t="shared" si="81"/>
        <v/>
      </c>
      <c r="O2342" s="9" t="str">
        <f>IF(N2342="","",IF(COUNTIF(Precios!$G:$G,N2342)=0,"⚠ No coincide con Precios","OK"))</f>
        <v/>
      </c>
    </row>
    <row r="2343" spans="3:15" x14ac:dyDescent="0.2">
      <c r="C2343" s="9" cm="1">
        <f t="array" ref="C2343">IFERROR(_xlfn.XLOOKUP(B2343,Personal!$A:$A,Personal!$D:$D,""),"")</f>
        <v>0</v>
      </c>
      <c r="D2343" s="9" cm="1">
        <f t="array" ref="D2343">IFERROR(_xlfn.XLOOKUP(B2343,Personal!$A:$A,Personal!$C:$C,""),"")</f>
        <v>0</v>
      </c>
      <c r="E2343" s="9" t="str" cm="1">
        <f t="array" ref="E2343">IFERROR(_xlfn.XLOOKUP(D2343,Locales!$A:$A,Locales!$B:$B,""),"")</f>
        <v/>
      </c>
      <c r="F2343" s="9" cm="1">
        <f t="array" ref="F2343">IFERROR(_xlfn.XLOOKUP(B2343,Personal!$A:$A,Personal!$F:$F,""),"")</f>
        <v>0</v>
      </c>
      <c r="I2343" s="10" cm="1">
        <f t="array" ref="I2343">IFERROR(INDEX(Precios!$D:$F,MATCH(N2343, Precios!$G:$G, 0),CHOOSE(MATCH(H2343, {"SML";"XL";"XXL"}, 0), 1, 2, 3)), 0)</f>
        <v>0</v>
      </c>
      <c r="K2343" s="10">
        <f t="shared" si="80"/>
        <v>0</v>
      </c>
      <c r="N2343" s="9" t="str">
        <f t="shared" si="81"/>
        <v/>
      </c>
      <c r="O2343" s="9" t="str">
        <f>IF(N2343="","",IF(COUNTIF(Precios!$G:$G,N2343)=0,"⚠ No coincide con Precios","OK"))</f>
        <v/>
      </c>
    </row>
    <row r="2344" spans="3:15" x14ac:dyDescent="0.2">
      <c r="C2344" s="9" cm="1">
        <f t="array" ref="C2344">IFERROR(_xlfn.XLOOKUP(B2344,Personal!$A:$A,Personal!$D:$D,""),"")</f>
        <v>0</v>
      </c>
      <c r="D2344" s="9" cm="1">
        <f t="array" ref="D2344">IFERROR(_xlfn.XLOOKUP(B2344,Personal!$A:$A,Personal!$C:$C,""),"")</f>
        <v>0</v>
      </c>
      <c r="E2344" s="9" t="str" cm="1">
        <f t="array" ref="E2344">IFERROR(_xlfn.XLOOKUP(D2344,Locales!$A:$A,Locales!$B:$B,""),"")</f>
        <v/>
      </c>
      <c r="F2344" s="9" cm="1">
        <f t="array" ref="F2344">IFERROR(_xlfn.XLOOKUP(B2344,Personal!$A:$A,Personal!$F:$F,""),"")</f>
        <v>0</v>
      </c>
      <c r="I2344" s="10" cm="1">
        <f t="array" ref="I2344">IFERROR(INDEX(Precios!$D:$F,MATCH(N2344, Precios!$G:$G, 0),CHOOSE(MATCH(H2344, {"SML";"XL";"XXL"}, 0), 1, 2, 3)), 0)</f>
        <v>0</v>
      </c>
      <c r="K2344" s="10">
        <f t="shared" si="80"/>
        <v>0</v>
      </c>
      <c r="N2344" s="9" t="str">
        <f t="shared" si="81"/>
        <v/>
      </c>
      <c r="O2344" s="9" t="str">
        <f>IF(N2344="","",IF(COUNTIF(Precios!$G:$G,N2344)=0,"⚠ No coincide con Precios","OK"))</f>
        <v/>
      </c>
    </row>
    <row r="2345" spans="3:15" x14ac:dyDescent="0.2">
      <c r="C2345" s="9" cm="1">
        <f t="array" ref="C2345">IFERROR(_xlfn.XLOOKUP(B2345,Personal!$A:$A,Personal!$D:$D,""),"")</f>
        <v>0</v>
      </c>
      <c r="D2345" s="9" cm="1">
        <f t="array" ref="D2345">IFERROR(_xlfn.XLOOKUP(B2345,Personal!$A:$A,Personal!$C:$C,""),"")</f>
        <v>0</v>
      </c>
      <c r="E2345" s="9" t="str" cm="1">
        <f t="array" ref="E2345">IFERROR(_xlfn.XLOOKUP(D2345,Locales!$A:$A,Locales!$B:$B,""),"")</f>
        <v/>
      </c>
      <c r="F2345" s="9" cm="1">
        <f t="array" ref="F2345">IFERROR(_xlfn.XLOOKUP(B2345,Personal!$A:$A,Personal!$F:$F,""),"")</f>
        <v>0</v>
      </c>
      <c r="I2345" s="10" cm="1">
        <f t="array" ref="I2345">IFERROR(INDEX(Precios!$D:$F,MATCH(N2345, Precios!$G:$G, 0),CHOOSE(MATCH(H2345, {"SML";"XL";"XXL"}, 0), 1, 2, 3)), 0)</f>
        <v>0</v>
      </c>
      <c r="K2345" s="10">
        <f t="shared" si="80"/>
        <v>0</v>
      </c>
      <c r="N2345" s="9" t="str">
        <f t="shared" si="81"/>
        <v/>
      </c>
      <c r="O2345" s="9" t="str">
        <f>IF(N2345="","",IF(COUNTIF(Precios!$G:$G,N2345)=0,"⚠ No coincide con Precios","OK"))</f>
        <v/>
      </c>
    </row>
    <row r="2346" spans="3:15" x14ac:dyDescent="0.2">
      <c r="C2346" s="9" cm="1">
        <f t="array" ref="C2346">IFERROR(_xlfn.XLOOKUP(B2346,Personal!$A:$A,Personal!$D:$D,""),"")</f>
        <v>0</v>
      </c>
      <c r="D2346" s="9" cm="1">
        <f t="array" ref="D2346">IFERROR(_xlfn.XLOOKUP(B2346,Personal!$A:$A,Personal!$C:$C,""),"")</f>
        <v>0</v>
      </c>
      <c r="E2346" s="9" t="str" cm="1">
        <f t="array" ref="E2346">IFERROR(_xlfn.XLOOKUP(D2346,Locales!$A:$A,Locales!$B:$B,""),"")</f>
        <v/>
      </c>
      <c r="F2346" s="9" cm="1">
        <f t="array" ref="F2346">IFERROR(_xlfn.XLOOKUP(B2346,Personal!$A:$A,Personal!$F:$F,""),"")</f>
        <v>0</v>
      </c>
      <c r="I2346" s="10" cm="1">
        <f t="array" ref="I2346">IFERROR(INDEX(Precios!$D:$F,MATCH(N2346, Precios!$G:$G, 0),CHOOSE(MATCH(H2346, {"SML";"XL";"XXL"}, 0), 1, 2, 3)), 0)</f>
        <v>0</v>
      </c>
      <c r="K2346" s="10">
        <f t="shared" si="80"/>
        <v>0</v>
      </c>
      <c r="N2346" s="9" t="str">
        <f t="shared" si="81"/>
        <v/>
      </c>
      <c r="O2346" s="9" t="str">
        <f>IF(N2346="","",IF(COUNTIF(Precios!$G:$G,N2346)=0,"⚠ No coincide con Precios","OK"))</f>
        <v/>
      </c>
    </row>
    <row r="2347" spans="3:15" x14ac:dyDescent="0.2">
      <c r="C2347" s="9" cm="1">
        <f t="array" ref="C2347">IFERROR(_xlfn.XLOOKUP(B2347,Personal!$A:$A,Personal!$D:$D,""),"")</f>
        <v>0</v>
      </c>
      <c r="D2347" s="9" cm="1">
        <f t="array" ref="D2347">IFERROR(_xlfn.XLOOKUP(B2347,Personal!$A:$A,Personal!$C:$C,""),"")</f>
        <v>0</v>
      </c>
      <c r="E2347" s="9" t="str" cm="1">
        <f t="array" ref="E2347">IFERROR(_xlfn.XLOOKUP(D2347,Locales!$A:$A,Locales!$B:$B,""),"")</f>
        <v/>
      </c>
      <c r="F2347" s="9" cm="1">
        <f t="array" ref="F2347">IFERROR(_xlfn.XLOOKUP(B2347,Personal!$A:$A,Personal!$F:$F,""),"")</f>
        <v>0</v>
      </c>
      <c r="I2347" s="10" cm="1">
        <f t="array" ref="I2347">IFERROR(INDEX(Precios!$D:$F,MATCH(N2347, Precios!$G:$G, 0),CHOOSE(MATCH(H2347, {"SML";"XL";"XXL"}, 0), 1, 2, 3)), 0)</f>
        <v>0</v>
      </c>
      <c r="K2347" s="10">
        <f t="shared" si="80"/>
        <v>0</v>
      </c>
      <c r="N2347" s="9" t="str">
        <f t="shared" si="81"/>
        <v/>
      </c>
      <c r="O2347" s="9" t="str">
        <f>IF(N2347="","",IF(COUNTIF(Precios!$G:$G,N2347)=0,"⚠ No coincide con Precios","OK"))</f>
        <v/>
      </c>
    </row>
    <row r="2348" spans="3:15" x14ac:dyDescent="0.2">
      <c r="C2348" s="9" cm="1">
        <f t="array" ref="C2348">IFERROR(_xlfn.XLOOKUP(B2348,Personal!$A:$A,Personal!$D:$D,""),"")</f>
        <v>0</v>
      </c>
      <c r="D2348" s="9" cm="1">
        <f t="array" ref="D2348">IFERROR(_xlfn.XLOOKUP(B2348,Personal!$A:$A,Personal!$C:$C,""),"")</f>
        <v>0</v>
      </c>
      <c r="E2348" s="9" t="str" cm="1">
        <f t="array" ref="E2348">IFERROR(_xlfn.XLOOKUP(D2348,Locales!$A:$A,Locales!$B:$B,""),"")</f>
        <v/>
      </c>
      <c r="F2348" s="9" cm="1">
        <f t="array" ref="F2348">IFERROR(_xlfn.XLOOKUP(B2348,Personal!$A:$A,Personal!$F:$F,""),"")</f>
        <v>0</v>
      </c>
      <c r="I2348" s="10" cm="1">
        <f t="array" ref="I2348">IFERROR(INDEX(Precios!$D:$F,MATCH(N2348, Precios!$G:$G, 0),CHOOSE(MATCH(H2348, {"SML";"XL";"XXL"}, 0), 1, 2, 3)), 0)</f>
        <v>0</v>
      </c>
      <c r="K2348" s="10">
        <f t="shared" si="80"/>
        <v>0</v>
      </c>
      <c r="N2348" s="9" t="str">
        <f t="shared" si="81"/>
        <v/>
      </c>
      <c r="O2348" s="9" t="str">
        <f>IF(N2348="","",IF(COUNTIF(Precios!$G:$G,N2348)=0,"⚠ No coincide con Precios","OK"))</f>
        <v/>
      </c>
    </row>
    <row r="2349" spans="3:15" x14ac:dyDescent="0.2">
      <c r="C2349" s="9" cm="1">
        <f t="array" ref="C2349">IFERROR(_xlfn.XLOOKUP(B2349,Personal!$A:$A,Personal!$D:$D,""),"")</f>
        <v>0</v>
      </c>
      <c r="D2349" s="9" cm="1">
        <f t="array" ref="D2349">IFERROR(_xlfn.XLOOKUP(B2349,Personal!$A:$A,Personal!$C:$C,""),"")</f>
        <v>0</v>
      </c>
      <c r="E2349" s="9" t="str" cm="1">
        <f t="array" ref="E2349">IFERROR(_xlfn.XLOOKUP(D2349,Locales!$A:$A,Locales!$B:$B,""),"")</f>
        <v/>
      </c>
      <c r="F2349" s="9" cm="1">
        <f t="array" ref="F2349">IFERROR(_xlfn.XLOOKUP(B2349,Personal!$A:$A,Personal!$F:$F,""),"")</f>
        <v>0</v>
      </c>
      <c r="I2349" s="10" cm="1">
        <f t="array" ref="I2349">IFERROR(INDEX(Precios!$D:$F,MATCH(N2349, Precios!$G:$G, 0),CHOOSE(MATCH(H2349, {"SML";"XL";"XXL"}, 0), 1, 2, 3)), 0)</f>
        <v>0</v>
      </c>
      <c r="K2349" s="10">
        <f t="shared" si="80"/>
        <v>0</v>
      </c>
      <c r="N2349" s="9" t="str">
        <f t="shared" si="81"/>
        <v/>
      </c>
      <c r="O2349" s="9" t="str">
        <f>IF(N2349="","",IF(COUNTIF(Precios!$G:$G,N2349)=0,"⚠ No coincide con Precios","OK"))</f>
        <v/>
      </c>
    </row>
    <row r="2350" spans="3:15" x14ac:dyDescent="0.2">
      <c r="C2350" s="9" cm="1">
        <f t="array" ref="C2350">IFERROR(_xlfn.XLOOKUP(B2350,Personal!$A:$A,Personal!$D:$D,""),"")</f>
        <v>0</v>
      </c>
      <c r="D2350" s="9" cm="1">
        <f t="array" ref="D2350">IFERROR(_xlfn.XLOOKUP(B2350,Personal!$A:$A,Personal!$C:$C,""),"")</f>
        <v>0</v>
      </c>
      <c r="E2350" s="9" t="str" cm="1">
        <f t="array" ref="E2350">IFERROR(_xlfn.XLOOKUP(D2350,Locales!$A:$A,Locales!$B:$B,""),"")</f>
        <v/>
      </c>
      <c r="F2350" s="9" cm="1">
        <f t="array" ref="F2350">IFERROR(_xlfn.XLOOKUP(B2350,Personal!$A:$A,Personal!$F:$F,""),"")</f>
        <v>0</v>
      </c>
      <c r="I2350" s="10" cm="1">
        <f t="array" ref="I2350">IFERROR(INDEX(Precios!$D:$F,MATCH(N2350, Precios!$G:$G, 0),CHOOSE(MATCH(H2350, {"SML";"XL";"XXL"}, 0), 1, 2, 3)), 0)</f>
        <v>0</v>
      </c>
      <c r="K2350" s="10">
        <f t="shared" si="80"/>
        <v>0</v>
      </c>
      <c r="N2350" s="9" t="str">
        <f t="shared" si="81"/>
        <v/>
      </c>
      <c r="O2350" s="9" t="str">
        <f>IF(N2350="","",IF(COUNTIF(Precios!$G:$G,N2350)=0,"⚠ No coincide con Precios","OK"))</f>
        <v/>
      </c>
    </row>
    <row r="2351" spans="3:15" x14ac:dyDescent="0.2">
      <c r="C2351" s="9" cm="1">
        <f t="array" ref="C2351">IFERROR(_xlfn.XLOOKUP(B2351,Personal!$A:$A,Personal!$D:$D,""),"")</f>
        <v>0</v>
      </c>
      <c r="D2351" s="9" cm="1">
        <f t="array" ref="D2351">IFERROR(_xlfn.XLOOKUP(B2351,Personal!$A:$A,Personal!$C:$C,""),"")</f>
        <v>0</v>
      </c>
      <c r="E2351" s="9" t="str" cm="1">
        <f t="array" ref="E2351">IFERROR(_xlfn.XLOOKUP(D2351,Locales!$A:$A,Locales!$B:$B,""),"")</f>
        <v/>
      </c>
      <c r="F2351" s="9" cm="1">
        <f t="array" ref="F2351">IFERROR(_xlfn.XLOOKUP(B2351,Personal!$A:$A,Personal!$F:$F,""),"")</f>
        <v>0</v>
      </c>
      <c r="I2351" s="10" cm="1">
        <f t="array" ref="I2351">IFERROR(INDEX(Precios!$D:$F,MATCH(N2351, Precios!$G:$G, 0),CHOOSE(MATCH(H2351, {"SML";"XL";"XXL"}, 0), 1, 2, 3)), 0)</f>
        <v>0</v>
      </c>
      <c r="K2351" s="10">
        <f t="shared" si="80"/>
        <v>0</v>
      </c>
      <c r="N2351" s="9" t="str">
        <f t="shared" si="81"/>
        <v/>
      </c>
      <c r="O2351" s="9" t="str">
        <f>IF(N2351="","",IF(COUNTIF(Precios!$G:$G,N2351)=0,"⚠ No coincide con Precios","OK"))</f>
        <v/>
      </c>
    </row>
    <row r="2352" spans="3:15" x14ac:dyDescent="0.2">
      <c r="C2352" s="9" cm="1">
        <f t="array" ref="C2352">IFERROR(_xlfn.XLOOKUP(B2352,Personal!$A:$A,Personal!$D:$D,""),"")</f>
        <v>0</v>
      </c>
      <c r="D2352" s="9" cm="1">
        <f t="array" ref="D2352">IFERROR(_xlfn.XLOOKUP(B2352,Personal!$A:$A,Personal!$C:$C,""),"")</f>
        <v>0</v>
      </c>
      <c r="E2352" s="9" t="str" cm="1">
        <f t="array" ref="E2352">IFERROR(_xlfn.XLOOKUP(D2352,Locales!$A:$A,Locales!$B:$B,""),"")</f>
        <v/>
      </c>
      <c r="F2352" s="9" cm="1">
        <f t="array" ref="F2352">IFERROR(_xlfn.XLOOKUP(B2352,Personal!$A:$A,Personal!$F:$F,""),"")</f>
        <v>0</v>
      </c>
      <c r="I2352" s="10" cm="1">
        <f t="array" ref="I2352">IFERROR(INDEX(Precios!$D:$F,MATCH(N2352, Precios!$G:$G, 0),CHOOSE(MATCH(H2352, {"SML";"XL";"XXL"}, 0), 1, 2, 3)), 0)</f>
        <v>0</v>
      </c>
      <c r="K2352" s="10">
        <f t="shared" si="80"/>
        <v>0</v>
      </c>
      <c r="N2352" s="9" t="str">
        <f t="shared" si="81"/>
        <v/>
      </c>
      <c r="O2352" s="9" t="str">
        <f>IF(N2352="","",IF(COUNTIF(Precios!$G:$G,N2352)=0,"⚠ No coincide con Precios","OK"))</f>
        <v/>
      </c>
    </row>
    <row r="2353" spans="3:15" x14ac:dyDescent="0.2">
      <c r="C2353" s="9" cm="1">
        <f t="array" ref="C2353">IFERROR(_xlfn.XLOOKUP(B2353,Personal!$A:$A,Personal!$D:$D,""),"")</f>
        <v>0</v>
      </c>
      <c r="D2353" s="9" cm="1">
        <f t="array" ref="D2353">IFERROR(_xlfn.XLOOKUP(B2353,Personal!$A:$A,Personal!$C:$C,""),"")</f>
        <v>0</v>
      </c>
      <c r="E2353" s="9" t="str" cm="1">
        <f t="array" ref="E2353">IFERROR(_xlfn.XLOOKUP(D2353,Locales!$A:$A,Locales!$B:$B,""),"")</f>
        <v/>
      </c>
      <c r="F2353" s="9" cm="1">
        <f t="array" ref="F2353">IFERROR(_xlfn.XLOOKUP(B2353,Personal!$A:$A,Personal!$F:$F,""),"")</f>
        <v>0</v>
      </c>
      <c r="I2353" s="10" cm="1">
        <f t="array" ref="I2353">IFERROR(INDEX(Precios!$D:$F,MATCH(N2353, Precios!$G:$G, 0),CHOOSE(MATCH(H2353, {"SML";"XL";"XXL"}, 0), 1, 2, 3)), 0)</f>
        <v>0</v>
      </c>
      <c r="K2353" s="10">
        <f t="shared" si="80"/>
        <v>0</v>
      </c>
      <c r="N2353" s="9" t="str">
        <f t="shared" si="81"/>
        <v/>
      </c>
      <c r="O2353" s="9" t="str">
        <f>IF(N2353="","",IF(COUNTIF(Precios!$G:$G,N2353)=0,"⚠ No coincide con Precios","OK"))</f>
        <v/>
      </c>
    </row>
    <row r="2354" spans="3:15" x14ac:dyDescent="0.2">
      <c r="C2354" s="9" cm="1">
        <f t="array" ref="C2354">IFERROR(_xlfn.XLOOKUP(B2354,Personal!$A:$A,Personal!$D:$D,""),"")</f>
        <v>0</v>
      </c>
      <c r="D2354" s="9" cm="1">
        <f t="array" ref="D2354">IFERROR(_xlfn.XLOOKUP(B2354,Personal!$A:$A,Personal!$C:$C,""),"")</f>
        <v>0</v>
      </c>
      <c r="E2354" s="9" t="str" cm="1">
        <f t="array" ref="E2354">IFERROR(_xlfn.XLOOKUP(D2354,Locales!$A:$A,Locales!$B:$B,""),"")</f>
        <v/>
      </c>
      <c r="F2354" s="9" cm="1">
        <f t="array" ref="F2354">IFERROR(_xlfn.XLOOKUP(B2354,Personal!$A:$A,Personal!$F:$F,""),"")</f>
        <v>0</v>
      </c>
      <c r="I2354" s="10" cm="1">
        <f t="array" ref="I2354">IFERROR(INDEX(Precios!$D:$F,MATCH(N2354, Precios!$G:$G, 0),CHOOSE(MATCH(H2354, {"SML";"XL";"XXL"}, 0), 1, 2, 3)), 0)</f>
        <v>0</v>
      </c>
      <c r="K2354" s="10">
        <f t="shared" si="80"/>
        <v>0</v>
      </c>
      <c r="N2354" s="9" t="str">
        <f t="shared" si="81"/>
        <v/>
      </c>
      <c r="O2354" s="9" t="str">
        <f>IF(N2354="","",IF(COUNTIF(Precios!$G:$G,N2354)=0,"⚠ No coincide con Precios","OK"))</f>
        <v/>
      </c>
    </row>
    <row r="2355" spans="3:15" x14ac:dyDescent="0.2">
      <c r="C2355" s="9" cm="1">
        <f t="array" ref="C2355">IFERROR(_xlfn.XLOOKUP(B2355,Personal!$A:$A,Personal!$D:$D,""),"")</f>
        <v>0</v>
      </c>
      <c r="D2355" s="9" cm="1">
        <f t="array" ref="D2355">IFERROR(_xlfn.XLOOKUP(B2355,Personal!$A:$A,Personal!$C:$C,""),"")</f>
        <v>0</v>
      </c>
      <c r="E2355" s="9" t="str" cm="1">
        <f t="array" ref="E2355">IFERROR(_xlfn.XLOOKUP(D2355,Locales!$A:$A,Locales!$B:$B,""),"")</f>
        <v/>
      </c>
      <c r="F2355" s="9" cm="1">
        <f t="array" ref="F2355">IFERROR(_xlfn.XLOOKUP(B2355,Personal!$A:$A,Personal!$F:$F,""),"")</f>
        <v>0</v>
      </c>
      <c r="I2355" s="10" cm="1">
        <f t="array" ref="I2355">IFERROR(INDEX(Precios!$D:$F,MATCH(N2355, Precios!$G:$G, 0),CHOOSE(MATCH(H2355, {"SML";"XL";"XXL"}, 0), 1, 2, 3)), 0)</f>
        <v>0</v>
      </c>
      <c r="K2355" s="10">
        <f t="shared" si="80"/>
        <v>0</v>
      </c>
      <c r="N2355" s="9" t="str">
        <f t="shared" si="81"/>
        <v/>
      </c>
      <c r="O2355" s="9" t="str">
        <f>IF(N2355="","",IF(COUNTIF(Precios!$G:$G,N2355)=0,"⚠ No coincide con Precios","OK"))</f>
        <v/>
      </c>
    </row>
    <row r="2356" spans="3:15" x14ac:dyDescent="0.2">
      <c r="C2356" s="9" cm="1">
        <f t="array" ref="C2356">IFERROR(_xlfn.XLOOKUP(B2356,Personal!$A:$A,Personal!$D:$D,""),"")</f>
        <v>0</v>
      </c>
      <c r="D2356" s="9" cm="1">
        <f t="array" ref="D2356">IFERROR(_xlfn.XLOOKUP(B2356,Personal!$A:$A,Personal!$C:$C,""),"")</f>
        <v>0</v>
      </c>
      <c r="E2356" s="9" t="str" cm="1">
        <f t="array" ref="E2356">IFERROR(_xlfn.XLOOKUP(D2356,Locales!$A:$A,Locales!$B:$B,""),"")</f>
        <v/>
      </c>
      <c r="F2356" s="9" cm="1">
        <f t="array" ref="F2356">IFERROR(_xlfn.XLOOKUP(B2356,Personal!$A:$A,Personal!$F:$F,""),"")</f>
        <v>0</v>
      </c>
      <c r="I2356" s="10" cm="1">
        <f t="array" ref="I2356">IFERROR(INDEX(Precios!$D:$F,MATCH(N2356, Precios!$G:$G, 0),CHOOSE(MATCH(H2356, {"SML";"XL";"XXL"}, 0), 1, 2, 3)), 0)</f>
        <v>0</v>
      </c>
      <c r="K2356" s="10">
        <f t="shared" si="80"/>
        <v>0</v>
      </c>
      <c r="N2356" s="9" t="str">
        <f t="shared" si="81"/>
        <v/>
      </c>
      <c r="O2356" s="9" t="str">
        <f>IF(N2356="","",IF(COUNTIF(Precios!$G:$G,N2356)=0,"⚠ No coincide con Precios","OK"))</f>
        <v/>
      </c>
    </row>
    <row r="2357" spans="3:15" x14ac:dyDescent="0.2">
      <c r="C2357" s="9" cm="1">
        <f t="array" ref="C2357">IFERROR(_xlfn.XLOOKUP(B2357,Personal!$A:$A,Personal!$D:$D,""),"")</f>
        <v>0</v>
      </c>
      <c r="D2357" s="9" cm="1">
        <f t="array" ref="D2357">IFERROR(_xlfn.XLOOKUP(B2357,Personal!$A:$A,Personal!$C:$C,""),"")</f>
        <v>0</v>
      </c>
      <c r="E2357" s="9" t="str" cm="1">
        <f t="array" ref="E2357">IFERROR(_xlfn.XLOOKUP(D2357,Locales!$A:$A,Locales!$B:$B,""),"")</f>
        <v/>
      </c>
      <c r="F2357" s="9" cm="1">
        <f t="array" ref="F2357">IFERROR(_xlfn.XLOOKUP(B2357,Personal!$A:$A,Personal!$F:$F,""),"")</f>
        <v>0</v>
      </c>
      <c r="I2357" s="10" cm="1">
        <f t="array" ref="I2357">IFERROR(INDEX(Precios!$D:$F,MATCH(N2357, Precios!$G:$G, 0),CHOOSE(MATCH(H2357, {"SML";"XL";"XXL"}, 0), 1, 2, 3)), 0)</f>
        <v>0</v>
      </c>
      <c r="K2357" s="10">
        <f t="shared" si="80"/>
        <v>0</v>
      </c>
      <c r="N2357" s="9" t="str">
        <f t="shared" si="81"/>
        <v/>
      </c>
      <c r="O2357" s="9" t="str">
        <f>IF(N2357="","",IF(COUNTIF(Precios!$G:$G,N2357)=0,"⚠ No coincide con Precios","OK"))</f>
        <v/>
      </c>
    </row>
    <row r="2358" spans="3:15" x14ac:dyDescent="0.2">
      <c r="C2358" s="9" cm="1">
        <f t="array" ref="C2358">IFERROR(_xlfn.XLOOKUP(B2358,Personal!$A:$A,Personal!$D:$D,""),"")</f>
        <v>0</v>
      </c>
      <c r="D2358" s="9" cm="1">
        <f t="array" ref="D2358">IFERROR(_xlfn.XLOOKUP(B2358,Personal!$A:$A,Personal!$C:$C,""),"")</f>
        <v>0</v>
      </c>
      <c r="E2358" s="9" t="str" cm="1">
        <f t="array" ref="E2358">IFERROR(_xlfn.XLOOKUP(D2358,Locales!$A:$A,Locales!$B:$B,""),"")</f>
        <v/>
      </c>
      <c r="F2358" s="9" cm="1">
        <f t="array" ref="F2358">IFERROR(_xlfn.XLOOKUP(B2358,Personal!$A:$A,Personal!$F:$F,""),"")</f>
        <v>0</v>
      </c>
      <c r="I2358" s="10" cm="1">
        <f t="array" ref="I2358">IFERROR(INDEX(Precios!$D:$F,MATCH(N2358, Precios!$G:$G, 0),CHOOSE(MATCH(H2358, {"SML";"XL";"XXL"}, 0), 1, 2, 3)), 0)</f>
        <v>0</v>
      </c>
      <c r="K2358" s="10">
        <f t="shared" si="80"/>
        <v>0</v>
      </c>
      <c r="N2358" s="9" t="str">
        <f t="shared" si="81"/>
        <v/>
      </c>
      <c r="O2358" s="9" t="str">
        <f>IF(N2358="","",IF(COUNTIF(Precios!$G:$G,N2358)=0,"⚠ No coincide con Precios","OK"))</f>
        <v/>
      </c>
    </row>
    <row r="2359" spans="3:15" x14ac:dyDescent="0.2">
      <c r="C2359" s="9" cm="1">
        <f t="array" ref="C2359">IFERROR(_xlfn.XLOOKUP(B2359,Personal!$A:$A,Personal!$D:$D,""),"")</f>
        <v>0</v>
      </c>
      <c r="D2359" s="9" cm="1">
        <f t="array" ref="D2359">IFERROR(_xlfn.XLOOKUP(B2359,Personal!$A:$A,Personal!$C:$C,""),"")</f>
        <v>0</v>
      </c>
      <c r="E2359" s="9" t="str" cm="1">
        <f t="array" ref="E2359">IFERROR(_xlfn.XLOOKUP(D2359,Locales!$A:$A,Locales!$B:$B,""),"")</f>
        <v/>
      </c>
      <c r="F2359" s="9" cm="1">
        <f t="array" ref="F2359">IFERROR(_xlfn.XLOOKUP(B2359,Personal!$A:$A,Personal!$F:$F,""),"")</f>
        <v>0</v>
      </c>
      <c r="I2359" s="10" cm="1">
        <f t="array" ref="I2359">IFERROR(INDEX(Precios!$D:$F,MATCH(N2359, Precios!$G:$G, 0),CHOOSE(MATCH(H2359, {"SML";"XL";"XXL"}, 0), 1, 2, 3)), 0)</f>
        <v>0</v>
      </c>
      <c r="K2359" s="10">
        <f t="shared" si="80"/>
        <v>0</v>
      </c>
      <c r="N2359" s="9" t="str">
        <f t="shared" si="81"/>
        <v/>
      </c>
      <c r="O2359" s="9" t="str">
        <f>IF(N2359="","",IF(COUNTIF(Precios!$G:$G,N2359)=0,"⚠ No coincide con Precios","OK"))</f>
        <v/>
      </c>
    </row>
    <row r="2360" spans="3:15" x14ac:dyDescent="0.2">
      <c r="C2360" s="9" cm="1">
        <f t="array" ref="C2360">IFERROR(_xlfn.XLOOKUP(B2360,Personal!$A:$A,Personal!$D:$D,""),"")</f>
        <v>0</v>
      </c>
      <c r="D2360" s="9" cm="1">
        <f t="array" ref="D2360">IFERROR(_xlfn.XLOOKUP(B2360,Personal!$A:$A,Personal!$C:$C,""),"")</f>
        <v>0</v>
      </c>
      <c r="E2360" s="9" t="str" cm="1">
        <f t="array" ref="E2360">IFERROR(_xlfn.XLOOKUP(D2360,Locales!$A:$A,Locales!$B:$B,""),"")</f>
        <v/>
      </c>
      <c r="F2360" s="9" cm="1">
        <f t="array" ref="F2360">IFERROR(_xlfn.XLOOKUP(B2360,Personal!$A:$A,Personal!$F:$F,""),"")</f>
        <v>0</v>
      </c>
      <c r="I2360" s="10" cm="1">
        <f t="array" ref="I2360">IFERROR(INDEX(Precios!$D:$F,MATCH(N2360, Precios!$G:$G, 0),CHOOSE(MATCH(H2360, {"SML";"XL";"XXL"}, 0), 1, 2, 3)), 0)</f>
        <v>0</v>
      </c>
      <c r="K2360" s="10">
        <f t="shared" si="80"/>
        <v>0</v>
      </c>
      <c r="N2360" s="9" t="str">
        <f t="shared" si="81"/>
        <v/>
      </c>
      <c r="O2360" s="9" t="str">
        <f>IF(N2360="","",IF(COUNTIF(Precios!$G:$G,N2360)=0,"⚠ No coincide con Precios","OK"))</f>
        <v/>
      </c>
    </row>
    <row r="2361" spans="3:15" x14ac:dyDescent="0.2">
      <c r="C2361" s="9" cm="1">
        <f t="array" ref="C2361">IFERROR(_xlfn.XLOOKUP(B2361,Personal!$A:$A,Personal!$D:$D,""),"")</f>
        <v>0</v>
      </c>
      <c r="D2361" s="9" cm="1">
        <f t="array" ref="D2361">IFERROR(_xlfn.XLOOKUP(B2361,Personal!$A:$A,Personal!$C:$C,""),"")</f>
        <v>0</v>
      </c>
      <c r="E2361" s="9" t="str" cm="1">
        <f t="array" ref="E2361">IFERROR(_xlfn.XLOOKUP(D2361,Locales!$A:$A,Locales!$B:$B,""),"")</f>
        <v/>
      </c>
      <c r="F2361" s="9" cm="1">
        <f t="array" ref="F2361">IFERROR(_xlfn.XLOOKUP(B2361,Personal!$A:$A,Personal!$F:$F,""),"")</f>
        <v>0</v>
      </c>
      <c r="I2361" s="10" cm="1">
        <f t="array" ref="I2361">IFERROR(INDEX(Precios!$D:$F,MATCH(N2361, Precios!$G:$G, 0),CHOOSE(MATCH(H2361, {"SML";"XL";"XXL"}, 0), 1, 2, 3)), 0)</f>
        <v>0</v>
      </c>
      <c r="K2361" s="10">
        <f t="shared" si="80"/>
        <v>0</v>
      </c>
      <c r="N2361" s="9" t="str">
        <f t="shared" si="81"/>
        <v/>
      </c>
      <c r="O2361" s="9" t="str">
        <f>IF(N2361="","",IF(COUNTIF(Precios!$G:$G,N2361)=0,"⚠ No coincide con Precios","OK"))</f>
        <v/>
      </c>
    </row>
    <row r="2362" spans="3:15" x14ac:dyDescent="0.2">
      <c r="C2362" s="9" cm="1">
        <f t="array" ref="C2362">IFERROR(_xlfn.XLOOKUP(B2362,Personal!$A:$A,Personal!$D:$D,""),"")</f>
        <v>0</v>
      </c>
      <c r="D2362" s="9" cm="1">
        <f t="array" ref="D2362">IFERROR(_xlfn.XLOOKUP(B2362,Personal!$A:$A,Personal!$C:$C,""),"")</f>
        <v>0</v>
      </c>
      <c r="E2362" s="9" t="str" cm="1">
        <f t="array" ref="E2362">IFERROR(_xlfn.XLOOKUP(D2362,Locales!$A:$A,Locales!$B:$B,""),"")</f>
        <v/>
      </c>
      <c r="F2362" s="9" cm="1">
        <f t="array" ref="F2362">IFERROR(_xlfn.XLOOKUP(B2362,Personal!$A:$A,Personal!$F:$F,""),"")</f>
        <v>0</v>
      </c>
      <c r="I2362" s="10" cm="1">
        <f t="array" ref="I2362">IFERROR(INDEX(Precios!$D:$F,MATCH(N2362, Precios!$G:$G, 0),CHOOSE(MATCH(H2362, {"SML";"XL";"XXL"}, 0), 1, 2, 3)), 0)</f>
        <v>0</v>
      </c>
      <c r="K2362" s="10">
        <f t="shared" si="80"/>
        <v>0</v>
      </c>
      <c r="N2362" s="9" t="str">
        <f t="shared" si="81"/>
        <v/>
      </c>
      <c r="O2362" s="9" t="str">
        <f>IF(N2362="","",IF(COUNTIF(Precios!$G:$G,N2362)=0,"⚠ No coincide con Precios","OK"))</f>
        <v/>
      </c>
    </row>
    <row r="2363" spans="3:15" x14ac:dyDescent="0.2">
      <c r="C2363" s="9" cm="1">
        <f t="array" ref="C2363">IFERROR(_xlfn.XLOOKUP(B2363,Personal!$A:$A,Personal!$D:$D,""),"")</f>
        <v>0</v>
      </c>
      <c r="D2363" s="9" cm="1">
        <f t="array" ref="D2363">IFERROR(_xlfn.XLOOKUP(B2363,Personal!$A:$A,Personal!$C:$C,""),"")</f>
        <v>0</v>
      </c>
      <c r="E2363" s="9" t="str" cm="1">
        <f t="array" ref="E2363">IFERROR(_xlfn.XLOOKUP(D2363,Locales!$A:$A,Locales!$B:$B,""),"")</f>
        <v/>
      </c>
      <c r="F2363" s="9" cm="1">
        <f t="array" ref="F2363">IFERROR(_xlfn.XLOOKUP(B2363,Personal!$A:$A,Personal!$F:$F,""),"")</f>
        <v>0</v>
      </c>
      <c r="I2363" s="10" cm="1">
        <f t="array" ref="I2363">IFERROR(INDEX(Precios!$D:$F,MATCH(N2363, Precios!$G:$G, 0),CHOOSE(MATCH(H2363, {"SML";"XL";"XXL"}, 0), 1, 2, 3)), 0)</f>
        <v>0</v>
      </c>
      <c r="K2363" s="10">
        <f t="shared" si="80"/>
        <v>0</v>
      </c>
      <c r="N2363" s="9" t="str">
        <f t="shared" si="81"/>
        <v/>
      </c>
      <c r="O2363" s="9" t="str">
        <f>IF(N2363="","",IF(COUNTIF(Precios!$G:$G,N2363)=0,"⚠ No coincide con Precios","OK"))</f>
        <v/>
      </c>
    </row>
    <row r="2364" spans="3:15" x14ac:dyDescent="0.2">
      <c r="C2364" s="9" cm="1">
        <f t="array" ref="C2364">IFERROR(_xlfn.XLOOKUP(B2364,Personal!$A:$A,Personal!$D:$D,""),"")</f>
        <v>0</v>
      </c>
      <c r="D2364" s="9" cm="1">
        <f t="array" ref="D2364">IFERROR(_xlfn.XLOOKUP(B2364,Personal!$A:$A,Personal!$C:$C,""),"")</f>
        <v>0</v>
      </c>
      <c r="E2364" s="9" t="str" cm="1">
        <f t="array" ref="E2364">IFERROR(_xlfn.XLOOKUP(D2364,Locales!$A:$A,Locales!$B:$B,""),"")</f>
        <v/>
      </c>
      <c r="F2364" s="9" cm="1">
        <f t="array" ref="F2364">IFERROR(_xlfn.XLOOKUP(B2364,Personal!$A:$A,Personal!$F:$F,""),"")</f>
        <v>0</v>
      </c>
      <c r="I2364" s="10" cm="1">
        <f t="array" ref="I2364">IFERROR(INDEX(Precios!$D:$F,MATCH(N2364, Precios!$G:$G, 0),CHOOSE(MATCH(H2364, {"SML";"XL";"XXL"}, 0), 1, 2, 3)), 0)</f>
        <v>0</v>
      </c>
      <c r="K2364" s="10">
        <f t="shared" si="80"/>
        <v>0</v>
      </c>
      <c r="N2364" s="9" t="str">
        <f t="shared" si="81"/>
        <v/>
      </c>
      <c r="O2364" s="9" t="str">
        <f>IF(N2364="","",IF(COUNTIF(Precios!$G:$G,N2364)=0,"⚠ No coincide con Precios","OK"))</f>
        <v/>
      </c>
    </row>
    <row r="2365" spans="3:15" x14ac:dyDescent="0.2">
      <c r="C2365" s="9" cm="1">
        <f t="array" ref="C2365">IFERROR(_xlfn.XLOOKUP(B2365,Personal!$A:$A,Personal!$D:$D,""),"")</f>
        <v>0</v>
      </c>
      <c r="D2365" s="9" cm="1">
        <f t="array" ref="D2365">IFERROR(_xlfn.XLOOKUP(B2365,Personal!$A:$A,Personal!$C:$C,""),"")</f>
        <v>0</v>
      </c>
      <c r="E2365" s="9" t="str" cm="1">
        <f t="array" ref="E2365">IFERROR(_xlfn.XLOOKUP(D2365,Locales!$A:$A,Locales!$B:$B,""),"")</f>
        <v/>
      </c>
      <c r="F2365" s="9" cm="1">
        <f t="array" ref="F2365">IFERROR(_xlfn.XLOOKUP(B2365,Personal!$A:$A,Personal!$F:$F,""),"")</f>
        <v>0</v>
      </c>
      <c r="I2365" s="10" cm="1">
        <f t="array" ref="I2365">IFERROR(INDEX(Precios!$D:$F,MATCH(N2365, Precios!$G:$G, 0),CHOOSE(MATCH(H2365, {"SML";"XL";"XXL"}, 0), 1, 2, 3)), 0)</f>
        <v>0</v>
      </c>
      <c r="K2365" s="10">
        <f t="shared" si="80"/>
        <v>0</v>
      </c>
      <c r="N2365" s="9" t="str">
        <f t="shared" si="81"/>
        <v/>
      </c>
      <c r="O2365" s="9" t="str">
        <f>IF(N2365="","",IF(COUNTIF(Precios!$G:$G,N2365)=0,"⚠ No coincide con Precios","OK"))</f>
        <v/>
      </c>
    </row>
    <row r="2366" spans="3:15" x14ac:dyDescent="0.2">
      <c r="C2366" s="9" cm="1">
        <f t="array" ref="C2366">IFERROR(_xlfn.XLOOKUP(B2366,Personal!$A:$A,Personal!$D:$D,""),"")</f>
        <v>0</v>
      </c>
      <c r="D2366" s="9" cm="1">
        <f t="array" ref="D2366">IFERROR(_xlfn.XLOOKUP(B2366,Personal!$A:$A,Personal!$C:$C,""),"")</f>
        <v>0</v>
      </c>
      <c r="E2366" s="9" t="str" cm="1">
        <f t="array" ref="E2366">IFERROR(_xlfn.XLOOKUP(D2366,Locales!$A:$A,Locales!$B:$B,""),"")</f>
        <v/>
      </c>
      <c r="F2366" s="9" cm="1">
        <f t="array" ref="F2366">IFERROR(_xlfn.XLOOKUP(B2366,Personal!$A:$A,Personal!$F:$F,""),"")</f>
        <v>0</v>
      </c>
      <c r="I2366" s="10" cm="1">
        <f t="array" ref="I2366">IFERROR(INDEX(Precios!$D:$F,MATCH(N2366, Precios!$G:$G, 0),CHOOSE(MATCH(H2366, {"SML";"XL";"XXL"}, 0), 1, 2, 3)), 0)</f>
        <v>0</v>
      </c>
      <c r="K2366" s="10">
        <f t="shared" si="80"/>
        <v>0</v>
      </c>
      <c r="N2366" s="9" t="str">
        <f t="shared" si="81"/>
        <v/>
      </c>
      <c r="O2366" s="9" t="str">
        <f>IF(N2366="","",IF(COUNTIF(Precios!$G:$G,N2366)=0,"⚠ No coincide con Precios","OK"))</f>
        <v/>
      </c>
    </row>
    <row r="2367" spans="3:15" x14ac:dyDescent="0.2">
      <c r="C2367" s="9" cm="1">
        <f t="array" ref="C2367">IFERROR(_xlfn.XLOOKUP(B2367,Personal!$A:$A,Personal!$D:$D,""),"")</f>
        <v>0</v>
      </c>
      <c r="D2367" s="9" cm="1">
        <f t="array" ref="D2367">IFERROR(_xlfn.XLOOKUP(B2367,Personal!$A:$A,Personal!$C:$C,""),"")</f>
        <v>0</v>
      </c>
      <c r="E2367" s="9" t="str" cm="1">
        <f t="array" ref="E2367">IFERROR(_xlfn.XLOOKUP(D2367,Locales!$A:$A,Locales!$B:$B,""),"")</f>
        <v/>
      </c>
      <c r="F2367" s="9" cm="1">
        <f t="array" ref="F2367">IFERROR(_xlfn.XLOOKUP(B2367,Personal!$A:$A,Personal!$F:$F,""),"")</f>
        <v>0</v>
      </c>
      <c r="I2367" s="10" cm="1">
        <f t="array" ref="I2367">IFERROR(INDEX(Precios!$D:$F,MATCH(N2367, Precios!$G:$G, 0),CHOOSE(MATCH(H2367, {"SML";"XL";"XXL"}, 0), 1, 2, 3)), 0)</f>
        <v>0</v>
      </c>
      <c r="K2367" s="10">
        <f t="shared" si="80"/>
        <v>0</v>
      </c>
      <c r="N2367" s="9" t="str">
        <f t="shared" si="81"/>
        <v/>
      </c>
      <c r="O2367" s="9" t="str">
        <f>IF(N2367="","",IF(COUNTIF(Precios!$G:$G,N2367)=0,"⚠ No coincide con Precios","OK"))</f>
        <v/>
      </c>
    </row>
    <row r="2368" spans="3:15" x14ac:dyDescent="0.2">
      <c r="C2368" s="9" cm="1">
        <f t="array" ref="C2368">IFERROR(_xlfn.XLOOKUP(B2368,Personal!$A:$A,Personal!$D:$D,""),"")</f>
        <v>0</v>
      </c>
      <c r="D2368" s="9" cm="1">
        <f t="array" ref="D2368">IFERROR(_xlfn.XLOOKUP(B2368,Personal!$A:$A,Personal!$C:$C,""),"")</f>
        <v>0</v>
      </c>
      <c r="E2368" s="9" t="str" cm="1">
        <f t="array" ref="E2368">IFERROR(_xlfn.XLOOKUP(D2368,Locales!$A:$A,Locales!$B:$B,""),"")</f>
        <v/>
      </c>
      <c r="F2368" s="9" cm="1">
        <f t="array" ref="F2368">IFERROR(_xlfn.XLOOKUP(B2368,Personal!$A:$A,Personal!$F:$F,""),"")</f>
        <v>0</v>
      </c>
      <c r="I2368" s="10" cm="1">
        <f t="array" ref="I2368">IFERROR(INDEX(Precios!$D:$F,MATCH(N2368, Precios!$G:$G, 0),CHOOSE(MATCH(H2368, {"SML";"XL";"XXL"}, 0), 1, 2, 3)), 0)</f>
        <v>0</v>
      </c>
      <c r="K2368" s="10">
        <f t="shared" ref="K2368:K2431" si="82">IFERROR(I2368*J2368,0)</f>
        <v>0</v>
      </c>
      <c r="N2368" s="9" t="str">
        <f t="shared" ref="N2368:N2431" si="83">IF( OR(E2368="",F2368="",G2368=""), "",CLEAN(TRIM(E2368)) &amp; "|" &amp; CLEAN(TRIM(F2368)) &amp; "|" &amp; CLEAN(TRIM(G2368)))</f>
        <v/>
      </c>
      <c r="O2368" s="9" t="str">
        <f>IF(N2368="","",IF(COUNTIF(Precios!$G:$G,N2368)=0,"⚠ No coincide con Precios","OK"))</f>
        <v/>
      </c>
    </row>
    <row r="2369" spans="3:15" x14ac:dyDescent="0.2">
      <c r="C2369" s="9" cm="1">
        <f t="array" ref="C2369">IFERROR(_xlfn.XLOOKUP(B2369,Personal!$A:$A,Personal!$D:$D,""),"")</f>
        <v>0</v>
      </c>
      <c r="D2369" s="9" cm="1">
        <f t="array" ref="D2369">IFERROR(_xlfn.XLOOKUP(B2369,Personal!$A:$A,Personal!$C:$C,""),"")</f>
        <v>0</v>
      </c>
      <c r="E2369" s="9" t="str" cm="1">
        <f t="array" ref="E2369">IFERROR(_xlfn.XLOOKUP(D2369,Locales!$A:$A,Locales!$B:$B,""),"")</f>
        <v/>
      </c>
      <c r="F2369" s="9" cm="1">
        <f t="array" ref="F2369">IFERROR(_xlfn.XLOOKUP(B2369,Personal!$A:$A,Personal!$F:$F,""),"")</f>
        <v>0</v>
      </c>
      <c r="I2369" s="10" cm="1">
        <f t="array" ref="I2369">IFERROR(INDEX(Precios!$D:$F,MATCH(N2369, Precios!$G:$G, 0),CHOOSE(MATCH(H2369, {"SML";"XL";"XXL"}, 0), 1, 2, 3)), 0)</f>
        <v>0</v>
      </c>
      <c r="K2369" s="10">
        <f t="shared" si="82"/>
        <v>0</v>
      </c>
      <c r="N2369" s="9" t="str">
        <f t="shared" si="83"/>
        <v/>
      </c>
      <c r="O2369" s="9" t="str">
        <f>IF(N2369="","",IF(COUNTIF(Precios!$G:$G,N2369)=0,"⚠ No coincide con Precios","OK"))</f>
        <v/>
      </c>
    </row>
    <row r="2370" spans="3:15" x14ac:dyDescent="0.2">
      <c r="C2370" s="9" cm="1">
        <f t="array" ref="C2370">IFERROR(_xlfn.XLOOKUP(B2370,Personal!$A:$A,Personal!$D:$D,""),"")</f>
        <v>0</v>
      </c>
      <c r="D2370" s="9" cm="1">
        <f t="array" ref="D2370">IFERROR(_xlfn.XLOOKUP(B2370,Personal!$A:$A,Personal!$C:$C,""),"")</f>
        <v>0</v>
      </c>
      <c r="E2370" s="9" t="str" cm="1">
        <f t="array" ref="E2370">IFERROR(_xlfn.XLOOKUP(D2370,Locales!$A:$A,Locales!$B:$B,""),"")</f>
        <v/>
      </c>
      <c r="F2370" s="9" cm="1">
        <f t="array" ref="F2370">IFERROR(_xlfn.XLOOKUP(B2370,Personal!$A:$A,Personal!$F:$F,""),"")</f>
        <v>0</v>
      </c>
      <c r="I2370" s="10" cm="1">
        <f t="array" ref="I2370">IFERROR(INDEX(Precios!$D:$F,MATCH(N2370, Precios!$G:$G, 0),CHOOSE(MATCH(H2370, {"SML";"XL";"XXL"}, 0), 1, 2, 3)), 0)</f>
        <v>0</v>
      </c>
      <c r="K2370" s="10">
        <f t="shared" si="82"/>
        <v>0</v>
      </c>
      <c r="N2370" s="9" t="str">
        <f t="shared" si="83"/>
        <v/>
      </c>
      <c r="O2370" s="9" t="str">
        <f>IF(N2370="","",IF(COUNTIF(Precios!$G:$G,N2370)=0,"⚠ No coincide con Precios","OK"))</f>
        <v/>
      </c>
    </row>
    <row r="2371" spans="3:15" x14ac:dyDescent="0.2">
      <c r="C2371" s="9" cm="1">
        <f t="array" ref="C2371">IFERROR(_xlfn.XLOOKUP(B2371,Personal!$A:$A,Personal!$D:$D,""),"")</f>
        <v>0</v>
      </c>
      <c r="D2371" s="9" cm="1">
        <f t="array" ref="D2371">IFERROR(_xlfn.XLOOKUP(B2371,Personal!$A:$A,Personal!$C:$C,""),"")</f>
        <v>0</v>
      </c>
      <c r="E2371" s="9" t="str" cm="1">
        <f t="array" ref="E2371">IFERROR(_xlfn.XLOOKUP(D2371,Locales!$A:$A,Locales!$B:$B,""),"")</f>
        <v/>
      </c>
      <c r="F2371" s="9" cm="1">
        <f t="array" ref="F2371">IFERROR(_xlfn.XLOOKUP(B2371,Personal!$A:$A,Personal!$F:$F,""),"")</f>
        <v>0</v>
      </c>
      <c r="I2371" s="10" cm="1">
        <f t="array" ref="I2371">IFERROR(INDEX(Precios!$D:$F,MATCH(N2371, Precios!$G:$G, 0),CHOOSE(MATCH(H2371, {"SML";"XL";"XXL"}, 0), 1, 2, 3)), 0)</f>
        <v>0</v>
      </c>
      <c r="K2371" s="10">
        <f t="shared" si="82"/>
        <v>0</v>
      </c>
      <c r="N2371" s="9" t="str">
        <f t="shared" si="83"/>
        <v/>
      </c>
      <c r="O2371" s="9" t="str">
        <f>IF(N2371="","",IF(COUNTIF(Precios!$G:$G,N2371)=0,"⚠ No coincide con Precios","OK"))</f>
        <v/>
      </c>
    </row>
    <row r="2372" spans="3:15" x14ac:dyDescent="0.2">
      <c r="C2372" s="9" cm="1">
        <f t="array" ref="C2372">IFERROR(_xlfn.XLOOKUP(B2372,Personal!$A:$A,Personal!$D:$D,""),"")</f>
        <v>0</v>
      </c>
      <c r="D2372" s="9" cm="1">
        <f t="array" ref="D2372">IFERROR(_xlfn.XLOOKUP(B2372,Personal!$A:$A,Personal!$C:$C,""),"")</f>
        <v>0</v>
      </c>
      <c r="E2372" s="9" t="str" cm="1">
        <f t="array" ref="E2372">IFERROR(_xlfn.XLOOKUP(D2372,Locales!$A:$A,Locales!$B:$B,""),"")</f>
        <v/>
      </c>
      <c r="F2372" s="9" cm="1">
        <f t="array" ref="F2372">IFERROR(_xlfn.XLOOKUP(B2372,Personal!$A:$A,Personal!$F:$F,""),"")</f>
        <v>0</v>
      </c>
      <c r="I2372" s="10" cm="1">
        <f t="array" ref="I2372">IFERROR(INDEX(Precios!$D:$F,MATCH(N2372, Precios!$G:$G, 0),CHOOSE(MATCH(H2372, {"SML";"XL";"XXL"}, 0), 1, 2, 3)), 0)</f>
        <v>0</v>
      </c>
      <c r="K2372" s="10">
        <f t="shared" si="82"/>
        <v>0</v>
      </c>
      <c r="N2372" s="9" t="str">
        <f t="shared" si="83"/>
        <v/>
      </c>
      <c r="O2372" s="9" t="str">
        <f>IF(N2372="","",IF(COUNTIF(Precios!$G:$G,N2372)=0,"⚠ No coincide con Precios","OK"))</f>
        <v/>
      </c>
    </row>
    <row r="2373" spans="3:15" x14ac:dyDescent="0.2">
      <c r="C2373" s="9" cm="1">
        <f t="array" ref="C2373">IFERROR(_xlfn.XLOOKUP(B2373,Personal!$A:$A,Personal!$D:$D,""),"")</f>
        <v>0</v>
      </c>
      <c r="D2373" s="9" cm="1">
        <f t="array" ref="D2373">IFERROR(_xlfn.XLOOKUP(B2373,Personal!$A:$A,Personal!$C:$C,""),"")</f>
        <v>0</v>
      </c>
      <c r="E2373" s="9" t="str" cm="1">
        <f t="array" ref="E2373">IFERROR(_xlfn.XLOOKUP(D2373,Locales!$A:$A,Locales!$B:$B,""),"")</f>
        <v/>
      </c>
      <c r="F2373" s="9" cm="1">
        <f t="array" ref="F2373">IFERROR(_xlfn.XLOOKUP(B2373,Personal!$A:$A,Personal!$F:$F,""),"")</f>
        <v>0</v>
      </c>
      <c r="I2373" s="10" cm="1">
        <f t="array" ref="I2373">IFERROR(INDEX(Precios!$D:$F,MATCH(N2373, Precios!$G:$G, 0),CHOOSE(MATCH(H2373, {"SML";"XL";"XXL"}, 0), 1, 2, 3)), 0)</f>
        <v>0</v>
      </c>
      <c r="K2373" s="10">
        <f t="shared" si="82"/>
        <v>0</v>
      </c>
      <c r="N2373" s="9" t="str">
        <f t="shared" si="83"/>
        <v/>
      </c>
      <c r="O2373" s="9" t="str">
        <f>IF(N2373="","",IF(COUNTIF(Precios!$G:$G,N2373)=0,"⚠ No coincide con Precios","OK"))</f>
        <v/>
      </c>
    </row>
    <row r="2374" spans="3:15" x14ac:dyDescent="0.2">
      <c r="C2374" s="9" cm="1">
        <f t="array" ref="C2374">IFERROR(_xlfn.XLOOKUP(B2374,Personal!$A:$A,Personal!$D:$D,""),"")</f>
        <v>0</v>
      </c>
      <c r="D2374" s="9" cm="1">
        <f t="array" ref="D2374">IFERROR(_xlfn.XLOOKUP(B2374,Personal!$A:$A,Personal!$C:$C,""),"")</f>
        <v>0</v>
      </c>
      <c r="E2374" s="9" t="str" cm="1">
        <f t="array" ref="E2374">IFERROR(_xlfn.XLOOKUP(D2374,Locales!$A:$A,Locales!$B:$B,""),"")</f>
        <v/>
      </c>
      <c r="F2374" s="9" cm="1">
        <f t="array" ref="F2374">IFERROR(_xlfn.XLOOKUP(B2374,Personal!$A:$A,Personal!$F:$F,""),"")</f>
        <v>0</v>
      </c>
      <c r="I2374" s="10" cm="1">
        <f t="array" ref="I2374">IFERROR(INDEX(Precios!$D:$F,MATCH(N2374, Precios!$G:$G, 0),CHOOSE(MATCH(H2374, {"SML";"XL";"XXL"}, 0), 1, 2, 3)), 0)</f>
        <v>0</v>
      </c>
      <c r="K2374" s="10">
        <f t="shared" si="82"/>
        <v>0</v>
      </c>
      <c r="N2374" s="9" t="str">
        <f t="shared" si="83"/>
        <v/>
      </c>
      <c r="O2374" s="9" t="str">
        <f>IF(N2374="","",IF(COUNTIF(Precios!$G:$G,N2374)=0,"⚠ No coincide con Precios","OK"))</f>
        <v/>
      </c>
    </row>
    <row r="2375" spans="3:15" x14ac:dyDescent="0.2">
      <c r="C2375" s="9" cm="1">
        <f t="array" ref="C2375">IFERROR(_xlfn.XLOOKUP(B2375,Personal!$A:$A,Personal!$D:$D,""),"")</f>
        <v>0</v>
      </c>
      <c r="D2375" s="9" cm="1">
        <f t="array" ref="D2375">IFERROR(_xlfn.XLOOKUP(B2375,Personal!$A:$A,Personal!$C:$C,""),"")</f>
        <v>0</v>
      </c>
      <c r="E2375" s="9" t="str" cm="1">
        <f t="array" ref="E2375">IFERROR(_xlfn.XLOOKUP(D2375,Locales!$A:$A,Locales!$B:$B,""),"")</f>
        <v/>
      </c>
      <c r="F2375" s="9" cm="1">
        <f t="array" ref="F2375">IFERROR(_xlfn.XLOOKUP(B2375,Personal!$A:$A,Personal!$F:$F,""),"")</f>
        <v>0</v>
      </c>
      <c r="I2375" s="10" cm="1">
        <f t="array" ref="I2375">IFERROR(INDEX(Precios!$D:$F,MATCH(N2375, Precios!$G:$G, 0),CHOOSE(MATCH(H2375, {"SML";"XL";"XXL"}, 0), 1, 2, 3)), 0)</f>
        <v>0</v>
      </c>
      <c r="K2375" s="10">
        <f t="shared" si="82"/>
        <v>0</v>
      </c>
      <c r="N2375" s="9" t="str">
        <f t="shared" si="83"/>
        <v/>
      </c>
      <c r="O2375" s="9" t="str">
        <f>IF(N2375="","",IF(COUNTIF(Precios!$G:$G,N2375)=0,"⚠ No coincide con Precios","OK"))</f>
        <v/>
      </c>
    </row>
    <row r="2376" spans="3:15" x14ac:dyDescent="0.2">
      <c r="C2376" s="9" cm="1">
        <f t="array" ref="C2376">IFERROR(_xlfn.XLOOKUP(B2376,Personal!$A:$A,Personal!$D:$D,""),"")</f>
        <v>0</v>
      </c>
      <c r="D2376" s="9" cm="1">
        <f t="array" ref="D2376">IFERROR(_xlfn.XLOOKUP(B2376,Personal!$A:$A,Personal!$C:$C,""),"")</f>
        <v>0</v>
      </c>
      <c r="E2376" s="9" t="str" cm="1">
        <f t="array" ref="E2376">IFERROR(_xlfn.XLOOKUP(D2376,Locales!$A:$A,Locales!$B:$B,""),"")</f>
        <v/>
      </c>
      <c r="F2376" s="9" cm="1">
        <f t="array" ref="F2376">IFERROR(_xlfn.XLOOKUP(B2376,Personal!$A:$A,Personal!$F:$F,""),"")</f>
        <v>0</v>
      </c>
      <c r="I2376" s="10" cm="1">
        <f t="array" ref="I2376">IFERROR(INDEX(Precios!$D:$F,MATCH(N2376, Precios!$G:$G, 0),CHOOSE(MATCH(H2376, {"SML";"XL";"XXL"}, 0), 1, 2, 3)), 0)</f>
        <v>0</v>
      </c>
      <c r="K2376" s="10">
        <f t="shared" si="82"/>
        <v>0</v>
      </c>
      <c r="N2376" s="9" t="str">
        <f t="shared" si="83"/>
        <v/>
      </c>
      <c r="O2376" s="9" t="str">
        <f>IF(N2376="","",IF(COUNTIF(Precios!$G:$G,N2376)=0,"⚠ No coincide con Precios","OK"))</f>
        <v/>
      </c>
    </row>
    <row r="2377" spans="3:15" x14ac:dyDescent="0.2">
      <c r="C2377" s="9" cm="1">
        <f t="array" ref="C2377">IFERROR(_xlfn.XLOOKUP(B2377,Personal!$A:$A,Personal!$D:$D,""),"")</f>
        <v>0</v>
      </c>
      <c r="D2377" s="9" cm="1">
        <f t="array" ref="D2377">IFERROR(_xlfn.XLOOKUP(B2377,Personal!$A:$A,Personal!$C:$C,""),"")</f>
        <v>0</v>
      </c>
      <c r="E2377" s="9" t="str" cm="1">
        <f t="array" ref="E2377">IFERROR(_xlfn.XLOOKUP(D2377,Locales!$A:$A,Locales!$B:$B,""),"")</f>
        <v/>
      </c>
      <c r="F2377" s="9" cm="1">
        <f t="array" ref="F2377">IFERROR(_xlfn.XLOOKUP(B2377,Personal!$A:$A,Personal!$F:$F,""),"")</f>
        <v>0</v>
      </c>
      <c r="I2377" s="10" cm="1">
        <f t="array" ref="I2377">IFERROR(INDEX(Precios!$D:$F,MATCH(N2377, Precios!$G:$G, 0),CHOOSE(MATCH(H2377, {"SML";"XL";"XXL"}, 0), 1, 2, 3)), 0)</f>
        <v>0</v>
      </c>
      <c r="K2377" s="10">
        <f t="shared" si="82"/>
        <v>0</v>
      </c>
      <c r="N2377" s="9" t="str">
        <f t="shared" si="83"/>
        <v/>
      </c>
      <c r="O2377" s="9" t="str">
        <f>IF(N2377="","",IF(COUNTIF(Precios!$G:$G,N2377)=0,"⚠ No coincide con Precios","OK"))</f>
        <v/>
      </c>
    </row>
    <row r="2378" spans="3:15" x14ac:dyDescent="0.2">
      <c r="C2378" s="9" cm="1">
        <f t="array" ref="C2378">IFERROR(_xlfn.XLOOKUP(B2378,Personal!$A:$A,Personal!$D:$D,""),"")</f>
        <v>0</v>
      </c>
      <c r="D2378" s="9" cm="1">
        <f t="array" ref="D2378">IFERROR(_xlfn.XLOOKUP(B2378,Personal!$A:$A,Personal!$C:$C,""),"")</f>
        <v>0</v>
      </c>
      <c r="E2378" s="9" t="str" cm="1">
        <f t="array" ref="E2378">IFERROR(_xlfn.XLOOKUP(D2378,Locales!$A:$A,Locales!$B:$B,""),"")</f>
        <v/>
      </c>
      <c r="F2378" s="9" cm="1">
        <f t="array" ref="F2378">IFERROR(_xlfn.XLOOKUP(B2378,Personal!$A:$A,Personal!$F:$F,""),"")</f>
        <v>0</v>
      </c>
      <c r="I2378" s="10" cm="1">
        <f t="array" ref="I2378">IFERROR(INDEX(Precios!$D:$F,MATCH(N2378, Precios!$G:$G, 0),CHOOSE(MATCH(H2378, {"SML";"XL";"XXL"}, 0), 1, 2, 3)), 0)</f>
        <v>0</v>
      </c>
      <c r="K2378" s="10">
        <f t="shared" si="82"/>
        <v>0</v>
      </c>
      <c r="N2378" s="9" t="str">
        <f t="shared" si="83"/>
        <v/>
      </c>
      <c r="O2378" s="9" t="str">
        <f>IF(N2378="","",IF(COUNTIF(Precios!$G:$G,N2378)=0,"⚠ No coincide con Precios","OK"))</f>
        <v/>
      </c>
    </row>
    <row r="2379" spans="3:15" x14ac:dyDescent="0.2">
      <c r="C2379" s="9" cm="1">
        <f t="array" ref="C2379">IFERROR(_xlfn.XLOOKUP(B2379,Personal!$A:$A,Personal!$D:$D,""),"")</f>
        <v>0</v>
      </c>
      <c r="D2379" s="9" cm="1">
        <f t="array" ref="D2379">IFERROR(_xlfn.XLOOKUP(B2379,Personal!$A:$A,Personal!$C:$C,""),"")</f>
        <v>0</v>
      </c>
      <c r="E2379" s="9" t="str" cm="1">
        <f t="array" ref="E2379">IFERROR(_xlfn.XLOOKUP(D2379,Locales!$A:$A,Locales!$B:$B,""),"")</f>
        <v/>
      </c>
      <c r="F2379" s="9" cm="1">
        <f t="array" ref="F2379">IFERROR(_xlfn.XLOOKUP(B2379,Personal!$A:$A,Personal!$F:$F,""),"")</f>
        <v>0</v>
      </c>
      <c r="I2379" s="10" cm="1">
        <f t="array" ref="I2379">IFERROR(INDEX(Precios!$D:$F,MATCH(N2379, Precios!$G:$G, 0),CHOOSE(MATCH(H2379, {"SML";"XL";"XXL"}, 0), 1, 2, 3)), 0)</f>
        <v>0</v>
      </c>
      <c r="K2379" s="10">
        <f t="shared" si="82"/>
        <v>0</v>
      </c>
      <c r="N2379" s="9" t="str">
        <f t="shared" si="83"/>
        <v/>
      </c>
      <c r="O2379" s="9" t="str">
        <f>IF(N2379="","",IF(COUNTIF(Precios!$G:$G,N2379)=0,"⚠ No coincide con Precios","OK"))</f>
        <v/>
      </c>
    </row>
    <row r="2380" spans="3:15" x14ac:dyDescent="0.2">
      <c r="C2380" s="9" cm="1">
        <f t="array" ref="C2380">IFERROR(_xlfn.XLOOKUP(B2380,Personal!$A:$A,Personal!$D:$D,""),"")</f>
        <v>0</v>
      </c>
      <c r="D2380" s="9" cm="1">
        <f t="array" ref="D2380">IFERROR(_xlfn.XLOOKUP(B2380,Personal!$A:$A,Personal!$C:$C,""),"")</f>
        <v>0</v>
      </c>
      <c r="E2380" s="9" t="str" cm="1">
        <f t="array" ref="E2380">IFERROR(_xlfn.XLOOKUP(D2380,Locales!$A:$A,Locales!$B:$B,""),"")</f>
        <v/>
      </c>
      <c r="F2380" s="9" cm="1">
        <f t="array" ref="F2380">IFERROR(_xlfn.XLOOKUP(B2380,Personal!$A:$A,Personal!$F:$F,""),"")</f>
        <v>0</v>
      </c>
      <c r="I2380" s="10" cm="1">
        <f t="array" ref="I2380">IFERROR(INDEX(Precios!$D:$F,MATCH(N2380, Precios!$G:$G, 0),CHOOSE(MATCH(H2380, {"SML";"XL";"XXL"}, 0), 1, 2, 3)), 0)</f>
        <v>0</v>
      </c>
      <c r="K2380" s="10">
        <f t="shared" si="82"/>
        <v>0</v>
      </c>
      <c r="N2380" s="9" t="str">
        <f t="shared" si="83"/>
        <v/>
      </c>
      <c r="O2380" s="9" t="str">
        <f>IF(N2380="","",IF(COUNTIF(Precios!$G:$G,N2380)=0,"⚠ No coincide con Precios","OK"))</f>
        <v/>
      </c>
    </row>
    <row r="2381" spans="3:15" x14ac:dyDescent="0.2">
      <c r="C2381" s="9" cm="1">
        <f t="array" ref="C2381">IFERROR(_xlfn.XLOOKUP(B2381,Personal!$A:$A,Personal!$D:$D,""),"")</f>
        <v>0</v>
      </c>
      <c r="D2381" s="9" cm="1">
        <f t="array" ref="D2381">IFERROR(_xlfn.XLOOKUP(B2381,Personal!$A:$A,Personal!$C:$C,""),"")</f>
        <v>0</v>
      </c>
      <c r="E2381" s="9" t="str" cm="1">
        <f t="array" ref="E2381">IFERROR(_xlfn.XLOOKUP(D2381,Locales!$A:$A,Locales!$B:$B,""),"")</f>
        <v/>
      </c>
      <c r="F2381" s="9" cm="1">
        <f t="array" ref="F2381">IFERROR(_xlfn.XLOOKUP(B2381,Personal!$A:$A,Personal!$F:$F,""),"")</f>
        <v>0</v>
      </c>
      <c r="I2381" s="10" cm="1">
        <f t="array" ref="I2381">IFERROR(INDEX(Precios!$D:$F,MATCH(N2381, Precios!$G:$G, 0),CHOOSE(MATCH(H2381, {"SML";"XL";"XXL"}, 0), 1, 2, 3)), 0)</f>
        <v>0</v>
      </c>
      <c r="K2381" s="10">
        <f t="shared" si="82"/>
        <v>0</v>
      </c>
      <c r="N2381" s="9" t="str">
        <f t="shared" si="83"/>
        <v/>
      </c>
      <c r="O2381" s="9" t="str">
        <f>IF(N2381="","",IF(COUNTIF(Precios!$G:$G,N2381)=0,"⚠ No coincide con Precios","OK"))</f>
        <v/>
      </c>
    </row>
    <row r="2382" spans="3:15" x14ac:dyDescent="0.2">
      <c r="C2382" s="9" cm="1">
        <f t="array" ref="C2382">IFERROR(_xlfn.XLOOKUP(B2382,Personal!$A:$A,Personal!$D:$D,""),"")</f>
        <v>0</v>
      </c>
      <c r="D2382" s="9" cm="1">
        <f t="array" ref="D2382">IFERROR(_xlfn.XLOOKUP(B2382,Personal!$A:$A,Personal!$C:$C,""),"")</f>
        <v>0</v>
      </c>
      <c r="E2382" s="9" t="str" cm="1">
        <f t="array" ref="E2382">IFERROR(_xlfn.XLOOKUP(D2382,Locales!$A:$A,Locales!$B:$B,""),"")</f>
        <v/>
      </c>
      <c r="F2382" s="9" cm="1">
        <f t="array" ref="F2382">IFERROR(_xlfn.XLOOKUP(B2382,Personal!$A:$A,Personal!$F:$F,""),"")</f>
        <v>0</v>
      </c>
      <c r="I2382" s="10" cm="1">
        <f t="array" ref="I2382">IFERROR(INDEX(Precios!$D:$F,MATCH(N2382, Precios!$G:$G, 0),CHOOSE(MATCH(H2382, {"SML";"XL";"XXL"}, 0), 1, 2, 3)), 0)</f>
        <v>0</v>
      </c>
      <c r="K2382" s="10">
        <f t="shared" si="82"/>
        <v>0</v>
      </c>
      <c r="N2382" s="9" t="str">
        <f t="shared" si="83"/>
        <v/>
      </c>
      <c r="O2382" s="9" t="str">
        <f>IF(N2382="","",IF(COUNTIF(Precios!$G:$G,N2382)=0,"⚠ No coincide con Precios","OK"))</f>
        <v/>
      </c>
    </row>
    <row r="2383" spans="3:15" x14ac:dyDescent="0.2">
      <c r="C2383" s="9" cm="1">
        <f t="array" ref="C2383">IFERROR(_xlfn.XLOOKUP(B2383,Personal!$A:$A,Personal!$D:$D,""),"")</f>
        <v>0</v>
      </c>
      <c r="D2383" s="9" cm="1">
        <f t="array" ref="D2383">IFERROR(_xlfn.XLOOKUP(B2383,Personal!$A:$A,Personal!$C:$C,""),"")</f>
        <v>0</v>
      </c>
      <c r="E2383" s="9" t="str" cm="1">
        <f t="array" ref="E2383">IFERROR(_xlfn.XLOOKUP(D2383,Locales!$A:$A,Locales!$B:$B,""),"")</f>
        <v/>
      </c>
      <c r="F2383" s="9" cm="1">
        <f t="array" ref="F2383">IFERROR(_xlfn.XLOOKUP(B2383,Personal!$A:$A,Personal!$F:$F,""),"")</f>
        <v>0</v>
      </c>
      <c r="I2383" s="10" cm="1">
        <f t="array" ref="I2383">IFERROR(INDEX(Precios!$D:$F,MATCH(N2383, Precios!$G:$G, 0),CHOOSE(MATCH(H2383, {"SML";"XL";"XXL"}, 0), 1, 2, 3)), 0)</f>
        <v>0</v>
      </c>
      <c r="K2383" s="10">
        <f t="shared" si="82"/>
        <v>0</v>
      </c>
      <c r="N2383" s="9" t="str">
        <f t="shared" si="83"/>
        <v/>
      </c>
      <c r="O2383" s="9" t="str">
        <f>IF(N2383="","",IF(COUNTIF(Precios!$G:$G,N2383)=0,"⚠ No coincide con Precios","OK"))</f>
        <v/>
      </c>
    </row>
    <row r="2384" spans="3:15" x14ac:dyDescent="0.2">
      <c r="C2384" s="9" cm="1">
        <f t="array" ref="C2384">IFERROR(_xlfn.XLOOKUP(B2384,Personal!$A:$A,Personal!$D:$D,""),"")</f>
        <v>0</v>
      </c>
      <c r="D2384" s="9" cm="1">
        <f t="array" ref="D2384">IFERROR(_xlfn.XLOOKUP(B2384,Personal!$A:$A,Personal!$C:$C,""),"")</f>
        <v>0</v>
      </c>
      <c r="E2384" s="9" t="str" cm="1">
        <f t="array" ref="E2384">IFERROR(_xlfn.XLOOKUP(D2384,Locales!$A:$A,Locales!$B:$B,""),"")</f>
        <v/>
      </c>
      <c r="F2384" s="9" cm="1">
        <f t="array" ref="F2384">IFERROR(_xlfn.XLOOKUP(B2384,Personal!$A:$A,Personal!$F:$F,""),"")</f>
        <v>0</v>
      </c>
      <c r="I2384" s="10" cm="1">
        <f t="array" ref="I2384">IFERROR(INDEX(Precios!$D:$F,MATCH(N2384, Precios!$G:$G, 0),CHOOSE(MATCH(H2384, {"SML";"XL";"XXL"}, 0), 1, 2, 3)), 0)</f>
        <v>0</v>
      </c>
      <c r="K2384" s="10">
        <f t="shared" si="82"/>
        <v>0</v>
      </c>
      <c r="N2384" s="9" t="str">
        <f t="shared" si="83"/>
        <v/>
      </c>
      <c r="O2384" s="9" t="str">
        <f>IF(N2384="","",IF(COUNTIF(Precios!$G:$G,N2384)=0,"⚠ No coincide con Precios","OK"))</f>
        <v/>
      </c>
    </row>
    <row r="2385" spans="3:15" x14ac:dyDescent="0.2">
      <c r="C2385" s="9" cm="1">
        <f t="array" ref="C2385">IFERROR(_xlfn.XLOOKUP(B2385,Personal!$A:$A,Personal!$D:$D,""),"")</f>
        <v>0</v>
      </c>
      <c r="D2385" s="9" cm="1">
        <f t="array" ref="D2385">IFERROR(_xlfn.XLOOKUP(B2385,Personal!$A:$A,Personal!$C:$C,""),"")</f>
        <v>0</v>
      </c>
      <c r="E2385" s="9" t="str" cm="1">
        <f t="array" ref="E2385">IFERROR(_xlfn.XLOOKUP(D2385,Locales!$A:$A,Locales!$B:$B,""),"")</f>
        <v/>
      </c>
      <c r="F2385" s="9" cm="1">
        <f t="array" ref="F2385">IFERROR(_xlfn.XLOOKUP(B2385,Personal!$A:$A,Personal!$F:$F,""),"")</f>
        <v>0</v>
      </c>
      <c r="I2385" s="10" cm="1">
        <f t="array" ref="I2385">IFERROR(INDEX(Precios!$D:$F,MATCH(N2385, Precios!$G:$G, 0),CHOOSE(MATCH(H2385, {"SML";"XL";"XXL"}, 0), 1, 2, 3)), 0)</f>
        <v>0</v>
      </c>
      <c r="K2385" s="10">
        <f t="shared" si="82"/>
        <v>0</v>
      </c>
      <c r="N2385" s="9" t="str">
        <f t="shared" si="83"/>
        <v/>
      </c>
      <c r="O2385" s="9" t="str">
        <f>IF(N2385="","",IF(COUNTIF(Precios!$G:$G,N2385)=0,"⚠ No coincide con Precios","OK"))</f>
        <v/>
      </c>
    </row>
    <row r="2386" spans="3:15" x14ac:dyDescent="0.2">
      <c r="C2386" s="9" cm="1">
        <f t="array" ref="C2386">IFERROR(_xlfn.XLOOKUP(B2386,Personal!$A:$A,Personal!$D:$D,""),"")</f>
        <v>0</v>
      </c>
      <c r="D2386" s="9" cm="1">
        <f t="array" ref="D2386">IFERROR(_xlfn.XLOOKUP(B2386,Personal!$A:$A,Personal!$C:$C,""),"")</f>
        <v>0</v>
      </c>
      <c r="E2386" s="9" t="str" cm="1">
        <f t="array" ref="E2386">IFERROR(_xlfn.XLOOKUP(D2386,Locales!$A:$A,Locales!$B:$B,""),"")</f>
        <v/>
      </c>
      <c r="F2386" s="9" cm="1">
        <f t="array" ref="F2386">IFERROR(_xlfn.XLOOKUP(B2386,Personal!$A:$A,Personal!$F:$F,""),"")</f>
        <v>0</v>
      </c>
      <c r="I2386" s="10" cm="1">
        <f t="array" ref="I2386">IFERROR(INDEX(Precios!$D:$F,MATCH(N2386, Precios!$G:$G, 0),CHOOSE(MATCH(H2386, {"SML";"XL";"XXL"}, 0), 1, 2, 3)), 0)</f>
        <v>0</v>
      </c>
      <c r="K2386" s="10">
        <f t="shared" si="82"/>
        <v>0</v>
      </c>
      <c r="N2386" s="9" t="str">
        <f t="shared" si="83"/>
        <v/>
      </c>
      <c r="O2386" s="9" t="str">
        <f>IF(N2386="","",IF(COUNTIF(Precios!$G:$G,N2386)=0,"⚠ No coincide con Precios","OK"))</f>
        <v/>
      </c>
    </row>
    <row r="2387" spans="3:15" x14ac:dyDescent="0.2">
      <c r="C2387" s="9" cm="1">
        <f t="array" ref="C2387">IFERROR(_xlfn.XLOOKUP(B2387,Personal!$A:$A,Personal!$D:$D,""),"")</f>
        <v>0</v>
      </c>
      <c r="D2387" s="9" cm="1">
        <f t="array" ref="D2387">IFERROR(_xlfn.XLOOKUP(B2387,Personal!$A:$A,Personal!$C:$C,""),"")</f>
        <v>0</v>
      </c>
      <c r="E2387" s="9" t="str" cm="1">
        <f t="array" ref="E2387">IFERROR(_xlfn.XLOOKUP(D2387,Locales!$A:$A,Locales!$B:$B,""),"")</f>
        <v/>
      </c>
      <c r="F2387" s="9" cm="1">
        <f t="array" ref="F2387">IFERROR(_xlfn.XLOOKUP(B2387,Personal!$A:$A,Personal!$F:$F,""),"")</f>
        <v>0</v>
      </c>
      <c r="I2387" s="10" cm="1">
        <f t="array" ref="I2387">IFERROR(INDEX(Precios!$D:$F,MATCH(N2387, Precios!$G:$G, 0),CHOOSE(MATCH(H2387, {"SML";"XL";"XXL"}, 0), 1, 2, 3)), 0)</f>
        <v>0</v>
      </c>
      <c r="K2387" s="10">
        <f t="shared" si="82"/>
        <v>0</v>
      </c>
      <c r="N2387" s="9" t="str">
        <f t="shared" si="83"/>
        <v/>
      </c>
      <c r="O2387" s="9" t="str">
        <f>IF(N2387="","",IF(COUNTIF(Precios!$G:$G,N2387)=0,"⚠ No coincide con Precios","OK"))</f>
        <v/>
      </c>
    </row>
    <row r="2388" spans="3:15" x14ac:dyDescent="0.2">
      <c r="C2388" s="9" cm="1">
        <f t="array" ref="C2388">IFERROR(_xlfn.XLOOKUP(B2388,Personal!$A:$A,Personal!$D:$D,""),"")</f>
        <v>0</v>
      </c>
      <c r="D2388" s="9" cm="1">
        <f t="array" ref="D2388">IFERROR(_xlfn.XLOOKUP(B2388,Personal!$A:$A,Personal!$C:$C,""),"")</f>
        <v>0</v>
      </c>
      <c r="E2388" s="9" t="str" cm="1">
        <f t="array" ref="E2388">IFERROR(_xlfn.XLOOKUP(D2388,Locales!$A:$A,Locales!$B:$B,""),"")</f>
        <v/>
      </c>
      <c r="F2388" s="9" cm="1">
        <f t="array" ref="F2388">IFERROR(_xlfn.XLOOKUP(B2388,Personal!$A:$A,Personal!$F:$F,""),"")</f>
        <v>0</v>
      </c>
      <c r="I2388" s="10" cm="1">
        <f t="array" ref="I2388">IFERROR(INDEX(Precios!$D:$F,MATCH(N2388, Precios!$G:$G, 0),CHOOSE(MATCH(H2388, {"SML";"XL";"XXL"}, 0), 1, 2, 3)), 0)</f>
        <v>0</v>
      </c>
      <c r="K2388" s="10">
        <f t="shared" si="82"/>
        <v>0</v>
      </c>
      <c r="N2388" s="9" t="str">
        <f t="shared" si="83"/>
        <v/>
      </c>
      <c r="O2388" s="9" t="str">
        <f>IF(N2388="","",IF(COUNTIF(Precios!$G:$G,N2388)=0,"⚠ No coincide con Precios","OK"))</f>
        <v/>
      </c>
    </row>
    <row r="2389" spans="3:15" x14ac:dyDescent="0.2">
      <c r="C2389" s="9" cm="1">
        <f t="array" ref="C2389">IFERROR(_xlfn.XLOOKUP(B2389,Personal!$A:$A,Personal!$D:$D,""),"")</f>
        <v>0</v>
      </c>
      <c r="D2389" s="9" cm="1">
        <f t="array" ref="D2389">IFERROR(_xlfn.XLOOKUP(B2389,Personal!$A:$A,Personal!$C:$C,""),"")</f>
        <v>0</v>
      </c>
      <c r="E2389" s="9" t="str" cm="1">
        <f t="array" ref="E2389">IFERROR(_xlfn.XLOOKUP(D2389,Locales!$A:$A,Locales!$B:$B,""),"")</f>
        <v/>
      </c>
      <c r="F2389" s="9" cm="1">
        <f t="array" ref="F2389">IFERROR(_xlfn.XLOOKUP(B2389,Personal!$A:$A,Personal!$F:$F,""),"")</f>
        <v>0</v>
      </c>
      <c r="I2389" s="10" cm="1">
        <f t="array" ref="I2389">IFERROR(INDEX(Precios!$D:$F,MATCH(N2389, Precios!$G:$G, 0),CHOOSE(MATCH(H2389, {"SML";"XL";"XXL"}, 0), 1, 2, 3)), 0)</f>
        <v>0</v>
      </c>
      <c r="K2389" s="10">
        <f t="shared" si="82"/>
        <v>0</v>
      </c>
      <c r="N2389" s="9" t="str">
        <f t="shared" si="83"/>
        <v/>
      </c>
      <c r="O2389" s="9" t="str">
        <f>IF(N2389="","",IF(COUNTIF(Precios!$G:$G,N2389)=0,"⚠ No coincide con Precios","OK"))</f>
        <v/>
      </c>
    </row>
    <row r="2390" spans="3:15" x14ac:dyDescent="0.2">
      <c r="C2390" s="9" cm="1">
        <f t="array" ref="C2390">IFERROR(_xlfn.XLOOKUP(B2390,Personal!$A:$A,Personal!$D:$D,""),"")</f>
        <v>0</v>
      </c>
      <c r="D2390" s="9" cm="1">
        <f t="array" ref="D2390">IFERROR(_xlfn.XLOOKUP(B2390,Personal!$A:$A,Personal!$C:$C,""),"")</f>
        <v>0</v>
      </c>
      <c r="E2390" s="9" t="str" cm="1">
        <f t="array" ref="E2390">IFERROR(_xlfn.XLOOKUP(D2390,Locales!$A:$A,Locales!$B:$B,""),"")</f>
        <v/>
      </c>
      <c r="F2390" s="9" cm="1">
        <f t="array" ref="F2390">IFERROR(_xlfn.XLOOKUP(B2390,Personal!$A:$A,Personal!$F:$F,""),"")</f>
        <v>0</v>
      </c>
      <c r="I2390" s="10" cm="1">
        <f t="array" ref="I2390">IFERROR(INDEX(Precios!$D:$F,MATCH(N2390, Precios!$G:$G, 0),CHOOSE(MATCH(H2390, {"SML";"XL";"XXL"}, 0), 1, 2, 3)), 0)</f>
        <v>0</v>
      </c>
      <c r="K2390" s="10">
        <f t="shared" si="82"/>
        <v>0</v>
      </c>
      <c r="N2390" s="9" t="str">
        <f t="shared" si="83"/>
        <v/>
      </c>
      <c r="O2390" s="9" t="str">
        <f>IF(N2390="","",IF(COUNTIF(Precios!$G:$G,N2390)=0,"⚠ No coincide con Precios","OK"))</f>
        <v/>
      </c>
    </row>
    <row r="2391" spans="3:15" x14ac:dyDescent="0.2">
      <c r="C2391" s="9" cm="1">
        <f t="array" ref="C2391">IFERROR(_xlfn.XLOOKUP(B2391,Personal!$A:$A,Personal!$D:$D,""),"")</f>
        <v>0</v>
      </c>
      <c r="D2391" s="9" cm="1">
        <f t="array" ref="D2391">IFERROR(_xlfn.XLOOKUP(B2391,Personal!$A:$A,Personal!$C:$C,""),"")</f>
        <v>0</v>
      </c>
      <c r="E2391" s="9" t="str" cm="1">
        <f t="array" ref="E2391">IFERROR(_xlfn.XLOOKUP(D2391,Locales!$A:$A,Locales!$B:$B,""),"")</f>
        <v/>
      </c>
      <c r="F2391" s="9" cm="1">
        <f t="array" ref="F2391">IFERROR(_xlfn.XLOOKUP(B2391,Personal!$A:$A,Personal!$F:$F,""),"")</f>
        <v>0</v>
      </c>
      <c r="I2391" s="10" cm="1">
        <f t="array" ref="I2391">IFERROR(INDEX(Precios!$D:$F,MATCH(N2391, Precios!$G:$G, 0),CHOOSE(MATCH(H2391, {"SML";"XL";"XXL"}, 0), 1, 2, 3)), 0)</f>
        <v>0</v>
      </c>
      <c r="K2391" s="10">
        <f t="shared" si="82"/>
        <v>0</v>
      </c>
      <c r="N2391" s="9" t="str">
        <f t="shared" si="83"/>
        <v/>
      </c>
      <c r="O2391" s="9" t="str">
        <f>IF(N2391="","",IF(COUNTIF(Precios!$G:$G,N2391)=0,"⚠ No coincide con Precios","OK"))</f>
        <v/>
      </c>
    </row>
    <row r="2392" spans="3:15" x14ac:dyDescent="0.2">
      <c r="C2392" s="9" cm="1">
        <f t="array" ref="C2392">IFERROR(_xlfn.XLOOKUP(B2392,Personal!$A:$A,Personal!$D:$D,""),"")</f>
        <v>0</v>
      </c>
      <c r="D2392" s="9" cm="1">
        <f t="array" ref="D2392">IFERROR(_xlfn.XLOOKUP(B2392,Personal!$A:$A,Personal!$C:$C,""),"")</f>
        <v>0</v>
      </c>
      <c r="E2392" s="9" t="str" cm="1">
        <f t="array" ref="E2392">IFERROR(_xlfn.XLOOKUP(D2392,Locales!$A:$A,Locales!$B:$B,""),"")</f>
        <v/>
      </c>
      <c r="F2392" s="9" cm="1">
        <f t="array" ref="F2392">IFERROR(_xlfn.XLOOKUP(B2392,Personal!$A:$A,Personal!$F:$F,""),"")</f>
        <v>0</v>
      </c>
      <c r="I2392" s="10" cm="1">
        <f t="array" ref="I2392">IFERROR(INDEX(Precios!$D:$F,MATCH(N2392, Precios!$G:$G, 0),CHOOSE(MATCH(H2392, {"SML";"XL";"XXL"}, 0), 1, 2, 3)), 0)</f>
        <v>0</v>
      </c>
      <c r="K2392" s="10">
        <f t="shared" si="82"/>
        <v>0</v>
      </c>
      <c r="N2392" s="9" t="str">
        <f t="shared" si="83"/>
        <v/>
      </c>
      <c r="O2392" s="9" t="str">
        <f>IF(N2392="","",IF(COUNTIF(Precios!$G:$G,N2392)=0,"⚠ No coincide con Precios","OK"))</f>
        <v/>
      </c>
    </row>
    <row r="2393" spans="3:15" x14ac:dyDescent="0.2">
      <c r="C2393" s="9" cm="1">
        <f t="array" ref="C2393">IFERROR(_xlfn.XLOOKUP(B2393,Personal!$A:$A,Personal!$D:$D,""),"")</f>
        <v>0</v>
      </c>
      <c r="D2393" s="9" cm="1">
        <f t="array" ref="D2393">IFERROR(_xlfn.XLOOKUP(B2393,Personal!$A:$A,Personal!$C:$C,""),"")</f>
        <v>0</v>
      </c>
      <c r="E2393" s="9" t="str" cm="1">
        <f t="array" ref="E2393">IFERROR(_xlfn.XLOOKUP(D2393,Locales!$A:$A,Locales!$B:$B,""),"")</f>
        <v/>
      </c>
      <c r="F2393" s="9" cm="1">
        <f t="array" ref="F2393">IFERROR(_xlfn.XLOOKUP(B2393,Personal!$A:$A,Personal!$F:$F,""),"")</f>
        <v>0</v>
      </c>
      <c r="I2393" s="10" cm="1">
        <f t="array" ref="I2393">IFERROR(INDEX(Precios!$D:$F,MATCH(N2393, Precios!$G:$G, 0),CHOOSE(MATCH(H2393, {"SML";"XL";"XXL"}, 0), 1, 2, 3)), 0)</f>
        <v>0</v>
      </c>
      <c r="K2393" s="10">
        <f t="shared" si="82"/>
        <v>0</v>
      </c>
      <c r="N2393" s="9" t="str">
        <f t="shared" si="83"/>
        <v/>
      </c>
      <c r="O2393" s="9" t="str">
        <f>IF(N2393="","",IF(COUNTIF(Precios!$G:$G,N2393)=0,"⚠ No coincide con Precios","OK"))</f>
        <v/>
      </c>
    </row>
    <row r="2394" spans="3:15" x14ac:dyDescent="0.2">
      <c r="C2394" s="9" cm="1">
        <f t="array" ref="C2394">IFERROR(_xlfn.XLOOKUP(B2394,Personal!$A:$A,Personal!$D:$D,""),"")</f>
        <v>0</v>
      </c>
      <c r="D2394" s="9" cm="1">
        <f t="array" ref="D2394">IFERROR(_xlfn.XLOOKUP(B2394,Personal!$A:$A,Personal!$C:$C,""),"")</f>
        <v>0</v>
      </c>
      <c r="E2394" s="9" t="str" cm="1">
        <f t="array" ref="E2394">IFERROR(_xlfn.XLOOKUP(D2394,Locales!$A:$A,Locales!$B:$B,""),"")</f>
        <v/>
      </c>
      <c r="F2394" s="9" cm="1">
        <f t="array" ref="F2394">IFERROR(_xlfn.XLOOKUP(B2394,Personal!$A:$A,Personal!$F:$F,""),"")</f>
        <v>0</v>
      </c>
      <c r="I2394" s="10" cm="1">
        <f t="array" ref="I2394">IFERROR(INDEX(Precios!$D:$F,MATCH(N2394, Precios!$G:$G, 0),CHOOSE(MATCH(H2394, {"SML";"XL";"XXL"}, 0), 1, 2, 3)), 0)</f>
        <v>0</v>
      </c>
      <c r="K2394" s="10">
        <f t="shared" si="82"/>
        <v>0</v>
      </c>
      <c r="N2394" s="9" t="str">
        <f t="shared" si="83"/>
        <v/>
      </c>
      <c r="O2394" s="9" t="str">
        <f>IF(N2394="","",IF(COUNTIF(Precios!$G:$G,N2394)=0,"⚠ No coincide con Precios","OK"))</f>
        <v/>
      </c>
    </row>
    <row r="2395" spans="3:15" x14ac:dyDescent="0.2">
      <c r="C2395" s="9" cm="1">
        <f t="array" ref="C2395">IFERROR(_xlfn.XLOOKUP(B2395,Personal!$A:$A,Personal!$D:$D,""),"")</f>
        <v>0</v>
      </c>
      <c r="D2395" s="9" cm="1">
        <f t="array" ref="D2395">IFERROR(_xlfn.XLOOKUP(B2395,Personal!$A:$A,Personal!$C:$C,""),"")</f>
        <v>0</v>
      </c>
      <c r="E2395" s="9" t="str" cm="1">
        <f t="array" ref="E2395">IFERROR(_xlfn.XLOOKUP(D2395,Locales!$A:$A,Locales!$B:$B,""),"")</f>
        <v/>
      </c>
      <c r="F2395" s="9" cm="1">
        <f t="array" ref="F2395">IFERROR(_xlfn.XLOOKUP(B2395,Personal!$A:$A,Personal!$F:$F,""),"")</f>
        <v>0</v>
      </c>
      <c r="I2395" s="10" cm="1">
        <f t="array" ref="I2395">IFERROR(INDEX(Precios!$D:$F,MATCH(N2395, Precios!$G:$G, 0),CHOOSE(MATCH(H2395, {"SML";"XL";"XXL"}, 0), 1, 2, 3)), 0)</f>
        <v>0</v>
      </c>
      <c r="K2395" s="10">
        <f t="shared" si="82"/>
        <v>0</v>
      </c>
      <c r="N2395" s="9" t="str">
        <f t="shared" si="83"/>
        <v/>
      </c>
      <c r="O2395" s="9" t="str">
        <f>IF(N2395="","",IF(COUNTIF(Precios!$G:$G,N2395)=0,"⚠ No coincide con Precios","OK"))</f>
        <v/>
      </c>
    </row>
    <row r="2396" spans="3:15" x14ac:dyDescent="0.2">
      <c r="C2396" s="9" cm="1">
        <f t="array" ref="C2396">IFERROR(_xlfn.XLOOKUP(B2396,Personal!$A:$A,Personal!$D:$D,""),"")</f>
        <v>0</v>
      </c>
      <c r="D2396" s="9" cm="1">
        <f t="array" ref="D2396">IFERROR(_xlfn.XLOOKUP(B2396,Personal!$A:$A,Personal!$C:$C,""),"")</f>
        <v>0</v>
      </c>
      <c r="E2396" s="9" t="str" cm="1">
        <f t="array" ref="E2396">IFERROR(_xlfn.XLOOKUP(D2396,Locales!$A:$A,Locales!$B:$B,""),"")</f>
        <v/>
      </c>
      <c r="F2396" s="9" cm="1">
        <f t="array" ref="F2396">IFERROR(_xlfn.XLOOKUP(B2396,Personal!$A:$A,Personal!$F:$F,""),"")</f>
        <v>0</v>
      </c>
      <c r="I2396" s="10" cm="1">
        <f t="array" ref="I2396">IFERROR(INDEX(Precios!$D:$F,MATCH(N2396, Precios!$G:$G, 0),CHOOSE(MATCH(H2396, {"SML";"XL";"XXL"}, 0), 1, 2, 3)), 0)</f>
        <v>0</v>
      </c>
      <c r="K2396" s="10">
        <f t="shared" si="82"/>
        <v>0</v>
      </c>
      <c r="N2396" s="9" t="str">
        <f t="shared" si="83"/>
        <v/>
      </c>
      <c r="O2396" s="9" t="str">
        <f>IF(N2396="","",IF(COUNTIF(Precios!$G:$G,N2396)=0,"⚠ No coincide con Precios","OK"))</f>
        <v/>
      </c>
    </row>
    <row r="2397" spans="3:15" x14ac:dyDescent="0.2">
      <c r="C2397" s="9" cm="1">
        <f t="array" ref="C2397">IFERROR(_xlfn.XLOOKUP(B2397,Personal!$A:$A,Personal!$D:$D,""),"")</f>
        <v>0</v>
      </c>
      <c r="D2397" s="9" cm="1">
        <f t="array" ref="D2397">IFERROR(_xlfn.XLOOKUP(B2397,Personal!$A:$A,Personal!$C:$C,""),"")</f>
        <v>0</v>
      </c>
      <c r="E2397" s="9" t="str" cm="1">
        <f t="array" ref="E2397">IFERROR(_xlfn.XLOOKUP(D2397,Locales!$A:$A,Locales!$B:$B,""),"")</f>
        <v/>
      </c>
      <c r="F2397" s="9" cm="1">
        <f t="array" ref="F2397">IFERROR(_xlfn.XLOOKUP(B2397,Personal!$A:$A,Personal!$F:$F,""),"")</f>
        <v>0</v>
      </c>
      <c r="I2397" s="10" cm="1">
        <f t="array" ref="I2397">IFERROR(INDEX(Precios!$D:$F,MATCH(N2397, Precios!$G:$G, 0),CHOOSE(MATCH(H2397, {"SML";"XL";"XXL"}, 0), 1, 2, 3)), 0)</f>
        <v>0</v>
      </c>
      <c r="K2397" s="10">
        <f t="shared" si="82"/>
        <v>0</v>
      </c>
      <c r="N2397" s="9" t="str">
        <f t="shared" si="83"/>
        <v/>
      </c>
      <c r="O2397" s="9" t="str">
        <f>IF(N2397="","",IF(COUNTIF(Precios!$G:$G,N2397)=0,"⚠ No coincide con Precios","OK"))</f>
        <v/>
      </c>
    </row>
    <row r="2398" spans="3:15" x14ac:dyDescent="0.2">
      <c r="C2398" s="9" cm="1">
        <f t="array" ref="C2398">IFERROR(_xlfn.XLOOKUP(B2398,Personal!$A:$A,Personal!$D:$D,""),"")</f>
        <v>0</v>
      </c>
      <c r="D2398" s="9" cm="1">
        <f t="array" ref="D2398">IFERROR(_xlfn.XLOOKUP(B2398,Personal!$A:$A,Personal!$C:$C,""),"")</f>
        <v>0</v>
      </c>
      <c r="E2398" s="9" t="str" cm="1">
        <f t="array" ref="E2398">IFERROR(_xlfn.XLOOKUP(D2398,Locales!$A:$A,Locales!$B:$B,""),"")</f>
        <v/>
      </c>
      <c r="F2398" s="9" cm="1">
        <f t="array" ref="F2398">IFERROR(_xlfn.XLOOKUP(B2398,Personal!$A:$A,Personal!$F:$F,""),"")</f>
        <v>0</v>
      </c>
      <c r="I2398" s="10" cm="1">
        <f t="array" ref="I2398">IFERROR(INDEX(Precios!$D:$F,MATCH(N2398, Precios!$G:$G, 0),CHOOSE(MATCH(H2398, {"SML";"XL";"XXL"}, 0), 1, 2, 3)), 0)</f>
        <v>0</v>
      </c>
      <c r="K2398" s="10">
        <f t="shared" si="82"/>
        <v>0</v>
      </c>
      <c r="N2398" s="9" t="str">
        <f t="shared" si="83"/>
        <v/>
      </c>
      <c r="O2398" s="9" t="str">
        <f>IF(N2398="","",IF(COUNTIF(Precios!$G:$G,N2398)=0,"⚠ No coincide con Precios","OK"))</f>
        <v/>
      </c>
    </row>
    <row r="2399" spans="3:15" x14ac:dyDescent="0.2">
      <c r="C2399" s="9" cm="1">
        <f t="array" ref="C2399">IFERROR(_xlfn.XLOOKUP(B2399,Personal!$A:$A,Personal!$D:$D,""),"")</f>
        <v>0</v>
      </c>
      <c r="D2399" s="9" cm="1">
        <f t="array" ref="D2399">IFERROR(_xlfn.XLOOKUP(B2399,Personal!$A:$A,Personal!$C:$C,""),"")</f>
        <v>0</v>
      </c>
      <c r="E2399" s="9" t="str" cm="1">
        <f t="array" ref="E2399">IFERROR(_xlfn.XLOOKUP(D2399,Locales!$A:$A,Locales!$B:$B,""),"")</f>
        <v/>
      </c>
      <c r="F2399" s="9" cm="1">
        <f t="array" ref="F2399">IFERROR(_xlfn.XLOOKUP(B2399,Personal!$A:$A,Personal!$F:$F,""),"")</f>
        <v>0</v>
      </c>
      <c r="I2399" s="10" cm="1">
        <f t="array" ref="I2399">IFERROR(INDEX(Precios!$D:$F,MATCH(N2399, Precios!$G:$G, 0),CHOOSE(MATCH(H2399, {"SML";"XL";"XXL"}, 0), 1, 2, 3)), 0)</f>
        <v>0</v>
      </c>
      <c r="K2399" s="10">
        <f t="shared" si="82"/>
        <v>0</v>
      </c>
      <c r="N2399" s="9" t="str">
        <f t="shared" si="83"/>
        <v/>
      </c>
      <c r="O2399" s="9" t="str">
        <f>IF(N2399="","",IF(COUNTIF(Precios!$G:$G,N2399)=0,"⚠ No coincide con Precios","OK"))</f>
        <v/>
      </c>
    </row>
    <row r="2400" spans="3:15" x14ac:dyDescent="0.2">
      <c r="C2400" s="9" cm="1">
        <f t="array" ref="C2400">IFERROR(_xlfn.XLOOKUP(B2400,Personal!$A:$A,Personal!$D:$D,""),"")</f>
        <v>0</v>
      </c>
      <c r="D2400" s="9" cm="1">
        <f t="array" ref="D2400">IFERROR(_xlfn.XLOOKUP(B2400,Personal!$A:$A,Personal!$C:$C,""),"")</f>
        <v>0</v>
      </c>
      <c r="E2400" s="9" t="str" cm="1">
        <f t="array" ref="E2400">IFERROR(_xlfn.XLOOKUP(D2400,Locales!$A:$A,Locales!$B:$B,""),"")</f>
        <v/>
      </c>
      <c r="F2400" s="9" cm="1">
        <f t="array" ref="F2400">IFERROR(_xlfn.XLOOKUP(B2400,Personal!$A:$A,Personal!$F:$F,""),"")</f>
        <v>0</v>
      </c>
      <c r="I2400" s="10" cm="1">
        <f t="array" ref="I2400">IFERROR(INDEX(Precios!$D:$F,MATCH(N2400, Precios!$G:$G, 0),CHOOSE(MATCH(H2400, {"SML";"XL";"XXL"}, 0), 1, 2, 3)), 0)</f>
        <v>0</v>
      </c>
      <c r="K2400" s="10">
        <f t="shared" si="82"/>
        <v>0</v>
      </c>
      <c r="N2400" s="9" t="str">
        <f t="shared" si="83"/>
        <v/>
      </c>
      <c r="O2400" s="9" t="str">
        <f>IF(N2400="","",IF(COUNTIF(Precios!$G:$G,N2400)=0,"⚠ No coincide con Precios","OK"))</f>
        <v/>
      </c>
    </row>
    <row r="2401" spans="3:15" x14ac:dyDescent="0.2">
      <c r="C2401" s="9" cm="1">
        <f t="array" ref="C2401">IFERROR(_xlfn.XLOOKUP(B2401,Personal!$A:$A,Personal!$D:$D,""),"")</f>
        <v>0</v>
      </c>
      <c r="D2401" s="9" cm="1">
        <f t="array" ref="D2401">IFERROR(_xlfn.XLOOKUP(B2401,Personal!$A:$A,Personal!$C:$C,""),"")</f>
        <v>0</v>
      </c>
      <c r="E2401" s="9" t="str" cm="1">
        <f t="array" ref="E2401">IFERROR(_xlfn.XLOOKUP(D2401,Locales!$A:$A,Locales!$B:$B,""),"")</f>
        <v/>
      </c>
      <c r="F2401" s="9" cm="1">
        <f t="array" ref="F2401">IFERROR(_xlfn.XLOOKUP(B2401,Personal!$A:$A,Personal!$F:$F,""),"")</f>
        <v>0</v>
      </c>
      <c r="I2401" s="10" cm="1">
        <f t="array" ref="I2401">IFERROR(INDEX(Precios!$D:$F,MATCH(N2401, Precios!$G:$G, 0),CHOOSE(MATCH(H2401, {"SML";"XL";"XXL"}, 0), 1, 2, 3)), 0)</f>
        <v>0</v>
      </c>
      <c r="K2401" s="10">
        <f t="shared" si="82"/>
        <v>0</v>
      </c>
      <c r="N2401" s="9" t="str">
        <f t="shared" si="83"/>
        <v/>
      </c>
      <c r="O2401" s="9" t="str">
        <f>IF(N2401="","",IF(COUNTIF(Precios!$G:$G,N2401)=0,"⚠ No coincide con Precios","OK"))</f>
        <v/>
      </c>
    </row>
    <row r="2402" spans="3:15" x14ac:dyDescent="0.2">
      <c r="C2402" s="9" cm="1">
        <f t="array" ref="C2402">IFERROR(_xlfn.XLOOKUP(B2402,Personal!$A:$A,Personal!$D:$D,""),"")</f>
        <v>0</v>
      </c>
      <c r="D2402" s="9" cm="1">
        <f t="array" ref="D2402">IFERROR(_xlfn.XLOOKUP(B2402,Personal!$A:$A,Personal!$C:$C,""),"")</f>
        <v>0</v>
      </c>
      <c r="E2402" s="9" t="str" cm="1">
        <f t="array" ref="E2402">IFERROR(_xlfn.XLOOKUP(D2402,Locales!$A:$A,Locales!$B:$B,""),"")</f>
        <v/>
      </c>
      <c r="F2402" s="9" cm="1">
        <f t="array" ref="F2402">IFERROR(_xlfn.XLOOKUP(B2402,Personal!$A:$A,Personal!$F:$F,""),"")</f>
        <v>0</v>
      </c>
      <c r="I2402" s="10" cm="1">
        <f t="array" ref="I2402">IFERROR(INDEX(Precios!$D:$F,MATCH(N2402, Precios!$G:$G, 0),CHOOSE(MATCH(H2402, {"SML";"XL";"XXL"}, 0), 1, 2, 3)), 0)</f>
        <v>0</v>
      </c>
      <c r="K2402" s="10">
        <f t="shared" si="82"/>
        <v>0</v>
      </c>
      <c r="N2402" s="9" t="str">
        <f t="shared" si="83"/>
        <v/>
      </c>
      <c r="O2402" s="9" t="str">
        <f>IF(N2402="","",IF(COUNTIF(Precios!$G:$G,N2402)=0,"⚠ No coincide con Precios","OK"))</f>
        <v/>
      </c>
    </row>
    <row r="2403" spans="3:15" x14ac:dyDescent="0.2">
      <c r="C2403" s="9" cm="1">
        <f t="array" ref="C2403">IFERROR(_xlfn.XLOOKUP(B2403,Personal!$A:$A,Personal!$D:$D,""),"")</f>
        <v>0</v>
      </c>
      <c r="D2403" s="9" cm="1">
        <f t="array" ref="D2403">IFERROR(_xlfn.XLOOKUP(B2403,Personal!$A:$A,Personal!$C:$C,""),"")</f>
        <v>0</v>
      </c>
      <c r="E2403" s="9" t="str" cm="1">
        <f t="array" ref="E2403">IFERROR(_xlfn.XLOOKUP(D2403,Locales!$A:$A,Locales!$B:$B,""),"")</f>
        <v/>
      </c>
      <c r="F2403" s="9" cm="1">
        <f t="array" ref="F2403">IFERROR(_xlfn.XLOOKUP(B2403,Personal!$A:$A,Personal!$F:$F,""),"")</f>
        <v>0</v>
      </c>
      <c r="I2403" s="10" cm="1">
        <f t="array" ref="I2403">IFERROR(INDEX(Precios!$D:$F,MATCH(N2403, Precios!$G:$G, 0),CHOOSE(MATCH(H2403, {"SML";"XL";"XXL"}, 0), 1, 2, 3)), 0)</f>
        <v>0</v>
      </c>
      <c r="K2403" s="10">
        <f t="shared" si="82"/>
        <v>0</v>
      </c>
      <c r="N2403" s="9" t="str">
        <f t="shared" si="83"/>
        <v/>
      </c>
      <c r="O2403" s="9" t="str">
        <f>IF(N2403="","",IF(COUNTIF(Precios!$G:$G,N2403)=0,"⚠ No coincide con Precios","OK"))</f>
        <v/>
      </c>
    </row>
    <row r="2404" spans="3:15" x14ac:dyDescent="0.2">
      <c r="C2404" s="9" cm="1">
        <f t="array" ref="C2404">IFERROR(_xlfn.XLOOKUP(B2404,Personal!$A:$A,Personal!$D:$D,""),"")</f>
        <v>0</v>
      </c>
      <c r="D2404" s="9" cm="1">
        <f t="array" ref="D2404">IFERROR(_xlfn.XLOOKUP(B2404,Personal!$A:$A,Personal!$C:$C,""),"")</f>
        <v>0</v>
      </c>
      <c r="E2404" s="9" t="str" cm="1">
        <f t="array" ref="E2404">IFERROR(_xlfn.XLOOKUP(D2404,Locales!$A:$A,Locales!$B:$B,""),"")</f>
        <v/>
      </c>
      <c r="F2404" s="9" cm="1">
        <f t="array" ref="F2404">IFERROR(_xlfn.XLOOKUP(B2404,Personal!$A:$A,Personal!$F:$F,""),"")</f>
        <v>0</v>
      </c>
      <c r="I2404" s="10" cm="1">
        <f t="array" ref="I2404">IFERROR(INDEX(Precios!$D:$F,MATCH(N2404, Precios!$G:$G, 0),CHOOSE(MATCH(H2404, {"SML";"XL";"XXL"}, 0), 1, 2, 3)), 0)</f>
        <v>0</v>
      </c>
      <c r="K2404" s="10">
        <f t="shared" si="82"/>
        <v>0</v>
      </c>
      <c r="N2404" s="9" t="str">
        <f t="shared" si="83"/>
        <v/>
      </c>
      <c r="O2404" s="9" t="str">
        <f>IF(N2404="","",IF(COUNTIF(Precios!$G:$G,N2404)=0,"⚠ No coincide con Precios","OK"))</f>
        <v/>
      </c>
    </row>
    <row r="2405" spans="3:15" x14ac:dyDescent="0.2">
      <c r="C2405" s="9" cm="1">
        <f t="array" ref="C2405">IFERROR(_xlfn.XLOOKUP(B2405,Personal!$A:$A,Personal!$D:$D,""),"")</f>
        <v>0</v>
      </c>
      <c r="D2405" s="9" cm="1">
        <f t="array" ref="D2405">IFERROR(_xlfn.XLOOKUP(B2405,Personal!$A:$A,Personal!$C:$C,""),"")</f>
        <v>0</v>
      </c>
      <c r="E2405" s="9" t="str" cm="1">
        <f t="array" ref="E2405">IFERROR(_xlfn.XLOOKUP(D2405,Locales!$A:$A,Locales!$B:$B,""),"")</f>
        <v/>
      </c>
      <c r="F2405" s="9" cm="1">
        <f t="array" ref="F2405">IFERROR(_xlfn.XLOOKUP(B2405,Personal!$A:$A,Personal!$F:$F,""),"")</f>
        <v>0</v>
      </c>
      <c r="I2405" s="10" cm="1">
        <f t="array" ref="I2405">IFERROR(INDEX(Precios!$D:$F,MATCH(N2405, Precios!$G:$G, 0),CHOOSE(MATCH(H2405, {"SML";"XL";"XXL"}, 0), 1, 2, 3)), 0)</f>
        <v>0</v>
      </c>
      <c r="K2405" s="10">
        <f t="shared" si="82"/>
        <v>0</v>
      </c>
      <c r="N2405" s="9" t="str">
        <f t="shared" si="83"/>
        <v/>
      </c>
      <c r="O2405" s="9" t="str">
        <f>IF(N2405="","",IF(COUNTIF(Precios!$G:$G,N2405)=0,"⚠ No coincide con Precios","OK"))</f>
        <v/>
      </c>
    </row>
    <row r="2406" spans="3:15" x14ac:dyDescent="0.2">
      <c r="C2406" s="9" cm="1">
        <f t="array" ref="C2406">IFERROR(_xlfn.XLOOKUP(B2406,Personal!$A:$A,Personal!$D:$D,""),"")</f>
        <v>0</v>
      </c>
      <c r="D2406" s="9" cm="1">
        <f t="array" ref="D2406">IFERROR(_xlfn.XLOOKUP(B2406,Personal!$A:$A,Personal!$C:$C,""),"")</f>
        <v>0</v>
      </c>
      <c r="E2406" s="9" t="str" cm="1">
        <f t="array" ref="E2406">IFERROR(_xlfn.XLOOKUP(D2406,Locales!$A:$A,Locales!$B:$B,""),"")</f>
        <v/>
      </c>
      <c r="F2406" s="9" cm="1">
        <f t="array" ref="F2406">IFERROR(_xlfn.XLOOKUP(B2406,Personal!$A:$A,Personal!$F:$F,""),"")</f>
        <v>0</v>
      </c>
      <c r="I2406" s="10" cm="1">
        <f t="array" ref="I2406">IFERROR(INDEX(Precios!$D:$F,MATCH(N2406, Precios!$G:$G, 0),CHOOSE(MATCH(H2406, {"SML";"XL";"XXL"}, 0), 1, 2, 3)), 0)</f>
        <v>0</v>
      </c>
      <c r="K2406" s="10">
        <f t="shared" si="82"/>
        <v>0</v>
      </c>
      <c r="N2406" s="9" t="str">
        <f t="shared" si="83"/>
        <v/>
      </c>
      <c r="O2406" s="9" t="str">
        <f>IF(N2406="","",IF(COUNTIF(Precios!$G:$G,N2406)=0,"⚠ No coincide con Precios","OK"))</f>
        <v/>
      </c>
    </row>
    <row r="2407" spans="3:15" x14ac:dyDescent="0.2">
      <c r="C2407" s="9" cm="1">
        <f t="array" ref="C2407">IFERROR(_xlfn.XLOOKUP(B2407,Personal!$A:$A,Personal!$D:$D,""),"")</f>
        <v>0</v>
      </c>
      <c r="D2407" s="9" cm="1">
        <f t="array" ref="D2407">IFERROR(_xlfn.XLOOKUP(B2407,Personal!$A:$A,Personal!$C:$C,""),"")</f>
        <v>0</v>
      </c>
      <c r="E2407" s="9" t="str" cm="1">
        <f t="array" ref="E2407">IFERROR(_xlfn.XLOOKUP(D2407,Locales!$A:$A,Locales!$B:$B,""),"")</f>
        <v/>
      </c>
      <c r="F2407" s="9" cm="1">
        <f t="array" ref="F2407">IFERROR(_xlfn.XLOOKUP(B2407,Personal!$A:$A,Personal!$F:$F,""),"")</f>
        <v>0</v>
      </c>
      <c r="I2407" s="10" cm="1">
        <f t="array" ref="I2407">IFERROR(INDEX(Precios!$D:$F,MATCH(N2407, Precios!$G:$G, 0),CHOOSE(MATCH(H2407, {"SML";"XL";"XXL"}, 0), 1, 2, 3)), 0)</f>
        <v>0</v>
      </c>
      <c r="K2407" s="10">
        <f t="shared" si="82"/>
        <v>0</v>
      </c>
      <c r="N2407" s="9" t="str">
        <f t="shared" si="83"/>
        <v/>
      </c>
      <c r="O2407" s="9" t="str">
        <f>IF(N2407="","",IF(COUNTIF(Precios!$G:$G,N2407)=0,"⚠ No coincide con Precios","OK"))</f>
        <v/>
      </c>
    </row>
    <row r="2408" spans="3:15" x14ac:dyDescent="0.2">
      <c r="C2408" s="9" cm="1">
        <f t="array" ref="C2408">IFERROR(_xlfn.XLOOKUP(B2408,Personal!$A:$A,Personal!$D:$D,""),"")</f>
        <v>0</v>
      </c>
      <c r="D2408" s="9" cm="1">
        <f t="array" ref="D2408">IFERROR(_xlfn.XLOOKUP(B2408,Personal!$A:$A,Personal!$C:$C,""),"")</f>
        <v>0</v>
      </c>
      <c r="E2408" s="9" t="str" cm="1">
        <f t="array" ref="E2408">IFERROR(_xlfn.XLOOKUP(D2408,Locales!$A:$A,Locales!$B:$B,""),"")</f>
        <v/>
      </c>
      <c r="F2408" s="9" cm="1">
        <f t="array" ref="F2408">IFERROR(_xlfn.XLOOKUP(B2408,Personal!$A:$A,Personal!$F:$F,""),"")</f>
        <v>0</v>
      </c>
      <c r="I2408" s="10" cm="1">
        <f t="array" ref="I2408">IFERROR(INDEX(Precios!$D:$F,MATCH(N2408, Precios!$G:$G, 0),CHOOSE(MATCH(H2408, {"SML";"XL";"XXL"}, 0), 1, 2, 3)), 0)</f>
        <v>0</v>
      </c>
      <c r="K2408" s="10">
        <f t="shared" si="82"/>
        <v>0</v>
      </c>
      <c r="N2408" s="9" t="str">
        <f t="shared" si="83"/>
        <v/>
      </c>
      <c r="O2408" s="9" t="str">
        <f>IF(N2408="","",IF(COUNTIF(Precios!$G:$G,N2408)=0,"⚠ No coincide con Precios","OK"))</f>
        <v/>
      </c>
    </row>
    <row r="2409" spans="3:15" x14ac:dyDescent="0.2">
      <c r="C2409" s="9" cm="1">
        <f t="array" ref="C2409">IFERROR(_xlfn.XLOOKUP(B2409,Personal!$A:$A,Personal!$D:$D,""),"")</f>
        <v>0</v>
      </c>
      <c r="D2409" s="9" cm="1">
        <f t="array" ref="D2409">IFERROR(_xlfn.XLOOKUP(B2409,Personal!$A:$A,Personal!$C:$C,""),"")</f>
        <v>0</v>
      </c>
      <c r="E2409" s="9" t="str" cm="1">
        <f t="array" ref="E2409">IFERROR(_xlfn.XLOOKUP(D2409,Locales!$A:$A,Locales!$B:$B,""),"")</f>
        <v/>
      </c>
      <c r="F2409" s="9" cm="1">
        <f t="array" ref="F2409">IFERROR(_xlfn.XLOOKUP(B2409,Personal!$A:$A,Personal!$F:$F,""),"")</f>
        <v>0</v>
      </c>
      <c r="I2409" s="10" cm="1">
        <f t="array" ref="I2409">IFERROR(INDEX(Precios!$D:$F,MATCH(N2409, Precios!$G:$G, 0),CHOOSE(MATCH(H2409, {"SML";"XL";"XXL"}, 0), 1, 2, 3)), 0)</f>
        <v>0</v>
      </c>
      <c r="K2409" s="10">
        <f t="shared" si="82"/>
        <v>0</v>
      </c>
      <c r="N2409" s="9" t="str">
        <f t="shared" si="83"/>
        <v/>
      </c>
      <c r="O2409" s="9" t="str">
        <f>IF(N2409="","",IF(COUNTIF(Precios!$G:$G,N2409)=0,"⚠ No coincide con Precios","OK"))</f>
        <v/>
      </c>
    </row>
    <row r="2410" spans="3:15" x14ac:dyDescent="0.2">
      <c r="C2410" s="9" cm="1">
        <f t="array" ref="C2410">IFERROR(_xlfn.XLOOKUP(B2410,Personal!$A:$A,Personal!$D:$D,""),"")</f>
        <v>0</v>
      </c>
      <c r="D2410" s="9" cm="1">
        <f t="array" ref="D2410">IFERROR(_xlfn.XLOOKUP(B2410,Personal!$A:$A,Personal!$C:$C,""),"")</f>
        <v>0</v>
      </c>
      <c r="E2410" s="9" t="str" cm="1">
        <f t="array" ref="E2410">IFERROR(_xlfn.XLOOKUP(D2410,Locales!$A:$A,Locales!$B:$B,""),"")</f>
        <v/>
      </c>
      <c r="F2410" s="9" cm="1">
        <f t="array" ref="F2410">IFERROR(_xlfn.XLOOKUP(B2410,Personal!$A:$A,Personal!$F:$F,""),"")</f>
        <v>0</v>
      </c>
      <c r="I2410" s="10" cm="1">
        <f t="array" ref="I2410">IFERROR(INDEX(Precios!$D:$F,MATCH(N2410, Precios!$G:$G, 0),CHOOSE(MATCH(H2410, {"SML";"XL";"XXL"}, 0), 1, 2, 3)), 0)</f>
        <v>0</v>
      </c>
      <c r="K2410" s="10">
        <f t="shared" si="82"/>
        <v>0</v>
      </c>
      <c r="N2410" s="9" t="str">
        <f t="shared" si="83"/>
        <v/>
      </c>
      <c r="O2410" s="9" t="str">
        <f>IF(N2410="","",IF(COUNTIF(Precios!$G:$G,N2410)=0,"⚠ No coincide con Precios","OK"))</f>
        <v/>
      </c>
    </row>
    <row r="2411" spans="3:15" x14ac:dyDescent="0.2">
      <c r="C2411" s="9" cm="1">
        <f t="array" ref="C2411">IFERROR(_xlfn.XLOOKUP(B2411,Personal!$A:$A,Personal!$D:$D,""),"")</f>
        <v>0</v>
      </c>
      <c r="D2411" s="9" cm="1">
        <f t="array" ref="D2411">IFERROR(_xlfn.XLOOKUP(B2411,Personal!$A:$A,Personal!$C:$C,""),"")</f>
        <v>0</v>
      </c>
      <c r="E2411" s="9" t="str" cm="1">
        <f t="array" ref="E2411">IFERROR(_xlfn.XLOOKUP(D2411,Locales!$A:$A,Locales!$B:$B,""),"")</f>
        <v/>
      </c>
      <c r="F2411" s="9" cm="1">
        <f t="array" ref="F2411">IFERROR(_xlfn.XLOOKUP(B2411,Personal!$A:$A,Personal!$F:$F,""),"")</f>
        <v>0</v>
      </c>
      <c r="I2411" s="10" cm="1">
        <f t="array" ref="I2411">IFERROR(INDEX(Precios!$D:$F,MATCH(N2411, Precios!$G:$G, 0),CHOOSE(MATCH(H2411, {"SML";"XL";"XXL"}, 0), 1, 2, 3)), 0)</f>
        <v>0</v>
      </c>
      <c r="K2411" s="10">
        <f t="shared" si="82"/>
        <v>0</v>
      </c>
      <c r="N2411" s="9" t="str">
        <f t="shared" si="83"/>
        <v/>
      </c>
      <c r="O2411" s="9" t="str">
        <f>IF(N2411="","",IF(COUNTIF(Precios!$G:$G,N2411)=0,"⚠ No coincide con Precios","OK"))</f>
        <v/>
      </c>
    </row>
    <row r="2412" spans="3:15" x14ac:dyDescent="0.2">
      <c r="C2412" s="9" cm="1">
        <f t="array" ref="C2412">IFERROR(_xlfn.XLOOKUP(B2412,Personal!$A:$A,Personal!$D:$D,""),"")</f>
        <v>0</v>
      </c>
      <c r="D2412" s="9" cm="1">
        <f t="array" ref="D2412">IFERROR(_xlfn.XLOOKUP(B2412,Personal!$A:$A,Personal!$C:$C,""),"")</f>
        <v>0</v>
      </c>
      <c r="E2412" s="9" t="str" cm="1">
        <f t="array" ref="E2412">IFERROR(_xlfn.XLOOKUP(D2412,Locales!$A:$A,Locales!$B:$B,""),"")</f>
        <v/>
      </c>
      <c r="F2412" s="9" cm="1">
        <f t="array" ref="F2412">IFERROR(_xlfn.XLOOKUP(B2412,Personal!$A:$A,Personal!$F:$F,""),"")</f>
        <v>0</v>
      </c>
      <c r="I2412" s="10" cm="1">
        <f t="array" ref="I2412">IFERROR(INDEX(Precios!$D:$F,MATCH(N2412, Precios!$G:$G, 0),CHOOSE(MATCH(H2412, {"SML";"XL";"XXL"}, 0), 1, 2, 3)), 0)</f>
        <v>0</v>
      </c>
      <c r="K2412" s="10">
        <f t="shared" si="82"/>
        <v>0</v>
      </c>
      <c r="N2412" s="9" t="str">
        <f t="shared" si="83"/>
        <v/>
      </c>
      <c r="O2412" s="9" t="str">
        <f>IF(N2412="","",IF(COUNTIF(Precios!$G:$G,N2412)=0,"⚠ No coincide con Precios","OK"))</f>
        <v/>
      </c>
    </row>
    <row r="2413" spans="3:15" x14ac:dyDescent="0.2">
      <c r="C2413" s="9" cm="1">
        <f t="array" ref="C2413">IFERROR(_xlfn.XLOOKUP(B2413,Personal!$A:$A,Personal!$D:$D,""),"")</f>
        <v>0</v>
      </c>
      <c r="D2413" s="9" cm="1">
        <f t="array" ref="D2413">IFERROR(_xlfn.XLOOKUP(B2413,Personal!$A:$A,Personal!$C:$C,""),"")</f>
        <v>0</v>
      </c>
      <c r="E2413" s="9" t="str" cm="1">
        <f t="array" ref="E2413">IFERROR(_xlfn.XLOOKUP(D2413,Locales!$A:$A,Locales!$B:$B,""),"")</f>
        <v/>
      </c>
      <c r="F2413" s="9" cm="1">
        <f t="array" ref="F2413">IFERROR(_xlfn.XLOOKUP(B2413,Personal!$A:$A,Personal!$F:$F,""),"")</f>
        <v>0</v>
      </c>
      <c r="I2413" s="10" cm="1">
        <f t="array" ref="I2413">IFERROR(INDEX(Precios!$D:$F,MATCH(N2413, Precios!$G:$G, 0),CHOOSE(MATCH(H2413, {"SML";"XL";"XXL"}, 0), 1, 2, 3)), 0)</f>
        <v>0</v>
      </c>
      <c r="K2413" s="10">
        <f t="shared" si="82"/>
        <v>0</v>
      </c>
      <c r="N2413" s="9" t="str">
        <f t="shared" si="83"/>
        <v/>
      </c>
      <c r="O2413" s="9" t="str">
        <f>IF(N2413="","",IF(COUNTIF(Precios!$G:$G,N2413)=0,"⚠ No coincide con Precios","OK"))</f>
        <v/>
      </c>
    </row>
    <row r="2414" spans="3:15" x14ac:dyDescent="0.2">
      <c r="C2414" s="9" cm="1">
        <f t="array" ref="C2414">IFERROR(_xlfn.XLOOKUP(B2414,Personal!$A:$A,Personal!$D:$D,""),"")</f>
        <v>0</v>
      </c>
      <c r="D2414" s="9" cm="1">
        <f t="array" ref="D2414">IFERROR(_xlfn.XLOOKUP(B2414,Personal!$A:$A,Personal!$C:$C,""),"")</f>
        <v>0</v>
      </c>
      <c r="E2414" s="9" t="str" cm="1">
        <f t="array" ref="E2414">IFERROR(_xlfn.XLOOKUP(D2414,Locales!$A:$A,Locales!$B:$B,""),"")</f>
        <v/>
      </c>
      <c r="F2414" s="9" cm="1">
        <f t="array" ref="F2414">IFERROR(_xlfn.XLOOKUP(B2414,Personal!$A:$A,Personal!$F:$F,""),"")</f>
        <v>0</v>
      </c>
      <c r="I2414" s="10" cm="1">
        <f t="array" ref="I2414">IFERROR(INDEX(Precios!$D:$F,MATCH(N2414, Precios!$G:$G, 0),CHOOSE(MATCH(H2414, {"SML";"XL";"XXL"}, 0), 1, 2, 3)), 0)</f>
        <v>0</v>
      </c>
      <c r="K2414" s="10">
        <f t="shared" si="82"/>
        <v>0</v>
      </c>
      <c r="N2414" s="9" t="str">
        <f t="shared" si="83"/>
        <v/>
      </c>
      <c r="O2414" s="9" t="str">
        <f>IF(N2414="","",IF(COUNTIF(Precios!$G:$G,N2414)=0,"⚠ No coincide con Precios","OK"))</f>
        <v/>
      </c>
    </row>
    <row r="2415" spans="3:15" x14ac:dyDescent="0.2">
      <c r="C2415" s="9" cm="1">
        <f t="array" ref="C2415">IFERROR(_xlfn.XLOOKUP(B2415,Personal!$A:$A,Personal!$D:$D,""),"")</f>
        <v>0</v>
      </c>
      <c r="D2415" s="9" cm="1">
        <f t="array" ref="D2415">IFERROR(_xlfn.XLOOKUP(B2415,Personal!$A:$A,Personal!$C:$C,""),"")</f>
        <v>0</v>
      </c>
      <c r="E2415" s="9" t="str" cm="1">
        <f t="array" ref="E2415">IFERROR(_xlfn.XLOOKUP(D2415,Locales!$A:$A,Locales!$B:$B,""),"")</f>
        <v/>
      </c>
      <c r="F2415" s="9" cm="1">
        <f t="array" ref="F2415">IFERROR(_xlfn.XLOOKUP(B2415,Personal!$A:$A,Personal!$F:$F,""),"")</f>
        <v>0</v>
      </c>
      <c r="I2415" s="10" cm="1">
        <f t="array" ref="I2415">IFERROR(INDEX(Precios!$D:$F,MATCH(N2415, Precios!$G:$G, 0),CHOOSE(MATCH(H2415, {"SML";"XL";"XXL"}, 0), 1, 2, 3)), 0)</f>
        <v>0</v>
      </c>
      <c r="K2415" s="10">
        <f t="shared" si="82"/>
        <v>0</v>
      </c>
      <c r="N2415" s="9" t="str">
        <f t="shared" si="83"/>
        <v/>
      </c>
      <c r="O2415" s="9" t="str">
        <f>IF(N2415="","",IF(COUNTIF(Precios!$G:$G,N2415)=0,"⚠ No coincide con Precios","OK"))</f>
        <v/>
      </c>
    </row>
    <row r="2416" spans="3:15" x14ac:dyDescent="0.2">
      <c r="C2416" s="9" cm="1">
        <f t="array" ref="C2416">IFERROR(_xlfn.XLOOKUP(B2416,Personal!$A:$A,Personal!$D:$D,""),"")</f>
        <v>0</v>
      </c>
      <c r="D2416" s="9" cm="1">
        <f t="array" ref="D2416">IFERROR(_xlfn.XLOOKUP(B2416,Personal!$A:$A,Personal!$C:$C,""),"")</f>
        <v>0</v>
      </c>
      <c r="E2416" s="9" t="str" cm="1">
        <f t="array" ref="E2416">IFERROR(_xlfn.XLOOKUP(D2416,Locales!$A:$A,Locales!$B:$B,""),"")</f>
        <v/>
      </c>
      <c r="F2416" s="9" cm="1">
        <f t="array" ref="F2416">IFERROR(_xlfn.XLOOKUP(B2416,Personal!$A:$A,Personal!$F:$F,""),"")</f>
        <v>0</v>
      </c>
      <c r="I2416" s="10" cm="1">
        <f t="array" ref="I2416">IFERROR(INDEX(Precios!$D:$F,MATCH(N2416, Precios!$G:$G, 0),CHOOSE(MATCH(H2416, {"SML";"XL";"XXL"}, 0), 1, 2, 3)), 0)</f>
        <v>0</v>
      </c>
      <c r="K2416" s="10">
        <f t="shared" si="82"/>
        <v>0</v>
      </c>
      <c r="N2416" s="9" t="str">
        <f t="shared" si="83"/>
        <v/>
      </c>
      <c r="O2416" s="9" t="str">
        <f>IF(N2416="","",IF(COUNTIF(Precios!$G:$G,N2416)=0,"⚠ No coincide con Precios","OK"))</f>
        <v/>
      </c>
    </row>
    <row r="2417" spans="3:15" x14ac:dyDescent="0.2">
      <c r="C2417" s="9" cm="1">
        <f t="array" ref="C2417">IFERROR(_xlfn.XLOOKUP(B2417,Personal!$A:$A,Personal!$D:$D,""),"")</f>
        <v>0</v>
      </c>
      <c r="D2417" s="9" cm="1">
        <f t="array" ref="D2417">IFERROR(_xlfn.XLOOKUP(B2417,Personal!$A:$A,Personal!$C:$C,""),"")</f>
        <v>0</v>
      </c>
      <c r="E2417" s="9" t="str" cm="1">
        <f t="array" ref="E2417">IFERROR(_xlfn.XLOOKUP(D2417,Locales!$A:$A,Locales!$B:$B,""),"")</f>
        <v/>
      </c>
      <c r="F2417" s="9" cm="1">
        <f t="array" ref="F2417">IFERROR(_xlfn.XLOOKUP(B2417,Personal!$A:$A,Personal!$F:$F,""),"")</f>
        <v>0</v>
      </c>
      <c r="I2417" s="10" cm="1">
        <f t="array" ref="I2417">IFERROR(INDEX(Precios!$D:$F,MATCH(N2417, Precios!$G:$G, 0),CHOOSE(MATCH(H2417, {"SML";"XL";"XXL"}, 0), 1, 2, 3)), 0)</f>
        <v>0</v>
      </c>
      <c r="K2417" s="10">
        <f t="shared" si="82"/>
        <v>0</v>
      </c>
      <c r="N2417" s="9" t="str">
        <f t="shared" si="83"/>
        <v/>
      </c>
      <c r="O2417" s="9" t="str">
        <f>IF(N2417="","",IF(COUNTIF(Precios!$G:$G,N2417)=0,"⚠ No coincide con Precios","OK"))</f>
        <v/>
      </c>
    </row>
    <row r="2418" spans="3:15" x14ac:dyDescent="0.2">
      <c r="C2418" s="9" cm="1">
        <f t="array" ref="C2418">IFERROR(_xlfn.XLOOKUP(B2418,Personal!$A:$A,Personal!$D:$D,""),"")</f>
        <v>0</v>
      </c>
      <c r="D2418" s="9" cm="1">
        <f t="array" ref="D2418">IFERROR(_xlfn.XLOOKUP(B2418,Personal!$A:$A,Personal!$C:$C,""),"")</f>
        <v>0</v>
      </c>
      <c r="E2418" s="9" t="str" cm="1">
        <f t="array" ref="E2418">IFERROR(_xlfn.XLOOKUP(D2418,Locales!$A:$A,Locales!$B:$B,""),"")</f>
        <v/>
      </c>
      <c r="F2418" s="9" cm="1">
        <f t="array" ref="F2418">IFERROR(_xlfn.XLOOKUP(B2418,Personal!$A:$A,Personal!$F:$F,""),"")</f>
        <v>0</v>
      </c>
      <c r="I2418" s="10" cm="1">
        <f t="array" ref="I2418">IFERROR(INDEX(Precios!$D:$F,MATCH(N2418, Precios!$G:$G, 0),CHOOSE(MATCH(H2418, {"SML";"XL";"XXL"}, 0), 1, 2, 3)), 0)</f>
        <v>0</v>
      </c>
      <c r="K2418" s="10">
        <f t="shared" si="82"/>
        <v>0</v>
      </c>
      <c r="N2418" s="9" t="str">
        <f t="shared" si="83"/>
        <v/>
      </c>
      <c r="O2418" s="9" t="str">
        <f>IF(N2418="","",IF(COUNTIF(Precios!$G:$G,N2418)=0,"⚠ No coincide con Precios","OK"))</f>
        <v/>
      </c>
    </row>
    <row r="2419" spans="3:15" x14ac:dyDescent="0.2">
      <c r="C2419" s="9" cm="1">
        <f t="array" ref="C2419">IFERROR(_xlfn.XLOOKUP(B2419,Personal!$A:$A,Personal!$D:$D,""),"")</f>
        <v>0</v>
      </c>
      <c r="D2419" s="9" cm="1">
        <f t="array" ref="D2419">IFERROR(_xlfn.XLOOKUP(B2419,Personal!$A:$A,Personal!$C:$C,""),"")</f>
        <v>0</v>
      </c>
      <c r="E2419" s="9" t="str" cm="1">
        <f t="array" ref="E2419">IFERROR(_xlfn.XLOOKUP(D2419,Locales!$A:$A,Locales!$B:$B,""),"")</f>
        <v/>
      </c>
      <c r="F2419" s="9" cm="1">
        <f t="array" ref="F2419">IFERROR(_xlfn.XLOOKUP(B2419,Personal!$A:$A,Personal!$F:$F,""),"")</f>
        <v>0</v>
      </c>
      <c r="I2419" s="10" cm="1">
        <f t="array" ref="I2419">IFERROR(INDEX(Precios!$D:$F,MATCH(N2419, Precios!$G:$G, 0),CHOOSE(MATCH(H2419, {"SML";"XL";"XXL"}, 0), 1, 2, 3)), 0)</f>
        <v>0</v>
      </c>
      <c r="K2419" s="10">
        <f t="shared" si="82"/>
        <v>0</v>
      </c>
      <c r="N2419" s="9" t="str">
        <f t="shared" si="83"/>
        <v/>
      </c>
      <c r="O2419" s="9" t="str">
        <f>IF(N2419="","",IF(COUNTIF(Precios!$G:$G,N2419)=0,"⚠ No coincide con Precios","OK"))</f>
        <v/>
      </c>
    </row>
    <row r="2420" spans="3:15" x14ac:dyDescent="0.2">
      <c r="C2420" s="9" cm="1">
        <f t="array" ref="C2420">IFERROR(_xlfn.XLOOKUP(B2420,Personal!$A:$A,Personal!$D:$D,""),"")</f>
        <v>0</v>
      </c>
      <c r="D2420" s="9" cm="1">
        <f t="array" ref="D2420">IFERROR(_xlfn.XLOOKUP(B2420,Personal!$A:$A,Personal!$C:$C,""),"")</f>
        <v>0</v>
      </c>
      <c r="E2420" s="9" t="str" cm="1">
        <f t="array" ref="E2420">IFERROR(_xlfn.XLOOKUP(D2420,Locales!$A:$A,Locales!$B:$B,""),"")</f>
        <v/>
      </c>
      <c r="F2420" s="9" cm="1">
        <f t="array" ref="F2420">IFERROR(_xlfn.XLOOKUP(B2420,Personal!$A:$A,Personal!$F:$F,""),"")</f>
        <v>0</v>
      </c>
      <c r="I2420" s="10" cm="1">
        <f t="array" ref="I2420">IFERROR(INDEX(Precios!$D:$F,MATCH(N2420, Precios!$G:$G, 0),CHOOSE(MATCH(H2420, {"SML";"XL";"XXL"}, 0), 1, 2, 3)), 0)</f>
        <v>0</v>
      </c>
      <c r="K2420" s="10">
        <f t="shared" si="82"/>
        <v>0</v>
      </c>
      <c r="N2420" s="9" t="str">
        <f t="shared" si="83"/>
        <v/>
      </c>
      <c r="O2420" s="9" t="str">
        <f>IF(N2420="","",IF(COUNTIF(Precios!$G:$G,N2420)=0,"⚠ No coincide con Precios","OK"))</f>
        <v/>
      </c>
    </row>
    <row r="2421" spans="3:15" x14ac:dyDescent="0.2">
      <c r="C2421" s="9" cm="1">
        <f t="array" ref="C2421">IFERROR(_xlfn.XLOOKUP(B2421,Personal!$A:$A,Personal!$D:$D,""),"")</f>
        <v>0</v>
      </c>
      <c r="D2421" s="9" cm="1">
        <f t="array" ref="D2421">IFERROR(_xlfn.XLOOKUP(B2421,Personal!$A:$A,Personal!$C:$C,""),"")</f>
        <v>0</v>
      </c>
      <c r="E2421" s="9" t="str" cm="1">
        <f t="array" ref="E2421">IFERROR(_xlfn.XLOOKUP(D2421,Locales!$A:$A,Locales!$B:$B,""),"")</f>
        <v/>
      </c>
      <c r="F2421" s="9" cm="1">
        <f t="array" ref="F2421">IFERROR(_xlfn.XLOOKUP(B2421,Personal!$A:$A,Personal!$F:$F,""),"")</f>
        <v>0</v>
      </c>
      <c r="I2421" s="10" cm="1">
        <f t="array" ref="I2421">IFERROR(INDEX(Precios!$D:$F,MATCH(N2421, Precios!$G:$G, 0),CHOOSE(MATCH(H2421, {"SML";"XL";"XXL"}, 0), 1, 2, 3)), 0)</f>
        <v>0</v>
      </c>
      <c r="K2421" s="10">
        <f t="shared" si="82"/>
        <v>0</v>
      </c>
      <c r="N2421" s="9" t="str">
        <f t="shared" si="83"/>
        <v/>
      </c>
      <c r="O2421" s="9" t="str">
        <f>IF(N2421="","",IF(COUNTIF(Precios!$G:$G,N2421)=0,"⚠ No coincide con Precios","OK"))</f>
        <v/>
      </c>
    </row>
    <row r="2422" spans="3:15" x14ac:dyDescent="0.2">
      <c r="C2422" s="9" cm="1">
        <f t="array" ref="C2422">IFERROR(_xlfn.XLOOKUP(B2422,Personal!$A:$A,Personal!$D:$D,""),"")</f>
        <v>0</v>
      </c>
      <c r="D2422" s="9" cm="1">
        <f t="array" ref="D2422">IFERROR(_xlfn.XLOOKUP(B2422,Personal!$A:$A,Personal!$C:$C,""),"")</f>
        <v>0</v>
      </c>
      <c r="E2422" s="9" t="str" cm="1">
        <f t="array" ref="E2422">IFERROR(_xlfn.XLOOKUP(D2422,Locales!$A:$A,Locales!$B:$B,""),"")</f>
        <v/>
      </c>
      <c r="F2422" s="9" cm="1">
        <f t="array" ref="F2422">IFERROR(_xlfn.XLOOKUP(B2422,Personal!$A:$A,Personal!$F:$F,""),"")</f>
        <v>0</v>
      </c>
      <c r="I2422" s="10" cm="1">
        <f t="array" ref="I2422">IFERROR(INDEX(Precios!$D:$F,MATCH(N2422, Precios!$G:$G, 0),CHOOSE(MATCH(H2422, {"SML";"XL";"XXL"}, 0), 1, 2, 3)), 0)</f>
        <v>0</v>
      </c>
      <c r="K2422" s="10">
        <f t="shared" si="82"/>
        <v>0</v>
      </c>
      <c r="N2422" s="9" t="str">
        <f t="shared" si="83"/>
        <v/>
      </c>
      <c r="O2422" s="9" t="str">
        <f>IF(N2422="","",IF(COUNTIF(Precios!$G:$G,N2422)=0,"⚠ No coincide con Precios","OK"))</f>
        <v/>
      </c>
    </row>
    <row r="2423" spans="3:15" x14ac:dyDescent="0.2">
      <c r="C2423" s="9" cm="1">
        <f t="array" ref="C2423">IFERROR(_xlfn.XLOOKUP(B2423,Personal!$A:$A,Personal!$D:$D,""),"")</f>
        <v>0</v>
      </c>
      <c r="D2423" s="9" cm="1">
        <f t="array" ref="D2423">IFERROR(_xlfn.XLOOKUP(B2423,Personal!$A:$A,Personal!$C:$C,""),"")</f>
        <v>0</v>
      </c>
      <c r="E2423" s="9" t="str" cm="1">
        <f t="array" ref="E2423">IFERROR(_xlfn.XLOOKUP(D2423,Locales!$A:$A,Locales!$B:$B,""),"")</f>
        <v/>
      </c>
      <c r="F2423" s="9" cm="1">
        <f t="array" ref="F2423">IFERROR(_xlfn.XLOOKUP(B2423,Personal!$A:$A,Personal!$F:$F,""),"")</f>
        <v>0</v>
      </c>
      <c r="I2423" s="10" cm="1">
        <f t="array" ref="I2423">IFERROR(INDEX(Precios!$D:$F,MATCH(N2423, Precios!$G:$G, 0),CHOOSE(MATCH(H2423, {"SML";"XL";"XXL"}, 0), 1, 2, 3)), 0)</f>
        <v>0</v>
      </c>
      <c r="K2423" s="10">
        <f t="shared" si="82"/>
        <v>0</v>
      </c>
      <c r="N2423" s="9" t="str">
        <f t="shared" si="83"/>
        <v/>
      </c>
      <c r="O2423" s="9" t="str">
        <f>IF(N2423="","",IF(COUNTIF(Precios!$G:$G,N2423)=0,"⚠ No coincide con Precios","OK"))</f>
        <v/>
      </c>
    </row>
    <row r="2424" spans="3:15" x14ac:dyDescent="0.2">
      <c r="C2424" s="9" cm="1">
        <f t="array" ref="C2424">IFERROR(_xlfn.XLOOKUP(B2424,Personal!$A:$A,Personal!$D:$D,""),"")</f>
        <v>0</v>
      </c>
      <c r="D2424" s="9" cm="1">
        <f t="array" ref="D2424">IFERROR(_xlfn.XLOOKUP(B2424,Personal!$A:$A,Personal!$C:$C,""),"")</f>
        <v>0</v>
      </c>
      <c r="E2424" s="9" t="str" cm="1">
        <f t="array" ref="E2424">IFERROR(_xlfn.XLOOKUP(D2424,Locales!$A:$A,Locales!$B:$B,""),"")</f>
        <v/>
      </c>
      <c r="F2424" s="9" cm="1">
        <f t="array" ref="F2424">IFERROR(_xlfn.XLOOKUP(B2424,Personal!$A:$A,Personal!$F:$F,""),"")</f>
        <v>0</v>
      </c>
      <c r="I2424" s="10" cm="1">
        <f t="array" ref="I2424">IFERROR(INDEX(Precios!$D:$F,MATCH(N2424, Precios!$G:$G, 0),CHOOSE(MATCH(H2424, {"SML";"XL";"XXL"}, 0), 1, 2, 3)), 0)</f>
        <v>0</v>
      </c>
      <c r="K2424" s="10">
        <f t="shared" si="82"/>
        <v>0</v>
      </c>
      <c r="N2424" s="9" t="str">
        <f t="shared" si="83"/>
        <v/>
      </c>
      <c r="O2424" s="9" t="str">
        <f>IF(N2424="","",IF(COUNTIF(Precios!$G:$G,N2424)=0,"⚠ No coincide con Precios","OK"))</f>
        <v/>
      </c>
    </row>
    <row r="2425" spans="3:15" x14ac:dyDescent="0.2">
      <c r="C2425" s="9" cm="1">
        <f t="array" ref="C2425">IFERROR(_xlfn.XLOOKUP(B2425,Personal!$A:$A,Personal!$D:$D,""),"")</f>
        <v>0</v>
      </c>
      <c r="D2425" s="9" cm="1">
        <f t="array" ref="D2425">IFERROR(_xlfn.XLOOKUP(B2425,Personal!$A:$A,Personal!$C:$C,""),"")</f>
        <v>0</v>
      </c>
      <c r="E2425" s="9" t="str" cm="1">
        <f t="array" ref="E2425">IFERROR(_xlfn.XLOOKUP(D2425,Locales!$A:$A,Locales!$B:$B,""),"")</f>
        <v/>
      </c>
      <c r="F2425" s="9" cm="1">
        <f t="array" ref="F2425">IFERROR(_xlfn.XLOOKUP(B2425,Personal!$A:$A,Personal!$F:$F,""),"")</f>
        <v>0</v>
      </c>
      <c r="I2425" s="10" cm="1">
        <f t="array" ref="I2425">IFERROR(INDEX(Precios!$D:$F,MATCH(N2425, Precios!$G:$G, 0),CHOOSE(MATCH(H2425, {"SML";"XL";"XXL"}, 0), 1, 2, 3)), 0)</f>
        <v>0</v>
      </c>
      <c r="K2425" s="10">
        <f t="shared" si="82"/>
        <v>0</v>
      </c>
      <c r="N2425" s="9" t="str">
        <f t="shared" si="83"/>
        <v/>
      </c>
      <c r="O2425" s="9" t="str">
        <f>IF(N2425="","",IF(COUNTIF(Precios!$G:$G,N2425)=0,"⚠ No coincide con Precios","OK"))</f>
        <v/>
      </c>
    </row>
    <row r="2426" spans="3:15" x14ac:dyDescent="0.2">
      <c r="C2426" s="9" cm="1">
        <f t="array" ref="C2426">IFERROR(_xlfn.XLOOKUP(B2426,Personal!$A:$A,Personal!$D:$D,""),"")</f>
        <v>0</v>
      </c>
      <c r="D2426" s="9" cm="1">
        <f t="array" ref="D2426">IFERROR(_xlfn.XLOOKUP(B2426,Personal!$A:$A,Personal!$C:$C,""),"")</f>
        <v>0</v>
      </c>
      <c r="E2426" s="9" t="str" cm="1">
        <f t="array" ref="E2426">IFERROR(_xlfn.XLOOKUP(D2426,Locales!$A:$A,Locales!$B:$B,""),"")</f>
        <v/>
      </c>
      <c r="F2426" s="9" cm="1">
        <f t="array" ref="F2426">IFERROR(_xlfn.XLOOKUP(B2426,Personal!$A:$A,Personal!$F:$F,""),"")</f>
        <v>0</v>
      </c>
      <c r="I2426" s="10" cm="1">
        <f t="array" ref="I2426">IFERROR(INDEX(Precios!$D:$F,MATCH(N2426, Precios!$G:$G, 0),CHOOSE(MATCH(H2426, {"SML";"XL";"XXL"}, 0), 1, 2, 3)), 0)</f>
        <v>0</v>
      </c>
      <c r="K2426" s="10">
        <f t="shared" si="82"/>
        <v>0</v>
      </c>
      <c r="N2426" s="9" t="str">
        <f t="shared" si="83"/>
        <v/>
      </c>
      <c r="O2426" s="9" t="str">
        <f>IF(N2426="","",IF(COUNTIF(Precios!$G:$G,N2426)=0,"⚠ No coincide con Precios","OK"))</f>
        <v/>
      </c>
    </row>
    <row r="2427" spans="3:15" x14ac:dyDescent="0.2">
      <c r="C2427" s="9" cm="1">
        <f t="array" ref="C2427">IFERROR(_xlfn.XLOOKUP(B2427,Personal!$A:$A,Personal!$D:$D,""),"")</f>
        <v>0</v>
      </c>
      <c r="D2427" s="9" cm="1">
        <f t="array" ref="D2427">IFERROR(_xlfn.XLOOKUP(B2427,Personal!$A:$A,Personal!$C:$C,""),"")</f>
        <v>0</v>
      </c>
      <c r="E2427" s="9" t="str" cm="1">
        <f t="array" ref="E2427">IFERROR(_xlfn.XLOOKUP(D2427,Locales!$A:$A,Locales!$B:$B,""),"")</f>
        <v/>
      </c>
      <c r="F2427" s="9" cm="1">
        <f t="array" ref="F2427">IFERROR(_xlfn.XLOOKUP(B2427,Personal!$A:$A,Personal!$F:$F,""),"")</f>
        <v>0</v>
      </c>
      <c r="I2427" s="10" cm="1">
        <f t="array" ref="I2427">IFERROR(INDEX(Precios!$D:$F,MATCH(N2427, Precios!$G:$G, 0),CHOOSE(MATCH(H2427, {"SML";"XL";"XXL"}, 0), 1, 2, 3)), 0)</f>
        <v>0</v>
      </c>
      <c r="K2427" s="10">
        <f t="shared" si="82"/>
        <v>0</v>
      </c>
      <c r="N2427" s="9" t="str">
        <f t="shared" si="83"/>
        <v/>
      </c>
      <c r="O2427" s="9" t="str">
        <f>IF(N2427="","",IF(COUNTIF(Precios!$G:$G,N2427)=0,"⚠ No coincide con Precios","OK"))</f>
        <v/>
      </c>
    </row>
    <row r="2428" spans="3:15" x14ac:dyDescent="0.2">
      <c r="C2428" s="9" cm="1">
        <f t="array" ref="C2428">IFERROR(_xlfn.XLOOKUP(B2428,Personal!$A:$A,Personal!$D:$D,""),"")</f>
        <v>0</v>
      </c>
      <c r="D2428" s="9" cm="1">
        <f t="array" ref="D2428">IFERROR(_xlfn.XLOOKUP(B2428,Personal!$A:$A,Personal!$C:$C,""),"")</f>
        <v>0</v>
      </c>
      <c r="E2428" s="9" t="str" cm="1">
        <f t="array" ref="E2428">IFERROR(_xlfn.XLOOKUP(D2428,Locales!$A:$A,Locales!$B:$B,""),"")</f>
        <v/>
      </c>
      <c r="F2428" s="9" cm="1">
        <f t="array" ref="F2428">IFERROR(_xlfn.XLOOKUP(B2428,Personal!$A:$A,Personal!$F:$F,""),"")</f>
        <v>0</v>
      </c>
      <c r="I2428" s="10" cm="1">
        <f t="array" ref="I2428">IFERROR(INDEX(Precios!$D:$F,MATCH(N2428, Precios!$G:$G, 0),CHOOSE(MATCH(H2428, {"SML";"XL";"XXL"}, 0), 1, 2, 3)), 0)</f>
        <v>0</v>
      </c>
      <c r="K2428" s="10">
        <f t="shared" si="82"/>
        <v>0</v>
      </c>
      <c r="N2428" s="9" t="str">
        <f t="shared" si="83"/>
        <v/>
      </c>
      <c r="O2428" s="9" t="str">
        <f>IF(N2428="","",IF(COUNTIF(Precios!$G:$G,N2428)=0,"⚠ No coincide con Precios","OK"))</f>
        <v/>
      </c>
    </row>
    <row r="2429" spans="3:15" x14ac:dyDescent="0.2">
      <c r="C2429" s="9" cm="1">
        <f t="array" ref="C2429">IFERROR(_xlfn.XLOOKUP(B2429,Personal!$A:$A,Personal!$D:$D,""),"")</f>
        <v>0</v>
      </c>
      <c r="D2429" s="9" cm="1">
        <f t="array" ref="D2429">IFERROR(_xlfn.XLOOKUP(B2429,Personal!$A:$A,Personal!$C:$C,""),"")</f>
        <v>0</v>
      </c>
      <c r="E2429" s="9" t="str" cm="1">
        <f t="array" ref="E2429">IFERROR(_xlfn.XLOOKUP(D2429,Locales!$A:$A,Locales!$B:$B,""),"")</f>
        <v/>
      </c>
      <c r="F2429" s="9" cm="1">
        <f t="array" ref="F2429">IFERROR(_xlfn.XLOOKUP(B2429,Personal!$A:$A,Personal!$F:$F,""),"")</f>
        <v>0</v>
      </c>
      <c r="I2429" s="10" cm="1">
        <f t="array" ref="I2429">IFERROR(INDEX(Precios!$D:$F,MATCH(N2429, Precios!$G:$G, 0),CHOOSE(MATCH(H2429, {"SML";"XL";"XXL"}, 0), 1, 2, 3)), 0)</f>
        <v>0</v>
      </c>
      <c r="K2429" s="10">
        <f t="shared" si="82"/>
        <v>0</v>
      </c>
      <c r="N2429" s="9" t="str">
        <f t="shared" si="83"/>
        <v/>
      </c>
      <c r="O2429" s="9" t="str">
        <f>IF(N2429="","",IF(COUNTIF(Precios!$G:$G,N2429)=0,"⚠ No coincide con Precios","OK"))</f>
        <v/>
      </c>
    </row>
    <row r="2430" spans="3:15" x14ac:dyDescent="0.2">
      <c r="C2430" s="9" cm="1">
        <f t="array" ref="C2430">IFERROR(_xlfn.XLOOKUP(B2430,Personal!$A:$A,Personal!$D:$D,""),"")</f>
        <v>0</v>
      </c>
      <c r="D2430" s="9" cm="1">
        <f t="array" ref="D2430">IFERROR(_xlfn.XLOOKUP(B2430,Personal!$A:$A,Personal!$C:$C,""),"")</f>
        <v>0</v>
      </c>
      <c r="E2430" s="9" t="str" cm="1">
        <f t="array" ref="E2430">IFERROR(_xlfn.XLOOKUP(D2430,Locales!$A:$A,Locales!$B:$B,""),"")</f>
        <v/>
      </c>
      <c r="F2430" s="9" cm="1">
        <f t="array" ref="F2430">IFERROR(_xlfn.XLOOKUP(B2430,Personal!$A:$A,Personal!$F:$F,""),"")</f>
        <v>0</v>
      </c>
      <c r="I2430" s="10" cm="1">
        <f t="array" ref="I2430">IFERROR(INDEX(Precios!$D:$F,MATCH(N2430, Precios!$G:$G, 0),CHOOSE(MATCH(H2430, {"SML";"XL";"XXL"}, 0), 1, 2, 3)), 0)</f>
        <v>0</v>
      </c>
      <c r="K2430" s="10">
        <f t="shared" si="82"/>
        <v>0</v>
      </c>
      <c r="N2430" s="9" t="str">
        <f t="shared" si="83"/>
        <v/>
      </c>
      <c r="O2430" s="9" t="str">
        <f>IF(N2430="","",IF(COUNTIF(Precios!$G:$G,N2430)=0,"⚠ No coincide con Precios","OK"))</f>
        <v/>
      </c>
    </row>
    <row r="2431" spans="3:15" x14ac:dyDescent="0.2">
      <c r="C2431" s="9" cm="1">
        <f t="array" ref="C2431">IFERROR(_xlfn.XLOOKUP(B2431,Personal!$A:$A,Personal!$D:$D,""),"")</f>
        <v>0</v>
      </c>
      <c r="D2431" s="9" cm="1">
        <f t="array" ref="D2431">IFERROR(_xlfn.XLOOKUP(B2431,Personal!$A:$A,Personal!$C:$C,""),"")</f>
        <v>0</v>
      </c>
      <c r="E2431" s="9" t="str" cm="1">
        <f t="array" ref="E2431">IFERROR(_xlfn.XLOOKUP(D2431,Locales!$A:$A,Locales!$B:$B,""),"")</f>
        <v/>
      </c>
      <c r="F2431" s="9" cm="1">
        <f t="array" ref="F2431">IFERROR(_xlfn.XLOOKUP(B2431,Personal!$A:$A,Personal!$F:$F,""),"")</f>
        <v>0</v>
      </c>
      <c r="I2431" s="10" cm="1">
        <f t="array" ref="I2431">IFERROR(INDEX(Precios!$D:$F,MATCH(N2431, Precios!$G:$G, 0),CHOOSE(MATCH(H2431, {"SML";"XL";"XXL"}, 0), 1, 2, 3)), 0)</f>
        <v>0</v>
      </c>
      <c r="K2431" s="10">
        <f t="shared" si="82"/>
        <v>0</v>
      </c>
      <c r="N2431" s="9" t="str">
        <f t="shared" si="83"/>
        <v/>
      </c>
      <c r="O2431" s="9" t="str">
        <f>IF(N2431="","",IF(COUNTIF(Precios!$G:$G,N2431)=0,"⚠ No coincide con Precios","OK"))</f>
        <v/>
      </c>
    </row>
    <row r="2432" spans="3:15" x14ac:dyDescent="0.2">
      <c r="C2432" s="9" cm="1">
        <f t="array" ref="C2432">IFERROR(_xlfn.XLOOKUP(B2432,Personal!$A:$A,Personal!$D:$D,""),"")</f>
        <v>0</v>
      </c>
      <c r="D2432" s="9" cm="1">
        <f t="array" ref="D2432">IFERROR(_xlfn.XLOOKUP(B2432,Personal!$A:$A,Personal!$C:$C,""),"")</f>
        <v>0</v>
      </c>
      <c r="E2432" s="9" t="str" cm="1">
        <f t="array" ref="E2432">IFERROR(_xlfn.XLOOKUP(D2432,Locales!$A:$A,Locales!$B:$B,""),"")</f>
        <v/>
      </c>
      <c r="F2432" s="9" cm="1">
        <f t="array" ref="F2432">IFERROR(_xlfn.XLOOKUP(B2432,Personal!$A:$A,Personal!$F:$F,""),"")</f>
        <v>0</v>
      </c>
      <c r="I2432" s="10" cm="1">
        <f t="array" ref="I2432">IFERROR(INDEX(Precios!$D:$F,MATCH(N2432, Precios!$G:$G, 0),CHOOSE(MATCH(H2432, {"SML";"XL";"XXL"}, 0), 1, 2, 3)), 0)</f>
        <v>0</v>
      </c>
      <c r="K2432" s="10">
        <f t="shared" ref="K2432:K2495" si="84">IFERROR(I2432*J2432,0)</f>
        <v>0</v>
      </c>
      <c r="N2432" s="9" t="str">
        <f t="shared" ref="N2432:N2495" si="85">IF( OR(E2432="",F2432="",G2432=""), "",CLEAN(TRIM(E2432)) &amp; "|" &amp; CLEAN(TRIM(F2432)) &amp; "|" &amp; CLEAN(TRIM(G2432)))</f>
        <v/>
      </c>
      <c r="O2432" s="9" t="str">
        <f>IF(N2432="","",IF(COUNTIF(Precios!$G:$G,N2432)=0,"⚠ No coincide con Precios","OK"))</f>
        <v/>
      </c>
    </row>
    <row r="2433" spans="3:15" x14ac:dyDescent="0.2">
      <c r="C2433" s="9" cm="1">
        <f t="array" ref="C2433">IFERROR(_xlfn.XLOOKUP(B2433,Personal!$A:$A,Personal!$D:$D,""),"")</f>
        <v>0</v>
      </c>
      <c r="D2433" s="9" cm="1">
        <f t="array" ref="D2433">IFERROR(_xlfn.XLOOKUP(B2433,Personal!$A:$A,Personal!$C:$C,""),"")</f>
        <v>0</v>
      </c>
      <c r="E2433" s="9" t="str" cm="1">
        <f t="array" ref="E2433">IFERROR(_xlfn.XLOOKUP(D2433,Locales!$A:$A,Locales!$B:$B,""),"")</f>
        <v/>
      </c>
      <c r="F2433" s="9" cm="1">
        <f t="array" ref="F2433">IFERROR(_xlfn.XLOOKUP(B2433,Personal!$A:$A,Personal!$F:$F,""),"")</f>
        <v>0</v>
      </c>
      <c r="I2433" s="10" cm="1">
        <f t="array" ref="I2433">IFERROR(INDEX(Precios!$D:$F,MATCH(N2433, Precios!$G:$G, 0),CHOOSE(MATCH(H2433, {"SML";"XL";"XXL"}, 0), 1, 2, 3)), 0)</f>
        <v>0</v>
      </c>
      <c r="K2433" s="10">
        <f t="shared" si="84"/>
        <v>0</v>
      </c>
      <c r="N2433" s="9" t="str">
        <f t="shared" si="85"/>
        <v/>
      </c>
      <c r="O2433" s="9" t="str">
        <f>IF(N2433="","",IF(COUNTIF(Precios!$G:$G,N2433)=0,"⚠ No coincide con Precios","OK"))</f>
        <v/>
      </c>
    </row>
    <row r="2434" spans="3:15" x14ac:dyDescent="0.2">
      <c r="C2434" s="9" cm="1">
        <f t="array" ref="C2434">IFERROR(_xlfn.XLOOKUP(B2434,Personal!$A:$A,Personal!$D:$D,""),"")</f>
        <v>0</v>
      </c>
      <c r="D2434" s="9" cm="1">
        <f t="array" ref="D2434">IFERROR(_xlfn.XLOOKUP(B2434,Personal!$A:$A,Personal!$C:$C,""),"")</f>
        <v>0</v>
      </c>
      <c r="E2434" s="9" t="str" cm="1">
        <f t="array" ref="E2434">IFERROR(_xlfn.XLOOKUP(D2434,Locales!$A:$A,Locales!$B:$B,""),"")</f>
        <v/>
      </c>
      <c r="F2434" s="9" cm="1">
        <f t="array" ref="F2434">IFERROR(_xlfn.XLOOKUP(B2434,Personal!$A:$A,Personal!$F:$F,""),"")</f>
        <v>0</v>
      </c>
      <c r="I2434" s="10" cm="1">
        <f t="array" ref="I2434">IFERROR(INDEX(Precios!$D:$F,MATCH(N2434, Precios!$G:$G, 0),CHOOSE(MATCH(H2434, {"SML";"XL";"XXL"}, 0), 1, 2, 3)), 0)</f>
        <v>0</v>
      </c>
      <c r="K2434" s="10">
        <f t="shared" si="84"/>
        <v>0</v>
      </c>
      <c r="N2434" s="9" t="str">
        <f t="shared" si="85"/>
        <v/>
      </c>
      <c r="O2434" s="9" t="str">
        <f>IF(N2434="","",IF(COUNTIF(Precios!$G:$G,N2434)=0,"⚠ No coincide con Precios","OK"))</f>
        <v/>
      </c>
    </row>
    <row r="2435" spans="3:15" x14ac:dyDescent="0.2">
      <c r="C2435" s="9" cm="1">
        <f t="array" ref="C2435">IFERROR(_xlfn.XLOOKUP(B2435,Personal!$A:$A,Personal!$D:$D,""),"")</f>
        <v>0</v>
      </c>
      <c r="D2435" s="9" cm="1">
        <f t="array" ref="D2435">IFERROR(_xlfn.XLOOKUP(B2435,Personal!$A:$A,Personal!$C:$C,""),"")</f>
        <v>0</v>
      </c>
      <c r="E2435" s="9" t="str" cm="1">
        <f t="array" ref="E2435">IFERROR(_xlfn.XLOOKUP(D2435,Locales!$A:$A,Locales!$B:$B,""),"")</f>
        <v/>
      </c>
      <c r="F2435" s="9" cm="1">
        <f t="array" ref="F2435">IFERROR(_xlfn.XLOOKUP(B2435,Personal!$A:$A,Personal!$F:$F,""),"")</f>
        <v>0</v>
      </c>
      <c r="I2435" s="10" cm="1">
        <f t="array" ref="I2435">IFERROR(INDEX(Precios!$D:$F,MATCH(N2435, Precios!$G:$G, 0),CHOOSE(MATCH(H2435, {"SML";"XL";"XXL"}, 0), 1, 2, 3)), 0)</f>
        <v>0</v>
      </c>
      <c r="K2435" s="10">
        <f t="shared" si="84"/>
        <v>0</v>
      </c>
      <c r="N2435" s="9" t="str">
        <f t="shared" si="85"/>
        <v/>
      </c>
      <c r="O2435" s="9" t="str">
        <f>IF(N2435="","",IF(COUNTIF(Precios!$G:$G,N2435)=0,"⚠ No coincide con Precios","OK"))</f>
        <v/>
      </c>
    </row>
    <row r="2436" spans="3:15" x14ac:dyDescent="0.2">
      <c r="C2436" s="9" cm="1">
        <f t="array" ref="C2436">IFERROR(_xlfn.XLOOKUP(B2436,Personal!$A:$A,Personal!$D:$D,""),"")</f>
        <v>0</v>
      </c>
      <c r="D2436" s="9" cm="1">
        <f t="array" ref="D2436">IFERROR(_xlfn.XLOOKUP(B2436,Personal!$A:$A,Personal!$C:$C,""),"")</f>
        <v>0</v>
      </c>
      <c r="E2436" s="9" t="str" cm="1">
        <f t="array" ref="E2436">IFERROR(_xlfn.XLOOKUP(D2436,Locales!$A:$A,Locales!$B:$B,""),"")</f>
        <v/>
      </c>
      <c r="F2436" s="9" cm="1">
        <f t="array" ref="F2436">IFERROR(_xlfn.XLOOKUP(B2436,Personal!$A:$A,Personal!$F:$F,""),"")</f>
        <v>0</v>
      </c>
      <c r="I2436" s="10" cm="1">
        <f t="array" ref="I2436">IFERROR(INDEX(Precios!$D:$F,MATCH(N2436, Precios!$G:$G, 0),CHOOSE(MATCH(H2436, {"SML";"XL";"XXL"}, 0), 1, 2, 3)), 0)</f>
        <v>0</v>
      </c>
      <c r="K2436" s="10">
        <f t="shared" si="84"/>
        <v>0</v>
      </c>
      <c r="N2436" s="9" t="str">
        <f t="shared" si="85"/>
        <v/>
      </c>
      <c r="O2436" s="9" t="str">
        <f>IF(N2436="","",IF(COUNTIF(Precios!$G:$G,N2436)=0,"⚠ No coincide con Precios","OK"))</f>
        <v/>
      </c>
    </row>
    <row r="2437" spans="3:15" x14ac:dyDescent="0.2">
      <c r="C2437" s="9" cm="1">
        <f t="array" ref="C2437">IFERROR(_xlfn.XLOOKUP(B2437,Personal!$A:$A,Personal!$D:$D,""),"")</f>
        <v>0</v>
      </c>
      <c r="D2437" s="9" cm="1">
        <f t="array" ref="D2437">IFERROR(_xlfn.XLOOKUP(B2437,Personal!$A:$A,Personal!$C:$C,""),"")</f>
        <v>0</v>
      </c>
      <c r="E2437" s="9" t="str" cm="1">
        <f t="array" ref="E2437">IFERROR(_xlfn.XLOOKUP(D2437,Locales!$A:$A,Locales!$B:$B,""),"")</f>
        <v/>
      </c>
      <c r="F2437" s="9" cm="1">
        <f t="array" ref="F2437">IFERROR(_xlfn.XLOOKUP(B2437,Personal!$A:$A,Personal!$F:$F,""),"")</f>
        <v>0</v>
      </c>
      <c r="I2437" s="10" cm="1">
        <f t="array" ref="I2437">IFERROR(INDEX(Precios!$D:$F,MATCH(N2437, Precios!$G:$G, 0),CHOOSE(MATCH(H2437, {"SML";"XL";"XXL"}, 0), 1, 2, 3)), 0)</f>
        <v>0</v>
      </c>
      <c r="K2437" s="10">
        <f t="shared" si="84"/>
        <v>0</v>
      </c>
      <c r="N2437" s="9" t="str">
        <f t="shared" si="85"/>
        <v/>
      </c>
      <c r="O2437" s="9" t="str">
        <f>IF(N2437="","",IF(COUNTIF(Precios!$G:$G,N2437)=0,"⚠ No coincide con Precios","OK"))</f>
        <v/>
      </c>
    </row>
    <row r="2438" spans="3:15" x14ac:dyDescent="0.2">
      <c r="C2438" s="9" cm="1">
        <f t="array" ref="C2438">IFERROR(_xlfn.XLOOKUP(B2438,Personal!$A:$A,Personal!$D:$D,""),"")</f>
        <v>0</v>
      </c>
      <c r="D2438" s="9" cm="1">
        <f t="array" ref="D2438">IFERROR(_xlfn.XLOOKUP(B2438,Personal!$A:$A,Personal!$C:$C,""),"")</f>
        <v>0</v>
      </c>
      <c r="E2438" s="9" t="str" cm="1">
        <f t="array" ref="E2438">IFERROR(_xlfn.XLOOKUP(D2438,Locales!$A:$A,Locales!$B:$B,""),"")</f>
        <v/>
      </c>
      <c r="F2438" s="9" cm="1">
        <f t="array" ref="F2438">IFERROR(_xlfn.XLOOKUP(B2438,Personal!$A:$A,Personal!$F:$F,""),"")</f>
        <v>0</v>
      </c>
      <c r="I2438" s="10" cm="1">
        <f t="array" ref="I2438">IFERROR(INDEX(Precios!$D:$F,MATCH(N2438, Precios!$G:$G, 0),CHOOSE(MATCH(H2438, {"SML";"XL";"XXL"}, 0), 1, 2, 3)), 0)</f>
        <v>0</v>
      </c>
      <c r="K2438" s="10">
        <f t="shared" si="84"/>
        <v>0</v>
      </c>
      <c r="N2438" s="9" t="str">
        <f t="shared" si="85"/>
        <v/>
      </c>
      <c r="O2438" s="9" t="str">
        <f>IF(N2438="","",IF(COUNTIF(Precios!$G:$G,N2438)=0,"⚠ No coincide con Precios","OK"))</f>
        <v/>
      </c>
    </row>
    <row r="2439" spans="3:15" x14ac:dyDescent="0.2">
      <c r="C2439" s="9" cm="1">
        <f t="array" ref="C2439">IFERROR(_xlfn.XLOOKUP(B2439,Personal!$A:$A,Personal!$D:$D,""),"")</f>
        <v>0</v>
      </c>
      <c r="D2439" s="9" cm="1">
        <f t="array" ref="D2439">IFERROR(_xlfn.XLOOKUP(B2439,Personal!$A:$A,Personal!$C:$C,""),"")</f>
        <v>0</v>
      </c>
      <c r="E2439" s="9" t="str" cm="1">
        <f t="array" ref="E2439">IFERROR(_xlfn.XLOOKUP(D2439,Locales!$A:$A,Locales!$B:$B,""),"")</f>
        <v/>
      </c>
      <c r="F2439" s="9" cm="1">
        <f t="array" ref="F2439">IFERROR(_xlfn.XLOOKUP(B2439,Personal!$A:$A,Personal!$F:$F,""),"")</f>
        <v>0</v>
      </c>
      <c r="I2439" s="10" cm="1">
        <f t="array" ref="I2439">IFERROR(INDEX(Precios!$D:$F,MATCH(N2439, Precios!$G:$G, 0),CHOOSE(MATCH(H2439, {"SML";"XL";"XXL"}, 0), 1, 2, 3)), 0)</f>
        <v>0</v>
      </c>
      <c r="K2439" s="10">
        <f t="shared" si="84"/>
        <v>0</v>
      </c>
      <c r="N2439" s="9" t="str">
        <f t="shared" si="85"/>
        <v/>
      </c>
      <c r="O2439" s="9" t="str">
        <f>IF(N2439="","",IF(COUNTIF(Precios!$G:$G,N2439)=0,"⚠ No coincide con Precios","OK"))</f>
        <v/>
      </c>
    </row>
    <row r="2440" spans="3:15" x14ac:dyDescent="0.2">
      <c r="C2440" s="9" cm="1">
        <f t="array" ref="C2440">IFERROR(_xlfn.XLOOKUP(B2440,Personal!$A:$A,Personal!$D:$D,""),"")</f>
        <v>0</v>
      </c>
      <c r="D2440" s="9" cm="1">
        <f t="array" ref="D2440">IFERROR(_xlfn.XLOOKUP(B2440,Personal!$A:$A,Personal!$C:$C,""),"")</f>
        <v>0</v>
      </c>
      <c r="E2440" s="9" t="str" cm="1">
        <f t="array" ref="E2440">IFERROR(_xlfn.XLOOKUP(D2440,Locales!$A:$A,Locales!$B:$B,""),"")</f>
        <v/>
      </c>
      <c r="F2440" s="9" cm="1">
        <f t="array" ref="F2440">IFERROR(_xlfn.XLOOKUP(B2440,Personal!$A:$A,Personal!$F:$F,""),"")</f>
        <v>0</v>
      </c>
      <c r="I2440" s="10" cm="1">
        <f t="array" ref="I2440">IFERROR(INDEX(Precios!$D:$F,MATCH(N2440, Precios!$G:$G, 0),CHOOSE(MATCH(H2440, {"SML";"XL";"XXL"}, 0), 1, 2, 3)), 0)</f>
        <v>0</v>
      </c>
      <c r="K2440" s="10">
        <f t="shared" si="84"/>
        <v>0</v>
      </c>
      <c r="N2440" s="9" t="str">
        <f t="shared" si="85"/>
        <v/>
      </c>
      <c r="O2440" s="9" t="str">
        <f>IF(N2440="","",IF(COUNTIF(Precios!$G:$G,N2440)=0,"⚠ No coincide con Precios","OK"))</f>
        <v/>
      </c>
    </row>
    <row r="2441" spans="3:15" x14ac:dyDescent="0.2">
      <c r="C2441" s="9" cm="1">
        <f t="array" ref="C2441">IFERROR(_xlfn.XLOOKUP(B2441,Personal!$A:$A,Personal!$D:$D,""),"")</f>
        <v>0</v>
      </c>
      <c r="D2441" s="9" cm="1">
        <f t="array" ref="D2441">IFERROR(_xlfn.XLOOKUP(B2441,Personal!$A:$A,Personal!$C:$C,""),"")</f>
        <v>0</v>
      </c>
      <c r="E2441" s="9" t="str" cm="1">
        <f t="array" ref="E2441">IFERROR(_xlfn.XLOOKUP(D2441,Locales!$A:$A,Locales!$B:$B,""),"")</f>
        <v/>
      </c>
      <c r="F2441" s="9" cm="1">
        <f t="array" ref="F2441">IFERROR(_xlfn.XLOOKUP(B2441,Personal!$A:$A,Personal!$F:$F,""),"")</f>
        <v>0</v>
      </c>
      <c r="I2441" s="10" cm="1">
        <f t="array" ref="I2441">IFERROR(INDEX(Precios!$D:$F,MATCH(N2441, Precios!$G:$G, 0),CHOOSE(MATCH(H2441, {"SML";"XL";"XXL"}, 0), 1, 2, 3)), 0)</f>
        <v>0</v>
      </c>
      <c r="K2441" s="10">
        <f t="shared" si="84"/>
        <v>0</v>
      </c>
      <c r="N2441" s="9" t="str">
        <f t="shared" si="85"/>
        <v/>
      </c>
      <c r="O2441" s="9" t="str">
        <f>IF(N2441="","",IF(COUNTIF(Precios!$G:$G,N2441)=0,"⚠ No coincide con Precios","OK"))</f>
        <v/>
      </c>
    </row>
    <row r="2442" spans="3:15" x14ac:dyDescent="0.2">
      <c r="C2442" s="9" cm="1">
        <f t="array" ref="C2442">IFERROR(_xlfn.XLOOKUP(B2442,Personal!$A:$A,Personal!$D:$D,""),"")</f>
        <v>0</v>
      </c>
      <c r="D2442" s="9" cm="1">
        <f t="array" ref="D2442">IFERROR(_xlfn.XLOOKUP(B2442,Personal!$A:$A,Personal!$C:$C,""),"")</f>
        <v>0</v>
      </c>
      <c r="E2442" s="9" t="str" cm="1">
        <f t="array" ref="E2442">IFERROR(_xlfn.XLOOKUP(D2442,Locales!$A:$A,Locales!$B:$B,""),"")</f>
        <v/>
      </c>
      <c r="F2442" s="9" cm="1">
        <f t="array" ref="F2442">IFERROR(_xlfn.XLOOKUP(B2442,Personal!$A:$A,Personal!$F:$F,""),"")</f>
        <v>0</v>
      </c>
      <c r="I2442" s="10" cm="1">
        <f t="array" ref="I2442">IFERROR(INDEX(Precios!$D:$F,MATCH(N2442, Precios!$G:$G, 0),CHOOSE(MATCH(H2442, {"SML";"XL";"XXL"}, 0), 1, 2, 3)), 0)</f>
        <v>0</v>
      </c>
      <c r="K2442" s="10">
        <f t="shared" si="84"/>
        <v>0</v>
      </c>
      <c r="N2442" s="9" t="str">
        <f t="shared" si="85"/>
        <v/>
      </c>
      <c r="O2442" s="9" t="str">
        <f>IF(N2442="","",IF(COUNTIF(Precios!$G:$G,N2442)=0,"⚠ No coincide con Precios","OK"))</f>
        <v/>
      </c>
    </row>
    <row r="2443" spans="3:15" x14ac:dyDescent="0.2">
      <c r="C2443" s="9" cm="1">
        <f t="array" ref="C2443">IFERROR(_xlfn.XLOOKUP(B2443,Personal!$A:$A,Personal!$D:$D,""),"")</f>
        <v>0</v>
      </c>
      <c r="D2443" s="9" cm="1">
        <f t="array" ref="D2443">IFERROR(_xlfn.XLOOKUP(B2443,Personal!$A:$A,Personal!$C:$C,""),"")</f>
        <v>0</v>
      </c>
      <c r="E2443" s="9" t="str" cm="1">
        <f t="array" ref="E2443">IFERROR(_xlfn.XLOOKUP(D2443,Locales!$A:$A,Locales!$B:$B,""),"")</f>
        <v/>
      </c>
      <c r="F2443" s="9" cm="1">
        <f t="array" ref="F2443">IFERROR(_xlfn.XLOOKUP(B2443,Personal!$A:$A,Personal!$F:$F,""),"")</f>
        <v>0</v>
      </c>
      <c r="I2443" s="10" cm="1">
        <f t="array" ref="I2443">IFERROR(INDEX(Precios!$D:$F,MATCH(N2443, Precios!$G:$G, 0),CHOOSE(MATCH(H2443, {"SML";"XL";"XXL"}, 0), 1, 2, 3)), 0)</f>
        <v>0</v>
      </c>
      <c r="K2443" s="10">
        <f t="shared" si="84"/>
        <v>0</v>
      </c>
      <c r="N2443" s="9" t="str">
        <f t="shared" si="85"/>
        <v/>
      </c>
      <c r="O2443" s="9" t="str">
        <f>IF(N2443="","",IF(COUNTIF(Precios!$G:$G,N2443)=0,"⚠ No coincide con Precios","OK"))</f>
        <v/>
      </c>
    </row>
    <row r="2444" spans="3:15" x14ac:dyDescent="0.2">
      <c r="C2444" s="9" cm="1">
        <f t="array" ref="C2444">IFERROR(_xlfn.XLOOKUP(B2444,Personal!$A:$A,Personal!$D:$D,""),"")</f>
        <v>0</v>
      </c>
      <c r="D2444" s="9" cm="1">
        <f t="array" ref="D2444">IFERROR(_xlfn.XLOOKUP(B2444,Personal!$A:$A,Personal!$C:$C,""),"")</f>
        <v>0</v>
      </c>
      <c r="E2444" s="9" t="str" cm="1">
        <f t="array" ref="E2444">IFERROR(_xlfn.XLOOKUP(D2444,Locales!$A:$A,Locales!$B:$B,""),"")</f>
        <v/>
      </c>
      <c r="F2444" s="9" cm="1">
        <f t="array" ref="F2444">IFERROR(_xlfn.XLOOKUP(B2444,Personal!$A:$A,Personal!$F:$F,""),"")</f>
        <v>0</v>
      </c>
      <c r="I2444" s="10" cm="1">
        <f t="array" ref="I2444">IFERROR(INDEX(Precios!$D:$F,MATCH(N2444, Precios!$G:$G, 0),CHOOSE(MATCH(H2444, {"SML";"XL";"XXL"}, 0), 1, 2, 3)), 0)</f>
        <v>0</v>
      </c>
      <c r="K2444" s="10">
        <f t="shared" si="84"/>
        <v>0</v>
      </c>
      <c r="N2444" s="9" t="str">
        <f t="shared" si="85"/>
        <v/>
      </c>
      <c r="O2444" s="9" t="str">
        <f>IF(N2444="","",IF(COUNTIF(Precios!$G:$G,N2444)=0,"⚠ No coincide con Precios","OK"))</f>
        <v/>
      </c>
    </row>
    <row r="2445" spans="3:15" x14ac:dyDescent="0.2">
      <c r="C2445" s="9" cm="1">
        <f t="array" ref="C2445">IFERROR(_xlfn.XLOOKUP(B2445,Personal!$A:$A,Personal!$D:$D,""),"")</f>
        <v>0</v>
      </c>
      <c r="D2445" s="9" cm="1">
        <f t="array" ref="D2445">IFERROR(_xlfn.XLOOKUP(B2445,Personal!$A:$A,Personal!$C:$C,""),"")</f>
        <v>0</v>
      </c>
      <c r="E2445" s="9" t="str" cm="1">
        <f t="array" ref="E2445">IFERROR(_xlfn.XLOOKUP(D2445,Locales!$A:$A,Locales!$B:$B,""),"")</f>
        <v/>
      </c>
      <c r="F2445" s="9" cm="1">
        <f t="array" ref="F2445">IFERROR(_xlfn.XLOOKUP(B2445,Personal!$A:$A,Personal!$F:$F,""),"")</f>
        <v>0</v>
      </c>
      <c r="I2445" s="10" cm="1">
        <f t="array" ref="I2445">IFERROR(INDEX(Precios!$D:$F,MATCH(N2445, Precios!$G:$G, 0),CHOOSE(MATCH(H2445, {"SML";"XL";"XXL"}, 0), 1, 2, 3)), 0)</f>
        <v>0</v>
      </c>
      <c r="K2445" s="10">
        <f t="shared" si="84"/>
        <v>0</v>
      </c>
      <c r="N2445" s="9" t="str">
        <f t="shared" si="85"/>
        <v/>
      </c>
      <c r="O2445" s="9" t="str">
        <f>IF(N2445="","",IF(COUNTIF(Precios!$G:$G,N2445)=0,"⚠ No coincide con Precios","OK"))</f>
        <v/>
      </c>
    </row>
    <row r="2446" spans="3:15" x14ac:dyDescent="0.2">
      <c r="C2446" s="9" cm="1">
        <f t="array" ref="C2446">IFERROR(_xlfn.XLOOKUP(B2446,Personal!$A:$A,Personal!$D:$D,""),"")</f>
        <v>0</v>
      </c>
      <c r="D2446" s="9" cm="1">
        <f t="array" ref="D2446">IFERROR(_xlfn.XLOOKUP(B2446,Personal!$A:$A,Personal!$C:$C,""),"")</f>
        <v>0</v>
      </c>
      <c r="E2446" s="9" t="str" cm="1">
        <f t="array" ref="E2446">IFERROR(_xlfn.XLOOKUP(D2446,Locales!$A:$A,Locales!$B:$B,""),"")</f>
        <v/>
      </c>
      <c r="F2446" s="9" cm="1">
        <f t="array" ref="F2446">IFERROR(_xlfn.XLOOKUP(B2446,Personal!$A:$A,Personal!$F:$F,""),"")</f>
        <v>0</v>
      </c>
      <c r="I2446" s="10" cm="1">
        <f t="array" ref="I2446">IFERROR(INDEX(Precios!$D:$F,MATCH(N2446, Precios!$G:$G, 0),CHOOSE(MATCH(H2446, {"SML";"XL";"XXL"}, 0), 1, 2, 3)), 0)</f>
        <v>0</v>
      </c>
      <c r="K2446" s="10">
        <f t="shared" si="84"/>
        <v>0</v>
      </c>
      <c r="N2446" s="9" t="str">
        <f t="shared" si="85"/>
        <v/>
      </c>
      <c r="O2446" s="9" t="str">
        <f>IF(N2446="","",IF(COUNTIF(Precios!$G:$G,N2446)=0,"⚠ No coincide con Precios","OK"))</f>
        <v/>
      </c>
    </row>
    <row r="2447" spans="3:15" x14ac:dyDescent="0.2">
      <c r="C2447" s="9" cm="1">
        <f t="array" ref="C2447">IFERROR(_xlfn.XLOOKUP(B2447,Personal!$A:$A,Personal!$D:$D,""),"")</f>
        <v>0</v>
      </c>
      <c r="D2447" s="9" cm="1">
        <f t="array" ref="D2447">IFERROR(_xlfn.XLOOKUP(B2447,Personal!$A:$A,Personal!$C:$C,""),"")</f>
        <v>0</v>
      </c>
      <c r="E2447" s="9" t="str" cm="1">
        <f t="array" ref="E2447">IFERROR(_xlfn.XLOOKUP(D2447,Locales!$A:$A,Locales!$B:$B,""),"")</f>
        <v/>
      </c>
      <c r="F2447" s="9" cm="1">
        <f t="array" ref="F2447">IFERROR(_xlfn.XLOOKUP(B2447,Personal!$A:$A,Personal!$F:$F,""),"")</f>
        <v>0</v>
      </c>
      <c r="I2447" s="10" cm="1">
        <f t="array" ref="I2447">IFERROR(INDEX(Precios!$D:$F,MATCH(N2447, Precios!$G:$G, 0),CHOOSE(MATCH(H2447, {"SML";"XL";"XXL"}, 0), 1, 2, 3)), 0)</f>
        <v>0</v>
      </c>
      <c r="K2447" s="10">
        <f t="shared" si="84"/>
        <v>0</v>
      </c>
      <c r="N2447" s="9" t="str">
        <f t="shared" si="85"/>
        <v/>
      </c>
      <c r="O2447" s="9" t="str">
        <f>IF(N2447="","",IF(COUNTIF(Precios!$G:$G,N2447)=0,"⚠ No coincide con Precios","OK"))</f>
        <v/>
      </c>
    </row>
    <row r="2448" spans="3:15" x14ac:dyDescent="0.2">
      <c r="C2448" s="9" cm="1">
        <f t="array" ref="C2448">IFERROR(_xlfn.XLOOKUP(B2448,Personal!$A:$A,Personal!$D:$D,""),"")</f>
        <v>0</v>
      </c>
      <c r="D2448" s="9" cm="1">
        <f t="array" ref="D2448">IFERROR(_xlfn.XLOOKUP(B2448,Personal!$A:$A,Personal!$C:$C,""),"")</f>
        <v>0</v>
      </c>
      <c r="E2448" s="9" t="str" cm="1">
        <f t="array" ref="E2448">IFERROR(_xlfn.XLOOKUP(D2448,Locales!$A:$A,Locales!$B:$B,""),"")</f>
        <v/>
      </c>
      <c r="F2448" s="9" cm="1">
        <f t="array" ref="F2448">IFERROR(_xlfn.XLOOKUP(B2448,Personal!$A:$A,Personal!$F:$F,""),"")</f>
        <v>0</v>
      </c>
      <c r="I2448" s="10" cm="1">
        <f t="array" ref="I2448">IFERROR(INDEX(Precios!$D:$F,MATCH(N2448, Precios!$G:$G, 0),CHOOSE(MATCH(H2448, {"SML";"XL";"XXL"}, 0), 1, 2, 3)), 0)</f>
        <v>0</v>
      </c>
      <c r="K2448" s="10">
        <f t="shared" si="84"/>
        <v>0</v>
      </c>
      <c r="N2448" s="9" t="str">
        <f t="shared" si="85"/>
        <v/>
      </c>
      <c r="O2448" s="9" t="str">
        <f>IF(N2448="","",IF(COUNTIF(Precios!$G:$G,N2448)=0,"⚠ No coincide con Precios","OK"))</f>
        <v/>
      </c>
    </row>
    <row r="2449" spans="3:15" x14ac:dyDescent="0.2">
      <c r="C2449" s="9" cm="1">
        <f t="array" ref="C2449">IFERROR(_xlfn.XLOOKUP(B2449,Personal!$A:$A,Personal!$D:$D,""),"")</f>
        <v>0</v>
      </c>
      <c r="D2449" s="9" cm="1">
        <f t="array" ref="D2449">IFERROR(_xlfn.XLOOKUP(B2449,Personal!$A:$A,Personal!$C:$C,""),"")</f>
        <v>0</v>
      </c>
      <c r="E2449" s="9" t="str" cm="1">
        <f t="array" ref="E2449">IFERROR(_xlfn.XLOOKUP(D2449,Locales!$A:$A,Locales!$B:$B,""),"")</f>
        <v/>
      </c>
      <c r="F2449" s="9" cm="1">
        <f t="array" ref="F2449">IFERROR(_xlfn.XLOOKUP(B2449,Personal!$A:$A,Personal!$F:$F,""),"")</f>
        <v>0</v>
      </c>
      <c r="I2449" s="10" cm="1">
        <f t="array" ref="I2449">IFERROR(INDEX(Precios!$D:$F,MATCH(N2449, Precios!$G:$G, 0),CHOOSE(MATCH(H2449, {"SML";"XL";"XXL"}, 0), 1, 2, 3)), 0)</f>
        <v>0</v>
      </c>
      <c r="K2449" s="10">
        <f t="shared" si="84"/>
        <v>0</v>
      </c>
      <c r="N2449" s="9" t="str">
        <f t="shared" si="85"/>
        <v/>
      </c>
      <c r="O2449" s="9" t="str">
        <f>IF(N2449="","",IF(COUNTIF(Precios!$G:$G,N2449)=0,"⚠ No coincide con Precios","OK"))</f>
        <v/>
      </c>
    </row>
    <row r="2450" spans="3:15" x14ac:dyDescent="0.2">
      <c r="C2450" s="9" cm="1">
        <f t="array" ref="C2450">IFERROR(_xlfn.XLOOKUP(B2450,Personal!$A:$A,Personal!$D:$D,""),"")</f>
        <v>0</v>
      </c>
      <c r="D2450" s="9" cm="1">
        <f t="array" ref="D2450">IFERROR(_xlfn.XLOOKUP(B2450,Personal!$A:$A,Personal!$C:$C,""),"")</f>
        <v>0</v>
      </c>
      <c r="E2450" s="9" t="str" cm="1">
        <f t="array" ref="E2450">IFERROR(_xlfn.XLOOKUP(D2450,Locales!$A:$A,Locales!$B:$B,""),"")</f>
        <v/>
      </c>
      <c r="F2450" s="9" cm="1">
        <f t="array" ref="F2450">IFERROR(_xlfn.XLOOKUP(B2450,Personal!$A:$A,Personal!$F:$F,""),"")</f>
        <v>0</v>
      </c>
      <c r="I2450" s="10" cm="1">
        <f t="array" ref="I2450">IFERROR(INDEX(Precios!$D:$F,MATCH(N2450, Precios!$G:$G, 0),CHOOSE(MATCH(H2450, {"SML";"XL";"XXL"}, 0), 1, 2, 3)), 0)</f>
        <v>0</v>
      </c>
      <c r="K2450" s="10">
        <f t="shared" si="84"/>
        <v>0</v>
      </c>
      <c r="N2450" s="9" t="str">
        <f t="shared" si="85"/>
        <v/>
      </c>
      <c r="O2450" s="9" t="str">
        <f>IF(N2450="","",IF(COUNTIF(Precios!$G:$G,N2450)=0,"⚠ No coincide con Precios","OK"))</f>
        <v/>
      </c>
    </row>
    <row r="2451" spans="3:15" x14ac:dyDescent="0.2">
      <c r="C2451" s="9" cm="1">
        <f t="array" ref="C2451">IFERROR(_xlfn.XLOOKUP(B2451,Personal!$A:$A,Personal!$D:$D,""),"")</f>
        <v>0</v>
      </c>
      <c r="D2451" s="9" cm="1">
        <f t="array" ref="D2451">IFERROR(_xlfn.XLOOKUP(B2451,Personal!$A:$A,Personal!$C:$C,""),"")</f>
        <v>0</v>
      </c>
      <c r="E2451" s="9" t="str" cm="1">
        <f t="array" ref="E2451">IFERROR(_xlfn.XLOOKUP(D2451,Locales!$A:$A,Locales!$B:$B,""),"")</f>
        <v/>
      </c>
      <c r="F2451" s="9" cm="1">
        <f t="array" ref="F2451">IFERROR(_xlfn.XLOOKUP(B2451,Personal!$A:$A,Personal!$F:$F,""),"")</f>
        <v>0</v>
      </c>
      <c r="I2451" s="10" cm="1">
        <f t="array" ref="I2451">IFERROR(INDEX(Precios!$D:$F,MATCH(N2451, Precios!$G:$G, 0),CHOOSE(MATCH(H2451, {"SML";"XL";"XXL"}, 0), 1, 2, 3)), 0)</f>
        <v>0</v>
      </c>
      <c r="K2451" s="10">
        <f t="shared" si="84"/>
        <v>0</v>
      </c>
      <c r="N2451" s="9" t="str">
        <f t="shared" si="85"/>
        <v/>
      </c>
      <c r="O2451" s="9" t="str">
        <f>IF(N2451="","",IF(COUNTIF(Precios!$G:$G,N2451)=0,"⚠ No coincide con Precios","OK"))</f>
        <v/>
      </c>
    </row>
    <row r="2452" spans="3:15" x14ac:dyDescent="0.2">
      <c r="C2452" s="9" cm="1">
        <f t="array" ref="C2452">IFERROR(_xlfn.XLOOKUP(B2452,Personal!$A:$A,Personal!$D:$D,""),"")</f>
        <v>0</v>
      </c>
      <c r="D2452" s="9" cm="1">
        <f t="array" ref="D2452">IFERROR(_xlfn.XLOOKUP(B2452,Personal!$A:$A,Personal!$C:$C,""),"")</f>
        <v>0</v>
      </c>
      <c r="E2452" s="9" t="str" cm="1">
        <f t="array" ref="E2452">IFERROR(_xlfn.XLOOKUP(D2452,Locales!$A:$A,Locales!$B:$B,""),"")</f>
        <v/>
      </c>
      <c r="F2452" s="9" cm="1">
        <f t="array" ref="F2452">IFERROR(_xlfn.XLOOKUP(B2452,Personal!$A:$A,Personal!$F:$F,""),"")</f>
        <v>0</v>
      </c>
      <c r="I2452" s="10" cm="1">
        <f t="array" ref="I2452">IFERROR(INDEX(Precios!$D:$F,MATCH(N2452, Precios!$G:$G, 0),CHOOSE(MATCH(H2452, {"SML";"XL";"XXL"}, 0), 1, 2, 3)), 0)</f>
        <v>0</v>
      </c>
      <c r="K2452" s="10">
        <f t="shared" si="84"/>
        <v>0</v>
      </c>
      <c r="N2452" s="9" t="str">
        <f t="shared" si="85"/>
        <v/>
      </c>
      <c r="O2452" s="9" t="str">
        <f>IF(N2452="","",IF(COUNTIF(Precios!$G:$G,N2452)=0,"⚠ No coincide con Precios","OK"))</f>
        <v/>
      </c>
    </row>
    <row r="2453" spans="3:15" x14ac:dyDescent="0.2">
      <c r="C2453" s="9" cm="1">
        <f t="array" ref="C2453">IFERROR(_xlfn.XLOOKUP(B2453,Personal!$A:$A,Personal!$D:$D,""),"")</f>
        <v>0</v>
      </c>
      <c r="D2453" s="9" cm="1">
        <f t="array" ref="D2453">IFERROR(_xlfn.XLOOKUP(B2453,Personal!$A:$A,Personal!$C:$C,""),"")</f>
        <v>0</v>
      </c>
      <c r="E2453" s="9" t="str" cm="1">
        <f t="array" ref="E2453">IFERROR(_xlfn.XLOOKUP(D2453,Locales!$A:$A,Locales!$B:$B,""),"")</f>
        <v/>
      </c>
      <c r="F2453" s="9" cm="1">
        <f t="array" ref="F2453">IFERROR(_xlfn.XLOOKUP(B2453,Personal!$A:$A,Personal!$F:$F,""),"")</f>
        <v>0</v>
      </c>
      <c r="I2453" s="10" cm="1">
        <f t="array" ref="I2453">IFERROR(INDEX(Precios!$D:$F,MATCH(N2453, Precios!$G:$G, 0),CHOOSE(MATCH(H2453, {"SML";"XL";"XXL"}, 0), 1, 2, 3)), 0)</f>
        <v>0</v>
      </c>
      <c r="K2453" s="10">
        <f t="shared" si="84"/>
        <v>0</v>
      </c>
      <c r="N2453" s="9" t="str">
        <f t="shared" si="85"/>
        <v/>
      </c>
      <c r="O2453" s="9" t="str">
        <f>IF(N2453="","",IF(COUNTIF(Precios!$G:$G,N2453)=0,"⚠ No coincide con Precios","OK"))</f>
        <v/>
      </c>
    </row>
    <row r="2454" spans="3:15" x14ac:dyDescent="0.2">
      <c r="C2454" s="9" cm="1">
        <f t="array" ref="C2454">IFERROR(_xlfn.XLOOKUP(B2454,Personal!$A:$A,Personal!$D:$D,""),"")</f>
        <v>0</v>
      </c>
      <c r="D2454" s="9" cm="1">
        <f t="array" ref="D2454">IFERROR(_xlfn.XLOOKUP(B2454,Personal!$A:$A,Personal!$C:$C,""),"")</f>
        <v>0</v>
      </c>
      <c r="E2454" s="9" t="str" cm="1">
        <f t="array" ref="E2454">IFERROR(_xlfn.XLOOKUP(D2454,Locales!$A:$A,Locales!$B:$B,""),"")</f>
        <v/>
      </c>
      <c r="F2454" s="9" cm="1">
        <f t="array" ref="F2454">IFERROR(_xlfn.XLOOKUP(B2454,Personal!$A:$A,Personal!$F:$F,""),"")</f>
        <v>0</v>
      </c>
      <c r="I2454" s="10" cm="1">
        <f t="array" ref="I2454">IFERROR(INDEX(Precios!$D:$F,MATCH(N2454, Precios!$G:$G, 0),CHOOSE(MATCH(H2454, {"SML";"XL";"XXL"}, 0), 1, 2, 3)), 0)</f>
        <v>0</v>
      </c>
      <c r="K2454" s="10">
        <f t="shared" si="84"/>
        <v>0</v>
      </c>
      <c r="N2454" s="9" t="str">
        <f t="shared" si="85"/>
        <v/>
      </c>
      <c r="O2454" s="9" t="str">
        <f>IF(N2454="","",IF(COUNTIF(Precios!$G:$G,N2454)=0,"⚠ No coincide con Precios","OK"))</f>
        <v/>
      </c>
    </row>
    <row r="2455" spans="3:15" x14ac:dyDescent="0.2">
      <c r="C2455" s="9" cm="1">
        <f t="array" ref="C2455">IFERROR(_xlfn.XLOOKUP(B2455,Personal!$A:$A,Personal!$D:$D,""),"")</f>
        <v>0</v>
      </c>
      <c r="D2455" s="9" cm="1">
        <f t="array" ref="D2455">IFERROR(_xlfn.XLOOKUP(B2455,Personal!$A:$A,Personal!$C:$C,""),"")</f>
        <v>0</v>
      </c>
      <c r="E2455" s="9" t="str" cm="1">
        <f t="array" ref="E2455">IFERROR(_xlfn.XLOOKUP(D2455,Locales!$A:$A,Locales!$B:$B,""),"")</f>
        <v/>
      </c>
      <c r="F2455" s="9" cm="1">
        <f t="array" ref="F2455">IFERROR(_xlfn.XLOOKUP(B2455,Personal!$A:$A,Personal!$F:$F,""),"")</f>
        <v>0</v>
      </c>
      <c r="I2455" s="10" cm="1">
        <f t="array" ref="I2455">IFERROR(INDEX(Precios!$D:$F,MATCH(N2455, Precios!$G:$G, 0),CHOOSE(MATCH(H2455, {"SML";"XL";"XXL"}, 0), 1, 2, 3)), 0)</f>
        <v>0</v>
      </c>
      <c r="K2455" s="10">
        <f t="shared" si="84"/>
        <v>0</v>
      </c>
      <c r="N2455" s="9" t="str">
        <f t="shared" si="85"/>
        <v/>
      </c>
      <c r="O2455" s="9" t="str">
        <f>IF(N2455="","",IF(COUNTIF(Precios!$G:$G,N2455)=0,"⚠ No coincide con Precios","OK"))</f>
        <v/>
      </c>
    </row>
    <row r="2456" spans="3:15" x14ac:dyDescent="0.2">
      <c r="C2456" s="9" cm="1">
        <f t="array" ref="C2456">IFERROR(_xlfn.XLOOKUP(B2456,Personal!$A:$A,Personal!$D:$D,""),"")</f>
        <v>0</v>
      </c>
      <c r="D2456" s="9" cm="1">
        <f t="array" ref="D2456">IFERROR(_xlfn.XLOOKUP(B2456,Personal!$A:$A,Personal!$C:$C,""),"")</f>
        <v>0</v>
      </c>
      <c r="E2456" s="9" t="str" cm="1">
        <f t="array" ref="E2456">IFERROR(_xlfn.XLOOKUP(D2456,Locales!$A:$A,Locales!$B:$B,""),"")</f>
        <v/>
      </c>
      <c r="F2456" s="9" cm="1">
        <f t="array" ref="F2456">IFERROR(_xlfn.XLOOKUP(B2456,Personal!$A:$A,Personal!$F:$F,""),"")</f>
        <v>0</v>
      </c>
      <c r="I2456" s="10" cm="1">
        <f t="array" ref="I2456">IFERROR(INDEX(Precios!$D:$F,MATCH(N2456, Precios!$G:$G, 0),CHOOSE(MATCH(H2456, {"SML";"XL";"XXL"}, 0), 1, 2, 3)), 0)</f>
        <v>0</v>
      </c>
      <c r="K2456" s="10">
        <f t="shared" si="84"/>
        <v>0</v>
      </c>
      <c r="N2456" s="9" t="str">
        <f t="shared" si="85"/>
        <v/>
      </c>
      <c r="O2456" s="9" t="str">
        <f>IF(N2456="","",IF(COUNTIF(Precios!$G:$G,N2456)=0,"⚠ No coincide con Precios","OK"))</f>
        <v/>
      </c>
    </row>
    <row r="2457" spans="3:15" x14ac:dyDescent="0.2">
      <c r="C2457" s="9" cm="1">
        <f t="array" ref="C2457">IFERROR(_xlfn.XLOOKUP(B2457,Personal!$A:$A,Personal!$D:$D,""),"")</f>
        <v>0</v>
      </c>
      <c r="D2457" s="9" cm="1">
        <f t="array" ref="D2457">IFERROR(_xlfn.XLOOKUP(B2457,Personal!$A:$A,Personal!$C:$C,""),"")</f>
        <v>0</v>
      </c>
      <c r="E2457" s="9" t="str" cm="1">
        <f t="array" ref="E2457">IFERROR(_xlfn.XLOOKUP(D2457,Locales!$A:$A,Locales!$B:$B,""),"")</f>
        <v/>
      </c>
      <c r="F2457" s="9" cm="1">
        <f t="array" ref="F2457">IFERROR(_xlfn.XLOOKUP(B2457,Personal!$A:$A,Personal!$F:$F,""),"")</f>
        <v>0</v>
      </c>
      <c r="I2457" s="10" cm="1">
        <f t="array" ref="I2457">IFERROR(INDEX(Precios!$D:$F,MATCH(N2457, Precios!$G:$G, 0),CHOOSE(MATCH(H2457, {"SML";"XL";"XXL"}, 0), 1, 2, 3)), 0)</f>
        <v>0</v>
      </c>
      <c r="K2457" s="10">
        <f t="shared" si="84"/>
        <v>0</v>
      </c>
      <c r="N2457" s="9" t="str">
        <f t="shared" si="85"/>
        <v/>
      </c>
      <c r="O2457" s="9" t="str">
        <f>IF(N2457="","",IF(COUNTIF(Precios!$G:$G,N2457)=0,"⚠ No coincide con Precios","OK"))</f>
        <v/>
      </c>
    </row>
    <row r="2458" spans="3:15" x14ac:dyDescent="0.2">
      <c r="C2458" s="9" cm="1">
        <f t="array" ref="C2458">IFERROR(_xlfn.XLOOKUP(B2458,Personal!$A:$A,Personal!$D:$D,""),"")</f>
        <v>0</v>
      </c>
      <c r="D2458" s="9" cm="1">
        <f t="array" ref="D2458">IFERROR(_xlfn.XLOOKUP(B2458,Personal!$A:$A,Personal!$C:$C,""),"")</f>
        <v>0</v>
      </c>
      <c r="E2458" s="9" t="str" cm="1">
        <f t="array" ref="E2458">IFERROR(_xlfn.XLOOKUP(D2458,Locales!$A:$A,Locales!$B:$B,""),"")</f>
        <v/>
      </c>
      <c r="F2458" s="9" cm="1">
        <f t="array" ref="F2458">IFERROR(_xlfn.XLOOKUP(B2458,Personal!$A:$A,Personal!$F:$F,""),"")</f>
        <v>0</v>
      </c>
      <c r="I2458" s="10" cm="1">
        <f t="array" ref="I2458">IFERROR(INDEX(Precios!$D:$F,MATCH(N2458, Precios!$G:$G, 0),CHOOSE(MATCH(H2458, {"SML";"XL";"XXL"}, 0), 1, 2, 3)), 0)</f>
        <v>0</v>
      </c>
      <c r="K2458" s="10">
        <f t="shared" si="84"/>
        <v>0</v>
      </c>
      <c r="N2458" s="9" t="str">
        <f t="shared" si="85"/>
        <v/>
      </c>
      <c r="O2458" s="9" t="str">
        <f>IF(N2458="","",IF(COUNTIF(Precios!$G:$G,N2458)=0,"⚠ No coincide con Precios","OK"))</f>
        <v/>
      </c>
    </row>
    <row r="2459" spans="3:15" x14ac:dyDescent="0.2">
      <c r="C2459" s="9" cm="1">
        <f t="array" ref="C2459">IFERROR(_xlfn.XLOOKUP(B2459,Personal!$A:$A,Personal!$D:$D,""),"")</f>
        <v>0</v>
      </c>
      <c r="D2459" s="9" cm="1">
        <f t="array" ref="D2459">IFERROR(_xlfn.XLOOKUP(B2459,Personal!$A:$A,Personal!$C:$C,""),"")</f>
        <v>0</v>
      </c>
      <c r="E2459" s="9" t="str" cm="1">
        <f t="array" ref="E2459">IFERROR(_xlfn.XLOOKUP(D2459,Locales!$A:$A,Locales!$B:$B,""),"")</f>
        <v/>
      </c>
      <c r="F2459" s="9" cm="1">
        <f t="array" ref="F2459">IFERROR(_xlfn.XLOOKUP(B2459,Personal!$A:$A,Personal!$F:$F,""),"")</f>
        <v>0</v>
      </c>
      <c r="I2459" s="10" cm="1">
        <f t="array" ref="I2459">IFERROR(INDEX(Precios!$D:$F,MATCH(N2459, Precios!$G:$G, 0),CHOOSE(MATCH(H2459, {"SML";"XL";"XXL"}, 0), 1, 2, 3)), 0)</f>
        <v>0</v>
      </c>
      <c r="K2459" s="10">
        <f t="shared" si="84"/>
        <v>0</v>
      </c>
      <c r="N2459" s="9" t="str">
        <f t="shared" si="85"/>
        <v/>
      </c>
      <c r="O2459" s="9" t="str">
        <f>IF(N2459="","",IF(COUNTIF(Precios!$G:$G,N2459)=0,"⚠ No coincide con Precios","OK"))</f>
        <v/>
      </c>
    </row>
    <row r="2460" spans="3:15" x14ac:dyDescent="0.2">
      <c r="C2460" s="9" cm="1">
        <f t="array" ref="C2460">IFERROR(_xlfn.XLOOKUP(B2460,Personal!$A:$A,Personal!$D:$D,""),"")</f>
        <v>0</v>
      </c>
      <c r="D2460" s="9" cm="1">
        <f t="array" ref="D2460">IFERROR(_xlfn.XLOOKUP(B2460,Personal!$A:$A,Personal!$C:$C,""),"")</f>
        <v>0</v>
      </c>
      <c r="E2460" s="9" t="str" cm="1">
        <f t="array" ref="E2460">IFERROR(_xlfn.XLOOKUP(D2460,Locales!$A:$A,Locales!$B:$B,""),"")</f>
        <v/>
      </c>
      <c r="F2460" s="9" cm="1">
        <f t="array" ref="F2460">IFERROR(_xlfn.XLOOKUP(B2460,Personal!$A:$A,Personal!$F:$F,""),"")</f>
        <v>0</v>
      </c>
      <c r="I2460" s="10" cm="1">
        <f t="array" ref="I2460">IFERROR(INDEX(Precios!$D:$F,MATCH(N2460, Precios!$G:$G, 0),CHOOSE(MATCH(H2460, {"SML";"XL";"XXL"}, 0), 1, 2, 3)), 0)</f>
        <v>0</v>
      </c>
      <c r="K2460" s="10">
        <f t="shared" si="84"/>
        <v>0</v>
      </c>
      <c r="N2460" s="9" t="str">
        <f t="shared" si="85"/>
        <v/>
      </c>
      <c r="O2460" s="9" t="str">
        <f>IF(N2460="","",IF(COUNTIF(Precios!$G:$G,N2460)=0,"⚠ No coincide con Precios","OK"))</f>
        <v/>
      </c>
    </row>
    <row r="2461" spans="3:15" x14ac:dyDescent="0.2">
      <c r="C2461" s="9" cm="1">
        <f t="array" ref="C2461">IFERROR(_xlfn.XLOOKUP(B2461,Personal!$A:$A,Personal!$D:$D,""),"")</f>
        <v>0</v>
      </c>
      <c r="D2461" s="9" cm="1">
        <f t="array" ref="D2461">IFERROR(_xlfn.XLOOKUP(B2461,Personal!$A:$A,Personal!$C:$C,""),"")</f>
        <v>0</v>
      </c>
      <c r="E2461" s="9" t="str" cm="1">
        <f t="array" ref="E2461">IFERROR(_xlfn.XLOOKUP(D2461,Locales!$A:$A,Locales!$B:$B,""),"")</f>
        <v/>
      </c>
      <c r="F2461" s="9" cm="1">
        <f t="array" ref="F2461">IFERROR(_xlfn.XLOOKUP(B2461,Personal!$A:$A,Personal!$F:$F,""),"")</f>
        <v>0</v>
      </c>
      <c r="I2461" s="10" cm="1">
        <f t="array" ref="I2461">IFERROR(INDEX(Precios!$D:$F,MATCH(N2461, Precios!$G:$G, 0),CHOOSE(MATCH(H2461, {"SML";"XL";"XXL"}, 0), 1, 2, 3)), 0)</f>
        <v>0</v>
      </c>
      <c r="K2461" s="10">
        <f t="shared" si="84"/>
        <v>0</v>
      </c>
      <c r="N2461" s="9" t="str">
        <f t="shared" si="85"/>
        <v/>
      </c>
      <c r="O2461" s="9" t="str">
        <f>IF(N2461="","",IF(COUNTIF(Precios!$G:$G,N2461)=0,"⚠ No coincide con Precios","OK"))</f>
        <v/>
      </c>
    </row>
    <row r="2462" spans="3:15" x14ac:dyDescent="0.2">
      <c r="C2462" s="9" cm="1">
        <f t="array" ref="C2462">IFERROR(_xlfn.XLOOKUP(B2462,Personal!$A:$A,Personal!$D:$D,""),"")</f>
        <v>0</v>
      </c>
      <c r="D2462" s="9" cm="1">
        <f t="array" ref="D2462">IFERROR(_xlfn.XLOOKUP(B2462,Personal!$A:$A,Personal!$C:$C,""),"")</f>
        <v>0</v>
      </c>
      <c r="E2462" s="9" t="str" cm="1">
        <f t="array" ref="E2462">IFERROR(_xlfn.XLOOKUP(D2462,Locales!$A:$A,Locales!$B:$B,""),"")</f>
        <v/>
      </c>
      <c r="F2462" s="9" cm="1">
        <f t="array" ref="F2462">IFERROR(_xlfn.XLOOKUP(B2462,Personal!$A:$A,Personal!$F:$F,""),"")</f>
        <v>0</v>
      </c>
      <c r="I2462" s="10" cm="1">
        <f t="array" ref="I2462">IFERROR(INDEX(Precios!$D:$F,MATCH(N2462, Precios!$G:$G, 0),CHOOSE(MATCH(H2462, {"SML";"XL";"XXL"}, 0), 1, 2, 3)), 0)</f>
        <v>0</v>
      </c>
      <c r="K2462" s="10">
        <f t="shared" si="84"/>
        <v>0</v>
      </c>
      <c r="N2462" s="9" t="str">
        <f t="shared" si="85"/>
        <v/>
      </c>
      <c r="O2462" s="9" t="str">
        <f>IF(N2462="","",IF(COUNTIF(Precios!$G:$G,N2462)=0,"⚠ No coincide con Precios","OK"))</f>
        <v/>
      </c>
    </row>
    <row r="2463" spans="3:15" x14ac:dyDescent="0.2">
      <c r="C2463" s="9" cm="1">
        <f t="array" ref="C2463">IFERROR(_xlfn.XLOOKUP(B2463,Personal!$A:$A,Personal!$D:$D,""),"")</f>
        <v>0</v>
      </c>
      <c r="D2463" s="9" cm="1">
        <f t="array" ref="D2463">IFERROR(_xlfn.XLOOKUP(B2463,Personal!$A:$A,Personal!$C:$C,""),"")</f>
        <v>0</v>
      </c>
      <c r="E2463" s="9" t="str" cm="1">
        <f t="array" ref="E2463">IFERROR(_xlfn.XLOOKUP(D2463,Locales!$A:$A,Locales!$B:$B,""),"")</f>
        <v/>
      </c>
      <c r="F2463" s="9" cm="1">
        <f t="array" ref="F2463">IFERROR(_xlfn.XLOOKUP(B2463,Personal!$A:$A,Personal!$F:$F,""),"")</f>
        <v>0</v>
      </c>
      <c r="I2463" s="10" cm="1">
        <f t="array" ref="I2463">IFERROR(INDEX(Precios!$D:$F,MATCH(N2463, Precios!$G:$G, 0),CHOOSE(MATCH(H2463, {"SML";"XL";"XXL"}, 0), 1, 2, 3)), 0)</f>
        <v>0</v>
      </c>
      <c r="K2463" s="10">
        <f t="shared" si="84"/>
        <v>0</v>
      </c>
      <c r="N2463" s="9" t="str">
        <f t="shared" si="85"/>
        <v/>
      </c>
      <c r="O2463" s="9" t="str">
        <f>IF(N2463="","",IF(COUNTIF(Precios!$G:$G,N2463)=0,"⚠ No coincide con Precios","OK"))</f>
        <v/>
      </c>
    </row>
    <row r="2464" spans="3:15" x14ac:dyDescent="0.2">
      <c r="C2464" s="9" cm="1">
        <f t="array" ref="C2464">IFERROR(_xlfn.XLOOKUP(B2464,Personal!$A:$A,Personal!$D:$D,""),"")</f>
        <v>0</v>
      </c>
      <c r="D2464" s="9" cm="1">
        <f t="array" ref="D2464">IFERROR(_xlfn.XLOOKUP(B2464,Personal!$A:$A,Personal!$C:$C,""),"")</f>
        <v>0</v>
      </c>
      <c r="E2464" s="9" t="str" cm="1">
        <f t="array" ref="E2464">IFERROR(_xlfn.XLOOKUP(D2464,Locales!$A:$A,Locales!$B:$B,""),"")</f>
        <v/>
      </c>
      <c r="F2464" s="9" cm="1">
        <f t="array" ref="F2464">IFERROR(_xlfn.XLOOKUP(B2464,Personal!$A:$A,Personal!$F:$F,""),"")</f>
        <v>0</v>
      </c>
      <c r="I2464" s="10" cm="1">
        <f t="array" ref="I2464">IFERROR(INDEX(Precios!$D:$F,MATCH(N2464, Precios!$G:$G, 0),CHOOSE(MATCH(H2464, {"SML";"XL";"XXL"}, 0), 1, 2, 3)), 0)</f>
        <v>0</v>
      </c>
      <c r="K2464" s="10">
        <f t="shared" si="84"/>
        <v>0</v>
      </c>
      <c r="N2464" s="9" t="str">
        <f t="shared" si="85"/>
        <v/>
      </c>
      <c r="O2464" s="9" t="str">
        <f>IF(N2464="","",IF(COUNTIF(Precios!$G:$G,N2464)=0,"⚠ No coincide con Precios","OK"))</f>
        <v/>
      </c>
    </row>
    <row r="2465" spans="3:15" x14ac:dyDescent="0.2">
      <c r="C2465" s="9" cm="1">
        <f t="array" ref="C2465">IFERROR(_xlfn.XLOOKUP(B2465,Personal!$A:$A,Personal!$D:$D,""),"")</f>
        <v>0</v>
      </c>
      <c r="D2465" s="9" cm="1">
        <f t="array" ref="D2465">IFERROR(_xlfn.XLOOKUP(B2465,Personal!$A:$A,Personal!$C:$C,""),"")</f>
        <v>0</v>
      </c>
      <c r="E2465" s="9" t="str" cm="1">
        <f t="array" ref="E2465">IFERROR(_xlfn.XLOOKUP(D2465,Locales!$A:$A,Locales!$B:$B,""),"")</f>
        <v/>
      </c>
      <c r="F2465" s="9" cm="1">
        <f t="array" ref="F2465">IFERROR(_xlfn.XLOOKUP(B2465,Personal!$A:$A,Personal!$F:$F,""),"")</f>
        <v>0</v>
      </c>
      <c r="I2465" s="10" cm="1">
        <f t="array" ref="I2465">IFERROR(INDEX(Precios!$D:$F,MATCH(N2465, Precios!$G:$G, 0),CHOOSE(MATCH(H2465, {"SML";"XL";"XXL"}, 0), 1, 2, 3)), 0)</f>
        <v>0</v>
      </c>
      <c r="K2465" s="10">
        <f t="shared" si="84"/>
        <v>0</v>
      </c>
      <c r="N2465" s="9" t="str">
        <f t="shared" si="85"/>
        <v/>
      </c>
      <c r="O2465" s="9" t="str">
        <f>IF(N2465="","",IF(COUNTIF(Precios!$G:$G,N2465)=0,"⚠ No coincide con Precios","OK"))</f>
        <v/>
      </c>
    </row>
    <row r="2466" spans="3:15" x14ac:dyDescent="0.2">
      <c r="C2466" s="9" cm="1">
        <f t="array" ref="C2466">IFERROR(_xlfn.XLOOKUP(B2466,Personal!$A:$A,Personal!$D:$D,""),"")</f>
        <v>0</v>
      </c>
      <c r="D2466" s="9" cm="1">
        <f t="array" ref="D2466">IFERROR(_xlfn.XLOOKUP(B2466,Personal!$A:$A,Personal!$C:$C,""),"")</f>
        <v>0</v>
      </c>
      <c r="E2466" s="9" t="str" cm="1">
        <f t="array" ref="E2466">IFERROR(_xlfn.XLOOKUP(D2466,Locales!$A:$A,Locales!$B:$B,""),"")</f>
        <v/>
      </c>
      <c r="F2466" s="9" cm="1">
        <f t="array" ref="F2466">IFERROR(_xlfn.XLOOKUP(B2466,Personal!$A:$A,Personal!$F:$F,""),"")</f>
        <v>0</v>
      </c>
      <c r="I2466" s="10" cm="1">
        <f t="array" ref="I2466">IFERROR(INDEX(Precios!$D:$F,MATCH(N2466, Precios!$G:$G, 0),CHOOSE(MATCH(H2466, {"SML";"XL";"XXL"}, 0), 1, 2, 3)), 0)</f>
        <v>0</v>
      </c>
      <c r="K2466" s="10">
        <f t="shared" si="84"/>
        <v>0</v>
      </c>
      <c r="N2466" s="9" t="str">
        <f t="shared" si="85"/>
        <v/>
      </c>
      <c r="O2466" s="9" t="str">
        <f>IF(N2466="","",IF(COUNTIF(Precios!$G:$G,N2466)=0,"⚠ No coincide con Precios","OK"))</f>
        <v/>
      </c>
    </row>
    <row r="2467" spans="3:15" x14ac:dyDescent="0.2">
      <c r="C2467" s="9" cm="1">
        <f t="array" ref="C2467">IFERROR(_xlfn.XLOOKUP(B2467,Personal!$A:$A,Personal!$D:$D,""),"")</f>
        <v>0</v>
      </c>
      <c r="D2467" s="9" cm="1">
        <f t="array" ref="D2467">IFERROR(_xlfn.XLOOKUP(B2467,Personal!$A:$A,Personal!$C:$C,""),"")</f>
        <v>0</v>
      </c>
      <c r="E2467" s="9" t="str" cm="1">
        <f t="array" ref="E2467">IFERROR(_xlfn.XLOOKUP(D2467,Locales!$A:$A,Locales!$B:$B,""),"")</f>
        <v/>
      </c>
      <c r="F2467" s="9" cm="1">
        <f t="array" ref="F2467">IFERROR(_xlfn.XLOOKUP(B2467,Personal!$A:$A,Personal!$F:$F,""),"")</f>
        <v>0</v>
      </c>
      <c r="I2467" s="10" cm="1">
        <f t="array" ref="I2467">IFERROR(INDEX(Precios!$D:$F,MATCH(N2467, Precios!$G:$G, 0),CHOOSE(MATCH(H2467, {"SML";"XL";"XXL"}, 0), 1, 2, 3)), 0)</f>
        <v>0</v>
      </c>
      <c r="K2467" s="10">
        <f t="shared" si="84"/>
        <v>0</v>
      </c>
      <c r="N2467" s="9" t="str">
        <f t="shared" si="85"/>
        <v/>
      </c>
      <c r="O2467" s="9" t="str">
        <f>IF(N2467="","",IF(COUNTIF(Precios!$G:$G,N2467)=0,"⚠ No coincide con Precios","OK"))</f>
        <v/>
      </c>
    </row>
    <row r="2468" spans="3:15" x14ac:dyDescent="0.2">
      <c r="C2468" s="9" cm="1">
        <f t="array" ref="C2468">IFERROR(_xlfn.XLOOKUP(B2468,Personal!$A:$A,Personal!$D:$D,""),"")</f>
        <v>0</v>
      </c>
      <c r="D2468" s="9" cm="1">
        <f t="array" ref="D2468">IFERROR(_xlfn.XLOOKUP(B2468,Personal!$A:$A,Personal!$C:$C,""),"")</f>
        <v>0</v>
      </c>
      <c r="E2468" s="9" t="str" cm="1">
        <f t="array" ref="E2468">IFERROR(_xlfn.XLOOKUP(D2468,Locales!$A:$A,Locales!$B:$B,""),"")</f>
        <v/>
      </c>
      <c r="F2468" s="9" cm="1">
        <f t="array" ref="F2468">IFERROR(_xlfn.XLOOKUP(B2468,Personal!$A:$A,Personal!$F:$F,""),"")</f>
        <v>0</v>
      </c>
      <c r="I2468" s="10" cm="1">
        <f t="array" ref="I2468">IFERROR(INDEX(Precios!$D:$F,MATCH(N2468, Precios!$G:$G, 0),CHOOSE(MATCH(H2468, {"SML";"XL";"XXL"}, 0), 1, 2, 3)), 0)</f>
        <v>0</v>
      </c>
      <c r="K2468" s="10">
        <f t="shared" si="84"/>
        <v>0</v>
      </c>
      <c r="N2468" s="9" t="str">
        <f t="shared" si="85"/>
        <v/>
      </c>
      <c r="O2468" s="9" t="str">
        <f>IF(N2468="","",IF(COUNTIF(Precios!$G:$G,N2468)=0,"⚠ No coincide con Precios","OK"))</f>
        <v/>
      </c>
    </row>
    <row r="2469" spans="3:15" x14ac:dyDescent="0.2">
      <c r="C2469" s="9" cm="1">
        <f t="array" ref="C2469">IFERROR(_xlfn.XLOOKUP(B2469,Personal!$A:$A,Personal!$D:$D,""),"")</f>
        <v>0</v>
      </c>
      <c r="D2469" s="9" cm="1">
        <f t="array" ref="D2469">IFERROR(_xlfn.XLOOKUP(B2469,Personal!$A:$A,Personal!$C:$C,""),"")</f>
        <v>0</v>
      </c>
      <c r="E2469" s="9" t="str" cm="1">
        <f t="array" ref="E2469">IFERROR(_xlfn.XLOOKUP(D2469,Locales!$A:$A,Locales!$B:$B,""),"")</f>
        <v/>
      </c>
      <c r="F2469" s="9" cm="1">
        <f t="array" ref="F2469">IFERROR(_xlfn.XLOOKUP(B2469,Personal!$A:$A,Personal!$F:$F,""),"")</f>
        <v>0</v>
      </c>
      <c r="I2469" s="10" cm="1">
        <f t="array" ref="I2469">IFERROR(INDEX(Precios!$D:$F,MATCH(N2469, Precios!$G:$G, 0),CHOOSE(MATCH(H2469, {"SML";"XL";"XXL"}, 0), 1, 2, 3)), 0)</f>
        <v>0</v>
      </c>
      <c r="K2469" s="10">
        <f t="shared" si="84"/>
        <v>0</v>
      </c>
      <c r="N2469" s="9" t="str">
        <f t="shared" si="85"/>
        <v/>
      </c>
      <c r="O2469" s="9" t="str">
        <f>IF(N2469="","",IF(COUNTIF(Precios!$G:$G,N2469)=0,"⚠ No coincide con Precios","OK"))</f>
        <v/>
      </c>
    </row>
    <row r="2470" spans="3:15" x14ac:dyDescent="0.2">
      <c r="C2470" s="9" cm="1">
        <f t="array" ref="C2470">IFERROR(_xlfn.XLOOKUP(B2470,Personal!$A:$A,Personal!$D:$D,""),"")</f>
        <v>0</v>
      </c>
      <c r="D2470" s="9" cm="1">
        <f t="array" ref="D2470">IFERROR(_xlfn.XLOOKUP(B2470,Personal!$A:$A,Personal!$C:$C,""),"")</f>
        <v>0</v>
      </c>
      <c r="E2470" s="9" t="str" cm="1">
        <f t="array" ref="E2470">IFERROR(_xlfn.XLOOKUP(D2470,Locales!$A:$A,Locales!$B:$B,""),"")</f>
        <v/>
      </c>
      <c r="F2470" s="9" cm="1">
        <f t="array" ref="F2470">IFERROR(_xlfn.XLOOKUP(B2470,Personal!$A:$A,Personal!$F:$F,""),"")</f>
        <v>0</v>
      </c>
      <c r="I2470" s="10" cm="1">
        <f t="array" ref="I2470">IFERROR(INDEX(Precios!$D:$F,MATCH(N2470, Precios!$G:$G, 0),CHOOSE(MATCH(H2470, {"SML";"XL";"XXL"}, 0), 1, 2, 3)), 0)</f>
        <v>0</v>
      </c>
      <c r="K2470" s="10">
        <f t="shared" si="84"/>
        <v>0</v>
      </c>
      <c r="N2470" s="9" t="str">
        <f t="shared" si="85"/>
        <v/>
      </c>
      <c r="O2470" s="9" t="str">
        <f>IF(N2470="","",IF(COUNTIF(Precios!$G:$G,N2470)=0,"⚠ No coincide con Precios","OK"))</f>
        <v/>
      </c>
    </row>
    <row r="2471" spans="3:15" x14ac:dyDescent="0.2">
      <c r="C2471" s="9" cm="1">
        <f t="array" ref="C2471">IFERROR(_xlfn.XLOOKUP(B2471,Personal!$A:$A,Personal!$D:$D,""),"")</f>
        <v>0</v>
      </c>
      <c r="D2471" s="9" cm="1">
        <f t="array" ref="D2471">IFERROR(_xlfn.XLOOKUP(B2471,Personal!$A:$A,Personal!$C:$C,""),"")</f>
        <v>0</v>
      </c>
      <c r="E2471" s="9" t="str" cm="1">
        <f t="array" ref="E2471">IFERROR(_xlfn.XLOOKUP(D2471,Locales!$A:$A,Locales!$B:$B,""),"")</f>
        <v/>
      </c>
      <c r="F2471" s="9" cm="1">
        <f t="array" ref="F2471">IFERROR(_xlfn.XLOOKUP(B2471,Personal!$A:$A,Personal!$F:$F,""),"")</f>
        <v>0</v>
      </c>
      <c r="I2471" s="10" cm="1">
        <f t="array" ref="I2471">IFERROR(INDEX(Precios!$D:$F,MATCH(N2471, Precios!$G:$G, 0),CHOOSE(MATCH(H2471, {"SML";"XL";"XXL"}, 0), 1, 2, 3)), 0)</f>
        <v>0</v>
      </c>
      <c r="K2471" s="10">
        <f t="shared" si="84"/>
        <v>0</v>
      </c>
      <c r="N2471" s="9" t="str">
        <f t="shared" si="85"/>
        <v/>
      </c>
      <c r="O2471" s="9" t="str">
        <f>IF(N2471="","",IF(COUNTIF(Precios!$G:$G,N2471)=0,"⚠ No coincide con Precios","OK"))</f>
        <v/>
      </c>
    </row>
    <row r="2472" spans="3:15" x14ac:dyDescent="0.2">
      <c r="C2472" s="9" cm="1">
        <f t="array" ref="C2472">IFERROR(_xlfn.XLOOKUP(B2472,Personal!$A:$A,Personal!$D:$D,""),"")</f>
        <v>0</v>
      </c>
      <c r="D2472" s="9" cm="1">
        <f t="array" ref="D2472">IFERROR(_xlfn.XLOOKUP(B2472,Personal!$A:$A,Personal!$C:$C,""),"")</f>
        <v>0</v>
      </c>
      <c r="E2472" s="9" t="str" cm="1">
        <f t="array" ref="E2472">IFERROR(_xlfn.XLOOKUP(D2472,Locales!$A:$A,Locales!$B:$B,""),"")</f>
        <v/>
      </c>
      <c r="F2472" s="9" cm="1">
        <f t="array" ref="F2472">IFERROR(_xlfn.XLOOKUP(B2472,Personal!$A:$A,Personal!$F:$F,""),"")</f>
        <v>0</v>
      </c>
      <c r="I2472" s="10" cm="1">
        <f t="array" ref="I2472">IFERROR(INDEX(Precios!$D:$F,MATCH(N2472, Precios!$G:$G, 0),CHOOSE(MATCH(H2472, {"SML";"XL";"XXL"}, 0), 1, 2, 3)), 0)</f>
        <v>0</v>
      </c>
      <c r="K2472" s="10">
        <f t="shared" si="84"/>
        <v>0</v>
      </c>
      <c r="N2472" s="9" t="str">
        <f t="shared" si="85"/>
        <v/>
      </c>
      <c r="O2472" s="9" t="str">
        <f>IF(N2472="","",IF(COUNTIF(Precios!$G:$G,N2472)=0,"⚠ No coincide con Precios","OK"))</f>
        <v/>
      </c>
    </row>
    <row r="2473" spans="3:15" x14ac:dyDescent="0.2">
      <c r="C2473" s="9" cm="1">
        <f t="array" ref="C2473">IFERROR(_xlfn.XLOOKUP(B2473,Personal!$A:$A,Personal!$D:$D,""),"")</f>
        <v>0</v>
      </c>
      <c r="D2473" s="9" cm="1">
        <f t="array" ref="D2473">IFERROR(_xlfn.XLOOKUP(B2473,Personal!$A:$A,Personal!$C:$C,""),"")</f>
        <v>0</v>
      </c>
      <c r="E2473" s="9" t="str" cm="1">
        <f t="array" ref="E2473">IFERROR(_xlfn.XLOOKUP(D2473,Locales!$A:$A,Locales!$B:$B,""),"")</f>
        <v/>
      </c>
      <c r="F2473" s="9" cm="1">
        <f t="array" ref="F2473">IFERROR(_xlfn.XLOOKUP(B2473,Personal!$A:$A,Personal!$F:$F,""),"")</f>
        <v>0</v>
      </c>
      <c r="I2473" s="10" cm="1">
        <f t="array" ref="I2473">IFERROR(INDEX(Precios!$D:$F,MATCH(N2473, Precios!$G:$G, 0),CHOOSE(MATCH(H2473, {"SML";"XL";"XXL"}, 0), 1, 2, 3)), 0)</f>
        <v>0</v>
      </c>
      <c r="K2473" s="10">
        <f t="shared" si="84"/>
        <v>0</v>
      </c>
      <c r="N2473" s="9" t="str">
        <f t="shared" si="85"/>
        <v/>
      </c>
      <c r="O2473" s="9" t="str">
        <f>IF(N2473="","",IF(COUNTIF(Precios!$G:$G,N2473)=0,"⚠ No coincide con Precios","OK"))</f>
        <v/>
      </c>
    </row>
    <row r="2474" spans="3:15" x14ac:dyDescent="0.2">
      <c r="C2474" s="9" cm="1">
        <f t="array" ref="C2474">IFERROR(_xlfn.XLOOKUP(B2474,Personal!$A:$A,Personal!$D:$D,""),"")</f>
        <v>0</v>
      </c>
      <c r="D2474" s="9" cm="1">
        <f t="array" ref="D2474">IFERROR(_xlfn.XLOOKUP(B2474,Personal!$A:$A,Personal!$C:$C,""),"")</f>
        <v>0</v>
      </c>
      <c r="E2474" s="9" t="str" cm="1">
        <f t="array" ref="E2474">IFERROR(_xlfn.XLOOKUP(D2474,Locales!$A:$A,Locales!$B:$B,""),"")</f>
        <v/>
      </c>
      <c r="F2474" s="9" cm="1">
        <f t="array" ref="F2474">IFERROR(_xlfn.XLOOKUP(B2474,Personal!$A:$A,Personal!$F:$F,""),"")</f>
        <v>0</v>
      </c>
      <c r="I2474" s="10" cm="1">
        <f t="array" ref="I2474">IFERROR(INDEX(Precios!$D:$F,MATCH(N2474, Precios!$G:$G, 0),CHOOSE(MATCH(H2474, {"SML";"XL";"XXL"}, 0), 1, 2, 3)), 0)</f>
        <v>0</v>
      </c>
      <c r="K2474" s="10">
        <f t="shared" si="84"/>
        <v>0</v>
      </c>
      <c r="N2474" s="9" t="str">
        <f t="shared" si="85"/>
        <v/>
      </c>
      <c r="O2474" s="9" t="str">
        <f>IF(N2474="","",IF(COUNTIF(Precios!$G:$G,N2474)=0,"⚠ No coincide con Precios","OK"))</f>
        <v/>
      </c>
    </row>
    <row r="2475" spans="3:15" x14ac:dyDescent="0.2">
      <c r="C2475" s="9" cm="1">
        <f t="array" ref="C2475">IFERROR(_xlfn.XLOOKUP(B2475,Personal!$A:$A,Personal!$D:$D,""),"")</f>
        <v>0</v>
      </c>
      <c r="D2475" s="9" cm="1">
        <f t="array" ref="D2475">IFERROR(_xlfn.XLOOKUP(B2475,Personal!$A:$A,Personal!$C:$C,""),"")</f>
        <v>0</v>
      </c>
      <c r="E2475" s="9" t="str" cm="1">
        <f t="array" ref="E2475">IFERROR(_xlfn.XLOOKUP(D2475,Locales!$A:$A,Locales!$B:$B,""),"")</f>
        <v/>
      </c>
      <c r="F2475" s="9" cm="1">
        <f t="array" ref="F2475">IFERROR(_xlfn.XLOOKUP(B2475,Personal!$A:$A,Personal!$F:$F,""),"")</f>
        <v>0</v>
      </c>
      <c r="I2475" s="10" cm="1">
        <f t="array" ref="I2475">IFERROR(INDEX(Precios!$D:$F,MATCH(N2475, Precios!$G:$G, 0),CHOOSE(MATCH(H2475, {"SML";"XL";"XXL"}, 0), 1, 2, 3)), 0)</f>
        <v>0</v>
      </c>
      <c r="K2475" s="10">
        <f t="shared" si="84"/>
        <v>0</v>
      </c>
      <c r="N2475" s="9" t="str">
        <f t="shared" si="85"/>
        <v/>
      </c>
      <c r="O2475" s="9" t="str">
        <f>IF(N2475="","",IF(COUNTIF(Precios!$G:$G,N2475)=0,"⚠ No coincide con Precios","OK"))</f>
        <v/>
      </c>
    </row>
    <row r="2476" spans="3:15" x14ac:dyDescent="0.2">
      <c r="C2476" s="9" cm="1">
        <f t="array" ref="C2476">IFERROR(_xlfn.XLOOKUP(B2476,Personal!$A:$A,Personal!$D:$D,""),"")</f>
        <v>0</v>
      </c>
      <c r="D2476" s="9" cm="1">
        <f t="array" ref="D2476">IFERROR(_xlfn.XLOOKUP(B2476,Personal!$A:$A,Personal!$C:$C,""),"")</f>
        <v>0</v>
      </c>
      <c r="E2476" s="9" t="str" cm="1">
        <f t="array" ref="E2476">IFERROR(_xlfn.XLOOKUP(D2476,Locales!$A:$A,Locales!$B:$B,""),"")</f>
        <v/>
      </c>
      <c r="F2476" s="9" cm="1">
        <f t="array" ref="F2476">IFERROR(_xlfn.XLOOKUP(B2476,Personal!$A:$A,Personal!$F:$F,""),"")</f>
        <v>0</v>
      </c>
      <c r="I2476" s="10" cm="1">
        <f t="array" ref="I2476">IFERROR(INDEX(Precios!$D:$F,MATCH(N2476, Precios!$G:$G, 0),CHOOSE(MATCH(H2476, {"SML";"XL";"XXL"}, 0), 1, 2, 3)), 0)</f>
        <v>0</v>
      </c>
      <c r="K2476" s="10">
        <f t="shared" si="84"/>
        <v>0</v>
      </c>
      <c r="N2476" s="9" t="str">
        <f t="shared" si="85"/>
        <v/>
      </c>
      <c r="O2476" s="9" t="str">
        <f>IF(N2476="","",IF(COUNTIF(Precios!$G:$G,N2476)=0,"⚠ No coincide con Precios","OK"))</f>
        <v/>
      </c>
    </row>
    <row r="2477" spans="3:15" x14ac:dyDescent="0.2">
      <c r="C2477" s="9" cm="1">
        <f t="array" ref="C2477">IFERROR(_xlfn.XLOOKUP(B2477,Personal!$A:$A,Personal!$D:$D,""),"")</f>
        <v>0</v>
      </c>
      <c r="D2477" s="9" cm="1">
        <f t="array" ref="D2477">IFERROR(_xlfn.XLOOKUP(B2477,Personal!$A:$A,Personal!$C:$C,""),"")</f>
        <v>0</v>
      </c>
      <c r="E2477" s="9" t="str" cm="1">
        <f t="array" ref="E2477">IFERROR(_xlfn.XLOOKUP(D2477,Locales!$A:$A,Locales!$B:$B,""),"")</f>
        <v/>
      </c>
      <c r="F2477" s="9" cm="1">
        <f t="array" ref="F2477">IFERROR(_xlfn.XLOOKUP(B2477,Personal!$A:$A,Personal!$F:$F,""),"")</f>
        <v>0</v>
      </c>
      <c r="I2477" s="10" cm="1">
        <f t="array" ref="I2477">IFERROR(INDEX(Precios!$D:$F,MATCH(N2477, Precios!$G:$G, 0),CHOOSE(MATCH(H2477, {"SML";"XL";"XXL"}, 0), 1, 2, 3)), 0)</f>
        <v>0</v>
      </c>
      <c r="K2477" s="10">
        <f t="shared" si="84"/>
        <v>0</v>
      </c>
      <c r="N2477" s="9" t="str">
        <f t="shared" si="85"/>
        <v/>
      </c>
      <c r="O2477" s="9" t="str">
        <f>IF(N2477="","",IF(COUNTIF(Precios!$G:$G,N2477)=0,"⚠ No coincide con Precios","OK"))</f>
        <v/>
      </c>
    </row>
    <row r="2478" spans="3:15" x14ac:dyDescent="0.2">
      <c r="C2478" s="9" cm="1">
        <f t="array" ref="C2478">IFERROR(_xlfn.XLOOKUP(B2478,Personal!$A:$A,Personal!$D:$D,""),"")</f>
        <v>0</v>
      </c>
      <c r="D2478" s="9" cm="1">
        <f t="array" ref="D2478">IFERROR(_xlfn.XLOOKUP(B2478,Personal!$A:$A,Personal!$C:$C,""),"")</f>
        <v>0</v>
      </c>
      <c r="E2478" s="9" t="str" cm="1">
        <f t="array" ref="E2478">IFERROR(_xlfn.XLOOKUP(D2478,Locales!$A:$A,Locales!$B:$B,""),"")</f>
        <v/>
      </c>
      <c r="F2478" s="9" cm="1">
        <f t="array" ref="F2478">IFERROR(_xlfn.XLOOKUP(B2478,Personal!$A:$A,Personal!$F:$F,""),"")</f>
        <v>0</v>
      </c>
      <c r="I2478" s="10" cm="1">
        <f t="array" ref="I2478">IFERROR(INDEX(Precios!$D:$F,MATCH(N2478, Precios!$G:$G, 0),CHOOSE(MATCH(H2478, {"SML";"XL";"XXL"}, 0), 1, 2, 3)), 0)</f>
        <v>0</v>
      </c>
      <c r="K2478" s="10">
        <f t="shared" si="84"/>
        <v>0</v>
      </c>
      <c r="N2478" s="9" t="str">
        <f t="shared" si="85"/>
        <v/>
      </c>
      <c r="O2478" s="9" t="str">
        <f>IF(N2478="","",IF(COUNTIF(Precios!$G:$G,N2478)=0,"⚠ No coincide con Precios","OK"))</f>
        <v/>
      </c>
    </row>
    <row r="2479" spans="3:15" x14ac:dyDescent="0.2">
      <c r="C2479" s="9" cm="1">
        <f t="array" ref="C2479">IFERROR(_xlfn.XLOOKUP(B2479,Personal!$A:$A,Personal!$D:$D,""),"")</f>
        <v>0</v>
      </c>
      <c r="D2479" s="9" cm="1">
        <f t="array" ref="D2479">IFERROR(_xlfn.XLOOKUP(B2479,Personal!$A:$A,Personal!$C:$C,""),"")</f>
        <v>0</v>
      </c>
      <c r="E2479" s="9" t="str" cm="1">
        <f t="array" ref="E2479">IFERROR(_xlfn.XLOOKUP(D2479,Locales!$A:$A,Locales!$B:$B,""),"")</f>
        <v/>
      </c>
      <c r="F2479" s="9" cm="1">
        <f t="array" ref="F2479">IFERROR(_xlfn.XLOOKUP(B2479,Personal!$A:$A,Personal!$F:$F,""),"")</f>
        <v>0</v>
      </c>
      <c r="I2479" s="10" cm="1">
        <f t="array" ref="I2479">IFERROR(INDEX(Precios!$D:$F,MATCH(N2479, Precios!$G:$G, 0),CHOOSE(MATCH(H2479, {"SML";"XL";"XXL"}, 0), 1, 2, 3)), 0)</f>
        <v>0</v>
      </c>
      <c r="K2479" s="10">
        <f t="shared" si="84"/>
        <v>0</v>
      </c>
      <c r="N2479" s="9" t="str">
        <f t="shared" si="85"/>
        <v/>
      </c>
      <c r="O2479" s="9" t="str">
        <f>IF(N2479="","",IF(COUNTIF(Precios!$G:$G,N2479)=0,"⚠ No coincide con Precios","OK"))</f>
        <v/>
      </c>
    </row>
    <row r="2480" spans="3:15" x14ac:dyDescent="0.2">
      <c r="C2480" s="9" cm="1">
        <f t="array" ref="C2480">IFERROR(_xlfn.XLOOKUP(B2480,Personal!$A:$A,Personal!$D:$D,""),"")</f>
        <v>0</v>
      </c>
      <c r="D2480" s="9" cm="1">
        <f t="array" ref="D2480">IFERROR(_xlfn.XLOOKUP(B2480,Personal!$A:$A,Personal!$C:$C,""),"")</f>
        <v>0</v>
      </c>
      <c r="E2480" s="9" t="str" cm="1">
        <f t="array" ref="E2480">IFERROR(_xlfn.XLOOKUP(D2480,Locales!$A:$A,Locales!$B:$B,""),"")</f>
        <v/>
      </c>
      <c r="F2480" s="9" cm="1">
        <f t="array" ref="F2480">IFERROR(_xlfn.XLOOKUP(B2480,Personal!$A:$A,Personal!$F:$F,""),"")</f>
        <v>0</v>
      </c>
      <c r="I2480" s="10" cm="1">
        <f t="array" ref="I2480">IFERROR(INDEX(Precios!$D:$F,MATCH(N2480, Precios!$G:$G, 0),CHOOSE(MATCH(H2480, {"SML";"XL";"XXL"}, 0), 1, 2, 3)), 0)</f>
        <v>0</v>
      </c>
      <c r="K2480" s="10">
        <f t="shared" si="84"/>
        <v>0</v>
      </c>
      <c r="N2480" s="9" t="str">
        <f t="shared" si="85"/>
        <v/>
      </c>
      <c r="O2480" s="9" t="str">
        <f>IF(N2480="","",IF(COUNTIF(Precios!$G:$G,N2480)=0,"⚠ No coincide con Precios","OK"))</f>
        <v/>
      </c>
    </row>
    <row r="2481" spans="3:15" x14ac:dyDescent="0.2">
      <c r="C2481" s="9" cm="1">
        <f t="array" ref="C2481">IFERROR(_xlfn.XLOOKUP(B2481,Personal!$A:$A,Personal!$D:$D,""),"")</f>
        <v>0</v>
      </c>
      <c r="D2481" s="9" cm="1">
        <f t="array" ref="D2481">IFERROR(_xlfn.XLOOKUP(B2481,Personal!$A:$A,Personal!$C:$C,""),"")</f>
        <v>0</v>
      </c>
      <c r="E2481" s="9" t="str" cm="1">
        <f t="array" ref="E2481">IFERROR(_xlfn.XLOOKUP(D2481,Locales!$A:$A,Locales!$B:$B,""),"")</f>
        <v/>
      </c>
      <c r="F2481" s="9" cm="1">
        <f t="array" ref="F2481">IFERROR(_xlfn.XLOOKUP(B2481,Personal!$A:$A,Personal!$F:$F,""),"")</f>
        <v>0</v>
      </c>
      <c r="I2481" s="10" cm="1">
        <f t="array" ref="I2481">IFERROR(INDEX(Precios!$D:$F,MATCH(N2481, Precios!$G:$G, 0),CHOOSE(MATCH(H2481, {"SML";"XL";"XXL"}, 0), 1, 2, 3)), 0)</f>
        <v>0</v>
      </c>
      <c r="K2481" s="10">
        <f t="shared" si="84"/>
        <v>0</v>
      </c>
      <c r="N2481" s="9" t="str">
        <f t="shared" si="85"/>
        <v/>
      </c>
      <c r="O2481" s="9" t="str">
        <f>IF(N2481="","",IF(COUNTIF(Precios!$G:$G,N2481)=0,"⚠ No coincide con Precios","OK"))</f>
        <v/>
      </c>
    </row>
    <row r="2482" spans="3:15" x14ac:dyDescent="0.2">
      <c r="C2482" s="9" cm="1">
        <f t="array" ref="C2482">IFERROR(_xlfn.XLOOKUP(B2482,Personal!$A:$A,Personal!$D:$D,""),"")</f>
        <v>0</v>
      </c>
      <c r="D2482" s="9" cm="1">
        <f t="array" ref="D2482">IFERROR(_xlfn.XLOOKUP(B2482,Personal!$A:$A,Personal!$C:$C,""),"")</f>
        <v>0</v>
      </c>
      <c r="E2482" s="9" t="str" cm="1">
        <f t="array" ref="E2482">IFERROR(_xlfn.XLOOKUP(D2482,Locales!$A:$A,Locales!$B:$B,""),"")</f>
        <v/>
      </c>
      <c r="F2482" s="9" cm="1">
        <f t="array" ref="F2482">IFERROR(_xlfn.XLOOKUP(B2482,Personal!$A:$A,Personal!$F:$F,""),"")</f>
        <v>0</v>
      </c>
      <c r="I2482" s="10" cm="1">
        <f t="array" ref="I2482">IFERROR(INDEX(Precios!$D:$F,MATCH(N2482, Precios!$G:$G, 0),CHOOSE(MATCH(H2482, {"SML";"XL";"XXL"}, 0), 1, 2, 3)), 0)</f>
        <v>0</v>
      </c>
      <c r="K2482" s="10">
        <f t="shared" si="84"/>
        <v>0</v>
      </c>
      <c r="N2482" s="9" t="str">
        <f t="shared" si="85"/>
        <v/>
      </c>
      <c r="O2482" s="9" t="str">
        <f>IF(N2482="","",IF(COUNTIF(Precios!$G:$G,N2482)=0,"⚠ No coincide con Precios","OK"))</f>
        <v/>
      </c>
    </row>
    <row r="2483" spans="3:15" x14ac:dyDescent="0.2">
      <c r="C2483" s="9" cm="1">
        <f t="array" ref="C2483">IFERROR(_xlfn.XLOOKUP(B2483,Personal!$A:$A,Personal!$D:$D,""),"")</f>
        <v>0</v>
      </c>
      <c r="D2483" s="9" cm="1">
        <f t="array" ref="D2483">IFERROR(_xlfn.XLOOKUP(B2483,Personal!$A:$A,Personal!$C:$C,""),"")</f>
        <v>0</v>
      </c>
      <c r="E2483" s="9" t="str" cm="1">
        <f t="array" ref="E2483">IFERROR(_xlfn.XLOOKUP(D2483,Locales!$A:$A,Locales!$B:$B,""),"")</f>
        <v/>
      </c>
      <c r="F2483" s="9" cm="1">
        <f t="array" ref="F2483">IFERROR(_xlfn.XLOOKUP(B2483,Personal!$A:$A,Personal!$F:$F,""),"")</f>
        <v>0</v>
      </c>
      <c r="I2483" s="10" cm="1">
        <f t="array" ref="I2483">IFERROR(INDEX(Precios!$D:$F,MATCH(N2483, Precios!$G:$G, 0),CHOOSE(MATCH(H2483, {"SML";"XL";"XXL"}, 0), 1, 2, 3)), 0)</f>
        <v>0</v>
      </c>
      <c r="K2483" s="10">
        <f t="shared" si="84"/>
        <v>0</v>
      </c>
      <c r="N2483" s="9" t="str">
        <f t="shared" si="85"/>
        <v/>
      </c>
      <c r="O2483" s="9" t="str">
        <f>IF(N2483="","",IF(COUNTIF(Precios!$G:$G,N2483)=0,"⚠ No coincide con Precios","OK"))</f>
        <v/>
      </c>
    </row>
    <row r="2484" spans="3:15" x14ac:dyDescent="0.2">
      <c r="C2484" s="9" cm="1">
        <f t="array" ref="C2484">IFERROR(_xlfn.XLOOKUP(B2484,Personal!$A:$A,Personal!$D:$D,""),"")</f>
        <v>0</v>
      </c>
      <c r="D2484" s="9" cm="1">
        <f t="array" ref="D2484">IFERROR(_xlfn.XLOOKUP(B2484,Personal!$A:$A,Personal!$C:$C,""),"")</f>
        <v>0</v>
      </c>
      <c r="E2484" s="9" t="str" cm="1">
        <f t="array" ref="E2484">IFERROR(_xlfn.XLOOKUP(D2484,Locales!$A:$A,Locales!$B:$B,""),"")</f>
        <v/>
      </c>
      <c r="F2484" s="9" cm="1">
        <f t="array" ref="F2484">IFERROR(_xlfn.XLOOKUP(B2484,Personal!$A:$A,Personal!$F:$F,""),"")</f>
        <v>0</v>
      </c>
      <c r="I2484" s="10" cm="1">
        <f t="array" ref="I2484">IFERROR(INDEX(Precios!$D:$F,MATCH(N2484, Precios!$G:$G, 0),CHOOSE(MATCH(H2484, {"SML";"XL";"XXL"}, 0), 1, 2, 3)), 0)</f>
        <v>0</v>
      </c>
      <c r="K2484" s="10">
        <f t="shared" si="84"/>
        <v>0</v>
      </c>
      <c r="N2484" s="9" t="str">
        <f t="shared" si="85"/>
        <v/>
      </c>
      <c r="O2484" s="9" t="str">
        <f>IF(N2484="","",IF(COUNTIF(Precios!$G:$G,N2484)=0,"⚠ No coincide con Precios","OK"))</f>
        <v/>
      </c>
    </row>
    <row r="2485" spans="3:15" x14ac:dyDescent="0.2">
      <c r="C2485" s="9" cm="1">
        <f t="array" ref="C2485">IFERROR(_xlfn.XLOOKUP(B2485,Personal!$A:$A,Personal!$D:$D,""),"")</f>
        <v>0</v>
      </c>
      <c r="D2485" s="9" cm="1">
        <f t="array" ref="D2485">IFERROR(_xlfn.XLOOKUP(B2485,Personal!$A:$A,Personal!$C:$C,""),"")</f>
        <v>0</v>
      </c>
      <c r="E2485" s="9" t="str" cm="1">
        <f t="array" ref="E2485">IFERROR(_xlfn.XLOOKUP(D2485,Locales!$A:$A,Locales!$B:$B,""),"")</f>
        <v/>
      </c>
      <c r="F2485" s="9" cm="1">
        <f t="array" ref="F2485">IFERROR(_xlfn.XLOOKUP(B2485,Personal!$A:$A,Personal!$F:$F,""),"")</f>
        <v>0</v>
      </c>
      <c r="I2485" s="10" cm="1">
        <f t="array" ref="I2485">IFERROR(INDEX(Precios!$D:$F,MATCH(N2485, Precios!$G:$G, 0),CHOOSE(MATCH(H2485, {"SML";"XL";"XXL"}, 0), 1, 2, 3)), 0)</f>
        <v>0</v>
      </c>
      <c r="K2485" s="10">
        <f t="shared" si="84"/>
        <v>0</v>
      </c>
      <c r="N2485" s="9" t="str">
        <f t="shared" si="85"/>
        <v/>
      </c>
      <c r="O2485" s="9" t="str">
        <f>IF(N2485="","",IF(COUNTIF(Precios!$G:$G,N2485)=0,"⚠ No coincide con Precios","OK"))</f>
        <v/>
      </c>
    </row>
    <row r="2486" spans="3:15" x14ac:dyDescent="0.2">
      <c r="C2486" s="9" cm="1">
        <f t="array" ref="C2486">IFERROR(_xlfn.XLOOKUP(B2486,Personal!$A:$A,Personal!$D:$D,""),"")</f>
        <v>0</v>
      </c>
      <c r="D2486" s="9" cm="1">
        <f t="array" ref="D2486">IFERROR(_xlfn.XLOOKUP(B2486,Personal!$A:$A,Personal!$C:$C,""),"")</f>
        <v>0</v>
      </c>
      <c r="E2486" s="9" t="str" cm="1">
        <f t="array" ref="E2486">IFERROR(_xlfn.XLOOKUP(D2486,Locales!$A:$A,Locales!$B:$B,""),"")</f>
        <v/>
      </c>
      <c r="F2486" s="9" cm="1">
        <f t="array" ref="F2486">IFERROR(_xlfn.XLOOKUP(B2486,Personal!$A:$A,Personal!$F:$F,""),"")</f>
        <v>0</v>
      </c>
      <c r="I2486" s="10" cm="1">
        <f t="array" ref="I2486">IFERROR(INDEX(Precios!$D:$F,MATCH(N2486, Precios!$G:$G, 0),CHOOSE(MATCH(H2486, {"SML";"XL";"XXL"}, 0), 1, 2, 3)), 0)</f>
        <v>0</v>
      </c>
      <c r="K2486" s="10">
        <f t="shared" si="84"/>
        <v>0</v>
      </c>
      <c r="N2486" s="9" t="str">
        <f t="shared" si="85"/>
        <v/>
      </c>
      <c r="O2486" s="9" t="str">
        <f>IF(N2486="","",IF(COUNTIF(Precios!$G:$G,N2486)=0,"⚠ No coincide con Precios","OK"))</f>
        <v/>
      </c>
    </row>
    <row r="2487" spans="3:15" x14ac:dyDescent="0.2">
      <c r="C2487" s="9" cm="1">
        <f t="array" ref="C2487">IFERROR(_xlfn.XLOOKUP(B2487,Personal!$A:$A,Personal!$D:$D,""),"")</f>
        <v>0</v>
      </c>
      <c r="D2487" s="9" cm="1">
        <f t="array" ref="D2487">IFERROR(_xlfn.XLOOKUP(B2487,Personal!$A:$A,Personal!$C:$C,""),"")</f>
        <v>0</v>
      </c>
      <c r="E2487" s="9" t="str" cm="1">
        <f t="array" ref="E2487">IFERROR(_xlfn.XLOOKUP(D2487,Locales!$A:$A,Locales!$B:$B,""),"")</f>
        <v/>
      </c>
      <c r="F2487" s="9" cm="1">
        <f t="array" ref="F2487">IFERROR(_xlfn.XLOOKUP(B2487,Personal!$A:$A,Personal!$F:$F,""),"")</f>
        <v>0</v>
      </c>
      <c r="I2487" s="10" cm="1">
        <f t="array" ref="I2487">IFERROR(INDEX(Precios!$D:$F,MATCH(N2487, Precios!$G:$G, 0),CHOOSE(MATCH(H2487, {"SML";"XL";"XXL"}, 0), 1, 2, 3)), 0)</f>
        <v>0</v>
      </c>
      <c r="K2487" s="10">
        <f t="shared" si="84"/>
        <v>0</v>
      </c>
      <c r="N2487" s="9" t="str">
        <f t="shared" si="85"/>
        <v/>
      </c>
      <c r="O2487" s="9" t="str">
        <f>IF(N2487="","",IF(COUNTIF(Precios!$G:$G,N2487)=0,"⚠ No coincide con Precios","OK"))</f>
        <v/>
      </c>
    </row>
    <row r="2488" spans="3:15" x14ac:dyDescent="0.2">
      <c r="C2488" s="9" cm="1">
        <f t="array" ref="C2488">IFERROR(_xlfn.XLOOKUP(B2488,Personal!$A:$A,Personal!$D:$D,""),"")</f>
        <v>0</v>
      </c>
      <c r="D2488" s="9" cm="1">
        <f t="array" ref="D2488">IFERROR(_xlfn.XLOOKUP(B2488,Personal!$A:$A,Personal!$C:$C,""),"")</f>
        <v>0</v>
      </c>
      <c r="E2488" s="9" t="str" cm="1">
        <f t="array" ref="E2488">IFERROR(_xlfn.XLOOKUP(D2488,Locales!$A:$A,Locales!$B:$B,""),"")</f>
        <v/>
      </c>
      <c r="F2488" s="9" cm="1">
        <f t="array" ref="F2488">IFERROR(_xlfn.XLOOKUP(B2488,Personal!$A:$A,Personal!$F:$F,""),"")</f>
        <v>0</v>
      </c>
      <c r="I2488" s="10" cm="1">
        <f t="array" ref="I2488">IFERROR(INDEX(Precios!$D:$F,MATCH(N2488, Precios!$G:$G, 0),CHOOSE(MATCH(H2488, {"SML";"XL";"XXL"}, 0), 1, 2, 3)), 0)</f>
        <v>0</v>
      </c>
      <c r="K2488" s="10">
        <f t="shared" si="84"/>
        <v>0</v>
      </c>
      <c r="N2488" s="9" t="str">
        <f t="shared" si="85"/>
        <v/>
      </c>
      <c r="O2488" s="9" t="str">
        <f>IF(N2488="","",IF(COUNTIF(Precios!$G:$G,N2488)=0,"⚠ No coincide con Precios","OK"))</f>
        <v/>
      </c>
    </row>
    <row r="2489" spans="3:15" x14ac:dyDescent="0.2">
      <c r="C2489" s="9" cm="1">
        <f t="array" ref="C2489">IFERROR(_xlfn.XLOOKUP(B2489,Personal!$A:$A,Personal!$D:$D,""),"")</f>
        <v>0</v>
      </c>
      <c r="D2489" s="9" cm="1">
        <f t="array" ref="D2489">IFERROR(_xlfn.XLOOKUP(B2489,Personal!$A:$A,Personal!$C:$C,""),"")</f>
        <v>0</v>
      </c>
      <c r="E2489" s="9" t="str" cm="1">
        <f t="array" ref="E2489">IFERROR(_xlfn.XLOOKUP(D2489,Locales!$A:$A,Locales!$B:$B,""),"")</f>
        <v/>
      </c>
      <c r="F2489" s="9" cm="1">
        <f t="array" ref="F2489">IFERROR(_xlfn.XLOOKUP(B2489,Personal!$A:$A,Personal!$F:$F,""),"")</f>
        <v>0</v>
      </c>
      <c r="I2489" s="10" cm="1">
        <f t="array" ref="I2489">IFERROR(INDEX(Precios!$D:$F,MATCH(N2489, Precios!$G:$G, 0),CHOOSE(MATCH(H2489, {"SML";"XL";"XXL"}, 0), 1, 2, 3)), 0)</f>
        <v>0</v>
      </c>
      <c r="K2489" s="10">
        <f t="shared" si="84"/>
        <v>0</v>
      </c>
      <c r="N2489" s="9" t="str">
        <f t="shared" si="85"/>
        <v/>
      </c>
      <c r="O2489" s="9" t="str">
        <f>IF(N2489="","",IF(COUNTIF(Precios!$G:$G,N2489)=0,"⚠ No coincide con Precios","OK"))</f>
        <v/>
      </c>
    </row>
    <row r="2490" spans="3:15" x14ac:dyDescent="0.2">
      <c r="C2490" s="9" cm="1">
        <f t="array" ref="C2490">IFERROR(_xlfn.XLOOKUP(B2490,Personal!$A:$A,Personal!$D:$D,""),"")</f>
        <v>0</v>
      </c>
      <c r="D2490" s="9" cm="1">
        <f t="array" ref="D2490">IFERROR(_xlfn.XLOOKUP(B2490,Personal!$A:$A,Personal!$C:$C,""),"")</f>
        <v>0</v>
      </c>
      <c r="E2490" s="9" t="str" cm="1">
        <f t="array" ref="E2490">IFERROR(_xlfn.XLOOKUP(D2490,Locales!$A:$A,Locales!$B:$B,""),"")</f>
        <v/>
      </c>
      <c r="F2490" s="9" cm="1">
        <f t="array" ref="F2490">IFERROR(_xlfn.XLOOKUP(B2490,Personal!$A:$A,Personal!$F:$F,""),"")</f>
        <v>0</v>
      </c>
      <c r="I2490" s="10" cm="1">
        <f t="array" ref="I2490">IFERROR(INDEX(Precios!$D:$F,MATCH(N2490, Precios!$G:$G, 0),CHOOSE(MATCH(H2490, {"SML";"XL";"XXL"}, 0), 1, 2, 3)), 0)</f>
        <v>0</v>
      </c>
      <c r="K2490" s="10">
        <f t="shared" si="84"/>
        <v>0</v>
      </c>
      <c r="N2490" s="9" t="str">
        <f t="shared" si="85"/>
        <v/>
      </c>
      <c r="O2490" s="9" t="str">
        <f>IF(N2490="","",IF(COUNTIF(Precios!$G:$G,N2490)=0,"⚠ No coincide con Precios","OK"))</f>
        <v/>
      </c>
    </row>
    <row r="2491" spans="3:15" x14ac:dyDescent="0.2">
      <c r="C2491" s="9" cm="1">
        <f t="array" ref="C2491">IFERROR(_xlfn.XLOOKUP(B2491,Personal!$A:$A,Personal!$D:$D,""),"")</f>
        <v>0</v>
      </c>
      <c r="D2491" s="9" cm="1">
        <f t="array" ref="D2491">IFERROR(_xlfn.XLOOKUP(B2491,Personal!$A:$A,Personal!$C:$C,""),"")</f>
        <v>0</v>
      </c>
      <c r="E2491" s="9" t="str" cm="1">
        <f t="array" ref="E2491">IFERROR(_xlfn.XLOOKUP(D2491,Locales!$A:$A,Locales!$B:$B,""),"")</f>
        <v/>
      </c>
      <c r="F2491" s="9" cm="1">
        <f t="array" ref="F2491">IFERROR(_xlfn.XLOOKUP(B2491,Personal!$A:$A,Personal!$F:$F,""),"")</f>
        <v>0</v>
      </c>
      <c r="I2491" s="10" cm="1">
        <f t="array" ref="I2491">IFERROR(INDEX(Precios!$D:$F,MATCH(N2491, Precios!$G:$G, 0),CHOOSE(MATCH(H2491, {"SML";"XL";"XXL"}, 0), 1, 2, 3)), 0)</f>
        <v>0</v>
      </c>
      <c r="K2491" s="10">
        <f t="shared" si="84"/>
        <v>0</v>
      </c>
      <c r="N2491" s="9" t="str">
        <f t="shared" si="85"/>
        <v/>
      </c>
      <c r="O2491" s="9" t="str">
        <f>IF(N2491="","",IF(COUNTIF(Precios!$G:$G,N2491)=0,"⚠ No coincide con Precios","OK"))</f>
        <v/>
      </c>
    </row>
    <row r="2492" spans="3:15" x14ac:dyDescent="0.2">
      <c r="C2492" s="9" cm="1">
        <f t="array" ref="C2492">IFERROR(_xlfn.XLOOKUP(B2492,Personal!$A:$A,Personal!$D:$D,""),"")</f>
        <v>0</v>
      </c>
      <c r="D2492" s="9" cm="1">
        <f t="array" ref="D2492">IFERROR(_xlfn.XLOOKUP(B2492,Personal!$A:$A,Personal!$C:$C,""),"")</f>
        <v>0</v>
      </c>
      <c r="E2492" s="9" t="str" cm="1">
        <f t="array" ref="E2492">IFERROR(_xlfn.XLOOKUP(D2492,Locales!$A:$A,Locales!$B:$B,""),"")</f>
        <v/>
      </c>
      <c r="F2492" s="9" cm="1">
        <f t="array" ref="F2492">IFERROR(_xlfn.XLOOKUP(B2492,Personal!$A:$A,Personal!$F:$F,""),"")</f>
        <v>0</v>
      </c>
      <c r="I2492" s="10" cm="1">
        <f t="array" ref="I2492">IFERROR(INDEX(Precios!$D:$F,MATCH(N2492, Precios!$G:$G, 0),CHOOSE(MATCH(H2492, {"SML";"XL";"XXL"}, 0), 1, 2, 3)), 0)</f>
        <v>0</v>
      </c>
      <c r="K2492" s="10">
        <f t="shared" si="84"/>
        <v>0</v>
      </c>
      <c r="N2492" s="9" t="str">
        <f t="shared" si="85"/>
        <v/>
      </c>
      <c r="O2492" s="9" t="str">
        <f>IF(N2492="","",IF(COUNTIF(Precios!$G:$G,N2492)=0,"⚠ No coincide con Precios","OK"))</f>
        <v/>
      </c>
    </row>
    <row r="2493" spans="3:15" x14ac:dyDescent="0.2">
      <c r="C2493" s="9" cm="1">
        <f t="array" ref="C2493">IFERROR(_xlfn.XLOOKUP(B2493,Personal!$A:$A,Personal!$D:$D,""),"")</f>
        <v>0</v>
      </c>
      <c r="D2493" s="9" cm="1">
        <f t="array" ref="D2493">IFERROR(_xlfn.XLOOKUP(B2493,Personal!$A:$A,Personal!$C:$C,""),"")</f>
        <v>0</v>
      </c>
      <c r="E2493" s="9" t="str" cm="1">
        <f t="array" ref="E2493">IFERROR(_xlfn.XLOOKUP(D2493,Locales!$A:$A,Locales!$B:$B,""),"")</f>
        <v/>
      </c>
      <c r="F2493" s="9" cm="1">
        <f t="array" ref="F2493">IFERROR(_xlfn.XLOOKUP(B2493,Personal!$A:$A,Personal!$F:$F,""),"")</f>
        <v>0</v>
      </c>
      <c r="I2493" s="10" cm="1">
        <f t="array" ref="I2493">IFERROR(INDEX(Precios!$D:$F,MATCH(N2493, Precios!$G:$G, 0),CHOOSE(MATCH(H2493, {"SML";"XL";"XXL"}, 0), 1, 2, 3)), 0)</f>
        <v>0</v>
      </c>
      <c r="K2493" s="10">
        <f t="shared" si="84"/>
        <v>0</v>
      </c>
      <c r="N2493" s="9" t="str">
        <f t="shared" si="85"/>
        <v/>
      </c>
      <c r="O2493" s="9" t="str">
        <f>IF(N2493="","",IF(COUNTIF(Precios!$G:$G,N2493)=0,"⚠ No coincide con Precios","OK"))</f>
        <v/>
      </c>
    </row>
    <row r="2494" spans="3:15" x14ac:dyDescent="0.2">
      <c r="C2494" s="9" cm="1">
        <f t="array" ref="C2494">IFERROR(_xlfn.XLOOKUP(B2494,Personal!$A:$A,Personal!$D:$D,""),"")</f>
        <v>0</v>
      </c>
      <c r="D2494" s="9" cm="1">
        <f t="array" ref="D2494">IFERROR(_xlfn.XLOOKUP(B2494,Personal!$A:$A,Personal!$C:$C,""),"")</f>
        <v>0</v>
      </c>
      <c r="E2494" s="9" t="str" cm="1">
        <f t="array" ref="E2494">IFERROR(_xlfn.XLOOKUP(D2494,Locales!$A:$A,Locales!$B:$B,""),"")</f>
        <v/>
      </c>
      <c r="F2494" s="9" cm="1">
        <f t="array" ref="F2494">IFERROR(_xlfn.XLOOKUP(B2494,Personal!$A:$A,Personal!$F:$F,""),"")</f>
        <v>0</v>
      </c>
      <c r="I2494" s="10" cm="1">
        <f t="array" ref="I2494">IFERROR(INDEX(Precios!$D:$F,MATCH(N2494, Precios!$G:$G, 0),CHOOSE(MATCH(H2494, {"SML";"XL";"XXL"}, 0), 1, 2, 3)), 0)</f>
        <v>0</v>
      </c>
      <c r="K2494" s="10">
        <f t="shared" si="84"/>
        <v>0</v>
      </c>
      <c r="N2494" s="9" t="str">
        <f t="shared" si="85"/>
        <v/>
      </c>
      <c r="O2494" s="9" t="str">
        <f>IF(N2494="","",IF(COUNTIF(Precios!$G:$G,N2494)=0,"⚠ No coincide con Precios","OK"))</f>
        <v/>
      </c>
    </row>
    <row r="2495" spans="3:15" x14ac:dyDescent="0.2">
      <c r="C2495" s="9" cm="1">
        <f t="array" ref="C2495">IFERROR(_xlfn.XLOOKUP(B2495,Personal!$A:$A,Personal!$D:$D,""),"")</f>
        <v>0</v>
      </c>
      <c r="D2495" s="9" cm="1">
        <f t="array" ref="D2495">IFERROR(_xlfn.XLOOKUP(B2495,Personal!$A:$A,Personal!$C:$C,""),"")</f>
        <v>0</v>
      </c>
      <c r="E2495" s="9" t="str" cm="1">
        <f t="array" ref="E2495">IFERROR(_xlfn.XLOOKUP(D2495,Locales!$A:$A,Locales!$B:$B,""),"")</f>
        <v/>
      </c>
      <c r="F2495" s="9" cm="1">
        <f t="array" ref="F2495">IFERROR(_xlfn.XLOOKUP(B2495,Personal!$A:$A,Personal!$F:$F,""),"")</f>
        <v>0</v>
      </c>
      <c r="I2495" s="10" cm="1">
        <f t="array" ref="I2495">IFERROR(INDEX(Precios!$D:$F,MATCH(N2495, Precios!$G:$G, 0),CHOOSE(MATCH(H2495, {"SML";"XL";"XXL"}, 0), 1, 2, 3)), 0)</f>
        <v>0</v>
      </c>
      <c r="K2495" s="10">
        <f t="shared" si="84"/>
        <v>0</v>
      </c>
      <c r="N2495" s="9" t="str">
        <f t="shared" si="85"/>
        <v/>
      </c>
      <c r="O2495" s="9" t="str">
        <f>IF(N2495="","",IF(COUNTIF(Precios!$G:$G,N2495)=0,"⚠ No coincide con Precios","OK"))</f>
        <v/>
      </c>
    </row>
    <row r="2496" spans="3:15" x14ac:dyDescent="0.2">
      <c r="C2496" s="9" cm="1">
        <f t="array" ref="C2496">IFERROR(_xlfn.XLOOKUP(B2496,Personal!$A:$A,Personal!$D:$D,""),"")</f>
        <v>0</v>
      </c>
      <c r="D2496" s="9" cm="1">
        <f t="array" ref="D2496">IFERROR(_xlfn.XLOOKUP(B2496,Personal!$A:$A,Personal!$C:$C,""),"")</f>
        <v>0</v>
      </c>
      <c r="E2496" s="9" t="str" cm="1">
        <f t="array" ref="E2496">IFERROR(_xlfn.XLOOKUP(D2496,Locales!$A:$A,Locales!$B:$B,""),"")</f>
        <v/>
      </c>
      <c r="F2496" s="9" cm="1">
        <f t="array" ref="F2496">IFERROR(_xlfn.XLOOKUP(B2496,Personal!$A:$A,Personal!$F:$F,""),"")</f>
        <v>0</v>
      </c>
      <c r="I2496" s="10" cm="1">
        <f t="array" ref="I2496">IFERROR(INDEX(Precios!$D:$F,MATCH(N2496, Precios!$G:$G, 0),CHOOSE(MATCH(H2496, {"SML";"XL";"XXL"}, 0), 1, 2, 3)), 0)</f>
        <v>0</v>
      </c>
      <c r="K2496" s="10">
        <f t="shared" ref="K2496:K2559" si="86">IFERROR(I2496*J2496,0)</f>
        <v>0</v>
      </c>
      <c r="N2496" s="9" t="str">
        <f t="shared" ref="N2496:N2559" si="87">IF( OR(E2496="",F2496="",G2496=""), "",CLEAN(TRIM(E2496)) &amp; "|" &amp; CLEAN(TRIM(F2496)) &amp; "|" &amp; CLEAN(TRIM(G2496)))</f>
        <v/>
      </c>
      <c r="O2496" s="9" t="str">
        <f>IF(N2496="","",IF(COUNTIF(Precios!$G:$G,N2496)=0,"⚠ No coincide con Precios","OK"))</f>
        <v/>
      </c>
    </row>
    <row r="2497" spans="3:15" x14ac:dyDescent="0.2">
      <c r="C2497" s="9" cm="1">
        <f t="array" ref="C2497">IFERROR(_xlfn.XLOOKUP(B2497,Personal!$A:$A,Personal!$D:$D,""),"")</f>
        <v>0</v>
      </c>
      <c r="D2497" s="9" cm="1">
        <f t="array" ref="D2497">IFERROR(_xlfn.XLOOKUP(B2497,Personal!$A:$A,Personal!$C:$C,""),"")</f>
        <v>0</v>
      </c>
      <c r="E2497" s="9" t="str" cm="1">
        <f t="array" ref="E2497">IFERROR(_xlfn.XLOOKUP(D2497,Locales!$A:$A,Locales!$B:$B,""),"")</f>
        <v/>
      </c>
      <c r="F2497" s="9" cm="1">
        <f t="array" ref="F2497">IFERROR(_xlfn.XLOOKUP(B2497,Personal!$A:$A,Personal!$F:$F,""),"")</f>
        <v>0</v>
      </c>
      <c r="I2497" s="10" cm="1">
        <f t="array" ref="I2497">IFERROR(INDEX(Precios!$D:$F,MATCH(N2497, Precios!$G:$G, 0),CHOOSE(MATCH(H2497, {"SML";"XL";"XXL"}, 0), 1, 2, 3)), 0)</f>
        <v>0</v>
      </c>
      <c r="K2497" s="10">
        <f t="shared" si="86"/>
        <v>0</v>
      </c>
      <c r="N2497" s="9" t="str">
        <f t="shared" si="87"/>
        <v/>
      </c>
      <c r="O2497" s="9" t="str">
        <f>IF(N2497="","",IF(COUNTIF(Precios!$G:$G,N2497)=0,"⚠ No coincide con Precios","OK"))</f>
        <v/>
      </c>
    </row>
    <row r="2498" spans="3:15" x14ac:dyDescent="0.2">
      <c r="C2498" s="9" cm="1">
        <f t="array" ref="C2498">IFERROR(_xlfn.XLOOKUP(B2498,Personal!$A:$A,Personal!$D:$D,""),"")</f>
        <v>0</v>
      </c>
      <c r="D2498" s="9" cm="1">
        <f t="array" ref="D2498">IFERROR(_xlfn.XLOOKUP(B2498,Personal!$A:$A,Personal!$C:$C,""),"")</f>
        <v>0</v>
      </c>
      <c r="E2498" s="9" t="str" cm="1">
        <f t="array" ref="E2498">IFERROR(_xlfn.XLOOKUP(D2498,Locales!$A:$A,Locales!$B:$B,""),"")</f>
        <v/>
      </c>
      <c r="F2498" s="9" cm="1">
        <f t="array" ref="F2498">IFERROR(_xlfn.XLOOKUP(B2498,Personal!$A:$A,Personal!$F:$F,""),"")</f>
        <v>0</v>
      </c>
      <c r="I2498" s="10" cm="1">
        <f t="array" ref="I2498">IFERROR(INDEX(Precios!$D:$F,MATCH(N2498, Precios!$G:$G, 0),CHOOSE(MATCH(H2498, {"SML";"XL";"XXL"}, 0), 1, 2, 3)), 0)</f>
        <v>0</v>
      </c>
      <c r="K2498" s="10">
        <f t="shared" si="86"/>
        <v>0</v>
      </c>
      <c r="N2498" s="9" t="str">
        <f t="shared" si="87"/>
        <v/>
      </c>
      <c r="O2498" s="9" t="str">
        <f>IF(N2498="","",IF(COUNTIF(Precios!$G:$G,N2498)=0,"⚠ No coincide con Precios","OK"))</f>
        <v/>
      </c>
    </row>
    <row r="2499" spans="3:15" x14ac:dyDescent="0.2">
      <c r="C2499" s="9" cm="1">
        <f t="array" ref="C2499">IFERROR(_xlfn.XLOOKUP(B2499,Personal!$A:$A,Personal!$D:$D,""),"")</f>
        <v>0</v>
      </c>
      <c r="D2499" s="9" cm="1">
        <f t="array" ref="D2499">IFERROR(_xlfn.XLOOKUP(B2499,Personal!$A:$A,Personal!$C:$C,""),"")</f>
        <v>0</v>
      </c>
      <c r="E2499" s="9" t="str" cm="1">
        <f t="array" ref="E2499">IFERROR(_xlfn.XLOOKUP(D2499,Locales!$A:$A,Locales!$B:$B,""),"")</f>
        <v/>
      </c>
      <c r="F2499" s="9" cm="1">
        <f t="array" ref="F2499">IFERROR(_xlfn.XLOOKUP(B2499,Personal!$A:$A,Personal!$F:$F,""),"")</f>
        <v>0</v>
      </c>
      <c r="I2499" s="10" cm="1">
        <f t="array" ref="I2499">IFERROR(INDEX(Precios!$D:$F,MATCH(N2499, Precios!$G:$G, 0),CHOOSE(MATCH(H2499, {"SML";"XL";"XXL"}, 0), 1, 2, 3)), 0)</f>
        <v>0</v>
      </c>
      <c r="K2499" s="10">
        <f t="shared" si="86"/>
        <v>0</v>
      </c>
      <c r="N2499" s="9" t="str">
        <f t="shared" si="87"/>
        <v/>
      </c>
      <c r="O2499" s="9" t="str">
        <f>IF(N2499="","",IF(COUNTIF(Precios!$G:$G,N2499)=0,"⚠ No coincide con Precios","OK"))</f>
        <v/>
      </c>
    </row>
    <row r="2500" spans="3:15" x14ac:dyDescent="0.2">
      <c r="C2500" s="9" cm="1">
        <f t="array" ref="C2500">IFERROR(_xlfn.XLOOKUP(B2500,Personal!$A:$A,Personal!$D:$D,""),"")</f>
        <v>0</v>
      </c>
      <c r="D2500" s="9" cm="1">
        <f t="array" ref="D2500">IFERROR(_xlfn.XLOOKUP(B2500,Personal!$A:$A,Personal!$C:$C,""),"")</f>
        <v>0</v>
      </c>
      <c r="E2500" s="9" t="str" cm="1">
        <f t="array" ref="E2500">IFERROR(_xlfn.XLOOKUP(D2500,Locales!$A:$A,Locales!$B:$B,""),"")</f>
        <v/>
      </c>
      <c r="F2500" s="9" cm="1">
        <f t="array" ref="F2500">IFERROR(_xlfn.XLOOKUP(B2500,Personal!$A:$A,Personal!$F:$F,""),"")</f>
        <v>0</v>
      </c>
      <c r="I2500" s="10" cm="1">
        <f t="array" ref="I2500">IFERROR(INDEX(Precios!$D:$F,MATCH(N2500, Precios!$G:$G, 0),CHOOSE(MATCH(H2500, {"SML";"XL";"XXL"}, 0), 1, 2, 3)), 0)</f>
        <v>0</v>
      </c>
      <c r="K2500" s="10">
        <f t="shared" si="86"/>
        <v>0</v>
      </c>
      <c r="N2500" s="9" t="str">
        <f t="shared" si="87"/>
        <v/>
      </c>
      <c r="O2500" s="9" t="str">
        <f>IF(N2500="","",IF(COUNTIF(Precios!$G:$G,N2500)=0,"⚠ No coincide con Precios","OK"))</f>
        <v/>
      </c>
    </row>
    <row r="2501" spans="3:15" x14ac:dyDescent="0.2">
      <c r="C2501" s="9" cm="1">
        <f t="array" ref="C2501">IFERROR(_xlfn.XLOOKUP(B2501,Personal!$A:$A,Personal!$D:$D,""),"")</f>
        <v>0</v>
      </c>
      <c r="D2501" s="9" cm="1">
        <f t="array" ref="D2501">IFERROR(_xlfn.XLOOKUP(B2501,Personal!$A:$A,Personal!$C:$C,""),"")</f>
        <v>0</v>
      </c>
      <c r="E2501" s="9" t="str" cm="1">
        <f t="array" ref="E2501">IFERROR(_xlfn.XLOOKUP(D2501,Locales!$A:$A,Locales!$B:$B,""),"")</f>
        <v/>
      </c>
      <c r="F2501" s="9" cm="1">
        <f t="array" ref="F2501">IFERROR(_xlfn.XLOOKUP(B2501,Personal!$A:$A,Personal!$F:$F,""),"")</f>
        <v>0</v>
      </c>
      <c r="I2501" s="10" cm="1">
        <f t="array" ref="I2501">IFERROR(INDEX(Precios!$D:$F,MATCH(N2501, Precios!$G:$G, 0),CHOOSE(MATCH(H2501, {"SML";"XL";"XXL"}, 0), 1, 2, 3)), 0)</f>
        <v>0</v>
      </c>
      <c r="K2501" s="10">
        <f t="shared" si="86"/>
        <v>0</v>
      </c>
      <c r="N2501" s="9" t="str">
        <f t="shared" si="87"/>
        <v/>
      </c>
      <c r="O2501" s="9" t="str">
        <f>IF(N2501="","",IF(COUNTIF(Precios!$G:$G,N2501)=0,"⚠ No coincide con Precios","OK"))</f>
        <v/>
      </c>
    </row>
    <row r="2502" spans="3:15" x14ac:dyDescent="0.2">
      <c r="C2502" s="9" cm="1">
        <f t="array" ref="C2502">IFERROR(_xlfn.XLOOKUP(B2502,Personal!$A:$A,Personal!$D:$D,""),"")</f>
        <v>0</v>
      </c>
      <c r="D2502" s="9" cm="1">
        <f t="array" ref="D2502">IFERROR(_xlfn.XLOOKUP(B2502,Personal!$A:$A,Personal!$C:$C,""),"")</f>
        <v>0</v>
      </c>
      <c r="E2502" s="9" t="str" cm="1">
        <f t="array" ref="E2502">IFERROR(_xlfn.XLOOKUP(D2502,Locales!$A:$A,Locales!$B:$B,""),"")</f>
        <v/>
      </c>
      <c r="F2502" s="9" cm="1">
        <f t="array" ref="F2502">IFERROR(_xlfn.XLOOKUP(B2502,Personal!$A:$A,Personal!$F:$F,""),"")</f>
        <v>0</v>
      </c>
      <c r="I2502" s="10" cm="1">
        <f t="array" ref="I2502">IFERROR(INDEX(Precios!$D:$F,MATCH(N2502, Precios!$G:$G, 0),CHOOSE(MATCH(H2502, {"SML";"XL";"XXL"}, 0), 1, 2, 3)), 0)</f>
        <v>0</v>
      </c>
      <c r="K2502" s="10">
        <f t="shared" si="86"/>
        <v>0</v>
      </c>
      <c r="N2502" s="9" t="str">
        <f t="shared" si="87"/>
        <v/>
      </c>
      <c r="O2502" s="9" t="str">
        <f>IF(N2502="","",IF(COUNTIF(Precios!$G:$G,N2502)=0,"⚠ No coincide con Precios","OK"))</f>
        <v/>
      </c>
    </row>
    <row r="2503" spans="3:15" x14ac:dyDescent="0.2">
      <c r="C2503" s="9" cm="1">
        <f t="array" ref="C2503">IFERROR(_xlfn.XLOOKUP(B2503,Personal!$A:$A,Personal!$D:$D,""),"")</f>
        <v>0</v>
      </c>
      <c r="D2503" s="9" cm="1">
        <f t="array" ref="D2503">IFERROR(_xlfn.XLOOKUP(B2503,Personal!$A:$A,Personal!$C:$C,""),"")</f>
        <v>0</v>
      </c>
      <c r="E2503" s="9" t="str" cm="1">
        <f t="array" ref="E2503">IFERROR(_xlfn.XLOOKUP(D2503,Locales!$A:$A,Locales!$B:$B,""),"")</f>
        <v/>
      </c>
      <c r="F2503" s="9" cm="1">
        <f t="array" ref="F2503">IFERROR(_xlfn.XLOOKUP(B2503,Personal!$A:$A,Personal!$F:$F,""),"")</f>
        <v>0</v>
      </c>
      <c r="I2503" s="10" cm="1">
        <f t="array" ref="I2503">IFERROR(INDEX(Precios!$D:$F,MATCH(N2503, Precios!$G:$G, 0),CHOOSE(MATCH(H2503, {"SML";"XL";"XXL"}, 0), 1, 2, 3)), 0)</f>
        <v>0</v>
      </c>
      <c r="K2503" s="10">
        <f t="shared" si="86"/>
        <v>0</v>
      </c>
      <c r="N2503" s="9" t="str">
        <f t="shared" si="87"/>
        <v/>
      </c>
      <c r="O2503" s="9" t="str">
        <f>IF(N2503="","",IF(COUNTIF(Precios!$G:$G,N2503)=0,"⚠ No coincide con Precios","OK"))</f>
        <v/>
      </c>
    </row>
    <row r="2504" spans="3:15" x14ac:dyDescent="0.2">
      <c r="C2504" s="9" cm="1">
        <f t="array" ref="C2504">IFERROR(_xlfn.XLOOKUP(B2504,Personal!$A:$A,Personal!$D:$D,""),"")</f>
        <v>0</v>
      </c>
      <c r="D2504" s="9" cm="1">
        <f t="array" ref="D2504">IFERROR(_xlfn.XLOOKUP(B2504,Personal!$A:$A,Personal!$C:$C,""),"")</f>
        <v>0</v>
      </c>
      <c r="E2504" s="9" t="str" cm="1">
        <f t="array" ref="E2504">IFERROR(_xlfn.XLOOKUP(D2504,Locales!$A:$A,Locales!$B:$B,""),"")</f>
        <v/>
      </c>
      <c r="F2504" s="9" cm="1">
        <f t="array" ref="F2504">IFERROR(_xlfn.XLOOKUP(B2504,Personal!$A:$A,Personal!$F:$F,""),"")</f>
        <v>0</v>
      </c>
      <c r="I2504" s="10" cm="1">
        <f t="array" ref="I2504">IFERROR(INDEX(Precios!$D:$F,MATCH(N2504, Precios!$G:$G, 0),CHOOSE(MATCH(H2504, {"SML";"XL";"XXL"}, 0), 1, 2, 3)), 0)</f>
        <v>0</v>
      </c>
      <c r="K2504" s="10">
        <f t="shared" si="86"/>
        <v>0</v>
      </c>
      <c r="N2504" s="9" t="str">
        <f t="shared" si="87"/>
        <v/>
      </c>
      <c r="O2504" s="9" t="str">
        <f>IF(N2504="","",IF(COUNTIF(Precios!$G:$G,N2504)=0,"⚠ No coincide con Precios","OK"))</f>
        <v/>
      </c>
    </row>
    <row r="2505" spans="3:15" x14ac:dyDescent="0.2">
      <c r="C2505" s="9" cm="1">
        <f t="array" ref="C2505">IFERROR(_xlfn.XLOOKUP(B2505,Personal!$A:$A,Personal!$D:$D,""),"")</f>
        <v>0</v>
      </c>
      <c r="D2505" s="9" cm="1">
        <f t="array" ref="D2505">IFERROR(_xlfn.XLOOKUP(B2505,Personal!$A:$A,Personal!$C:$C,""),"")</f>
        <v>0</v>
      </c>
      <c r="E2505" s="9" t="str" cm="1">
        <f t="array" ref="E2505">IFERROR(_xlfn.XLOOKUP(D2505,Locales!$A:$A,Locales!$B:$B,""),"")</f>
        <v/>
      </c>
      <c r="F2505" s="9" cm="1">
        <f t="array" ref="F2505">IFERROR(_xlfn.XLOOKUP(B2505,Personal!$A:$A,Personal!$F:$F,""),"")</f>
        <v>0</v>
      </c>
      <c r="I2505" s="10" cm="1">
        <f t="array" ref="I2505">IFERROR(INDEX(Precios!$D:$F,MATCH(N2505, Precios!$G:$G, 0),CHOOSE(MATCH(H2505, {"SML";"XL";"XXL"}, 0), 1, 2, 3)), 0)</f>
        <v>0</v>
      </c>
      <c r="K2505" s="10">
        <f t="shared" si="86"/>
        <v>0</v>
      </c>
      <c r="N2505" s="9" t="str">
        <f t="shared" si="87"/>
        <v/>
      </c>
      <c r="O2505" s="9" t="str">
        <f>IF(N2505="","",IF(COUNTIF(Precios!$G:$G,N2505)=0,"⚠ No coincide con Precios","OK"))</f>
        <v/>
      </c>
    </row>
    <row r="2506" spans="3:15" x14ac:dyDescent="0.2">
      <c r="C2506" s="9" cm="1">
        <f t="array" ref="C2506">IFERROR(_xlfn.XLOOKUP(B2506,Personal!$A:$A,Personal!$D:$D,""),"")</f>
        <v>0</v>
      </c>
      <c r="D2506" s="9" cm="1">
        <f t="array" ref="D2506">IFERROR(_xlfn.XLOOKUP(B2506,Personal!$A:$A,Personal!$C:$C,""),"")</f>
        <v>0</v>
      </c>
      <c r="E2506" s="9" t="str" cm="1">
        <f t="array" ref="E2506">IFERROR(_xlfn.XLOOKUP(D2506,Locales!$A:$A,Locales!$B:$B,""),"")</f>
        <v/>
      </c>
      <c r="F2506" s="9" cm="1">
        <f t="array" ref="F2506">IFERROR(_xlfn.XLOOKUP(B2506,Personal!$A:$A,Personal!$F:$F,""),"")</f>
        <v>0</v>
      </c>
      <c r="I2506" s="10" cm="1">
        <f t="array" ref="I2506">IFERROR(INDEX(Precios!$D:$F,MATCH(N2506, Precios!$G:$G, 0),CHOOSE(MATCH(H2506, {"SML";"XL";"XXL"}, 0), 1, 2, 3)), 0)</f>
        <v>0</v>
      </c>
      <c r="K2506" s="10">
        <f t="shared" si="86"/>
        <v>0</v>
      </c>
      <c r="N2506" s="9" t="str">
        <f t="shared" si="87"/>
        <v/>
      </c>
      <c r="O2506" s="9" t="str">
        <f>IF(N2506="","",IF(COUNTIF(Precios!$G:$G,N2506)=0,"⚠ No coincide con Precios","OK"))</f>
        <v/>
      </c>
    </row>
    <row r="2507" spans="3:15" x14ac:dyDescent="0.2">
      <c r="C2507" s="9" cm="1">
        <f t="array" ref="C2507">IFERROR(_xlfn.XLOOKUP(B2507,Personal!$A:$A,Personal!$D:$D,""),"")</f>
        <v>0</v>
      </c>
      <c r="D2507" s="9" cm="1">
        <f t="array" ref="D2507">IFERROR(_xlfn.XLOOKUP(B2507,Personal!$A:$A,Personal!$C:$C,""),"")</f>
        <v>0</v>
      </c>
      <c r="E2507" s="9" t="str" cm="1">
        <f t="array" ref="E2507">IFERROR(_xlfn.XLOOKUP(D2507,Locales!$A:$A,Locales!$B:$B,""),"")</f>
        <v/>
      </c>
      <c r="F2507" s="9" cm="1">
        <f t="array" ref="F2507">IFERROR(_xlfn.XLOOKUP(B2507,Personal!$A:$A,Personal!$F:$F,""),"")</f>
        <v>0</v>
      </c>
      <c r="I2507" s="10" cm="1">
        <f t="array" ref="I2507">IFERROR(INDEX(Precios!$D:$F,MATCH(N2507, Precios!$G:$G, 0),CHOOSE(MATCH(H2507, {"SML";"XL";"XXL"}, 0), 1, 2, 3)), 0)</f>
        <v>0</v>
      </c>
      <c r="K2507" s="10">
        <f t="shared" si="86"/>
        <v>0</v>
      </c>
      <c r="N2507" s="9" t="str">
        <f t="shared" si="87"/>
        <v/>
      </c>
      <c r="O2507" s="9" t="str">
        <f>IF(N2507="","",IF(COUNTIF(Precios!$G:$G,N2507)=0,"⚠ No coincide con Precios","OK"))</f>
        <v/>
      </c>
    </row>
    <row r="2508" spans="3:15" x14ac:dyDescent="0.2">
      <c r="C2508" s="9" cm="1">
        <f t="array" ref="C2508">IFERROR(_xlfn.XLOOKUP(B2508,Personal!$A:$A,Personal!$D:$D,""),"")</f>
        <v>0</v>
      </c>
      <c r="D2508" s="9" cm="1">
        <f t="array" ref="D2508">IFERROR(_xlfn.XLOOKUP(B2508,Personal!$A:$A,Personal!$C:$C,""),"")</f>
        <v>0</v>
      </c>
      <c r="E2508" s="9" t="str" cm="1">
        <f t="array" ref="E2508">IFERROR(_xlfn.XLOOKUP(D2508,Locales!$A:$A,Locales!$B:$B,""),"")</f>
        <v/>
      </c>
      <c r="F2508" s="9" cm="1">
        <f t="array" ref="F2508">IFERROR(_xlfn.XLOOKUP(B2508,Personal!$A:$A,Personal!$F:$F,""),"")</f>
        <v>0</v>
      </c>
      <c r="I2508" s="10" cm="1">
        <f t="array" ref="I2508">IFERROR(INDEX(Precios!$D:$F,MATCH(N2508, Precios!$G:$G, 0),CHOOSE(MATCH(H2508, {"SML";"XL";"XXL"}, 0), 1, 2, 3)), 0)</f>
        <v>0</v>
      </c>
      <c r="K2508" s="10">
        <f t="shared" si="86"/>
        <v>0</v>
      </c>
      <c r="N2508" s="9" t="str">
        <f t="shared" si="87"/>
        <v/>
      </c>
      <c r="O2508" s="9" t="str">
        <f>IF(N2508="","",IF(COUNTIF(Precios!$G:$G,N2508)=0,"⚠ No coincide con Precios","OK"))</f>
        <v/>
      </c>
    </row>
    <row r="2509" spans="3:15" x14ac:dyDescent="0.2">
      <c r="C2509" s="9" cm="1">
        <f t="array" ref="C2509">IFERROR(_xlfn.XLOOKUP(B2509,Personal!$A:$A,Personal!$D:$D,""),"")</f>
        <v>0</v>
      </c>
      <c r="D2509" s="9" cm="1">
        <f t="array" ref="D2509">IFERROR(_xlfn.XLOOKUP(B2509,Personal!$A:$A,Personal!$C:$C,""),"")</f>
        <v>0</v>
      </c>
      <c r="E2509" s="9" t="str" cm="1">
        <f t="array" ref="E2509">IFERROR(_xlfn.XLOOKUP(D2509,Locales!$A:$A,Locales!$B:$B,""),"")</f>
        <v/>
      </c>
      <c r="F2509" s="9" cm="1">
        <f t="array" ref="F2509">IFERROR(_xlfn.XLOOKUP(B2509,Personal!$A:$A,Personal!$F:$F,""),"")</f>
        <v>0</v>
      </c>
      <c r="I2509" s="10" cm="1">
        <f t="array" ref="I2509">IFERROR(INDEX(Precios!$D:$F,MATCH(N2509, Precios!$G:$G, 0),CHOOSE(MATCH(H2509, {"SML";"XL";"XXL"}, 0), 1, 2, 3)), 0)</f>
        <v>0</v>
      </c>
      <c r="K2509" s="10">
        <f t="shared" si="86"/>
        <v>0</v>
      </c>
      <c r="N2509" s="9" t="str">
        <f t="shared" si="87"/>
        <v/>
      </c>
      <c r="O2509" s="9" t="str">
        <f>IF(N2509="","",IF(COUNTIF(Precios!$G:$G,N2509)=0,"⚠ No coincide con Precios","OK"))</f>
        <v/>
      </c>
    </row>
    <row r="2510" spans="3:15" x14ac:dyDescent="0.2">
      <c r="C2510" s="9" cm="1">
        <f t="array" ref="C2510">IFERROR(_xlfn.XLOOKUP(B2510,Personal!$A:$A,Personal!$D:$D,""),"")</f>
        <v>0</v>
      </c>
      <c r="D2510" s="9" cm="1">
        <f t="array" ref="D2510">IFERROR(_xlfn.XLOOKUP(B2510,Personal!$A:$A,Personal!$C:$C,""),"")</f>
        <v>0</v>
      </c>
      <c r="E2510" s="9" t="str" cm="1">
        <f t="array" ref="E2510">IFERROR(_xlfn.XLOOKUP(D2510,Locales!$A:$A,Locales!$B:$B,""),"")</f>
        <v/>
      </c>
      <c r="F2510" s="9" cm="1">
        <f t="array" ref="F2510">IFERROR(_xlfn.XLOOKUP(B2510,Personal!$A:$A,Personal!$F:$F,""),"")</f>
        <v>0</v>
      </c>
      <c r="I2510" s="10" cm="1">
        <f t="array" ref="I2510">IFERROR(INDEX(Precios!$D:$F,MATCH(N2510, Precios!$G:$G, 0),CHOOSE(MATCH(H2510, {"SML";"XL";"XXL"}, 0), 1, 2, 3)), 0)</f>
        <v>0</v>
      </c>
      <c r="K2510" s="10">
        <f t="shared" si="86"/>
        <v>0</v>
      </c>
      <c r="N2510" s="9" t="str">
        <f t="shared" si="87"/>
        <v/>
      </c>
      <c r="O2510" s="9" t="str">
        <f>IF(N2510="","",IF(COUNTIF(Precios!$G:$G,N2510)=0,"⚠ No coincide con Precios","OK"))</f>
        <v/>
      </c>
    </row>
    <row r="2511" spans="3:15" x14ac:dyDescent="0.2">
      <c r="C2511" s="9" cm="1">
        <f t="array" ref="C2511">IFERROR(_xlfn.XLOOKUP(B2511,Personal!$A:$A,Personal!$D:$D,""),"")</f>
        <v>0</v>
      </c>
      <c r="D2511" s="9" cm="1">
        <f t="array" ref="D2511">IFERROR(_xlfn.XLOOKUP(B2511,Personal!$A:$A,Personal!$C:$C,""),"")</f>
        <v>0</v>
      </c>
      <c r="E2511" s="9" t="str" cm="1">
        <f t="array" ref="E2511">IFERROR(_xlfn.XLOOKUP(D2511,Locales!$A:$A,Locales!$B:$B,""),"")</f>
        <v/>
      </c>
      <c r="F2511" s="9" cm="1">
        <f t="array" ref="F2511">IFERROR(_xlfn.XLOOKUP(B2511,Personal!$A:$A,Personal!$F:$F,""),"")</f>
        <v>0</v>
      </c>
      <c r="I2511" s="10" cm="1">
        <f t="array" ref="I2511">IFERROR(INDEX(Precios!$D:$F,MATCH(N2511, Precios!$G:$G, 0),CHOOSE(MATCH(H2511, {"SML";"XL";"XXL"}, 0), 1, 2, 3)), 0)</f>
        <v>0</v>
      </c>
      <c r="K2511" s="10">
        <f t="shared" si="86"/>
        <v>0</v>
      </c>
      <c r="N2511" s="9" t="str">
        <f t="shared" si="87"/>
        <v/>
      </c>
      <c r="O2511" s="9" t="str">
        <f>IF(N2511="","",IF(COUNTIF(Precios!$G:$G,N2511)=0,"⚠ No coincide con Precios","OK"))</f>
        <v/>
      </c>
    </row>
    <row r="2512" spans="3:15" x14ac:dyDescent="0.2">
      <c r="C2512" s="9" cm="1">
        <f t="array" ref="C2512">IFERROR(_xlfn.XLOOKUP(B2512,Personal!$A:$A,Personal!$D:$D,""),"")</f>
        <v>0</v>
      </c>
      <c r="D2512" s="9" cm="1">
        <f t="array" ref="D2512">IFERROR(_xlfn.XLOOKUP(B2512,Personal!$A:$A,Personal!$C:$C,""),"")</f>
        <v>0</v>
      </c>
      <c r="E2512" s="9" t="str" cm="1">
        <f t="array" ref="E2512">IFERROR(_xlfn.XLOOKUP(D2512,Locales!$A:$A,Locales!$B:$B,""),"")</f>
        <v/>
      </c>
      <c r="F2512" s="9" cm="1">
        <f t="array" ref="F2512">IFERROR(_xlfn.XLOOKUP(B2512,Personal!$A:$A,Personal!$F:$F,""),"")</f>
        <v>0</v>
      </c>
      <c r="I2512" s="10" cm="1">
        <f t="array" ref="I2512">IFERROR(INDEX(Precios!$D:$F,MATCH(N2512, Precios!$G:$G, 0),CHOOSE(MATCH(H2512, {"SML";"XL";"XXL"}, 0), 1, 2, 3)), 0)</f>
        <v>0</v>
      </c>
      <c r="K2512" s="10">
        <f t="shared" si="86"/>
        <v>0</v>
      </c>
      <c r="N2512" s="9" t="str">
        <f t="shared" si="87"/>
        <v/>
      </c>
      <c r="O2512" s="9" t="str">
        <f>IF(N2512="","",IF(COUNTIF(Precios!$G:$G,N2512)=0,"⚠ No coincide con Precios","OK"))</f>
        <v/>
      </c>
    </row>
    <row r="2513" spans="3:15" x14ac:dyDescent="0.2">
      <c r="C2513" s="9" cm="1">
        <f t="array" ref="C2513">IFERROR(_xlfn.XLOOKUP(B2513,Personal!$A:$A,Personal!$D:$D,""),"")</f>
        <v>0</v>
      </c>
      <c r="D2513" s="9" cm="1">
        <f t="array" ref="D2513">IFERROR(_xlfn.XLOOKUP(B2513,Personal!$A:$A,Personal!$C:$C,""),"")</f>
        <v>0</v>
      </c>
      <c r="E2513" s="9" t="str" cm="1">
        <f t="array" ref="E2513">IFERROR(_xlfn.XLOOKUP(D2513,Locales!$A:$A,Locales!$B:$B,""),"")</f>
        <v/>
      </c>
      <c r="F2513" s="9" cm="1">
        <f t="array" ref="F2513">IFERROR(_xlfn.XLOOKUP(B2513,Personal!$A:$A,Personal!$F:$F,""),"")</f>
        <v>0</v>
      </c>
      <c r="I2513" s="10" cm="1">
        <f t="array" ref="I2513">IFERROR(INDEX(Precios!$D:$F,MATCH(N2513, Precios!$G:$G, 0),CHOOSE(MATCH(H2513, {"SML";"XL";"XXL"}, 0), 1, 2, 3)), 0)</f>
        <v>0</v>
      </c>
      <c r="K2513" s="10">
        <f t="shared" si="86"/>
        <v>0</v>
      </c>
      <c r="N2513" s="9" t="str">
        <f t="shared" si="87"/>
        <v/>
      </c>
      <c r="O2513" s="9" t="str">
        <f>IF(N2513="","",IF(COUNTIF(Precios!$G:$G,N2513)=0,"⚠ No coincide con Precios","OK"))</f>
        <v/>
      </c>
    </row>
    <row r="2514" spans="3:15" x14ac:dyDescent="0.2">
      <c r="C2514" s="9" cm="1">
        <f t="array" ref="C2514">IFERROR(_xlfn.XLOOKUP(B2514,Personal!$A:$A,Personal!$D:$D,""),"")</f>
        <v>0</v>
      </c>
      <c r="D2514" s="9" cm="1">
        <f t="array" ref="D2514">IFERROR(_xlfn.XLOOKUP(B2514,Personal!$A:$A,Personal!$C:$C,""),"")</f>
        <v>0</v>
      </c>
      <c r="E2514" s="9" t="str" cm="1">
        <f t="array" ref="E2514">IFERROR(_xlfn.XLOOKUP(D2514,Locales!$A:$A,Locales!$B:$B,""),"")</f>
        <v/>
      </c>
      <c r="F2514" s="9" cm="1">
        <f t="array" ref="F2514">IFERROR(_xlfn.XLOOKUP(B2514,Personal!$A:$A,Personal!$F:$F,""),"")</f>
        <v>0</v>
      </c>
      <c r="I2514" s="10" cm="1">
        <f t="array" ref="I2514">IFERROR(INDEX(Precios!$D:$F,MATCH(N2514, Precios!$G:$G, 0),CHOOSE(MATCH(H2514, {"SML";"XL";"XXL"}, 0), 1, 2, 3)), 0)</f>
        <v>0</v>
      </c>
      <c r="K2514" s="10">
        <f t="shared" si="86"/>
        <v>0</v>
      </c>
      <c r="N2514" s="9" t="str">
        <f t="shared" si="87"/>
        <v/>
      </c>
      <c r="O2514" s="9" t="str">
        <f>IF(N2514="","",IF(COUNTIF(Precios!$G:$G,N2514)=0,"⚠ No coincide con Precios","OK"))</f>
        <v/>
      </c>
    </row>
    <row r="2515" spans="3:15" x14ac:dyDescent="0.2">
      <c r="C2515" s="9" cm="1">
        <f t="array" ref="C2515">IFERROR(_xlfn.XLOOKUP(B2515,Personal!$A:$A,Personal!$D:$D,""),"")</f>
        <v>0</v>
      </c>
      <c r="D2515" s="9" cm="1">
        <f t="array" ref="D2515">IFERROR(_xlfn.XLOOKUP(B2515,Personal!$A:$A,Personal!$C:$C,""),"")</f>
        <v>0</v>
      </c>
      <c r="E2515" s="9" t="str" cm="1">
        <f t="array" ref="E2515">IFERROR(_xlfn.XLOOKUP(D2515,Locales!$A:$A,Locales!$B:$B,""),"")</f>
        <v/>
      </c>
      <c r="F2515" s="9" cm="1">
        <f t="array" ref="F2515">IFERROR(_xlfn.XLOOKUP(B2515,Personal!$A:$A,Personal!$F:$F,""),"")</f>
        <v>0</v>
      </c>
      <c r="I2515" s="10" cm="1">
        <f t="array" ref="I2515">IFERROR(INDEX(Precios!$D:$F,MATCH(N2515, Precios!$G:$G, 0),CHOOSE(MATCH(H2515, {"SML";"XL";"XXL"}, 0), 1, 2, 3)), 0)</f>
        <v>0</v>
      </c>
      <c r="K2515" s="10">
        <f t="shared" si="86"/>
        <v>0</v>
      </c>
      <c r="N2515" s="9" t="str">
        <f t="shared" si="87"/>
        <v/>
      </c>
      <c r="O2515" s="9" t="str">
        <f>IF(N2515="","",IF(COUNTIF(Precios!$G:$G,N2515)=0,"⚠ No coincide con Precios","OK"))</f>
        <v/>
      </c>
    </row>
    <row r="2516" spans="3:15" x14ac:dyDescent="0.2">
      <c r="C2516" s="9" cm="1">
        <f t="array" ref="C2516">IFERROR(_xlfn.XLOOKUP(B2516,Personal!$A:$A,Personal!$D:$D,""),"")</f>
        <v>0</v>
      </c>
      <c r="D2516" s="9" cm="1">
        <f t="array" ref="D2516">IFERROR(_xlfn.XLOOKUP(B2516,Personal!$A:$A,Personal!$C:$C,""),"")</f>
        <v>0</v>
      </c>
      <c r="E2516" s="9" t="str" cm="1">
        <f t="array" ref="E2516">IFERROR(_xlfn.XLOOKUP(D2516,Locales!$A:$A,Locales!$B:$B,""),"")</f>
        <v/>
      </c>
      <c r="F2516" s="9" cm="1">
        <f t="array" ref="F2516">IFERROR(_xlfn.XLOOKUP(B2516,Personal!$A:$A,Personal!$F:$F,""),"")</f>
        <v>0</v>
      </c>
      <c r="I2516" s="10" cm="1">
        <f t="array" ref="I2516">IFERROR(INDEX(Precios!$D:$F,MATCH(N2516, Precios!$G:$G, 0),CHOOSE(MATCH(H2516, {"SML";"XL";"XXL"}, 0), 1, 2, 3)), 0)</f>
        <v>0</v>
      </c>
      <c r="K2516" s="10">
        <f t="shared" si="86"/>
        <v>0</v>
      </c>
      <c r="N2516" s="9" t="str">
        <f t="shared" si="87"/>
        <v/>
      </c>
      <c r="O2516" s="9" t="str">
        <f>IF(N2516="","",IF(COUNTIF(Precios!$G:$G,N2516)=0,"⚠ No coincide con Precios","OK"))</f>
        <v/>
      </c>
    </row>
    <row r="2517" spans="3:15" x14ac:dyDescent="0.2">
      <c r="C2517" s="9" cm="1">
        <f t="array" ref="C2517">IFERROR(_xlfn.XLOOKUP(B2517,Personal!$A:$A,Personal!$D:$D,""),"")</f>
        <v>0</v>
      </c>
      <c r="D2517" s="9" cm="1">
        <f t="array" ref="D2517">IFERROR(_xlfn.XLOOKUP(B2517,Personal!$A:$A,Personal!$C:$C,""),"")</f>
        <v>0</v>
      </c>
      <c r="E2517" s="9" t="str" cm="1">
        <f t="array" ref="E2517">IFERROR(_xlfn.XLOOKUP(D2517,Locales!$A:$A,Locales!$B:$B,""),"")</f>
        <v/>
      </c>
      <c r="F2517" s="9" cm="1">
        <f t="array" ref="F2517">IFERROR(_xlfn.XLOOKUP(B2517,Personal!$A:$A,Personal!$F:$F,""),"")</f>
        <v>0</v>
      </c>
      <c r="I2517" s="10" cm="1">
        <f t="array" ref="I2517">IFERROR(INDEX(Precios!$D:$F,MATCH(N2517, Precios!$G:$G, 0),CHOOSE(MATCH(H2517, {"SML";"XL";"XXL"}, 0), 1, 2, 3)), 0)</f>
        <v>0</v>
      </c>
      <c r="K2517" s="10">
        <f t="shared" si="86"/>
        <v>0</v>
      </c>
      <c r="N2517" s="9" t="str">
        <f t="shared" si="87"/>
        <v/>
      </c>
      <c r="O2517" s="9" t="str">
        <f>IF(N2517="","",IF(COUNTIF(Precios!$G:$G,N2517)=0,"⚠ No coincide con Precios","OK"))</f>
        <v/>
      </c>
    </row>
    <row r="2518" spans="3:15" x14ac:dyDescent="0.2">
      <c r="C2518" s="9" cm="1">
        <f t="array" ref="C2518">IFERROR(_xlfn.XLOOKUP(B2518,Personal!$A:$A,Personal!$D:$D,""),"")</f>
        <v>0</v>
      </c>
      <c r="D2518" s="9" cm="1">
        <f t="array" ref="D2518">IFERROR(_xlfn.XLOOKUP(B2518,Personal!$A:$A,Personal!$C:$C,""),"")</f>
        <v>0</v>
      </c>
      <c r="E2518" s="9" t="str" cm="1">
        <f t="array" ref="E2518">IFERROR(_xlfn.XLOOKUP(D2518,Locales!$A:$A,Locales!$B:$B,""),"")</f>
        <v/>
      </c>
      <c r="F2518" s="9" cm="1">
        <f t="array" ref="F2518">IFERROR(_xlfn.XLOOKUP(B2518,Personal!$A:$A,Personal!$F:$F,""),"")</f>
        <v>0</v>
      </c>
      <c r="I2518" s="10" cm="1">
        <f t="array" ref="I2518">IFERROR(INDEX(Precios!$D:$F,MATCH(N2518, Precios!$G:$G, 0),CHOOSE(MATCH(H2518, {"SML";"XL";"XXL"}, 0), 1, 2, 3)), 0)</f>
        <v>0</v>
      </c>
      <c r="K2518" s="10">
        <f t="shared" si="86"/>
        <v>0</v>
      </c>
      <c r="N2518" s="9" t="str">
        <f t="shared" si="87"/>
        <v/>
      </c>
      <c r="O2518" s="9" t="str">
        <f>IF(N2518="","",IF(COUNTIF(Precios!$G:$G,N2518)=0,"⚠ No coincide con Precios","OK"))</f>
        <v/>
      </c>
    </row>
    <row r="2519" spans="3:15" x14ac:dyDescent="0.2">
      <c r="C2519" s="9" cm="1">
        <f t="array" ref="C2519">IFERROR(_xlfn.XLOOKUP(B2519,Personal!$A:$A,Personal!$D:$D,""),"")</f>
        <v>0</v>
      </c>
      <c r="D2519" s="9" cm="1">
        <f t="array" ref="D2519">IFERROR(_xlfn.XLOOKUP(B2519,Personal!$A:$A,Personal!$C:$C,""),"")</f>
        <v>0</v>
      </c>
      <c r="E2519" s="9" t="str" cm="1">
        <f t="array" ref="E2519">IFERROR(_xlfn.XLOOKUP(D2519,Locales!$A:$A,Locales!$B:$B,""),"")</f>
        <v/>
      </c>
      <c r="F2519" s="9" cm="1">
        <f t="array" ref="F2519">IFERROR(_xlfn.XLOOKUP(B2519,Personal!$A:$A,Personal!$F:$F,""),"")</f>
        <v>0</v>
      </c>
      <c r="I2519" s="10" cm="1">
        <f t="array" ref="I2519">IFERROR(INDEX(Precios!$D:$F,MATCH(N2519, Precios!$G:$G, 0),CHOOSE(MATCH(H2519, {"SML";"XL";"XXL"}, 0), 1, 2, 3)), 0)</f>
        <v>0</v>
      </c>
      <c r="K2519" s="10">
        <f t="shared" si="86"/>
        <v>0</v>
      </c>
      <c r="N2519" s="9" t="str">
        <f t="shared" si="87"/>
        <v/>
      </c>
      <c r="O2519" s="9" t="str">
        <f>IF(N2519="","",IF(COUNTIF(Precios!$G:$G,N2519)=0,"⚠ No coincide con Precios","OK"))</f>
        <v/>
      </c>
    </row>
    <row r="2520" spans="3:15" x14ac:dyDescent="0.2">
      <c r="C2520" s="9" cm="1">
        <f t="array" ref="C2520">IFERROR(_xlfn.XLOOKUP(B2520,Personal!$A:$A,Personal!$D:$D,""),"")</f>
        <v>0</v>
      </c>
      <c r="D2520" s="9" cm="1">
        <f t="array" ref="D2520">IFERROR(_xlfn.XLOOKUP(B2520,Personal!$A:$A,Personal!$C:$C,""),"")</f>
        <v>0</v>
      </c>
      <c r="E2520" s="9" t="str" cm="1">
        <f t="array" ref="E2520">IFERROR(_xlfn.XLOOKUP(D2520,Locales!$A:$A,Locales!$B:$B,""),"")</f>
        <v/>
      </c>
      <c r="F2520" s="9" cm="1">
        <f t="array" ref="F2520">IFERROR(_xlfn.XLOOKUP(B2520,Personal!$A:$A,Personal!$F:$F,""),"")</f>
        <v>0</v>
      </c>
      <c r="I2520" s="10" cm="1">
        <f t="array" ref="I2520">IFERROR(INDEX(Precios!$D:$F,MATCH(N2520, Precios!$G:$G, 0),CHOOSE(MATCH(H2520, {"SML";"XL";"XXL"}, 0), 1, 2, 3)), 0)</f>
        <v>0</v>
      </c>
      <c r="K2520" s="10">
        <f t="shared" si="86"/>
        <v>0</v>
      </c>
      <c r="N2520" s="9" t="str">
        <f t="shared" si="87"/>
        <v/>
      </c>
      <c r="O2520" s="9" t="str">
        <f>IF(N2520="","",IF(COUNTIF(Precios!$G:$G,N2520)=0,"⚠ No coincide con Precios","OK"))</f>
        <v/>
      </c>
    </row>
    <row r="2521" spans="3:15" x14ac:dyDescent="0.2">
      <c r="C2521" s="9" cm="1">
        <f t="array" ref="C2521">IFERROR(_xlfn.XLOOKUP(B2521,Personal!$A:$A,Personal!$D:$D,""),"")</f>
        <v>0</v>
      </c>
      <c r="D2521" s="9" cm="1">
        <f t="array" ref="D2521">IFERROR(_xlfn.XLOOKUP(B2521,Personal!$A:$A,Personal!$C:$C,""),"")</f>
        <v>0</v>
      </c>
      <c r="E2521" s="9" t="str" cm="1">
        <f t="array" ref="E2521">IFERROR(_xlfn.XLOOKUP(D2521,Locales!$A:$A,Locales!$B:$B,""),"")</f>
        <v/>
      </c>
      <c r="F2521" s="9" cm="1">
        <f t="array" ref="F2521">IFERROR(_xlfn.XLOOKUP(B2521,Personal!$A:$A,Personal!$F:$F,""),"")</f>
        <v>0</v>
      </c>
      <c r="I2521" s="10" cm="1">
        <f t="array" ref="I2521">IFERROR(INDEX(Precios!$D:$F,MATCH(N2521, Precios!$G:$G, 0),CHOOSE(MATCH(H2521, {"SML";"XL";"XXL"}, 0), 1, 2, 3)), 0)</f>
        <v>0</v>
      </c>
      <c r="K2521" s="10">
        <f t="shared" si="86"/>
        <v>0</v>
      </c>
      <c r="N2521" s="9" t="str">
        <f t="shared" si="87"/>
        <v/>
      </c>
      <c r="O2521" s="9" t="str">
        <f>IF(N2521="","",IF(COUNTIF(Precios!$G:$G,N2521)=0,"⚠ No coincide con Precios","OK"))</f>
        <v/>
      </c>
    </row>
    <row r="2522" spans="3:15" x14ac:dyDescent="0.2">
      <c r="C2522" s="9" cm="1">
        <f t="array" ref="C2522">IFERROR(_xlfn.XLOOKUP(B2522,Personal!$A:$A,Personal!$D:$D,""),"")</f>
        <v>0</v>
      </c>
      <c r="D2522" s="9" cm="1">
        <f t="array" ref="D2522">IFERROR(_xlfn.XLOOKUP(B2522,Personal!$A:$A,Personal!$C:$C,""),"")</f>
        <v>0</v>
      </c>
      <c r="E2522" s="9" t="str" cm="1">
        <f t="array" ref="E2522">IFERROR(_xlfn.XLOOKUP(D2522,Locales!$A:$A,Locales!$B:$B,""),"")</f>
        <v/>
      </c>
      <c r="F2522" s="9" cm="1">
        <f t="array" ref="F2522">IFERROR(_xlfn.XLOOKUP(B2522,Personal!$A:$A,Personal!$F:$F,""),"")</f>
        <v>0</v>
      </c>
      <c r="I2522" s="10" cm="1">
        <f t="array" ref="I2522">IFERROR(INDEX(Precios!$D:$F,MATCH(N2522, Precios!$G:$G, 0),CHOOSE(MATCH(H2522, {"SML";"XL";"XXL"}, 0), 1, 2, 3)), 0)</f>
        <v>0</v>
      </c>
      <c r="K2522" s="10">
        <f t="shared" si="86"/>
        <v>0</v>
      </c>
      <c r="N2522" s="9" t="str">
        <f t="shared" si="87"/>
        <v/>
      </c>
      <c r="O2522" s="9" t="str">
        <f>IF(N2522="","",IF(COUNTIF(Precios!$G:$G,N2522)=0,"⚠ No coincide con Precios","OK"))</f>
        <v/>
      </c>
    </row>
    <row r="2523" spans="3:15" x14ac:dyDescent="0.2">
      <c r="C2523" s="9" cm="1">
        <f t="array" ref="C2523">IFERROR(_xlfn.XLOOKUP(B2523,Personal!$A:$A,Personal!$D:$D,""),"")</f>
        <v>0</v>
      </c>
      <c r="D2523" s="9" cm="1">
        <f t="array" ref="D2523">IFERROR(_xlfn.XLOOKUP(B2523,Personal!$A:$A,Personal!$C:$C,""),"")</f>
        <v>0</v>
      </c>
      <c r="E2523" s="9" t="str" cm="1">
        <f t="array" ref="E2523">IFERROR(_xlfn.XLOOKUP(D2523,Locales!$A:$A,Locales!$B:$B,""),"")</f>
        <v/>
      </c>
      <c r="F2523" s="9" cm="1">
        <f t="array" ref="F2523">IFERROR(_xlfn.XLOOKUP(B2523,Personal!$A:$A,Personal!$F:$F,""),"")</f>
        <v>0</v>
      </c>
      <c r="I2523" s="10" cm="1">
        <f t="array" ref="I2523">IFERROR(INDEX(Precios!$D:$F,MATCH(N2523, Precios!$G:$G, 0),CHOOSE(MATCH(H2523, {"SML";"XL";"XXL"}, 0), 1, 2, 3)), 0)</f>
        <v>0</v>
      </c>
      <c r="K2523" s="10">
        <f t="shared" si="86"/>
        <v>0</v>
      </c>
      <c r="N2523" s="9" t="str">
        <f t="shared" si="87"/>
        <v/>
      </c>
      <c r="O2523" s="9" t="str">
        <f>IF(N2523="","",IF(COUNTIF(Precios!$G:$G,N2523)=0,"⚠ No coincide con Precios","OK"))</f>
        <v/>
      </c>
    </row>
    <row r="2524" spans="3:15" x14ac:dyDescent="0.2">
      <c r="C2524" s="9" cm="1">
        <f t="array" ref="C2524">IFERROR(_xlfn.XLOOKUP(B2524,Personal!$A:$A,Personal!$D:$D,""),"")</f>
        <v>0</v>
      </c>
      <c r="D2524" s="9" cm="1">
        <f t="array" ref="D2524">IFERROR(_xlfn.XLOOKUP(B2524,Personal!$A:$A,Personal!$C:$C,""),"")</f>
        <v>0</v>
      </c>
      <c r="E2524" s="9" t="str" cm="1">
        <f t="array" ref="E2524">IFERROR(_xlfn.XLOOKUP(D2524,Locales!$A:$A,Locales!$B:$B,""),"")</f>
        <v/>
      </c>
      <c r="F2524" s="9" cm="1">
        <f t="array" ref="F2524">IFERROR(_xlfn.XLOOKUP(B2524,Personal!$A:$A,Personal!$F:$F,""),"")</f>
        <v>0</v>
      </c>
      <c r="I2524" s="10" cm="1">
        <f t="array" ref="I2524">IFERROR(INDEX(Precios!$D:$F,MATCH(N2524, Precios!$G:$G, 0),CHOOSE(MATCH(H2524, {"SML";"XL";"XXL"}, 0), 1, 2, 3)), 0)</f>
        <v>0</v>
      </c>
      <c r="K2524" s="10">
        <f t="shared" si="86"/>
        <v>0</v>
      </c>
      <c r="N2524" s="9" t="str">
        <f t="shared" si="87"/>
        <v/>
      </c>
      <c r="O2524" s="9" t="str">
        <f>IF(N2524="","",IF(COUNTIF(Precios!$G:$G,N2524)=0,"⚠ No coincide con Precios","OK"))</f>
        <v/>
      </c>
    </row>
    <row r="2525" spans="3:15" x14ac:dyDescent="0.2">
      <c r="C2525" s="9" cm="1">
        <f t="array" ref="C2525">IFERROR(_xlfn.XLOOKUP(B2525,Personal!$A:$A,Personal!$D:$D,""),"")</f>
        <v>0</v>
      </c>
      <c r="D2525" s="9" cm="1">
        <f t="array" ref="D2525">IFERROR(_xlfn.XLOOKUP(B2525,Personal!$A:$A,Personal!$C:$C,""),"")</f>
        <v>0</v>
      </c>
      <c r="E2525" s="9" t="str" cm="1">
        <f t="array" ref="E2525">IFERROR(_xlfn.XLOOKUP(D2525,Locales!$A:$A,Locales!$B:$B,""),"")</f>
        <v/>
      </c>
      <c r="F2525" s="9" cm="1">
        <f t="array" ref="F2525">IFERROR(_xlfn.XLOOKUP(B2525,Personal!$A:$A,Personal!$F:$F,""),"")</f>
        <v>0</v>
      </c>
      <c r="I2525" s="10" cm="1">
        <f t="array" ref="I2525">IFERROR(INDEX(Precios!$D:$F,MATCH(N2525, Precios!$G:$G, 0),CHOOSE(MATCH(H2525, {"SML";"XL";"XXL"}, 0), 1, 2, 3)), 0)</f>
        <v>0</v>
      </c>
      <c r="K2525" s="10">
        <f t="shared" si="86"/>
        <v>0</v>
      </c>
      <c r="N2525" s="9" t="str">
        <f t="shared" si="87"/>
        <v/>
      </c>
      <c r="O2525" s="9" t="str">
        <f>IF(N2525="","",IF(COUNTIF(Precios!$G:$G,N2525)=0,"⚠ No coincide con Precios","OK"))</f>
        <v/>
      </c>
    </row>
    <row r="2526" spans="3:15" x14ac:dyDescent="0.2">
      <c r="C2526" s="9" cm="1">
        <f t="array" ref="C2526">IFERROR(_xlfn.XLOOKUP(B2526,Personal!$A:$A,Personal!$D:$D,""),"")</f>
        <v>0</v>
      </c>
      <c r="D2526" s="9" cm="1">
        <f t="array" ref="D2526">IFERROR(_xlfn.XLOOKUP(B2526,Personal!$A:$A,Personal!$C:$C,""),"")</f>
        <v>0</v>
      </c>
      <c r="E2526" s="9" t="str" cm="1">
        <f t="array" ref="E2526">IFERROR(_xlfn.XLOOKUP(D2526,Locales!$A:$A,Locales!$B:$B,""),"")</f>
        <v/>
      </c>
      <c r="F2526" s="9" cm="1">
        <f t="array" ref="F2526">IFERROR(_xlfn.XLOOKUP(B2526,Personal!$A:$A,Personal!$F:$F,""),"")</f>
        <v>0</v>
      </c>
      <c r="I2526" s="10" cm="1">
        <f t="array" ref="I2526">IFERROR(INDEX(Precios!$D:$F,MATCH(N2526, Precios!$G:$G, 0),CHOOSE(MATCH(H2526, {"SML";"XL";"XXL"}, 0), 1, 2, 3)), 0)</f>
        <v>0</v>
      </c>
      <c r="K2526" s="10">
        <f t="shared" si="86"/>
        <v>0</v>
      </c>
      <c r="N2526" s="9" t="str">
        <f t="shared" si="87"/>
        <v/>
      </c>
      <c r="O2526" s="9" t="str">
        <f>IF(N2526="","",IF(COUNTIF(Precios!$G:$G,N2526)=0,"⚠ No coincide con Precios","OK"))</f>
        <v/>
      </c>
    </row>
    <row r="2527" spans="3:15" x14ac:dyDescent="0.2">
      <c r="C2527" s="9" cm="1">
        <f t="array" ref="C2527">IFERROR(_xlfn.XLOOKUP(B2527,Personal!$A:$A,Personal!$D:$D,""),"")</f>
        <v>0</v>
      </c>
      <c r="D2527" s="9" cm="1">
        <f t="array" ref="D2527">IFERROR(_xlfn.XLOOKUP(B2527,Personal!$A:$A,Personal!$C:$C,""),"")</f>
        <v>0</v>
      </c>
      <c r="E2527" s="9" t="str" cm="1">
        <f t="array" ref="E2527">IFERROR(_xlfn.XLOOKUP(D2527,Locales!$A:$A,Locales!$B:$B,""),"")</f>
        <v/>
      </c>
      <c r="F2527" s="9" cm="1">
        <f t="array" ref="F2527">IFERROR(_xlfn.XLOOKUP(B2527,Personal!$A:$A,Personal!$F:$F,""),"")</f>
        <v>0</v>
      </c>
      <c r="I2527" s="10" cm="1">
        <f t="array" ref="I2527">IFERROR(INDEX(Precios!$D:$F,MATCH(N2527, Precios!$G:$G, 0),CHOOSE(MATCH(H2527, {"SML";"XL";"XXL"}, 0), 1, 2, 3)), 0)</f>
        <v>0</v>
      </c>
      <c r="K2527" s="10">
        <f t="shared" si="86"/>
        <v>0</v>
      </c>
      <c r="N2527" s="9" t="str">
        <f t="shared" si="87"/>
        <v/>
      </c>
      <c r="O2527" s="9" t="str">
        <f>IF(N2527="","",IF(COUNTIF(Precios!$G:$G,N2527)=0,"⚠ No coincide con Precios","OK"))</f>
        <v/>
      </c>
    </row>
    <row r="2528" spans="3:15" x14ac:dyDescent="0.2">
      <c r="C2528" s="9" cm="1">
        <f t="array" ref="C2528">IFERROR(_xlfn.XLOOKUP(B2528,Personal!$A:$A,Personal!$D:$D,""),"")</f>
        <v>0</v>
      </c>
      <c r="D2528" s="9" cm="1">
        <f t="array" ref="D2528">IFERROR(_xlfn.XLOOKUP(B2528,Personal!$A:$A,Personal!$C:$C,""),"")</f>
        <v>0</v>
      </c>
      <c r="E2528" s="9" t="str" cm="1">
        <f t="array" ref="E2528">IFERROR(_xlfn.XLOOKUP(D2528,Locales!$A:$A,Locales!$B:$B,""),"")</f>
        <v/>
      </c>
      <c r="F2528" s="9" cm="1">
        <f t="array" ref="F2528">IFERROR(_xlfn.XLOOKUP(B2528,Personal!$A:$A,Personal!$F:$F,""),"")</f>
        <v>0</v>
      </c>
      <c r="I2528" s="10" cm="1">
        <f t="array" ref="I2528">IFERROR(INDEX(Precios!$D:$F,MATCH(N2528, Precios!$G:$G, 0),CHOOSE(MATCH(H2528, {"SML";"XL";"XXL"}, 0), 1, 2, 3)), 0)</f>
        <v>0</v>
      </c>
      <c r="K2528" s="10">
        <f t="shared" si="86"/>
        <v>0</v>
      </c>
      <c r="N2528" s="9" t="str">
        <f t="shared" si="87"/>
        <v/>
      </c>
      <c r="O2528" s="9" t="str">
        <f>IF(N2528="","",IF(COUNTIF(Precios!$G:$G,N2528)=0,"⚠ No coincide con Precios","OK"))</f>
        <v/>
      </c>
    </row>
    <row r="2529" spans="3:15" x14ac:dyDescent="0.2">
      <c r="C2529" s="9" cm="1">
        <f t="array" ref="C2529">IFERROR(_xlfn.XLOOKUP(B2529,Personal!$A:$A,Personal!$D:$D,""),"")</f>
        <v>0</v>
      </c>
      <c r="D2529" s="9" cm="1">
        <f t="array" ref="D2529">IFERROR(_xlfn.XLOOKUP(B2529,Personal!$A:$A,Personal!$C:$C,""),"")</f>
        <v>0</v>
      </c>
      <c r="E2529" s="9" t="str" cm="1">
        <f t="array" ref="E2529">IFERROR(_xlfn.XLOOKUP(D2529,Locales!$A:$A,Locales!$B:$B,""),"")</f>
        <v/>
      </c>
      <c r="F2529" s="9" cm="1">
        <f t="array" ref="F2529">IFERROR(_xlfn.XLOOKUP(B2529,Personal!$A:$A,Personal!$F:$F,""),"")</f>
        <v>0</v>
      </c>
      <c r="I2529" s="10" cm="1">
        <f t="array" ref="I2529">IFERROR(INDEX(Precios!$D:$F,MATCH(N2529, Precios!$G:$G, 0),CHOOSE(MATCH(H2529, {"SML";"XL";"XXL"}, 0), 1, 2, 3)), 0)</f>
        <v>0</v>
      </c>
      <c r="K2529" s="10">
        <f t="shared" si="86"/>
        <v>0</v>
      </c>
      <c r="N2529" s="9" t="str">
        <f t="shared" si="87"/>
        <v/>
      </c>
      <c r="O2529" s="9" t="str">
        <f>IF(N2529="","",IF(COUNTIF(Precios!$G:$G,N2529)=0,"⚠ No coincide con Precios","OK"))</f>
        <v/>
      </c>
    </row>
    <row r="2530" spans="3:15" x14ac:dyDescent="0.2">
      <c r="C2530" s="9" cm="1">
        <f t="array" ref="C2530">IFERROR(_xlfn.XLOOKUP(B2530,Personal!$A:$A,Personal!$D:$D,""),"")</f>
        <v>0</v>
      </c>
      <c r="D2530" s="9" cm="1">
        <f t="array" ref="D2530">IFERROR(_xlfn.XLOOKUP(B2530,Personal!$A:$A,Personal!$C:$C,""),"")</f>
        <v>0</v>
      </c>
      <c r="E2530" s="9" t="str" cm="1">
        <f t="array" ref="E2530">IFERROR(_xlfn.XLOOKUP(D2530,Locales!$A:$A,Locales!$B:$B,""),"")</f>
        <v/>
      </c>
      <c r="F2530" s="9" cm="1">
        <f t="array" ref="F2530">IFERROR(_xlfn.XLOOKUP(B2530,Personal!$A:$A,Personal!$F:$F,""),"")</f>
        <v>0</v>
      </c>
      <c r="I2530" s="10" cm="1">
        <f t="array" ref="I2530">IFERROR(INDEX(Precios!$D:$F,MATCH(N2530, Precios!$G:$G, 0),CHOOSE(MATCH(H2530, {"SML";"XL";"XXL"}, 0), 1, 2, 3)), 0)</f>
        <v>0</v>
      </c>
      <c r="K2530" s="10">
        <f t="shared" si="86"/>
        <v>0</v>
      </c>
      <c r="N2530" s="9" t="str">
        <f t="shared" si="87"/>
        <v/>
      </c>
      <c r="O2530" s="9" t="str">
        <f>IF(N2530="","",IF(COUNTIF(Precios!$G:$G,N2530)=0,"⚠ No coincide con Precios","OK"))</f>
        <v/>
      </c>
    </row>
    <row r="2531" spans="3:15" x14ac:dyDescent="0.2">
      <c r="C2531" s="9" cm="1">
        <f t="array" ref="C2531">IFERROR(_xlfn.XLOOKUP(B2531,Personal!$A:$A,Personal!$D:$D,""),"")</f>
        <v>0</v>
      </c>
      <c r="D2531" s="9" cm="1">
        <f t="array" ref="D2531">IFERROR(_xlfn.XLOOKUP(B2531,Personal!$A:$A,Personal!$C:$C,""),"")</f>
        <v>0</v>
      </c>
      <c r="E2531" s="9" t="str" cm="1">
        <f t="array" ref="E2531">IFERROR(_xlfn.XLOOKUP(D2531,Locales!$A:$A,Locales!$B:$B,""),"")</f>
        <v/>
      </c>
      <c r="F2531" s="9" cm="1">
        <f t="array" ref="F2531">IFERROR(_xlfn.XLOOKUP(B2531,Personal!$A:$A,Personal!$F:$F,""),"")</f>
        <v>0</v>
      </c>
      <c r="I2531" s="10" cm="1">
        <f t="array" ref="I2531">IFERROR(INDEX(Precios!$D:$F,MATCH(N2531, Precios!$G:$G, 0),CHOOSE(MATCH(H2531, {"SML";"XL";"XXL"}, 0), 1, 2, 3)), 0)</f>
        <v>0</v>
      </c>
      <c r="K2531" s="10">
        <f t="shared" si="86"/>
        <v>0</v>
      </c>
      <c r="N2531" s="9" t="str">
        <f t="shared" si="87"/>
        <v/>
      </c>
      <c r="O2531" s="9" t="str">
        <f>IF(N2531="","",IF(COUNTIF(Precios!$G:$G,N2531)=0,"⚠ No coincide con Precios","OK"))</f>
        <v/>
      </c>
    </row>
    <row r="2532" spans="3:15" x14ac:dyDescent="0.2">
      <c r="C2532" s="9" cm="1">
        <f t="array" ref="C2532">IFERROR(_xlfn.XLOOKUP(B2532,Personal!$A:$A,Personal!$D:$D,""),"")</f>
        <v>0</v>
      </c>
      <c r="D2532" s="9" cm="1">
        <f t="array" ref="D2532">IFERROR(_xlfn.XLOOKUP(B2532,Personal!$A:$A,Personal!$C:$C,""),"")</f>
        <v>0</v>
      </c>
      <c r="E2532" s="9" t="str" cm="1">
        <f t="array" ref="E2532">IFERROR(_xlfn.XLOOKUP(D2532,Locales!$A:$A,Locales!$B:$B,""),"")</f>
        <v/>
      </c>
      <c r="F2532" s="9" cm="1">
        <f t="array" ref="F2532">IFERROR(_xlfn.XLOOKUP(B2532,Personal!$A:$A,Personal!$F:$F,""),"")</f>
        <v>0</v>
      </c>
      <c r="I2532" s="10" cm="1">
        <f t="array" ref="I2532">IFERROR(INDEX(Precios!$D:$F,MATCH(N2532, Precios!$G:$G, 0),CHOOSE(MATCH(H2532, {"SML";"XL";"XXL"}, 0), 1, 2, 3)), 0)</f>
        <v>0</v>
      </c>
      <c r="K2532" s="10">
        <f t="shared" si="86"/>
        <v>0</v>
      </c>
      <c r="N2532" s="9" t="str">
        <f t="shared" si="87"/>
        <v/>
      </c>
      <c r="O2532" s="9" t="str">
        <f>IF(N2532="","",IF(COUNTIF(Precios!$G:$G,N2532)=0,"⚠ No coincide con Precios","OK"))</f>
        <v/>
      </c>
    </row>
    <row r="2533" spans="3:15" x14ac:dyDescent="0.2">
      <c r="C2533" s="9" cm="1">
        <f t="array" ref="C2533">IFERROR(_xlfn.XLOOKUP(B2533,Personal!$A:$A,Personal!$D:$D,""),"")</f>
        <v>0</v>
      </c>
      <c r="D2533" s="9" cm="1">
        <f t="array" ref="D2533">IFERROR(_xlfn.XLOOKUP(B2533,Personal!$A:$A,Personal!$C:$C,""),"")</f>
        <v>0</v>
      </c>
      <c r="E2533" s="9" t="str" cm="1">
        <f t="array" ref="E2533">IFERROR(_xlfn.XLOOKUP(D2533,Locales!$A:$A,Locales!$B:$B,""),"")</f>
        <v/>
      </c>
      <c r="F2533" s="9" cm="1">
        <f t="array" ref="F2533">IFERROR(_xlfn.XLOOKUP(B2533,Personal!$A:$A,Personal!$F:$F,""),"")</f>
        <v>0</v>
      </c>
      <c r="I2533" s="10" cm="1">
        <f t="array" ref="I2533">IFERROR(INDEX(Precios!$D:$F,MATCH(N2533, Precios!$G:$G, 0),CHOOSE(MATCH(H2533, {"SML";"XL";"XXL"}, 0), 1, 2, 3)), 0)</f>
        <v>0</v>
      </c>
      <c r="K2533" s="10">
        <f t="shared" si="86"/>
        <v>0</v>
      </c>
      <c r="N2533" s="9" t="str">
        <f t="shared" si="87"/>
        <v/>
      </c>
      <c r="O2533" s="9" t="str">
        <f>IF(N2533="","",IF(COUNTIF(Precios!$G:$G,N2533)=0,"⚠ No coincide con Precios","OK"))</f>
        <v/>
      </c>
    </row>
    <row r="2534" spans="3:15" x14ac:dyDescent="0.2">
      <c r="C2534" s="9" cm="1">
        <f t="array" ref="C2534">IFERROR(_xlfn.XLOOKUP(B2534,Personal!$A:$A,Personal!$D:$D,""),"")</f>
        <v>0</v>
      </c>
      <c r="D2534" s="9" cm="1">
        <f t="array" ref="D2534">IFERROR(_xlfn.XLOOKUP(B2534,Personal!$A:$A,Personal!$C:$C,""),"")</f>
        <v>0</v>
      </c>
      <c r="E2534" s="9" t="str" cm="1">
        <f t="array" ref="E2534">IFERROR(_xlfn.XLOOKUP(D2534,Locales!$A:$A,Locales!$B:$B,""),"")</f>
        <v/>
      </c>
      <c r="F2534" s="9" cm="1">
        <f t="array" ref="F2534">IFERROR(_xlfn.XLOOKUP(B2534,Personal!$A:$A,Personal!$F:$F,""),"")</f>
        <v>0</v>
      </c>
      <c r="I2534" s="10" cm="1">
        <f t="array" ref="I2534">IFERROR(INDEX(Precios!$D:$F,MATCH(N2534, Precios!$G:$G, 0),CHOOSE(MATCH(H2534, {"SML";"XL";"XXL"}, 0), 1, 2, 3)), 0)</f>
        <v>0</v>
      </c>
      <c r="K2534" s="10">
        <f t="shared" si="86"/>
        <v>0</v>
      </c>
      <c r="N2534" s="9" t="str">
        <f t="shared" si="87"/>
        <v/>
      </c>
      <c r="O2534" s="9" t="str">
        <f>IF(N2534="","",IF(COUNTIF(Precios!$G:$G,N2534)=0,"⚠ No coincide con Precios","OK"))</f>
        <v/>
      </c>
    </row>
    <row r="2535" spans="3:15" x14ac:dyDescent="0.2">
      <c r="C2535" s="9" cm="1">
        <f t="array" ref="C2535">IFERROR(_xlfn.XLOOKUP(B2535,Personal!$A:$A,Personal!$D:$D,""),"")</f>
        <v>0</v>
      </c>
      <c r="D2535" s="9" cm="1">
        <f t="array" ref="D2535">IFERROR(_xlfn.XLOOKUP(B2535,Personal!$A:$A,Personal!$C:$C,""),"")</f>
        <v>0</v>
      </c>
      <c r="E2535" s="9" t="str" cm="1">
        <f t="array" ref="E2535">IFERROR(_xlfn.XLOOKUP(D2535,Locales!$A:$A,Locales!$B:$B,""),"")</f>
        <v/>
      </c>
      <c r="F2535" s="9" cm="1">
        <f t="array" ref="F2535">IFERROR(_xlfn.XLOOKUP(B2535,Personal!$A:$A,Personal!$F:$F,""),"")</f>
        <v>0</v>
      </c>
      <c r="I2535" s="10" cm="1">
        <f t="array" ref="I2535">IFERROR(INDEX(Precios!$D:$F,MATCH(N2535, Precios!$G:$G, 0),CHOOSE(MATCH(H2535, {"SML";"XL";"XXL"}, 0), 1, 2, 3)), 0)</f>
        <v>0</v>
      </c>
      <c r="K2535" s="10">
        <f t="shared" si="86"/>
        <v>0</v>
      </c>
      <c r="N2535" s="9" t="str">
        <f t="shared" si="87"/>
        <v/>
      </c>
      <c r="O2535" s="9" t="str">
        <f>IF(N2535="","",IF(COUNTIF(Precios!$G:$G,N2535)=0,"⚠ No coincide con Precios","OK"))</f>
        <v/>
      </c>
    </row>
    <row r="2536" spans="3:15" x14ac:dyDescent="0.2">
      <c r="C2536" s="9" cm="1">
        <f t="array" ref="C2536">IFERROR(_xlfn.XLOOKUP(B2536,Personal!$A:$A,Personal!$D:$D,""),"")</f>
        <v>0</v>
      </c>
      <c r="D2536" s="9" cm="1">
        <f t="array" ref="D2536">IFERROR(_xlfn.XLOOKUP(B2536,Personal!$A:$A,Personal!$C:$C,""),"")</f>
        <v>0</v>
      </c>
      <c r="E2536" s="9" t="str" cm="1">
        <f t="array" ref="E2536">IFERROR(_xlfn.XLOOKUP(D2536,Locales!$A:$A,Locales!$B:$B,""),"")</f>
        <v/>
      </c>
      <c r="F2536" s="9" cm="1">
        <f t="array" ref="F2536">IFERROR(_xlfn.XLOOKUP(B2536,Personal!$A:$A,Personal!$F:$F,""),"")</f>
        <v>0</v>
      </c>
      <c r="I2536" s="10" cm="1">
        <f t="array" ref="I2536">IFERROR(INDEX(Precios!$D:$F,MATCH(N2536, Precios!$G:$G, 0),CHOOSE(MATCH(H2536, {"SML";"XL";"XXL"}, 0), 1, 2, 3)), 0)</f>
        <v>0</v>
      </c>
      <c r="K2536" s="10">
        <f t="shared" si="86"/>
        <v>0</v>
      </c>
      <c r="N2536" s="9" t="str">
        <f t="shared" si="87"/>
        <v/>
      </c>
      <c r="O2536" s="9" t="str">
        <f>IF(N2536="","",IF(COUNTIF(Precios!$G:$G,N2536)=0,"⚠ No coincide con Precios","OK"))</f>
        <v/>
      </c>
    </row>
    <row r="2537" spans="3:15" x14ac:dyDescent="0.2">
      <c r="C2537" s="9" cm="1">
        <f t="array" ref="C2537">IFERROR(_xlfn.XLOOKUP(B2537,Personal!$A:$A,Personal!$D:$D,""),"")</f>
        <v>0</v>
      </c>
      <c r="D2537" s="9" cm="1">
        <f t="array" ref="D2537">IFERROR(_xlfn.XLOOKUP(B2537,Personal!$A:$A,Personal!$C:$C,""),"")</f>
        <v>0</v>
      </c>
      <c r="E2537" s="9" t="str" cm="1">
        <f t="array" ref="E2537">IFERROR(_xlfn.XLOOKUP(D2537,Locales!$A:$A,Locales!$B:$B,""),"")</f>
        <v/>
      </c>
      <c r="F2537" s="9" cm="1">
        <f t="array" ref="F2537">IFERROR(_xlfn.XLOOKUP(B2537,Personal!$A:$A,Personal!$F:$F,""),"")</f>
        <v>0</v>
      </c>
      <c r="I2537" s="10" cm="1">
        <f t="array" ref="I2537">IFERROR(INDEX(Precios!$D:$F,MATCH(N2537, Precios!$G:$G, 0),CHOOSE(MATCH(H2537, {"SML";"XL";"XXL"}, 0), 1, 2, 3)), 0)</f>
        <v>0</v>
      </c>
      <c r="K2537" s="10">
        <f t="shared" si="86"/>
        <v>0</v>
      </c>
      <c r="N2537" s="9" t="str">
        <f t="shared" si="87"/>
        <v/>
      </c>
      <c r="O2537" s="9" t="str">
        <f>IF(N2537="","",IF(COUNTIF(Precios!$G:$G,N2537)=0,"⚠ No coincide con Precios","OK"))</f>
        <v/>
      </c>
    </row>
    <row r="2538" spans="3:15" x14ac:dyDescent="0.2">
      <c r="C2538" s="9" cm="1">
        <f t="array" ref="C2538">IFERROR(_xlfn.XLOOKUP(B2538,Personal!$A:$A,Personal!$D:$D,""),"")</f>
        <v>0</v>
      </c>
      <c r="D2538" s="9" cm="1">
        <f t="array" ref="D2538">IFERROR(_xlfn.XLOOKUP(B2538,Personal!$A:$A,Personal!$C:$C,""),"")</f>
        <v>0</v>
      </c>
      <c r="E2538" s="9" t="str" cm="1">
        <f t="array" ref="E2538">IFERROR(_xlfn.XLOOKUP(D2538,Locales!$A:$A,Locales!$B:$B,""),"")</f>
        <v/>
      </c>
      <c r="F2538" s="9" cm="1">
        <f t="array" ref="F2538">IFERROR(_xlfn.XLOOKUP(B2538,Personal!$A:$A,Personal!$F:$F,""),"")</f>
        <v>0</v>
      </c>
      <c r="I2538" s="10" cm="1">
        <f t="array" ref="I2538">IFERROR(INDEX(Precios!$D:$F,MATCH(N2538, Precios!$G:$G, 0),CHOOSE(MATCH(H2538, {"SML";"XL";"XXL"}, 0), 1, 2, 3)), 0)</f>
        <v>0</v>
      </c>
      <c r="K2538" s="10">
        <f t="shared" si="86"/>
        <v>0</v>
      </c>
      <c r="N2538" s="9" t="str">
        <f t="shared" si="87"/>
        <v/>
      </c>
      <c r="O2538" s="9" t="str">
        <f>IF(N2538="","",IF(COUNTIF(Precios!$G:$G,N2538)=0,"⚠ No coincide con Precios","OK"))</f>
        <v/>
      </c>
    </row>
    <row r="2539" spans="3:15" x14ac:dyDescent="0.2">
      <c r="C2539" s="9" cm="1">
        <f t="array" ref="C2539">IFERROR(_xlfn.XLOOKUP(B2539,Personal!$A:$A,Personal!$D:$D,""),"")</f>
        <v>0</v>
      </c>
      <c r="D2539" s="9" cm="1">
        <f t="array" ref="D2539">IFERROR(_xlfn.XLOOKUP(B2539,Personal!$A:$A,Personal!$C:$C,""),"")</f>
        <v>0</v>
      </c>
      <c r="E2539" s="9" t="str" cm="1">
        <f t="array" ref="E2539">IFERROR(_xlfn.XLOOKUP(D2539,Locales!$A:$A,Locales!$B:$B,""),"")</f>
        <v/>
      </c>
      <c r="F2539" s="9" cm="1">
        <f t="array" ref="F2539">IFERROR(_xlfn.XLOOKUP(B2539,Personal!$A:$A,Personal!$F:$F,""),"")</f>
        <v>0</v>
      </c>
      <c r="I2539" s="10" cm="1">
        <f t="array" ref="I2539">IFERROR(INDEX(Precios!$D:$F,MATCH(N2539, Precios!$G:$G, 0),CHOOSE(MATCH(H2539, {"SML";"XL";"XXL"}, 0), 1, 2, 3)), 0)</f>
        <v>0</v>
      </c>
      <c r="K2539" s="10">
        <f t="shared" si="86"/>
        <v>0</v>
      </c>
      <c r="N2539" s="9" t="str">
        <f t="shared" si="87"/>
        <v/>
      </c>
      <c r="O2539" s="9" t="str">
        <f>IF(N2539="","",IF(COUNTIF(Precios!$G:$G,N2539)=0,"⚠ No coincide con Precios","OK"))</f>
        <v/>
      </c>
    </row>
    <row r="2540" spans="3:15" x14ac:dyDescent="0.2">
      <c r="C2540" s="9" cm="1">
        <f t="array" ref="C2540">IFERROR(_xlfn.XLOOKUP(B2540,Personal!$A:$A,Personal!$D:$D,""),"")</f>
        <v>0</v>
      </c>
      <c r="D2540" s="9" cm="1">
        <f t="array" ref="D2540">IFERROR(_xlfn.XLOOKUP(B2540,Personal!$A:$A,Personal!$C:$C,""),"")</f>
        <v>0</v>
      </c>
      <c r="E2540" s="9" t="str" cm="1">
        <f t="array" ref="E2540">IFERROR(_xlfn.XLOOKUP(D2540,Locales!$A:$A,Locales!$B:$B,""),"")</f>
        <v/>
      </c>
      <c r="F2540" s="9" cm="1">
        <f t="array" ref="F2540">IFERROR(_xlfn.XLOOKUP(B2540,Personal!$A:$A,Personal!$F:$F,""),"")</f>
        <v>0</v>
      </c>
      <c r="I2540" s="10" cm="1">
        <f t="array" ref="I2540">IFERROR(INDEX(Precios!$D:$F,MATCH(N2540, Precios!$G:$G, 0),CHOOSE(MATCH(H2540, {"SML";"XL";"XXL"}, 0), 1, 2, 3)), 0)</f>
        <v>0</v>
      </c>
      <c r="K2540" s="10">
        <f t="shared" si="86"/>
        <v>0</v>
      </c>
      <c r="N2540" s="9" t="str">
        <f t="shared" si="87"/>
        <v/>
      </c>
      <c r="O2540" s="9" t="str">
        <f>IF(N2540="","",IF(COUNTIF(Precios!$G:$G,N2540)=0,"⚠ No coincide con Precios","OK"))</f>
        <v/>
      </c>
    </row>
    <row r="2541" spans="3:15" x14ac:dyDescent="0.2">
      <c r="C2541" s="9" cm="1">
        <f t="array" ref="C2541">IFERROR(_xlfn.XLOOKUP(B2541,Personal!$A:$A,Personal!$D:$D,""),"")</f>
        <v>0</v>
      </c>
      <c r="D2541" s="9" cm="1">
        <f t="array" ref="D2541">IFERROR(_xlfn.XLOOKUP(B2541,Personal!$A:$A,Personal!$C:$C,""),"")</f>
        <v>0</v>
      </c>
      <c r="E2541" s="9" t="str" cm="1">
        <f t="array" ref="E2541">IFERROR(_xlfn.XLOOKUP(D2541,Locales!$A:$A,Locales!$B:$B,""),"")</f>
        <v/>
      </c>
      <c r="F2541" s="9" cm="1">
        <f t="array" ref="F2541">IFERROR(_xlfn.XLOOKUP(B2541,Personal!$A:$A,Personal!$F:$F,""),"")</f>
        <v>0</v>
      </c>
      <c r="I2541" s="10" cm="1">
        <f t="array" ref="I2541">IFERROR(INDEX(Precios!$D:$F,MATCH(N2541, Precios!$G:$G, 0),CHOOSE(MATCH(H2541, {"SML";"XL";"XXL"}, 0), 1, 2, 3)), 0)</f>
        <v>0</v>
      </c>
      <c r="K2541" s="10">
        <f t="shared" si="86"/>
        <v>0</v>
      </c>
      <c r="N2541" s="9" t="str">
        <f t="shared" si="87"/>
        <v/>
      </c>
      <c r="O2541" s="9" t="str">
        <f>IF(N2541="","",IF(COUNTIF(Precios!$G:$G,N2541)=0,"⚠ No coincide con Precios","OK"))</f>
        <v/>
      </c>
    </row>
    <row r="2542" spans="3:15" x14ac:dyDescent="0.2">
      <c r="C2542" s="9" cm="1">
        <f t="array" ref="C2542">IFERROR(_xlfn.XLOOKUP(B2542,Personal!$A:$A,Personal!$D:$D,""),"")</f>
        <v>0</v>
      </c>
      <c r="D2542" s="9" cm="1">
        <f t="array" ref="D2542">IFERROR(_xlfn.XLOOKUP(B2542,Personal!$A:$A,Personal!$C:$C,""),"")</f>
        <v>0</v>
      </c>
      <c r="E2542" s="9" t="str" cm="1">
        <f t="array" ref="E2542">IFERROR(_xlfn.XLOOKUP(D2542,Locales!$A:$A,Locales!$B:$B,""),"")</f>
        <v/>
      </c>
      <c r="F2542" s="9" cm="1">
        <f t="array" ref="F2542">IFERROR(_xlfn.XLOOKUP(B2542,Personal!$A:$A,Personal!$F:$F,""),"")</f>
        <v>0</v>
      </c>
      <c r="I2542" s="10" cm="1">
        <f t="array" ref="I2542">IFERROR(INDEX(Precios!$D:$F,MATCH(N2542, Precios!$G:$G, 0),CHOOSE(MATCH(H2542, {"SML";"XL";"XXL"}, 0), 1, 2, 3)), 0)</f>
        <v>0</v>
      </c>
      <c r="K2542" s="10">
        <f t="shared" si="86"/>
        <v>0</v>
      </c>
      <c r="N2542" s="9" t="str">
        <f t="shared" si="87"/>
        <v/>
      </c>
      <c r="O2542" s="9" t="str">
        <f>IF(N2542="","",IF(COUNTIF(Precios!$G:$G,N2542)=0,"⚠ No coincide con Precios","OK"))</f>
        <v/>
      </c>
    </row>
    <row r="2543" spans="3:15" x14ac:dyDescent="0.2">
      <c r="C2543" s="9" cm="1">
        <f t="array" ref="C2543">IFERROR(_xlfn.XLOOKUP(B2543,Personal!$A:$A,Personal!$D:$D,""),"")</f>
        <v>0</v>
      </c>
      <c r="D2543" s="9" cm="1">
        <f t="array" ref="D2543">IFERROR(_xlfn.XLOOKUP(B2543,Personal!$A:$A,Personal!$C:$C,""),"")</f>
        <v>0</v>
      </c>
      <c r="E2543" s="9" t="str" cm="1">
        <f t="array" ref="E2543">IFERROR(_xlfn.XLOOKUP(D2543,Locales!$A:$A,Locales!$B:$B,""),"")</f>
        <v/>
      </c>
      <c r="F2543" s="9" cm="1">
        <f t="array" ref="F2543">IFERROR(_xlfn.XLOOKUP(B2543,Personal!$A:$A,Personal!$F:$F,""),"")</f>
        <v>0</v>
      </c>
      <c r="I2543" s="10" cm="1">
        <f t="array" ref="I2543">IFERROR(INDEX(Precios!$D:$F,MATCH(N2543, Precios!$G:$G, 0),CHOOSE(MATCH(H2543, {"SML";"XL";"XXL"}, 0), 1, 2, 3)), 0)</f>
        <v>0</v>
      </c>
      <c r="K2543" s="10">
        <f t="shared" si="86"/>
        <v>0</v>
      </c>
      <c r="N2543" s="9" t="str">
        <f t="shared" si="87"/>
        <v/>
      </c>
      <c r="O2543" s="9" t="str">
        <f>IF(N2543="","",IF(COUNTIF(Precios!$G:$G,N2543)=0,"⚠ No coincide con Precios","OK"))</f>
        <v/>
      </c>
    </row>
    <row r="2544" spans="3:15" x14ac:dyDescent="0.2">
      <c r="C2544" s="9" cm="1">
        <f t="array" ref="C2544">IFERROR(_xlfn.XLOOKUP(B2544,Personal!$A:$A,Personal!$D:$D,""),"")</f>
        <v>0</v>
      </c>
      <c r="D2544" s="9" cm="1">
        <f t="array" ref="D2544">IFERROR(_xlfn.XLOOKUP(B2544,Personal!$A:$A,Personal!$C:$C,""),"")</f>
        <v>0</v>
      </c>
      <c r="E2544" s="9" t="str" cm="1">
        <f t="array" ref="E2544">IFERROR(_xlfn.XLOOKUP(D2544,Locales!$A:$A,Locales!$B:$B,""),"")</f>
        <v/>
      </c>
      <c r="F2544" s="9" cm="1">
        <f t="array" ref="F2544">IFERROR(_xlfn.XLOOKUP(B2544,Personal!$A:$A,Personal!$F:$F,""),"")</f>
        <v>0</v>
      </c>
      <c r="I2544" s="10" cm="1">
        <f t="array" ref="I2544">IFERROR(INDEX(Precios!$D:$F,MATCH(N2544, Precios!$G:$G, 0),CHOOSE(MATCH(H2544, {"SML";"XL";"XXL"}, 0), 1, 2, 3)), 0)</f>
        <v>0</v>
      </c>
      <c r="K2544" s="10">
        <f t="shared" si="86"/>
        <v>0</v>
      </c>
      <c r="N2544" s="9" t="str">
        <f t="shared" si="87"/>
        <v/>
      </c>
      <c r="O2544" s="9" t="str">
        <f>IF(N2544="","",IF(COUNTIF(Precios!$G:$G,N2544)=0,"⚠ No coincide con Precios","OK"))</f>
        <v/>
      </c>
    </row>
    <row r="2545" spans="3:15" x14ac:dyDescent="0.2">
      <c r="C2545" s="9" cm="1">
        <f t="array" ref="C2545">IFERROR(_xlfn.XLOOKUP(B2545,Personal!$A:$A,Personal!$D:$D,""),"")</f>
        <v>0</v>
      </c>
      <c r="D2545" s="9" cm="1">
        <f t="array" ref="D2545">IFERROR(_xlfn.XLOOKUP(B2545,Personal!$A:$A,Personal!$C:$C,""),"")</f>
        <v>0</v>
      </c>
      <c r="E2545" s="9" t="str" cm="1">
        <f t="array" ref="E2545">IFERROR(_xlfn.XLOOKUP(D2545,Locales!$A:$A,Locales!$B:$B,""),"")</f>
        <v/>
      </c>
      <c r="F2545" s="9" cm="1">
        <f t="array" ref="F2545">IFERROR(_xlfn.XLOOKUP(B2545,Personal!$A:$A,Personal!$F:$F,""),"")</f>
        <v>0</v>
      </c>
      <c r="I2545" s="10" cm="1">
        <f t="array" ref="I2545">IFERROR(INDEX(Precios!$D:$F,MATCH(N2545, Precios!$G:$G, 0),CHOOSE(MATCH(H2545, {"SML";"XL";"XXL"}, 0), 1, 2, 3)), 0)</f>
        <v>0</v>
      </c>
      <c r="K2545" s="10">
        <f t="shared" si="86"/>
        <v>0</v>
      </c>
      <c r="N2545" s="9" t="str">
        <f t="shared" si="87"/>
        <v/>
      </c>
      <c r="O2545" s="9" t="str">
        <f>IF(N2545="","",IF(COUNTIF(Precios!$G:$G,N2545)=0,"⚠ No coincide con Precios","OK"))</f>
        <v/>
      </c>
    </row>
    <row r="2546" spans="3:15" x14ac:dyDescent="0.2">
      <c r="C2546" s="9" cm="1">
        <f t="array" ref="C2546">IFERROR(_xlfn.XLOOKUP(B2546,Personal!$A:$A,Personal!$D:$D,""),"")</f>
        <v>0</v>
      </c>
      <c r="D2546" s="9" cm="1">
        <f t="array" ref="D2546">IFERROR(_xlfn.XLOOKUP(B2546,Personal!$A:$A,Personal!$C:$C,""),"")</f>
        <v>0</v>
      </c>
      <c r="E2546" s="9" t="str" cm="1">
        <f t="array" ref="E2546">IFERROR(_xlfn.XLOOKUP(D2546,Locales!$A:$A,Locales!$B:$B,""),"")</f>
        <v/>
      </c>
      <c r="F2546" s="9" cm="1">
        <f t="array" ref="F2546">IFERROR(_xlfn.XLOOKUP(B2546,Personal!$A:$A,Personal!$F:$F,""),"")</f>
        <v>0</v>
      </c>
      <c r="I2546" s="10" cm="1">
        <f t="array" ref="I2546">IFERROR(INDEX(Precios!$D:$F,MATCH(N2546, Precios!$G:$G, 0),CHOOSE(MATCH(H2546, {"SML";"XL";"XXL"}, 0), 1, 2, 3)), 0)</f>
        <v>0</v>
      </c>
      <c r="K2546" s="10">
        <f t="shared" si="86"/>
        <v>0</v>
      </c>
      <c r="N2546" s="9" t="str">
        <f t="shared" si="87"/>
        <v/>
      </c>
      <c r="O2546" s="9" t="str">
        <f>IF(N2546="","",IF(COUNTIF(Precios!$G:$G,N2546)=0,"⚠ No coincide con Precios","OK"))</f>
        <v/>
      </c>
    </row>
    <row r="2547" spans="3:15" x14ac:dyDescent="0.2">
      <c r="C2547" s="9" cm="1">
        <f t="array" ref="C2547">IFERROR(_xlfn.XLOOKUP(B2547,Personal!$A:$A,Personal!$D:$D,""),"")</f>
        <v>0</v>
      </c>
      <c r="D2547" s="9" cm="1">
        <f t="array" ref="D2547">IFERROR(_xlfn.XLOOKUP(B2547,Personal!$A:$A,Personal!$C:$C,""),"")</f>
        <v>0</v>
      </c>
      <c r="E2547" s="9" t="str" cm="1">
        <f t="array" ref="E2547">IFERROR(_xlfn.XLOOKUP(D2547,Locales!$A:$A,Locales!$B:$B,""),"")</f>
        <v/>
      </c>
      <c r="F2547" s="9" cm="1">
        <f t="array" ref="F2547">IFERROR(_xlfn.XLOOKUP(B2547,Personal!$A:$A,Personal!$F:$F,""),"")</f>
        <v>0</v>
      </c>
      <c r="I2547" s="10" cm="1">
        <f t="array" ref="I2547">IFERROR(INDEX(Precios!$D:$F,MATCH(N2547, Precios!$G:$G, 0),CHOOSE(MATCH(H2547, {"SML";"XL";"XXL"}, 0), 1, 2, 3)), 0)</f>
        <v>0</v>
      </c>
      <c r="K2547" s="10">
        <f t="shared" si="86"/>
        <v>0</v>
      </c>
      <c r="N2547" s="9" t="str">
        <f t="shared" si="87"/>
        <v/>
      </c>
      <c r="O2547" s="9" t="str">
        <f>IF(N2547="","",IF(COUNTIF(Precios!$G:$G,N2547)=0,"⚠ No coincide con Precios","OK"))</f>
        <v/>
      </c>
    </row>
    <row r="2548" spans="3:15" x14ac:dyDescent="0.2">
      <c r="C2548" s="9" cm="1">
        <f t="array" ref="C2548">IFERROR(_xlfn.XLOOKUP(B2548,Personal!$A:$A,Personal!$D:$D,""),"")</f>
        <v>0</v>
      </c>
      <c r="D2548" s="9" cm="1">
        <f t="array" ref="D2548">IFERROR(_xlfn.XLOOKUP(B2548,Personal!$A:$A,Personal!$C:$C,""),"")</f>
        <v>0</v>
      </c>
      <c r="E2548" s="9" t="str" cm="1">
        <f t="array" ref="E2548">IFERROR(_xlfn.XLOOKUP(D2548,Locales!$A:$A,Locales!$B:$B,""),"")</f>
        <v/>
      </c>
      <c r="F2548" s="9" cm="1">
        <f t="array" ref="F2548">IFERROR(_xlfn.XLOOKUP(B2548,Personal!$A:$A,Personal!$F:$F,""),"")</f>
        <v>0</v>
      </c>
      <c r="I2548" s="10" cm="1">
        <f t="array" ref="I2548">IFERROR(INDEX(Precios!$D:$F,MATCH(N2548, Precios!$G:$G, 0),CHOOSE(MATCH(H2548, {"SML";"XL";"XXL"}, 0), 1, 2, 3)), 0)</f>
        <v>0</v>
      </c>
      <c r="K2548" s="10">
        <f t="shared" si="86"/>
        <v>0</v>
      </c>
      <c r="N2548" s="9" t="str">
        <f t="shared" si="87"/>
        <v/>
      </c>
      <c r="O2548" s="9" t="str">
        <f>IF(N2548="","",IF(COUNTIF(Precios!$G:$G,N2548)=0,"⚠ No coincide con Precios","OK"))</f>
        <v/>
      </c>
    </row>
    <row r="2549" spans="3:15" x14ac:dyDescent="0.2">
      <c r="C2549" s="9" cm="1">
        <f t="array" ref="C2549">IFERROR(_xlfn.XLOOKUP(B2549,Personal!$A:$A,Personal!$D:$D,""),"")</f>
        <v>0</v>
      </c>
      <c r="D2549" s="9" cm="1">
        <f t="array" ref="D2549">IFERROR(_xlfn.XLOOKUP(B2549,Personal!$A:$A,Personal!$C:$C,""),"")</f>
        <v>0</v>
      </c>
      <c r="E2549" s="9" t="str" cm="1">
        <f t="array" ref="E2549">IFERROR(_xlfn.XLOOKUP(D2549,Locales!$A:$A,Locales!$B:$B,""),"")</f>
        <v/>
      </c>
      <c r="F2549" s="9" cm="1">
        <f t="array" ref="F2549">IFERROR(_xlfn.XLOOKUP(B2549,Personal!$A:$A,Personal!$F:$F,""),"")</f>
        <v>0</v>
      </c>
      <c r="I2549" s="10" cm="1">
        <f t="array" ref="I2549">IFERROR(INDEX(Precios!$D:$F,MATCH(N2549, Precios!$G:$G, 0),CHOOSE(MATCH(H2549, {"SML";"XL";"XXL"}, 0), 1, 2, 3)), 0)</f>
        <v>0</v>
      </c>
      <c r="K2549" s="10">
        <f t="shared" si="86"/>
        <v>0</v>
      </c>
      <c r="N2549" s="9" t="str">
        <f t="shared" si="87"/>
        <v/>
      </c>
      <c r="O2549" s="9" t="str">
        <f>IF(N2549="","",IF(COUNTIF(Precios!$G:$G,N2549)=0,"⚠ No coincide con Precios","OK"))</f>
        <v/>
      </c>
    </row>
    <row r="2550" spans="3:15" x14ac:dyDescent="0.2">
      <c r="C2550" s="9" cm="1">
        <f t="array" ref="C2550">IFERROR(_xlfn.XLOOKUP(B2550,Personal!$A:$A,Personal!$D:$D,""),"")</f>
        <v>0</v>
      </c>
      <c r="D2550" s="9" cm="1">
        <f t="array" ref="D2550">IFERROR(_xlfn.XLOOKUP(B2550,Personal!$A:$A,Personal!$C:$C,""),"")</f>
        <v>0</v>
      </c>
      <c r="E2550" s="9" t="str" cm="1">
        <f t="array" ref="E2550">IFERROR(_xlfn.XLOOKUP(D2550,Locales!$A:$A,Locales!$B:$B,""),"")</f>
        <v/>
      </c>
      <c r="F2550" s="9" cm="1">
        <f t="array" ref="F2550">IFERROR(_xlfn.XLOOKUP(B2550,Personal!$A:$A,Personal!$F:$F,""),"")</f>
        <v>0</v>
      </c>
      <c r="I2550" s="10" cm="1">
        <f t="array" ref="I2550">IFERROR(INDEX(Precios!$D:$F,MATCH(N2550, Precios!$G:$G, 0),CHOOSE(MATCH(H2550, {"SML";"XL";"XXL"}, 0), 1, 2, 3)), 0)</f>
        <v>0</v>
      </c>
      <c r="K2550" s="10">
        <f t="shared" si="86"/>
        <v>0</v>
      </c>
      <c r="N2550" s="9" t="str">
        <f t="shared" si="87"/>
        <v/>
      </c>
      <c r="O2550" s="9" t="str">
        <f>IF(N2550="","",IF(COUNTIF(Precios!$G:$G,N2550)=0,"⚠ No coincide con Precios","OK"))</f>
        <v/>
      </c>
    </row>
    <row r="2551" spans="3:15" x14ac:dyDescent="0.2">
      <c r="C2551" s="9" cm="1">
        <f t="array" ref="C2551">IFERROR(_xlfn.XLOOKUP(B2551,Personal!$A:$A,Personal!$D:$D,""),"")</f>
        <v>0</v>
      </c>
      <c r="D2551" s="9" cm="1">
        <f t="array" ref="D2551">IFERROR(_xlfn.XLOOKUP(B2551,Personal!$A:$A,Personal!$C:$C,""),"")</f>
        <v>0</v>
      </c>
      <c r="E2551" s="9" t="str" cm="1">
        <f t="array" ref="E2551">IFERROR(_xlfn.XLOOKUP(D2551,Locales!$A:$A,Locales!$B:$B,""),"")</f>
        <v/>
      </c>
      <c r="F2551" s="9" cm="1">
        <f t="array" ref="F2551">IFERROR(_xlfn.XLOOKUP(B2551,Personal!$A:$A,Personal!$F:$F,""),"")</f>
        <v>0</v>
      </c>
      <c r="I2551" s="10" cm="1">
        <f t="array" ref="I2551">IFERROR(INDEX(Precios!$D:$F,MATCH(N2551, Precios!$G:$G, 0),CHOOSE(MATCH(H2551, {"SML";"XL";"XXL"}, 0), 1, 2, 3)), 0)</f>
        <v>0</v>
      </c>
      <c r="K2551" s="10">
        <f t="shared" si="86"/>
        <v>0</v>
      </c>
      <c r="N2551" s="9" t="str">
        <f t="shared" si="87"/>
        <v/>
      </c>
      <c r="O2551" s="9" t="str">
        <f>IF(N2551="","",IF(COUNTIF(Precios!$G:$G,N2551)=0,"⚠ No coincide con Precios","OK"))</f>
        <v/>
      </c>
    </row>
    <row r="2552" spans="3:15" x14ac:dyDescent="0.2">
      <c r="C2552" s="9" cm="1">
        <f t="array" ref="C2552">IFERROR(_xlfn.XLOOKUP(B2552,Personal!$A:$A,Personal!$D:$D,""),"")</f>
        <v>0</v>
      </c>
      <c r="D2552" s="9" cm="1">
        <f t="array" ref="D2552">IFERROR(_xlfn.XLOOKUP(B2552,Personal!$A:$A,Personal!$C:$C,""),"")</f>
        <v>0</v>
      </c>
      <c r="E2552" s="9" t="str" cm="1">
        <f t="array" ref="E2552">IFERROR(_xlfn.XLOOKUP(D2552,Locales!$A:$A,Locales!$B:$B,""),"")</f>
        <v/>
      </c>
      <c r="F2552" s="9" cm="1">
        <f t="array" ref="F2552">IFERROR(_xlfn.XLOOKUP(B2552,Personal!$A:$A,Personal!$F:$F,""),"")</f>
        <v>0</v>
      </c>
      <c r="I2552" s="10" cm="1">
        <f t="array" ref="I2552">IFERROR(INDEX(Precios!$D:$F,MATCH(N2552, Precios!$G:$G, 0),CHOOSE(MATCH(H2552, {"SML";"XL";"XXL"}, 0), 1, 2, 3)), 0)</f>
        <v>0</v>
      </c>
      <c r="K2552" s="10">
        <f t="shared" si="86"/>
        <v>0</v>
      </c>
      <c r="N2552" s="9" t="str">
        <f t="shared" si="87"/>
        <v/>
      </c>
      <c r="O2552" s="9" t="str">
        <f>IF(N2552="","",IF(COUNTIF(Precios!$G:$G,N2552)=0,"⚠ No coincide con Precios","OK"))</f>
        <v/>
      </c>
    </row>
    <row r="2553" spans="3:15" x14ac:dyDescent="0.2">
      <c r="C2553" s="9" cm="1">
        <f t="array" ref="C2553">IFERROR(_xlfn.XLOOKUP(B2553,Personal!$A:$A,Personal!$D:$D,""),"")</f>
        <v>0</v>
      </c>
      <c r="D2553" s="9" cm="1">
        <f t="array" ref="D2553">IFERROR(_xlfn.XLOOKUP(B2553,Personal!$A:$A,Personal!$C:$C,""),"")</f>
        <v>0</v>
      </c>
      <c r="E2553" s="9" t="str" cm="1">
        <f t="array" ref="E2553">IFERROR(_xlfn.XLOOKUP(D2553,Locales!$A:$A,Locales!$B:$B,""),"")</f>
        <v/>
      </c>
      <c r="F2553" s="9" cm="1">
        <f t="array" ref="F2553">IFERROR(_xlfn.XLOOKUP(B2553,Personal!$A:$A,Personal!$F:$F,""),"")</f>
        <v>0</v>
      </c>
      <c r="I2553" s="10" cm="1">
        <f t="array" ref="I2553">IFERROR(INDEX(Precios!$D:$F,MATCH(N2553, Precios!$G:$G, 0),CHOOSE(MATCH(H2553, {"SML";"XL";"XXL"}, 0), 1, 2, 3)), 0)</f>
        <v>0</v>
      </c>
      <c r="K2553" s="10">
        <f t="shared" si="86"/>
        <v>0</v>
      </c>
      <c r="N2553" s="9" t="str">
        <f t="shared" si="87"/>
        <v/>
      </c>
      <c r="O2553" s="9" t="str">
        <f>IF(N2553="","",IF(COUNTIF(Precios!$G:$G,N2553)=0,"⚠ No coincide con Precios","OK"))</f>
        <v/>
      </c>
    </row>
    <row r="2554" spans="3:15" x14ac:dyDescent="0.2">
      <c r="C2554" s="9" cm="1">
        <f t="array" ref="C2554">IFERROR(_xlfn.XLOOKUP(B2554,Personal!$A:$A,Personal!$D:$D,""),"")</f>
        <v>0</v>
      </c>
      <c r="D2554" s="9" cm="1">
        <f t="array" ref="D2554">IFERROR(_xlfn.XLOOKUP(B2554,Personal!$A:$A,Personal!$C:$C,""),"")</f>
        <v>0</v>
      </c>
      <c r="E2554" s="9" t="str" cm="1">
        <f t="array" ref="E2554">IFERROR(_xlfn.XLOOKUP(D2554,Locales!$A:$A,Locales!$B:$B,""),"")</f>
        <v/>
      </c>
      <c r="F2554" s="9" cm="1">
        <f t="array" ref="F2554">IFERROR(_xlfn.XLOOKUP(B2554,Personal!$A:$A,Personal!$F:$F,""),"")</f>
        <v>0</v>
      </c>
      <c r="I2554" s="10" cm="1">
        <f t="array" ref="I2554">IFERROR(INDEX(Precios!$D:$F,MATCH(N2554, Precios!$G:$G, 0),CHOOSE(MATCH(H2554, {"SML";"XL";"XXL"}, 0), 1, 2, 3)), 0)</f>
        <v>0</v>
      </c>
      <c r="K2554" s="10">
        <f t="shared" si="86"/>
        <v>0</v>
      </c>
      <c r="N2554" s="9" t="str">
        <f t="shared" si="87"/>
        <v/>
      </c>
      <c r="O2554" s="9" t="str">
        <f>IF(N2554="","",IF(COUNTIF(Precios!$G:$G,N2554)=0,"⚠ No coincide con Precios","OK"))</f>
        <v/>
      </c>
    </row>
    <row r="2555" spans="3:15" x14ac:dyDescent="0.2">
      <c r="C2555" s="9" cm="1">
        <f t="array" ref="C2555">IFERROR(_xlfn.XLOOKUP(B2555,Personal!$A:$A,Personal!$D:$D,""),"")</f>
        <v>0</v>
      </c>
      <c r="D2555" s="9" cm="1">
        <f t="array" ref="D2555">IFERROR(_xlfn.XLOOKUP(B2555,Personal!$A:$A,Personal!$C:$C,""),"")</f>
        <v>0</v>
      </c>
      <c r="E2555" s="9" t="str" cm="1">
        <f t="array" ref="E2555">IFERROR(_xlfn.XLOOKUP(D2555,Locales!$A:$A,Locales!$B:$B,""),"")</f>
        <v/>
      </c>
      <c r="F2555" s="9" cm="1">
        <f t="array" ref="F2555">IFERROR(_xlfn.XLOOKUP(B2555,Personal!$A:$A,Personal!$F:$F,""),"")</f>
        <v>0</v>
      </c>
      <c r="I2555" s="10" cm="1">
        <f t="array" ref="I2555">IFERROR(INDEX(Precios!$D:$F,MATCH(N2555, Precios!$G:$G, 0),CHOOSE(MATCH(H2555, {"SML";"XL";"XXL"}, 0), 1, 2, 3)), 0)</f>
        <v>0</v>
      </c>
      <c r="K2555" s="10">
        <f t="shared" si="86"/>
        <v>0</v>
      </c>
      <c r="N2555" s="9" t="str">
        <f t="shared" si="87"/>
        <v/>
      </c>
      <c r="O2555" s="9" t="str">
        <f>IF(N2555="","",IF(COUNTIF(Precios!$G:$G,N2555)=0,"⚠ No coincide con Precios","OK"))</f>
        <v/>
      </c>
    </row>
    <row r="2556" spans="3:15" x14ac:dyDescent="0.2">
      <c r="C2556" s="9" cm="1">
        <f t="array" ref="C2556">IFERROR(_xlfn.XLOOKUP(B2556,Personal!$A:$A,Personal!$D:$D,""),"")</f>
        <v>0</v>
      </c>
      <c r="D2556" s="9" cm="1">
        <f t="array" ref="D2556">IFERROR(_xlfn.XLOOKUP(B2556,Personal!$A:$A,Personal!$C:$C,""),"")</f>
        <v>0</v>
      </c>
      <c r="E2556" s="9" t="str" cm="1">
        <f t="array" ref="E2556">IFERROR(_xlfn.XLOOKUP(D2556,Locales!$A:$A,Locales!$B:$B,""),"")</f>
        <v/>
      </c>
      <c r="F2556" s="9" cm="1">
        <f t="array" ref="F2556">IFERROR(_xlfn.XLOOKUP(B2556,Personal!$A:$A,Personal!$F:$F,""),"")</f>
        <v>0</v>
      </c>
      <c r="I2556" s="10" cm="1">
        <f t="array" ref="I2556">IFERROR(INDEX(Precios!$D:$F,MATCH(N2556, Precios!$G:$G, 0),CHOOSE(MATCH(H2556, {"SML";"XL";"XXL"}, 0), 1, 2, 3)), 0)</f>
        <v>0</v>
      </c>
      <c r="K2556" s="10">
        <f t="shared" si="86"/>
        <v>0</v>
      </c>
      <c r="N2556" s="9" t="str">
        <f t="shared" si="87"/>
        <v/>
      </c>
      <c r="O2556" s="9" t="str">
        <f>IF(N2556="","",IF(COUNTIF(Precios!$G:$G,N2556)=0,"⚠ No coincide con Precios","OK"))</f>
        <v/>
      </c>
    </row>
    <row r="2557" spans="3:15" x14ac:dyDescent="0.2">
      <c r="C2557" s="9" cm="1">
        <f t="array" ref="C2557">IFERROR(_xlfn.XLOOKUP(B2557,Personal!$A:$A,Personal!$D:$D,""),"")</f>
        <v>0</v>
      </c>
      <c r="D2557" s="9" cm="1">
        <f t="array" ref="D2557">IFERROR(_xlfn.XLOOKUP(B2557,Personal!$A:$A,Personal!$C:$C,""),"")</f>
        <v>0</v>
      </c>
      <c r="E2557" s="9" t="str" cm="1">
        <f t="array" ref="E2557">IFERROR(_xlfn.XLOOKUP(D2557,Locales!$A:$A,Locales!$B:$B,""),"")</f>
        <v/>
      </c>
      <c r="F2557" s="9" cm="1">
        <f t="array" ref="F2557">IFERROR(_xlfn.XLOOKUP(B2557,Personal!$A:$A,Personal!$F:$F,""),"")</f>
        <v>0</v>
      </c>
      <c r="I2557" s="10" cm="1">
        <f t="array" ref="I2557">IFERROR(INDEX(Precios!$D:$F,MATCH(N2557, Precios!$G:$G, 0),CHOOSE(MATCH(H2557, {"SML";"XL";"XXL"}, 0), 1, 2, 3)), 0)</f>
        <v>0</v>
      </c>
      <c r="K2557" s="10">
        <f t="shared" si="86"/>
        <v>0</v>
      </c>
      <c r="N2557" s="9" t="str">
        <f t="shared" si="87"/>
        <v/>
      </c>
      <c r="O2557" s="9" t="str">
        <f>IF(N2557="","",IF(COUNTIF(Precios!$G:$G,N2557)=0,"⚠ No coincide con Precios","OK"))</f>
        <v/>
      </c>
    </row>
    <row r="2558" spans="3:15" x14ac:dyDescent="0.2">
      <c r="C2558" s="9" cm="1">
        <f t="array" ref="C2558">IFERROR(_xlfn.XLOOKUP(B2558,Personal!$A:$A,Personal!$D:$D,""),"")</f>
        <v>0</v>
      </c>
      <c r="D2558" s="9" cm="1">
        <f t="array" ref="D2558">IFERROR(_xlfn.XLOOKUP(B2558,Personal!$A:$A,Personal!$C:$C,""),"")</f>
        <v>0</v>
      </c>
      <c r="E2558" s="9" t="str" cm="1">
        <f t="array" ref="E2558">IFERROR(_xlfn.XLOOKUP(D2558,Locales!$A:$A,Locales!$B:$B,""),"")</f>
        <v/>
      </c>
      <c r="F2558" s="9" cm="1">
        <f t="array" ref="F2558">IFERROR(_xlfn.XLOOKUP(B2558,Personal!$A:$A,Personal!$F:$F,""),"")</f>
        <v>0</v>
      </c>
      <c r="I2558" s="10" cm="1">
        <f t="array" ref="I2558">IFERROR(INDEX(Precios!$D:$F,MATCH(N2558, Precios!$G:$G, 0),CHOOSE(MATCH(H2558, {"SML";"XL";"XXL"}, 0), 1, 2, 3)), 0)</f>
        <v>0</v>
      </c>
      <c r="K2558" s="10">
        <f t="shared" si="86"/>
        <v>0</v>
      </c>
      <c r="N2558" s="9" t="str">
        <f t="shared" si="87"/>
        <v/>
      </c>
      <c r="O2558" s="9" t="str">
        <f>IF(N2558="","",IF(COUNTIF(Precios!$G:$G,N2558)=0,"⚠ No coincide con Precios","OK"))</f>
        <v/>
      </c>
    </row>
    <row r="2559" spans="3:15" x14ac:dyDescent="0.2">
      <c r="C2559" s="9" cm="1">
        <f t="array" ref="C2559">IFERROR(_xlfn.XLOOKUP(B2559,Personal!$A:$A,Personal!$D:$D,""),"")</f>
        <v>0</v>
      </c>
      <c r="D2559" s="9" cm="1">
        <f t="array" ref="D2559">IFERROR(_xlfn.XLOOKUP(B2559,Personal!$A:$A,Personal!$C:$C,""),"")</f>
        <v>0</v>
      </c>
      <c r="E2559" s="9" t="str" cm="1">
        <f t="array" ref="E2559">IFERROR(_xlfn.XLOOKUP(D2559,Locales!$A:$A,Locales!$B:$B,""),"")</f>
        <v/>
      </c>
      <c r="F2559" s="9" cm="1">
        <f t="array" ref="F2559">IFERROR(_xlfn.XLOOKUP(B2559,Personal!$A:$A,Personal!$F:$F,""),"")</f>
        <v>0</v>
      </c>
      <c r="I2559" s="10" cm="1">
        <f t="array" ref="I2559">IFERROR(INDEX(Precios!$D:$F,MATCH(N2559, Precios!$G:$G, 0),CHOOSE(MATCH(H2559, {"SML";"XL";"XXL"}, 0), 1, 2, 3)), 0)</f>
        <v>0</v>
      </c>
      <c r="K2559" s="10">
        <f t="shared" si="86"/>
        <v>0</v>
      </c>
      <c r="N2559" s="9" t="str">
        <f t="shared" si="87"/>
        <v/>
      </c>
      <c r="O2559" s="9" t="str">
        <f>IF(N2559="","",IF(COUNTIF(Precios!$G:$G,N2559)=0,"⚠ No coincide con Precios","OK"))</f>
        <v/>
      </c>
    </row>
    <row r="2560" spans="3:15" x14ac:dyDescent="0.2">
      <c r="C2560" s="9" cm="1">
        <f t="array" ref="C2560">IFERROR(_xlfn.XLOOKUP(B2560,Personal!$A:$A,Personal!$D:$D,""),"")</f>
        <v>0</v>
      </c>
      <c r="D2560" s="9" cm="1">
        <f t="array" ref="D2560">IFERROR(_xlfn.XLOOKUP(B2560,Personal!$A:$A,Personal!$C:$C,""),"")</f>
        <v>0</v>
      </c>
      <c r="E2560" s="9" t="str" cm="1">
        <f t="array" ref="E2560">IFERROR(_xlfn.XLOOKUP(D2560,Locales!$A:$A,Locales!$B:$B,""),"")</f>
        <v/>
      </c>
      <c r="F2560" s="9" cm="1">
        <f t="array" ref="F2560">IFERROR(_xlfn.XLOOKUP(B2560,Personal!$A:$A,Personal!$F:$F,""),"")</f>
        <v>0</v>
      </c>
      <c r="I2560" s="10" cm="1">
        <f t="array" ref="I2560">IFERROR(INDEX(Precios!$D:$F,MATCH(N2560, Precios!$G:$G, 0),CHOOSE(MATCH(H2560, {"SML";"XL";"XXL"}, 0), 1, 2, 3)), 0)</f>
        <v>0</v>
      </c>
      <c r="K2560" s="10">
        <f t="shared" ref="K2560:K2623" si="88">IFERROR(I2560*J2560,0)</f>
        <v>0</v>
      </c>
      <c r="N2560" s="9" t="str">
        <f t="shared" ref="N2560:N2623" si="89">IF( OR(E2560="",F2560="",G2560=""), "",CLEAN(TRIM(E2560)) &amp; "|" &amp; CLEAN(TRIM(F2560)) &amp; "|" &amp; CLEAN(TRIM(G2560)))</f>
        <v/>
      </c>
      <c r="O2560" s="9" t="str">
        <f>IF(N2560="","",IF(COUNTIF(Precios!$G:$G,N2560)=0,"⚠ No coincide con Precios","OK"))</f>
        <v/>
      </c>
    </row>
    <row r="2561" spans="3:15" x14ac:dyDescent="0.2">
      <c r="C2561" s="9" cm="1">
        <f t="array" ref="C2561">IFERROR(_xlfn.XLOOKUP(B2561,Personal!$A:$A,Personal!$D:$D,""),"")</f>
        <v>0</v>
      </c>
      <c r="D2561" s="9" cm="1">
        <f t="array" ref="D2561">IFERROR(_xlfn.XLOOKUP(B2561,Personal!$A:$A,Personal!$C:$C,""),"")</f>
        <v>0</v>
      </c>
      <c r="E2561" s="9" t="str" cm="1">
        <f t="array" ref="E2561">IFERROR(_xlfn.XLOOKUP(D2561,Locales!$A:$A,Locales!$B:$B,""),"")</f>
        <v/>
      </c>
      <c r="F2561" s="9" cm="1">
        <f t="array" ref="F2561">IFERROR(_xlfn.XLOOKUP(B2561,Personal!$A:$A,Personal!$F:$F,""),"")</f>
        <v>0</v>
      </c>
      <c r="I2561" s="10" cm="1">
        <f t="array" ref="I2561">IFERROR(INDEX(Precios!$D:$F,MATCH(N2561, Precios!$G:$G, 0),CHOOSE(MATCH(H2561, {"SML";"XL";"XXL"}, 0), 1, 2, 3)), 0)</f>
        <v>0</v>
      </c>
      <c r="K2561" s="10">
        <f t="shared" si="88"/>
        <v>0</v>
      </c>
      <c r="N2561" s="9" t="str">
        <f t="shared" si="89"/>
        <v/>
      </c>
      <c r="O2561" s="9" t="str">
        <f>IF(N2561="","",IF(COUNTIF(Precios!$G:$G,N2561)=0,"⚠ No coincide con Precios","OK"))</f>
        <v/>
      </c>
    </row>
    <row r="2562" spans="3:15" x14ac:dyDescent="0.2">
      <c r="C2562" s="9" cm="1">
        <f t="array" ref="C2562">IFERROR(_xlfn.XLOOKUP(B2562,Personal!$A:$A,Personal!$D:$D,""),"")</f>
        <v>0</v>
      </c>
      <c r="D2562" s="9" cm="1">
        <f t="array" ref="D2562">IFERROR(_xlfn.XLOOKUP(B2562,Personal!$A:$A,Personal!$C:$C,""),"")</f>
        <v>0</v>
      </c>
      <c r="E2562" s="9" t="str" cm="1">
        <f t="array" ref="E2562">IFERROR(_xlfn.XLOOKUP(D2562,Locales!$A:$A,Locales!$B:$B,""),"")</f>
        <v/>
      </c>
      <c r="F2562" s="9" cm="1">
        <f t="array" ref="F2562">IFERROR(_xlfn.XLOOKUP(B2562,Personal!$A:$A,Personal!$F:$F,""),"")</f>
        <v>0</v>
      </c>
      <c r="I2562" s="10" cm="1">
        <f t="array" ref="I2562">IFERROR(INDEX(Precios!$D:$F,MATCH(N2562, Precios!$G:$G, 0),CHOOSE(MATCH(H2562, {"SML";"XL";"XXL"}, 0), 1, 2, 3)), 0)</f>
        <v>0</v>
      </c>
      <c r="K2562" s="10">
        <f t="shared" si="88"/>
        <v>0</v>
      </c>
      <c r="N2562" s="9" t="str">
        <f t="shared" si="89"/>
        <v/>
      </c>
      <c r="O2562" s="9" t="str">
        <f>IF(N2562="","",IF(COUNTIF(Precios!$G:$G,N2562)=0,"⚠ No coincide con Precios","OK"))</f>
        <v/>
      </c>
    </row>
    <row r="2563" spans="3:15" x14ac:dyDescent="0.2">
      <c r="C2563" s="9" cm="1">
        <f t="array" ref="C2563">IFERROR(_xlfn.XLOOKUP(B2563,Personal!$A:$A,Personal!$D:$D,""),"")</f>
        <v>0</v>
      </c>
      <c r="D2563" s="9" cm="1">
        <f t="array" ref="D2563">IFERROR(_xlfn.XLOOKUP(B2563,Personal!$A:$A,Personal!$C:$C,""),"")</f>
        <v>0</v>
      </c>
      <c r="E2563" s="9" t="str" cm="1">
        <f t="array" ref="E2563">IFERROR(_xlfn.XLOOKUP(D2563,Locales!$A:$A,Locales!$B:$B,""),"")</f>
        <v/>
      </c>
      <c r="F2563" s="9" cm="1">
        <f t="array" ref="F2563">IFERROR(_xlfn.XLOOKUP(B2563,Personal!$A:$A,Personal!$F:$F,""),"")</f>
        <v>0</v>
      </c>
      <c r="I2563" s="10" cm="1">
        <f t="array" ref="I2563">IFERROR(INDEX(Precios!$D:$F,MATCH(N2563, Precios!$G:$G, 0),CHOOSE(MATCH(H2563, {"SML";"XL";"XXL"}, 0), 1, 2, 3)), 0)</f>
        <v>0</v>
      </c>
      <c r="K2563" s="10">
        <f t="shared" si="88"/>
        <v>0</v>
      </c>
      <c r="N2563" s="9" t="str">
        <f t="shared" si="89"/>
        <v/>
      </c>
      <c r="O2563" s="9" t="str">
        <f>IF(N2563="","",IF(COUNTIF(Precios!$G:$G,N2563)=0,"⚠ No coincide con Precios","OK"))</f>
        <v/>
      </c>
    </row>
    <row r="2564" spans="3:15" x14ac:dyDescent="0.2">
      <c r="C2564" s="9" cm="1">
        <f t="array" ref="C2564">IFERROR(_xlfn.XLOOKUP(B2564,Personal!$A:$A,Personal!$D:$D,""),"")</f>
        <v>0</v>
      </c>
      <c r="D2564" s="9" cm="1">
        <f t="array" ref="D2564">IFERROR(_xlfn.XLOOKUP(B2564,Personal!$A:$A,Personal!$C:$C,""),"")</f>
        <v>0</v>
      </c>
      <c r="E2564" s="9" t="str" cm="1">
        <f t="array" ref="E2564">IFERROR(_xlfn.XLOOKUP(D2564,Locales!$A:$A,Locales!$B:$B,""),"")</f>
        <v/>
      </c>
      <c r="F2564" s="9" cm="1">
        <f t="array" ref="F2564">IFERROR(_xlfn.XLOOKUP(B2564,Personal!$A:$A,Personal!$F:$F,""),"")</f>
        <v>0</v>
      </c>
      <c r="I2564" s="10" cm="1">
        <f t="array" ref="I2564">IFERROR(INDEX(Precios!$D:$F,MATCH(N2564, Precios!$G:$G, 0),CHOOSE(MATCH(H2564, {"SML";"XL";"XXL"}, 0), 1, 2, 3)), 0)</f>
        <v>0</v>
      </c>
      <c r="K2564" s="10">
        <f t="shared" si="88"/>
        <v>0</v>
      </c>
      <c r="N2564" s="9" t="str">
        <f t="shared" si="89"/>
        <v/>
      </c>
      <c r="O2564" s="9" t="str">
        <f>IF(N2564="","",IF(COUNTIF(Precios!$G:$G,N2564)=0,"⚠ No coincide con Precios","OK"))</f>
        <v/>
      </c>
    </row>
    <row r="2565" spans="3:15" x14ac:dyDescent="0.2">
      <c r="C2565" s="9" cm="1">
        <f t="array" ref="C2565">IFERROR(_xlfn.XLOOKUP(B2565,Personal!$A:$A,Personal!$D:$D,""),"")</f>
        <v>0</v>
      </c>
      <c r="D2565" s="9" cm="1">
        <f t="array" ref="D2565">IFERROR(_xlfn.XLOOKUP(B2565,Personal!$A:$A,Personal!$C:$C,""),"")</f>
        <v>0</v>
      </c>
      <c r="E2565" s="9" t="str" cm="1">
        <f t="array" ref="E2565">IFERROR(_xlfn.XLOOKUP(D2565,Locales!$A:$A,Locales!$B:$B,""),"")</f>
        <v/>
      </c>
      <c r="F2565" s="9" cm="1">
        <f t="array" ref="F2565">IFERROR(_xlfn.XLOOKUP(B2565,Personal!$A:$A,Personal!$F:$F,""),"")</f>
        <v>0</v>
      </c>
      <c r="I2565" s="10" cm="1">
        <f t="array" ref="I2565">IFERROR(INDEX(Precios!$D:$F,MATCH(N2565, Precios!$G:$G, 0),CHOOSE(MATCH(H2565, {"SML";"XL";"XXL"}, 0), 1, 2, 3)), 0)</f>
        <v>0</v>
      </c>
      <c r="K2565" s="10">
        <f t="shared" si="88"/>
        <v>0</v>
      </c>
      <c r="N2565" s="9" t="str">
        <f t="shared" si="89"/>
        <v/>
      </c>
      <c r="O2565" s="9" t="str">
        <f>IF(N2565="","",IF(COUNTIF(Precios!$G:$G,N2565)=0,"⚠ No coincide con Precios","OK"))</f>
        <v/>
      </c>
    </row>
    <row r="2566" spans="3:15" x14ac:dyDescent="0.2">
      <c r="C2566" s="9" cm="1">
        <f t="array" ref="C2566">IFERROR(_xlfn.XLOOKUP(B2566,Personal!$A:$A,Personal!$D:$D,""),"")</f>
        <v>0</v>
      </c>
      <c r="D2566" s="9" cm="1">
        <f t="array" ref="D2566">IFERROR(_xlfn.XLOOKUP(B2566,Personal!$A:$A,Personal!$C:$C,""),"")</f>
        <v>0</v>
      </c>
      <c r="E2566" s="9" t="str" cm="1">
        <f t="array" ref="E2566">IFERROR(_xlfn.XLOOKUP(D2566,Locales!$A:$A,Locales!$B:$B,""),"")</f>
        <v/>
      </c>
      <c r="F2566" s="9" cm="1">
        <f t="array" ref="F2566">IFERROR(_xlfn.XLOOKUP(B2566,Personal!$A:$A,Personal!$F:$F,""),"")</f>
        <v>0</v>
      </c>
      <c r="I2566" s="10" cm="1">
        <f t="array" ref="I2566">IFERROR(INDEX(Precios!$D:$F,MATCH(N2566, Precios!$G:$G, 0),CHOOSE(MATCH(H2566, {"SML";"XL";"XXL"}, 0), 1, 2, 3)), 0)</f>
        <v>0</v>
      </c>
      <c r="K2566" s="10">
        <f t="shared" si="88"/>
        <v>0</v>
      </c>
      <c r="N2566" s="9" t="str">
        <f t="shared" si="89"/>
        <v/>
      </c>
      <c r="O2566" s="9" t="str">
        <f>IF(N2566="","",IF(COUNTIF(Precios!$G:$G,N2566)=0,"⚠ No coincide con Precios","OK"))</f>
        <v/>
      </c>
    </row>
    <row r="2567" spans="3:15" x14ac:dyDescent="0.2">
      <c r="C2567" s="9" cm="1">
        <f t="array" ref="C2567">IFERROR(_xlfn.XLOOKUP(B2567,Personal!$A:$A,Personal!$D:$D,""),"")</f>
        <v>0</v>
      </c>
      <c r="D2567" s="9" cm="1">
        <f t="array" ref="D2567">IFERROR(_xlfn.XLOOKUP(B2567,Personal!$A:$A,Personal!$C:$C,""),"")</f>
        <v>0</v>
      </c>
      <c r="E2567" s="9" t="str" cm="1">
        <f t="array" ref="E2567">IFERROR(_xlfn.XLOOKUP(D2567,Locales!$A:$A,Locales!$B:$B,""),"")</f>
        <v/>
      </c>
      <c r="F2567" s="9" cm="1">
        <f t="array" ref="F2567">IFERROR(_xlfn.XLOOKUP(B2567,Personal!$A:$A,Personal!$F:$F,""),"")</f>
        <v>0</v>
      </c>
      <c r="I2567" s="10" cm="1">
        <f t="array" ref="I2567">IFERROR(INDEX(Precios!$D:$F,MATCH(N2567, Precios!$G:$G, 0),CHOOSE(MATCH(H2567, {"SML";"XL";"XXL"}, 0), 1, 2, 3)), 0)</f>
        <v>0</v>
      </c>
      <c r="K2567" s="10">
        <f t="shared" si="88"/>
        <v>0</v>
      </c>
      <c r="N2567" s="9" t="str">
        <f t="shared" si="89"/>
        <v/>
      </c>
      <c r="O2567" s="9" t="str">
        <f>IF(N2567="","",IF(COUNTIF(Precios!$G:$G,N2567)=0,"⚠ No coincide con Precios","OK"))</f>
        <v/>
      </c>
    </row>
    <row r="2568" spans="3:15" x14ac:dyDescent="0.2">
      <c r="C2568" s="9" cm="1">
        <f t="array" ref="C2568">IFERROR(_xlfn.XLOOKUP(B2568,Personal!$A:$A,Personal!$D:$D,""),"")</f>
        <v>0</v>
      </c>
      <c r="D2568" s="9" cm="1">
        <f t="array" ref="D2568">IFERROR(_xlfn.XLOOKUP(B2568,Personal!$A:$A,Personal!$C:$C,""),"")</f>
        <v>0</v>
      </c>
      <c r="E2568" s="9" t="str" cm="1">
        <f t="array" ref="E2568">IFERROR(_xlfn.XLOOKUP(D2568,Locales!$A:$A,Locales!$B:$B,""),"")</f>
        <v/>
      </c>
      <c r="F2568" s="9" cm="1">
        <f t="array" ref="F2568">IFERROR(_xlfn.XLOOKUP(B2568,Personal!$A:$A,Personal!$F:$F,""),"")</f>
        <v>0</v>
      </c>
      <c r="I2568" s="10" cm="1">
        <f t="array" ref="I2568">IFERROR(INDEX(Precios!$D:$F,MATCH(N2568, Precios!$G:$G, 0),CHOOSE(MATCH(H2568, {"SML";"XL";"XXL"}, 0), 1, 2, 3)), 0)</f>
        <v>0</v>
      </c>
      <c r="K2568" s="10">
        <f t="shared" si="88"/>
        <v>0</v>
      </c>
      <c r="N2568" s="9" t="str">
        <f t="shared" si="89"/>
        <v/>
      </c>
      <c r="O2568" s="9" t="str">
        <f>IF(N2568="","",IF(COUNTIF(Precios!$G:$G,N2568)=0,"⚠ No coincide con Precios","OK"))</f>
        <v/>
      </c>
    </row>
    <row r="2569" spans="3:15" x14ac:dyDescent="0.2">
      <c r="C2569" s="9" cm="1">
        <f t="array" ref="C2569">IFERROR(_xlfn.XLOOKUP(B2569,Personal!$A:$A,Personal!$D:$D,""),"")</f>
        <v>0</v>
      </c>
      <c r="D2569" s="9" cm="1">
        <f t="array" ref="D2569">IFERROR(_xlfn.XLOOKUP(B2569,Personal!$A:$A,Personal!$C:$C,""),"")</f>
        <v>0</v>
      </c>
      <c r="E2569" s="9" t="str" cm="1">
        <f t="array" ref="E2569">IFERROR(_xlfn.XLOOKUP(D2569,Locales!$A:$A,Locales!$B:$B,""),"")</f>
        <v/>
      </c>
      <c r="F2569" s="9" cm="1">
        <f t="array" ref="F2569">IFERROR(_xlfn.XLOOKUP(B2569,Personal!$A:$A,Personal!$F:$F,""),"")</f>
        <v>0</v>
      </c>
      <c r="I2569" s="10" cm="1">
        <f t="array" ref="I2569">IFERROR(INDEX(Precios!$D:$F,MATCH(N2569, Precios!$G:$G, 0),CHOOSE(MATCH(H2569, {"SML";"XL";"XXL"}, 0), 1, 2, 3)), 0)</f>
        <v>0</v>
      </c>
      <c r="K2569" s="10">
        <f t="shared" si="88"/>
        <v>0</v>
      </c>
      <c r="N2569" s="9" t="str">
        <f t="shared" si="89"/>
        <v/>
      </c>
      <c r="O2569" s="9" t="str">
        <f>IF(N2569="","",IF(COUNTIF(Precios!$G:$G,N2569)=0,"⚠ No coincide con Precios","OK"))</f>
        <v/>
      </c>
    </row>
    <row r="2570" spans="3:15" x14ac:dyDescent="0.2">
      <c r="C2570" s="9" cm="1">
        <f t="array" ref="C2570">IFERROR(_xlfn.XLOOKUP(B2570,Personal!$A:$A,Personal!$D:$D,""),"")</f>
        <v>0</v>
      </c>
      <c r="D2570" s="9" cm="1">
        <f t="array" ref="D2570">IFERROR(_xlfn.XLOOKUP(B2570,Personal!$A:$A,Personal!$C:$C,""),"")</f>
        <v>0</v>
      </c>
      <c r="E2570" s="9" t="str" cm="1">
        <f t="array" ref="E2570">IFERROR(_xlfn.XLOOKUP(D2570,Locales!$A:$A,Locales!$B:$B,""),"")</f>
        <v/>
      </c>
      <c r="F2570" s="9" cm="1">
        <f t="array" ref="F2570">IFERROR(_xlfn.XLOOKUP(B2570,Personal!$A:$A,Personal!$F:$F,""),"")</f>
        <v>0</v>
      </c>
      <c r="I2570" s="10" cm="1">
        <f t="array" ref="I2570">IFERROR(INDEX(Precios!$D:$F,MATCH(N2570, Precios!$G:$G, 0),CHOOSE(MATCH(H2570, {"SML";"XL";"XXL"}, 0), 1, 2, 3)), 0)</f>
        <v>0</v>
      </c>
      <c r="K2570" s="10">
        <f t="shared" si="88"/>
        <v>0</v>
      </c>
      <c r="N2570" s="9" t="str">
        <f t="shared" si="89"/>
        <v/>
      </c>
      <c r="O2570" s="9" t="str">
        <f>IF(N2570="","",IF(COUNTIF(Precios!$G:$G,N2570)=0,"⚠ No coincide con Precios","OK"))</f>
        <v/>
      </c>
    </row>
    <row r="2571" spans="3:15" x14ac:dyDescent="0.2">
      <c r="C2571" s="9" cm="1">
        <f t="array" ref="C2571">IFERROR(_xlfn.XLOOKUP(B2571,Personal!$A:$A,Personal!$D:$D,""),"")</f>
        <v>0</v>
      </c>
      <c r="D2571" s="9" cm="1">
        <f t="array" ref="D2571">IFERROR(_xlfn.XLOOKUP(B2571,Personal!$A:$A,Personal!$C:$C,""),"")</f>
        <v>0</v>
      </c>
      <c r="E2571" s="9" t="str" cm="1">
        <f t="array" ref="E2571">IFERROR(_xlfn.XLOOKUP(D2571,Locales!$A:$A,Locales!$B:$B,""),"")</f>
        <v/>
      </c>
      <c r="F2571" s="9" cm="1">
        <f t="array" ref="F2571">IFERROR(_xlfn.XLOOKUP(B2571,Personal!$A:$A,Personal!$F:$F,""),"")</f>
        <v>0</v>
      </c>
      <c r="I2571" s="10" cm="1">
        <f t="array" ref="I2571">IFERROR(INDEX(Precios!$D:$F,MATCH(N2571, Precios!$G:$G, 0),CHOOSE(MATCH(H2571, {"SML";"XL";"XXL"}, 0), 1, 2, 3)), 0)</f>
        <v>0</v>
      </c>
      <c r="K2571" s="10">
        <f t="shared" si="88"/>
        <v>0</v>
      </c>
      <c r="N2571" s="9" t="str">
        <f t="shared" si="89"/>
        <v/>
      </c>
      <c r="O2571" s="9" t="str">
        <f>IF(N2571="","",IF(COUNTIF(Precios!$G:$G,N2571)=0,"⚠ No coincide con Precios","OK"))</f>
        <v/>
      </c>
    </row>
    <row r="2572" spans="3:15" x14ac:dyDescent="0.2">
      <c r="C2572" s="9" cm="1">
        <f t="array" ref="C2572">IFERROR(_xlfn.XLOOKUP(B2572,Personal!$A:$A,Personal!$D:$D,""),"")</f>
        <v>0</v>
      </c>
      <c r="D2572" s="9" cm="1">
        <f t="array" ref="D2572">IFERROR(_xlfn.XLOOKUP(B2572,Personal!$A:$A,Personal!$C:$C,""),"")</f>
        <v>0</v>
      </c>
      <c r="E2572" s="9" t="str" cm="1">
        <f t="array" ref="E2572">IFERROR(_xlfn.XLOOKUP(D2572,Locales!$A:$A,Locales!$B:$B,""),"")</f>
        <v/>
      </c>
      <c r="F2572" s="9" cm="1">
        <f t="array" ref="F2572">IFERROR(_xlfn.XLOOKUP(B2572,Personal!$A:$A,Personal!$F:$F,""),"")</f>
        <v>0</v>
      </c>
      <c r="I2572" s="10" cm="1">
        <f t="array" ref="I2572">IFERROR(INDEX(Precios!$D:$F,MATCH(N2572, Precios!$G:$G, 0),CHOOSE(MATCH(H2572, {"SML";"XL";"XXL"}, 0), 1, 2, 3)), 0)</f>
        <v>0</v>
      </c>
      <c r="K2572" s="10">
        <f t="shared" si="88"/>
        <v>0</v>
      </c>
      <c r="N2572" s="9" t="str">
        <f t="shared" si="89"/>
        <v/>
      </c>
      <c r="O2572" s="9" t="str">
        <f>IF(N2572="","",IF(COUNTIF(Precios!$G:$G,N2572)=0,"⚠ No coincide con Precios","OK"))</f>
        <v/>
      </c>
    </row>
    <row r="2573" spans="3:15" x14ac:dyDescent="0.2">
      <c r="C2573" s="9" cm="1">
        <f t="array" ref="C2573">IFERROR(_xlfn.XLOOKUP(B2573,Personal!$A:$A,Personal!$D:$D,""),"")</f>
        <v>0</v>
      </c>
      <c r="D2573" s="9" cm="1">
        <f t="array" ref="D2573">IFERROR(_xlfn.XLOOKUP(B2573,Personal!$A:$A,Personal!$C:$C,""),"")</f>
        <v>0</v>
      </c>
      <c r="E2573" s="9" t="str" cm="1">
        <f t="array" ref="E2573">IFERROR(_xlfn.XLOOKUP(D2573,Locales!$A:$A,Locales!$B:$B,""),"")</f>
        <v/>
      </c>
      <c r="F2573" s="9" cm="1">
        <f t="array" ref="F2573">IFERROR(_xlfn.XLOOKUP(B2573,Personal!$A:$A,Personal!$F:$F,""),"")</f>
        <v>0</v>
      </c>
      <c r="I2573" s="10" cm="1">
        <f t="array" ref="I2573">IFERROR(INDEX(Precios!$D:$F,MATCH(N2573, Precios!$G:$G, 0),CHOOSE(MATCH(H2573, {"SML";"XL";"XXL"}, 0), 1, 2, 3)), 0)</f>
        <v>0</v>
      </c>
      <c r="K2573" s="10">
        <f t="shared" si="88"/>
        <v>0</v>
      </c>
      <c r="N2573" s="9" t="str">
        <f t="shared" si="89"/>
        <v/>
      </c>
      <c r="O2573" s="9" t="str">
        <f>IF(N2573="","",IF(COUNTIF(Precios!$G:$G,N2573)=0,"⚠ No coincide con Precios","OK"))</f>
        <v/>
      </c>
    </row>
    <row r="2574" spans="3:15" x14ac:dyDescent="0.2">
      <c r="C2574" s="9" cm="1">
        <f t="array" ref="C2574">IFERROR(_xlfn.XLOOKUP(B2574,Personal!$A:$A,Personal!$D:$D,""),"")</f>
        <v>0</v>
      </c>
      <c r="D2574" s="9" cm="1">
        <f t="array" ref="D2574">IFERROR(_xlfn.XLOOKUP(B2574,Personal!$A:$A,Personal!$C:$C,""),"")</f>
        <v>0</v>
      </c>
      <c r="E2574" s="9" t="str" cm="1">
        <f t="array" ref="E2574">IFERROR(_xlfn.XLOOKUP(D2574,Locales!$A:$A,Locales!$B:$B,""),"")</f>
        <v/>
      </c>
      <c r="F2574" s="9" cm="1">
        <f t="array" ref="F2574">IFERROR(_xlfn.XLOOKUP(B2574,Personal!$A:$A,Personal!$F:$F,""),"")</f>
        <v>0</v>
      </c>
      <c r="I2574" s="10" cm="1">
        <f t="array" ref="I2574">IFERROR(INDEX(Precios!$D:$F,MATCH(N2574, Precios!$G:$G, 0),CHOOSE(MATCH(H2574, {"SML";"XL";"XXL"}, 0), 1, 2, 3)), 0)</f>
        <v>0</v>
      </c>
      <c r="K2574" s="10">
        <f t="shared" si="88"/>
        <v>0</v>
      </c>
      <c r="N2574" s="9" t="str">
        <f t="shared" si="89"/>
        <v/>
      </c>
      <c r="O2574" s="9" t="str">
        <f>IF(N2574="","",IF(COUNTIF(Precios!$G:$G,N2574)=0,"⚠ No coincide con Precios","OK"))</f>
        <v/>
      </c>
    </row>
    <row r="2575" spans="3:15" x14ac:dyDescent="0.2">
      <c r="C2575" s="9" cm="1">
        <f t="array" ref="C2575">IFERROR(_xlfn.XLOOKUP(B2575,Personal!$A:$A,Personal!$D:$D,""),"")</f>
        <v>0</v>
      </c>
      <c r="D2575" s="9" cm="1">
        <f t="array" ref="D2575">IFERROR(_xlfn.XLOOKUP(B2575,Personal!$A:$A,Personal!$C:$C,""),"")</f>
        <v>0</v>
      </c>
      <c r="E2575" s="9" t="str" cm="1">
        <f t="array" ref="E2575">IFERROR(_xlfn.XLOOKUP(D2575,Locales!$A:$A,Locales!$B:$B,""),"")</f>
        <v/>
      </c>
      <c r="F2575" s="9" cm="1">
        <f t="array" ref="F2575">IFERROR(_xlfn.XLOOKUP(B2575,Personal!$A:$A,Personal!$F:$F,""),"")</f>
        <v>0</v>
      </c>
      <c r="I2575" s="10" cm="1">
        <f t="array" ref="I2575">IFERROR(INDEX(Precios!$D:$F,MATCH(N2575, Precios!$G:$G, 0),CHOOSE(MATCH(H2575, {"SML";"XL";"XXL"}, 0), 1, 2, 3)), 0)</f>
        <v>0</v>
      </c>
      <c r="K2575" s="10">
        <f t="shared" si="88"/>
        <v>0</v>
      </c>
      <c r="N2575" s="9" t="str">
        <f t="shared" si="89"/>
        <v/>
      </c>
      <c r="O2575" s="9" t="str">
        <f>IF(N2575="","",IF(COUNTIF(Precios!$G:$G,N2575)=0,"⚠ No coincide con Precios","OK"))</f>
        <v/>
      </c>
    </row>
    <row r="2576" spans="3:15" x14ac:dyDescent="0.2">
      <c r="C2576" s="9" cm="1">
        <f t="array" ref="C2576">IFERROR(_xlfn.XLOOKUP(B2576,Personal!$A:$A,Personal!$D:$D,""),"")</f>
        <v>0</v>
      </c>
      <c r="D2576" s="9" cm="1">
        <f t="array" ref="D2576">IFERROR(_xlfn.XLOOKUP(B2576,Personal!$A:$A,Personal!$C:$C,""),"")</f>
        <v>0</v>
      </c>
      <c r="E2576" s="9" t="str" cm="1">
        <f t="array" ref="E2576">IFERROR(_xlfn.XLOOKUP(D2576,Locales!$A:$A,Locales!$B:$B,""),"")</f>
        <v/>
      </c>
      <c r="F2576" s="9" cm="1">
        <f t="array" ref="F2576">IFERROR(_xlfn.XLOOKUP(B2576,Personal!$A:$A,Personal!$F:$F,""),"")</f>
        <v>0</v>
      </c>
      <c r="I2576" s="10" cm="1">
        <f t="array" ref="I2576">IFERROR(INDEX(Precios!$D:$F,MATCH(N2576, Precios!$G:$G, 0),CHOOSE(MATCH(H2576, {"SML";"XL";"XXL"}, 0), 1, 2, 3)), 0)</f>
        <v>0</v>
      </c>
      <c r="K2576" s="10">
        <f t="shared" si="88"/>
        <v>0</v>
      </c>
      <c r="N2576" s="9" t="str">
        <f t="shared" si="89"/>
        <v/>
      </c>
      <c r="O2576" s="9" t="str">
        <f>IF(N2576="","",IF(COUNTIF(Precios!$G:$G,N2576)=0,"⚠ No coincide con Precios","OK"))</f>
        <v/>
      </c>
    </row>
    <row r="2577" spans="3:15" x14ac:dyDescent="0.2">
      <c r="C2577" s="9" cm="1">
        <f t="array" ref="C2577">IFERROR(_xlfn.XLOOKUP(B2577,Personal!$A:$A,Personal!$D:$D,""),"")</f>
        <v>0</v>
      </c>
      <c r="D2577" s="9" cm="1">
        <f t="array" ref="D2577">IFERROR(_xlfn.XLOOKUP(B2577,Personal!$A:$A,Personal!$C:$C,""),"")</f>
        <v>0</v>
      </c>
      <c r="E2577" s="9" t="str" cm="1">
        <f t="array" ref="E2577">IFERROR(_xlfn.XLOOKUP(D2577,Locales!$A:$A,Locales!$B:$B,""),"")</f>
        <v/>
      </c>
      <c r="F2577" s="9" cm="1">
        <f t="array" ref="F2577">IFERROR(_xlfn.XLOOKUP(B2577,Personal!$A:$A,Personal!$F:$F,""),"")</f>
        <v>0</v>
      </c>
      <c r="I2577" s="10" cm="1">
        <f t="array" ref="I2577">IFERROR(INDEX(Precios!$D:$F,MATCH(N2577, Precios!$G:$G, 0),CHOOSE(MATCH(H2577, {"SML";"XL";"XXL"}, 0), 1, 2, 3)), 0)</f>
        <v>0</v>
      </c>
      <c r="K2577" s="10">
        <f t="shared" si="88"/>
        <v>0</v>
      </c>
      <c r="N2577" s="9" t="str">
        <f t="shared" si="89"/>
        <v/>
      </c>
      <c r="O2577" s="9" t="str">
        <f>IF(N2577="","",IF(COUNTIF(Precios!$G:$G,N2577)=0,"⚠ No coincide con Precios","OK"))</f>
        <v/>
      </c>
    </row>
    <row r="2578" spans="3:15" x14ac:dyDescent="0.2">
      <c r="C2578" s="9" cm="1">
        <f t="array" ref="C2578">IFERROR(_xlfn.XLOOKUP(B2578,Personal!$A:$A,Personal!$D:$D,""),"")</f>
        <v>0</v>
      </c>
      <c r="D2578" s="9" cm="1">
        <f t="array" ref="D2578">IFERROR(_xlfn.XLOOKUP(B2578,Personal!$A:$A,Personal!$C:$C,""),"")</f>
        <v>0</v>
      </c>
      <c r="E2578" s="9" t="str" cm="1">
        <f t="array" ref="E2578">IFERROR(_xlfn.XLOOKUP(D2578,Locales!$A:$A,Locales!$B:$B,""),"")</f>
        <v/>
      </c>
      <c r="F2578" s="9" cm="1">
        <f t="array" ref="F2578">IFERROR(_xlfn.XLOOKUP(B2578,Personal!$A:$A,Personal!$F:$F,""),"")</f>
        <v>0</v>
      </c>
      <c r="I2578" s="10" cm="1">
        <f t="array" ref="I2578">IFERROR(INDEX(Precios!$D:$F,MATCH(N2578, Precios!$G:$G, 0),CHOOSE(MATCH(H2578, {"SML";"XL";"XXL"}, 0), 1, 2, 3)), 0)</f>
        <v>0</v>
      </c>
      <c r="K2578" s="10">
        <f t="shared" si="88"/>
        <v>0</v>
      </c>
      <c r="N2578" s="9" t="str">
        <f t="shared" si="89"/>
        <v/>
      </c>
      <c r="O2578" s="9" t="str">
        <f>IF(N2578="","",IF(COUNTIF(Precios!$G:$G,N2578)=0,"⚠ No coincide con Precios","OK"))</f>
        <v/>
      </c>
    </row>
    <row r="2579" spans="3:15" x14ac:dyDescent="0.2">
      <c r="C2579" s="9" cm="1">
        <f t="array" ref="C2579">IFERROR(_xlfn.XLOOKUP(B2579,Personal!$A:$A,Personal!$D:$D,""),"")</f>
        <v>0</v>
      </c>
      <c r="D2579" s="9" cm="1">
        <f t="array" ref="D2579">IFERROR(_xlfn.XLOOKUP(B2579,Personal!$A:$A,Personal!$C:$C,""),"")</f>
        <v>0</v>
      </c>
      <c r="E2579" s="9" t="str" cm="1">
        <f t="array" ref="E2579">IFERROR(_xlfn.XLOOKUP(D2579,Locales!$A:$A,Locales!$B:$B,""),"")</f>
        <v/>
      </c>
      <c r="F2579" s="9" cm="1">
        <f t="array" ref="F2579">IFERROR(_xlfn.XLOOKUP(B2579,Personal!$A:$A,Personal!$F:$F,""),"")</f>
        <v>0</v>
      </c>
      <c r="I2579" s="10" cm="1">
        <f t="array" ref="I2579">IFERROR(INDEX(Precios!$D:$F,MATCH(N2579, Precios!$G:$G, 0),CHOOSE(MATCH(H2579, {"SML";"XL";"XXL"}, 0), 1, 2, 3)), 0)</f>
        <v>0</v>
      </c>
      <c r="K2579" s="10">
        <f t="shared" si="88"/>
        <v>0</v>
      </c>
      <c r="N2579" s="9" t="str">
        <f t="shared" si="89"/>
        <v/>
      </c>
      <c r="O2579" s="9" t="str">
        <f>IF(N2579="","",IF(COUNTIF(Precios!$G:$G,N2579)=0,"⚠ No coincide con Precios","OK"))</f>
        <v/>
      </c>
    </row>
    <row r="2580" spans="3:15" x14ac:dyDescent="0.2">
      <c r="C2580" s="9" cm="1">
        <f t="array" ref="C2580">IFERROR(_xlfn.XLOOKUP(B2580,Personal!$A:$A,Personal!$D:$D,""),"")</f>
        <v>0</v>
      </c>
      <c r="D2580" s="9" cm="1">
        <f t="array" ref="D2580">IFERROR(_xlfn.XLOOKUP(B2580,Personal!$A:$A,Personal!$C:$C,""),"")</f>
        <v>0</v>
      </c>
      <c r="E2580" s="9" t="str" cm="1">
        <f t="array" ref="E2580">IFERROR(_xlfn.XLOOKUP(D2580,Locales!$A:$A,Locales!$B:$B,""),"")</f>
        <v/>
      </c>
      <c r="F2580" s="9" cm="1">
        <f t="array" ref="F2580">IFERROR(_xlfn.XLOOKUP(B2580,Personal!$A:$A,Personal!$F:$F,""),"")</f>
        <v>0</v>
      </c>
      <c r="I2580" s="10" cm="1">
        <f t="array" ref="I2580">IFERROR(INDEX(Precios!$D:$F,MATCH(N2580, Precios!$G:$G, 0),CHOOSE(MATCH(H2580, {"SML";"XL";"XXL"}, 0), 1, 2, 3)), 0)</f>
        <v>0</v>
      </c>
      <c r="K2580" s="10">
        <f t="shared" si="88"/>
        <v>0</v>
      </c>
      <c r="N2580" s="9" t="str">
        <f t="shared" si="89"/>
        <v/>
      </c>
      <c r="O2580" s="9" t="str">
        <f>IF(N2580="","",IF(COUNTIF(Precios!$G:$G,N2580)=0,"⚠ No coincide con Precios","OK"))</f>
        <v/>
      </c>
    </row>
    <row r="2581" spans="3:15" x14ac:dyDescent="0.2">
      <c r="C2581" s="9" cm="1">
        <f t="array" ref="C2581">IFERROR(_xlfn.XLOOKUP(B2581,Personal!$A:$A,Personal!$D:$D,""),"")</f>
        <v>0</v>
      </c>
      <c r="D2581" s="9" cm="1">
        <f t="array" ref="D2581">IFERROR(_xlfn.XLOOKUP(B2581,Personal!$A:$A,Personal!$C:$C,""),"")</f>
        <v>0</v>
      </c>
      <c r="E2581" s="9" t="str" cm="1">
        <f t="array" ref="E2581">IFERROR(_xlfn.XLOOKUP(D2581,Locales!$A:$A,Locales!$B:$B,""),"")</f>
        <v/>
      </c>
      <c r="F2581" s="9" cm="1">
        <f t="array" ref="F2581">IFERROR(_xlfn.XLOOKUP(B2581,Personal!$A:$A,Personal!$F:$F,""),"")</f>
        <v>0</v>
      </c>
      <c r="I2581" s="10" cm="1">
        <f t="array" ref="I2581">IFERROR(INDEX(Precios!$D:$F,MATCH(N2581, Precios!$G:$G, 0),CHOOSE(MATCH(H2581, {"SML";"XL";"XXL"}, 0), 1, 2, 3)), 0)</f>
        <v>0</v>
      </c>
      <c r="K2581" s="10">
        <f t="shared" si="88"/>
        <v>0</v>
      </c>
      <c r="N2581" s="9" t="str">
        <f t="shared" si="89"/>
        <v/>
      </c>
      <c r="O2581" s="9" t="str">
        <f>IF(N2581="","",IF(COUNTIF(Precios!$G:$G,N2581)=0,"⚠ No coincide con Precios","OK"))</f>
        <v/>
      </c>
    </row>
    <row r="2582" spans="3:15" x14ac:dyDescent="0.2">
      <c r="C2582" s="9" cm="1">
        <f t="array" ref="C2582">IFERROR(_xlfn.XLOOKUP(B2582,Personal!$A:$A,Personal!$D:$D,""),"")</f>
        <v>0</v>
      </c>
      <c r="D2582" s="9" cm="1">
        <f t="array" ref="D2582">IFERROR(_xlfn.XLOOKUP(B2582,Personal!$A:$A,Personal!$C:$C,""),"")</f>
        <v>0</v>
      </c>
      <c r="E2582" s="9" t="str" cm="1">
        <f t="array" ref="E2582">IFERROR(_xlfn.XLOOKUP(D2582,Locales!$A:$A,Locales!$B:$B,""),"")</f>
        <v/>
      </c>
      <c r="F2582" s="9" cm="1">
        <f t="array" ref="F2582">IFERROR(_xlfn.XLOOKUP(B2582,Personal!$A:$A,Personal!$F:$F,""),"")</f>
        <v>0</v>
      </c>
      <c r="I2582" s="10" cm="1">
        <f t="array" ref="I2582">IFERROR(INDEX(Precios!$D:$F,MATCH(N2582, Precios!$G:$G, 0),CHOOSE(MATCH(H2582, {"SML";"XL";"XXL"}, 0), 1, 2, 3)), 0)</f>
        <v>0</v>
      </c>
      <c r="K2582" s="10">
        <f t="shared" si="88"/>
        <v>0</v>
      </c>
      <c r="N2582" s="9" t="str">
        <f t="shared" si="89"/>
        <v/>
      </c>
      <c r="O2582" s="9" t="str">
        <f>IF(N2582="","",IF(COUNTIF(Precios!$G:$G,N2582)=0,"⚠ No coincide con Precios","OK"))</f>
        <v/>
      </c>
    </row>
    <row r="2583" spans="3:15" x14ac:dyDescent="0.2">
      <c r="C2583" s="9" cm="1">
        <f t="array" ref="C2583">IFERROR(_xlfn.XLOOKUP(B2583,Personal!$A:$A,Personal!$D:$D,""),"")</f>
        <v>0</v>
      </c>
      <c r="D2583" s="9" cm="1">
        <f t="array" ref="D2583">IFERROR(_xlfn.XLOOKUP(B2583,Personal!$A:$A,Personal!$C:$C,""),"")</f>
        <v>0</v>
      </c>
      <c r="E2583" s="9" t="str" cm="1">
        <f t="array" ref="E2583">IFERROR(_xlfn.XLOOKUP(D2583,Locales!$A:$A,Locales!$B:$B,""),"")</f>
        <v/>
      </c>
      <c r="F2583" s="9" cm="1">
        <f t="array" ref="F2583">IFERROR(_xlfn.XLOOKUP(B2583,Personal!$A:$A,Personal!$F:$F,""),"")</f>
        <v>0</v>
      </c>
      <c r="I2583" s="10" cm="1">
        <f t="array" ref="I2583">IFERROR(INDEX(Precios!$D:$F,MATCH(N2583, Precios!$G:$G, 0),CHOOSE(MATCH(H2583, {"SML";"XL";"XXL"}, 0), 1, 2, 3)), 0)</f>
        <v>0</v>
      </c>
      <c r="K2583" s="10">
        <f t="shared" si="88"/>
        <v>0</v>
      </c>
      <c r="N2583" s="9" t="str">
        <f t="shared" si="89"/>
        <v/>
      </c>
      <c r="O2583" s="9" t="str">
        <f>IF(N2583="","",IF(COUNTIF(Precios!$G:$G,N2583)=0,"⚠ No coincide con Precios","OK"))</f>
        <v/>
      </c>
    </row>
    <row r="2584" spans="3:15" x14ac:dyDescent="0.2">
      <c r="C2584" s="9" cm="1">
        <f t="array" ref="C2584">IFERROR(_xlfn.XLOOKUP(B2584,Personal!$A:$A,Personal!$D:$D,""),"")</f>
        <v>0</v>
      </c>
      <c r="D2584" s="9" cm="1">
        <f t="array" ref="D2584">IFERROR(_xlfn.XLOOKUP(B2584,Personal!$A:$A,Personal!$C:$C,""),"")</f>
        <v>0</v>
      </c>
      <c r="E2584" s="9" t="str" cm="1">
        <f t="array" ref="E2584">IFERROR(_xlfn.XLOOKUP(D2584,Locales!$A:$A,Locales!$B:$B,""),"")</f>
        <v/>
      </c>
      <c r="F2584" s="9" cm="1">
        <f t="array" ref="F2584">IFERROR(_xlfn.XLOOKUP(B2584,Personal!$A:$A,Personal!$F:$F,""),"")</f>
        <v>0</v>
      </c>
      <c r="I2584" s="10" cm="1">
        <f t="array" ref="I2584">IFERROR(INDEX(Precios!$D:$F,MATCH(N2584, Precios!$G:$G, 0),CHOOSE(MATCH(H2584, {"SML";"XL";"XXL"}, 0), 1, 2, 3)), 0)</f>
        <v>0</v>
      </c>
      <c r="K2584" s="10">
        <f t="shared" si="88"/>
        <v>0</v>
      </c>
      <c r="N2584" s="9" t="str">
        <f t="shared" si="89"/>
        <v/>
      </c>
      <c r="O2584" s="9" t="str">
        <f>IF(N2584="","",IF(COUNTIF(Precios!$G:$G,N2584)=0,"⚠ No coincide con Precios","OK"))</f>
        <v/>
      </c>
    </row>
    <row r="2585" spans="3:15" x14ac:dyDescent="0.2">
      <c r="C2585" s="9" cm="1">
        <f t="array" ref="C2585">IFERROR(_xlfn.XLOOKUP(B2585,Personal!$A:$A,Personal!$D:$D,""),"")</f>
        <v>0</v>
      </c>
      <c r="D2585" s="9" cm="1">
        <f t="array" ref="D2585">IFERROR(_xlfn.XLOOKUP(B2585,Personal!$A:$A,Personal!$C:$C,""),"")</f>
        <v>0</v>
      </c>
      <c r="E2585" s="9" t="str" cm="1">
        <f t="array" ref="E2585">IFERROR(_xlfn.XLOOKUP(D2585,Locales!$A:$A,Locales!$B:$B,""),"")</f>
        <v/>
      </c>
      <c r="F2585" s="9" cm="1">
        <f t="array" ref="F2585">IFERROR(_xlfn.XLOOKUP(B2585,Personal!$A:$A,Personal!$F:$F,""),"")</f>
        <v>0</v>
      </c>
      <c r="I2585" s="10" cm="1">
        <f t="array" ref="I2585">IFERROR(INDEX(Precios!$D:$F,MATCH(N2585, Precios!$G:$G, 0),CHOOSE(MATCH(H2585, {"SML";"XL";"XXL"}, 0), 1, 2, 3)), 0)</f>
        <v>0</v>
      </c>
      <c r="K2585" s="10">
        <f t="shared" si="88"/>
        <v>0</v>
      </c>
      <c r="N2585" s="9" t="str">
        <f t="shared" si="89"/>
        <v/>
      </c>
      <c r="O2585" s="9" t="str">
        <f>IF(N2585="","",IF(COUNTIF(Precios!$G:$G,N2585)=0,"⚠ No coincide con Precios","OK"))</f>
        <v/>
      </c>
    </row>
    <row r="2586" spans="3:15" x14ac:dyDescent="0.2">
      <c r="C2586" s="9" cm="1">
        <f t="array" ref="C2586">IFERROR(_xlfn.XLOOKUP(B2586,Personal!$A:$A,Personal!$D:$D,""),"")</f>
        <v>0</v>
      </c>
      <c r="D2586" s="9" cm="1">
        <f t="array" ref="D2586">IFERROR(_xlfn.XLOOKUP(B2586,Personal!$A:$A,Personal!$C:$C,""),"")</f>
        <v>0</v>
      </c>
      <c r="E2586" s="9" t="str" cm="1">
        <f t="array" ref="E2586">IFERROR(_xlfn.XLOOKUP(D2586,Locales!$A:$A,Locales!$B:$B,""),"")</f>
        <v/>
      </c>
      <c r="F2586" s="9" cm="1">
        <f t="array" ref="F2586">IFERROR(_xlfn.XLOOKUP(B2586,Personal!$A:$A,Personal!$F:$F,""),"")</f>
        <v>0</v>
      </c>
      <c r="I2586" s="10" cm="1">
        <f t="array" ref="I2586">IFERROR(INDEX(Precios!$D:$F,MATCH(N2586, Precios!$G:$G, 0),CHOOSE(MATCH(H2586, {"SML";"XL";"XXL"}, 0), 1, 2, 3)), 0)</f>
        <v>0</v>
      </c>
      <c r="K2586" s="10">
        <f t="shared" si="88"/>
        <v>0</v>
      </c>
      <c r="N2586" s="9" t="str">
        <f t="shared" si="89"/>
        <v/>
      </c>
      <c r="O2586" s="9" t="str">
        <f>IF(N2586="","",IF(COUNTIF(Precios!$G:$G,N2586)=0,"⚠ No coincide con Precios","OK"))</f>
        <v/>
      </c>
    </row>
    <row r="2587" spans="3:15" x14ac:dyDescent="0.2">
      <c r="C2587" s="9" cm="1">
        <f t="array" ref="C2587">IFERROR(_xlfn.XLOOKUP(B2587,Personal!$A:$A,Personal!$D:$D,""),"")</f>
        <v>0</v>
      </c>
      <c r="D2587" s="9" cm="1">
        <f t="array" ref="D2587">IFERROR(_xlfn.XLOOKUP(B2587,Personal!$A:$A,Personal!$C:$C,""),"")</f>
        <v>0</v>
      </c>
      <c r="E2587" s="9" t="str" cm="1">
        <f t="array" ref="E2587">IFERROR(_xlfn.XLOOKUP(D2587,Locales!$A:$A,Locales!$B:$B,""),"")</f>
        <v/>
      </c>
      <c r="F2587" s="9" cm="1">
        <f t="array" ref="F2587">IFERROR(_xlfn.XLOOKUP(B2587,Personal!$A:$A,Personal!$F:$F,""),"")</f>
        <v>0</v>
      </c>
      <c r="I2587" s="10" cm="1">
        <f t="array" ref="I2587">IFERROR(INDEX(Precios!$D:$F,MATCH(N2587, Precios!$G:$G, 0),CHOOSE(MATCH(H2587, {"SML";"XL";"XXL"}, 0), 1, 2, 3)), 0)</f>
        <v>0</v>
      </c>
      <c r="K2587" s="10">
        <f t="shared" si="88"/>
        <v>0</v>
      </c>
      <c r="N2587" s="9" t="str">
        <f t="shared" si="89"/>
        <v/>
      </c>
      <c r="O2587" s="9" t="str">
        <f>IF(N2587="","",IF(COUNTIF(Precios!$G:$G,N2587)=0,"⚠ No coincide con Precios","OK"))</f>
        <v/>
      </c>
    </row>
    <row r="2588" spans="3:15" x14ac:dyDescent="0.2">
      <c r="C2588" s="9" cm="1">
        <f t="array" ref="C2588">IFERROR(_xlfn.XLOOKUP(B2588,Personal!$A:$A,Personal!$D:$D,""),"")</f>
        <v>0</v>
      </c>
      <c r="D2588" s="9" cm="1">
        <f t="array" ref="D2588">IFERROR(_xlfn.XLOOKUP(B2588,Personal!$A:$A,Personal!$C:$C,""),"")</f>
        <v>0</v>
      </c>
      <c r="E2588" s="9" t="str" cm="1">
        <f t="array" ref="E2588">IFERROR(_xlfn.XLOOKUP(D2588,Locales!$A:$A,Locales!$B:$B,""),"")</f>
        <v/>
      </c>
      <c r="F2588" s="9" cm="1">
        <f t="array" ref="F2588">IFERROR(_xlfn.XLOOKUP(B2588,Personal!$A:$A,Personal!$F:$F,""),"")</f>
        <v>0</v>
      </c>
      <c r="I2588" s="10" cm="1">
        <f t="array" ref="I2588">IFERROR(INDEX(Precios!$D:$F,MATCH(N2588, Precios!$G:$G, 0),CHOOSE(MATCH(H2588, {"SML";"XL";"XXL"}, 0), 1, 2, 3)), 0)</f>
        <v>0</v>
      </c>
      <c r="K2588" s="10">
        <f t="shared" si="88"/>
        <v>0</v>
      </c>
      <c r="N2588" s="9" t="str">
        <f t="shared" si="89"/>
        <v/>
      </c>
      <c r="O2588" s="9" t="str">
        <f>IF(N2588="","",IF(COUNTIF(Precios!$G:$G,N2588)=0,"⚠ No coincide con Precios","OK"))</f>
        <v/>
      </c>
    </row>
    <row r="2589" spans="3:15" x14ac:dyDescent="0.2">
      <c r="C2589" s="9" cm="1">
        <f t="array" ref="C2589">IFERROR(_xlfn.XLOOKUP(B2589,Personal!$A:$A,Personal!$D:$D,""),"")</f>
        <v>0</v>
      </c>
      <c r="D2589" s="9" cm="1">
        <f t="array" ref="D2589">IFERROR(_xlfn.XLOOKUP(B2589,Personal!$A:$A,Personal!$C:$C,""),"")</f>
        <v>0</v>
      </c>
      <c r="E2589" s="9" t="str" cm="1">
        <f t="array" ref="E2589">IFERROR(_xlfn.XLOOKUP(D2589,Locales!$A:$A,Locales!$B:$B,""),"")</f>
        <v/>
      </c>
      <c r="F2589" s="9" cm="1">
        <f t="array" ref="F2589">IFERROR(_xlfn.XLOOKUP(B2589,Personal!$A:$A,Personal!$F:$F,""),"")</f>
        <v>0</v>
      </c>
      <c r="I2589" s="10" cm="1">
        <f t="array" ref="I2589">IFERROR(INDEX(Precios!$D:$F,MATCH(N2589, Precios!$G:$G, 0),CHOOSE(MATCH(H2589, {"SML";"XL";"XXL"}, 0), 1, 2, 3)), 0)</f>
        <v>0</v>
      </c>
      <c r="K2589" s="10">
        <f t="shared" si="88"/>
        <v>0</v>
      </c>
      <c r="N2589" s="9" t="str">
        <f t="shared" si="89"/>
        <v/>
      </c>
      <c r="O2589" s="9" t="str">
        <f>IF(N2589="","",IF(COUNTIF(Precios!$G:$G,N2589)=0,"⚠ No coincide con Precios","OK"))</f>
        <v/>
      </c>
    </row>
    <row r="2590" spans="3:15" x14ac:dyDescent="0.2">
      <c r="C2590" s="9" cm="1">
        <f t="array" ref="C2590">IFERROR(_xlfn.XLOOKUP(B2590,Personal!$A:$A,Personal!$D:$D,""),"")</f>
        <v>0</v>
      </c>
      <c r="D2590" s="9" cm="1">
        <f t="array" ref="D2590">IFERROR(_xlfn.XLOOKUP(B2590,Personal!$A:$A,Personal!$C:$C,""),"")</f>
        <v>0</v>
      </c>
      <c r="E2590" s="9" t="str" cm="1">
        <f t="array" ref="E2590">IFERROR(_xlfn.XLOOKUP(D2590,Locales!$A:$A,Locales!$B:$B,""),"")</f>
        <v/>
      </c>
      <c r="F2590" s="9" cm="1">
        <f t="array" ref="F2590">IFERROR(_xlfn.XLOOKUP(B2590,Personal!$A:$A,Personal!$F:$F,""),"")</f>
        <v>0</v>
      </c>
      <c r="I2590" s="10" cm="1">
        <f t="array" ref="I2590">IFERROR(INDEX(Precios!$D:$F,MATCH(N2590, Precios!$G:$G, 0),CHOOSE(MATCH(H2590, {"SML";"XL";"XXL"}, 0), 1, 2, 3)), 0)</f>
        <v>0</v>
      </c>
      <c r="K2590" s="10">
        <f t="shared" si="88"/>
        <v>0</v>
      </c>
      <c r="N2590" s="9" t="str">
        <f t="shared" si="89"/>
        <v/>
      </c>
      <c r="O2590" s="9" t="str">
        <f>IF(N2590="","",IF(COUNTIF(Precios!$G:$G,N2590)=0,"⚠ No coincide con Precios","OK"))</f>
        <v/>
      </c>
    </row>
    <row r="2591" spans="3:15" x14ac:dyDescent="0.2">
      <c r="C2591" s="9" cm="1">
        <f t="array" ref="C2591">IFERROR(_xlfn.XLOOKUP(B2591,Personal!$A:$A,Personal!$D:$D,""),"")</f>
        <v>0</v>
      </c>
      <c r="D2591" s="9" cm="1">
        <f t="array" ref="D2591">IFERROR(_xlfn.XLOOKUP(B2591,Personal!$A:$A,Personal!$C:$C,""),"")</f>
        <v>0</v>
      </c>
      <c r="E2591" s="9" t="str" cm="1">
        <f t="array" ref="E2591">IFERROR(_xlfn.XLOOKUP(D2591,Locales!$A:$A,Locales!$B:$B,""),"")</f>
        <v/>
      </c>
      <c r="F2591" s="9" cm="1">
        <f t="array" ref="F2591">IFERROR(_xlfn.XLOOKUP(B2591,Personal!$A:$A,Personal!$F:$F,""),"")</f>
        <v>0</v>
      </c>
      <c r="I2591" s="10" cm="1">
        <f t="array" ref="I2591">IFERROR(INDEX(Precios!$D:$F,MATCH(N2591, Precios!$G:$G, 0),CHOOSE(MATCH(H2591, {"SML";"XL";"XXL"}, 0), 1, 2, 3)), 0)</f>
        <v>0</v>
      </c>
      <c r="K2591" s="10">
        <f t="shared" si="88"/>
        <v>0</v>
      </c>
      <c r="N2591" s="9" t="str">
        <f t="shared" si="89"/>
        <v/>
      </c>
      <c r="O2591" s="9" t="str">
        <f>IF(N2591="","",IF(COUNTIF(Precios!$G:$G,N2591)=0,"⚠ No coincide con Precios","OK"))</f>
        <v/>
      </c>
    </row>
    <row r="2592" spans="3:15" x14ac:dyDescent="0.2">
      <c r="C2592" s="9" cm="1">
        <f t="array" ref="C2592">IFERROR(_xlfn.XLOOKUP(B2592,Personal!$A:$A,Personal!$D:$D,""),"")</f>
        <v>0</v>
      </c>
      <c r="D2592" s="9" cm="1">
        <f t="array" ref="D2592">IFERROR(_xlfn.XLOOKUP(B2592,Personal!$A:$A,Personal!$C:$C,""),"")</f>
        <v>0</v>
      </c>
      <c r="E2592" s="9" t="str" cm="1">
        <f t="array" ref="E2592">IFERROR(_xlfn.XLOOKUP(D2592,Locales!$A:$A,Locales!$B:$B,""),"")</f>
        <v/>
      </c>
      <c r="F2592" s="9" cm="1">
        <f t="array" ref="F2592">IFERROR(_xlfn.XLOOKUP(B2592,Personal!$A:$A,Personal!$F:$F,""),"")</f>
        <v>0</v>
      </c>
      <c r="I2592" s="10" cm="1">
        <f t="array" ref="I2592">IFERROR(INDEX(Precios!$D:$F,MATCH(N2592, Precios!$G:$G, 0),CHOOSE(MATCH(H2592, {"SML";"XL";"XXL"}, 0), 1, 2, 3)), 0)</f>
        <v>0</v>
      </c>
      <c r="K2592" s="10">
        <f t="shared" si="88"/>
        <v>0</v>
      </c>
      <c r="N2592" s="9" t="str">
        <f t="shared" si="89"/>
        <v/>
      </c>
      <c r="O2592" s="9" t="str">
        <f>IF(N2592="","",IF(COUNTIF(Precios!$G:$G,N2592)=0,"⚠ No coincide con Precios","OK"))</f>
        <v/>
      </c>
    </row>
    <row r="2593" spans="3:15" x14ac:dyDescent="0.2">
      <c r="C2593" s="9" cm="1">
        <f t="array" ref="C2593">IFERROR(_xlfn.XLOOKUP(B2593,Personal!$A:$A,Personal!$D:$D,""),"")</f>
        <v>0</v>
      </c>
      <c r="D2593" s="9" cm="1">
        <f t="array" ref="D2593">IFERROR(_xlfn.XLOOKUP(B2593,Personal!$A:$A,Personal!$C:$C,""),"")</f>
        <v>0</v>
      </c>
      <c r="E2593" s="9" t="str" cm="1">
        <f t="array" ref="E2593">IFERROR(_xlfn.XLOOKUP(D2593,Locales!$A:$A,Locales!$B:$B,""),"")</f>
        <v/>
      </c>
      <c r="F2593" s="9" cm="1">
        <f t="array" ref="F2593">IFERROR(_xlfn.XLOOKUP(B2593,Personal!$A:$A,Personal!$F:$F,""),"")</f>
        <v>0</v>
      </c>
      <c r="I2593" s="10" cm="1">
        <f t="array" ref="I2593">IFERROR(INDEX(Precios!$D:$F,MATCH(N2593, Precios!$G:$G, 0),CHOOSE(MATCH(H2593, {"SML";"XL";"XXL"}, 0), 1, 2, 3)), 0)</f>
        <v>0</v>
      </c>
      <c r="K2593" s="10">
        <f t="shared" si="88"/>
        <v>0</v>
      </c>
      <c r="N2593" s="9" t="str">
        <f t="shared" si="89"/>
        <v/>
      </c>
      <c r="O2593" s="9" t="str">
        <f>IF(N2593="","",IF(COUNTIF(Precios!$G:$G,N2593)=0,"⚠ No coincide con Precios","OK"))</f>
        <v/>
      </c>
    </row>
    <row r="2594" spans="3:15" x14ac:dyDescent="0.2">
      <c r="C2594" s="9" cm="1">
        <f t="array" ref="C2594">IFERROR(_xlfn.XLOOKUP(B2594,Personal!$A:$A,Personal!$D:$D,""),"")</f>
        <v>0</v>
      </c>
      <c r="D2594" s="9" cm="1">
        <f t="array" ref="D2594">IFERROR(_xlfn.XLOOKUP(B2594,Personal!$A:$A,Personal!$C:$C,""),"")</f>
        <v>0</v>
      </c>
      <c r="E2594" s="9" t="str" cm="1">
        <f t="array" ref="E2594">IFERROR(_xlfn.XLOOKUP(D2594,Locales!$A:$A,Locales!$B:$B,""),"")</f>
        <v/>
      </c>
      <c r="F2594" s="9" cm="1">
        <f t="array" ref="F2594">IFERROR(_xlfn.XLOOKUP(B2594,Personal!$A:$A,Personal!$F:$F,""),"")</f>
        <v>0</v>
      </c>
      <c r="I2594" s="10" cm="1">
        <f t="array" ref="I2594">IFERROR(INDEX(Precios!$D:$F,MATCH(N2594, Precios!$G:$G, 0),CHOOSE(MATCH(H2594, {"SML";"XL";"XXL"}, 0), 1, 2, 3)), 0)</f>
        <v>0</v>
      </c>
      <c r="K2594" s="10">
        <f t="shared" si="88"/>
        <v>0</v>
      </c>
      <c r="N2594" s="9" t="str">
        <f t="shared" si="89"/>
        <v/>
      </c>
      <c r="O2594" s="9" t="str">
        <f>IF(N2594="","",IF(COUNTIF(Precios!$G:$G,N2594)=0,"⚠ No coincide con Precios","OK"))</f>
        <v/>
      </c>
    </row>
    <row r="2595" spans="3:15" x14ac:dyDescent="0.2">
      <c r="C2595" s="9" cm="1">
        <f t="array" ref="C2595">IFERROR(_xlfn.XLOOKUP(B2595,Personal!$A:$A,Personal!$D:$D,""),"")</f>
        <v>0</v>
      </c>
      <c r="D2595" s="9" cm="1">
        <f t="array" ref="D2595">IFERROR(_xlfn.XLOOKUP(B2595,Personal!$A:$A,Personal!$C:$C,""),"")</f>
        <v>0</v>
      </c>
      <c r="E2595" s="9" t="str" cm="1">
        <f t="array" ref="E2595">IFERROR(_xlfn.XLOOKUP(D2595,Locales!$A:$A,Locales!$B:$B,""),"")</f>
        <v/>
      </c>
      <c r="F2595" s="9" cm="1">
        <f t="array" ref="F2595">IFERROR(_xlfn.XLOOKUP(B2595,Personal!$A:$A,Personal!$F:$F,""),"")</f>
        <v>0</v>
      </c>
      <c r="I2595" s="10" cm="1">
        <f t="array" ref="I2595">IFERROR(INDEX(Precios!$D:$F,MATCH(N2595, Precios!$G:$G, 0),CHOOSE(MATCH(H2595, {"SML";"XL";"XXL"}, 0), 1, 2, 3)), 0)</f>
        <v>0</v>
      </c>
      <c r="K2595" s="10">
        <f t="shared" si="88"/>
        <v>0</v>
      </c>
      <c r="N2595" s="9" t="str">
        <f t="shared" si="89"/>
        <v/>
      </c>
      <c r="O2595" s="9" t="str">
        <f>IF(N2595="","",IF(COUNTIF(Precios!$G:$G,N2595)=0,"⚠ No coincide con Precios","OK"))</f>
        <v/>
      </c>
    </row>
    <row r="2596" spans="3:15" x14ac:dyDescent="0.2">
      <c r="C2596" s="9" cm="1">
        <f t="array" ref="C2596">IFERROR(_xlfn.XLOOKUP(B2596,Personal!$A:$A,Personal!$D:$D,""),"")</f>
        <v>0</v>
      </c>
      <c r="D2596" s="9" cm="1">
        <f t="array" ref="D2596">IFERROR(_xlfn.XLOOKUP(B2596,Personal!$A:$A,Personal!$C:$C,""),"")</f>
        <v>0</v>
      </c>
      <c r="E2596" s="9" t="str" cm="1">
        <f t="array" ref="E2596">IFERROR(_xlfn.XLOOKUP(D2596,Locales!$A:$A,Locales!$B:$B,""),"")</f>
        <v/>
      </c>
      <c r="F2596" s="9" cm="1">
        <f t="array" ref="F2596">IFERROR(_xlfn.XLOOKUP(B2596,Personal!$A:$A,Personal!$F:$F,""),"")</f>
        <v>0</v>
      </c>
      <c r="I2596" s="10" cm="1">
        <f t="array" ref="I2596">IFERROR(INDEX(Precios!$D:$F,MATCH(N2596, Precios!$G:$G, 0),CHOOSE(MATCH(H2596, {"SML";"XL";"XXL"}, 0), 1, 2, 3)), 0)</f>
        <v>0</v>
      </c>
      <c r="K2596" s="10">
        <f t="shared" si="88"/>
        <v>0</v>
      </c>
      <c r="N2596" s="9" t="str">
        <f t="shared" si="89"/>
        <v/>
      </c>
      <c r="O2596" s="9" t="str">
        <f>IF(N2596="","",IF(COUNTIF(Precios!$G:$G,N2596)=0,"⚠ No coincide con Precios","OK"))</f>
        <v/>
      </c>
    </row>
    <row r="2597" spans="3:15" x14ac:dyDescent="0.2">
      <c r="C2597" s="9" cm="1">
        <f t="array" ref="C2597">IFERROR(_xlfn.XLOOKUP(B2597,Personal!$A:$A,Personal!$D:$D,""),"")</f>
        <v>0</v>
      </c>
      <c r="D2597" s="9" cm="1">
        <f t="array" ref="D2597">IFERROR(_xlfn.XLOOKUP(B2597,Personal!$A:$A,Personal!$C:$C,""),"")</f>
        <v>0</v>
      </c>
      <c r="E2597" s="9" t="str" cm="1">
        <f t="array" ref="E2597">IFERROR(_xlfn.XLOOKUP(D2597,Locales!$A:$A,Locales!$B:$B,""),"")</f>
        <v/>
      </c>
      <c r="F2597" s="9" cm="1">
        <f t="array" ref="F2597">IFERROR(_xlfn.XLOOKUP(B2597,Personal!$A:$A,Personal!$F:$F,""),"")</f>
        <v>0</v>
      </c>
      <c r="I2597" s="10" cm="1">
        <f t="array" ref="I2597">IFERROR(INDEX(Precios!$D:$F,MATCH(N2597, Precios!$G:$G, 0),CHOOSE(MATCH(H2597, {"SML";"XL";"XXL"}, 0), 1, 2, 3)), 0)</f>
        <v>0</v>
      </c>
      <c r="K2597" s="10">
        <f t="shared" si="88"/>
        <v>0</v>
      </c>
      <c r="N2597" s="9" t="str">
        <f t="shared" si="89"/>
        <v/>
      </c>
      <c r="O2597" s="9" t="str">
        <f>IF(N2597="","",IF(COUNTIF(Precios!$G:$G,N2597)=0,"⚠ No coincide con Precios","OK"))</f>
        <v/>
      </c>
    </row>
    <row r="2598" spans="3:15" x14ac:dyDescent="0.2">
      <c r="C2598" s="9" cm="1">
        <f t="array" ref="C2598">IFERROR(_xlfn.XLOOKUP(B2598,Personal!$A:$A,Personal!$D:$D,""),"")</f>
        <v>0</v>
      </c>
      <c r="D2598" s="9" cm="1">
        <f t="array" ref="D2598">IFERROR(_xlfn.XLOOKUP(B2598,Personal!$A:$A,Personal!$C:$C,""),"")</f>
        <v>0</v>
      </c>
      <c r="E2598" s="9" t="str" cm="1">
        <f t="array" ref="E2598">IFERROR(_xlfn.XLOOKUP(D2598,Locales!$A:$A,Locales!$B:$B,""),"")</f>
        <v/>
      </c>
      <c r="F2598" s="9" cm="1">
        <f t="array" ref="F2598">IFERROR(_xlfn.XLOOKUP(B2598,Personal!$A:$A,Personal!$F:$F,""),"")</f>
        <v>0</v>
      </c>
      <c r="I2598" s="10" cm="1">
        <f t="array" ref="I2598">IFERROR(INDEX(Precios!$D:$F,MATCH(N2598, Precios!$G:$G, 0),CHOOSE(MATCH(H2598, {"SML";"XL";"XXL"}, 0), 1, 2, 3)), 0)</f>
        <v>0</v>
      </c>
      <c r="K2598" s="10">
        <f t="shared" si="88"/>
        <v>0</v>
      </c>
      <c r="N2598" s="9" t="str">
        <f t="shared" si="89"/>
        <v/>
      </c>
      <c r="O2598" s="9" t="str">
        <f>IF(N2598="","",IF(COUNTIF(Precios!$G:$G,N2598)=0,"⚠ No coincide con Precios","OK"))</f>
        <v/>
      </c>
    </row>
    <row r="2599" spans="3:15" x14ac:dyDescent="0.2">
      <c r="C2599" s="9" cm="1">
        <f t="array" ref="C2599">IFERROR(_xlfn.XLOOKUP(B2599,Personal!$A:$A,Personal!$D:$D,""),"")</f>
        <v>0</v>
      </c>
      <c r="D2599" s="9" cm="1">
        <f t="array" ref="D2599">IFERROR(_xlfn.XLOOKUP(B2599,Personal!$A:$A,Personal!$C:$C,""),"")</f>
        <v>0</v>
      </c>
      <c r="E2599" s="9" t="str" cm="1">
        <f t="array" ref="E2599">IFERROR(_xlfn.XLOOKUP(D2599,Locales!$A:$A,Locales!$B:$B,""),"")</f>
        <v/>
      </c>
      <c r="F2599" s="9" cm="1">
        <f t="array" ref="F2599">IFERROR(_xlfn.XLOOKUP(B2599,Personal!$A:$A,Personal!$F:$F,""),"")</f>
        <v>0</v>
      </c>
      <c r="I2599" s="10" cm="1">
        <f t="array" ref="I2599">IFERROR(INDEX(Precios!$D:$F,MATCH(N2599, Precios!$G:$G, 0),CHOOSE(MATCH(H2599, {"SML";"XL";"XXL"}, 0), 1, 2, 3)), 0)</f>
        <v>0</v>
      </c>
      <c r="K2599" s="10">
        <f t="shared" si="88"/>
        <v>0</v>
      </c>
      <c r="N2599" s="9" t="str">
        <f t="shared" si="89"/>
        <v/>
      </c>
      <c r="O2599" s="9" t="str">
        <f>IF(N2599="","",IF(COUNTIF(Precios!$G:$G,N2599)=0,"⚠ No coincide con Precios","OK"))</f>
        <v/>
      </c>
    </row>
    <row r="2600" spans="3:15" x14ac:dyDescent="0.2">
      <c r="C2600" s="9" cm="1">
        <f t="array" ref="C2600">IFERROR(_xlfn.XLOOKUP(B2600,Personal!$A:$A,Personal!$D:$D,""),"")</f>
        <v>0</v>
      </c>
      <c r="D2600" s="9" cm="1">
        <f t="array" ref="D2600">IFERROR(_xlfn.XLOOKUP(B2600,Personal!$A:$A,Personal!$C:$C,""),"")</f>
        <v>0</v>
      </c>
      <c r="E2600" s="9" t="str" cm="1">
        <f t="array" ref="E2600">IFERROR(_xlfn.XLOOKUP(D2600,Locales!$A:$A,Locales!$B:$B,""),"")</f>
        <v/>
      </c>
      <c r="F2600" s="9" cm="1">
        <f t="array" ref="F2600">IFERROR(_xlfn.XLOOKUP(B2600,Personal!$A:$A,Personal!$F:$F,""),"")</f>
        <v>0</v>
      </c>
      <c r="I2600" s="10" cm="1">
        <f t="array" ref="I2600">IFERROR(INDEX(Precios!$D:$F,MATCH(N2600, Precios!$G:$G, 0),CHOOSE(MATCH(H2600, {"SML";"XL";"XXL"}, 0), 1, 2, 3)), 0)</f>
        <v>0</v>
      </c>
      <c r="K2600" s="10">
        <f t="shared" si="88"/>
        <v>0</v>
      </c>
      <c r="N2600" s="9" t="str">
        <f t="shared" si="89"/>
        <v/>
      </c>
      <c r="O2600" s="9" t="str">
        <f>IF(N2600="","",IF(COUNTIF(Precios!$G:$G,N2600)=0,"⚠ No coincide con Precios","OK"))</f>
        <v/>
      </c>
    </row>
    <row r="2601" spans="3:15" x14ac:dyDescent="0.2">
      <c r="C2601" s="9" cm="1">
        <f t="array" ref="C2601">IFERROR(_xlfn.XLOOKUP(B2601,Personal!$A:$A,Personal!$D:$D,""),"")</f>
        <v>0</v>
      </c>
      <c r="D2601" s="9" cm="1">
        <f t="array" ref="D2601">IFERROR(_xlfn.XLOOKUP(B2601,Personal!$A:$A,Personal!$C:$C,""),"")</f>
        <v>0</v>
      </c>
      <c r="E2601" s="9" t="str" cm="1">
        <f t="array" ref="E2601">IFERROR(_xlfn.XLOOKUP(D2601,Locales!$A:$A,Locales!$B:$B,""),"")</f>
        <v/>
      </c>
      <c r="F2601" s="9" cm="1">
        <f t="array" ref="F2601">IFERROR(_xlfn.XLOOKUP(B2601,Personal!$A:$A,Personal!$F:$F,""),"")</f>
        <v>0</v>
      </c>
      <c r="I2601" s="10" cm="1">
        <f t="array" ref="I2601">IFERROR(INDEX(Precios!$D:$F,MATCH(N2601, Precios!$G:$G, 0),CHOOSE(MATCH(H2601, {"SML";"XL";"XXL"}, 0), 1, 2, 3)), 0)</f>
        <v>0</v>
      </c>
      <c r="K2601" s="10">
        <f t="shared" si="88"/>
        <v>0</v>
      </c>
      <c r="N2601" s="9" t="str">
        <f t="shared" si="89"/>
        <v/>
      </c>
      <c r="O2601" s="9" t="str">
        <f>IF(N2601="","",IF(COUNTIF(Precios!$G:$G,N2601)=0,"⚠ No coincide con Precios","OK"))</f>
        <v/>
      </c>
    </row>
    <row r="2602" spans="3:15" x14ac:dyDescent="0.2">
      <c r="C2602" s="9" cm="1">
        <f t="array" ref="C2602">IFERROR(_xlfn.XLOOKUP(B2602,Personal!$A:$A,Personal!$D:$D,""),"")</f>
        <v>0</v>
      </c>
      <c r="D2602" s="9" cm="1">
        <f t="array" ref="D2602">IFERROR(_xlfn.XLOOKUP(B2602,Personal!$A:$A,Personal!$C:$C,""),"")</f>
        <v>0</v>
      </c>
      <c r="E2602" s="9" t="str" cm="1">
        <f t="array" ref="E2602">IFERROR(_xlfn.XLOOKUP(D2602,Locales!$A:$A,Locales!$B:$B,""),"")</f>
        <v/>
      </c>
      <c r="F2602" s="9" cm="1">
        <f t="array" ref="F2602">IFERROR(_xlfn.XLOOKUP(B2602,Personal!$A:$A,Personal!$F:$F,""),"")</f>
        <v>0</v>
      </c>
      <c r="I2602" s="10" cm="1">
        <f t="array" ref="I2602">IFERROR(INDEX(Precios!$D:$F,MATCH(N2602, Precios!$G:$G, 0),CHOOSE(MATCH(H2602, {"SML";"XL";"XXL"}, 0), 1, 2, 3)), 0)</f>
        <v>0</v>
      </c>
      <c r="K2602" s="10">
        <f t="shared" si="88"/>
        <v>0</v>
      </c>
      <c r="N2602" s="9" t="str">
        <f t="shared" si="89"/>
        <v/>
      </c>
      <c r="O2602" s="9" t="str">
        <f>IF(N2602="","",IF(COUNTIF(Precios!$G:$G,N2602)=0,"⚠ No coincide con Precios","OK"))</f>
        <v/>
      </c>
    </row>
    <row r="2603" spans="3:15" x14ac:dyDescent="0.2">
      <c r="C2603" s="9" cm="1">
        <f t="array" ref="C2603">IFERROR(_xlfn.XLOOKUP(B2603,Personal!$A:$A,Personal!$D:$D,""),"")</f>
        <v>0</v>
      </c>
      <c r="D2603" s="9" cm="1">
        <f t="array" ref="D2603">IFERROR(_xlfn.XLOOKUP(B2603,Personal!$A:$A,Personal!$C:$C,""),"")</f>
        <v>0</v>
      </c>
      <c r="E2603" s="9" t="str" cm="1">
        <f t="array" ref="E2603">IFERROR(_xlfn.XLOOKUP(D2603,Locales!$A:$A,Locales!$B:$B,""),"")</f>
        <v/>
      </c>
      <c r="F2603" s="9" cm="1">
        <f t="array" ref="F2603">IFERROR(_xlfn.XLOOKUP(B2603,Personal!$A:$A,Personal!$F:$F,""),"")</f>
        <v>0</v>
      </c>
      <c r="I2603" s="10" cm="1">
        <f t="array" ref="I2603">IFERROR(INDEX(Precios!$D:$F,MATCH(N2603, Precios!$G:$G, 0),CHOOSE(MATCH(H2603, {"SML";"XL";"XXL"}, 0), 1, 2, 3)), 0)</f>
        <v>0</v>
      </c>
      <c r="K2603" s="10">
        <f t="shared" si="88"/>
        <v>0</v>
      </c>
      <c r="N2603" s="9" t="str">
        <f t="shared" si="89"/>
        <v/>
      </c>
      <c r="O2603" s="9" t="str">
        <f>IF(N2603="","",IF(COUNTIF(Precios!$G:$G,N2603)=0,"⚠ No coincide con Precios","OK"))</f>
        <v/>
      </c>
    </row>
    <row r="2604" spans="3:15" x14ac:dyDescent="0.2">
      <c r="C2604" s="9" cm="1">
        <f t="array" ref="C2604">IFERROR(_xlfn.XLOOKUP(B2604,Personal!$A:$A,Personal!$D:$D,""),"")</f>
        <v>0</v>
      </c>
      <c r="D2604" s="9" cm="1">
        <f t="array" ref="D2604">IFERROR(_xlfn.XLOOKUP(B2604,Personal!$A:$A,Personal!$C:$C,""),"")</f>
        <v>0</v>
      </c>
      <c r="E2604" s="9" t="str" cm="1">
        <f t="array" ref="E2604">IFERROR(_xlfn.XLOOKUP(D2604,Locales!$A:$A,Locales!$B:$B,""),"")</f>
        <v/>
      </c>
      <c r="F2604" s="9" cm="1">
        <f t="array" ref="F2604">IFERROR(_xlfn.XLOOKUP(B2604,Personal!$A:$A,Personal!$F:$F,""),"")</f>
        <v>0</v>
      </c>
      <c r="I2604" s="10" cm="1">
        <f t="array" ref="I2604">IFERROR(INDEX(Precios!$D:$F,MATCH(N2604, Precios!$G:$G, 0),CHOOSE(MATCH(H2604, {"SML";"XL";"XXL"}, 0), 1, 2, 3)), 0)</f>
        <v>0</v>
      </c>
      <c r="K2604" s="10">
        <f t="shared" si="88"/>
        <v>0</v>
      </c>
      <c r="N2604" s="9" t="str">
        <f t="shared" si="89"/>
        <v/>
      </c>
      <c r="O2604" s="9" t="str">
        <f>IF(N2604="","",IF(COUNTIF(Precios!$G:$G,N2604)=0,"⚠ No coincide con Precios","OK"))</f>
        <v/>
      </c>
    </row>
    <row r="2605" spans="3:15" x14ac:dyDescent="0.2">
      <c r="C2605" s="9" cm="1">
        <f t="array" ref="C2605">IFERROR(_xlfn.XLOOKUP(B2605,Personal!$A:$A,Personal!$D:$D,""),"")</f>
        <v>0</v>
      </c>
      <c r="D2605" s="9" cm="1">
        <f t="array" ref="D2605">IFERROR(_xlfn.XLOOKUP(B2605,Personal!$A:$A,Personal!$C:$C,""),"")</f>
        <v>0</v>
      </c>
      <c r="E2605" s="9" t="str" cm="1">
        <f t="array" ref="E2605">IFERROR(_xlfn.XLOOKUP(D2605,Locales!$A:$A,Locales!$B:$B,""),"")</f>
        <v/>
      </c>
      <c r="F2605" s="9" cm="1">
        <f t="array" ref="F2605">IFERROR(_xlfn.XLOOKUP(B2605,Personal!$A:$A,Personal!$F:$F,""),"")</f>
        <v>0</v>
      </c>
      <c r="I2605" s="10" cm="1">
        <f t="array" ref="I2605">IFERROR(INDEX(Precios!$D:$F,MATCH(N2605, Precios!$G:$G, 0),CHOOSE(MATCH(H2605, {"SML";"XL";"XXL"}, 0), 1, 2, 3)), 0)</f>
        <v>0</v>
      </c>
      <c r="K2605" s="10">
        <f t="shared" si="88"/>
        <v>0</v>
      </c>
      <c r="N2605" s="9" t="str">
        <f t="shared" si="89"/>
        <v/>
      </c>
      <c r="O2605" s="9" t="str">
        <f>IF(N2605="","",IF(COUNTIF(Precios!$G:$G,N2605)=0,"⚠ No coincide con Precios","OK"))</f>
        <v/>
      </c>
    </row>
    <row r="2606" spans="3:15" x14ac:dyDescent="0.2">
      <c r="C2606" s="9" cm="1">
        <f t="array" ref="C2606">IFERROR(_xlfn.XLOOKUP(B2606,Personal!$A:$A,Personal!$D:$D,""),"")</f>
        <v>0</v>
      </c>
      <c r="D2606" s="9" cm="1">
        <f t="array" ref="D2606">IFERROR(_xlfn.XLOOKUP(B2606,Personal!$A:$A,Personal!$C:$C,""),"")</f>
        <v>0</v>
      </c>
      <c r="E2606" s="9" t="str" cm="1">
        <f t="array" ref="E2606">IFERROR(_xlfn.XLOOKUP(D2606,Locales!$A:$A,Locales!$B:$B,""),"")</f>
        <v/>
      </c>
      <c r="F2606" s="9" cm="1">
        <f t="array" ref="F2606">IFERROR(_xlfn.XLOOKUP(B2606,Personal!$A:$A,Personal!$F:$F,""),"")</f>
        <v>0</v>
      </c>
      <c r="I2606" s="10" cm="1">
        <f t="array" ref="I2606">IFERROR(INDEX(Precios!$D:$F,MATCH(N2606, Precios!$G:$G, 0),CHOOSE(MATCH(H2606, {"SML";"XL";"XXL"}, 0), 1, 2, 3)), 0)</f>
        <v>0</v>
      </c>
      <c r="K2606" s="10">
        <f t="shared" si="88"/>
        <v>0</v>
      </c>
      <c r="N2606" s="9" t="str">
        <f t="shared" si="89"/>
        <v/>
      </c>
      <c r="O2606" s="9" t="str">
        <f>IF(N2606="","",IF(COUNTIF(Precios!$G:$G,N2606)=0,"⚠ No coincide con Precios","OK"))</f>
        <v/>
      </c>
    </row>
    <row r="2607" spans="3:15" x14ac:dyDescent="0.2">
      <c r="C2607" s="9" cm="1">
        <f t="array" ref="C2607">IFERROR(_xlfn.XLOOKUP(B2607,Personal!$A:$A,Personal!$D:$D,""),"")</f>
        <v>0</v>
      </c>
      <c r="D2607" s="9" cm="1">
        <f t="array" ref="D2607">IFERROR(_xlfn.XLOOKUP(B2607,Personal!$A:$A,Personal!$C:$C,""),"")</f>
        <v>0</v>
      </c>
      <c r="E2607" s="9" t="str" cm="1">
        <f t="array" ref="E2607">IFERROR(_xlfn.XLOOKUP(D2607,Locales!$A:$A,Locales!$B:$B,""),"")</f>
        <v/>
      </c>
      <c r="F2607" s="9" cm="1">
        <f t="array" ref="F2607">IFERROR(_xlfn.XLOOKUP(B2607,Personal!$A:$A,Personal!$F:$F,""),"")</f>
        <v>0</v>
      </c>
      <c r="I2607" s="10" cm="1">
        <f t="array" ref="I2607">IFERROR(INDEX(Precios!$D:$F,MATCH(N2607, Precios!$G:$G, 0),CHOOSE(MATCH(H2607, {"SML";"XL";"XXL"}, 0), 1, 2, 3)), 0)</f>
        <v>0</v>
      </c>
      <c r="K2607" s="10">
        <f t="shared" si="88"/>
        <v>0</v>
      </c>
      <c r="N2607" s="9" t="str">
        <f t="shared" si="89"/>
        <v/>
      </c>
      <c r="O2607" s="9" t="str">
        <f>IF(N2607="","",IF(COUNTIF(Precios!$G:$G,N2607)=0,"⚠ No coincide con Precios","OK"))</f>
        <v/>
      </c>
    </row>
    <row r="2608" spans="3:15" x14ac:dyDescent="0.2">
      <c r="C2608" s="9" cm="1">
        <f t="array" ref="C2608">IFERROR(_xlfn.XLOOKUP(B2608,Personal!$A:$A,Personal!$D:$D,""),"")</f>
        <v>0</v>
      </c>
      <c r="D2608" s="9" cm="1">
        <f t="array" ref="D2608">IFERROR(_xlfn.XLOOKUP(B2608,Personal!$A:$A,Personal!$C:$C,""),"")</f>
        <v>0</v>
      </c>
      <c r="E2608" s="9" t="str" cm="1">
        <f t="array" ref="E2608">IFERROR(_xlfn.XLOOKUP(D2608,Locales!$A:$A,Locales!$B:$B,""),"")</f>
        <v/>
      </c>
      <c r="F2608" s="9" cm="1">
        <f t="array" ref="F2608">IFERROR(_xlfn.XLOOKUP(B2608,Personal!$A:$A,Personal!$F:$F,""),"")</f>
        <v>0</v>
      </c>
      <c r="I2608" s="10" cm="1">
        <f t="array" ref="I2608">IFERROR(INDEX(Precios!$D:$F,MATCH(N2608, Precios!$G:$G, 0),CHOOSE(MATCH(H2608, {"SML";"XL";"XXL"}, 0), 1, 2, 3)), 0)</f>
        <v>0</v>
      </c>
      <c r="K2608" s="10">
        <f t="shared" si="88"/>
        <v>0</v>
      </c>
      <c r="N2608" s="9" t="str">
        <f t="shared" si="89"/>
        <v/>
      </c>
      <c r="O2608" s="9" t="str">
        <f>IF(N2608="","",IF(COUNTIF(Precios!$G:$G,N2608)=0,"⚠ No coincide con Precios","OK"))</f>
        <v/>
      </c>
    </row>
    <row r="2609" spans="3:15" x14ac:dyDescent="0.2">
      <c r="C2609" s="9" cm="1">
        <f t="array" ref="C2609">IFERROR(_xlfn.XLOOKUP(B2609,Personal!$A:$A,Personal!$D:$D,""),"")</f>
        <v>0</v>
      </c>
      <c r="D2609" s="9" cm="1">
        <f t="array" ref="D2609">IFERROR(_xlfn.XLOOKUP(B2609,Personal!$A:$A,Personal!$C:$C,""),"")</f>
        <v>0</v>
      </c>
      <c r="E2609" s="9" t="str" cm="1">
        <f t="array" ref="E2609">IFERROR(_xlfn.XLOOKUP(D2609,Locales!$A:$A,Locales!$B:$B,""),"")</f>
        <v/>
      </c>
      <c r="F2609" s="9" cm="1">
        <f t="array" ref="F2609">IFERROR(_xlfn.XLOOKUP(B2609,Personal!$A:$A,Personal!$F:$F,""),"")</f>
        <v>0</v>
      </c>
      <c r="I2609" s="10" cm="1">
        <f t="array" ref="I2609">IFERROR(INDEX(Precios!$D:$F,MATCH(N2609, Precios!$G:$G, 0),CHOOSE(MATCH(H2609, {"SML";"XL";"XXL"}, 0), 1, 2, 3)), 0)</f>
        <v>0</v>
      </c>
      <c r="K2609" s="10">
        <f t="shared" si="88"/>
        <v>0</v>
      </c>
      <c r="N2609" s="9" t="str">
        <f t="shared" si="89"/>
        <v/>
      </c>
      <c r="O2609" s="9" t="str">
        <f>IF(N2609="","",IF(COUNTIF(Precios!$G:$G,N2609)=0,"⚠ No coincide con Precios","OK"))</f>
        <v/>
      </c>
    </row>
    <row r="2610" spans="3:15" x14ac:dyDescent="0.2">
      <c r="C2610" s="9" cm="1">
        <f t="array" ref="C2610">IFERROR(_xlfn.XLOOKUP(B2610,Personal!$A:$A,Personal!$D:$D,""),"")</f>
        <v>0</v>
      </c>
      <c r="D2610" s="9" cm="1">
        <f t="array" ref="D2610">IFERROR(_xlfn.XLOOKUP(B2610,Personal!$A:$A,Personal!$C:$C,""),"")</f>
        <v>0</v>
      </c>
      <c r="E2610" s="9" t="str" cm="1">
        <f t="array" ref="E2610">IFERROR(_xlfn.XLOOKUP(D2610,Locales!$A:$A,Locales!$B:$B,""),"")</f>
        <v/>
      </c>
      <c r="F2610" s="9" cm="1">
        <f t="array" ref="F2610">IFERROR(_xlfn.XLOOKUP(B2610,Personal!$A:$A,Personal!$F:$F,""),"")</f>
        <v>0</v>
      </c>
      <c r="I2610" s="10" cm="1">
        <f t="array" ref="I2610">IFERROR(INDEX(Precios!$D:$F,MATCH(N2610, Precios!$G:$G, 0),CHOOSE(MATCH(H2610, {"SML";"XL";"XXL"}, 0), 1, 2, 3)), 0)</f>
        <v>0</v>
      </c>
      <c r="K2610" s="10">
        <f t="shared" si="88"/>
        <v>0</v>
      </c>
      <c r="N2610" s="9" t="str">
        <f t="shared" si="89"/>
        <v/>
      </c>
      <c r="O2610" s="9" t="str">
        <f>IF(N2610="","",IF(COUNTIF(Precios!$G:$G,N2610)=0,"⚠ No coincide con Precios","OK"))</f>
        <v/>
      </c>
    </row>
    <row r="2611" spans="3:15" x14ac:dyDescent="0.2">
      <c r="C2611" s="9" cm="1">
        <f t="array" ref="C2611">IFERROR(_xlfn.XLOOKUP(B2611,Personal!$A:$A,Personal!$D:$D,""),"")</f>
        <v>0</v>
      </c>
      <c r="D2611" s="9" cm="1">
        <f t="array" ref="D2611">IFERROR(_xlfn.XLOOKUP(B2611,Personal!$A:$A,Personal!$C:$C,""),"")</f>
        <v>0</v>
      </c>
      <c r="E2611" s="9" t="str" cm="1">
        <f t="array" ref="E2611">IFERROR(_xlfn.XLOOKUP(D2611,Locales!$A:$A,Locales!$B:$B,""),"")</f>
        <v/>
      </c>
      <c r="F2611" s="9" cm="1">
        <f t="array" ref="F2611">IFERROR(_xlfn.XLOOKUP(B2611,Personal!$A:$A,Personal!$F:$F,""),"")</f>
        <v>0</v>
      </c>
      <c r="I2611" s="10" cm="1">
        <f t="array" ref="I2611">IFERROR(INDEX(Precios!$D:$F,MATCH(N2611, Precios!$G:$G, 0),CHOOSE(MATCH(H2611, {"SML";"XL";"XXL"}, 0), 1, 2, 3)), 0)</f>
        <v>0</v>
      </c>
      <c r="K2611" s="10">
        <f t="shared" si="88"/>
        <v>0</v>
      </c>
      <c r="N2611" s="9" t="str">
        <f t="shared" si="89"/>
        <v/>
      </c>
      <c r="O2611" s="9" t="str">
        <f>IF(N2611="","",IF(COUNTIF(Precios!$G:$G,N2611)=0,"⚠ No coincide con Precios","OK"))</f>
        <v/>
      </c>
    </row>
    <row r="2612" spans="3:15" x14ac:dyDescent="0.2">
      <c r="C2612" s="9" cm="1">
        <f t="array" ref="C2612">IFERROR(_xlfn.XLOOKUP(B2612,Personal!$A:$A,Personal!$D:$D,""),"")</f>
        <v>0</v>
      </c>
      <c r="D2612" s="9" cm="1">
        <f t="array" ref="D2612">IFERROR(_xlfn.XLOOKUP(B2612,Personal!$A:$A,Personal!$C:$C,""),"")</f>
        <v>0</v>
      </c>
      <c r="E2612" s="9" t="str" cm="1">
        <f t="array" ref="E2612">IFERROR(_xlfn.XLOOKUP(D2612,Locales!$A:$A,Locales!$B:$B,""),"")</f>
        <v/>
      </c>
      <c r="F2612" s="9" cm="1">
        <f t="array" ref="F2612">IFERROR(_xlfn.XLOOKUP(B2612,Personal!$A:$A,Personal!$F:$F,""),"")</f>
        <v>0</v>
      </c>
      <c r="I2612" s="10" cm="1">
        <f t="array" ref="I2612">IFERROR(INDEX(Precios!$D:$F,MATCH(N2612, Precios!$G:$G, 0),CHOOSE(MATCH(H2612, {"SML";"XL";"XXL"}, 0), 1, 2, 3)), 0)</f>
        <v>0</v>
      </c>
      <c r="K2612" s="10">
        <f t="shared" si="88"/>
        <v>0</v>
      </c>
      <c r="N2612" s="9" t="str">
        <f t="shared" si="89"/>
        <v/>
      </c>
      <c r="O2612" s="9" t="str">
        <f>IF(N2612="","",IF(COUNTIF(Precios!$G:$G,N2612)=0,"⚠ No coincide con Precios","OK"))</f>
        <v/>
      </c>
    </row>
    <row r="2613" spans="3:15" x14ac:dyDescent="0.2">
      <c r="C2613" s="9" cm="1">
        <f t="array" ref="C2613">IFERROR(_xlfn.XLOOKUP(B2613,Personal!$A:$A,Personal!$D:$D,""),"")</f>
        <v>0</v>
      </c>
      <c r="D2613" s="9" cm="1">
        <f t="array" ref="D2613">IFERROR(_xlfn.XLOOKUP(B2613,Personal!$A:$A,Personal!$C:$C,""),"")</f>
        <v>0</v>
      </c>
      <c r="E2613" s="9" t="str" cm="1">
        <f t="array" ref="E2613">IFERROR(_xlfn.XLOOKUP(D2613,Locales!$A:$A,Locales!$B:$B,""),"")</f>
        <v/>
      </c>
      <c r="F2613" s="9" cm="1">
        <f t="array" ref="F2613">IFERROR(_xlfn.XLOOKUP(B2613,Personal!$A:$A,Personal!$F:$F,""),"")</f>
        <v>0</v>
      </c>
      <c r="I2613" s="10" cm="1">
        <f t="array" ref="I2613">IFERROR(INDEX(Precios!$D:$F,MATCH(N2613, Precios!$G:$G, 0),CHOOSE(MATCH(H2613, {"SML";"XL";"XXL"}, 0), 1, 2, 3)), 0)</f>
        <v>0</v>
      </c>
      <c r="K2613" s="10">
        <f t="shared" si="88"/>
        <v>0</v>
      </c>
      <c r="N2613" s="9" t="str">
        <f t="shared" si="89"/>
        <v/>
      </c>
      <c r="O2613" s="9" t="str">
        <f>IF(N2613="","",IF(COUNTIF(Precios!$G:$G,N2613)=0,"⚠ No coincide con Precios","OK"))</f>
        <v/>
      </c>
    </row>
    <row r="2614" spans="3:15" x14ac:dyDescent="0.2">
      <c r="C2614" s="9" cm="1">
        <f t="array" ref="C2614">IFERROR(_xlfn.XLOOKUP(B2614,Personal!$A:$A,Personal!$D:$D,""),"")</f>
        <v>0</v>
      </c>
      <c r="D2614" s="9" cm="1">
        <f t="array" ref="D2614">IFERROR(_xlfn.XLOOKUP(B2614,Personal!$A:$A,Personal!$C:$C,""),"")</f>
        <v>0</v>
      </c>
      <c r="E2614" s="9" t="str" cm="1">
        <f t="array" ref="E2614">IFERROR(_xlfn.XLOOKUP(D2614,Locales!$A:$A,Locales!$B:$B,""),"")</f>
        <v/>
      </c>
      <c r="F2614" s="9" cm="1">
        <f t="array" ref="F2614">IFERROR(_xlfn.XLOOKUP(B2614,Personal!$A:$A,Personal!$F:$F,""),"")</f>
        <v>0</v>
      </c>
      <c r="I2614" s="10" cm="1">
        <f t="array" ref="I2614">IFERROR(INDEX(Precios!$D:$F,MATCH(N2614, Precios!$G:$G, 0),CHOOSE(MATCH(H2614, {"SML";"XL";"XXL"}, 0), 1, 2, 3)), 0)</f>
        <v>0</v>
      </c>
      <c r="K2614" s="10">
        <f t="shared" si="88"/>
        <v>0</v>
      </c>
      <c r="N2614" s="9" t="str">
        <f t="shared" si="89"/>
        <v/>
      </c>
      <c r="O2614" s="9" t="str">
        <f>IF(N2614="","",IF(COUNTIF(Precios!$G:$G,N2614)=0,"⚠ No coincide con Precios","OK"))</f>
        <v/>
      </c>
    </row>
    <row r="2615" spans="3:15" x14ac:dyDescent="0.2">
      <c r="C2615" s="9" cm="1">
        <f t="array" ref="C2615">IFERROR(_xlfn.XLOOKUP(B2615,Personal!$A:$A,Personal!$D:$D,""),"")</f>
        <v>0</v>
      </c>
      <c r="D2615" s="9" cm="1">
        <f t="array" ref="D2615">IFERROR(_xlfn.XLOOKUP(B2615,Personal!$A:$A,Personal!$C:$C,""),"")</f>
        <v>0</v>
      </c>
      <c r="E2615" s="9" t="str" cm="1">
        <f t="array" ref="E2615">IFERROR(_xlfn.XLOOKUP(D2615,Locales!$A:$A,Locales!$B:$B,""),"")</f>
        <v/>
      </c>
      <c r="F2615" s="9" cm="1">
        <f t="array" ref="F2615">IFERROR(_xlfn.XLOOKUP(B2615,Personal!$A:$A,Personal!$F:$F,""),"")</f>
        <v>0</v>
      </c>
      <c r="I2615" s="10" cm="1">
        <f t="array" ref="I2615">IFERROR(INDEX(Precios!$D:$F,MATCH(N2615, Precios!$G:$G, 0),CHOOSE(MATCH(H2615, {"SML";"XL";"XXL"}, 0), 1, 2, 3)), 0)</f>
        <v>0</v>
      </c>
      <c r="K2615" s="10">
        <f t="shared" si="88"/>
        <v>0</v>
      </c>
      <c r="N2615" s="9" t="str">
        <f t="shared" si="89"/>
        <v/>
      </c>
      <c r="O2615" s="9" t="str">
        <f>IF(N2615="","",IF(COUNTIF(Precios!$G:$G,N2615)=0,"⚠ No coincide con Precios","OK"))</f>
        <v/>
      </c>
    </row>
    <row r="2616" spans="3:15" x14ac:dyDescent="0.2">
      <c r="C2616" s="9" cm="1">
        <f t="array" ref="C2616">IFERROR(_xlfn.XLOOKUP(B2616,Personal!$A:$A,Personal!$D:$D,""),"")</f>
        <v>0</v>
      </c>
      <c r="D2616" s="9" cm="1">
        <f t="array" ref="D2616">IFERROR(_xlfn.XLOOKUP(B2616,Personal!$A:$A,Personal!$C:$C,""),"")</f>
        <v>0</v>
      </c>
      <c r="E2616" s="9" t="str" cm="1">
        <f t="array" ref="E2616">IFERROR(_xlfn.XLOOKUP(D2616,Locales!$A:$A,Locales!$B:$B,""),"")</f>
        <v/>
      </c>
      <c r="F2616" s="9" cm="1">
        <f t="array" ref="F2616">IFERROR(_xlfn.XLOOKUP(B2616,Personal!$A:$A,Personal!$F:$F,""),"")</f>
        <v>0</v>
      </c>
      <c r="I2616" s="10" cm="1">
        <f t="array" ref="I2616">IFERROR(INDEX(Precios!$D:$F,MATCH(N2616, Precios!$G:$G, 0),CHOOSE(MATCH(H2616, {"SML";"XL";"XXL"}, 0), 1, 2, 3)), 0)</f>
        <v>0</v>
      </c>
      <c r="K2616" s="10">
        <f t="shared" si="88"/>
        <v>0</v>
      </c>
      <c r="N2616" s="9" t="str">
        <f t="shared" si="89"/>
        <v/>
      </c>
      <c r="O2616" s="9" t="str">
        <f>IF(N2616="","",IF(COUNTIF(Precios!$G:$G,N2616)=0,"⚠ No coincide con Precios","OK"))</f>
        <v/>
      </c>
    </row>
    <row r="2617" spans="3:15" x14ac:dyDescent="0.2">
      <c r="C2617" s="9" cm="1">
        <f t="array" ref="C2617">IFERROR(_xlfn.XLOOKUP(B2617,Personal!$A:$A,Personal!$D:$D,""),"")</f>
        <v>0</v>
      </c>
      <c r="D2617" s="9" cm="1">
        <f t="array" ref="D2617">IFERROR(_xlfn.XLOOKUP(B2617,Personal!$A:$A,Personal!$C:$C,""),"")</f>
        <v>0</v>
      </c>
      <c r="E2617" s="9" t="str" cm="1">
        <f t="array" ref="E2617">IFERROR(_xlfn.XLOOKUP(D2617,Locales!$A:$A,Locales!$B:$B,""),"")</f>
        <v/>
      </c>
      <c r="F2617" s="9" cm="1">
        <f t="array" ref="F2617">IFERROR(_xlfn.XLOOKUP(B2617,Personal!$A:$A,Personal!$F:$F,""),"")</f>
        <v>0</v>
      </c>
      <c r="I2617" s="10" cm="1">
        <f t="array" ref="I2617">IFERROR(INDEX(Precios!$D:$F,MATCH(N2617, Precios!$G:$G, 0),CHOOSE(MATCH(H2617, {"SML";"XL";"XXL"}, 0), 1, 2, 3)), 0)</f>
        <v>0</v>
      </c>
      <c r="K2617" s="10">
        <f t="shared" si="88"/>
        <v>0</v>
      </c>
      <c r="N2617" s="9" t="str">
        <f t="shared" si="89"/>
        <v/>
      </c>
      <c r="O2617" s="9" t="str">
        <f>IF(N2617="","",IF(COUNTIF(Precios!$G:$G,N2617)=0,"⚠ No coincide con Precios","OK"))</f>
        <v/>
      </c>
    </row>
    <row r="2618" spans="3:15" x14ac:dyDescent="0.2">
      <c r="C2618" s="9" cm="1">
        <f t="array" ref="C2618">IFERROR(_xlfn.XLOOKUP(B2618,Personal!$A:$A,Personal!$D:$D,""),"")</f>
        <v>0</v>
      </c>
      <c r="D2618" s="9" cm="1">
        <f t="array" ref="D2618">IFERROR(_xlfn.XLOOKUP(B2618,Personal!$A:$A,Personal!$C:$C,""),"")</f>
        <v>0</v>
      </c>
      <c r="E2618" s="9" t="str" cm="1">
        <f t="array" ref="E2618">IFERROR(_xlfn.XLOOKUP(D2618,Locales!$A:$A,Locales!$B:$B,""),"")</f>
        <v/>
      </c>
      <c r="F2618" s="9" cm="1">
        <f t="array" ref="F2618">IFERROR(_xlfn.XLOOKUP(B2618,Personal!$A:$A,Personal!$F:$F,""),"")</f>
        <v>0</v>
      </c>
      <c r="I2618" s="10" cm="1">
        <f t="array" ref="I2618">IFERROR(INDEX(Precios!$D:$F,MATCH(N2618, Precios!$G:$G, 0),CHOOSE(MATCH(H2618, {"SML";"XL";"XXL"}, 0), 1, 2, 3)), 0)</f>
        <v>0</v>
      </c>
      <c r="K2618" s="10">
        <f t="shared" si="88"/>
        <v>0</v>
      </c>
      <c r="N2618" s="9" t="str">
        <f t="shared" si="89"/>
        <v/>
      </c>
      <c r="O2618" s="9" t="str">
        <f>IF(N2618="","",IF(COUNTIF(Precios!$G:$G,N2618)=0,"⚠ No coincide con Precios","OK"))</f>
        <v/>
      </c>
    </row>
    <row r="2619" spans="3:15" x14ac:dyDescent="0.2">
      <c r="C2619" s="9" cm="1">
        <f t="array" ref="C2619">IFERROR(_xlfn.XLOOKUP(B2619,Personal!$A:$A,Personal!$D:$D,""),"")</f>
        <v>0</v>
      </c>
      <c r="D2619" s="9" cm="1">
        <f t="array" ref="D2619">IFERROR(_xlfn.XLOOKUP(B2619,Personal!$A:$A,Personal!$C:$C,""),"")</f>
        <v>0</v>
      </c>
      <c r="E2619" s="9" t="str" cm="1">
        <f t="array" ref="E2619">IFERROR(_xlfn.XLOOKUP(D2619,Locales!$A:$A,Locales!$B:$B,""),"")</f>
        <v/>
      </c>
      <c r="F2619" s="9" cm="1">
        <f t="array" ref="F2619">IFERROR(_xlfn.XLOOKUP(B2619,Personal!$A:$A,Personal!$F:$F,""),"")</f>
        <v>0</v>
      </c>
      <c r="I2619" s="10" cm="1">
        <f t="array" ref="I2619">IFERROR(INDEX(Precios!$D:$F,MATCH(N2619, Precios!$G:$G, 0),CHOOSE(MATCH(H2619, {"SML";"XL";"XXL"}, 0), 1, 2, 3)), 0)</f>
        <v>0</v>
      </c>
      <c r="K2619" s="10">
        <f t="shared" si="88"/>
        <v>0</v>
      </c>
      <c r="N2619" s="9" t="str">
        <f t="shared" si="89"/>
        <v/>
      </c>
      <c r="O2619" s="9" t="str">
        <f>IF(N2619="","",IF(COUNTIF(Precios!$G:$G,N2619)=0,"⚠ No coincide con Precios","OK"))</f>
        <v/>
      </c>
    </row>
    <row r="2620" spans="3:15" x14ac:dyDescent="0.2">
      <c r="C2620" s="9" cm="1">
        <f t="array" ref="C2620">IFERROR(_xlfn.XLOOKUP(B2620,Personal!$A:$A,Personal!$D:$D,""),"")</f>
        <v>0</v>
      </c>
      <c r="D2620" s="9" cm="1">
        <f t="array" ref="D2620">IFERROR(_xlfn.XLOOKUP(B2620,Personal!$A:$A,Personal!$C:$C,""),"")</f>
        <v>0</v>
      </c>
      <c r="E2620" s="9" t="str" cm="1">
        <f t="array" ref="E2620">IFERROR(_xlfn.XLOOKUP(D2620,Locales!$A:$A,Locales!$B:$B,""),"")</f>
        <v/>
      </c>
      <c r="F2620" s="9" cm="1">
        <f t="array" ref="F2620">IFERROR(_xlfn.XLOOKUP(B2620,Personal!$A:$A,Personal!$F:$F,""),"")</f>
        <v>0</v>
      </c>
      <c r="I2620" s="10" cm="1">
        <f t="array" ref="I2620">IFERROR(INDEX(Precios!$D:$F,MATCH(N2620, Precios!$G:$G, 0),CHOOSE(MATCH(H2620, {"SML";"XL";"XXL"}, 0), 1, 2, 3)), 0)</f>
        <v>0</v>
      </c>
      <c r="K2620" s="10">
        <f t="shared" si="88"/>
        <v>0</v>
      </c>
      <c r="N2620" s="9" t="str">
        <f t="shared" si="89"/>
        <v/>
      </c>
      <c r="O2620" s="9" t="str">
        <f>IF(N2620="","",IF(COUNTIF(Precios!$G:$G,N2620)=0,"⚠ No coincide con Precios","OK"))</f>
        <v/>
      </c>
    </row>
    <row r="2621" spans="3:15" x14ac:dyDescent="0.2">
      <c r="C2621" s="9" cm="1">
        <f t="array" ref="C2621">IFERROR(_xlfn.XLOOKUP(B2621,Personal!$A:$A,Personal!$D:$D,""),"")</f>
        <v>0</v>
      </c>
      <c r="D2621" s="9" cm="1">
        <f t="array" ref="D2621">IFERROR(_xlfn.XLOOKUP(B2621,Personal!$A:$A,Personal!$C:$C,""),"")</f>
        <v>0</v>
      </c>
      <c r="E2621" s="9" t="str" cm="1">
        <f t="array" ref="E2621">IFERROR(_xlfn.XLOOKUP(D2621,Locales!$A:$A,Locales!$B:$B,""),"")</f>
        <v/>
      </c>
      <c r="F2621" s="9" cm="1">
        <f t="array" ref="F2621">IFERROR(_xlfn.XLOOKUP(B2621,Personal!$A:$A,Personal!$F:$F,""),"")</f>
        <v>0</v>
      </c>
      <c r="I2621" s="10" cm="1">
        <f t="array" ref="I2621">IFERROR(INDEX(Precios!$D:$F,MATCH(N2621, Precios!$G:$G, 0),CHOOSE(MATCH(H2621, {"SML";"XL";"XXL"}, 0), 1, 2, 3)), 0)</f>
        <v>0</v>
      </c>
      <c r="K2621" s="10">
        <f t="shared" si="88"/>
        <v>0</v>
      </c>
      <c r="N2621" s="9" t="str">
        <f t="shared" si="89"/>
        <v/>
      </c>
      <c r="O2621" s="9" t="str">
        <f>IF(N2621="","",IF(COUNTIF(Precios!$G:$G,N2621)=0,"⚠ No coincide con Precios","OK"))</f>
        <v/>
      </c>
    </row>
    <row r="2622" spans="3:15" x14ac:dyDescent="0.2">
      <c r="C2622" s="9" cm="1">
        <f t="array" ref="C2622">IFERROR(_xlfn.XLOOKUP(B2622,Personal!$A:$A,Personal!$D:$D,""),"")</f>
        <v>0</v>
      </c>
      <c r="D2622" s="9" cm="1">
        <f t="array" ref="D2622">IFERROR(_xlfn.XLOOKUP(B2622,Personal!$A:$A,Personal!$C:$C,""),"")</f>
        <v>0</v>
      </c>
      <c r="E2622" s="9" t="str" cm="1">
        <f t="array" ref="E2622">IFERROR(_xlfn.XLOOKUP(D2622,Locales!$A:$A,Locales!$B:$B,""),"")</f>
        <v/>
      </c>
      <c r="F2622" s="9" cm="1">
        <f t="array" ref="F2622">IFERROR(_xlfn.XLOOKUP(B2622,Personal!$A:$A,Personal!$F:$F,""),"")</f>
        <v>0</v>
      </c>
      <c r="I2622" s="10" cm="1">
        <f t="array" ref="I2622">IFERROR(INDEX(Precios!$D:$F,MATCH(N2622, Precios!$G:$G, 0),CHOOSE(MATCH(H2622, {"SML";"XL";"XXL"}, 0), 1, 2, 3)), 0)</f>
        <v>0</v>
      </c>
      <c r="K2622" s="10">
        <f t="shared" si="88"/>
        <v>0</v>
      </c>
      <c r="N2622" s="9" t="str">
        <f t="shared" si="89"/>
        <v/>
      </c>
      <c r="O2622" s="9" t="str">
        <f>IF(N2622="","",IF(COUNTIF(Precios!$G:$G,N2622)=0,"⚠ No coincide con Precios","OK"))</f>
        <v/>
      </c>
    </row>
    <row r="2623" spans="3:15" x14ac:dyDescent="0.2">
      <c r="C2623" s="9" cm="1">
        <f t="array" ref="C2623">IFERROR(_xlfn.XLOOKUP(B2623,Personal!$A:$A,Personal!$D:$D,""),"")</f>
        <v>0</v>
      </c>
      <c r="D2623" s="9" cm="1">
        <f t="array" ref="D2623">IFERROR(_xlfn.XLOOKUP(B2623,Personal!$A:$A,Personal!$C:$C,""),"")</f>
        <v>0</v>
      </c>
      <c r="E2623" s="9" t="str" cm="1">
        <f t="array" ref="E2623">IFERROR(_xlfn.XLOOKUP(D2623,Locales!$A:$A,Locales!$B:$B,""),"")</f>
        <v/>
      </c>
      <c r="F2623" s="9" cm="1">
        <f t="array" ref="F2623">IFERROR(_xlfn.XLOOKUP(B2623,Personal!$A:$A,Personal!$F:$F,""),"")</f>
        <v>0</v>
      </c>
      <c r="I2623" s="10" cm="1">
        <f t="array" ref="I2623">IFERROR(INDEX(Precios!$D:$F,MATCH(N2623, Precios!$G:$G, 0),CHOOSE(MATCH(H2623, {"SML";"XL";"XXL"}, 0), 1, 2, 3)), 0)</f>
        <v>0</v>
      </c>
      <c r="K2623" s="10">
        <f t="shared" si="88"/>
        <v>0</v>
      </c>
      <c r="N2623" s="9" t="str">
        <f t="shared" si="89"/>
        <v/>
      </c>
      <c r="O2623" s="9" t="str">
        <f>IF(N2623="","",IF(COUNTIF(Precios!$G:$G,N2623)=0,"⚠ No coincide con Precios","OK"))</f>
        <v/>
      </c>
    </row>
    <row r="2624" spans="3:15" x14ac:dyDescent="0.2">
      <c r="C2624" s="9" cm="1">
        <f t="array" ref="C2624">IFERROR(_xlfn.XLOOKUP(B2624,Personal!$A:$A,Personal!$D:$D,""),"")</f>
        <v>0</v>
      </c>
      <c r="D2624" s="9" cm="1">
        <f t="array" ref="D2624">IFERROR(_xlfn.XLOOKUP(B2624,Personal!$A:$A,Personal!$C:$C,""),"")</f>
        <v>0</v>
      </c>
      <c r="E2624" s="9" t="str" cm="1">
        <f t="array" ref="E2624">IFERROR(_xlfn.XLOOKUP(D2624,Locales!$A:$A,Locales!$B:$B,""),"")</f>
        <v/>
      </c>
      <c r="F2624" s="9" cm="1">
        <f t="array" ref="F2624">IFERROR(_xlfn.XLOOKUP(B2624,Personal!$A:$A,Personal!$F:$F,""),"")</f>
        <v>0</v>
      </c>
      <c r="I2624" s="10" cm="1">
        <f t="array" ref="I2624">IFERROR(INDEX(Precios!$D:$F,MATCH(N2624, Precios!$G:$G, 0),CHOOSE(MATCH(H2624, {"SML";"XL";"XXL"}, 0), 1, 2, 3)), 0)</f>
        <v>0</v>
      </c>
      <c r="K2624" s="10">
        <f t="shared" ref="K2624:K2687" si="90">IFERROR(I2624*J2624,0)</f>
        <v>0</v>
      </c>
      <c r="N2624" s="9" t="str">
        <f t="shared" ref="N2624:N2687" si="91">IF( OR(E2624="",F2624="",G2624=""), "",CLEAN(TRIM(E2624)) &amp; "|" &amp; CLEAN(TRIM(F2624)) &amp; "|" &amp; CLEAN(TRIM(G2624)))</f>
        <v/>
      </c>
      <c r="O2624" s="9" t="str">
        <f>IF(N2624="","",IF(COUNTIF(Precios!$G:$G,N2624)=0,"⚠ No coincide con Precios","OK"))</f>
        <v/>
      </c>
    </row>
    <row r="2625" spans="3:15" x14ac:dyDescent="0.2">
      <c r="C2625" s="9" cm="1">
        <f t="array" ref="C2625">IFERROR(_xlfn.XLOOKUP(B2625,Personal!$A:$A,Personal!$D:$D,""),"")</f>
        <v>0</v>
      </c>
      <c r="D2625" s="9" cm="1">
        <f t="array" ref="D2625">IFERROR(_xlfn.XLOOKUP(B2625,Personal!$A:$A,Personal!$C:$C,""),"")</f>
        <v>0</v>
      </c>
      <c r="E2625" s="9" t="str" cm="1">
        <f t="array" ref="E2625">IFERROR(_xlfn.XLOOKUP(D2625,Locales!$A:$A,Locales!$B:$B,""),"")</f>
        <v/>
      </c>
      <c r="F2625" s="9" cm="1">
        <f t="array" ref="F2625">IFERROR(_xlfn.XLOOKUP(B2625,Personal!$A:$A,Personal!$F:$F,""),"")</f>
        <v>0</v>
      </c>
      <c r="I2625" s="10" cm="1">
        <f t="array" ref="I2625">IFERROR(INDEX(Precios!$D:$F,MATCH(N2625, Precios!$G:$G, 0),CHOOSE(MATCH(H2625, {"SML";"XL";"XXL"}, 0), 1, 2, 3)), 0)</f>
        <v>0</v>
      </c>
      <c r="K2625" s="10">
        <f t="shared" si="90"/>
        <v>0</v>
      </c>
      <c r="N2625" s="9" t="str">
        <f t="shared" si="91"/>
        <v/>
      </c>
      <c r="O2625" s="9" t="str">
        <f>IF(N2625="","",IF(COUNTIF(Precios!$G:$G,N2625)=0,"⚠ No coincide con Precios","OK"))</f>
        <v/>
      </c>
    </row>
    <row r="2626" spans="3:15" x14ac:dyDescent="0.2">
      <c r="C2626" s="9" cm="1">
        <f t="array" ref="C2626">IFERROR(_xlfn.XLOOKUP(B2626,Personal!$A:$A,Personal!$D:$D,""),"")</f>
        <v>0</v>
      </c>
      <c r="D2626" s="9" cm="1">
        <f t="array" ref="D2626">IFERROR(_xlfn.XLOOKUP(B2626,Personal!$A:$A,Personal!$C:$C,""),"")</f>
        <v>0</v>
      </c>
      <c r="E2626" s="9" t="str" cm="1">
        <f t="array" ref="E2626">IFERROR(_xlfn.XLOOKUP(D2626,Locales!$A:$A,Locales!$B:$B,""),"")</f>
        <v/>
      </c>
      <c r="F2626" s="9" cm="1">
        <f t="array" ref="F2626">IFERROR(_xlfn.XLOOKUP(B2626,Personal!$A:$A,Personal!$F:$F,""),"")</f>
        <v>0</v>
      </c>
      <c r="I2626" s="10" cm="1">
        <f t="array" ref="I2626">IFERROR(INDEX(Precios!$D:$F,MATCH(N2626, Precios!$G:$G, 0),CHOOSE(MATCH(H2626, {"SML";"XL";"XXL"}, 0), 1, 2, 3)), 0)</f>
        <v>0</v>
      </c>
      <c r="K2626" s="10">
        <f t="shared" si="90"/>
        <v>0</v>
      </c>
      <c r="N2626" s="9" t="str">
        <f t="shared" si="91"/>
        <v/>
      </c>
      <c r="O2626" s="9" t="str">
        <f>IF(N2626="","",IF(COUNTIF(Precios!$G:$G,N2626)=0,"⚠ No coincide con Precios","OK"))</f>
        <v/>
      </c>
    </row>
    <row r="2627" spans="3:15" x14ac:dyDescent="0.2">
      <c r="C2627" s="9" cm="1">
        <f t="array" ref="C2627">IFERROR(_xlfn.XLOOKUP(B2627,Personal!$A:$A,Personal!$D:$D,""),"")</f>
        <v>0</v>
      </c>
      <c r="D2627" s="9" cm="1">
        <f t="array" ref="D2627">IFERROR(_xlfn.XLOOKUP(B2627,Personal!$A:$A,Personal!$C:$C,""),"")</f>
        <v>0</v>
      </c>
      <c r="E2627" s="9" t="str" cm="1">
        <f t="array" ref="E2627">IFERROR(_xlfn.XLOOKUP(D2627,Locales!$A:$A,Locales!$B:$B,""),"")</f>
        <v/>
      </c>
      <c r="F2627" s="9" cm="1">
        <f t="array" ref="F2627">IFERROR(_xlfn.XLOOKUP(B2627,Personal!$A:$A,Personal!$F:$F,""),"")</f>
        <v>0</v>
      </c>
      <c r="I2627" s="10" cm="1">
        <f t="array" ref="I2627">IFERROR(INDEX(Precios!$D:$F,MATCH(N2627, Precios!$G:$G, 0),CHOOSE(MATCH(H2627, {"SML";"XL";"XXL"}, 0), 1, 2, 3)), 0)</f>
        <v>0</v>
      </c>
      <c r="K2627" s="10">
        <f t="shared" si="90"/>
        <v>0</v>
      </c>
      <c r="N2627" s="9" t="str">
        <f t="shared" si="91"/>
        <v/>
      </c>
      <c r="O2627" s="9" t="str">
        <f>IF(N2627="","",IF(COUNTIF(Precios!$G:$G,N2627)=0,"⚠ No coincide con Precios","OK"))</f>
        <v/>
      </c>
    </row>
    <row r="2628" spans="3:15" x14ac:dyDescent="0.2">
      <c r="C2628" s="9" cm="1">
        <f t="array" ref="C2628">IFERROR(_xlfn.XLOOKUP(B2628,Personal!$A:$A,Personal!$D:$D,""),"")</f>
        <v>0</v>
      </c>
      <c r="D2628" s="9" cm="1">
        <f t="array" ref="D2628">IFERROR(_xlfn.XLOOKUP(B2628,Personal!$A:$A,Personal!$C:$C,""),"")</f>
        <v>0</v>
      </c>
      <c r="E2628" s="9" t="str" cm="1">
        <f t="array" ref="E2628">IFERROR(_xlfn.XLOOKUP(D2628,Locales!$A:$A,Locales!$B:$B,""),"")</f>
        <v/>
      </c>
      <c r="F2628" s="9" cm="1">
        <f t="array" ref="F2628">IFERROR(_xlfn.XLOOKUP(B2628,Personal!$A:$A,Personal!$F:$F,""),"")</f>
        <v>0</v>
      </c>
      <c r="I2628" s="10" cm="1">
        <f t="array" ref="I2628">IFERROR(INDEX(Precios!$D:$F,MATCH(N2628, Precios!$G:$G, 0),CHOOSE(MATCH(H2628, {"SML";"XL";"XXL"}, 0), 1, 2, 3)), 0)</f>
        <v>0</v>
      </c>
      <c r="K2628" s="10">
        <f t="shared" si="90"/>
        <v>0</v>
      </c>
      <c r="N2628" s="9" t="str">
        <f t="shared" si="91"/>
        <v/>
      </c>
      <c r="O2628" s="9" t="str">
        <f>IF(N2628="","",IF(COUNTIF(Precios!$G:$G,N2628)=0,"⚠ No coincide con Precios","OK"))</f>
        <v/>
      </c>
    </row>
    <row r="2629" spans="3:15" x14ac:dyDescent="0.2">
      <c r="C2629" s="9" cm="1">
        <f t="array" ref="C2629">IFERROR(_xlfn.XLOOKUP(B2629,Personal!$A:$A,Personal!$D:$D,""),"")</f>
        <v>0</v>
      </c>
      <c r="D2629" s="9" cm="1">
        <f t="array" ref="D2629">IFERROR(_xlfn.XLOOKUP(B2629,Personal!$A:$A,Personal!$C:$C,""),"")</f>
        <v>0</v>
      </c>
      <c r="E2629" s="9" t="str" cm="1">
        <f t="array" ref="E2629">IFERROR(_xlfn.XLOOKUP(D2629,Locales!$A:$A,Locales!$B:$B,""),"")</f>
        <v/>
      </c>
      <c r="F2629" s="9" cm="1">
        <f t="array" ref="F2629">IFERROR(_xlfn.XLOOKUP(B2629,Personal!$A:$A,Personal!$F:$F,""),"")</f>
        <v>0</v>
      </c>
      <c r="I2629" s="10" cm="1">
        <f t="array" ref="I2629">IFERROR(INDEX(Precios!$D:$F,MATCH(N2629, Precios!$G:$G, 0),CHOOSE(MATCH(H2629, {"SML";"XL";"XXL"}, 0), 1, 2, 3)), 0)</f>
        <v>0</v>
      </c>
      <c r="K2629" s="10">
        <f t="shared" si="90"/>
        <v>0</v>
      </c>
      <c r="N2629" s="9" t="str">
        <f t="shared" si="91"/>
        <v/>
      </c>
      <c r="O2629" s="9" t="str">
        <f>IF(N2629="","",IF(COUNTIF(Precios!$G:$G,N2629)=0,"⚠ No coincide con Precios","OK"))</f>
        <v/>
      </c>
    </row>
    <row r="2630" spans="3:15" x14ac:dyDescent="0.2">
      <c r="C2630" s="9" cm="1">
        <f t="array" ref="C2630">IFERROR(_xlfn.XLOOKUP(B2630,Personal!$A:$A,Personal!$D:$D,""),"")</f>
        <v>0</v>
      </c>
      <c r="D2630" s="9" cm="1">
        <f t="array" ref="D2630">IFERROR(_xlfn.XLOOKUP(B2630,Personal!$A:$A,Personal!$C:$C,""),"")</f>
        <v>0</v>
      </c>
      <c r="E2630" s="9" t="str" cm="1">
        <f t="array" ref="E2630">IFERROR(_xlfn.XLOOKUP(D2630,Locales!$A:$A,Locales!$B:$B,""),"")</f>
        <v/>
      </c>
      <c r="F2630" s="9" cm="1">
        <f t="array" ref="F2630">IFERROR(_xlfn.XLOOKUP(B2630,Personal!$A:$A,Personal!$F:$F,""),"")</f>
        <v>0</v>
      </c>
      <c r="I2630" s="10" cm="1">
        <f t="array" ref="I2630">IFERROR(INDEX(Precios!$D:$F,MATCH(N2630, Precios!$G:$G, 0),CHOOSE(MATCH(H2630, {"SML";"XL";"XXL"}, 0), 1, 2, 3)), 0)</f>
        <v>0</v>
      </c>
      <c r="K2630" s="10">
        <f t="shared" si="90"/>
        <v>0</v>
      </c>
      <c r="N2630" s="9" t="str">
        <f t="shared" si="91"/>
        <v/>
      </c>
      <c r="O2630" s="9" t="str">
        <f>IF(N2630="","",IF(COUNTIF(Precios!$G:$G,N2630)=0,"⚠ No coincide con Precios","OK"))</f>
        <v/>
      </c>
    </row>
    <row r="2631" spans="3:15" x14ac:dyDescent="0.2">
      <c r="C2631" s="9" cm="1">
        <f t="array" ref="C2631">IFERROR(_xlfn.XLOOKUP(B2631,Personal!$A:$A,Personal!$D:$D,""),"")</f>
        <v>0</v>
      </c>
      <c r="D2631" s="9" cm="1">
        <f t="array" ref="D2631">IFERROR(_xlfn.XLOOKUP(B2631,Personal!$A:$A,Personal!$C:$C,""),"")</f>
        <v>0</v>
      </c>
      <c r="E2631" s="9" t="str" cm="1">
        <f t="array" ref="E2631">IFERROR(_xlfn.XLOOKUP(D2631,Locales!$A:$A,Locales!$B:$B,""),"")</f>
        <v/>
      </c>
      <c r="F2631" s="9" cm="1">
        <f t="array" ref="F2631">IFERROR(_xlfn.XLOOKUP(B2631,Personal!$A:$A,Personal!$F:$F,""),"")</f>
        <v>0</v>
      </c>
      <c r="I2631" s="10" cm="1">
        <f t="array" ref="I2631">IFERROR(INDEX(Precios!$D:$F,MATCH(N2631, Precios!$G:$G, 0),CHOOSE(MATCH(H2631, {"SML";"XL";"XXL"}, 0), 1, 2, 3)), 0)</f>
        <v>0</v>
      </c>
      <c r="K2631" s="10">
        <f t="shared" si="90"/>
        <v>0</v>
      </c>
      <c r="N2631" s="9" t="str">
        <f t="shared" si="91"/>
        <v/>
      </c>
      <c r="O2631" s="9" t="str">
        <f>IF(N2631="","",IF(COUNTIF(Precios!$G:$G,N2631)=0,"⚠ No coincide con Precios","OK"))</f>
        <v/>
      </c>
    </row>
    <row r="2632" spans="3:15" x14ac:dyDescent="0.2">
      <c r="C2632" s="9" cm="1">
        <f t="array" ref="C2632">IFERROR(_xlfn.XLOOKUP(B2632,Personal!$A:$A,Personal!$D:$D,""),"")</f>
        <v>0</v>
      </c>
      <c r="D2632" s="9" cm="1">
        <f t="array" ref="D2632">IFERROR(_xlfn.XLOOKUP(B2632,Personal!$A:$A,Personal!$C:$C,""),"")</f>
        <v>0</v>
      </c>
      <c r="E2632" s="9" t="str" cm="1">
        <f t="array" ref="E2632">IFERROR(_xlfn.XLOOKUP(D2632,Locales!$A:$A,Locales!$B:$B,""),"")</f>
        <v/>
      </c>
      <c r="F2632" s="9" cm="1">
        <f t="array" ref="F2632">IFERROR(_xlfn.XLOOKUP(B2632,Personal!$A:$A,Personal!$F:$F,""),"")</f>
        <v>0</v>
      </c>
      <c r="I2632" s="10" cm="1">
        <f t="array" ref="I2632">IFERROR(INDEX(Precios!$D:$F,MATCH(N2632, Precios!$G:$G, 0),CHOOSE(MATCH(H2632, {"SML";"XL";"XXL"}, 0), 1, 2, 3)), 0)</f>
        <v>0</v>
      </c>
      <c r="K2632" s="10">
        <f t="shared" si="90"/>
        <v>0</v>
      </c>
      <c r="N2632" s="9" t="str">
        <f t="shared" si="91"/>
        <v/>
      </c>
      <c r="O2632" s="9" t="str">
        <f>IF(N2632="","",IF(COUNTIF(Precios!$G:$G,N2632)=0,"⚠ No coincide con Precios","OK"))</f>
        <v/>
      </c>
    </row>
    <row r="2633" spans="3:15" x14ac:dyDescent="0.2">
      <c r="C2633" s="9" cm="1">
        <f t="array" ref="C2633">IFERROR(_xlfn.XLOOKUP(B2633,Personal!$A:$A,Personal!$D:$D,""),"")</f>
        <v>0</v>
      </c>
      <c r="D2633" s="9" cm="1">
        <f t="array" ref="D2633">IFERROR(_xlfn.XLOOKUP(B2633,Personal!$A:$A,Personal!$C:$C,""),"")</f>
        <v>0</v>
      </c>
      <c r="E2633" s="9" t="str" cm="1">
        <f t="array" ref="E2633">IFERROR(_xlfn.XLOOKUP(D2633,Locales!$A:$A,Locales!$B:$B,""),"")</f>
        <v/>
      </c>
      <c r="F2633" s="9" cm="1">
        <f t="array" ref="F2633">IFERROR(_xlfn.XLOOKUP(B2633,Personal!$A:$A,Personal!$F:$F,""),"")</f>
        <v>0</v>
      </c>
      <c r="I2633" s="10" cm="1">
        <f t="array" ref="I2633">IFERROR(INDEX(Precios!$D:$F,MATCH(N2633, Precios!$G:$G, 0),CHOOSE(MATCH(H2633, {"SML";"XL";"XXL"}, 0), 1, 2, 3)), 0)</f>
        <v>0</v>
      </c>
      <c r="K2633" s="10">
        <f t="shared" si="90"/>
        <v>0</v>
      </c>
      <c r="N2633" s="9" t="str">
        <f t="shared" si="91"/>
        <v/>
      </c>
      <c r="O2633" s="9" t="str">
        <f>IF(N2633="","",IF(COUNTIF(Precios!$G:$G,N2633)=0,"⚠ No coincide con Precios","OK"))</f>
        <v/>
      </c>
    </row>
    <row r="2634" spans="3:15" x14ac:dyDescent="0.2">
      <c r="C2634" s="9" cm="1">
        <f t="array" ref="C2634">IFERROR(_xlfn.XLOOKUP(B2634,Personal!$A:$A,Personal!$D:$D,""),"")</f>
        <v>0</v>
      </c>
      <c r="D2634" s="9" cm="1">
        <f t="array" ref="D2634">IFERROR(_xlfn.XLOOKUP(B2634,Personal!$A:$A,Personal!$C:$C,""),"")</f>
        <v>0</v>
      </c>
      <c r="E2634" s="9" t="str" cm="1">
        <f t="array" ref="E2634">IFERROR(_xlfn.XLOOKUP(D2634,Locales!$A:$A,Locales!$B:$B,""),"")</f>
        <v/>
      </c>
      <c r="F2634" s="9" cm="1">
        <f t="array" ref="F2634">IFERROR(_xlfn.XLOOKUP(B2634,Personal!$A:$A,Personal!$F:$F,""),"")</f>
        <v>0</v>
      </c>
      <c r="I2634" s="10" cm="1">
        <f t="array" ref="I2634">IFERROR(INDEX(Precios!$D:$F,MATCH(N2634, Precios!$G:$G, 0),CHOOSE(MATCH(H2634, {"SML";"XL";"XXL"}, 0), 1, 2, 3)), 0)</f>
        <v>0</v>
      </c>
      <c r="K2634" s="10">
        <f t="shared" si="90"/>
        <v>0</v>
      </c>
      <c r="N2634" s="9" t="str">
        <f t="shared" si="91"/>
        <v/>
      </c>
      <c r="O2634" s="9" t="str">
        <f>IF(N2634="","",IF(COUNTIF(Precios!$G:$G,N2634)=0,"⚠ No coincide con Precios","OK"))</f>
        <v/>
      </c>
    </row>
    <row r="2635" spans="3:15" x14ac:dyDescent="0.2">
      <c r="C2635" s="9" cm="1">
        <f t="array" ref="C2635">IFERROR(_xlfn.XLOOKUP(B2635,Personal!$A:$A,Personal!$D:$D,""),"")</f>
        <v>0</v>
      </c>
      <c r="D2635" s="9" cm="1">
        <f t="array" ref="D2635">IFERROR(_xlfn.XLOOKUP(B2635,Personal!$A:$A,Personal!$C:$C,""),"")</f>
        <v>0</v>
      </c>
      <c r="E2635" s="9" t="str" cm="1">
        <f t="array" ref="E2635">IFERROR(_xlfn.XLOOKUP(D2635,Locales!$A:$A,Locales!$B:$B,""),"")</f>
        <v/>
      </c>
      <c r="F2635" s="9" cm="1">
        <f t="array" ref="F2635">IFERROR(_xlfn.XLOOKUP(B2635,Personal!$A:$A,Personal!$F:$F,""),"")</f>
        <v>0</v>
      </c>
      <c r="I2635" s="10" cm="1">
        <f t="array" ref="I2635">IFERROR(INDEX(Precios!$D:$F,MATCH(N2635, Precios!$G:$G, 0),CHOOSE(MATCH(H2635, {"SML";"XL";"XXL"}, 0), 1, 2, 3)), 0)</f>
        <v>0</v>
      </c>
      <c r="K2635" s="10">
        <f t="shared" si="90"/>
        <v>0</v>
      </c>
      <c r="N2635" s="9" t="str">
        <f t="shared" si="91"/>
        <v/>
      </c>
      <c r="O2635" s="9" t="str">
        <f>IF(N2635="","",IF(COUNTIF(Precios!$G:$G,N2635)=0,"⚠ No coincide con Precios","OK"))</f>
        <v/>
      </c>
    </row>
    <row r="2636" spans="3:15" x14ac:dyDescent="0.2">
      <c r="C2636" s="9" cm="1">
        <f t="array" ref="C2636">IFERROR(_xlfn.XLOOKUP(B2636,Personal!$A:$A,Personal!$D:$D,""),"")</f>
        <v>0</v>
      </c>
      <c r="D2636" s="9" cm="1">
        <f t="array" ref="D2636">IFERROR(_xlfn.XLOOKUP(B2636,Personal!$A:$A,Personal!$C:$C,""),"")</f>
        <v>0</v>
      </c>
      <c r="E2636" s="9" t="str" cm="1">
        <f t="array" ref="E2636">IFERROR(_xlfn.XLOOKUP(D2636,Locales!$A:$A,Locales!$B:$B,""),"")</f>
        <v/>
      </c>
      <c r="F2636" s="9" cm="1">
        <f t="array" ref="F2636">IFERROR(_xlfn.XLOOKUP(B2636,Personal!$A:$A,Personal!$F:$F,""),"")</f>
        <v>0</v>
      </c>
      <c r="I2636" s="10" cm="1">
        <f t="array" ref="I2636">IFERROR(INDEX(Precios!$D:$F,MATCH(N2636, Precios!$G:$G, 0),CHOOSE(MATCH(H2636, {"SML";"XL";"XXL"}, 0), 1, 2, 3)), 0)</f>
        <v>0</v>
      </c>
      <c r="K2636" s="10">
        <f t="shared" si="90"/>
        <v>0</v>
      </c>
      <c r="N2636" s="9" t="str">
        <f t="shared" si="91"/>
        <v/>
      </c>
      <c r="O2636" s="9" t="str">
        <f>IF(N2636="","",IF(COUNTIF(Precios!$G:$G,N2636)=0,"⚠ No coincide con Precios","OK"))</f>
        <v/>
      </c>
    </row>
    <row r="2637" spans="3:15" x14ac:dyDescent="0.2">
      <c r="C2637" s="9" cm="1">
        <f t="array" ref="C2637">IFERROR(_xlfn.XLOOKUP(B2637,Personal!$A:$A,Personal!$D:$D,""),"")</f>
        <v>0</v>
      </c>
      <c r="D2637" s="9" cm="1">
        <f t="array" ref="D2637">IFERROR(_xlfn.XLOOKUP(B2637,Personal!$A:$A,Personal!$C:$C,""),"")</f>
        <v>0</v>
      </c>
      <c r="E2637" s="9" t="str" cm="1">
        <f t="array" ref="E2637">IFERROR(_xlfn.XLOOKUP(D2637,Locales!$A:$A,Locales!$B:$B,""),"")</f>
        <v/>
      </c>
      <c r="F2637" s="9" cm="1">
        <f t="array" ref="F2637">IFERROR(_xlfn.XLOOKUP(B2637,Personal!$A:$A,Personal!$F:$F,""),"")</f>
        <v>0</v>
      </c>
      <c r="I2637" s="10" cm="1">
        <f t="array" ref="I2637">IFERROR(INDEX(Precios!$D:$F,MATCH(N2637, Precios!$G:$G, 0),CHOOSE(MATCH(H2637, {"SML";"XL";"XXL"}, 0), 1, 2, 3)), 0)</f>
        <v>0</v>
      </c>
      <c r="K2637" s="10">
        <f t="shared" si="90"/>
        <v>0</v>
      </c>
      <c r="N2637" s="9" t="str">
        <f t="shared" si="91"/>
        <v/>
      </c>
      <c r="O2637" s="9" t="str">
        <f>IF(N2637="","",IF(COUNTIF(Precios!$G:$G,N2637)=0,"⚠ No coincide con Precios","OK"))</f>
        <v/>
      </c>
    </row>
    <row r="2638" spans="3:15" x14ac:dyDescent="0.2">
      <c r="C2638" s="9" cm="1">
        <f t="array" ref="C2638">IFERROR(_xlfn.XLOOKUP(B2638,Personal!$A:$A,Personal!$D:$D,""),"")</f>
        <v>0</v>
      </c>
      <c r="D2638" s="9" cm="1">
        <f t="array" ref="D2638">IFERROR(_xlfn.XLOOKUP(B2638,Personal!$A:$A,Personal!$C:$C,""),"")</f>
        <v>0</v>
      </c>
      <c r="E2638" s="9" t="str" cm="1">
        <f t="array" ref="E2638">IFERROR(_xlfn.XLOOKUP(D2638,Locales!$A:$A,Locales!$B:$B,""),"")</f>
        <v/>
      </c>
      <c r="F2638" s="9" cm="1">
        <f t="array" ref="F2638">IFERROR(_xlfn.XLOOKUP(B2638,Personal!$A:$A,Personal!$F:$F,""),"")</f>
        <v>0</v>
      </c>
      <c r="I2638" s="10" cm="1">
        <f t="array" ref="I2638">IFERROR(INDEX(Precios!$D:$F,MATCH(N2638, Precios!$G:$G, 0),CHOOSE(MATCH(H2638, {"SML";"XL";"XXL"}, 0), 1, 2, 3)), 0)</f>
        <v>0</v>
      </c>
      <c r="K2638" s="10">
        <f t="shared" si="90"/>
        <v>0</v>
      </c>
      <c r="N2638" s="9" t="str">
        <f t="shared" si="91"/>
        <v/>
      </c>
      <c r="O2638" s="9" t="str">
        <f>IF(N2638="","",IF(COUNTIF(Precios!$G:$G,N2638)=0,"⚠ No coincide con Precios","OK"))</f>
        <v/>
      </c>
    </row>
    <row r="2639" spans="3:15" x14ac:dyDescent="0.2">
      <c r="C2639" s="9" cm="1">
        <f t="array" ref="C2639">IFERROR(_xlfn.XLOOKUP(B2639,Personal!$A:$A,Personal!$D:$D,""),"")</f>
        <v>0</v>
      </c>
      <c r="D2639" s="9" cm="1">
        <f t="array" ref="D2639">IFERROR(_xlfn.XLOOKUP(B2639,Personal!$A:$A,Personal!$C:$C,""),"")</f>
        <v>0</v>
      </c>
      <c r="E2639" s="9" t="str" cm="1">
        <f t="array" ref="E2639">IFERROR(_xlfn.XLOOKUP(D2639,Locales!$A:$A,Locales!$B:$B,""),"")</f>
        <v/>
      </c>
      <c r="F2639" s="9" cm="1">
        <f t="array" ref="F2639">IFERROR(_xlfn.XLOOKUP(B2639,Personal!$A:$A,Personal!$F:$F,""),"")</f>
        <v>0</v>
      </c>
      <c r="I2639" s="10" cm="1">
        <f t="array" ref="I2639">IFERROR(INDEX(Precios!$D:$F,MATCH(N2639, Precios!$G:$G, 0),CHOOSE(MATCH(H2639, {"SML";"XL";"XXL"}, 0), 1, 2, 3)), 0)</f>
        <v>0</v>
      </c>
      <c r="K2639" s="10">
        <f t="shared" si="90"/>
        <v>0</v>
      </c>
      <c r="N2639" s="9" t="str">
        <f t="shared" si="91"/>
        <v/>
      </c>
      <c r="O2639" s="9" t="str">
        <f>IF(N2639="","",IF(COUNTIF(Precios!$G:$G,N2639)=0,"⚠ No coincide con Precios","OK"))</f>
        <v/>
      </c>
    </row>
    <row r="2640" spans="3:15" x14ac:dyDescent="0.2">
      <c r="C2640" s="9" cm="1">
        <f t="array" ref="C2640">IFERROR(_xlfn.XLOOKUP(B2640,Personal!$A:$A,Personal!$D:$D,""),"")</f>
        <v>0</v>
      </c>
      <c r="D2640" s="9" cm="1">
        <f t="array" ref="D2640">IFERROR(_xlfn.XLOOKUP(B2640,Personal!$A:$A,Personal!$C:$C,""),"")</f>
        <v>0</v>
      </c>
      <c r="E2640" s="9" t="str" cm="1">
        <f t="array" ref="E2640">IFERROR(_xlfn.XLOOKUP(D2640,Locales!$A:$A,Locales!$B:$B,""),"")</f>
        <v/>
      </c>
      <c r="F2640" s="9" cm="1">
        <f t="array" ref="F2640">IFERROR(_xlfn.XLOOKUP(B2640,Personal!$A:$A,Personal!$F:$F,""),"")</f>
        <v>0</v>
      </c>
      <c r="I2640" s="10" cm="1">
        <f t="array" ref="I2640">IFERROR(INDEX(Precios!$D:$F,MATCH(N2640, Precios!$G:$G, 0),CHOOSE(MATCH(H2640, {"SML";"XL";"XXL"}, 0), 1, 2, 3)), 0)</f>
        <v>0</v>
      </c>
      <c r="K2640" s="10">
        <f t="shared" si="90"/>
        <v>0</v>
      </c>
      <c r="N2640" s="9" t="str">
        <f t="shared" si="91"/>
        <v/>
      </c>
      <c r="O2640" s="9" t="str">
        <f>IF(N2640="","",IF(COUNTIF(Precios!$G:$G,N2640)=0,"⚠ No coincide con Precios","OK"))</f>
        <v/>
      </c>
    </row>
    <row r="2641" spans="3:15" x14ac:dyDescent="0.2">
      <c r="C2641" s="9" cm="1">
        <f t="array" ref="C2641">IFERROR(_xlfn.XLOOKUP(B2641,Personal!$A:$A,Personal!$D:$D,""),"")</f>
        <v>0</v>
      </c>
      <c r="D2641" s="9" cm="1">
        <f t="array" ref="D2641">IFERROR(_xlfn.XLOOKUP(B2641,Personal!$A:$A,Personal!$C:$C,""),"")</f>
        <v>0</v>
      </c>
      <c r="E2641" s="9" t="str" cm="1">
        <f t="array" ref="E2641">IFERROR(_xlfn.XLOOKUP(D2641,Locales!$A:$A,Locales!$B:$B,""),"")</f>
        <v/>
      </c>
      <c r="F2641" s="9" cm="1">
        <f t="array" ref="F2641">IFERROR(_xlfn.XLOOKUP(B2641,Personal!$A:$A,Personal!$F:$F,""),"")</f>
        <v>0</v>
      </c>
      <c r="I2641" s="10" cm="1">
        <f t="array" ref="I2641">IFERROR(INDEX(Precios!$D:$F,MATCH(N2641, Precios!$G:$G, 0),CHOOSE(MATCH(H2641, {"SML";"XL";"XXL"}, 0), 1, 2, 3)), 0)</f>
        <v>0</v>
      </c>
      <c r="K2641" s="10">
        <f t="shared" si="90"/>
        <v>0</v>
      </c>
      <c r="N2641" s="9" t="str">
        <f t="shared" si="91"/>
        <v/>
      </c>
      <c r="O2641" s="9" t="str">
        <f>IF(N2641="","",IF(COUNTIF(Precios!$G:$G,N2641)=0,"⚠ No coincide con Precios","OK"))</f>
        <v/>
      </c>
    </row>
    <row r="2642" spans="3:15" x14ac:dyDescent="0.2">
      <c r="C2642" s="9" cm="1">
        <f t="array" ref="C2642">IFERROR(_xlfn.XLOOKUP(B2642,Personal!$A:$A,Personal!$D:$D,""),"")</f>
        <v>0</v>
      </c>
      <c r="D2642" s="9" cm="1">
        <f t="array" ref="D2642">IFERROR(_xlfn.XLOOKUP(B2642,Personal!$A:$A,Personal!$C:$C,""),"")</f>
        <v>0</v>
      </c>
      <c r="E2642" s="9" t="str" cm="1">
        <f t="array" ref="E2642">IFERROR(_xlfn.XLOOKUP(D2642,Locales!$A:$A,Locales!$B:$B,""),"")</f>
        <v/>
      </c>
      <c r="F2642" s="9" cm="1">
        <f t="array" ref="F2642">IFERROR(_xlfn.XLOOKUP(B2642,Personal!$A:$A,Personal!$F:$F,""),"")</f>
        <v>0</v>
      </c>
      <c r="I2642" s="10" cm="1">
        <f t="array" ref="I2642">IFERROR(INDEX(Precios!$D:$F,MATCH(N2642, Precios!$G:$G, 0),CHOOSE(MATCH(H2642, {"SML";"XL";"XXL"}, 0), 1, 2, 3)), 0)</f>
        <v>0</v>
      </c>
      <c r="K2642" s="10">
        <f t="shared" si="90"/>
        <v>0</v>
      </c>
      <c r="N2642" s="9" t="str">
        <f t="shared" si="91"/>
        <v/>
      </c>
      <c r="O2642" s="9" t="str">
        <f>IF(N2642="","",IF(COUNTIF(Precios!$G:$G,N2642)=0,"⚠ No coincide con Precios","OK"))</f>
        <v/>
      </c>
    </row>
    <row r="2643" spans="3:15" x14ac:dyDescent="0.2">
      <c r="C2643" s="9" cm="1">
        <f t="array" ref="C2643">IFERROR(_xlfn.XLOOKUP(B2643,Personal!$A:$A,Personal!$D:$D,""),"")</f>
        <v>0</v>
      </c>
      <c r="D2643" s="9" cm="1">
        <f t="array" ref="D2643">IFERROR(_xlfn.XLOOKUP(B2643,Personal!$A:$A,Personal!$C:$C,""),"")</f>
        <v>0</v>
      </c>
      <c r="E2643" s="9" t="str" cm="1">
        <f t="array" ref="E2643">IFERROR(_xlfn.XLOOKUP(D2643,Locales!$A:$A,Locales!$B:$B,""),"")</f>
        <v/>
      </c>
      <c r="F2643" s="9" cm="1">
        <f t="array" ref="F2643">IFERROR(_xlfn.XLOOKUP(B2643,Personal!$A:$A,Personal!$F:$F,""),"")</f>
        <v>0</v>
      </c>
      <c r="I2643" s="10" cm="1">
        <f t="array" ref="I2643">IFERROR(INDEX(Precios!$D:$F,MATCH(N2643, Precios!$G:$G, 0),CHOOSE(MATCH(H2643, {"SML";"XL";"XXL"}, 0), 1, 2, 3)), 0)</f>
        <v>0</v>
      </c>
      <c r="K2643" s="10">
        <f t="shared" si="90"/>
        <v>0</v>
      </c>
      <c r="N2643" s="9" t="str">
        <f t="shared" si="91"/>
        <v/>
      </c>
      <c r="O2643" s="9" t="str">
        <f>IF(N2643="","",IF(COUNTIF(Precios!$G:$G,N2643)=0,"⚠ No coincide con Precios","OK"))</f>
        <v/>
      </c>
    </row>
    <row r="2644" spans="3:15" x14ac:dyDescent="0.2">
      <c r="C2644" s="9" cm="1">
        <f t="array" ref="C2644">IFERROR(_xlfn.XLOOKUP(B2644,Personal!$A:$A,Personal!$D:$D,""),"")</f>
        <v>0</v>
      </c>
      <c r="D2644" s="9" cm="1">
        <f t="array" ref="D2644">IFERROR(_xlfn.XLOOKUP(B2644,Personal!$A:$A,Personal!$C:$C,""),"")</f>
        <v>0</v>
      </c>
      <c r="E2644" s="9" t="str" cm="1">
        <f t="array" ref="E2644">IFERROR(_xlfn.XLOOKUP(D2644,Locales!$A:$A,Locales!$B:$B,""),"")</f>
        <v/>
      </c>
      <c r="F2644" s="9" cm="1">
        <f t="array" ref="F2644">IFERROR(_xlfn.XLOOKUP(B2644,Personal!$A:$A,Personal!$F:$F,""),"")</f>
        <v>0</v>
      </c>
      <c r="I2644" s="10" cm="1">
        <f t="array" ref="I2644">IFERROR(INDEX(Precios!$D:$F,MATCH(N2644, Precios!$G:$G, 0),CHOOSE(MATCH(H2644, {"SML";"XL";"XXL"}, 0), 1, 2, 3)), 0)</f>
        <v>0</v>
      </c>
      <c r="K2644" s="10">
        <f t="shared" si="90"/>
        <v>0</v>
      </c>
      <c r="N2644" s="9" t="str">
        <f t="shared" si="91"/>
        <v/>
      </c>
      <c r="O2644" s="9" t="str">
        <f>IF(N2644="","",IF(COUNTIF(Precios!$G:$G,N2644)=0,"⚠ No coincide con Precios","OK"))</f>
        <v/>
      </c>
    </row>
    <row r="2645" spans="3:15" x14ac:dyDescent="0.2">
      <c r="C2645" s="9" cm="1">
        <f t="array" ref="C2645">IFERROR(_xlfn.XLOOKUP(B2645,Personal!$A:$A,Personal!$D:$D,""),"")</f>
        <v>0</v>
      </c>
      <c r="D2645" s="9" cm="1">
        <f t="array" ref="D2645">IFERROR(_xlfn.XLOOKUP(B2645,Personal!$A:$A,Personal!$C:$C,""),"")</f>
        <v>0</v>
      </c>
      <c r="E2645" s="9" t="str" cm="1">
        <f t="array" ref="E2645">IFERROR(_xlfn.XLOOKUP(D2645,Locales!$A:$A,Locales!$B:$B,""),"")</f>
        <v/>
      </c>
      <c r="F2645" s="9" cm="1">
        <f t="array" ref="F2645">IFERROR(_xlfn.XLOOKUP(B2645,Personal!$A:$A,Personal!$F:$F,""),"")</f>
        <v>0</v>
      </c>
      <c r="I2645" s="10" cm="1">
        <f t="array" ref="I2645">IFERROR(INDEX(Precios!$D:$F,MATCH(N2645, Precios!$G:$G, 0),CHOOSE(MATCH(H2645, {"SML";"XL";"XXL"}, 0), 1, 2, 3)), 0)</f>
        <v>0</v>
      </c>
      <c r="K2645" s="10">
        <f t="shared" si="90"/>
        <v>0</v>
      </c>
      <c r="N2645" s="9" t="str">
        <f t="shared" si="91"/>
        <v/>
      </c>
      <c r="O2645" s="9" t="str">
        <f>IF(N2645="","",IF(COUNTIF(Precios!$G:$G,N2645)=0,"⚠ No coincide con Precios","OK"))</f>
        <v/>
      </c>
    </row>
    <row r="2646" spans="3:15" x14ac:dyDescent="0.2">
      <c r="C2646" s="9" cm="1">
        <f t="array" ref="C2646">IFERROR(_xlfn.XLOOKUP(B2646,Personal!$A:$A,Personal!$D:$D,""),"")</f>
        <v>0</v>
      </c>
      <c r="D2646" s="9" cm="1">
        <f t="array" ref="D2646">IFERROR(_xlfn.XLOOKUP(B2646,Personal!$A:$A,Personal!$C:$C,""),"")</f>
        <v>0</v>
      </c>
      <c r="E2646" s="9" t="str" cm="1">
        <f t="array" ref="E2646">IFERROR(_xlfn.XLOOKUP(D2646,Locales!$A:$A,Locales!$B:$B,""),"")</f>
        <v/>
      </c>
      <c r="F2646" s="9" cm="1">
        <f t="array" ref="F2646">IFERROR(_xlfn.XLOOKUP(B2646,Personal!$A:$A,Personal!$F:$F,""),"")</f>
        <v>0</v>
      </c>
      <c r="I2646" s="10" cm="1">
        <f t="array" ref="I2646">IFERROR(INDEX(Precios!$D:$F,MATCH(N2646, Precios!$G:$G, 0),CHOOSE(MATCH(H2646, {"SML";"XL";"XXL"}, 0), 1, 2, 3)), 0)</f>
        <v>0</v>
      </c>
      <c r="K2646" s="10">
        <f t="shared" si="90"/>
        <v>0</v>
      </c>
      <c r="N2646" s="9" t="str">
        <f t="shared" si="91"/>
        <v/>
      </c>
      <c r="O2646" s="9" t="str">
        <f>IF(N2646="","",IF(COUNTIF(Precios!$G:$G,N2646)=0,"⚠ No coincide con Precios","OK"))</f>
        <v/>
      </c>
    </row>
    <row r="2647" spans="3:15" x14ac:dyDescent="0.2">
      <c r="C2647" s="9" cm="1">
        <f t="array" ref="C2647">IFERROR(_xlfn.XLOOKUP(B2647,Personal!$A:$A,Personal!$D:$D,""),"")</f>
        <v>0</v>
      </c>
      <c r="D2647" s="9" cm="1">
        <f t="array" ref="D2647">IFERROR(_xlfn.XLOOKUP(B2647,Personal!$A:$A,Personal!$C:$C,""),"")</f>
        <v>0</v>
      </c>
      <c r="E2647" s="9" t="str" cm="1">
        <f t="array" ref="E2647">IFERROR(_xlfn.XLOOKUP(D2647,Locales!$A:$A,Locales!$B:$B,""),"")</f>
        <v/>
      </c>
      <c r="F2647" s="9" cm="1">
        <f t="array" ref="F2647">IFERROR(_xlfn.XLOOKUP(B2647,Personal!$A:$A,Personal!$F:$F,""),"")</f>
        <v>0</v>
      </c>
      <c r="I2647" s="10" cm="1">
        <f t="array" ref="I2647">IFERROR(INDEX(Precios!$D:$F,MATCH(N2647, Precios!$G:$G, 0),CHOOSE(MATCH(H2647, {"SML";"XL";"XXL"}, 0), 1, 2, 3)), 0)</f>
        <v>0</v>
      </c>
      <c r="K2647" s="10">
        <f t="shared" si="90"/>
        <v>0</v>
      </c>
      <c r="N2647" s="9" t="str">
        <f t="shared" si="91"/>
        <v/>
      </c>
      <c r="O2647" s="9" t="str">
        <f>IF(N2647="","",IF(COUNTIF(Precios!$G:$G,N2647)=0,"⚠ No coincide con Precios","OK"))</f>
        <v/>
      </c>
    </row>
    <row r="2648" spans="3:15" x14ac:dyDescent="0.2">
      <c r="C2648" s="9" cm="1">
        <f t="array" ref="C2648">IFERROR(_xlfn.XLOOKUP(B2648,Personal!$A:$A,Personal!$D:$D,""),"")</f>
        <v>0</v>
      </c>
      <c r="D2648" s="9" cm="1">
        <f t="array" ref="D2648">IFERROR(_xlfn.XLOOKUP(B2648,Personal!$A:$A,Personal!$C:$C,""),"")</f>
        <v>0</v>
      </c>
      <c r="E2648" s="9" t="str" cm="1">
        <f t="array" ref="E2648">IFERROR(_xlfn.XLOOKUP(D2648,Locales!$A:$A,Locales!$B:$B,""),"")</f>
        <v/>
      </c>
      <c r="F2648" s="9" cm="1">
        <f t="array" ref="F2648">IFERROR(_xlfn.XLOOKUP(B2648,Personal!$A:$A,Personal!$F:$F,""),"")</f>
        <v>0</v>
      </c>
      <c r="I2648" s="10" cm="1">
        <f t="array" ref="I2648">IFERROR(INDEX(Precios!$D:$F,MATCH(N2648, Precios!$G:$G, 0),CHOOSE(MATCH(H2648, {"SML";"XL";"XXL"}, 0), 1, 2, 3)), 0)</f>
        <v>0</v>
      </c>
      <c r="K2648" s="10">
        <f t="shared" si="90"/>
        <v>0</v>
      </c>
      <c r="N2648" s="9" t="str">
        <f t="shared" si="91"/>
        <v/>
      </c>
      <c r="O2648" s="9" t="str">
        <f>IF(N2648="","",IF(COUNTIF(Precios!$G:$G,N2648)=0,"⚠ No coincide con Precios","OK"))</f>
        <v/>
      </c>
    </row>
    <row r="2649" spans="3:15" x14ac:dyDescent="0.2">
      <c r="C2649" s="9" cm="1">
        <f t="array" ref="C2649">IFERROR(_xlfn.XLOOKUP(B2649,Personal!$A:$A,Personal!$D:$D,""),"")</f>
        <v>0</v>
      </c>
      <c r="D2649" s="9" cm="1">
        <f t="array" ref="D2649">IFERROR(_xlfn.XLOOKUP(B2649,Personal!$A:$A,Personal!$C:$C,""),"")</f>
        <v>0</v>
      </c>
      <c r="E2649" s="9" t="str" cm="1">
        <f t="array" ref="E2649">IFERROR(_xlfn.XLOOKUP(D2649,Locales!$A:$A,Locales!$B:$B,""),"")</f>
        <v/>
      </c>
      <c r="F2649" s="9" cm="1">
        <f t="array" ref="F2649">IFERROR(_xlfn.XLOOKUP(B2649,Personal!$A:$A,Personal!$F:$F,""),"")</f>
        <v>0</v>
      </c>
      <c r="I2649" s="10" cm="1">
        <f t="array" ref="I2649">IFERROR(INDEX(Precios!$D:$F,MATCH(N2649, Precios!$G:$G, 0),CHOOSE(MATCH(H2649, {"SML";"XL";"XXL"}, 0), 1, 2, 3)), 0)</f>
        <v>0</v>
      </c>
      <c r="K2649" s="10">
        <f t="shared" si="90"/>
        <v>0</v>
      </c>
      <c r="N2649" s="9" t="str">
        <f t="shared" si="91"/>
        <v/>
      </c>
      <c r="O2649" s="9" t="str">
        <f>IF(N2649="","",IF(COUNTIF(Precios!$G:$G,N2649)=0,"⚠ No coincide con Precios","OK"))</f>
        <v/>
      </c>
    </row>
    <row r="2650" spans="3:15" x14ac:dyDescent="0.2">
      <c r="C2650" s="9" cm="1">
        <f t="array" ref="C2650">IFERROR(_xlfn.XLOOKUP(B2650,Personal!$A:$A,Personal!$D:$D,""),"")</f>
        <v>0</v>
      </c>
      <c r="D2650" s="9" cm="1">
        <f t="array" ref="D2650">IFERROR(_xlfn.XLOOKUP(B2650,Personal!$A:$A,Personal!$C:$C,""),"")</f>
        <v>0</v>
      </c>
      <c r="E2650" s="9" t="str" cm="1">
        <f t="array" ref="E2650">IFERROR(_xlfn.XLOOKUP(D2650,Locales!$A:$A,Locales!$B:$B,""),"")</f>
        <v/>
      </c>
      <c r="F2650" s="9" cm="1">
        <f t="array" ref="F2650">IFERROR(_xlfn.XLOOKUP(B2650,Personal!$A:$A,Personal!$F:$F,""),"")</f>
        <v>0</v>
      </c>
      <c r="I2650" s="10" cm="1">
        <f t="array" ref="I2650">IFERROR(INDEX(Precios!$D:$F,MATCH(N2650, Precios!$G:$G, 0),CHOOSE(MATCH(H2650, {"SML";"XL";"XXL"}, 0), 1, 2, 3)), 0)</f>
        <v>0</v>
      </c>
      <c r="K2650" s="10">
        <f t="shared" si="90"/>
        <v>0</v>
      </c>
      <c r="N2650" s="9" t="str">
        <f t="shared" si="91"/>
        <v/>
      </c>
      <c r="O2650" s="9" t="str">
        <f>IF(N2650="","",IF(COUNTIF(Precios!$G:$G,N2650)=0,"⚠ No coincide con Precios","OK"))</f>
        <v/>
      </c>
    </row>
    <row r="2651" spans="3:15" x14ac:dyDescent="0.2">
      <c r="C2651" s="9" cm="1">
        <f t="array" ref="C2651">IFERROR(_xlfn.XLOOKUP(B2651,Personal!$A:$A,Personal!$D:$D,""),"")</f>
        <v>0</v>
      </c>
      <c r="D2651" s="9" cm="1">
        <f t="array" ref="D2651">IFERROR(_xlfn.XLOOKUP(B2651,Personal!$A:$A,Personal!$C:$C,""),"")</f>
        <v>0</v>
      </c>
      <c r="E2651" s="9" t="str" cm="1">
        <f t="array" ref="E2651">IFERROR(_xlfn.XLOOKUP(D2651,Locales!$A:$A,Locales!$B:$B,""),"")</f>
        <v/>
      </c>
      <c r="F2651" s="9" cm="1">
        <f t="array" ref="F2651">IFERROR(_xlfn.XLOOKUP(B2651,Personal!$A:$A,Personal!$F:$F,""),"")</f>
        <v>0</v>
      </c>
      <c r="I2651" s="10" cm="1">
        <f t="array" ref="I2651">IFERROR(INDEX(Precios!$D:$F,MATCH(N2651, Precios!$G:$G, 0),CHOOSE(MATCH(H2651, {"SML";"XL";"XXL"}, 0), 1, 2, 3)), 0)</f>
        <v>0</v>
      </c>
      <c r="K2651" s="10">
        <f t="shared" si="90"/>
        <v>0</v>
      </c>
      <c r="N2651" s="9" t="str">
        <f t="shared" si="91"/>
        <v/>
      </c>
      <c r="O2651" s="9" t="str">
        <f>IF(N2651="","",IF(COUNTIF(Precios!$G:$G,N2651)=0,"⚠ No coincide con Precios","OK"))</f>
        <v/>
      </c>
    </row>
    <row r="2652" spans="3:15" x14ac:dyDescent="0.2">
      <c r="C2652" s="9" cm="1">
        <f t="array" ref="C2652">IFERROR(_xlfn.XLOOKUP(B2652,Personal!$A:$A,Personal!$D:$D,""),"")</f>
        <v>0</v>
      </c>
      <c r="D2652" s="9" cm="1">
        <f t="array" ref="D2652">IFERROR(_xlfn.XLOOKUP(B2652,Personal!$A:$A,Personal!$C:$C,""),"")</f>
        <v>0</v>
      </c>
      <c r="E2652" s="9" t="str" cm="1">
        <f t="array" ref="E2652">IFERROR(_xlfn.XLOOKUP(D2652,Locales!$A:$A,Locales!$B:$B,""),"")</f>
        <v/>
      </c>
      <c r="F2652" s="9" cm="1">
        <f t="array" ref="F2652">IFERROR(_xlfn.XLOOKUP(B2652,Personal!$A:$A,Personal!$F:$F,""),"")</f>
        <v>0</v>
      </c>
      <c r="I2652" s="10" cm="1">
        <f t="array" ref="I2652">IFERROR(INDEX(Precios!$D:$F,MATCH(N2652, Precios!$G:$G, 0),CHOOSE(MATCH(H2652, {"SML";"XL";"XXL"}, 0), 1, 2, 3)), 0)</f>
        <v>0</v>
      </c>
      <c r="K2652" s="10">
        <f t="shared" si="90"/>
        <v>0</v>
      </c>
      <c r="N2652" s="9" t="str">
        <f t="shared" si="91"/>
        <v/>
      </c>
      <c r="O2652" s="9" t="str">
        <f>IF(N2652="","",IF(COUNTIF(Precios!$G:$G,N2652)=0,"⚠ No coincide con Precios","OK"))</f>
        <v/>
      </c>
    </row>
    <row r="2653" spans="3:15" x14ac:dyDescent="0.2">
      <c r="C2653" s="9" cm="1">
        <f t="array" ref="C2653">IFERROR(_xlfn.XLOOKUP(B2653,Personal!$A:$A,Personal!$D:$D,""),"")</f>
        <v>0</v>
      </c>
      <c r="D2653" s="9" cm="1">
        <f t="array" ref="D2653">IFERROR(_xlfn.XLOOKUP(B2653,Personal!$A:$A,Personal!$C:$C,""),"")</f>
        <v>0</v>
      </c>
      <c r="E2653" s="9" t="str" cm="1">
        <f t="array" ref="E2653">IFERROR(_xlfn.XLOOKUP(D2653,Locales!$A:$A,Locales!$B:$B,""),"")</f>
        <v/>
      </c>
      <c r="F2653" s="9" cm="1">
        <f t="array" ref="F2653">IFERROR(_xlfn.XLOOKUP(B2653,Personal!$A:$A,Personal!$F:$F,""),"")</f>
        <v>0</v>
      </c>
      <c r="I2653" s="10" cm="1">
        <f t="array" ref="I2653">IFERROR(INDEX(Precios!$D:$F,MATCH(N2653, Precios!$G:$G, 0),CHOOSE(MATCH(H2653, {"SML";"XL";"XXL"}, 0), 1, 2, 3)), 0)</f>
        <v>0</v>
      </c>
      <c r="K2653" s="10">
        <f t="shared" si="90"/>
        <v>0</v>
      </c>
      <c r="N2653" s="9" t="str">
        <f t="shared" si="91"/>
        <v/>
      </c>
      <c r="O2653" s="9" t="str">
        <f>IF(N2653="","",IF(COUNTIF(Precios!$G:$G,N2653)=0,"⚠ No coincide con Precios","OK"))</f>
        <v/>
      </c>
    </row>
    <row r="2654" spans="3:15" x14ac:dyDescent="0.2">
      <c r="C2654" s="9" cm="1">
        <f t="array" ref="C2654">IFERROR(_xlfn.XLOOKUP(B2654,Personal!$A:$A,Personal!$D:$D,""),"")</f>
        <v>0</v>
      </c>
      <c r="D2654" s="9" cm="1">
        <f t="array" ref="D2654">IFERROR(_xlfn.XLOOKUP(B2654,Personal!$A:$A,Personal!$C:$C,""),"")</f>
        <v>0</v>
      </c>
      <c r="E2654" s="9" t="str" cm="1">
        <f t="array" ref="E2654">IFERROR(_xlfn.XLOOKUP(D2654,Locales!$A:$A,Locales!$B:$B,""),"")</f>
        <v/>
      </c>
      <c r="F2654" s="9" cm="1">
        <f t="array" ref="F2654">IFERROR(_xlfn.XLOOKUP(B2654,Personal!$A:$A,Personal!$F:$F,""),"")</f>
        <v>0</v>
      </c>
      <c r="I2654" s="10" cm="1">
        <f t="array" ref="I2654">IFERROR(INDEX(Precios!$D:$F,MATCH(N2654, Precios!$G:$G, 0),CHOOSE(MATCH(H2654, {"SML";"XL";"XXL"}, 0), 1, 2, 3)), 0)</f>
        <v>0</v>
      </c>
      <c r="K2654" s="10">
        <f t="shared" si="90"/>
        <v>0</v>
      </c>
      <c r="N2654" s="9" t="str">
        <f t="shared" si="91"/>
        <v/>
      </c>
      <c r="O2654" s="9" t="str">
        <f>IF(N2654="","",IF(COUNTIF(Precios!$G:$G,N2654)=0,"⚠ No coincide con Precios","OK"))</f>
        <v/>
      </c>
    </row>
    <row r="2655" spans="3:15" x14ac:dyDescent="0.2">
      <c r="C2655" s="9" cm="1">
        <f t="array" ref="C2655">IFERROR(_xlfn.XLOOKUP(B2655,Personal!$A:$A,Personal!$D:$D,""),"")</f>
        <v>0</v>
      </c>
      <c r="D2655" s="9" cm="1">
        <f t="array" ref="D2655">IFERROR(_xlfn.XLOOKUP(B2655,Personal!$A:$A,Personal!$C:$C,""),"")</f>
        <v>0</v>
      </c>
      <c r="E2655" s="9" t="str" cm="1">
        <f t="array" ref="E2655">IFERROR(_xlfn.XLOOKUP(D2655,Locales!$A:$A,Locales!$B:$B,""),"")</f>
        <v/>
      </c>
      <c r="F2655" s="9" cm="1">
        <f t="array" ref="F2655">IFERROR(_xlfn.XLOOKUP(B2655,Personal!$A:$A,Personal!$F:$F,""),"")</f>
        <v>0</v>
      </c>
      <c r="I2655" s="10" cm="1">
        <f t="array" ref="I2655">IFERROR(INDEX(Precios!$D:$F,MATCH(N2655, Precios!$G:$G, 0),CHOOSE(MATCH(H2655, {"SML";"XL";"XXL"}, 0), 1, 2, 3)), 0)</f>
        <v>0</v>
      </c>
      <c r="K2655" s="10">
        <f t="shared" si="90"/>
        <v>0</v>
      </c>
      <c r="N2655" s="9" t="str">
        <f t="shared" si="91"/>
        <v/>
      </c>
      <c r="O2655" s="9" t="str">
        <f>IF(N2655="","",IF(COUNTIF(Precios!$G:$G,N2655)=0,"⚠ No coincide con Precios","OK"))</f>
        <v/>
      </c>
    </row>
    <row r="2656" spans="3:15" x14ac:dyDescent="0.2">
      <c r="C2656" s="9" cm="1">
        <f t="array" ref="C2656">IFERROR(_xlfn.XLOOKUP(B2656,Personal!$A:$A,Personal!$D:$D,""),"")</f>
        <v>0</v>
      </c>
      <c r="D2656" s="9" cm="1">
        <f t="array" ref="D2656">IFERROR(_xlfn.XLOOKUP(B2656,Personal!$A:$A,Personal!$C:$C,""),"")</f>
        <v>0</v>
      </c>
      <c r="E2656" s="9" t="str" cm="1">
        <f t="array" ref="E2656">IFERROR(_xlfn.XLOOKUP(D2656,Locales!$A:$A,Locales!$B:$B,""),"")</f>
        <v/>
      </c>
      <c r="F2656" s="9" cm="1">
        <f t="array" ref="F2656">IFERROR(_xlfn.XLOOKUP(B2656,Personal!$A:$A,Personal!$F:$F,""),"")</f>
        <v>0</v>
      </c>
      <c r="I2656" s="10" cm="1">
        <f t="array" ref="I2656">IFERROR(INDEX(Precios!$D:$F,MATCH(N2656, Precios!$G:$G, 0),CHOOSE(MATCH(H2656, {"SML";"XL";"XXL"}, 0), 1, 2, 3)), 0)</f>
        <v>0</v>
      </c>
      <c r="K2656" s="10">
        <f t="shared" si="90"/>
        <v>0</v>
      </c>
      <c r="N2656" s="9" t="str">
        <f t="shared" si="91"/>
        <v/>
      </c>
      <c r="O2656" s="9" t="str">
        <f>IF(N2656="","",IF(COUNTIF(Precios!$G:$G,N2656)=0,"⚠ No coincide con Precios","OK"))</f>
        <v/>
      </c>
    </row>
    <row r="2657" spans="3:15" x14ac:dyDescent="0.2">
      <c r="C2657" s="9" cm="1">
        <f t="array" ref="C2657">IFERROR(_xlfn.XLOOKUP(B2657,Personal!$A:$A,Personal!$D:$D,""),"")</f>
        <v>0</v>
      </c>
      <c r="D2657" s="9" cm="1">
        <f t="array" ref="D2657">IFERROR(_xlfn.XLOOKUP(B2657,Personal!$A:$A,Personal!$C:$C,""),"")</f>
        <v>0</v>
      </c>
      <c r="E2657" s="9" t="str" cm="1">
        <f t="array" ref="E2657">IFERROR(_xlfn.XLOOKUP(D2657,Locales!$A:$A,Locales!$B:$B,""),"")</f>
        <v/>
      </c>
      <c r="F2657" s="9" cm="1">
        <f t="array" ref="F2657">IFERROR(_xlfn.XLOOKUP(B2657,Personal!$A:$A,Personal!$F:$F,""),"")</f>
        <v>0</v>
      </c>
      <c r="I2657" s="10" cm="1">
        <f t="array" ref="I2657">IFERROR(INDEX(Precios!$D:$F,MATCH(N2657, Precios!$G:$G, 0),CHOOSE(MATCH(H2657, {"SML";"XL";"XXL"}, 0), 1, 2, 3)), 0)</f>
        <v>0</v>
      </c>
      <c r="K2657" s="10">
        <f t="shared" si="90"/>
        <v>0</v>
      </c>
      <c r="N2657" s="9" t="str">
        <f t="shared" si="91"/>
        <v/>
      </c>
      <c r="O2657" s="9" t="str">
        <f>IF(N2657="","",IF(COUNTIF(Precios!$G:$G,N2657)=0,"⚠ No coincide con Precios","OK"))</f>
        <v/>
      </c>
    </row>
    <row r="2658" spans="3:15" x14ac:dyDescent="0.2">
      <c r="C2658" s="9" cm="1">
        <f t="array" ref="C2658">IFERROR(_xlfn.XLOOKUP(B2658,Personal!$A:$A,Personal!$D:$D,""),"")</f>
        <v>0</v>
      </c>
      <c r="D2658" s="9" cm="1">
        <f t="array" ref="D2658">IFERROR(_xlfn.XLOOKUP(B2658,Personal!$A:$A,Personal!$C:$C,""),"")</f>
        <v>0</v>
      </c>
      <c r="E2658" s="9" t="str" cm="1">
        <f t="array" ref="E2658">IFERROR(_xlfn.XLOOKUP(D2658,Locales!$A:$A,Locales!$B:$B,""),"")</f>
        <v/>
      </c>
      <c r="F2658" s="9" cm="1">
        <f t="array" ref="F2658">IFERROR(_xlfn.XLOOKUP(B2658,Personal!$A:$A,Personal!$F:$F,""),"")</f>
        <v>0</v>
      </c>
      <c r="I2658" s="10" cm="1">
        <f t="array" ref="I2658">IFERROR(INDEX(Precios!$D:$F,MATCH(N2658, Precios!$G:$G, 0),CHOOSE(MATCH(H2658, {"SML";"XL";"XXL"}, 0), 1, 2, 3)), 0)</f>
        <v>0</v>
      </c>
      <c r="K2658" s="10">
        <f t="shared" si="90"/>
        <v>0</v>
      </c>
      <c r="N2658" s="9" t="str">
        <f t="shared" si="91"/>
        <v/>
      </c>
      <c r="O2658" s="9" t="str">
        <f>IF(N2658="","",IF(COUNTIF(Precios!$G:$G,N2658)=0,"⚠ No coincide con Precios","OK"))</f>
        <v/>
      </c>
    </row>
    <row r="2659" spans="3:15" x14ac:dyDescent="0.2">
      <c r="C2659" s="9" cm="1">
        <f t="array" ref="C2659">IFERROR(_xlfn.XLOOKUP(B2659,Personal!$A:$A,Personal!$D:$D,""),"")</f>
        <v>0</v>
      </c>
      <c r="D2659" s="9" cm="1">
        <f t="array" ref="D2659">IFERROR(_xlfn.XLOOKUP(B2659,Personal!$A:$A,Personal!$C:$C,""),"")</f>
        <v>0</v>
      </c>
      <c r="E2659" s="9" t="str" cm="1">
        <f t="array" ref="E2659">IFERROR(_xlfn.XLOOKUP(D2659,Locales!$A:$A,Locales!$B:$B,""),"")</f>
        <v/>
      </c>
      <c r="F2659" s="9" cm="1">
        <f t="array" ref="F2659">IFERROR(_xlfn.XLOOKUP(B2659,Personal!$A:$A,Personal!$F:$F,""),"")</f>
        <v>0</v>
      </c>
      <c r="I2659" s="10" cm="1">
        <f t="array" ref="I2659">IFERROR(INDEX(Precios!$D:$F,MATCH(N2659, Precios!$G:$G, 0),CHOOSE(MATCH(H2659, {"SML";"XL";"XXL"}, 0), 1, 2, 3)), 0)</f>
        <v>0</v>
      </c>
      <c r="K2659" s="10">
        <f t="shared" si="90"/>
        <v>0</v>
      </c>
      <c r="N2659" s="9" t="str">
        <f t="shared" si="91"/>
        <v/>
      </c>
      <c r="O2659" s="9" t="str">
        <f>IF(N2659="","",IF(COUNTIF(Precios!$G:$G,N2659)=0,"⚠ No coincide con Precios","OK"))</f>
        <v/>
      </c>
    </row>
    <row r="2660" spans="3:15" x14ac:dyDescent="0.2">
      <c r="C2660" s="9" cm="1">
        <f t="array" ref="C2660">IFERROR(_xlfn.XLOOKUP(B2660,Personal!$A:$A,Personal!$D:$D,""),"")</f>
        <v>0</v>
      </c>
      <c r="D2660" s="9" cm="1">
        <f t="array" ref="D2660">IFERROR(_xlfn.XLOOKUP(B2660,Personal!$A:$A,Personal!$C:$C,""),"")</f>
        <v>0</v>
      </c>
      <c r="E2660" s="9" t="str" cm="1">
        <f t="array" ref="E2660">IFERROR(_xlfn.XLOOKUP(D2660,Locales!$A:$A,Locales!$B:$B,""),"")</f>
        <v/>
      </c>
      <c r="F2660" s="9" cm="1">
        <f t="array" ref="F2660">IFERROR(_xlfn.XLOOKUP(B2660,Personal!$A:$A,Personal!$F:$F,""),"")</f>
        <v>0</v>
      </c>
      <c r="I2660" s="10" cm="1">
        <f t="array" ref="I2660">IFERROR(INDEX(Precios!$D:$F,MATCH(N2660, Precios!$G:$G, 0),CHOOSE(MATCH(H2660, {"SML";"XL";"XXL"}, 0), 1, 2, 3)), 0)</f>
        <v>0</v>
      </c>
      <c r="K2660" s="10">
        <f t="shared" si="90"/>
        <v>0</v>
      </c>
      <c r="N2660" s="9" t="str">
        <f t="shared" si="91"/>
        <v/>
      </c>
      <c r="O2660" s="9" t="str">
        <f>IF(N2660="","",IF(COUNTIF(Precios!$G:$G,N2660)=0,"⚠ No coincide con Precios","OK"))</f>
        <v/>
      </c>
    </row>
    <row r="2661" spans="3:15" x14ac:dyDescent="0.2">
      <c r="C2661" s="9" cm="1">
        <f t="array" ref="C2661">IFERROR(_xlfn.XLOOKUP(B2661,Personal!$A:$A,Personal!$D:$D,""),"")</f>
        <v>0</v>
      </c>
      <c r="D2661" s="9" cm="1">
        <f t="array" ref="D2661">IFERROR(_xlfn.XLOOKUP(B2661,Personal!$A:$A,Personal!$C:$C,""),"")</f>
        <v>0</v>
      </c>
      <c r="E2661" s="9" t="str" cm="1">
        <f t="array" ref="E2661">IFERROR(_xlfn.XLOOKUP(D2661,Locales!$A:$A,Locales!$B:$B,""),"")</f>
        <v/>
      </c>
      <c r="F2661" s="9" cm="1">
        <f t="array" ref="F2661">IFERROR(_xlfn.XLOOKUP(B2661,Personal!$A:$A,Personal!$F:$F,""),"")</f>
        <v>0</v>
      </c>
      <c r="I2661" s="10" cm="1">
        <f t="array" ref="I2661">IFERROR(INDEX(Precios!$D:$F,MATCH(N2661, Precios!$G:$G, 0),CHOOSE(MATCH(H2661, {"SML";"XL";"XXL"}, 0), 1, 2, 3)), 0)</f>
        <v>0</v>
      </c>
      <c r="K2661" s="10">
        <f t="shared" si="90"/>
        <v>0</v>
      </c>
      <c r="N2661" s="9" t="str">
        <f t="shared" si="91"/>
        <v/>
      </c>
      <c r="O2661" s="9" t="str">
        <f>IF(N2661="","",IF(COUNTIF(Precios!$G:$G,N2661)=0,"⚠ No coincide con Precios","OK"))</f>
        <v/>
      </c>
    </row>
    <row r="2662" spans="3:15" x14ac:dyDescent="0.2">
      <c r="C2662" s="9" cm="1">
        <f t="array" ref="C2662">IFERROR(_xlfn.XLOOKUP(B2662,Personal!$A:$A,Personal!$D:$D,""),"")</f>
        <v>0</v>
      </c>
      <c r="D2662" s="9" cm="1">
        <f t="array" ref="D2662">IFERROR(_xlfn.XLOOKUP(B2662,Personal!$A:$A,Personal!$C:$C,""),"")</f>
        <v>0</v>
      </c>
      <c r="E2662" s="9" t="str" cm="1">
        <f t="array" ref="E2662">IFERROR(_xlfn.XLOOKUP(D2662,Locales!$A:$A,Locales!$B:$B,""),"")</f>
        <v/>
      </c>
      <c r="F2662" s="9" cm="1">
        <f t="array" ref="F2662">IFERROR(_xlfn.XLOOKUP(B2662,Personal!$A:$A,Personal!$F:$F,""),"")</f>
        <v>0</v>
      </c>
      <c r="I2662" s="10" cm="1">
        <f t="array" ref="I2662">IFERROR(INDEX(Precios!$D:$F,MATCH(N2662, Precios!$G:$G, 0),CHOOSE(MATCH(H2662, {"SML";"XL";"XXL"}, 0), 1, 2, 3)), 0)</f>
        <v>0</v>
      </c>
      <c r="K2662" s="10">
        <f t="shared" si="90"/>
        <v>0</v>
      </c>
      <c r="N2662" s="9" t="str">
        <f t="shared" si="91"/>
        <v/>
      </c>
      <c r="O2662" s="9" t="str">
        <f>IF(N2662="","",IF(COUNTIF(Precios!$G:$G,N2662)=0,"⚠ No coincide con Precios","OK"))</f>
        <v/>
      </c>
    </row>
    <row r="2663" spans="3:15" x14ac:dyDescent="0.2">
      <c r="C2663" s="9" cm="1">
        <f t="array" ref="C2663">IFERROR(_xlfn.XLOOKUP(B2663,Personal!$A:$A,Personal!$D:$D,""),"")</f>
        <v>0</v>
      </c>
      <c r="D2663" s="9" cm="1">
        <f t="array" ref="D2663">IFERROR(_xlfn.XLOOKUP(B2663,Personal!$A:$A,Personal!$C:$C,""),"")</f>
        <v>0</v>
      </c>
      <c r="E2663" s="9" t="str" cm="1">
        <f t="array" ref="E2663">IFERROR(_xlfn.XLOOKUP(D2663,Locales!$A:$A,Locales!$B:$B,""),"")</f>
        <v/>
      </c>
      <c r="F2663" s="9" cm="1">
        <f t="array" ref="F2663">IFERROR(_xlfn.XLOOKUP(B2663,Personal!$A:$A,Personal!$F:$F,""),"")</f>
        <v>0</v>
      </c>
      <c r="I2663" s="10" cm="1">
        <f t="array" ref="I2663">IFERROR(INDEX(Precios!$D:$F,MATCH(N2663, Precios!$G:$G, 0),CHOOSE(MATCH(H2663, {"SML";"XL";"XXL"}, 0), 1, 2, 3)), 0)</f>
        <v>0</v>
      </c>
      <c r="K2663" s="10">
        <f t="shared" si="90"/>
        <v>0</v>
      </c>
      <c r="N2663" s="9" t="str">
        <f t="shared" si="91"/>
        <v/>
      </c>
      <c r="O2663" s="9" t="str">
        <f>IF(N2663="","",IF(COUNTIF(Precios!$G:$G,N2663)=0,"⚠ No coincide con Precios","OK"))</f>
        <v/>
      </c>
    </row>
    <row r="2664" spans="3:15" x14ac:dyDescent="0.2">
      <c r="C2664" s="9" cm="1">
        <f t="array" ref="C2664">IFERROR(_xlfn.XLOOKUP(B2664,Personal!$A:$A,Personal!$D:$D,""),"")</f>
        <v>0</v>
      </c>
      <c r="D2664" s="9" cm="1">
        <f t="array" ref="D2664">IFERROR(_xlfn.XLOOKUP(B2664,Personal!$A:$A,Personal!$C:$C,""),"")</f>
        <v>0</v>
      </c>
      <c r="E2664" s="9" t="str" cm="1">
        <f t="array" ref="E2664">IFERROR(_xlfn.XLOOKUP(D2664,Locales!$A:$A,Locales!$B:$B,""),"")</f>
        <v/>
      </c>
      <c r="F2664" s="9" cm="1">
        <f t="array" ref="F2664">IFERROR(_xlfn.XLOOKUP(B2664,Personal!$A:$A,Personal!$F:$F,""),"")</f>
        <v>0</v>
      </c>
      <c r="I2664" s="10" cm="1">
        <f t="array" ref="I2664">IFERROR(INDEX(Precios!$D:$F,MATCH(N2664, Precios!$G:$G, 0),CHOOSE(MATCH(H2664, {"SML";"XL";"XXL"}, 0), 1, 2, 3)), 0)</f>
        <v>0</v>
      </c>
      <c r="K2664" s="10">
        <f t="shared" si="90"/>
        <v>0</v>
      </c>
      <c r="N2664" s="9" t="str">
        <f t="shared" si="91"/>
        <v/>
      </c>
      <c r="O2664" s="9" t="str">
        <f>IF(N2664="","",IF(COUNTIF(Precios!$G:$G,N2664)=0,"⚠ No coincide con Precios","OK"))</f>
        <v/>
      </c>
    </row>
    <row r="2665" spans="3:15" x14ac:dyDescent="0.2">
      <c r="C2665" s="9" cm="1">
        <f t="array" ref="C2665">IFERROR(_xlfn.XLOOKUP(B2665,Personal!$A:$A,Personal!$D:$D,""),"")</f>
        <v>0</v>
      </c>
      <c r="D2665" s="9" cm="1">
        <f t="array" ref="D2665">IFERROR(_xlfn.XLOOKUP(B2665,Personal!$A:$A,Personal!$C:$C,""),"")</f>
        <v>0</v>
      </c>
      <c r="E2665" s="9" t="str" cm="1">
        <f t="array" ref="E2665">IFERROR(_xlfn.XLOOKUP(D2665,Locales!$A:$A,Locales!$B:$B,""),"")</f>
        <v/>
      </c>
      <c r="F2665" s="9" cm="1">
        <f t="array" ref="F2665">IFERROR(_xlfn.XLOOKUP(B2665,Personal!$A:$A,Personal!$F:$F,""),"")</f>
        <v>0</v>
      </c>
      <c r="I2665" s="10" cm="1">
        <f t="array" ref="I2665">IFERROR(INDEX(Precios!$D:$F,MATCH(N2665, Precios!$G:$G, 0),CHOOSE(MATCH(H2665, {"SML";"XL";"XXL"}, 0), 1, 2, 3)), 0)</f>
        <v>0</v>
      </c>
      <c r="K2665" s="10">
        <f t="shared" si="90"/>
        <v>0</v>
      </c>
      <c r="N2665" s="9" t="str">
        <f t="shared" si="91"/>
        <v/>
      </c>
      <c r="O2665" s="9" t="str">
        <f>IF(N2665="","",IF(COUNTIF(Precios!$G:$G,N2665)=0,"⚠ No coincide con Precios","OK"))</f>
        <v/>
      </c>
    </row>
    <row r="2666" spans="3:15" x14ac:dyDescent="0.2">
      <c r="C2666" s="9" cm="1">
        <f t="array" ref="C2666">IFERROR(_xlfn.XLOOKUP(B2666,Personal!$A:$A,Personal!$D:$D,""),"")</f>
        <v>0</v>
      </c>
      <c r="D2666" s="9" cm="1">
        <f t="array" ref="D2666">IFERROR(_xlfn.XLOOKUP(B2666,Personal!$A:$A,Personal!$C:$C,""),"")</f>
        <v>0</v>
      </c>
      <c r="E2666" s="9" t="str" cm="1">
        <f t="array" ref="E2666">IFERROR(_xlfn.XLOOKUP(D2666,Locales!$A:$A,Locales!$B:$B,""),"")</f>
        <v/>
      </c>
      <c r="F2666" s="9" cm="1">
        <f t="array" ref="F2666">IFERROR(_xlfn.XLOOKUP(B2666,Personal!$A:$A,Personal!$F:$F,""),"")</f>
        <v>0</v>
      </c>
      <c r="I2666" s="10" cm="1">
        <f t="array" ref="I2666">IFERROR(INDEX(Precios!$D:$F,MATCH(N2666, Precios!$G:$G, 0),CHOOSE(MATCH(H2666, {"SML";"XL";"XXL"}, 0), 1, 2, 3)), 0)</f>
        <v>0</v>
      </c>
      <c r="K2666" s="10">
        <f t="shared" si="90"/>
        <v>0</v>
      </c>
      <c r="N2666" s="9" t="str">
        <f t="shared" si="91"/>
        <v/>
      </c>
      <c r="O2666" s="9" t="str">
        <f>IF(N2666="","",IF(COUNTIF(Precios!$G:$G,N2666)=0,"⚠ No coincide con Precios","OK"))</f>
        <v/>
      </c>
    </row>
    <row r="2667" spans="3:15" x14ac:dyDescent="0.2">
      <c r="C2667" s="9" cm="1">
        <f t="array" ref="C2667">IFERROR(_xlfn.XLOOKUP(B2667,Personal!$A:$A,Personal!$D:$D,""),"")</f>
        <v>0</v>
      </c>
      <c r="D2667" s="9" cm="1">
        <f t="array" ref="D2667">IFERROR(_xlfn.XLOOKUP(B2667,Personal!$A:$A,Personal!$C:$C,""),"")</f>
        <v>0</v>
      </c>
      <c r="E2667" s="9" t="str" cm="1">
        <f t="array" ref="E2667">IFERROR(_xlfn.XLOOKUP(D2667,Locales!$A:$A,Locales!$B:$B,""),"")</f>
        <v/>
      </c>
      <c r="F2667" s="9" cm="1">
        <f t="array" ref="F2667">IFERROR(_xlfn.XLOOKUP(B2667,Personal!$A:$A,Personal!$F:$F,""),"")</f>
        <v>0</v>
      </c>
      <c r="I2667" s="10" cm="1">
        <f t="array" ref="I2667">IFERROR(INDEX(Precios!$D:$F,MATCH(N2667, Precios!$G:$G, 0),CHOOSE(MATCH(H2667, {"SML";"XL";"XXL"}, 0), 1, 2, 3)), 0)</f>
        <v>0</v>
      </c>
      <c r="K2667" s="10">
        <f t="shared" si="90"/>
        <v>0</v>
      </c>
      <c r="N2667" s="9" t="str">
        <f t="shared" si="91"/>
        <v/>
      </c>
      <c r="O2667" s="9" t="str">
        <f>IF(N2667="","",IF(COUNTIF(Precios!$G:$G,N2667)=0,"⚠ No coincide con Precios","OK"))</f>
        <v/>
      </c>
    </row>
    <row r="2668" spans="3:15" x14ac:dyDescent="0.2">
      <c r="C2668" s="9" cm="1">
        <f t="array" ref="C2668">IFERROR(_xlfn.XLOOKUP(B2668,Personal!$A:$A,Personal!$D:$D,""),"")</f>
        <v>0</v>
      </c>
      <c r="D2668" s="9" cm="1">
        <f t="array" ref="D2668">IFERROR(_xlfn.XLOOKUP(B2668,Personal!$A:$A,Personal!$C:$C,""),"")</f>
        <v>0</v>
      </c>
      <c r="E2668" s="9" t="str" cm="1">
        <f t="array" ref="E2668">IFERROR(_xlfn.XLOOKUP(D2668,Locales!$A:$A,Locales!$B:$B,""),"")</f>
        <v/>
      </c>
      <c r="F2668" s="9" cm="1">
        <f t="array" ref="F2668">IFERROR(_xlfn.XLOOKUP(B2668,Personal!$A:$A,Personal!$F:$F,""),"")</f>
        <v>0</v>
      </c>
      <c r="I2668" s="10" cm="1">
        <f t="array" ref="I2668">IFERROR(INDEX(Precios!$D:$F,MATCH(N2668, Precios!$G:$G, 0),CHOOSE(MATCH(H2668, {"SML";"XL";"XXL"}, 0), 1, 2, 3)), 0)</f>
        <v>0</v>
      </c>
      <c r="K2668" s="10">
        <f t="shared" si="90"/>
        <v>0</v>
      </c>
      <c r="N2668" s="9" t="str">
        <f t="shared" si="91"/>
        <v/>
      </c>
      <c r="O2668" s="9" t="str">
        <f>IF(N2668="","",IF(COUNTIF(Precios!$G:$G,N2668)=0,"⚠ No coincide con Precios","OK"))</f>
        <v/>
      </c>
    </row>
    <row r="2669" spans="3:15" x14ac:dyDescent="0.2">
      <c r="C2669" s="9" cm="1">
        <f t="array" ref="C2669">IFERROR(_xlfn.XLOOKUP(B2669,Personal!$A:$A,Personal!$D:$D,""),"")</f>
        <v>0</v>
      </c>
      <c r="D2669" s="9" cm="1">
        <f t="array" ref="D2669">IFERROR(_xlfn.XLOOKUP(B2669,Personal!$A:$A,Personal!$C:$C,""),"")</f>
        <v>0</v>
      </c>
      <c r="E2669" s="9" t="str" cm="1">
        <f t="array" ref="E2669">IFERROR(_xlfn.XLOOKUP(D2669,Locales!$A:$A,Locales!$B:$B,""),"")</f>
        <v/>
      </c>
      <c r="F2669" s="9" cm="1">
        <f t="array" ref="F2669">IFERROR(_xlfn.XLOOKUP(B2669,Personal!$A:$A,Personal!$F:$F,""),"")</f>
        <v>0</v>
      </c>
      <c r="I2669" s="10" cm="1">
        <f t="array" ref="I2669">IFERROR(INDEX(Precios!$D:$F,MATCH(N2669, Precios!$G:$G, 0),CHOOSE(MATCH(H2669, {"SML";"XL";"XXL"}, 0), 1, 2, 3)), 0)</f>
        <v>0</v>
      </c>
      <c r="K2669" s="10">
        <f t="shared" si="90"/>
        <v>0</v>
      </c>
      <c r="N2669" s="9" t="str">
        <f t="shared" si="91"/>
        <v/>
      </c>
      <c r="O2669" s="9" t="str">
        <f>IF(N2669="","",IF(COUNTIF(Precios!$G:$G,N2669)=0,"⚠ No coincide con Precios","OK"))</f>
        <v/>
      </c>
    </row>
    <row r="2670" spans="3:15" x14ac:dyDescent="0.2">
      <c r="C2670" s="9" cm="1">
        <f t="array" ref="C2670">IFERROR(_xlfn.XLOOKUP(B2670,Personal!$A:$A,Personal!$D:$D,""),"")</f>
        <v>0</v>
      </c>
      <c r="D2670" s="9" cm="1">
        <f t="array" ref="D2670">IFERROR(_xlfn.XLOOKUP(B2670,Personal!$A:$A,Personal!$C:$C,""),"")</f>
        <v>0</v>
      </c>
      <c r="E2670" s="9" t="str" cm="1">
        <f t="array" ref="E2670">IFERROR(_xlfn.XLOOKUP(D2670,Locales!$A:$A,Locales!$B:$B,""),"")</f>
        <v/>
      </c>
      <c r="F2670" s="9" cm="1">
        <f t="array" ref="F2670">IFERROR(_xlfn.XLOOKUP(B2670,Personal!$A:$A,Personal!$F:$F,""),"")</f>
        <v>0</v>
      </c>
      <c r="I2670" s="10" cm="1">
        <f t="array" ref="I2670">IFERROR(INDEX(Precios!$D:$F,MATCH(N2670, Precios!$G:$G, 0),CHOOSE(MATCH(H2670, {"SML";"XL";"XXL"}, 0), 1, 2, 3)), 0)</f>
        <v>0</v>
      </c>
      <c r="K2670" s="10">
        <f t="shared" si="90"/>
        <v>0</v>
      </c>
      <c r="N2670" s="9" t="str">
        <f t="shared" si="91"/>
        <v/>
      </c>
      <c r="O2670" s="9" t="str">
        <f>IF(N2670="","",IF(COUNTIF(Precios!$G:$G,N2670)=0,"⚠ No coincide con Precios","OK"))</f>
        <v/>
      </c>
    </row>
    <row r="2671" spans="3:15" x14ac:dyDescent="0.2">
      <c r="C2671" s="9" cm="1">
        <f t="array" ref="C2671">IFERROR(_xlfn.XLOOKUP(B2671,Personal!$A:$A,Personal!$D:$D,""),"")</f>
        <v>0</v>
      </c>
      <c r="D2671" s="9" cm="1">
        <f t="array" ref="D2671">IFERROR(_xlfn.XLOOKUP(B2671,Personal!$A:$A,Personal!$C:$C,""),"")</f>
        <v>0</v>
      </c>
      <c r="E2671" s="9" t="str" cm="1">
        <f t="array" ref="E2671">IFERROR(_xlfn.XLOOKUP(D2671,Locales!$A:$A,Locales!$B:$B,""),"")</f>
        <v/>
      </c>
      <c r="F2671" s="9" cm="1">
        <f t="array" ref="F2671">IFERROR(_xlfn.XLOOKUP(B2671,Personal!$A:$A,Personal!$F:$F,""),"")</f>
        <v>0</v>
      </c>
      <c r="I2671" s="10" cm="1">
        <f t="array" ref="I2671">IFERROR(INDEX(Precios!$D:$F,MATCH(N2671, Precios!$G:$G, 0),CHOOSE(MATCH(H2671, {"SML";"XL";"XXL"}, 0), 1, 2, 3)), 0)</f>
        <v>0</v>
      </c>
      <c r="K2671" s="10">
        <f t="shared" si="90"/>
        <v>0</v>
      </c>
      <c r="N2671" s="9" t="str">
        <f t="shared" si="91"/>
        <v/>
      </c>
      <c r="O2671" s="9" t="str">
        <f>IF(N2671="","",IF(COUNTIF(Precios!$G:$G,N2671)=0,"⚠ No coincide con Precios","OK"))</f>
        <v/>
      </c>
    </row>
    <row r="2672" spans="3:15" x14ac:dyDescent="0.2">
      <c r="C2672" s="9" cm="1">
        <f t="array" ref="C2672">IFERROR(_xlfn.XLOOKUP(B2672,Personal!$A:$A,Personal!$D:$D,""),"")</f>
        <v>0</v>
      </c>
      <c r="D2672" s="9" cm="1">
        <f t="array" ref="D2672">IFERROR(_xlfn.XLOOKUP(B2672,Personal!$A:$A,Personal!$C:$C,""),"")</f>
        <v>0</v>
      </c>
      <c r="E2672" s="9" t="str" cm="1">
        <f t="array" ref="E2672">IFERROR(_xlfn.XLOOKUP(D2672,Locales!$A:$A,Locales!$B:$B,""),"")</f>
        <v/>
      </c>
      <c r="F2672" s="9" cm="1">
        <f t="array" ref="F2672">IFERROR(_xlfn.XLOOKUP(B2672,Personal!$A:$A,Personal!$F:$F,""),"")</f>
        <v>0</v>
      </c>
      <c r="I2672" s="10" cm="1">
        <f t="array" ref="I2672">IFERROR(INDEX(Precios!$D:$F,MATCH(N2672, Precios!$G:$G, 0),CHOOSE(MATCH(H2672, {"SML";"XL";"XXL"}, 0), 1, 2, 3)), 0)</f>
        <v>0</v>
      </c>
      <c r="K2672" s="10">
        <f t="shared" si="90"/>
        <v>0</v>
      </c>
      <c r="N2672" s="9" t="str">
        <f t="shared" si="91"/>
        <v/>
      </c>
      <c r="O2672" s="9" t="str">
        <f>IF(N2672="","",IF(COUNTIF(Precios!$G:$G,N2672)=0,"⚠ No coincide con Precios","OK"))</f>
        <v/>
      </c>
    </row>
    <row r="2673" spans="3:15" x14ac:dyDescent="0.2">
      <c r="C2673" s="9" cm="1">
        <f t="array" ref="C2673">IFERROR(_xlfn.XLOOKUP(B2673,Personal!$A:$A,Personal!$D:$D,""),"")</f>
        <v>0</v>
      </c>
      <c r="D2673" s="9" cm="1">
        <f t="array" ref="D2673">IFERROR(_xlfn.XLOOKUP(B2673,Personal!$A:$A,Personal!$C:$C,""),"")</f>
        <v>0</v>
      </c>
      <c r="E2673" s="9" t="str" cm="1">
        <f t="array" ref="E2673">IFERROR(_xlfn.XLOOKUP(D2673,Locales!$A:$A,Locales!$B:$B,""),"")</f>
        <v/>
      </c>
      <c r="F2673" s="9" cm="1">
        <f t="array" ref="F2673">IFERROR(_xlfn.XLOOKUP(B2673,Personal!$A:$A,Personal!$F:$F,""),"")</f>
        <v>0</v>
      </c>
      <c r="I2673" s="10" cm="1">
        <f t="array" ref="I2673">IFERROR(INDEX(Precios!$D:$F,MATCH(N2673, Precios!$G:$G, 0),CHOOSE(MATCH(H2673, {"SML";"XL";"XXL"}, 0), 1, 2, 3)), 0)</f>
        <v>0</v>
      </c>
      <c r="K2673" s="10">
        <f t="shared" si="90"/>
        <v>0</v>
      </c>
      <c r="N2673" s="9" t="str">
        <f t="shared" si="91"/>
        <v/>
      </c>
      <c r="O2673" s="9" t="str">
        <f>IF(N2673="","",IF(COUNTIF(Precios!$G:$G,N2673)=0,"⚠ No coincide con Precios","OK"))</f>
        <v/>
      </c>
    </row>
    <row r="2674" spans="3:15" x14ac:dyDescent="0.2">
      <c r="C2674" s="9" cm="1">
        <f t="array" ref="C2674">IFERROR(_xlfn.XLOOKUP(B2674,Personal!$A:$A,Personal!$D:$D,""),"")</f>
        <v>0</v>
      </c>
      <c r="D2674" s="9" cm="1">
        <f t="array" ref="D2674">IFERROR(_xlfn.XLOOKUP(B2674,Personal!$A:$A,Personal!$C:$C,""),"")</f>
        <v>0</v>
      </c>
      <c r="E2674" s="9" t="str" cm="1">
        <f t="array" ref="E2674">IFERROR(_xlfn.XLOOKUP(D2674,Locales!$A:$A,Locales!$B:$B,""),"")</f>
        <v/>
      </c>
      <c r="F2674" s="9" cm="1">
        <f t="array" ref="F2674">IFERROR(_xlfn.XLOOKUP(B2674,Personal!$A:$A,Personal!$F:$F,""),"")</f>
        <v>0</v>
      </c>
      <c r="I2674" s="10" cm="1">
        <f t="array" ref="I2674">IFERROR(INDEX(Precios!$D:$F,MATCH(N2674, Precios!$G:$G, 0),CHOOSE(MATCH(H2674, {"SML";"XL";"XXL"}, 0), 1, 2, 3)), 0)</f>
        <v>0</v>
      </c>
      <c r="K2674" s="10">
        <f t="shared" si="90"/>
        <v>0</v>
      </c>
      <c r="N2674" s="9" t="str">
        <f t="shared" si="91"/>
        <v/>
      </c>
      <c r="O2674" s="9" t="str">
        <f>IF(N2674="","",IF(COUNTIF(Precios!$G:$G,N2674)=0,"⚠ No coincide con Precios","OK"))</f>
        <v/>
      </c>
    </row>
    <row r="2675" spans="3:15" x14ac:dyDescent="0.2">
      <c r="C2675" s="9" cm="1">
        <f t="array" ref="C2675">IFERROR(_xlfn.XLOOKUP(B2675,Personal!$A:$A,Personal!$D:$D,""),"")</f>
        <v>0</v>
      </c>
      <c r="D2675" s="9" cm="1">
        <f t="array" ref="D2675">IFERROR(_xlfn.XLOOKUP(B2675,Personal!$A:$A,Personal!$C:$C,""),"")</f>
        <v>0</v>
      </c>
      <c r="E2675" s="9" t="str" cm="1">
        <f t="array" ref="E2675">IFERROR(_xlfn.XLOOKUP(D2675,Locales!$A:$A,Locales!$B:$B,""),"")</f>
        <v/>
      </c>
      <c r="F2675" s="9" cm="1">
        <f t="array" ref="F2675">IFERROR(_xlfn.XLOOKUP(B2675,Personal!$A:$A,Personal!$F:$F,""),"")</f>
        <v>0</v>
      </c>
      <c r="I2675" s="10" cm="1">
        <f t="array" ref="I2675">IFERROR(INDEX(Precios!$D:$F,MATCH(N2675, Precios!$G:$G, 0),CHOOSE(MATCH(H2675, {"SML";"XL";"XXL"}, 0), 1, 2, 3)), 0)</f>
        <v>0</v>
      </c>
      <c r="K2675" s="10">
        <f t="shared" si="90"/>
        <v>0</v>
      </c>
      <c r="N2675" s="9" t="str">
        <f t="shared" si="91"/>
        <v/>
      </c>
      <c r="O2675" s="9" t="str">
        <f>IF(N2675="","",IF(COUNTIF(Precios!$G:$G,N2675)=0,"⚠ No coincide con Precios","OK"))</f>
        <v/>
      </c>
    </row>
    <row r="2676" spans="3:15" x14ac:dyDescent="0.2">
      <c r="C2676" s="9" cm="1">
        <f t="array" ref="C2676">IFERROR(_xlfn.XLOOKUP(B2676,Personal!$A:$A,Personal!$D:$D,""),"")</f>
        <v>0</v>
      </c>
      <c r="D2676" s="9" cm="1">
        <f t="array" ref="D2676">IFERROR(_xlfn.XLOOKUP(B2676,Personal!$A:$A,Personal!$C:$C,""),"")</f>
        <v>0</v>
      </c>
      <c r="E2676" s="9" t="str" cm="1">
        <f t="array" ref="E2676">IFERROR(_xlfn.XLOOKUP(D2676,Locales!$A:$A,Locales!$B:$B,""),"")</f>
        <v/>
      </c>
      <c r="F2676" s="9" cm="1">
        <f t="array" ref="F2676">IFERROR(_xlfn.XLOOKUP(B2676,Personal!$A:$A,Personal!$F:$F,""),"")</f>
        <v>0</v>
      </c>
      <c r="I2676" s="10" cm="1">
        <f t="array" ref="I2676">IFERROR(INDEX(Precios!$D:$F,MATCH(N2676, Precios!$G:$G, 0),CHOOSE(MATCH(H2676, {"SML";"XL";"XXL"}, 0), 1, 2, 3)), 0)</f>
        <v>0</v>
      </c>
      <c r="K2676" s="10">
        <f t="shared" si="90"/>
        <v>0</v>
      </c>
      <c r="N2676" s="9" t="str">
        <f t="shared" si="91"/>
        <v/>
      </c>
      <c r="O2676" s="9" t="str">
        <f>IF(N2676="","",IF(COUNTIF(Precios!$G:$G,N2676)=0,"⚠ No coincide con Precios","OK"))</f>
        <v/>
      </c>
    </row>
    <row r="2677" spans="3:15" x14ac:dyDescent="0.2">
      <c r="C2677" s="9" cm="1">
        <f t="array" ref="C2677">IFERROR(_xlfn.XLOOKUP(B2677,Personal!$A:$A,Personal!$D:$D,""),"")</f>
        <v>0</v>
      </c>
      <c r="D2677" s="9" cm="1">
        <f t="array" ref="D2677">IFERROR(_xlfn.XLOOKUP(B2677,Personal!$A:$A,Personal!$C:$C,""),"")</f>
        <v>0</v>
      </c>
      <c r="E2677" s="9" t="str" cm="1">
        <f t="array" ref="E2677">IFERROR(_xlfn.XLOOKUP(D2677,Locales!$A:$A,Locales!$B:$B,""),"")</f>
        <v/>
      </c>
      <c r="F2677" s="9" cm="1">
        <f t="array" ref="F2677">IFERROR(_xlfn.XLOOKUP(B2677,Personal!$A:$A,Personal!$F:$F,""),"")</f>
        <v>0</v>
      </c>
      <c r="I2677" s="10" cm="1">
        <f t="array" ref="I2677">IFERROR(INDEX(Precios!$D:$F,MATCH(N2677, Precios!$G:$G, 0),CHOOSE(MATCH(H2677, {"SML";"XL";"XXL"}, 0), 1, 2, 3)), 0)</f>
        <v>0</v>
      </c>
      <c r="K2677" s="10">
        <f t="shared" si="90"/>
        <v>0</v>
      </c>
      <c r="N2677" s="9" t="str">
        <f t="shared" si="91"/>
        <v/>
      </c>
      <c r="O2677" s="9" t="str">
        <f>IF(N2677="","",IF(COUNTIF(Precios!$G:$G,N2677)=0,"⚠ No coincide con Precios","OK"))</f>
        <v/>
      </c>
    </row>
    <row r="2678" spans="3:15" x14ac:dyDescent="0.2">
      <c r="C2678" s="9" cm="1">
        <f t="array" ref="C2678">IFERROR(_xlfn.XLOOKUP(B2678,Personal!$A:$A,Personal!$D:$D,""),"")</f>
        <v>0</v>
      </c>
      <c r="D2678" s="9" cm="1">
        <f t="array" ref="D2678">IFERROR(_xlfn.XLOOKUP(B2678,Personal!$A:$A,Personal!$C:$C,""),"")</f>
        <v>0</v>
      </c>
      <c r="E2678" s="9" t="str" cm="1">
        <f t="array" ref="E2678">IFERROR(_xlfn.XLOOKUP(D2678,Locales!$A:$A,Locales!$B:$B,""),"")</f>
        <v/>
      </c>
      <c r="F2678" s="9" cm="1">
        <f t="array" ref="F2678">IFERROR(_xlfn.XLOOKUP(B2678,Personal!$A:$A,Personal!$F:$F,""),"")</f>
        <v>0</v>
      </c>
      <c r="I2678" s="10" cm="1">
        <f t="array" ref="I2678">IFERROR(INDEX(Precios!$D:$F,MATCH(N2678, Precios!$G:$G, 0),CHOOSE(MATCH(H2678, {"SML";"XL";"XXL"}, 0), 1, 2, 3)), 0)</f>
        <v>0</v>
      </c>
      <c r="K2678" s="10">
        <f t="shared" si="90"/>
        <v>0</v>
      </c>
      <c r="N2678" s="9" t="str">
        <f t="shared" si="91"/>
        <v/>
      </c>
      <c r="O2678" s="9" t="str">
        <f>IF(N2678="","",IF(COUNTIF(Precios!$G:$G,N2678)=0,"⚠ No coincide con Precios","OK"))</f>
        <v/>
      </c>
    </row>
    <row r="2679" spans="3:15" x14ac:dyDescent="0.2">
      <c r="C2679" s="9" cm="1">
        <f t="array" ref="C2679">IFERROR(_xlfn.XLOOKUP(B2679,Personal!$A:$A,Personal!$D:$D,""),"")</f>
        <v>0</v>
      </c>
      <c r="D2679" s="9" cm="1">
        <f t="array" ref="D2679">IFERROR(_xlfn.XLOOKUP(B2679,Personal!$A:$A,Personal!$C:$C,""),"")</f>
        <v>0</v>
      </c>
      <c r="E2679" s="9" t="str" cm="1">
        <f t="array" ref="E2679">IFERROR(_xlfn.XLOOKUP(D2679,Locales!$A:$A,Locales!$B:$B,""),"")</f>
        <v/>
      </c>
      <c r="F2679" s="9" cm="1">
        <f t="array" ref="F2679">IFERROR(_xlfn.XLOOKUP(B2679,Personal!$A:$A,Personal!$F:$F,""),"")</f>
        <v>0</v>
      </c>
      <c r="I2679" s="10" cm="1">
        <f t="array" ref="I2679">IFERROR(INDEX(Precios!$D:$F,MATCH(N2679, Precios!$G:$G, 0),CHOOSE(MATCH(H2679, {"SML";"XL";"XXL"}, 0), 1, 2, 3)), 0)</f>
        <v>0</v>
      </c>
      <c r="K2679" s="10">
        <f t="shared" si="90"/>
        <v>0</v>
      </c>
      <c r="N2679" s="9" t="str">
        <f t="shared" si="91"/>
        <v/>
      </c>
      <c r="O2679" s="9" t="str">
        <f>IF(N2679="","",IF(COUNTIF(Precios!$G:$G,N2679)=0,"⚠ No coincide con Precios","OK"))</f>
        <v/>
      </c>
    </row>
    <row r="2680" spans="3:15" x14ac:dyDescent="0.2">
      <c r="C2680" s="9" cm="1">
        <f t="array" ref="C2680">IFERROR(_xlfn.XLOOKUP(B2680,Personal!$A:$A,Personal!$D:$D,""),"")</f>
        <v>0</v>
      </c>
      <c r="D2680" s="9" cm="1">
        <f t="array" ref="D2680">IFERROR(_xlfn.XLOOKUP(B2680,Personal!$A:$A,Personal!$C:$C,""),"")</f>
        <v>0</v>
      </c>
      <c r="E2680" s="9" t="str" cm="1">
        <f t="array" ref="E2680">IFERROR(_xlfn.XLOOKUP(D2680,Locales!$A:$A,Locales!$B:$B,""),"")</f>
        <v/>
      </c>
      <c r="F2680" s="9" cm="1">
        <f t="array" ref="F2680">IFERROR(_xlfn.XLOOKUP(B2680,Personal!$A:$A,Personal!$F:$F,""),"")</f>
        <v>0</v>
      </c>
      <c r="I2680" s="10" cm="1">
        <f t="array" ref="I2680">IFERROR(INDEX(Precios!$D:$F,MATCH(N2680, Precios!$G:$G, 0),CHOOSE(MATCH(H2680, {"SML";"XL";"XXL"}, 0), 1, 2, 3)), 0)</f>
        <v>0</v>
      </c>
      <c r="K2680" s="10">
        <f t="shared" si="90"/>
        <v>0</v>
      </c>
      <c r="N2680" s="9" t="str">
        <f t="shared" si="91"/>
        <v/>
      </c>
      <c r="O2680" s="9" t="str">
        <f>IF(N2680="","",IF(COUNTIF(Precios!$G:$G,N2680)=0,"⚠ No coincide con Precios","OK"))</f>
        <v/>
      </c>
    </row>
    <row r="2681" spans="3:15" x14ac:dyDescent="0.2">
      <c r="C2681" s="9" cm="1">
        <f t="array" ref="C2681">IFERROR(_xlfn.XLOOKUP(B2681,Personal!$A:$A,Personal!$D:$D,""),"")</f>
        <v>0</v>
      </c>
      <c r="D2681" s="9" cm="1">
        <f t="array" ref="D2681">IFERROR(_xlfn.XLOOKUP(B2681,Personal!$A:$A,Personal!$C:$C,""),"")</f>
        <v>0</v>
      </c>
      <c r="E2681" s="9" t="str" cm="1">
        <f t="array" ref="E2681">IFERROR(_xlfn.XLOOKUP(D2681,Locales!$A:$A,Locales!$B:$B,""),"")</f>
        <v/>
      </c>
      <c r="F2681" s="9" cm="1">
        <f t="array" ref="F2681">IFERROR(_xlfn.XLOOKUP(B2681,Personal!$A:$A,Personal!$F:$F,""),"")</f>
        <v>0</v>
      </c>
      <c r="I2681" s="10" cm="1">
        <f t="array" ref="I2681">IFERROR(INDEX(Precios!$D:$F,MATCH(N2681, Precios!$G:$G, 0),CHOOSE(MATCH(H2681, {"SML";"XL";"XXL"}, 0), 1, 2, 3)), 0)</f>
        <v>0</v>
      </c>
      <c r="K2681" s="10">
        <f t="shared" si="90"/>
        <v>0</v>
      </c>
      <c r="N2681" s="9" t="str">
        <f t="shared" si="91"/>
        <v/>
      </c>
      <c r="O2681" s="9" t="str">
        <f>IF(N2681="","",IF(COUNTIF(Precios!$G:$G,N2681)=0,"⚠ No coincide con Precios","OK"))</f>
        <v/>
      </c>
    </row>
    <row r="2682" spans="3:15" x14ac:dyDescent="0.2">
      <c r="C2682" s="9" cm="1">
        <f t="array" ref="C2682">IFERROR(_xlfn.XLOOKUP(B2682,Personal!$A:$A,Personal!$D:$D,""),"")</f>
        <v>0</v>
      </c>
      <c r="D2682" s="9" cm="1">
        <f t="array" ref="D2682">IFERROR(_xlfn.XLOOKUP(B2682,Personal!$A:$A,Personal!$C:$C,""),"")</f>
        <v>0</v>
      </c>
      <c r="E2682" s="9" t="str" cm="1">
        <f t="array" ref="E2682">IFERROR(_xlfn.XLOOKUP(D2682,Locales!$A:$A,Locales!$B:$B,""),"")</f>
        <v/>
      </c>
      <c r="F2682" s="9" cm="1">
        <f t="array" ref="F2682">IFERROR(_xlfn.XLOOKUP(B2682,Personal!$A:$A,Personal!$F:$F,""),"")</f>
        <v>0</v>
      </c>
      <c r="I2682" s="10" cm="1">
        <f t="array" ref="I2682">IFERROR(INDEX(Precios!$D:$F,MATCH(N2682, Precios!$G:$G, 0),CHOOSE(MATCH(H2682, {"SML";"XL";"XXL"}, 0), 1, 2, 3)), 0)</f>
        <v>0</v>
      </c>
      <c r="K2682" s="10">
        <f t="shared" si="90"/>
        <v>0</v>
      </c>
      <c r="N2682" s="9" t="str">
        <f t="shared" si="91"/>
        <v/>
      </c>
      <c r="O2682" s="9" t="str">
        <f>IF(N2682="","",IF(COUNTIF(Precios!$G:$G,N2682)=0,"⚠ No coincide con Precios","OK"))</f>
        <v/>
      </c>
    </row>
    <row r="2683" spans="3:15" x14ac:dyDescent="0.2">
      <c r="C2683" s="9" cm="1">
        <f t="array" ref="C2683">IFERROR(_xlfn.XLOOKUP(B2683,Personal!$A:$A,Personal!$D:$D,""),"")</f>
        <v>0</v>
      </c>
      <c r="D2683" s="9" cm="1">
        <f t="array" ref="D2683">IFERROR(_xlfn.XLOOKUP(B2683,Personal!$A:$A,Personal!$C:$C,""),"")</f>
        <v>0</v>
      </c>
      <c r="E2683" s="9" t="str" cm="1">
        <f t="array" ref="E2683">IFERROR(_xlfn.XLOOKUP(D2683,Locales!$A:$A,Locales!$B:$B,""),"")</f>
        <v/>
      </c>
      <c r="F2683" s="9" cm="1">
        <f t="array" ref="F2683">IFERROR(_xlfn.XLOOKUP(B2683,Personal!$A:$A,Personal!$F:$F,""),"")</f>
        <v>0</v>
      </c>
      <c r="I2683" s="10" cm="1">
        <f t="array" ref="I2683">IFERROR(INDEX(Precios!$D:$F,MATCH(N2683, Precios!$G:$G, 0),CHOOSE(MATCH(H2683, {"SML";"XL";"XXL"}, 0), 1, 2, 3)), 0)</f>
        <v>0</v>
      </c>
      <c r="K2683" s="10">
        <f t="shared" si="90"/>
        <v>0</v>
      </c>
      <c r="N2683" s="9" t="str">
        <f t="shared" si="91"/>
        <v/>
      </c>
      <c r="O2683" s="9" t="str">
        <f>IF(N2683="","",IF(COUNTIF(Precios!$G:$G,N2683)=0,"⚠ No coincide con Precios","OK"))</f>
        <v/>
      </c>
    </row>
    <row r="2684" spans="3:15" x14ac:dyDescent="0.2">
      <c r="C2684" s="9" cm="1">
        <f t="array" ref="C2684">IFERROR(_xlfn.XLOOKUP(B2684,Personal!$A:$A,Personal!$D:$D,""),"")</f>
        <v>0</v>
      </c>
      <c r="D2684" s="9" cm="1">
        <f t="array" ref="D2684">IFERROR(_xlfn.XLOOKUP(B2684,Personal!$A:$A,Personal!$C:$C,""),"")</f>
        <v>0</v>
      </c>
      <c r="E2684" s="9" t="str" cm="1">
        <f t="array" ref="E2684">IFERROR(_xlfn.XLOOKUP(D2684,Locales!$A:$A,Locales!$B:$B,""),"")</f>
        <v/>
      </c>
      <c r="F2684" s="9" cm="1">
        <f t="array" ref="F2684">IFERROR(_xlfn.XLOOKUP(B2684,Personal!$A:$A,Personal!$F:$F,""),"")</f>
        <v>0</v>
      </c>
      <c r="I2684" s="10" cm="1">
        <f t="array" ref="I2684">IFERROR(INDEX(Precios!$D:$F,MATCH(N2684, Precios!$G:$G, 0),CHOOSE(MATCH(H2684, {"SML";"XL";"XXL"}, 0), 1, 2, 3)), 0)</f>
        <v>0</v>
      </c>
      <c r="K2684" s="10">
        <f t="shared" si="90"/>
        <v>0</v>
      </c>
      <c r="N2684" s="9" t="str">
        <f t="shared" si="91"/>
        <v/>
      </c>
      <c r="O2684" s="9" t="str">
        <f>IF(N2684="","",IF(COUNTIF(Precios!$G:$G,N2684)=0,"⚠ No coincide con Precios","OK"))</f>
        <v/>
      </c>
    </row>
    <row r="2685" spans="3:15" x14ac:dyDescent="0.2">
      <c r="C2685" s="9" cm="1">
        <f t="array" ref="C2685">IFERROR(_xlfn.XLOOKUP(B2685,Personal!$A:$A,Personal!$D:$D,""),"")</f>
        <v>0</v>
      </c>
      <c r="D2685" s="9" cm="1">
        <f t="array" ref="D2685">IFERROR(_xlfn.XLOOKUP(B2685,Personal!$A:$A,Personal!$C:$C,""),"")</f>
        <v>0</v>
      </c>
      <c r="E2685" s="9" t="str" cm="1">
        <f t="array" ref="E2685">IFERROR(_xlfn.XLOOKUP(D2685,Locales!$A:$A,Locales!$B:$B,""),"")</f>
        <v/>
      </c>
      <c r="F2685" s="9" cm="1">
        <f t="array" ref="F2685">IFERROR(_xlfn.XLOOKUP(B2685,Personal!$A:$A,Personal!$F:$F,""),"")</f>
        <v>0</v>
      </c>
      <c r="I2685" s="10" cm="1">
        <f t="array" ref="I2685">IFERROR(INDEX(Precios!$D:$F,MATCH(N2685, Precios!$G:$G, 0),CHOOSE(MATCH(H2685, {"SML";"XL";"XXL"}, 0), 1, 2, 3)), 0)</f>
        <v>0</v>
      </c>
      <c r="K2685" s="10">
        <f t="shared" si="90"/>
        <v>0</v>
      </c>
      <c r="N2685" s="9" t="str">
        <f t="shared" si="91"/>
        <v/>
      </c>
      <c r="O2685" s="9" t="str">
        <f>IF(N2685="","",IF(COUNTIF(Precios!$G:$G,N2685)=0,"⚠ No coincide con Precios","OK"))</f>
        <v/>
      </c>
    </row>
    <row r="2686" spans="3:15" x14ac:dyDescent="0.2">
      <c r="C2686" s="9" cm="1">
        <f t="array" ref="C2686">IFERROR(_xlfn.XLOOKUP(B2686,Personal!$A:$A,Personal!$D:$D,""),"")</f>
        <v>0</v>
      </c>
      <c r="D2686" s="9" cm="1">
        <f t="array" ref="D2686">IFERROR(_xlfn.XLOOKUP(B2686,Personal!$A:$A,Personal!$C:$C,""),"")</f>
        <v>0</v>
      </c>
      <c r="E2686" s="9" t="str" cm="1">
        <f t="array" ref="E2686">IFERROR(_xlfn.XLOOKUP(D2686,Locales!$A:$A,Locales!$B:$B,""),"")</f>
        <v/>
      </c>
      <c r="F2686" s="9" cm="1">
        <f t="array" ref="F2686">IFERROR(_xlfn.XLOOKUP(B2686,Personal!$A:$A,Personal!$F:$F,""),"")</f>
        <v>0</v>
      </c>
      <c r="I2686" s="10" cm="1">
        <f t="array" ref="I2686">IFERROR(INDEX(Precios!$D:$F,MATCH(N2686, Precios!$G:$G, 0),CHOOSE(MATCH(H2686, {"SML";"XL";"XXL"}, 0), 1, 2, 3)), 0)</f>
        <v>0</v>
      </c>
      <c r="K2686" s="10">
        <f t="shared" si="90"/>
        <v>0</v>
      </c>
      <c r="N2686" s="9" t="str">
        <f t="shared" si="91"/>
        <v/>
      </c>
      <c r="O2686" s="9" t="str">
        <f>IF(N2686="","",IF(COUNTIF(Precios!$G:$G,N2686)=0,"⚠ No coincide con Precios","OK"))</f>
        <v/>
      </c>
    </row>
    <row r="2687" spans="3:15" x14ac:dyDescent="0.2">
      <c r="C2687" s="9" cm="1">
        <f t="array" ref="C2687">IFERROR(_xlfn.XLOOKUP(B2687,Personal!$A:$A,Personal!$D:$D,""),"")</f>
        <v>0</v>
      </c>
      <c r="D2687" s="9" cm="1">
        <f t="array" ref="D2687">IFERROR(_xlfn.XLOOKUP(B2687,Personal!$A:$A,Personal!$C:$C,""),"")</f>
        <v>0</v>
      </c>
      <c r="E2687" s="9" t="str" cm="1">
        <f t="array" ref="E2687">IFERROR(_xlfn.XLOOKUP(D2687,Locales!$A:$A,Locales!$B:$B,""),"")</f>
        <v/>
      </c>
      <c r="F2687" s="9" cm="1">
        <f t="array" ref="F2687">IFERROR(_xlfn.XLOOKUP(B2687,Personal!$A:$A,Personal!$F:$F,""),"")</f>
        <v>0</v>
      </c>
      <c r="I2687" s="10" cm="1">
        <f t="array" ref="I2687">IFERROR(INDEX(Precios!$D:$F,MATCH(N2687, Precios!$G:$G, 0),CHOOSE(MATCH(H2687, {"SML";"XL";"XXL"}, 0), 1, 2, 3)), 0)</f>
        <v>0</v>
      </c>
      <c r="K2687" s="10">
        <f t="shared" si="90"/>
        <v>0</v>
      </c>
      <c r="N2687" s="9" t="str">
        <f t="shared" si="91"/>
        <v/>
      </c>
      <c r="O2687" s="9" t="str">
        <f>IF(N2687="","",IF(COUNTIF(Precios!$G:$G,N2687)=0,"⚠ No coincide con Precios","OK"))</f>
        <v/>
      </c>
    </row>
    <row r="2688" spans="3:15" x14ac:dyDescent="0.2">
      <c r="C2688" s="9" cm="1">
        <f t="array" ref="C2688">IFERROR(_xlfn.XLOOKUP(B2688,Personal!$A:$A,Personal!$D:$D,""),"")</f>
        <v>0</v>
      </c>
      <c r="D2688" s="9" cm="1">
        <f t="array" ref="D2688">IFERROR(_xlfn.XLOOKUP(B2688,Personal!$A:$A,Personal!$C:$C,""),"")</f>
        <v>0</v>
      </c>
      <c r="E2688" s="9" t="str" cm="1">
        <f t="array" ref="E2688">IFERROR(_xlfn.XLOOKUP(D2688,Locales!$A:$A,Locales!$B:$B,""),"")</f>
        <v/>
      </c>
      <c r="F2688" s="9" cm="1">
        <f t="array" ref="F2688">IFERROR(_xlfn.XLOOKUP(B2688,Personal!$A:$A,Personal!$F:$F,""),"")</f>
        <v>0</v>
      </c>
      <c r="I2688" s="10" cm="1">
        <f t="array" ref="I2688">IFERROR(INDEX(Precios!$D:$F,MATCH(N2688, Precios!$G:$G, 0),CHOOSE(MATCH(H2688, {"SML";"XL";"XXL"}, 0), 1, 2, 3)), 0)</f>
        <v>0</v>
      </c>
      <c r="K2688" s="10">
        <f t="shared" ref="K2688:K2751" si="92">IFERROR(I2688*J2688,0)</f>
        <v>0</v>
      </c>
      <c r="N2688" s="9" t="str">
        <f t="shared" ref="N2688:N2751" si="93">IF( OR(E2688="",F2688="",G2688=""), "",CLEAN(TRIM(E2688)) &amp; "|" &amp; CLEAN(TRIM(F2688)) &amp; "|" &amp; CLEAN(TRIM(G2688)))</f>
        <v/>
      </c>
      <c r="O2688" s="9" t="str">
        <f>IF(N2688="","",IF(COUNTIF(Precios!$G:$G,N2688)=0,"⚠ No coincide con Precios","OK"))</f>
        <v/>
      </c>
    </row>
    <row r="2689" spans="3:15" x14ac:dyDescent="0.2">
      <c r="C2689" s="9" cm="1">
        <f t="array" ref="C2689">IFERROR(_xlfn.XLOOKUP(B2689,Personal!$A:$A,Personal!$D:$D,""),"")</f>
        <v>0</v>
      </c>
      <c r="D2689" s="9" cm="1">
        <f t="array" ref="D2689">IFERROR(_xlfn.XLOOKUP(B2689,Personal!$A:$A,Personal!$C:$C,""),"")</f>
        <v>0</v>
      </c>
      <c r="E2689" s="9" t="str" cm="1">
        <f t="array" ref="E2689">IFERROR(_xlfn.XLOOKUP(D2689,Locales!$A:$A,Locales!$B:$B,""),"")</f>
        <v/>
      </c>
      <c r="F2689" s="9" cm="1">
        <f t="array" ref="F2689">IFERROR(_xlfn.XLOOKUP(B2689,Personal!$A:$A,Personal!$F:$F,""),"")</f>
        <v>0</v>
      </c>
      <c r="I2689" s="10" cm="1">
        <f t="array" ref="I2689">IFERROR(INDEX(Precios!$D:$F,MATCH(N2689, Precios!$G:$G, 0),CHOOSE(MATCH(H2689, {"SML";"XL";"XXL"}, 0), 1, 2, 3)), 0)</f>
        <v>0</v>
      </c>
      <c r="K2689" s="10">
        <f t="shared" si="92"/>
        <v>0</v>
      </c>
      <c r="N2689" s="9" t="str">
        <f t="shared" si="93"/>
        <v/>
      </c>
      <c r="O2689" s="9" t="str">
        <f>IF(N2689="","",IF(COUNTIF(Precios!$G:$G,N2689)=0,"⚠ No coincide con Precios","OK"))</f>
        <v/>
      </c>
    </row>
    <row r="2690" spans="3:15" x14ac:dyDescent="0.2">
      <c r="C2690" s="9" cm="1">
        <f t="array" ref="C2690">IFERROR(_xlfn.XLOOKUP(B2690,Personal!$A:$A,Personal!$D:$D,""),"")</f>
        <v>0</v>
      </c>
      <c r="D2690" s="9" cm="1">
        <f t="array" ref="D2690">IFERROR(_xlfn.XLOOKUP(B2690,Personal!$A:$A,Personal!$C:$C,""),"")</f>
        <v>0</v>
      </c>
      <c r="E2690" s="9" t="str" cm="1">
        <f t="array" ref="E2690">IFERROR(_xlfn.XLOOKUP(D2690,Locales!$A:$A,Locales!$B:$B,""),"")</f>
        <v/>
      </c>
      <c r="F2690" s="9" cm="1">
        <f t="array" ref="F2690">IFERROR(_xlfn.XLOOKUP(B2690,Personal!$A:$A,Personal!$F:$F,""),"")</f>
        <v>0</v>
      </c>
      <c r="I2690" s="10" cm="1">
        <f t="array" ref="I2690">IFERROR(INDEX(Precios!$D:$F,MATCH(N2690, Precios!$G:$G, 0),CHOOSE(MATCH(H2690, {"SML";"XL";"XXL"}, 0), 1, 2, 3)), 0)</f>
        <v>0</v>
      </c>
      <c r="K2690" s="10">
        <f t="shared" si="92"/>
        <v>0</v>
      </c>
      <c r="N2690" s="9" t="str">
        <f t="shared" si="93"/>
        <v/>
      </c>
      <c r="O2690" s="9" t="str">
        <f>IF(N2690="","",IF(COUNTIF(Precios!$G:$G,N2690)=0,"⚠ No coincide con Precios","OK"))</f>
        <v/>
      </c>
    </row>
    <row r="2691" spans="3:15" x14ac:dyDescent="0.2">
      <c r="C2691" s="9" cm="1">
        <f t="array" ref="C2691">IFERROR(_xlfn.XLOOKUP(B2691,Personal!$A:$A,Personal!$D:$D,""),"")</f>
        <v>0</v>
      </c>
      <c r="D2691" s="9" cm="1">
        <f t="array" ref="D2691">IFERROR(_xlfn.XLOOKUP(B2691,Personal!$A:$A,Personal!$C:$C,""),"")</f>
        <v>0</v>
      </c>
      <c r="E2691" s="9" t="str" cm="1">
        <f t="array" ref="E2691">IFERROR(_xlfn.XLOOKUP(D2691,Locales!$A:$A,Locales!$B:$B,""),"")</f>
        <v/>
      </c>
      <c r="F2691" s="9" cm="1">
        <f t="array" ref="F2691">IFERROR(_xlfn.XLOOKUP(B2691,Personal!$A:$A,Personal!$F:$F,""),"")</f>
        <v>0</v>
      </c>
      <c r="I2691" s="10" cm="1">
        <f t="array" ref="I2691">IFERROR(INDEX(Precios!$D:$F,MATCH(N2691, Precios!$G:$G, 0),CHOOSE(MATCH(H2691, {"SML";"XL";"XXL"}, 0), 1, 2, 3)), 0)</f>
        <v>0</v>
      </c>
      <c r="K2691" s="10">
        <f t="shared" si="92"/>
        <v>0</v>
      </c>
      <c r="N2691" s="9" t="str">
        <f t="shared" si="93"/>
        <v/>
      </c>
      <c r="O2691" s="9" t="str">
        <f>IF(N2691="","",IF(COUNTIF(Precios!$G:$G,N2691)=0,"⚠ No coincide con Precios","OK"))</f>
        <v/>
      </c>
    </row>
    <row r="2692" spans="3:15" x14ac:dyDescent="0.2">
      <c r="C2692" s="9" cm="1">
        <f t="array" ref="C2692">IFERROR(_xlfn.XLOOKUP(B2692,Personal!$A:$A,Personal!$D:$D,""),"")</f>
        <v>0</v>
      </c>
      <c r="D2692" s="9" cm="1">
        <f t="array" ref="D2692">IFERROR(_xlfn.XLOOKUP(B2692,Personal!$A:$A,Personal!$C:$C,""),"")</f>
        <v>0</v>
      </c>
      <c r="E2692" s="9" t="str" cm="1">
        <f t="array" ref="E2692">IFERROR(_xlfn.XLOOKUP(D2692,Locales!$A:$A,Locales!$B:$B,""),"")</f>
        <v/>
      </c>
      <c r="F2692" s="9" cm="1">
        <f t="array" ref="F2692">IFERROR(_xlfn.XLOOKUP(B2692,Personal!$A:$A,Personal!$F:$F,""),"")</f>
        <v>0</v>
      </c>
      <c r="I2692" s="10" cm="1">
        <f t="array" ref="I2692">IFERROR(INDEX(Precios!$D:$F,MATCH(N2692, Precios!$G:$G, 0),CHOOSE(MATCH(H2692, {"SML";"XL";"XXL"}, 0), 1, 2, 3)), 0)</f>
        <v>0</v>
      </c>
      <c r="K2692" s="10">
        <f t="shared" si="92"/>
        <v>0</v>
      </c>
      <c r="N2692" s="9" t="str">
        <f t="shared" si="93"/>
        <v/>
      </c>
      <c r="O2692" s="9" t="str">
        <f>IF(N2692="","",IF(COUNTIF(Precios!$G:$G,N2692)=0,"⚠ No coincide con Precios","OK"))</f>
        <v/>
      </c>
    </row>
    <row r="2693" spans="3:15" x14ac:dyDescent="0.2">
      <c r="C2693" s="9" cm="1">
        <f t="array" ref="C2693">IFERROR(_xlfn.XLOOKUP(B2693,Personal!$A:$A,Personal!$D:$D,""),"")</f>
        <v>0</v>
      </c>
      <c r="D2693" s="9" cm="1">
        <f t="array" ref="D2693">IFERROR(_xlfn.XLOOKUP(B2693,Personal!$A:$A,Personal!$C:$C,""),"")</f>
        <v>0</v>
      </c>
      <c r="E2693" s="9" t="str" cm="1">
        <f t="array" ref="E2693">IFERROR(_xlfn.XLOOKUP(D2693,Locales!$A:$A,Locales!$B:$B,""),"")</f>
        <v/>
      </c>
      <c r="F2693" s="9" cm="1">
        <f t="array" ref="F2693">IFERROR(_xlfn.XLOOKUP(B2693,Personal!$A:$A,Personal!$F:$F,""),"")</f>
        <v>0</v>
      </c>
      <c r="I2693" s="10" cm="1">
        <f t="array" ref="I2693">IFERROR(INDEX(Precios!$D:$F,MATCH(N2693, Precios!$G:$G, 0),CHOOSE(MATCH(H2693, {"SML";"XL";"XXL"}, 0), 1, 2, 3)), 0)</f>
        <v>0</v>
      </c>
      <c r="K2693" s="10">
        <f t="shared" si="92"/>
        <v>0</v>
      </c>
      <c r="N2693" s="9" t="str">
        <f t="shared" si="93"/>
        <v/>
      </c>
      <c r="O2693" s="9" t="str">
        <f>IF(N2693="","",IF(COUNTIF(Precios!$G:$G,N2693)=0,"⚠ No coincide con Precios","OK"))</f>
        <v/>
      </c>
    </row>
    <row r="2694" spans="3:15" x14ac:dyDescent="0.2">
      <c r="C2694" s="9" cm="1">
        <f t="array" ref="C2694">IFERROR(_xlfn.XLOOKUP(B2694,Personal!$A:$A,Personal!$D:$D,""),"")</f>
        <v>0</v>
      </c>
      <c r="D2694" s="9" cm="1">
        <f t="array" ref="D2694">IFERROR(_xlfn.XLOOKUP(B2694,Personal!$A:$A,Personal!$C:$C,""),"")</f>
        <v>0</v>
      </c>
      <c r="E2694" s="9" t="str" cm="1">
        <f t="array" ref="E2694">IFERROR(_xlfn.XLOOKUP(D2694,Locales!$A:$A,Locales!$B:$B,""),"")</f>
        <v/>
      </c>
      <c r="F2694" s="9" cm="1">
        <f t="array" ref="F2694">IFERROR(_xlfn.XLOOKUP(B2694,Personal!$A:$A,Personal!$F:$F,""),"")</f>
        <v>0</v>
      </c>
      <c r="I2694" s="10" cm="1">
        <f t="array" ref="I2694">IFERROR(INDEX(Precios!$D:$F,MATCH(N2694, Precios!$G:$G, 0),CHOOSE(MATCH(H2694, {"SML";"XL";"XXL"}, 0), 1, 2, 3)), 0)</f>
        <v>0</v>
      </c>
      <c r="K2694" s="10">
        <f t="shared" si="92"/>
        <v>0</v>
      </c>
      <c r="N2694" s="9" t="str">
        <f t="shared" si="93"/>
        <v/>
      </c>
      <c r="O2694" s="9" t="str">
        <f>IF(N2694="","",IF(COUNTIF(Precios!$G:$G,N2694)=0,"⚠ No coincide con Precios","OK"))</f>
        <v/>
      </c>
    </row>
    <row r="2695" spans="3:15" x14ac:dyDescent="0.2">
      <c r="C2695" s="9" cm="1">
        <f t="array" ref="C2695">IFERROR(_xlfn.XLOOKUP(B2695,Personal!$A:$A,Personal!$D:$D,""),"")</f>
        <v>0</v>
      </c>
      <c r="D2695" s="9" cm="1">
        <f t="array" ref="D2695">IFERROR(_xlfn.XLOOKUP(B2695,Personal!$A:$A,Personal!$C:$C,""),"")</f>
        <v>0</v>
      </c>
      <c r="E2695" s="9" t="str" cm="1">
        <f t="array" ref="E2695">IFERROR(_xlfn.XLOOKUP(D2695,Locales!$A:$A,Locales!$B:$B,""),"")</f>
        <v/>
      </c>
      <c r="F2695" s="9" cm="1">
        <f t="array" ref="F2695">IFERROR(_xlfn.XLOOKUP(B2695,Personal!$A:$A,Personal!$F:$F,""),"")</f>
        <v>0</v>
      </c>
      <c r="I2695" s="10" cm="1">
        <f t="array" ref="I2695">IFERROR(INDEX(Precios!$D:$F,MATCH(N2695, Precios!$G:$G, 0),CHOOSE(MATCH(H2695, {"SML";"XL";"XXL"}, 0), 1, 2, 3)), 0)</f>
        <v>0</v>
      </c>
      <c r="K2695" s="10">
        <f t="shared" si="92"/>
        <v>0</v>
      </c>
      <c r="N2695" s="9" t="str">
        <f t="shared" si="93"/>
        <v/>
      </c>
      <c r="O2695" s="9" t="str">
        <f>IF(N2695="","",IF(COUNTIF(Precios!$G:$G,N2695)=0,"⚠ No coincide con Precios","OK"))</f>
        <v/>
      </c>
    </row>
    <row r="2696" spans="3:15" x14ac:dyDescent="0.2">
      <c r="C2696" s="9" cm="1">
        <f t="array" ref="C2696">IFERROR(_xlfn.XLOOKUP(B2696,Personal!$A:$A,Personal!$D:$D,""),"")</f>
        <v>0</v>
      </c>
      <c r="D2696" s="9" cm="1">
        <f t="array" ref="D2696">IFERROR(_xlfn.XLOOKUP(B2696,Personal!$A:$A,Personal!$C:$C,""),"")</f>
        <v>0</v>
      </c>
      <c r="E2696" s="9" t="str" cm="1">
        <f t="array" ref="E2696">IFERROR(_xlfn.XLOOKUP(D2696,Locales!$A:$A,Locales!$B:$B,""),"")</f>
        <v/>
      </c>
      <c r="F2696" s="9" cm="1">
        <f t="array" ref="F2696">IFERROR(_xlfn.XLOOKUP(B2696,Personal!$A:$A,Personal!$F:$F,""),"")</f>
        <v>0</v>
      </c>
      <c r="I2696" s="10" cm="1">
        <f t="array" ref="I2696">IFERROR(INDEX(Precios!$D:$F,MATCH(N2696, Precios!$G:$G, 0),CHOOSE(MATCH(H2696, {"SML";"XL";"XXL"}, 0), 1, 2, 3)), 0)</f>
        <v>0</v>
      </c>
      <c r="K2696" s="10">
        <f t="shared" si="92"/>
        <v>0</v>
      </c>
      <c r="N2696" s="9" t="str">
        <f t="shared" si="93"/>
        <v/>
      </c>
      <c r="O2696" s="9" t="str">
        <f>IF(N2696="","",IF(COUNTIF(Precios!$G:$G,N2696)=0,"⚠ No coincide con Precios","OK"))</f>
        <v/>
      </c>
    </row>
    <row r="2697" spans="3:15" x14ac:dyDescent="0.2">
      <c r="C2697" s="9" cm="1">
        <f t="array" ref="C2697">IFERROR(_xlfn.XLOOKUP(B2697,Personal!$A:$A,Personal!$D:$D,""),"")</f>
        <v>0</v>
      </c>
      <c r="D2697" s="9" cm="1">
        <f t="array" ref="D2697">IFERROR(_xlfn.XLOOKUP(B2697,Personal!$A:$A,Personal!$C:$C,""),"")</f>
        <v>0</v>
      </c>
      <c r="E2697" s="9" t="str" cm="1">
        <f t="array" ref="E2697">IFERROR(_xlfn.XLOOKUP(D2697,Locales!$A:$A,Locales!$B:$B,""),"")</f>
        <v/>
      </c>
      <c r="F2697" s="9" cm="1">
        <f t="array" ref="F2697">IFERROR(_xlfn.XLOOKUP(B2697,Personal!$A:$A,Personal!$F:$F,""),"")</f>
        <v>0</v>
      </c>
      <c r="I2697" s="10" cm="1">
        <f t="array" ref="I2697">IFERROR(INDEX(Precios!$D:$F,MATCH(N2697, Precios!$G:$G, 0),CHOOSE(MATCH(H2697, {"SML";"XL";"XXL"}, 0), 1, 2, 3)), 0)</f>
        <v>0</v>
      </c>
      <c r="K2697" s="10">
        <f t="shared" si="92"/>
        <v>0</v>
      </c>
      <c r="N2697" s="9" t="str">
        <f t="shared" si="93"/>
        <v/>
      </c>
      <c r="O2697" s="9" t="str">
        <f>IF(N2697="","",IF(COUNTIF(Precios!$G:$G,N2697)=0,"⚠ No coincide con Precios","OK"))</f>
        <v/>
      </c>
    </row>
    <row r="2698" spans="3:15" x14ac:dyDescent="0.2">
      <c r="C2698" s="9" cm="1">
        <f t="array" ref="C2698">IFERROR(_xlfn.XLOOKUP(B2698,Personal!$A:$A,Personal!$D:$D,""),"")</f>
        <v>0</v>
      </c>
      <c r="D2698" s="9" cm="1">
        <f t="array" ref="D2698">IFERROR(_xlfn.XLOOKUP(B2698,Personal!$A:$A,Personal!$C:$C,""),"")</f>
        <v>0</v>
      </c>
      <c r="E2698" s="9" t="str" cm="1">
        <f t="array" ref="E2698">IFERROR(_xlfn.XLOOKUP(D2698,Locales!$A:$A,Locales!$B:$B,""),"")</f>
        <v/>
      </c>
      <c r="F2698" s="9" cm="1">
        <f t="array" ref="F2698">IFERROR(_xlfn.XLOOKUP(B2698,Personal!$A:$A,Personal!$F:$F,""),"")</f>
        <v>0</v>
      </c>
      <c r="I2698" s="10" cm="1">
        <f t="array" ref="I2698">IFERROR(INDEX(Precios!$D:$F,MATCH(N2698, Precios!$G:$G, 0),CHOOSE(MATCH(H2698, {"SML";"XL";"XXL"}, 0), 1, 2, 3)), 0)</f>
        <v>0</v>
      </c>
      <c r="K2698" s="10">
        <f t="shared" si="92"/>
        <v>0</v>
      </c>
      <c r="N2698" s="9" t="str">
        <f t="shared" si="93"/>
        <v/>
      </c>
      <c r="O2698" s="9" t="str">
        <f>IF(N2698="","",IF(COUNTIF(Precios!$G:$G,N2698)=0,"⚠ No coincide con Precios","OK"))</f>
        <v/>
      </c>
    </row>
    <row r="2699" spans="3:15" x14ac:dyDescent="0.2">
      <c r="C2699" s="9" cm="1">
        <f t="array" ref="C2699">IFERROR(_xlfn.XLOOKUP(B2699,Personal!$A:$A,Personal!$D:$D,""),"")</f>
        <v>0</v>
      </c>
      <c r="D2699" s="9" cm="1">
        <f t="array" ref="D2699">IFERROR(_xlfn.XLOOKUP(B2699,Personal!$A:$A,Personal!$C:$C,""),"")</f>
        <v>0</v>
      </c>
      <c r="E2699" s="9" t="str" cm="1">
        <f t="array" ref="E2699">IFERROR(_xlfn.XLOOKUP(D2699,Locales!$A:$A,Locales!$B:$B,""),"")</f>
        <v/>
      </c>
      <c r="F2699" s="9" cm="1">
        <f t="array" ref="F2699">IFERROR(_xlfn.XLOOKUP(B2699,Personal!$A:$A,Personal!$F:$F,""),"")</f>
        <v>0</v>
      </c>
      <c r="I2699" s="10" cm="1">
        <f t="array" ref="I2699">IFERROR(INDEX(Precios!$D:$F,MATCH(N2699, Precios!$G:$G, 0),CHOOSE(MATCH(H2699, {"SML";"XL";"XXL"}, 0), 1, 2, 3)), 0)</f>
        <v>0</v>
      </c>
      <c r="K2699" s="10">
        <f t="shared" si="92"/>
        <v>0</v>
      </c>
      <c r="N2699" s="9" t="str">
        <f t="shared" si="93"/>
        <v/>
      </c>
      <c r="O2699" s="9" t="str">
        <f>IF(N2699="","",IF(COUNTIF(Precios!$G:$G,N2699)=0,"⚠ No coincide con Precios","OK"))</f>
        <v/>
      </c>
    </row>
    <row r="2700" spans="3:15" x14ac:dyDescent="0.2">
      <c r="C2700" s="9" cm="1">
        <f t="array" ref="C2700">IFERROR(_xlfn.XLOOKUP(B2700,Personal!$A:$A,Personal!$D:$D,""),"")</f>
        <v>0</v>
      </c>
      <c r="D2700" s="9" cm="1">
        <f t="array" ref="D2700">IFERROR(_xlfn.XLOOKUP(B2700,Personal!$A:$A,Personal!$C:$C,""),"")</f>
        <v>0</v>
      </c>
      <c r="E2700" s="9" t="str" cm="1">
        <f t="array" ref="E2700">IFERROR(_xlfn.XLOOKUP(D2700,Locales!$A:$A,Locales!$B:$B,""),"")</f>
        <v/>
      </c>
      <c r="F2700" s="9" cm="1">
        <f t="array" ref="F2700">IFERROR(_xlfn.XLOOKUP(B2700,Personal!$A:$A,Personal!$F:$F,""),"")</f>
        <v>0</v>
      </c>
      <c r="I2700" s="10" cm="1">
        <f t="array" ref="I2700">IFERROR(INDEX(Precios!$D:$F,MATCH(N2700, Precios!$G:$G, 0),CHOOSE(MATCH(H2700, {"SML";"XL";"XXL"}, 0), 1, 2, 3)), 0)</f>
        <v>0</v>
      </c>
      <c r="K2700" s="10">
        <f t="shared" si="92"/>
        <v>0</v>
      </c>
      <c r="N2700" s="9" t="str">
        <f t="shared" si="93"/>
        <v/>
      </c>
      <c r="O2700" s="9" t="str">
        <f>IF(N2700="","",IF(COUNTIF(Precios!$G:$G,N2700)=0,"⚠ No coincide con Precios","OK"))</f>
        <v/>
      </c>
    </row>
    <row r="2701" spans="3:15" x14ac:dyDescent="0.2">
      <c r="C2701" s="9" cm="1">
        <f t="array" ref="C2701">IFERROR(_xlfn.XLOOKUP(B2701,Personal!$A:$A,Personal!$D:$D,""),"")</f>
        <v>0</v>
      </c>
      <c r="D2701" s="9" cm="1">
        <f t="array" ref="D2701">IFERROR(_xlfn.XLOOKUP(B2701,Personal!$A:$A,Personal!$C:$C,""),"")</f>
        <v>0</v>
      </c>
      <c r="E2701" s="9" t="str" cm="1">
        <f t="array" ref="E2701">IFERROR(_xlfn.XLOOKUP(D2701,Locales!$A:$A,Locales!$B:$B,""),"")</f>
        <v/>
      </c>
      <c r="F2701" s="9" cm="1">
        <f t="array" ref="F2701">IFERROR(_xlfn.XLOOKUP(B2701,Personal!$A:$A,Personal!$F:$F,""),"")</f>
        <v>0</v>
      </c>
      <c r="I2701" s="10" cm="1">
        <f t="array" ref="I2701">IFERROR(INDEX(Precios!$D:$F,MATCH(N2701, Precios!$G:$G, 0),CHOOSE(MATCH(H2701, {"SML";"XL";"XXL"}, 0), 1, 2, 3)), 0)</f>
        <v>0</v>
      </c>
      <c r="K2701" s="10">
        <f t="shared" si="92"/>
        <v>0</v>
      </c>
      <c r="N2701" s="9" t="str">
        <f t="shared" si="93"/>
        <v/>
      </c>
      <c r="O2701" s="9" t="str">
        <f>IF(N2701="","",IF(COUNTIF(Precios!$G:$G,N2701)=0,"⚠ No coincide con Precios","OK"))</f>
        <v/>
      </c>
    </row>
    <row r="2702" spans="3:15" x14ac:dyDescent="0.2">
      <c r="C2702" s="9" cm="1">
        <f t="array" ref="C2702">IFERROR(_xlfn.XLOOKUP(B2702,Personal!$A:$A,Personal!$D:$D,""),"")</f>
        <v>0</v>
      </c>
      <c r="D2702" s="9" cm="1">
        <f t="array" ref="D2702">IFERROR(_xlfn.XLOOKUP(B2702,Personal!$A:$A,Personal!$C:$C,""),"")</f>
        <v>0</v>
      </c>
      <c r="E2702" s="9" t="str" cm="1">
        <f t="array" ref="E2702">IFERROR(_xlfn.XLOOKUP(D2702,Locales!$A:$A,Locales!$B:$B,""),"")</f>
        <v/>
      </c>
      <c r="F2702" s="9" cm="1">
        <f t="array" ref="F2702">IFERROR(_xlfn.XLOOKUP(B2702,Personal!$A:$A,Personal!$F:$F,""),"")</f>
        <v>0</v>
      </c>
      <c r="I2702" s="10" cm="1">
        <f t="array" ref="I2702">IFERROR(INDEX(Precios!$D:$F,MATCH(N2702, Precios!$G:$G, 0),CHOOSE(MATCH(H2702, {"SML";"XL";"XXL"}, 0), 1, 2, 3)), 0)</f>
        <v>0</v>
      </c>
      <c r="K2702" s="10">
        <f t="shared" si="92"/>
        <v>0</v>
      </c>
      <c r="N2702" s="9" t="str">
        <f t="shared" si="93"/>
        <v/>
      </c>
      <c r="O2702" s="9" t="str">
        <f>IF(N2702="","",IF(COUNTIF(Precios!$G:$G,N2702)=0,"⚠ No coincide con Precios","OK"))</f>
        <v/>
      </c>
    </row>
    <row r="2703" spans="3:15" x14ac:dyDescent="0.2">
      <c r="C2703" s="9" cm="1">
        <f t="array" ref="C2703">IFERROR(_xlfn.XLOOKUP(B2703,Personal!$A:$A,Personal!$D:$D,""),"")</f>
        <v>0</v>
      </c>
      <c r="D2703" s="9" cm="1">
        <f t="array" ref="D2703">IFERROR(_xlfn.XLOOKUP(B2703,Personal!$A:$A,Personal!$C:$C,""),"")</f>
        <v>0</v>
      </c>
      <c r="E2703" s="9" t="str" cm="1">
        <f t="array" ref="E2703">IFERROR(_xlfn.XLOOKUP(D2703,Locales!$A:$A,Locales!$B:$B,""),"")</f>
        <v/>
      </c>
      <c r="F2703" s="9" cm="1">
        <f t="array" ref="F2703">IFERROR(_xlfn.XLOOKUP(B2703,Personal!$A:$A,Personal!$F:$F,""),"")</f>
        <v>0</v>
      </c>
      <c r="I2703" s="10" cm="1">
        <f t="array" ref="I2703">IFERROR(INDEX(Precios!$D:$F,MATCH(N2703, Precios!$G:$G, 0),CHOOSE(MATCH(H2703, {"SML";"XL";"XXL"}, 0), 1, 2, 3)), 0)</f>
        <v>0</v>
      </c>
      <c r="K2703" s="10">
        <f t="shared" si="92"/>
        <v>0</v>
      </c>
      <c r="N2703" s="9" t="str">
        <f t="shared" si="93"/>
        <v/>
      </c>
      <c r="O2703" s="9" t="str">
        <f>IF(N2703="","",IF(COUNTIF(Precios!$G:$G,N2703)=0,"⚠ No coincide con Precios","OK"))</f>
        <v/>
      </c>
    </row>
    <row r="2704" spans="3:15" x14ac:dyDescent="0.2">
      <c r="C2704" s="9" cm="1">
        <f t="array" ref="C2704">IFERROR(_xlfn.XLOOKUP(B2704,Personal!$A:$A,Personal!$D:$D,""),"")</f>
        <v>0</v>
      </c>
      <c r="D2704" s="9" cm="1">
        <f t="array" ref="D2704">IFERROR(_xlfn.XLOOKUP(B2704,Personal!$A:$A,Personal!$C:$C,""),"")</f>
        <v>0</v>
      </c>
      <c r="E2704" s="9" t="str" cm="1">
        <f t="array" ref="E2704">IFERROR(_xlfn.XLOOKUP(D2704,Locales!$A:$A,Locales!$B:$B,""),"")</f>
        <v/>
      </c>
      <c r="F2704" s="9" cm="1">
        <f t="array" ref="F2704">IFERROR(_xlfn.XLOOKUP(B2704,Personal!$A:$A,Personal!$F:$F,""),"")</f>
        <v>0</v>
      </c>
      <c r="I2704" s="10" cm="1">
        <f t="array" ref="I2704">IFERROR(INDEX(Precios!$D:$F,MATCH(N2704, Precios!$G:$G, 0),CHOOSE(MATCH(H2704, {"SML";"XL";"XXL"}, 0), 1, 2, 3)), 0)</f>
        <v>0</v>
      </c>
      <c r="K2704" s="10">
        <f t="shared" si="92"/>
        <v>0</v>
      </c>
      <c r="N2704" s="9" t="str">
        <f t="shared" si="93"/>
        <v/>
      </c>
      <c r="O2704" s="9" t="str">
        <f>IF(N2704="","",IF(COUNTIF(Precios!$G:$G,N2704)=0,"⚠ No coincide con Precios","OK"))</f>
        <v/>
      </c>
    </row>
    <row r="2705" spans="3:15" x14ac:dyDescent="0.2">
      <c r="C2705" s="9" cm="1">
        <f t="array" ref="C2705">IFERROR(_xlfn.XLOOKUP(B2705,Personal!$A:$A,Personal!$D:$D,""),"")</f>
        <v>0</v>
      </c>
      <c r="D2705" s="9" cm="1">
        <f t="array" ref="D2705">IFERROR(_xlfn.XLOOKUP(B2705,Personal!$A:$A,Personal!$C:$C,""),"")</f>
        <v>0</v>
      </c>
      <c r="E2705" s="9" t="str" cm="1">
        <f t="array" ref="E2705">IFERROR(_xlfn.XLOOKUP(D2705,Locales!$A:$A,Locales!$B:$B,""),"")</f>
        <v/>
      </c>
      <c r="F2705" s="9" cm="1">
        <f t="array" ref="F2705">IFERROR(_xlfn.XLOOKUP(B2705,Personal!$A:$A,Personal!$F:$F,""),"")</f>
        <v>0</v>
      </c>
      <c r="I2705" s="10" cm="1">
        <f t="array" ref="I2705">IFERROR(INDEX(Precios!$D:$F,MATCH(N2705, Precios!$G:$G, 0),CHOOSE(MATCH(H2705, {"SML";"XL";"XXL"}, 0), 1, 2, 3)), 0)</f>
        <v>0</v>
      </c>
      <c r="K2705" s="10">
        <f t="shared" si="92"/>
        <v>0</v>
      </c>
      <c r="N2705" s="9" t="str">
        <f t="shared" si="93"/>
        <v/>
      </c>
      <c r="O2705" s="9" t="str">
        <f>IF(N2705="","",IF(COUNTIF(Precios!$G:$G,N2705)=0,"⚠ No coincide con Precios","OK"))</f>
        <v/>
      </c>
    </row>
    <row r="2706" spans="3:15" x14ac:dyDescent="0.2">
      <c r="C2706" s="9" cm="1">
        <f t="array" ref="C2706">IFERROR(_xlfn.XLOOKUP(B2706,Personal!$A:$A,Personal!$D:$D,""),"")</f>
        <v>0</v>
      </c>
      <c r="D2706" s="9" cm="1">
        <f t="array" ref="D2706">IFERROR(_xlfn.XLOOKUP(B2706,Personal!$A:$A,Personal!$C:$C,""),"")</f>
        <v>0</v>
      </c>
      <c r="E2706" s="9" t="str" cm="1">
        <f t="array" ref="E2706">IFERROR(_xlfn.XLOOKUP(D2706,Locales!$A:$A,Locales!$B:$B,""),"")</f>
        <v/>
      </c>
      <c r="F2706" s="9" cm="1">
        <f t="array" ref="F2706">IFERROR(_xlfn.XLOOKUP(B2706,Personal!$A:$A,Personal!$F:$F,""),"")</f>
        <v>0</v>
      </c>
      <c r="I2706" s="10" cm="1">
        <f t="array" ref="I2706">IFERROR(INDEX(Precios!$D:$F,MATCH(N2706, Precios!$G:$G, 0),CHOOSE(MATCH(H2706, {"SML";"XL";"XXL"}, 0), 1, 2, 3)), 0)</f>
        <v>0</v>
      </c>
      <c r="K2706" s="10">
        <f t="shared" si="92"/>
        <v>0</v>
      </c>
      <c r="N2706" s="9" t="str">
        <f t="shared" si="93"/>
        <v/>
      </c>
      <c r="O2706" s="9" t="str">
        <f>IF(N2706="","",IF(COUNTIF(Precios!$G:$G,N2706)=0,"⚠ No coincide con Precios","OK"))</f>
        <v/>
      </c>
    </row>
    <row r="2707" spans="3:15" x14ac:dyDescent="0.2">
      <c r="C2707" s="9" cm="1">
        <f t="array" ref="C2707">IFERROR(_xlfn.XLOOKUP(B2707,Personal!$A:$A,Personal!$D:$D,""),"")</f>
        <v>0</v>
      </c>
      <c r="D2707" s="9" cm="1">
        <f t="array" ref="D2707">IFERROR(_xlfn.XLOOKUP(B2707,Personal!$A:$A,Personal!$C:$C,""),"")</f>
        <v>0</v>
      </c>
      <c r="E2707" s="9" t="str" cm="1">
        <f t="array" ref="E2707">IFERROR(_xlfn.XLOOKUP(D2707,Locales!$A:$A,Locales!$B:$B,""),"")</f>
        <v/>
      </c>
      <c r="F2707" s="9" cm="1">
        <f t="array" ref="F2707">IFERROR(_xlfn.XLOOKUP(B2707,Personal!$A:$A,Personal!$F:$F,""),"")</f>
        <v>0</v>
      </c>
      <c r="I2707" s="10" cm="1">
        <f t="array" ref="I2707">IFERROR(INDEX(Precios!$D:$F,MATCH(N2707, Precios!$G:$G, 0),CHOOSE(MATCH(H2707, {"SML";"XL";"XXL"}, 0), 1, 2, 3)), 0)</f>
        <v>0</v>
      </c>
      <c r="K2707" s="10">
        <f t="shared" si="92"/>
        <v>0</v>
      </c>
      <c r="N2707" s="9" t="str">
        <f t="shared" si="93"/>
        <v/>
      </c>
      <c r="O2707" s="9" t="str">
        <f>IF(N2707="","",IF(COUNTIF(Precios!$G:$G,N2707)=0,"⚠ No coincide con Precios","OK"))</f>
        <v/>
      </c>
    </row>
    <row r="2708" spans="3:15" x14ac:dyDescent="0.2">
      <c r="C2708" s="9" cm="1">
        <f t="array" ref="C2708">IFERROR(_xlfn.XLOOKUP(B2708,Personal!$A:$A,Personal!$D:$D,""),"")</f>
        <v>0</v>
      </c>
      <c r="D2708" s="9" cm="1">
        <f t="array" ref="D2708">IFERROR(_xlfn.XLOOKUP(B2708,Personal!$A:$A,Personal!$C:$C,""),"")</f>
        <v>0</v>
      </c>
      <c r="E2708" s="9" t="str" cm="1">
        <f t="array" ref="E2708">IFERROR(_xlfn.XLOOKUP(D2708,Locales!$A:$A,Locales!$B:$B,""),"")</f>
        <v/>
      </c>
      <c r="F2708" s="9" cm="1">
        <f t="array" ref="F2708">IFERROR(_xlfn.XLOOKUP(B2708,Personal!$A:$A,Personal!$F:$F,""),"")</f>
        <v>0</v>
      </c>
      <c r="I2708" s="10" cm="1">
        <f t="array" ref="I2708">IFERROR(INDEX(Precios!$D:$F,MATCH(N2708, Precios!$G:$G, 0),CHOOSE(MATCH(H2708, {"SML";"XL";"XXL"}, 0), 1, 2, 3)), 0)</f>
        <v>0</v>
      </c>
      <c r="K2708" s="10">
        <f t="shared" si="92"/>
        <v>0</v>
      </c>
      <c r="N2708" s="9" t="str">
        <f t="shared" si="93"/>
        <v/>
      </c>
      <c r="O2708" s="9" t="str">
        <f>IF(N2708="","",IF(COUNTIF(Precios!$G:$G,N2708)=0,"⚠ No coincide con Precios","OK"))</f>
        <v/>
      </c>
    </row>
    <row r="2709" spans="3:15" x14ac:dyDescent="0.2">
      <c r="C2709" s="9" cm="1">
        <f t="array" ref="C2709">IFERROR(_xlfn.XLOOKUP(B2709,Personal!$A:$A,Personal!$D:$D,""),"")</f>
        <v>0</v>
      </c>
      <c r="D2709" s="9" cm="1">
        <f t="array" ref="D2709">IFERROR(_xlfn.XLOOKUP(B2709,Personal!$A:$A,Personal!$C:$C,""),"")</f>
        <v>0</v>
      </c>
      <c r="E2709" s="9" t="str" cm="1">
        <f t="array" ref="E2709">IFERROR(_xlfn.XLOOKUP(D2709,Locales!$A:$A,Locales!$B:$B,""),"")</f>
        <v/>
      </c>
      <c r="F2709" s="9" cm="1">
        <f t="array" ref="F2709">IFERROR(_xlfn.XLOOKUP(B2709,Personal!$A:$A,Personal!$F:$F,""),"")</f>
        <v>0</v>
      </c>
      <c r="I2709" s="10" cm="1">
        <f t="array" ref="I2709">IFERROR(INDEX(Precios!$D:$F,MATCH(N2709, Precios!$G:$G, 0),CHOOSE(MATCH(H2709, {"SML";"XL";"XXL"}, 0), 1, 2, 3)), 0)</f>
        <v>0</v>
      </c>
      <c r="K2709" s="10">
        <f t="shared" si="92"/>
        <v>0</v>
      </c>
      <c r="N2709" s="9" t="str">
        <f t="shared" si="93"/>
        <v/>
      </c>
      <c r="O2709" s="9" t="str">
        <f>IF(N2709="","",IF(COUNTIF(Precios!$G:$G,N2709)=0,"⚠ No coincide con Precios","OK"))</f>
        <v/>
      </c>
    </row>
    <row r="2710" spans="3:15" x14ac:dyDescent="0.2">
      <c r="C2710" s="9" cm="1">
        <f t="array" ref="C2710">IFERROR(_xlfn.XLOOKUP(B2710,Personal!$A:$A,Personal!$D:$D,""),"")</f>
        <v>0</v>
      </c>
      <c r="D2710" s="9" cm="1">
        <f t="array" ref="D2710">IFERROR(_xlfn.XLOOKUP(B2710,Personal!$A:$A,Personal!$C:$C,""),"")</f>
        <v>0</v>
      </c>
      <c r="E2710" s="9" t="str" cm="1">
        <f t="array" ref="E2710">IFERROR(_xlfn.XLOOKUP(D2710,Locales!$A:$A,Locales!$B:$B,""),"")</f>
        <v/>
      </c>
      <c r="F2710" s="9" cm="1">
        <f t="array" ref="F2710">IFERROR(_xlfn.XLOOKUP(B2710,Personal!$A:$A,Personal!$F:$F,""),"")</f>
        <v>0</v>
      </c>
      <c r="I2710" s="10" cm="1">
        <f t="array" ref="I2710">IFERROR(INDEX(Precios!$D:$F,MATCH(N2710, Precios!$G:$G, 0),CHOOSE(MATCH(H2710, {"SML";"XL";"XXL"}, 0), 1, 2, 3)), 0)</f>
        <v>0</v>
      </c>
      <c r="K2710" s="10">
        <f t="shared" si="92"/>
        <v>0</v>
      </c>
      <c r="N2710" s="9" t="str">
        <f t="shared" si="93"/>
        <v/>
      </c>
      <c r="O2710" s="9" t="str">
        <f>IF(N2710="","",IF(COUNTIF(Precios!$G:$G,N2710)=0,"⚠ No coincide con Precios","OK"))</f>
        <v/>
      </c>
    </row>
    <row r="2711" spans="3:15" x14ac:dyDescent="0.2">
      <c r="C2711" s="9" cm="1">
        <f t="array" ref="C2711">IFERROR(_xlfn.XLOOKUP(B2711,Personal!$A:$A,Personal!$D:$D,""),"")</f>
        <v>0</v>
      </c>
      <c r="D2711" s="9" cm="1">
        <f t="array" ref="D2711">IFERROR(_xlfn.XLOOKUP(B2711,Personal!$A:$A,Personal!$C:$C,""),"")</f>
        <v>0</v>
      </c>
      <c r="E2711" s="9" t="str" cm="1">
        <f t="array" ref="E2711">IFERROR(_xlfn.XLOOKUP(D2711,Locales!$A:$A,Locales!$B:$B,""),"")</f>
        <v/>
      </c>
      <c r="F2711" s="9" cm="1">
        <f t="array" ref="F2711">IFERROR(_xlfn.XLOOKUP(B2711,Personal!$A:$A,Personal!$F:$F,""),"")</f>
        <v>0</v>
      </c>
      <c r="I2711" s="10" cm="1">
        <f t="array" ref="I2711">IFERROR(INDEX(Precios!$D:$F,MATCH(N2711, Precios!$G:$G, 0),CHOOSE(MATCH(H2711, {"SML";"XL";"XXL"}, 0), 1, 2, 3)), 0)</f>
        <v>0</v>
      </c>
      <c r="K2711" s="10">
        <f t="shared" si="92"/>
        <v>0</v>
      </c>
      <c r="N2711" s="9" t="str">
        <f t="shared" si="93"/>
        <v/>
      </c>
      <c r="O2711" s="9" t="str">
        <f>IF(N2711="","",IF(COUNTIF(Precios!$G:$G,N2711)=0,"⚠ No coincide con Precios","OK"))</f>
        <v/>
      </c>
    </row>
    <row r="2712" spans="3:15" x14ac:dyDescent="0.2">
      <c r="C2712" s="9" cm="1">
        <f t="array" ref="C2712">IFERROR(_xlfn.XLOOKUP(B2712,Personal!$A:$A,Personal!$D:$D,""),"")</f>
        <v>0</v>
      </c>
      <c r="D2712" s="9" cm="1">
        <f t="array" ref="D2712">IFERROR(_xlfn.XLOOKUP(B2712,Personal!$A:$A,Personal!$C:$C,""),"")</f>
        <v>0</v>
      </c>
      <c r="E2712" s="9" t="str" cm="1">
        <f t="array" ref="E2712">IFERROR(_xlfn.XLOOKUP(D2712,Locales!$A:$A,Locales!$B:$B,""),"")</f>
        <v/>
      </c>
      <c r="F2712" s="9" cm="1">
        <f t="array" ref="F2712">IFERROR(_xlfn.XLOOKUP(B2712,Personal!$A:$A,Personal!$F:$F,""),"")</f>
        <v>0</v>
      </c>
      <c r="I2712" s="10" cm="1">
        <f t="array" ref="I2712">IFERROR(INDEX(Precios!$D:$F,MATCH(N2712, Precios!$G:$G, 0),CHOOSE(MATCH(H2712, {"SML";"XL";"XXL"}, 0), 1, 2, 3)), 0)</f>
        <v>0</v>
      </c>
      <c r="K2712" s="10">
        <f t="shared" si="92"/>
        <v>0</v>
      </c>
      <c r="N2712" s="9" t="str">
        <f t="shared" si="93"/>
        <v/>
      </c>
      <c r="O2712" s="9" t="str">
        <f>IF(N2712="","",IF(COUNTIF(Precios!$G:$G,N2712)=0,"⚠ No coincide con Precios","OK"))</f>
        <v/>
      </c>
    </row>
    <row r="2713" spans="3:15" x14ac:dyDescent="0.2">
      <c r="C2713" s="9" cm="1">
        <f t="array" ref="C2713">IFERROR(_xlfn.XLOOKUP(B2713,Personal!$A:$A,Personal!$D:$D,""),"")</f>
        <v>0</v>
      </c>
      <c r="D2713" s="9" cm="1">
        <f t="array" ref="D2713">IFERROR(_xlfn.XLOOKUP(B2713,Personal!$A:$A,Personal!$C:$C,""),"")</f>
        <v>0</v>
      </c>
      <c r="E2713" s="9" t="str" cm="1">
        <f t="array" ref="E2713">IFERROR(_xlfn.XLOOKUP(D2713,Locales!$A:$A,Locales!$B:$B,""),"")</f>
        <v/>
      </c>
      <c r="F2713" s="9" cm="1">
        <f t="array" ref="F2713">IFERROR(_xlfn.XLOOKUP(B2713,Personal!$A:$A,Personal!$F:$F,""),"")</f>
        <v>0</v>
      </c>
      <c r="I2713" s="10" cm="1">
        <f t="array" ref="I2713">IFERROR(INDEX(Precios!$D:$F,MATCH(N2713, Precios!$G:$G, 0),CHOOSE(MATCH(H2713, {"SML";"XL";"XXL"}, 0), 1, 2, 3)), 0)</f>
        <v>0</v>
      </c>
      <c r="K2713" s="10">
        <f t="shared" si="92"/>
        <v>0</v>
      </c>
      <c r="N2713" s="9" t="str">
        <f t="shared" si="93"/>
        <v/>
      </c>
      <c r="O2713" s="9" t="str">
        <f>IF(N2713="","",IF(COUNTIF(Precios!$G:$G,N2713)=0,"⚠ No coincide con Precios","OK"))</f>
        <v/>
      </c>
    </row>
    <row r="2714" spans="3:15" x14ac:dyDescent="0.2">
      <c r="C2714" s="9" cm="1">
        <f t="array" ref="C2714">IFERROR(_xlfn.XLOOKUP(B2714,Personal!$A:$A,Personal!$D:$D,""),"")</f>
        <v>0</v>
      </c>
      <c r="D2714" s="9" cm="1">
        <f t="array" ref="D2714">IFERROR(_xlfn.XLOOKUP(B2714,Personal!$A:$A,Personal!$C:$C,""),"")</f>
        <v>0</v>
      </c>
      <c r="E2714" s="9" t="str" cm="1">
        <f t="array" ref="E2714">IFERROR(_xlfn.XLOOKUP(D2714,Locales!$A:$A,Locales!$B:$B,""),"")</f>
        <v/>
      </c>
      <c r="F2714" s="9" cm="1">
        <f t="array" ref="F2714">IFERROR(_xlfn.XLOOKUP(B2714,Personal!$A:$A,Personal!$F:$F,""),"")</f>
        <v>0</v>
      </c>
      <c r="I2714" s="10" cm="1">
        <f t="array" ref="I2714">IFERROR(INDEX(Precios!$D:$F,MATCH(N2714, Precios!$G:$G, 0),CHOOSE(MATCH(H2714, {"SML";"XL";"XXL"}, 0), 1, 2, 3)), 0)</f>
        <v>0</v>
      </c>
      <c r="K2714" s="10">
        <f t="shared" si="92"/>
        <v>0</v>
      </c>
      <c r="N2714" s="9" t="str">
        <f t="shared" si="93"/>
        <v/>
      </c>
      <c r="O2714" s="9" t="str">
        <f>IF(N2714="","",IF(COUNTIF(Precios!$G:$G,N2714)=0,"⚠ No coincide con Precios","OK"))</f>
        <v/>
      </c>
    </row>
    <row r="2715" spans="3:15" x14ac:dyDescent="0.2">
      <c r="C2715" s="9" cm="1">
        <f t="array" ref="C2715">IFERROR(_xlfn.XLOOKUP(B2715,Personal!$A:$A,Personal!$D:$D,""),"")</f>
        <v>0</v>
      </c>
      <c r="D2715" s="9" cm="1">
        <f t="array" ref="D2715">IFERROR(_xlfn.XLOOKUP(B2715,Personal!$A:$A,Personal!$C:$C,""),"")</f>
        <v>0</v>
      </c>
      <c r="E2715" s="9" t="str" cm="1">
        <f t="array" ref="E2715">IFERROR(_xlfn.XLOOKUP(D2715,Locales!$A:$A,Locales!$B:$B,""),"")</f>
        <v/>
      </c>
      <c r="F2715" s="9" cm="1">
        <f t="array" ref="F2715">IFERROR(_xlfn.XLOOKUP(B2715,Personal!$A:$A,Personal!$F:$F,""),"")</f>
        <v>0</v>
      </c>
      <c r="I2715" s="10" cm="1">
        <f t="array" ref="I2715">IFERROR(INDEX(Precios!$D:$F,MATCH(N2715, Precios!$G:$G, 0),CHOOSE(MATCH(H2715, {"SML";"XL";"XXL"}, 0), 1, 2, 3)), 0)</f>
        <v>0</v>
      </c>
      <c r="K2715" s="10">
        <f t="shared" si="92"/>
        <v>0</v>
      </c>
      <c r="N2715" s="9" t="str">
        <f t="shared" si="93"/>
        <v/>
      </c>
      <c r="O2715" s="9" t="str">
        <f>IF(N2715="","",IF(COUNTIF(Precios!$G:$G,N2715)=0,"⚠ No coincide con Precios","OK"))</f>
        <v/>
      </c>
    </row>
    <row r="2716" spans="3:15" x14ac:dyDescent="0.2">
      <c r="C2716" s="9" cm="1">
        <f t="array" ref="C2716">IFERROR(_xlfn.XLOOKUP(B2716,Personal!$A:$A,Personal!$D:$D,""),"")</f>
        <v>0</v>
      </c>
      <c r="D2716" s="9" cm="1">
        <f t="array" ref="D2716">IFERROR(_xlfn.XLOOKUP(B2716,Personal!$A:$A,Personal!$C:$C,""),"")</f>
        <v>0</v>
      </c>
      <c r="E2716" s="9" t="str" cm="1">
        <f t="array" ref="E2716">IFERROR(_xlfn.XLOOKUP(D2716,Locales!$A:$A,Locales!$B:$B,""),"")</f>
        <v/>
      </c>
      <c r="F2716" s="9" cm="1">
        <f t="array" ref="F2716">IFERROR(_xlfn.XLOOKUP(B2716,Personal!$A:$A,Personal!$F:$F,""),"")</f>
        <v>0</v>
      </c>
      <c r="I2716" s="10" cm="1">
        <f t="array" ref="I2716">IFERROR(INDEX(Precios!$D:$F,MATCH(N2716, Precios!$G:$G, 0),CHOOSE(MATCH(H2716, {"SML";"XL";"XXL"}, 0), 1, 2, 3)), 0)</f>
        <v>0</v>
      </c>
      <c r="K2716" s="10">
        <f t="shared" si="92"/>
        <v>0</v>
      </c>
      <c r="N2716" s="9" t="str">
        <f t="shared" si="93"/>
        <v/>
      </c>
      <c r="O2716" s="9" t="str">
        <f>IF(N2716="","",IF(COUNTIF(Precios!$G:$G,N2716)=0,"⚠ No coincide con Precios","OK"))</f>
        <v/>
      </c>
    </row>
    <row r="2717" spans="3:15" x14ac:dyDescent="0.2">
      <c r="C2717" s="9" cm="1">
        <f t="array" ref="C2717">IFERROR(_xlfn.XLOOKUP(B2717,Personal!$A:$A,Personal!$D:$D,""),"")</f>
        <v>0</v>
      </c>
      <c r="D2717" s="9" cm="1">
        <f t="array" ref="D2717">IFERROR(_xlfn.XLOOKUP(B2717,Personal!$A:$A,Personal!$C:$C,""),"")</f>
        <v>0</v>
      </c>
      <c r="E2717" s="9" t="str" cm="1">
        <f t="array" ref="E2717">IFERROR(_xlfn.XLOOKUP(D2717,Locales!$A:$A,Locales!$B:$B,""),"")</f>
        <v/>
      </c>
      <c r="F2717" s="9" cm="1">
        <f t="array" ref="F2717">IFERROR(_xlfn.XLOOKUP(B2717,Personal!$A:$A,Personal!$F:$F,""),"")</f>
        <v>0</v>
      </c>
      <c r="I2717" s="10" cm="1">
        <f t="array" ref="I2717">IFERROR(INDEX(Precios!$D:$F,MATCH(N2717, Precios!$G:$G, 0),CHOOSE(MATCH(H2717, {"SML";"XL";"XXL"}, 0), 1, 2, 3)), 0)</f>
        <v>0</v>
      </c>
      <c r="K2717" s="10">
        <f t="shared" si="92"/>
        <v>0</v>
      </c>
      <c r="N2717" s="9" t="str">
        <f t="shared" si="93"/>
        <v/>
      </c>
      <c r="O2717" s="9" t="str">
        <f>IF(N2717="","",IF(COUNTIF(Precios!$G:$G,N2717)=0,"⚠ No coincide con Precios","OK"))</f>
        <v/>
      </c>
    </row>
    <row r="2718" spans="3:15" x14ac:dyDescent="0.2">
      <c r="C2718" s="9" cm="1">
        <f t="array" ref="C2718">IFERROR(_xlfn.XLOOKUP(B2718,Personal!$A:$A,Personal!$D:$D,""),"")</f>
        <v>0</v>
      </c>
      <c r="D2718" s="9" cm="1">
        <f t="array" ref="D2718">IFERROR(_xlfn.XLOOKUP(B2718,Personal!$A:$A,Personal!$C:$C,""),"")</f>
        <v>0</v>
      </c>
      <c r="E2718" s="9" t="str" cm="1">
        <f t="array" ref="E2718">IFERROR(_xlfn.XLOOKUP(D2718,Locales!$A:$A,Locales!$B:$B,""),"")</f>
        <v/>
      </c>
      <c r="F2718" s="9" cm="1">
        <f t="array" ref="F2718">IFERROR(_xlfn.XLOOKUP(B2718,Personal!$A:$A,Personal!$F:$F,""),"")</f>
        <v>0</v>
      </c>
      <c r="I2718" s="10" cm="1">
        <f t="array" ref="I2718">IFERROR(INDEX(Precios!$D:$F,MATCH(N2718, Precios!$G:$G, 0),CHOOSE(MATCH(H2718, {"SML";"XL";"XXL"}, 0), 1, 2, 3)), 0)</f>
        <v>0</v>
      </c>
      <c r="K2718" s="10">
        <f t="shared" si="92"/>
        <v>0</v>
      </c>
      <c r="N2718" s="9" t="str">
        <f t="shared" si="93"/>
        <v/>
      </c>
      <c r="O2718" s="9" t="str">
        <f>IF(N2718="","",IF(COUNTIF(Precios!$G:$G,N2718)=0,"⚠ No coincide con Precios","OK"))</f>
        <v/>
      </c>
    </row>
    <row r="2719" spans="3:15" x14ac:dyDescent="0.2">
      <c r="C2719" s="9" cm="1">
        <f t="array" ref="C2719">IFERROR(_xlfn.XLOOKUP(B2719,Personal!$A:$A,Personal!$D:$D,""),"")</f>
        <v>0</v>
      </c>
      <c r="D2719" s="9" cm="1">
        <f t="array" ref="D2719">IFERROR(_xlfn.XLOOKUP(B2719,Personal!$A:$A,Personal!$C:$C,""),"")</f>
        <v>0</v>
      </c>
      <c r="E2719" s="9" t="str" cm="1">
        <f t="array" ref="E2719">IFERROR(_xlfn.XLOOKUP(D2719,Locales!$A:$A,Locales!$B:$B,""),"")</f>
        <v/>
      </c>
      <c r="F2719" s="9" cm="1">
        <f t="array" ref="F2719">IFERROR(_xlfn.XLOOKUP(B2719,Personal!$A:$A,Personal!$F:$F,""),"")</f>
        <v>0</v>
      </c>
      <c r="I2719" s="10" cm="1">
        <f t="array" ref="I2719">IFERROR(INDEX(Precios!$D:$F,MATCH(N2719, Precios!$G:$G, 0),CHOOSE(MATCH(H2719, {"SML";"XL";"XXL"}, 0), 1, 2, 3)), 0)</f>
        <v>0</v>
      </c>
      <c r="K2719" s="10">
        <f t="shared" si="92"/>
        <v>0</v>
      </c>
      <c r="N2719" s="9" t="str">
        <f t="shared" si="93"/>
        <v/>
      </c>
      <c r="O2719" s="9" t="str">
        <f>IF(N2719="","",IF(COUNTIF(Precios!$G:$G,N2719)=0,"⚠ No coincide con Precios","OK"))</f>
        <v/>
      </c>
    </row>
    <row r="2720" spans="3:15" x14ac:dyDescent="0.2">
      <c r="C2720" s="9" cm="1">
        <f t="array" ref="C2720">IFERROR(_xlfn.XLOOKUP(B2720,Personal!$A:$A,Personal!$D:$D,""),"")</f>
        <v>0</v>
      </c>
      <c r="D2720" s="9" cm="1">
        <f t="array" ref="D2720">IFERROR(_xlfn.XLOOKUP(B2720,Personal!$A:$A,Personal!$C:$C,""),"")</f>
        <v>0</v>
      </c>
      <c r="E2720" s="9" t="str" cm="1">
        <f t="array" ref="E2720">IFERROR(_xlfn.XLOOKUP(D2720,Locales!$A:$A,Locales!$B:$B,""),"")</f>
        <v/>
      </c>
      <c r="F2720" s="9" cm="1">
        <f t="array" ref="F2720">IFERROR(_xlfn.XLOOKUP(B2720,Personal!$A:$A,Personal!$F:$F,""),"")</f>
        <v>0</v>
      </c>
      <c r="I2720" s="10" cm="1">
        <f t="array" ref="I2720">IFERROR(INDEX(Precios!$D:$F,MATCH(N2720, Precios!$G:$G, 0),CHOOSE(MATCH(H2720, {"SML";"XL";"XXL"}, 0), 1, 2, 3)), 0)</f>
        <v>0</v>
      </c>
      <c r="K2720" s="10">
        <f t="shared" si="92"/>
        <v>0</v>
      </c>
      <c r="N2720" s="9" t="str">
        <f t="shared" si="93"/>
        <v/>
      </c>
      <c r="O2720" s="9" t="str">
        <f>IF(N2720="","",IF(COUNTIF(Precios!$G:$G,N2720)=0,"⚠ No coincide con Precios","OK"))</f>
        <v/>
      </c>
    </row>
    <row r="2721" spans="3:15" x14ac:dyDescent="0.2">
      <c r="C2721" s="9" cm="1">
        <f t="array" ref="C2721">IFERROR(_xlfn.XLOOKUP(B2721,Personal!$A:$A,Personal!$D:$D,""),"")</f>
        <v>0</v>
      </c>
      <c r="D2721" s="9" cm="1">
        <f t="array" ref="D2721">IFERROR(_xlfn.XLOOKUP(B2721,Personal!$A:$A,Personal!$C:$C,""),"")</f>
        <v>0</v>
      </c>
      <c r="E2721" s="9" t="str" cm="1">
        <f t="array" ref="E2721">IFERROR(_xlfn.XLOOKUP(D2721,Locales!$A:$A,Locales!$B:$B,""),"")</f>
        <v/>
      </c>
      <c r="F2721" s="9" cm="1">
        <f t="array" ref="F2721">IFERROR(_xlfn.XLOOKUP(B2721,Personal!$A:$A,Personal!$F:$F,""),"")</f>
        <v>0</v>
      </c>
      <c r="I2721" s="10" cm="1">
        <f t="array" ref="I2721">IFERROR(INDEX(Precios!$D:$F,MATCH(N2721, Precios!$G:$G, 0),CHOOSE(MATCH(H2721, {"SML";"XL";"XXL"}, 0), 1, 2, 3)), 0)</f>
        <v>0</v>
      </c>
      <c r="K2721" s="10">
        <f t="shared" si="92"/>
        <v>0</v>
      </c>
      <c r="N2721" s="9" t="str">
        <f t="shared" si="93"/>
        <v/>
      </c>
      <c r="O2721" s="9" t="str">
        <f>IF(N2721="","",IF(COUNTIF(Precios!$G:$G,N2721)=0,"⚠ No coincide con Precios","OK"))</f>
        <v/>
      </c>
    </row>
    <row r="2722" spans="3:15" x14ac:dyDescent="0.2">
      <c r="C2722" s="9" cm="1">
        <f t="array" ref="C2722">IFERROR(_xlfn.XLOOKUP(B2722,Personal!$A:$A,Personal!$D:$D,""),"")</f>
        <v>0</v>
      </c>
      <c r="D2722" s="9" cm="1">
        <f t="array" ref="D2722">IFERROR(_xlfn.XLOOKUP(B2722,Personal!$A:$A,Personal!$C:$C,""),"")</f>
        <v>0</v>
      </c>
      <c r="E2722" s="9" t="str" cm="1">
        <f t="array" ref="E2722">IFERROR(_xlfn.XLOOKUP(D2722,Locales!$A:$A,Locales!$B:$B,""),"")</f>
        <v/>
      </c>
      <c r="F2722" s="9" cm="1">
        <f t="array" ref="F2722">IFERROR(_xlfn.XLOOKUP(B2722,Personal!$A:$A,Personal!$F:$F,""),"")</f>
        <v>0</v>
      </c>
      <c r="I2722" s="10" cm="1">
        <f t="array" ref="I2722">IFERROR(INDEX(Precios!$D:$F,MATCH(N2722, Precios!$G:$G, 0),CHOOSE(MATCH(H2722, {"SML";"XL";"XXL"}, 0), 1, 2, 3)), 0)</f>
        <v>0</v>
      </c>
      <c r="K2722" s="10">
        <f t="shared" si="92"/>
        <v>0</v>
      </c>
      <c r="N2722" s="9" t="str">
        <f t="shared" si="93"/>
        <v/>
      </c>
      <c r="O2722" s="9" t="str">
        <f>IF(N2722="","",IF(COUNTIF(Precios!$G:$G,N2722)=0,"⚠ No coincide con Precios","OK"))</f>
        <v/>
      </c>
    </row>
    <row r="2723" spans="3:15" x14ac:dyDescent="0.2">
      <c r="C2723" s="9" cm="1">
        <f t="array" ref="C2723">IFERROR(_xlfn.XLOOKUP(B2723,Personal!$A:$A,Personal!$D:$D,""),"")</f>
        <v>0</v>
      </c>
      <c r="D2723" s="9" cm="1">
        <f t="array" ref="D2723">IFERROR(_xlfn.XLOOKUP(B2723,Personal!$A:$A,Personal!$C:$C,""),"")</f>
        <v>0</v>
      </c>
      <c r="E2723" s="9" t="str" cm="1">
        <f t="array" ref="E2723">IFERROR(_xlfn.XLOOKUP(D2723,Locales!$A:$A,Locales!$B:$B,""),"")</f>
        <v/>
      </c>
      <c r="F2723" s="9" cm="1">
        <f t="array" ref="F2723">IFERROR(_xlfn.XLOOKUP(B2723,Personal!$A:$A,Personal!$F:$F,""),"")</f>
        <v>0</v>
      </c>
      <c r="I2723" s="10" cm="1">
        <f t="array" ref="I2723">IFERROR(INDEX(Precios!$D:$F,MATCH(N2723, Precios!$G:$G, 0),CHOOSE(MATCH(H2723, {"SML";"XL";"XXL"}, 0), 1, 2, 3)), 0)</f>
        <v>0</v>
      </c>
      <c r="K2723" s="10">
        <f t="shared" si="92"/>
        <v>0</v>
      </c>
      <c r="N2723" s="9" t="str">
        <f t="shared" si="93"/>
        <v/>
      </c>
      <c r="O2723" s="9" t="str">
        <f>IF(N2723="","",IF(COUNTIF(Precios!$G:$G,N2723)=0,"⚠ No coincide con Precios","OK"))</f>
        <v/>
      </c>
    </row>
    <row r="2724" spans="3:15" x14ac:dyDescent="0.2">
      <c r="C2724" s="9" cm="1">
        <f t="array" ref="C2724">IFERROR(_xlfn.XLOOKUP(B2724,Personal!$A:$A,Personal!$D:$D,""),"")</f>
        <v>0</v>
      </c>
      <c r="D2724" s="9" cm="1">
        <f t="array" ref="D2724">IFERROR(_xlfn.XLOOKUP(B2724,Personal!$A:$A,Personal!$C:$C,""),"")</f>
        <v>0</v>
      </c>
      <c r="E2724" s="9" t="str" cm="1">
        <f t="array" ref="E2724">IFERROR(_xlfn.XLOOKUP(D2724,Locales!$A:$A,Locales!$B:$B,""),"")</f>
        <v/>
      </c>
      <c r="F2724" s="9" cm="1">
        <f t="array" ref="F2724">IFERROR(_xlfn.XLOOKUP(B2724,Personal!$A:$A,Personal!$F:$F,""),"")</f>
        <v>0</v>
      </c>
      <c r="I2724" s="10" cm="1">
        <f t="array" ref="I2724">IFERROR(INDEX(Precios!$D:$F,MATCH(N2724, Precios!$G:$G, 0),CHOOSE(MATCH(H2724, {"SML";"XL";"XXL"}, 0), 1, 2, 3)), 0)</f>
        <v>0</v>
      </c>
      <c r="K2724" s="10">
        <f t="shared" si="92"/>
        <v>0</v>
      </c>
      <c r="N2724" s="9" t="str">
        <f t="shared" si="93"/>
        <v/>
      </c>
      <c r="O2724" s="9" t="str">
        <f>IF(N2724="","",IF(COUNTIF(Precios!$G:$G,N2724)=0,"⚠ No coincide con Precios","OK"))</f>
        <v/>
      </c>
    </row>
    <row r="2725" spans="3:15" x14ac:dyDescent="0.2">
      <c r="C2725" s="9" cm="1">
        <f t="array" ref="C2725">IFERROR(_xlfn.XLOOKUP(B2725,Personal!$A:$A,Personal!$D:$D,""),"")</f>
        <v>0</v>
      </c>
      <c r="D2725" s="9" cm="1">
        <f t="array" ref="D2725">IFERROR(_xlfn.XLOOKUP(B2725,Personal!$A:$A,Personal!$C:$C,""),"")</f>
        <v>0</v>
      </c>
      <c r="E2725" s="9" t="str" cm="1">
        <f t="array" ref="E2725">IFERROR(_xlfn.XLOOKUP(D2725,Locales!$A:$A,Locales!$B:$B,""),"")</f>
        <v/>
      </c>
      <c r="F2725" s="9" cm="1">
        <f t="array" ref="F2725">IFERROR(_xlfn.XLOOKUP(B2725,Personal!$A:$A,Personal!$F:$F,""),"")</f>
        <v>0</v>
      </c>
      <c r="I2725" s="10" cm="1">
        <f t="array" ref="I2725">IFERROR(INDEX(Precios!$D:$F,MATCH(N2725, Precios!$G:$G, 0),CHOOSE(MATCH(H2725, {"SML";"XL";"XXL"}, 0), 1, 2, 3)), 0)</f>
        <v>0</v>
      </c>
      <c r="K2725" s="10">
        <f t="shared" si="92"/>
        <v>0</v>
      </c>
      <c r="N2725" s="9" t="str">
        <f t="shared" si="93"/>
        <v/>
      </c>
      <c r="O2725" s="9" t="str">
        <f>IF(N2725="","",IF(COUNTIF(Precios!$G:$G,N2725)=0,"⚠ No coincide con Precios","OK"))</f>
        <v/>
      </c>
    </row>
    <row r="2726" spans="3:15" x14ac:dyDescent="0.2">
      <c r="C2726" s="9" cm="1">
        <f t="array" ref="C2726">IFERROR(_xlfn.XLOOKUP(B2726,Personal!$A:$A,Personal!$D:$D,""),"")</f>
        <v>0</v>
      </c>
      <c r="D2726" s="9" cm="1">
        <f t="array" ref="D2726">IFERROR(_xlfn.XLOOKUP(B2726,Personal!$A:$A,Personal!$C:$C,""),"")</f>
        <v>0</v>
      </c>
      <c r="E2726" s="9" t="str" cm="1">
        <f t="array" ref="E2726">IFERROR(_xlfn.XLOOKUP(D2726,Locales!$A:$A,Locales!$B:$B,""),"")</f>
        <v/>
      </c>
      <c r="F2726" s="9" cm="1">
        <f t="array" ref="F2726">IFERROR(_xlfn.XLOOKUP(B2726,Personal!$A:$A,Personal!$F:$F,""),"")</f>
        <v>0</v>
      </c>
      <c r="I2726" s="10" cm="1">
        <f t="array" ref="I2726">IFERROR(INDEX(Precios!$D:$F,MATCH(N2726, Precios!$G:$G, 0),CHOOSE(MATCH(H2726, {"SML";"XL";"XXL"}, 0), 1, 2, 3)), 0)</f>
        <v>0</v>
      </c>
      <c r="K2726" s="10">
        <f t="shared" si="92"/>
        <v>0</v>
      </c>
      <c r="N2726" s="9" t="str">
        <f t="shared" si="93"/>
        <v/>
      </c>
      <c r="O2726" s="9" t="str">
        <f>IF(N2726="","",IF(COUNTIF(Precios!$G:$G,N2726)=0,"⚠ No coincide con Precios","OK"))</f>
        <v/>
      </c>
    </row>
    <row r="2727" spans="3:15" x14ac:dyDescent="0.2">
      <c r="C2727" s="9" cm="1">
        <f t="array" ref="C2727">IFERROR(_xlfn.XLOOKUP(B2727,Personal!$A:$A,Personal!$D:$D,""),"")</f>
        <v>0</v>
      </c>
      <c r="D2727" s="9" cm="1">
        <f t="array" ref="D2727">IFERROR(_xlfn.XLOOKUP(B2727,Personal!$A:$A,Personal!$C:$C,""),"")</f>
        <v>0</v>
      </c>
      <c r="E2727" s="9" t="str" cm="1">
        <f t="array" ref="E2727">IFERROR(_xlfn.XLOOKUP(D2727,Locales!$A:$A,Locales!$B:$B,""),"")</f>
        <v/>
      </c>
      <c r="F2727" s="9" cm="1">
        <f t="array" ref="F2727">IFERROR(_xlfn.XLOOKUP(B2727,Personal!$A:$A,Personal!$F:$F,""),"")</f>
        <v>0</v>
      </c>
      <c r="I2727" s="10" cm="1">
        <f t="array" ref="I2727">IFERROR(INDEX(Precios!$D:$F,MATCH(N2727, Precios!$G:$G, 0),CHOOSE(MATCH(H2727, {"SML";"XL";"XXL"}, 0), 1, 2, 3)), 0)</f>
        <v>0</v>
      </c>
      <c r="K2727" s="10">
        <f t="shared" si="92"/>
        <v>0</v>
      </c>
      <c r="N2727" s="9" t="str">
        <f t="shared" si="93"/>
        <v/>
      </c>
      <c r="O2727" s="9" t="str">
        <f>IF(N2727="","",IF(COUNTIF(Precios!$G:$G,N2727)=0,"⚠ No coincide con Precios","OK"))</f>
        <v/>
      </c>
    </row>
    <row r="2728" spans="3:15" x14ac:dyDescent="0.2">
      <c r="C2728" s="9" cm="1">
        <f t="array" ref="C2728">IFERROR(_xlfn.XLOOKUP(B2728,Personal!$A:$A,Personal!$D:$D,""),"")</f>
        <v>0</v>
      </c>
      <c r="D2728" s="9" cm="1">
        <f t="array" ref="D2728">IFERROR(_xlfn.XLOOKUP(B2728,Personal!$A:$A,Personal!$C:$C,""),"")</f>
        <v>0</v>
      </c>
      <c r="E2728" s="9" t="str" cm="1">
        <f t="array" ref="E2728">IFERROR(_xlfn.XLOOKUP(D2728,Locales!$A:$A,Locales!$B:$B,""),"")</f>
        <v/>
      </c>
      <c r="F2728" s="9" cm="1">
        <f t="array" ref="F2728">IFERROR(_xlfn.XLOOKUP(B2728,Personal!$A:$A,Personal!$F:$F,""),"")</f>
        <v>0</v>
      </c>
      <c r="I2728" s="10" cm="1">
        <f t="array" ref="I2728">IFERROR(INDEX(Precios!$D:$F,MATCH(N2728, Precios!$G:$G, 0),CHOOSE(MATCH(H2728, {"SML";"XL";"XXL"}, 0), 1, 2, 3)), 0)</f>
        <v>0</v>
      </c>
      <c r="K2728" s="10">
        <f t="shared" si="92"/>
        <v>0</v>
      </c>
      <c r="N2728" s="9" t="str">
        <f t="shared" si="93"/>
        <v/>
      </c>
      <c r="O2728" s="9" t="str">
        <f>IF(N2728="","",IF(COUNTIF(Precios!$G:$G,N2728)=0,"⚠ No coincide con Precios","OK"))</f>
        <v/>
      </c>
    </row>
    <row r="2729" spans="3:15" x14ac:dyDescent="0.2">
      <c r="C2729" s="9" cm="1">
        <f t="array" ref="C2729">IFERROR(_xlfn.XLOOKUP(B2729,Personal!$A:$A,Personal!$D:$D,""),"")</f>
        <v>0</v>
      </c>
      <c r="D2729" s="9" cm="1">
        <f t="array" ref="D2729">IFERROR(_xlfn.XLOOKUP(B2729,Personal!$A:$A,Personal!$C:$C,""),"")</f>
        <v>0</v>
      </c>
      <c r="E2729" s="9" t="str" cm="1">
        <f t="array" ref="E2729">IFERROR(_xlfn.XLOOKUP(D2729,Locales!$A:$A,Locales!$B:$B,""),"")</f>
        <v/>
      </c>
      <c r="F2729" s="9" cm="1">
        <f t="array" ref="F2729">IFERROR(_xlfn.XLOOKUP(B2729,Personal!$A:$A,Personal!$F:$F,""),"")</f>
        <v>0</v>
      </c>
      <c r="I2729" s="10" cm="1">
        <f t="array" ref="I2729">IFERROR(INDEX(Precios!$D:$F,MATCH(N2729, Precios!$G:$G, 0),CHOOSE(MATCH(H2729, {"SML";"XL";"XXL"}, 0), 1, 2, 3)), 0)</f>
        <v>0</v>
      </c>
      <c r="K2729" s="10">
        <f t="shared" si="92"/>
        <v>0</v>
      </c>
      <c r="N2729" s="9" t="str">
        <f t="shared" si="93"/>
        <v/>
      </c>
      <c r="O2729" s="9" t="str">
        <f>IF(N2729="","",IF(COUNTIF(Precios!$G:$G,N2729)=0,"⚠ No coincide con Precios","OK"))</f>
        <v/>
      </c>
    </row>
    <row r="2730" spans="3:15" x14ac:dyDescent="0.2">
      <c r="C2730" s="9" cm="1">
        <f t="array" ref="C2730">IFERROR(_xlfn.XLOOKUP(B2730,Personal!$A:$A,Personal!$D:$D,""),"")</f>
        <v>0</v>
      </c>
      <c r="D2730" s="9" cm="1">
        <f t="array" ref="D2730">IFERROR(_xlfn.XLOOKUP(B2730,Personal!$A:$A,Personal!$C:$C,""),"")</f>
        <v>0</v>
      </c>
      <c r="E2730" s="9" t="str" cm="1">
        <f t="array" ref="E2730">IFERROR(_xlfn.XLOOKUP(D2730,Locales!$A:$A,Locales!$B:$B,""),"")</f>
        <v/>
      </c>
      <c r="F2730" s="9" cm="1">
        <f t="array" ref="F2730">IFERROR(_xlfn.XLOOKUP(B2730,Personal!$A:$A,Personal!$F:$F,""),"")</f>
        <v>0</v>
      </c>
      <c r="I2730" s="10" cm="1">
        <f t="array" ref="I2730">IFERROR(INDEX(Precios!$D:$F,MATCH(N2730, Precios!$G:$G, 0),CHOOSE(MATCH(H2730, {"SML";"XL";"XXL"}, 0), 1, 2, 3)), 0)</f>
        <v>0</v>
      </c>
      <c r="K2730" s="10">
        <f t="shared" si="92"/>
        <v>0</v>
      </c>
      <c r="N2730" s="9" t="str">
        <f t="shared" si="93"/>
        <v/>
      </c>
      <c r="O2730" s="9" t="str">
        <f>IF(N2730="","",IF(COUNTIF(Precios!$G:$G,N2730)=0,"⚠ No coincide con Precios","OK"))</f>
        <v/>
      </c>
    </row>
    <row r="2731" spans="3:15" x14ac:dyDescent="0.2">
      <c r="C2731" s="9" cm="1">
        <f t="array" ref="C2731">IFERROR(_xlfn.XLOOKUP(B2731,Personal!$A:$A,Personal!$D:$D,""),"")</f>
        <v>0</v>
      </c>
      <c r="D2731" s="9" cm="1">
        <f t="array" ref="D2731">IFERROR(_xlfn.XLOOKUP(B2731,Personal!$A:$A,Personal!$C:$C,""),"")</f>
        <v>0</v>
      </c>
      <c r="E2731" s="9" t="str" cm="1">
        <f t="array" ref="E2731">IFERROR(_xlfn.XLOOKUP(D2731,Locales!$A:$A,Locales!$B:$B,""),"")</f>
        <v/>
      </c>
      <c r="F2731" s="9" cm="1">
        <f t="array" ref="F2731">IFERROR(_xlfn.XLOOKUP(B2731,Personal!$A:$A,Personal!$F:$F,""),"")</f>
        <v>0</v>
      </c>
      <c r="I2731" s="10" cm="1">
        <f t="array" ref="I2731">IFERROR(INDEX(Precios!$D:$F,MATCH(N2731, Precios!$G:$G, 0),CHOOSE(MATCH(H2731, {"SML";"XL";"XXL"}, 0), 1, 2, 3)), 0)</f>
        <v>0</v>
      </c>
      <c r="K2731" s="10">
        <f t="shared" si="92"/>
        <v>0</v>
      </c>
      <c r="N2731" s="9" t="str">
        <f t="shared" si="93"/>
        <v/>
      </c>
      <c r="O2731" s="9" t="str">
        <f>IF(N2731="","",IF(COUNTIF(Precios!$G:$G,N2731)=0,"⚠ No coincide con Precios","OK"))</f>
        <v/>
      </c>
    </row>
    <row r="2732" spans="3:15" x14ac:dyDescent="0.2">
      <c r="C2732" s="9" cm="1">
        <f t="array" ref="C2732">IFERROR(_xlfn.XLOOKUP(B2732,Personal!$A:$A,Personal!$D:$D,""),"")</f>
        <v>0</v>
      </c>
      <c r="D2732" s="9" cm="1">
        <f t="array" ref="D2732">IFERROR(_xlfn.XLOOKUP(B2732,Personal!$A:$A,Personal!$C:$C,""),"")</f>
        <v>0</v>
      </c>
      <c r="E2732" s="9" t="str" cm="1">
        <f t="array" ref="E2732">IFERROR(_xlfn.XLOOKUP(D2732,Locales!$A:$A,Locales!$B:$B,""),"")</f>
        <v/>
      </c>
      <c r="F2732" s="9" cm="1">
        <f t="array" ref="F2732">IFERROR(_xlfn.XLOOKUP(B2732,Personal!$A:$A,Personal!$F:$F,""),"")</f>
        <v>0</v>
      </c>
      <c r="I2732" s="10" cm="1">
        <f t="array" ref="I2732">IFERROR(INDEX(Precios!$D:$F,MATCH(N2732, Precios!$G:$G, 0),CHOOSE(MATCH(H2732, {"SML";"XL";"XXL"}, 0), 1, 2, 3)), 0)</f>
        <v>0</v>
      </c>
      <c r="K2732" s="10">
        <f t="shared" si="92"/>
        <v>0</v>
      </c>
      <c r="N2732" s="9" t="str">
        <f t="shared" si="93"/>
        <v/>
      </c>
      <c r="O2732" s="9" t="str">
        <f>IF(N2732="","",IF(COUNTIF(Precios!$G:$G,N2732)=0,"⚠ No coincide con Precios","OK"))</f>
        <v/>
      </c>
    </row>
    <row r="2733" spans="3:15" x14ac:dyDescent="0.2">
      <c r="C2733" s="9" cm="1">
        <f t="array" ref="C2733">IFERROR(_xlfn.XLOOKUP(B2733,Personal!$A:$A,Personal!$D:$D,""),"")</f>
        <v>0</v>
      </c>
      <c r="D2733" s="9" cm="1">
        <f t="array" ref="D2733">IFERROR(_xlfn.XLOOKUP(B2733,Personal!$A:$A,Personal!$C:$C,""),"")</f>
        <v>0</v>
      </c>
      <c r="E2733" s="9" t="str" cm="1">
        <f t="array" ref="E2733">IFERROR(_xlfn.XLOOKUP(D2733,Locales!$A:$A,Locales!$B:$B,""),"")</f>
        <v/>
      </c>
      <c r="F2733" s="9" cm="1">
        <f t="array" ref="F2733">IFERROR(_xlfn.XLOOKUP(B2733,Personal!$A:$A,Personal!$F:$F,""),"")</f>
        <v>0</v>
      </c>
      <c r="I2733" s="10" cm="1">
        <f t="array" ref="I2733">IFERROR(INDEX(Precios!$D:$F,MATCH(N2733, Precios!$G:$G, 0),CHOOSE(MATCH(H2733, {"SML";"XL";"XXL"}, 0), 1, 2, 3)), 0)</f>
        <v>0</v>
      </c>
      <c r="K2733" s="10">
        <f t="shared" si="92"/>
        <v>0</v>
      </c>
      <c r="N2733" s="9" t="str">
        <f t="shared" si="93"/>
        <v/>
      </c>
      <c r="O2733" s="9" t="str">
        <f>IF(N2733="","",IF(COUNTIF(Precios!$G:$G,N2733)=0,"⚠ No coincide con Precios","OK"))</f>
        <v/>
      </c>
    </row>
    <row r="2734" spans="3:15" x14ac:dyDescent="0.2">
      <c r="C2734" s="9" cm="1">
        <f t="array" ref="C2734">IFERROR(_xlfn.XLOOKUP(B2734,Personal!$A:$A,Personal!$D:$D,""),"")</f>
        <v>0</v>
      </c>
      <c r="D2734" s="9" cm="1">
        <f t="array" ref="D2734">IFERROR(_xlfn.XLOOKUP(B2734,Personal!$A:$A,Personal!$C:$C,""),"")</f>
        <v>0</v>
      </c>
      <c r="E2734" s="9" t="str" cm="1">
        <f t="array" ref="E2734">IFERROR(_xlfn.XLOOKUP(D2734,Locales!$A:$A,Locales!$B:$B,""),"")</f>
        <v/>
      </c>
      <c r="F2734" s="9" cm="1">
        <f t="array" ref="F2734">IFERROR(_xlfn.XLOOKUP(B2734,Personal!$A:$A,Personal!$F:$F,""),"")</f>
        <v>0</v>
      </c>
      <c r="I2734" s="10" cm="1">
        <f t="array" ref="I2734">IFERROR(INDEX(Precios!$D:$F,MATCH(N2734, Precios!$G:$G, 0),CHOOSE(MATCH(H2734, {"SML";"XL";"XXL"}, 0), 1, 2, 3)), 0)</f>
        <v>0</v>
      </c>
      <c r="K2734" s="10">
        <f t="shared" si="92"/>
        <v>0</v>
      </c>
      <c r="N2734" s="9" t="str">
        <f t="shared" si="93"/>
        <v/>
      </c>
      <c r="O2734" s="9" t="str">
        <f>IF(N2734="","",IF(COUNTIF(Precios!$G:$G,N2734)=0,"⚠ No coincide con Precios","OK"))</f>
        <v/>
      </c>
    </row>
    <row r="2735" spans="3:15" x14ac:dyDescent="0.2">
      <c r="C2735" s="9" cm="1">
        <f t="array" ref="C2735">IFERROR(_xlfn.XLOOKUP(B2735,Personal!$A:$A,Personal!$D:$D,""),"")</f>
        <v>0</v>
      </c>
      <c r="D2735" s="9" cm="1">
        <f t="array" ref="D2735">IFERROR(_xlfn.XLOOKUP(B2735,Personal!$A:$A,Personal!$C:$C,""),"")</f>
        <v>0</v>
      </c>
      <c r="E2735" s="9" t="str" cm="1">
        <f t="array" ref="E2735">IFERROR(_xlfn.XLOOKUP(D2735,Locales!$A:$A,Locales!$B:$B,""),"")</f>
        <v/>
      </c>
      <c r="F2735" s="9" cm="1">
        <f t="array" ref="F2735">IFERROR(_xlfn.XLOOKUP(B2735,Personal!$A:$A,Personal!$F:$F,""),"")</f>
        <v>0</v>
      </c>
      <c r="I2735" s="10" cm="1">
        <f t="array" ref="I2735">IFERROR(INDEX(Precios!$D:$F,MATCH(N2735, Precios!$G:$G, 0),CHOOSE(MATCH(H2735, {"SML";"XL";"XXL"}, 0), 1, 2, 3)), 0)</f>
        <v>0</v>
      </c>
      <c r="K2735" s="10">
        <f t="shared" si="92"/>
        <v>0</v>
      </c>
      <c r="N2735" s="9" t="str">
        <f t="shared" si="93"/>
        <v/>
      </c>
      <c r="O2735" s="9" t="str">
        <f>IF(N2735="","",IF(COUNTIF(Precios!$G:$G,N2735)=0,"⚠ No coincide con Precios","OK"))</f>
        <v/>
      </c>
    </row>
    <row r="2736" spans="3:15" x14ac:dyDescent="0.2">
      <c r="C2736" s="9" cm="1">
        <f t="array" ref="C2736">IFERROR(_xlfn.XLOOKUP(B2736,Personal!$A:$A,Personal!$D:$D,""),"")</f>
        <v>0</v>
      </c>
      <c r="D2736" s="9" cm="1">
        <f t="array" ref="D2736">IFERROR(_xlfn.XLOOKUP(B2736,Personal!$A:$A,Personal!$C:$C,""),"")</f>
        <v>0</v>
      </c>
      <c r="E2736" s="9" t="str" cm="1">
        <f t="array" ref="E2736">IFERROR(_xlfn.XLOOKUP(D2736,Locales!$A:$A,Locales!$B:$B,""),"")</f>
        <v/>
      </c>
      <c r="F2736" s="9" cm="1">
        <f t="array" ref="F2736">IFERROR(_xlfn.XLOOKUP(B2736,Personal!$A:$A,Personal!$F:$F,""),"")</f>
        <v>0</v>
      </c>
      <c r="I2736" s="10" cm="1">
        <f t="array" ref="I2736">IFERROR(INDEX(Precios!$D:$F,MATCH(N2736, Precios!$G:$G, 0),CHOOSE(MATCH(H2736, {"SML";"XL";"XXL"}, 0), 1, 2, 3)), 0)</f>
        <v>0</v>
      </c>
      <c r="K2736" s="10">
        <f t="shared" si="92"/>
        <v>0</v>
      </c>
      <c r="N2736" s="9" t="str">
        <f t="shared" si="93"/>
        <v/>
      </c>
      <c r="O2736" s="9" t="str">
        <f>IF(N2736="","",IF(COUNTIF(Precios!$G:$G,N2736)=0,"⚠ No coincide con Precios","OK"))</f>
        <v/>
      </c>
    </row>
    <row r="2737" spans="3:15" x14ac:dyDescent="0.2">
      <c r="C2737" s="9" cm="1">
        <f t="array" ref="C2737">IFERROR(_xlfn.XLOOKUP(B2737,Personal!$A:$A,Personal!$D:$D,""),"")</f>
        <v>0</v>
      </c>
      <c r="D2737" s="9" cm="1">
        <f t="array" ref="D2737">IFERROR(_xlfn.XLOOKUP(B2737,Personal!$A:$A,Personal!$C:$C,""),"")</f>
        <v>0</v>
      </c>
      <c r="E2737" s="9" t="str" cm="1">
        <f t="array" ref="E2737">IFERROR(_xlfn.XLOOKUP(D2737,Locales!$A:$A,Locales!$B:$B,""),"")</f>
        <v/>
      </c>
      <c r="F2737" s="9" cm="1">
        <f t="array" ref="F2737">IFERROR(_xlfn.XLOOKUP(B2737,Personal!$A:$A,Personal!$F:$F,""),"")</f>
        <v>0</v>
      </c>
      <c r="I2737" s="10" cm="1">
        <f t="array" ref="I2737">IFERROR(INDEX(Precios!$D:$F,MATCH(N2737, Precios!$G:$G, 0),CHOOSE(MATCH(H2737, {"SML";"XL";"XXL"}, 0), 1, 2, 3)), 0)</f>
        <v>0</v>
      </c>
      <c r="K2737" s="10">
        <f t="shared" si="92"/>
        <v>0</v>
      </c>
      <c r="N2737" s="9" t="str">
        <f t="shared" si="93"/>
        <v/>
      </c>
      <c r="O2737" s="9" t="str">
        <f>IF(N2737="","",IF(COUNTIF(Precios!$G:$G,N2737)=0,"⚠ No coincide con Precios","OK"))</f>
        <v/>
      </c>
    </row>
    <row r="2738" spans="3:15" x14ac:dyDescent="0.2">
      <c r="C2738" s="9" cm="1">
        <f t="array" ref="C2738">IFERROR(_xlfn.XLOOKUP(B2738,Personal!$A:$A,Personal!$D:$D,""),"")</f>
        <v>0</v>
      </c>
      <c r="D2738" s="9" cm="1">
        <f t="array" ref="D2738">IFERROR(_xlfn.XLOOKUP(B2738,Personal!$A:$A,Personal!$C:$C,""),"")</f>
        <v>0</v>
      </c>
      <c r="E2738" s="9" t="str" cm="1">
        <f t="array" ref="E2738">IFERROR(_xlfn.XLOOKUP(D2738,Locales!$A:$A,Locales!$B:$B,""),"")</f>
        <v/>
      </c>
      <c r="F2738" s="9" cm="1">
        <f t="array" ref="F2738">IFERROR(_xlfn.XLOOKUP(B2738,Personal!$A:$A,Personal!$F:$F,""),"")</f>
        <v>0</v>
      </c>
      <c r="I2738" s="10" cm="1">
        <f t="array" ref="I2738">IFERROR(INDEX(Precios!$D:$F,MATCH(N2738, Precios!$G:$G, 0),CHOOSE(MATCH(H2738, {"SML";"XL";"XXL"}, 0), 1, 2, 3)), 0)</f>
        <v>0</v>
      </c>
      <c r="K2738" s="10">
        <f t="shared" si="92"/>
        <v>0</v>
      </c>
      <c r="N2738" s="9" t="str">
        <f t="shared" si="93"/>
        <v/>
      </c>
      <c r="O2738" s="9" t="str">
        <f>IF(N2738="","",IF(COUNTIF(Precios!$G:$G,N2738)=0,"⚠ No coincide con Precios","OK"))</f>
        <v/>
      </c>
    </row>
    <row r="2739" spans="3:15" x14ac:dyDescent="0.2">
      <c r="C2739" s="9" cm="1">
        <f t="array" ref="C2739">IFERROR(_xlfn.XLOOKUP(B2739,Personal!$A:$A,Personal!$D:$D,""),"")</f>
        <v>0</v>
      </c>
      <c r="D2739" s="9" cm="1">
        <f t="array" ref="D2739">IFERROR(_xlfn.XLOOKUP(B2739,Personal!$A:$A,Personal!$C:$C,""),"")</f>
        <v>0</v>
      </c>
      <c r="E2739" s="9" t="str" cm="1">
        <f t="array" ref="E2739">IFERROR(_xlfn.XLOOKUP(D2739,Locales!$A:$A,Locales!$B:$B,""),"")</f>
        <v/>
      </c>
      <c r="F2739" s="9" cm="1">
        <f t="array" ref="F2739">IFERROR(_xlfn.XLOOKUP(B2739,Personal!$A:$A,Personal!$F:$F,""),"")</f>
        <v>0</v>
      </c>
      <c r="I2739" s="10" cm="1">
        <f t="array" ref="I2739">IFERROR(INDEX(Precios!$D:$F,MATCH(N2739, Precios!$G:$G, 0),CHOOSE(MATCH(H2739, {"SML";"XL";"XXL"}, 0), 1, 2, 3)), 0)</f>
        <v>0</v>
      </c>
      <c r="K2739" s="10">
        <f t="shared" si="92"/>
        <v>0</v>
      </c>
      <c r="N2739" s="9" t="str">
        <f t="shared" si="93"/>
        <v/>
      </c>
      <c r="O2739" s="9" t="str">
        <f>IF(N2739="","",IF(COUNTIF(Precios!$G:$G,N2739)=0,"⚠ No coincide con Precios","OK"))</f>
        <v/>
      </c>
    </row>
    <row r="2740" spans="3:15" x14ac:dyDescent="0.2">
      <c r="C2740" s="9" cm="1">
        <f t="array" ref="C2740">IFERROR(_xlfn.XLOOKUP(B2740,Personal!$A:$A,Personal!$D:$D,""),"")</f>
        <v>0</v>
      </c>
      <c r="D2740" s="9" cm="1">
        <f t="array" ref="D2740">IFERROR(_xlfn.XLOOKUP(B2740,Personal!$A:$A,Personal!$C:$C,""),"")</f>
        <v>0</v>
      </c>
      <c r="E2740" s="9" t="str" cm="1">
        <f t="array" ref="E2740">IFERROR(_xlfn.XLOOKUP(D2740,Locales!$A:$A,Locales!$B:$B,""),"")</f>
        <v/>
      </c>
      <c r="F2740" s="9" cm="1">
        <f t="array" ref="F2740">IFERROR(_xlfn.XLOOKUP(B2740,Personal!$A:$A,Personal!$F:$F,""),"")</f>
        <v>0</v>
      </c>
      <c r="I2740" s="10" cm="1">
        <f t="array" ref="I2740">IFERROR(INDEX(Precios!$D:$F,MATCH(N2740, Precios!$G:$G, 0),CHOOSE(MATCH(H2740, {"SML";"XL";"XXL"}, 0), 1, 2, 3)), 0)</f>
        <v>0</v>
      </c>
      <c r="K2740" s="10">
        <f t="shared" si="92"/>
        <v>0</v>
      </c>
      <c r="N2740" s="9" t="str">
        <f t="shared" si="93"/>
        <v/>
      </c>
      <c r="O2740" s="9" t="str">
        <f>IF(N2740="","",IF(COUNTIF(Precios!$G:$G,N2740)=0,"⚠ No coincide con Precios","OK"))</f>
        <v/>
      </c>
    </row>
    <row r="2741" spans="3:15" x14ac:dyDescent="0.2">
      <c r="C2741" s="9" cm="1">
        <f t="array" ref="C2741">IFERROR(_xlfn.XLOOKUP(B2741,Personal!$A:$A,Personal!$D:$D,""),"")</f>
        <v>0</v>
      </c>
      <c r="D2741" s="9" cm="1">
        <f t="array" ref="D2741">IFERROR(_xlfn.XLOOKUP(B2741,Personal!$A:$A,Personal!$C:$C,""),"")</f>
        <v>0</v>
      </c>
      <c r="E2741" s="9" t="str" cm="1">
        <f t="array" ref="E2741">IFERROR(_xlfn.XLOOKUP(D2741,Locales!$A:$A,Locales!$B:$B,""),"")</f>
        <v/>
      </c>
      <c r="F2741" s="9" cm="1">
        <f t="array" ref="F2741">IFERROR(_xlfn.XLOOKUP(B2741,Personal!$A:$A,Personal!$F:$F,""),"")</f>
        <v>0</v>
      </c>
      <c r="I2741" s="10" cm="1">
        <f t="array" ref="I2741">IFERROR(INDEX(Precios!$D:$F,MATCH(N2741, Precios!$G:$G, 0),CHOOSE(MATCH(H2741, {"SML";"XL";"XXL"}, 0), 1, 2, 3)), 0)</f>
        <v>0</v>
      </c>
      <c r="K2741" s="10">
        <f t="shared" si="92"/>
        <v>0</v>
      </c>
      <c r="N2741" s="9" t="str">
        <f t="shared" si="93"/>
        <v/>
      </c>
      <c r="O2741" s="9" t="str">
        <f>IF(N2741="","",IF(COUNTIF(Precios!$G:$G,N2741)=0,"⚠ No coincide con Precios","OK"))</f>
        <v/>
      </c>
    </row>
    <row r="2742" spans="3:15" x14ac:dyDescent="0.2">
      <c r="C2742" s="9" cm="1">
        <f t="array" ref="C2742">IFERROR(_xlfn.XLOOKUP(B2742,Personal!$A:$A,Personal!$D:$D,""),"")</f>
        <v>0</v>
      </c>
      <c r="D2742" s="9" cm="1">
        <f t="array" ref="D2742">IFERROR(_xlfn.XLOOKUP(B2742,Personal!$A:$A,Personal!$C:$C,""),"")</f>
        <v>0</v>
      </c>
      <c r="E2742" s="9" t="str" cm="1">
        <f t="array" ref="E2742">IFERROR(_xlfn.XLOOKUP(D2742,Locales!$A:$A,Locales!$B:$B,""),"")</f>
        <v/>
      </c>
      <c r="F2742" s="9" cm="1">
        <f t="array" ref="F2742">IFERROR(_xlfn.XLOOKUP(B2742,Personal!$A:$A,Personal!$F:$F,""),"")</f>
        <v>0</v>
      </c>
      <c r="I2742" s="10" cm="1">
        <f t="array" ref="I2742">IFERROR(INDEX(Precios!$D:$F,MATCH(N2742, Precios!$G:$G, 0),CHOOSE(MATCH(H2742, {"SML";"XL";"XXL"}, 0), 1, 2, 3)), 0)</f>
        <v>0</v>
      </c>
      <c r="K2742" s="10">
        <f t="shared" si="92"/>
        <v>0</v>
      </c>
      <c r="N2742" s="9" t="str">
        <f t="shared" si="93"/>
        <v/>
      </c>
      <c r="O2742" s="9" t="str">
        <f>IF(N2742="","",IF(COUNTIF(Precios!$G:$G,N2742)=0,"⚠ No coincide con Precios","OK"))</f>
        <v/>
      </c>
    </row>
    <row r="2743" spans="3:15" x14ac:dyDescent="0.2">
      <c r="C2743" s="9" cm="1">
        <f t="array" ref="C2743">IFERROR(_xlfn.XLOOKUP(B2743,Personal!$A:$A,Personal!$D:$D,""),"")</f>
        <v>0</v>
      </c>
      <c r="D2743" s="9" cm="1">
        <f t="array" ref="D2743">IFERROR(_xlfn.XLOOKUP(B2743,Personal!$A:$A,Personal!$C:$C,""),"")</f>
        <v>0</v>
      </c>
      <c r="E2743" s="9" t="str" cm="1">
        <f t="array" ref="E2743">IFERROR(_xlfn.XLOOKUP(D2743,Locales!$A:$A,Locales!$B:$B,""),"")</f>
        <v/>
      </c>
      <c r="F2743" s="9" cm="1">
        <f t="array" ref="F2743">IFERROR(_xlfn.XLOOKUP(B2743,Personal!$A:$A,Personal!$F:$F,""),"")</f>
        <v>0</v>
      </c>
      <c r="I2743" s="10" cm="1">
        <f t="array" ref="I2743">IFERROR(INDEX(Precios!$D:$F,MATCH(N2743, Precios!$G:$G, 0),CHOOSE(MATCH(H2743, {"SML";"XL";"XXL"}, 0), 1, 2, 3)), 0)</f>
        <v>0</v>
      </c>
      <c r="K2743" s="10">
        <f t="shared" si="92"/>
        <v>0</v>
      </c>
      <c r="N2743" s="9" t="str">
        <f t="shared" si="93"/>
        <v/>
      </c>
      <c r="O2743" s="9" t="str">
        <f>IF(N2743="","",IF(COUNTIF(Precios!$G:$G,N2743)=0,"⚠ No coincide con Precios","OK"))</f>
        <v/>
      </c>
    </row>
    <row r="2744" spans="3:15" x14ac:dyDescent="0.2">
      <c r="C2744" s="9" cm="1">
        <f t="array" ref="C2744">IFERROR(_xlfn.XLOOKUP(B2744,Personal!$A:$A,Personal!$D:$D,""),"")</f>
        <v>0</v>
      </c>
      <c r="D2744" s="9" cm="1">
        <f t="array" ref="D2744">IFERROR(_xlfn.XLOOKUP(B2744,Personal!$A:$A,Personal!$C:$C,""),"")</f>
        <v>0</v>
      </c>
      <c r="E2744" s="9" t="str" cm="1">
        <f t="array" ref="E2744">IFERROR(_xlfn.XLOOKUP(D2744,Locales!$A:$A,Locales!$B:$B,""),"")</f>
        <v/>
      </c>
      <c r="F2744" s="9" cm="1">
        <f t="array" ref="F2744">IFERROR(_xlfn.XLOOKUP(B2744,Personal!$A:$A,Personal!$F:$F,""),"")</f>
        <v>0</v>
      </c>
      <c r="I2744" s="10" cm="1">
        <f t="array" ref="I2744">IFERROR(INDEX(Precios!$D:$F,MATCH(N2744, Precios!$G:$G, 0),CHOOSE(MATCH(H2744, {"SML";"XL";"XXL"}, 0), 1, 2, 3)), 0)</f>
        <v>0</v>
      </c>
      <c r="K2744" s="10">
        <f t="shared" si="92"/>
        <v>0</v>
      </c>
      <c r="N2744" s="9" t="str">
        <f t="shared" si="93"/>
        <v/>
      </c>
      <c r="O2744" s="9" t="str">
        <f>IF(N2744="","",IF(COUNTIF(Precios!$G:$G,N2744)=0,"⚠ No coincide con Precios","OK"))</f>
        <v/>
      </c>
    </row>
    <row r="2745" spans="3:15" x14ac:dyDescent="0.2">
      <c r="C2745" s="9" cm="1">
        <f t="array" ref="C2745">IFERROR(_xlfn.XLOOKUP(B2745,Personal!$A:$A,Personal!$D:$D,""),"")</f>
        <v>0</v>
      </c>
      <c r="D2745" s="9" cm="1">
        <f t="array" ref="D2745">IFERROR(_xlfn.XLOOKUP(B2745,Personal!$A:$A,Personal!$C:$C,""),"")</f>
        <v>0</v>
      </c>
      <c r="E2745" s="9" t="str" cm="1">
        <f t="array" ref="E2745">IFERROR(_xlfn.XLOOKUP(D2745,Locales!$A:$A,Locales!$B:$B,""),"")</f>
        <v/>
      </c>
      <c r="F2745" s="9" cm="1">
        <f t="array" ref="F2745">IFERROR(_xlfn.XLOOKUP(B2745,Personal!$A:$A,Personal!$F:$F,""),"")</f>
        <v>0</v>
      </c>
      <c r="I2745" s="10" cm="1">
        <f t="array" ref="I2745">IFERROR(INDEX(Precios!$D:$F,MATCH(N2745, Precios!$G:$G, 0),CHOOSE(MATCH(H2745, {"SML";"XL";"XXL"}, 0), 1, 2, 3)), 0)</f>
        <v>0</v>
      </c>
      <c r="K2745" s="10">
        <f t="shared" si="92"/>
        <v>0</v>
      </c>
      <c r="N2745" s="9" t="str">
        <f t="shared" si="93"/>
        <v/>
      </c>
      <c r="O2745" s="9" t="str">
        <f>IF(N2745="","",IF(COUNTIF(Precios!$G:$G,N2745)=0,"⚠ No coincide con Precios","OK"))</f>
        <v/>
      </c>
    </row>
    <row r="2746" spans="3:15" x14ac:dyDescent="0.2">
      <c r="C2746" s="9" cm="1">
        <f t="array" ref="C2746">IFERROR(_xlfn.XLOOKUP(B2746,Personal!$A:$A,Personal!$D:$D,""),"")</f>
        <v>0</v>
      </c>
      <c r="D2746" s="9" cm="1">
        <f t="array" ref="D2746">IFERROR(_xlfn.XLOOKUP(B2746,Personal!$A:$A,Personal!$C:$C,""),"")</f>
        <v>0</v>
      </c>
      <c r="E2746" s="9" t="str" cm="1">
        <f t="array" ref="E2746">IFERROR(_xlfn.XLOOKUP(D2746,Locales!$A:$A,Locales!$B:$B,""),"")</f>
        <v/>
      </c>
      <c r="F2746" s="9" cm="1">
        <f t="array" ref="F2746">IFERROR(_xlfn.XLOOKUP(B2746,Personal!$A:$A,Personal!$F:$F,""),"")</f>
        <v>0</v>
      </c>
      <c r="I2746" s="10" cm="1">
        <f t="array" ref="I2746">IFERROR(INDEX(Precios!$D:$F,MATCH(N2746, Precios!$G:$G, 0),CHOOSE(MATCH(H2746, {"SML";"XL";"XXL"}, 0), 1, 2, 3)), 0)</f>
        <v>0</v>
      </c>
      <c r="K2746" s="10">
        <f t="shared" si="92"/>
        <v>0</v>
      </c>
      <c r="N2746" s="9" t="str">
        <f t="shared" si="93"/>
        <v/>
      </c>
      <c r="O2746" s="9" t="str">
        <f>IF(N2746="","",IF(COUNTIF(Precios!$G:$G,N2746)=0,"⚠ No coincide con Precios","OK"))</f>
        <v/>
      </c>
    </row>
    <row r="2747" spans="3:15" x14ac:dyDescent="0.2">
      <c r="C2747" s="9" cm="1">
        <f t="array" ref="C2747">IFERROR(_xlfn.XLOOKUP(B2747,Personal!$A:$A,Personal!$D:$D,""),"")</f>
        <v>0</v>
      </c>
      <c r="D2747" s="9" cm="1">
        <f t="array" ref="D2747">IFERROR(_xlfn.XLOOKUP(B2747,Personal!$A:$A,Personal!$C:$C,""),"")</f>
        <v>0</v>
      </c>
      <c r="E2747" s="9" t="str" cm="1">
        <f t="array" ref="E2747">IFERROR(_xlfn.XLOOKUP(D2747,Locales!$A:$A,Locales!$B:$B,""),"")</f>
        <v/>
      </c>
      <c r="F2747" s="9" cm="1">
        <f t="array" ref="F2747">IFERROR(_xlfn.XLOOKUP(B2747,Personal!$A:$A,Personal!$F:$F,""),"")</f>
        <v>0</v>
      </c>
      <c r="I2747" s="10" cm="1">
        <f t="array" ref="I2747">IFERROR(INDEX(Precios!$D:$F,MATCH(N2747, Precios!$G:$G, 0),CHOOSE(MATCH(H2747, {"SML";"XL";"XXL"}, 0), 1, 2, 3)), 0)</f>
        <v>0</v>
      </c>
      <c r="K2747" s="10">
        <f t="shared" si="92"/>
        <v>0</v>
      </c>
      <c r="N2747" s="9" t="str">
        <f t="shared" si="93"/>
        <v/>
      </c>
      <c r="O2747" s="9" t="str">
        <f>IF(N2747="","",IF(COUNTIF(Precios!$G:$G,N2747)=0,"⚠ No coincide con Precios","OK"))</f>
        <v/>
      </c>
    </row>
    <row r="2748" spans="3:15" x14ac:dyDescent="0.2">
      <c r="C2748" s="9" cm="1">
        <f t="array" ref="C2748">IFERROR(_xlfn.XLOOKUP(B2748,Personal!$A:$A,Personal!$D:$D,""),"")</f>
        <v>0</v>
      </c>
      <c r="D2748" s="9" cm="1">
        <f t="array" ref="D2748">IFERROR(_xlfn.XLOOKUP(B2748,Personal!$A:$A,Personal!$C:$C,""),"")</f>
        <v>0</v>
      </c>
      <c r="E2748" s="9" t="str" cm="1">
        <f t="array" ref="E2748">IFERROR(_xlfn.XLOOKUP(D2748,Locales!$A:$A,Locales!$B:$B,""),"")</f>
        <v/>
      </c>
      <c r="F2748" s="9" cm="1">
        <f t="array" ref="F2748">IFERROR(_xlfn.XLOOKUP(B2748,Personal!$A:$A,Personal!$F:$F,""),"")</f>
        <v>0</v>
      </c>
      <c r="I2748" s="10" cm="1">
        <f t="array" ref="I2748">IFERROR(INDEX(Precios!$D:$F,MATCH(N2748, Precios!$G:$G, 0),CHOOSE(MATCH(H2748, {"SML";"XL";"XXL"}, 0), 1, 2, 3)), 0)</f>
        <v>0</v>
      </c>
      <c r="K2748" s="10">
        <f t="shared" si="92"/>
        <v>0</v>
      </c>
      <c r="N2748" s="9" t="str">
        <f t="shared" si="93"/>
        <v/>
      </c>
      <c r="O2748" s="9" t="str">
        <f>IF(N2748="","",IF(COUNTIF(Precios!$G:$G,N2748)=0,"⚠ No coincide con Precios","OK"))</f>
        <v/>
      </c>
    </row>
    <row r="2749" spans="3:15" x14ac:dyDescent="0.2">
      <c r="C2749" s="9" cm="1">
        <f t="array" ref="C2749">IFERROR(_xlfn.XLOOKUP(B2749,Personal!$A:$A,Personal!$D:$D,""),"")</f>
        <v>0</v>
      </c>
      <c r="D2749" s="9" cm="1">
        <f t="array" ref="D2749">IFERROR(_xlfn.XLOOKUP(B2749,Personal!$A:$A,Personal!$C:$C,""),"")</f>
        <v>0</v>
      </c>
      <c r="E2749" s="9" t="str" cm="1">
        <f t="array" ref="E2749">IFERROR(_xlfn.XLOOKUP(D2749,Locales!$A:$A,Locales!$B:$B,""),"")</f>
        <v/>
      </c>
      <c r="F2749" s="9" cm="1">
        <f t="array" ref="F2749">IFERROR(_xlfn.XLOOKUP(B2749,Personal!$A:$A,Personal!$F:$F,""),"")</f>
        <v>0</v>
      </c>
      <c r="I2749" s="10" cm="1">
        <f t="array" ref="I2749">IFERROR(INDEX(Precios!$D:$F,MATCH(N2749, Precios!$G:$G, 0),CHOOSE(MATCH(H2749, {"SML";"XL";"XXL"}, 0), 1, 2, 3)), 0)</f>
        <v>0</v>
      </c>
      <c r="K2749" s="10">
        <f t="shared" si="92"/>
        <v>0</v>
      </c>
      <c r="N2749" s="9" t="str">
        <f t="shared" si="93"/>
        <v/>
      </c>
      <c r="O2749" s="9" t="str">
        <f>IF(N2749="","",IF(COUNTIF(Precios!$G:$G,N2749)=0,"⚠ No coincide con Precios","OK"))</f>
        <v/>
      </c>
    </row>
    <row r="2750" spans="3:15" x14ac:dyDescent="0.2">
      <c r="C2750" s="9" cm="1">
        <f t="array" ref="C2750">IFERROR(_xlfn.XLOOKUP(B2750,Personal!$A:$A,Personal!$D:$D,""),"")</f>
        <v>0</v>
      </c>
      <c r="D2750" s="9" cm="1">
        <f t="array" ref="D2750">IFERROR(_xlfn.XLOOKUP(B2750,Personal!$A:$A,Personal!$C:$C,""),"")</f>
        <v>0</v>
      </c>
      <c r="E2750" s="9" t="str" cm="1">
        <f t="array" ref="E2750">IFERROR(_xlfn.XLOOKUP(D2750,Locales!$A:$A,Locales!$B:$B,""),"")</f>
        <v/>
      </c>
      <c r="F2750" s="9" cm="1">
        <f t="array" ref="F2750">IFERROR(_xlfn.XLOOKUP(B2750,Personal!$A:$A,Personal!$F:$F,""),"")</f>
        <v>0</v>
      </c>
      <c r="I2750" s="10" cm="1">
        <f t="array" ref="I2750">IFERROR(INDEX(Precios!$D:$F,MATCH(N2750, Precios!$G:$G, 0),CHOOSE(MATCH(H2750, {"SML";"XL";"XXL"}, 0), 1, 2, 3)), 0)</f>
        <v>0</v>
      </c>
      <c r="K2750" s="10">
        <f t="shared" si="92"/>
        <v>0</v>
      </c>
      <c r="N2750" s="9" t="str">
        <f t="shared" si="93"/>
        <v/>
      </c>
      <c r="O2750" s="9" t="str">
        <f>IF(N2750="","",IF(COUNTIF(Precios!$G:$G,N2750)=0,"⚠ No coincide con Precios","OK"))</f>
        <v/>
      </c>
    </row>
    <row r="2751" spans="3:15" x14ac:dyDescent="0.2">
      <c r="C2751" s="9" cm="1">
        <f t="array" ref="C2751">IFERROR(_xlfn.XLOOKUP(B2751,Personal!$A:$A,Personal!$D:$D,""),"")</f>
        <v>0</v>
      </c>
      <c r="D2751" s="9" cm="1">
        <f t="array" ref="D2751">IFERROR(_xlfn.XLOOKUP(B2751,Personal!$A:$A,Personal!$C:$C,""),"")</f>
        <v>0</v>
      </c>
      <c r="E2751" s="9" t="str" cm="1">
        <f t="array" ref="E2751">IFERROR(_xlfn.XLOOKUP(D2751,Locales!$A:$A,Locales!$B:$B,""),"")</f>
        <v/>
      </c>
      <c r="F2751" s="9" cm="1">
        <f t="array" ref="F2751">IFERROR(_xlfn.XLOOKUP(B2751,Personal!$A:$A,Personal!$F:$F,""),"")</f>
        <v>0</v>
      </c>
      <c r="I2751" s="10" cm="1">
        <f t="array" ref="I2751">IFERROR(INDEX(Precios!$D:$F,MATCH(N2751, Precios!$G:$G, 0),CHOOSE(MATCH(H2751, {"SML";"XL";"XXL"}, 0), 1, 2, 3)), 0)</f>
        <v>0</v>
      </c>
      <c r="K2751" s="10">
        <f t="shared" si="92"/>
        <v>0</v>
      </c>
      <c r="N2751" s="9" t="str">
        <f t="shared" si="93"/>
        <v/>
      </c>
      <c r="O2751" s="9" t="str">
        <f>IF(N2751="","",IF(COUNTIF(Precios!$G:$G,N2751)=0,"⚠ No coincide con Precios","OK"))</f>
        <v/>
      </c>
    </row>
    <row r="2752" spans="3:15" x14ac:dyDescent="0.2">
      <c r="C2752" s="9" cm="1">
        <f t="array" ref="C2752">IFERROR(_xlfn.XLOOKUP(B2752,Personal!$A:$A,Personal!$D:$D,""),"")</f>
        <v>0</v>
      </c>
      <c r="D2752" s="9" cm="1">
        <f t="array" ref="D2752">IFERROR(_xlfn.XLOOKUP(B2752,Personal!$A:$A,Personal!$C:$C,""),"")</f>
        <v>0</v>
      </c>
      <c r="E2752" s="9" t="str" cm="1">
        <f t="array" ref="E2752">IFERROR(_xlfn.XLOOKUP(D2752,Locales!$A:$A,Locales!$B:$B,""),"")</f>
        <v/>
      </c>
      <c r="F2752" s="9" cm="1">
        <f t="array" ref="F2752">IFERROR(_xlfn.XLOOKUP(B2752,Personal!$A:$A,Personal!$F:$F,""),"")</f>
        <v>0</v>
      </c>
      <c r="I2752" s="10" cm="1">
        <f t="array" ref="I2752">IFERROR(INDEX(Precios!$D:$F,MATCH(N2752, Precios!$G:$G, 0),CHOOSE(MATCH(H2752, {"SML";"XL";"XXL"}, 0), 1, 2, 3)), 0)</f>
        <v>0</v>
      </c>
      <c r="K2752" s="10">
        <f t="shared" ref="K2752:K2815" si="94">IFERROR(I2752*J2752,0)</f>
        <v>0</v>
      </c>
      <c r="N2752" s="9" t="str">
        <f t="shared" ref="N2752:N2815" si="95">IF( OR(E2752="",F2752="",G2752=""), "",CLEAN(TRIM(E2752)) &amp; "|" &amp; CLEAN(TRIM(F2752)) &amp; "|" &amp; CLEAN(TRIM(G2752)))</f>
        <v/>
      </c>
      <c r="O2752" s="9" t="str">
        <f>IF(N2752="","",IF(COUNTIF(Precios!$G:$G,N2752)=0,"⚠ No coincide con Precios","OK"))</f>
        <v/>
      </c>
    </row>
    <row r="2753" spans="3:15" x14ac:dyDescent="0.2">
      <c r="C2753" s="9" cm="1">
        <f t="array" ref="C2753">IFERROR(_xlfn.XLOOKUP(B2753,Personal!$A:$A,Personal!$D:$D,""),"")</f>
        <v>0</v>
      </c>
      <c r="D2753" s="9" cm="1">
        <f t="array" ref="D2753">IFERROR(_xlfn.XLOOKUP(B2753,Personal!$A:$A,Personal!$C:$C,""),"")</f>
        <v>0</v>
      </c>
      <c r="E2753" s="9" t="str" cm="1">
        <f t="array" ref="E2753">IFERROR(_xlfn.XLOOKUP(D2753,Locales!$A:$A,Locales!$B:$B,""),"")</f>
        <v/>
      </c>
      <c r="F2753" s="9" cm="1">
        <f t="array" ref="F2753">IFERROR(_xlfn.XLOOKUP(B2753,Personal!$A:$A,Personal!$F:$F,""),"")</f>
        <v>0</v>
      </c>
      <c r="I2753" s="10" cm="1">
        <f t="array" ref="I2753">IFERROR(INDEX(Precios!$D:$F,MATCH(N2753, Precios!$G:$G, 0),CHOOSE(MATCH(H2753, {"SML";"XL";"XXL"}, 0), 1, 2, 3)), 0)</f>
        <v>0</v>
      </c>
      <c r="K2753" s="10">
        <f t="shared" si="94"/>
        <v>0</v>
      </c>
      <c r="N2753" s="9" t="str">
        <f t="shared" si="95"/>
        <v/>
      </c>
      <c r="O2753" s="9" t="str">
        <f>IF(N2753="","",IF(COUNTIF(Precios!$G:$G,N2753)=0,"⚠ No coincide con Precios","OK"))</f>
        <v/>
      </c>
    </row>
    <row r="2754" spans="3:15" x14ac:dyDescent="0.2">
      <c r="C2754" s="9" cm="1">
        <f t="array" ref="C2754">IFERROR(_xlfn.XLOOKUP(B2754,Personal!$A:$A,Personal!$D:$D,""),"")</f>
        <v>0</v>
      </c>
      <c r="D2754" s="9" cm="1">
        <f t="array" ref="D2754">IFERROR(_xlfn.XLOOKUP(B2754,Personal!$A:$A,Personal!$C:$C,""),"")</f>
        <v>0</v>
      </c>
      <c r="E2754" s="9" t="str" cm="1">
        <f t="array" ref="E2754">IFERROR(_xlfn.XLOOKUP(D2754,Locales!$A:$A,Locales!$B:$B,""),"")</f>
        <v/>
      </c>
      <c r="F2754" s="9" cm="1">
        <f t="array" ref="F2754">IFERROR(_xlfn.XLOOKUP(B2754,Personal!$A:$A,Personal!$F:$F,""),"")</f>
        <v>0</v>
      </c>
      <c r="I2754" s="10" cm="1">
        <f t="array" ref="I2754">IFERROR(INDEX(Precios!$D:$F,MATCH(N2754, Precios!$G:$G, 0),CHOOSE(MATCH(H2754, {"SML";"XL";"XXL"}, 0), 1, 2, 3)), 0)</f>
        <v>0</v>
      </c>
      <c r="K2754" s="10">
        <f t="shared" si="94"/>
        <v>0</v>
      </c>
      <c r="N2754" s="9" t="str">
        <f t="shared" si="95"/>
        <v/>
      </c>
      <c r="O2754" s="9" t="str">
        <f>IF(N2754="","",IF(COUNTIF(Precios!$G:$G,N2754)=0,"⚠ No coincide con Precios","OK"))</f>
        <v/>
      </c>
    </row>
    <row r="2755" spans="3:15" x14ac:dyDescent="0.2">
      <c r="C2755" s="9" cm="1">
        <f t="array" ref="C2755">IFERROR(_xlfn.XLOOKUP(B2755,Personal!$A:$A,Personal!$D:$D,""),"")</f>
        <v>0</v>
      </c>
      <c r="D2755" s="9" cm="1">
        <f t="array" ref="D2755">IFERROR(_xlfn.XLOOKUP(B2755,Personal!$A:$A,Personal!$C:$C,""),"")</f>
        <v>0</v>
      </c>
      <c r="E2755" s="9" t="str" cm="1">
        <f t="array" ref="E2755">IFERROR(_xlfn.XLOOKUP(D2755,Locales!$A:$A,Locales!$B:$B,""),"")</f>
        <v/>
      </c>
      <c r="F2755" s="9" cm="1">
        <f t="array" ref="F2755">IFERROR(_xlfn.XLOOKUP(B2755,Personal!$A:$A,Personal!$F:$F,""),"")</f>
        <v>0</v>
      </c>
      <c r="I2755" s="10" cm="1">
        <f t="array" ref="I2755">IFERROR(INDEX(Precios!$D:$F,MATCH(N2755, Precios!$G:$G, 0),CHOOSE(MATCH(H2755, {"SML";"XL";"XXL"}, 0), 1, 2, 3)), 0)</f>
        <v>0</v>
      </c>
      <c r="K2755" s="10">
        <f t="shared" si="94"/>
        <v>0</v>
      </c>
      <c r="N2755" s="9" t="str">
        <f t="shared" si="95"/>
        <v/>
      </c>
      <c r="O2755" s="9" t="str">
        <f>IF(N2755="","",IF(COUNTIF(Precios!$G:$G,N2755)=0,"⚠ No coincide con Precios","OK"))</f>
        <v/>
      </c>
    </row>
    <row r="2756" spans="3:15" x14ac:dyDescent="0.2">
      <c r="C2756" s="9" cm="1">
        <f t="array" ref="C2756">IFERROR(_xlfn.XLOOKUP(B2756,Personal!$A:$A,Personal!$D:$D,""),"")</f>
        <v>0</v>
      </c>
      <c r="D2756" s="9" cm="1">
        <f t="array" ref="D2756">IFERROR(_xlfn.XLOOKUP(B2756,Personal!$A:$A,Personal!$C:$C,""),"")</f>
        <v>0</v>
      </c>
      <c r="E2756" s="9" t="str" cm="1">
        <f t="array" ref="E2756">IFERROR(_xlfn.XLOOKUP(D2756,Locales!$A:$A,Locales!$B:$B,""),"")</f>
        <v/>
      </c>
      <c r="F2756" s="9" cm="1">
        <f t="array" ref="F2756">IFERROR(_xlfn.XLOOKUP(B2756,Personal!$A:$A,Personal!$F:$F,""),"")</f>
        <v>0</v>
      </c>
      <c r="I2756" s="10" cm="1">
        <f t="array" ref="I2756">IFERROR(INDEX(Precios!$D:$F,MATCH(N2756, Precios!$G:$G, 0),CHOOSE(MATCH(H2756, {"SML";"XL";"XXL"}, 0), 1, 2, 3)), 0)</f>
        <v>0</v>
      </c>
      <c r="K2756" s="10">
        <f t="shared" si="94"/>
        <v>0</v>
      </c>
      <c r="N2756" s="9" t="str">
        <f t="shared" si="95"/>
        <v/>
      </c>
      <c r="O2756" s="9" t="str">
        <f>IF(N2756="","",IF(COUNTIF(Precios!$G:$G,N2756)=0,"⚠ No coincide con Precios","OK"))</f>
        <v/>
      </c>
    </row>
    <row r="2757" spans="3:15" x14ac:dyDescent="0.2">
      <c r="C2757" s="9" cm="1">
        <f t="array" ref="C2757">IFERROR(_xlfn.XLOOKUP(B2757,Personal!$A:$A,Personal!$D:$D,""),"")</f>
        <v>0</v>
      </c>
      <c r="D2757" s="9" cm="1">
        <f t="array" ref="D2757">IFERROR(_xlfn.XLOOKUP(B2757,Personal!$A:$A,Personal!$C:$C,""),"")</f>
        <v>0</v>
      </c>
      <c r="E2757" s="9" t="str" cm="1">
        <f t="array" ref="E2757">IFERROR(_xlfn.XLOOKUP(D2757,Locales!$A:$A,Locales!$B:$B,""),"")</f>
        <v/>
      </c>
      <c r="F2757" s="9" cm="1">
        <f t="array" ref="F2757">IFERROR(_xlfn.XLOOKUP(B2757,Personal!$A:$A,Personal!$F:$F,""),"")</f>
        <v>0</v>
      </c>
      <c r="I2757" s="10" cm="1">
        <f t="array" ref="I2757">IFERROR(INDEX(Precios!$D:$F,MATCH(N2757, Precios!$G:$G, 0),CHOOSE(MATCH(H2757, {"SML";"XL";"XXL"}, 0), 1, 2, 3)), 0)</f>
        <v>0</v>
      </c>
      <c r="K2757" s="10">
        <f t="shared" si="94"/>
        <v>0</v>
      </c>
      <c r="N2757" s="9" t="str">
        <f t="shared" si="95"/>
        <v/>
      </c>
      <c r="O2757" s="9" t="str">
        <f>IF(N2757="","",IF(COUNTIF(Precios!$G:$G,N2757)=0,"⚠ No coincide con Precios","OK"))</f>
        <v/>
      </c>
    </row>
    <row r="2758" spans="3:15" x14ac:dyDescent="0.2">
      <c r="C2758" s="9" cm="1">
        <f t="array" ref="C2758">IFERROR(_xlfn.XLOOKUP(B2758,Personal!$A:$A,Personal!$D:$D,""),"")</f>
        <v>0</v>
      </c>
      <c r="D2758" s="9" cm="1">
        <f t="array" ref="D2758">IFERROR(_xlfn.XLOOKUP(B2758,Personal!$A:$A,Personal!$C:$C,""),"")</f>
        <v>0</v>
      </c>
      <c r="E2758" s="9" t="str" cm="1">
        <f t="array" ref="E2758">IFERROR(_xlfn.XLOOKUP(D2758,Locales!$A:$A,Locales!$B:$B,""),"")</f>
        <v/>
      </c>
      <c r="F2758" s="9" cm="1">
        <f t="array" ref="F2758">IFERROR(_xlfn.XLOOKUP(B2758,Personal!$A:$A,Personal!$F:$F,""),"")</f>
        <v>0</v>
      </c>
      <c r="I2758" s="10" cm="1">
        <f t="array" ref="I2758">IFERROR(INDEX(Precios!$D:$F,MATCH(N2758, Precios!$G:$G, 0),CHOOSE(MATCH(H2758, {"SML";"XL";"XXL"}, 0), 1, 2, 3)), 0)</f>
        <v>0</v>
      </c>
      <c r="K2758" s="10">
        <f t="shared" si="94"/>
        <v>0</v>
      </c>
      <c r="N2758" s="9" t="str">
        <f t="shared" si="95"/>
        <v/>
      </c>
      <c r="O2758" s="9" t="str">
        <f>IF(N2758="","",IF(COUNTIF(Precios!$G:$G,N2758)=0,"⚠ No coincide con Precios","OK"))</f>
        <v/>
      </c>
    </row>
    <row r="2759" spans="3:15" x14ac:dyDescent="0.2">
      <c r="C2759" s="9" cm="1">
        <f t="array" ref="C2759">IFERROR(_xlfn.XLOOKUP(B2759,Personal!$A:$A,Personal!$D:$D,""),"")</f>
        <v>0</v>
      </c>
      <c r="D2759" s="9" cm="1">
        <f t="array" ref="D2759">IFERROR(_xlfn.XLOOKUP(B2759,Personal!$A:$A,Personal!$C:$C,""),"")</f>
        <v>0</v>
      </c>
      <c r="E2759" s="9" t="str" cm="1">
        <f t="array" ref="E2759">IFERROR(_xlfn.XLOOKUP(D2759,Locales!$A:$A,Locales!$B:$B,""),"")</f>
        <v/>
      </c>
      <c r="F2759" s="9" cm="1">
        <f t="array" ref="F2759">IFERROR(_xlfn.XLOOKUP(B2759,Personal!$A:$A,Personal!$F:$F,""),"")</f>
        <v>0</v>
      </c>
      <c r="I2759" s="10" cm="1">
        <f t="array" ref="I2759">IFERROR(INDEX(Precios!$D:$F,MATCH(N2759, Precios!$G:$G, 0),CHOOSE(MATCH(H2759, {"SML";"XL";"XXL"}, 0), 1, 2, 3)), 0)</f>
        <v>0</v>
      </c>
      <c r="K2759" s="10">
        <f t="shared" si="94"/>
        <v>0</v>
      </c>
      <c r="N2759" s="9" t="str">
        <f t="shared" si="95"/>
        <v/>
      </c>
      <c r="O2759" s="9" t="str">
        <f>IF(N2759="","",IF(COUNTIF(Precios!$G:$G,N2759)=0,"⚠ No coincide con Precios","OK"))</f>
        <v/>
      </c>
    </row>
    <row r="2760" spans="3:15" x14ac:dyDescent="0.2">
      <c r="C2760" s="9" cm="1">
        <f t="array" ref="C2760">IFERROR(_xlfn.XLOOKUP(B2760,Personal!$A:$A,Personal!$D:$D,""),"")</f>
        <v>0</v>
      </c>
      <c r="D2760" s="9" cm="1">
        <f t="array" ref="D2760">IFERROR(_xlfn.XLOOKUP(B2760,Personal!$A:$A,Personal!$C:$C,""),"")</f>
        <v>0</v>
      </c>
      <c r="E2760" s="9" t="str" cm="1">
        <f t="array" ref="E2760">IFERROR(_xlfn.XLOOKUP(D2760,Locales!$A:$A,Locales!$B:$B,""),"")</f>
        <v/>
      </c>
      <c r="F2760" s="9" cm="1">
        <f t="array" ref="F2760">IFERROR(_xlfn.XLOOKUP(B2760,Personal!$A:$A,Personal!$F:$F,""),"")</f>
        <v>0</v>
      </c>
      <c r="I2760" s="10" cm="1">
        <f t="array" ref="I2760">IFERROR(INDEX(Precios!$D:$F,MATCH(N2760, Precios!$G:$G, 0),CHOOSE(MATCH(H2760, {"SML";"XL";"XXL"}, 0), 1, 2, 3)), 0)</f>
        <v>0</v>
      </c>
      <c r="K2760" s="10">
        <f t="shared" si="94"/>
        <v>0</v>
      </c>
      <c r="N2760" s="9" t="str">
        <f t="shared" si="95"/>
        <v/>
      </c>
      <c r="O2760" s="9" t="str">
        <f>IF(N2760="","",IF(COUNTIF(Precios!$G:$G,N2760)=0,"⚠ No coincide con Precios","OK"))</f>
        <v/>
      </c>
    </row>
    <row r="2761" spans="3:15" x14ac:dyDescent="0.2">
      <c r="C2761" s="9" cm="1">
        <f t="array" ref="C2761">IFERROR(_xlfn.XLOOKUP(B2761,Personal!$A:$A,Personal!$D:$D,""),"")</f>
        <v>0</v>
      </c>
      <c r="D2761" s="9" cm="1">
        <f t="array" ref="D2761">IFERROR(_xlfn.XLOOKUP(B2761,Personal!$A:$A,Personal!$C:$C,""),"")</f>
        <v>0</v>
      </c>
      <c r="E2761" s="9" t="str" cm="1">
        <f t="array" ref="E2761">IFERROR(_xlfn.XLOOKUP(D2761,Locales!$A:$A,Locales!$B:$B,""),"")</f>
        <v/>
      </c>
      <c r="F2761" s="9" cm="1">
        <f t="array" ref="F2761">IFERROR(_xlfn.XLOOKUP(B2761,Personal!$A:$A,Personal!$F:$F,""),"")</f>
        <v>0</v>
      </c>
      <c r="I2761" s="10" cm="1">
        <f t="array" ref="I2761">IFERROR(INDEX(Precios!$D:$F,MATCH(N2761, Precios!$G:$G, 0),CHOOSE(MATCH(H2761, {"SML";"XL";"XXL"}, 0), 1, 2, 3)), 0)</f>
        <v>0</v>
      </c>
      <c r="K2761" s="10">
        <f t="shared" si="94"/>
        <v>0</v>
      </c>
      <c r="N2761" s="9" t="str">
        <f t="shared" si="95"/>
        <v/>
      </c>
      <c r="O2761" s="9" t="str">
        <f>IF(N2761="","",IF(COUNTIF(Precios!$G:$G,N2761)=0,"⚠ No coincide con Precios","OK"))</f>
        <v/>
      </c>
    </row>
    <row r="2762" spans="3:15" x14ac:dyDescent="0.2">
      <c r="C2762" s="9" cm="1">
        <f t="array" ref="C2762">IFERROR(_xlfn.XLOOKUP(B2762,Personal!$A:$A,Personal!$D:$D,""),"")</f>
        <v>0</v>
      </c>
      <c r="D2762" s="9" cm="1">
        <f t="array" ref="D2762">IFERROR(_xlfn.XLOOKUP(B2762,Personal!$A:$A,Personal!$C:$C,""),"")</f>
        <v>0</v>
      </c>
      <c r="E2762" s="9" t="str" cm="1">
        <f t="array" ref="E2762">IFERROR(_xlfn.XLOOKUP(D2762,Locales!$A:$A,Locales!$B:$B,""),"")</f>
        <v/>
      </c>
      <c r="F2762" s="9" cm="1">
        <f t="array" ref="F2762">IFERROR(_xlfn.XLOOKUP(B2762,Personal!$A:$A,Personal!$F:$F,""),"")</f>
        <v>0</v>
      </c>
      <c r="I2762" s="10" cm="1">
        <f t="array" ref="I2762">IFERROR(INDEX(Precios!$D:$F,MATCH(N2762, Precios!$G:$G, 0),CHOOSE(MATCH(H2762, {"SML";"XL";"XXL"}, 0), 1, 2, 3)), 0)</f>
        <v>0</v>
      </c>
      <c r="K2762" s="10">
        <f t="shared" si="94"/>
        <v>0</v>
      </c>
      <c r="N2762" s="9" t="str">
        <f t="shared" si="95"/>
        <v/>
      </c>
      <c r="O2762" s="9" t="str">
        <f>IF(N2762="","",IF(COUNTIF(Precios!$G:$G,N2762)=0,"⚠ No coincide con Precios","OK"))</f>
        <v/>
      </c>
    </row>
    <row r="2763" spans="3:15" x14ac:dyDescent="0.2">
      <c r="C2763" s="9" cm="1">
        <f t="array" ref="C2763">IFERROR(_xlfn.XLOOKUP(B2763,Personal!$A:$A,Personal!$D:$D,""),"")</f>
        <v>0</v>
      </c>
      <c r="D2763" s="9" cm="1">
        <f t="array" ref="D2763">IFERROR(_xlfn.XLOOKUP(B2763,Personal!$A:$A,Personal!$C:$C,""),"")</f>
        <v>0</v>
      </c>
      <c r="E2763" s="9" t="str" cm="1">
        <f t="array" ref="E2763">IFERROR(_xlfn.XLOOKUP(D2763,Locales!$A:$A,Locales!$B:$B,""),"")</f>
        <v/>
      </c>
      <c r="F2763" s="9" cm="1">
        <f t="array" ref="F2763">IFERROR(_xlfn.XLOOKUP(B2763,Personal!$A:$A,Personal!$F:$F,""),"")</f>
        <v>0</v>
      </c>
      <c r="I2763" s="10" cm="1">
        <f t="array" ref="I2763">IFERROR(INDEX(Precios!$D:$F,MATCH(N2763, Precios!$G:$G, 0),CHOOSE(MATCH(H2763, {"SML";"XL";"XXL"}, 0), 1, 2, 3)), 0)</f>
        <v>0</v>
      </c>
      <c r="K2763" s="10">
        <f t="shared" si="94"/>
        <v>0</v>
      </c>
      <c r="N2763" s="9" t="str">
        <f t="shared" si="95"/>
        <v/>
      </c>
      <c r="O2763" s="9" t="str">
        <f>IF(N2763="","",IF(COUNTIF(Precios!$G:$G,N2763)=0,"⚠ No coincide con Precios","OK"))</f>
        <v/>
      </c>
    </row>
    <row r="2764" spans="3:15" x14ac:dyDescent="0.2">
      <c r="C2764" s="9" cm="1">
        <f t="array" ref="C2764">IFERROR(_xlfn.XLOOKUP(B2764,Personal!$A:$A,Personal!$D:$D,""),"")</f>
        <v>0</v>
      </c>
      <c r="D2764" s="9" cm="1">
        <f t="array" ref="D2764">IFERROR(_xlfn.XLOOKUP(B2764,Personal!$A:$A,Personal!$C:$C,""),"")</f>
        <v>0</v>
      </c>
      <c r="E2764" s="9" t="str" cm="1">
        <f t="array" ref="E2764">IFERROR(_xlfn.XLOOKUP(D2764,Locales!$A:$A,Locales!$B:$B,""),"")</f>
        <v/>
      </c>
      <c r="F2764" s="9" cm="1">
        <f t="array" ref="F2764">IFERROR(_xlfn.XLOOKUP(B2764,Personal!$A:$A,Personal!$F:$F,""),"")</f>
        <v>0</v>
      </c>
      <c r="I2764" s="10" cm="1">
        <f t="array" ref="I2764">IFERROR(INDEX(Precios!$D:$F,MATCH(N2764, Precios!$G:$G, 0),CHOOSE(MATCH(H2764, {"SML";"XL";"XXL"}, 0), 1, 2, 3)), 0)</f>
        <v>0</v>
      </c>
      <c r="K2764" s="10">
        <f t="shared" si="94"/>
        <v>0</v>
      </c>
      <c r="N2764" s="9" t="str">
        <f t="shared" si="95"/>
        <v/>
      </c>
      <c r="O2764" s="9" t="str">
        <f>IF(N2764="","",IF(COUNTIF(Precios!$G:$G,N2764)=0,"⚠ No coincide con Precios","OK"))</f>
        <v/>
      </c>
    </row>
    <row r="2765" spans="3:15" x14ac:dyDescent="0.2">
      <c r="C2765" s="9" cm="1">
        <f t="array" ref="C2765">IFERROR(_xlfn.XLOOKUP(B2765,Personal!$A:$A,Personal!$D:$D,""),"")</f>
        <v>0</v>
      </c>
      <c r="D2765" s="9" cm="1">
        <f t="array" ref="D2765">IFERROR(_xlfn.XLOOKUP(B2765,Personal!$A:$A,Personal!$C:$C,""),"")</f>
        <v>0</v>
      </c>
      <c r="E2765" s="9" t="str" cm="1">
        <f t="array" ref="E2765">IFERROR(_xlfn.XLOOKUP(D2765,Locales!$A:$A,Locales!$B:$B,""),"")</f>
        <v/>
      </c>
      <c r="F2765" s="9" cm="1">
        <f t="array" ref="F2765">IFERROR(_xlfn.XLOOKUP(B2765,Personal!$A:$A,Personal!$F:$F,""),"")</f>
        <v>0</v>
      </c>
      <c r="I2765" s="10" cm="1">
        <f t="array" ref="I2765">IFERROR(INDEX(Precios!$D:$F,MATCH(N2765, Precios!$G:$G, 0),CHOOSE(MATCH(H2765, {"SML";"XL";"XXL"}, 0), 1, 2, 3)), 0)</f>
        <v>0</v>
      </c>
      <c r="K2765" s="10">
        <f t="shared" si="94"/>
        <v>0</v>
      </c>
      <c r="N2765" s="9" t="str">
        <f t="shared" si="95"/>
        <v/>
      </c>
      <c r="O2765" s="9" t="str">
        <f>IF(N2765="","",IF(COUNTIF(Precios!$G:$G,N2765)=0,"⚠ No coincide con Precios","OK"))</f>
        <v/>
      </c>
    </row>
    <row r="2766" spans="3:15" x14ac:dyDescent="0.2">
      <c r="C2766" s="9" cm="1">
        <f t="array" ref="C2766">IFERROR(_xlfn.XLOOKUP(B2766,Personal!$A:$A,Personal!$D:$D,""),"")</f>
        <v>0</v>
      </c>
      <c r="D2766" s="9" cm="1">
        <f t="array" ref="D2766">IFERROR(_xlfn.XLOOKUP(B2766,Personal!$A:$A,Personal!$C:$C,""),"")</f>
        <v>0</v>
      </c>
      <c r="E2766" s="9" t="str" cm="1">
        <f t="array" ref="E2766">IFERROR(_xlfn.XLOOKUP(D2766,Locales!$A:$A,Locales!$B:$B,""),"")</f>
        <v/>
      </c>
      <c r="F2766" s="9" cm="1">
        <f t="array" ref="F2766">IFERROR(_xlfn.XLOOKUP(B2766,Personal!$A:$A,Personal!$F:$F,""),"")</f>
        <v>0</v>
      </c>
      <c r="I2766" s="10" cm="1">
        <f t="array" ref="I2766">IFERROR(INDEX(Precios!$D:$F,MATCH(N2766, Precios!$G:$G, 0),CHOOSE(MATCH(H2766, {"SML";"XL";"XXL"}, 0), 1, 2, 3)), 0)</f>
        <v>0</v>
      </c>
      <c r="K2766" s="10">
        <f t="shared" si="94"/>
        <v>0</v>
      </c>
      <c r="N2766" s="9" t="str">
        <f t="shared" si="95"/>
        <v/>
      </c>
      <c r="O2766" s="9" t="str">
        <f>IF(N2766="","",IF(COUNTIF(Precios!$G:$G,N2766)=0,"⚠ No coincide con Precios","OK"))</f>
        <v/>
      </c>
    </row>
    <row r="2767" spans="3:15" x14ac:dyDescent="0.2">
      <c r="C2767" s="9" cm="1">
        <f t="array" ref="C2767">IFERROR(_xlfn.XLOOKUP(B2767,Personal!$A:$A,Personal!$D:$D,""),"")</f>
        <v>0</v>
      </c>
      <c r="D2767" s="9" cm="1">
        <f t="array" ref="D2767">IFERROR(_xlfn.XLOOKUP(B2767,Personal!$A:$A,Personal!$C:$C,""),"")</f>
        <v>0</v>
      </c>
      <c r="E2767" s="9" t="str" cm="1">
        <f t="array" ref="E2767">IFERROR(_xlfn.XLOOKUP(D2767,Locales!$A:$A,Locales!$B:$B,""),"")</f>
        <v/>
      </c>
      <c r="F2767" s="9" cm="1">
        <f t="array" ref="F2767">IFERROR(_xlfn.XLOOKUP(B2767,Personal!$A:$A,Personal!$F:$F,""),"")</f>
        <v>0</v>
      </c>
      <c r="I2767" s="10" cm="1">
        <f t="array" ref="I2767">IFERROR(INDEX(Precios!$D:$F,MATCH(N2767, Precios!$G:$G, 0),CHOOSE(MATCH(H2767, {"SML";"XL";"XXL"}, 0), 1, 2, 3)), 0)</f>
        <v>0</v>
      </c>
      <c r="K2767" s="10">
        <f t="shared" si="94"/>
        <v>0</v>
      </c>
      <c r="N2767" s="9" t="str">
        <f t="shared" si="95"/>
        <v/>
      </c>
      <c r="O2767" s="9" t="str">
        <f>IF(N2767="","",IF(COUNTIF(Precios!$G:$G,N2767)=0,"⚠ No coincide con Precios","OK"))</f>
        <v/>
      </c>
    </row>
    <row r="2768" spans="3:15" x14ac:dyDescent="0.2">
      <c r="C2768" s="9" cm="1">
        <f t="array" ref="C2768">IFERROR(_xlfn.XLOOKUP(B2768,Personal!$A:$A,Personal!$D:$D,""),"")</f>
        <v>0</v>
      </c>
      <c r="D2768" s="9" cm="1">
        <f t="array" ref="D2768">IFERROR(_xlfn.XLOOKUP(B2768,Personal!$A:$A,Personal!$C:$C,""),"")</f>
        <v>0</v>
      </c>
      <c r="E2768" s="9" t="str" cm="1">
        <f t="array" ref="E2768">IFERROR(_xlfn.XLOOKUP(D2768,Locales!$A:$A,Locales!$B:$B,""),"")</f>
        <v/>
      </c>
      <c r="F2768" s="9" cm="1">
        <f t="array" ref="F2768">IFERROR(_xlfn.XLOOKUP(B2768,Personal!$A:$A,Personal!$F:$F,""),"")</f>
        <v>0</v>
      </c>
      <c r="I2768" s="10" cm="1">
        <f t="array" ref="I2768">IFERROR(INDEX(Precios!$D:$F,MATCH(N2768, Precios!$G:$G, 0),CHOOSE(MATCH(H2768, {"SML";"XL";"XXL"}, 0), 1, 2, 3)), 0)</f>
        <v>0</v>
      </c>
      <c r="K2768" s="10">
        <f t="shared" si="94"/>
        <v>0</v>
      </c>
      <c r="N2768" s="9" t="str">
        <f t="shared" si="95"/>
        <v/>
      </c>
      <c r="O2768" s="9" t="str">
        <f>IF(N2768="","",IF(COUNTIF(Precios!$G:$G,N2768)=0,"⚠ No coincide con Precios","OK"))</f>
        <v/>
      </c>
    </row>
    <row r="2769" spans="3:15" x14ac:dyDescent="0.2">
      <c r="C2769" s="9" cm="1">
        <f t="array" ref="C2769">IFERROR(_xlfn.XLOOKUP(B2769,Personal!$A:$A,Personal!$D:$D,""),"")</f>
        <v>0</v>
      </c>
      <c r="D2769" s="9" cm="1">
        <f t="array" ref="D2769">IFERROR(_xlfn.XLOOKUP(B2769,Personal!$A:$A,Personal!$C:$C,""),"")</f>
        <v>0</v>
      </c>
      <c r="E2769" s="9" t="str" cm="1">
        <f t="array" ref="E2769">IFERROR(_xlfn.XLOOKUP(D2769,Locales!$A:$A,Locales!$B:$B,""),"")</f>
        <v/>
      </c>
      <c r="F2769" s="9" cm="1">
        <f t="array" ref="F2769">IFERROR(_xlfn.XLOOKUP(B2769,Personal!$A:$A,Personal!$F:$F,""),"")</f>
        <v>0</v>
      </c>
      <c r="I2769" s="10" cm="1">
        <f t="array" ref="I2769">IFERROR(INDEX(Precios!$D:$F,MATCH(N2769, Precios!$G:$G, 0),CHOOSE(MATCH(H2769, {"SML";"XL";"XXL"}, 0), 1, 2, 3)), 0)</f>
        <v>0</v>
      </c>
      <c r="K2769" s="10">
        <f t="shared" si="94"/>
        <v>0</v>
      </c>
      <c r="N2769" s="9" t="str">
        <f t="shared" si="95"/>
        <v/>
      </c>
      <c r="O2769" s="9" t="str">
        <f>IF(N2769="","",IF(COUNTIF(Precios!$G:$G,N2769)=0,"⚠ No coincide con Precios","OK"))</f>
        <v/>
      </c>
    </row>
    <row r="2770" spans="3:15" x14ac:dyDescent="0.2">
      <c r="C2770" s="9" cm="1">
        <f t="array" ref="C2770">IFERROR(_xlfn.XLOOKUP(B2770,Personal!$A:$A,Personal!$D:$D,""),"")</f>
        <v>0</v>
      </c>
      <c r="D2770" s="9" cm="1">
        <f t="array" ref="D2770">IFERROR(_xlfn.XLOOKUP(B2770,Personal!$A:$A,Personal!$C:$C,""),"")</f>
        <v>0</v>
      </c>
      <c r="E2770" s="9" t="str" cm="1">
        <f t="array" ref="E2770">IFERROR(_xlfn.XLOOKUP(D2770,Locales!$A:$A,Locales!$B:$B,""),"")</f>
        <v/>
      </c>
      <c r="F2770" s="9" cm="1">
        <f t="array" ref="F2770">IFERROR(_xlfn.XLOOKUP(B2770,Personal!$A:$A,Personal!$F:$F,""),"")</f>
        <v>0</v>
      </c>
      <c r="I2770" s="10" cm="1">
        <f t="array" ref="I2770">IFERROR(INDEX(Precios!$D:$F,MATCH(N2770, Precios!$G:$G, 0),CHOOSE(MATCH(H2770, {"SML";"XL";"XXL"}, 0), 1, 2, 3)), 0)</f>
        <v>0</v>
      </c>
      <c r="K2770" s="10">
        <f t="shared" si="94"/>
        <v>0</v>
      </c>
      <c r="N2770" s="9" t="str">
        <f t="shared" si="95"/>
        <v/>
      </c>
      <c r="O2770" s="9" t="str">
        <f>IF(N2770="","",IF(COUNTIF(Precios!$G:$G,N2770)=0,"⚠ No coincide con Precios","OK"))</f>
        <v/>
      </c>
    </row>
    <row r="2771" spans="3:15" x14ac:dyDescent="0.2">
      <c r="C2771" s="9" cm="1">
        <f t="array" ref="C2771">IFERROR(_xlfn.XLOOKUP(B2771,Personal!$A:$A,Personal!$D:$D,""),"")</f>
        <v>0</v>
      </c>
      <c r="D2771" s="9" cm="1">
        <f t="array" ref="D2771">IFERROR(_xlfn.XLOOKUP(B2771,Personal!$A:$A,Personal!$C:$C,""),"")</f>
        <v>0</v>
      </c>
      <c r="E2771" s="9" t="str" cm="1">
        <f t="array" ref="E2771">IFERROR(_xlfn.XLOOKUP(D2771,Locales!$A:$A,Locales!$B:$B,""),"")</f>
        <v/>
      </c>
      <c r="F2771" s="9" cm="1">
        <f t="array" ref="F2771">IFERROR(_xlfn.XLOOKUP(B2771,Personal!$A:$A,Personal!$F:$F,""),"")</f>
        <v>0</v>
      </c>
      <c r="I2771" s="10" cm="1">
        <f t="array" ref="I2771">IFERROR(INDEX(Precios!$D:$F,MATCH(N2771, Precios!$G:$G, 0),CHOOSE(MATCH(H2771, {"SML";"XL";"XXL"}, 0), 1, 2, 3)), 0)</f>
        <v>0</v>
      </c>
      <c r="K2771" s="10">
        <f t="shared" si="94"/>
        <v>0</v>
      </c>
      <c r="N2771" s="9" t="str">
        <f t="shared" si="95"/>
        <v/>
      </c>
      <c r="O2771" s="9" t="str">
        <f>IF(N2771="","",IF(COUNTIF(Precios!$G:$G,N2771)=0,"⚠ No coincide con Precios","OK"))</f>
        <v/>
      </c>
    </row>
    <row r="2772" spans="3:15" x14ac:dyDescent="0.2">
      <c r="C2772" s="9" cm="1">
        <f t="array" ref="C2772">IFERROR(_xlfn.XLOOKUP(B2772,Personal!$A:$A,Personal!$D:$D,""),"")</f>
        <v>0</v>
      </c>
      <c r="D2772" s="9" cm="1">
        <f t="array" ref="D2772">IFERROR(_xlfn.XLOOKUP(B2772,Personal!$A:$A,Personal!$C:$C,""),"")</f>
        <v>0</v>
      </c>
      <c r="E2772" s="9" t="str" cm="1">
        <f t="array" ref="E2772">IFERROR(_xlfn.XLOOKUP(D2772,Locales!$A:$A,Locales!$B:$B,""),"")</f>
        <v/>
      </c>
      <c r="F2772" s="9" cm="1">
        <f t="array" ref="F2772">IFERROR(_xlfn.XLOOKUP(B2772,Personal!$A:$A,Personal!$F:$F,""),"")</f>
        <v>0</v>
      </c>
      <c r="I2772" s="10" cm="1">
        <f t="array" ref="I2772">IFERROR(INDEX(Precios!$D:$F,MATCH(N2772, Precios!$G:$G, 0),CHOOSE(MATCH(H2772, {"SML";"XL";"XXL"}, 0), 1, 2, 3)), 0)</f>
        <v>0</v>
      </c>
      <c r="K2772" s="10">
        <f t="shared" si="94"/>
        <v>0</v>
      </c>
      <c r="N2772" s="9" t="str">
        <f t="shared" si="95"/>
        <v/>
      </c>
      <c r="O2772" s="9" t="str">
        <f>IF(N2772="","",IF(COUNTIF(Precios!$G:$G,N2772)=0,"⚠ No coincide con Precios","OK"))</f>
        <v/>
      </c>
    </row>
    <row r="2773" spans="3:15" x14ac:dyDescent="0.2">
      <c r="C2773" s="9" cm="1">
        <f t="array" ref="C2773">IFERROR(_xlfn.XLOOKUP(B2773,Personal!$A:$A,Personal!$D:$D,""),"")</f>
        <v>0</v>
      </c>
      <c r="D2773" s="9" cm="1">
        <f t="array" ref="D2773">IFERROR(_xlfn.XLOOKUP(B2773,Personal!$A:$A,Personal!$C:$C,""),"")</f>
        <v>0</v>
      </c>
      <c r="E2773" s="9" t="str" cm="1">
        <f t="array" ref="E2773">IFERROR(_xlfn.XLOOKUP(D2773,Locales!$A:$A,Locales!$B:$B,""),"")</f>
        <v/>
      </c>
      <c r="F2773" s="9" cm="1">
        <f t="array" ref="F2773">IFERROR(_xlfn.XLOOKUP(B2773,Personal!$A:$A,Personal!$F:$F,""),"")</f>
        <v>0</v>
      </c>
      <c r="I2773" s="10" cm="1">
        <f t="array" ref="I2773">IFERROR(INDEX(Precios!$D:$F,MATCH(N2773, Precios!$G:$G, 0),CHOOSE(MATCH(H2773, {"SML";"XL";"XXL"}, 0), 1, 2, 3)), 0)</f>
        <v>0</v>
      </c>
      <c r="K2773" s="10">
        <f t="shared" si="94"/>
        <v>0</v>
      </c>
      <c r="N2773" s="9" t="str">
        <f t="shared" si="95"/>
        <v/>
      </c>
      <c r="O2773" s="9" t="str">
        <f>IF(N2773="","",IF(COUNTIF(Precios!$G:$G,N2773)=0,"⚠ No coincide con Precios","OK"))</f>
        <v/>
      </c>
    </row>
    <row r="2774" spans="3:15" x14ac:dyDescent="0.2">
      <c r="C2774" s="9" cm="1">
        <f t="array" ref="C2774">IFERROR(_xlfn.XLOOKUP(B2774,Personal!$A:$A,Personal!$D:$D,""),"")</f>
        <v>0</v>
      </c>
      <c r="D2774" s="9" cm="1">
        <f t="array" ref="D2774">IFERROR(_xlfn.XLOOKUP(B2774,Personal!$A:$A,Personal!$C:$C,""),"")</f>
        <v>0</v>
      </c>
      <c r="E2774" s="9" t="str" cm="1">
        <f t="array" ref="E2774">IFERROR(_xlfn.XLOOKUP(D2774,Locales!$A:$A,Locales!$B:$B,""),"")</f>
        <v/>
      </c>
      <c r="F2774" s="9" cm="1">
        <f t="array" ref="F2774">IFERROR(_xlfn.XLOOKUP(B2774,Personal!$A:$A,Personal!$F:$F,""),"")</f>
        <v>0</v>
      </c>
      <c r="I2774" s="10" cm="1">
        <f t="array" ref="I2774">IFERROR(INDEX(Precios!$D:$F,MATCH(N2774, Precios!$G:$G, 0),CHOOSE(MATCH(H2774, {"SML";"XL";"XXL"}, 0), 1, 2, 3)), 0)</f>
        <v>0</v>
      </c>
      <c r="K2774" s="10">
        <f t="shared" si="94"/>
        <v>0</v>
      </c>
      <c r="N2774" s="9" t="str">
        <f t="shared" si="95"/>
        <v/>
      </c>
      <c r="O2774" s="9" t="str">
        <f>IF(N2774="","",IF(COUNTIF(Precios!$G:$G,N2774)=0,"⚠ No coincide con Precios","OK"))</f>
        <v/>
      </c>
    </row>
    <row r="2775" spans="3:15" x14ac:dyDescent="0.2">
      <c r="C2775" s="9" cm="1">
        <f t="array" ref="C2775">IFERROR(_xlfn.XLOOKUP(B2775,Personal!$A:$A,Personal!$D:$D,""),"")</f>
        <v>0</v>
      </c>
      <c r="D2775" s="9" cm="1">
        <f t="array" ref="D2775">IFERROR(_xlfn.XLOOKUP(B2775,Personal!$A:$A,Personal!$C:$C,""),"")</f>
        <v>0</v>
      </c>
      <c r="E2775" s="9" t="str" cm="1">
        <f t="array" ref="E2775">IFERROR(_xlfn.XLOOKUP(D2775,Locales!$A:$A,Locales!$B:$B,""),"")</f>
        <v/>
      </c>
      <c r="F2775" s="9" cm="1">
        <f t="array" ref="F2775">IFERROR(_xlfn.XLOOKUP(B2775,Personal!$A:$A,Personal!$F:$F,""),"")</f>
        <v>0</v>
      </c>
      <c r="I2775" s="10" cm="1">
        <f t="array" ref="I2775">IFERROR(INDEX(Precios!$D:$F,MATCH(N2775, Precios!$G:$G, 0),CHOOSE(MATCH(H2775, {"SML";"XL";"XXL"}, 0), 1, 2, 3)), 0)</f>
        <v>0</v>
      </c>
      <c r="K2775" s="10">
        <f t="shared" si="94"/>
        <v>0</v>
      </c>
      <c r="N2775" s="9" t="str">
        <f t="shared" si="95"/>
        <v/>
      </c>
      <c r="O2775" s="9" t="str">
        <f>IF(N2775="","",IF(COUNTIF(Precios!$G:$G,N2775)=0,"⚠ No coincide con Precios","OK"))</f>
        <v/>
      </c>
    </row>
    <row r="2776" spans="3:15" x14ac:dyDescent="0.2">
      <c r="C2776" s="9" cm="1">
        <f t="array" ref="C2776">IFERROR(_xlfn.XLOOKUP(B2776,Personal!$A:$A,Personal!$D:$D,""),"")</f>
        <v>0</v>
      </c>
      <c r="D2776" s="9" cm="1">
        <f t="array" ref="D2776">IFERROR(_xlfn.XLOOKUP(B2776,Personal!$A:$A,Personal!$C:$C,""),"")</f>
        <v>0</v>
      </c>
      <c r="E2776" s="9" t="str" cm="1">
        <f t="array" ref="E2776">IFERROR(_xlfn.XLOOKUP(D2776,Locales!$A:$A,Locales!$B:$B,""),"")</f>
        <v/>
      </c>
      <c r="F2776" s="9" cm="1">
        <f t="array" ref="F2776">IFERROR(_xlfn.XLOOKUP(B2776,Personal!$A:$A,Personal!$F:$F,""),"")</f>
        <v>0</v>
      </c>
      <c r="I2776" s="10" cm="1">
        <f t="array" ref="I2776">IFERROR(INDEX(Precios!$D:$F,MATCH(N2776, Precios!$G:$G, 0),CHOOSE(MATCH(H2776, {"SML";"XL";"XXL"}, 0), 1, 2, 3)), 0)</f>
        <v>0</v>
      </c>
      <c r="K2776" s="10">
        <f t="shared" si="94"/>
        <v>0</v>
      </c>
      <c r="N2776" s="9" t="str">
        <f t="shared" si="95"/>
        <v/>
      </c>
      <c r="O2776" s="9" t="str">
        <f>IF(N2776="","",IF(COUNTIF(Precios!$G:$G,N2776)=0,"⚠ No coincide con Precios","OK"))</f>
        <v/>
      </c>
    </row>
    <row r="2777" spans="3:15" x14ac:dyDescent="0.2">
      <c r="C2777" s="9" cm="1">
        <f t="array" ref="C2777">IFERROR(_xlfn.XLOOKUP(B2777,Personal!$A:$A,Personal!$D:$D,""),"")</f>
        <v>0</v>
      </c>
      <c r="D2777" s="9" cm="1">
        <f t="array" ref="D2777">IFERROR(_xlfn.XLOOKUP(B2777,Personal!$A:$A,Personal!$C:$C,""),"")</f>
        <v>0</v>
      </c>
      <c r="E2777" s="9" t="str" cm="1">
        <f t="array" ref="E2777">IFERROR(_xlfn.XLOOKUP(D2777,Locales!$A:$A,Locales!$B:$B,""),"")</f>
        <v/>
      </c>
      <c r="F2777" s="9" cm="1">
        <f t="array" ref="F2777">IFERROR(_xlfn.XLOOKUP(B2777,Personal!$A:$A,Personal!$F:$F,""),"")</f>
        <v>0</v>
      </c>
      <c r="I2777" s="10" cm="1">
        <f t="array" ref="I2777">IFERROR(INDEX(Precios!$D:$F,MATCH(N2777, Precios!$G:$G, 0),CHOOSE(MATCH(H2777, {"SML";"XL";"XXL"}, 0), 1, 2, 3)), 0)</f>
        <v>0</v>
      </c>
      <c r="K2777" s="10">
        <f t="shared" si="94"/>
        <v>0</v>
      </c>
      <c r="N2777" s="9" t="str">
        <f t="shared" si="95"/>
        <v/>
      </c>
      <c r="O2777" s="9" t="str">
        <f>IF(N2777="","",IF(COUNTIF(Precios!$G:$G,N2777)=0,"⚠ No coincide con Precios","OK"))</f>
        <v/>
      </c>
    </row>
    <row r="2778" spans="3:15" x14ac:dyDescent="0.2">
      <c r="C2778" s="9" cm="1">
        <f t="array" ref="C2778">IFERROR(_xlfn.XLOOKUP(B2778,Personal!$A:$A,Personal!$D:$D,""),"")</f>
        <v>0</v>
      </c>
      <c r="D2778" s="9" cm="1">
        <f t="array" ref="D2778">IFERROR(_xlfn.XLOOKUP(B2778,Personal!$A:$A,Personal!$C:$C,""),"")</f>
        <v>0</v>
      </c>
      <c r="E2778" s="9" t="str" cm="1">
        <f t="array" ref="E2778">IFERROR(_xlfn.XLOOKUP(D2778,Locales!$A:$A,Locales!$B:$B,""),"")</f>
        <v/>
      </c>
      <c r="F2778" s="9" cm="1">
        <f t="array" ref="F2778">IFERROR(_xlfn.XLOOKUP(B2778,Personal!$A:$A,Personal!$F:$F,""),"")</f>
        <v>0</v>
      </c>
      <c r="I2778" s="10" cm="1">
        <f t="array" ref="I2778">IFERROR(INDEX(Precios!$D:$F,MATCH(N2778, Precios!$G:$G, 0),CHOOSE(MATCH(H2778, {"SML";"XL";"XXL"}, 0), 1, 2, 3)), 0)</f>
        <v>0</v>
      </c>
      <c r="K2778" s="10">
        <f t="shared" si="94"/>
        <v>0</v>
      </c>
      <c r="N2778" s="9" t="str">
        <f t="shared" si="95"/>
        <v/>
      </c>
      <c r="O2778" s="9" t="str">
        <f>IF(N2778="","",IF(COUNTIF(Precios!$G:$G,N2778)=0,"⚠ No coincide con Precios","OK"))</f>
        <v/>
      </c>
    </row>
    <row r="2779" spans="3:15" x14ac:dyDescent="0.2">
      <c r="C2779" s="9" cm="1">
        <f t="array" ref="C2779">IFERROR(_xlfn.XLOOKUP(B2779,Personal!$A:$A,Personal!$D:$D,""),"")</f>
        <v>0</v>
      </c>
      <c r="D2779" s="9" cm="1">
        <f t="array" ref="D2779">IFERROR(_xlfn.XLOOKUP(B2779,Personal!$A:$A,Personal!$C:$C,""),"")</f>
        <v>0</v>
      </c>
      <c r="E2779" s="9" t="str" cm="1">
        <f t="array" ref="E2779">IFERROR(_xlfn.XLOOKUP(D2779,Locales!$A:$A,Locales!$B:$B,""),"")</f>
        <v/>
      </c>
      <c r="F2779" s="9" cm="1">
        <f t="array" ref="F2779">IFERROR(_xlfn.XLOOKUP(B2779,Personal!$A:$A,Personal!$F:$F,""),"")</f>
        <v>0</v>
      </c>
      <c r="I2779" s="10" cm="1">
        <f t="array" ref="I2779">IFERROR(INDEX(Precios!$D:$F,MATCH(N2779, Precios!$G:$G, 0),CHOOSE(MATCH(H2779, {"SML";"XL";"XXL"}, 0), 1, 2, 3)), 0)</f>
        <v>0</v>
      </c>
      <c r="K2779" s="10">
        <f t="shared" si="94"/>
        <v>0</v>
      </c>
      <c r="N2779" s="9" t="str">
        <f t="shared" si="95"/>
        <v/>
      </c>
      <c r="O2779" s="9" t="str">
        <f>IF(N2779="","",IF(COUNTIF(Precios!$G:$G,N2779)=0,"⚠ No coincide con Precios","OK"))</f>
        <v/>
      </c>
    </row>
    <row r="2780" spans="3:15" x14ac:dyDescent="0.2">
      <c r="C2780" s="9" cm="1">
        <f t="array" ref="C2780">IFERROR(_xlfn.XLOOKUP(B2780,Personal!$A:$A,Personal!$D:$D,""),"")</f>
        <v>0</v>
      </c>
      <c r="D2780" s="9" cm="1">
        <f t="array" ref="D2780">IFERROR(_xlfn.XLOOKUP(B2780,Personal!$A:$A,Personal!$C:$C,""),"")</f>
        <v>0</v>
      </c>
      <c r="E2780" s="9" t="str" cm="1">
        <f t="array" ref="E2780">IFERROR(_xlfn.XLOOKUP(D2780,Locales!$A:$A,Locales!$B:$B,""),"")</f>
        <v/>
      </c>
      <c r="F2780" s="9" cm="1">
        <f t="array" ref="F2780">IFERROR(_xlfn.XLOOKUP(B2780,Personal!$A:$A,Personal!$F:$F,""),"")</f>
        <v>0</v>
      </c>
      <c r="I2780" s="10" cm="1">
        <f t="array" ref="I2780">IFERROR(INDEX(Precios!$D:$F,MATCH(N2780, Precios!$G:$G, 0),CHOOSE(MATCH(H2780, {"SML";"XL";"XXL"}, 0), 1, 2, 3)), 0)</f>
        <v>0</v>
      </c>
      <c r="K2780" s="10">
        <f t="shared" si="94"/>
        <v>0</v>
      </c>
      <c r="N2780" s="9" t="str">
        <f t="shared" si="95"/>
        <v/>
      </c>
      <c r="O2780" s="9" t="str">
        <f>IF(N2780="","",IF(COUNTIF(Precios!$G:$G,N2780)=0,"⚠ No coincide con Precios","OK"))</f>
        <v/>
      </c>
    </row>
    <row r="2781" spans="3:15" x14ac:dyDescent="0.2">
      <c r="C2781" s="9" cm="1">
        <f t="array" ref="C2781">IFERROR(_xlfn.XLOOKUP(B2781,Personal!$A:$A,Personal!$D:$D,""),"")</f>
        <v>0</v>
      </c>
      <c r="D2781" s="9" cm="1">
        <f t="array" ref="D2781">IFERROR(_xlfn.XLOOKUP(B2781,Personal!$A:$A,Personal!$C:$C,""),"")</f>
        <v>0</v>
      </c>
      <c r="E2781" s="9" t="str" cm="1">
        <f t="array" ref="E2781">IFERROR(_xlfn.XLOOKUP(D2781,Locales!$A:$A,Locales!$B:$B,""),"")</f>
        <v/>
      </c>
      <c r="F2781" s="9" cm="1">
        <f t="array" ref="F2781">IFERROR(_xlfn.XLOOKUP(B2781,Personal!$A:$A,Personal!$F:$F,""),"")</f>
        <v>0</v>
      </c>
      <c r="I2781" s="10" cm="1">
        <f t="array" ref="I2781">IFERROR(INDEX(Precios!$D:$F,MATCH(N2781, Precios!$G:$G, 0),CHOOSE(MATCH(H2781, {"SML";"XL";"XXL"}, 0), 1, 2, 3)), 0)</f>
        <v>0</v>
      </c>
      <c r="K2781" s="10">
        <f t="shared" si="94"/>
        <v>0</v>
      </c>
      <c r="N2781" s="9" t="str">
        <f t="shared" si="95"/>
        <v/>
      </c>
      <c r="O2781" s="9" t="str">
        <f>IF(N2781="","",IF(COUNTIF(Precios!$G:$G,N2781)=0,"⚠ No coincide con Precios","OK"))</f>
        <v/>
      </c>
    </row>
    <row r="2782" spans="3:15" x14ac:dyDescent="0.2">
      <c r="C2782" s="9" cm="1">
        <f t="array" ref="C2782">IFERROR(_xlfn.XLOOKUP(B2782,Personal!$A:$A,Personal!$D:$D,""),"")</f>
        <v>0</v>
      </c>
      <c r="D2782" s="9" cm="1">
        <f t="array" ref="D2782">IFERROR(_xlfn.XLOOKUP(B2782,Personal!$A:$A,Personal!$C:$C,""),"")</f>
        <v>0</v>
      </c>
      <c r="E2782" s="9" t="str" cm="1">
        <f t="array" ref="E2782">IFERROR(_xlfn.XLOOKUP(D2782,Locales!$A:$A,Locales!$B:$B,""),"")</f>
        <v/>
      </c>
      <c r="F2782" s="9" cm="1">
        <f t="array" ref="F2782">IFERROR(_xlfn.XLOOKUP(B2782,Personal!$A:$A,Personal!$F:$F,""),"")</f>
        <v>0</v>
      </c>
      <c r="I2782" s="10" cm="1">
        <f t="array" ref="I2782">IFERROR(INDEX(Precios!$D:$F,MATCH(N2782, Precios!$G:$G, 0),CHOOSE(MATCH(H2782, {"SML";"XL";"XXL"}, 0), 1, 2, 3)), 0)</f>
        <v>0</v>
      </c>
      <c r="K2782" s="10">
        <f t="shared" si="94"/>
        <v>0</v>
      </c>
      <c r="N2782" s="9" t="str">
        <f t="shared" si="95"/>
        <v/>
      </c>
      <c r="O2782" s="9" t="str">
        <f>IF(N2782="","",IF(COUNTIF(Precios!$G:$G,N2782)=0,"⚠ No coincide con Precios","OK"))</f>
        <v/>
      </c>
    </row>
    <row r="2783" spans="3:15" x14ac:dyDescent="0.2">
      <c r="C2783" s="9" cm="1">
        <f t="array" ref="C2783">IFERROR(_xlfn.XLOOKUP(B2783,Personal!$A:$A,Personal!$D:$D,""),"")</f>
        <v>0</v>
      </c>
      <c r="D2783" s="9" cm="1">
        <f t="array" ref="D2783">IFERROR(_xlfn.XLOOKUP(B2783,Personal!$A:$A,Personal!$C:$C,""),"")</f>
        <v>0</v>
      </c>
      <c r="E2783" s="9" t="str" cm="1">
        <f t="array" ref="E2783">IFERROR(_xlfn.XLOOKUP(D2783,Locales!$A:$A,Locales!$B:$B,""),"")</f>
        <v/>
      </c>
      <c r="F2783" s="9" cm="1">
        <f t="array" ref="F2783">IFERROR(_xlfn.XLOOKUP(B2783,Personal!$A:$A,Personal!$F:$F,""),"")</f>
        <v>0</v>
      </c>
      <c r="I2783" s="10" cm="1">
        <f t="array" ref="I2783">IFERROR(INDEX(Precios!$D:$F,MATCH(N2783, Precios!$G:$G, 0),CHOOSE(MATCH(H2783, {"SML";"XL";"XXL"}, 0), 1, 2, 3)), 0)</f>
        <v>0</v>
      </c>
      <c r="K2783" s="10">
        <f t="shared" si="94"/>
        <v>0</v>
      </c>
      <c r="N2783" s="9" t="str">
        <f t="shared" si="95"/>
        <v/>
      </c>
      <c r="O2783" s="9" t="str">
        <f>IF(N2783="","",IF(COUNTIF(Precios!$G:$G,N2783)=0,"⚠ No coincide con Precios","OK"))</f>
        <v/>
      </c>
    </row>
    <row r="2784" spans="3:15" x14ac:dyDescent="0.2">
      <c r="C2784" s="9" cm="1">
        <f t="array" ref="C2784">IFERROR(_xlfn.XLOOKUP(B2784,Personal!$A:$A,Personal!$D:$D,""),"")</f>
        <v>0</v>
      </c>
      <c r="D2784" s="9" cm="1">
        <f t="array" ref="D2784">IFERROR(_xlfn.XLOOKUP(B2784,Personal!$A:$A,Personal!$C:$C,""),"")</f>
        <v>0</v>
      </c>
      <c r="E2784" s="9" t="str" cm="1">
        <f t="array" ref="E2784">IFERROR(_xlfn.XLOOKUP(D2784,Locales!$A:$A,Locales!$B:$B,""),"")</f>
        <v/>
      </c>
      <c r="F2784" s="9" cm="1">
        <f t="array" ref="F2784">IFERROR(_xlfn.XLOOKUP(B2784,Personal!$A:$A,Personal!$F:$F,""),"")</f>
        <v>0</v>
      </c>
      <c r="I2784" s="10" cm="1">
        <f t="array" ref="I2784">IFERROR(INDEX(Precios!$D:$F,MATCH(N2784, Precios!$G:$G, 0),CHOOSE(MATCH(H2784, {"SML";"XL";"XXL"}, 0), 1, 2, 3)), 0)</f>
        <v>0</v>
      </c>
      <c r="K2784" s="10">
        <f t="shared" si="94"/>
        <v>0</v>
      </c>
      <c r="N2784" s="9" t="str">
        <f t="shared" si="95"/>
        <v/>
      </c>
      <c r="O2784" s="9" t="str">
        <f>IF(N2784="","",IF(COUNTIF(Precios!$G:$G,N2784)=0,"⚠ No coincide con Precios","OK"))</f>
        <v/>
      </c>
    </row>
    <row r="2785" spans="3:15" x14ac:dyDescent="0.2">
      <c r="C2785" s="9" cm="1">
        <f t="array" ref="C2785">IFERROR(_xlfn.XLOOKUP(B2785,Personal!$A:$A,Personal!$D:$D,""),"")</f>
        <v>0</v>
      </c>
      <c r="D2785" s="9" cm="1">
        <f t="array" ref="D2785">IFERROR(_xlfn.XLOOKUP(B2785,Personal!$A:$A,Personal!$C:$C,""),"")</f>
        <v>0</v>
      </c>
      <c r="E2785" s="9" t="str" cm="1">
        <f t="array" ref="E2785">IFERROR(_xlfn.XLOOKUP(D2785,Locales!$A:$A,Locales!$B:$B,""),"")</f>
        <v/>
      </c>
      <c r="F2785" s="9" cm="1">
        <f t="array" ref="F2785">IFERROR(_xlfn.XLOOKUP(B2785,Personal!$A:$A,Personal!$F:$F,""),"")</f>
        <v>0</v>
      </c>
      <c r="I2785" s="10" cm="1">
        <f t="array" ref="I2785">IFERROR(INDEX(Precios!$D:$F,MATCH(N2785, Precios!$G:$G, 0),CHOOSE(MATCH(H2785, {"SML";"XL";"XXL"}, 0), 1, 2, 3)), 0)</f>
        <v>0</v>
      </c>
      <c r="K2785" s="10">
        <f t="shared" si="94"/>
        <v>0</v>
      </c>
      <c r="N2785" s="9" t="str">
        <f t="shared" si="95"/>
        <v/>
      </c>
      <c r="O2785" s="9" t="str">
        <f>IF(N2785="","",IF(COUNTIF(Precios!$G:$G,N2785)=0,"⚠ No coincide con Precios","OK"))</f>
        <v/>
      </c>
    </row>
    <row r="2786" spans="3:15" x14ac:dyDescent="0.2">
      <c r="C2786" s="9" cm="1">
        <f t="array" ref="C2786">IFERROR(_xlfn.XLOOKUP(B2786,Personal!$A:$A,Personal!$D:$D,""),"")</f>
        <v>0</v>
      </c>
      <c r="D2786" s="9" cm="1">
        <f t="array" ref="D2786">IFERROR(_xlfn.XLOOKUP(B2786,Personal!$A:$A,Personal!$C:$C,""),"")</f>
        <v>0</v>
      </c>
      <c r="E2786" s="9" t="str" cm="1">
        <f t="array" ref="E2786">IFERROR(_xlfn.XLOOKUP(D2786,Locales!$A:$A,Locales!$B:$B,""),"")</f>
        <v/>
      </c>
      <c r="F2786" s="9" cm="1">
        <f t="array" ref="F2786">IFERROR(_xlfn.XLOOKUP(B2786,Personal!$A:$A,Personal!$F:$F,""),"")</f>
        <v>0</v>
      </c>
      <c r="I2786" s="10" cm="1">
        <f t="array" ref="I2786">IFERROR(INDEX(Precios!$D:$F,MATCH(N2786, Precios!$G:$G, 0),CHOOSE(MATCH(H2786, {"SML";"XL";"XXL"}, 0), 1, 2, 3)), 0)</f>
        <v>0</v>
      </c>
      <c r="K2786" s="10">
        <f t="shared" si="94"/>
        <v>0</v>
      </c>
      <c r="N2786" s="9" t="str">
        <f t="shared" si="95"/>
        <v/>
      </c>
      <c r="O2786" s="9" t="str">
        <f>IF(N2786="","",IF(COUNTIF(Precios!$G:$G,N2786)=0,"⚠ No coincide con Precios","OK"))</f>
        <v/>
      </c>
    </row>
    <row r="2787" spans="3:15" x14ac:dyDescent="0.2">
      <c r="C2787" s="9" cm="1">
        <f t="array" ref="C2787">IFERROR(_xlfn.XLOOKUP(B2787,Personal!$A:$A,Personal!$D:$D,""),"")</f>
        <v>0</v>
      </c>
      <c r="D2787" s="9" cm="1">
        <f t="array" ref="D2787">IFERROR(_xlfn.XLOOKUP(B2787,Personal!$A:$A,Personal!$C:$C,""),"")</f>
        <v>0</v>
      </c>
      <c r="E2787" s="9" t="str" cm="1">
        <f t="array" ref="E2787">IFERROR(_xlfn.XLOOKUP(D2787,Locales!$A:$A,Locales!$B:$B,""),"")</f>
        <v/>
      </c>
      <c r="F2787" s="9" cm="1">
        <f t="array" ref="F2787">IFERROR(_xlfn.XLOOKUP(B2787,Personal!$A:$A,Personal!$F:$F,""),"")</f>
        <v>0</v>
      </c>
      <c r="I2787" s="10" cm="1">
        <f t="array" ref="I2787">IFERROR(INDEX(Precios!$D:$F,MATCH(N2787, Precios!$G:$G, 0),CHOOSE(MATCH(H2787, {"SML";"XL";"XXL"}, 0), 1, 2, 3)), 0)</f>
        <v>0</v>
      </c>
      <c r="K2787" s="10">
        <f t="shared" si="94"/>
        <v>0</v>
      </c>
      <c r="N2787" s="9" t="str">
        <f t="shared" si="95"/>
        <v/>
      </c>
      <c r="O2787" s="9" t="str">
        <f>IF(N2787="","",IF(COUNTIF(Precios!$G:$G,N2787)=0,"⚠ No coincide con Precios","OK"))</f>
        <v/>
      </c>
    </row>
    <row r="2788" spans="3:15" x14ac:dyDescent="0.2">
      <c r="C2788" s="9" cm="1">
        <f t="array" ref="C2788">IFERROR(_xlfn.XLOOKUP(B2788,Personal!$A:$A,Personal!$D:$D,""),"")</f>
        <v>0</v>
      </c>
      <c r="D2788" s="9" cm="1">
        <f t="array" ref="D2788">IFERROR(_xlfn.XLOOKUP(B2788,Personal!$A:$A,Personal!$C:$C,""),"")</f>
        <v>0</v>
      </c>
      <c r="E2788" s="9" t="str" cm="1">
        <f t="array" ref="E2788">IFERROR(_xlfn.XLOOKUP(D2788,Locales!$A:$A,Locales!$B:$B,""),"")</f>
        <v/>
      </c>
      <c r="F2788" s="9" cm="1">
        <f t="array" ref="F2788">IFERROR(_xlfn.XLOOKUP(B2788,Personal!$A:$A,Personal!$F:$F,""),"")</f>
        <v>0</v>
      </c>
      <c r="I2788" s="10" cm="1">
        <f t="array" ref="I2788">IFERROR(INDEX(Precios!$D:$F,MATCH(N2788, Precios!$G:$G, 0),CHOOSE(MATCH(H2788, {"SML";"XL";"XXL"}, 0), 1, 2, 3)), 0)</f>
        <v>0</v>
      </c>
      <c r="K2788" s="10">
        <f t="shared" si="94"/>
        <v>0</v>
      </c>
      <c r="N2788" s="9" t="str">
        <f t="shared" si="95"/>
        <v/>
      </c>
      <c r="O2788" s="9" t="str">
        <f>IF(N2788="","",IF(COUNTIF(Precios!$G:$G,N2788)=0,"⚠ No coincide con Precios","OK"))</f>
        <v/>
      </c>
    </row>
    <row r="2789" spans="3:15" x14ac:dyDescent="0.2">
      <c r="C2789" s="9" cm="1">
        <f t="array" ref="C2789">IFERROR(_xlfn.XLOOKUP(B2789,Personal!$A:$A,Personal!$D:$D,""),"")</f>
        <v>0</v>
      </c>
      <c r="D2789" s="9" cm="1">
        <f t="array" ref="D2789">IFERROR(_xlfn.XLOOKUP(B2789,Personal!$A:$A,Personal!$C:$C,""),"")</f>
        <v>0</v>
      </c>
      <c r="E2789" s="9" t="str" cm="1">
        <f t="array" ref="E2789">IFERROR(_xlfn.XLOOKUP(D2789,Locales!$A:$A,Locales!$B:$B,""),"")</f>
        <v/>
      </c>
      <c r="F2789" s="9" cm="1">
        <f t="array" ref="F2789">IFERROR(_xlfn.XLOOKUP(B2789,Personal!$A:$A,Personal!$F:$F,""),"")</f>
        <v>0</v>
      </c>
      <c r="I2789" s="10" cm="1">
        <f t="array" ref="I2789">IFERROR(INDEX(Precios!$D:$F,MATCH(N2789, Precios!$G:$G, 0),CHOOSE(MATCH(H2789, {"SML";"XL";"XXL"}, 0), 1, 2, 3)), 0)</f>
        <v>0</v>
      </c>
      <c r="K2789" s="10">
        <f t="shared" si="94"/>
        <v>0</v>
      </c>
      <c r="N2789" s="9" t="str">
        <f t="shared" si="95"/>
        <v/>
      </c>
      <c r="O2789" s="9" t="str">
        <f>IF(N2789="","",IF(COUNTIF(Precios!$G:$G,N2789)=0,"⚠ No coincide con Precios","OK"))</f>
        <v/>
      </c>
    </row>
    <row r="2790" spans="3:15" x14ac:dyDescent="0.2">
      <c r="C2790" s="9" cm="1">
        <f t="array" ref="C2790">IFERROR(_xlfn.XLOOKUP(B2790,Personal!$A:$A,Personal!$D:$D,""),"")</f>
        <v>0</v>
      </c>
      <c r="D2790" s="9" cm="1">
        <f t="array" ref="D2790">IFERROR(_xlfn.XLOOKUP(B2790,Personal!$A:$A,Personal!$C:$C,""),"")</f>
        <v>0</v>
      </c>
      <c r="E2790" s="9" t="str" cm="1">
        <f t="array" ref="E2790">IFERROR(_xlfn.XLOOKUP(D2790,Locales!$A:$A,Locales!$B:$B,""),"")</f>
        <v/>
      </c>
      <c r="F2790" s="9" cm="1">
        <f t="array" ref="F2790">IFERROR(_xlfn.XLOOKUP(B2790,Personal!$A:$A,Personal!$F:$F,""),"")</f>
        <v>0</v>
      </c>
      <c r="I2790" s="10" cm="1">
        <f t="array" ref="I2790">IFERROR(INDEX(Precios!$D:$F,MATCH(N2790, Precios!$G:$G, 0),CHOOSE(MATCH(H2790, {"SML";"XL";"XXL"}, 0), 1, 2, 3)), 0)</f>
        <v>0</v>
      </c>
      <c r="K2790" s="10">
        <f t="shared" si="94"/>
        <v>0</v>
      </c>
      <c r="N2790" s="9" t="str">
        <f t="shared" si="95"/>
        <v/>
      </c>
      <c r="O2790" s="9" t="str">
        <f>IF(N2790="","",IF(COUNTIF(Precios!$G:$G,N2790)=0,"⚠ No coincide con Precios","OK"))</f>
        <v/>
      </c>
    </row>
    <row r="2791" spans="3:15" x14ac:dyDescent="0.2">
      <c r="C2791" s="9" cm="1">
        <f t="array" ref="C2791">IFERROR(_xlfn.XLOOKUP(B2791,Personal!$A:$A,Personal!$D:$D,""),"")</f>
        <v>0</v>
      </c>
      <c r="D2791" s="9" cm="1">
        <f t="array" ref="D2791">IFERROR(_xlfn.XLOOKUP(B2791,Personal!$A:$A,Personal!$C:$C,""),"")</f>
        <v>0</v>
      </c>
      <c r="E2791" s="9" t="str" cm="1">
        <f t="array" ref="E2791">IFERROR(_xlfn.XLOOKUP(D2791,Locales!$A:$A,Locales!$B:$B,""),"")</f>
        <v/>
      </c>
      <c r="F2791" s="9" cm="1">
        <f t="array" ref="F2791">IFERROR(_xlfn.XLOOKUP(B2791,Personal!$A:$A,Personal!$F:$F,""),"")</f>
        <v>0</v>
      </c>
      <c r="I2791" s="10" cm="1">
        <f t="array" ref="I2791">IFERROR(INDEX(Precios!$D:$F,MATCH(N2791, Precios!$G:$G, 0),CHOOSE(MATCH(H2791, {"SML";"XL";"XXL"}, 0), 1, 2, 3)), 0)</f>
        <v>0</v>
      </c>
      <c r="K2791" s="10">
        <f t="shared" si="94"/>
        <v>0</v>
      </c>
      <c r="N2791" s="9" t="str">
        <f t="shared" si="95"/>
        <v/>
      </c>
      <c r="O2791" s="9" t="str">
        <f>IF(N2791="","",IF(COUNTIF(Precios!$G:$G,N2791)=0,"⚠ No coincide con Precios","OK"))</f>
        <v/>
      </c>
    </row>
    <row r="2792" spans="3:15" x14ac:dyDescent="0.2">
      <c r="C2792" s="9" cm="1">
        <f t="array" ref="C2792">IFERROR(_xlfn.XLOOKUP(B2792,Personal!$A:$A,Personal!$D:$D,""),"")</f>
        <v>0</v>
      </c>
      <c r="D2792" s="9" cm="1">
        <f t="array" ref="D2792">IFERROR(_xlfn.XLOOKUP(B2792,Personal!$A:$A,Personal!$C:$C,""),"")</f>
        <v>0</v>
      </c>
      <c r="E2792" s="9" t="str" cm="1">
        <f t="array" ref="E2792">IFERROR(_xlfn.XLOOKUP(D2792,Locales!$A:$A,Locales!$B:$B,""),"")</f>
        <v/>
      </c>
      <c r="F2792" s="9" cm="1">
        <f t="array" ref="F2792">IFERROR(_xlfn.XLOOKUP(B2792,Personal!$A:$A,Personal!$F:$F,""),"")</f>
        <v>0</v>
      </c>
      <c r="I2792" s="10" cm="1">
        <f t="array" ref="I2792">IFERROR(INDEX(Precios!$D:$F,MATCH(N2792, Precios!$G:$G, 0),CHOOSE(MATCH(H2792, {"SML";"XL";"XXL"}, 0), 1, 2, 3)), 0)</f>
        <v>0</v>
      </c>
      <c r="K2792" s="10">
        <f t="shared" si="94"/>
        <v>0</v>
      </c>
      <c r="N2792" s="9" t="str">
        <f t="shared" si="95"/>
        <v/>
      </c>
      <c r="O2792" s="9" t="str">
        <f>IF(N2792="","",IF(COUNTIF(Precios!$G:$G,N2792)=0,"⚠ No coincide con Precios","OK"))</f>
        <v/>
      </c>
    </row>
    <row r="2793" spans="3:15" x14ac:dyDescent="0.2">
      <c r="C2793" s="9" cm="1">
        <f t="array" ref="C2793">IFERROR(_xlfn.XLOOKUP(B2793,Personal!$A:$A,Personal!$D:$D,""),"")</f>
        <v>0</v>
      </c>
      <c r="D2793" s="9" cm="1">
        <f t="array" ref="D2793">IFERROR(_xlfn.XLOOKUP(B2793,Personal!$A:$A,Personal!$C:$C,""),"")</f>
        <v>0</v>
      </c>
      <c r="E2793" s="9" t="str" cm="1">
        <f t="array" ref="E2793">IFERROR(_xlfn.XLOOKUP(D2793,Locales!$A:$A,Locales!$B:$B,""),"")</f>
        <v/>
      </c>
      <c r="F2793" s="9" cm="1">
        <f t="array" ref="F2793">IFERROR(_xlfn.XLOOKUP(B2793,Personal!$A:$A,Personal!$F:$F,""),"")</f>
        <v>0</v>
      </c>
      <c r="I2793" s="10" cm="1">
        <f t="array" ref="I2793">IFERROR(INDEX(Precios!$D:$F,MATCH(N2793, Precios!$G:$G, 0),CHOOSE(MATCH(H2793, {"SML";"XL";"XXL"}, 0), 1, 2, 3)), 0)</f>
        <v>0</v>
      </c>
      <c r="K2793" s="10">
        <f t="shared" si="94"/>
        <v>0</v>
      </c>
      <c r="N2793" s="9" t="str">
        <f t="shared" si="95"/>
        <v/>
      </c>
      <c r="O2793" s="9" t="str">
        <f>IF(N2793="","",IF(COUNTIF(Precios!$G:$G,N2793)=0,"⚠ No coincide con Precios","OK"))</f>
        <v/>
      </c>
    </row>
    <row r="2794" spans="3:15" x14ac:dyDescent="0.2">
      <c r="C2794" s="9" cm="1">
        <f t="array" ref="C2794">IFERROR(_xlfn.XLOOKUP(B2794,Personal!$A:$A,Personal!$D:$D,""),"")</f>
        <v>0</v>
      </c>
      <c r="D2794" s="9" cm="1">
        <f t="array" ref="D2794">IFERROR(_xlfn.XLOOKUP(B2794,Personal!$A:$A,Personal!$C:$C,""),"")</f>
        <v>0</v>
      </c>
      <c r="E2794" s="9" t="str" cm="1">
        <f t="array" ref="E2794">IFERROR(_xlfn.XLOOKUP(D2794,Locales!$A:$A,Locales!$B:$B,""),"")</f>
        <v/>
      </c>
      <c r="F2794" s="9" cm="1">
        <f t="array" ref="F2794">IFERROR(_xlfn.XLOOKUP(B2794,Personal!$A:$A,Personal!$F:$F,""),"")</f>
        <v>0</v>
      </c>
      <c r="I2794" s="10" cm="1">
        <f t="array" ref="I2794">IFERROR(INDEX(Precios!$D:$F,MATCH(N2794, Precios!$G:$G, 0),CHOOSE(MATCH(H2794, {"SML";"XL";"XXL"}, 0), 1, 2, 3)), 0)</f>
        <v>0</v>
      </c>
      <c r="K2794" s="10">
        <f t="shared" si="94"/>
        <v>0</v>
      </c>
      <c r="N2794" s="9" t="str">
        <f t="shared" si="95"/>
        <v/>
      </c>
      <c r="O2794" s="9" t="str">
        <f>IF(N2794="","",IF(COUNTIF(Precios!$G:$G,N2794)=0,"⚠ No coincide con Precios","OK"))</f>
        <v/>
      </c>
    </row>
    <row r="2795" spans="3:15" x14ac:dyDescent="0.2">
      <c r="C2795" s="9" cm="1">
        <f t="array" ref="C2795">IFERROR(_xlfn.XLOOKUP(B2795,Personal!$A:$A,Personal!$D:$D,""),"")</f>
        <v>0</v>
      </c>
      <c r="D2795" s="9" cm="1">
        <f t="array" ref="D2795">IFERROR(_xlfn.XLOOKUP(B2795,Personal!$A:$A,Personal!$C:$C,""),"")</f>
        <v>0</v>
      </c>
      <c r="E2795" s="9" t="str" cm="1">
        <f t="array" ref="E2795">IFERROR(_xlfn.XLOOKUP(D2795,Locales!$A:$A,Locales!$B:$B,""),"")</f>
        <v/>
      </c>
      <c r="F2795" s="9" cm="1">
        <f t="array" ref="F2795">IFERROR(_xlfn.XLOOKUP(B2795,Personal!$A:$A,Personal!$F:$F,""),"")</f>
        <v>0</v>
      </c>
      <c r="I2795" s="10" cm="1">
        <f t="array" ref="I2795">IFERROR(INDEX(Precios!$D:$F,MATCH(N2795, Precios!$G:$G, 0),CHOOSE(MATCH(H2795, {"SML";"XL";"XXL"}, 0), 1, 2, 3)), 0)</f>
        <v>0</v>
      </c>
      <c r="K2795" s="10">
        <f t="shared" si="94"/>
        <v>0</v>
      </c>
      <c r="N2795" s="9" t="str">
        <f t="shared" si="95"/>
        <v/>
      </c>
      <c r="O2795" s="9" t="str">
        <f>IF(N2795="","",IF(COUNTIF(Precios!$G:$G,N2795)=0,"⚠ No coincide con Precios","OK"))</f>
        <v/>
      </c>
    </row>
    <row r="2796" spans="3:15" x14ac:dyDescent="0.2">
      <c r="C2796" s="9" cm="1">
        <f t="array" ref="C2796">IFERROR(_xlfn.XLOOKUP(B2796,Personal!$A:$A,Personal!$D:$D,""),"")</f>
        <v>0</v>
      </c>
      <c r="D2796" s="9" cm="1">
        <f t="array" ref="D2796">IFERROR(_xlfn.XLOOKUP(B2796,Personal!$A:$A,Personal!$C:$C,""),"")</f>
        <v>0</v>
      </c>
      <c r="E2796" s="9" t="str" cm="1">
        <f t="array" ref="E2796">IFERROR(_xlfn.XLOOKUP(D2796,Locales!$A:$A,Locales!$B:$B,""),"")</f>
        <v/>
      </c>
      <c r="F2796" s="9" cm="1">
        <f t="array" ref="F2796">IFERROR(_xlfn.XLOOKUP(B2796,Personal!$A:$A,Personal!$F:$F,""),"")</f>
        <v>0</v>
      </c>
      <c r="I2796" s="10" cm="1">
        <f t="array" ref="I2796">IFERROR(INDEX(Precios!$D:$F,MATCH(N2796, Precios!$G:$G, 0),CHOOSE(MATCH(H2796, {"SML";"XL";"XXL"}, 0), 1, 2, 3)), 0)</f>
        <v>0</v>
      </c>
      <c r="K2796" s="10">
        <f t="shared" si="94"/>
        <v>0</v>
      </c>
      <c r="N2796" s="9" t="str">
        <f t="shared" si="95"/>
        <v/>
      </c>
      <c r="O2796" s="9" t="str">
        <f>IF(N2796="","",IF(COUNTIF(Precios!$G:$G,N2796)=0,"⚠ No coincide con Precios","OK"))</f>
        <v/>
      </c>
    </row>
    <row r="2797" spans="3:15" x14ac:dyDescent="0.2">
      <c r="C2797" s="9" cm="1">
        <f t="array" ref="C2797">IFERROR(_xlfn.XLOOKUP(B2797,Personal!$A:$A,Personal!$D:$D,""),"")</f>
        <v>0</v>
      </c>
      <c r="D2797" s="9" cm="1">
        <f t="array" ref="D2797">IFERROR(_xlfn.XLOOKUP(B2797,Personal!$A:$A,Personal!$C:$C,""),"")</f>
        <v>0</v>
      </c>
      <c r="E2797" s="9" t="str" cm="1">
        <f t="array" ref="E2797">IFERROR(_xlfn.XLOOKUP(D2797,Locales!$A:$A,Locales!$B:$B,""),"")</f>
        <v/>
      </c>
      <c r="F2797" s="9" cm="1">
        <f t="array" ref="F2797">IFERROR(_xlfn.XLOOKUP(B2797,Personal!$A:$A,Personal!$F:$F,""),"")</f>
        <v>0</v>
      </c>
      <c r="I2797" s="10" cm="1">
        <f t="array" ref="I2797">IFERROR(INDEX(Precios!$D:$F,MATCH(N2797, Precios!$G:$G, 0),CHOOSE(MATCH(H2797, {"SML";"XL";"XXL"}, 0), 1, 2, 3)), 0)</f>
        <v>0</v>
      </c>
      <c r="K2797" s="10">
        <f t="shared" si="94"/>
        <v>0</v>
      </c>
      <c r="N2797" s="9" t="str">
        <f t="shared" si="95"/>
        <v/>
      </c>
      <c r="O2797" s="9" t="str">
        <f>IF(N2797="","",IF(COUNTIF(Precios!$G:$G,N2797)=0,"⚠ No coincide con Precios","OK"))</f>
        <v/>
      </c>
    </row>
    <row r="2798" spans="3:15" x14ac:dyDescent="0.2">
      <c r="C2798" s="9" cm="1">
        <f t="array" ref="C2798">IFERROR(_xlfn.XLOOKUP(B2798,Personal!$A:$A,Personal!$D:$D,""),"")</f>
        <v>0</v>
      </c>
      <c r="D2798" s="9" cm="1">
        <f t="array" ref="D2798">IFERROR(_xlfn.XLOOKUP(B2798,Personal!$A:$A,Personal!$C:$C,""),"")</f>
        <v>0</v>
      </c>
      <c r="E2798" s="9" t="str" cm="1">
        <f t="array" ref="E2798">IFERROR(_xlfn.XLOOKUP(D2798,Locales!$A:$A,Locales!$B:$B,""),"")</f>
        <v/>
      </c>
      <c r="F2798" s="9" cm="1">
        <f t="array" ref="F2798">IFERROR(_xlfn.XLOOKUP(B2798,Personal!$A:$A,Personal!$F:$F,""),"")</f>
        <v>0</v>
      </c>
      <c r="I2798" s="10" cm="1">
        <f t="array" ref="I2798">IFERROR(INDEX(Precios!$D:$F,MATCH(N2798, Precios!$G:$G, 0),CHOOSE(MATCH(H2798, {"SML";"XL";"XXL"}, 0), 1, 2, 3)), 0)</f>
        <v>0</v>
      </c>
      <c r="K2798" s="10">
        <f t="shared" si="94"/>
        <v>0</v>
      </c>
      <c r="N2798" s="9" t="str">
        <f t="shared" si="95"/>
        <v/>
      </c>
      <c r="O2798" s="9" t="str">
        <f>IF(N2798="","",IF(COUNTIF(Precios!$G:$G,N2798)=0,"⚠ No coincide con Precios","OK"))</f>
        <v/>
      </c>
    </row>
    <row r="2799" spans="3:15" x14ac:dyDescent="0.2">
      <c r="C2799" s="9" cm="1">
        <f t="array" ref="C2799">IFERROR(_xlfn.XLOOKUP(B2799,Personal!$A:$A,Personal!$D:$D,""),"")</f>
        <v>0</v>
      </c>
      <c r="D2799" s="9" cm="1">
        <f t="array" ref="D2799">IFERROR(_xlfn.XLOOKUP(B2799,Personal!$A:$A,Personal!$C:$C,""),"")</f>
        <v>0</v>
      </c>
      <c r="E2799" s="9" t="str" cm="1">
        <f t="array" ref="E2799">IFERROR(_xlfn.XLOOKUP(D2799,Locales!$A:$A,Locales!$B:$B,""),"")</f>
        <v/>
      </c>
      <c r="F2799" s="9" cm="1">
        <f t="array" ref="F2799">IFERROR(_xlfn.XLOOKUP(B2799,Personal!$A:$A,Personal!$F:$F,""),"")</f>
        <v>0</v>
      </c>
      <c r="I2799" s="10" cm="1">
        <f t="array" ref="I2799">IFERROR(INDEX(Precios!$D:$F,MATCH(N2799, Precios!$G:$G, 0),CHOOSE(MATCH(H2799, {"SML";"XL";"XXL"}, 0), 1, 2, 3)), 0)</f>
        <v>0</v>
      </c>
      <c r="K2799" s="10">
        <f t="shared" si="94"/>
        <v>0</v>
      </c>
      <c r="N2799" s="9" t="str">
        <f t="shared" si="95"/>
        <v/>
      </c>
      <c r="O2799" s="9" t="str">
        <f>IF(N2799="","",IF(COUNTIF(Precios!$G:$G,N2799)=0,"⚠ No coincide con Precios","OK"))</f>
        <v/>
      </c>
    </row>
    <row r="2800" spans="3:15" x14ac:dyDescent="0.2">
      <c r="C2800" s="9" cm="1">
        <f t="array" ref="C2800">IFERROR(_xlfn.XLOOKUP(B2800,Personal!$A:$A,Personal!$D:$D,""),"")</f>
        <v>0</v>
      </c>
      <c r="D2800" s="9" cm="1">
        <f t="array" ref="D2800">IFERROR(_xlfn.XLOOKUP(B2800,Personal!$A:$A,Personal!$C:$C,""),"")</f>
        <v>0</v>
      </c>
      <c r="E2800" s="9" t="str" cm="1">
        <f t="array" ref="E2800">IFERROR(_xlfn.XLOOKUP(D2800,Locales!$A:$A,Locales!$B:$B,""),"")</f>
        <v/>
      </c>
      <c r="F2800" s="9" cm="1">
        <f t="array" ref="F2800">IFERROR(_xlfn.XLOOKUP(B2800,Personal!$A:$A,Personal!$F:$F,""),"")</f>
        <v>0</v>
      </c>
      <c r="I2800" s="10" cm="1">
        <f t="array" ref="I2800">IFERROR(INDEX(Precios!$D:$F,MATCH(N2800, Precios!$G:$G, 0),CHOOSE(MATCH(H2800, {"SML";"XL";"XXL"}, 0), 1, 2, 3)), 0)</f>
        <v>0</v>
      </c>
      <c r="K2800" s="10">
        <f t="shared" si="94"/>
        <v>0</v>
      </c>
      <c r="N2800" s="9" t="str">
        <f t="shared" si="95"/>
        <v/>
      </c>
      <c r="O2800" s="9" t="str">
        <f>IF(N2800="","",IF(COUNTIF(Precios!$G:$G,N2800)=0,"⚠ No coincide con Precios","OK"))</f>
        <v/>
      </c>
    </row>
    <row r="2801" spans="3:15" x14ac:dyDescent="0.2">
      <c r="C2801" s="9" cm="1">
        <f t="array" ref="C2801">IFERROR(_xlfn.XLOOKUP(B2801,Personal!$A:$A,Personal!$D:$D,""),"")</f>
        <v>0</v>
      </c>
      <c r="D2801" s="9" cm="1">
        <f t="array" ref="D2801">IFERROR(_xlfn.XLOOKUP(B2801,Personal!$A:$A,Personal!$C:$C,""),"")</f>
        <v>0</v>
      </c>
      <c r="E2801" s="9" t="str" cm="1">
        <f t="array" ref="E2801">IFERROR(_xlfn.XLOOKUP(D2801,Locales!$A:$A,Locales!$B:$B,""),"")</f>
        <v/>
      </c>
      <c r="F2801" s="9" cm="1">
        <f t="array" ref="F2801">IFERROR(_xlfn.XLOOKUP(B2801,Personal!$A:$A,Personal!$F:$F,""),"")</f>
        <v>0</v>
      </c>
      <c r="I2801" s="10" cm="1">
        <f t="array" ref="I2801">IFERROR(INDEX(Precios!$D:$F,MATCH(N2801, Precios!$G:$G, 0),CHOOSE(MATCH(H2801, {"SML";"XL";"XXL"}, 0), 1, 2, 3)), 0)</f>
        <v>0</v>
      </c>
      <c r="K2801" s="10">
        <f t="shared" si="94"/>
        <v>0</v>
      </c>
      <c r="N2801" s="9" t="str">
        <f t="shared" si="95"/>
        <v/>
      </c>
      <c r="O2801" s="9" t="str">
        <f>IF(N2801="","",IF(COUNTIF(Precios!$G:$G,N2801)=0,"⚠ No coincide con Precios","OK"))</f>
        <v/>
      </c>
    </row>
    <row r="2802" spans="3:15" x14ac:dyDescent="0.2">
      <c r="C2802" s="9" cm="1">
        <f t="array" ref="C2802">IFERROR(_xlfn.XLOOKUP(B2802,Personal!$A:$A,Personal!$D:$D,""),"")</f>
        <v>0</v>
      </c>
      <c r="D2802" s="9" cm="1">
        <f t="array" ref="D2802">IFERROR(_xlfn.XLOOKUP(B2802,Personal!$A:$A,Personal!$C:$C,""),"")</f>
        <v>0</v>
      </c>
      <c r="E2802" s="9" t="str" cm="1">
        <f t="array" ref="E2802">IFERROR(_xlfn.XLOOKUP(D2802,Locales!$A:$A,Locales!$B:$B,""),"")</f>
        <v/>
      </c>
      <c r="F2802" s="9" cm="1">
        <f t="array" ref="F2802">IFERROR(_xlfn.XLOOKUP(B2802,Personal!$A:$A,Personal!$F:$F,""),"")</f>
        <v>0</v>
      </c>
      <c r="I2802" s="10" cm="1">
        <f t="array" ref="I2802">IFERROR(INDEX(Precios!$D:$F,MATCH(N2802, Precios!$G:$G, 0),CHOOSE(MATCH(H2802, {"SML";"XL";"XXL"}, 0), 1, 2, 3)), 0)</f>
        <v>0</v>
      </c>
      <c r="K2802" s="10">
        <f t="shared" si="94"/>
        <v>0</v>
      </c>
      <c r="N2802" s="9" t="str">
        <f t="shared" si="95"/>
        <v/>
      </c>
      <c r="O2802" s="9" t="str">
        <f>IF(N2802="","",IF(COUNTIF(Precios!$G:$G,N2802)=0,"⚠ No coincide con Precios","OK"))</f>
        <v/>
      </c>
    </row>
    <row r="2803" spans="3:15" x14ac:dyDescent="0.2">
      <c r="C2803" s="9" cm="1">
        <f t="array" ref="C2803">IFERROR(_xlfn.XLOOKUP(B2803,Personal!$A:$A,Personal!$D:$D,""),"")</f>
        <v>0</v>
      </c>
      <c r="D2803" s="9" cm="1">
        <f t="array" ref="D2803">IFERROR(_xlfn.XLOOKUP(B2803,Personal!$A:$A,Personal!$C:$C,""),"")</f>
        <v>0</v>
      </c>
      <c r="E2803" s="9" t="str" cm="1">
        <f t="array" ref="E2803">IFERROR(_xlfn.XLOOKUP(D2803,Locales!$A:$A,Locales!$B:$B,""),"")</f>
        <v/>
      </c>
      <c r="F2803" s="9" cm="1">
        <f t="array" ref="F2803">IFERROR(_xlfn.XLOOKUP(B2803,Personal!$A:$A,Personal!$F:$F,""),"")</f>
        <v>0</v>
      </c>
      <c r="I2803" s="10" cm="1">
        <f t="array" ref="I2803">IFERROR(INDEX(Precios!$D:$F,MATCH(N2803, Precios!$G:$G, 0),CHOOSE(MATCH(H2803, {"SML";"XL";"XXL"}, 0), 1, 2, 3)), 0)</f>
        <v>0</v>
      </c>
      <c r="K2803" s="10">
        <f t="shared" si="94"/>
        <v>0</v>
      </c>
      <c r="N2803" s="9" t="str">
        <f t="shared" si="95"/>
        <v/>
      </c>
      <c r="O2803" s="9" t="str">
        <f>IF(N2803="","",IF(COUNTIF(Precios!$G:$G,N2803)=0,"⚠ No coincide con Precios","OK"))</f>
        <v/>
      </c>
    </row>
    <row r="2804" spans="3:15" x14ac:dyDescent="0.2">
      <c r="C2804" s="9" cm="1">
        <f t="array" ref="C2804">IFERROR(_xlfn.XLOOKUP(B2804,Personal!$A:$A,Personal!$D:$D,""),"")</f>
        <v>0</v>
      </c>
      <c r="D2804" s="9" cm="1">
        <f t="array" ref="D2804">IFERROR(_xlfn.XLOOKUP(B2804,Personal!$A:$A,Personal!$C:$C,""),"")</f>
        <v>0</v>
      </c>
      <c r="E2804" s="9" t="str" cm="1">
        <f t="array" ref="E2804">IFERROR(_xlfn.XLOOKUP(D2804,Locales!$A:$A,Locales!$B:$B,""),"")</f>
        <v/>
      </c>
      <c r="F2804" s="9" cm="1">
        <f t="array" ref="F2804">IFERROR(_xlfn.XLOOKUP(B2804,Personal!$A:$A,Personal!$F:$F,""),"")</f>
        <v>0</v>
      </c>
      <c r="I2804" s="10" cm="1">
        <f t="array" ref="I2804">IFERROR(INDEX(Precios!$D:$F,MATCH(N2804, Precios!$G:$G, 0),CHOOSE(MATCH(H2804, {"SML";"XL";"XXL"}, 0), 1, 2, 3)), 0)</f>
        <v>0</v>
      </c>
      <c r="K2804" s="10">
        <f t="shared" si="94"/>
        <v>0</v>
      </c>
      <c r="N2804" s="9" t="str">
        <f t="shared" si="95"/>
        <v/>
      </c>
      <c r="O2804" s="9" t="str">
        <f>IF(N2804="","",IF(COUNTIF(Precios!$G:$G,N2804)=0,"⚠ No coincide con Precios","OK"))</f>
        <v/>
      </c>
    </row>
    <row r="2805" spans="3:15" x14ac:dyDescent="0.2">
      <c r="C2805" s="9" cm="1">
        <f t="array" ref="C2805">IFERROR(_xlfn.XLOOKUP(B2805,Personal!$A:$A,Personal!$D:$D,""),"")</f>
        <v>0</v>
      </c>
      <c r="D2805" s="9" cm="1">
        <f t="array" ref="D2805">IFERROR(_xlfn.XLOOKUP(B2805,Personal!$A:$A,Personal!$C:$C,""),"")</f>
        <v>0</v>
      </c>
      <c r="E2805" s="9" t="str" cm="1">
        <f t="array" ref="E2805">IFERROR(_xlfn.XLOOKUP(D2805,Locales!$A:$A,Locales!$B:$B,""),"")</f>
        <v/>
      </c>
      <c r="F2805" s="9" cm="1">
        <f t="array" ref="F2805">IFERROR(_xlfn.XLOOKUP(B2805,Personal!$A:$A,Personal!$F:$F,""),"")</f>
        <v>0</v>
      </c>
      <c r="I2805" s="10" cm="1">
        <f t="array" ref="I2805">IFERROR(INDEX(Precios!$D:$F,MATCH(N2805, Precios!$G:$G, 0),CHOOSE(MATCH(H2805, {"SML";"XL";"XXL"}, 0), 1, 2, 3)), 0)</f>
        <v>0</v>
      </c>
      <c r="K2805" s="10">
        <f t="shared" si="94"/>
        <v>0</v>
      </c>
      <c r="N2805" s="9" t="str">
        <f t="shared" si="95"/>
        <v/>
      </c>
      <c r="O2805" s="9" t="str">
        <f>IF(N2805="","",IF(COUNTIF(Precios!$G:$G,N2805)=0,"⚠ No coincide con Precios","OK"))</f>
        <v/>
      </c>
    </row>
    <row r="2806" spans="3:15" x14ac:dyDescent="0.2">
      <c r="C2806" s="9" cm="1">
        <f t="array" ref="C2806">IFERROR(_xlfn.XLOOKUP(B2806,Personal!$A:$A,Personal!$D:$D,""),"")</f>
        <v>0</v>
      </c>
      <c r="D2806" s="9" cm="1">
        <f t="array" ref="D2806">IFERROR(_xlfn.XLOOKUP(B2806,Personal!$A:$A,Personal!$C:$C,""),"")</f>
        <v>0</v>
      </c>
      <c r="E2806" s="9" t="str" cm="1">
        <f t="array" ref="E2806">IFERROR(_xlfn.XLOOKUP(D2806,Locales!$A:$A,Locales!$B:$B,""),"")</f>
        <v/>
      </c>
      <c r="F2806" s="9" cm="1">
        <f t="array" ref="F2806">IFERROR(_xlfn.XLOOKUP(B2806,Personal!$A:$A,Personal!$F:$F,""),"")</f>
        <v>0</v>
      </c>
      <c r="I2806" s="10" cm="1">
        <f t="array" ref="I2806">IFERROR(INDEX(Precios!$D:$F,MATCH(N2806, Precios!$G:$G, 0),CHOOSE(MATCH(H2806, {"SML";"XL";"XXL"}, 0), 1, 2, 3)), 0)</f>
        <v>0</v>
      </c>
      <c r="K2806" s="10">
        <f t="shared" si="94"/>
        <v>0</v>
      </c>
      <c r="N2806" s="9" t="str">
        <f t="shared" si="95"/>
        <v/>
      </c>
      <c r="O2806" s="9" t="str">
        <f>IF(N2806="","",IF(COUNTIF(Precios!$G:$G,N2806)=0,"⚠ No coincide con Precios","OK"))</f>
        <v/>
      </c>
    </row>
    <row r="2807" spans="3:15" x14ac:dyDescent="0.2">
      <c r="C2807" s="9" cm="1">
        <f t="array" ref="C2807">IFERROR(_xlfn.XLOOKUP(B2807,Personal!$A:$A,Personal!$D:$D,""),"")</f>
        <v>0</v>
      </c>
      <c r="D2807" s="9" cm="1">
        <f t="array" ref="D2807">IFERROR(_xlfn.XLOOKUP(B2807,Personal!$A:$A,Personal!$C:$C,""),"")</f>
        <v>0</v>
      </c>
      <c r="E2807" s="9" t="str" cm="1">
        <f t="array" ref="E2807">IFERROR(_xlfn.XLOOKUP(D2807,Locales!$A:$A,Locales!$B:$B,""),"")</f>
        <v/>
      </c>
      <c r="F2807" s="9" cm="1">
        <f t="array" ref="F2807">IFERROR(_xlfn.XLOOKUP(B2807,Personal!$A:$A,Personal!$F:$F,""),"")</f>
        <v>0</v>
      </c>
      <c r="I2807" s="10" cm="1">
        <f t="array" ref="I2807">IFERROR(INDEX(Precios!$D:$F,MATCH(N2807, Precios!$G:$G, 0),CHOOSE(MATCH(H2807, {"SML";"XL";"XXL"}, 0), 1, 2, 3)), 0)</f>
        <v>0</v>
      </c>
      <c r="K2807" s="10">
        <f t="shared" si="94"/>
        <v>0</v>
      </c>
      <c r="N2807" s="9" t="str">
        <f t="shared" si="95"/>
        <v/>
      </c>
      <c r="O2807" s="9" t="str">
        <f>IF(N2807="","",IF(COUNTIF(Precios!$G:$G,N2807)=0,"⚠ No coincide con Precios","OK"))</f>
        <v/>
      </c>
    </row>
    <row r="2808" spans="3:15" x14ac:dyDescent="0.2">
      <c r="C2808" s="9" cm="1">
        <f t="array" ref="C2808">IFERROR(_xlfn.XLOOKUP(B2808,Personal!$A:$A,Personal!$D:$D,""),"")</f>
        <v>0</v>
      </c>
      <c r="D2808" s="9" cm="1">
        <f t="array" ref="D2808">IFERROR(_xlfn.XLOOKUP(B2808,Personal!$A:$A,Personal!$C:$C,""),"")</f>
        <v>0</v>
      </c>
      <c r="E2808" s="9" t="str" cm="1">
        <f t="array" ref="E2808">IFERROR(_xlfn.XLOOKUP(D2808,Locales!$A:$A,Locales!$B:$B,""),"")</f>
        <v/>
      </c>
      <c r="F2808" s="9" cm="1">
        <f t="array" ref="F2808">IFERROR(_xlfn.XLOOKUP(B2808,Personal!$A:$A,Personal!$F:$F,""),"")</f>
        <v>0</v>
      </c>
      <c r="I2808" s="10" cm="1">
        <f t="array" ref="I2808">IFERROR(INDEX(Precios!$D:$F,MATCH(N2808, Precios!$G:$G, 0),CHOOSE(MATCH(H2808, {"SML";"XL";"XXL"}, 0), 1, 2, 3)), 0)</f>
        <v>0</v>
      </c>
      <c r="K2808" s="10">
        <f t="shared" si="94"/>
        <v>0</v>
      </c>
      <c r="N2808" s="9" t="str">
        <f t="shared" si="95"/>
        <v/>
      </c>
      <c r="O2808" s="9" t="str">
        <f>IF(N2808="","",IF(COUNTIF(Precios!$G:$G,N2808)=0,"⚠ No coincide con Precios","OK"))</f>
        <v/>
      </c>
    </row>
    <row r="2809" spans="3:15" x14ac:dyDescent="0.2">
      <c r="C2809" s="9" cm="1">
        <f t="array" ref="C2809">IFERROR(_xlfn.XLOOKUP(B2809,Personal!$A:$A,Personal!$D:$D,""),"")</f>
        <v>0</v>
      </c>
      <c r="D2809" s="9" cm="1">
        <f t="array" ref="D2809">IFERROR(_xlfn.XLOOKUP(B2809,Personal!$A:$A,Personal!$C:$C,""),"")</f>
        <v>0</v>
      </c>
      <c r="E2809" s="9" t="str" cm="1">
        <f t="array" ref="E2809">IFERROR(_xlfn.XLOOKUP(D2809,Locales!$A:$A,Locales!$B:$B,""),"")</f>
        <v/>
      </c>
      <c r="F2809" s="9" cm="1">
        <f t="array" ref="F2809">IFERROR(_xlfn.XLOOKUP(B2809,Personal!$A:$A,Personal!$F:$F,""),"")</f>
        <v>0</v>
      </c>
      <c r="I2809" s="10" cm="1">
        <f t="array" ref="I2809">IFERROR(INDEX(Precios!$D:$F,MATCH(N2809, Precios!$G:$G, 0),CHOOSE(MATCH(H2809, {"SML";"XL";"XXL"}, 0), 1, 2, 3)), 0)</f>
        <v>0</v>
      </c>
      <c r="K2809" s="10">
        <f t="shared" si="94"/>
        <v>0</v>
      </c>
      <c r="N2809" s="9" t="str">
        <f t="shared" si="95"/>
        <v/>
      </c>
      <c r="O2809" s="9" t="str">
        <f>IF(N2809="","",IF(COUNTIF(Precios!$G:$G,N2809)=0,"⚠ No coincide con Precios","OK"))</f>
        <v/>
      </c>
    </row>
    <row r="2810" spans="3:15" x14ac:dyDescent="0.2">
      <c r="C2810" s="9" cm="1">
        <f t="array" ref="C2810">IFERROR(_xlfn.XLOOKUP(B2810,Personal!$A:$A,Personal!$D:$D,""),"")</f>
        <v>0</v>
      </c>
      <c r="D2810" s="9" cm="1">
        <f t="array" ref="D2810">IFERROR(_xlfn.XLOOKUP(B2810,Personal!$A:$A,Personal!$C:$C,""),"")</f>
        <v>0</v>
      </c>
      <c r="E2810" s="9" t="str" cm="1">
        <f t="array" ref="E2810">IFERROR(_xlfn.XLOOKUP(D2810,Locales!$A:$A,Locales!$B:$B,""),"")</f>
        <v/>
      </c>
      <c r="F2810" s="9" cm="1">
        <f t="array" ref="F2810">IFERROR(_xlfn.XLOOKUP(B2810,Personal!$A:$A,Personal!$F:$F,""),"")</f>
        <v>0</v>
      </c>
      <c r="I2810" s="10" cm="1">
        <f t="array" ref="I2810">IFERROR(INDEX(Precios!$D:$F,MATCH(N2810, Precios!$G:$G, 0),CHOOSE(MATCH(H2810, {"SML";"XL";"XXL"}, 0), 1, 2, 3)), 0)</f>
        <v>0</v>
      </c>
      <c r="K2810" s="10">
        <f t="shared" si="94"/>
        <v>0</v>
      </c>
      <c r="N2810" s="9" t="str">
        <f t="shared" si="95"/>
        <v/>
      </c>
      <c r="O2810" s="9" t="str">
        <f>IF(N2810="","",IF(COUNTIF(Precios!$G:$G,N2810)=0,"⚠ No coincide con Precios","OK"))</f>
        <v/>
      </c>
    </row>
    <row r="2811" spans="3:15" x14ac:dyDescent="0.2">
      <c r="C2811" s="9" cm="1">
        <f t="array" ref="C2811">IFERROR(_xlfn.XLOOKUP(B2811,Personal!$A:$A,Personal!$D:$D,""),"")</f>
        <v>0</v>
      </c>
      <c r="D2811" s="9" cm="1">
        <f t="array" ref="D2811">IFERROR(_xlfn.XLOOKUP(B2811,Personal!$A:$A,Personal!$C:$C,""),"")</f>
        <v>0</v>
      </c>
      <c r="E2811" s="9" t="str" cm="1">
        <f t="array" ref="E2811">IFERROR(_xlfn.XLOOKUP(D2811,Locales!$A:$A,Locales!$B:$B,""),"")</f>
        <v/>
      </c>
      <c r="F2811" s="9" cm="1">
        <f t="array" ref="F2811">IFERROR(_xlfn.XLOOKUP(B2811,Personal!$A:$A,Personal!$F:$F,""),"")</f>
        <v>0</v>
      </c>
      <c r="I2811" s="10" cm="1">
        <f t="array" ref="I2811">IFERROR(INDEX(Precios!$D:$F,MATCH(N2811, Precios!$G:$G, 0),CHOOSE(MATCH(H2811, {"SML";"XL";"XXL"}, 0), 1, 2, 3)), 0)</f>
        <v>0</v>
      </c>
      <c r="K2811" s="10">
        <f t="shared" si="94"/>
        <v>0</v>
      </c>
      <c r="N2811" s="9" t="str">
        <f t="shared" si="95"/>
        <v/>
      </c>
      <c r="O2811" s="9" t="str">
        <f>IF(N2811="","",IF(COUNTIF(Precios!$G:$G,N2811)=0,"⚠ No coincide con Precios","OK"))</f>
        <v/>
      </c>
    </row>
    <row r="2812" spans="3:15" x14ac:dyDescent="0.2">
      <c r="C2812" s="9" cm="1">
        <f t="array" ref="C2812">IFERROR(_xlfn.XLOOKUP(B2812,Personal!$A:$A,Personal!$D:$D,""),"")</f>
        <v>0</v>
      </c>
      <c r="D2812" s="9" cm="1">
        <f t="array" ref="D2812">IFERROR(_xlfn.XLOOKUP(B2812,Personal!$A:$A,Personal!$C:$C,""),"")</f>
        <v>0</v>
      </c>
      <c r="E2812" s="9" t="str" cm="1">
        <f t="array" ref="E2812">IFERROR(_xlfn.XLOOKUP(D2812,Locales!$A:$A,Locales!$B:$B,""),"")</f>
        <v/>
      </c>
      <c r="F2812" s="9" cm="1">
        <f t="array" ref="F2812">IFERROR(_xlfn.XLOOKUP(B2812,Personal!$A:$A,Personal!$F:$F,""),"")</f>
        <v>0</v>
      </c>
      <c r="I2812" s="10" cm="1">
        <f t="array" ref="I2812">IFERROR(INDEX(Precios!$D:$F,MATCH(N2812, Precios!$G:$G, 0),CHOOSE(MATCH(H2812, {"SML";"XL";"XXL"}, 0), 1, 2, 3)), 0)</f>
        <v>0</v>
      </c>
      <c r="K2812" s="10">
        <f t="shared" si="94"/>
        <v>0</v>
      </c>
      <c r="N2812" s="9" t="str">
        <f t="shared" si="95"/>
        <v/>
      </c>
      <c r="O2812" s="9" t="str">
        <f>IF(N2812="","",IF(COUNTIF(Precios!$G:$G,N2812)=0,"⚠ No coincide con Precios","OK"))</f>
        <v/>
      </c>
    </row>
    <row r="2813" spans="3:15" x14ac:dyDescent="0.2">
      <c r="C2813" s="9" cm="1">
        <f t="array" ref="C2813">IFERROR(_xlfn.XLOOKUP(B2813,Personal!$A:$A,Personal!$D:$D,""),"")</f>
        <v>0</v>
      </c>
      <c r="D2813" s="9" cm="1">
        <f t="array" ref="D2813">IFERROR(_xlfn.XLOOKUP(B2813,Personal!$A:$A,Personal!$C:$C,""),"")</f>
        <v>0</v>
      </c>
      <c r="E2813" s="9" t="str" cm="1">
        <f t="array" ref="E2813">IFERROR(_xlfn.XLOOKUP(D2813,Locales!$A:$A,Locales!$B:$B,""),"")</f>
        <v/>
      </c>
      <c r="F2813" s="9" cm="1">
        <f t="array" ref="F2813">IFERROR(_xlfn.XLOOKUP(B2813,Personal!$A:$A,Personal!$F:$F,""),"")</f>
        <v>0</v>
      </c>
      <c r="I2813" s="10" cm="1">
        <f t="array" ref="I2813">IFERROR(INDEX(Precios!$D:$F,MATCH(N2813, Precios!$G:$G, 0),CHOOSE(MATCH(H2813, {"SML";"XL";"XXL"}, 0), 1, 2, 3)), 0)</f>
        <v>0</v>
      </c>
      <c r="K2813" s="10">
        <f t="shared" si="94"/>
        <v>0</v>
      </c>
      <c r="N2813" s="9" t="str">
        <f t="shared" si="95"/>
        <v/>
      </c>
      <c r="O2813" s="9" t="str">
        <f>IF(N2813="","",IF(COUNTIF(Precios!$G:$G,N2813)=0,"⚠ No coincide con Precios","OK"))</f>
        <v/>
      </c>
    </row>
    <row r="2814" spans="3:15" x14ac:dyDescent="0.2">
      <c r="C2814" s="9" cm="1">
        <f t="array" ref="C2814">IFERROR(_xlfn.XLOOKUP(B2814,Personal!$A:$A,Personal!$D:$D,""),"")</f>
        <v>0</v>
      </c>
      <c r="D2814" s="9" cm="1">
        <f t="array" ref="D2814">IFERROR(_xlfn.XLOOKUP(B2814,Personal!$A:$A,Personal!$C:$C,""),"")</f>
        <v>0</v>
      </c>
      <c r="E2814" s="9" t="str" cm="1">
        <f t="array" ref="E2814">IFERROR(_xlfn.XLOOKUP(D2814,Locales!$A:$A,Locales!$B:$B,""),"")</f>
        <v/>
      </c>
      <c r="F2814" s="9" cm="1">
        <f t="array" ref="F2814">IFERROR(_xlfn.XLOOKUP(B2814,Personal!$A:$A,Personal!$F:$F,""),"")</f>
        <v>0</v>
      </c>
      <c r="I2814" s="10" cm="1">
        <f t="array" ref="I2814">IFERROR(INDEX(Precios!$D:$F,MATCH(N2814, Precios!$G:$G, 0),CHOOSE(MATCH(H2814, {"SML";"XL";"XXL"}, 0), 1, 2, 3)), 0)</f>
        <v>0</v>
      </c>
      <c r="K2814" s="10">
        <f t="shared" si="94"/>
        <v>0</v>
      </c>
      <c r="N2814" s="9" t="str">
        <f t="shared" si="95"/>
        <v/>
      </c>
      <c r="O2814" s="9" t="str">
        <f>IF(N2814="","",IF(COUNTIF(Precios!$G:$G,N2814)=0,"⚠ No coincide con Precios","OK"))</f>
        <v/>
      </c>
    </row>
    <row r="2815" spans="3:15" x14ac:dyDescent="0.2">
      <c r="C2815" s="9" cm="1">
        <f t="array" ref="C2815">IFERROR(_xlfn.XLOOKUP(B2815,Personal!$A:$A,Personal!$D:$D,""),"")</f>
        <v>0</v>
      </c>
      <c r="D2815" s="9" cm="1">
        <f t="array" ref="D2815">IFERROR(_xlfn.XLOOKUP(B2815,Personal!$A:$A,Personal!$C:$C,""),"")</f>
        <v>0</v>
      </c>
      <c r="E2815" s="9" t="str" cm="1">
        <f t="array" ref="E2815">IFERROR(_xlfn.XLOOKUP(D2815,Locales!$A:$A,Locales!$B:$B,""),"")</f>
        <v/>
      </c>
      <c r="F2815" s="9" cm="1">
        <f t="array" ref="F2815">IFERROR(_xlfn.XLOOKUP(B2815,Personal!$A:$A,Personal!$F:$F,""),"")</f>
        <v>0</v>
      </c>
      <c r="I2815" s="10" cm="1">
        <f t="array" ref="I2815">IFERROR(INDEX(Precios!$D:$F,MATCH(N2815, Precios!$G:$G, 0),CHOOSE(MATCH(H2815, {"SML";"XL";"XXL"}, 0), 1, 2, 3)), 0)</f>
        <v>0</v>
      </c>
      <c r="K2815" s="10">
        <f t="shared" si="94"/>
        <v>0</v>
      </c>
      <c r="N2815" s="9" t="str">
        <f t="shared" si="95"/>
        <v/>
      </c>
      <c r="O2815" s="9" t="str">
        <f>IF(N2815="","",IF(COUNTIF(Precios!$G:$G,N2815)=0,"⚠ No coincide con Precios","OK"))</f>
        <v/>
      </c>
    </row>
    <row r="2816" spans="3:15" x14ac:dyDescent="0.2">
      <c r="C2816" s="9" cm="1">
        <f t="array" ref="C2816">IFERROR(_xlfn.XLOOKUP(B2816,Personal!$A:$A,Personal!$D:$D,""),"")</f>
        <v>0</v>
      </c>
      <c r="D2816" s="9" cm="1">
        <f t="array" ref="D2816">IFERROR(_xlfn.XLOOKUP(B2816,Personal!$A:$A,Personal!$C:$C,""),"")</f>
        <v>0</v>
      </c>
      <c r="E2816" s="9" t="str" cm="1">
        <f t="array" ref="E2816">IFERROR(_xlfn.XLOOKUP(D2816,Locales!$A:$A,Locales!$B:$B,""),"")</f>
        <v/>
      </c>
      <c r="F2816" s="9" cm="1">
        <f t="array" ref="F2816">IFERROR(_xlfn.XLOOKUP(B2816,Personal!$A:$A,Personal!$F:$F,""),"")</f>
        <v>0</v>
      </c>
      <c r="I2816" s="10" cm="1">
        <f t="array" ref="I2816">IFERROR(INDEX(Precios!$D:$F,MATCH(N2816, Precios!$G:$G, 0),CHOOSE(MATCH(H2816, {"SML";"XL";"XXL"}, 0), 1, 2, 3)), 0)</f>
        <v>0</v>
      </c>
      <c r="K2816" s="10">
        <f t="shared" ref="K2816:K2879" si="96">IFERROR(I2816*J2816,0)</f>
        <v>0</v>
      </c>
      <c r="N2816" s="9" t="str">
        <f t="shared" ref="N2816:N2879" si="97">IF( OR(E2816="",F2816="",G2816=""), "",CLEAN(TRIM(E2816)) &amp; "|" &amp; CLEAN(TRIM(F2816)) &amp; "|" &amp; CLEAN(TRIM(G2816)))</f>
        <v/>
      </c>
      <c r="O2816" s="9" t="str">
        <f>IF(N2816="","",IF(COUNTIF(Precios!$G:$G,N2816)=0,"⚠ No coincide con Precios","OK"))</f>
        <v/>
      </c>
    </row>
    <row r="2817" spans="3:15" x14ac:dyDescent="0.2">
      <c r="C2817" s="9" cm="1">
        <f t="array" ref="C2817">IFERROR(_xlfn.XLOOKUP(B2817,Personal!$A:$A,Personal!$D:$D,""),"")</f>
        <v>0</v>
      </c>
      <c r="D2817" s="9" cm="1">
        <f t="array" ref="D2817">IFERROR(_xlfn.XLOOKUP(B2817,Personal!$A:$A,Personal!$C:$C,""),"")</f>
        <v>0</v>
      </c>
      <c r="E2817" s="9" t="str" cm="1">
        <f t="array" ref="E2817">IFERROR(_xlfn.XLOOKUP(D2817,Locales!$A:$A,Locales!$B:$B,""),"")</f>
        <v/>
      </c>
      <c r="F2817" s="9" cm="1">
        <f t="array" ref="F2817">IFERROR(_xlfn.XLOOKUP(B2817,Personal!$A:$A,Personal!$F:$F,""),"")</f>
        <v>0</v>
      </c>
      <c r="I2817" s="10" cm="1">
        <f t="array" ref="I2817">IFERROR(INDEX(Precios!$D:$F,MATCH(N2817, Precios!$G:$G, 0),CHOOSE(MATCH(H2817, {"SML";"XL";"XXL"}, 0), 1, 2, 3)), 0)</f>
        <v>0</v>
      </c>
      <c r="K2817" s="10">
        <f t="shared" si="96"/>
        <v>0</v>
      </c>
      <c r="N2817" s="9" t="str">
        <f t="shared" si="97"/>
        <v/>
      </c>
      <c r="O2817" s="9" t="str">
        <f>IF(N2817="","",IF(COUNTIF(Precios!$G:$G,N2817)=0,"⚠ No coincide con Precios","OK"))</f>
        <v/>
      </c>
    </row>
    <row r="2818" spans="3:15" x14ac:dyDescent="0.2">
      <c r="C2818" s="9" cm="1">
        <f t="array" ref="C2818">IFERROR(_xlfn.XLOOKUP(B2818,Personal!$A:$A,Personal!$D:$D,""),"")</f>
        <v>0</v>
      </c>
      <c r="D2818" s="9" cm="1">
        <f t="array" ref="D2818">IFERROR(_xlfn.XLOOKUP(B2818,Personal!$A:$A,Personal!$C:$C,""),"")</f>
        <v>0</v>
      </c>
      <c r="E2818" s="9" t="str" cm="1">
        <f t="array" ref="E2818">IFERROR(_xlfn.XLOOKUP(D2818,Locales!$A:$A,Locales!$B:$B,""),"")</f>
        <v/>
      </c>
      <c r="F2818" s="9" cm="1">
        <f t="array" ref="F2818">IFERROR(_xlfn.XLOOKUP(B2818,Personal!$A:$A,Personal!$F:$F,""),"")</f>
        <v>0</v>
      </c>
      <c r="I2818" s="10" cm="1">
        <f t="array" ref="I2818">IFERROR(INDEX(Precios!$D:$F,MATCH(N2818, Precios!$G:$G, 0),CHOOSE(MATCH(H2818, {"SML";"XL";"XXL"}, 0), 1, 2, 3)), 0)</f>
        <v>0</v>
      </c>
      <c r="K2818" s="10">
        <f t="shared" si="96"/>
        <v>0</v>
      </c>
      <c r="N2818" s="9" t="str">
        <f t="shared" si="97"/>
        <v/>
      </c>
      <c r="O2818" s="9" t="str">
        <f>IF(N2818="","",IF(COUNTIF(Precios!$G:$G,N2818)=0,"⚠ No coincide con Precios","OK"))</f>
        <v/>
      </c>
    </row>
    <row r="2819" spans="3:15" x14ac:dyDescent="0.2">
      <c r="C2819" s="9" cm="1">
        <f t="array" ref="C2819">IFERROR(_xlfn.XLOOKUP(B2819,Personal!$A:$A,Personal!$D:$D,""),"")</f>
        <v>0</v>
      </c>
      <c r="D2819" s="9" cm="1">
        <f t="array" ref="D2819">IFERROR(_xlfn.XLOOKUP(B2819,Personal!$A:$A,Personal!$C:$C,""),"")</f>
        <v>0</v>
      </c>
      <c r="E2819" s="9" t="str" cm="1">
        <f t="array" ref="E2819">IFERROR(_xlfn.XLOOKUP(D2819,Locales!$A:$A,Locales!$B:$B,""),"")</f>
        <v/>
      </c>
      <c r="F2819" s="9" cm="1">
        <f t="array" ref="F2819">IFERROR(_xlfn.XLOOKUP(B2819,Personal!$A:$A,Personal!$F:$F,""),"")</f>
        <v>0</v>
      </c>
      <c r="I2819" s="10" cm="1">
        <f t="array" ref="I2819">IFERROR(INDEX(Precios!$D:$F,MATCH(N2819, Precios!$G:$G, 0),CHOOSE(MATCH(H2819, {"SML";"XL";"XXL"}, 0), 1, 2, 3)), 0)</f>
        <v>0</v>
      </c>
      <c r="K2819" s="10">
        <f t="shared" si="96"/>
        <v>0</v>
      </c>
      <c r="N2819" s="9" t="str">
        <f t="shared" si="97"/>
        <v/>
      </c>
      <c r="O2819" s="9" t="str">
        <f>IF(N2819="","",IF(COUNTIF(Precios!$G:$G,N2819)=0,"⚠ No coincide con Precios","OK"))</f>
        <v/>
      </c>
    </row>
    <row r="2820" spans="3:15" x14ac:dyDescent="0.2">
      <c r="C2820" s="9" cm="1">
        <f t="array" ref="C2820">IFERROR(_xlfn.XLOOKUP(B2820,Personal!$A:$A,Personal!$D:$D,""),"")</f>
        <v>0</v>
      </c>
      <c r="D2820" s="9" cm="1">
        <f t="array" ref="D2820">IFERROR(_xlfn.XLOOKUP(B2820,Personal!$A:$A,Personal!$C:$C,""),"")</f>
        <v>0</v>
      </c>
      <c r="E2820" s="9" t="str" cm="1">
        <f t="array" ref="E2820">IFERROR(_xlfn.XLOOKUP(D2820,Locales!$A:$A,Locales!$B:$B,""),"")</f>
        <v/>
      </c>
      <c r="F2820" s="9" cm="1">
        <f t="array" ref="F2820">IFERROR(_xlfn.XLOOKUP(B2820,Personal!$A:$A,Personal!$F:$F,""),"")</f>
        <v>0</v>
      </c>
      <c r="I2820" s="10" cm="1">
        <f t="array" ref="I2820">IFERROR(INDEX(Precios!$D:$F,MATCH(N2820, Precios!$G:$G, 0),CHOOSE(MATCH(H2820, {"SML";"XL";"XXL"}, 0), 1, 2, 3)), 0)</f>
        <v>0</v>
      </c>
      <c r="K2820" s="10">
        <f t="shared" si="96"/>
        <v>0</v>
      </c>
      <c r="N2820" s="9" t="str">
        <f t="shared" si="97"/>
        <v/>
      </c>
      <c r="O2820" s="9" t="str">
        <f>IF(N2820="","",IF(COUNTIF(Precios!$G:$G,N2820)=0,"⚠ No coincide con Precios","OK"))</f>
        <v/>
      </c>
    </row>
    <row r="2821" spans="3:15" x14ac:dyDescent="0.2">
      <c r="C2821" s="9" cm="1">
        <f t="array" ref="C2821">IFERROR(_xlfn.XLOOKUP(B2821,Personal!$A:$A,Personal!$D:$D,""),"")</f>
        <v>0</v>
      </c>
      <c r="D2821" s="9" cm="1">
        <f t="array" ref="D2821">IFERROR(_xlfn.XLOOKUP(B2821,Personal!$A:$A,Personal!$C:$C,""),"")</f>
        <v>0</v>
      </c>
      <c r="E2821" s="9" t="str" cm="1">
        <f t="array" ref="E2821">IFERROR(_xlfn.XLOOKUP(D2821,Locales!$A:$A,Locales!$B:$B,""),"")</f>
        <v/>
      </c>
      <c r="F2821" s="9" cm="1">
        <f t="array" ref="F2821">IFERROR(_xlfn.XLOOKUP(B2821,Personal!$A:$A,Personal!$F:$F,""),"")</f>
        <v>0</v>
      </c>
      <c r="I2821" s="10" cm="1">
        <f t="array" ref="I2821">IFERROR(INDEX(Precios!$D:$F,MATCH(N2821, Precios!$G:$G, 0),CHOOSE(MATCH(H2821, {"SML";"XL";"XXL"}, 0), 1, 2, 3)), 0)</f>
        <v>0</v>
      </c>
      <c r="K2821" s="10">
        <f t="shared" si="96"/>
        <v>0</v>
      </c>
      <c r="N2821" s="9" t="str">
        <f t="shared" si="97"/>
        <v/>
      </c>
      <c r="O2821" s="9" t="str">
        <f>IF(N2821="","",IF(COUNTIF(Precios!$G:$G,N2821)=0,"⚠ No coincide con Precios","OK"))</f>
        <v/>
      </c>
    </row>
    <row r="2822" spans="3:15" x14ac:dyDescent="0.2">
      <c r="C2822" s="9" cm="1">
        <f t="array" ref="C2822">IFERROR(_xlfn.XLOOKUP(B2822,Personal!$A:$A,Personal!$D:$D,""),"")</f>
        <v>0</v>
      </c>
      <c r="D2822" s="9" cm="1">
        <f t="array" ref="D2822">IFERROR(_xlfn.XLOOKUP(B2822,Personal!$A:$A,Personal!$C:$C,""),"")</f>
        <v>0</v>
      </c>
      <c r="E2822" s="9" t="str" cm="1">
        <f t="array" ref="E2822">IFERROR(_xlfn.XLOOKUP(D2822,Locales!$A:$A,Locales!$B:$B,""),"")</f>
        <v/>
      </c>
      <c r="F2822" s="9" cm="1">
        <f t="array" ref="F2822">IFERROR(_xlfn.XLOOKUP(B2822,Personal!$A:$A,Personal!$F:$F,""),"")</f>
        <v>0</v>
      </c>
      <c r="I2822" s="10" cm="1">
        <f t="array" ref="I2822">IFERROR(INDEX(Precios!$D:$F,MATCH(N2822, Precios!$G:$G, 0),CHOOSE(MATCH(H2822, {"SML";"XL";"XXL"}, 0), 1, 2, 3)), 0)</f>
        <v>0</v>
      </c>
      <c r="K2822" s="10">
        <f t="shared" si="96"/>
        <v>0</v>
      </c>
      <c r="N2822" s="9" t="str">
        <f t="shared" si="97"/>
        <v/>
      </c>
      <c r="O2822" s="9" t="str">
        <f>IF(N2822="","",IF(COUNTIF(Precios!$G:$G,N2822)=0,"⚠ No coincide con Precios","OK"))</f>
        <v/>
      </c>
    </row>
    <row r="2823" spans="3:15" x14ac:dyDescent="0.2">
      <c r="C2823" s="9" cm="1">
        <f t="array" ref="C2823">IFERROR(_xlfn.XLOOKUP(B2823,Personal!$A:$A,Personal!$D:$D,""),"")</f>
        <v>0</v>
      </c>
      <c r="D2823" s="9" cm="1">
        <f t="array" ref="D2823">IFERROR(_xlfn.XLOOKUP(B2823,Personal!$A:$A,Personal!$C:$C,""),"")</f>
        <v>0</v>
      </c>
      <c r="E2823" s="9" t="str" cm="1">
        <f t="array" ref="E2823">IFERROR(_xlfn.XLOOKUP(D2823,Locales!$A:$A,Locales!$B:$B,""),"")</f>
        <v/>
      </c>
      <c r="F2823" s="9" cm="1">
        <f t="array" ref="F2823">IFERROR(_xlfn.XLOOKUP(B2823,Personal!$A:$A,Personal!$F:$F,""),"")</f>
        <v>0</v>
      </c>
      <c r="I2823" s="10" cm="1">
        <f t="array" ref="I2823">IFERROR(INDEX(Precios!$D:$F,MATCH(N2823, Precios!$G:$G, 0),CHOOSE(MATCH(H2823, {"SML";"XL";"XXL"}, 0), 1, 2, 3)), 0)</f>
        <v>0</v>
      </c>
      <c r="K2823" s="10">
        <f t="shared" si="96"/>
        <v>0</v>
      </c>
      <c r="N2823" s="9" t="str">
        <f t="shared" si="97"/>
        <v/>
      </c>
      <c r="O2823" s="9" t="str">
        <f>IF(N2823="","",IF(COUNTIF(Precios!$G:$G,N2823)=0,"⚠ No coincide con Precios","OK"))</f>
        <v/>
      </c>
    </row>
    <row r="2824" spans="3:15" x14ac:dyDescent="0.2">
      <c r="C2824" s="9" cm="1">
        <f t="array" ref="C2824">IFERROR(_xlfn.XLOOKUP(B2824,Personal!$A:$A,Personal!$D:$D,""),"")</f>
        <v>0</v>
      </c>
      <c r="D2824" s="9" cm="1">
        <f t="array" ref="D2824">IFERROR(_xlfn.XLOOKUP(B2824,Personal!$A:$A,Personal!$C:$C,""),"")</f>
        <v>0</v>
      </c>
      <c r="E2824" s="9" t="str" cm="1">
        <f t="array" ref="E2824">IFERROR(_xlfn.XLOOKUP(D2824,Locales!$A:$A,Locales!$B:$B,""),"")</f>
        <v/>
      </c>
      <c r="F2824" s="9" cm="1">
        <f t="array" ref="F2824">IFERROR(_xlfn.XLOOKUP(B2824,Personal!$A:$A,Personal!$F:$F,""),"")</f>
        <v>0</v>
      </c>
      <c r="I2824" s="10" cm="1">
        <f t="array" ref="I2824">IFERROR(INDEX(Precios!$D:$F,MATCH(N2824, Precios!$G:$G, 0),CHOOSE(MATCH(H2824, {"SML";"XL";"XXL"}, 0), 1, 2, 3)), 0)</f>
        <v>0</v>
      </c>
      <c r="K2824" s="10">
        <f t="shared" si="96"/>
        <v>0</v>
      </c>
      <c r="N2824" s="9" t="str">
        <f t="shared" si="97"/>
        <v/>
      </c>
      <c r="O2824" s="9" t="str">
        <f>IF(N2824="","",IF(COUNTIF(Precios!$G:$G,N2824)=0,"⚠ No coincide con Precios","OK"))</f>
        <v/>
      </c>
    </row>
    <row r="2825" spans="3:15" x14ac:dyDescent="0.2">
      <c r="C2825" s="9" cm="1">
        <f t="array" ref="C2825">IFERROR(_xlfn.XLOOKUP(B2825,Personal!$A:$A,Personal!$D:$D,""),"")</f>
        <v>0</v>
      </c>
      <c r="D2825" s="9" cm="1">
        <f t="array" ref="D2825">IFERROR(_xlfn.XLOOKUP(B2825,Personal!$A:$A,Personal!$C:$C,""),"")</f>
        <v>0</v>
      </c>
      <c r="E2825" s="9" t="str" cm="1">
        <f t="array" ref="E2825">IFERROR(_xlfn.XLOOKUP(D2825,Locales!$A:$A,Locales!$B:$B,""),"")</f>
        <v/>
      </c>
      <c r="F2825" s="9" cm="1">
        <f t="array" ref="F2825">IFERROR(_xlfn.XLOOKUP(B2825,Personal!$A:$A,Personal!$F:$F,""),"")</f>
        <v>0</v>
      </c>
      <c r="I2825" s="10" cm="1">
        <f t="array" ref="I2825">IFERROR(INDEX(Precios!$D:$F,MATCH(N2825, Precios!$G:$G, 0),CHOOSE(MATCH(H2825, {"SML";"XL";"XXL"}, 0), 1, 2, 3)), 0)</f>
        <v>0</v>
      </c>
      <c r="K2825" s="10">
        <f t="shared" si="96"/>
        <v>0</v>
      </c>
      <c r="N2825" s="9" t="str">
        <f t="shared" si="97"/>
        <v/>
      </c>
      <c r="O2825" s="9" t="str">
        <f>IF(N2825="","",IF(COUNTIF(Precios!$G:$G,N2825)=0,"⚠ No coincide con Precios","OK"))</f>
        <v/>
      </c>
    </row>
    <row r="2826" spans="3:15" x14ac:dyDescent="0.2">
      <c r="C2826" s="9" cm="1">
        <f t="array" ref="C2826">IFERROR(_xlfn.XLOOKUP(B2826,Personal!$A:$A,Personal!$D:$D,""),"")</f>
        <v>0</v>
      </c>
      <c r="D2826" s="9" cm="1">
        <f t="array" ref="D2826">IFERROR(_xlfn.XLOOKUP(B2826,Personal!$A:$A,Personal!$C:$C,""),"")</f>
        <v>0</v>
      </c>
      <c r="E2826" s="9" t="str" cm="1">
        <f t="array" ref="E2826">IFERROR(_xlfn.XLOOKUP(D2826,Locales!$A:$A,Locales!$B:$B,""),"")</f>
        <v/>
      </c>
      <c r="F2826" s="9" cm="1">
        <f t="array" ref="F2826">IFERROR(_xlfn.XLOOKUP(B2826,Personal!$A:$A,Personal!$F:$F,""),"")</f>
        <v>0</v>
      </c>
      <c r="I2826" s="10" cm="1">
        <f t="array" ref="I2826">IFERROR(INDEX(Precios!$D:$F,MATCH(N2826, Precios!$G:$G, 0),CHOOSE(MATCH(H2826, {"SML";"XL";"XXL"}, 0), 1, 2, 3)), 0)</f>
        <v>0</v>
      </c>
      <c r="K2826" s="10">
        <f t="shared" si="96"/>
        <v>0</v>
      </c>
      <c r="N2826" s="9" t="str">
        <f t="shared" si="97"/>
        <v/>
      </c>
      <c r="O2826" s="9" t="str">
        <f>IF(N2826="","",IF(COUNTIF(Precios!$G:$G,N2826)=0,"⚠ No coincide con Precios","OK"))</f>
        <v/>
      </c>
    </row>
    <row r="2827" spans="3:15" x14ac:dyDescent="0.2">
      <c r="C2827" s="9" cm="1">
        <f t="array" ref="C2827">IFERROR(_xlfn.XLOOKUP(B2827,Personal!$A:$A,Personal!$D:$D,""),"")</f>
        <v>0</v>
      </c>
      <c r="D2827" s="9" cm="1">
        <f t="array" ref="D2827">IFERROR(_xlfn.XLOOKUP(B2827,Personal!$A:$A,Personal!$C:$C,""),"")</f>
        <v>0</v>
      </c>
      <c r="E2827" s="9" t="str" cm="1">
        <f t="array" ref="E2827">IFERROR(_xlfn.XLOOKUP(D2827,Locales!$A:$A,Locales!$B:$B,""),"")</f>
        <v/>
      </c>
      <c r="F2827" s="9" cm="1">
        <f t="array" ref="F2827">IFERROR(_xlfn.XLOOKUP(B2827,Personal!$A:$A,Personal!$F:$F,""),"")</f>
        <v>0</v>
      </c>
      <c r="I2827" s="10" cm="1">
        <f t="array" ref="I2827">IFERROR(INDEX(Precios!$D:$F,MATCH(N2827, Precios!$G:$G, 0),CHOOSE(MATCH(H2827, {"SML";"XL";"XXL"}, 0), 1, 2, 3)), 0)</f>
        <v>0</v>
      </c>
      <c r="K2827" s="10">
        <f t="shared" si="96"/>
        <v>0</v>
      </c>
      <c r="N2827" s="9" t="str">
        <f t="shared" si="97"/>
        <v/>
      </c>
      <c r="O2827" s="9" t="str">
        <f>IF(N2827="","",IF(COUNTIF(Precios!$G:$G,N2827)=0,"⚠ No coincide con Precios","OK"))</f>
        <v/>
      </c>
    </row>
    <row r="2828" spans="3:15" x14ac:dyDescent="0.2">
      <c r="C2828" s="9" cm="1">
        <f t="array" ref="C2828">IFERROR(_xlfn.XLOOKUP(B2828,Personal!$A:$A,Personal!$D:$D,""),"")</f>
        <v>0</v>
      </c>
      <c r="D2828" s="9" cm="1">
        <f t="array" ref="D2828">IFERROR(_xlfn.XLOOKUP(B2828,Personal!$A:$A,Personal!$C:$C,""),"")</f>
        <v>0</v>
      </c>
      <c r="E2828" s="9" t="str" cm="1">
        <f t="array" ref="E2828">IFERROR(_xlfn.XLOOKUP(D2828,Locales!$A:$A,Locales!$B:$B,""),"")</f>
        <v/>
      </c>
      <c r="F2828" s="9" cm="1">
        <f t="array" ref="F2828">IFERROR(_xlfn.XLOOKUP(B2828,Personal!$A:$A,Personal!$F:$F,""),"")</f>
        <v>0</v>
      </c>
      <c r="I2828" s="10" cm="1">
        <f t="array" ref="I2828">IFERROR(INDEX(Precios!$D:$F,MATCH(N2828, Precios!$G:$G, 0),CHOOSE(MATCH(H2828, {"SML";"XL";"XXL"}, 0), 1, 2, 3)), 0)</f>
        <v>0</v>
      </c>
      <c r="K2828" s="10">
        <f t="shared" si="96"/>
        <v>0</v>
      </c>
      <c r="N2828" s="9" t="str">
        <f t="shared" si="97"/>
        <v/>
      </c>
      <c r="O2828" s="9" t="str">
        <f>IF(N2828="","",IF(COUNTIF(Precios!$G:$G,N2828)=0,"⚠ No coincide con Precios","OK"))</f>
        <v/>
      </c>
    </row>
    <row r="2829" spans="3:15" x14ac:dyDescent="0.2">
      <c r="C2829" s="9" cm="1">
        <f t="array" ref="C2829">IFERROR(_xlfn.XLOOKUP(B2829,Personal!$A:$A,Personal!$D:$D,""),"")</f>
        <v>0</v>
      </c>
      <c r="D2829" s="9" cm="1">
        <f t="array" ref="D2829">IFERROR(_xlfn.XLOOKUP(B2829,Personal!$A:$A,Personal!$C:$C,""),"")</f>
        <v>0</v>
      </c>
      <c r="E2829" s="9" t="str" cm="1">
        <f t="array" ref="E2829">IFERROR(_xlfn.XLOOKUP(D2829,Locales!$A:$A,Locales!$B:$B,""),"")</f>
        <v/>
      </c>
      <c r="F2829" s="9" cm="1">
        <f t="array" ref="F2829">IFERROR(_xlfn.XLOOKUP(B2829,Personal!$A:$A,Personal!$F:$F,""),"")</f>
        <v>0</v>
      </c>
      <c r="I2829" s="10" cm="1">
        <f t="array" ref="I2829">IFERROR(INDEX(Precios!$D:$F,MATCH(N2829, Precios!$G:$G, 0),CHOOSE(MATCH(H2829, {"SML";"XL";"XXL"}, 0), 1, 2, 3)), 0)</f>
        <v>0</v>
      </c>
      <c r="K2829" s="10">
        <f t="shared" si="96"/>
        <v>0</v>
      </c>
      <c r="N2829" s="9" t="str">
        <f t="shared" si="97"/>
        <v/>
      </c>
      <c r="O2829" s="9" t="str">
        <f>IF(N2829="","",IF(COUNTIF(Precios!$G:$G,N2829)=0,"⚠ No coincide con Precios","OK"))</f>
        <v/>
      </c>
    </row>
    <row r="2830" spans="3:15" x14ac:dyDescent="0.2">
      <c r="C2830" s="9" cm="1">
        <f t="array" ref="C2830">IFERROR(_xlfn.XLOOKUP(B2830,Personal!$A:$A,Personal!$D:$D,""),"")</f>
        <v>0</v>
      </c>
      <c r="D2830" s="9" cm="1">
        <f t="array" ref="D2830">IFERROR(_xlfn.XLOOKUP(B2830,Personal!$A:$A,Personal!$C:$C,""),"")</f>
        <v>0</v>
      </c>
      <c r="E2830" s="9" t="str" cm="1">
        <f t="array" ref="E2830">IFERROR(_xlfn.XLOOKUP(D2830,Locales!$A:$A,Locales!$B:$B,""),"")</f>
        <v/>
      </c>
      <c r="F2830" s="9" cm="1">
        <f t="array" ref="F2830">IFERROR(_xlfn.XLOOKUP(B2830,Personal!$A:$A,Personal!$F:$F,""),"")</f>
        <v>0</v>
      </c>
      <c r="I2830" s="10" cm="1">
        <f t="array" ref="I2830">IFERROR(INDEX(Precios!$D:$F,MATCH(N2830, Precios!$G:$G, 0),CHOOSE(MATCH(H2830, {"SML";"XL";"XXL"}, 0), 1, 2, 3)), 0)</f>
        <v>0</v>
      </c>
      <c r="K2830" s="10">
        <f t="shared" si="96"/>
        <v>0</v>
      </c>
      <c r="N2830" s="9" t="str">
        <f t="shared" si="97"/>
        <v/>
      </c>
      <c r="O2830" s="9" t="str">
        <f>IF(N2830="","",IF(COUNTIF(Precios!$G:$G,N2830)=0,"⚠ No coincide con Precios","OK"))</f>
        <v/>
      </c>
    </row>
    <row r="2831" spans="3:15" x14ac:dyDescent="0.2">
      <c r="C2831" s="9" cm="1">
        <f t="array" ref="C2831">IFERROR(_xlfn.XLOOKUP(B2831,Personal!$A:$A,Personal!$D:$D,""),"")</f>
        <v>0</v>
      </c>
      <c r="D2831" s="9" cm="1">
        <f t="array" ref="D2831">IFERROR(_xlfn.XLOOKUP(B2831,Personal!$A:$A,Personal!$C:$C,""),"")</f>
        <v>0</v>
      </c>
      <c r="E2831" s="9" t="str" cm="1">
        <f t="array" ref="E2831">IFERROR(_xlfn.XLOOKUP(D2831,Locales!$A:$A,Locales!$B:$B,""),"")</f>
        <v/>
      </c>
      <c r="F2831" s="9" cm="1">
        <f t="array" ref="F2831">IFERROR(_xlfn.XLOOKUP(B2831,Personal!$A:$A,Personal!$F:$F,""),"")</f>
        <v>0</v>
      </c>
      <c r="I2831" s="10" cm="1">
        <f t="array" ref="I2831">IFERROR(INDEX(Precios!$D:$F,MATCH(N2831, Precios!$G:$G, 0),CHOOSE(MATCH(H2831, {"SML";"XL";"XXL"}, 0), 1, 2, 3)), 0)</f>
        <v>0</v>
      </c>
      <c r="K2831" s="10">
        <f t="shared" si="96"/>
        <v>0</v>
      </c>
      <c r="N2831" s="9" t="str">
        <f t="shared" si="97"/>
        <v/>
      </c>
      <c r="O2831" s="9" t="str">
        <f>IF(N2831="","",IF(COUNTIF(Precios!$G:$G,N2831)=0,"⚠ No coincide con Precios","OK"))</f>
        <v/>
      </c>
    </row>
    <row r="2832" spans="3:15" x14ac:dyDescent="0.2">
      <c r="C2832" s="9" cm="1">
        <f t="array" ref="C2832">IFERROR(_xlfn.XLOOKUP(B2832,Personal!$A:$A,Personal!$D:$D,""),"")</f>
        <v>0</v>
      </c>
      <c r="D2832" s="9" cm="1">
        <f t="array" ref="D2832">IFERROR(_xlfn.XLOOKUP(B2832,Personal!$A:$A,Personal!$C:$C,""),"")</f>
        <v>0</v>
      </c>
      <c r="E2832" s="9" t="str" cm="1">
        <f t="array" ref="E2832">IFERROR(_xlfn.XLOOKUP(D2832,Locales!$A:$A,Locales!$B:$B,""),"")</f>
        <v/>
      </c>
      <c r="F2832" s="9" cm="1">
        <f t="array" ref="F2832">IFERROR(_xlfn.XLOOKUP(B2832,Personal!$A:$A,Personal!$F:$F,""),"")</f>
        <v>0</v>
      </c>
      <c r="I2832" s="10" cm="1">
        <f t="array" ref="I2832">IFERROR(INDEX(Precios!$D:$F,MATCH(N2832, Precios!$G:$G, 0),CHOOSE(MATCH(H2832, {"SML";"XL";"XXL"}, 0), 1, 2, 3)), 0)</f>
        <v>0</v>
      </c>
      <c r="K2832" s="10">
        <f t="shared" si="96"/>
        <v>0</v>
      </c>
      <c r="N2832" s="9" t="str">
        <f t="shared" si="97"/>
        <v/>
      </c>
      <c r="O2832" s="9" t="str">
        <f>IF(N2832="","",IF(COUNTIF(Precios!$G:$G,N2832)=0,"⚠ No coincide con Precios","OK"))</f>
        <v/>
      </c>
    </row>
    <row r="2833" spans="3:15" x14ac:dyDescent="0.2">
      <c r="C2833" s="9" cm="1">
        <f t="array" ref="C2833">IFERROR(_xlfn.XLOOKUP(B2833,Personal!$A:$A,Personal!$D:$D,""),"")</f>
        <v>0</v>
      </c>
      <c r="D2833" s="9" cm="1">
        <f t="array" ref="D2833">IFERROR(_xlfn.XLOOKUP(B2833,Personal!$A:$A,Personal!$C:$C,""),"")</f>
        <v>0</v>
      </c>
      <c r="E2833" s="9" t="str" cm="1">
        <f t="array" ref="E2833">IFERROR(_xlfn.XLOOKUP(D2833,Locales!$A:$A,Locales!$B:$B,""),"")</f>
        <v/>
      </c>
      <c r="F2833" s="9" cm="1">
        <f t="array" ref="F2833">IFERROR(_xlfn.XLOOKUP(B2833,Personal!$A:$A,Personal!$F:$F,""),"")</f>
        <v>0</v>
      </c>
      <c r="I2833" s="10" cm="1">
        <f t="array" ref="I2833">IFERROR(INDEX(Precios!$D:$F,MATCH(N2833, Precios!$G:$G, 0),CHOOSE(MATCH(H2833, {"SML";"XL";"XXL"}, 0), 1, 2, 3)), 0)</f>
        <v>0</v>
      </c>
      <c r="K2833" s="10">
        <f t="shared" si="96"/>
        <v>0</v>
      </c>
      <c r="N2833" s="9" t="str">
        <f t="shared" si="97"/>
        <v/>
      </c>
      <c r="O2833" s="9" t="str">
        <f>IF(N2833="","",IF(COUNTIF(Precios!$G:$G,N2833)=0,"⚠ No coincide con Precios","OK"))</f>
        <v/>
      </c>
    </row>
    <row r="2834" spans="3:15" x14ac:dyDescent="0.2">
      <c r="C2834" s="9" cm="1">
        <f t="array" ref="C2834">IFERROR(_xlfn.XLOOKUP(B2834,Personal!$A:$A,Personal!$D:$D,""),"")</f>
        <v>0</v>
      </c>
      <c r="D2834" s="9" cm="1">
        <f t="array" ref="D2834">IFERROR(_xlfn.XLOOKUP(B2834,Personal!$A:$A,Personal!$C:$C,""),"")</f>
        <v>0</v>
      </c>
      <c r="E2834" s="9" t="str" cm="1">
        <f t="array" ref="E2834">IFERROR(_xlfn.XLOOKUP(D2834,Locales!$A:$A,Locales!$B:$B,""),"")</f>
        <v/>
      </c>
      <c r="F2834" s="9" cm="1">
        <f t="array" ref="F2834">IFERROR(_xlfn.XLOOKUP(B2834,Personal!$A:$A,Personal!$F:$F,""),"")</f>
        <v>0</v>
      </c>
      <c r="I2834" s="10" cm="1">
        <f t="array" ref="I2834">IFERROR(INDEX(Precios!$D:$F,MATCH(N2834, Precios!$G:$G, 0),CHOOSE(MATCH(H2834, {"SML";"XL";"XXL"}, 0), 1, 2, 3)), 0)</f>
        <v>0</v>
      </c>
      <c r="K2834" s="10">
        <f t="shared" si="96"/>
        <v>0</v>
      </c>
      <c r="N2834" s="9" t="str">
        <f t="shared" si="97"/>
        <v/>
      </c>
      <c r="O2834" s="9" t="str">
        <f>IF(N2834="","",IF(COUNTIF(Precios!$G:$G,N2834)=0,"⚠ No coincide con Precios","OK"))</f>
        <v/>
      </c>
    </row>
    <row r="2835" spans="3:15" x14ac:dyDescent="0.2">
      <c r="C2835" s="9" cm="1">
        <f t="array" ref="C2835">IFERROR(_xlfn.XLOOKUP(B2835,Personal!$A:$A,Personal!$D:$D,""),"")</f>
        <v>0</v>
      </c>
      <c r="D2835" s="9" cm="1">
        <f t="array" ref="D2835">IFERROR(_xlfn.XLOOKUP(B2835,Personal!$A:$A,Personal!$C:$C,""),"")</f>
        <v>0</v>
      </c>
      <c r="E2835" s="9" t="str" cm="1">
        <f t="array" ref="E2835">IFERROR(_xlfn.XLOOKUP(D2835,Locales!$A:$A,Locales!$B:$B,""),"")</f>
        <v/>
      </c>
      <c r="F2835" s="9" cm="1">
        <f t="array" ref="F2835">IFERROR(_xlfn.XLOOKUP(B2835,Personal!$A:$A,Personal!$F:$F,""),"")</f>
        <v>0</v>
      </c>
      <c r="I2835" s="10" cm="1">
        <f t="array" ref="I2835">IFERROR(INDEX(Precios!$D:$F,MATCH(N2835, Precios!$G:$G, 0),CHOOSE(MATCH(H2835, {"SML";"XL";"XXL"}, 0), 1, 2, 3)), 0)</f>
        <v>0</v>
      </c>
      <c r="K2835" s="10">
        <f t="shared" si="96"/>
        <v>0</v>
      </c>
      <c r="N2835" s="9" t="str">
        <f t="shared" si="97"/>
        <v/>
      </c>
      <c r="O2835" s="9" t="str">
        <f>IF(N2835="","",IF(COUNTIF(Precios!$G:$G,N2835)=0,"⚠ No coincide con Precios","OK"))</f>
        <v/>
      </c>
    </row>
    <row r="2836" spans="3:15" x14ac:dyDescent="0.2">
      <c r="C2836" s="9" cm="1">
        <f t="array" ref="C2836">IFERROR(_xlfn.XLOOKUP(B2836,Personal!$A:$A,Personal!$D:$D,""),"")</f>
        <v>0</v>
      </c>
      <c r="D2836" s="9" cm="1">
        <f t="array" ref="D2836">IFERROR(_xlfn.XLOOKUP(B2836,Personal!$A:$A,Personal!$C:$C,""),"")</f>
        <v>0</v>
      </c>
      <c r="E2836" s="9" t="str" cm="1">
        <f t="array" ref="E2836">IFERROR(_xlfn.XLOOKUP(D2836,Locales!$A:$A,Locales!$B:$B,""),"")</f>
        <v/>
      </c>
      <c r="F2836" s="9" cm="1">
        <f t="array" ref="F2836">IFERROR(_xlfn.XLOOKUP(B2836,Personal!$A:$A,Personal!$F:$F,""),"")</f>
        <v>0</v>
      </c>
      <c r="I2836" s="10" cm="1">
        <f t="array" ref="I2836">IFERROR(INDEX(Precios!$D:$F,MATCH(N2836, Precios!$G:$G, 0),CHOOSE(MATCH(H2836, {"SML";"XL";"XXL"}, 0), 1, 2, 3)), 0)</f>
        <v>0</v>
      </c>
      <c r="K2836" s="10">
        <f t="shared" si="96"/>
        <v>0</v>
      </c>
      <c r="N2836" s="9" t="str">
        <f t="shared" si="97"/>
        <v/>
      </c>
      <c r="O2836" s="9" t="str">
        <f>IF(N2836="","",IF(COUNTIF(Precios!$G:$G,N2836)=0,"⚠ No coincide con Precios","OK"))</f>
        <v/>
      </c>
    </row>
    <row r="2837" spans="3:15" x14ac:dyDescent="0.2">
      <c r="C2837" s="9" cm="1">
        <f t="array" ref="C2837">IFERROR(_xlfn.XLOOKUP(B2837,Personal!$A:$A,Personal!$D:$D,""),"")</f>
        <v>0</v>
      </c>
      <c r="D2837" s="9" cm="1">
        <f t="array" ref="D2837">IFERROR(_xlfn.XLOOKUP(B2837,Personal!$A:$A,Personal!$C:$C,""),"")</f>
        <v>0</v>
      </c>
      <c r="E2837" s="9" t="str" cm="1">
        <f t="array" ref="E2837">IFERROR(_xlfn.XLOOKUP(D2837,Locales!$A:$A,Locales!$B:$B,""),"")</f>
        <v/>
      </c>
      <c r="F2837" s="9" cm="1">
        <f t="array" ref="F2837">IFERROR(_xlfn.XLOOKUP(B2837,Personal!$A:$A,Personal!$F:$F,""),"")</f>
        <v>0</v>
      </c>
      <c r="I2837" s="10" cm="1">
        <f t="array" ref="I2837">IFERROR(INDEX(Precios!$D:$F,MATCH(N2837, Precios!$G:$G, 0),CHOOSE(MATCH(H2837, {"SML";"XL";"XXL"}, 0), 1, 2, 3)), 0)</f>
        <v>0</v>
      </c>
      <c r="K2837" s="10">
        <f t="shared" si="96"/>
        <v>0</v>
      </c>
      <c r="N2837" s="9" t="str">
        <f t="shared" si="97"/>
        <v/>
      </c>
      <c r="O2837" s="9" t="str">
        <f>IF(N2837="","",IF(COUNTIF(Precios!$G:$G,N2837)=0,"⚠ No coincide con Precios","OK"))</f>
        <v/>
      </c>
    </row>
    <row r="2838" spans="3:15" x14ac:dyDescent="0.2">
      <c r="C2838" s="9" cm="1">
        <f t="array" ref="C2838">IFERROR(_xlfn.XLOOKUP(B2838,Personal!$A:$A,Personal!$D:$D,""),"")</f>
        <v>0</v>
      </c>
      <c r="D2838" s="9" cm="1">
        <f t="array" ref="D2838">IFERROR(_xlfn.XLOOKUP(B2838,Personal!$A:$A,Personal!$C:$C,""),"")</f>
        <v>0</v>
      </c>
      <c r="E2838" s="9" t="str" cm="1">
        <f t="array" ref="E2838">IFERROR(_xlfn.XLOOKUP(D2838,Locales!$A:$A,Locales!$B:$B,""),"")</f>
        <v/>
      </c>
      <c r="F2838" s="9" cm="1">
        <f t="array" ref="F2838">IFERROR(_xlfn.XLOOKUP(B2838,Personal!$A:$A,Personal!$F:$F,""),"")</f>
        <v>0</v>
      </c>
      <c r="I2838" s="10" cm="1">
        <f t="array" ref="I2838">IFERROR(INDEX(Precios!$D:$F,MATCH(N2838, Precios!$G:$G, 0),CHOOSE(MATCH(H2838, {"SML";"XL";"XXL"}, 0), 1, 2, 3)), 0)</f>
        <v>0</v>
      </c>
      <c r="K2838" s="10">
        <f t="shared" si="96"/>
        <v>0</v>
      </c>
      <c r="N2838" s="9" t="str">
        <f t="shared" si="97"/>
        <v/>
      </c>
      <c r="O2838" s="9" t="str">
        <f>IF(N2838="","",IF(COUNTIF(Precios!$G:$G,N2838)=0,"⚠ No coincide con Precios","OK"))</f>
        <v/>
      </c>
    </row>
    <row r="2839" spans="3:15" x14ac:dyDescent="0.2">
      <c r="C2839" s="9" cm="1">
        <f t="array" ref="C2839">IFERROR(_xlfn.XLOOKUP(B2839,Personal!$A:$A,Personal!$D:$D,""),"")</f>
        <v>0</v>
      </c>
      <c r="D2839" s="9" cm="1">
        <f t="array" ref="D2839">IFERROR(_xlfn.XLOOKUP(B2839,Personal!$A:$A,Personal!$C:$C,""),"")</f>
        <v>0</v>
      </c>
      <c r="E2839" s="9" t="str" cm="1">
        <f t="array" ref="E2839">IFERROR(_xlfn.XLOOKUP(D2839,Locales!$A:$A,Locales!$B:$B,""),"")</f>
        <v/>
      </c>
      <c r="F2839" s="9" cm="1">
        <f t="array" ref="F2839">IFERROR(_xlfn.XLOOKUP(B2839,Personal!$A:$A,Personal!$F:$F,""),"")</f>
        <v>0</v>
      </c>
      <c r="I2839" s="10" cm="1">
        <f t="array" ref="I2839">IFERROR(INDEX(Precios!$D:$F,MATCH(N2839, Precios!$G:$G, 0),CHOOSE(MATCH(H2839, {"SML";"XL";"XXL"}, 0), 1, 2, 3)), 0)</f>
        <v>0</v>
      </c>
      <c r="K2839" s="10">
        <f t="shared" si="96"/>
        <v>0</v>
      </c>
      <c r="N2839" s="9" t="str">
        <f t="shared" si="97"/>
        <v/>
      </c>
      <c r="O2839" s="9" t="str">
        <f>IF(N2839="","",IF(COUNTIF(Precios!$G:$G,N2839)=0,"⚠ No coincide con Precios","OK"))</f>
        <v/>
      </c>
    </row>
    <row r="2840" spans="3:15" x14ac:dyDescent="0.2">
      <c r="C2840" s="9" cm="1">
        <f t="array" ref="C2840">IFERROR(_xlfn.XLOOKUP(B2840,Personal!$A:$A,Personal!$D:$D,""),"")</f>
        <v>0</v>
      </c>
      <c r="D2840" s="9" cm="1">
        <f t="array" ref="D2840">IFERROR(_xlfn.XLOOKUP(B2840,Personal!$A:$A,Personal!$C:$C,""),"")</f>
        <v>0</v>
      </c>
      <c r="E2840" s="9" t="str" cm="1">
        <f t="array" ref="E2840">IFERROR(_xlfn.XLOOKUP(D2840,Locales!$A:$A,Locales!$B:$B,""),"")</f>
        <v/>
      </c>
      <c r="F2840" s="9" cm="1">
        <f t="array" ref="F2840">IFERROR(_xlfn.XLOOKUP(B2840,Personal!$A:$A,Personal!$F:$F,""),"")</f>
        <v>0</v>
      </c>
      <c r="I2840" s="10" cm="1">
        <f t="array" ref="I2840">IFERROR(INDEX(Precios!$D:$F,MATCH(N2840, Precios!$G:$G, 0),CHOOSE(MATCH(H2840, {"SML";"XL";"XXL"}, 0), 1, 2, 3)), 0)</f>
        <v>0</v>
      </c>
      <c r="K2840" s="10">
        <f t="shared" si="96"/>
        <v>0</v>
      </c>
      <c r="N2840" s="9" t="str">
        <f t="shared" si="97"/>
        <v/>
      </c>
      <c r="O2840" s="9" t="str">
        <f>IF(N2840="","",IF(COUNTIF(Precios!$G:$G,N2840)=0,"⚠ No coincide con Precios","OK"))</f>
        <v/>
      </c>
    </row>
    <row r="2841" spans="3:15" x14ac:dyDescent="0.2">
      <c r="C2841" s="9" cm="1">
        <f t="array" ref="C2841">IFERROR(_xlfn.XLOOKUP(B2841,Personal!$A:$A,Personal!$D:$D,""),"")</f>
        <v>0</v>
      </c>
      <c r="D2841" s="9" cm="1">
        <f t="array" ref="D2841">IFERROR(_xlfn.XLOOKUP(B2841,Personal!$A:$A,Personal!$C:$C,""),"")</f>
        <v>0</v>
      </c>
      <c r="E2841" s="9" t="str" cm="1">
        <f t="array" ref="E2841">IFERROR(_xlfn.XLOOKUP(D2841,Locales!$A:$A,Locales!$B:$B,""),"")</f>
        <v/>
      </c>
      <c r="F2841" s="9" cm="1">
        <f t="array" ref="F2841">IFERROR(_xlfn.XLOOKUP(B2841,Personal!$A:$A,Personal!$F:$F,""),"")</f>
        <v>0</v>
      </c>
      <c r="I2841" s="10" cm="1">
        <f t="array" ref="I2841">IFERROR(INDEX(Precios!$D:$F,MATCH(N2841, Precios!$G:$G, 0),CHOOSE(MATCH(H2841, {"SML";"XL";"XXL"}, 0), 1, 2, 3)), 0)</f>
        <v>0</v>
      </c>
      <c r="K2841" s="10">
        <f t="shared" si="96"/>
        <v>0</v>
      </c>
      <c r="N2841" s="9" t="str">
        <f t="shared" si="97"/>
        <v/>
      </c>
      <c r="O2841" s="9" t="str">
        <f>IF(N2841="","",IF(COUNTIF(Precios!$G:$G,N2841)=0,"⚠ No coincide con Precios","OK"))</f>
        <v/>
      </c>
    </row>
    <row r="2842" spans="3:15" x14ac:dyDescent="0.2">
      <c r="C2842" s="9" cm="1">
        <f t="array" ref="C2842">IFERROR(_xlfn.XLOOKUP(B2842,Personal!$A:$A,Personal!$D:$D,""),"")</f>
        <v>0</v>
      </c>
      <c r="D2842" s="9" cm="1">
        <f t="array" ref="D2842">IFERROR(_xlfn.XLOOKUP(B2842,Personal!$A:$A,Personal!$C:$C,""),"")</f>
        <v>0</v>
      </c>
      <c r="E2842" s="9" t="str" cm="1">
        <f t="array" ref="E2842">IFERROR(_xlfn.XLOOKUP(D2842,Locales!$A:$A,Locales!$B:$B,""),"")</f>
        <v/>
      </c>
      <c r="F2842" s="9" cm="1">
        <f t="array" ref="F2842">IFERROR(_xlfn.XLOOKUP(B2842,Personal!$A:$A,Personal!$F:$F,""),"")</f>
        <v>0</v>
      </c>
      <c r="I2842" s="10" cm="1">
        <f t="array" ref="I2842">IFERROR(INDEX(Precios!$D:$F,MATCH(N2842, Precios!$G:$G, 0),CHOOSE(MATCH(H2842, {"SML";"XL";"XXL"}, 0), 1, 2, 3)), 0)</f>
        <v>0</v>
      </c>
      <c r="K2842" s="10">
        <f t="shared" si="96"/>
        <v>0</v>
      </c>
      <c r="N2842" s="9" t="str">
        <f t="shared" si="97"/>
        <v/>
      </c>
      <c r="O2842" s="9" t="str">
        <f>IF(N2842="","",IF(COUNTIF(Precios!$G:$G,N2842)=0,"⚠ No coincide con Precios","OK"))</f>
        <v/>
      </c>
    </row>
    <row r="2843" spans="3:15" x14ac:dyDescent="0.2">
      <c r="C2843" s="9" cm="1">
        <f t="array" ref="C2843">IFERROR(_xlfn.XLOOKUP(B2843,Personal!$A:$A,Personal!$D:$D,""),"")</f>
        <v>0</v>
      </c>
      <c r="D2843" s="9" cm="1">
        <f t="array" ref="D2843">IFERROR(_xlfn.XLOOKUP(B2843,Personal!$A:$A,Personal!$C:$C,""),"")</f>
        <v>0</v>
      </c>
      <c r="E2843" s="9" t="str" cm="1">
        <f t="array" ref="E2843">IFERROR(_xlfn.XLOOKUP(D2843,Locales!$A:$A,Locales!$B:$B,""),"")</f>
        <v/>
      </c>
      <c r="F2843" s="9" cm="1">
        <f t="array" ref="F2843">IFERROR(_xlfn.XLOOKUP(B2843,Personal!$A:$A,Personal!$F:$F,""),"")</f>
        <v>0</v>
      </c>
      <c r="I2843" s="10" cm="1">
        <f t="array" ref="I2843">IFERROR(INDEX(Precios!$D:$F,MATCH(N2843, Precios!$G:$G, 0),CHOOSE(MATCH(H2843, {"SML";"XL";"XXL"}, 0), 1, 2, 3)), 0)</f>
        <v>0</v>
      </c>
      <c r="K2843" s="10">
        <f t="shared" si="96"/>
        <v>0</v>
      </c>
      <c r="N2843" s="9" t="str">
        <f t="shared" si="97"/>
        <v/>
      </c>
      <c r="O2843" s="9" t="str">
        <f>IF(N2843="","",IF(COUNTIF(Precios!$G:$G,N2843)=0,"⚠ No coincide con Precios","OK"))</f>
        <v/>
      </c>
    </row>
    <row r="2844" spans="3:15" x14ac:dyDescent="0.2">
      <c r="C2844" s="9" cm="1">
        <f t="array" ref="C2844">IFERROR(_xlfn.XLOOKUP(B2844,Personal!$A:$A,Personal!$D:$D,""),"")</f>
        <v>0</v>
      </c>
      <c r="D2844" s="9" cm="1">
        <f t="array" ref="D2844">IFERROR(_xlfn.XLOOKUP(B2844,Personal!$A:$A,Personal!$C:$C,""),"")</f>
        <v>0</v>
      </c>
      <c r="E2844" s="9" t="str" cm="1">
        <f t="array" ref="E2844">IFERROR(_xlfn.XLOOKUP(D2844,Locales!$A:$A,Locales!$B:$B,""),"")</f>
        <v/>
      </c>
      <c r="F2844" s="9" cm="1">
        <f t="array" ref="F2844">IFERROR(_xlfn.XLOOKUP(B2844,Personal!$A:$A,Personal!$F:$F,""),"")</f>
        <v>0</v>
      </c>
      <c r="I2844" s="10" cm="1">
        <f t="array" ref="I2844">IFERROR(INDEX(Precios!$D:$F,MATCH(N2844, Precios!$G:$G, 0),CHOOSE(MATCH(H2844, {"SML";"XL";"XXL"}, 0), 1, 2, 3)), 0)</f>
        <v>0</v>
      </c>
      <c r="K2844" s="10">
        <f t="shared" si="96"/>
        <v>0</v>
      </c>
      <c r="N2844" s="9" t="str">
        <f t="shared" si="97"/>
        <v/>
      </c>
      <c r="O2844" s="9" t="str">
        <f>IF(N2844="","",IF(COUNTIF(Precios!$G:$G,N2844)=0,"⚠ No coincide con Precios","OK"))</f>
        <v/>
      </c>
    </row>
    <row r="2845" spans="3:15" x14ac:dyDescent="0.2">
      <c r="C2845" s="9" cm="1">
        <f t="array" ref="C2845">IFERROR(_xlfn.XLOOKUP(B2845,Personal!$A:$A,Personal!$D:$D,""),"")</f>
        <v>0</v>
      </c>
      <c r="D2845" s="9" cm="1">
        <f t="array" ref="D2845">IFERROR(_xlfn.XLOOKUP(B2845,Personal!$A:$A,Personal!$C:$C,""),"")</f>
        <v>0</v>
      </c>
      <c r="E2845" s="9" t="str" cm="1">
        <f t="array" ref="E2845">IFERROR(_xlfn.XLOOKUP(D2845,Locales!$A:$A,Locales!$B:$B,""),"")</f>
        <v/>
      </c>
      <c r="F2845" s="9" cm="1">
        <f t="array" ref="F2845">IFERROR(_xlfn.XLOOKUP(B2845,Personal!$A:$A,Personal!$F:$F,""),"")</f>
        <v>0</v>
      </c>
      <c r="I2845" s="10" cm="1">
        <f t="array" ref="I2845">IFERROR(INDEX(Precios!$D:$F,MATCH(N2845, Precios!$G:$G, 0),CHOOSE(MATCH(H2845, {"SML";"XL";"XXL"}, 0), 1, 2, 3)), 0)</f>
        <v>0</v>
      </c>
      <c r="K2845" s="10">
        <f t="shared" si="96"/>
        <v>0</v>
      </c>
      <c r="N2845" s="9" t="str">
        <f t="shared" si="97"/>
        <v/>
      </c>
      <c r="O2845" s="9" t="str">
        <f>IF(N2845="","",IF(COUNTIF(Precios!$G:$G,N2845)=0,"⚠ No coincide con Precios","OK"))</f>
        <v/>
      </c>
    </row>
    <row r="2846" spans="3:15" x14ac:dyDescent="0.2">
      <c r="C2846" s="9" cm="1">
        <f t="array" ref="C2846">IFERROR(_xlfn.XLOOKUP(B2846,Personal!$A:$A,Personal!$D:$D,""),"")</f>
        <v>0</v>
      </c>
      <c r="D2846" s="9" cm="1">
        <f t="array" ref="D2846">IFERROR(_xlfn.XLOOKUP(B2846,Personal!$A:$A,Personal!$C:$C,""),"")</f>
        <v>0</v>
      </c>
      <c r="E2846" s="9" t="str" cm="1">
        <f t="array" ref="E2846">IFERROR(_xlfn.XLOOKUP(D2846,Locales!$A:$A,Locales!$B:$B,""),"")</f>
        <v/>
      </c>
      <c r="F2846" s="9" cm="1">
        <f t="array" ref="F2846">IFERROR(_xlfn.XLOOKUP(B2846,Personal!$A:$A,Personal!$F:$F,""),"")</f>
        <v>0</v>
      </c>
      <c r="I2846" s="10" cm="1">
        <f t="array" ref="I2846">IFERROR(INDEX(Precios!$D:$F,MATCH(N2846, Precios!$G:$G, 0),CHOOSE(MATCH(H2846, {"SML";"XL";"XXL"}, 0), 1, 2, 3)), 0)</f>
        <v>0</v>
      </c>
      <c r="K2846" s="10">
        <f t="shared" si="96"/>
        <v>0</v>
      </c>
      <c r="N2846" s="9" t="str">
        <f t="shared" si="97"/>
        <v/>
      </c>
      <c r="O2846" s="9" t="str">
        <f>IF(N2846="","",IF(COUNTIF(Precios!$G:$G,N2846)=0,"⚠ No coincide con Precios","OK"))</f>
        <v/>
      </c>
    </row>
    <row r="2847" spans="3:15" x14ac:dyDescent="0.2">
      <c r="C2847" s="9" cm="1">
        <f t="array" ref="C2847">IFERROR(_xlfn.XLOOKUP(B2847,Personal!$A:$A,Personal!$D:$D,""),"")</f>
        <v>0</v>
      </c>
      <c r="D2847" s="9" cm="1">
        <f t="array" ref="D2847">IFERROR(_xlfn.XLOOKUP(B2847,Personal!$A:$A,Personal!$C:$C,""),"")</f>
        <v>0</v>
      </c>
      <c r="E2847" s="9" t="str" cm="1">
        <f t="array" ref="E2847">IFERROR(_xlfn.XLOOKUP(D2847,Locales!$A:$A,Locales!$B:$B,""),"")</f>
        <v/>
      </c>
      <c r="F2847" s="9" cm="1">
        <f t="array" ref="F2847">IFERROR(_xlfn.XLOOKUP(B2847,Personal!$A:$A,Personal!$F:$F,""),"")</f>
        <v>0</v>
      </c>
      <c r="I2847" s="10" cm="1">
        <f t="array" ref="I2847">IFERROR(INDEX(Precios!$D:$F,MATCH(N2847, Precios!$G:$G, 0),CHOOSE(MATCH(H2847, {"SML";"XL";"XXL"}, 0), 1, 2, 3)), 0)</f>
        <v>0</v>
      </c>
      <c r="K2847" s="10">
        <f t="shared" si="96"/>
        <v>0</v>
      </c>
      <c r="N2847" s="9" t="str">
        <f t="shared" si="97"/>
        <v/>
      </c>
      <c r="O2847" s="9" t="str">
        <f>IF(N2847="","",IF(COUNTIF(Precios!$G:$G,N2847)=0,"⚠ No coincide con Precios","OK"))</f>
        <v/>
      </c>
    </row>
    <row r="2848" spans="3:15" x14ac:dyDescent="0.2">
      <c r="C2848" s="9" cm="1">
        <f t="array" ref="C2848">IFERROR(_xlfn.XLOOKUP(B2848,Personal!$A:$A,Personal!$D:$D,""),"")</f>
        <v>0</v>
      </c>
      <c r="D2848" s="9" cm="1">
        <f t="array" ref="D2848">IFERROR(_xlfn.XLOOKUP(B2848,Personal!$A:$A,Personal!$C:$C,""),"")</f>
        <v>0</v>
      </c>
      <c r="E2848" s="9" t="str" cm="1">
        <f t="array" ref="E2848">IFERROR(_xlfn.XLOOKUP(D2848,Locales!$A:$A,Locales!$B:$B,""),"")</f>
        <v/>
      </c>
      <c r="F2848" s="9" cm="1">
        <f t="array" ref="F2848">IFERROR(_xlfn.XLOOKUP(B2848,Personal!$A:$A,Personal!$F:$F,""),"")</f>
        <v>0</v>
      </c>
      <c r="I2848" s="10" cm="1">
        <f t="array" ref="I2848">IFERROR(INDEX(Precios!$D:$F,MATCH(N2848, Precios!$G:$G, 0),CHOOSE(MATCH(H2848, {"SML";"XL";"XXL"}, 0), 1, 2, 3)), 0)</f>
        <v>0</v>
      </c>
      <c r="K2848" s="10">
        <f t="shared" si="96"/>
        <v>0</v>
      </c>
      <c r="N2848" s="9" t="str">
        <f t="shared" si="97"/>
        <v/>
      </c>
      <c r="O2848" s="9" t="str">
        <f>IF(N2848="","",IF(COUNTIF(Precios!$G:$G,N2848)=0,"⚠ No coincide con Precios","OK"))</f>
        <v/>
      </c>
    </row>
    <row r="2849" spans="3:15" x14ac:dyDescent="0.2">
      <c r="C2849" s="9" cm="1">
        <f t="array" ref="C2849">IFERROR(_xlfn.XLOOKUP(B2849,Personal!$A:$A,Personal!$D:$D,""),"")</f>
        <v>0</v>
      </c>
      <c r="D2849" s="9" cm="1">
        <f t="array" ref="D2849">IFERROR(_xlfn.XLOOKUP(B2849,Personal!$A:$A,Personal!$C:$C,""),"")</f>
        <v>0</v>
      </c>
      <c r="E2849" s="9" t="str" cm="1">
        <f t="array" ref="E2849">IFERROR(_xlfn.XLOOKUP(D2849,Locales!$A:$A,Locales!$B:$B,""),"")</f>
        <v/>
      </c>
      <c r="F2849" s="9" cm="1">
        <f t="array" ref="F2849">IFERROR(_xlfn.XLOOKUP(B2849,Personal!$A:$A,Personal!$F:$F,""),"")</f>
        <v>0</v>
      </c>
      <c r="I2849" s="10" cm="1">
        <f t="array" ref="I2849">IFERROR(INDEX(Precios!$D:$F,MATCH(N2849, Precios!$G:$G, 0),CHOOSE(MATCH(H2849, {"SML";"XL";"XXL"}, 0), 1, 2, 3)), 0)</f>
        <v>0</v>
      </c>
      <c r="K2849" s="10">
        <f t="shared" si="96"/>
        <v>0</v>
      </c>
      <c r="N2849" s="9" t="str">
        <f t="shared" si="97"/>
        <v/>
      </c>
      <c r="O2849" s="9" t="str">
        <f>IF(N2849="","",IF(COUNTIF(Precios!$G:$G,N2849)=0,"⚠ No coincide con Precios","OK"))</f>
        <v/>
      </c>
    </row>
    <row r="2850" spans="3:15" x14ac:dyDescent="0.2">
      <c r="C2850" s="9" cm="1">
        <f t="array" ref="C2850">IFERROR(_xlfn.XLOOKUP(B2850,Personal!$A:$A,Personal!$D:$D,""),"")</f>
        <v>0</v>
      </c>
      <c r="D2850" s="9" cm="1">
        <f t="array" ref="D2850">IFERROR(_xlfn.XLOOKUP(B2850,Personal!$A:$A,Personal!$C:$C,""),"")</f>
        <v>0</v>
      </c>
      <c r="E2850" s="9" t="str" cm="1">
        <f t="array" ref="E2850">IFERROR(_xlfn.XLOOKUP(D2850,Locales!$A:$A,Locales!$B:$B,""),"")</f>
        <v/>
      </c>
      <c r="F2850" s="9" cm="1">
        <f t="array" ref="F2850">IFERROR(_xlfn.XLOOKUP(B2850,Personal!$A:$A,Personal!$F:$F,""),"")</f>
        <v>0</v>
      </c>
      <c r="I2850" s="10" cm="1">
        <f t="array" ref="I2850">IFERROR(INDEX(Precios!$D:$F,MATCH(N2850, Precios!$G:$G, 0),CHOOSE(MATCH(H2850, {"SML";"XL";"XXL"}, 0), 1, 2, 3)), 0)</f>
        <v>0</v>
      </c>
      <c r="K2850" s="10">
        <f t="shared" si="96"/>
        <v>0</v>
      </c>
      <c r="N2850" s="9" t="str">
        <f t="shared" si="97"/>
        <v/>
      </c>
      <c r="O2850" s="9" t="str">
        <f>IF(N2850="","",IF(COUNTIF(Precios!$G:$G,N2850)=0,"⚠ No coincide con Precios","OK"))</f>
        <v/>
      </c>
    </row>
    <row r="2851" spans="3:15" x14ac:dyDescent="0.2">
      <c r="C2851" s="9" cm="1">
        <f t="array" ref="C2851">IFERROR(_xlfn.XLOOKUP(B2851,Personal!$A:$A,Personal!$D:$D,""),"")</f>
        <v>0</v>
      </c>
      <c r="D2851" s="9" cm="1">
        <f t="array" ref="D2851">IFERROR(_xlfn.XLOOKUP(B2851,Personal!$A:$A,Personal!$C:$C,""),"")</f>
        <v>0</v>
      </c>
      <c r="E2851" s="9" t="str" cm="1">
        <f t="array" ref="E2851">IFERROR(_xlfn.XLOOKUP(D2851,Locales!$A:$A,Locales!$B:$B,""),"")</f>
        <v/>
      </c>
      <c r="F2851" s="9" cm="1">
        <f t="array" ref="F2851">IFERROR(_xlfn.XLOOKUP(B2851,Personal!$A:$A,Personal!$F:$F,""),"")</f>
        <v>0</v>
      </c>
      <c r="I2851" s="10" cm="1">
        <f t="array" ref="I2851">IFERROR(INDEX(Precios!$D:$F,MATCH(N2851, Precios!$G:$G, 0),CHOOSE(MATCH(H2851, {"SML";"XL";"XXL"}, 0), 1, 2, 3)), 0)</f>
        <v>0</v>
      </c>
      <c r="K2851" s="10">
        <f t="shared" si="96"/>
        <v>0</v>
      </c>
      <c r="N2851" s="9" t="str">
        <f t="shared" si="97"/>
        <v/>
      </c>
      <c r="O2851" s="9" t="str">
        <f>IF(N2851="","",IF(COUNTIF(Precios!$G:$G,N2851)=0,"⚠ No coincide con Precios","OK"))</f>
        <v/>
      </c>
    </row>
    <row r="2852" spans="3:15" x14ac:dyDescent="0.2">
      <c r="C2852" s="9" cm="1">
        <f t="array" ref="C2852">IFERROR(_xlfn.XLOOKUP(B2852,Personal!$A:$A,Personal!$D:$D,""),"")</f>
        <v>0</v>
      </c>
      <c r="D2852" s="9" cm="1">
        <f t="array" ref="D2852">IFERROR(_xlfn.XLOOKUP(B2852,Personal!$A:$A,Personal!$C:$C,""),"")</f>
        <v>0</v>
      </c>
      <c r="E2852" s="9" t="str" cm="1">
        <f t="array" ref="E2852">IFERROR(_xlfn.XLOOKUP(D2852,Locales!$A:$A,Locales!$B:$B,""),"")</f>
        <v/>
      </c>
      <c r="F2852" s="9" cm="1">
        <f t="array" ref="F2852">IFERROR(_xlfn.XLOOKUP(B2852,Personal!$A:$A,Personal!$F:$F,""),"")</f>
        <v>0</v>
      </c>
      <c r="I2852" s="10" cm="1">
        <f t="array" ref="I2852">IFERROR(INDEX(Precios!$D:$F,MATCH(N2852, Precios!$G:$G, 0),CHOOSE(MATCH(H2852, {"SML";"XL";"XXL"}, 0), 1, 2, 3)), 0)</f>
        <v>0</v>
      </c>
      <c r="K2852" s="10">
        <f t="shared" si="96"/>
        <v>0</v>
      </c>
      <c r="N2852" s="9" t="str">
        <f t="shared" si="97"/>
        <v/>
      </c>
      <c r="O2852" s="9" t="str">
        <f>IF(N2852="","",IF(COUNTIF(Precios!$G:$G,N2852)=0,"⚠ No coincide con Precios","OK"))</f>
        <v/>
      </c>
    </row>
    <row r="2853" spans="3:15" x14ac:dyDescent="0.2">
      <c r="C2853" s="9" cm="1">
        <f t="array" ref="C2853">IFERROR(_xlfn.XLOOKUP(B2853,Personal!$A:$A,Personal!$D:$D,""),"")</f>
        <v>0</v>
      </c>
      <c r="D2853" s="9" cm="1">
        <f t="array" ref="D2853">IFERROR(_xlfn.XLOOKUP(B2853,Personal!$A:$A,Personal!$C:$C,""),"")</f>
        <v>0</v>
      </c>
      <c r="E2853" s="9" t="str" cm="1">
        <f t="array" ref="E2853">IFERROR(_xlfn.XLOOKUP(D2853,Locales!$A:$A,Locales!$B:$B,""),"")</f>
        <v/>
      </c>
      <c r="F2853" s="9" cm="1">
        <f t="array" ref="F2853">IFERROR(_xlfn.XLOOKUP(B2853,Personal!$A:$A,Personal!$F:$F,""),"")</f>
        <v>0</v>
      </c>
      <c r="I2853" s="10" cm="1">
        <f t="array" ref="I2853">IFERROR(INDEX(Precios!$D:$F,MATCH(N2853, Precios!$G:$G, 0),CHOOSE(MATCH(H2853, {"SML";"XL";"XXL"}, 0), 1, 2, 3)), 0)</f>
        <v>0</v>
      </c>
      <c r="K2853" s="10">
        <f t="shared" si="96"/>
        <v>0</v>
      </c>
      <c r="N2853" s="9" t="str">
        <f t="shared" si="97"/>
        <v/>
      </c>
      <c r="O2853" s="9" t="str">
        <f>IF(N2853="","",IF(COUNTIF(Precios!$G:$G,N2853)=0,"⚠ No coincide con Precios","OK"))</f>
        <v/>
      </c>
    </row>
    <row r="2854" spans="3:15" x14ac:dyDescent="0.2">
      <c r="C2854" s="9" cm="1">
        <f t="array" ref="C2854">IFERROR(_xlfn.XLOOKUP(B2854,Personal!$A:$A,Personal!$D:$D,""),"")</f>
        <v>0</v>
      </c>
      <c r="D2854" s="9" cm="1">
        <f t="array" ref="D2854">IFERROR(_xlfn.XLOOKUP(B2854,Personal!$A:$A,Personal!$C:$C,""),"")</f>
        <v>0</v>
      </c>
      <c r="E2854" s="9" t="str" cm="1">
        <f t="array" ref="E2854">IFERROR(_xlfn.XLOOKUP(D2854,Locales!$A:$A,Locales!$B:$B,""),"")</f>
        <v/>
      </c>
      <c r="F2854" s="9" cm="1">
        <f t="array" ref="F2854">IFERROR(_xlfn.XLOOKUP(B2854,Personal!$A:$A,Personal!$F:$F,""),"")</f>
        <v>0</v>
      </c>
      <c r="I2854" s="10" cm="1">
        <f t="array" ref="I2854">IFERROR(INDEX(Precios!$D:$F,MATCH(N2854, Precios!$G:$G, 0),CHOOSE(MATCH(H2854, {"SML";"XL";"XXL"}, 0), 1, 2, 3)), 0)</f>
        <v>0</v>
      </c>
      <c r="K2854" s="10">
        <f t="shared" si="96"/>
        <v>0</v>
      </c>
      <c r="N2854" s="9" t="str">
        <f t="shared" si="97"/>
        <v/>
      </c>
      <c r="O2854" s="9" t="str">
        <f>IF(N2854="","",IF(COUNTIF(Precios!$G:$G,N2854)=0,"⚠ No coincide con Precios","OK"))</f>
        <v/>
      </c>
    </row>
    <row r="2855" spans="3:15" x14ac:dyDescent="0.2">
      <c r="C2855" s="9" cm="1">
        <f t="array" ref="C2855">IFERROR(_xlfn.XLOOKUP(B2855,Personal!$A:$A,Personal!$D:$D,""),"")</f>
        <v>0</v>
      </c>
      <c r="D2855" s="9" cm="1">
        <f t="array" ref="D2855">IFERROR(_xlfn.XLOOKUP(B2855,Personal!$A:$A,Personal!$C:$C,""),"")</f>
        <v>0</v>
      </c>
      <c r="E2855" s="9" t="str" cm="1">
        <f t="array" ref="E2855">IFERROR(_xlfn.XLOOKUP(D2855,Locales!$A:$A,Locales!$B:$B,""),"")</f>
        <v/>
      </c>
      <c r="F2855" s="9" cm="1">
        <f t="array" ref="F2855">IFERROR(_xlfn.XLOOKUP(B2855,Personal!$A:$A,Personal!$F:$F,""),"")</f>
        <v>0</v>
      </c>
      <c r="I2855" s="10" cm="1">
        <f t="array" ref="I2855">IFERROR(INDEX(Precios!$D:$F,MATCH(N2855, Precios!$G:$G, 0),CHOOSE(MATCH(H2855, {"SML";"XL";"XXL"}, 0), 1, 2, 3)), 0)</f>
        <v>0</v>
      </c>
      <c r="K2855" s="10">
        <f t="shared" si="96"/>
        <v>0</v>
      </c>
      <c r="N2855" s="9" t="str">
        <f t="shared" si="97"/>
        <v/>
      </c>
      <c r="O2855" s="9" t="str">
        <f>IF(N2855="","",IF(COUNTIF(Precios!$G:$G,N2855)=0,"⚠ No coincide con Precios","OK"))</f>
        <v/>
      </c>
    </row>
    <row r="2856" spans="3:15" x14ac:dyDescent="0.2">
      <c r="C2856" s="9" cm="1">
        <f t="array" ref="C2856">IFERROR(_xlfn.XLOOKUP(B2856,Personal!$A:$A,Personal!$D:$D,""),"")</f>
        <v>0</v>
      </c>
      <c r="D2856" s="9" cm="1">
        <f t="array" ref="D2856">IFERROR(_xlfn.XLOOKUP(B2856,Personal!$A:$A,Personal!$C:$C,""),"")</f>
        <v>0</v>
      </c>
      <c r="E2856" s="9" t="str" cm="1">
        <f t="array" ref="E2856">IFERROR(_xlfn.XLOOKUP(D2856,Locales!$A:$A,Locales!$B:$B,""),"")</f>
        <v/>
      </c>
      <c r="F2856" s="9" cm="1">
        <f t="array" ref="F2856">IFERROR(_xlfn.XLOOKUP(B2856,Personal!$A:$A,Personal!$F:$F,""),"")</f>
        <v>0</v>
      </c>
      <c r="I2856" s="10" cm="1">
        <f t="array" ref="I2856">IFERROR(INDEX(Precios!$D:$F,MATCH(N2856, Precios!$G:$G, 0),CHOOSE(MATCH(H2856, {"SML";"XL";"XXL"}, 0), 1, 2, 3)), 0)</f>
        <v>0</v>
      </c>
      <c r="K2856" s="10">
        <f t="shared" si="96"/>
        <v>0</v>
      </c>
      <c r="N2856" s="9" t="str">
        <f t="shared" si="97"/>
        <v/>
      </c>
      <c r="O2856" s="9" t="str">
        <f>IF(N2856="","",IF(COUNTIF(Precios!$G:$G,N2856)=0,"⚠ No coincide con Precios","OK"))</f>
        <v/>
      </c>
    </row>
    <row r="2857" spans="3:15" x14ac:dyDescent="0.2">
      <c r="C2857" s="9" cm="1">
        <f t="array" ref="C2857">IFERROR(_xlfn.XLOOKUP(B2857,Personal!$A:$A,Personal!$D:$D,""),"")</f>
        <v>0</v>
      </c>
      <c r="D2857" s="9" cm="1">
        <f t="array" ref="D2857">IFERROR(_xlfn.XLOOKUP(B2857,Personal!$A:$A,Personal!$C:$C,""),"")</f>
        <v>0</v>
      </c>
      <c r="E2857" s="9" t="str" cm="1">
        <f t="array" ref="E2857">IFERROR(_xlfn.XLOOKUP(D2857,Locales!$A:$A,Locales!$B:$B,""),"")</f>
        <v/>
      </c>
      <c r="F2857" s="9" cm="1">
        <f t="array" ref="F2857">IFERROR(_xlfn.XLOOKUP(B2857,Personal!$A:$A,Personal!$F:$F,""),"")</f>
        <v>0</v>
      </c>
      <c r="I2857" s="10" cm="1">
        <f t="array" ref="I2857">IFERROR(INDEX(Precios!$D:$F,MATCH(N2857, Precios!$G:$G, 0),CHOOSE(MATCH(H2857, {"SML";"XL";"XXL"}, 0), 1, 2, 3)), 0)</f>
        <v>0</v>
      </c>
      <c r="K2857" s="10">
        <f t="shared" si="96"/>
        <v>0</v>
      </c>
      <c r="N2857" s="9" t="str">
        <f t="shared" si="97"/>
        <v/>
      </c>
      <c r="O2857" s="9" t="str">
        <f>IF(N2857="","",IF(COUNTIF(Precios!$G:$G,N2857)=0,"⚠ No coincide con Precios","OK"))</f>
        <v/>
      </c>
    </row>
    <row r="2858" spans="3:15" x14ac:dyDescent="0.2">
      <c r="C2858" s="9" cm="1">
        <f t="array" ref="C2858">IFERROR(_xlfn.XLOOKUP(B2858,Personal!$A:$A,Personal!$D:$D,""),"")</f>
        <v>0</v>
      </c>
      <c r="D2858" s="9" cm="1">
        <f t="array" ref="D2858">IFERROR(_xlfn.XLOOKUP(B2858,Personal!$A:$A,Personal!$C:$C,""),"")</f>
        <v>0</v>
      </c>
      <c r="E2858" s="9" t="str" cm="1">
        <f t="array" ref="E2858">IFERROR(_xlfn.XLOOKUP(D2858,Locales!$A:$A,Locales!$B:$B,""),"")</f>
        <v/>
      </c>
      <c r="F2858" s="9" cm="1">
        <f t="array" ref="F2858">IFERROR(_xlfn.XLOOKUP(B2858,Personal!$A:$A,Personal!$F:$F,""),"")</f>
        <v>0</v>
      </c>
      <c r="I2858" s="10" cm="1">
        <f t="array" ref="I2858">IFERROR(INDEX(Precios!$D:$F,MATCH(N2858, Precios!$G:$G, 0),CHOOSE(MATCH(H2858, {"SML";"XL";"XXL"}, 0), 1, 2, 3)), 0)</f>
        <v>0</v>
      </c>
      <c r="K2858" s="10">
        <f t="shared" si="96"/>
        <v>0</v>
      </c>
      <c r="N2858" s="9" t="str">
        <f t="shared" si="97"/>
        <v/>
      </c>
      <c r="O2858" s="9" t="str">
        <f>IF(N2858="","",IF(COUNTIF(Precios!$G:$G,N2858)=0,"⚠ No coincide con Precios","OK"))</f>
        <v/>
      </c>
    </row>
    <row r="2859" spans="3:15" x14ac:dyDescent="0.2">
      <c r="C2859" s="9" cm="1">
        <f t="array" ref="C2859">IFERROR(_xlfn.XLOOKUP(B2859,Personal!$A:$A,Personal!$D:$D,""),"")</f>
        <v>0</v>
      </c>
      <c r="D2859" s="9" cm="1">
        <f t="array" ref="D2859">IFERROR(_xlfn.XLOOKUP(B2859,Personal!$A:$A,Personal!$C:$C,""),"")</f>
        <v>0</v>
      </c>
      <c r="E2859" s="9" t="str" cm="1">
        <f t="array" ref="E2859">IFERROR(_xlfn.XLOOKUP(D2859,Locales!$A:$A,Locales!$B:$B,""),"")</f>
        <v/>
      </c>
      <c r="F2859" s="9" cm="1">
        <f t="array" ref="F2859">IFERROR(_xlfn.XLOOKUP(B2859,Personal!$A:$A,Personal!$F:$F,""),"")</f>
        <v>0</v>
      </c>
      <c r="I2859" s="10" cm="1">
        <f t="array" ref="I2859">IFERROR(INDEX(Precios!$D:$F,MATCH(N2859, Precios!$G:$G, 0),CHOOSE(MATCH(H2859, {"SML";"XL";"XXL"}, 0), 1, 2, 3)), 0)</f>
        <v>0</v>
      </c>
      <c r="K2859" s="10">
        <f t="shared" si="96"/>
        <v>0</v>
      </c>
      <c r="N2859" s="9" t="str">
        <f t="shared" si="97"/>
        <v/>
      </c>
      <c r="O2859" s="9" t="str">
        <f>IF(N2859="","",IF(COUNTIF(Precios!$G:$G,N2859)=0,"⚠ No coincide con Precios","OK"))</f>
        <v/>
      </c>
    </row>
    <row r="2860" spans="3:15" x14ac:dyDescent="0.2">
      <c r="C2860" s="9" cm="1">
        <f t="array" ref="C2860">IFERROR(_xlfn.XLOOKUP(B2860,Personal!$A:$A,Personal!$D:$D,""),"")</f>
        <v>0</v>
      </c>
      <c r="D2860" s="9" cm="1">
        <f t="array" ref="D2860">IFERROR(_xlfn.XLOOKUP(B2860,Personal!$A:$A,Personal!$C:$C,""),"")</f>
        <v>0</v>
      </c>
      <c r="E2860" s="9" t="str" cm="1">
        <f t="array" ref="E2860">IFERROR(_xlfn.XLOOKUP(D2860,Locales!$A:$A,Locales!$B:$B,""),"")</f>
        <v/>
      </c>
      <c r="F2860" s="9" cm="1">
        <f t="array" ref="F2860">IFERROR(_xlfn.XLOOKUP(B2860,Personal!$A:$A,Personal!$F:$F,""),"")</f>
        <v>0</v>
      </c>
      <c r="I2860" s="10" cm="1">
        <f t="array" ref="I2860">IFERROR(INDEX(Precios!$D:$F,MATCH(N2860, Precios!$G:$G, 0),CHOOSE(MATCH(H2860, {"SML";"XL";"XXL"}, 0), 1, 2, 3)), 0)</f>
        <v>0</v>
      </c>
      <c r="K2860" s="10">
        <f t="shared" si="96"/>
        <v>0</v>
      </c>
      <c r="N2860" s="9" t="str">
        <f t="shared" si="97"/>
        <v/>
      </c>
      <c r="O2860" s="9" t="str">
        <f>IF(N2860="","",IF(COUNTIF(Precios!$G:$G,N2860)=0,"⚠ No coincide con Precios","OK"))</f>
        <v/>
      </c>
    </row>
    <row r="2861" spans="3:15" x14ac:dyDescent="0.2">
      <c r="C2861" s="9" cm="1">
        <f t="array" ref="C2861">IFERROR(_xlfn.XLOOKUP(B2861,Personal!$A:$A,Personal!$D:$D,""),"")</f>
        <v>0</v>
      </c>
      <c r="D2861" s="9" cm="1">
        <f t="array" ref="D2861">IFERROR(_xlfn.XLOOKUP(B2861,Personal!$A:$A,Personal!$C:$C,""),"")</f>
        <v>0</v>
      </c>
      <c r="E2861" s="9" t="str" cm="1">
        <f t="array" ref="E2861">IFERROR(_xlfn.XLOOKUP(D2861,Locales!$A:$A,Locales!$B:$B,""),"")</f>
        <v/>
      </c>
      <c r="F2861" s="9" cm="1">
        <f t="array" ref="F2861">IFERROR(_xlfn.XLOOKUP(B2861,Personal!$A:$A,Personal!$F:$F,""),"")</f>
        <v>0</v>
      </c>
      <c r="I2861" s="10" cm="1">
        <f t="array" ref="I2861">IFERROR(INDEX(Precios!$D:$F,MATCH(N2861, Precios!$G:$G, 0),CHOOSE(MATCH(H2861, {"SML";"XL";"XXL"}, 0), 1, 2, 3)), 0)</f>
        <v>0</v>
      </c>
      <c r="K2861" s="10">
        <f t="shared" si="96"/>
        <v>0</v>
      </c>
      <c r="N2861" s="9" t="str">
        <f t="shared" si="97"/>
        <v/>
      </c>
      <c r="O2861" s="9" t="str">
        <f>IF(N2861="","",IF(COUNTIF(Precios!$G:$G,N2861)=0,"⚠ No coincide con Precios","OK"))</f>
        <v/>
      </c>
    </row>
    <row r="2862" spans="3:15" x14ac:dyDescent="0.2">
      <c r="C2862" s="9" cm="1">
        <f t="array" ref="C2862">IFERROR(_xlfn.XLOOKUP(B2862,Personal!$A:$A,Personal!$D:$D,""),"")</f>
        <v>0</v>
      </c>
      <c r="D2862" s="9" cm="1">
        <f t="array" ref="D2862">IFERROR(_xlfn.XLOOKUP(B2862,Personal!$A:$A,Personal!$C:$C,""),"")</f>
        <v>0</v>
      </c>
      <c r="E2862" s="9" t="str" cm="1">
        <f t="array" ref="E2862">IFERROR(_xlfn.XLOOKUP(D2862,Locales!$A:$A,Locales!$B:$B,""),"")</f>
        <v/>
      </c>
      <c r="F2862" s="9" cm="1">
        <f t="array" ref="F2862">IFERROR(_xlfn.XLOOKUP(B2862,Personal!$A:$A,Personal!$F:$F,""),"")</f>
        <v>0</v>
      </c>
      <c r="I2862" s="10" cm="1">
        <f t="array" ref="I2862">IFERROR(INDEX(Precios!$D:$F,MATCH(N2862, Precios!$G:$G, 0),CHOOSE(MATCH(H2862, {"SML";"XL";"XXL"}, 0), 1, 2, 3)), 0)</f>
        <v>0</v>
      </c>
      <c r="K2862" s="10">
        <f t="shared" si="96"/>
        <v>0</v>
      </c>
      <c r="N2862" s="9" t="str">
        <f t="shared" si="97"/>
        <v/>
      </c>
      <c r="O2862" s="9" t="str">
        <f>IF(N2862="","",IF(COUNTIF(Precios!$G:$G,N2862)=0,"⚠ No coincide con Precios","OK"))</f>
        <v/>
      </c>
    </row>
    <row r="2863" spans="3:15" x14ac:dyDescent="0.2">
      <c r="C2863" s="9" cm="1">
        <f t="array" ref="C2863">IFERROR(_xlfn.XLOOKUP(B2863,Personal!$A:$A,Personal!$D:$D,""),"")</f>
        <v>0</v>
      </c>
      <c r="D2863" s="9" cm="1">
        <f t="array" ref="D2863">IFERROR(_xlfn.XLOOKUP(B2863,Personal!$A:$A,Personal!$C:$C,""),"")</f>
        <v>0</v>
      </c>
      <c r="E2863" s="9" t="str" cm="1">
        <f t="array" ref="E2863">IFERROR(_xlfn.XLOOKUP(D2863,Locales!$A:$A,Locales!$B:$B,""),"")</f>
        <v/>
      </c>
      <c r="F2863" s="9" cm="1">
        <f t="array" ref="F2863">IFERROR(_xlfn.XLOOKUP(B2863,Personal!$A:$A,Personal!$F:$F,""),"")</f>
        <v>0</v>
      </c>
      <c r="I2863" s="10" cm="1">
        <f t="array" ref="I2863">IFERROR(INDEX(Precios!$D:$F,MATCH(N2863, Precios!$G:$G, 0),CHOOSE(MATCH(H2863, {"SML";"XL";"XXL"}, 0), 1, 2, 3)), 0)</f>
        <v>0</v>
      </c>
      <c r="K2863" s="10">
        <f t="shared" si="96"/>
        <v>0</v>
      </c>
      <c r="N2863" s="9" t="str">
        <f t="shared" si="97"/>
        <v/>
      </c>
      <c r="O2863" s="9" t="str">
        <f>IF(N2863="","",IF(COUNTIF(Precios!$G:$G,N2863)=0,"⚠ No coincide con Precios","OK"))</f>
        <v/>
      </c>
    </row>
    <row r="2864" spans="3:15" x14ac:dyDescent="0.2">
      <c r="C2864" s="9" cm="1">
        <f t="array" ref="C2864">IFERROR(_xlfn.XLOOKUP(B2864,Personal!$A:$A,Personal!$D:$D,""),"")</f>
        <v>0</v>
      </c>
      <c r="D2864" s="9" cm="1">
        <f t="array" ref="D2864">IFERROR(_xlfn.XLOOKUP(B2864,Personal!$A:$A,Personal!$C:$C,""),"")</f>
        <v>0</v>
      </c>
      <c r="E2864" s="9" t="str" cm="1">
        <f t="array" ref="E2864">IFERROR(_xlfn.XLOOKUP(D2864,Locales!$A:$A,Locales!$B:$B,""),"")</f>
        <v/>
      </c>
      <c r="F2864" s="9" cm="1">
        <f t="array" ref="F2864">IFERROR(_xlfn.XLOOKUP(B2864,Personal!$A:$A,Personal!$F:$F,""),"")</f>
        <v>0</v>
      </c>
      <c r="I2864" s="10" cm="1">
        <f t="array" ref="I2864">IFERROR(INDEX(Precios!$D:$F,MATCH(N2864, Precios!$G:$G, 0),CHOOSE(MATCH(H2864, {"SML";"XL";"XXL"}, 0), 1, 2, 3)), 0)</f>
        <v>0</v>
      </c>
      <c r="K2864" s="10">
        <f t="shared" si="96"/>
        <v>0</v>
      </c>
      <c r="N2864" s="9" t="str">
        <f t="shared" si="97"/>
        <v/>
      </c>
      <c r="O2864" s="9" t="str">
        <f>IF(N2864="","",IF(COUNTIF(Precios!$G:$G,N2864)=0,"⚠ No coincide con Precios","OK"))</f>
        <v/>
      </c>
    </row>
    <row r="2865" spans="3:15" x14ac:dyDescent="0.2">
      <c r="C2865" s="9" cm="1">
        <f t="array" ref="C2865">IFERROR(_xlfn.XLOOKUP(B2865,Personal!$A:$A,Personal!$D:$D,""),"")</f>
        <v>0</v>
      </c>
      <c r="D2865" s="9" cm="1">
        <f t="array" ref="D2865">IFERROR(_xlfn.XLOOKUP(B2865,Personal!$A:$A,Personal!$C:$C,""),"")</f>
        <v>0</v>
      </c>
      <c r="E2865" s="9" t="str" cm="1">
        <f t="array" ref="E2865">IFERROR(_xlfn.XLOOKUP(D2865,Locales!$A:$A,Locales!$B:$B,""),"")</f>
        <v/>
      </c>
      <c r="F2865" s="9" cm="1">
        <f t="array" ref="F2865">IFERROR(_xlfn.XLOOKUP(B2865,Personal!$A:$A,Personal!$F:$F,""),"")</f>
        <v>0</v>
      </c>
      <c r="I2865" s="10" cm="1">
        <f t="array" ref="I2865">IFERROR(INDEX(Precios!$D:$F,MATCH(N2865, Precios!$G:$G, 0),CHOOSE(MATCH(H2865, {"SML";"XL";"XXL"}, 0), 1, 2, 3)), 0)</f>
        <v>0</v>
      </c>
      <c r="K2865" s="10">
        <f t="shared" si="96"/>
        <v>0</v>
      </c>
      <c r="N2865" s="9" t="str">
        <f t="shared" si="97"/>
        <v/>
      </c>
      <c r="O2865" s="9" t="str">
        <f>IF(N2865="","",IF(COUNTIF(Precios!$G:$G,N2865)=0,"⚠ No coincide con Precios","OK"))</f>
        <v/>
      </c>
    </row>
    <row r="2866" spans="3:15" x14ac:dyDescent="0.2">
      <c r="C2866" s="9" cm="1">
        <f t="array" ref="C2866">IFERROR(_xlfn.XLOOKUP(B2866,Personal!$A:$A,Personal!$D:$D,""),"")</f>
        <v>0</v>
      </c>
      <c r="D2866" s="9" cm="1">
        <f t="array" ref="D2866">IFERROR(_xlfn.XLOOKUP(B2866,Personal!$A:$A,Personal!$C:$C,""),"")</f>
        <v>0</v>
      </c>
      <c r="E2866" s="9" t="str" cm="1">
        <f t="array" ref="E2866">IFERROR(_xlfn.XLOOKUP(D2866,Locales!$A:$A,Locales!$B:$B,""),"")</f>
        <v/>
      </c>
      <c r="F2866" s="9" cm="1">
        <f t="array" ref="F2866">IFERROR(_xlfn.XLOOKUP(B2866,Personal!$A:$A,Personal!$F:$F,""),"")</f>
        <v>0</v>
      </c>
      <c r="I2866" s="10" cm="1">
        <f t="array" ref="I2866">IFERROR(INDEX(Precios!$D:$F,MATCH(N2866, Precios!$G:$G, 0),CHOOSE(MATCH(H2866, {"SML";"XL";"XXL"}, 0), 1, 2, 3)), 0)</f>
        <v>0</v>
      </c>
      <c r="K2866" s="10">
        <f t="shared" si="96"/>
        <v>0</v>
      </c>
      <c r="N2866" s="9" t="str">
        <f t="shared" si="97"/>
        <v/>
      </c>
      <c r="O2866" s="9" t="str">
        <f>IF(N2866="","",IF(COUNTIF(Precios!$G:$G,N2866)=0,"⚠ No coincide con Precios","OK"))</f>
        <v/>
      </c>
    </row>
    <row r="2867" spans="3:15" x14ac:dyDescent="0.2">
      <c r="C2867" s="9" cm="1">
        <f t="array" ref="C2867">IFERROR(_xlfn.XLOOKUP(B2867,Personal!$A:$A,Personal!$D:$D,""),"")</f>
        <v>0</v>
      </c>
      <c r="D2867" s="9" cm="1">
        <f t="array" ref="D2867">IFERROR(_xlfn.XLOOKUP(B2867,Personal!$A:$A,Personal!$C:$C,""),"")</f>
        <v>0</v>
      </c>
      <c r="E2867" s="9" t="str" cm="1">
        <f t="array" ref="E2867">IFERROR(_xlfn.XLOOKUP(D2867,Locales!$A:$A,Locales!$B:$B,""),"")</f>
        <v/>
      </c>
      <c r="F2867" s="9" cm="1">
        <f t="array" ref="F2867">IFERROR(_xlfn.XLOOKUP(B2867,Personal!$A:$A,Personal!$F:$F,""),"")</f>
        <v>0</v>
      </c>
      <c r="I2867" s="10" cm="1">
        <f t="array" ref="I2867">IFERROR(INDEX(Precios!$D:$F,MATCH(N2867, Precios!$G:$G, 0),CHOOSE(MATCH(H2867, {"SML";"XL";"XXL"}, 0), 1, 2, 3)), 0)</f>
        <v>0</v>
      </c>
      <c r="K2867" s="10">
        <f t="shared" si="96"/>
        <v>0</v>
      </c>
      <c r="N2867" s="9" t="str">
        <f t="shared" si="97"/>
        <v/>
      </c>
      <c r="O2867" s="9" t="str">
        <f>IF(N2867="","",IF(COUNTIF(Precios!$G:$G,N2867)=0,"⚠ No coincide con Precios","OK"))</f>
        <v/>
      </c>
    </row>
    <row r="2868" spans="3:15" x14ac:dyDescent="0.2">
      <c r="C2868" s="9" cm="1">
        <f t="array" ref="C2868">IFERROR(_xlfn.XLOOKUP(B2868,Personal!$A:$A,Personal!$D:$D,""),"")</f>
        <v>0</v>
      </c>
      <c r="D2868" s="9" cm="1">
        <f t="array" ref="D2868">IFERROR(_xlfn.XLOOKUP(B2868,Personal!$A:$A,Personal!$C:$C,""),"")</f>
        <v>0</v>
      </c>
      <c r="E2868" s="9" t="str" cm="1">
        <f t="array" ref="E2868">IFERROR(_xlfn.XLOOKUP(D2868,Locales!$A:$A,Locales!$B:$B,""),"")</f>
        <v/>
      </c>
      <c r="F2868" s="9" cm="1">
        <f t="array" ref="F2868">IFERROR(_xlfn.XLOOKUP(B2868,Personal!$A:$A,Personal!$F:$F,""),"")</f>
        <v>0</v>
      </c>
      <c r="I2868" s="10" cm="1">
        <f t="array" ref="I2868">IFERROR(INDEX(Precios!$D:$F,MATCH(N2868, Precios!$G:$G, 0),CHOOSE(MATCH(H2868, {"SML";"XL";"XXL"}, 0), 1, 2, 3)), 0)</f>
        <v>0</v>
      </c>
      <c r="K2868" s="10">
        <f t="shared" si="96"/>
        <v>0</v>
      </c>
      <c r="N2868" s="9" t="str">
        <f t="shared" si="97"/>
        <v/>
      </c>
      <c r="O2868" s="9" t="str">
        <f>IF(N2868="","",IF(COUNTIF(Precios!$G:$G,N2868)=0,"⚠ No coincide con Precios","OK"))</f>
        <v/>
      </c>
    </row>
    <row r="2869" spans="3:15" x14ac:dyDescent="0.2">
      <c r="C2869" s="9" cm="1">
        <f t="array" ref="C2869">IFERROR(_xlfn.XLOOKUP(B2869,Personal!$A:$A,Personal!$D:$D,""),"")</f>
        <v>0</v>
      </c>
      <c r="D2869" s="9" cm="1">
        <f t="array" ref="D2869">IFERROR(_xlfn.XLOOKUP(B2869,Personal!$A:$A,Personal!$C:$C,""),"")</f>
        <v>0</v>
      </c>
      <c r="E2869" s="9" t="str" cm="1">
        <f t="array" ref="E2869">IFERROR(_xlfn.XLOOKUP(D2869,Locales!$A:$A,Locales!$B:$B,""),"")</f>
        <v/>
      </c>
      <c r="F2869" s="9" cm="1">
        <f t="array" ref="F2869">IFERROR(_xlfn.XLOOKUP(B2869,Personal!$A:$A,Personal!$F:$F,""),"")</f>
        <v>0</v>
      </c>
      <c r="I2869" s="10" cm="1">
        <f t="array" ref="I2869">IFERROR(INDEX(Precios!$D:$F,MATCH(N2869, Precios!$G:$G, 0),CHOOSE(MATCH(H2869, {"SML";"XL";"XXL"}, 0), 1, 2, 3)), 0)</f>
        <v>0</v>
      </c>
      <c r="K2869" s="10">
        <f t="shared" si="96"/>
        <v>0</v>
      </c>
      <c r="N2869" s="9" t="str">
        <f t="shared" si="97"/>
        <v/>
      </c>
      <c r="O2869" s="9" t="str">
        <f>IF(N2869="","",IF(COUNTIF(Precios!$G:$G,N2869)=0,"⚠ No coincide con Precios","OK"))</f>
        <v/>
      </c>
    </row>
    <row r="2870" spans="3:15" x14ac:dyDescent="0.2">
      <c r="C2870" s="9" cm="1">
        <f t="array" ref="C2870">IFERROR(_xlfn.XLOOKUP(B2870,Personal!$A:$A,Personal!$D:$D,""),"")</f>
        <v>0</v>
      </c>
      <c r="D2870" s="9" cm="1">
        <f t="array" ref="D2870">IFERROR(_xlfn.XLOOKUP(B2870,Personal!$A:$A,Personal!$C:$C,""),"")</f>
        <v>0</v>
      </c>
      <c r="E2870" s="9" t="str" cm="1">
        <f t="array" ref="E2870">IFERROR(_xlfn.XLOOKUP(D2870,Locales!$A:$A,Locales!$B:$B,""),"")</f>
        <v/>
      </c>
      <c r="F2870" s="9" cm="1">
        <f t="array" ref="F2870">IFERROR(_xlfn.XLOOKUP(B2870,Personal!$A:$A,Personal!$F:$F,""),"")</f>
        <v>0</v>
      </c>
      <c r="I2870" s="10" cm="1">
        <f t="array" ref="I2870">IFERROR(INDEX(Precios!$D:$F,MATCH(N2870, Precios!$G:$G, 0),CHOOSE(MATCH(H2870, {"SML";"XL";"XXL"}, 0), 1, 2, 3)), 0)</f>
        <v>0</v>
      </c>
      <c r="K2870" s="10">
        <f t="shared" si="96"/>
        <v>0</v>
      </c>
      <c r="N2870" s="9" t="str">
        <f t="shared" si="97"/>
        <v/>
      </c>
      <c r="O2870" s="9" t="str">
        <f>IF(N2870="","",IF(COUNTIF(Precios!$G:$G,N2870)=0,"⚠ No coincide con Precios","OK"))</f>
        <v/>
      </c>
    </row>
    <row r="2871" spans="3:15" x14ac:dyDescent="0.2">
      <c r="C2871" s="9" cm="1">
        <f t="array" ref="C2871">IFERROR(_xlfn.XLOOKUP(B2871,Personal!$A:$A,Personal!$D:$D,""),"")</f>
        <v>0</v>
      </c>
      <c r="D2871" s="9" cm="1">
        <f t="array" ref="D2871">IFERROR(_xlfn.XLOOKUP(B2871,Personal!$A:$A,Personal!$C:$C,""),"")</f>
        <v>0</v>
      </c>
      <c r="E2871" s="9" t="str" cm="1">
        <f t="array" ref="E2871">IFERROR(_xlfn.XLOOKUP(D2871,Locales!$A:$A,Locales!$B:$B,""),"")</f>
        <v/>
      </c>
      <c r="F2871" s="9" cm="1">
        <f t="array" ref="F2871">IFERROR(_xlfn.XLOOKUP(B2871,Personal!$A:$A,Personal!$F:$F,""),"")</f>
        <v>0</v>
      </c>
      <c r="I2871" s="10" cm="1">
        <f t="array" ref="I2871">IFERROR(INDEX(Precios!$D:$F,MATCH(N2871, Precios!$G:$G, 0),CHOOSE(MATCH(H2871, {"SML";"XL";"XXL"}, 0), 1, 2, 3)), 0)</f>
        <v>0</v>
      </c>
      <c r="K2871" s="10">
        <f t="shared" si="96"/>
        <v>0</v>
      </c>
      <c r="N2871" s="9" t="str">
        <f t="shared" si="97"/>
        <v/>
      </c>
      <c r="O2871" s="9" t="str">
        <f>IF(N2871="","",IF(COUNTIF(Precios!$G:$G,N2871)=0,"⚠ No coincide con Precios","OK"))</f>
        <v/>
      </c>
    </row>
    <row r="2872" spans="3:15" x14ac:dyDescent="0.2">
      <c r="C2872" s="9" cm="1">
        <f t="array" ref="C2872">IFERROR(_xlfn.XLOOKUP(B2872,Personal!$A:$A,Personal!$D:$D,""),"")</f>
        <v>0</v>
      </c>
      <c r="D2872" s="9" cm="1">
        <f t="array" ref="D2872">IFERROR(_xlfn.XLOOKUP(B2872,Personal!$A:$A,Personal!$C:$C,""),"")</f>
        <v>0</v>
      </c>
      <c r="E2872" s="9" t="str" cm="1">
        <f t="array" ref="E2872">IFERROR(_xlfn.XLOOKUP(D2872,Locales!$A:$A,Locales!$B:$B,""),"")</f>
        <v/>
      </c>
      <c r="F2872" s="9" cm="1">
        <f t="array" ref="F2872">IFERROR(_xlfn.XLOOKUP(B2872,Personal!$A:$A,Personal!$F:$F,""),"")</f>
        <v>0</v>
      </c>
      <c r="I2872" s="10" cm="1">
        <f t="array" ref="I2872">IFERROR(INDEX(Precios!$D:$F,MATCH(N2872, Precios!$G:$G, 0),CHOOSE(MATCH(H2872, {"SML";"XL";"XXL"}, 0), 1, 2, 3)), 0)</f>
        <v>0</v>
      </c>
      <c r="K2872" s="10">
        <f t="shared" si="96"/>
        <v>0</v>
      </c>
      <c r="N2872" s="9" t="str">
        <f t="shared" si="97"/>
        <v/>
      </c>
      <c r="O2872" s="9" t="str">
        <f>IF(N2872="","",IF(COUNTIF(Precios!$G:$G,N2872)=0,"⚠ No coincide con Precios","OK"))</f>
        <v/>
      </c>
    </row>
    <row r="2873" spans="3:15" x14ac:dyDescent="0.2">
      <c r="C2873" s="9" cm="1">
        <f t="array" ref="C2873">IFERROR(_xlfn.XLOOKUP(B2873,Personal!$A:$A,Personal!$D:$D,""),"")</f>
        <v>0</v>
      </c>
      <c r="D2873" s="9" cm="1">
        <f t="array" ref="D2873">IFERROR(_xlfn.XLOOKUP(B2873,Personal!$A:$A,Personal!$C:$C,""),"")</f>
        <v>0</v>
      </c>
      <c r="E2873" s="9" t="str" cm="1">
        <f t="array" ref="E2873">IFERROR(_xlfn.XLOOKUP(D2873,Locales!$A:$A,Locales!$B:$B,""),"")</f>
        <v/>
      </c>
      <c r="F2873" s="9" cm="1">
        <f t="array" ref="F2873">IFERROR(_xlfn.XLOOKUP(B2873,Personal!$A:$A,Personal!$F:$F,""),"")</f>
        <v>0</v>
      </c>
      <c r="I2873" s="10" cm="1">
        <f t="array" ref="I2873">IFERROR(INDEX(Precios!$D:$F,MATCH(N2873, Precios!$G:$G, 0),CHOOSE(MATCH(H2873, {"SML";"XL";"XXL"}, 0), 1, 2, 3)), 0)</f>
        <v>0</v>
      </c>
      <c r="K2873" s="10">
        <f t="shared" si="96"/>
        <v>0</v>
      </c>
      <c r="N2873" s="9" t="str">
        <f t="shared" si="97"/>
        <v/>
      </c>
      <c r="O2873" s="9" t="str">
        <f>IF(N2873="","",IF(COUNTIF(Precios!$G:$G,N2873)=0,"⚠ No coincide con Precios","OK"))</f>
        <v/>
      </c>
    </row>
    <row r="2874" spans="3:15" x14ac:dyDescent="0.2">
      <c r="C2874" s="9" cm="1">
        <f t="array" ref="C2874">IFERROR(_xlfn.XLOOKUP(B2874,Personal!$A:$A,Personal!$D:$D,""),"")</f>
        <v>0</v>
      </c>
      <c r="D2874" s="9" cm="1">
        <f t="array" ref="D2874">IFERROR(_xlfn.XLOOKUP(B2874,Personal!$A:$A,Personal!$C:$C,""),"")</f>
        <v>0</v>
      </c>
      <c r="E2874" s="9" t="str" cm="1">
        <f t="array" ref="E2874">IFERROR(_xlfn.XLOOKUP(D2874,Locales!$A:$A,Locales!$B:$B,""),"")</f>
        <v/>
      </c>
      <c r="F2874" s="9" cm="1">
        <f t="array" ref="F2874">IFERROR(_xlfn.XLOOKUP(B2874,Personal!$A:$A,Personal!$F:$F,""),"")</f>
        <v>0</v>
      </c>
      <c r="I2874" s="10" cm="1">
        <f t="array" ref="I2874">IFERROR(INDEX(Precios!$D:$F,MATCH(N2874, Precios!$G:$G, 0),CHOOSE(MATCH(H2874, {"SML";"XL";"XXL"}, 0), 1, 2, 3)), 0)</f>
        <v>0</v>
      </c>
      <c r="K2874" s="10">
        <f t="shared" si="96"/>
        <v>0</v>
      </c>
      <c r="N2874" s="9" t="str">
        <f t="shared" si="97"/>
        <v/>
      </c>
      <c r="O2874" s="9" t="str">
        <f>IF(N2874="","",IF(COUNTIF(Precios!$G:$G,N2874)=0,"⚠ No coincide con Precios","OK"))</f>
        <v/>
      </c>
    </row>
    <row r="2875" spans="3:15" x14ac:dyDescent="0.2">
      <c r="C2875" s="9" cm="1">
        <f t="array" ref="C2875">IFERROR(_xlfn.XLOOKUP(B2875,Personal!$A:$A,Personal!$D:$D,""),"")</f>
        <v>0</v>
      </c>
      <c r="D2875" s="9" cm="1">
        <f t="array" ref="D2875">IFERROR(_xlfn.XLOOKUP(B2875,Personal!$A:$A,Personal!$C:$C,""),"")</f>
        <v>0</v>
      </c>
      <c r="E2875" s="9" t="str" cm="1">
        <f t="array" ref="E2875">IFERROR(_xlfn.XLOOKUP(D2875,Locales!$A:$A,Locales!$B:$B,""),"")</f>
        <v/>
      </c>
      <c r="F2875" s="9" cm="1">
        <f t="array" ref="F2875">IFERROR(_xlfn.XLOOKUP(B2875,Personal!$A:$A,Personal!$F:$F,""),"")</f>
        <v>0</v>
      </c>
      <c r="I2875" s="10" cm="1">
        <f t="array" ref="I2875">IFERROR(INDEX(Precios!$D:$F,MATCH(N2875, Precios!$G:$G, 0),CHOOSE(MATCH(H2875, {"SML";"XL";"XXL"}, 0), 1, 2, 3)), 0)</f>
        <v>0</v>
      </c>
      <c r="K2875" s="10">
        <f t="shared" si="96"/>
        <v>0</v>
      </c>
      <c r="N2875" s="9" t="str">
        <f t="shared" si="97"/>
        <v/>
      </c>
      <c r="O2875" s="9" t="str">
        <f>IF(N2875="","",IF(COUNTIF(Precios!$G:$G,N2875)=0,"⚠ No coincide con Precios","OK"))</f>
        <v/>
      </c>
    </row>
    <row r="2876" spans="3:15" x14ac:dyDescent="0.2">
      <c r="C2876" s="9" cm="1">
        <f t="array" ref="C2876">IFERROR(_xlfn.XLOOKUP(B2876,Personal!$A:$A,Personal!$D:$D,""),"")</f>
        <v>0</v>
      </c>
      <c r="D2876" s="9" cm="1">
        <f t="array" ref="D2876">IFERROR(_xlfn.XLOOKUP(B2876,Personal!$A:$A,Personal!$C:$C,""),"")</f>
        <v>0</v>
      </c>
      <c r="E2876" s="9" t="str" cm="1">
        <f t="array" ref="E2876">IFERROR(_xlfn.XLOOKUP(D2876,Locales!$A:$A,Locales!$B:$B,""),"")</f>
        <v/>
      </c>
      <c r="F2876" s="9" cm="1">
        <f t="array" ref="F2876">IFERROR(_xlfn.XLOOKUP(B2876,Personal!$A:$A,Personal!$F:$F,""),"")</f>
        <v>0</v>
      </c>
      <c r="I2876" s="10" cm="1">
        <f t="array" ref="I2876">IFERROR(INDEX(Precios!$D:$F,MATCH(N2876, Precios!$G:$G, 0),CHOOSE(MATCH(H2876, {"SML";"XL";"XXL"}, 0), 1, 2, 3)), 0)</f>
        <v>0</v>
      </c>
      <c r="K2876" s="10">
        <f t="shared" si="96"/>
        <v>0</v>
      </c>
      <c r="N2876" s="9" t="str">
        <f t="shared" si="97"/>
        <v/>
      </c>
      <c r="O2876" s="9" t="str">
        <f>IF(N2876="","",IF(COUNTIF(Precios!$G:$G,N2876)=0,"⚠ No coincide con Precios","OK"))</f>
        <v/>
      </c>
    </row>
    <row r="2877" spans="3:15" x14ac:dyDescent="0.2">
      <c r="C2877" s="9" cm="1">
        <f t="array" ref="C2877">IFERROR(_xlfn.XLOOKUP(B2877,Personal!$A:$A,Personal!$D:$D,""),"")</f>
        <v>0</v>
      </c>
      <c r="D2877" s="9" cm="1">
        <f t="array" ref="D2877">IFERROR(_xlfn.XLOOKUP(B2877,Personal!$A:$A,Personal!$C:$C,""),"")</f>
        <v>0</v>
      </c>
      <c r="E2877" s="9" t="str" cm="1">
        <f t="array" ref="E2877">IFERROR(_xlfn.XLOOKUP(D2877,Locales!$A:$A,Locales!$B:$B,""),"")</f>
        <v/>
      </c>
      <c r="F2877" s="9" cm="1">
        <f t="array" ref="F2877">IFERROR(_xlfn.XLOOKUP(B2877,Personal!$A:$A,Personal!$F:$F,""),"")</f>
        <v>0</v>
      </c>
      <c r="I2877" s="10" cm="1">
        <f t="array" ref="I2877">IFERROR(INDEX(Precios!$D:$F,MATCH(N2877, Precios!$G:$G, 0),CHOOSE(MATCH(H2877, {"SML";"XL";"XXL"}, 0), 1, 2, 3)), 0)</f>
        <v>0</v>
      </c>
      <c r="K2877" s="10">
        <f t="shared" si="96"/>
        <v>0</v>
      </c>
      <c r="N2877" s="9" t="str">
        <f t="shared" si="97"/>
        <v/>
      </c>
      <c r="O2877" s="9" t="str">
        <f>IF(N2877="","",IF(COUNTIF(Precios!$G:$G,N2877)=0,"⚠ No coincide con Precios","OK"))</f>
        <v/>
      </c>
    </row>
    <row r="2878" spans="3:15" x14ac:dyDescent="0.2">
      <c r="C2878" s="9" cm="1">
        <f t="array" ref="C2878">IFERROR(_xlfn.XLOOKUP(B2878,Personal!$A:$A,Personal!$D:$D,""),"")</f>
        <v>0</v>
      </c>
      <c r="D2878" s="9" cm="1">
        <f t="array" ref="D2878">IFERROR(_xlfn.XLOOKUP(B2878,Personal!$A:$A,Personal!$C:$C,""),"")</f>
        <v>0</v>
      </c>
      <c r="E2878" s="9" t="str" cm="1">
        <f t="array" ref="E2878">IFERROR(_xlfn.XLOOKUP(D2878,Locales!$A:$A,Locales!$B:$B,""),"")</f>
        <v/>
      </c>
      <c r="F2878" s="9" cm="1">
        <f t="array" ref="F2878">IFERROR(_xlfn.XLOOKUP(B2878,Personal!$A:$A,Personal!$F:$F,""),"")</f>
        <v>0</v>
      </c>
      <c r="I2878" s="10" cm="1">
        <f t="array" ref="I2878">IFERROR(INDEX(Precios!$D:$F,MATCH(N2878, Precios!$G:$G, 0),CHOOSE(MATCH(H2878, {"SML";"XL";"XXL"}, 0), 1, 2, 3)), 0)</f>
        <v>0</v>
      </c>
      <c r="K2878" s="10">
        <f t="shared" si="96"/>
        <v>0</v>
      </c>
      <c r="N2878" s="9" t="str">
        <f t="shared" si="97"/>
        <v/>
      </c>
      <c r="O2878" s="9" t="str">
        <f>IF(N2878="","",IF(COUNTIF(Precios!$G:$G,N2878)=0,"⚠ No coincide con Precios","OK"))</f>
        <v/>
      </c>
    </row>
    <row r="2879" spans="3:15" x14ac:dyDescent="0.2">
      <c r="C2879" s="9" cm="1">
        <f t="array" ref="C2879">IFERROR(_xlfn.XLOOKUP(B2879,Personal!$A:$A,Personal!$D:$D,""),"")</f>
        <v>0</v>
      </c>
      <c r="D2879" s="9" cm="1">
        <f t="array" ref="D2879">IFERROR(_xlfn.XLOOKUP(B2879,Personal!$A:$A,Personal!$C:$C,""),"")</f>
        <v>0</v>
      </c>
      <c r="E2879" s="9" t="str" cm="1">
        <f t="array" ref="E2879">IFERROR(_xlfn.XLOOKUP(D2879,Locales!$A:$A,Locales!$B:$B,""),"")</f>
        <v/>
      </c>
      <c r="F2879" s="9" cm="1">
        <f t="array" ref="F2879">IFERROR(_xlfn.XLOOKUP(B2879,Personal!$A:$A,Personal!$F:$F,""),"")</f>
        <v>0</v>
      </c>
      <c r="I2879" s="10" cm="1">
        <f t="array" ref="I2879">IFERROR(INDEX(Precios!$D:$F,MATCH(N2879, Precios!$G:$G, 0),CHOOSE(MATCH(H2879, {"SML";"XL";"XXL"}, 0), 1, 2, 3)), 0)</f>
        <v>0</v>
      </c>
      <c r="K2879" s="10">
        <f t="shared" si="96"/>
        <v>0</v>
      </c>
      <c r="N2879" s="9" t="str">
        <f t="shared" si="97"/>
        <v/>
      </c>
      <c r="O2879" s="9" t="str">
        <f>IF(N2879="","",IF(COUNTIF(Precios!$G:$G,N2879)=0,"⚠ No coincide con Precios","OK"))</f>
        <v/>
      </c>
    </row>
    <row r="2880" spans="3:15" x14ac:dyDescent="0.2">
      <c r="C2880" s="9" cm="1">
        <f t="array" ref="C2880">IFERROR(_xlfn.XLOOKUP(B2880,Personal!$A:$A,Personal!$D:$D,""),"")</f>
        <v>0</v>
      </c>
      <c r="D2880" s="9" cm="1">
        <f t="array" ref="D2880">IFERROR(_xlfn.XLOOKUP(B2880,Personal!$A:$A,Personal!$C:$C,""),"")</f>
        <v>0</v>
      </c>
      <c r="E2880" s="9" t="str" cm="1">
        <f t="array" ref="E2880">IFERROR(_xlfn.XLOOKUP(D2880,Locales!$A:$A,Locales!$B:$B,""),"")</f>
        <v/>
      </c>
      <c r="F2880" s="9" cm="1">
        <f t="array" ref="F2880">IFERROR(_xlfn.XLOOKUP(B2880,Personal!$A:$A,Personal!$F:$F,""),"")</f>
        <v>0</v>
      </c>
      <c r="I2880" s="10" cm="1">
        <f t="array" ref="I2880">IFERROR(INDEX(Precios!$D:$F,MATCH(N2880, Precios!$G:$G, 0),CHOOSE(MATCH(H2880, {"SML";"XL";"XXL"}, 0), 1, 2, 3)), 0)</f>
        <v>0</v>
      </c>
      <c r="K2880" s="10">
        <f t="shared" ref="K2880:K2943" si="98">IFERROR(I2880*J2880,0)</f>
        <v>0</v>
      </c>
      <c r="N2880" s="9" t="str">
        <f t="shared" ref="N2880:N2943" si="99">IF( OR(E2880="",F2880="",G2880=""), "",CLEAN(TRIM(E2880)) &amp; "|" &amp; CLEAN(TRIM(F2880)) &amp; "|" &amp; CLEAN(TRIM(G2880)))</f>
        <v/>
      </c>
      <c r="O2880" s="9" t="str">
        <f>IF(N2880="","",IF(COUNTIF(Precios!$G:$G,N2880)=0,"⚠ No coincide con Precios","OK"))</f>
        <v/>
      </c>
    </row>
    <row r="2881" spans="3:15" x14ac:dyDescent="0.2">
      <c r="C2881" s="9" cm="1">
        <f t="array" ref="C2881">IFERROR(_xlfn.XLOOKUP(B2881,Personal!$A:$A,Personal!$D:$D,""),"")</f>
        <v>0</v>
      </c>
      <c r="D2881" s="9" cm="1">
        <f t="array" ref="D2881">IFERROR(_xlfn.XLOOKUP(B2881,Personal!$A:$A,Personal!$C:$C,""),"")</f>
        <v>0</v>
      </c>
      <c r="E2881" s="9" t="str" cm="1">
        <f t="array" ref="E2881">IFERROR(_xlfn.XLOOKUP(D2881,Locales!$A:$A,Locales!$B:$B,""),"")</f>
        <v/>
      </c>
      <c r="F2881" s="9" cm="1">
        <f t="array" ref="F2881">IFERROR(_xlfn.XLOOKUP(B2881,Personal!$A:$A,Personal!$F:$F,""),"")</f>
        <v>0</v>
      </c>
      <c r="I2881" s="10" cm="1">
        <f t="array" ref="I2881">IFERROR(INDEX(Precios!$D:$F,MATCH(N2881, Precios!$G:$G, 0),CHOOSE(MATCH(H2881, {"SML";"XL";"XXL"}, 0), 1, 2, 3)), 0)</f>
        <v>0</v>
      </c>
      <c r="K2881" s="10">
        <f t="shared" si="98"/>
        <v>0</v>
      </c>
      <c r="N2881" s="9" t="str">
        <f t="shared" si="99"/>
        <v/>
      </c>
      <c r="O2881" s="9" t="str">
        <f>IF(N2881="","",IF(COUNTIF(Precios!$G:$G,N2881)=0,"⚠ No coincide con Precios","OK"))</f>
        <v/>
      </c>
    </row>
    <row r="2882" spans="3:15" x14ac:dyDescent="0.2">
      <c r="C2882" s="9" cm="1">
        <f t="array" ref="C2882">IFERROR(_xlfn.XLOOKUP(B2882,Personal!$A:$A,Personal!$D:$D,""),"")</f>
        <v>0</v>
      </c>
      <c r="D2882" s="9" cm="1">
        <f t="array" ref="D2882">IFERROR(_xlfn.XLOOKUP(B2882,Personal!$A:$A,Personal!$C:$C,""),"")</f>
        <v>0</v>
      </c>
      <c r="E2882" s="9" t="str" cm="1">
        <f t="array" ref="E2882">IFERROR(_xlfn.XLOOKUP(D2882,Locales!$A:$A,Locales!$B:$B,""),"")</f>
        <v/>
      </c>
      <c r="F2882" s="9" cm="1">
        <f t="array" ref="F2882">IFERROR(_xlfn.XLOOKUP(B2882,Personal!$A:$A,Personal!$F:$F,""),"")</f>
        <v>0</v>
      </c>
      <c r="I2882" s="10" cm="1">
        <f t="array" ref="I2882">IFERROR(INDEX(Precios!$D:$F,MATCH(N2882, Precios!$G:$G, 0),CHOOSE(MATCH(H2882, {"SML";"XL";"XXL"}, 0), 1, 2, 3)), 0)</f>
        <v>0</v>
      </c>
      <c r="K2882" s="10">
        <f t="shared" si="98"/>
        <v>0</v>
      </c>
      <c r="N2882" s="9" t="str">
        <f t="shared" si="99"/>
        <v/>
      </c>
      <c r="O2882" s="9" t="str">
        <f>IF(N2882="","",IF(COUNTIF(Precios!$G:$G,N2882)=0,"⚠ No coincide con Precios","OK"))</f>
        <v/>
      </c>
    </row>
    <row r="2883" spans="3:15" x14ac:dyDescent="0.2">
      <c r="C2883" s="9" cm="1">
        <f t="array" ref="C2883">IFERROR(_xlfn.XLOOKUP(B2883,Personal!$A:$A,Personal!$D:$D,""),"")</f>
        <v>0</v>
      </c>
      <c r="D2883" s="9" cm="1">
        <f t="array" ref="D2883">IFERROR(_xlfn.XLOOKUP(B2883,Personal!$A:$A,Personal!$C:$C,""),"")</f>
        <v>0</v>
      </c>
      <c r="E2883" s="9" t="str" cm="1">
        <f t="array" ref="E2883">IFERROR(_xlfn.XLOOKUP(D2883,Locales!$A:$A,Locales!$B:$B,""),"")</f>
        <v/>
      </c>
      <c r="F2883" s="9" cm="1">
        <f t="array" ref="F2883">IFERROR(_xlfn.XLOOKUP(B2883,Personal!$A:$A,Personal!$F:$F,""),"")</f>
        <v>0</v>
      </c>
      <c r="I2883" s="10" cm="1">
        <f t="array" ref="I2883">IFERROR(INDEX(Precios!$D:$F,MATCH(N2883, Precios!$G:$G, 0),CHOOSE(MATCH(H2883, {"SML";"XL";"XXL"}, 0), 1, 2, 3)), 0)</f>
        <v>0</v>
      </c>
      <c r="K2883" s="10">
        <f t="shared" si="98"/>
        <v>0</v>
      </c>
      <c r="N2883" s="9" t="str">
        <f t="shared" si="99"/>
        <v/>
      </c>
      <c r="O2883" s="9" t="str">
        <f>IF(N2883="","",IF(COUNTIF(Precios!$G:$G,N2883)=0,"⚠ No coincide con Precios","OK"))</f>
        <v/>
      </c>
    </row>
    <row r="2884" spans="3:15" x14ac:dyDescent="0.2">
      <c r="C2884" s="9" cm="1">
        <f t="array" ref="C2884">IFERROR(_xlfn.XLOOKUP(B2884,Personal!$A:$A,Personal!$D:$D,""),"")</f>
        <v>0</v>
      </c>
      <c r="D2884" s="9" cm="1">
        <f t="array" ref="D2884">IFERROR(_xlfn.XLOOKUP(B2884,Personal!$A:$A,Personal!$C:$C,""),"")</f>
        <v>0</v>
      </c>
      <c r="E2884" s="9" t="str" cm="1">
        <f t="array" ref="E2884">IFERROR(_xlfn.XLOOKUP(D2884,Locales!$A:$A,Locales!$B:$B,""),"")</f>
        <v/>
      </c>
      <c r="F2884" s="9" cm="1">
        <f t="array" ref="F2884">IFERROR(_xlfn.XLOOKUP(B2884,Personal!$A:$A,Personal!$F:$F,""),"")</f>
        <v>0</v>
      </c>
      <c r="I2884" s="10" cm="1">
        <f t="array" ref="I2884">IFERROR(INDEX(Precios!$D:$F,MATCH(N2884, Precios!$G:$G, 0),CHOOSE(MATCH(H2884, {"SML";"XL";"XXL"}, 0), 1, 2, 3)), 0)</f>
        <v>0</v>
      </c>
      <c r="K2884" s="10">
        <f t="shared" si="98"/>
        <v>0</v>
      </c>
      <c r="N2884" s="9" t="str">
        <f t="shared" si="99"/>
        <v/>
      </c>
      <c r="O2884" s="9" t="str">
        <f>IF(N2884="","",IF(COUNTIF(Precios!$G:$G,N2884)=0,"⚠ No coincide con Precios","OK"))</f>
        <v/>
      </c>
    </row>
    <row r="2885" spans="3:15" x14ac:dyDescent="0.2">
      <c r="C2885" s="9" cm="1">
        <f t="array" ref="C2885">IFERROR(_xlfn.XLOOKUP(B2885,Personal!$A:$A,Personal!$D:$D,""),"")</f>
        <v>0</v>
      </c>
      <c r="D2885" s="9" cm="1">
        <f t="array" ref="D2885">IFERROR(_xlfn.XLOOKUP(B2885,Personal!$A:$A,Personal!$C:$C,""),"")</f>
        <v>0</v>
      </c>
      <c r="E2885" s="9" t="str" cm="1">
        <f t="array" ref="E2885">IFERROR(_xlfn.XLOOKUP(D2885,Locales!$A:$A,Locales!$B:$B,""),"")</f>
        <v/>
      </c>
      <c r="F2885" s="9" cm="1">
        <f t="array" ref="F2885">IFERROR(_xlfn.XLOOKUP(B2885,Personal!$A:$A,Personal!$F:$F,""),"")</f>
        <v>0</v>
      </c>
      <c r="I2885" s="10" cm="1">
        <f t="array" ref="I2885">IFERROR(INDEX(Precios!$D:$F,MATCH(N2885, Precios!$G:$G, 0),CHOOSE(MATCH(H2885, {"SML";"XL";"XXL"}, 0), 1, 2, 3)), 0)</f>
        <v>0</v>
      </c>
      <c r="K2885" s="10">
        <f t="shared" si="98"/>
        <v>0</v>
      </c>
      <c r="N2885" s="9" t="str">
        <f t="shared" si="99"/>
        <v/>
      </c>
      <c r="O2885" s="9" t="str">
        <f>IF(N2885="","",IF(COUNTIF(Precios!$G:$G,N2885)=0,"⚠ No coincide con Precios","OK"))</f>
        <v/>
      </c>
    </row>
    <row r="2886" spans="3:15" x14ac:dyDescent="0.2">
      <c r="C2886" s="9" cm="1">
        <f t="array" ref="C2886">IFERROR(_xlfn.XLOOKUP(B2886,Personal!$A:$A,Personal!$D:$D,""),"")</f>
        <v>0</v>
      </c>
      <c r="D2886" s="9" cm="1">
        <f t="array" ref="D2886">IFERROR(_xlfn.XLOOKUP(B2886,Personal!$A:$A,Personal!$C:$C,""),"")</f>
        <v>0</v>
      </c>
      <c r="E2886" s="9" t="str" cm="1">
        <f t="array" ref="E2886">IFERROR(_xlfn.XLOOKUP(D2886,Locales!$A:$A,Locales!$B:$B,""),"")</f>
        <v/>
      </c>
      <c r="F2886" s="9" cm="1">
        <f t="array" ref="F2886">IFERROR(_xlfn.XLOOKUP(B2886,Personal!$A:$A,Personal!$F:$F,""),"")</f>
        <v>0</v>
      </c>
      <c r="I2886" s="10" cm="1">
        <f t="array" ref="I2886">IFERROR(INDEX(Precios!$D:$F,MATCH(N2886, Precios!$G:$G, 0),CHOOSE(MATCH(H2886, {"SML";"XL";"XXL"}, 0), 1, 2, 3)), 0)</f>
        <v>0</v>
      </c>
      <c r="K2886" s="10">
        <f t="shared" si="98"/>
        <v>0</v>
      </c>
      <c r="N2886" s="9" t="str">
        <f t="shared" si="99"/>
        <v/>
      </c>
      <c r="O2886" s="9" t="str">
        <f>IF(N2886="","",IF(COUNTIF(Precios!$G:$G,N2886)=0,"⚠ No coincide con Precios","OK"))</f>
        <v/>
      </c>
    </row>
    <row r="2887" spans="3:15" x14ac:dyDescent="0.2">
      <c r="C2887" s="9" cm="1">
        <f t="array" ref="C2887">IFERROR(_xlfn.XLOOKUP(B2887,Personal!$A:$A,Personal!$D:$D,""),"")</f>
        <v>0</v>
      </c>
      <c r="D2887" s="9" cm="1">
        <f t="array" ref="D2887">IFERROR(_xlfn.XLOOKUP(B2887,Personal!$A:$A,Personal!$C:$C,""),"")</f>
        <v>0</v>
      </c>
      <c r="E2887" s="9" t="str" cm="1">
        <f t="array" ref="E2887">IFERROR(_xlfn.XLOOKUP(D2887,Locales!$A:$A,Locales!$B:$B,""),"")</f>
        <v/>
      </c>
      <c r="F2887" s="9" cm="1">
        <f t="array" ref="F2887">IFERROR(_xlfn.XLOOKUP(B2887,Personal!$A:$A,Personal!$F:$F,""),"")</f>
        <v>0</v>
      </c>
      <c r="I2887" s="10" cm="1">
        <f t="array" ref="I2887">IFERROR(INDEX(Precios!$D:$F,MATCH(N2887, Precios!$G:$G, 0),CHOOSE(MATCH(H2887, {"SML";"XL";"XXL"}, 0), 1, 2, 3)), 0)</f>
        <v>0</v>
      </c>
      <c r="K2887" s="10">
        <f t="shared" si="98"/>
        <v>0</v>
      </c>
      <c r="N2887" s="9" t="str">
        <f t="shared" si="99"/>
        <v/>
      </c>
      <c r="O2887" s="9" t="str">
        <f>IF(N2887="","",IF(COUNTIF(Precios!$G:$G,N2887)=0,"⚠ No coincide con Precios","OK"))</f>
        <v/>
      </c>
    </row>
    <row r="2888" spans="3:15" x14ac:dyDescent="0.2">
      <c r="C2888" s="9" cm="1">
        <f t="array" ref="C2888">IFERROR(_xlfn.XLOOKUP(B2888,Personal!$A:$A,Personal!$D:$D,""),"")</f>
        <v>0</v>
      </c>
      <c r="D2888" s="9" cm="1">
        <f t="array" ref="D2888">IFERROR(_xlfn.XLOOKUP(B2888,Personal!$A:$A,Personal!$C:$C,""),"")</f>
        <v>0</v>
      </c>
      <c r="E2888" s="9" t="str" cm="1">
        <f t="array" ref="E2888">IFERROR(_xlfn.XLOOKUP(D2888,Locales!$A:$A,Locales!$B:$B,""),"")</f>
        <v/>
      </c>
      <c r="F2888" s="9" cm="1">
        <f t="array" ref="F2888">IFERROR(_xlfn.XLOOKUP(B2888,Personal!$A:$A,Personal!$F:$F,""),"")</f>
        <v>0</v>
      </c>
      <c r="I2888" s="10" cm="1">
        <f t="array" ref="I2888">IFERROR(INDEX(Precios!$D:$F,MATCH(N2888, Precios!$G:$G, 0),CHOOSE(MATCH(H2888, {"SML";"XL";"XXL"}, 0), 1, 2, 3)), 0)</f>
        <v>0</v>
      </c>
      <c r="K2888" s="10">
        <f t="shared" si="98"/>
        <v>0</v>
      </c>
      <c r="N2888" s="9" t="str">
        <f t="shared" si="99"/>
        <v/>
      </c>
      <c r="O2888" s="9" t="str">
        <f>IF(N2888="","",IF(COUNTIF(Precios!$G:$G,N2888)=0,"⚠ No coincide con Precios","OK"))</f>
        <v/>
      </c>
    </row>
    <row r="2889" spans="3:15" x14ac:dyDescent="0.2">
      <c r="C2889" s="9" cm="1">
        <f t="array" ref="C2889">IFERROR(_xlfn.XLOOKUP(B2889,Personal!$A:$A,Personal!$D:$D,""),"")</f>
        <v>0</v>
      </c>
      <c r="D2889" s="9" cm="1">
        <f t="array" ref="D2889">IFERROR(_xlfn.XLOOKUP(B2889,Personal!$A:$A,Personal!$C:$C,""),"")</f>
        <v>0</v>
      </c>
      <c r="E2889" s="9" t="str" cm="1">
        <f t="array" ref="E2889">IFERROR(_xlfn.XLOOKUP(D2889,Locales!$A:$A,Locales!$B:$B,""),"")</f>
        <v/>
      </c>
      <c r="F2889" s="9" cm="1">
        <f t="array" ref="F2889">IFERROR(_xlfn.XLOOKUP(B2889,Personal!$A:$A,Personal!$F:$F,""),"")</f>
        <v>0</v>
      </c>
      <c r="I2889" s="10" cm="1">
        <f t="array" ref="I2889">IFERROR(INDEX(Precios!$D:$F,MATCH(N2889, Precios!$G:$G, 0),CHOOSE(MATCH(H2889, {"SML";"XL";"XXL"}, 0), 1, 2, 3)), 0)</f>
        <v>0</v>
      </c>
      <c r="K2889" s="10">
        <f t="shared" si="98"/>
        <v>0</v>
      </c>
      <c r="N2889" s="9" t="str">
        <f t="shared" si="99"/>
        <v/>
      </c>
      <c r="O2889" s="9" t="str">
        <f>IF(N2889="","",IF(COUNTIF(Precios!$G:$G,N2889)=0,"⚠ No coincide con Precios","OK"))</f>
        <v/>
      </c>
    </row>
    <row r="2890" spans="3:15" x14ac:dyDescent="0.2">
      <c r="C2890" s="9" cm="1">
        <f t="array" ref="C2890">IFERROR(_xlfn.XLOOKUP(B2890,Personal!$A:$A,Personal!$D:$D,""),"")</f>
        <v>0</v>
      </c>
      <c r="D2890" s="9" cm="1">
        <f t="array" ref="D2890">IFERROR(_xlfn.XLOOKUP(B2890,Personal!$A:$A,Personal!$C:$C,""),"")</f>
        <v>0</v>
      </c>
      <c r="E2890" s="9" t="str" cm="1">
        <f t="array" ref="E2890">IFERROR(_xlfn.XLOOKUP(D2890,Locales!$A:$A,Locales!$B:$B,""),"")</f>
        <v/>
      </c>
      <c r="F2890" s="9" cm="1">
        <f t="array" ref="F2890">IFERROR(_xlfn.XLOOKUP(B2890,Personal!$A:$A,Personal!$F:$F,""),"")</f>
        <v>0</v>
      </c>
      <c r="I2890" s="10" cm="1">
        <f t="array" ref="I2890">IFERROR(INDEX(Precios!$D:$F,MATCH(N2890, Precios!$G:$G, 0),CHOOSE(MATCH(H2890, {"SML";"XL";"XXL"}, 0), 1, 2, 3)), 0)</f>
        <v>0</v>
      </c>
      <c r="K2890" s="10">
        <f t="shared" si="98"/>
        <v>0</v>
      </c>
      <c r="N2890" s="9" t="str">
        <f t="shared" si="99"/>
        <v/>
      </c>
      <c r="O2890" s="9" t="str">
        <f>IF(N2890="","",IF(COUNTIF(Precios!$G:$G,N2890)=0,"⚠ No coincide con Precios","OK"))</f>
        <v/>
      </c>
    </row>
    <row r="2891" spans="3:15" x14ac:dyDescent="0.2">
      <c r="C2891" s="9" cm="1">
        <f t="array" ref="C2891">IFERROR(_xlfn.XLOOKUP(B2891,Personal!$A:$A,Personal!$D:$D,""),"")</f>
        <v>0</v>
      </c>
      <c r="D2891" s="9" cm="1">
        <f t="array" ref="D2891">IFERROR(_xlfn.XLOOKUP(B2891,Personal!$A:$A,Personal!$C:$C,""),"")</f>
        <v>0</v>
      </c>
      <c r="E2891" s="9" t="str" cm="1">
        <f t="array" ref="E2891">IFERROR(_xlfn.XLOOKUP(D2891,Locales!$A:$A,Locales!$B:$B,""),"")</f>
        <v/>
      </c>
      <c r="F2891" s="9" cm="1">
        <f t="array" ref="F2891">IFERROR(_xlfn.XLOOKUP(B2891,Personal!$A:$A,Personal!$F:$F,""),"")</f>
        <v>0</v>
      </c>
      <c r="I2891" s="10" cm="1">
        <f t="array" ref="I2891">IFERROR(INDEX(Precios!$D:$F,MATCH(N2891, Precios!$G:$G, 0),CHOOSE(MATCH(H2891, {"SML";"XL";"XXL"}, 0), 1, 2, 3)), 0)</f>
        <v>0</v>
      </c>
      <c r="K2891" s="10">
        <f t="shared" si="98"/>
        <v>0</v>
      </c>
      <c r="N2891" s="9" t="str">
        <f t="shared" si="99"/>
        <v/>
      </c>
      <c r="O2891" s="9" t="str">
        <f>IF(N2891="","",IF(COUNTIF(Precios!$G:$G,N2891)=0,"⚠ No coincide con Precios","OK"))</f>
        <v/>
      </c>
    </row>
    <row r="2892" spans="3:15" x14ac:dyDescent="0.2">
      <c r="C2892" s="9" cm="1">
        <f t="array" ref="C2892">IFERROR(_xlfn.XLOOKUP(B2892,Personal!$A:$A,Personal!$D:$D,""),"")</f>
        <v>0</v>
      </c>
      <c r="D2892" s="9" cm="1">
        <f t="array" ref="D2892">IFERROR(_xlfn.XLOOKUP(B2892,Personal!$A:$A,Personal!$C:$C,""),"")</f>
        <v>0</v>
      </c>
      <c r="E2892" s="9" t="str" cm="1">
        <f t="array" ref="E2892">IFERROR(_xlfn.XLOOKUP(D2892,Locales!$A:$A,Locales!$B:$B,""),"")</f>
        <v/>
      </c>
      <c r="F2892" s="9" cm="1">
        <f t="array" ref="F2892">IFERROR(_xlfn.XLOOKUP(B2892,Personal!$A:$A,Personal!$F:$F,""),"")</f>
        <v>0</v>
      </c>
      <c r="I2892" s="10" cm="1">
        <f t="array" ref="I2892">IFERROR(INDEX(Precios!$D:$F,MATCH(N2892, Precios!$G:$G, 0),CHOOSE(MATCH(H2892, {"SML";"XL";"XXL"}, 0), 1, 2, 3)), 0)</f>
        <v>0</v>
      </c>
      <c r="K2892" s="10">
        <f t="shared" si="98"/>
        <v>0</v>
      </c>
      <c r="N2892" s="9" t="str">
        <f t="shared" si="99"/>
        <v/>
      </c>
      <c r="O2892" s="9" t="str">
        <f>IF(N2892="","",IF(COUNTIF(Precios!$G:$G,N2892)=0,"⚠ No coincide con Precios","OK"))</f>
        <v/>
      </c>
    </row>
    <row r="2893" spans="3:15" x14ac:dyDescent="0.2">
      <c r="C2893" s="9" cm="1">
        <f t="array" ref="C2893">IFERROR(_xlfn.XLOOKUP(B2893,Personal!$A:$A,Personal!$D:$D,""),"")</f>
        <v>0</v>
      </c>
      <c r="D2893" s="9" cm="1">
        <f t="array" ref="D2893">IFERROR(_xlfn.XLOOKUP(B2893,Personal!$A:$A,Personal!$C:$C,""),"")</f>
        <v>0</v>
      </c>
      <c r="E2893" s="9" t="str" cm="1">
        <f t="array" ref="E2893">IFERROR(_xlfn.XLOOKUP(D2893,Locales!$A:$A,Locales!$B:$B,""),"")</f>
        <v/>
      </c>
      <c r="F2893" s="9" cm="1">
        <f t="array" ref="F2893">IFERROR(_xlfn.XLOOKUP(B2893,Personal!$A:$A,Personal!$F:$F,""),"")</f>
        <v>0</v>
      </c>
      <c r="I2893" s="10" cm="1">
        <f t="array" ref="I2893">IFERROR(INDEX(Precios!$D:$F,MATCH(N2893, Precios!$G:$G, 0),CHOOSE(MATCH(H2893, {"SML";"XL";"XXL"}, 0), 1, 2, 3)), 0)</f>
        <v>0</v>
      </c>
      <c r="K2893" s="10">
        <f t="shared" si="98"/>
        <v>0</v>
      </c>
      <c r="N2893" s="9" t="str">
        <f t="shared" si="99"/>
        <v/>
      </c>
      <c r="O2893" s="9" t="str">
        <f>IF(N2893="","",IF(COUNTIF(Precios!$G:$G,N2893)=0,"⚠ No coincide con Precios","OK"))</f>
        <v/>
      </c>
    </row>
    <row r="2894" spans="3:15" x14ac:dyDescent="0.2">
      <c r="C2894" s="9" cm="1">
        <f t="array" ref="C2894">IFERROR(_xlfn.XLOOKUP(B2894,Personal!$A:$A,Personal!$D:$D,""),"")</f>
        <v>0</v>
      </c>
      <c r="D2894" s="9" cm="1">
        <f t="array" ref="D2894">IFERROR(_xlfn.XLOOKUP(B2894,Personal!$A:$A,Personal!$C:$C,""),"")</f>
        <v>0</v>
      </c>
      <c r="E2894" s="9" t="str" cm="1">
        <f t="array" ref="E2894">IFERROR(_xlfn.XLOOKUP(D2894,Locales!$A:$A,Locales!$B:$B,""),"")</f>
        <v/>
      </c>
      <c r="F2894" s="9" cm="1">
        <f t="array" ref="F2894">IFERROR(_xlfn.XLOOKUP(B2894,Personal!$A:$A,Personal!$F:$F,""),"")</f>
        <v>0</v>
      </c>
      <c r="I2894" s="10" cm="1">
        <f t="array" ref="I2894">IFERROR(INDEX(Precios!$D:$F,MATCH(N2894, Precios!$G:$G, 0),CHOOSE(MATCH(H2894, {"SML";"XL";"XXL"}, 0), 1, 2, 3)), 0)</f>
        <v>0</v>
      </c>
      <c r="K2894" s="10">
        <f t="shared" si="98"/>
        <v>0</v>
      </c>
      <c r="N2894" s="9" t="str">
        <f t="shared" si="99"/>
        <v/>
      </c>
      <c r="O2894" s="9" t="str">
        <f>IF(N2894="","",IF(COUNTIF(Precios!$G:$G,N2894)=0,"⚠ No coincide con Precios","OK"))</f>
        <v/>
      </c>
    </row>
    <row r="2895" spans="3:15" x14ac:dyDescent="0.2">
      <c r="C2895" s="9" cm="1">
        <f t="array" ref="C2895">IFERROR(_xlfn.XLOOKUP(B2895,Personal!$A:$A,Personal!$D:$D,""),"")</f>
        <v>0</v>
      </c>
      <c r="D2895" s="9" cm="1">
        <f t="array" ref="D2895">IFERROR(_xlfn.XLOOKUP(B2895,Personal!$A:$A,Personal!$C:$C,""),"")</f>
        <v>0</v>
      </c>
      <c r="E2895" s="9" t="str" cm="1">
        <f t="array" ref="E2895">IFERROR(_xlfn.XLOOKUP(D2895,Locales!$A:$A,Locales!$B:$B,""),"")</f>
        <v/>
      </c>
      <c r="F2895" s="9" cm="1">
        <f t="array" ref="F2895">IFERROR(_xlfn.XLOOKUP(B2895,Personal!$A:$A,Personal!$F:$F,""),"")</f>
        <v>0</v>
      </c>
      <c r="I2895" s="10" cm="1">
        <f t="array" ref="I2895">IFERROR(INDEX(Precios!$D:$F,MATCH(N2895, Precios!$G:$G, 0),CHOOSE(MATCH(H2895, {"SML";"XL";"XXL"}, 0), 1, 2, 3)), 0)</f>
        <v>0</v>
      </c>
      <c r="K2895" s="10">
        <f t="shared" si="98"/>
        <v>0</v>
      </c>
      <c r="N2895" s="9" t="str">
        <f t="shared" si="99"/>
        <v/>
      </c>
      <c r="O2895" s="9" t="str">
        <f>IF(N2895="","",IF(COUNTIF(Precios!$G:$G,N2895)=0,"⚠ No coincide con Precios","OK"))</f>
        <v/>
      </c>
    </row>
    <row r="2896" spans="3:15" x14ac:dyDescent="0.2">
      <c r="C2896" s="9" cm="1">
        <f t="array" ref="C2896">IFERROR(_xlfn.XLOOKUP(B2896,Personal!$A:$A,Personal!$D:$D,""),"")</f>
        <v>0</v>
      </c>
      <c r="D2896" s="9" cm="1">
        <f t="array" ref="D2896">IFERROR(_xlfn.XLOOKUP(B2896,Personal!$A:$A,Personal!$C:$C,""),"")</f>
        <v>0</v>
      </c>
      <c r="E2896" s="9" t="str" cm="1">
        <f t="array" ref="E2896">IFERROR(_xlfn.XLOOKUP(D2896,Locales!$A:$A,Locales!$B:$B,""),"")</f>
        <v/>
      </c>
      <c r="F2896" s="9" cm="1">
        <f t="array" ref="F2896">IFERROR(_xlfn.XLOOKUP(B2896,Personal!$A:$A,Personal!$F:$F,""),"")</f>
        <v>0</v>
      </c>
      <c r="I2896" s="10" cm="1">
        <f t="array" ref="I2896">IFERROR(INDEX(Precios!$D:$F,MATCH(N2896, Precios!$G:$G, 0),CHOOSE(MATCH(H2896, {"SML";"XL";"XXL"}, 0), 1, 2, 3)), 0)</f>
        <v>0</v>
      </c>
      <c r="K2896" s="10">
        <f t="shared" si="98"/>
        <v>0</v>
      </c>
      <c r="N2896" s="9" t="str">
        <f t="shared" si="99"/>
        <v/>
      </c>
      <c r="O2896" s="9" t="str">
        <f>IF(N2896="","",IF(COUNTIF(Precios!$G:$G,N2896)=0,"⚠ No coincide con Precios","OK"))</f>
        <v/>
      </c>
    </row>
    <row r="2897" spans="3:15" x14ac:dyDescent="0.2">
      <c r="C2897" s="9" cm="1">
        <f t="array" ref="C2897">IFERROR(_xlfn.XLOOKUP(B2897,Personal!$A:$A,Personal!$D:$D,""),"")</f>
        <v>0</v>
      </c>
      <c r="D2897" s="9" cm="1">
        <f t="array" ref="D2897">IFERROR(_xlfn.XLOOKUP(B2897,Personal!$A:$A,Personal!$C:$C,""),"")</f>
        <v>0</v>
      </c>
      <c r="E2897" s="9" t="str" cm="1">
        <f t="array" ref="E2897">IFERROR(_xlfn.XLOOKUP(D2897,Locales!$A:$A,Locales!$B:$B,""),"")</f>
        <v/>
      </c>
      <c r="F2897" s="9" cm="1">
        <f t="array" ref="F2897">IFERROR(_xlfn.XLOOKUP(B2897,Personal!$A:$A,Personal!$F:$F,""),"")</f>
        <v>0</v>
      </c>
      <c r="I2897" s="10" cm="1">
        <f t="array" ref="I2897">IFERROR(INDEX(Precios!$D:$F,MATCH(N2897, Precios!$G:$G, 0),CHOOSE(MATCH(H2897, {"SML";"XL";"XXL"}, 0), 1, 2, 3)), 0)</f>
        <v>0</v>
      </c>
      <c r="K2897" s="10">
        <f t="shared" si="98"/>
        <v>0</v>
      </c>
      <c r="N2897" s="9" t="str">
        <f t="shared" si="99"/>
        <v/>
      </c>
      <c r="O2897" s="9" t="str">
        <f>IF(N2897="","",IF(COUNTIF(Precios!$G:$G,N2897)=0,"⚠ No coincide con Precios","OK"))</f>
        <v/>
      </c>
    </row>
    <row r="2898" spans="3:15" x14ac:dyDescent="0.2">
      <c r="C2898" s="9" cm="1">
        <f t="array" ref="C2898">IFERROR(_xlfn.XLOOKUP(B2898,Personal!$A:$A,Personal!$D:$D,""),"")</f>
        <v>0</v>
      </c>
      <c r="D2898" s="9" cm="1">
        <f t="array" ref="D2898">IFERROR(_xlfn.XLOOKUP(B2898,Personal!$A:$A,Personal!$C:$C,""),"")</f>
        <v>0</v>
      </c>
      <c r="E2898" s="9" t="str" cm="1">
        <f t="array" ref="E2898">IFERROR(_xlfn.XLOOKUP(D2898,Locales!$A:$A,Locales!$B:$B,""),"")</f>
        <v/>
      </c>
      <c r="F2898" s="9" cm="1">
        <f t="array" ref="F2898">IFERROR(_xlfn.XLOOKUP(B2898,Personal!$A:$A,Personal!$F:$F,""),"")</f>
        <v>0</v>
      </c>
      <c r="I2898" s="10" cm="1">
        <f t="array" ref="I2898">IFERROR(INDEX(Precios!$D:$F,MATCH(N2898, Precios!$G:$G, 0),CHOOSE(MATCH(H2898, {"SML";"XL";"XXL"}, 0), 1, 2, 3)), 0)</f>
        <v>0</v>
      </c>
      <c r="K2898" s="10">
        <f t="shared" si="98"/>
        <v>0</v>
      </c>
      <c r="N2898" s="9" t="str">
        <f t="shared" si="99"/>
        <v/>
      </c>
      <c r="O2898" s="9" t="str">
        <f>IF(N2898="","",IF(COUNTIF(Precios!$G:$G,N2898)=0,"⚠ No coincide con Precios","OK"))</f>
        <v/>
      </c>
    </row>
    <row r="2899" spans="3:15" x14ac:dyDescent="0.2">
      <c r="C2899" s="9" cm="1">
        <f t="array" ref="C2899">IFERROR(_xlfn.XLOOKUP(B2899,Personal!$A:$A,Personal!$D:$D,""),"")</f>
        <v>0</v>
      </c>
      <c r="D2899" s="9" cm="1">
        <f t="array" ref="D2899">IFERROR(_xlfn.XLOOKUP(B2899,Personal!$A:$A,Personal!$C:$C,""),"")</f>
        <v>0</v>
      </c>
      <c r="E2899" s="9" t="str" cm="1">
        <f t="array" ref="E2899">IFERROR(_xlfn.XLOOKUP(D2899,Locales!$A:$A,Locales!$B:$B,""),"")</f>
        <v/>
      </c>
      <c r="F2899" s="9" cm="1">
        <f t="array" ref="F2899">IFERROR(_xlfn.XLOOKUP(B2899,Personal!$A:$A,Personal!$F:$F,""),"")</f>
        <v>0</v>
      </c>
      <c r="I2899" s="10" cm="1">
        <f t="array" ref="I2899">IFERROR(INDEX(Precios!$D:$F,MATCH(N2899, Precios!$G:$G, 0),CHOOSE(MATCH(H2899, {"SML";"XL";"XXL"}, 0), 1, 2, 3)), 0)</f>
        <v>0</v>
      </c>
      <c r="K2899" s="10">
        <f t="shared" si="98"/>
        <v>0</v>
      </c>
      <c r="N2899" s="9" t="str">
        <f t="shared" si="99"/>
        <v/>
      </c>
      <c r="O2899" s="9" t="str">
        <f>IF(N2899="","",IF(COUNTIF(Precios!$G:$G,N2899)=0,"⚠ No coincide con Precios","OK"))</f>
        <v/>
      </c>
    </row>
    <row r="2900" spans="3:15" x14ac:dyDescent="0.2">
      <c r="C2900" s="9" cm="1">
        <f t="array" ref="C2900">IFERROR(_xlfn.XLOOKUP(B2900,Personal!$A:$A,Personal!$D:$D,""),"")</f>
        <v>0</v>
      </c>
      <c r="D2900" s="9" cm="1">
        <f t="array" ref="D2900">IFERROR(_xlfn.XLOOKUP(B2900,Personal!$A:$A,Personal!$C:$C,""),"")</f>
        <v>0</v>
      </c>
      <c r="E2900" s="9" t="str" cm="1">
        <f t="array" ref="E2900">IFERROR(_xlfn.XLOOKUP(D2900,Locales!$A:$A,Locales!$B:$B,""),"")</f>
        <v/>
      </c>
      <c r="F2900" s="9" cm="1">
        <f t="array" ref="F2900">IFERROR(_xlfn.XLOOKUP(B2900,Personal!$A:$A,Personal!$F:$F,""),"")</f>
        <v>0</v>
      </c>
      <c r="I2900" s="10" cm="1">
        <f t="array" ref="I2900">IFERROR(INDEX(Precios!$D:$F,MATCH(N2900, Precios!$G:$G, 0),CHOOSE(MATCH(H2900, {"SML";"XL";"XXL"}, 0), 1, 2, 3)), 0)</f>
        <v>0</v>
      </c>
      <c r="K2900" s="10">
        <f t="shared" si="98"/>
        <v>0</v>
      </c>
      <c r="N2900" s="9" t="str">
        <f t="shared" si="99"/>
        <v/>
      </c>
      <c r="O2900" s="9" t="str">
        <f>IF(N2900="","",IF(COUNTIF(Precios!$G:$G,N2900)=0,"⚠ No coincide con Precios","OK"))</f>
        <v/>
      </c>
    </row>
    <row r="2901" spans="3:15" x14ac:dyDescent="0.2">
      <c r="C2901" s="9" cm="1">
        <f t="array" ref="C2901">IFERROR(_xlfn.XLOOKUP(B2901,Personal!$A:$A,Personal!$D:$D,""),"")</f>
        <v>0</v>
      </c>
      <c r="D2901" s="9" cm="1">
        <f t="array" ref="D2901">IFERROR(_xlfn.XLOOKUP(B2901,Personal!$A:$A,Personal!$C:$C,""),"")</f>
        <v>0</v>
      </c>
      <c r="E2901" s="9" t="str" cm="1">
        <f t="array" ref="E2901">IFERROR(_xlfn.XLOOKUP(D2901,Locales!$A:$A,Locales!$B:$B,""),"")</f>
        <v/>
      </c>
      <c r="F2901" s="9" cm="1">
        <f t="array" ref="F2901">IFERROR(_xlfn.XLOOKUP(B2901,Personal!$A:$A,Personal!$F:$F,""),"")</f>
        <v>0</v>
      </c>
      <c r="I2901" s="10" cm="1">
        <f t="array" ref="I2901">IFERROR(INDEX(Precios!$D:$F,MATCH(N2901, Precios!$G:$G, 0),CHOOSE(MATCH(H2901, {"SML";"XL";"XXL"}, 0), 1, 2, 3)), 0)</f>
        <v>0</v>
      </c>
      <c r="K2901" s="10">
        <f t="shared" si="98"/>
        <v>0</v>
      </c>
      <c r="N2901" s="9" t="str">
        <f t="shared" si="99"/>
        <v/>
      </c>
      <c r="O2901" s="9" t="str">
        <f>IF(N2901="","",IF(COUNTIF(Precios!$G:$G,N2901)=0,"⚠ No coincide con Precios","OK"))</f>
        <v/>
      </c>
    </row>
    <row r="2902" spans="3:15" x14ac:dyDescent="0.2">
      <c r="C2902" s="9" cm="1">
        <f t="array" ref="C2902">IFERROR(_xlfn.XLOOKUP(B2902,Personal!$A:$A,Personal!$D:$D,""),"")</f>
        <v>0</v>
      </c>
      <c r="D2902" s="9" cm="1">
        <f t="array" ref="D2902">IFERROR(_xlfn.XLOOKUP(B2902,Personal!$A:$A,Personal!$C:$C,""),"")</f>
        <v>0</v>
      </c>
      <c r="E2902" s="9" t="str" cm="1">
        <f t="array" ref="E2902">IFERROR(_xlfn.XLOOKUP(D2902,Locales!$A:$A,Locales!$B:$B,""),"")</f>
        <v/>
      </c>
      <c r="F2902" s="9" cm="1">
        <f t="array" ref="F2902">IFERROR(_xlfn.XLOOKUP(B2902,Personal!$A:$A,Personal!$F:$F,""),"")</f>
        <v>0</v>
      </c>
      <c r="I2902" s="10" cm="1">
        <f t="array" ref="I2902">IFERROR(INDEX(Precios!$D:$F,MATCH(N2902, Precios!$G:$G, 0),CHOOSE(MATCH(H2902, {"SML";"XL";"XXL"}, 0), 1, 2, 3)), 0)</f>
        <v>0</v>
      </c>
      <c r="K2902" s="10">
        <f t="shared" si="98"/>
        <v>0</v>
      </c>
      <c r="N2902" s="9" t="str">
        <f t="shared" si="99"/>
        <v/>
      </c>
      <c r="O2902" s="9" t="str">
        <f>IF(N2902="","",IF(COUNTIF(Precios!$G:$G,N2902)=0,"⚠ No coincide con Precios","OK"))</f>
        <v/>
      </c>
    </row>
    <row r="2903" spans="3:15" x14ac:dyDescent="0.2">
      <c r="C2903" s="9" cm="1">
        <f t="array" ref="C2903">IFERROR(_xlfn.XLOOKUP(B2903,Personal!$A:$A,Personal!$D:$D,""),"")</f>
        <v>0</v>
      </c>
      <c r="D2903" s="9" cm="1">
        <f t="array" ref="D2903">IFERROR(_xlfn.XLOOKUP(B2903,Personal!$A:$A,Personal!$C:$C,""),"")</f>
        <v>0</v>
      </c>
      <c r="E2903" s="9" t="str" cm="1">
        <f t="array" ref="E2903">IFERROR(_xlfn.XLOOKUP(D2903,Locales!$A:$A,Locales!$B:$B,""),"")</f>
        <v/>
      </c>
      <c r="F2903" s="9" cm="1">
        <f t="array" ref="F2903">IFERROR(_xlfn.XLOOKUP(B2903,Personal!$A:$A,Personal!$F:$F,""),"")</f>
        <v>0</v>
      </c>
      <c r="I2903" s="10" cm="1">
        <f t="array" ref="I2903">IFERROR(INDEX(Precios!$D:$F,MATCH(N2903, Precios!$G:$G, 0),CHOOSE(MATCH(H2903, {"SML";"XL";"XXL"}, 0), 1, 2, 3)), 0)</f>
        <v>0</v>
      </c>
      <c r="K2903" s="10">
        <f t="shared" si="98"/>
        <v>0</v>
      </c>
      <c r="N2903" s="9" t="str">
        <f t="shared" si="99"/>
        <v/>
      </c>
      <c r="O2903" s="9" t="str">
        <f>IF(N2903="","",IF(COUNTIF(Precios!$G:$G,N2903)=0,"⚠ No coincide con Precios","OK"))</f>
        <v/>
      </c>
    </row>
    <row r="2904" spans="3:15" x14ac:dyDescent="0.2">
      <c r="C2904" s="9" cm="1">
        <f t="array" ref="C2904">IFERROR(_xlfn.XLOOKUP(B2904,Personal!$A:$A,Personal!$D:$D,""),"")</f>
        <v>0</v>
      </c>
      <c r="D2904" s="9" cm="1">
        <f t="array" ref="D2904">IFERROR(_xlfn.XLOOKUP(B2904,Personal!$A:$A,Personal!$C:$C,""),"")</f>
        <v>0</v>
      </c>
      <c r="E2904" s="9" t="str" cm="1">
        <f t="array" ref="E2904">IFERROR(_xlfn.XLOOKUP(D2904,Locales!$A:$A,Locales!$B:$B,""),"")</f>
        <v/>
      </c>
      <c r="F2904" s="9" cm="1">
        <f t="array" ref="F2904">IFERROR(_xlfn.XLOOKUP(B2904,Personal!$A:$A,Personal!$F:$F,""),"")</f>
        <v>0</v>
      </c>
      <c r="I2904" s="10" cm="1">
        <f t="array" ref="I2904">IFERROR(INDEX(Precios!$D:$F,MATCH(N2904, Precios!$G:$G, 0),CHOOSE(MATCH(H2904, {"SML";"XL";"XXL"}, 0), 1, 2, 3)), 0)</f>
        <v>0</v>
      </c>
      <c r="K2904" s="10">
        <f t="shared" si="98"/>
        <v>0</v>
      </c>
      <c r="N2904" s="9" t="str">
        <f t="shared" si="99"/>
        <v/>
      </c>
      <c r="O2904" s="9" t="str">
        <f>IF(N2904="","",IF(COUNTIF(Precios!$G:$G,N2904)=0,"⚠ No coincide con Precios","OK"))</f>
        <v/>
      </c>
    </row>
    <row r="2905" spans="3:15" x14ac:dyDescent="0.2">
      <c r="C2905" s="9" cm="1">
        <f t="array" ref="C2905">IFERROR(_xlfn.XLOOKUP(B2905,Personal!$A:$A,Personal!$D:$D,""),"")</f>
        <v>0</v>
      </c>
      <c r="D2905" s="9" cm="1">
        <f t="array" ref="D2905">IFERROR(_xlfn.XLOOKUP(B2905,Personal!$A:$A,Personal!$C:$C,""),"")</f>
        <v>0</v>
      </c>
      <c r="E2905" s="9" t="str" cm="1">
        <f t="array" ref="E2905">IFERROR(_xlfn.XLOOKUP(D2905,Locales!$A:$A,Locales!$B:$B,""),"")</f>
        <v/>
      </c>
      <c r="F2905" s="9" cm="1">
        <f t="array" ref="F2905">IFERROR(_xlfn.XLOOKUP(B2905,Personal!$A:$A,Personal!$F:$F,""),"")</f>
        <v>0</v>
      </c>
      <c r="I2905" s="10" cm="1">
        <f t="array" ref="I2905">IFERROR(INDEX(Precios!$D:$F,MATCH(N2905, Precios!$G:$G, 0),CHOOSE(MATCH(H2905, {"SML";"XL";"XXL"}, 0), 1, 2, 3)), 0)</f>
        <v>0</v>
      </c>
      <c r="K2905" s="10">
        <f t="shared" si="98"/>
        <v>0</v>
      </c>
      <c r="N2905" s="9" t="str">
        <f t="shared" si="99"/>
        <v/>
      </c>
      <c r="O2905" s="9" t="str">
        <f>IF(N2905="","",IF(COUNTIF(Precios!$G:$G,N2905)=0,"⚠ No coincide con Precios","OK"))</f>
        <v/>
      </c>
    </row>
    <row r="2906" spans="3:15" x14ac:dyDescent="0.2">
      <c r="C2906" s="9" cm="1">
        <f t="array" ref="C2906">IFERROR(_xlfn.XLOOKUP(B2906,Personal!$A:$A,Personal!$D:$D,""),"")</f>
        <v>0</v>
      </c>
      <c r="D2906" s="9" cm="1">
        <f t="array" ref="D2906">IFERROR(_xlfn.XLOOKUP(B2906,Personal!$A:$A,Personal!$C:$C,""),"")</f>
        <v>0</v>
      </c>
      <c r="E2906" s="9" t="str" cm="1">
        <f t="array" ref="E2906">IFERROR(_xlfn.XLOOKUP(D2906,Locales!$A:$A,Locales!$B:$B,""),"")</f>
        <v/>
      </c>
      <c r="F2906" s="9" cm="1">
        <f t="array" ref="F2906">IFERROR(_xlfn.XLOOKUP(B2906,Personal!$A:$A,Personal!$F:$F,""),"")</f>
        <v>0</v>
      </c>
      <c r="I2906" s="10" cm="1">
        <f t="array" ref="I2906">IFERROR(INDEX(Precios!$D:$F,MATCH(N2906, Precios!$G:$G, 0),CHOOSE(MATCH(H2906, {"SML";"XL";"XXL"}, 0), 1, 2, 3)), 0)</f>
        <v>0</v>
      </c>
      <c r="K2906" s="10">
        <f t="shared" si="98"/>
        <v>0</v>
      </c>
      <c r="N2906" s="9" t="str">
        <f t="shared" si="99"/>
        <v/>
      </c>
      <c r="O2906" s="9" t="str">
        <f>IF(N2906="","",IF(COUNTIF(Precios!$G:$G,N2906)=0,"⚠ No coincide con Precios","OK"))</f>
        <v/>
      </c>
    </row>
    <row r="2907" spans="3:15" x14ac:dyDescent="0.2">
      <c r="C2907" s="9" cm="1">
        <f t="array" ref="C2907">IFERROR(_xlfn.XLOOKUP(B2907,Personal!$A:$A,Personal!$D:$D,""),"")</f>
        <v>0</v>
      </c>
      <c r="D2907" s="9" cm="1">
        <f t="array" ref="D2907">IFERROR(_xlfn.XLOOKUP(B2907,Personal!$A:$A,Personal!$C:$C,""),"")</f>
        <v>0</v>
      </c>
      <c r="E2907" s="9" t="str" cm="1">
        <f t="array" ref="E2907">IFERROR(_xlfn.XLOOKUP(D2907,Locales!$A:$A,Locales!$B:$B,""),"")</f>
        <v/>
      </c>
      <c r="F2907" s="9" cm="1">
        <f t="array" ref="F2907">IFERROR(_xlfn.XLOOKUP(B2907,Personal!$A:$A,Personal!$F:$F,""),"")</f>
        <v>0</v>
      </c>
      <c r="I2907" s="10" cm="1">
        <f t="array" ref="I2907">IFERROR(INDEX(Precios!$D:$F,MATCH(N2907, Precios!$G:$G, 0),CHOOSE(MATCH(H2907, {"SML";"XL";"XXL"}, 0), 1, 2, 3)), 0)</f>
        <v>0</v>
      </c>
      <c r="K2907" s="10">
        <f t="shared" si="98"/>
        <v>0</v>
      </c>
      <c r="N2907" s="9" t="str">
        <f t="shared" si="99"/>
        <v/>
      </c>
      <c r="O2907" s="9" t="str">
        <f>IF(N2907="","",IF(COUNTIF(Precios!$G:$G,N2907)=0,"⚠ No coincide con Precios","OK"))</f>
        <v/>
      </c>
    </row>
    <row r="2908" spans="3:15" x14ac:dyDescent="0.2">
      <c r="C2908" s="9" cm="1">
        <f t="array" ref="C2908">IFERROR(_xlfn.XLOOKUP(B2908,Personal!$A:$A,Personal!$D:$D,""),"")</f>
        <v>0</v>
      </c>
      <c r="D2908" s="9" cm="1">
        <f t="array" ref="D2908">IFERROR(_xlfn.XLOOKUP(B2908,Personal!$A:$A,Personal!$C:$C,""),"")</f>
        <v>0</v>
      </c>
      <c r="E2908" s="9" t="str" cm="1">
        <f t="array" ref="E2908">IFERROR(_xlfn.XLOOKUP(D2908,Locales!$A:$A,Locales!$B:$B,""),"")</f>
        <v/>
      </c>
      <c r="F2908" s="9" cm="1">
        <f t="array" ref="F2908">IFERROR(_xlfn.XLOOKUP(B2908,Personal!$A:$A,Personal!$F:$F,""),"")</f>
        <v>0</v>
      </c>
      <c r="I2908" s="10" cm="1">
        <f t="array" ref="I2908">IFERROR(INDEX(Precios!$D:$F,MATCH(N2908, Precios!$G:$G, 0),CHOOSE(MATCH(H2908, {"SML";"XL";"XXL"}, 0), 1, 2, 3)), 0)</f>
        <v>0</v>
      </c>
      <c r="K2908" s="10">
        <f t="shared" si="98"/>
        <v>0</v>
      </c>
      <c r="N2908" s="9" t="str">
        <f t="shared" si="99"/>
        <v/>
      </c>
      <c r="O2908" s="9" t="str">
        <f>IF(N2908="","",IF(COUNTIF(Precios!$G:$G,N2908)=0,"⚠ No coincide con Precios","OK"))</f>
        <v/>
      </c>
    </row>
    <row r="2909" spans="3:15" x14ac:dyDescent="0.2">
      <c r="C2909" s="9" cm="1">
        <f t="array" ref="C2909">IFERROR(_xlfn.XLOOKUP(B2909,Personal!$A:$A,Personal!$D:$D,""),"")</f>
        <v>0</v>
      </c>
      <c r="D2909" s="9" cm="1">
        <f t="array" ref="D2909">IFERROR(_xlfn.XLOOKUP(B2909,Personal!$A:$A,Personal!$C:$C,""),"")</f>
        <v>0</v>
      </c>
      <c r="E2909" s="9" t="str" cm="1">
        <f t="array" ref="E2909">IFERROR(_xlfn.XLOOKUP(D2909,Locales!$A:$A,Locales!$B:$B,""),"")</f>
        <v/>
      </c>
      <c r="F2909" s="9" cm="1">
        <f t="array" ref="F2909">IFERROR(_xlfn.XLOOKUP(B2909,Personal!$A:$A,Personal!$F:$F,""),"")</f>
        <v>0</v>
      </c>
      <c r="I2909" s="10" cm="1">
        <f t="array" ref="I2909">IFERROR(INDEX(Precios!$D:$F,MATCH(N2909, Precios!$G:$G, 0),CHOOSE(MATCH(H2909, {"SML";"XL";"XXL"}, 0), 1, 2, 3)), 0)</f>
        <v>0</v>
      </c>
      <c r="K2909" s="10">
        <f t="shared" si="98"/>
        <v>0</v>
      </c>
      <c r="N2909" s="9" t="str">
        <f t="shared" si="99"/>
        <v/>
      </c>
      <c r="O2909" s="9" t="str">
        <f>IF(N2909="","",IF(COUNTIF(Precios!$G:$G,N2909)=0,"⚠ No coincide con Precios","OK"))</f>
        <v/>
      </c>
    </row>
    <row r="2910" spans="3:15" x14ac:dyDescent="0.2">
      <c r="C2910" s="9" cm="1">
        <f t="array" ref="C2910">IFERROR(_xlfn.XLOOKUP(B2910,Personal!$A:$A,Personal!$D:$D,""),"")</f>
        <v>0</v>
      </c>
      <c r="D2910" s="9" cm="1">
        <f t="array" ref="D2910">IFERROR(_xlfn.XLOOKUP(B2910,Personal!$A:$A,Personal!$C:$C,""),"")</f>
        <v>0</v>
      </c>
      <c r="E2910" s="9" t="str" cm="1">
        <f t="array" ref="E2910">IFERROR(_xlfn.XLOOKUP(D2910,Locales!$A:$A,Locales!$B:$B,""),"")</f>
        <v/>
      </c>
      <c r="F2910" s="9" cm="1">
        <f t="array" ref="F2910">IFERROR(_xlfn.XLOOKUP(B2910,Personal!$A:$A,Personal!$F:$F,""),"")</f>
        <v>0</v>
      </c>
      <c r="I2910" s="10" cm="1">
        <f t="array" ref="I2910">IFERROR(INDEX(Precios!$D:$F,MATCH(N2910, Precios!$G:$G, 0),CHOOSE(MATCH(H2910, {"SML";"XL";"XXL"}, 0), 1, 2, 3)), 0)</f>
        <v>0</v>
      </c>
      <c r="K2910" s="10">
        <f t="shared" si="98"/>
        <v>0</v>
      </c>
      <c r="N2910" s="9" t="str">
        <f t="shared" si="99"/>
        <v/>
      </c>
      <c r="O2910" s="9" t="str">
        <f>IF(N2910="","",IF(COUNTIF(Precios!$G:$G,N2910)=0,"⚠ No coincide con Precios","OK"))</f>
        <v/>
      </c>
    </row>
    <row r="2911" spans="3:15" x14ac:dyDescent="0.2">
      <c r="C2911" s="9" cm="1">
        <f t="array" ref="C2911">IFERROR(_xlfn.XLOOKUP(B2911,Personal!$A:$A,Personal!$D:$D,""),"")</f>
        <v>0</v>
      </c>
      <c r="D2911" s="9" cm="1">
        <f t="array" ref="D2911">IFERROR(_xlfn.XLOOKUP(B2911,Personal!$A:$A,Personal!$C:$C,""),"")</f>
        <v>0</v>
      </c>
      <c r="E2911" s="9" t="str" cm="1">
        <f t="array" ref="E2911">IFERROR(_xlfn.XLOOKUP(D2911,Locales!$A:$A,Locales!$B:$B,""),"")</f>
        <v/>
      </c>
      <c r="F2911" s="9" cm="1">
        <f t="array" ref="F2911">IFERROR(_xlfn.XLOOKUP(B2911,Personal!$A:$A,Personal!$F:$F,""),"")</f>
        <v>0</v>
      </c>
      <c r="I2911" s="10" cm="1">
        <f t="array" ref="I2911">IFERROR(INDEX(Precios!$D:$F,MATCH(N2911, Precios!$G:$G, 0),CHOOSE(MATCH(H2911, {"SML";"XL";"XXL"}, 0), 1, 2, 3)), 0)</f>
        <v>0</v>
      </c>
      <c r="K2911" s="10">
        <f t="shared" si="98"/>
        <v>0</v>
      </c>
      <c r="N2911" s="9" t="str">
        <f t="shared" si="99"/>
        <v/>
      </c>
      <c r="O2911" s="9" t="str">
        <f>IF(N2911="","",IF(COUNTIF(Precios!$G:$G,N2911)=0,"⚠ No coincide con Precios","OK"))</f>
        <v/>
      </c>
    </row>
    <row r="2912" spans="3:15" x14ac:dyDescent="0.2">
      <c r="C2912" s="9" cm="1">
        <f t="array" ref="C2912">IFERROR(_xlfn.XLOOKUP(B2912,Personal!$A:$A,Personal!$D:$D,""),"")</f>
        <v>0</v>
      </c>
      <c r="D2912" s="9" cm="1">
        <f t="array" ref="D2912">IFERROR(_xlfn.XLOOKUP(B2912,Personal!$A:$A,Personal!$C:$C,""),"")</f>
        <v>0</v>
      </c>
      <c r="E2912" s="9" t="str" cm="1">
        <f t="array" ref="E2912">IFERROR(_xlfn.XLOOKUP(D2912,Locales!$A:$A,Locales!$B:$B,""),"")</f>
        <v/>
      </c>
      <c r="F2912" s="9" cm="1">
        <f t="array" ref="F2912">IFERROR(_xlfn.XLOOKUP(B2912,Personal!$A:$A,Personal!$F:$F,""),"")</f>
        <v>0</v>
      </c>
      <c r="I2912" s="10" cm="1">
        <f t="array" ref="I2912">IFERROR(INDEX(Precios!$D:$F,MATCH(N2912, Precios!$G:$G, 0),CHOOSE(MATCH(H2912, {"SML";"XL";"XXL"}, 0), 1, 2, 3)), 0)</f>
        <v>0</v>
      </c>
      <c r="K2912" s="10">
        <f t="shared" si="98"/>
        <v>0</v>
      </c>
      <c r="N2912" s="9" t="str">
        <f t="shared" si="99"/>
        <v/>
      </c>
      <c r="O2912" s="9" t="str">
        <f>IF(N2912="","",IF(COUNTIF(Precios!$G:$G,N2912)=0,"⚠ No coincide con Precios","OK"))</f>
        <v/>
      </c>
    </row>
    <row r="2913" spans="3:15" x14ac:dyDescent="0.2">
      <c r="C2913" s="9" cm="1">
        <f t="array" ref="C2913">IFERROR(_xlfn.XLOOKUP(B2913,Personal!$A:$A,Personal!$D:$D,""),"")</f>
        <v>0</v>
      </c>
      <c r="D2913" s="9" cm="1">
        <f t="array" ref="D2913">IFERROR(_xlfn.XLOOKUP(B2913,Personal!$A:$A,Personal!$C:$C,""),"")</f>
        <v>0</v>
      </c>
      <c r="E2913" s="9" t="str" cm="1">
        <f t="array" ref="E2913">IFERROR(_xlfn.XLOOKUP(D2913,Locales!$A:$A,Locales!$B:$B,""),"")</f>
        <v/>
      </c>
      <c r="F2913" s="9" cm="1">
        <f t="array" ref="F2913">IFERROR(_xlfn.XLOOKUP(B2913,Personal!$A:$A,Personal!$F:$F,""),"")</f>
        <v>0</v>
      </c>
      <c r="I2913" s="10" cm="1">
        <f t="array" ref="I2913">IFERROR(INDEX(Precios!$D:$F,MATCH(N2913, Precios!$G:$G, 0),CHOOSE(MATCH(H2913, {"SML";"XL";"XXL"}, 0), 1, 2, 3)), 0)</f>
        <v>0</v>
      </c>
      <c r="K2913" s="10">
        <f t="shared" si="98"/>
        <v>0</v>
      </c>
      <c r="N2913" s="9" t="str">
        <f t="shared" si="99"/>
        <v/>
      </c>
      <c r="O2913" s="9" t="str">
        <f>IF(N2913="","",IF(COUNTIF(Precios!$G:$G,N2913)=0,"⚠ No coincide con Precios","OK"))</f>
        <v/>
      </c>
    </row>
    <row r="2914" spans="3:15" x14ac:dyDescent="0.2">
      <c r="C2914" s="9" cm="1">
        <f t="array" ref="C2914">IFERROR(_xlfn.XLOOKUP(B2914,Personal!$A:$A,Personal!$D:$D,""),"")</f>
        <v>0</v>
      </c>
      <c r="D2914" s="9" cm="1">
        <f t="array" ref="D2914">IFERROR(_xlfn.XLOOKUP(B2914,Personal!$A:$A,Personal!$C:$C,""),"")</f>
        <v>0</v>
      </c>
      <c r="E2914" s="9" t="str" cm="1">
        <f t="array" ref="E2914">IFERROR(_xlfn.XLOOKUP(D2914,Locales!$A:$A,Locales!$B:$B,""),"")</f>
        <v/>
      </c>
      <c r="F2914" s="9" cm="1">
        <f t="array" ref="F2914">IFERROR(_xlfn.XLOOKUP(B2914,Personal!$A:$A,Personal!$F:$F,""),"")</f>
        <v>0</v>
      </c>
      <c r="I2914" s="10" cm="1">
        <f t="array" ref="I2914">IFERROR(INDEX(Precios!$D:$F,MATCH(N2914, Precios!$G:$G, 0),CHOOSE(MATCH(H2914, {"SML";"XL";"XXL"}, 0), 1, 2, 3)), 0)</f>
        <v>0</v>
      </c>
      <c r="K2914" s="10">
        <f t="shared" si="98"/>
        <v>0</v>
      </c>
      <c r="N2914" s="9" t="str">
        <f t="shared" si="99"/>
        <v/>
      </c>
      <c r="O2914" s="9" t="str">
        <f>IF(N2914="","",IF(COUNTIF(Precios!$G:$G,N2914)=0,"⚠ No coincide con Precios","OK"))</f>
        <v/>
      </c>
    </row>
    <row r="2915" spans="3:15" x14ac:dyDescent="0.2">
      <c r="C2915" s="9" cm="1">
        <f t="array" ref="C2915">IFERROR(_xlfn.XLOOKUP(B2915,Personal!$A:$A,Personal!$D:$D,""),"")</f>
        <v>0</v>
      </c>
      <c r="D2915" s="9" cm="1">
        <f t="array" ref="D2915">IFERROR(_xlfn.XLOOKUP(B2915,Personal!$A:$A,Personal!$C:$C,""),"")</f>
        <v>0</v>
      </c>
      <c r="E2915" s="9" t="str" cm="1">
        <f t="array" ref="E2915">IFERROR(_xlfn.XLOOKUP(D2915,Locales!$A:$A,Locales!$B:$B,""),"")</f>
        <v/>
      </c>
      <c r="F2915" s="9" cm="1">
        <f t="array" ref="F2915">IFERROR(_xlfn.XLOOKUP(B2915,Personal!$A:$A,Personal!$F:$F,""),"")</f>
        <v>0</v>
      </c>
      <c r="I2915" s="10" cm="1">
        <f t="array" ref="I2915">IFERROR(INDEX(Precios!$D:$F,MATCH(N2915, Precios!$G:$G, 0),CHOOSE(MATCH(H2915, {"SML";"XL";"XXL"}, 0), 1, 2, 3)), 0)</f>
        <v>0</v>
      </c>
      <c r="K2915" s="10">
        <f t="shared" si="98"/>
        <v>0</v>
      </c>
      <c r="N2915" s="9" t="str">
        <f t="shared" si="99"/>
        <v/>
      </c>
      <c r="O2915" s="9" t="str">
        <f>IF(N2915="","",IF(COUNTIF(Precios!$G:$G,N2915)=0,"⚠ No coincide con Precios","OK"))</f>
        <v/>
      </c>
    </row>
    <row r="2916" spans="3:15" x14ac:dyDescent="0.2">
      <c r="C2916" s="9" cm="1">
        <f t="array" ref="C2916">IFERROR(_xlfn.XLOOKUP(B2916,Personal!$A:$A,Personal!$D:$D,""),"")</f>
        <v>0</v>
      </c>
      <c r="D2916" s="9" cm="1">
        <f t="array" ref="D2916">IFERROR(_xlfn.XLOOKUP(B2916,Personal!$A:$A,Personal!$C:$C,""),"")</f>
        <v>0</v>
      </c>
      <c r="E2916" s="9" t="str" cm="1">
        <f t="array" ref="E2916">IFERROR(_xlfn.XLOOKUP(D2916,Locales!$A:$A,Locales!$B:$B,""),"")</f>
        <v/>
      </c>
      <c r="F2916" s="9" cm="1">
        <f t="array" ref="F2916">IFERROR(_xlfn.XLOOKUP(B2916,Personal!$A:$A,Personal!$F:$F,""),"")</f>
        <v>0</v>
      </c>
      <c r="I2916" s="10" cm="1">
        <f t="array" ref="I2916">IFERROR(INDEX(Precios!$D:$F,MATCH(N2916, Precios!$G:$G, 0),CHOOSE(MATCH(H2916, {"SML";"XL";"XXL"}, 0), 1, 2, 3)), 0)</f>
        <v>0</v>
      </c>
      <c r="K2916" s="10">
        <f t="shared" si="98"/>
        <v>0</v>
      </c>
      <c r="N2916" s="9" t="str">
        <f t="shared" si="99"/>
        <v/>
      </c>
      <c r="O2916" s="9" t="str">
        <f>IF(N2916="","",IF(COUNTIF(Precios!$G:$G,N2916)=0,"⚠ No coincide con Precios","OK"))</f>
        <v/>
      </c>
    </row>
    <row r="2917" spans="3:15" x14ac:dyDescent="0.2">
      <c r="C2917" s="9" cm="1">
        <f t="array" ref="C2917">IFERROR(_xlfn.XLOOKUP(B2917,Personal!$A:$A,Personal!$D:$D,""),"")</f>
        <v>0</v>
      </c>
      <c r="D2917" s="9" cm="1">
        <f t="array" ref="D2917">IFERROR(_xlfn.XLOOKUP(B2917,Personal!$A:$A,Personal!$C:$C,""),"")</f>
        <v>0</v>
      </c>
      <c r="E2917" s="9" t="str" cm="1">
        <f t="array" ref="E2917">IFERROR(_xlfn.XLOOKUP(D2917,Locales!$A:$A,Locales!$B:$B,""),"")</f>
        <v/>
      </c>
      <c r="F2917" s="9" cm="1">
        <f t="array" ref="F2917">IFERROR(_xlfn.XLOOKUP(B2917,Personal!$A:$A,Personal!$F:$F,""),"")</f>
        <v>0</v>
      </c>
      <c r="I2917" s="10" cm="1">
        <f t="array" ref="I2917">IFERROR(INDEX(Precios!$D:$F,MATCH(N2917, Precios!$G:$G, 0),CHOOSE(MATCH(H2917, {"SML";"XL";"XXL"}, 0), 1, 2, 3)), 0)</f>
        <v>0</v>
      </c>
      <c r="K2917" s="10">
        <f t="shared" si="98"/>
        <v>0</v>
      </c>
      <c r="N2917" s="9" t="str">
        <f t="shared" si="99"/>
        <v/>
      </c>
      <c r="O2917" s="9" t="str">
        <f>IF(N2917="","",IF(COUNTIF(Precios!$G:$G,N2917)=0,"⚠ No coincide con Precios","OK"))</f>
        <v/>
      </c>
    </row>
    <row r="2918" spans="3:15" x14ac:dyDescent="0.2">
      <c r="C2918" s="9" cm="1">
        <f t="array" ref="C2918">IFERROR(_xlfn.XLOOKUP(B2918,Personal!$A:$A,Personal!$D:$D,""),"")</f>
        <v>0</v>
      </c>
      <c r="D2918" s="9" cm="1">
        <f t="array" ref="D2918">IFERROR(_xlfn.XLOOKUP(B2918,Personal!$A:$A,Personal!$C:$C,""),"")</f>
        <v>0</v>
      </c>
      <c r="E2918" s="9" t="str" cm="1">
        <f t="array" ref="E2918">IFERROR(_xlfn.XLOOKUP(D2918,Locales!$A:$A,Locales!$B:$B,""),"")</f>
        <v/>
      </c>
      <c r="F2918" s="9" cm="1">
        <f t="array" ref="F2918">IFERROR(_xlfn.XLOOKUP(B2918,Personal!$A:$A,Personal!$F:$F,""),"")</f>
        <v>0</v>
      </c>
      <c r="I2918" s="10" cm="1">
        <f t="array" ref="I2918">IFERROR(INDEX(Precios!$D:$F,MATCH(N2918, Precios!$G:$G, 0),CHOOSE(MATCH(H2918, {"SML";"XL";"XXL"}, 0), 1, 2, 3)), 0)</f>
        <v>0</v>
      </c>
      <c r="K2918" s="10">
        <f t="shared" si="98"/>
        <v>0</v>
      </c>
      <c r="N2918" s="9" t="str">
        <f t="shared" si="99"/>
        <v/>
      </c>
      <c r="O2918" s="9" t="str">
        <f>IF(N2918="","",IF(COUNTIF(Precios!$G:$G,N2918)=0,"⚠ No coincide con Precios","OK"))</f>
        <v/>
      </c>
    </row>
    <row r="2919" spans="3:15" x14ac:dyDescent="0.2">
      <c r="C2919" s="9" cm="1">
        <f t="array" ref="C2919">IFERROR(_xlfn.XLOOKUP(B2919,Personal!$A:$A,Personal!$D:$D,""),"")</f>
        <v>0</v>
      </c>
      <c r="D2919" s="9" cm="1">
        <f t="array" ref="D2919">IFERROR(_xlfn.XLOOKUP(B2919,Personal!$A:$A,Personal!$C:$C,""),"")</f>
        <v>0</v>
      </c>
      <c r="E2919" s="9" t="str" cm="1">
        <f t="array" ref="E2919">IFERROR(_xlfn.XLOOKUP(D2919,Locales!$A:$A,Locales!$B:$B,""),"")</f>
        <v/>
      </c>
      <c r="F2919" s="9" cm="1">
        <f t="array" ref="F2919">IFERROR(_xlfn.XLOOKUP(B2919,Personal!$A:$A,Personal!$F:$F,""),"")</f>
        <v>0</v>
      </c>
      <c r="I2919" s="10" cm="1">
        <f t="array" ref="I2919">IFERROR(INDEX(Precios!$D:$F,MATCH(N2919, Precios!$G:$G, 0),CHOOSE(MATCH(H2919, {"SML";"XL";"XXL"}, 0), 1, 2, 3)), 0)</f>
        <v>0</v>
      </c>
      <c r="K2919" s="10">
        <f t="shared" si="98"/>
        <v>0</v>
      </c>
      <c r="N2919" s="9" t="str">
        <f t="shared" si="99"/>
        <v/>
      </c>
      <c r="O2919" s="9" t="str">
        <f>IF(N2919="","",IF(COUNTIF(Precios!$G:$G,N2919)=0,"⚠ No coincide con Precios","OK"))</f>
        <v/>
      </c>
    </row>
    <row r="2920" spans="3:15" x14ac:dyDescent="0.2">
      <c r="C2920" s="9" cm="1">
        <f t="array" ref="C2920">IFERROR(_xlfn.XLOOKUP(B2920,Personal!$A:$A,Personal!$D:$D,""),"")</f>
        <v>0</v>
      </c>
      <c r="D2920" s="9" cm="1">
        <f t="array" ref="D2920">IFERROR(_xlfn.XLOOKUP(B2920,Personal!$A:$A,Personal!$C:$C,""),"")</f>
        <v>0</v>
      </c>
      <c r="E2920" s="9" t="str" cm="1">
        <f t="array" ref="E2920">IFERROR(_xlfn.XLOOKUP(D2920,Locales!$A:$A,Locales!$B:$B,""),"")</f>
        <v/>
      </c>
      <c r="F2920" s="9" cm="1">
        <f t="array" ref="F2920">IFERROR(_xlfn.XLOOKUP(B2920,Personal!$A:$A,Personal!$F:$F,""),"")</f>
        <v>0</v>
      </c>
      <c r="I2920" s="10" cm="1">
        <f t="array" ref="I2920">IFERROR(INDEX(Precios!$D:$F,MATCH(N2920, Precios!$G:$G, 0),CHOOSE(MATCH(H2920, {"SML";"XL";"XXL"}, 0), 1, 2, 3)), 0)</f>
        <v>0</v>
      </c>
      <c r="K2920" s="10">
        <f t="shared" si="98"/>
        <v>0</v>
      </c>
      <c r="N2920" s="9" t="str">
        <f t="shared" si="99"/>
        <v/>
      </c>
      <c r="O2920" s="9" t="str">
        <f>IF(N2920="","",IF(COUNTIF(Precios!$G:$G,N2920)=0,"⚠ No coincide con Precios","OK"))</f>
        <v/>
      </c>
    </row>
    <row r="2921" spans="3:15" x14ac:dyDescent="0.2">
      <c r="C2921" s="9" cm="1">
        <f t="array" ref="C2921">IFERROR(_xlfn.XLOOKUP(B2921,Personal!$A:$A,Personal!$D:$D,""),"")</f>
        <v>0</v>
      </c>
      <c r="D2921" s="9" cm="1">
        <f t="array" ref="D2921">IFERROR(_xlfn.XLOOKUP(B2921,Personal!$A:$A,Personal!$C:$C,""),"")</f>
        <v>0</v>
      </c>
      <c r="E2921" s="9" t="str" cm="1">
        <f t="array" ref="E2921">IFERROR(_xlfn.XLOOKUP(D2921,Locales!$A:$A,Locales!$B:$B,""),"")</f>
        <v/>
      </c>
      <c r="F2921" s="9" cm="1">
        <f t="array" ref="F2921">IFERROR(_xlfn.XLOOKUP(B2921,Personal!$A:$A,Personal!$F:$F,""),"")</f>
        <v>0</v>
      </c>
      <c r="I2921" s="10" cm="1">
        <f t="array" ref="I2921">IFERROR(INDEX(Precios!$D:$F,MATCH(N2921, Precios!$G:$G, 0),CHOOSE(MATCH(H2921, {"SML";"XL";"XXL"}, 0), 1, 2, 3)), 0)</f>
        <v>0</v>
      </c>
      <c r="K2921" s="10">
        <f t="shared" si="98"/>
        <v>0</v>
      </c>
      <c r="N2921" s="9" t="str">
        <f t="shared" si="99"/>
        <v/>
      </c>
      <c r="O2921" s="9" t="str">
        <f>IF(N2921="","",IF(COUNTIF(Precios!$G:$G,N2921)=0,"⚠ No coincide con Precios","OK"))</f>
        <v/>
      </c>
    </row>
    <row r="2922" spans="3:15" x14ac:dyDescent="0.2">
      <c r="C2922" s="9" cm="1">
        <f t="array" ref="C2922">IFERROR(_xlfn.XLOOKUP(B2922,Personal!$A:$A,Personal!$D:$D,""),"")</f>
        <v>0</v>
      </c>
      <c r="D2922" s="9" cm="1">
        <f t="array" ref="D2922">IFERROR(_xlfn.XLOOKUP(B2922,Personal!$A:$A,Personal!$C:$C,""),"")</f>
        <v>0</v>
      </c>
      <c r="E2922" s="9" t="str" cm="1">
        <f t="array" ref="E2922">IFERROR(_xlfn.XLOOKUP(D2922,Locales!$A:$A,Locales!$B:$B,""),"")</f>
        <v/>
      </c>
      <c r="F2922" s="9" cm="1">
        <f t="array" ref="F2922">IFERROR(_xlfn.XLOOKUP(B2922,Personal!$A:$A,Personal!$F:$F,""),"")</f>
        <v>0</v>
      </c>
      <c r="I2922" s="10" cm="1">
        <f t="array" ref="I2922">IFERROR(INDEX(Precios!$D:$F,MATCH(N2922, Precios!$G:$G, 0),CHOOSE(MATCH(H2922, {"SML";"XL";"XXL"}, 0), 1, 2, 3)), 0)</f>
        <v>0</v>
      </c>
      <c r="K2922" s="10">
        <f t="shared" si="98"/>
        <v>0</v>
      </c>
      <c r="N2922" s="9" t="str">
        <f t="shared" si="99"/>
        <v/>
      </c>
      <c r="O2922" s="9" t="str">
        <f>IF(N2922="","",IF(COUNTIF(Precios!$G:$G,N2922)=0,"⚠ No coincide con Precios","OK"))</f>
        <v/>
      </c>
    </row>
    <row r="2923" spans="3:15" x14ac:dyDescent="0.2">
      <c r="C2923" s="9" cm="1">
        <f t="array" ref="C2923">IFERROR(_xlfn.XLOOKUP(B2923,Personal!$A:$A,Personal!$D:$D,""),"")</f>
        <v>0</v>
      </c>
      <c r="D2923" s="9" cm="1">
        <f t="array" ref="D2923">IFERROR(_xlfn.XLOOKUP(B2923,Personal!$A:$A,Personal!$C:$C,""),"")</f>
        <v>0</v>
      </c>
      <c r="E2923" s="9" t="str" cm="1">
        <f t="array" ref="E2923">IFERROR(_xlfn.XLOOKUP(D2923,Locales!$A:$A,Locales!$B:$B,""),"")</f>
        <v/>
      </c>
      <c r="F2923" s="9" cm="1">
        <f t="array" ref="F2923">IFERROR(_xlfn.XLOOKUP(B2923,Personal!$A:$A,Personal!$F:$F,""),"")</f>
        <v>0</v>
      </c>
      <c r="I2923" s="10" cm="1">
        <f t="array" ref="I2923">IFERROR(INDEX(Precios!$D:$F,MATCH(N2923, Precios!$G:$G, 0),CHOOSE(MATCH(H2923, {"SML";"XL";"XXL"}, 0), 1, 2, 3)), 0)</f>
        <v>0</v>
      </c>
      <c r="K2923" s="10">
        <f t="shared" si="98"/>
        <v>0</v>
      </c>
      <c r="N2923" s="9" t="str">
        <f t="shared" si="99"/>
        <v/>
      </c>
      <c r="O2923" s="9" t="str">
        <f>IF(N2923="","",IF(COUNTIF(Precios!$G:$G,N2923)=0,"⚠ No coincide con Precios","OK"))</f>
        <v/>
      </c>
    </row>
    <row r="2924" spans="3:15" x14ac:dyDescent="0.2">
      <c r="C2924" s="9" cm="1">
        <f t="array" ref="C2924">IFERROR(_xlfn.XLOOKUP(B2924,Personal!$A:$A,Personal!$D:$D,""),"")</f>
        <v>0</v>
      </c>
      <c r="D2924" s="9" cm="1">
        <f t="array" ref="D2924">IFERROR(_xlfn.XLOOKUP(B2924,Personal!$A:$A,Personal!$C:$C,""),"")</f>
        <v>0</v>
      </c>
      <c r="E2924" s="9" t="str" cm="1">
        <f t="array" ref="E2924">IFERROR(_xlfn.XLOOKUP(D2924,Locales!$A:$A,Locales!$B:$B,""),"")</f>
        <v/>
      </c>
      <c r="F2924" s="9" cm="1">
        <f t="array" ref="F2924">IFERROR(_xlfn.XLOOKUP(B2924,Personal!$A:$A,Personal!$F:$F,""),"")</f>
        <v>0</v>
      </c>
      <c r="I2924" s="10" cm="1">
        <f t="array" ref="I2924">IFERROR(INDEX(Precios!$D:$F,MATCH(N2924, Precios!$G:$G, 0),CHOOSE(MATCH(H2924, {"SML";"XL";"XXL"}, 0), 1, 2, 3)), 0)</f>
        <v>0</v>
      </c>
      <c r="K2924" s="10">
        <f t="shared" si="98"/>
        <v>0</v>
      </c>
      <c r="N2924" s="9" t="str">
        <f t="shared" si="99"/>
        <v/>
      </c>
      <c r="O2924" s="9" t="str">
        <f>IF(N2924="","",IF(COUNTIF(Precios!$G:$G,N2924)=0,"⚠ No coincide con Precios","OK"))</f>
        <v/>
      </c>
    </row>
    <row r="2925" spans="3:15" x14ac:dyDescent="0.2">
      <c r="C2925" s="9" cm="1">
        <f t="array" ref="C2925">IFERROR(_xlfn.XLOOKUP(B2925,Personal!$A:$A,Personal!$D:$D,""),"")</f>
        <v>0</v>
      </c>
      <c r="D2925" s="9" cm="1">
        <f t="array" ref="D2925">IFERROR(_xlfn.XLOOKUP(B2925,Personal!$A:$A,Personal!$C:$C,""),"")</f>
        <v>0</v>
      </c>
      <c r="E2925" s="9" t="str" cm="1">
        <f t="array" ref="E2925">IFERROR(_xlfn.XLOOKUP(D2925,Locales!$A:$A,Locales!$B:$B,""),"")</f>
        <v/>
      </c>
      <c r="F2925" s="9" cm="1">
        <f t="array" ref="F2925">IFERROR(_xlfn.XLOOKUP(B2925,Personal!$A:$A,Personal!$F:$F,""),"")</f>
        <v>0</v>
      </c>
      <c r="I2925" s="10" cm="1">
        <f t="array" ref="I2925">IFERROR(INDEX(Precios!$D:$F,MATCH(N2925, Precios!$G:$G, 0),CHOOSE(MATCH(H2925, {"SML";"XL";"XXL"}, 0), 1, 2, 3)), 0)</f>
        <v>0</v>
      </c>
      <c r="K2925" s="10">
        <f t="shared" si="98"/>
        <v>0</v>
      </c>
      <c r="N2925" s="9" t="str">
        <f t="shared" si="99"/>
        <v/>
      </c>
      <c r="O2925" s="9" t="str">
        <f>IF(N2925="","",IF(COUNTIF(Precios!$G:$G,N2925)=0,"⚠ No coincide con Precios","OK"))</f>
        <v/>
      </c>
    </row>
    <row r="2926" spans="3:15" x14ac:dyDescent="0.2">
      <c r="C2926" s="9" cm="1">
        <f t="array" ref="C2926">IFERROR(_xlfn.XLOOKUP(B2926,Personal!$A:$A,Personal!$D:$D,""),"")</f>
        <v>0</v>
      </c>
      <c r="D2926" s="9" cm="1">
        <f t="array" ref="D2926">IFERROR(_xlfn.XLOOKUP(B2926,Personal!$A:$A,Personal!$C:$C,""),"")</f>
        <v>0</v>
      </c>
      <c r="E2926" s="9" t="str" cm="1">
        <f t="array" ref="E2926">IFERROR(_xlfn.XLOOKUP(D2926,Locales!$A:$A,Locales!$B:$B,""),"")</f>
        <v/>
      </c>
      <c r="F2926" s="9" cm="1">
        <f t="array" ref="F2926">IFERROR(_xlfn.XLOOKUP(B2926,Personal!$A:$A,Personal!$F:$F,""),"")</f>
        <v>0</v>
      </c>
      <c r="I2926" s="10" cm="1">
        <f t="array" ref="I2926">IFERROR(INDEX(Precios!$D:$F,MATCH(N2926, Precios!$G:$G, 0),CHOOSE(MATCH(H2926, {"SML";"XL";"XXL"}, 0), 1, 2, 3)), 0)</f>
        <v>0</v>
      </c>
      <c r="K2926" s="10">
        <f t="shared" si="98"/>
        <v>0</v>
      </c>
      <c r="N2926" s="9" t="str">
        <f t="shared" si="99"/>
        <v/>
      </c>
      <c r="O2926" s="9" t="str">
        <f>IF(N2926="","",IF(COUNTIF(Precios!$G:$G,N2926)=0,"⚠ No coincide con Precios","OK"))</f>
        <v/>
      </c>
    </row>
    <row r="2927" spans="3:15" x14ac:dyDescent="0.2">
      <c r="C2927" s="9" cm="1">
        <f t="array" ref="C2927">IFERROR(_xlfn.XLOOKUP(B2927,Personal!$A:$A,Personal!$D:$D,""),"")</f>
        <v>0</v>
      </c>
      <c r="D2927" s="9" cm="1">
        <f t="array" ref="D2927">IFERROR(_xlfn.XLOOKUP(B2927,Personal!$A:$A,Personal!$C:$C,""),"")</f>
        <v>0</v>
      </c>
      <c r="E2927" s="9" t="str" cm="1">
        <f t="array" ref="E2927">IFERROR(_xlfn.XLOOKUP(D2927,Locales!$A:$A,Locales!$B:$B,""),"")</f>
        <v/>
      </c>
      <c r="F2927" s="9" cm="1">
        <f t="array" ref="F2927">IFERROR(_xlfn.XLOOKUP(B2927,Personal!$A:$A,Personal!$F:$F,""),"")</f>
        <v>0</v>
      </c>
      <c r="I2927" s="10" cm="1">
        <f t="array" ref="I2927">IFERROR(INDEX(Precios!$D:$F,MATCH(N2927, Precios!$G:$G, 0),CHOOSE(MATCH(H2927, {"SML";"XL";"XXL"}, 0), 1, 2, 3)), 0)</f>
        <v>0</v>
      </c>
      <c r="K2927" s="10">
        <f t="shared" si="98"/>
        <v>0</v>
      </c>
      <c r="N2927" s="9" t="str">
        <f t="shared" si="99"/>
        <v/>
      </c>
      <c r="O2927" s="9" t="str">
        <f>IF(N2927="","",IF(COUNTIF(Precios!$G:$G,N2927)=0,"⚠ No coincide con Precios","OK"))</f>
        <v/>
      </c>
    </row>
    <row r="2928" spans="3:15" x14ac:dyDescent="0.2">
      <c r="C2928" s="9" cm="1">
        <f t="array" ref="C2928">IFERROR(_xlfn.XLOOKUP(B2928,Personal!$A:$A,Personal!$D:$D,""),"")</f>
        <v>0</v>
      </c>
      <c r="D2928" s="9" cm="1">
        <f t="array" ref="D2928">IFERROR(_xlfn.XLOOKUP(B2928,Personal!$A:$A,Personal!$C:$C,""),"")</f>
        <v>0</v>
      </c>
      <c r="E2928" s="9" t="str" cm="1">
        <f t="array" ref="E2928">IFERROR(_xlfn.XLOOKUP(D2928,Locales!$A:$A,Locales!$B:$B,""),"")</f>
        <v/>
      </c>
      <c r="F2928" s="9" cm="1">
        <f t="array" ref="F2928">IFERROR(_xlfn.XLOOKUP(B2928,Personal!$A:$A,Personal!$F:$F,""),"")</f>
        <v>0</v>
      </c>
      <c r="I2928" s="10" cm="1">
        <f t="array" ref="I2928">IFERROR(INDEX(Precios!$D:$F,MATCH(N2928, Precios!$G:$G, 0),CHOOSE(MATCH(H2928, {"SML";"XL";"XXL"}, 0), 1, 2, 3)), 0)</f>
        <v>0</v>
      </c>
      <c r="K2928" s="10">
        <f t="shared" si="98"/>
        <v>0</v>
      </c>
      <c r="N2928" s="9" t="str">
        <f t="shared" si="99"/>
        <v/>
      </c>
      <c r="O2928" s="9" t="str">
        <f>IF(N2928="","",IF(COUNTIF(Precios!$G:$G,N2928)=0,"⚠ No coincide con Precios","OK"))</f>
        <v/>
      </c>
    </row>
    <row r="2929" spans="3:15" x14ac:dyDescent="0.2">
      <c r="C2929" s="9" cm="1">
        <f t="array" ref="C2929">IFERROR(_xlfn.XLOOKUP(B2929,Personal!$A:$A,Personal!$D:$D,""),"")</f>
        <v>0</v>
      </c>
      <c r="D2929" s="9" cm="1">
        <f t="array" ref="D2929">IFERROR(_xlfn.XLOOKUP(B2929,Personal!$A:$A,Personal!$C:$C,""),"")</f>
        <v>0</v>
      </c>
      <c r="E2929" s="9" t="str" cm="1">
        <f t="array" ref="E2929">IFERROR(_xlfn.XLOOKUP(D2929,Locales!$A:$A,Locales!$B:$B,""),"")</f>
        <v/>
      </c>
      <c r="F2929" s="9" cm="1">
        <f t="array" ref="F2929">IFERROR(_xlfn.XLOOKUP(B2929,Personal!$A:$A,Personal!$F:$F,""),"")</f>
        <v>0</v>
      </c>
      <c r="I2929" s="10" cm="1">
        <f t="array" ref="I2929">IFERROR(INDEX(Precios!$D:$F,MATCH(N2929, Precios!$G:$G, 0),CHOOSE(MATCH(H2929, {"SML";"XL";"XXL"}, 0), 1, 2, 3)), 0)</f>
        <v>0</v>
      </c>
      <c r="K2929" s="10">
        <f t="shared" si="98"/>
        <v>0</v>
      </c>
      <c r="N2929" s="9" t="str">
        <f t="shared" si="99"/>
        <v/>
      </c>
      <c r="O2929" s="9" t="str">
        <f>IF(N2929="","",IF(COUNTIF(Precios!$G:$G,N2929)=0,"⚠ No coincide con Precios","OK"))</f>
        <v/>
      </c>
    </row>
    <row r="2930" spans="3:15" x14ac:dyDescent="0.2">
      <c r="C2930" s="9" cm="1">
        <f t="array" ref="C2930">IFERROR(_xlfn.XLOOKUP(B2930,Personal!$A:$A,Personal!$D:$D,""),"")</f>
        <v>0</v>
      </c>
      <c r="D2930" s="9" cm="1">
        <f t="array" ref="D2930">IFERROR(_xlfn.XLOOKUP(B2930,Personal!$A:$A,Personal!$C:$C,""),"")</f>
        <v>0</v>
      </c>
      <c r="E2930" s="9" t="str" cm="1">
        <f t="array" ref="E2930">IFERROR(_xlfn.XLOOKUP(D2930,Locales!$A:$A,Locales!$B:$B,""),"")</f>
        <v/>
      </c>
      <c r="F2930" s="9" cm="1">
        <f t="array" ref="F2930">IFERROR(_xlfn.XLOOKUP(B2930,Personal!$A:$A,Personal!$F:$F,""),"")</f>
        <v>0</v>
      </c>
      <c r="I2930" s="10" cm="1">
        <f t="array" ref="I2930">IFERROR(INDEX(Precios!$D:$F,MATCH(N2930, Precios!$G:$G, 0),CHOOSE(MATCH(H2930, {"SML";"XL";"XXL"}, 0), 1, 2, 3)), 0)</f>
        <v>0</v>
      </c>
      <c r="K2930" s="10">
        <f t="shared" si="98"/>
        <v>0</v>
      </c>
      <c r="N2930" s="9" t="str">
        <f t="shared" si="99"/>
        <v/>
      </c>
      <c r="O2930" s="9" t="str">
        <f>IF(N2930="","",IF(COUNTIF(Precios!$G:$G,N2930)=0,"⚠ No coincide con Precios","OK"))</f>
        <v/>
      </c>
    </row>
    <row r="2931" spans="3:15" x14ac:dyDescent="0.2">
      <c r="C2931" s="9" cm="1">
        <f t="array" ref="C2931">IFERROR(_xlfn.XLOOKUP(B2931,Personal!$A:$A,Personal!$D:$D,""),"")</f>
        <v>0</v>
      </c>
      <c r="D2931" s="9" cm="1">
        <f t="array" ref="D2931">IFERROR(_xlfn.XLOOKUP(B2931,Personal!$A:$A,Personal!$C:$C,""),"")</f>
        <v>0</v>
      </c>
      <c r="E2931" s="9" t="str" cm="1">
        <f t="array" ref="E2931">IFERROR(_xlfn.XLOOKUP(D2931,Locales!$A:$A,Locales!$B:$B,""),"")</f>
        <v/>
      </c>
      <c r="F2931" s="9" cm="1">
        <f t="array" ref="F2931">IFERROR(_xlfn.XLOOKUP(B2931,Personal!$A:$A,Personal!$F:$F,""),"")</f>
        <v>0</v>
      </c>
      <c r="I2931" s="10" cm="1">
        <f t="array" ref="I2931">IFERROR(INDEX(Precios!$D:$F,MATCH(N2931, Precios!$G:$G, 0),CHOOSE(MATCH(H2931, {"SML";"XL";"XXL"}, 0), 1, 2, 3)), 0)</f>
        <v>0</v>
      </c>
      <c r="K2931" s="10">
        <f t="shared" si="98"/>
        <v>0</v>
      </c>
      <c r="N2931" s="9" t="str">
        <f t="shared" si="99"/>
        <v/>
      </c>
      <c r="O2931" s="9" t="str">
        <f>IF(N2931="","",IF(COUNTIF(Precios!$G:$G,N2931)=0,"⚠ No coincide con Precios","OK"))</f>
        <v/>
      </c>
    </row>
    <row r="2932" spans="3:15" x14ac:dyDescent="0.2">
      <c r="C2932" s="9" cm="1">
        <f t="array" ref="C2932">IFERROR(_xlfn.XLOOKUP(B2932,Personal!$A:$A,Personal!$D:$D,""),"")</f>
        <v>0</v>
      </c>
      <c r="D2932" s="9" cm="1">
        <f t="array" ref="D2932">IFERROR(_xlfn.XLOOKUP(B2932,Personal!$A:$A,Personal!$C:$C,""),"")</f>
        <v>0</v>
      </c>
      <c r="E2932" s="9" t="str" cm="1">
        <f t="array" ref="E2932">IFERROR(_xlfn.XLOOKUP(D2932,Locales!$A:$A,Locales!$B:$B,""),"")</f>
        <v/>
      </c>
      <c r="F2932" s="9" cm="1">
        <f t="array" ref="F2932">IFERROR(_xlfn.XLOOKUP(B2932,Personal!$A:$A,Personal!$F:$F,""),"")</f>
        <v>0</v>
      </c>
      <c r="I2932" s="10" cm="1">
        <f t="array" ref="I2932">IFERROR(INDEX(Precios!$D:$F,MATCH(N2932, Precios!$G:$G, 0),CHOOSE(MATCH(H2932, {"SML";"XL";"XXL"}, 0), 1, 2, 3)), 0)</f>
        <v>0</v>
      </c>
      <c r="K2932" s="10">
        <f t="shared" si="98"/>
        <v>0</v>
      </c>
      <c r="N2932" s="9" t="str">
        <f t="shared" si="99"/>
        <v/>
      </c>
      <c r="O2932" s="9" t="str">
        <f>IF(N2932="","",IF(COUNTIF(Precios!$G:$G,N2932)=0,"⚠ No coincide con Precios","OK"))</f>
        <v/>
      </c>
    </row>
    <row r="2933" spans="3:15" x14ac:dyDescent="0.2">
      <c r="C2933" s="9" cm="1">
        <f t="array" ref="C2933">IFERROR(_xlfn.XLOOKUP(B2933,Personal!$A:$A,Personal!$D:$D,""),"")</f>
        <v>0</v>
      </c>
      <c r="D2933" s="9" cm="1">
        <f t="array" ref="D2933">IFERROR(_xlfn.XLOOKUP(B2933,Personal!$A:$A,Personal!$C:$C,""),"")</f>
        <v>0</v>
      </c>
      <c r="E2933" s="9" t="str" cm="1">
        <f t="array" ref="E2933">IFERROR(_xlfn.XLOOKUP(D2933,Locales!$A:$A,Locales!$B:$B,""),"")</f>
        <v/>
      </c>
      <c r="F2933" s="9" cm="1">
        <f t="array" ref="F2933">IFERROR(_xlfn.XLOOKUP(B2933,Personal!$A:$A,Personal!$F:$F,""),"")</f>
        <v>0</v>
      </c>
      <c r="I2933" s="10" cm="1">
        <f t="array" ref="I2933">IFERROR(INDEX(Precios!$D:$F,MATCH(N2933, Precios!$G:$G, 0),CHOOSE(MATCH(H2933, {"SML";"XL";"XXL"}, 0), 1, 2, 3)), 0)</f>
        <v>0</v>
      </c>
      <c r="K2933" s="10">
        <f t="shared" si="98"/>
        <v>0</v>
      </c>
      <c r="N2933" s="9" t="str">
        <f t="shared" si="99"/>
        <v/>
      </c>
      <c r="O2933" s="9" t="str">
        <f>IF(N2933="","",IF(COUNTIF(Precios!$G:$G,N2933)=0,"⚠ No coincide con Precios","OK"))</f>
        <v/>
      </c>
    </row>
    <row r="2934" spans="3:15" x14ac:dyDescent="0.2">
      <c r="C2934" s="9" cm="1">
        <f t="array" ref="C2934">IFERROR(_xlfn.XLOOKUP(B2934,Personal!$A:$A,Personal!$D:$D,""),"")</f>
        <v>0</v>
      </c>
      <c r="D2934" s="9" cm="1">
        <f t="array" ref="D2934">IFERROR(_xlfn.XLOOKUP(B2934,Personal!$A:$A,Personal!$C:$C,""),"")</f>
        <v>0</v>
      </c>
      <c r="E2934" s="9" t="str" cm="1">
        <f t="array" ref="E2934">IFERROR(_xlfn.XLOOKUP(D2934,Locales!$A:$A,Locales!$B:$B,""),"")</f>
        <v/>
      </c>
      <c r="F2934" s="9" cm="1">
        <f t="array" ref="F2934">IFERROR(_xlfn.XLOOKUP(B2934,Personal!$A:$A,Personal!$F:$F,""),"")</f>
        <v>0</v>
      </c>
      <c r="I2934" s="10" cm="1">
        <f t="array" ref="I2934">IFERROR(INDEX(Precios!$D:$F,MATCH(N2934, Precios!$G:$G, 0),CHOOSE(MATCH(H2934, {"SML";"XL";"XXL"}, 0), 1, 2, 3)), 0)</f>
        <v>0</v>
      </c>
      <c r="K2934" s="10">
        <f t="shared" si="98"/>
        <v>0</v>
      </c>
      <c r="N2934" s="9" t="str">
        <f t="shared" si="99"/>
        <v/>
      </c>
      <c r="O2934" s="9" t="str">
        <f>IF(N2934="","",IF(COUNTIF(Precios!$G:$G,N2934)=0,"⚠ No coincide con Precios","OK"))</f>
        <v/>
      </c>
    </row>
    <row r="2935" spans="3:15" x14ac:dyDescent="0.2">
      <c r="C2935" s="9" cm="1">
        <f t="array" ref="C2935">IFERROR(_xlfn.XLOOKUP(B2935,Personal!$A:$A,Personal!$D:$D,""),"")</f>
        <v>0</v>
      </c>
      <c r="D2935" s="9" cm="1">
        <f t="array" ref="D2935">IFERROR(_xlfn.XLOOKUP(B2935,Personal!$A:$A,Personal!$C:$C,""),"")</f>
        <v>0</v>
      </c>
      <c r="E2935" s="9" t="str" cm="1">
        <f t="array" ref="E2935">IFERROR(_xlfn.XLOOKUP(D2935,Locales!$A:$A,Locales!$B:$B,""),"")</f>
        <v/>
      </c>
      <c r="F2935" s="9" cm="1">
        <f t="array" ref="F2935">IFERROR(_xlfn.XLOOKUP(B2935,Personal!$A:$A,Personal!$F:$F,""),"")</f>
        <v>0</v>
      </c>
      <c r="I2935" s="10" cm="1">
        <f t="array" ref="I2935">IFERROR(INDEX(Precios!$D:$F,MATCH(N2935, Precios!$G:$G, 0),CHOOSE(MATCH(H2935, {"SML";"XL";"XXL"}, 0), 1, 2, 3)), 0)</f>
        <v>0</v>
      </c>
      <c r="K2935" s="10">
        <f t="shared" si="98"/>
        <v>0</v>
      </c>
      <c r="N2935" s="9" t="str">
        <f t="shared" si="99"/>
        <v/>
      </c>
      <c r="O2935" s="9" t="str">
        <f>IF(N2935="","",IF(COUNTIF(Precios!$G:$G,N2935)=0,"⚠ No coincide con Precios","OK"))</f>
        <v/>
      </c>
    </row>
    <row r="2936" spans="3:15" x14ac:dyDescent="0.2">
      <c r="C2936" s="9" cm="1">
        <f t="array" ref="C2936">IFERROR(_xlfn.XLOOKUP(B2936,Personal!$A:$A,Personal!$D:$D,""),"")</f>
        <v>0</v>
      </c>
      <c r="D2936" s="9" cm="1">
        <f t="array" ref="D2936">IFERROR(_xlfn.XLOOKUP(B2936,Personal!$A:$A,Personal!$C:$C,""),"")</f>
        <v>0</v>
      </c>
      <c r="E2936" s="9" t="str" cm="1">
        <f t="array" ref="E2936">IFERROR(_xlfn.XLOOKUP(D2936,Locales!$A:$A,Locales!$B:$B,""),"")</f>
        <v/>
      </c>
      <c r="F2936" s="9" cm="1">
        <f t="array" ref="F2936">IFERROR(_xlfn.XLOOKUP(B2936,Personal!$A:$A,Personal!$F:$F,""),"")</f>
        <v>0</v>
      </c>
      <c r="I2936" s="10" cm="1">
        <f t="array" ref="I2936">IFERROR(INDEX(Precios!$D:$F,MATCH(N2936, Precios!$G:$G, 0),CHOOSE(MATCH(H2936, {"SML";"XL";"XXL"}, 0), 1, 2, 3)), 0)</f>
        <v>0</v>
      </c>
      <c r="K2936" s="10">
        <f t="shared" si="98"/>
        <v>0</v>
      </c>
      <c r="N2936" s="9" t="str">
        <f t="shared" si="99"/>
        <v/>
      </c>
      <c r="O2936" s="9" t="str">
        <f>IF(N2936="","",IF(COUNTIF(Precios!$G:$G,N2936)=0,"⚠ No coincide con Precios","OK"))</f>
        <v/>
      </c>
    </row>
    <row r="2937" spans="3:15" x14ac:dyDescent="0.2">
      <c r="C2937" s="9" cm="1">
        <f t="array" ref="C2937">IFERROR(_xlfn.XLOOKUP(B2937,Personal!$A:$A,Personal!$D:$D,""),"")</f>
        <v>0</v>
      </c>
      <c r="D2937" s="9" cm="1">
        <f t="array" ref="D2937">IFERROR(_xlfn.XLOOKUP(B2937,Personal!$A:$A,Personal!$C:$C,""),"")</f>
        <v>0</v>
      </c>
      <c r="E2937" s="9" t="str" cm="1">
        <f t="array" ref="E2937">IFERROR(_xlfn.XLOOKUP(D2937,Locales!$A:$A,Locales!$B:$B,""),"")</f>
        <v/>
      </c>
      <c r="F2937" s="9" cm="1">
        <f t="array" ref="F2937">IFERROR(_xlfn.XLOOKUP(B2937,Personal!$A:$A,Personal!$F:$F,""),"")</f>
        <v>0</v>
      </c>
      <c r="I2937" s="10" cm="1">
        <f t="array" ref="I2937">IFERROR(INDEX(Precios!$D:$F,MATCH(N2937, Precios!$G:$G, 0),CHOOSE(MATCH(H2937, {"SML";"XL";"XXL"}, 0), 1, 2, 3)), 0)</f>
        <v>0</v>
      </c>
      <c r="K2937" s="10">
        <f t="shared" si="98"/>
        <v>0</v>
      </c>
      <c r="N2937" s="9" t="str">
        <f t="shared" si="99"/>
        <v/>
      </c>
      <c r="O2937" s="9" t="str">
        <f>IF(N2937="","",IF(COUNTIF(Precios!$G:$G,N2937)=0,"⚠ No coincide con Precios","OK"))</f>
        <v/>
      </c>
    </row>
    <row r="2938" spans="3:15" x14ac:dyDescent="0.2">
      <c r="C2938" s="9" cm="1">
        <f t="array" ref="C2938">IFERROR(_xlfn.XLOOKUP(B2938,Personal!$A:$A,Personal!$D:$D,""),"")</f>
        <v>0</v>
      </c>
      <c r="D2938" s="9" cm="1">
        <f t="array" ref="D2938">IFERROR(_xlfn.XLOOKUP(B2938,Personal!$A:$A,Personal!$C:$C,""),"")</f>
        <v>0</v>
      </c>
      <c r="E2938" s="9" t="str" cm="1">
        <f t="array" ref="E2938">IFERROR(_xlfn.XLOOKUP(D2938,Locales!$A:$A,Locales!$B:$B,""),"")</f>
        <v/>
      </c>
      <c r="F2938" s="9" cm="1">
        <f t="array" ref="F2938">IFERROR(_xlfn.XLOOKUP(B2938,Personal!$A:$A,Personal!$F:$F,""),"")</f>
        <v>0</v>
      </c>
      <c r="I2938" s="10" cm="1">
        <f t="array" ref="I2938">IFERROR(INDEX(Precios!$D:$F,MATCH(N2938, Precios!$G:$G, 0),CHOOSE(MATCH(H2938, {"SML";"XL";"XXL"}, 0), 1, 2, 3)), 0)</f>
        <v>0</v>
      </c>
      <c r="K2938" s="10">
        <f t="shared" si="98"/>
        <v>0</v>
      </c>
      <c r="N2938" s="9" t="str">
        <f t="shared" si="99"/>
        <v/>
      </c>
      <c r="O2938" s="9" t="str">
        <f>IF(N2938="","",IF(COUNTIF(Precios!$G:$G,N2938)=0,"⚠ No coincide con Precios","OK"))</f>
        <v/>
      </c>
    </row>
    <row r="2939" spans="3:15" x14ac:dyDescent="0.2">
      <c r="C2939" s="9" cm="1">
        <f t="array" ref="C2939">IFERROR(_xlfn.XLOOKUP(B2939,Personal!$A:$A,Personal!$D:$D,""),"")</f>
        <v>0</v>
      </c>
      <c r="D2939" s="9" cm="1">
        <f t="array" ref="D2939">IFERROR(_xlfn.XLOOKUP(B2939,Personal!$A:$A,Personal!$C:$C,""),"")</f>
        <v>0</v>
      </c>
      <c r="E2939" s="9" t="str" cm="1">
        <f t="array" ref="E2939">IFERROR(_xlfn.XLOOKUP(D2939,Locales!$A:$A,Locales!$B:$B,""),"")</f>
        <v/>
      </c>
      <c r="F2939" s="9" cm="1">
        <f t="array" ref="F2939">IFERROR(_xlfn.XLOOKUP(B2939,Personal!$A:$A,Personal!$F:$F,""),"")</f>
        <v>0</v>
      </c>
      <c r="I2939" s="10" cm="1">
        <f t="array" ref="I2939">IFERROR(INDEX(Precios!$D:$F,MATCH(N2939, Precios!$G:$G, 0),CHOOSE(MATCH(H2939, {"SML";"XL";"XXL"}, 0), 1, 2, 3)), 0)</f>
        <v>0</v>
      </c>
      <c r="K2939" s="10">
        <f t="shared" si="98"/>
        <v>0</v>
      </c>
      <c r="N2939" s="9" t="str">
        <f t="shared" si="99"/>
        <v/>
      </c>
      <c r="O2939" s="9" t="str">
        <f>IF(N2939="","",IF(COUNTIF(Precios!$G:$G,N2939)=0,"⚠ No coincide con Precios","OK"))</f>
        <v/>
      </c>
    </row>
    <row r="2940" spans="3:15" x14ac:dyDescent="0.2">
      <c r="C2940" s="9" cm="1">
        <f t="array" ref="C2940">IFERROR(_xlfn.XLOOKUP(B2940,Personal!$A:$A,Personal!$D:$D,""),"")</f>
        <v>0</v>
      </c>
      <c r="D2940" s="9" cm="1">
        <f t="array" ref="D2940">IFERROR(_xlfn.XLOOKUP(B2940,Personal!$A:$A,Personal!$C:$C,""),"")</f>
        <v>0</v>
      </c>
      <c r="E2940" s="9" t="str" cm="1">
        <f t="array" ref="E2940">IFERROR(_xlfn.XLOOKUP(D2940,Locales!$A:$A,Locales!$B:$B,""),"")</f>
        <v/>
      </c>
      <c r="F2940" s="9" cm="1">
        <f t="array" ref="F2940">IFERROR(_xlfn.XLOOKUP(B2940,Personal!$A:$A,Personal!$F:$F,""),"")</f>
        <v>0</v>
      </c>
      <c r="I2940" s="10" cm="1">
        <f t="array" ref="I2940">IFERROR(INDEX(Precios!$D:$F,MATCH(N2940, Precios!$G:$G, 0),CHOOSE(MATCH(H2940, {"SML";"XL";"XXL"}, 0), 1, 2, 3)), 0)</f>
        <v>0</v>
      </c>
      <c r="K2940" s="10">
        <f t="shared" si="98"/>
        <v>0</v>
      </c>
      <c r="N2940" s="9" t="str">
        <f t="shared" si="99"/>
        <v/>
      </c>
      <c r="O2940" s="9" t="str">
        <f>IF(N2940="","",IF(COUNTIF(Precios!$G:$G,N2940)=0,"⚠ No coincide con Precios","OK"))</f>
        <v/>
      </c>
    </row>
    <row r="2941" spans="3:15" x14ac:dyDescent="0.2">
      <c r="C2941" s="9" cm="1">
        <f t="array" ref="C2941">IFERROR(_xlfn.XLOOKUP(B2941,Personal!$A:$A,Personal!$D:$D,""),"")</f>
        <v>0</v>
      </c>
      <c r="D2941" s="9" cm="1">
        <f t="array" ref="D2941">IFERROR(_xlfn.XLOOKUP(B2941,Personal!$A:$A,Personal!$C:$C,""),"")</f>
        <v>0</v>
      </c>
      <c r="E2941" s="9" t="str" cm="1">
        <f t="array" ref="E2941">IFERROR(_xlfn.XLOOKUP(D2941,Locales!$A:$A,Locales!$B:$B,""),"")</f>
        <v/>
      </c>
      <c r="F2941" s="9" cm="1">
        <f t="array" ref="F2941">IFERROR(_xlfn.XLOOKUP(B2941,Personal!$A:$A,Personal!$F:$F,""),"")</f>
        <v>0</v>
      </c>
      <c r="I2941" s="10" cm="1">
        <f t="array" ref="I2941">IFERROR(INDEX(Precios!$D:$F,MATCH(N2941, Precios!$G:$G, 0),CHOOSE(MATCH(H2941, {"SML";"XL";"XXL"}, 0), 1, 2, 3)), 0)</f>
        <v>0</v>
      </c>
      <c r="K2941" s="10">
        <f t="shared" si="98"/>
        <v>0</v>
      </c>
      <c r="N2941" s="9" t="str">
        <f t="shared" si="99"/>
        <v/>
      </c>
      <c r="O2941" s="9" t="str">
        <f>IF(N2941="","",IF(COUNTIF(Precios!$G:$G,N2941)=0,"⚠ No coincide con Precios","OK"))</f>
        <v/>
      </c>
    </row>
    <row r="2942" spans="3:15" x14ac:dyDescent="0.2">
      <c r="C2942" s="9" cm="1">
        <f t="array" ref="C2942">IFERROR(_xlfn.XLOOKUP(B2942,Personal!$A:$A,Personal!$D:$D,""),"")</f>
        <v>0</v>
      </c>
      <c r="D2942" s="9" cm="1">
        <f t="array" ref="D2942">IFERROR(_xlfn.XLOOKUP(B2942,Personal!$A:$A,Personal!$C:$C,""),"")</f>
        <v>0</v>
      </c>
      <c r="E2942" s="9" t="str" cm="1">
        <f t="array" ref="E2942">IFERROR(_xlfn.XLOOKUP(D2942,Locales!$A:$A,Locales!$B:$B,""),"")</f>
        <v/>
      </c>
      <c r="F2942" s="9" cm="1">
        <f t="array" ref="F2942">IFERROR(_xlfn.XLOOKUP(B2942,Personal!$A:$A,Personal!$F:$F,""),"")</f>
        <v>0</v>
      </c>
      <c r="I2942" s="10" cm="1">
        <f t="array" ref="I2942">IFERROR(INDEX(Precios!$D:$F,MATCH(N2942, Precios!$G:$G, 0),CHOOSE(MATCH(H2942, {"SML";"XL";"XXL"}, 0), 1, 2, 3)), 0)</f>
        <v>0</v>
      </c>
      <c r="K2942" s="10">
        <f t="shared" si="98"/>
        <v>0</v>
      </c>
      <c r="N2942" s="9" t="str">
        <f t="shared" si="99"/>
        <v/>
      </c>
      <c r="O2942" s="9" t="str">
        <f>IF(N2942="","",IF(COUNTIF(Precios!$G:$G,N2942)=0,"⚠ No coincide con Precios","OK"))</f>
        <v/>
      </c>
    </row>
    <row r="2943" spans="3:15" x14ac:dyDescent="0.2">
      <c r="C2943" s="9" cm="1">
        <f t="array" ref="C2943">IFERROR(_xlfn.XLOOKUP(B2943,Personal!$A:$A,Personal!$D:$D,""),"")</f>
        <v>0</v>
      </c>
      <c r="D2943" s="9" cm="1">
        <f t="array" ref="D2943">IFERROR(_xlfn.XLOOKUP(B2943,Personal!$A:$A,Personal!$C:$C,""),"")</f>
        <v>0</v>
      </c>
      <c r="E2943" s="9" t="str" cm="1">
        <f t="array" ref="E2943">IFERROR(_xlfn.XLOOKUP(D2943,Locales!$A:$A,Locales!$B:$B,""),"")</f>
        <v/>
      </c>
      <c r="F2943" s="9" cm="1">
        <f t="array" ref="F2943">IFERROR(_xlfn.XLOOKUP(B2943,Personal!$A:$A,Personal!$F:$F,""),"")</f>
        <v>0</v>
      </c>
      <c r="I2943" s="10" cm="1">
        <f t="array" ref="I2943">IFERROR(INDEX(Precios!$D:$F,MATCH(N2943, Precios!$G:$G, 0),CHOOSE(MATCH(H2943, {"SML";"XL";"XXL"}, 0), 1, 2, 3)), 0)</f>
        <v>0</v>
      </c>
      <c r="K2943" s="10">
        <f t="shared" si="98"/>
        <v>0</v>
      </c>
      <c r="N2943" s="9" t="str">
        <f t="shared" si="99"/>
        <v/>
      </c>
      <c r="O2943" s="9" t="str">
        <f>IF(N2943="","",IF(COUNTIF(Precios!$G:$G,N2943)=0,"⚠ No coincide con Precios","OK"))</f>
        <v/>
      </c>
    </row>
    <row r="2944" spans="3:15" x14ac:dyDescent="0.2">
      <c r="C2944" s="9" cm="1">
        <f t="array" ref="C2944">IFERROR(_xlfn.XLOOKUP(B2944,Personal!$A:$A,Personal!$D:$D,""),"")</f>
        <v>0</v>
      </c>
      <c r="D2944" s="9" cm="1">
        <f t="array" ref="D2944">IFERROR(_xlfn.XLOOKUP(B2944,Personal!$A:$A,Personal!$C:$C,""),"")</f>
        <v>0</v>
      </c>
      <c r="E2944" s="9" t="str" cm="1">
        <f t="array" ref="E2944">IFERROR(_xlfn.XLOOKUP(D2944,Locales!$A:$A,Locales!$B:$B,""),"")</f>
        <v/>
      </c>
      <c r="F2944" s="9" cm="1">
        <f t="array" ref="F2944">IFERROR(_xlfn.XLOOKUP(B2944,Personal!$A:$A,Personal!$F:$F,""),"")</f>
        <v>0</v>
      </c>
      <c r="I2944" s="10" cm="1">
        <f t="array" ref="I2944">IFERROR(INDEX(Precios!$D:$F,MATCH(N2944, Precios!$G:$G, 0),CHOOSE(MATCH(H2944, {"SML";"XL";"XXL"}, 0), 1, 2, 3)), 0)</f>
        <v>0</v>
      </c>
      <c r="K2944" s="10">
        <f t="shared" ref="K2944:K3007" si="100">IFERROR(I2944*J2944,0)</f>
        <v>0</v>
      </c>
      <c r="N2944" s="9" t="str">
        <f t="shared" ref="N2944:N3007" si="101">IF( OR(E2944="",F2944="",G2944=""), "",CLEAN(TRIM(E2944)) &amp; "|" &amp; CLEAN(TRIM(F2944)) &amp; "|" &amp; CLEAN(TRIM(G2944)))</f>
        <v/>
      </c>
      <c r="O2944" s="9" t="str">
        <f>IF(N2944="","",IF(COUNTIF(Precios!$G:$G,N2944)=0,"⚠ No coincide con Precios","OK"))</f>
        <v/>
      </c>
    </row>
    <row r="2945" spans="3:15" x14ac:dyDescent="0.2">
      <c r="C2945" s="9" cm="1">
        <f t="array" ref="C2945">IFERROR(_xlfn.XLOOKUP(B2945,Personal!$A:$A,Personal!$D:$D,""),"")</f>
        <v>0</v>
      </c>
      <c r="D2945" s="9" cm="1">
        <f t="array" ref="D2945">IFERROR(_xlfn.XLOOKUP(B2945,Personal!$A:$A,Personal!$C:$C,""),"")</f>
        <v>0</v>
      </c>
      <c r="E2945" s="9" t="str" cm="1">
        <f t="array" ref="E2945">IFERROR(_xlfn.XLOOKUP(D2945,Locales!$A:$A,Locales!$B:$B,""),"")</f>
        <v/>
      </c>
      <c r="F2945" s="9" cm="1">
        <f t="array" ref="F2945">IFERROR(_xlfn.XLOOKUP(B2945,Personal!$A:$A,Personal!$F:$F,""),"")</f>
        <v>0</v>
      </c>
      <c r="I2945" s="10" cm="1">
        <f t="array" ref="I2945">IFERROR(INDEX(Precios!$D:$F,MATCH(N2945, Precios!$G:$G, 0),CHOOSE(MATCH(H2945, {"SML";"XL";"XXL"}, 0), 1, 2, 3)), 0)</f>
        <v>0</v>
      </c>
      <c r="K2945" s="10">
        <f t="shared" si="100"/>
        <v>0</v>
      </c>
      <c r="N2945" s="9" t="str">
        <f t="shared" si="101"/>
        <v/>
      </c>
      <c r="O2945" s="9" t="str">
        <f>IF(N2945="","",IF(COUNTIF(Precios!$G:$G,N2945)=0,"⚠ No coincide con Precios","OK"))</f>
        <v/>
      </c>
    </row>
    <row r="2946" spans="3:15" x14ac:dyDescent="0.2">
      <c r="C2946" s="9" cm="1">
        <f t="array" ref="C2946">IFERROR(_xlfn.XLOOKUP(B2946,Personal!$A:$A,Personal!$D:$D,""),"")</f>
        <v>0</v>
      </c>
      <c r="D2946" s="9" cm="1">
        <f t="array" ref="D2946">IFERROR(_xlfn.XLOOKUP(B2946,Personal!$A:$A,Personal!$C:$C,""),"")</f>
        <v>0</v>
      </c>
      <c r="E2946" s="9" t="str" cm="1">
        <f t="array" ref="E2946">IFERROR(_xlfn.XLOOKUP(D2946,Locales!$A:$A,Locales!$B:$B,""),"")</f>
        <v/>
      </c>
      <c r="F2946" s="9" cm="1">
        <f t="array" ref="F2946">IFERROR(_xlfn.XLOOKUP(B2946,Personal!$A:$A,Personal!$F:$F,""),"")</f>
        <v>0</v>
      </c>
      <c r="I2946" s="10" cm="1">
        <f t="array" ref="I2946">IFERROR(INDEX(Precios!$D:$F,MATCH(N2946, Precios!$G:$G, 0),CHOOSE(MATCH(H2946, {"SML";"XL";"XXL"}, 0), 1, 2, 3)), 0)</f>
        <v>0</v>
      </c>
      <c r="K2946" s="10">
        <f t="shared" si="100"/>
        <v>0</v>
      </c>
      <c r="N2946" s="9" t="str">
        <f t="shared" si="101"/>
        <v/>
      </c>
      <c r="O2946" s="9" t="str">
        <f>IF(N2946="","",IF(COUNTIF(Precios!$G:$G,N2946)=0,"⚠ No coincide con Precios","OK"))</f>
        <v/>
      </c>
    </row>
    <row r="2947" spans="3:15" x14ac:dyDescent="0.2">
      <c r="C2947" s="9" cm="1">
        <f t="array" ref="C2947">IFERROR(_xlfn.XLOOKUP(B2947,Personal!$A:$A,Personal!$D:$D,""),"")</f>
        <v>0</v>
      </c>
      <c r="D2947" s="9" cm="1">
        <f t="array" ref="D2947">IFERROR(_xlfn.XLOOKUP(B2947,Personal!$A:$A,Personal!$C:$C,""),"")</f>
        <v>0</v>
      </c>
      <c r="E2947" s="9" t="str" cm="1">
        <f t="array" ref="E2947">IFERROR(_xlfn.XLOOKUP(D2947,Locales!$A:$A,Locales!$B:$B,""),"")</f>
        <v/>
      </c>
      <c r="F2947" s="9" cm="1">
        <f t="array" ref="F2947">IFERROR(_xlfn.XLOOKUP(B2947,Personal!$A:$A,Personal!$F:$F,""),"")</f>
        <v>0</v>
      </c>
      <c r="I2947" s="10" cm="1">
        <f t="array" ref="I2947">IFERROR(INDEX(Precios!$D:$F,MATCH(N2947, Precios!$G:$G, 0),CHOOSE(MATCH(H2947, {"SML";"XL";"XXL"}, 0), 1, 2, 3)), 0)</f>
        <v>0</v>
      </c>
      <c r="K2947" s="10">
        <f t="shared" si="100"/>
        <v>0</v>
      </c>
      <c r="N2947" s="9" t="str">
        <f t="shared" si="101"/>
        <v/>
      </c>
      <c r="O2947" s="9" t="str">
        <f>IF(N2947="","",IF(COUNTIF(Precios!$G:$G,N2947)=0,"⚠ No coincide con Precios","OK"))</f>
        <v/>
      </c>
    </row>
    <row r="2948" spans="3:15" x14ac:dyDescent="0.2">
      <c r="C2948" s="9" cm="1">
        <f t="array" ref="C2948">IFERROR(_xlfn.XLOOKUP(B2948,Personal!$A:$A,Personal!$D:$D,""),"")</f>
        <v>0</v>
      </c>
      <c r="D2948" s="9" cm="1">
        <f t="array" ref="D2948">IFERROR(_xlfn.XLOOKUP(B2948,Personal!$A:$A,Personal!$C:$C,""),"")</f>
        <v>0</v>
      </c>
      <c r="E2948" s="9" t="str" cm="1">
        <f t="array" ref="E2948">IFERROR(_xlfn.XLOOKUP(D2948,Locales!$A:$A,Locales!$B:$B,""),"")</f>
        <v/>
      </c>
      <c r="F2948" s="9" cm="1">
        <f t="array" ref="F2948">IFERROR(_xlfn.XLOOKUP(B2948,Personal!$A:$A,Personal!$F:$F,""),"")</f>
        <v>0</v>
      </c>
      <c r="I2948" s="10" cm="1">
        <f t="array" ref="I2948">IFERROR(INDEX(Precios!$D:$F,MATCH(N2948, Precios!$G:$G, 0),CHOOSE(MATCH(H2948, {"SML";"XL";"XXL"}, 0), 1, 2, 3)), 0)</f>
        <v>0</v>
      </c>
      <c r="K2948" s="10">
        <f t="shared" si="100"/>
        <v>0</v>
      </c>
      <c r="N2948" s="9" t="str">
        <f t="shared" si="101"/>
        <v/>
      </c>
      <c r="O2948" s="9" t="str">
        <f>IF(N2948="","",IF(COUNTIF(Precios!$G:$G,N2948)=0,"⚠ No coincide con Precios","OK"))</f>
        <v/>
      </c>
    </row>
    <row r="2949" spans="3:15" x14ac:dyDescent="0.2">
      <c r="C2949" s="9" cm="1">
        <f t="array" ref="C2949">IFERROR(_xlfn.XLOOKUP(B2949,Personal!$A:$A,Personal!$D:$D,""),"")</f>
        <v>0</v>
      </c>
      <c r="D2949" s="9" cm="1">
        <f t="array" ref="D2949">IFERROR(_xlfn.XLOOKUP(B2949,Personal!$A:$A,Personal!$C:$C,""),"")</f>
        <v>0</v>
      </c>
      <c r="E2949" s="9" t="str" cm="1">
        <f t="array" ref="E2949">IFERROR(_xlfn.XLOOKUP(D2949,Locales!$A:$A,Locales!$B:$B,""),"")</f>
        <v/>
      </c>
      <c r="F2949" s="9" cm="1">
        <f t="array" ref="F2949">IFERROR(_xlfn.XLOOKUP(B2949,Personal!$A:$A,Personal!$F:$F,""),"")</f>
        <v>0</v>
      </c>
      <c r="I2949" s="10" cm="1">
        <f t="array" ref="I2949">IFERROR(INDEX(Precios!$D:$F,MATCH(N2949, Precios!$G:$G, 0),CHOOSE(MATCH(H2949, {"SML";"XL";"XXL"}, 0), 1, 2, 3)), 0)</f>
        <v>0</v>
      </c>
      <c r="K2949" s="10">
        <f t="shared" si="100"/>
        <v>0</v>
      </c>
      <c r="N2949" s="9" t="str">
        <f t="shared" si="101"/>
        <v/>
      </c>
      <c r="O2949" s="9" t="str">
        <f>IF(N2949="","",IF(COUNTIF(Precios!$G:$G,N2949)=0,"⚠ No coincide con Precios","OK"))</f>
        <v/>
      </c>
    </row>
    <row r="2950" spans="3:15" x14ac:dyDescent="0.2">
      <c r="C2950" s="9" cm="1">
        <f t="array" ref="C2950">IFERROR(_xlfn.XLOOKUP(B2950,Personal!$A:$A,Personal!$D:$D,""),"")</f>
        <v>0</v>
      </c>
      <c r="D2950" s="9" cm="1">
        <f t="array" ref="D2950">IFERROR(_xlfn.XLOOKUP(B2950,Personal!$A:$A,Personal!$C:$C,""),"")</f>
        <v>0</v>
      </c>
      <c r="E2950" s="9" t="str" cm="1">
        <f t="array" ref="E2950">IFERROR(_xlfn.XLOOKUP(D2950,Locales!$A:$A,Locales!$B:$B,""),"")</f>
        <v/>
      </c>
      <c r="F2950" s="9" cm="1">
        <f t="array" ref="F2950">IFERROR(_xlfn.XLOOKUP(B2950,Personal!$A:$A,Personal!$F:$F,""),"")</f>
        <v>0</v>
      </c>
      <c r="I2950" s="10" cm="1">
        <f t="array" ref="I2950">IFERROR(INDEX(Precios!$D:$F,MATCH(N2950, Precios!$G:$G, 0),CHOOSE(MATCH(H2950, {"SML";"XL";"XXL"}, 0), 1, 2, 3)), 0)</f>
        <v>0</v>
      </c>
      <c r="K2950" s="10">
        <f t="shared" si="100"/>
        <v>0</v>
      </c>
      <c r="N2950" s="9" t="str">
        <f t="shared" si="101"/>
        <v/>
      </c>
      <c r="O2950" s="9" t="str">
        <f>IF(N2950="","",IF(COUNTIF(Precios!$G:$G,N2950)=0,"⚠ No coincide con Precios","OK"))</f>
        <v/>
      </c>
    </row>
    <row r="2951" spans="3:15" x14ac:dyDescent="0.2">
      <c r="C2951" s="9" cm="1">
        <f t="array" ref="C2951">IFERROR(_xlfn.XLOOKUP(B2951,Personal!$A:$A,Personal!$D:$D,""),"")</f>
        <v>0</v>
      </c>
      <c r="D2951" s="9" cm="1">
        <f t="array" ref="D2951">IFERROR(_xlfn.XLOOKUP(B2951,Personal!$A:$A,Personal!$C:$C,""),"")</f>
        <v>0</v>
      </c>
      <c r="E2951" s="9" t="str" cm="1">
        <f t="array" ref="E2951">IFERROR(_xlfn.XLOOKUP(D2951,Locales!$A:$A,Locales!$B:$B,""),"")</f>
        <v/>
      </c>
      <c r="F2951" s="9" cm="1">
        <f t="array" ref="F2951">IFERROR(_xlfn.XLOOKUP(B2951,Personal!$A:$A,Personal!$F:$F,""),"")</f>
        <v>0</v>
      </c>
      <c r="I2951" s="10" cm="1">
        <f t="array" ref="I2951">IFERROR(INDEX(Precios!$D:$F,MATCH(N2951, Precios!$G:$G, 0),CHOOSE(MATCH(H2951, {"SML";"XL";"XXL"}, 0), 1, 2, 3)), 0)</f>
        <v>0</v>
      </c>
      <c r="K2951" s="10">
        <f t="shared" si="100"/>
        <v>0</v>
      </c>
      <c r="N2951" s="9" t="str">
        <f t="shared" si="101"/>
        <v/>
      </c>
      <c r="O2951" s="9" t="str">
        <f>IF(N2951="","",IF(COUNTIF(Precios!$G:$G,N2951)=0,"⚠ No coincide con Precios","OK"))</f>
        <v/>
      </c>
    </row>
    <row r="2952" spans="3:15" x14ac:dyDescent="0.2">
      <c r="C2952" s="9" cm="1">
        <f t="array" ref="C2952">IFERROR(_xlfn.XLOOKUP(B2952,Personal!$A:$A,Personal!$D:$D,""),"")</f>
        <v>0</v>
      </c>
      <c r="D2952" s="9" cm="1">
        <f t="array" ref="D2952">IFERROR(_xlfn.XLOOKUP(B2952,Personal!$A:$A,Personal!$C:$C,""),"")</f>
        <v>0</v>
      </c>
      <c r="E2952" s="9" t="str" cm="1">
        <f t="array" ref="E2952">IFERROR(_xlfn.XLOOKUP(D2952,Locales!$A:$A,Locales!$B:$B,""),"")</f>
        <v/>
      </c>
      <c r="F2952" s="9" cm="1">
        <f t="array" ref="F2952">IFERROR(_xlfn.XLOOKUP(B2952,Personal!$A:$A,Personal!$F:$F,""),"")</f>
        <v>0</v>
      </c>
      <c r="I2952" s="10" cm="1">
        <f t="array" ref="I2952">IFERROR(INDEX(Precios!$D:$F,MATCH(N2952, Precios!$G:$G, 0),CHOOSE(MATCH(H2952, {"SML";"XL";"XXL"}, 0), 1, 2, 3)), 0)</f>
        <v>0</v>
      </c>
      <c r="K2952" s="10">
        <f t="shared" si="100"/>
        <v>0</v>
      </c>
      <c r="N2952" s="9" t="str">
        <f t="shared" si="101"/>
        <v/>
      </c>
      <c r="O2952" s="9" t="str">
        <f>IF(N2952="","",IF(COUNTIF(Precios!$G:$G,N2952)=0,"⚠ No coincide con Precios","OK"))</f>
        <v/>
      </c>
    </row>
    <row r="2953" spans="3:15" x14ac:dyDescent="0.2">
      <c r="C2953" s="9" cm="1">
        <f t="array" ref="C2953">IFERROR(_xlfn.XLOOKUP(B2953,Personal!$A:$A,Personal!$D:$D,""),"")</f>
        <v>0</v>
      </c>
      <c r="D2953" s="9" cm="1">
        <f t="array" ref="D2953">IFERROR(_xlfn.XLOOKUP(B2953,Personal!$A:$A,Personal!$C:$C,""),"")</f>
        <v>0</v>
      </c>
      <c r="E2953" s="9" t="str" cm="1">
        <f t="array" ref="E2953">IFERROR(_xlfn.XLOOKUP(D2953,Locales!$A:$A,Locales!$B:$B,""),"")</f>
        <v/>
      </c>
      <c r="F2953" s="9" cm="1">
        <f t="array" ref="F2953">IFERROR(_xlfn.XLOOKUP(B2953,Personal!$A:$A,Personal!$F:$F,""),"")</f>
        <v>0</v>
      </c>
      <c r="I2953" s="10" cm="1">
        <f t="array" ref="I2953">IFERROR(INDEX(Precios!$D:$F,MATCH(N2953, Precios!$G:$G, 0),CHOOSE(MATCH(H2953, {"SML";"XL";"XXL"}, 0), 1, 2, 3)), 0)</f>
        <v>0</v>
      </c>
      <c r="K2953" s="10">
        <f t="shared" si="100"/>
        <v>0</v>
      </c>
      <c r="N2953" s="9" t="str">
        <f t="shared" si="101"/>
        <v/>
      </c>
      <c r="O2953" s="9" t="str">
        <f>IF(N2953="","",IF(COUNTIF(Precios!$G:$G,N2953)=0,"⚠ No coincide con Precios","OK"))</f>
        <v/>
      </c>
    </row>
    <row r="2954" spans="3:15" x14ac:dyDescent="0.2">
      <c r="C2954" s="9" cm="1">
        <f t="array" ref="C2954">IFERROR(_xlfn.XLOOKUP(B2954,Personal!$A:$A,Personal!$D:$D,""),"")</f>
        <v>0</v>
      </c>
      <c r="D2954" s="9" cm="1">
        <f t="array" ref="D2954">IFERROR(_xlfn.XLOOKUP(B2954,Personal!$A:$A,Personal!$C:$C,""),"")</f>
        <v>0</v>
      </c>
      <c r="E2954" s="9" t="str" cm="1">
        <f t="array" ref="E2954">IFERROR(_xlfn.XLOOKUP(D2954,Locales!$A:$A,Locales!$B:$B,""),"")</f>
        <v/>
      </c>
      <c r="F2954" s="9" cm="1">
        <f t="array" ref="F2954">IFERROR(_xlfn.XLOOKUP(B2954,Personal!$A:$A,Personal!$F:$F,""),"")</f>
        <v>0</v>
      </c>
      <c r="I2954" s="10" cm="1">
        <f t="array" ref="I2954">IFERROR(INDEX(Precios!$D:$F,MATCH(N2954, Precios!$G:$G, 0),CHOOSE(MATCH(H2954, {"SML";"XL";"XXL"}, 0), 1, 2, 3)), 0)</f>
        <v>0</v>
      </c>
      <c r="K2954" s="10">
        <f t="shared" si="100"/>
        <v>0</v>
      </c>
      <c r="N2954" s="9" t="str">
        <f t="shared" si="101"/>
        <v/>
      </c>
      <c r="O2954" s="9" t="str">
        <f>IF(N2954="","",IF(COUNTIF(Precios!$G:$G,N2954)=0,"⚠ No coincide con Precios","OK"))</f>
        <v/>
      </c>
    </row>
    <row r="2955" spans="3:15" x14ac:dyDescent="0.2">
      <c r="C2955" s="9" cm="1">
        <f t="array" ref="C2955">IFERROR(_xlfn.XLOOKUP(B2955,Personal!$A:$A,Personal!$D:$D,""),"")</f>
        <v>0</v>
      </c>
      <c r="D2955" s="9" cm="1">
        <f t="array" ref="D2955">IFERROR(_xlfn.XLOOKUP(B2955,Personal!$A:$A,Personal!$C:$C,""),"")</f>
        <v>0</v>
      </c>
      <c r="E2955" s="9" t="str" cm="1">
        <f t="array" ref="E2955">IFERROR(_xlfn.XLOOKUP(D2955,Locales!$A:$A,Locales!$B:$B,""),"")</f>
        <v/>
      </c>
      <c r="F2955" s="9" cm="1">
        <f t="array" ref="F2955">IFERROR(_xlfn.XLOOKUP(B2955,Personal!$A:$A,Personal!$F:$F,""),"")</f>
        <v>0</v>
      </c>
      <c r="I2955" s="10" cm="1">
        <f t="array" ref="I2955">IFERROR(INDEX(Precios!$D:$F,MATCH(N2955, Precios!$G:$G, 0),CHOOSE(MATCH(H2955, {"SML";"XL";"XXL"}, 0), 1, 2, 3)), 0)</f>
        <v>0</v>
      </c>
      <c r="K2955" s="10">
        <f t="shared" si="100"/>
        <v>0</v>
      </c>
      <c r="N2955" s="9" t="str">
        <f t="shared" si="101"/>
        <v/>
      </c>
      <c r="O2955" s="9" t="str">
        <f>IF(N2955="","",IF(COUNTIF(Precios!$G:$G,N2955)=0,"⚠ No coincide con Precios","OK"))</f>
        <v/>
      </c>
    </row>
    <row r="2956" spans="3:15" x14ac:dyDescent="0.2">
      <c r="C2956" s="9" cm="1">
        <f t="array" ref="C2956">IFERROR(_xlfn.XLOOKUP(B2956,Personal!$A:$A,Personal!$D:$D,""),"")</f>
        <v>0</v>
      </c>
      <c r="D2956" s="9" cm="1">
        <f t="array" ref="D2956">IFERROR(_xlfn.XLOOKUP(B2956,Personal!$A:$A,Personal!$C:$C,""),"")</f>
        <v>0</v>
      </c>
      <c r="E2956" s="9" t="str" cm="1">
        <f t="array" ref="E2956">IFERROR(_xlfn.XLOOKUP(D2956,Locales!$A:$A,Locales!$B:$B,""),"")</f>
        <v/>
      </c>
      <c r="F2956" s="9" cm="1">
        <f t="array" ref="F2956">IFERROR(_xlfn.XLOOKUP(B2956,Personal!$A:$A,Personal!$F:$F,""),"")</f>
        <v>0</v>
      </c>
      <c r="I2956" s="10" cm="1">
        <f t="array" ref="I2956">IFERROR(INDEX(Precios!$D:$F,MATCH(N2956, Precios!$G:$G, 0),CHOOSE(MATCH(H2956, {"SML";"XL";"XXL"}, 0), 1, 2, 3)), 0)</f>
        <v>0</v>
      </c>
      <c r="K2956" s="10">
        <f t="shared" si="100"/>
        <v>0</v>
      </c>
      <c r="N2956" s="9" t="str">
        <f t="shared" si="101"/>
        <v/>
      </c>
      <c r="O2956" s="9" t="str">
        <f>IF(N2956="","",IF(COUNTIF(Precios!$G:$G,N2956)=0,"⚠ No coincide con Precios","OK"))</f>
        <v/>
      </c>
    </row>
    <row r="2957" spans="3:15" x14ac:dyDescent="0.2">
      <c r="C2957" s="9" cm="1">
        <f t="array" ref="C2957">IFERROR(_xlfn.XLOOKUP(B2957,Personal!$A:$A,Personal!$D:$D,""),"")</f>
        <v>0</v>
      </c>
      <c r="D2957" s="9" cm="1">
        <f t="array" ref="D2957">IFERROR(_xlfn.XLOOKUP(B2957,Personal!$A:$A,Personal!$C:$C,""),"")</f>
        <v>0</v>
      </c>
      <c r="E2957" s="9" t="str" cm="1">
        <f t="array" ref="E2957">IFERROR(_xlfn.XLOOKUP(D2957,Locales!$A:$A,Locales!$B:$B,""),"")</f>
        <v/>
      </c>
      <c r="F2957" s="9" cm="1">
        <f t="array" ref="F2957">IFERROR(_xlfn.XLOOKUP(B2957,Personal!$A:$A,Personal!$F:$F,""),"")</f>
        <v>0</v>
      </c>
      <c r="I2957" s="10" cm="1">
        <f t="array" ref="I2957">IFERROR(INDEX(Precios!$D:$F,MATCH(N2957, Precios!$G:$G, 0),CHOOSE(MATCH(H2957, {"SML";"XL";"XXL"}, 0), 1, 2, 3)), 0)</f>
        <v>0</v>
      </c>
      <c r="K2957" s="10">
        <f t="shared" si="100"/>
        <v>0</v>
      </c>
      <c r="N2957" s="9" t="str">
        <f t="shared" si="101"/>
        <v/>
      </c>
      <c r="O2957" s="9" t="str">
        <f>IF(N2957="","",IF(COUNTIF(Precios!$G:$G,N2957)=0,"⚠ No coincide con Precios","OK"))</f>
        <v/>
      </c>
    </row>
    <row r="2958" spans="3:15" x14ac:dyDescent="0.2">
      <c r="C2958" s="9" cm="1">
        <f t="array" ref="C2958">IFERROR(_xlfn.XLOOKUP(B2958,Personal!$A:$A,Personal!$D:$D,""),"")</f>
        <v>0</v>
      </c>
      <c r="D2958" s="9" cm="1">
        <f t="array" ref="D2958">IFERROR(_xlfn.XLOOKUP(B2958,Personal!$A:$A,Personal!$C:$C,""),"")</f>
        <v>0</v>
      </c>
      <c r="E2958" s="9" t="str" cm="1">
        <f t="array" ref="E2958">IFERROR(_xlfn.XLOOKUP(D2958,Locales!$A:$A,Locales!$B:$B,""),"")</f>
        <v/>
      </c>
      <c r="F2958" s="9" cm="1">
        <f t="array" ref="F2958">IFERROR(_xlfn.XLOOKUP(B2958,Personal!$A:$A,Personal!$F:$F,""),"")</f>
        <v>0</v>
      </c>
      <c r="I2958" s="10" cm="1">
        <f t="array" ref="I2958">IFERROR(INDEX(Precios!$D:$F,MATCH(N2958, Precios!$G:$G, 0),CHOOSE(MATCH(H2958, {"SML";"XL";"XXL"}, 0), 1, 2, 3)), 0)</f>
        <v>0</v>
      </c>
      <c r="K2958" s="10">
        <f t="shared" si="100"/>
        <v>0</v>
      </c>
      <c r="N2958" s="9" t="str">
        <f t="shared" si="101"/>
        <v/>
      </c>
      <c r="O2958" s="9" t="str">
        <f>IF(N2958="","",IF(COUNTIF(Precios!$G:$G,N2958)=0,"⚠ No coincide con Precios","OK"))</f>
        <v/>
      </c>
    </row>
    <row r="2959" spans="3:15" x14ac:dyDescent="0.2">
      <c r="C2959" s="9" cm="1">
        <f t="array" ref="C2959">IFERROR(_xlfn.XLOOKUP(B2959,Personal!$A:$A,Personal!$D:$D,""),"")</f>
        <v>0</v>
      </c>
      <c r="D2959" s="9" cm="1">
        <f t="array" ref="D2959">IFERROR(_xlfn.XLOOKUP(B2959,Personal!$A:$A,Personal!$C:$C,""),"")</f>
        <v>0</v>
      </c>
      <c r="E2959" s="9" t="str" cm="1">
        <f t="array" ref="E2959">IFERROR(_xlfn.XLOOKUP(D2959,Locales!$A:$A,Locales!$B:$B,""),"")</f>
        <v/>
      </c>
      <c r="F2959" s="9" cm="1">
        <f t="array" ref="F2959">IFERROR(_xlfn.XLOOKUP(B2959,Personal!$A:$A,Personal!$F:$F,""),"")</f>
        <v>0</v>
      </c>
      <c r="I2959" s="10" cm="1">
        <f t="array" ref="I2959">IFERROR(INDEX(Precios!$D:$F,MATCH(N2959, Precios!$G:$G, 0),CHOOSE(MATCH(H2959, {"SML";"XL";"XXL"}, 0), 1, 2, 3)), 0)</f>
        <v>0</v>
      </c>
      <c r="K2959" s="10">
        <f t="shared" si="100"/>
        <v>0</v>
      </c>
      <c r="N2959" s="9" t="str">
        <f t="shared" si="101"/>
        <v/>
      </c>
      <c r="O2959" s="9" t="str">
        <f>IF(N2959="","",IF(COUNTIF(Precios!$G:$G,N2959)=0,"⚠ No coincide con Precios","OK"))</f>
        <v/>
      </c>
    </row>
    <row r="2960" spans="3:15" x14ac:dyDescent="0.2">
      <c r="C2960" s="9" cm="1">
        <f t="array" ref="C2960">IFERROR(_xlfn.XLOOKUP(B2960,Personal!$A:$A,Personal!$D:$D,""),"")</f>
        <v>0</v>
      </c>
      <c r="D2960" s="9" cm="1">
        <f t="array" ref="D2960">IFERROR(_xlfn.XLOOKUP(B2960,Personal!$A:$A,Personal!$C:$C,""),"")</f>
        <v>0</v>
      </c>
      <c r="E2960" s="9" t="str" cm="1">
        <f t="array" ref="E2960">IFERROR(_xlfn.XLOOKUP(D2960,Locales!$A:$A,Locales!$B:$B,""),"")</f>
        <v/>
      </c>
      <c r="F2960" s="9" cm="1">
        <f t="array" ref="F2960">IFERROR(_xlfn.XLOOKUP(B2960,Personal!$A:$A,Personal!$F:$F,""),"")</f>
        <v>0</v>
      </c>
      <c r="I2960" s="10" cm="1">
        <f t="array" ref="I2960">IFERROR(INDEX(Precios!$D:$F,MATCH(N2960, Precios!$G:$G, 0),CHOOSE(MATCH(H2960, {"SML";"XL";"XXL"}, 0), 1, 2, 3)), 0)</f>
        <v>0</v>
      </c>
      <c r="K2960" s="10">
        <f t="shared" si="100"/>
        <v>0</v>
      </c>
      <c r="N2960" s="9" t="str">
        <f t="shared" si="101"/>
        <v/>
      </c>
      <c r="O2960" s="9" t="str">
        <f>IF(N2960="","",IF(COUNTIF(Precios!$G:$G,N2960)=0,"⚠ No coincide con Precios","OK"))</f>
        <v/>
      </c>
    </row>
    <row r="2961" spans="3:15" x14ac:dyDescent="0.2">
      <c r="C2961" s="9" cm="1">
        <f t="array" ref="C2961">IFERROR(_xlfn.XLOOKUP(B2961,Personal!$A:$A,Personal!$D:$D,""),"")</f>
        <v>0</v>
      </c>
      <c r="D2961" s="9" cm="1">
        <f t="array" ref="D2961">IFERROR(_xlfn.XLOOKUP(B2961,Personal!$A:$A,Personal!$C:$C,""),"")</f>
        <v>0</v>
      </c>
      <c r="E2961" s="9" t="str" cm="1">
        <f t="array" ref="E2961">IFERROR(_xlfn.XLOOKUP(D2961,Locales!$A:$A,Locales!$B:$B,""),"")</f>
        <v/>
      </c>
      <c r="F2961" s="9" cm="1">
        <f t="array" ref="F2961">IFERROR(_xlfn.XLOOKUP(B2961,Personal!$A:$A,Personal!$F:$F,""),"")</f>
        <v>0</v>
      </c>
      <c r="I2961" s="10" cm="1">
        <f t="array" ref="I2961">IFERROR(INDEX(Precios!$D:$F,MATCH(N2961, Precios!$G:$G, 0),CHOOSE(MATCH(H2961, {"SML";"XL";"XXL"}, 0), 1, 2, 3)), 0)</f>
        <v>0</v>
      </c>
      <c r="K2961" s="10">
        <f t="shared" si="100"/>
        <v>0</v>
      </c>
      <c r="N2961" s="9" t="str">
        <f t="shared" si="101"/>
        <v/>
      </c>
      <c r="O2961" s="9" t="str">
        <f>IF(N2961="","",IF(COUNTIF(Precios!$G:$G,N2961)=0,"⚠ No coincide con Precios","OK"))</f>
        <v/>
      </c>
    </row>
    <row r="2962" spans="3:15" x14ac:dyDescent="0.2">
      <c r="C2962" s="9" cm="1">
        <f t="array" ref="C2962">IFERROR(_xlfn.XLOOKUP(B2962,Personal!$A:$A,Personal!$D:$D,""),"")</f>
        <v>0</v>
      </c>
      <c r="D2962" s="9" cm="1">
        <f t="array" ref="D2962">IFERROR(_xlfn.XLOOKUP(B2962,Personal!$A:$A,Personal!$C:$C,""),"")</f>
        <v>0</v>
      </c>
      <c r="E2962" s="9" t="str" cm="1">
        <f t="array" ref="E2962">IFERROR(_xlfn.XLOOKUP(D2962,Locales!$A:$A,Locales!$B:$B,""),"")</f>
        <v/>
      </c>
      <c r="F2962" s="9" cm="1">
        <f t="array" ref="F2962">IFERROR(_xlfn.XLOOKUP(B2962,Personal!$A:$A,Personal!$F:$F,""),"")</f>
        <v>0</v>
      </c>
      <c r="I2962" s="10" cm="1">
        <f t="array" ref="I2962">IFERROR(INDEX(Precios!$D:$F,MATCH(N2962, Precios!$G:$G, 0),CHOOSE(MATCH(H2962, {"SML";"XL";"XXL"}, 0), 1, 2, 3)), 0)</f>
        <v>0</v>
      </c>
      <c r="K2962" s="10">
        <f t="shared" si="100"/>
        <v>0</v>
      </c>
      <c r="N2962" s="9" t="str">
        <f t="shared" si="101"/>
        <v/>
      </c>
      <c r="O2962" s="9" t="str">
        <f>IF(N2962="","",IF(COUNTIF(Precios!$G:$G,N2962)=0,"⚠ No coincide con Precios","OK"))</f>
        <v/>
      </c>
    </row>
    <row r="2963" spans="3:15" x14ac:dyDescent="0.2">
      <c r="C2963" s="9" cm="1">
        <f t="array" ref="C2963">IFERROR(_xlfn.XLOOKUP(B2963,Personal!$A:$A,Personal!$D:$D,""),"")</f>
        <v>0</v>
      </c>
      <c r="D2963" s="9" cm="1">
        <f t="array" ref="D2963">IFERROR(_xlfn.XLOOKUP(B2963,Personal!$A:$A,Personal!$C:$C,""),"")</f>
        <v>0</v>
      </c>
      <c r="E2963" s="9" t="str" cm="1">
        <f t="array" ref="E2963">IFERROR(_xlfn.XLOOKUP(D2963,Locales!$A:$A,Locales!$B:$B,""),"")</f>
        <v/>
      </c>
      <c r="F2963" s="9" cm="1">
        <f t="array" ref="F2963">IFERROR(_xlfn.XLOOKUP(B2963,Personal!$A:$A,Personal!$F:$F,""),"")</f>
        <v>0</v>
      </c>
      <c r="I2963" s="10" cm="1">
        <f t="array" ref="I2963">IFERROR(INDEX(Precios!$D:$F,MATCH(N2963, Precios!$G:$G, 0),CHOOSE(MATCH(H2963, {"SML";"XL";"XXL"}, 0), 1, 2, 3)), 0)</f>
        <v>0</v>
      </c>
      <c r="K2963" s="10">
        <f t="shared" si="100"/>
        <v>0</v>
      </c>
      <c r="N2963" s="9" t="str">
        <f t="shared" si="101"/>
        <v/>
      </c>
      <c r="O2963" s="9" t="str">
        <f>IF(N2963="","",IF(COUNTIF(Precios!$G:$G,N2963)=0,"⚠ No coincide con Precios","OK"))</f>
        <v/>
      </c>
    </row>
    <row r="2964" spans="3:15" x14ac:dyDescent="0.2">
      <c r="C2964" s="9" cm="1">
        <f t="array" ref="C2964">IFERROR(_xlfn.XLOOKUP(B2964,Personal!$A:$A,Personal!$D:$D,""),"")</f>
        <v>0</v>
      </c>
      <c r="D2964" s="9" cm="1">
        <f t="array" ref="D2964">IFERROR(_xlfn.XLOOKUP(B2964,Personal!$A:$A,Personal!$C:$C,""),"")</f>
        <v>0</v>
      </c>
      <c r="E2964" s="9" t="str" cm="1">
        <f t="array" ref="E2964">IFERROR(_xlfn.XLOOKUP(D2964,Locales!$A:$A,Locales!$B:$B,""),"")</f>
        <v/>
      </c>
      <c r="F2964" s="9" cm="1">
        <f t="array" ref="F2964">IFERROR(_xlfn.XLOOKUP(B2964,Personal!$A:$A,Personal!$F:$F,""),"")</f>
        <v>0</v>
      </c>
      <c r="I2964" s="10" cm="1">
        <f t="array" ref="I2964">IFERROR(INDEX(Precios!$D:$F,MATCH(N2964, Precios!$G:$G, 0),CHOOSE(MATCH(H2964, {"SML";"XL";"XXL"}, 0), 1, 2, 3)), 0)</f>
        <v>0</v>
      </c>
      <c r="K2964" s="10">
        <f t="shared" si="100"/>
        <v>0</v>
      </c>
      <c r="N2964" s="9" t="str">
        <f t="shared" si="101"/>
        <v/>
      </c>
      <c r="O2964" s="9" t="str">
        <f>IF(N2964="","",IF(COUNTIF(Precios!$G:$G,N2964)=0,"⚠ No coincide con Precios","OK"))</f>
        <v/>
      </c>
    </row>
    <row r="2965" spans="3:15" x14ac:dyDescent="0.2">
      <c r="C2965" s="9" cm="1">
        <f t="array" ref="C2965">IFERROR(_xlfn.XLOOKUP(B2965,Personal!$A:$A,Personal!$D:$D,""),"")</f>
        <v>0</v>
      </c>
      <c r="D2965" s="9" cm="1">
        <f t="array" ref="D2965">IFERROR(_xlfn.XLOOKUP(B2965,Personal!$A:$A,Personal!$C:$C,""),"")</f>
        <v>0</v>
      </c>
      <c r="E2965" s="9" t="str" cm="1">
        <f t="array" ref="E2965">IFERROR(_xlfn.XLOOKUP(D2965,Locales!$A:$A,Locales!$B:$B,""),"")</f>
        <v/>
      </c>
      <c r="F2965" s="9" cm="1">
        <f t="array" ref="F2965">IFERROR(_xlfn.XLOOKUP(B2965,Personal!$A:$A,Personal!$F:$F,""),"")</f>
        <v>0</v>
      </c>
      <c r="I2965" s="10" cm="1">
        <f t="array" ref="I2965">IFERROR(INDEX(Precios!$D:$F,MATCH(N2965, Precios!$G:$G, 0),CHOOSE(MATCH(H2965, {"SML";"XL";"XXL"}, 0), 1, 2, 3)), 0)</f>
        <v>0</v>
      </c>
      <c r="K2965" s="10">
        <f t="shared" si="100"/>
        <v>0</v>
      </c>
      <c r="N2965" s="9" t="str">
        <f t="shared" si="101"/>
        <v/>
      </c>
      <c r="O2965" s="9" t="str">
        <f>IF(N2965="","",IF(COUNTIF(Precios!$G:$G,N2965)=0,"⚠ No coincide con Precios","OK"))</f>
        <v/>
      </c>
    </row>
    <row r="2966" spans="3:15" x14ac:dyDescent="0.2">
      <c r="C2966" s="9" cm="1">
        <f t="array" ref="C2966">IFERROR(_xlfn.XLOOKUP(B2966,Personal!$A:$A,Personal!$D:$D,""),"")</f>
        <v>0</v>
      </c>
      <c r="D2966" s="9" cm="1">
        <f t="array" ref="D2966">IFERROR(_xlfn.XLOOKUP(B2966,Personal!$A:$A,Personal!$C:$C,""),"")</f>
        <v>0</v>
      </c>
      <c r="E2966" s="9" t="str" cm="1">
        <f t="array" ref="E2966">IFERROR(_xlfn.XLOOKUP(D2966,Locales!$A:$A,Locales!$B:$B,""),"")</f>
        <v/>
      </c>
      <c r="F2966" s="9" cm="1">
        <f t="array" ref="F2966">IFERROR(_xlfn.XLOOKUP(B2966,Personal!$A:$A,Personal!$F:$F,""),"")</f>
        <v>0</v>
      </c>
      <c r="I2966" s="10" cm="1">
        <f t="array" ref="I2966">IFERROR(INDEX(Precios!$D:$F,MATCH(N2966, Precios!$G:$G, 0),CHOOSE(MATCH(H2966, {"SML";"XL";"XXL"}, 0), 1, 2, 3)), 0)</f>
        <v>0</v>
      </c>
      <c r="K2966" s="10">
        <f t="shared" si="100"/>
        <v>0</v>
      </c>
      <c r="N2966" s="9" t="str">
        <f t="shared" si="101"/>
        <v/>
      </c>
      <c r="O2966" s="9" t="str">
        <f>IF(N2966="","",IF(COUNTIF(Precios!$G:$G,N2966)=0,"⚠ No coincide con Precios","OK"))</f>
        <v/>
      </c>
    </row>
    <row r="2967" spans="3:15" x14ac:dyDescent="0.2">
      <c r="C2967" s="9" cm="1">
        <f t="array" ref="C2967">IFERROR(_xlfn.XLOOKUP(B2967,Personal!$A:$A,Personal!$D:$D,""),"")</f>
        <v>0</v>
      </c>
      <c r="D2967" s="9" cm="1">
        <f t="array" ref="D2967">IFERROR(_xlfn.XLOOKUP(B2967,Personal!$A:$A,Personal!$C:$C,""),"")</f>
        <v>0</v>
      </c>
      <c r="E2967" s="9" t="str" cm="1">
        <f t="array" ref="E2967">IFERROR(_xlfn.XLOOKUP(D2967,Locales!$A:$A,Locales!$B:$B,""),"")</f>
        <v/>
      </c>
      <c r="F2967" s="9" cm="1">
        <f t="array" ref="F2967">IFERROR(_xlfn.XLOOKUP(B2967,Personal!$A:$A,Personal!$F:$F,""),"")</f>
        <v>0</v>
      </c>
      <c r="I2967" s="10" cm="1">
        <f t="array" ref="I2967">IFERROR(INDEX(Precios!$D:$F,MATCH(N2967, Precios!$G:$G, 0),CHOOSE(MATCH(H2967, {"SML";"XL";"XXL"}, 0), 1, 2, 3)), 0)</f>
        <v>0</v>
      </c>
      <c r="K2967" s="10">
        <f t="shared" si="100"/>
        <v>0</v>
      </c>
      <c r="N2967" s="9" t="str">
        <f t="shared" si="101"/>
        <v/>
      </c>
      <c r="O2967" s="9" t="str">
        <f>IF(N2967="","",IF(COUNTIF(Precios!$G:$G,N2967)=0,"⚠ No coincide con Precios","OK"))</f>
        <v/>
      </c>
    </row>
    <row r="2968" spans="3:15" x14ac:dyDescent="0.2">
      <c r="C2968" s="9" cm="1">
        <f t="array" ref="C2968">IFERROR(_xlfn.XLOOKUP(B2968,Personal!$A:$A,Personal!$D:$D,""),"")</f>
        <v>0</v>
      </c>
      <c r="D2968" s="9" cm="1">
        <f t="array" ref="D2968">IFERROR(_xlfn.XLOOKUP(B2968,Personal!$A:$A,Personal!$C:$C,""),"")</f>
        <v>0</v>
      </c>
      <c r="E2968" s="9" t="str" cm="1">
        <f t="array" ref="E2968">IFERROR(_xlfn.XLOOKUP(D2968,Locales!$A:$A,Locales!$B:$B,""),"")</f>
        <v/>
      </c>
      <c r="F2968" s="9" cm="1">
        <f t="array" ref="F2968">IFERROR(_xlfn.XLOOKUP(B2968,Personal!$A:$A,Personal!$F:$F,""),"")</f>
        <v>0</v>
      </c>
      <c r="I2968" s="10" cm="1">
        <f t="array" ref="I2968">IFERROR(INDEX(Precios!$D:$F,MATCH(N2968, Precios!$G:$G, 0),CHOOSE(MATCH(H2968, {"SML";"XL";"XXL"}, 0), 1, 2, 3)), 0)</f>
        <v>0</v>
      </c>
      <c r="K2968" s="10">
        <f t="shared" si="100"/>
        <v>0</v>
      </c>
      <c r="N2968" s="9" t="str">
        <f t="shared" si="101"/>
        <v/>
      </c>
      <c r="O2968" s="9" t="str">
        <f>IF(N2968="","",IF(COUNTIF(Precios!$G:$G,N2968)=0,"⚠ No coincide con Precios","OK"))</f>
        <v/>
      </c>
    </row>
    <row r="2969" spans="3:15" x14ac:dyDescent="0.2">
      <c r="C2969" s="9" cm="1">
        <f t="array" ref="C2969">IFERROR(_xlfn.XLOOKUP(B2969,Personal!$A:$A,Personal!$D:$D,""),"")</f>
        <v>0</v>
      </c>
      <c r="D2969" s="9" cm="1">
        <f t="array" ref="D2969">IFERROR(_xlfn.XLOOKUP(B2969,Personal!$A:$A,Personal!$C:$C,""),"")</f>
        <v>0</v>
      </c>
      <c r="E2969" s="9" t="str" cm="1">
        <f t="array" ref="E2969">IFERROR(_xlfn.XLOOKUP(D2969,Locales!$A:$A,Locales!$B:$B,""),"")</f>
        <v/>
      </c>
      <c r="F2969" s="9" cm="1">
        <f t="array" ref="F2969">IFERROR(_xlfn.XLOOKUP(B2969,Personal!$A:$A,Personal!$F:$F,""),"")</f>
        <v>0</v>
      </c>
      <c r="I2969" s="10" cm="1">
        <f t="array" ref="I2969">IFERROR(INDEX(Precios!$D:$F,MATCH(N2969, Precios!$G:$G, 0),CHOOSE(MATCH(H2969, {"SML";"XL";"XXL"}, 0), 1, 2, 3)), 0)</f>
        <v>0</v>
      </c>
      <c r="K2969" s="10">
        <f t="shared" si="100"/>
        <v>0</v>
      </c>
      <c r="N2969" s="9" t="str">
        <f t="shared" si="101"/>
        <v/>
      </c>
      <c r="O2969" s="9" t="str">
        <f>IF(N2969="","",IF(COUNTIF(Precios!$G:$G,N2969)=0,"⚠ No coincide con Precios","OK"))</f>
        <v/>
      </c>
    </row>
    <row r="2970" spans="3:15" x14ac:dyDescent="0.2">
      <c r="C2970" s="9" cm="1">
        <f t="array" ref="C2970">IFERROR(_xlfn.XLOOKUP(B2970,Personal!$A:$A,Personal!$D:$D,""),"")</f>
        <v>0</v>
      </c>
      <c r="D2970" s="9" cm="1">
        <f t="array" ref="D2970">IFERROR(_xlfn.XLOOKUP(B2970,Personal!$A:$A,Personal!$C:$C,""),"")</f>
        <v>0</v>
      </c>
      <c r="E2970" s="9" t="str" cm="1">
        <f t="array" ref="E2970">IFERROR(_xlfn.XLOOKUP(D2970,Locales!$A:$A,Locales!$B:$B,""),"")</f>
        <v/>
      </c>
      <c r="F2970" s="9" cm="1">
        <f t="array" ref="F2970">IFERROR(_xlfn.XLOOKUP(B2970,Personal!$A:$A,Personal!$F:$F,""),"")</f>
        <v>0</v>
      </c>
      <c r="I2970" s="10" cm="1">
        <f t="array" ref="I2970">IFERROR(INDEX(Precios!$D:$F,MATCH(N2970, Precios!$G:$G, 0),CHOOSE(MATCH(H2970, {"SML";"XL";"XXL"}, 0), 1, 2, 3)), 0)</f>
        <v>0</v>
      </c>
      <c r="K2970" s="10">
        <f t="shared" si="100"/>
        <v>0</v>
      </c>
      <c r="N2970" s="9" t="str">
        <f t="shared" si="101"/>
        <v/>
      </c>
      <c r="O2970" s="9" t="str">
        <f>IF(N2970="","",IF(COUNTIF(Precios!$G:$G,N2970)=0,"⚠ No coincide con Precios","OK"))</f>
        <v/>
      </c>
    </row>
    <row r="2971" spans="3:15" x14ac:dyDescent="0.2">
      <c r="C2971" s="9" cm="1">
        <f t="array" ref="C2971">IFERROR(_xlfn.XLOOKUP(B2971,Personal!$A:$A,Personal!$D:$D,""),"")</f>
        <v>0</v>
      </c>
      <c r="D2971" s="9" cm="1">
        <f t="array" ref="D2971">IFERROR(_xlfn.XLOOKUP(B2971,Personal!$A:$A,Personal!$C:$C,""),"")</f>
        <v>0</v>
      </c>
      <c r="E2971" s="9" t="str" cm="1">
        <f t="array" ref="E2971">IFERROR(_xlfn.XLOOKUP(D2971,Locales!$A:$A,Locales!$B:$B,""),"")</f>
        <v/>
      </c>
      <c r="F2971" s="9" cm="1">
        <f t="array" ref="F2971">IFERROR(_xlfn.XLOOKUP(B2971,Personal!$A:$A,Personal!$F:$F,""),"")</f>
        <v>0</v>
      </c>
      <c r="I2971" s="10" cm="1">
        <f t="array" ref="I2971">IFERROR(INDEX(Precios!$D:$F,MATCH(N2971, Precios!$G:$G, 0),CHOOSE(MATCH(H2971, {"SML";"XL";"XXL"}, 0), 1, 2, 3)), 0)</f>
        <v>0</v>
      </c>
      <c r="K2971" s="10">
        <f t="shared" si="100"/>
        <v>0</v>
      </c>
      <c r="N2971" s="9" t="str">
        <f t="shared" si="101"/>
        <v/>
      </c>
      <c r="O2971" s="9" t="str">
        <f>IF(N2971="","",IF(COUNTIF(Precios!$G:$G,N2971)=0,"⚠ No coincide con Precios","OK"))</f>
        <v/>
      </c>
    </row>
    <row r="2972" spans="3:15" x14ac:dyDescent="0.2">
      <c r="C2972" s="9" cm="1">
        <f t="array" ref="C2972">IFERROR(_xlfn.XLOOKUP(B2972,Personal!$A:$A,Personal!$D:$D,""),"")</f>
        <v>0</v>
      </c>
      <c r="D2972" s="9" cm="1">
        <f t="array" ref="D2972">IFERROR(_xlfn.XLOOKUP(B2972,Personal!$A:$A,Personal!$C:$C,""),"")</f>
        <v>0</v>
      </c>
      <c r="E2972" s="9" t="str" cm="1">
        <f t="array" ref="E2972">IFERROR(_xlfn.XLOOKUP(D2972,Locales!$A:$A,Locales!$B:$B,""),"")</f>
        <v/>
      </c>
      <c r="F2972" s="9" cm="1">
        <f t="array" ref="F2972">IFERROR(_xlfn.XLOOKUP(B2972,Personal!$A:$A,Personal!$F:$F,""),"")</f>
        <v>0</v>
      </c>
      <c r="I2972" s="10" cm="1">
        <f t="array" ref="I2972">IFERROR(INDEX(Precios!$D:$F,MATCH(N2972, Precios!$G:$G, 0),CHOOSE(MATCH(H2972, {"SML";"XL";"XXL"}, 0), 1, 2, 3)), 0)</f>
        <v>0</v>
      </c>
      <c r="K2972" s="10">
        <f t="shared" si="100"/>
        <v>0</v>
      </c>
      <c r="N2972" s="9" t="str">
        <f t="shared" si="101"/>
        <v/>
      </c>
      <c r="O2972" s="9" t="str">
        <f>IF(N2972="","",IF(COUNTIF(Precios!$G:$G,N2972)=0,"⚠ No coincide con Precios","OK"))</f>
        <v/>
      </c>
    </row>
    <row r="2973" spans="3:15" x14ac:dyDescent="0.2">
      <c r="C2973" s="9" cm="1">
        <f t="array" ref="C2973">IFERROR(_xlfn.XLOOKUP(B2973,Personal!$A:$A,Personal!$D:$D,""),"")</f>
        <v>0</v>
      </c>
      <c r="D2973" s="9" cm="1">
        <f t="array" ref="D2973">IFERROR(_xlfn.XLOOKUP(B2973,Personal!$A:$A,Personal!$C:$C,""),"")</f>
        <v>0</v>
      </c>
      <c r="E2973" s="9" t="str" cm="1">
        <f t="array" ref="E2973">IFERROR(_xlfn.XLOOKUP(D2973,Locales!$A:$A,Locales!$B:$B,""),"")</f>
        <v/>
      </c>
      <c r="F2973" s="9" cm="1">
        <f t="array" ref="F2973">IFERROR(_xlfn.XLOOKUP(B2973,Personal!$A:$A,Personal!$F:$F,""),"")</f>
        <v>0</v>
      </c>
      <c r="I2973" s="10" cm="1">
        <f t="array" ref="I2973">IFERROR(INDEX(Precios!$D:$F,MATCH(N2973, Precios!$G:$G, 0),CHOOSE(MATCH(H2973, {"SML";"XL";"XXL"}, 0), 1, 2, 3)), 0)</f>
        <v>0</v>
      </c>
      <c r="K2973" s="10">
        <f t="shared" si="100"/>
        <v>0</v>
      </c>
      <c r="N2973" s="9" t="str">
        <f t="shared" si="101"/>
        <v/>
      </c>
      <c r="O2973" s="9" t="str">
        <f>IF(N2973="","",IF(COUNTIF(Precios!$G:$G,N2973)=0,"⚠ No coincide con Precios","OK"))</f>
        <v/>
      </c>
    </row>
    <row r="2974" spans="3:15" x14ac:dyDescent="0.2">
      <c r="C2974" s="9" cm="1">
        <f t="array" ref="C2974">IFERROR(_xlfn.XLOOKUP(B2974,Personal!$A:$A,Personal!$D:$D,""),"")</f>
        <v>0</v>
      </c>
      <c r="D2974" s="9" cm="1">
        <f t="array" ref="D2974">IFERROR(_xlfn.XLOOKUP(B2974,Personal!$A:$A,Personal!$C:$C,""),"")</f>
        <v>0</v>
      </c>
      <c r="E2974" s="9" t="str" cm="1">
        <f t="array" ref="E2974">IFERROR(_xlfn.XLOOKUP(D2974,Locales!$A:$A,Locales!$B:$B,""),"")</f>
        <v/>
      </c>
      <c r="F2974" s="9" cm="1">
        <f t="array" ref="F2974">IFERROR(_xlfn.XLOOKUP(B2974,Personal!$A:$A,Personal!$F:$F,""),"")</f>
        <v>0</v>
      </c>
      <c r="I2974" s="10" cm="1">
        <f t="array" ref="I2974">IFERROR(INDEX(Precios!$D:$F,MATCH(N2974, Precios!$G:$G, 0),CHOOSE(MATCH(H2974, {"SML";"XL";"XXL"}, 0), 1, 2, 3)), 0)</f>
        <v>0</v>
      </c>
      <c r="K2974" s="10">
        <f t="shared" si="100"/>
        <v>0</v>
      </c>
      <c r="N2974" s="9" t="str">
        <f t="shared" si="101"/>
        <v/>
      </c>
      <c r="O2974" s="9" t="str">
        <f>IF(N2974="","",IF(COUNTIF(Precios!$G:$G,N2974)=0,"⚠ No coincide con Precios","OK"))</f>
        <v/>
      </c>
    </row>
    <row r="2975" spans="3:15" x14ac:dyDescent="0.2">
      <c r="C2975" s="9" cm="1">
        <f t="array" ref="C2975">IFERROR(_xlfn.XLOOKUP(B2975,Personal!$A:$A,Personal!$D:$D,""),"")</f>
        <v>0</v>
      </c>
      <c r="D2975" s="9" cm="1">
        <f t="array" ref="D2975">IFERROR(_xlfn.XLOOKUP(B2975,Personal!$A:$A,Personal!$C:$C,""),"")</f>
        <v>0</v>
      </c>
      <c r="E2975" s="9" t="str" cm="1">
        <f t="array" ref="E2975">IFERROR(_xlfn.XLOOKUP(D2975,Locales!$A:$A,Locales!$B:$B,""),"")</f>
        <v/>
      </c>
      <c r="F2975" s="9" cm="1">
        <f t="array" ref="F2975">IFERROR(_xlfn.XLOOKUP(B2975,Personal!$A:$A,Personal!$F:$F,""),"")</f>
        <v>0</v>
      </c>
      <c r="I2975" s="10" cm="1">
        <f t="array" ref="I2975">IFERROR(INDEX(Precios!$D:$F,MATCH(N2975, Precios!$G:$G, 0),CHOOSE(MATCH(H2975, {"SML";"XL";"XXL"}, 0), 1, 2, 3)), 0)</f>
        <v>0</v>
      </c>
      <c r="K2975" s="10">
        <f t="shared" si="100"/>
        <v>0</v>
      </c>
      <c r="N2975" s="9" t="str">
        <f t="shared" si="101"/>
        <v/>
      </c>
      <c r="O2975" s="9" t="str">
        <f>IF(N2975="","",IF(COUNTIF(Precios!$G:$G,N2975)=0,"⚠ No coincide con Precios","OK"))</f>
        <v/>
      </c>
    </row>
    <row r="2976" spans="3:15" x14ac:dyDescent="0.2">
      <c r="C2976" s="9" cm="1">
        <f t="array" ref="C2976">IFERROR(_xlfn.XLOOKUP(B2976,Personal!$A:$A,Personal!$D:$D,""),"")</f>
        <v>0</v>
      </c>
      <c r="D2976" s="9" cm="1">
        <f t="array" ref="D2976">IFERROR(_xlfn.XLOOKUP(B2976,Personal!$A:$A,Personal!$C:$C,""),"")</f>
        <v>0</v>
      </c>
      <c r="E2976" s="9" t="str" cm="1">
        <f t="array" ref="E2976">IFERROR(_xlfn.XLOOKUP(D2976,Locales!$A:$A,Locales!$B:$B,""),"")</f>
        <v/>
      </c>
      <c r="F2976" s="9" cm="1">
        <f t="array" ref="F2976">IFERROR(_xlfn.XLOOKUP(B2976,Personal!$A:$A,Personal!$F:$F,""),"")</f>
        <v>0</v>
      </c>
      <c r="I2976" s="10" cm="1">
        <f t="array" ref="I2976">IFERROR(INDEX(Precios!$D:$F,MATCH(N2976, Precios!$G:$G, 0),CHOOSE(MATCH(H2976, {"SML";"XL";"XXL"}, 0), 1, 2, 3)), 0)</f>
        <v>0</v>
      </c>
      <c r="K2976" s="10">
        <f t="shared" si="100"/>
        <v>0</v>
      </c>
      <c r="N2976" s="9" t="str">
        <f t="shared" si="101"/>
        <v/>
      </c>
      <c r="O2976" s="9" t="str">
        <f>IF(N2976="","",IF(COUNTIF(Precios!$G:$G,N2976)=0,"⚠ No coincide con Precios","OK"))</f>
        <v/>
      </c>
    </row>
    <row r="2977" spans="3:15" x14ac:dyDescent="0.2">
      <c r="C2977" s="9" cm="1">
        <f t="array" ref="C2977">IFERROR(_xlfn.XLOOKUP(B2977,Personal!$A:$A,Personal!$D:$D,""),"")</f>
        <v>0</v>
      </c>
      <c r="D2977" s="9" cm="1">
        <f t="array" ref="D2977">IFERROR(_xlfn.XLOOKUP(B2977,Personal!$A:$A,Personal!$C:$C,""),"")</f>
        <v>0</v>
      </c>
      <c r="E2977" s="9" t="str" cm="1">
        <f t="array" ref="E2977">IFERROR(_xlfn.XLOOKUP(D2977,Locales!$A:$A,Locales!$B:$B,""),"")</f>
        <v/>
      </c>
      <c r="F2977" s="9" cm="1">
        <f t="array" ref="F2977">IFERROR(_xlfn.XLOOKUP(B2977,Personal!$A:$A,Personal!$F:$F,""),"")</f>
        <v>0</v>
      </c>
      <c r="I2977" s="10" cm="1">
        <f t="array" ref="I2977">IFERROR(INDEX(Precios!$D:$F,MATCH(N2977, Precios!$G:$G, 0),CHOOSE(MATCH(H2977, {"SML";"XL";"XXL"}, 0), 1, 2, 3)), 0)</f>
        <v>0</v>
      </c>
      <c r="K2977" s="10">
        <f t="shared" si="100"/>
        <v>0</v>
      </c>
      <c r="N2977" s="9" t="str">
        <f t="shared" si="101"/>
        <v/>
      </c>
      <c r="O2977" s="9" t="str">
        <f>IF(N2977="","",IF(COUNTIF(Precios!$G:$G,N2977)=0,"⚠ No coincide con Precios","OK"))</f>
        <v/>
      </c>
    </row>
    <row r="2978" spans="3:15" x14ac:dyDescent="0.2">
      <c r="C2978" s="9" cm="1">
        <f t="array" ref="C2978">IFERROR(_xlfn.XLOOKUP(B2978,Personal!$A:$A,Personal!$D:$D,""),"")</f>
        <v>0</v>
      </c>
      <c r="D2978" s="9" cm="1">
        <f t="array" ref="D2978">IFERROR(_xlfn.XLOOKUP(B2978,Personal!$A:$A,Personal!$C:$C,""),"")</f>
        <v>0</v>
      </c>
      <c r="E2978" s="9" t="str" cm="1">
        <f t="array" ref="E2978">IFERROR(_xlfn.XLOOKUP(D2978,Locales!$A:$A,Locales!$B:$B,""),"")</f>
        <v/>
      </c>
      <c r="F2978" s="9" cm="1">
        <f t="array" ref="F2978">IFERROR(_xlfn.XLOOKUP(B2978,Personal!$A:$A,Personal!$F:$F,""),"")</f>
        <v>0</v>
      </c>
      <c r="I2978" s="10" cm="1">
        <f t="array" ref="I2978">IFERROR(INDEX(Precios!$D:$F,MATCH(N2978, Precios!$G:$G, 0),CHOOSE(MATCH(H2978, {"SML";"XL";"XXL"}, 0), 1, 2, 3)), 0)</f>
        <v>0</v>
      </c>
      <c r="K2978" s="10">
        <f t="shared" si="100"/>
        <v>0</v>
      </c>
      <c r="N2978" s="9" t="str">
        <f t="shared" si="101"/>
        <v/>
      </c>
      <c r="O2978" s="9" t="str">
        <f>IF(N2978="","",IF(COUNTIF(Precios!$G:$G,N2978)=0,"⚠ No coincide con Precios","OK"))</f>
        <v/>
      </c>
    </row>
    <row r="2979" spans="3:15" x14ac:dyDescent="0.2">
      <c r="C2979" s="9" cm="1">
        <f t="array" ref="C2979">IFERROR(_xlfn.XLOOKUP(B2979,Personal!$A:$A,Personal!$D:$D,""),"")</f>
        <v>0</v>
      </c>
      <c r="D2979" s="9" cm="1">
        <f t="array" ref="D2979">IFERROR(_xlfn.XLOOKUP(B2979,Personal!$A:$A,Personal!$C:$C,""),"")</f>
        <v>0</v>
      </c>
      <c r="E2979" s="9" t="str" cm="1">
        <f t="array" ref="E2979">IFERROR(_xlfn.XLOOKUP(D2979,Locales!$A:$A,Locales!$B:$B,""),"")</f>
        <v/>
      </c>
      <c r="F2979" s="9" cm="1">
        <f t="array" ref="F2979">IFERROR(_xlfn.XLOOKUP(B2979,Personal!$A:$A,Personal!$F:$F,""),"")</f>
        <v>0</v>
      </c>
      <c r="I2979" s="10" cm="1">
        <f t="array" ref="I2979">IFERROR(INDEX(Precios!$D:$F,MATCH(N2979, Precios!$G:$G, 0),CHOOSE(MATCH(H2979, {"SML";"XL";"XXL"}, 0), 1, 2, 3)), 0)</f>
        <v>0</v>
      </c>
      <c r="K2979" s="10">
        <f t="shared" si="100"/>
        <v>0</v>
      </c>
      <c r="N2979" s="9" t="str">
        <f t="shared" si="101"/>
        <v/>
      </c>
      <c r="O2979" s="9" t="str">
        <f>IF(N2979="","",IF(COUNTIF(Precios!$G:$G,N2979)=0,"⚠ No coincide con Precios","OK"))</f>
        <v/>
      </c>
    </row>
    <row r="2980" spans="3:15" x14ac:dyDescent="0.2">
      <c r="C2980" s="9" cm="1">
        <f t="array" ref="C2980">IFERROR(_xlfn.XLOOKUP(B2980,Personal!$A:$A,Personal!$D:$D,""),"")</f>
        <v>0</v>
      </c>
      <c r="D2980" s="9" cm="1">
        <f t="array" ref="D2980">IFERROR(_xlfn.XLOOKUP(B2980,Personal!$A:$A,Personal!$C:$C,""),"")</f>
        <v>0</v>
      </c>
      <c r="E2980" s="9" t="str" cm="1">
        <f t="array" ref="E2980">IFERROR(_xlfn.XLOOKUP(D2980,Locales!$A:$A,Locales!$B:$B,""),"")</f>
        <v/>
      </c>
      <c r="F2980" s="9" cm="1">
        <f t="array" ref="F2980">IFERROR(_xlfn.XLOOKUP(B2980,Personal!$A:$A,Personal!$F:$F,""),"")</f>
        <v>0</v>
      </c>
      <c r="I2980" s="10" cm="1">
        <f t="array" ref="I2980">IFERROR(INDEX(Precios!$D:$F,MATCH(N2980, Precios!$G:$G, 0),CHOOSE(MATCH(H2980, {"SML";"XL";"XXL"}, 0), 1, 2, 3)), 0)</f>
        <v>0</v>
      </c>
      <c r="K2980" s="10">
        <f t="shared" si="100"/>
        <v>0</v>
      </c>
      <c r="N2980" s="9" t="str">
        <f t="shared" si="101"/>
        <v/>
      </c>
      <c r="O2980" s="9" t="str">
        <f>IF(N2980="","",IF(COUNTIF(Precios!$G:$G,N2980)=0,"⚠ No coincide con Precios","OK"))</f>
        <v/>
      </c>
    </row>
    <row r="2981" spans="3:15" x14ac:dyDescent="0.2">
      <c r="C2981" s="9" cm="1">
        <f t="array" ref="C2981">IFERROR(_xlfn.XLOOKUP(B2981,Personal!$A:$A,Personal!$D:$D,""),"")</f>
        <v>0</v>
      </c>
      <c r="D2981" s="9" cm="1">
        <f t="array" ref="D2981">IFERROR(_xlfn.XLOOKUP(B2981,Personal!$A:$A,Personal!$C:$C,""),"")</f>
        <v>0</v>
      </c>
      <c r="E2981" s="9" t="str" cm="1">
        <f t="array" ref="E2981">IFERROR(_xlfn.XLOOKUP(D2981,Locales!$A:$A,Locales!$B:$B,""),"")</f>
        <v/>
      </c>
      <c r="F2981" s="9" cm="1">
        <f t="array" ref="F2981">IFERROR(_xlfn.XLOOKUP(B2981,Personal!$A:$A,Personal!$F:$F,""),"")</f>
        <v>0</v>
      </c>
      <c r="I2981" s="10" cm="1">
        <f t="array" ref="I2981">IFERROR(INDEX(Precios!$D:$F,MATCH(N2981, Precios!$G:$G, 0),CHOOSE(MATCH(H2981, {"SML";"XL";"XXL"}, 0), 1, 2, 3)), 0)</f>
        <v>0</v>
      </c>
      <c r="K2981" s="10">
        <f t="shared" si="100"/>
        <v>0</v>
      </c>
      <c r="N2981" s="9" t="str">
        <f t="shared" si="101"/>
        <v/>
      </c>
      <c r="O2981" s="9" t="str">
        <f>IF(N2981="","",IF(COUNTIF(Precios!$G:$G,N2981)=0,"⚠ No coincide con Precios","OK"))</f>
        <v/>
      </c>
    </row>
    <row r="2982" spans="3:15" x14ac:dyDescent="0.2">
      <c r="C2982" s="9" cm="1">
        <f t="array" ref="C2982">IFERROR(_xlfn.XLOOKUP(B2982,Personal!$A:$A,Personal!$D:$D,""),"")</f>
        <v>0</v>
      </c>
      <c r="D2982" s="9" cm="1">
        <f t="array" ref="D2982">IFERROR(_xlfn.XLOOKUP(B2982,Personal!$A:$A,Personal!$C:$C,""),"")</f>
        <v>0</v>
      </c>
      <c r="E2982" s="9" t="str" cm="1">
        <f t="array" ref="E2982">IFERROR(_xlfn.XLOOKUP(D2982,Locales!$A:$A,Locales!$B:$B,""),"")</f>
        <v/>
      </c>
      <c r="F2982" s="9" cm="1">
        <f t="array" ref="F2982">IFERROR(_xlfn.XLOOKUP(B2982,Personal!$A:$A,Personal!$F:$F,""),"")</f>
        <v>0</v>
      </c>
      <c r="I2982" s="10" cm="1">
        <f t="array" ref="I2982">IFERROR(INDEX(Precios!$D:$F,MATCH(N2982, Precios!$G:$G, 0),CHOOSE(MATCH(H2982, {"SML";"XL";"XXL"}, 0), 1, 2, 3)), 0)</f>
        <v>0</v>
      </c>
      <c r="K2982" s="10">
        <f t="shared" si="100"/>
        <v>0</v>
      </c>
      <c r="N2982" s="9" t="str">
        <f t="shared" si="101"/>
        <v/>
      </c>
      <c r="O2982" s="9" t="str">
        <f>IF(N2982="","",IF(COUNTIF(Precios!$G:$G,N2982)=0,"⚠ No coincide con Precios","OK"))</f>
        <v/>
      </c>
    </row>
    <row r="2983" spans="3:15" x14ac:dyDescent="0.2">
      <c r="C2983" s="9" cm="1">
        <f t="array" ref="C2983">IFERROR(_xlfn.XLOOKUP(B2983,Personal!$A:$A,Personal!$D:$D,""),"")</f>
        <v>0</v>
      </c>
      <c r="D2983" s="9" cm="1">
        <f t="array" ref="D2983">IFERROR(_xlfn.XLOOKUP(B2983,Personal!$A:$A,Personal!$C:$C,""),"")</f>
        <v>0</v>
      </c>
      <c r="E2983" s="9" t="str" cm="1">
        <f t="array" ref="E2983">IFERROR(_xlfn.XLOOKUP(D2983,Locales!$A:$A,Locales!$B:$B,""),"")</f>
        <v/>
      </c>
      <c r="F2983" s="9" cm="1">
        <f t="array" ref="F2983">IFERROR(_xlfn.XLOOKUP(B2983,Personal!$A:$A,Personal!$F:$F,""),"")</f>
        <v>0</v>
      </c>
      <c r="I2983" s="10" cm="1">
        <f t="array" ref="I2983">IFERROR(INDEX(Precios!$D:$F,MATCH(N2983, Precios!$G:$G, 0),CHOOSE(MATCH(H2983, {"SML";"XL";"XXL"}, 0), 1, 2, 3)), 0)</f>
        <v>0</v>
      </c>
      <c r="K2983" s="10">
        <f t="shared" si="100"/>
        <v>0</v>
      </c>
      <c r="N2983" s="9" t="str">
        <f t="shared" si="101"/>
        <v/>
      </c>
      <c r="O2983" s="9" t="str">
        <f>IF(N2983="","",IF(COUNTIF(Precios!$G:$G,N2983)=0,"⚠ No coincide con Precios","OK"))</f>
        <v/>
      </c>
    </row>
    <row r="2984" spans="3:15" x14ac:dyDescent="0.2">
      <c r="C2984" s="9" cm="1">
        <f t="array" ref="C2984">IFERROR(_xlfn.XLOOKUP(B2984,Personal!$A:$A,Personal!$D:$D,""),"")</f>
        <v>0</v>
      </c>
      <c r="D2984" s="9" cm="1">
        <f t="array" ref="D2984">IFERROR(_xlfn.XLOOKUP(B2984,Personal!$A:$A,Personal!$C:$C,""),"")</f>
        <v>0</v>
      </c>
      <c r="E2984" s="9" t="str" cm="1">
        <f t="array" ref="E2984">IFERROR(_xlfn.XLOOKUP(D2984,Locales!$A:$A,Locales!$B:$B,""),"")</f>
        <v/>
      </c>
      <c r="F2984" s="9" cm="1">
        <f t="array" ref="F2984">IFERROR(_xlfn.XLOOKUP(B2984,Personal!$A:$A,Personal!$F:$F,""),"")</f>
        <v>0</v>
      </c>
      <c r="I2984" s="10" cm="1">
        <f t="array" ref="I2984">IFERROR(INDEX(Precios!$D:$F,MATCH(N2984, Precios!$G:$G, 0),CHOOSE(MATCH(H2984, {"SML";"XL";"XXL"}, 0), 1, 2, 3)), 0)</f>
        <v>0</v>
      </c>
      <c r="K2984" s="10">
        <f t="shared" si="100"/>
        <v>0</v>
      </c>
      <c r="N2984" s="9" t="str">
        <f t="shared" si="101"/>
        <v/>
      </c>
      <c r="O2984" s="9" t="str">
        <f>IF(N2984="","",IF(COUNTIF(Precios!$G:$G,N2984)=0,"⚠ No coincide con Precios","OK"))</f>
        <v/>
      </c>
    </row>
    <row r="2985" spans="3:15" x14ac:dyDescent="0.2">
      <c r="C2985" s="9" cm="1">
        <f t="array" ref="C2985">IFERROR(_xlfn.XLOOKUP(B2985,Personal!$A:$A,Personal!$D:$D,""),"")</f>
        <v>0</v>
      </c>
      <c r="D2985" s="9" cm="1">
        <f t="array" ref="D2985">IFERROR(_xlfn.XLOOKUP(B2985,Personal!$A:$A,Personal!$C:$C,""),"")</f>
        <v>0</v>
      </c>
      <c r="E2985" s="9" t="str" cm="1">
        <f t="array" ref="E2985">IFERROR(_xlfn.XLOOKUP(D2985,Locales!$A:$A,Locales!$B:$B,""),"")</f>
        <v/>
      </c>
      <c r="F2985" s="9" cm="1">
        <f t="array" ref="F2985">IFERROR(_xlfn.XLOOKUP(B2985,Personal!$A:$A,Personal!$F:$F,""),"")</f>
        <v>0</v>
      </c>
      <c r="I2985" s="10" cm="1">
        <f t="array" ref="I2985">IFERROR(INDEX(Precios!$D:$F,MATCH(N2985, Precios!$G:$G, 0),CHOOSE(MATCH(H2985, {"SML";"XL";"XXL"}, 0), 1, 2, 3)), 0)</f>
        <v>0</v>
      </c>
      <c r="K2985" s="10">
        <f t="shared" si="100"/>
        <v>0</v>
      </c>
      <c r="N2985" s="9" t="str">
        <f t="shared" si="101"/>
        <v/>
      </c>
      <c r="O2985" s="9" t="str">
        <f>IF(N2985="","",IF(COUNTIF(Precios!$G:$G,N2985)=0,"⚠ No coincide con Precios","OK"))</f>
        <v/>
      </c>
    </row>
    <row r="2986" spans="3:15" x14ac:dyDescent="0.2">
      <c r="C2986" s="9" cm="1">
        <f t="array" ref="C2986">IFERROR(_xlfn.XLOOKUP(B2986,Personal!$A:$A,Personal!$D:$D,""),"")</f>
        <v>0</v>
      </c>
      <c r="D2986" s="9" cm="1">
        <f t="array" ref="D2986">IFERROR(_xlfn.XLOOKUP(B2986,Personal!$A:$A,Personal!$C:$C,""),"")</f>
        <v>0</v>
      </c>
      <c r="E2986" s="9" t="str" cm="1">
        <f t="array" ref="E2986">IFERROR(_xlfn.XLOOKUP(D2986,Locales!$A:$A,Locales!$B:$B,""),"")</f>
        <v/>
      </c>
      <c r="F2986" s="9" cm="1">
        <f t="array" ref="F2986">IFERROR(_xlfn.XLOOKUP(B2986,Personal!$A:$A,Personal!$F:$F,""),"")</f>
        <v>0</v>
      </c>
      <c r="I2986" s="10" cm="1">
        <f t="array" ref="I2986">IFERROR(INDEX(Precios!$D:$F,MATCH(N2986, Precios!$G:$G, 0),CHOOSE(MATCH(H2986, {"SML";"XL";"XXL"}, 0), 1, 2, 3)), 0)</f>
        <v>0</v>
      </c>
      <c r="K2986" s="10">
        <f t="shared" si="100"/>
        <v>0</v>
      </c>
      <c r="N2986" s="9" t="str">
        <f t="shared" si="101"/>
        <v/>
      </c>
      <c r="O2986" s="9" t="str">
        <f>IF(N2986="","",IF(COUNTIF(Precios!$G:$G,N2986)=0,"⚠ No coincide con Precios","OK"))</f>
        <v/>
      </c>
    </row>
    <row r="2987" spans="3:15" x14ac:dyDescent="0.2">
      <c r="C2987" s="9" cm="1">
        <f t="array" ref="C2987">IFERROR(_xlfn.XLOOKUP(B2987,Personal!$A:$A,Personal!$D:$D,""),"")</f>
        <v>0</v>
      </c>
      <c r="D2987" s="9" cm="1">
        <f t="array" ref="D2987">IFERROR(_xlfn.XLOOKUP(B2987,Personal!$A:$A,Personal!$C:$C,""),"")</f>
        <v>0</v>
      </c>
      <c r="E2987" s="9" t="str" cm="1">
        <f t="array" ref="E2987">IFERROR(_xlfn.XLOOKUP(D2987,Locales!$A:$A,Locales!$B:$B,""),"")</f>
        <v/>
      </c>
      <c r="F2987" s="9" cm="1">
        <f t="array" ref="F2987">IFERROR(_xlfn.XLOOKUP(B2987,Personal!$A:$A,Personal!$F:$F,""),"")</f>
        <v>0</v>
      </c>
      <c r="I2987" s="10" cm="1">
        <f t="array" ref="I2987">IFERROR(INDEX(Precios!$D:$F,MATCH(N2987, Precios!$G:$G, 0),CHOOSE(MATCH(H2987, {"SML";"XL";"XXL"}, 0), 1, 2, 3)), 0)</f>
        <v>0</v>
      </c>
      <c r="K2987" s="10">
        <f t="shared" si="100"/>
        <v>0</v>
      </c>
      <c r="N2987" s="9" t="str">
        <f t="shared" si="101"/>
        <v/>
      </c>
      <c r="O2987" s="9" t="str">
        <f>IF(N2987="","",IF(COUNTIF(Precios!$G:$G,N2987)=0,"⚠ No coincide con Precios","OK"))</f>
        <v/>
      </c>
    </row>
    <row r="2988" spans="3:15" x14ac:dyDescent="0.2">
      <c r="C2988" s="9" cm="1">
        <f t="array" ref="C2988">IFERROR(_xlfn.XLOOKUP(B2988,Personal!$A:$A,Personal!$D:$D,""),"")</f>
        <v>0</v>
      </c>
      <c r="D2988" s="9" cm="1">
        <f t="array" ref="D2988">IFERROR(_xlfn.XLOOKUP(B2988,Personal!$A:$A,Personal!$C:$C,""),"")</f>
        <v>0</v>
      </c>
      <c r="E2988" s="9" t="str" cm="1">
        <f t="array" ref="E2988">IFERROR(_xlfn.XLOOKUP(D2988,Locales!$A:$A,Locales!$B:$B,""),"")</f>
        <v/>
      </c>
      <c r="F2988" s="9" cm="1">
        <f t="array" ref="F2988">IFERROR(_xlfn.XLOOKUP(B2988,Personal!$A:$A,Personal!$F:$F,""),"")</f>
        <v>0</v>
      </c>
      <c r="I2988" s="10" cm="1">
        <f t="array" ref="I2988">IFERROR(INDEX(Precios!$D:$F,MATCH(N2988, Precios!$G:$G, 0),CHOOSE(MATCH(H2988, {"SML";"XL";"XXL"}, 0), 1, 2, 3)), 0)</f>
        <v>0</v>
      </c>
      <c r="K2988" s="10">
        <f t="shared" si="100"/>
        <v>0</v>
      </c>
      <c r="N2988" s="9" t="str">
        <f t="shared" si="101"/>
        <v/>
      </c>
      <c r="O2988" s="9" t="str">
        <f>IF(N2988="","",IF(COUNTIF(Precios!$G:$G,N2988)=0,"⚠ No coincide con Precios","OK"))</f>
        <v/>
      </c>
    </row>
    <row r="2989" spans="3:15" x14ac:dyDescent="0.2">
      <c r="C2989" s="9" cm="1">
        <f t="array" ref="C2989">IFERROR(_xlfn.XLOOKUP(B2989,Personal!$A:$A,Personal!$D:$D,""),"")</f>
        <v>0</v>
      </c>
      <c r="D2989" s="9" cm="1">
        <f t="array" ref="D2989">IFERROR(_xlfn.XLOOKUP(B2989,Personal!$A:$A,Personal!$C:$C,""),"")</f>
        <v>0</v>
      </c>
      <c r="E2989" s="9" t="str" cm="1">
        <f t="array" ref="E2989">IFERROR(_xlfn.XLOOKUP(D2989,Locales!$A:$A,Locales!$B:$B,""),"")</f>
        <v/>
      </c>
      <c r="F2989" s="9" cm="1">
        <f t="array" ref="F2989">IFERROR(_xlfn.XLOOKUP(B2989,Personal!$A:$A,Personal!$F:$F,""),"")</f>
        <v>0</v>
      </c>
      <c r="I2989" s="10" cm="1">
        <f t="array" ref="I2989">IFERROR(INDEX(Precios!$D:$F,MATCH(N2989, Precios!$G:$G, 0),CHOOSE(MATCH(H2989, {"SML";"XL";"XXL"}, 0), 1, 2, 3)), 0)</f>
        <v>0</v>
      </c>
      <c r="K2989" s="10">
        <f t="shared" si="100"/>
        <v>0</v>
      </c>
      <c r="N2989" s="9" t="str">
        <f t="shared" si="101"/>
        <v/>
      </c>
      <c r="O2989" s="9" t="str">
        <f>IF(N2989="","",IF(COUNTIF(Precios!$G:$G,N2989)=0,"⚠ No coincide con Precios","OK"))</f>
        <v/>
      </c>
    </row>
    <row r="2990" spans="3:15" x14ac:dyDescent="0.2">
      <c r="C2990" s="9" cm="1">
        <f t="array" ref="C2990">IFERROR(_xlfn.XLOOKUP(B2990,Personal!$A:$A,Personal!$D:$D,""),"")</f>
        <v>0</v>
      </c>
      <c r="D2990" s="9" cm="1">
        <f t="array" ref="D2990">IFERROR(_xlfn.XLOOKUP(B2990,Personal!$A:$A,Personal!$C:$C,""),"")</f>
        <v>0</v>
      </c>
      <c r="E2990" s="9" t="str" cm="1">
        <f t="array" ref="E2990">IFERROR(_xlfn.XLOOKUP(D2990,Locales!$A:$A,Locales!$B:$B,""),"")</f>
        <v/>
      </c>
      <c r="F2990" s="9" cm="1">
        <f t="array" ref="F2990">IFERROR(_xlfn.XLOOKUP(B2990,Personal!$A:$A,Personal!$F:$F,""),"")</f>
        <v>0</v>
      </c>
      <c r="I2990" s="10" cm="1">
        <f t="array" ref="I2990">IFERROR(INDEX(Precios!$D:$F,MATCH(N2990, Precios!$G:$G, 0),CHOOSE(MATCH(H2990, {"SML";"XL";"XXL"}, 0), 1, 2, 3)), 0)</f>
        <v>0</v>
      </c>
      <c r="K2990" s="10">
        <f t="shared" si="100"/>
        <v>0</v>
      </c>
      <c r="N2990" s="9" t="str">
        <f t="shared" si="101"/>
        <v/>
      </c>
      <c r="O2990" s="9" t="str">
        <f>IF(N2990="","",IF(COUNTIF(Precios!$G:$G,N2990)=0,"⚠ No coincide con Precios","OK"))</f>
        <v/>
      </c>
    </row>
    <row r="2991" spans="3:15" x14ac:dyDescent="0.2">
      <c r="C2991" s="9" cm="1">
        <f t="array" ref="C2991">IFERROR(_xlfn.XLOOKUP(B2991,Personal!$A:$A,Personal!$D:$D,""),"")</f>
        <v>0</v>
      </c>
      <c r="D2991" s="9" cm="1">
        <f t="array" ref="D2991">IFERROR(_xlfn.XLOOKUP(B2991,Personal!$A:$A,Personal!$C:$C,""),"")</f>
        <v>0</v>
      </c>
      <c r="E2991" s="9" t="str" cm="1">
        <f t="array" ref="E2991">IFERROR(_xlfn.XLOOKUP(D2991,Locales!$A:$A,Locales!$B:$B,""),"")</f>
        <v/>
      </c>
      <c r="F2991" s="9" cm="1">
        <f t="array" ref="F2991">IFERROR(_xlfn.XLOOKUP(B2991,Personal!$A:$A,Personal!$F:$F,""),"")</f>
        <v>0</v>
      </c>
      <c r="I2991" s="10" cm="1">
        <f t="array" ref="I2991">IFERROR(INDEX(Precios!$D:$F,MATCH(N2991, Precios!$G:$G, 0),CHOOSE(MATCH(H2991, {"SML";"XL";"XXL"}, 0), 1, 2, 3)), 0)</f>
        <v>0</v>
      </c>
      <c r="K2991" s="10">
        <f t="shared" si="100"/>
        <v>0</v>
      </c>
      <c r="N2991" s="9" t="str">
        <f t="shared" si="101"/>
        <v/>
      </c>
      <c r="O2991" s="9" t="str">
        <f>IF(N2991="","",IF(COUNTIF(Precios!$G:$G,N2991)=0,"⚠ No coincide con Precios","OK"))</f>
        <v/>
      </c>
    </row>
    <row r="2992" spans="3:15" x14ac:dyDescent="0.2">
      <c r="C2992" s="9" cm="1">
        <f t="array" ref="C2992">IFERROR(_xlfn.XLOOKUP(B2992,Personal!$A:$A,Personal!$D:$D,""),"")</f>
        <v>0</v>
      </c>
      <c r="D2992" s="9" cm="1">
        <f t="array" ref="D2992">IFERROR(_xlfn.XLOOKUP(B2992,Personal!$A:$A,Personal!$C:$C,""),"")</f>
        <v>0</v>
      </c>
      <c r="E2992" s="9" t="str" cm="1">
        <f t="array" ref="E2992">IFERROR(_xlfn.XLOOKUP(D2992,Locales!$A:$A,Locales!$B:$B,""),"")</f>
        <v/>
      </c>
      <c r="F2992" s="9" cm="1">
        <f t="array" ref="F2992">IFERROR(_xlfn.XLOOKUP(B2992,Personal!$A:$A,Personal!$F:$F,""),"")</f>
        <v>0</v>
      </c>
      <c r="I2992" s="10" cm="1">
        <f t="array" ref="I2992">IFERROR(INDEX(Precios!$D:$F,MATCH(N2992, Precios!$G:$G, 0),CHOOSE(MATCH(H2992, {"SML";"XL";"XXL"}, 0), 1, 2, 3)), 0)</f>
        <v>0</v>
      </c>
      <c r="K2992" s="10">
        <f t="shared" si="100"/>
        <v>0</v>
      </c>
      <c r="N2992" s="9" t="str">
        <f t="shared" si="101"/>
        <v/>
      </c>
      <c r="O2992" s="9" t="str">
        <f>IF(N2992="","",IF(COUNTIF(Precios!$G:$G,N2992)=0,"⚠ No coincide con Precios","OK"))</f>
        <v/>
      </c>
    </row>
    <row r="2993" spans="3:15" x14ac:dyDescent="0.2">
      <c r="C2993" s="9" cm="1">
        <f t="array" ref="C2993">IFERROR(_xlfn.XLOOKUP(B2993,Personal!$A:$A,Personal!$D:$D,""),"")</f>
        <v>0</v>
      </c>
      <c r="D2993" s="9" cm="1">
        <f t="array" ref="D2993">IFERROR(_xlfn.XLOOKUP(B2993,Personal!$A:$A,Personal!$C:$C,""),"")</f>
        <v>0</v>
      </c>
      <c r="E2993" s="9" t="str" cm="1">
        <f t="array" ref="E2993">IFERROR(_xlfn.XLOOKUP(D2993,Locales!$A:$A,Locales!$B:$B,""),"")</f>
        <v/>
      </c>
      <c r="F2993" s="9" cm="1">
        <f t="array" ref="F2993">IFERROR(_xlfn.XLOOKUP(B2993,Personal!$A:$A,Personal!$F:$F,""),"")</f>
        <v>0</v>
      </c>
      <c r="I2993" s="10" cm="1">
        <f t="array" ref="I2993">IFERROR(INDEX(Precios!$D:$F,MATCH(N2993, Precios!$G:$G, 0),CHOOSE(MATCH(H2993, {"SML";"XL";"XXL"}, 0), 1, 2, 3)), 0)</f>
        <v>0</v>
      </c>
      <c r="K2993" s="10">
        <f t="shared" si="100"/>
        <v>0</v>
      </c>
      <c r="N2993" s="9" t="str">
        <f t="shared" si="101"/>
        <v/>
      </c>
      <c r="O2993" s="9" t="str">
        <f>IF(N2993="","",IF(COUNTIF(Precios!$G:$G,N2993)=0,"⚠ No coincide con Precios","OK"))</f>
        <v/>
      </c>
    </row>
    <row r="2994" spans="3:15" x14ac:dyDescent="0.2">
      <c r="C2994" s="9" cm="1">
        <f t="array" ref="C2994">IFERROR(_xlfn.XLOOKUP(B2994,Personal!$A:$A,Personal!$D:$D,""),"")</f>
        <v>0</v>
      </c>
      <c r="D2994" s="9" cm="1">
        <f t="array" ref="D2994">IFERROR(_xlfn.XLOOKUP(B2994,Personal!$A:$A,Personal!$C:$C,""),"")</f>
        <v>0</v>
      </c>
      <c r="E2994" s="9" t="str" cm="1">
        <f t="array" ref="E2994">IFERROR(_xlfn.XLOOKUP(D2994,Locales!$A:$A,Locales!$B:$B,""),"")</f>
        <v/>
      </c>
      <c r="F2994" s="9" cm="1">
        <f t="array" ref="F2994">IFERROR(_xlfn.XLOOKUP(B2994,Personal!$A:$A,Personal!$F:$F,""),"")</f>
        <v>0</v>
      </c>
      <c r="I2994" s="10" cm="1">
        <f t="array" ref="I2994">IFERROR(INDEX(Precios!$D:$F,MATCH(N2994, Precios!$G:$G, 0),CHOOSE(MATCH(H2994, {"SML";"XL";"XXL"}, 0), 1, 2, 3)), 0)</f>
        <v>0</v>
      </c>
      <c r="K2994" s="10">
        <f t="shared" si="100"/>
        <v>0</v>
      </c>
      <c r="N2994" s="9" t="str">
        <f t="shared" si="101"/>
        <v/>
      </c>
      <c r="O2994" s="9" t="str">
        <f>IF(N2994="","",IF(COUNTIF(Precios!$G:$G,N2994)=0,"⚠ No coincide con Precios","OK"))</f>
        <v/>
      </c>
    </row>
    <row r="2995" spans="3:15" x14ac:dyDescent="0.2">
      <c r="C2995" s="9" cm="1">
        <f t="array" ref="C2995">IFERROR(_xlfn.XLOOKUP(B2995,Personal!$A:$A,Personal!$D:$D,""),"")</f>
        <v>0</v>
      </c>
      <c r="D2995" s="9" cm="1">
        <f t="array" ref="D2995">IFERROR(_xlfn.XLOOKUP(B2995,Personal!$A:$A,Personal!$C:$C,""),"")</f>
        <v>0</v>
      </c>
      <c r="E2995" s="9" t="str" cm="1">
        <f t="array" ref="E2995">IFERROR(_xlfn.XLOOKUP(D2995,Locales!$A:$A,Locales!$B:$B,""),"")</f>
        <v/>
      </c>
      <c r="F2995" s="9" cm="1">
        <f t="array" ref="F2995">IFERROR(_xlfn.XLOOKUP(B2995,Personal!$A:$A,Personal!$F:$F,""),"")</f>
        <v>0</v>
      </c>
      <c r="I2995" s="10" cm="1">
        <f t="array" ref="I2995">IFERROR(INDEX(Precios!$D:$F,MATCH(N2995, Precios!$G:$G, 0),CHOOSE(MATCH(H2995, {"SML";"XL";"XXL"}, 0), 1, 2, 3)), 0)</f>
        <v>0</v>
      </c>
      <c r="K2995" s="10">
        <f t="shared" si="100"/>
        <v>0</v>
      </c>
      <c r="N2995" s="9" t="str">
        <f t="shared" si="101"/>
        <v/>
      </c>
      <c r="O2995" s="9" t="str">
        <f>IF(N2995="","",IF(COUNTIF(Precios!$G:$G,N2995)=0,"⚠ No coincide con Precios","OK"))</f>
        <v/>
      </c>
    </row>
    <row r="2996" spans="3:15" x14ac:dyDescent="0.2">
      <c r="C2996" s="9" cm="1">
        <f t="array" ref="C2996">IFERROR(_xlfn.XLOOKUP(B2996,Personal!$A:$A,Personal!$D:$D,""),"")</f>
        <v>0</v>
      </c>
      <c r="D2996" s="9" cm="1">
        <f t="array" ref="D2996">IFERROR(_xlfn.XLOOKUP(B2996,Personal!$A:$A,Personal!$C:$C,""),"")</f>
        <v>0</v>
      </c>
      <c r="E2996" s="9" t="str" cm="1">
        <f t="array" ref="E2996">IFERROR(_xlfn.XLOOKUP(D2996,Locales!$A:$A,Locales!$B:$B,""),"")</f>
        <v/>
      </c>
      <c r="F2996" s="9" cm="1">
        <f t="array" ref="F2996">IFERROR(_xlfn.XLOOKUP(B2996,Personal!$A:$A,Personal!$F:$F,""),"")</f>
        <v>0</v>
      </c>
      <c r="I2996" s="10" cm="1">
        <f t="array" ref="I2996">IFERROR(INDEX(Precios!$D:$F,MATCH(N2996, Precios!$G:$G, 0),CHOOSE(MATCH(H2996, {"SML";"XL";"XXL"}, 0), 1, 2, 3)), 0)</f>
        <v>0</v>
      </c>
      <c r="K2996" s="10">
        <f t="shared" si="100"/>
        <v>0</v>
      </c>
      <c r="N2996" s="9" t="str">
        <f t="shared" si="101"/>
        <v/>
      </c>
      <c r="O2996" s="9" t="str">
        <f>IF(N2996="","",IF(COUNTIF(Precios!$G:$G,N2996)=0,"⚠ No coincide con Precios","OK"))</f>
        <v/>
      </c>
    </row>
    <row r="2997" spans="3:15" x14ac:dyDescent="0.2">
      <c r="C2997" s="9" cm="1">
        <f t="array" ref="C2997">IFERROR(_xlfn.XLOOKUP(B2997,Personal!$A:$A,Personal!$D:$D,""),"")</f>
        <v>0</v>
      </c>
      <c r="D2997" s="9" cm="1">
        <f t="array" ref="D2997">IFERROR(_xlfn.XLOOKUP(B2997,Personal!$A:$A,Personal!$C:$C,""),"")</f>
        <v>0</v>
      </c>
      <c r="E2997" s="9" t="str" cm="1">
        <f t="array" ref="E2997">IFERROR(_xlfn.XLOOKUP(D2997,Locales!$A:$A,Locales!$B:$B,""),"")</f>
        <v/>
      </c>
      <c r="F2997" s="9" cm="1">
        <f t="array" ref="F2997">IFERROR(_xlfn.XLOOKUP(B2997,Personal!$A:$A,Personal!$F:$F,""),"")</f>
        <v>0</v>
      </c>
      <c r="I2997" s="10" cm="1">
        <f t="array" ref="I2997">IFERROR(INDEX(Precios!$D:$F,MATCH(N2997, Precios!$G:$G, 0),CHOOSE(MATCH(H2997, {"SML";"XL";"XXL"}, 0), 1, 2, 3)), 0)</f>
        <v>0</v>
      </c>
      <c r="K2997" s="10">
        <f t="shared" si="100"/>
        <v>0</v>
      </c>
      <c r="N2997" s="9" t="str">
        <f t="shared" si="101"/>
        <v/>
      </c>
      <c r="O2997" s="9" t="str">
        <f>IF(N2997="","",IF(COUNTIF(Precios!$G:$G,N2997)=0,"⚠ No coincide con Precios","OK"))</f>
        <v/>
      </c>
    </row>
    <row r="2998" spans="3:15" x14ac:dyDescent="0.2">
      <c r="C2998" s="9" cm="1">
        <f t="array" ref="C2998">IFERROR(_xlfn.XLOOKUP(B2998,Personal!$A:$A,Personal!$D:$D,""),"")</f>
        <v>0</v>
      </c>
      <c r="D2998" s="9" cm="1">
        <f t="array" ref="D2998">IFERROR(_xlfn.XLOOKUP(B2998,Personal!$A:$A,Personal!$C:$C,""),"")</f>
        <v>0</v>
      </c>
      <c r="E2998" s="9" t="str" cm="1">
        <f t="array" ref="E2998">IFERROR(_xlfn.XLOOKUP(D2998,Locales!$A:$A,Locales!$B:$B,""),"")</f>
        <v/>
      </c>
      <c r="F2998" s="9" cm="1">
        <f t="array" ref="F2998">IFERROR(_xlfn.XLOOKUP(B2998,Personal!$A:$A,Personal!$F:$F,""),"")</f>
        <v>0</v>
      </c>
      <c r="I2998" s="10" cm="1">
        <f t="array" ref="I2998">IFERROR(INDEX(Precios!$D:$F,MATCH(N2998, Precios!$G:$G, 0),CHOOSE(MATCH(H2998, {"SML";"XL";"XXL"}, 0), 1, 2, 3)), 0)</f>
        <v>0</v>
      </c>
      <c r="K2998" s="10">
        <f t="shared" si="100"/>
        <v>0</v>
      </c>
      <c r="N2998" s="9" t="str">
        <f t="shared" si="101"/>
        <v/>
      </c>
      <c r="O2998" s="9" t="str">
        <f>IF(N2998="","",IF(COUNTIF(Precios!$G:$G,N2998)=0,"⚠ No coincide con Precios","OK"))</f>
        <v/>
      </c>
    </row>
    <row r="2999" spans="3:15" x14ac:dyDescent="0.2">
      <c r="C2999" s="9" cm="1">
        <f t="array" ref="C2999">IFERROR(_xlfn.XLOOKUP(B2999,Personal!$A:$A,Personal!$D:$D,""),"")</f>
        <v>0</v>
      </c>
      <c r="D2999" s="9" cm="1">
        <f t="array" ref="D2999">IFERROR(_xlfn.XLOOKUP(B2999,Personal!$A:$A,Personal!$C:$C,""),"")</f>
        <v>0</v>
      </c>
      <c r="E2999" s="9" t="str" cm="1">
        <f t="array" ref="E2999">IFERROR(_xlfn.XLOOKUP(D2999,Locales!$A:$A,Locales!$B:$B,""),"")</f>
        <v/>
      </c>
      <c r="F2999" s="9" cm="1">
        <f t="array" ref="F2999">IFERROR(_xlfn.XLOOKUP(B2999,Personal!$A:$A,Personal!$F:$F,""),"")</f>
        <v>0</v>
      </c>
      <c r="I2999" s="10" cm="1">
        <f t="array" ref="I2999">IFERROR(INDEX(Precios!$D:$F,MATCH(N2999, Precios!$G:$G, 0),CHOOSE(MATCH(H2999, {"SML";"XL";"XXL"}, 0), 1, 2, 3)), 0)</f>
        <v>0</v>
      </c>
      <c r="K2999" s="10">
        <f t="shared" si="100"/>
        <v>0</v>
      </c>
      <c r="N2999" s="9" t="str">
        <f t="shared" si="101"/>
        <v/>
      </c>
      <c r="O2999" s="9" t="str">
        <f>IF(N2999="","",IF(COUNTIF(Precios!$G:$G,N2999)=0,"⚠ No coincide con Precios","OK"))</f>
        <v/>
      </c>
    </row>
    <row r="3000" spans="3:15" x14ac:dyDescent="0.2">
      <c r="C3000" s="9" cm="1">
        <f t="array" ref="C3000">IFERROR(_xlfn.XLOOKUP(B3000,Personal!$A:$A,Personal!$D:$D,""),"")</f>
        <v>0</v>
      </c>
      <c r="D3000" s="9" cm="1">
        <f t="array" ref="D3000">IFERROR(_xlfn.XLOOKUP(B3000,Personal!$A:$A,Personal!$C:$C,""),"")</f>
        <v>0</v>
      </c>
      <c r="E3000" s="9" t="str" cm="1">
        <f t="array" ref="E3000">IFERROR(_xlfn.XLOOKUP(D3000,Locales!$A:$A,Locales!$B:$B,""),"")</f>
        <v/>
      </c>
      <c r="F3000" s="9" cm="1">
        <f t="array" ref="F3000">IFERROR(_xlfn.XLOOKUP(B3000,Personal!$A:$A,Personal!$F:$F,""),"")</f>
        <v>0</v>
      </c>
      <c r="I3000" s="10" cm="1">
        <f t="array" ref="I3000">IFERROR(INDEX(Precios!$D:$F,MATCH(N3000, Precios!$G:$G, 0),CHOOSE(MATCH(H3000, {"SML";"XL";"XXL"}, 0), 1, 2, 3)), 0)</f>
        <v>0</v>
      </c>
      <c r="K3000" s="10">
        <f t="shared" si="100"/>
        <v>0</v>
      </c>
      <c r="N3000" s="9" t="str">
        <f t="shared" si="101"/>
        <v/>
      </c>
      <c r="O3000" s="9" t="str">
        <f>IF(N3000="","",IF(COUNTIF(Precios!$G:$G,N3000)=0,"⚠ No coincide con Precios","OK"))</f>
        <v/>
      </c>
    </row>
    <row r="3001" spans="3:15" x14ac:dyDescent="0.2">
      <c r="C3001" s="9" cm="1">
        <f t="array" ref="C3001">IFERROR(_xlfn.XLOOKUP(B3001,Personal!$A:$A,Personal!$D:$D,""),"")</f>
        <v>0</v>
      </c>
      <c r="D3001" s="9" cm="1">
        <f t="array" ref="D3001">IFERROR(_xlfn.XLOOKUP(B3001,Personal!$A:$A,Personal!$C:$C,""),"")</f>
        <v>0</v>
      </c>
      <c r="E3001" s="9" t="str" cm="1">
        <f t="array" ref="E3001">IFERROR(_xlfn.XLOOKUP(D3001,Locales!$A:$A,Locales!$B:$B,""),"")</f>
        <v/>
      </c>
      <c r="F3001" s="9" cm="1">
        <f t="array" ref="F3001">IFERROR(_xlfn.XLOOKUP(B3001,Personal!$A:$A,Personal!$F:$F,""),"")</f>
        <v>0</v>
      </c>
      <c r="I3001" s="10" cm="1">
        <f t="array" ref="I3001">IFERROR(INDEX(Precios!$D:$F,MATCH(N3001, Precios!$G:$G, 0),CHOOSE(MATCH(H3001, {"SML";"XL";"XXL"}, 0), 1, 2, 3)), 0)</f>
        <v>0</v>
      </c>
      <c r="K3001" s="10">
        <f t="shared" si="100"/>
        <v>0</v>
      </c>
      <c r="N3001" s="9" t="str">
        <f t="shared" si="101"/>
        <v/>
      </c>
      <c r="O3001" s="9" t="str">
        <f>IF(N3001="","",IF(COUNTIF(Precios!$G:$G,N3001)=0,"⚠ No coincide con Precios","OK"))</f>
        <v/>
      </c>
    </row>
    <row r="3002" spans="3:15" x14ac:dyDescent="0.2">
      <c r="C3002" s="9" cm="1">
        <f t="array" ref="C3002">IFERROR(_xlfn.XLOOKUP(B3002,Personal!$A:$A,Personal!$D:$D,""),"")</f>
        <v>0</v>
      </c>
      <c r="D3002" s="9" cm="1">
        <f t="array" ref="D3002">IFERROR(_xlfn.XLOOKUP(B3002,Personal!$A:$A,Personal!$C:$C,""),"")</f>
        <v>0</v>
      </c>
      <c r="E3002" s="9" t="str" cm="1">
        <f t="array" ref="E3002">IFERROR(_xlfn.XLOOKUP(D3002,Locales!$A:$A,Locales!$B:$B,""),"")</f>
        <v/>
      </c>
      <c r="F3002" s="9" cm="1">
        <f t="array" ref="F3002">IFERROR(_xlfn.XLOOKUP(B3002,Personal!$A:$A,Personal!$F:$F,""),"")</f>
        <v>0</v>
      </c>
      <c r="I3002" s="10" cm="1">
        <f t="array" ref="I3002">IFERROR(INDEX(Precios!$D:$F,MATCH(N3002, Precios!$G:$G, 0),CHOOSE(MATCH(H3002, {"SML";"XL";"XXL"}, 0), 1, 2, 3)), 0)</f>
        <v>0</v>
      </c>
      <c r="K3002" s="10">
        <f t="shared" si="100"/>
        <v>0</v>
      </c>
      <c r="N3002" s="9" t="str">
        <f t="shared" si="101"/>
        <v/>
      </c>
      <c r="O3002" s="9" t="str">
        <f>IF(N3002="","",IF(COUNTIF(Precios!$G:$G,N3002)=0,"⚠ No coincide con Precios","OK"))</f>
        <v/>
      </c>
    </row>
    <row r="3003" spans="3:15" x14ac:dyDescent="0.2">
      <c r="C3003" s="9" cm="1">
        <f t="array" ref="C3003">IFERROR(_xlfn.XLOOKUP(B3003,Personal!$A:$A,Personal!$D:$D,""),"")</f>
        <v>0</v>
      </c>
      <c r="D3003" s="9" cm="1">
        <f t="array" ref="D3003">IFERROR(_xlfn.XLOOKUP(B3003,Personal!$A:$A,Personal!$C:$C,""),"")</f>
        <v>0</v>
      </c>
      <c r="E3003" s="9" t="str" cm="1">
        <f t="array" ref="E3003">IFERROR(_xlfn.XLOOKUP(D3003,Locales!$A:$A,Locales!$B:$B,""),"")</f>
        <v/>
      </c>
      <c r="F3003" s="9" cm="1">
        <f t="array" ref="F3003">IFERROR(_xlfn.XLOOKUP(B3003,Personal!$A:$A,Personal!$F:$F,""),"")</f>
        <v>0</v>
      </c>
      <c r="I3003" s="10" cm="1">
        <f t="array" ref="I3003">IFERROR(INDEX(Precios!$D:$F,MATCH(N3003, Precios!$G:$G, 0),CHOOSE(MATCH(H3003, {"SML";"XL";"XXL"}, 0), 1, 2, 3)), 0)</f>
        <v>0</v>
      </c>
      <c r="K3003" s="10">
        <f t="shared" si="100"/>
        <v>0</v>
      </c>
      <c r="N3003" s="9" t="str">
        <f t="shared" si="101"/>
        <v/>
      </c>
      <c r="O3003" s="9" t="str">
        <f>IF(N3003="","",IF(COUNTIF(Precios!$G:$G,N3003)=0,"⚠ No coincide con Precios","OK"))</f>
        <v/>
      </c>
    </row>
    <row r="3004" spans="3:15" x14ac:dyDescent="0.2">
      <c r="C3004" s="9" cm="1">
        <f t="array" ref="C3004">IFERROR(_xlfn.XLOOKUP(B3004,Personal!$A:$A,Personal!$D:$D,""),"")</f>
        <v>0</v>
      </c>
      <c r="D3004" s="9" cm="1">
        <f t="array" ref="D3004">IFERROR(_xlfn.XLOOKUP(B3004,Personal!$A:$A,Personal!$C:$C,""),"")</f>
        <v>0</v>
      </c>
      <c r="E3004" s="9" t="str" cm="1">
        <f t="array" ref="E3004">IFERROR(_xlfn.XLOOKUP(D3004,Locales!$A:$A,Locales!$B:$B,""),"")</f>
        <v/>
      </c>
      <c r="F3004" s="9" cm="1">
        <f t="array" ref="F3004">IFERROR(_xlfn.XLOOKUP(B3004,Personal!$A:$A,Personal!$F:$F,""),"")</f>
        <v>0</v>
      </c>
      <c r="I3004" s="10" cm="1">
        <f t="array" ref="I3004">IFERROR(INDEX(Precios!$D:$F,MATCH(N3004, Precios!$G:$G, 0),CHOOSE(MATCH(H3004, {"SML";"XL";"XXL"}, 0), 1, 2, 3)), 0)</f>
        <v>0</v>
      </c>
      <c r="K3004" s="10">
        <f t="shared" si="100"/>
        <v>0</v>
      </c>
      <c r="N3004" s="9" t="str">
        <f t="shared" si="101"/>
        <v/>
      </c>
      <c r="O3004" s="9" t="str">
        <f>IF(N3004="","",IF(COUNTIF(Precios!$G:$G,N3004)=0,"⚠ No coincide con Precios","OK"))</f>
        <v/>
      </c>
    </row>
    <row r="3005" spans="3:15" x14ac:dyDescent="0.2">
      <c r="C3005" s="9" cm="1">
        <f t="array" ref="C3005">IFERROR(_xlfn.XLOOKUP(B3005,Personal!$A:$A,Personal!$D:$D,""),"")</f>
        <v>0</v>
      </c>
      <c r="D3005" s="9" cm="1">
        <f t="array" ref="D3005">IFERROR(_xlfn.XLOOKUP(B3005,Personal!$A:$A,Personal!$C:$C,""),"")</f>
        <v>0</v>
      </c>
      <c r="E3005" s="9" t="str" cm="1">
        <f t="array" ref="E3005">IFERROR(_xlfn.XLOOKUP(D3005,Locales!$A:$A,Locales!$B:$B,""),"")</f>
        <v/>
      </c>
      <c r="F3005" s="9" cm="1">
        <f t="array" ref="F3005">IFERROR(_xlfn.XLOOKUP(B3005,Personal!$A:$A,Personal!$F:$F,""),"")</f>
        <v>0</v>
      </c>
      <c r="I3005" s="10" cm="1">
        <f t="array" ref="I3005">IFERROR(INDEX(Precios!$D:$F,MATCH(N3005, Precios!$G:$G, 0),CHOOSE(MATCH(H3005, {"SML";"XL";"XXL"}, 0), 1, 2, 3)), 0)</f>
        <v>0</v>
      </c>
      <c r="K3005" s="10">
        <f t="shared" si="100"/>
        <v>0</v>
      </c>
      <c r="N3005" s="9" t="str">
        <f t="shared" si="101"/>
        <v/>
      </c>
      <c r="O3005" s="9" t="str">
        <f>IF(N3005="","",IF(COUNTIF(Precios!$G:$G,N3005)=0,"⚠ No coincide con Precios","OK"))</f>
        <v/>
      </c>
    </row>
    <row r="3006" spans="3:15" x14ac:dyDescent="0.2">
      <c r="C3006" s="9" cm="1">
        <f t="array" ref="C3006">IFERROR(_xlfn.XLOOKUP(B3006,Personal!$A:$A,Personal!$D:$D,""),"")</f>
        <v>0</v>
      </c>
      <c r="D3006" s="9" cm="1">
        <f t="array" ref="D3006">IFERROR(_xlfn.XLOOKUP(B3006,Personal!$A:$A,Personal!$C:$C,""),"")</f>
        <v>0</v>
      </c>
      <c r="E3006" s="9" t="str" cm="1">
        <f t="array" ref="E3006">IFERROR(_xlfn.XLOOKUP(D3006,Locales!$A:$A,Locales!$B:$B,""),"")</f>
        <v/>
      </c>
      <c r="F3006" s="9" cm="1">
        <f t="array" ref="F3006">IFERROR(_xlfn.XLOOKUP(B3006,Personal!$A:$A,Personal!$F:$F,""),"")</f>
        <v>0</v>
      </c>
      <c r="I3006" s="10" cm="1">
        <f t="array" ref="I3006">IFERROR(INDEX(Precios!$D:$F,MATCH(N3006, Precios!$G:$G, 0),CHOOSE(MATCH(H3006, {"SML";"XL";"XXL"}, 0), 1, 2, 3)), 0)</f>
        <v>0</v>
      </c>
      <c r="K3006" s="10">
        <f t="shared" si="100"/>
        <v>0</v>
      </c>
      <c r="N3006" s="9" t="str">
        <f t="shared" si="101"/>
        <v/>
      </c>
      <c r="O3006" s="9" t="str">
        <f>IF(N3006="","",IF(COUNTIF(Precios!$G:$G,N3006)=0,"⚠ No coincide con Precios","OK"))</f>
        <v/>
      </c>
    </row>
    <row r="3007" spans="3:15" x14ac:dyDescent="0.2">
      <c r="C3007" s="9" cm="1">
        <f t="array" ref="C3007">IFERROR(_xlfn.XLOOKUP(B3007,Personal!$A:$A,Personal!$D:$D,""),"")</f>
        <v>0</v>
      </c>
      <c r="D3007" s="9" cm="1">
        <f t="array" ref="D3007">IFERROR(_xlfn.XLOOKUP(B3007,Personal!$A:$A,Personal!$C:$C,""),"")</f>
        <v>0</v>
      </c>
      <c r="E3007" s="9" t="str" cm="1">
        <f t="array" ref="E3007">IFERROR(_xlfn.XLOOKUP(D3007,Locales!$A:$A,Locales!$B:$B,""),"")</f>
        <v/>
      </c>
      <c r="F3007" s="9" cm="1">
        <f t="array" ref="F3007">IFERROR(_xlfn.XLOOKUP(B3007,Personal!$A:$A,Personal!$F:$F,""),"")</f>
        <v>0</v>
      </c>
      <c r="I3007" s="10" cm="1">
        <f t="array" ref="I3007">IFERROR(INDEX(Precios!$D:$F,MATCH(N3007, Precios!$G:$G, 0),CHOOSE(MATCH(H3007, {"SML";"XL";"XXL"}, 0), 1, 2, 3)), 0)</f>
        <v>0</v>
      </c>
      <c r="K3007" s="10">
        <f t="shared" si="100"/>
        <v>0</v>
      </c>
      <c r="N3007" s="9" t="str">
        <f t="shared" si="101"/>
        <v/>
      </c>
      <c r="O3007" s="9" t="str">
        <f>IF(N3007="","",IF(COUNTIF(Precios!$G:$G,N3007)=0,"⚠ No coincide con Precios","OK"))</f>
        <v/>
      </c>
    </row>
    <row r="3008" spans="3:15" x14ac:dyDescent="0.2">
      <c r="C3008" s="9" cm="1">
        <f t="array" ref="C3008">IFERROR(_xlfn.XLOOKUP(B3008,Personal!$A:$A,Personal!$D:$D,""),"")</f>
        <v>0</v>
      </c>
      <c r="D3008" s="9" cm="1">
        <f t="array" ref="D3008">IFERROR(_xlfn.XLOOKUP(B3008,Personal!$A:$A,Personal!$C:$C,""),"")</f>
        <v>0</v>
      </c>
      <c r="E3008" s="9" t="str" cm="1">
        <f t="array" ref="E3008">IFERROR(_xlfn.XLOOKUP(D3008,Locales!$A:$A,Locales!$B:$B,""),"")</f>
        <v/>
      </c>
      <c r="F3008" s="9" cm="1">
        <f t="array" ref="F3008">IFERROR(_xlfn.XLOOKUP(B3008,Personal!$A:$A,Personal!$F:$F,""),"")</f>
        <v>0</v>
      </c>
      <c r="I3008" s="10" cm="1">
        <f t="array" ref="I3008">IFERROR(INDEX(Precios!$D:$F,MATCH(N3008, Precios!$G:$G, 0),CHOOSE(MATCH(H3008, {"SML";"XL";"XXL"}, 0), 1, 2, 3)), 0)</f>
        <v>0</v>
      </c>
      <c r="K3008" s="10">
        <f t="shared" ref="K3008:K3071" si="102">IFERROR(I3008*J3008,0)</f>
        <v>0</v>
      </c>
      <c r="N3008" s="9" t="str">
        <f t="shared" ref="N3008:N3071" si="103">IF( OR(E3008="",F3008="",G3008=""), "",CLEAN(TRIM(E3008)) &amp; "|" &amp; CLEAN(TRIM(F3008)) &amp; "|" &amp; CLEAN(TRIM(G3008)))</f>
        <v/>
      </c>
      <c r="O3008" s="9" t="str">
        <f>IF(N3008="","",IF(COUNTIF(Precios!$G:$G,N3008)=0,"⚠ No coincide con Precios","OK"))</f>
        <v/>
      </c>
    </row>
    <row r="3009" spans="3:15" x14ac:dyDescent="0.2">
      <c r="C3009" s="9" cm="1">
        <f t="array" ref="C3009">IFERROR(_xlfn.XLOOKUP(B3009,Personal!$A:$A,Personal!$D:$D,""),"")</f>
        <v>0</v>
      </c>
      <c r="D3009" s="9" cm="1">
        <f t="array" ref="D3009">IFERROR(_xlfn.XLOOKUP(B3009,Personal!$A:$A,Personal!$C:$C,""),"")</f>
        <v>0</v>
      </c>
      <c r="E3009" s="9" t="str" cm="1">
        <f t="array" ref="E3009">IFERROR(_xlfn.XLOOKUP(D3009,Locales!$A:$A,Locales!$B:$B,""),"")</f>
        <v/>
      </c>
      <c r="F3009" s="9" cm="1">
        <f t="array" ref="F3009">IFERROR(_xlfn.XLOOKUP(B3009,Personal!$A:$A,Personal!$F:$F,""),"")</f>
        <v>0</v>
      </c>
      <c r="I3009" s="10" cm="1">
        <f t="array" ref="I3009">IFERROR(INDEX(Precios!$D:$F,MATCH(N3009, Precios!$G:$G, 0),CHOOSE(MATCH(H3009, {"SML";"XL";"XXL"}, 0), 1, 2, 3)), 0)</f>
        <v>0</v>
      </c>
      <c r="K3009" s="10">
        <f t="shared" si="102"/>
        <v>0</v>
      </c>
      <c r="N3009" s="9" t="str">
        <f t="shared" si="103"/>
        <v/>
      </c>
      <c r="O3009" s="9" t="str">
        <f>IF(N3009="","",IF(COUNTIF(Precios!$G:$G,N3009)=0,"⚠ No coincide con Precios","OK"))</f>
        <v/>
      </c>
    </row>
    <row r="3010" spans="3:15" x14ac:dyDescent="0.2">
      <c r="C3010" s="9" cm="1">
        <f t="array" ref="C3010">IFERROR(_xlfn.XLOOKUP(B3010,Personal!$A:$A,Personal!$D:$D,""),"")</f>
        <v>0</v>
      </c>
      <c r="D3010" s="9" cm="1">
        <f t="array" ref="D3010">IFERROR(_xlfn.XLOOKUP(B3010,Personal!$A:$A,Personal!$C:$C,""),"")</f>
        <v>0</v>
      </c>
      <c r="E3010" s="9" t="str" cm="1">
        <f t="array" ref="E3010">IFERROR(_xlfn.XLOOKUP(D3010,Locales!$A:$A,Locales!$B:$B,""),"")</f>
        <v/>
      </c>
      <c r="F3010" s="9" cm="1">
        <f t="array" ref="F3010">IFERROR(_xlfn.XLOOKUP(B3010,Personal!$A:$A,Personal!$F:$F,""),"")</f>
        <v>0</v>
      </c>
      <c r="I3010" s="10" cm="1">
        <f t="array" ref="I3010">IFERROR(INDEX(Precios!$D:$F,MATCH(N3010, Precios!$G:$G, 0),CHOOSE(MATCH(H3010, {"SML";"XL";"XXL"}, 0), 1, 2, 3)), 0)</f>
        <v>0</v>
      </c>
      <c r="K3010" s="10">
        <f t="shared" si="102"/>
        <v>0</v>
      </c>
      <c r="N3010" s="9" t="str">
        <f t="shared" si="103"/>
        <v/>
      </c>
      <c r="O3010" s="9" t="str">
        <f>IF(N3010="","",IF(COUNTIF(Precios!$G:$G,N3010)=0,"⚠ No coincide con Precios","OK"))</f>
        <v/>
      </c>
    </row>
    <row r="3011" spans="3:15" x14ac:dyDescent="0.2">
      <c r="C3011" s="9" cm="1">
        <f t="array" ref="C3011">IFERROR(_xlfn.XLOOKUP(B3011,Personal!$A:$A,Personal!$D:$D,""),"")</f>
        <v>0</v>
      </c>
      <c r="D3011" s="9" cm="1">
        <f t="array" ref="D3011">IFERROR(_xlfn.XLOOKUP(B3011,Personal!$A:$A,Personal!$C:$C,""),"")</f>
        <v>0</v>
      </c>
      <c r="E3011" s="9" t="str" cm="1">
        <f t="array" ref="E3011">IFERROR(_xlfn.XLOOKUP(D3011,Locales!$A:$A,Locales!$B:$B,""),"")</f>
        <v/>
      </c>
      <c r="F3011" s="9" cm="1">
        <f t="array" ref="F3011">IFERROR(_xlfn.XLOOKUP(B3011,Personal!$A:$A,Personal!$F:$F,""),"")</f>
        <v>0</v>
      </c>
      <c r="I3011" s="10" cm="1">
        <f t="array" ref="I3011">IFERROR(INDEX(Precios!$D:$F,MATCH(N3011, Precios!$G:$G, 0),CHOOSE(MATCH(H3011, {"SML";"XL";"XXL"}, 0), 1, 2, 3)), 0)</f>
        <v>0</v>
      </c>
      <c r="K3011" s="10">
        <f t="shared" si="102"/>
        <v>0</v>
      </c>
      <c r="N3011" s="9" t="str">
        <f t="shared" si="103"/>
        <v/>
      </c>
      <c r="O3011" s="9" t="str">
        <f>IF(N3011="","",IF(COUNTIF(Precios!$G:$G,N3011)=0,"⚠ No coincide con Precios","OK"))</f>
        <v/>
      </c>
    </row>
    <row r="3012" spans="3:15" x14ac:dyDescent="0.2">
      <c r="C3012" s="9" cm="1">
        <f t="array" ref="C3012">IFERROR(_xlfn.XLOOKUP(B3012,Personal!$A:$A,Personal!$D:$D,""),"")</f>
        <v>0</v>
      </c>
      <c r="D3012" s="9" cm="1">
        <f t="array" ref="D3012">IFERROR(_xlfn.XLOOKUP(B3012,Personal!$A:$A,Personal!$C:$C,""),"")</f>
        <v>0</v>
      </c>
      <c r="E3012" s="9" t="str" cm="1">
        <f t="array" ref="E3012">IFERROR(_xlfn.XLOOKUP(D3012,Locales!$A:$A,Locales!$B:$B,""),"")</f>
        <v/>
      </c>
      <c r="F3012" s="9" cm="1">
        <f t="array" ref="F3012">IFERROR(_xlfn.XLOOKUP(B3012,Personal!$A:$A,Personal!$F:$F,""),"")</f>
        <v>0</v>
      </c>
      <c r="I3012" s="10" cm="1">
        <f t="array" ref="I3012">IFERROR(INDEX(Precios!$D:$F,MATCH(N3012, Precios!$G:$G, 0),CHOOSE(MATCH(H3012, {"SML";"XL";"XXL"}, 0), 1, 2, 3)), 0)</f>
        <v>0</v>
      </c>
      <c r="K3012" s="10">
        <f t="shared" si="102"/>
        <v>0</v>
      </c>
      <c r="N3012" s="9" t="str">
        <f t="shared" si="103"/>
        <v/>
      </c>
      <c r="O3012" s="9" t="str">
        <f>IF(N3012="","",IF(COUNTIF(Precios!$G:$G,N3012)=0,"⚠ No coincide con Precios","OK"))</f>
        <v/>
      </c>
    </row>
    <row r="3013" spans="3:15" x14ac:dyDescent="0.2">
      <c r="C3013" s="9" cm="1">
        <f t="array" ref="C3013">IFERROR(_xlfn.XLOOKUP(B3013,Personal!$A:$A,Personal!$D:$D,""),"")</f>
        <v>0</v>
      </c>
      <c r="D3013" s="9" cm="1">
        <f t="array" ref="D3013">IFERROR(_xlfn.XLOOKUP(B3013,Personal!$A:$A,Personal!$C:$C,""),"")</f>
        <v>0</v>
      </c>
      <c r="E3013" s="9" t="str" cm="1">
        <f t="array" ref="E3013">IFERROR(_xlfn.XLOOKUP(D3013,Locales!$A:$A,Locales!$B:$B,""),"")</f>
        <v/>
      </c>
      <c r="F3013" s="9" cm="1">
        <f t="array" ref="F3013">IFERROR(_xlfn.XLOOKUP(B3013,Personal!$A:$A,Personal!$F:$F,""),"")</f>
        <v>0</v>
      </c>
      <c r="I3013" s="10" cm="1">
        <f t="array" ref="I3013">IFERROR(INDEX(Precios!$D:$F,MATCH(N3013, Precios!$G:$G, 0),CHOOSE(MATCH(H3013, {"SML";"XL";"XXL"}, 0), 1, 2, 3)), 0)</f>
        <v>0</v>
      </c>
      <c r="K3013" s="10">
        <f t="shared" si="102"/>
        <v>0</v>
      </c>
      <c r="N3013" s="9" t="str">
        <f t="shared" si="103"/>
        <v/>
      </c>
      <c r="O3013" s="9" t="str">
        <f>IF(N3013="","",IF(COUNTIF(Precios!$G:$G,N3013)=0,"⚠ No coincide con Precios","OK"))</f>
        <v/>
      </c>
    </row>
    <row r="3014" spans="3:15" x14ac:dyDescent="0.2">
      <c r="C3014" s="9" cm="1">
        <f t="array" ref="C3014">IFERROR(_xlfn.XLOOKUP(B3014,Personal!$A:$A,Personal!$D:$D,""),"")</f>
        <v>0</v>
      </c>
      <c r="D3014" s="9" cm="1">
        <f t="array" ref="D3014">IFERROR(_xlfn.XLOOKUP(B3014,Personal!$A:$A,Personal!$C:$C,""),"")</f>
        <v>0</v>
      </c>
      <c r="E3014" s="9" t="str" cm="1">
        <f t="array" ref="E3014">IFERROR(_xlfn.XLOOKUP(D3014,Locales!$A:$A,Locales!$B:$B,""),"")</f>
        <v/>
      </c>
      <c r="F3014" s="9" cm="1">
        <f t="array" ref="F3014">IFERROR(_xlfn.XLOOKUP(B3014,Personal!$A:$A,Personal!$F:$F,""),"")</f>
        <v>0</v>
      </c>
      <c r="I3014" s="10" cm="1">
        <f t="array" ref="I3014">IFERROR(INDEX(Precios!$D:$F,MATCH(N3014, Precios!$G:$G, 0),CHOOSE(MATCH(H3014, {"SML";"XL";"XXL"}, 0), 1, 2, 3)), 0)</f>
        <v>0</v>
      </c>
      <c r="K3014" s="10">
        <f t="shared" si="102"/>
        <v>0</v>
      </c>
      <c r="N3014" s="9" t="str">
        <f t="shared" si="103"/>
        <v/>
      </c>
      <c r="O3014" s="9" t="str">
        <f>IF(N3014="","",IF(COUNTIF(Precios!$G:$G,N3014)=0,"⚠ No coincide con Precios","OK"))</f>
        <v/>
      </c>
    </row>
    <row r="3015" spans="3:15" x14ac:dyDescent="0.2">
      <c r="C3015" s="9" cm="1">
        <f t="array" ref="C3015">IFERROR(_xlfn.XLOOKUP(B3015,Personal!$A:$A,Personal!$D:$D,""),"")</f>
        <v>0</v>
      </c>
      <c r="D3015" s="9" cm="1">
        <f t="array" ref="D3015">IFERROR(_xlfn.XLOOKUP(B3015,Personal!$A:$A,Personal!$C:$C,""),"")</f>
        <v>0</v>
      </c>
      <c r="E3015" s="9" t="str" cm="1">
        <f t="array" ref="E3015">IFERROR(_xlfn.XLOOKUP(D3015,Locales!$A:$A,Locales!$B:$B,""),"")</f>
        <v/>
      </c>
      <c r="F3015" s="9" cm="1">
        <f t="array" ref="F3015">IFERROR(_xlfn.XLOOKUP(B3015,Personal!$A:$A,Personal!$F:$F,""),"")</f>
        <v>0</v>
      </c>
      <c r="I3015" s="10" cm="1">
        <f t="array" ref="I3015">IFERROR(INDEX(Precios!$D:$F,MATCH(N3015, Precios!$G:$G, 0),CHOOSE(MATCH(H3015, {"SML";"XL";"XXL"}, 0), 1, 2, 3)), 0)</f>
        <v>0</v>
      </c>
      <c r="K3015" s="10">
        <f t="shared" si="102"/>
        <v>0</v>
      </c>
      <c r="N3015" s="9" t="str">
        <f t="shared" si="103"/>
        <v/>
      </c>
      <c r="O3015" s="9" t="str">
        <f>IF(N3015="","",IF(COUNTIF(Precios!$G:$G,N3015)=0,"⚠ No coincide con Precios","OK"))</f>
        <v/>
      </c>
    </row>
    <row r="3016" spans="3:15" x14ac:dyDescent="0.2">
      <c r="C3016" s="9" cm="1">
        <f t="array" ref="C3016">IFERROR(_xlfn.XLOOKUP(B3016,Personal!$A:$A,Personal!$D:$D,""),"")</f>
        <v>0</v>
      </c>
      <c r="D3016" s="9" cm="1">
        <f t="array" ref="D3016">IFERROR(_xlfn.XLOOKUP(B3016,Personal!$A:$A,Personal!$C:$C,""),"")</f>
        <v>0</v>
      </c>
      <c r="E3016" s="9" t="str" cm="1">
        <f t="array" ref="E3016">IFERROR(_xlfn.XLOOKUP(D3016,Locales!$A:$A,Locales!$B:$B,""),"")</f>
        <v/>
      </c>
      <c r="F3016" s="9" cm="1">
        <f t="array" ref="F3016">IFERROR(_xlfn.XLOOKUP(B3016,Personal!$A:$A,Personal!$F:$F,""),"")</f>
        <v>0</v>
      </c>
      <c r="I3016" s="10" cm="1">
        <f t="array" ref="I3016">IFERROR(INDEX(Precios!$D:$F,MATCH(N3016, Precios!$G:$G, 0),CHOOSE(MATCH(H3016, {"SML";"XL";"XXL"}, 0), 1, 2, 3)), 0)</f>
        <v>0</v>
      </c>
      <c r="K3016" s="10">
        <f t="shared" si="102"/>
        <v>0</v>
      </c>
      <c r="N3016" s="9" t="str">
        <f t="shared" si="103"/>
        <v/>
      </c>
      <c r="O3016" s="9" t="str">
        <f>IF(N3016="","",IF(COUNTIF(Precios!$G:$G,N3016)=0,"⚠ No coincide con Precios","OK"))</f>
        <v/>
      </c>
    </row>
    <row r="3017" spans="3:15" x14ac:dyDescent="0.2">
      <c r="C3017" s="9" cm="1">
        <f t="array" ref="C3017">IFERROR(_xlfn.XLOOKUP(B3017,Personal!$A:$A,Personal!$D:$D,""),"")</f>
        <v>0</v>
      </c>
      <c r="D3017" s="9" cm="1">
        <f t="array" ref="D3017">IFERROR(_xlfn.XLOOKUP(B3017,Personal!$A:$A,Personal!$C:$C,""),"")</f>
        <v>0</v>
      </c>
      <c r="E3017" s="9" t="str" cm="1">
        <f t="array" ref="E3017">IFERROR(_xlfn.XLOOKUP(D3017,Locales!$A:$A,Locales!$B:$B,""),"")</f>
        <v/>
      </c>
      <c r="F3017" s="9" cm="1">
        <f t="array" ref="F3017">IFERROR(_xlfn.XLOOKUP(B3017,Personal!$A:$A,Personal!$F:$F,""),"")</f>
        <v>0</v>
      </c>
      <c r="I3017" s="10" cm="1">
        <f t="array" ref="I3017">IFERROR(INDEX(Precios!$D:$F,MATCH(N3017, Precios!$G:$G, 0),CHOOSE(MATCH(H3017, {"SML";"XL";"XXL"}, 0), 1, 2, 3)), 0)</f>
        <v>0</v>
      </c>
      <c r="K3017" s="10">
        <f t="shared" si="102"/>
        <v>0</v>
      </c>
      <c r="N3017" s="9" t="str">
        <f t="shared" si="103"/>
        <v/>
      </c>
      <c r="O3017" s="9" t="str">
        <f>IF(N3017="","",IF(COUNTIF(Precios!$G:$G,N3017)=0,"⚠ No coincide con Precios","OK"))</f>
        <v/>
      </c>
    </row>
    <row r="3018" spans="3:15" x14ac:dyDescent="0.2">
      <c r="C3018" s="9" cm="1">
        <f t="array" ref="C3018">IFERROR(_xlfn.XLOOKUP(B3018,Personal!$A:$A,Personal!$D:$D,""),"")</f>
        <v>0</v>
      </c>
      <c r="D3018" s="9" cm="1">
        <f t="array" ref="D3018">IFERROR(_xlfn.XLOOKUP(B3018,Personal!$A:$A,Personal!$C:$C,""),"")</f>
        <v>0</v>
      </c>
      <c r="E3018" s="9" t="str" cm="1">
        <f t="array" ref="E3018">IFERROR(_xlfn.XLOOKUP(D3018,Locales!$A:$A,Locales!$B:$B,""),"")</f>
        <v/>
      </c>
      <c r="F3018" s="9" cm="1">
        <f t="array" ref="F3018">IFERROR(_xlfn.XLOOKUP(B3018,Personal!$A:$A,Personal!$F:$F,""),"")</f>
        <v>0</v>
      </c>
      <c r="I3018" s="10" cm="1">
        <f t="array" ref="I3018">IFERROR(INDEX(Precios!$D:$F,MATCH(N3018, Precios!$G:$G, 0),CHOOSE(MATCH(H3018, {"SML";"XL";"XXL"}, 0), 1, 2, 3)), 0)</f>
        <v>0</v>
      </c>
      <c r="K3018" s="10">
        <f t="shared" si="102"/>
        <v>0</v>
      </c>
      <c r="N3018" s="9" t="str">
        <f t="shared" si="103"/>
        <v/>
      </c>
      <c r="O3018" s="9" t="str">
        <f>IF(N3018="","",IF(COUNTIF(Precios!$G:$G,N3018)=0,"⚠ No coincide con Precios","OK"))</f>
        <v/>
      </c>
    </row>
    <row r="3019" spans="3:15" x14ac:dyDescent="0.2">
      <c r="C3019" s="9" cm="1">
        <f t="array" ref="C3019">IFERROR(_xlfn.XLOOKUP(B3019,Personal!$A:$A,Personal!$D:$D,""),"")</f>
        <v>0</v>
      </c>
      <c r="D3019" s="9" cm="1">
        <f t="array" ref="D3019">IFERROR(_xlfn.XLOOKUP(B3019,Personal!$A:$A,Personal!$C:$C,""),"")</f>
        <v>0</v>
      </c>
      <c r="E3019" s="9" t="str" cm="1">
        <f t="array" ref="E3019">IFERROR(_xlfn.XLOOKUP(D3019,Locales!$A:$A,Locales!$B:$B,""),"")</f>
        <v/>
      </c>
      <c r="F3019" s="9" cm="1">
        <f t="array" ref="F3019">IFERROR(_xlfn.XLOOKUP(B3019,Personal!$A:$A,Personal!$F:$F,""),"")</f>
        <v>0</v>
      </c>
      <c r="I3019" s="10" cm="1">
        <f t="array" ref="I3019">IFERROR(INDEX(Precios!$D:$F,MATCH(N3019, Precios!$G:$G, 0),CHOOSE(MATCH(H3019, {"SML";"XL";"XXL"}, 0), 1, 2, 3)), 0)</f>
        <v>0</v>
      </c>
      <c r="K3019" s="10">
        <f t="shared" si="102"/>
        <v>0</v>
      </c>
      <c r="N3019" s="9" t="str">
        <f t="shared" si="103"/>
        <v/>
      </c>
      <c r="O3019" s="9" t="str">
        <f>IF(N3019="","",IF(COUNTIF(Precios!$G:$G,N3019)=0,"⚠ No coincide con Precios","OK"))</f>
        <v/>
      </c>
    </row>
    <row r="3020" spans="3:15" x14ac:dyDescent="0.2">
      <c r="C3020" s="9" cm="1">
        <f t="array" ref="C3020">IFERROR(_xlfn.XLOOKUP(B3020,Personal!$A:$A,Personal!$D:$D,""),"")</f>
        <v>0</v>
      </c>
      <c r="D3020" s="9" cm="1">
        <f t="array" ref="D3020">IFERROR(_xlfn.XLOOKUP(B3020,Personal!$A:$A,Personal!$C:$C,""),"")</f>
        <v>0</v>
      </c>
      <c r="E3020" s="9" t="str" cm="1">
        <f t="array" ref="E3020">IFERROR(_xlfn.XLOOKUP(D3020,Locales!$A:$A,Locales!$B:$B,""),"")</f>
        <v/>
      </c>
      <c r="F3020" s="9" cm="1">
        <f t="array" ref="F3020">IFERROR(_xlfn.XLOOKUP(B3020,Personal!$A:$A,Personal!$F:$F,""),"")</f>
        <v>0</v>
      </c>
      <c r="I3020" s="10" cm="1">
        <f t="array" ref="I3020">IFERROR(INDEX(Precios!$D:$F,MATCH(N3020, Precios!$G:$G, 0),CHOOSE(MATCH(H3020, {"SML";"XL";"XXL"}, 0), 1, 2, 3)), 0)</f>
        <v>0</v>
      </c>
      <c r="K3020" s="10">
        <f t="shared" si="102"/>
        <v>0</v>
      </c>
      <c r="N3020" s="9" t="str">
        <f t="shared" si="103"/>
        <v/>
      </c>
      <c r="O3020" s="9" t="str">
        <f>IF(N3020="","",IF(COUNTIF(Precios!$G:$G,N3020)=0,"⚠ No coincide con Precios","OK"))</f>
        <v/>
      </c>
    </row>
    <row r="3021" spans="3:15" x14ac:dyDescent="0.2">
      <c r="C3021" s="9" cm="1">
        <f t="array" ref="C3021">IFERROR(_xlfn.XLOOKUP(B3021,Personal!$A:$A,Personal!$D:$D,""),"")</f>
        <v>0</v>
      </c>
      <c r="D3021" s="9" cm="1">
        <f t="array" ref="D3021">IFERROR(_xlfn.XLOOKUP(B3021,Personal!$A:$A,Personal!$C:$C,""),"")</f>
        <v>0</v>
      </c>
      <c r="E3021" s="9" t="str" cm="1">
        <f t="array" ref="E3021">IFERROR(_xlfn.XLOOKUP(D3021,Locales!$A:$A,Locales!$B:$B,""),"")</f>
        <v/>
      </c>
      <c r="F3021" s="9" cm="1">
        <f t="array" ref="F3021">IFERROR(_xlfn.XLOOKUP(B3021,Personal!$A:$A,Personal!$F:$F,""),"")</f>
        <v>0</v>
      </c>
      <c r="I3021" s="10" cm="1">
        <f t="array" ref="I3021">IFERROR(INDEX(Precios!$D:$F,MATCH(N3021, Precios!$G:$G, 0),CHOOSE(MATCH(H3021, {"SML";"XL";"XXL"}, 0), 1, 2, 3)), 0)</f>
        <v>0</v>
      </c>
      <c r="K3021" s="10">
        <f t="shared" si="102"/>
        <v>0</v>
      </c>
      <c r="N3021" s="9" t="str">
        <f t="shared" si="103"/>
        <v/>
      </c>
      <c r="O3021" s="9" t="str">
        <f>IF(N3021="","",IF(COUNTIF(Precios!$G:$G,N3021)=0,"⚠ No coincide con Precios","OK"))</f>
        <v/>
      </c>
    </row>
    <row r="3022" spans="3:15" x14ac:dyDescent="0.2">
      <c r="C3022" s="9" cm="1">
        <f t="array" ref="C3022">IFERROR(_xlfn.XLOOKUP(B3022,Personal!$A:$A,Personal!$D:$D,""),"")</f>
        <v>0</v>
      </c>
      <c r="D3022" s="9" cm="1">
        <f t="array" ref="D3022">IFERROR(_xlfn.XLOOKUP(B3022,Personal!$A:$A,Personal!$C:$C,""),"")</f>
        <v>0</v>
      </c>
      <c r="E3022" s="9" t="str" cm="1">
        <f t="array" ref="E3022">IFERROR(_xlfn.XLOOKUP(D3022,Locales!$A:$A,Locales!$B:$B,""),"")</f>
        <v/>
      </c>
      <c r="F3022" s="9" cm="1">
        <f t="array" ref="F3022">IFERROR(_xlfn.XLOOKUP(B3022,Personal!$A:$A,Personal!$F:$F,""),"")</f>
        <v>0</v>
      </c>
      <c r="I3022" s="10" cm="1">
        <f t="array" ref="I3022">IFERROR(INDEX(Precios!$D:$F,MATCH(N3022, Precios!$G:$G, 0),CHOOSE(MATCH(H3022, {"SML";"XL";"XXL"}, 0), 1, 2, 3)), 0)</f>
        <v>0</v>
      </c>
      <c r="K3022" s="10">
        <f t="shared" si="102"/>
        <v>0</v>
      </c>
      <c r="N3022" s="9" t="str">
        <f t="shared" si="103"/>
        <v/>
      </c>
      <c r="O3022" s="9" t="str">
        <f>IF(N3022="","",IF(COUNTIF(Precios!$G:$G,N3022)=0,"⚠ No coincide con Precios","OK"))</f>
        <v/>
      </c>
    </row>
    <row r="3023" spans="3:15" x14ac:dyDescent="0.2">
      <c r="C3023" s="9" cm="1">
        <f t="array" ref="C3023">IFERROR(_xlfn.XLOOKUP(B3023,Personal!$A:$A,Personal!$D:$D,""),"")</f>
        <v>0</v>
      </c>
      <c r="D3023" s="9" cm="1">
        <f t="array" ref="D3023">IFERROR(_xlfn.XLOOKUP(B3023,Personal!$A:$A,Personal!$C:$C,""),"")</f>
        <v>0</v>
      </c>
      <c r="E3023" s="9" t="str" cm="1">
        <f t="array" ref="E3023">IFERROR(_xlfn.XLOOKUP(D3023,Locales!$A:$A,Locales!$B:$B,""),"")</f>
        <v/>
      </c>
      <c r="F3023" s="9" cm="1">
        <f t="array" ref="F3023">IFERROR(_xlfn.XLOOKUP(B3023,Personal!$A:$A,Personal!$F:$F,""),"")</f>
        <v>0</v>
      </c>
      <c r="I3023" s="10" cm="1">
        <f t="array" ref="I3023">IFERROR(INDEX(Precios!$D:$F,MATCH(N3023, Precios!$G:$G, 0),CHOOSE(MATCH(H3023, {"SML";"XL";"XXL"}, 0), 1, 2, 3)), 0)</f>
        <v>0</v>
      </c>
      <c r="K3023" s="10">
        <f t="shared" si="102"/>
        <v>0</v>
      </c>
      <c r="N3023" s="9" t="str">
        <f t="shared" si="103"/>
        <v/>
      </c>
      <c r="O3023" s="9" t="str">
        <f>IF(N3023="","",IF(COUNTIF(Precios!$G:$G,N3023)=0,"⚠ No coincide con Precios","OK"))</f>
        <v/>
      </c>
    </row>
    <row r="3024" spans="3:15" x14ac:dyDescent="0.2">
      <c r="C3024" s="9" cm="1">
        <f t="array" ref="C3024">IFERROR(_xlfn.XLOOKUP(B3024,Personal!$A:$A,Personal!$D:$D,""),"")</f>
        <v>0</v>
      </c>
      <c r="D3024" s="9" cm="1">
        <f t="array" ref="D3024">IFERROR(_xlfn.XLOOKUP(B3024,Personal!$A:$A,Personal!$C:$C,""),"")</f>
        <v>0</v>
      </c>
      <c r="E3024" s="9" t="str" cm="1">
        <f t="array" ref="E3024">IFERROR(_xlfn.XLOOKUP(D3024,Locales!$A:$A,Locales!$B:$B,""),"")</f>
        <v/>
      </c>
      <c r="F3024" s="9" cm="1">
        <f t="array" ref="F3024">IFERROR(_xlfn.XLOOKUP(B3024,Personal!$A:$A,Personal!$F:$F,""),"")</f>
        <v>0</v>
      </c>
      <c r="I3024" s="10" cm="1">
        <f t="array" ref="I3024">IFERROR(INDEX(Precios!$D:$F,MATCH(N3024, Precios!$G:$G, 0),CHOOSE(MATCH(H3024, {"SML";"XL";"XXL"}, 0), 1, 2, 3)), 0)</f>
        <v>0</v>
      </c>
      <c r="K3024" s="10">
        <f t="shared" si="102"/>
        <v>0</v>
      </c>
      <c r="N3024" s="9" t="str">
        <f t="shared" si="103"/>
        <v/>
      </c>
      <c r="O3024" s="9" t="str">
        <f>IF(N3024="","",IF(COUNTIF(Precios!$G:$G,N3024)=0,"⚠ No coincide con Precios","OK"))</f>
        <v/>
      </c>
    </row>
    <row r="3025" spans="3:15" x14ac:dyDescent="0.2">
      <c r="C3025" s="9" cm="1">
        <f t="array" ref="C3025">IFERROR(_xlfn.XLOOKUP(B3025,Personal!$A:$A,Personal!$D:$D,""),"")</f>
        <v>0</v>
      </c>
      <c r="D3025" s="9" cm="1">
        <f t="array" ref="D3025">IFERROR(_xlfn.XLOOKUP(B3025,Personal!$A:$A,Personal!$C:$C,""),"")</f>
        <v>0</v>
      </c>
      <c r="E3025" s="9" t="str" cm="1">
        <f t="array" ref="E3025">IFERROR(_xlfn.XLOOKUP(D3025,Locales!$A:$A,Locales!$B:$B,""),"")</f>
        <v/>
      </c>
      <c r="F3025" s="9" cm="1">
        <f t="array" ref="F3025">IFERROR(_xlfn.XLOOKUP(B3025,Personal!$A:$A,Personal!$F:$F,""),"")</f>
        <v>0</v>
      </c>
      <c r="I3025" s="10" cm="1">
        <f t="array" ref="I3025">IFERROR(INDEX(Precios!$D:$F,MATCH(N3025, Precios!$G:$G, 0),CHOOSE(MATCH(H3025, {"SML";"XL";"XXL"}, 0), 1, 2, 3)), 0)</f>
        <v>0</v>
      </c>
      <c r="K3025" s="10">
        <f t="shared" si="102"/>
        <v>0</v>
      </c>
      <c r="N3025" s="9" t="str">
        <f t="shared" si="103"/>
        <v/>
      </c>
      <c r="O3025" s="9" t="str">
        <f>IF(N3025="","",IF(COUNTIF(Precios!$G:$G,N3025)=0,"⚠ No coincide con Precios","OK"))</f>
        <v/>
      </c>
    </row>
    <row r="3026" spans="3:15" x14ac:dyDescent="0.2">
      <c r="C3026" s="9" cm="1">
        <f t="array" ref="C3026">IFERROR(_xlfn.XLOOKUP(B3026,Personal!$A:$A,Personal!$D:$D,""),"")</f>
        <v>0</v>
      </c>
      <c r="D3026" s="9" cm="1">
        <f t="array" ref="D3026">IFERROR(_xlfn.XLOOKUP(B3026,Personal!$A:$A,Personal!$C:$C,""),"")</f>
        <v>0</v>
      </c>
      <c r="E3026" s="9" t="str" cm="1">
        <f t="array" ref="E3026">IFERROR(_xlfn.XLOOKUP(D3026,Locales!$A:$A,Locales!$B:$B,""),"")</f>
        <v/>
      </c>
      <c r="F3026" s="9" cm="1">
        <f t="array" ref="F3026">IFERROR(_xlfn.XLOOKUP(B3026,Personal!$A:$A,Personal!$F:$F,""),"")</f>
        <v>0</v>
      </c>
      <c r="I3026" s="10" cm="1">
        <f t="array" ref="I3026">IFERROR(INDEX(Precios!$D:$F,MATCH(N3026, Precios!$G:$G, 0),CHOOSE(MATCH(H3026, {"SML";"XL";"XXL"}, 0), 1, 2, 3)), 0)</f>
        <v>0</v>
      </c>
      <c r="K3026" s="10">
        <f t="shared" si="102"/>
        <v>0</v>
      </c>
      <c r="N3026" s="9" t="str">
        <f t="shared" si="103"/>
        <v/>
      </c>
      <c r="O3026" s="9" t="str">
        <f>IF(N3026="","",IF(COUNTIF(Precios!$G:$G,N3026)=0,"⚠ No coincide con Precios","OK"))</f>
        <v/>
      </c>
    </row>
    <row r="3027" spans="3:15" x14ac:dyDescent="0.2">
      <c r="C3027" s="9" cm="1">
        <f t="array" ref="C3027">IFERROR(_xlfn.XLOOKUP(B3027,Personal!$A:$A,Personal!$D:$D,""),"")</f>
        <v>0</v>
      </c>
      <c r="D3027" s="9" cm="1">
        <f t="array" ref="D3027">IFERROR(_xlfn.XLOOKUP(B3027,Personal!$A:$A,Personal!$C:$C,""),"")</f>
        <v>0</v>
      </c>
      <c r="E3027" s="9" t="str" cm="1">
        <f t="array" ref="E3027">IFERROR(_xlfn.XLOOKUP(D3027,Locales!$A:$A,Locales!$B:$B,""),"")</f>
        <v/>
      </c>
      <c r="F3027" s="9" cm="1">
        <f t="array" ref="F3027">IFERROR(_xlfn.XLOOKUP(B3027,Personal!$A:$A,Personal!$F:$F,""),"")</f>
        <v>0</v>
      </c>
      <c r="I3027" s="10" cm="1">
        <f t="array" ref="I3027">IFERROR(INDEX(Precios!$D:$F,MATCH(N3027, Precios!$G:$G, 0),CHOOSE(MATCH(H3027, {"SML";"XL";"XXL"}, 0), 1, 2, 3)), 0)</f>
        <v>0</v>
      </c>
      <c r="K3027" s="10">
        <f t="shared" si="102"/>
        <v>0</v>
      </c>
      <c r="N3027" s="9" t="str">
        <f t="shared" si="103"/>
        <v/>
      </c>
      <c r="O3027" s="9" t="str">
        <f>IF(N3027="","",IF(COUNTIF(Precios!$G:$G,N3027)=0,"⚠ No coincide con Precios","OK"))</f>
        <v/>
      </c>
    </row>
    <row r="3028" spans="3:15" x14ac:dyDescent="0.2">
      <c r="C3028" s="9" cm="1">
        <f t="array" ref="C3028">IFERROR(_xlfn.XLOOKUP(B3028,Personal!$A:$A,Personal!$D:$D,""),"")</f>
        <v>0</v>
      </c>
      <c r="D3028" s="9" cm="1">
        <f t="array" ref="D3028">IFERROR(_xlfn.XLOOKUP(B3028,Personal!$A:$A,Personal!$C:$C,""),"")</f>
        <v>0</v>
      </c>
      <c r="E3028" s="9" t="str" cm="1">
        <f t="array" ref="E3028">IFERROR(_xlfn.XLOOKUP(D3028,Locales!$A:$A,Locales!$B:$B,""),"")</f>
        <v/>
      </c>
      <c r="F3028" s="9" cm="1">
        <f t="array" ref="F3028">IFERROR(_xlfn.XLOOKUP(B3028,Personal!$A:$A,Personal!$F:$F,""),"")</f>
        <v>0</v>
      </c>
      <c r="I3028" s="10" cm="1">
        <f t="array" ref="I3028">IFERROR(INDEX(Precios!$D:$F,MATCH(N3028, Precios!$G:$G, 0),CHOOSE(MATCH(H3028, {"SML";"XL";"XXL"}, 0), 1, 2, 3)), 0)</f>
        <v>0</v>
      </c>
      <c r="K3028" s="10">
        <f t="shared" si="102"/>
        <v>0</v>
      </c>
      <c r="N3028" s="9" t="str">
        <f t="shared" si="103"/>
        <v/>
      </c>
      <c r="O3028" s="9" t="str">
        <f>IF(N3028="","",IF(COUNTIF(Precios!$G:$G,N3028)=0,"⚠ No coincide con Precios","OK"))</f>
        <v/>
      </c>
    </row>
    <row r="3029" spans="3:15" x14ac:dyDescent="0.2">
      <c r="C3029" s="9" cm="1">
        <f t="array" ref="C3029">IFERROR(_xlfn.XLOOKUP(B3029,Personal!$A:$A,Personal!$D:$D,""),"")</f>
        <v>0</v>
      </c>
      <c r="D3029" s="9" cm="1">
        <f t="array" ref="D3029">IFERROR(_xlfn.XLOOKUP(B3029,Personal!$A:$A,Personal!$C:$C,""),"")</f>
        <v>0</v>
      </c>
      <c r="E3029" s="9" t="str" cm="1">
        <f t="array" ref="E3029">IFERROR(_xlfn.XLOOKUP(D3029,Locales!$A:$A,Locales!$B:$B,""),"")</f>
        <v/>
      </c>
      <c r="F3029" s="9" cm="1">
        <f t="array" ref="F3029">IFERROR(_xlfn.XLOOKUP(B3029,Personal!$A:$A,Personal!$F:$F,""),"")</f>
        <v>0</v>
      </c>
      <c r="I3029" s="10" cm="1">
        <f t="array" ref="I3029">IFERROR(INDEX(Precios!$D:$F,MATCH(N3029, Precios!$G:$G, 0),CHOOSE(MATCH(H3029, {"SML";"XL";"XXL"}, 0), 1, 2, 3)), 0)</f>
        <v>0</v>
      </c>
      <c r="K3029" s="10">
        <f t="shared" si="102"/>
        <v>0</v>
      </c>
      <c r="N3029" s="9" t="str">
        <f t="shared" si="103"/>
        <v/>
      </c>
      <c r="O3029" s="9" t="str">
        <f>IF(N3029="","",IF(COUNTIF(Precios!$G:$G,N3029)=0,"⚠ No coincide con Precios","OK"))</f>
        <v/>
      </c>
    </row>
    <row r="3030" spans="3:15" x14ac:dyDescent="0.2">
      <c r="C3030" s="9" cm="1">
        <f t="array" ref="C3030">IFERROR(_xlfn.XLOOKUP(B3030,Personal!$A:$A,Personal!$D:$D,""),"")</f>
        <v>0</v>
      </c>
      <c r="D3030" s="9" cm="1">
        <f t="array" ref="D3030">IFERROR(_xlfn.XLOOKUP(B3030,Personal!$A:$A,Personal!$C:$C,""),"")</f>
        <v>0</v>
      </c>
      <c r="E3030" s="9" t="str" cm="1">
        <f t="array" ref="E3030">IFERROR(_xlfn.XLOOKUP(D3030,Locales!$A:$A,Locales!$B:$B,""),"")</f>
        <v/>
      </c>
      <c r="F3030" s="9" cm="1">
        <f t="array" ref="F3030">IFERROR(_xlfn.XLOOKUP(B3030,Personal!$A:$A,Personal!$F:$F,""),"")</f>
        <v>0</v>
      </c>
      <c r="I3030" s="10" cm="1">
        <f t="array" ref="I3030">IFERROR(INDEX(Precios!$D:$F,MATCH(N3030, Precios!$G:$G, 0),CHOOSE(MATCH(H3030, {"SML";"XL";"XXL"}, 0), 1, 2, 3)), 0)</f>
        <v>0</v>
      </c>
      <c r="K3030" s="10">
        <f t="shared" si="102"/>
        <v>0</v>
      </c>
      <c r="N3030" s="9" t="str">
        <f t="shared" si="103"/>
        <v/>
      </c>
      <c r="O3030" s="9" t="str">
        <f>IF(N3030="","",IF(COUNTIF(Precios!$G:$G,N3030)=0,"⚠ No coincide con Precios","OK"))</f>
        <v/>
      </c>
    </row>
    <row r="3031" spans="3:15" x14ac:dyDescent="0.2">
      <c r="C3031" s="9" cm="1">
        <f t="array" ref="C3031">IFERROR(_xlfn.XLOOKUP(B3031,Personal!$A:$A,Personal!$D:$D,""),"")</f>
        <v>0</v>
      </c>
      <c r="D3031" s="9" cm="1">
        <f t="array" ref="D3031">IFERROR(_xlfn.XLOOKUP(B3031,Personal!$A:$A,Personal!$C:$C,""),"")</f>
        <v>0</v>
      </c>
      <c r="E3031" s="9" t="str" cm="1">
        <f t="array" ref="E3031">IFERROR(_xlfn.XLOOKUP(D3031,Locales!$A:$A,Locales!$B:$B,""),"")</f>
        <v/>
      </c>
      <c r="F3031" s="9" cm="1">
        <f t="array" ref="F3031">IFERROR(_xlfn.XLOOKUP(B3031,Personal!$A:$A,Personal!$F:$F,""),"")</f>
        <v>0</v>
      </c>
      <c r="I3031" s="10" cm="1">
        <f t="array" ref="I3031">IFERROR(INDEX(Precios!$D:$F,MATCH(N3031, Precios!$G:$G, 0),CHOOSE(MATCH(H3031, {"SML";"XL";"XXL"}, 0), 1, 2, 3)), 0)</f>
        <v>0</v>
      </c>
      <c r="K3031" s="10">
        <f t="shared" si="102"/>
        <v>0</v>
      </c>
      <c r="N3031" s="9" t="str">
        <f t="shared" si="103"/>
        <v/>
      </c>
      <c r="O3031" s="9" t="str">
        <f>IF(N3031="","",IF(COUNTIF(Precios!$G:$G,N3031)=0,"⚠ No coincide con Precios","OK"))</f>
        <v/>
      </c>
    </row>
    <row r="3032" spans="3:15" x14ac:dyDescent="0.2">
      <c r="C3032" s="9" cm="1">
        <f t="array" ref="C3032">IFERROR(_xlfn.XLOOKUP(B3032,Personal!$A:$A,Personal!$D:$D,""),"")</f>
        <v>0</v>
      </c>
      <c r="D3032" s="9" cm="1">
        <f t="array" ref="D3032">IFERROR(_xlfn.XLOOKUP(B3032,Personal!$A:$A,Personal!$C:$C,""),"")</f>
        <v>0</v>
      </c>
      <c r="E3032" s="9" t="str" cm="1">
        <f t="array" ref="E3032">IFERROR(_xlfn.XLOOKUP(D3032,Locales!$A:$A,Locales!$B:$B,""),"")</f>
        <v/>
      </c>
      <c r="F3032" s="9" cm="1">
        <f t="array" ref="F3032">IFERROR(_xlfn.XLOOKUP(B3032,Personal!$A:$A,Personal!$F:$F,""),"")</f>
        <v>0</v>
      </c>
      <c r="I3032" s="10" cm="1">
        <f t="array" ref="I3032">IFERROR(INDEX(Precios!$D:$F,MATCH(N3032, Precios!$G:$G, 0),CHOOSE(MATCH(H3032, {"SML";"XL";"XXL"}, 0), 1, 2, 3)), 0)</f>
        <v>0</v>
      </c>
      <c r="K3032" s="10">
        <f t="shared" si="102"/>
        <v>0</v>
      </c>
      <c r="N3032" s="9" t="str">
        <f t="shared" si="103"/>
        <v/>
      </c>
      <c r="O3032" s="9" t="str">
        <f>IF(N3032="","",IF(COUNTIF(Precios!$G:$G,N3032)=0,"⚠ No coincide con Precios","OK"))</f>
        <v/>
      </c>
    </row>
    <row r="3033" spans="3:15" x14ac:dyDescent="0.2">
      <c r="C3033" s="9" cm="1">
        <f t="array" ref="C3033">IFERROR(_xlfn.XLOOKUP(B3033,Personal!$A:$A,Personal!$D:$D,""),"")</f>
        <v>0</v>
      </c>
      <c r="D3033" s="9" cm="1">
        <f t="array" ref="D3033">IFERROR(_xlfn.XLOOKUP(B3033,Personal!$A:$A,Personal!$C:$C,""),"")</f>
        <v>0</v>
      </c>
      <c r="E3033" s="9" t="str" cm="1">
        <f t="array" ref="E3033">IFERROR(_xlfn.XLOOKUP(D3033,Locales!$A:$A,Locales!$B:$B,""),"")</f>
        <v/>
      </c>
      <c r="F3033" s="9" cm="1">
        <f t="array" ref="F3033">IFERROR(_xlfn.XLOOKUP(B3033,Personal!$A:$A,Personal!$F:$F,""),"")</f>
        <v>0</v>
      </c>
      <c r="I3033" s="10" cm="1">
        <f t="array" ref="I3033">IFERROR(INDEX(Precios!$D:$F,MATCH(N3033, Precios!$G:$G, 0),CHOOSE(MATCH(H3033, {"SML";"XL";"XXL"}, 0), 1, 2, 3)), 0)</f>
        <v>0</v>
      </c>
      <c r="K3033" s="10">
        <f t="shared" si="102"/>
        <v>0</v>
      </c>
      <c r="N3033" s="9" t="str">
        <f t="shared" si="103"/>
        <v/>
      </c>
      <c r="O3033" s="9" t="str">
        <f>IF(N3033="","",IF(COUNTIF(Precios!$G:$G,N3033)=0,"⚠ No coincide con Precios","OK"))</f>
        <v/>
      </c>
    </row>
    <row r="3034" spans="3:15" x14ac:dyDescent="0.2">
      <c r="C3034" s="9" cm="1">
        <f t="array" ref="C3034">IFERROR(_xlfn.XLOOKUP(B3034,Personal!$A:$A,Personal!$D:$D,""),"")</f>
        <v>0</v>
      </c>
      <c r="D3034" s="9" cm="1">
        <f t="array" ref="D3034">IFERROR(_xlfn.XLOOKUP(B3034,Personal!$A:$A,Personal!$C:$C,""),"")</f>
        <v>0</v>
      </c>
      <c r="E3034" s="9" t="str" cm="1">
        <f t="array" ref="E3034">IFERROR(_xlfn.XLOOKUP(D3034,Locales!$A:$A,Locales!$B:$B,""),"")</f>
        <v/>
      </c>
      <c r="F3034" s="9" cm="1">
        <f t="array" ref="F3034">IFERROR(_xlfn.XLOOKUP(B3034,Personal!$A:$A,Personal!$F:$F,""),"")</f>
        <v>0</v>
      </c>
      <c r="I3034" s="10" cm="1">
        <f t="array" ref="I3034">IFERROR(INDEX(Precios!$D:$F,MATCH(N3034, Precios!$G:$G, 0),CHOOSE(MATCH(H3034, {"SML";"XL";"XXL"}, 0), 1, 2, 3)), 0)</f>
        <v>0</v>
      </c>
      <c r="K3034" s="10">
        <f t="shared" si="102"/>
        <v>0</v>
      </c>
      <c r="N3034" s="9" t="str">
        <f t="shared" si="103"/>
        <v/>
      </c>
      <c r="O3034" s="9" t="str">
        <f>IF(N3034="","",IF(COUNTIF(Precios!$G:$G,N3034)=0,"⚠ No coincide con Precios","OK"))</f>
        <v/>
      </c>
    </row>
    <row r="3035" spans="3:15" x14ac:dyDescent="0.2">
      <c r="C3035" s="9" cm="1">
        <f t="array" ref="C3035">IFERROR(_xlfn.XLOOKUP(B3035,Personal!$A:$A,Personal!$D:$D,""),"")</f>
        <v>0</v>
      </c>
      <c r="D3035" s="9" cm="1">
        <f t="array" ref="D3035">IFERROR(_xlfn.XLOOKUP(B3035,Personal!$A:$A,Personal!$C:$C,""),"")</f>
        <v>0</v>
      </c>
      <c r="E3035" s="9" t="str" cm="1">
        <f t="array" ref="E3035">IFERROR(_xlfn.XLOOKUP(D3035,Locales!$A:$A,Locales!$B:$B,""),"")</f>
        <v/>
      </c>
      <c r="F3035" s="9" cm="1">
        <f t="array" ref="F3035">IFERROR(_xlfn.XLOOKUP(B3035,Personal!$A:$A,Personal!$F:$F,""),"")</f>
        <v>0</v>
      </c>
      <c r="I3035" s="10" cm="1">
        <f t="array" ref="I3035">IFERROR(INDEX(Precios!$D:$F,MATCH(N3035, Precios!$G:$G, 0),CHOOSE(MATCH(H3035, {"SML";"XL";"XXL"}, 0), 1, 2, 3)), 0)</f>
        <v>0</v>
      </c>
      <c r="K3035" s="10">
        <f t="shared" si="102"/>
        <v>0</v>
      </c>
      <c r="N3035" s="9" t="str">
        <f t="shared" si="103"/>
        <v/>
      </c>
      <c r="O3035" s="9" t="str">
        <f>IF(N3035="","",IF(COUNTIF(Precios!$G:$G,N3035)=0,"⚠ No coincide con Precios","OK"))</f>
        <v/>
      </c>
    </row>
    <row r="3036" spans="3:15" x14ac:dyDescent="0.2">
      <c r="C3036" s="9" cm="1">
        <f t="array" ref="C3036">IFERROR(_xlfn.XLOOKUP(B3036,Personal!$A:$A,Personal!$D:$D,""),"")</f>
        <v>0</v>
      </c>
      <c r="D3036" s="9" cm="1">
        <f t="array" ref="D3036">IFERROR(_xlfn.XLOOKUP(B3036,Personal!$A:$A,Personal!$C:$C,""),"")</f>
        <v>0</v>
      </c>
      <c r="E3036" s="9" t="str" cm="1">
        <f t="array" ref="E3036">IFERROR(_xlfn.XLOOKUP(D3036,Locales!$A:$A,Locales!$B:$B,""),"")</f>
        <v/>
      </c>
      <c r="F3036" s="9" cm="1">
        <f t="array" ref="F3036">IFERROR(_xlfn.XLOOKUP(B3036,Personal!$A:$A,Personal!$F:$F,""),"")</f>
        <v>0</v>
      </c>
      <c r="I3036" s="10" cm="1">
        <f t="array" ref="I3036">IFERROR(INDEX(Precios!$D:$F,MATCH(N3036, Precios!$G:$G, 0),CHOOSE(MATCH(H3036, {"SML";"XL";"XXL"}, 0), 1, 2, 3)), 0)</f>
        <v>0</v>
      </c>
      <c r="K3036" s="10">
        <f t="shared" si="102"/>
        <v>0</v>
      </c>
      <c r="N3036" s="9" t="str">
        <f t="shared" si="103"/>
        <v/>
      </c>
      <c r="O3036" s="9" t="str">
        <f>IF(N3036="","",IF(COUNTIF(Precios!$G:$G,N3036)=0,"⚠ No coincide con Precios","OK"))</f>
        <v/>
      </c>
    </row>
    <row r="3037" spans="3:15" x14ac:dyDescent="0.2">
      <c r="C3037" s="9" cm="1">
        <f t="array" ref="C3037">IFERROR(_xlfn.XLOOKUP(B3037,Personal!$A:$A,Personal!$D:$D,""),"")</f>
        <v>0</v>
      </c>
      <c r="D3037" s="9" cm="1">
        <f t="array" ref="D3037">IFERROR(_xlfn.XLOOKUP(B3037,Personal!$A:$A,Personal!$C:$C,""),"")</f>
        <v>0</v>
      </c>
      <c r="E3037" s="9" t="str" cm="1">
        <f t="array" ref="E3037">IFERROR(_xlfn.XLOOKUP(D3037,Locales!$A:$A,Locales!$B:$B,""),"")</f>
        <v/>
      </c>
      <c r="F3037" s="9" cm="1">
        <f t="array" ref="F3037">IFERROR(_xlfn.XLOOKUP(B3037,Personal!$A:$A,Personal!$F:$F,""),"")</f>
        <v>0</v>
      </c>
      <c r="I3037" s="10" cm="1">
        <f t="array" ref="I3037">IFERROR(INDEX(Precios!$D:$F,MATCH(N3037, Precios!$G:$G, 0),CHOOSE(MATCH(H3037, {"SML";"XL";"XXL"}, 0), 1, 2, 3)), 0)</f>
        <v>0</v>
      </c>
      <c r="K3037" s="10">
        <f t="shared" si="102"/>
        <v>0</v>
      </c>
      <c r="N3037" s="9" t="str">
        <f t="shared" si="103"/>
        <v/>
      </c>
      <c r="O3037" s="9" t="str">
        <f>IF(N3037="","",IF(COUNTIF(Precios!$G:$G,N3037)=0,"⚠ No coincide con Precios","OK"))</f>
        <v/>
      </c>
    </row>
    <row r="3038" spans="3:15" x14ac:dyDescent="0.2">
      <c r="C3038" s="9" cm="1">
        <f t="array" ref="C3038">IFERROR(_xlfn.XLOOKUP(B3038,Personal!$A:$A,Personal!$D:$D,""),"")</f>
        <v>0</v>
      </c>
      <c r="D3038" s="9" cm="1">
        <f t="array" ref="D3038">IFERROR(_xlfn.XLOOKUP(B3038,Personal!$A:$A,Personal!$C:$C,""),"")</f>
        <v>0</v>
      </c>
      <c r="E3038" s="9" t="str" cm="1">
        <f t="array" ref="E3038">IFERROR(_xlfn.XLOOKUP(D3038,Locales!$A:$A,Locales!$B:$B,""),"")</f>
        <v/>
      </c>
      <c r="F3038" s="9" cm="1">
        <f t="array" ref="F3038">IFERROR(_xlfn.XLOOKUP(B3038,Personal!$A:$A,Personal!$F:$F,""),"")</f>
        <v>0</v>
      </c>
      <c r="I3038" s="10" cm="1">
        <f t="array" ref="I3038">IFERROR(INDEX(Precios!$D:$F,MATCH(N3038, Precios!$G:$G, 0),CHOOSE(MATCH(H3038, {"SML";"XL";"XXL"}, 0), 1, 2, 3)), 0)</f>
        <v>0</v>
      </c>
      <c r="K3038" s="10">
        <f t="shared" si="102"/>
        <v>0</v>
      </c>
      <c r="N3038" s="9" t="str">
        <f t="shared" si="103"/>
        <v/>
      </c>
      <c r="O3038" s="9" t="str">
        <f>IF(N3038="","",IF(COUNTIF(Precios!$G:$G,N3038)=0,"⚠ No coincide con Precios","OK"))</f>
        <v/>
      </c>
    </row>
    <row r="3039" spans="3:15" x14ac:dyDescent="0.2">
      <c r="C3039" s="9" cm="1">
        <f t="array" ref="C3039">IFERROR(_xlfn.XLOOKUP(B3039,Personal!$A:$A,Personal!$D:$D,""),"")</f>
        <v>0</v>
      </c>
      <c r="D3039" s="9" cm="1">
        <f t="array" ref="D3039">IFERROR(_xlfn.XLOOKUP(B3039,Personal!$A:$A,Personal!$C:$C,""),"")</f>
        <v>0</v>
      </c>
      <c r="E3039" s="9" t="str" cm="1">
        <f t="array" ref="E3039">IFERROR(_xlfn.XLOOKUP(D3039,Locales!$A:$A,Locales!$B:$B,""),"")</f>
        <v/>
      </c>
      <c r="F3039" s="9" cm="1">
        <f t="array" ref="F3039">IFERROR(_xlfn.XLOOKUP(B3039,Personal!$A:$A,Personal!$F:$F,""),"")</f>
        <v>0</v>
      </c>
      <c r="I3039" s="10" cm="1">
        <f t="array" ref="I3039">IFERROR(INDEX(Precios!$D:$F,MATCH(N3039, Precios!$G:$G, 0),CHOOSE(MATCH(H3039, {"SML";"XL";"XXL"}, 0), 1, 2, 3)), 0)</f>
        <v>0</v>
      </c>
      <c r="K3039" s="10">
        <f t="shared" si="102"/>
        <v>0</v>
      </c>
      <c r="N3039" s="9" t="str">
        <f t="shared" si="103"/>
        <v/>
      </c>
      <c r="O3039" s="9" t="str">
        <f>IF(N3039="","",IF(COUNTIF(Precios!$G:$G,N3039)=0,"⚠ No coincide con Precios","OK"))</f>
        <v/>
      </c>
    </row>
    <row r="3040" spans="3:15" x14ac:dyDescent="0.2">
      <c r="C3040" s="9" cm="1">
        <f t="array" ref="C3040">IFERROR(_xlfn.XLOOKUP(B3040,Personal!$A:$A,Personal!$D:$D,""),"")</f>
        <v>0</v>
      </c>
      <c r="D3040" s="9" cm="1">
        <f t="array" ref="D3040">IFERROR(_xlfn.XLOOKUP(B3040,Personal!$A:$A,Personal!$C:$C,""),"")</f>
        <v>0</v>
      </c>
      <c r="E3040" s="9" t="str" cm="1">
        <f t="array" ref="E3040">IFERROR(_xlfn.XLOOKUP(D3040,Locales!$A:$A,Locales!$B:$B,""),"")</f>
        <v/>
      </c>
      <c r="F3040" s="9" cm="1">
        <f t="array" ref="F3040">IFERROR(_xlfn.XLOOKUP(B3040,Personal!$A:$A,Personal!$F:$F,""),"")</f>
        <v>0</v>
      </c>
      <c r="I3040" s="10" cm="1">
        <f t="array" ref="I3040">IFERROR(INDEX(Precios!$D:$F,MATCH(N3040, Precios!$G:$G, 0),CHOOSE(MATCH(H3040, {"SML";"XL";"XXL"}, 0), 1, 2, 3)), 0)</f>
        <v>0</v>
      </c>
      <c r="K3040" s="10">
        <f t="shared" si="102"/>
        <v>0</v>
      </c>
      <c r="N3040" s="9" t="str">
        <f t="shared" si="103"/>
        <v/>
      </c>
      <c r="O3040" s="9" t="str">
        <f>IF(N3040="","",IF(COUNTIF(Precios!$G:$G,N3040)=0,"⚠ No coincide con Precios","OK"))</f>
        <v/>
      </c>
    </row>
    <row r="3041" spans="3:15" x14ac:dyDescent="0.2">
      <c r="C3041" s="9" cm="1">
        <f t="array" ref="C3041">IFERROR(_xlfn.XLOOKUP(B3041,Personal!$A:$A,Personal!$D:$D,""),"")</f>
        <v>0</v>
      </c>
      <c r="D3041" s="9" cm="1">
        <f t="array" ref="D3041">IFERROR(_xlfn.XLOOKUP(B3041,Personal!$A:$A,Personal!$C:$C,""),"")</f>
        <v>0</v>
      </c>
      <c r="E3041" s="9" t="str" cm="1">
        <f t="array" ref="E3041">IFERROR(_xlfn.XLOOKUP(D3041,Locales!$A:$A,Locales!$B:$B,""),"")</f>
        <v/>
      </c>
      <c r="F3041" s="9" cm="1">
        <f t="array" ref="F3041">IFERROR(_xlfn.XLOOKUP(B3041,Personal!$A:$A,Personal!$F:$F,""),"")</f>
        <v>0</v>
      </c>
      <c r="I3041" s="10" cm="1">
        <f t="array" ref="I3041">IFERROR(INDEX(Precios!$D:$F,MATCH(N3041, Precios!$G:$G, 0),CHOOSE(MATCH(H3041, {"SML";"XL";"XXL"}, 0), 1, 2, 3)), 0)</f>
        <v>0</v>
      </c>
      <c r="K3041" s="10">
        <f t="shared" si="102"/>
        <v>0</v>
      </c>
      <c r="N3041" s="9" t="str">
        <f t="shared" si="103"/>
        <v/>
      </c>
      <c r="O3041" s="9" t="str">
        <f>IF(N3041="","",IF(COUNTIF(Precios!$G:$G,N3041)=0,"⚠ No coincide con Precios","OK"))</f>
        <v/>
      </c>
    </row>
    <row r="3042" spans="3:15" x14ac:dyDescent="0.2">
      <c r="C3042" s="9" cm="1">
        <f t="array" ref="C3042">IFERROR(_xlfn.XLOOKUP(B3042,Personal!$A:$A,Personal!$D:$D,""),"")</f>
        <v>0</v>
      </c>
      <c r="D3042" s="9" cm="1">
        <f t="array" ref="D3042">IFERROR(_xlfn.XLOOKUP(B3042,Personal!$A:$A,Personal!$C:$C,""),"")</f>
        <v>0</v>
      </c>
      <c r="E3042" s="9" t="str" cm="1">
        <f t="array" ref="E3042">IFERROR(_xlfn.XLOOKUP(D3042,Locales!$A:$A,Locales!$B:$B,""),"")</f>
        <v/>
      </c>
      <c r="F3042" s="9" cm="1">
        <f t="array" ref="F3042">IFERROR(_xlfn.XLOOKUP(B3042,Personal!$A:$A,Personal!$F:$F,""),"")</f>
        <v>0</v>
      </c>
      <c r="I3042" s="10" cm="1">
        <f t="array" ref="I3042">IFERROR(INDEX(Precios!$D:$F,MATCH(N3042, Precios!$G:$G, 0),CHOOSE(MATCH(H3042, {"SML";"XL";"XXL"}, 0), 1, 2, 3)), 0)</f>
        <v>0</v>
      </c>
      <c r="K3042" s="10">
        <f t="shared" si="102"/>
        <v>0</v>
      </c>
      <c r="N3042" s="9" t="str">
        <f t="shared" si="103"/>
        <v/>
      </c>
      <c r="O3042" s="9" t="str">
        <f>IF(N3042="","",IF(COUNTIF(Precios!$G:$G,N3042)=0,"⚠ No coincide con Precios","OK"))</f>
        <v/>
      </c>
    </row>
    <row r="3043" spans="3:15" x14ac:dyDescent="0.2">
      <c r="C3043" s="9" cm="1">
        <f t="array" ref="C3043">IFERROR(_xlfn.XLOOKUP(B3043,Personal!$A:$A,Personal!$D:$D,""),"")</f>
        <v>0</v>
      </c>
      <c r="D3043" s="9" cm="1">
        <f t="array" ref="D3043">IFERROR(_xlfn.XLOOKUP(B3043,Personal!$A:$A,Personal!$C:$C,""),"")</f>
        <v>0</v>
      </c>
      <c r="E3043" s="9" t="str" cm="1">
        <f t="array" ref="E3043">IFERROR(_xlfn.XLOOKUP(D3043,Locales!$A:$A,Locales!$B:$B,""),"")</f>
        <v/>
      </c>
      <c r="F3043" s="9" cm="1">
        <f t="array" ref="F3043">IFERROR(_xlfn.XLOOKUP(B3043,Personal!$A:$A,Personal!$F:$F,""),"")</f>
        <v>0</v>
      </c>
      <c r="I3043" s="10" cm="1">
        <f t="array" ref="I3043">IFERROR(INDEX(Precios!$D:$F,MATCH(N3043, Precios!$G:$G, 0),CHOOSE(MATCH(H3043, {"SML";"XL";"XXL"}, 0), 1, 2, 3)), 0)</f>
        <v>0</v>
      </c>
      <c r="K3043" s="10">
        <f t="shared" si="102"/>
        <v>0</v>
      </c>
      <c r="N3043" s="9" t="str">
        <f t="shared" si="103"/>
        <v/>
      </c>
      <c r="O3043" s="9" t="str">
        <f>IF(N3043="","",IF(COUNTIF(Precios!$G:$G,N3043)=0,"⚠ No coincide con Precios","OK"))</f>
        <v/>
      </c>
    </row>
    <row r="3044" spans="3:15" x14ac:dyDescent="0.2">
      <c r="C3044" s="9" cm="1">
        <f t="array" ref="C3044">IFERROR(_xlfn.XLOOKUP(B3044,Personal!$A:$A,Personal!$D:$D,""),"")</f>
        <v>0</v>
      </c>
      <c r="D3044" s="9" cm="1">
        <f t="array" ref="D3044">IFERROR(_xlfn.XLOOKUP(B3044,Personal!$A:$A,Personal!$C:$C,""),"")</f>
        <v>0</v>
      </c>
      <c r="E3044" s="9" t="str" cm="1">
        <f t="array" ref="E3044">IFERROR(_xlfn.XLOOKUP(D3044,Locales!$A:$A,Locales!$B:$B,""),"")</f>
        <v/>
      </c>
      <c r="F3044" s="9" cm="1">
        <f t="array" ref="F3044">IFERROR(_xlfn.XLOOKUP(B3044,Personal!$A:$A,Personal!$F:$F,""),"")</f>
        <v>0</v>
      </c>
      <c r="I3044" s="10" cm="1">
        <f t="array" ref="I3044">IFERROR(INDEX(Precios!$D:$F,MATCH(N3044, Precios!$G:$G, 0),CHOOSE(MATCH(H3044, {"SML";"XL";"XXL"}, 0), 1, 2, 3)), 0)</f>
        <v>0</v>
      </c>
      <c r="K3044" s="10">
        <f t="shared" si="102"/>
        <v>0</v>
      </c>
      <c r="N3044" s="9" t="str">
        <f t="shared" si="103"/>
        <v/>
      </c>
      <c r="O3044" s="9" t="str">
        <f>IF(N3044="","",IF(COUNTIF(Precios!$G:$G,N3044)=0,"⚠ No coincide con Precios","OK"))</f>
        <v/>
      </c>
    </row>
    <row r="3045" spans="3:15" x14ac:dyDescent="0.2">
      <c r="C3045" s="9" cm="1">
        <f t="array" ref="C3045">IFERROR(_xlfn.XLOOKUP(B3045,Personal!$A:$A,Personal!$D:$D,""),"")</f>
        <v>0</v>
      </c>
      <c r="D3045" s="9" cm="1">
        <f t="array" ref="D3045">IFERROR(_xlfn.XLOOKUP(B3045,Personal!$A:$A,Personal!$C:$C,""),"")</f>
        <v>0</v>
      </c>
      <c r="E3045" s="9" t="str" cm="1">
        <f t="array" ref="E3045">IFERROR(_xlfn.XLOOKUP(D3045,Locales!$A:$A,Locales!$B:$B,""),"")</f>
        <v/>
      </c>
      <c r="F3045" s="9" cm="1">
        <f t="array" ref="F3045">IFERROR(_xlfn.XLOOKUP(B3045,Personal!$A:$A,Personal!$F:$F,""),"")</f>
        <v>0</v>
      </c>
      <c r="I3045" s="10" cm="1">
        <f t="array" ref="I3045">IFERROR(INDEX(Precios!$D:$F,MATCH(N3045, Precios!$G:$G, 0),CHOOSE(MATCH(H3045, {"SML";"XL";"XXL"}, 0), 1, 2, 3)), 0)</f>
        <v>0</v>
      </c>
      <c r="K3045" s="10">
        <f t="shared" si="102"/>
        <v>0</v>
      </c>
      <c r="N3045" s="9" t="str">
        <f t="shared" si="103"/>
        <v/>
      </c>
      <c r="O3045" s="9" t="str">
        <f>IF(N3045="","",IF(COUNTIF(Precios!$G:$G,N3045)=0,"⚠ No coincide con Precios","OK"))</f>
        <v/>
      </c>
    </row>
    <row r="3046" spans="3:15" x14ac:dyDescent="0.2">
      <c r="C3046" s="9" cm="1">
        <f t="array" ref="C3046">IFERROR(_xlfn.XLOOKUP(B3046,Personal!$A:$A,Personal!$D:$D,""),"")</f>
        <v>0</v>
      </c>
      <c r="D3046" s="9" cm="1">
        <f t="array" ref="D3046">IFERROR(_xlfn.XLOOKUP(B3046,Personal!$A:$A,Personal!$C:$C,""),"")</f>
        <v>0</v>
      </c>
      <c r="E3046" s="9" t="str" cm="1">
        <f t="array" ref="E3046">IFERROR(_xlfn.XLOOKUP(D3046,Locales!$A:$A,Locales!$B:$B,""),"")</f>
        <v/>
      </c>
      <c r="F3046" s="9" cm="1">
        <f t="array" ref="F3046">IFERROR(_xlfn.XLOOKUP(B3046,Personal!$A:$A,Personal!$F:$F,""),"")</f>
        <v>0</v>
      </c>
      <c r="I3046" s="10" cm="1">
        <f t="array" ref="I3046">IFERROR(INDEX(Precios!$D:$F,MATCH(N3046, Precios!$G:$G, 0),CHOOSE(MATCH(H3046, {"SML";"XL";"XXL"}, 0), 1, 2, 3)), 0)</f>
        <v>0</v>
      </c>
      <c r="K3046" s="10">
        <f t="shared" si="102"/>
        <v>0</v>
      </c>
      <c r="N3046" s="9" t="str">
        <f t="shared" si="103"/>
        <v/>
      </c>
      <c r="O3046" s="9" t="str">
        <f>IF(N3046="","",IF(COUNTIF(Precios!$G:$G,N3046)=0,"⚠ No coincide con Precios","OK"))</f>
        <v/>
      </c>
    </row>
    <row r="3047" spans="3:15" x14ac:dyDescent="0.2">
      <c r="C3047" s="9" cm="1">
        <f t="array" ref="C3047">IFERROR(_xlfn.XLOOKUP(B3047,Personal!$A:$A,Personal!$D:$D,""),"")</f>
        <v>0</v>
      </c>
      <c r="D3047" s="9" cm="1">
        <f t="array" ref="D3047">IFERROR(_xlfn.XLOOKUP(B3047,Personal!$A:$A,Personal!$C:$C,""),"")</f>
        <v>0</v>
      </c>
      <c r="E3047" s="9" t="str" cm="1">
        <f t="array" ref="E3047">IFERROR(_xlfn.XLOOKUP(D3047,Locales!$A:$A,Locales!$B:$B,""),"")</f>
        <v/>
      </c>
      <c r="F3047" s="9" cm="1">
        <f t="array" ref="F3047">IFERROR(_xlfn.XLOOKUP(B3047,Personal!$A:$A,Personal!$F:$F,""),"")</f>
        <v>0</v>
      </c>
      <c r="I3047" s="10" cm="1">
        <f t="array" ref="I3047">IFERROR(INDEX(Precios!$D:$F,MATCH(N3047, Precios!$G:$G, 0),CHOOSE(MATCH(H3047, {"SML";"XL";"XXL"}, 0), 1, 2, 3)), 0)</f>
        <v>0</v>
      </c>
      <c r="K3047" s="10">
        <f t="shared" si="102"/>
        <v>0</v>
      </c>
      <c r="N3047" s="9" t="str">
        <f t="shared" si="103"/>
        <v/>
      </c>
      <c r="O3047" s="9" t="str">
        <f>IF(N3047="","",IF(COUNTIF(Precios!$G:$G,N3047)=0,"⚠ No coincide con Precios","OK"))</f>
        <v/>
      </c>
    </row>
    <row r="3048" spans="3:15" x14ac:dyDescent="0.2">
      <c r="C3048" s="9" cm="1">
        <f t="array" ref="C3048">IFERROR(_xlfn.XLOOKUP(B3048,Personal!$A:$A,Personal!$D:$D,""),"")</f>
        <v>0</v>
      </c>
      <c r="D3048" s="9" cm="1">
        <f t="array" ref="D3048">IFERROR(_xlfn.XLOOKUP(B3048,Personal!$A:$A,Personal!$C:$C,""),"")</f>
        <v>0</v>
      </c>
      <c r="E3048" s="9" t="str" cm="1">
        <f t="array" ref="E3048">IFERROR(_xlfn.XLOOKUP(D3048,Locales!$A:$A,Locales!$B:$B,""),"")</f>
        <v/>
      </c>
      <c r="F3048" s="9" cm="1">
        <f t="array" ref="F3048">IFERROR(_xlfn.XLOOKUP(B3048,Personal!$A:$A,Personal!$F:$F,""),"")</f>
        <v>0</v>
      </c>
      <c r="I3048" s="10" cm="1">
        <f t="array" ref="I3048">IFERROR(INDEX(Precios!$D:$F,MATCH(N3048, Precios!$G:$G, 0),CHOOSE(MATCH(H3048, {"SML";"XL";"XXL"}, 0), 1, 2, 3)), 0)</f>
        <v>0</v>
      </c>
      <c r="K3048" s="10">
        <f t="shared" si="102"/>
        <v>0</v>
      </c>
      <c r="N3048" s="9" t="str">
        <f t="shared" si="103"/>
        <v/>
      </c>
      <c r="O3048" s="9" t="str">
        <f>IF(N3048="","",IF(COUNTIF(Precios!$G:$G,N3048)=0,"⚠ No coincide con Precios","OK"))</f>
        <v/>
      </c>
    </row>
    <row r="3049" spans="3:15" x14ac:dyDescent="0.2">
      <c r="C3049" s="9" cm="1">
        <f t="array" ref="C3049">IFERROR(_xlfn.XLOOKUP(B3049,Personal!$A:$A,Personal!$D:$D,""),"")</f>
        <v>0</v>
      </c>
      <c r="D3049" s="9" cm="1">
        <f t="array" ref="D3049">IFERROR(_xlfn.XLOOKUP(B3049,Personal!$A:$A,Personal!$C:$C,""),"")</f>
        <v>0</v>
      </c>
      <c r="E3049" s="9" t="str" cm="1">
        <f t="array" ref="E3049">IFERROR(_xlfn.XLOOKUP(D3049,Locales!$A:$A,Locales!$B:$B,""),"")</f>
        <v/>
      </c>
      <c r="F3049" s="9" cm="1">
        <f t="array" ref="F3049">IFERROR(_xlfn.XLOOKUP(B3049,Personal!$A:$A,Personal!$F:$F,""),"")</f>
        <v>0</v>
      </c>
      <c r="I3049" s="10" cm="1">
        <f t="array" ref="I3049">IFERROR(INDEX(Precios!$D:$F,MATCH(N3049, Precios!$G:$G, 0),CHOOSE(MATCH(H3049, {"SML";"XL";"XXL"}, 0), 1, 2, 3)), 0)</f>
        <v>0</v>
      </c>
      <c r="K3049" s="10">
        <f t="shared" si="102"/>
        <v>0</v>
      </c>
      <c r="N3049" s="9" t="str">
        <f t="shared" si="103"/>
        <v/>
      </c>
      <c r="O3049" s="9" t="str">
        <f>IF(N3049="","",IF(COUNTIF(Precios!$G:$G,N3049)=0,"⚠ No coincide con Precios","OK"))</f>
        <v/>
      </c>
    </row>
    <row r="3050" spans="3:15" x14ac:dyDescent="0.2">
      <c r="C3050" s="9" cm="1">
        <f t="array" ref="C3050">IFERROR(_xlfn.XLOOKUP(B3050,Personal!$A:$A,Personal!$D:$D,""),"")</f>
        <v>0</v>
      </c>
      <c r="D3050" s="9" cm="1">
        <f t="array" ref="D3050">IFERROR(_xlfn.XLOOKUP(B3050,Personal!$A:$A,Personal!$C:$C,""),"")</f>
        <v>0</v>
      </c>
      <c r="E3050" s="9" t="str" cm="1">
        <f t="array" ref="E3050">IFERROR(_xlfn.XLOOKUP(D3050,Locales!$A:$A,Locales!$B:$B,""),"")</f>
        <v/>
      </c>
      <c r="F3050" s="9" cm="1">
        <f t="array" ref="F3050">IFERROR(_xlfn.XLOOKUP(B3050,Personal!$A:$A,Personal!$F:$F,""),"")</f>
        <v>0</v>
      </c>
      <c r="I3050" s="10" cm="1">
        <f t="array" ref="I3050">IFERROR(INDEX(Precios!$D:$F,MATCH(N3050, Precios!$G:$G, 0),CHOOSE(MATCH(H3050, {"SML";"XL";"XXL"}, 0), 1, 2, 3)), 0)</f>
        <v>0</v>
      </c>
      <c r="K3050" s="10">
        <f t="shared" si="102"/>
        <v>0</v>
      </c>
      <c r="N3050" s="9" t="str">
        <f t="shared" si="103"/>
        <v/>
      </c>
      <c r="O3050" s="9" t="str">
        <f>IF(N3050="","",IF(COUNTIF(Precios!$G:$G,N3050)=0,"⚠ No coincide con Precios","OK"))</f>
        <v/>
      </c>
    </row>
    <row r="3051" spans="3:15" x14ac:dyDescent="0.2">
      <c r="C3051" s="9" cm="1">
        <f t="array" ref="C3051">IFERROR(_xlfn.XLOOKUP(B3051,Personal!$A:$A,Personal!$D:$D,""),"")</f>
        <v>0</v>
      </c>
      <c r="D3051" s="9" cm="1">
        <f t="array" ref="D3051">IFERROR(_xlfn.XLOOKUP(B3051,Personal!$A:$A,Personal!$C:$C,""),"")</f>
        <v>0</v>
      </c>
      <c r="E3051" s="9" t="str" cm="1">
        <f t="array" ref="E3051">IFERROR(_xlfn.XLOOKUP(D3051,Locales!$A:$A,Locales!$B:$B,""),"")</f>
        <v/>
      </c>
      <c r="F3051" s="9" cm="1">
        <f t="array" ref="F3051">IFERROR(_xlfn.XLOOKUP(B3051,Personal!$A:$A,Personal!$F:$F,""),"")</f>
        <v>0</v>
      </c>
      <c r="I3051" s="10" cm="1">
        <f t="array" ref="I3051">IFERROR(INDEX(Precios!$D:$F,MATCH(N3051, Precios!$G:$G, 0),CHOOSE(MATCH(H3051, {"SML";"XL";"XXL"}, 0), 1, 2, 3)), 0)</f>
        <v>0</v>
      </c>
      <c r="K3051" s="10">
        <f t="shared" si="102"/>
        <v>0</v>
      </c>
      <c r="N3051" s="9" t="str">
        <f t="shared" si="103"/>
        <v/>
      </c>
      <c r="O3051" s="9" t="str">
        <f>IF(N3051="","",IF(COUNTIF(Precios!$G:$G,N3051)=0,"⚠ No coincide con Precios","OK"))</f>
        <v/>
      </c>
    </row>
    <row r="3052" spans="3:15" x14ac:dyDescent="0.2">
      <c r="C3052" s="9" cm="1">
        <f t="array" ref="C3052">IFERROR(_xlfn.XLOOKUP(B3052,Personal!$A:$A,Personal!$D:$D,""),"")</f>
        <v>0</v>
      </c>
      <c r="D3052" s="9" cm="1">
        <f t="array" ref="D3052">IFERROR(_xlfn.XLOOKUP(B3052,Personal!$A:$A,Personal!$C:$C,""),"")</f>
        <v>0</v>
      </c>
      <c r="E3052" s="9" t="str" cm="1">
        <f t="array" ref="E3052">IFERROR(_xlfn.XLOOKUP(D3052,Locales!$A:$A,Locales!$B:$B,""),"")</f>
        <v/>
      </c>
      <c r="F3052" s="9" cm="1">
        <f t="array" ref="F3052">IFERROR(_xlfn.XLOOKUP(B3052,Personal!$A:$A,Personal!$F:$F,""),"")</f>
        <v>0</v>
      </c>
      <c r="I3052" s="10" cm="1">
        <f t="array" ref="I3052">IFERROR(INDEX(Precios!$D:$F,MATCH(N3052, Precios!$G:$G, 0),CHOOSE(MATCH(H3052, {"SML";"XL";"XXL"}, 0), 1, 2, 3)), 0)</f>
        <v>0</v>
      </c>
      <c r="K3052" s="10">
        <f t="shared" si="102"/>
        <v>0</v>
      </c>
      <c r="N3052" s="9" t="str">
        <f t="shared" si="103"/>
        <v/>
      </c>
      <c r="O3052" s="9" t="str">
        <f>IF(N3052="","",IF(COUNTIF(Precios!$G:$G,N3052)=0,"⚠ No coincide con Precios","OK"))</f>
        <v/>
      </c>
    </row>
    <row r="3053" spans="3:15" x14ac:dyDescent="0.2">
      <c r="C3053" s="9" cm="1">
        <f t="array" ref="C3053">IFERROR(_xlfn.XLOOKUP(B3053,Personal!$A:$A,Personal!$D:$D,""),"")</f>
        <v>0</v>
      </c>
      <c r="D3053" s="9" cm="1">
        <f t="array" ref="D3053">IFERROR(_xlfn.XLOOKUP(B3053,Personal!$A:$A,Personal!$C:$C,""),"")</f>
        <v>0</v>
      </c>
      <c r="E3053" s="9" t="str" cm="1">
        <f t="array" ref="E3053">IFERROR(_xlfn.XLOOKUP(D3053,Locales!$A:$A,Locales!$B:$B,""),"")</f>
        <v/>
      </c>
      <c r="F3053" s="9" cm="1">
        <f t="array" ref="F3053">IFERROR(_xlfn.XLOOKUP(B3053,Personal!$A:$A,Personal!$F:$F,""),"")</f>
        <v>0</v>
      </c>
      <c r="I3053" s="10" cm="1">
        <f t="array" ref="I3053">IFERROR(INDEX(Precios!$D:$F,MATCH(N3053, Precios!$G:$G, 0),CHOOSE(MATCH(H3053, {"SML";"XL";"XXL"}, 0), 1, 2, 3)), 0)</f>
        <v>0</v>
      </c>
      <c r="K3053" s="10">
        <f t="shared" si="102"/>
        <v>0</v>
      </c>
      <c r="N3053" s="9" t="str">
        <f t="shared" si="103"/>
        <v/>
      </c>
      <c r="O3053" s="9" t="str">
        <f>IF(N3053="","",IF(COUNTIF(Precios!$G:$G,N3053)=0,"⚠ No coincide con Precios","OK"))</f>
        <v/>
      </c>
    </row>
    <row r="3054" spans="3:15" x14ac:dyDescent="0.2">
      <c r="C3054" s="9" cm="1">
        <f t="array" ref="C3054">IFERROR(_xlfn.XLOOKUP(B3054,Personal!$A:$A,Personal!$D:$D,""),"")</f>
        <v>0</v>
      </c>
      <c r="D3054" s="9" cm="1">
        <f t="array" ref="D3054">IFERROR(_xlfn.XLOOKUP(B3054,Personal!$A:$A,Personal!$C:$C,""),"")</f>
        <v>0</v>
      </c>
      <c r="E3054" s="9" t="str" cm="1">
        <f t="array" ref="E3054">IFERROR(_xlfn.XLOOKUP(D3054,Locales!$A:$A,Locales!$B:$B,""),"")</f>
        <v/>
      </c>
      <c r="F3054" s="9" cm="1">
        <f t="array" ref="F3054">IFERROR(_xlfn.XLOOKUP(B3054,Personal!$A:$A,Personal!$F:$F,""),"")</f>
        <v>0</v>
      </c>
      <c r="I3054" s="10" cm="1">
        <f t="array" ref="I3054">IFERROR(INDEX(Precios!$D:$F,MATCH(N3054, Precios!$G:$G, 0),CHOOSE(MATCH(H3054, {"SML";"XL";"XXL"}, 0), 1, 2, 3)), 0)</f>
        <v>0</v>
      </c>
      <c r="K3054" s="10">
        <f t="shared" si="102"/>
        <v>0</v>
      </c>
      <c r="N3054" s="9" t="str">
        <f t="shared" si="103"/>
        <v/>
      </c>
      <c r="O3054" s="9" t="str">
        <f>IF(N3054="","",IF(COUNTIF(Precios!$G:$G,N3054)=0,"⚠ No coincide con Precios","OK"))</f>
        <v/>
      </c>
    </row>
    <row r="3055" spans="3:15" x14ac:dyDescent="0.2">
      <c r="C3055" s="9" cm="1">
        <f t="array" ref="C3055">IFERROR(_xlfn.XLOOKUP(B3055,Personal!$A:$A,Personal!$D:$D,""),"")</f>
        <v>0</v>
      </c>
      <c r="D3055" s="9" cm="1">
        <f t="array" ref="D3055">IFERROR(_xlfn.XLOOKUP(B3055,Personal!$A:$A,Personal!$C:$C,""),"")</f>
        <v>0</v>
      </c>
      <c r="E3055" s="9" t="str" cm="1">
        <f t="array" ref="E3055">IFERROR(_xlfn.XLOOKUP(D3055,Locales!$A:$A,Locales!$B:$B,""),"")</f>
        <v/>
      </c>
      <c r="F3055" s="9" cm="1">
        <f t="array" ref="F3055">IFERROR(_xlfn.XLOOKUP(B3055,Personal!$A:$A,Personal!$F:$F,""),"")</f>
        <v>0</v>
      </c>
      <c r="I3055" s="10" cm="1">
        <f t="array" ref="I3055">IFERROR(INDEX(Precios!$D:$F,MATCH(N3055, Precios!$G:$G, 0),CHOOSE(MATCH(H3055, {"SML";"XL";"XXL"}, 0), 1, 2, 3)), 0)</f>
        <v>0</v>
      </c>
      <c r="K3055" s="10">
        <f t="shared" si="102"/>
        <v>0</v>
      </c>
      <c r="N3055" s="9" t="str">
        <f t="shared" si="103"/>
        <v/>
      </c>
      <c r="O3055" s="9" t="str">
        <f>IF(N3055="","",IF(COUNTIF(Precios!$G:$G,N3055)=0,"⚠ No coincide con Precios","OK"))</f>
        <v/>
      </c>
    </row>
    <row r="3056" spans="3:15" x14ac:dyDescent="0.2">
      <c r="C3056" s="9" cm="1">
        <f t="array" ref="C3056">IFERROR(_xlfn.XLOOKUP(B3056,Personal!$A:$A,Personal!$D:$D,""),"")</f>
        <v>0</v>
      </c>
      <c r="D3056" s="9" cm="1">
        <f t="array" ref="D3056">IFERROR(_xlfn.XLOOKUP(B3056,Personal!$A:$A,Personal!$C:$C,""),"")</f>
        <v>0</v>
      </c>
      <c r="E3056" s="9" t="str" cm="1">
        <f t="array" ref="E3056">IFERROR(_xlfn.XLOOKUP(D3056,Locales!$A:$A,Locales!$B:$B,""),"")</f>
        <v/>
      </c>
      <c r="F3056" s="9" cm="1">
        <f t="array" ref="F3056">IFERROR(_xlfn.XLOOKUP(B3056,Personal!$A:$A,Personal!$F:$F,""),"")</f>
        <v>0</v>
      </c>
      <c r="I3056" s="10" cm="1">
        <f t="array" ref="I3056">IFERROR(INDEX(Precios!$D:$F,MATCH(N3056, Precios!$G:$G, 0),CHOOSE(MATCH(H3056, {"SML";"XL";"XXL"}, 0), 1, 2, 3)), 0)</f>
        <v>0</v>
      </c>
      <c r="K3056" s="10">
        <f t="shared" si="102"/>
        <v>0</v>
      </c>
      <c r="N3056" s="9" t="str">
        <f t="shared" si="103"/>
        <v/>
      </c>
      <c r="O3056" s="9" t="str">
        <f>IF(N3056="","",IF(COUNTIF(Precios!$G:$G,N3056)=0,"⚠ No coincide con Precios","OK"))</f>
        <v/>
      </c>
    </row>
    <row r="3057" spans="3:15" x14ac:dyDescent="0.2">
      <c r="C3057" s="9" cm="1">
        <f t="array" ref="C3057">IFERROR(_xlfn.XLOOKUP(B3057,Personal!$A:$A,Personal!$D:$D,""),"")</f>
        <v>0</v>
      </c>
      <c r="D3057" s="9" cm="1">
        <f t="array" ref="D3057">IFERROR(_xlfn.XLOOKUP(B3057,Personal!$A:$A,Personal!$C:$C,""),"")</f>
        <v>0</v>
      </c>
      <c r="E3057" s="9" t="str" cm="1">
        <f t="array" ref="E3057">IFERROR(_xlfn.XLOOKUP(D3057,Locales!$A:$A,Locales!$B:$B,""),"")</f>
        <v/>
      </c>
      <c r="F3057" s="9" cm="1">
        <f t="array" ref="F3057">IFERROR(_xlfn.XLOOKUP(B3057,Personal!$A:$A,Personal!$F:$F,""),"")</f>
        <v>0</v>
      </c>
      <c r="I3057" s="10" cm="1">
        <f t="array" ref="I3057">IFERROR(INDEX(Precios!$D:$F,MATCH(N3057, Precios!$G:$G, 0),CHOOSE(MATCH(H3057, {"SML";"XL";"XXL"}, 0), 1, 2, 3)), 0)</f>
        <v>0</v>
      </c>
      <c r="K3057" s="10">
        <f t="shared" si="102"/>
        <v>0</v>
      </c>
      <c r="N3057" s="9" t="str">
        <f t="shared" si="103"/>
        <v/>
      </c>
      <c r="O3057" s="9" t="str">
        <f>IF(N3057="","",IF(COUNTIF(Precios!$G:$G,N3057)=0,"⚠ No coincide con Precios","OK"))</f>
        <v/>
      </c>
    </row>
    <row r="3058" spans="3:15" x14ac:dyDescent="0.2">
      <c r="C3058" s="9" cm="1">
        <f t="array" ref="C3058">IFERROR(_xlfn.XLOOKUP(B3058,Personal!$A:$A,Personal!$D:$D,""),"")</f>
        <v>0</v>
      </c>
      <c r="D3058" s="9" cm="1">
        <f t="array" ref="D3058">IFERROR(_xlfn.XLOOKUP(B3058,Personal!$A:$A,Personal!$C:$C,""),"")</f>
        <v>0</v>
      </c>
      <c r="E3058" s="9" t="str" cm="1">
        <f t="array" ref="E3058">IFERROR(_xlfn.XLOOKUP(D3058,Locales!$A:$A,Locales!$B:$B,""),"")</f>
        <v/>
      </c>
      <c r="F3058" s="9" cm="1">
        <f t="array" ref="F3058">IFERROR(_xlfn.XLOOKUP(B3058,Personal!$A:$A,Personal!$F:$F,""),"")</f>
        <v>0</v>
      </c>
      <c r="I3058" s="10" cm="1">
        <f t="array" ref="I3058">IFERROR(INDEX(Precios!$D:$F,MATCH(N3058, Precios!$G:$G, 0),CHOOSE(MATCH(H3058, {"SML";"XL";"XXL"}, 0), 1, 2, 3)), 0)</f>
        <v>0</v>
      </c>
      <c r="K3058" s="10">
        <f t="shared" si="102"/>
        <v>0</v>
      </c>
      <c r="N3058" s="9" t="str">
        <f t="shared" si="103"/>
        <v/>
      </c>
      <c r="O3058" s="9" t="str">
        <f>IF(N3058="","",IF(COUNTIF(Precios!$G:$G,N3058)=0,"⚠ No coincide con Precios","OK"))</f>
        <v/>
      </c>
    </row>
    <row r="3059" spans="3:15" x14ac:dyDescent="0.2">
      <c r="C3059" s="9" cm="1">
        <f t="array" ref="C3059">IFERROR(_xlfn.XLOOKUP(B3059,Personal!$A:$A,Personal!$D:$D,""),"")</f>
        <v>0</v>
      </c>
      <c r="D3059" s="9" cm="1">
        <f t="array" ref="D3059">IFERROR(_xlfn.XLOOKUP(B3059,Personal!$A:$A,Personal!$C:$C,""),"")</f>
        <v>0</v>
      </c>
      <c r="E3059" s="9" t="str" cm="1">
        <f t="array" ref="E3059">IFERROR(_xlfn.XLOOKUP(D3059,Locales!$A:$A,Locales!$B:$B,""),"")</f>
        <v/>
      </c>
      <c r="F3059" s="9" cm="1">
        <f t="array" ref="F3059">IFERROR(_xlfn.XLOOKUP(B3059,Personal!$A:$A,Personal!$F:$F,""),"")</f>
        <v>0</v>
      </c>
      <c r="I3059" s="10" cm="1">
        <f t="array" ref="I3059">IFERROR(INDEX(Precios!$D:$F,MATCH(N3059, Precios!$G:$G, 0),CHOOSE(MATCH(H3059, {"SML";"XL";"XXL"}, 0), 1, 2, 3)), 0)</f>
        <v>0</v>
      </c>
      <c r="K3059" s="10">
        <f t="shared" si="102"/>
        <v>0</v>
      </c>
      <c r="N3059" s="9" t="str">
        <f t="shared" si="103"/>
        <v/>
      </c>
      <c r="O3059" s="9" t="str">
        <f>IF(N3059="","",IF(COUNTIF(Precios!$G:$G,N3059)=0,"⚠ No coincide con Precios","OK"))</f>
        <v/>
      </c>
    </row>
    <row r="3060" spans="3:15" x14ac:dyDescent="0.2">
      <c r="C3060" s="9" cm="1">
        <f t="array" ref="C3060">IFERROR(_xlfn.XLOOKUP(B3060,Personal!$A:$A,Personal!$D:$D,""),"")</f>
        <v>0</v>
      </c>
      <c r="D3060" s="9" cm="1">
        <f t="array" ref="D3060">IFERROR(_xlfn.XLOOKUP(B3060,Personal!$A:$A,Personal!$C:$C,""),"")</f>
        <v>0</v>
      </c>
      <c r="E3060" s="9" t="str" cm="1">
        <f t="array" ref="E3060">IFERROR(_xlfn.XLOOKUP(D3060,Locales!$A:$A,Locales!$B:$B,""),"")</f>
        <v/>
      </c>
      <c r="F3060" s="9" cm="1">
        <f t="array" ref="F3060">IFERROR(_xlfn.XLOOKUP(B3060,Personal!$A:$A,Personal!$F:$F,""),"")</f>
        <v>0</v>
      </c>
      <c r="I3060" s="10" cm="1">
        <f t="array" ref="I3060">IFERROR(INDEX(Precios!$D:$F,MATCH(N3060, Precios!$G:$G, 0),CHOOSE(MATCH(H3060, {"SML";"XL";"XXL"}, 0), 1, 2, 3)), 0)</f>
        <v>0</v>
      </c>
      <c r="K3060" s="10">
        <f t="shared" si="102"/>
        <v>0</v>
      </c>
      <c r="N3060" s="9" t="str">
        <f t="shared" si="103"/>
        <v/>
      </c>
      <c r="O3060" s="9" t="str">
        <f>IF(N3060="","",IF(COUNTIF(Precios!$G:$G,N3060)=0,"⚠ No coincide con Precios","OK"))</f>
        <v/>
      </c>
    </row>
    <row r="3061" spans="3:15" x14ac:dyDescent="0.2">
      <c r="C3061" s="9" cm="1">
        <f t="array" ref="C3061">IFERROR(_xlfn.XLOOKUP(B3061,Personal!$A:$A,Personal!$D:$D,""),"")</f>
        <v>0</v>
      </c>
      <c r="D3061" s="9" cm="1">
        <f t="array" ref="D3061">IFERROR(_xlfn.XLOOKUP(B3061,Personal!$A:$A,Personal!$C:$C,""),"")</f>
        <v>0</v>
      </c>
      <c r="E3061" s="9" t="str" cm="1">
        <f t="array" ref="E3061">IFERROR(_xlfn.XLOOKUP(D3061,Locales!$A:$A,Locales!$B:$B,""),"")</f>
        <v/>
      </c>
      <c r="F3061" s="9" cm="1">
        <f t="array" ref="F3061">IFERROR(_xlfn.XLOOKUP(B3061,Personal!$A:$A,Personal!$F:$F,""),"")</f>
        <v>0</v>
      </c>
      <c r="I3061" s="10" cm="1">
        <f t="array" ref="I3061">IFERROR(INDEX(Precios!$D:$F,MATCH(N3061, Precios!$G:$G, 0),CHOOSE(MATCH(H3061, {"SML";"XL";"XXL"}, 0), 1, 2, 3)), 0)</f>
        <v>0</v>
      </c>
      <c r="K3061" s="10">
        <f t="shared" si="102"/>
        <v>0</v>
      </c>
      <c r="N3061" s="9" t="str">
        <f t="shared" si="103"/>
        <v/>
      </c>
      <c r="O3061" s="9" t="str">
        <f>IF(N3061="","",IF(COUNTIF(Precios!$G:$G,N3061)=0,"⚠ No coincide con Precios","OK"))</f>
        <v/>
      </c>
    </row>
    <row r="3062" spans="3:15" x14ac:dyDescent="0.2">
      <c r="C3062" s="9" cm="1">
        <f t="array" ref="C3062">IFERROR(_xlfn.XLOOKUP(B3062,Personal!$A:$A,Personal!$D:$D,""),"")</f>
        <v>0</v>
      </c>
      <c r="D3062" s="9" cm="1">
        <f t="array" ref="D3062">IFERROR(_xlfn.XLOOKUP(B3062,Personal!$A:$A,Personal!$C:$C,""),"")</f>
        <v>0</v>
      </c>
      <c r="E3062" s="9" t="str" cm="1">
        <f t="array" ref="E3062">IFERROR(_xlfn.XLOOKUP(D3062,Locales!$A:$A,Locales!$B:$B,""),"")</f>
        <v/>
      </c>
      <c r="F3062" s="9" cm="1">
        <f t="array" ref="F3062">IFERROR(_xlfn.XLOOKUP(B3062,Personal!$A:$A,Personal!$F:$F,""),"")</f>
        <v>0</v>
      </c>
      <c r="I3062" s="10" cm="1">
        <f t="array" ref="I3062">IFERROR(INDEX(Precios!$D:$F,MATCH(N3062, Precios!$G:$G, 0),CHOOSE(MATCH(H3062, {"SML";"XL";"XXL"}, 0), 1, 2, 3)), 0)</f>
        <v>0</v>
      </c>
      <c r="K3062" s="10">
        <f t="shared" si="102"/>
        <v>0</v>
      </c>
      <c r="N3062" s="9" t="str">
        <f t="shared" si="103"/>
        <v/>
      </c>
      <c r="O3062" s="9" t="str">
        <f>IF(N3062="","",IF(COUNTIF(Precios!$G:$G,N3062)=0,"⚠ No coincide con Precios","OK"))</f>
        <v/>
      </c>
    </row>
    <row r="3063" spans="3:15" x14ac:dyDescent="0.2">
      <c r="C3063" s="9" cm="1">
        <f t="array" ref="C3063">IFERROR(_xlfn.XLOOKUP(B3063,Personal!$A:$A,Personal!$D:$D,""),"")</f>
        <v>0</v>
      </c>
      <c r="D3063" s="9" cm="1">
        <f t="array" ref="D3063">IFERROR(_xlfn.XLOOKUP(B3063,Personal!$A:$A,Personal!$C:$C,""),"")</f>
        <v>0</v>
      </c>
      <c r="E3063" s="9" t="str" cm="1">
        <f t="array" ref="E3063">IFERROR(_xlfn.XLOOKUP(D3063,Locales!$A:$A,Locales!$B:$B,""),"")</f>
        <v/>
      </c>
      <c r="F3063" s="9" cm="1">
        <f t="array" ref="F3063">IFERROR(_xlfn.XLOOKUP(B3063,Personal!$A:$A,Personal!$F:$F,""),"")</f>
        <v>0</v>
      </c>
      <c r="I3063" s="10" cm="1">
        <f t="array" ref="I3063">IFERROR(INDEX(Precios!$D:$F,MATCH(N3063, Precios!$G:$G, 0),CHOOSE(MATCH(H3063, {"SML";"XL";"XXL"}, 0), 1, 2, 3)), 0)</f>
        <v>0</v>
      </c>
      <c r="K3063" s="10">
        <f t="shared" si="102"/>
        <v>0</v>
      </c>
      <c r="N3063" s="9" t="str">
        <f t="shared" si="103"/>
        <v/>
      </c>
      <c r="O3063" s="9" t="str">
        <f>IF(N3063="","",IF(COUNTIF(Precios!$G:$G,N3063)=0,"⚠ No coincide con Precios","OK"))</f>
        <v/>
      </c>
    </row>
    <row r="3064" spans="3:15" x14ac:dyDescent="0.2">
      <c r="C3064" s="9" cm="1">
        <f t="array" ref="C3064">IFERROR(_xlfn.XLOOKUP(B3064,Personal!$A:$A,Personal!$D:$D,""),"")</f>
        <v>0</v>
      </c>
      <c r="D3064" s="9" cm="1">
        <f t="array" ref="D3064">IFERROR(_xlfn.XLOOKUP(B3064,Personal!$A:$A,Personal!$C:$C,""),"")</f>
        <v>0</v>
      </c>
      <c r="E3064" s="9" t="str" cm="1">
        <f t="array" ref="E3064">IFERROR(_xlfn.XLOOKUP(D3064,Locales!$A:$A,Locales!$B:$B,""),"")</f>
        <v/>
      </c>
      <c r="F3064" s="9" cm="1">
        <f t="array" ref="F3064">IFERROR(_xlfn.XLOOKUP(B3064,Personal!$A:$A,Personal!$F:$F,""),"")</f>
        <v>0</v>
      </c>
      <c r="I3064" s="10" cm="1">
        <f t="array" ref="I3064">IFERROR(INDEX(Precios!$D:$F,MATCH(N3064, Precios!$G:$G, 0),CHOOSE(MATCH(H3064, {"SML";"XL";"XXL"}, 0), 1, 2, 3)), 0)</f>
        <v>0</v>
      </c>
      <c r="K3064" s="10">
        <f t="shared" si="102"/>
        <v>0</v>
      </c>
      <c r="N3064" s="9" t="str">
        <f t="shared" si="103"/>
        <v/>
      </c>
      <c r="O3064" s="9" t="str">
        <f>IF(N3064="","",IF(COUNTIF(Precios!$G:$G,N3064)=0,"⚠ No coincide con Precios","OK"))</f>
        <v/>
      </c>
    </row>
    <row r="3065" spans="3:15" x14ac:dyDescent="0.2">
      <c r="C3065" s="9" cm="1">
        <f t="array" ref="C3065">IFERROR(_xlfn.XLOOKUP(B3065,Personal!$A:$A,Personal!$D:$D,""),"")</f>
        <v>0</v>
      </c>
      <c r="D3065" s="9" cm="1">
        <f t="array" ref="D3065">IFERROR(_xlfn.XLOOKUP(B3065,Personal!$A:$A,Personal!$C:$C,""),"")</f>
        <v>0</v>
      </c>
      <c r="E3065" s="9" t="str" cm="1">
        <f t="array" ref="E3065">IFERROR(_xlfn.XLOOKUP(D3065,Locales!$A:$A,Locales!$B:$B,""),"")</f>
        <v/>
      </c>
      <c r="F3065" s="9" cm="1">
        <f t="array" ref="F3065">IFERROR(_xlfn.XLOOKUP(B3065,Personal!$A:$A,Personal!$F:$F,""),"")</f>
        <v>0</v>
      </c>
      <c r="I3065" s="10" cm="1">
        <f t="array" ref="I3065">IFERROR(INDEX(Precios!$D:$F,MATCH(N3065, Precios!$G:$G, 0),CHOOSE(MATCH(H3065, {"SML";"XL";"XXL"}, 0), 1, 2, 3)), 0)</f>
        <v>0</v>
      </c>
      <c r="K3065" s="10">
        <f t="shared" si="102"/>
        <v>0</v>
      </c>
      <c r="N3065" s="9" t="str">
        <f t="shared" si="103"/>
        <v/>
      </c>
      <c r="O3065" s="9" t="str">
        <f>IF(N3065="","",IF(COUNTIF(Precios!$G:$G,N3065)=0,"⚠ No coincide con Precios","OK"))</f>
        <v/>
      </c>
    </row>
    <row r="3066" spans="3:15" x14ac:dyDescent="0.2">
      <c r="C3066" s="9" cm="1">
        <f t="array" ref="C3066">IFERROR(_xlfn.XLOOKUP(B3066,Personal!$A:$A,Personal!$D:$D,""),"")</f>
        <v>0</v>
      </c>
      <c r="D3066" s="9" cm="1">
        <f t="array" ref="D3066">IFERROR(_xlfn.XLOOKUP(B3066,Personal!$A:$A,Personal!$C:$C,""),"")</f>
        <v>0</v>
      </c>
      <c r="E3066" s="9" t="str" cm="1">
        <f t="array" ref="E3066">IFERROR(_xlfn.XLOOKUP(D3066,Locales!$A:$A,Locales!$B:$B,""),"")</f>
        <v/>
      </c>
      <c r="F3066" s="9" cm="1">
        <f t="array" ref="F3066">IFERROR(_xlfn.XLOOKUP(B3066,Personal!$A:$A,Personal!$F:$F,""),"")</f>
        <v>0</v>
      </c>
      <c r="I3066" s="10" cm="1">
        <f t="array" ref="I3066">IFERROR(INDEX(Precios!$D:$F,MATCH(N3066, Precios!$G:$G, 0),CHOOSE(MATCH(H3066, {"SML";"XL";"XXL"}, 0), 1, 2, 3)), 0)</f>
        <v>0</v>
      </c>
      <c r="K3066" s="10">
        <f t="shared" si="102"/>
        <v>0</v>
      </c>
      <c r="N3066" s="9" t="str">
        <f t="shared" si="103"/>
        <v/>
      </c>
      <c r="O3066" s="9" t="str">
        <f>IF(N3066="","",IF(COUNTIF(Precios!$G:$G,N3066)=0,"⚠ No coincide con Precios","OK"))</f>
        <v/>
      </c>
    </row>
    <row r="3067" spans="3:15" x14ac:dyDescent="0.2">
      <c r="C3067" s="9" cm="1">
        <f t="array" ref="C3067">IFERROR(_xlfn.XLOOKUP(B3067,Personal!$A:$A,Personal!$D:$D,""),"")</f>
        <v>0</v>
      </c>
      <c r="D3067" s="9" cm="1">
        <f t="array" ref="D3067">IFERROR(_xlfn.XLOOKUP(B3067,Personal!$A:$A,Personal!$C:$C,""),"")</f>
        <v>0</v>
      </c>
      <c r="E3067" s="9" t="str" cm="1">
        <f t="array" ref="E3067">IFERROR(_xlfn.XLOOKUP(D3067,Locales!$A:$A,Locales!$B:$B,""),"")</f>
        <v/>
      </c>
      <c r="F3067" s="9" cm="1">
        <f t="array" ref="F3067">IFERROR(_xlfn.XLOOKUP(B3067,Personal!$A:$A,Personal!$F:$F,""),"")</f>
        <v>0</v>
      </c>
      <c r="I3067" s="10" cm="1">
        <f t="array" ref="I3067">IFERROR(INDEX(Precios!$D:$F,MATCH(N3067, Precios!$G:$G, 0),CHOOSE(MATCH(H3067, {"SML";"XL";"XXL"}, 0), 1, 2, 3)), 0)</f>
        <v>0</v>
      </c>
      <c r="K3067" s="10">
        <f t="shared" si="102"/>
        <v>0</v>
      </c>
      <c r="N3067" s="9" t="str">
        <f t="shared" si="103"/>
        <v/>
      </c>
      <c r="O3067" s="9" t="str">
        <f>IF(N3067="","",IF(COUNTIF(Precios!$G:$G,N3067)=0,"⚠ No coincide con Precios","OK"))</f>
        <v/>
      </c>
    </row>
    <row r="3068" spans="3:15" x14ac:dyDescent="0.2">
      <c r="C3068" s="9" cm="1">
        <f t="array" ref="C3068">IFERROR(_xlfn.XLOOKUP(B3068,Personal!$A:$A,Personal!$D:$D,""),"")</f>
        <v>0</v>
      </c>
      <c r="D3068" s="9" cm="1">
        <f t="array" ref="D3068">IFERROR(_xlfn.XLOOKUP(B3068,Personal!$A:$A,Personal!$C:$C,""),"")</f>
        <v>0</v>
      </c>
      <c r="E3068" s="9" t="str" cm="1">
        <f t="array" ref="E3068">IFERROR(_xlfn.XLOOKUP(D3068,Locales!$A:$A,Locales!$B:$B,""),"")</f>
        <v/>
      </c>
      <c r="F3068" s="9" cm="1">
        <f t="array" ref="F3068">IFERROR(_xlfn.XLOOKUP(B3068,Personal!$A:$A,Personal!$F:$F,""),"")</f>
        <v>0</v>
      </c>
      <c r="I3068" s="10" cm="1">
        <f t="array" ref="I3068">IFERROR(INDEX(Precios!$D:$F,MATCH(N3068, Precios!$G:$G, 0),CHOOSE(MATCH(H3068, {"SML";"XL";"XXL"}, 0), 1, 2, 3)), 0)</f>
        <v>0</v>
      </c>
      <c r="K3068" s="10">
        <f t="shared" si="102"/>
        <v>0</v>
      </c>
      <c r="N3068" s="9" t="str">
        <f t="shared" si="103"/>
        <v/>
      </c>
      <c r="O3068" s="9" t="str">
        <f>IF(N3068="","",IF(COUNTIF(Precios!$G:$G,N3068)=0,"⚠ No coincide con Precios","OK"))</f>
        <v/>
      </c>
    </row>
    <row r="3069" spans="3:15" x14ac:dyDescent="0.2">
      <c r="C3069" s="9" cm="1">
        <f t="array" ref="C3069">IFERROR(_xlfn.XLOOKUP(B3069,Personal!$A:$A,Personal!$D:$D,""),"")</f>
        <v>0</v>
      </c>
      <c r="D3069" s="9" cm="1">
        <f t="array" ref="D3069">IFERROR(_xlfn.XLOOKUP(B3069,Personal!$A:$A,Personal!$C:$C,""),"")</f>
        <v>0</v>
      </c>
      <c r="E3069" s="9" t="str" cm="1">
        <f t="array" ref="E3069">IFERROR(_xlfn.XLOOKUP(D3069,Locales!$A:$A,Locales!$B:$B,""),"")</f>
        <v/>
      </c>
      <c r="F3069" s="9" cm="1">
        <f t="array" ref="F3069">IFERROR(_xlfn.XLOOKUP(B3069,Personal!$A:$A,Personal!$F:$F,""),"")</f>
        <v>0</v>
      </c>
      <c r="I3069" s="10" cm="1">
        <f t="array" ref="I3069">IFERROR(INDEX(Precios!$D:$F,MATCH(N3069, Precios!$G:$G, 0),CHOOSE(MATCH(H3069, {"SML";"XL";"XXL"}, 0), 1, 2, 3)), 0)</f>
        <v>0</v>
      </c>
      <c r="K3069" s="10">
        <f t="shared" si="102"/>
        <v>0</v>
      </c>
      <c r="N3069" s="9" t="str">
        <f t="shared" si="103"/>
        <v/>
      </c>
      <c r="O3069" s="9" t="str">
        <f>IF(N3069="","",IF(COUNTIF(Precios!$G:$G,N3069)=0,"⚠ No coincide con Precios","OK"))</f>
        <v/>
      </c>
    </row>
    <row r="3070" spans="3:15" x14ac:dyDescent="0.2">
      <c r="C3070" s="9" cm="1">
        <f t="array" ref="C3070">IFERROR(_xlfn.XLOOKUP(B3070,Personal!$A:$A,Personal!$D:$D,""),"")</f>
        <v>0</v>
      </c>
      <c r="D3070" s="9" cm="1">
        <f t="array" ref="D3070">IFERROR(_xlfn.XLOOKUP(B3070,Personal!$A:$A,Personal!$C:$C,""),"")</f>
        <v>0</v>
      </c>
      <c r="E3070" s="9" t="str" cm="1">
        <f t="array" ref="E3070">IFERROR(_xlfn.XLOOKUP(D3070,Locales!$A:$A,Locales!$B:$B,""),"")</f>
        <v/>
      </c>
      <c r="F3070" s="9" cm="1">
        <f t="array" ref="F3070">IFERROR(_xlfn.XLOOKUP(B3070,Personal!$A:$A,Personal!$F:$F,""),"")</f>
        <v>0</v>
      </c>
      <c r="I3070" s="10" cm="1">
        <f t="array" ref="I3070">IFERROR(INDEX(Precios!$D:$F,MATCH(N3070, Precios!$G:$G, 0),CHOOSE(MATCH(H3070, {"SML";"XL";"XXL"}, 0), 1, 2, 3)), 0)</f>
        <v>0</v>
      </c>
      <c r="K3070" s="10">
        <f t="shared" si="102"/>
        <v>0</v>
      </c>
      <c r="N3070" s="9" t="str">
        <f t="shared" si="103"/>
        <v/>
      </c>
      <c r="O3070" s="9" t="str">
        <f>IF(N3070="","",IF(COUNTIF(Precios!$G:$G,N3070)=0,"⚠ No coincide con Precios","OK"))</f>
        <v/>
      </c>
    </row>
    <row r="3071" spans="3:15" x14ac:dyDescent="0.2">
      <c r="C3071" s="9" cm="1">
        <f t="array" ref="C3071">IFERROR(_xlfn.XLOOKUP(B3071,Personal!$A:$A,Personal!$D:$D,""),"")</f>
        <v>0</v>
      </c>
      <c r="D3071" s="9" cm="1">
        <f t="array" ref="D3071">IFERROR(_xlfn.XLOOKUP(B3071,Personal!$A:$A,Personal!$C:$C,""),"")</f>
        <v>0</v>
      </c>
      <c r="E3071" s="9" t="str" cm="1">
        <f t="array" ref="E3071">IFERROR(_xlfn.XLOOKUP(D3071,Locales!$A:$A,Locales!$B:$B,""),"")</f>
        <v/>
      </c>
      <c r="F3071" s="9" cm="1">
        <f t="array" ref="F3071">IFERROR(_xlfn.XLOOKUP(B3071,Personal!$A:$A,Personal!$F:$F,""),"")</f>
        <v>0</v>
      </c>
      <c r="I3071" s="10" cm="1">
        <f t="array" ref="I3071">IFERROR(INDEX(Precios!$D:$F,MATCH(N3071, Precios!$G:$G, 0),CHOOSE(MATCH(H3071, {"SML";"XL";"XXL"}, 0), 1, 2, 3)), 0)</f>
        <v>0</v>
      </c>
      <c r="K3071" s="10">
        <f t="shared" si="102"/>
        <v>0</v>
      </c>
      <c r="N3071" s="9" t="str">
        <f t="shared" si="103"/>
        <v/>
      </c>
      <c r="O3071" s="9" t="str">
        <f>IF(N3071="","",IF(COUNTIF(Precios!$G:$G,N3071)=0,"⚠ No coincide con Precios","OK"))</f>
        <v/>
      </c>
    </row>
    <row r="3072" spans="3:15" x14ac:dyDescent="0.2">
      <c r="C3072" s="9" cm="1">
        <f t="array" ref="C3072">IFERROR(_xlfn.XLOOKUP(B3072,Personal!$A:$A,Personal!$D:$D,""),"")</f>
        <v>0</v>
      </c>
      <c r="D3072" s="9" cm="1">
        <f t="array" ref="D3072">IFERROR(_xlfn.XLOOKUP(B3072,Personal!$A:$A,Personal!$C:$C,""),"")</f>
        <v>0</v>
      </c>
      <c r="E3072" s="9" t="str" cm="1">
        <f t="array" ref="E3072">IFERROR(_xlfn.XLOOKUP(D3072,Locales!$A:$A,Locales!$B:$B,""),"")</f>
        <v/>
      </c>
      <c r="F3072" s="9" cm="1">
        <f t="array" ref="F3072">IFERROR(_xlfn.XLOOKUP(B3072,Personal!$A:$A,Personal!$F:$F,""),"")</f>
        <v>0</v>
      </c>
      <c r="I3072" s="10" cm="1">
        <f t="array" ref="I3072">IFERROR(INDEX(Precios!$D:$F,MATCH(N3072, Precios!$G:$G, 0),CHOOSE(MATCH(H3072, {"SML";"XL";"XXL"}, 0), 1, 2, 3)), 0)</f>
        <v>0</v>
      </c>
      <c r="K3072" s="10">
        <f t="shared" ref="K3072:K3135" si="104">IFERROR(I3072*J3072,0)</f>
        <v>0</v>
      </c>
      <c r="N3072" s="9" t="str">
        <f t="shared" ref="N3072:N3135" si="105">IF( OR(E3072="",F3072="",G3072=""), "",CLEAN(TRIM(E3072)) &amp; "|" &amp; CLEAN(TRIM(F3072)) &amp; "|" &amp; CLEAN(TRIM(G3072)))</f>
        <v/>
      </c>
      <c r="O3072" s="9" t="str">
        <f>IF(N3072="","",IF(COUNTIF(Precios!$G:$G,N3072)=0,"⚠ No coincide con Precios","OK"))</f>
        <v/>
      </c>
    </row>
    <row r="3073" spans="3:15" x14ac:dyDescent="0.2">
      <c r="C3073" s="9" cm="1">
        <f t="array" ref="C3073">IFERROR(_xlfn.XLOOKUP(B3073,Personal!$A:$A,Personal!$D:$D,""),"")</f>
        <v>0</v>
      </c>
      <c r="D3073" s="9" cm="1">
        <f t="array" ref="D3073">IFERROR(_xlfn.XLOOKUP(B3073,Personal!$A:$A,Personal!$C:$C,""),"")</f>
        <v>0</v>
      </c>
      <c r="E3073" s="9" t="str" cm="1">
        <f t="array" ref="E3073">IFERROR(_xlfn.XLOOKUP(D3073,Locales!$A:$A,Locales!$B:$B,""),"")</f>
        <v/>
      </c>
      <c r="F3073" s="9" cm="1">
        <f t="array" ref="F3073">IFERROR(_xlfn.XLOOKUP(B3073,Personal!$A:$A,Personal!$F:$F,""),"")</f>
        <v>0</v>
      </c>
      <c r="I3073" s="10" cm="1">
        <f t="array" ref="I3073">IFERROR(INDEX(Precios!$D:$F,MATCH(N3073, Precios!$G:$G, 0),CHOOSE(MATCH(H3073, {"SML";"XL";"XXL"}, 0), 1, 2, 3)), 0)</f>
        <v>0</v>
      </c>
      <c r="K3073" s="10">
        <f t="shared" si="104"/>
        <v>0</v>
      </c>
      <c r="N3073" s="9" t="str">
        <f t="shared" si="105"/>
        <v/>
      </c>
      <c r="O3073" s="9" t="str">
        <f>IF(N3073="","",IF(COUNTIF(Precios!$G:$G,N3073)=0,"⚠ No coincide con Precios","OK"))</f>
        <v/>
      </c>
    </row>
    <row r="3074" spans="3:15" x14ac:dyDescent="0.2">
      <c r="C3074" s="9" cm="1">
        <f t="array" ref="C3074">IFERROR(_xlfn.XLOOKUP(B3074,Personal!$A:$A,Personal!$D:$D,""),"")</f>
        <v>0</v>
      </c>
      <c r="D3074" s="9" cm="1">
        <f t="array" ref="D3074">IFERROR(_xlfn.XLOOKUP(B3074,Personal!$A:$A,Personal!$C:$C,""),"")</f>
        <v>0</v>
      </c>
      <c r="E3074" s="9" t="str" cm="1">
        <f t="array" ref="E3074">IFERROR(_xlfn.XLOOKUP(D3074,Locales!$A:$A,Locales!$B:$B,""),"")</f>
        <v/>
      </c>
      <c r="F3074" s="9" cm="1">
        <f t="array" ref="F3074">IFERROR(_xlfn.XLOOKUP(B3074,Personal!$A:$A,Personal!$F:$F,""),"")</f>
        <v>0</v>
      </c>
      <c r="I3074" s="10" cm="1">
        <f t="array" ref="I3074">IFERROR(INDEX(Precios!$D:$F,MATCH(N3074, Precios!$G:$G, 0),CHOOSE(MATCH(H3074, {"SML";"XL";"XXL"}, 0), 1, 2, 3)), 0)</f>
        <v>0</v>
      </c>
      <c r="K3074" s="10">
        <f t="shared" si="104"/>
        <v>0</v>
      </c>
      <c r="N3074" s="9" t="str">
        <f t="shared" si="105"/>
        <v/>
      </c>
      <c r="O3074" s="9" t="str">
        <f>IF(N3074="","",IF(COUNTIF(Precios!$G:$G,N3074)=0,"⚠ No coincide con Precios","OK"))</f>
        <v/>
      </c>
    </row>
    <row r="3075" spans="3:15" x14ac:dyDescent="0.2">
      <c r="C3075" s="9" cm="1">
        <f t="array" ref="C3075">IFERROR(_xlfn.XLOOKUP(B3075,Personal!$A:$A,Personal!$D:$D,""),"")</f>
        <v>0</v>
      </c>
      <c r="D3075" s="9" cm="1">
        <f t="array" ref="D3075">IFERROR(_xlfn.XLOOKUP(B3075,Personal!$A:$A,Personal!$C:$C,""),"")</f>
        <v>0</v>
      </c>
      <c r="E3075" s="9" t="str" cm="1">
        <f t="array" ref="E3075">IFERROR(_xlfn.XLOOKUP(D3075,Locales!$A:$A,Locales!$B:$B,""),"")</f>
        <v/>
      </c>
      <c r="F3075" s="9" cm="1">
        <f t="array" ref="F3075">IFERROR(_xlfn.XLOOKUP(B3075,Personal!$A:$A,Personal!$F:$F,""),"")</f>
        <v>0</v>
      </c>
      <c r="I3075" s="10" cm="1">
        <f t="array" ref="I3075">IFERROR(INDEX(Precios!$D:$F,MATCH(N3075, Precios!$G:$G, 0),CHOOSE(MATCH(H3075, {"SML";"XL";"XXL"}, 0), 1, 2, 3)), 0)</f>
        <v>0</v>
      </c>
      <c r="K3075" s="10">
        <f t="shared" si="104"/>
        <v>0</v>
      </c>
      <c r="N3075" s="9" t="str">
        <f t="shared" si="105"/>
        <v/>
      </c>
      <c r="O3075" s="9" t="str">
        <f>IF(N3075="","",IF(COUNTIF(Precios!$G:$G,N3075)=0,"⚠ No coincide con Precios","OK"))</f>
        <v/>
      </c>
    </row>
    <row r="3076" spans="3:15" x14ac:dyDescent="0.2">
      <c r="C3076" s="9" cm="1">
        <f t="array" ref="C3076">IFERROR(_xlfn.XLOOKUP(B3076,Personal!$A:$A,Personal!$D:$D,""),"")</f>
        <v>0</v>
      </c>
      <c r="D3076" s="9" cm="1">
        <f t="array" ref="D3076">IFERROR(_xlfn.XLOOKUP(B3076,Personal!$A:$A,Personal!$C:$C,""),"")</f>
        <v>0</v>
      </c>
      <c r="E3076" s="9" t="str" cm="1">
        <f t="array" ref="E3076">IFERROR(_xlfn.XLOOKUP(D3076,Locales!$A:$A,Locales!$B:$B,""),"")</f>
        <v/>
      </c>
      <c r="F3076" s="9" cm="1">
        <f t="array" ref="F3076">IFERROR(_xlfn.XLOOKUP(B3076,Personal!$A:$A,Personal!$F:$F,""),"")</f>
        <v>0</v>
      </c>
      <c r="I3076" s="10" cm="1">
        <f t="array" ref="I3076">IFERROR(INDEX(Precios!$D:$F,MATCH(N3076, Precios!$G:$G, 0),CHOOSE(MATCH(H3076, {"SML";"XL";"XXL"}, 0), 1, 2, 3)), 0)</f>
        <v>0</v>
      </c>
      <c r="K3076" s="10">
        <f t="shared" si="104"/>
        <v>0</v>
      </c>
      <c r="N3076" s="9" t="str">
        <f t="shared" si="105"/>
        <v/>
      </c>
      <c r="O3076" s="9" t="str">
        <f>IF(N3076="","",IF(COUNTIF(Precios!$G:$G,N3076)=0,"⚠ No coincide con Precios","OK"))</f>
        <v/>
      </c>
    </row>
    <row r="3077" spans="3:15" x14ac:dyDescent="0.2">
      <c r="C3077" s="9" cm="1">
        <f t="array" ref="C3077">IFERROR(_xlfn.XLOOKUP(B3077,Personal!$A:$A,Personal!$D:$D,""),"")</f>
        <v>0</v>
      </c>
      <c r="D3077" s="9" cm="1">
        <f t="array" ref="D3077">IFERROR(_xlfn.XLOOKUP(B3077,Personal!$A:$A,Personal!$C:$C,""),"")</f>
        <v>0</v>
      </c>
      <c r="E3077" s="9" t="str" cm="1">
        <f t="array" ref="E3077">IFERROR(_xlfn.XLOOKUP(D3077,Locales!$A:$A,Locales!$B:$B,""),"")</f>
        <v/>
      </c>
      <c r="F3077" s="9" cm="1">
        <f t="array" ref="F3077">IFERROR(_xlfn.XLOOKUP(B3077,Personal!$A:$A,Personal!$F:$F,""),"")</f>
        <v>0</v>
      </c>
      <c r="I3077" s="10" cm="1">
        <f t="array" ref="I3077">IFERROR(INDEX(Precios!$D:$F,MATCH(N3077, Precios!$G:$G, 0),CHOOSE(MATCH(H3077, {"SML";"XL";"XXL"}, 0), 1, 2, 3)), 0)</f>
        <v>0</v>
      </c>
      <c r="K3077" s="10">
        <f t="shared" si="104"/>
        <v>0</v>
      </c>
      <c r="N3077" s="9" t="str">
        <f t="shared" si="105"/>
        <v/>
      </c>
      <c r="O3077" s="9" t="str">
        <f>IF(N3077="","",IF(COUNTIF(Precios!$G:$G,N3077)=0,"⚠ No coincide con Precios","OK"))</f>
        <v/>
      </c>
    </row>
    <row r="3078" spans="3:15" x14ac:dyDescent="0.2">
      <c r="C3078" s="9" cm="1">
        <f t="array" ref="C3078">IFERROR(_xlfn.XLOOKUP(B3078,Personal!$A:$A,Personal!$D:$D,""),"")</f>
        <v>0</v>
      </c>
      <c r="D3078" s="9" cm="1">
        <f t="array" ref="D3078">IFERROR(_xlfn.XLOOKUP(B3078,Personal!$A:$A,Personal!$C:$C,""),"")</f>
        <v>0</v>
      </c>
      <c r="E3078" s="9" t="str" cm="1">
        <f t="array" ref="E3078">IFERROR(_xlfn.XLOOKUP(D3078,Locales!$A:$A,Locales!$B:$B,""),"")</f>
        <v/>
      </c>
      <c r="F3078" s="9" cm="1">
        <f t="array" ref="F3078">IFERROR(_xlfn.XLOOKUP(B3078,Personal!$A:$A,Personal!$F:$F,""),"")</f>
        <v>0</v>
      </c>
      <c r="I3078" s="10" cm="1">
        <f t="array" ref="I3078">IFERROR(INDEX(Precios!$D:$F,MATCH(N3078, Precios!$G:$G, 0),CHOOSE(MATCH(H3078, {"SML";"XL";"XXL"}, 0), 1, 2, 3)), 0)</f>
        <v>0</v>
      </c>
      <c r="K3078" s="10">
        <f t="shared" si="104"/>
        <v>0</v>
      </c>
      <c r="N3078" s="9" t="str">
        <f t="shared" si="105"/>
        <v/>
      </c>
      <c r="O3078" s="9" t="str">
        <f>IF(N3078="","",IF(COUNTIF(Precios!$G:$G,N3078)=0,"⚠ No coincide con Precios","OK"))</f>
        <v/>
      </c>
    </row>
    <row r="3079" spans="3:15" x14ac:dyDescent="0.2">
      <c r="C3079" s="9" cm="1">
        <f t="array" ref="C3079">IFERROR(_xlfn.XLOOKUP(B3079,Personal!$A:$A,Personal!$D:$D,""),"")</f>
        <v>0</v>
      </c>
      <c r="D3079" s="9" cm="1">
        <f t="array" ref="D3079">IFERROR(_xlfn.XLOOKUP(B3079,Personal!$A:$A,Personal!$C:$C,""),"")</f>
        <v>0</v>
      </c>
      <c r="E3079" s="9" t="str" cm="1">
        <f t="array" ref="E3079">IFERROR(_xlfn.XLOOKUP(D3079,Locales!$A:$A,Locales!$B:$B,""),"")</f>
        <v/>
      </c>
      <c r="F3079" s="9" cm="1">
        <f t="array" ref="F3079">IFERROR(_xlfn.XLOOKUP(B3079,Personal!$A:$A,Personal!$F:$F,""),"")</f>
        <v>0</v>
      </c>
      <c r="I3079" s="10" cm="1">
        <f t="array" ref="I3079">IFERROR(INDEX(Precios!$D:$F,MATCH(N3079, Precios!$G:$G, 0),CHOOSE(MATCH(H3079, {"SML";"XL";"XXL"}, 0), 1, 2, 3)), 0)</f>
        <v>0</v>
      </c>
      <c r="K3079" s="10">
        <f t="shared" si="104"/>
        <v>0</v>
      </c>
      <c r="N3079" s="9" t="str">
        <f t="shared" si="105"/>
        <v/>
      </c>
      <c r="O3079" s="9" t="str">
        <f>IF(N3079="","",IF(COUNTIF(Precios!$G:$G,N3079)=0,"⚠ No coincide con Precios","OK"))</f>
        <v/>
      </c>
    </row>
    <row r="3080" spans="3:15" x14ac:dyDescent="0.2">
      <c r="C3080" s="9" cm="1">
        <f t="array" ref="C3080">IFERROR(_xlfn.XLOOKUP(B3080,Personal!$A:$A,Personal!$D:$D,""),"")</f>
        <v>0</v>
      </c>
      <c r="D3080" s="9" cm="1">
        <f t="array" ref="D3080">IFERROR(_xlfn.XLOOKUP(B3080,Personal!$A:$A,Personal!$C:$C,""),"")</f>
        <v>0</v>
      </c>
      <c r="E3080" s="9" t="str" cm="1">
        <f t="array" ref="E3080">IFERROR(_xlfn.XLOOKUP(D3080,Locales!$A:$A,Locales!$B:$B,""),"")</f>
        <v/>
      </c>
      <c r="F3080" s="9" cm="1">
        <f t="array" ref="F3080">IFERROR(_xlfn.XLOOKUP(B3080,Personal!$A:$A,Personal!$F:$F,""),"")</f>
        <v>0</v>
      </c>
      <c r="I3080" s="10" cm="1">
        <f t="array" ref="I3080">IFERROR(INDEX(Precios!$D:$F,MATCH(N3080, Precios!$G:$G, 0),CHOOSE(MATCH(H3080, {"SML";"XL";"XXL"}, 0), 1, 2, 3)), 0)</f>
        <v>0</v>
      </c>
      <c r="K3080" s="10">
        <f t="shared" si="104"/>
        <v>0</v>
      </c>
      <c r="N3080" s="9" t="str">
        <f t="shared" si="105"/>
        <v/>
      </c>
      <c r="O3080" s="9" t="str">
        <f>IF(N3080="","",IF(COUNTIF(Precios!$G:$G,N3080)=0,"⚠ No coincide con Precios","OK"))</f>
        <v/>
      </c>
    </row>
    <row r="3081" spans="3:15" x14ac:dyDescent="0.2">
      <c r="C3081" s="9" cm="1">
        <f t="array" ref="C3081">IFERROR(_xlfn.XLOOKUP(B3081,Personal!$A:$A,Personal!$D:$D,""),"")</f>
        <v>0</v>
      </c>
      <c r="D3081" s="9" cm="1">
        <f t="array" ref="D3081">IFERROR(_xlfn.XLOOKUP(B3081,Personal!$A:$A,Personal!$C:$C,""),"")</f>
        <v>0</v>
      </c>
      <c r="E3081" s="9" t="str" cm="1">
        <f t="array" ref="E3081">IFERROR(_xlfn.XLOOKUP(D3081,Locales!$A:$A,Locales!$B:$B,""),"")</f>
        <v/>
      </c>
      <c r="F3081" s="9" cm="1">
        <f t="array" ref="F3081">IFERROR(_xlfn.XLOOKUP(B3081,Personal!$A:$A,Personal!$F:$F,""),"")</f>
        <v>0</v>
      </c>
      <c r="I3081" s="10" cm="1">
        <f t="array" ref="I3081">IFERROR(INDEX(Precios!$D:$F,MATCH(N3081, Precios!$G:$G, 0),CHOOSE(MATCH(H3081, {"SML";"XL";"XXL"}, 0), 1, 2, 3)), 0)</f>
        <v>0</v>
      </c>
      <c r="K3081" s="10">
        <f t="shared" si="104"/>
        <v>0</v>
      </c>
      <c r="N3081" s="9" t="str">
        <f t="shared" si="105"/>
        <v/>
      </c>
      <c r="O3081" s="9" t="str">
        <f>IF(N3081="","",IF(COUNTIF(Precios!$G:$G,N3081)=0,"⚠ No coincide con Precios","OK"))</f>
        <v/>
      </c>
    </row>
    <row r="3082" spans="3:15" x14ac:dyDescent="0.2">
      <c r="C3082" s="9" cm="1">
        <f t="array" ref="C3082">IFERROR(_xlfn.XLOOKUP(B3082,Personal!$A:$A,Personal!$D:$D,""),"")</f>
        <v>0</v>
      </c>
      <c r="D3082" s="9" cm="1">
        <f t="array" ref="D3082">IFERROR(_xlfn.XLOOKUP(B3082,Personal!$A:$A,Personal!$C:$C,""),"")</f>
        <v>0</v>
      </c>
      <c r="E3082" s="9" t="str" cm="1">
        <f t="array" ref="E3082">IFERROR(_xlfn.XLOOKUP(D3082,Locales!$A:$A,Locales!$B:$B,""),"")</f>
        <v/>
      </c>
      <c r="F3082" s="9" cm="1">
        <f t="array" ref="F3082">IFERROR(_xlfn.XLOOKUP(B3082,Personal!$A:$A,Personal!$F:$F,""),"")</f>
        <v>0</v>
      </c>
      <c r="I3082" s="10" cm="1">
        <f t="array" ref="I3082">IFERROR(INDEX(Precios!$D:$F,MATCH(N3082, Precios!$G:$G, 0),CHOOSE(MATCH(H3082, {"SML";"XL";"XXL"}, 0), 1, 2, 3)), 0)</f>
        <v>0</v>
      </c>
      <c r="K3082" s="10">
        <f t="shared" si="104"/>
        <v>0</v>
      </c>
      <c r="N3082" s="9" t="str">
        <f t="shared" si="105"/>
        <v/>
      </c>
      <c r="O3082" s="9" t="str">
        <f>IF(N3082="","",IF(COUNTIF(Precios!$G:$G,N3082)=0,"⚠ No coincide con Precios","OK"))</f>
        <v/>
      </c>
    </row>
    <row r="3083" spans="3:15" x14ac:dyDescent="0.2">
      <c r="C3083" s="9" cm="1">
        <f t="array" ref="C3083">IFERROR(_xlfn.XLOOKUP(B3083,Personal!$A:$A,Personal!$D:$D,""),"")</f>
        <v>0</v>
      </c>
      <c r="D3083" s="9" cm="1">
        <f t="array" ref="D3083">IFERROR(_xlfn.XLOOKUP(B3083,Personal!$A:$A,Personal!$C:$C,""),"")</f>
        <v>0</v>
      </c>
      <c r="E3083" s="9" t="str" cm="1">
        <f t="array" ref="E3083">IFERROR(_xlfn.XLOOKUP(D3083,Locales!$A:$A,Locales!$B:$B,""),"")</f>
        <v/>
      </c>
      <c r="F3083" s="9" cm="1">
        <f t="array" ref="F3083">IFERROR(_xlfn.XLOOKUP(B3083,Personal!$A:$A,Personal!$F:$F,""),"")</f>
        <v>0</v>
      </c>
      <c r="I3083" s="10" cm="1">
        <f t="array" ref="I3083">IFERROR(INDEX(Precios!$D:$F,MATCH(N3083, Precios!$G:$G, 0),CHOOSE(MATCH(H3083, {"SML";"XL";"XXL"}, 0), 1, 2, 3)), 0)</f>
        <v>0</v>
      </c>
      <c r="K3083" s="10">
        <f t="shared" si="104"/>
        <v>0</v>
      </c>
      <c r="N3083" s="9" t="str">
        <f t="shared" si="105"/>
        <v/>
      </c>
      <c r="O3083" s="9" t="str">
        <f>IF(N3083="","",IF(COUNTIF(Precios!$G:$G,N3083)=0,"⚠ No coincide con Precios","OK"))</f>
        <v/>
      </c>
    </row>
    <row r="3084" spans="3:15" x14ac:dyDescent="0.2">
      <c r="C3084" s="9" cm="1">
        <f t="array" ref="C3084">IFERROR(_xlfn.XLOOKUP(B3084,Personal!$A:$A,Personal!$D:$D,""),"")</f>
        <v>0</v>
      </c>
      <c r="D3084" s="9" cm="1">
        <f t="array" ref="D3084">IFERROR(_xlfn.XLOOKUP(B3084,Personal!$A:$A,Personal!$C:$C,""),"")</f>
        <v>0</v>
      </c>
      <c r="E3084" s="9" t="str" cm="1">
        <f t="array" ref="E3084">IFERROR(_xlfn.XLOOKUP(D3084,Locales!$A:$A,Locales!$B:$B,""),"")</f>
        <v/>
      </c>
      <c r="F3084" s="9" cm="1">
        <f t="array" ref="F3084">IFERROR(_xlfn.XLOOKUP(B3084,Personal!$A:$A,Personal!$F:$F,""),"")</f>
        <v>0</v>
      </c>
      <c r="I3084" s="10" cm="1">
        <f t="array" ref="I3084">IFERROR(INDEX(Precios!$D:$F,MATCH(N3084, Precios!$G:$G, 0),CHOOSE(MATCH(H3084, {"SML";"XL";"XXL"}, 0), 1, 2, 3)), 0)</f>
        <v>0</v>
      </c>
      <c r="K3084" s="10">
        <f t="shared" si="104"/>
        <v>0</v>
      </c>
      <c r="N3084" s="9" t="str">
        <f t="shared" si="105"/>
        <v/>
      </c>
      <c r="O3084" s="9" t="str">
        <f>IF(N3084="","",IF(COUNTIF(Precios!$G:$G,N3084)=0,"⚠ No coincide con Precios","OK"))</f>
        <v/>
      </c>
    </row>
    <row r="3085" spans="3:15" x14ac:dyDescent="0.2">
      <c r="C3085" s="9" cm="1">
        <f t="array" ref="C3085">IFERROR(_xlfn.XLOOKUP(B3085,Personal!$A:$A,Personal!$D:$D,""),"")</f>
        <v>0</v>
      </c>
      <c r="D3085" s="9" cm="1">
        <f t="array" ref="D3085">IFERROR(_xlfn.XLOOKUP(B3085,Personal!$A:$A,Personal!$C:$C,""),"")</f>
        <v>0</v>
      </c>
      <c r="E3085" s="9" t="str" cm="1">
        <f t="array" ref="E3085">IFERROR(_xlfn.XLOOKUP(D3085,Locales!$A:$A,Locales!$B:$B,""),"")</f>
        <v/>
      </c>
      <c r="F3085" s="9" cm="1">
        <f t="array" ref="F3085">IFERROR(_xlfn.XLOOKUP(B3085,Personal!$A:$A,Personal!$F:$F,""),"")</f>
        <v>0</v>
      </c>
      <c r="I3085" s="10" cm="1">
        <f t="array" ref="I3085">IFERROR(INDEX(Precios!$D:$F,MATCH(N3085, Precios!$G:$G, 0),CHOOSE(MATCH(H3085, {"SML";"XL";"XXL"}, 0), 1, 2, 3)), 0)</f>
        <v>0</v>
      </c>
      <c r="K3085" s="10">
        <f t="shared" si="104"/>
        <v>0</v>
      </c>
      <c r="N3085" s="9" t="str">
        <f t="shared" si="105"/>
        <v/>
      </c>
      <c r="O3085" s="9" t="str">
        <f>IF(N3085="","",IF(COUNTIF(Precios!$G:$G,N3085)=0,"⚠ No coincide con Precios","OK"))</f>
        <v/>
      </c>
    </row>
    <row r="3086" spans="3:15" x14ac:dyDescent="0.2">
      <c r="C3086" s="9" cm="1">
        <f t="array" ref="C3086">IFERROR(_xlfn.XLOOKUP(B3086,Personal!$A:$A,Personal!$D:$D,""),"")</f>
        <v>0</v>
      </c>
      <c r="D3086" s="9" cm="1">
        <f t="array" ref="D3086">IFERROR(_xlfn.XLOOKUP(B3086,Personal!$A:$A,Personal!$C:$C,""),"")</f>
        <v>0</v>
      </c>
      <c r="E3086" s="9" t="str" cm="1">
        <f t="array" ref="E3086">IFERROR(_xlfn.XLOOKUP(D3086,Locales!$A:$A,Locales!$B:$B,""),"")</f>
        <v/>
      </c>
      <c r="F3086" s="9" cm="1">
        <f t="array" ref="F3086">IFERROR(_xlfn.XLOOKUP(B3086,Personal!$A:$A,Personal!$F:$F,""),"")</f>
        <v>0</v>
      </c>
      <c r="I3086" s="10" cm="1">
        <f t="array" ref="I3086">IFERROR(INDEX(Precios!$D:$F,MATCH(N3086, Precios!$G:$G, 0),CHOOSE(MATCH(H3086, {"SML";"XL";"XXL"}, 0), 1, 2, 3)), 0)</f>
        <v>0</v>
      </c>
      <c r="K3086" s="10">
        <f t="shared" si="104"/>
        <v>0</v>
      </c>
      <c r="N3086" s="9" t="str">
        <f t="shared" si="105"/>
        <v/>
      </c>
      <c r="O3086" s="9" t="str">
        <f>IF(N3086="","",IF(COUNTIF(Precios!$G:$G,N3086)=0,"⚠ No coincide con Precios","OK"))</f>
        <v/>
      </c>
    </row>
    <row r="3087" spans="3:15" x14ac:dyDescent="0.2">
      <c r="C3087" s="9" cm="1">
        <f t="array" ref="C3087">IFERROR(_xlfn.XLOOKUP(B3087,Personal!$A:$A,Personal!$D:$D,""),"")</f>
        <v>0</v>
      </c>
      <c r="D3087" s="9" cm="1">
        <f t="array" ref="D3087">IFERROR(_xlfn.XLOOKUP(B3087,Personal!$A:$A,Personal!$C:$C,""),"")</f>
        <v>0</v>
      </c>
      <c r="E3087" s="9" t="str" cm="1">
        <f t="array" ref="E3087">IFERROR(_xlfn.XLOOKUP(D3087,Locales!$A:$A,Locales!$B:$B,""),"")</f>
        <v/>
      </c>
      <c r="F3087" s="9" cm="1">
        <f t="array" ref="F3087">IFERROR(_xlfn.XLOOKUP(B3087,Personal!$A:$A,Personal!$F:$F,""),"")</f>
        <v>0</v>
      </c>
      <c r="I3087" s="10" cm="1">
        <f t="array" ref="I3087">IFERROR(INDEX(Precios!$D:$F,MATCH(N3087, Precios!$G:$G, 0),CHOOSE(MATCH(H3087, {"SML";"XL";"XXL"}, 0), 1, 2, 3)), 0)</f>
        <v>0</v>
      </c>
      <c r="K3087" s="10">
        <f t="shared" si="104"/>
        <v>0</v>
      </c>
      <c r="N3087" s="9" t="str">
        <f t="shared" si="105"/>
        <v/>
      </c>
      <c r="O3087" s="9" t="str">
        <f>IF(N3087="","",IF(COUNTIF(Precios!$G:$G,N3087)=0,"⚠ No coincide con Precios","OK"))</f>
        <v/>
      </c>
    </row>
    <row r="3088" spans="3:15" x14ac:dyDescent="0.2">
      <c r="C3088" s="9" cm="1">
        <f t="array" ref="C3088">IFERROR(_xlfn.XLOOKUP(B3088,Personal!$A:$A,Personal!$D:$D,""),"")</f>
        <v>0</v>
      </c>
      <c r="D3088" s="9" cm="1">
        <f t="array" ref="D3088">IFERROR(_xlfn.XLOOKUP(B3088,Personal!$A:$A,Personal!$C:$C,""),"")</f>
        <v>0</v>
      </c>
      <c r="E3088" s="9" t="str" cm="1">
        <f t="array" ref="E3088">IFERROR(_xlfn.XLOOKUP(D3088,Locales!$A:$A,Locales!$B:$B,""),"")</f>
        <v/>
      </c>
      <c r="F3088" s="9" cm="1">
        <f t="array" ref="F3088">IFERROR(_xlfn.XLOOKUP(B3088,Personal!$A:$A,Personal!$F:$F,""),"")</f>
        <v>0</v>
      </c>
      <c r="I3088" s="10" cm="1">
        <f t="array" ref="I3088">IFERROR(INDEX(Precios!$D:$F,MATCH(N3088, Precios!$G:$G, 0),CHOOSE(MATCH(H3088, {"SML";"XL";"XXL"}, 0), 1, 2, 3)), 0)</f>
        <v>0</v>
      </c>
      <c r="K3088" s="10">
        <f t="shared" si="104"/>
        <v>0</v>
      </c>
      <c r="N3088" s="9" t="str">
        <f t="shared" si="105"/>
        <v/>
      </c>
      <c r="O3088" s="9" t="str">
        <f>IF(N3088="","",IF(COUNTIF(Precios!$G:$G,N3088)=0,"⚠ No coincide con Precios","OK"))</f>
        <v/>
      </c>
    </row>
    <row r="3089" spans="3:15" x14ac:dyDescent="0.2">
      <c r="C3089" s="9" cm="1">
        <f t="array" ref="C3089">IFERROR(_xlfn.XLOOKUP(B3089,Personal!$A:$A,Personal!$D:$D,""),"")</f>
        <v>0</v>
      </c>
      <c r="D3089" s="9" cm="1">
        <f t="array" ref="D3089">IFERROR(_xlfn.XLOOKUP(B3089,Personal!$A:$A,Personal!$C:$C,""),"")</f>
        <v>0</v>
      </c>
      <c r="E3089" s="9" t="str" cm="1">
        <f t="array" ref="E3089">IFERROR(_xlfn.XLOOKUP(D3089,Locales!$A:$A,Locales!$B:$B,""),"")</f>
        <v/>
      </c>
      <c r="F3089" s="9" cm="1">
        <f t="array" ref="F3089">IFERROR(_xlfn.XLOOKUP(B3089,Personal!$A:$A,Personal!$F:$F,""),"")</f>
        <v>0</v>
      </c>
      <c r="I3089" s="10" cm="1">
        <f t="array" ref="I3089">IFERROR(INDEX(Precios!$D:$F,MATCH(N3089, Precios!$G:$G, 0),CHOOSE(MATCH(H3089, {"SML";"XL";"XXL"}, 0), 1, 2, 3)), 0)</f>
        <v>0</v>
      </c>
      <c r="K3089" s="10">
        <f t="shared" si="104"/>
        <v>0</v>
      </c>
      <c r="N3089" s="9" t="str">
        <f t="shared" si="105"/>
        <v/>
      </c>
      <c r="O3089" s="9" t="str">
        <f>IF(N3089="","",IF(COUNTIF(Precios!$G:$G,N3089)=0,"⚠ No coincide con Precios","OK"))</f>
        <v/>
      </c>
    </row>
    <row r="3090" spans="3:15" x14ac:dyDescent="0.2">
      <c r="C3090" s="9" cm="1">
        <f t="array" ref="C3090">IFERROR(_xlfn.XLOOKUP(B3090,Personal!$A:$A,Personal!$D:$D,""),"")</f>
        <v>0</v>
      </c>
      <c r="D3090" s="9" cm="1">
        <f t="array" ref="D3090">IFERROR(_xlfn.XLOOKUP(B3090,Personal!$A:$A,Personal!$C:$C,""),"")</f>
        <v>0</v>
      </c>
      <c r="E3090" s="9" t="str" cm="1">
        <f t="array" ref="E3090">IFERROR(_xlfn.XLOOKUP(D3090,Locales!$A:$A,Locales!$B:$B,""),"")</f>
        <v/>
      </c>
      <c r="F3090" s="9" cm="1">
        <f t="array" ref="F3090">IFERROR(_xlfn.XLOOKUP(B3090,Personal!$A:$A,Personal!$F:$F,""),"")</f>
        <v>0</v>
      </c>
      <c r="I3090" s="10" cm="1">
        <f t="array" ref="I3090">IFERROR(INDEX(Precios!$D:$F,MATCH(N3090, Precios!$G:$G, 0),CHOOSE(MATCH(H3090, {"SML";"XL";"XXL"}, 0), 1, 2, 3)), 0)</f>
        <v>0</v>
      </c>
      <c r="K3090" s="10">
        <f t="shared" si="104"/>
        <v>0</v>
      </c>
      <c r="N3090" s="9" t="str">
        <f t="shared" si="105"/>
        <v/>
      </c>
      <c r="O3090" s="9" t="str">
        <f>IF(N3090="","",IF(COUNTIF(Precios!$G:$G,N3090)=0,"⚠ No coincide con Precios","OK"))</f>
        <v/>
      </c>
    </row>
    <row r="3091" spans="3:15" x14ac:dyDescent="0.2">
      <c r="C3091" s="9" cm="1">
        <f t="array" ref="C3091">IFERROR(_xlfn.XLOOKUP(B3091,Personal!$A:$A,Personal!$D:$D,""),"")</f>
        <v>0</v>
      </c>
      <c r="D3091" s="9" cm="1">
        <f t="array" ref="D3091">IFERROR(_xlfn.XLOOKUP(B3091,Personal!$A:$A,Personal!$C:$C,""),"")</f>
        <v>0</v>
      </c>
      <c r="E3091" s="9" t="str" cm="1">
        <f t="array" ref="E3091">IFERROR(_xlfn.XLOOKUP(D3091,Locales!$A:$A,Locales!$B:$B,""),"")</f>
        <v/>
      </c>
      <c r="F3091" s="9" cm="1">
        <f t="array" ref="F3091">IFERROR(_xlfn.XLOOKUP(B3091,Personal!$A:$A,Personal!$F:$F,""),"")</f>
        <v>0</v>
      </c>
      <c r="I3091" s="10" cm="1">
        <f t="array" ref="I3091">IFERROR(INDEX(Precios!$D:$F,MATCH(N3091, Precios!$G:$G, 0),CHOOSE(MATCH(H3091, {"SML";"XL";"XXL"}, 0), 1, 2, 3)), 0)</f>
        <v>0</v>
      </c>
      <c r="K3091" s="10">
        <f t="shared" si="104"/>
        <v>0</v>
      </c>
      <c r="N3091" s="9" t="str">
        <f t="shared" si="105"/>
        <v/>
      </c>
      <c r="O3091" s="9" t="str">
        <f>IF(N3091="","",IF(COUNTIF(Precios!$G:$G,N3091)=0,"⚠ No coincide con Precios","OK"))</f>
        <v/>
      </c>
    </row>
    <row r="3092" spans="3:15" x14ac:dyDescent="0.2">
      <c r="C3092" s="9" cm="1">
        <f t="array" ref="C3092">IFERROR(_xlfn.XLOOKUP(B3092,Personal!$A:$A,Personal!$D:$D,""),"")</f>
        <v>0</v>
      </c>
      <c r="D3092" s="9" cm="1">
        <f t="array" ref="D3092">IFERROR(_xlfn.XLOOKUP(B3092,Personal!$A:$A,Personal!$C:$C,""),"")</f>
        <v>0</v>
      </c>
      <c r="E3092" s="9" t="str" cm="1">
        <f t="array" ref="E3092">IFERROR(_xlfn.XLOOKUP(D3092,Locales!$A:$A,Locales!$B:$B,""),"")</f>
        <v/>
      </c>
      <c r="F3092" s="9" cm="1">
        <f t="array" ref="F3092">IFERROR(_xlfn.XLOOKUP(B3092,Personal!$A:$A,Personal!$F:$F,""),"")</f>
        <v>0</v>
      </c>
      <c r="I3092" s="10" cm="1">
        <f t="array" ref="I3092">IFERROR(INDEX(Precios!$D:$F,MATCH(N3092, Precios!$G:$G, 0),CHOOSE(MATCH(H3092, {"SML";"XL";"XXL"}, 0), 1, 2, 3)), 0)</f>
        <v>0</v>
      </c>
      <c r="K3092" s="10">
        <f t="shared" si="104"/>
        <v>0</v>
      </c>
      <c r="N3092" s="9" t="str">
        <f t="shared" si="105"/>
        <v/>
      </c>
      <c r="O3092" s="9" t="str">
        <f>IF(N3092="","",IF(COUNTIF(Precios!$G:$G,N3092)=0,"⚠ No coincide con Precios","OK"))</f>
        <v/>
      </c>
    </row>
    <row r="3093" spans="3:15" x14ac:dyDescent="0.2">
      <c r="C3093" s="9" cm="1">
        <f t="array" ref="C3093">IFERROR(_xlfn.XLOOKUP(B3093,Personal!$A:$A,Personal!$D:$D,""),"")</f>
        <v>0</v>
      </c>
      <c r="D3093" s="9" cm="1">
        <f t="array" ref="D3093">IFERROR(_xlfn.XLOOKUP(B3093,Personal!$A:$A,Personal!$C:$C,""),"")</f>
        <v>0</v>
      </c>
      <c r="E3093" s="9" t="str" cm="1">
        <f t="array" ref="E3093">IFERROR(_xlfn.XLOOKUP(D3093,Locales!$A:$A,Locales!$B:$B,""),"")</f>
        <v/>
      </c>
      <c r="F3093" s="9" cm="1">
        <f t="array" ref="F3093">IFERROR(_xlfn.XLOOKUP(B3093,Personal!$A:$A,Personal!$F:$F,""),"")</f>
        <v>0</v>
      </c>
      <c r="I3093" s="10" cm="1">
        <f t="array" ref="I3093">IFERROR(INDEX(Precios!$D:$F,MATCH(N3093, Precios!$G:$G, 0),CHOOSE(MATCH(H3093, {"SML";"XL";"XXL"}, 0), 1, 2, 3)), 0)</f>
        <v>0</v>
      </c>
      <c r="K3093" s="10">
        <f t="shared" si="104"/>
        <v>0</v>
      </c>
      <c r="N3093" s="9" t="str">
        <f t="shared" si="105"/>
        <v/>
      </c>
      <c r="O3093" s="9" t="str">
        <f>IF(N3093="","",IF(COUNTIF(Precios!$G:$G,N3093)=0,"⚠ No coincide con Precios","OK"))</f>
        <v/>
      </c>
    </row>
    <row r="3094" spans="3:15" x14ac:dyDescent="0.2">
      <c r="C3094" s="9" cm="1">
        <f t="array" ref="C3094">IFERROR(_xlfn.XLOOKUP(B3094,Personal!$A:$A,Personal!$D:$D,""),"")</f>
        <v>0</v>
      </c>
      <c r="D3094" s="9" cm="1">
        <f t="array" ref="D3094">IFERROR(_xlfn.XLOOKUP(B3094,Personal!$A:$A,Personal!$C:$C,""),"")</f>
        <v>0</v>
      </c>
      <c r="E3094" s="9" t="str" cm="1">
        <f t="array" ref="E3094">IFERROR(_xlfn.XLOOKUP(D3094,Locales!$A:$A,Locales!$B:$B,""),"")</f>
        <v/>
      </c>
      <c r="F3094" s="9" cm="1">
        <f t="array" ref="F3094">IFERROR(_xlfn.XLOOKUP(B3094,Personal!$A:$A,Personal!$F:$F,""),"")</f>
        <v>0</v>
      </c>
      <c r="I3094" s="10" cm="1">
        <f t="array" ref="I3094">IFERROR(INDEX(Precios!$D:$F,MATCH(N3094, Precios!$G:$G, 0),CHOOSE(MATCH(H3094, {"SML";"XL";"XXL"}, 0), 1, 2, 3)), 0)</f>
        <v>0</v>
      </c>
      <c r="K3094" s="10">
        <f t="shared" si="104"/>
        <v>0</v>
      </c>
      <c r="N3094" s="9" t="str">
        <f t="shared" si="105"/>
        <v/>
      </c>
      <c r="O3094" s="9" t="str">
        <f>IF(N3094="","",IF(COUNTIF(Precios!$G:$G,N3094)=0,"⚠ No coincide con Precios","OK"))</f>
        <v/>
      </c>
    </row>
    <row r="3095" spans="3:15" x14ac:dyDescent="0.2">
      <c r="C3095" s="9" cm="1">
        <f t="array" ref="C3095">IFERROR(_xlfn.XLOOKUP(B3095,Personal!$A:$A,Personal!$D:$D,""),"")</f>
        <v>0</v>
      </c>
      <c r="D3095" s="9" cm="1">
        <f t="array" ref="D3095">IFERROR(_xlfn.XLOOKUP(B3095,Personal!$A:$A,Personal!$C:$C,""),"")</f>
        <v>0</v>
      </c>
      <c r="E3095" s="9" t="str" cm="1">
        <f t="array" ref="E3095">IFERROR(_xlfn.XLOOKUP(D3095,Locales!$A:$A,Locales!$B:$B,""),"")</f>
        <v/>
      </c>
      <c r="F3095" s="9" cm="1">
        <f t="array" ref="F3095">IFERROR(_xlfn.XLOOKUP(B3095,Personal!$A:$A,Personal!$F:$F,""),"")</f>
        <v>0</v>
      </c>
      <c r="I3095" s="10" cm="1">
        <f t="array" ref="I3095">IFERROR(INDEX(Precios!$D:$F,MATCH(N3095, Precios!$G:$G, 0),CHOOSE(MATCH(H3095, {"SML";"XL";"XXL"}, 0), 1, 2, 3)), 0)</f>
        <v>0</v>
      </c>
      <c r="K3095" s="10">
        <f t="shared" si="104"/>
        <v>0</v>
      </c>
      <c r="N3095" s="9" t="str">
        <f t="shared" si="105"/>
        <v/>
      </c>
      <c r="O3095" s="9" t="str">
        <f>IF(N3095="","",IF(COUNTIF(Precios!$G:$G,N3095)=0,"⚠ No coincide con Precios","OK"))</f>
        <v/>
      </c>
    </row>
    <row r="3096" spans="3:15" x14ac:dyDescent="0.2">
      <c r="C3096" s="9" cm="1">
        <f t="array" ref="C3096">IFERROR(_xlfn.XLOOKUP(B3096,Personal!$A:$A,Personal!$D:$D,""),"")</f>
        <v>0</v>
      </c>
      <c r="D3096" s="9" cm="1">
        <f t="array" ref="D3096">IFERROR(_xlfn.XLOOKUP(B3096,Personal!$A:$A,Personal!$C:$C,""),"")</f>
        <v>0</v>
      </c>
      <c r="E3096" s="9" t="str" cm="1">
        <f t="array" ref="E3096">IFERROR(_xlfn.XLOOKUP(D3096,Locales!$A:$A,Locales!$B:$B,""),"")</f>
        <v/>
      </c>
      <c r="F3096" s="9" cm="1">
        <f t="array" ref="F3096">IFERROR(_xlfn.XLOOKUP(B3096,Personal!$A:$A,Personal!$F:$F,""),"")</f>
        <v>0</v>
      </c>
      <c r="I3096" s="10" cm="1">
        <f t="array" ref="I3096">IFERROR(INDEX(Precios!$D:$F,MATCH(N3096, Precios!$G:$G, 0),CHOOSE(MATCH(H3096, {"SML";"XL";"XXL"}, 0), 1, 2, 3)), 0)</f>
        <v>0</v>
      </c>
      <c r="K3096" s="10">
        <f t="shared" si="104"/>
        <v>0</v>
      </c>
      <c r="N3096" s="9" t="str">
        <f t="shared" si="105"/>
        <v/>
      </c>
      <c r="O3096" s="9" t="str">
        <f>IF(N3096="","",IF(COUNTIF(Precios!$G:$G,N3096)=0,"⚠ No coincide con Precios","OK"))</f>
        <v/>
      </c>
    </row>
    <row r="3097" spans="3:15" x14ac:dyDescent="0.2">
      <c r="C3097" s="9" cm="1">
        <f t="array" ref="C3097">IFERROR(_xlfn.XLOOKUP(B3097,Personal!$A:$A,Personal!$D:$D,""),"")</f>
        <v>0</v>
      </c>
      <c r="D3097" s="9" cm="1">
        <f t="array" ref="D3097">IFERROR(_xlfn.XLOOKUP(B3097,Personal!$A:$A,Personal!$C:$C,""),"")</f>
        <v>0</v>
      </c>
      <c r="E3097" s="9" t="str" cm="1">
        <f t="array" ref="E3097">IFERROR(_xlfn.XLOOKUP(D3097,Locales!$A:$A,Locales!$B:$B,""),"")</f>
        <v/>
      </c>
      <c r="F3097" s="9" cm="1">
        <f t="array" ref="F3097">IFERROR(_xlfn.XLOOKUP(B3097,Personal!$A:$A,Personal!$F:$F,""),"")</f>
        <v>0</v>
      </c>
      <c r="I3097" s="10" cm="1">
        <f t="array" ref="I3097">IFERROR(INDEX(Precios!$D:$F,MATCH(N3097, Precios!$G:$G, 0),CHOOSE(MATCH(H3097, {"SML";"XL";"XXL"}, 0), 1, 2, 3)), 0)</f>
        <v>0</v>
      </c>
      <c r="K3097" s="10">
        <f t="shared" si="104"/>
        <v>0</v>
      </c>
      <c r="N3097" s="9" t="str">
        <f t="shared" si="105"/>
        <v/>
      </c>
      <c r="O3097" s="9" t="str">
        <f>IF(N3097="","",IF(COUNTIF(Precios!$G:$G,N3097)=0,"⚠ No coincide con Precios","OK"))</f>
        <v/>
      </c>
    </row>
    <row r="3098" spans="3:15" x14ac:dyDescent="0.2">
      <c r="C3098" s="9" cm="1">
        <f t="array" ref="C3098">IFERROR(_xlfn.XLOOKUP(B3098,Personal!$A:$A,Personal!$D:$D,""),"")</f>
        <v>0</v>
      </c>
      <c r="D3098" s="9" cm="1">
        <f t="array" ref="D3098">IFERROR(_xlfn.XLOOKUP(B3098,Personal!$A:$A,Personal!$C:$C,""),"")</f>
        <v>0</v>
      </c>
      <c r="E3098" s="9" t="str" cm="1">
        <f t="array" ref="E3098">IFERROR(_xlfn.XLOOKUP(D3098,Locales!$A:$A,Locales!$B:$B,""),"")</f>
        <v/>
      </c>
      <c r="F3098" s="9" cm="1">
        <f t="array" ref="F3098">IFERROR(_xlfn.XLOOKUP(B3098,Personal!$A:$A,Personal!$F:$F,""),"")</f>
        <v>0</v>
      </c>
      <c r="I3098" s="10" cm="1">
        <f t="array" ref="I3098">IFERROR(INDEX(Precios!$D:$F,MATCH(N3098, Precios!$G:$G, 0),CHOOSE(MATCH(H3098, {"SML";"XL";"XXL"}, 0), 1, 2, 3)), 0)</f>
        <v>0</v>
      </c>
      <c r="K3098" s="10">
        <f t="shared" si="104"/>
        <v>0</v>
      </c>
      <c r="N3098" s="9" t="str">
        <f t="shared" si="105"/>
        <v/>
      </c>
      <c r="O3098" s="9" t="str">
        <f>IF(N3098="","",IF(COUNTIF(Precios!$G:$G,N3098)=0,"⚠ No coincide con Precios","OK"))</f>
        <v/>
      </c>
    </row>
    <row r="3099" spans="3:15" x14ac:dyDescent="0.2">
      <c r="C3099" s="9" cm="1">
        <f t="array" ref="C3099">IFERROR(_xlfn.XLOOKUP(B3099,Personal!$A:$A,Personal!$D:$D,""),"")</f>
        <v>0</v>
      </c>
      <c r="D3099" s="9" cm="1">
        <f t="array" ref="D3099">IFERROR(_xlfn.XLOOKUP(B3099,Personal!$A:$A,Personal!$C:$C,""),"")</f>
        <v>0</v>
      </c>
      <c r="E3099" s="9" t="str" cm="1">
        <f t="array" ref="E3099">IFERROR(_xlfn.XLOOKUP(D3099,Locales!$A:$A,Locales!$B:$B,""),"")</f>
        <v/>
      </c>
      <c r="F3099" s="9" cm="1">
        <f t="array" ref="F3099">IFERROR(_xlfn.XLOOKUP(B3099,Personal!$A:$A,Personal!$F:$F,""),"")</f>
        <v>0</v>
      </c>
      <c r="I3099" s="10" cm="1">
        <f t="array" ref="I3099">IFERROR(INDEX(Precios!$D:$F,MATCH(N3099, Precios!$G:$G, 0),CHOOSE(MATCH(H3099, {"SML";"XL";"XXL"}, 0), 1, 2, 3)), 0)</f>
        <v>0</v>
      </c>
      <c r="K3099" s="10">
        <f t="shared" si="104"/>
        <v>0</v>
      </c>
      <c r="N3099" s="9" t="str">
        <f t="shared" si="105"/>
        <v/>
      </c>
      <c r="O3099" s="9" t="str">
        <f>IF(N3099="","",IF(COUNTIF(Precios!$G:$G,N3099)=0,"⚠ No coincide con Precios","OK"))</f>
        <v/>
      </c>
    </row>
    <row r="3100" spans="3:15" x14ac:dyDescent="0.2">
      <c r="C3100" s="9" cm="1">
        <f t="array" ref="C3100">IFERROR(_xlfn.XLOOKUP(B3100,Personal!$A:$A,Personal!$D:$D,""),"")</f>
        <v>0</v>
      </c>
      <c r="D3100" s="9" cm="1">
        <f t="array" ref="D3100">IFERROR(_xlfn.XLOOKUP(B3100,Personal!$A:$A,Personal!$C:$C,""),"")</f>
        <v>0</v>
      </c>
      <c r="E3100" s="9" t="str" cm="1">
        <f t="array" ref="E3100">IFERROR(_xlfn.XLOOKUP(D3100,Locales!$A:$A,Locales!$B:$B,""),"")</f>
        <v/>
      </c>
      <c r="F3100" s="9" cm="1">
        <f t="array" ref="F3100">IFERROR(_xlfn.XLOOKUP(B3100,Personal!$A:$A,Personal!$F:$F,""),"")</f>
        <v>0</v>
      </c>
      <c r="I3100" s="10" cm="1">
        <f t="array" ref="I3100">IFERROR(INDEX(Precios!$D:$F,MATCH(N3100, Precios!$G:$G, 0),CHOOSE(MATCH(H3100, {"SML";"XL";"XXL"}, 0), 1, 2, 3)), 0)</f>
        <v>0</v>
      </c>
      <c r="K3100" s="10">
        <f t="shared" si="104"/>
        <v>0</v>
      </c>
      <c r="N3100" s="9" t="str">
        <f t="shared" si="105"/>
        <v/>
      </c>
      <c r="O3100" s="9" t="str">
        <f>IF(N3100="","",IF(COUNTIF(Precios!$G:$G,N3100)=0,"⚠ No coincide con Precios","OK"))</f>
        <v/>
      </c>
    </row>
    <row r="3101" spans="3:15" x14ac:dyDescent="0.2">
      <c r="C3101" s="9" cm="1">
        <f t="array" ref="C3101">IFERROR(_xlfn.XLOOKUP(B3101,Personal!$A:$A,Personal!$D:$D,""),"")</f>
        <v>0</v>
      </c>
      <c r="D3101" s="9" cm="1">
        <f t="array" ref="D3101">IFERROR(_xlfn.XLOOKUP(B3101,Personal!$A:$A,Personal!$C:$C,""),"")</f>
        <v>0</v>
      </c>
      <c r="E3101" s="9" t="str" cm="1">
        <f t="array" ref="E3101">IFERROR(_xlfn.XLOOKUP(D3101,Locales!$A:$A,Locales!$B:$B,""),"")</f>
        <v/>
      </c>
      <c r="F3101" s="9" cm="1">
        <f t="array" ref="F3101">IFERROR(_xlfn.XLOOKUP(B3101,Personal!$A:$A,Personal!$F:$F,""),"")</f>
        <v>0</v>
      </c>
      <c r="I3101" s="10" cm="1">
        <f t="array" ref="I3101">IFERROR(INDEX(Precios!$D:$F,MATCH(N3101, Precios!$G:$G, 0),CHOOSE(MATCH(H3101, {"SML";"XL";"XXL"}, 0), 1, 2, 3)), 0)</f>
        <v>0</v>
      </c>
      <c r="K3101" s="10">
        <f t="shared" si="104"/>
        <v>0</v>
      </c>
      <c r="N3101" s="9" t="str">
        <f t="shared" si="105"/>
        <v/>
      </c>
      <c r="O3101" s="9" t="str">
        <f>IF(N3101="","",IF(COUNTIF(Precios!$G:$G,N3101)=0,"⚠ No coincide con Precios","OK"))</f>
        <v/>
      </c>
    </row>
    <row r="3102" spans="3:15" x14ac:dyDescent="0.2">
      <c r="C3102" s="9" cm="1">
        <f t="array" ref="C3102">IFERROR(_xlfn.XLOOKUP(B3102,Personal!$A:$A,Personal!$D:$D,""),"")</f>
        <v>0</v>
      </c>
      <c r="D3102" s="9" cm="1">
        <f t="array" ref="D3102">IFERROR(_xlfn.XLOOKUP(B3102,Personal!$A:$A,Personal!$C:$C,""),"")</f>
        <v>0</v>
      </c>
      <c r="E3102" s="9" t="str" cm="1">
        <f t="array" ref="E3102">IFERROR(_xlfn.XLOOKUP(D3102,Locales!$A:$A,Locales!$B:$B,""),"")</f>
        <v/>
      </c>
      <c r="F3102" s="9" cm="1">
        <f t="array" ref="F3102">IFERROR(_xlfn.XLOOKUP(B3102,Personal!$A:$A,Personal!$F:$F,""),"")</f>
        <v>0</v>
      </c>
      <c r="I3102" s="10" cm="1">
        <f t="array" ref="I3102">IFERROR(INDEX(Precios!$D:$F,MATCH(N3102, Precios!$G:$G, 0),CHOOSE(MATCH(H3102, {"SML";"XL";"XXL"}, 0), 1, 2, 3)), 0)</f>
        <v>0</v>
      </c>
      <c r="K3102" s="10">
        <f t="shared" si="104"/>
        <v>0</v>
      </c>
      <c r="N3102" s="9" t="str">
        <f t="shared" si="105"/>
        <v/>
      </c>
      <c r="O3102" s="9" t="str">
        <f>IF(N3102="","",IF(COUNTIF(Precios!$G:$G,N3102)=0,"⚠ No coincide con Precios","OK"))</f>
        <v/>
      </c>
    </row>
    <row r="3103" spans="3:15" x14ac:dyDescent="0.2">
      <c r="C3103" s="9" cm="1">
        <f t="array" ref="C3103">IFERROR(_xlfn.XLOOKUP(B3103,Personal!$A:$A,Personal!$D:$D,""),"")</f>
        <v>0</v>
      </c>
      <c r="D3103" s="9" cm="1">
        <f t="array" ref="D3103">IFERROR(_xlfn.XLOOKUP(B3103,Personal!$A:$A,Personal!$C:$C,""),"")</f>
        <v>0</v>
      </c>
      <c r="E3103" s="9" t="str" cm="1">
        <f t="array" ref="E3103">IFERROR(_xlfn.XLOOKUP(D3103,Locales!$A:$A,Locales!$B:$B,""),"")</f>
        <v/>
      </c>
      <c r="F3103" s="9" cm="1">
        <f t="array" ref="F3103">IFERROR(_xlfn.XLOOKUP(B3103,Personal!$A:$A,Personal!$F:$F,""),"")</f>
        <v>0</v>
      </c>
      <c r="I3103" s="10" cm="1">
        <f t="array" ref="I3103">IFERROR(INDEX(Precios!$D:$F,MATCH(N3103, Precios!$G:$G, 0),CHOOSE(MATCH(H3103, {"SML";"XL";"XXL"}, 0), 1, 2, 3)), 0)</f>
        <v>0</v>
      </c>
      <c r="K3103" s="10">
        <f t="shared" si="104"/>
        <v>0</v>
      </c>
      <c r="N3103" s="9" t="str">
        <f t="shared" si="105"/>
        <v/>
      </c>
      <c r="O3103" s="9" t="str">
        <f>IF(N3103="","",IF(COUNTIF(Precios!$G:$G,N3103)=0,"⚠ No coincide con Precios","OK"))</f>
        <v/>
      </c>
    </row>
    <row r="3104" spans="3:15" x14ac:dyDescent="0.2">
      <c r="C3104" s="9" cm="1">
        <f t="array" ref="C3104">IFERROR(_xlfn.XLOOKUP(B3104,Personal!$A:$A,Personal!$D:$D,""),"")</f>
        <v>0</v>
      </c>
      <c r="D3104" s="9" cm="1">
        <f t="array" ref="D3104">IFERROR(_xlfn.XLOOKUP(B3104,Personal!$A:$A,Personal!$C:$C,""),"")</f>
        <v>0</v>
      </c>
      <c r="E3104" s="9" t="str" cm="1">
        <f t="array" ref="E3104">IFERROR(_xlfn.XLOOKUP(D3104,Locales!$A:$A,Locales!$B:$B,""),"")</f>
        <v/>
      </c>
      <c r="F3104" s="9" cm="1">
        <f t="array" ref="F3104">IFERROR(_xlfn.XLOOKUP(B3104,Personal!$A:$A,Personal!$F:$F,""),"")</f>
        <v>0</v>
      </c>
      <c r="I3104" s="10" cm="1">
        <f t="array" ref="I3104">IFERROR(INDEX(Precios!$D:$F,MATCH(N3104, Precios!$G:$G, 0),CHOOSE(MATCH(H3104, {"SML";"XL";"XXL"}, 0), 1, 2, 3)), 0)</f>
        <v>0</v>
      </c>
      <c r="K3104" s="10">
        <f t="shared" si="104"/>
        <v>0</v>
      </c>
      <c r="N3104" s="9" t="str">
        <f t="shared" si="105"/>
        <v/>
      </c>
      <c r="O3104" s="9" t="str">
        <f>IF(N3104="","",IF(COUNTIF(Precios!$G:$G,N3104)=0,"⚠ No coincide con Precios","OK"))</f>
        <v/>
      </c>
    </row>
    <row r="3105" spans="3:15" x14ac:dyDescent="0.2">
      <c r="C3105" s="9" cm="1">
        <f t="array" ref="C3105">IFERROR(_xlfn.XLOOKUP(B3105,Personal!$A:$A,Personal!$D:$D,""),"")</f>
        <v>0</v>
      </c>
      <c r="D3105" s="9" cm="1">
        <f t="array" ref="D3105">IFERROR(_xlfn.XLOOKUP(B3105,Personal!$A:$A,Personal!$C:$C,""),"")</f>
        <v>0</v>
      </c>
      <c r="E3105" s="9" t="str" cm="1">
        <f t="array" ref="E3105">IFERROR(_xlfn.XLOOKUP(D3105,Locales!$A:$A,Locales!$B:$B,""),"")</f>
        <v/>
      </c>
      <c r="F3105" s="9" cm="1">
        <f t="array" ref="F3105">IFERROR(_xlfn.XLOOKUP(B3105,Personal!$A:$A,Personal!$F:$F,""),"")</f>
        <v>0</v>
      </c>
      <c r="I3105" s="10" cm="1">
        <f t="array" ref="I3105">IFERROR(INDEX(Precios!$D:$F,MATCH(N3105, Precios!$G:$G, 0),CHOOSE(MATCH(H3105, {"SML";"XL";"XXL"}, 0), 1, 2, 3)), 0)</f>
        <v>0</v>
      </c>
      <c r="K3105" s="10">
        <f t="shared" si="104"/>
        <v>0</v>
      </c>
      <c r="N3105" s="9" t="str">
        <f t="shared" si="105"/>
        <v/>
      </c>
      <c r="O3105" s="9" t="str">
        <f>IF(N3105="","",IF(COUNTIF(Precios!$G:$G,N3105)=0,"⚠ No coincide con Precios","OK"))</f>
        <v/>
      </c>
    </row>
    <row r="3106" spans="3:15" x14ac:dyDescent="0.2">
      <c r="C3106" s="9" cm="1">
        <f t="array" ref="C3106">IFERROR(_xlfn.XLOOKUP(B3106,Personal!$A:$A,Personal!$D:$D,""),"")</f>
        <v>0</v>
      </c>
      <c r="D3106" s="9" cm="1">
        <f t="array" ref="D3106">IFERROR(_xlfn.XLOOKUP(B3106,Personal!$A:$A,Personal!$C:$C,""),"")</f>
        <v>0</v>
      </c>
      <c r="E3106" s="9" t="str" cm="1">
        <f t="array" ref="E3106">IFERROR(_xlfn.XLOOKUP(D3106,Locales!$A:$A,Locales!$B:$B,""),"")</f>
        <v/>
      </c>
      <c r="F3106" s="9" cm="1">
        <f t="array" ref="F3106">IFERROR(_xlfn.XLOOKUP(B3106,Personal!$A:$A,Personal!$F:$F,""),"")</f>
        <v>0</v>
      </c>
      <c r="I3106" s="10" cm="1">
        <f t="array" ref="I3106">IFERROR(INDEX(Precios!$D:$F,MATCH(N3106, Precios!$G:$G, 0),CHOOSE(MATCH(H3106, {"SML";"XL";"XXL"}, 0), 1, 2, 3)), 0)</f>
        <v>0</v>
      </c>
      <c r="K3106" s="10">
        <f t="shared" si="104"/>
        <v>0</v>
      </c>
      <c r="N3106" s="9" t="str">
        <f t="shared" si="105"/>
        <v/>
      </c>
      <c r="O3106" s="9" t="str">
        <f>IF(N3106="","",IF(COUNTIF(Precios!$G:$G,N3106)=0,"⚠ No coincide con Precios","OK"))</f>
        <v/>
      </c>
    </row>
    <row r="3107" spans="3:15" x14ac:dyDescent="0.2">
      <c r="C3107" s="9" cm="1">
        <f t="array" ref="C3107">IFERROR(_xlfn.XLOOKUP(B3107,Personal!$A:$A,Personal!$D:$D,""),"")</f>
        <v>0</v>
      </c>
      <c r="D3107" s="9" cm="1">
        <f t="array" ref="D3107">IFERROR(_xlfn.XLOOKUP(B3107,Personal!$A:$A,Personal!$C:$C,""),"")</f>
        <v>0</v>
      </c>
      <c r="E3107" s="9" t="str" cm="1">
        <f t="array" ref="E3107">IFERROR(_xlfn.XLOOKUP(D3107,Locales!$A:$A,Locales!$B:$B,""),"")</f>
        <v/>
      </c>
      <c r="F3107" s="9" cm="1">
        <f t="array" ref="F3107">IFERROR(_xlfn.XLOOKUP(B3107,Personal!$A:$A,Personal!$F:$F,""),"")</f>
        <v>0</v>
      </c>
      <c r="I3107" s="10" cm="1">
        <f t="array" ref="I3107">IFERROR(INDEX(Precios!$D:$F,MATCH(N3107, Precios!$G:$G, 0),CHOOSE(MATCH(H3107, {"SML";"XL";"XXL"}, 0), 1, 2, 3)), 0)</f>
        <v>0</v>
      </c>
      <c r="K3107" s="10">
        <f t="shared" si="104"/>
        <v>0</v>
      </c>
      <c r="N3107" s="9" t="str">
        <f t="shared" si="105"/>
        <v/>
      </c>
      <c r="O3107" s="9" t="str">
        <f>IF(N3107="","",IF(COUNTIF(Precios!$G:$G,N3107)=0,"⚠ No coincide con Precios","OK"))</f>
        <v/>
      </c>
    </row>
    <row r="3108" spans="3:15" x14ac:dyDescent="0.2">
      <c r="C3108" s="9" cm="1">
        <f t="array" ref="C3108">IFERROR(_xlfn.XLOOKUP(B3108,Personal!$A:$A,Personal!$D:$D,""),"")</f>
        <v>0</v>
      </c>
      <c r="D3108" s="9" cm="1">
        <f t="array" ref="D3108">IFERROR(_xlfn.XLOOKUP(B3108,Personal!$A:$A,Personal!$C:$C,""),"")</f>
        <v>0</v>
      </c>
      <c r="E3108" s="9" t="str" cm="1">
        <f t="array" ref="E3108">IFERROR(_xlfn.XLOOKUP(D3108,Locales!$A:$A,Locales!$B:$B,""),"")</f>
        <v/>
      </c>
      <c r="F3108" s="9" cm="1">
        <f t="array" ref="F3108">IFERROR(_xlfn.XLOOKUP(B3108,Personal!$A:$A,Personal!$F:$F,""),"")</f>
        <v>0</v>
      </c>
      <c r="I3108" s="10" cm="1">
        <f t="array" ref="I3108">IFERROR(INDEX(Precios!$D:$F,MATCH(N3108, Precios!$G:$G, 0),CHOOSE(MATCH(H3108, {"SML";"XL";"XXL"}, 0), 1, 2, 3)), 0)</f>
        <v>0</v>
      </c>
      <c r="K3108" s="10">
        <f t="shared" si="104"/>
        <v>0</v>
      </c>
      <c r="N3108" s="9" t="str">
        <f t="shared" si="105"/>
        <v/>
      </c>
      <c r="O3108" s="9" t="str">
        <f>IF(N3108="","",IF(COUNTIF(Precios!$G:$G,N3108)=0,"⚠ No coincide con Precios","OK"))</f>
        <v/>
      </c>
    </row>
    <row r="3109" spans="3:15" x14ac:dyDescent="0.2">
      <c r="C3109" s="9" cm="1">
        <f t="array" ref="C3109">IFERROR(_xlfn.XLOOKUP(B3109,Personal!$A:$A,Personal!$D:$D,""),"")</f>
        <v>0</v>
      </c>
      <c r="D3109" s="9" cm="1">
        <f t="array" ref="D3109">IFERROR(_xlfn.XLOOKUP(B3109,Personal!$A:$A,Personal!$C:$C,""),"")</f>
        <v>0</v>
      </c>
      <c r="E3109" s="9" t="str" cm="1">
        <f t="array" ref="E3109">IFERROR(_xlfn.XLOOKUP(D3109,Locales!$A:$A,Locales!$B:$B,""),"")</f>
        <v/>
      </c>
      <c r="F3109" s="9" cm="1">
        <f t="array" ref="F3109">IFERROR(_xlfn.XLOOKUP(B3109,Personal!$A:$A,Personal!$F:$F,""),"")</f>
        <v>0</v>
      </c>
      <c r="I3109" s="10" cm="1">
        <f t="array" ref="I3109">IFERROR(INDEX(Precios!$D:$F,MATCH(N3109, Precios!$G:$G, 0),CHOOSE(MATCH(H3109, {"SML";"XL";"XXL"}, 0), 1, 2, 3)), 0)</f>
        <v>0</v>
      </c>
      <c r="K3109" s="10">
        <f t="shared" si="104"/>
        <v>0</v>
      </c>
      <c r="N3109" s="9" t="str">
        <f t="shared" si="105"/>
        <v/>
      </c>
      <c r="O3109" s="9" t="str">
        <f>IF(N3109="","",IF(COUNTIF(Precios!$G:$G,N3109)=0,"⚠ No coincide con Precios","OK"))</f>
        <v/>
      </c>
    </row>
    <row r="3110" spans="3:15" x14ac:dyDescent="0.2">
      <c r="C3110" s="9" cm="1">
        <f t="array" ref="C3110">IFERROR(_xlfn.XLOOKUP(B3110,Personal!$A:$A,Personal!$D:$D,""),"")</f>
        <v>0</v>
      </c>
      <c r="D3110" s="9" cm="1">
        <f t="array" ref="D3110">IFERROR(_xlfn.XLOOKUP(B3110,Personal!$A:$A,Personal!$C:$C,""),"")</f>
        <v>0</v>
      </c>
      <c r="E3110" s="9" t="str" cm="1">
        <f t="array" ref="E3110">IFERROR(_xlfn.XLOOKUP(D3110,Locales!$A:$A,Locales!$B:$B,""),"")</f>
        <v/>
      </c>
      <c r="F3110" s="9" cm="1">
        <f t="array" ref="F3110">IFERROR(_xlfn.XLOOKUP(B3110,Personal!$A:$A,Personal!$F:$F,""),"")</f>
        <v>0</v>
      </c>
      <c r="I3110" s="10" cm="1">
        <f t="array" ref="I3110">IFERROR(INDEX(Precios!$D:$F,MATCH(N3110, Precios!$G:$G, 0),CHOOSE(MATCH(H3110, {"SML";"XL";"XXL"}, 0), 1, 2, 3)), 0)</f>
        <v>0</v>
      </c>
      <c r="K3110" s="10">
        <f t="shared" si="104"/>
        <v>0</v>
      </c>
      <c r="N3110" s="9" t="str">
        <f t="shared" si="105"/>
        <v/>
      </c>
      <c r="O3110" s="9" t="str">
        <f>IF(N3110="","",IF(COUNTIF(Precios!$G:$G,N3110)=0,"⚠ No coincide con Precios","OK"))</f>
        <v/>
      </c>
    </row>
    <row r="3111" spans="3:15" x14ac:dyDescent="0.2">
      <c r="C3111" s="9" cm="1">
        <f t="array" ref="C3111">IFERROR(_xlfn.XLOOKUP(B3111,Personal!$A:$A,Personal!$D:$D,""),"")</f>
        <v>0</v>
      </c>
      <c r="D3111" s="9" cm="1">
        <f t="array" ref="D3111">IFERROR(_xlfn.XLOOKUP(B3111,Personal!$A:$A,Personal!$C:$C,""),"")</f>
        <v>0</v>
      </c>
      <c r="E3111" s="9" t="str" cm="1">
        <f t="array" ref="E3111">IFERROR(_xlfn.XLOOKUP(D3111,Locales!$A:$A,Locales!$B:$B,""),"")</f>
        <v/>
      </c>
      <c r="F3111" s="9" cm="1">
        <f t="array" ref="F3111">IFERROR(_xlfn.XLOOKUP(B3111,Personal!$A:$A,Personal!$F:$F,""),"")</f>
        <v>0</v>
      </c>
      <c r="I3111" s="10" cm="1">
        <f t="array" ref="I3111">IFERROR(INDEX(Precios!$D:$F,MATCH(N3111, Precios!$G:$G, 0),CHOOSE(MATCH(H3111, {"SML";"XL";"XXL"}, 0), 1, 2, 3)), 0)</f>
        <v>0</v>
      </c>
      <c r="K3111" s="10">
        <f t="shared" si="104"/>
        <v>0</v>
      </c>
      <c r="N3111" s="9" t="str">
        <f t="shared" si="105"/>
        <v/>
      </c>
      <c r="O3111" s="9" t="str">
        <f>IF(N3111="","",IF(COUNTIF(Precios!$G:$G,N3111)=0,"⚠ No coincide con Precios","OK"))</f>
        <v/>
      </c>
    </row>
    <row r="3112" spans="3:15" x14ac:dyDescent="0.2">
      <c r="C3112" s="9" cm="1">
        <f t="array" ref="C3112">IFERROR(_xlfn.XLOOKUP(B3112,Personal!$A:$A,Personal!$D:$D,""),"")</f>
        <v>0</v>
      </c>
      <c r="D3112" s="9" cm="1">
        <f t="array" ref="D3112">IFERROR(_xlfn.XLOOKUP(B3112,Personal!$A:$A,Personal!$C:$C,""),"")</f>
        <v>0</v>
      </c>
      <c r="E3112" s="9" t="str" cm="1">
        <f t="array" ref="E3112">IFERROR(_xlfn.XLOOKUP(D3112,Locales!$A:$A,Locales!$B:$B,""),"")</f>
        <v/>
      </c>
      <c r="F3112" s="9" cm="1">
        <f t="array" ref="F3112">IFERROR(_xlfn.XLOOKUP(B3112,Personal!$A:$A,Personal!$F:$F,""),"")</f>
        <v>0</v>
      </c>
      <c r="I3112" s="10" cm="1">
        <f t="array" ref="I3112">IFERROR(INDEX(Precios!$D:$F,MATCH(N3112, Precios!$G:$G, 0),CHOOSE(MATCH(H3112, {"SML";"XL";"XXL"}, 0), 1, 2, 3)), 0)</f>
        <v>0</v>
      </c>
      <c r="K3112" s="10">
        <f t="shared" si="104"/>
        <v>0</v>
      </c>
      <c r="N3112" s="9" t="str">
        <f t="shared" si="105"/>
        <v/>
      </c>
      <c r="O3112" s="9" t="str">
        <f>IF(N3112="","",IF(COUNTIF(Precios!$G:$G,N3112)=0,"⚠ No coincide con Precios","OK"))</f>
        <v/>
      </c>
    </row>
    <row r="3113" spans="3:15" x14ac:dyDescent="0.2">
      <c r="C3113" s="9" cm="1">
        <f t="array" ref="C3113">IFERROR(_xlfn.XLOOKUP(B3113,Personal!$A:$A,Personal!$D:$D,""),"")</f>
        <v>0</v>
      </c>
      <c r="D3113" s="9" cm="1">
        <f t="array" ref="D3113">IFERROR(_xlfn.XLOOKUP(B3113,Personal!$A:$A,Personal!$C:$C,""),"")</f>
        <v>0</v>
      </c>
      <c r="E3113" s="9" t="str" cm="1">
        <f t="array" ref="E3113">IFERROR(_xlfn.XLOOKUP(D3113,Locales!$A:$A,Locales!$B:$B,""),"")</f>
        <v/>
      </c>
      <c r="F3113" s="9" cm="1">
        <f t="array" ref="F3113">IFERROR(_xlfn.XLOOKUP(B3113,Personal!$A:$A,Personal!$F:$F,""),"")</f>
        <v>0</v>
      </c>
      <c r="I3113" s="10" cm="1">
        <f t="array" ref="I3113">IFERROR(INDEX(Precios!$D:$F,MATCH(N3113, Precios!$G:$G, 0),CHOOSE(MATCH(H3113, {"SML";"XL";"XXL"}, 0), 1, 2, 3)), 0)</f>
        <v>0</v>
      </c>
      <c r="K3113" s="10">
        <f t="shared" si="104"/>
        <v>0</v>
      </c>
      <c r="N3113" s="9" t="str">
        <f t="shared" si="105"/>
        <v/>
      </c>
      <c r="O3113" s="9" t="str">
        <f>IF(N3113="","",IF(COUNTIF(Precios!$G:$G,N3113)=0,"⚠ No coincide con Precios","OK"))</f>
        <v/>
      </c>
    </row>
    <row r="3114" spans="3:15" x14ac:dyDescent="0.2">
      <c r="C3114" s="9" cm="1">
        <f t="array" ref="C3114">IFERROR(_xlfn.XLOOKUP(B3114,Personal!$A:$A,Personal!$D:$D,""),"")</f>
        <v>0</v>
      </c>
      <c r="D3114" s="9" cm="1">
        <f t="array" ref="D3114">IFERROR(_xlfn.XLOOKUP(B3114,Personal!$A:$A,Personal!$C:$C,""),"")</f>
        <v>0</v>
      </c>
      <c r="E3114" s="9" t="str" cm="1">
        <f t="array" ref="E3114">IFERROR(_xlfn.XLOOKUP(D3114,Locales!$A:$A,Locales!$B:$B,""),"")</f>
        <v/>
      </c>
      <c r="F3114" s="9" cm="1">
        <f t="array" ref="F3114">IFERROR(_xlfn.XLOOKUP(B3114,Personal!$A:$A,Personal!$F:$F,""),"")</f>
        <v>0</v>
      </c>
      <c r="I3114" s="10" cm="1">
        <f t="array" ref="I3114">IFERROR(INDEX(Precios!$D:$F,MATCH(N3114, Precios!$G:$G, 0),CHOOSE(MATCH(H3114, {"SML";"XL";"XXL"}, 0), 1, 2, 3)), 0)</f>
        <v>0</v>
      </c>
      <c r="K3114" s="10">
        <f t="shared" si="104"/>
        <v>0</v>
      </c>
      <c r="N3114" s="9" t="str">
        <f t="shared" si="105"/>
        <v/>
      </c>
      <c r="O3114" s="9" t="str">
        <f>IF(N3114="","",IF(COUNTIF(Precios!$G:$G,N3114)=0,"⚠ No coincide con Precios","OK"))</f>
        <v/>
      </c>
    </row>
    <row r="3115" spans="3:15" x14ac:dyDescent="0.2">
      <c r="C3115" s="9" cm="1">
        <f t="array" ref="C3115">IFERROR(_xlfn.XLOOKUP(B3115,Personal!$A:$A,Personal!$D:$D,""),"")</f>
        <v>0</v>
      </c>
      <c r="D3115" s="9" cm="1">
        <f t="array" ref="D3115">IFERROR(_xlfn.XLOOKUP(B3115,Personal!$A:$A,Personal!$C:$C,""),"")</f>
        <v>0</v>
      </c>
      <c r="E3115" s="9" t="str" cm="1">
        <f t="array" ref="E3115">IFERROR(_xlfn.XLOOKUP(D3115,Locales!$A:$A,Locales!$B:$B,""),"")</f>
        <v/>
      </c>
      <c r="F3115" s="9" cm="1">
        <f t="array" ref="F3115">IFERROR(_xlfn.XLOOKUP(B3115,Personal!$A:$A,Personal!$F:$F,""),"")</f>
        <v>0</v>
      </c>
      <c r="I3115" s="10" cm="1">
        <f t="array" ref="I3115">IFERROR(INDEX(Precios!$D:$F,MATCH(N3115, Precios!$G:$G, 0),CHOOSE(MATCH(H3115, {"SML";"XL";"XXL"}, 0), 1, 2, 3)), 0)</f>
        <v>0</v>
      </c>
      <c r="K3115" s="10">
        <f t="shared" si="104"/>
        <v>0</v>
      </c>
      <c r="N3115" s="9" t="str">
        <f t="shared" si="105"/>
        <v/>
      </c>
      <c r="O3115" s="9" t="str">
        <f>IF(N3115="","",IF(COUNTIF(Precios!$G:$G,N3115)=0,"⚠ No coincide con Precios","OK"))</f>
        <v/>
      </c>
    </row>
    <row r="3116" spans="3:15" x14ac:dyDescent="0.2">
      <c r="C3116" s="9" cm="1">
        <f t="array" ref="C3116">IFERROR(_xlfn.XLOOKUP(B3116,Personal!$A:$A,Personal!$D:$D,""),"")</f>
        <v>0</v>
      </c>
      <c r="D3116" s="9" cm="1">
        <f t="array" ref="D3116">IFERROR(_xlfn.XLOOKUP(B3116,Personal!$A:$A,Personal!$C:$C,""),"")</f>
        <v>0</v>
      </c>
      <c r="E3116" s="9" t="str" cm="1">
        <f t="array" ref="E3116">IFERROR(_xlfn.XLOOKUP(D3116,Locales!$A:$A,Locales!$B:$B,""),"")</f>
        <v/>
      </c>
      <c r="F3116" s="9" cm="1">
        <f t="array" ref="F3116">IFERROR(_xlfn.XLOOKUP(B3116,Personal!$A:$A,Personal!$F:$F,""),"")</f>
        <v>0</v>
      </c>
      <c r="I3116" s="10" cm="1">
        <f t="array" ref="I3116">IFERROR(INDEX(Precios!$D:$F,MATCH(N3116, Precios!$G:$G, 0),CHOOSE(MATCH(H3116, {"SML";"XL";"XXL"}, 0), 1, 2, 3)), 0)</f>
        <v>0</v>
      </c>
      <c r="K3116" s="10">
        <f t="shared" si="104"/>
        <v>0</v>
      </c>
      <c r="N3116" s="9" t="str">
        <f t="shared" si="105"/>
        <v/>
      </c>
      <c r="O3116" s="9" t="str">
        <f>IF(N3116="","",IF(COUNTIF(Precios!$G:$G,N3116)=0,"⚠ No coincide con Precios","OK"))</f>
        <v/>
      </c>
    </row>
    <row r="3117" spans="3:15" x14ac:dyDescent="0.2">
      <c r="C3117" s="9" cm="1">
        <f t="array" ref="C3117">IFERROR(_xlfn.XLOOKUP(B3117,Personal!$A:$A,Personal!$D:$D,""),"")</f>
        <v>0</v>
      </c>
      <c r="D3117" s="9" cm="1">
        <f t="array" ref="D3117">IFERROR(_xlfn.XLOOKUP(B3117,Personal!$A:$A,Personal!$C:$C,""),"")</f>
        <v>0</v>
      </c>
      <c r="E3117" s="9" t="str" cm="1">
        <f t="array" ref="E3117">IFERROR(_xlfn.XLOOKUP(D3117,Locales!$A:$A,Locales!$B:$B,""),"")</f>
        <v/>
      </c>
      <c r="F3117" s="9" cm="1">
        <f t="array" ref="F3117">IFERROR(_xlfn.XLOOKUP(B3117,Personal!$A:$A,Personal!$F:$F,""),"")</f>
        <v>0</v>
      </c>
      <c r="I3117" s="10" cm="1">
        <f t="array" ref="I3117">IFERROR(INDEX(Precios!$D:$F,MATCH(N3117, Precios!$G:$G, 0),CHOOSE(MATCH(H3117, {"SML";"XL";"XXL"}, 0), 1, 2, 3)), 0)</f>
        <v>0</v>
      </c>
      <c r="K3117" s="10">
        <f t="shared" si="104"/>
        <v>0</v>
      </c>
      <c r="N3117" s="9" t="str">
        <f t="shared" si="105"/>
        <v/>
      </c>
      <c r="O3117" s="9" t="str">
        <f>IF(N3117="","",IF(COUNTIF(Precios!$G:$G,N3117)=0,"⚠ No coincide con Precios","OK"))</f>
        <v/>
      </c>
    </row>
    <row r="3118" spans="3:15" x14ac:dyDescent="0.2">
      <c r="C3118" s="9" cm="1">
        <f t="array" ref="C3118">IFERROR(_xlfn.XLOOKUP(B3118,Personal!$A:$A,Personal!$D:$D,""),"")</f>
        <v>0</v>
      </c>
      <c r="D3118" s="9" cm="1">
        <f t="array" ref="D3118">IFERROR(_xlfn.XLOOKUP(B3118,Personal!$A:$A,Personal!$C:$C,""),"")</f>
        <v>0</v>
      </c>
      <c r="E3118" s="9" t="str" cm="1">
        <f t="array" ref="E3118">IFERROR(_xlfn.XLOOKUP(D3118,Locales!$A:$A,Locales!$B:$B,""),"")</f>
        <v/>
      </c>
      <c r="F3118" s="9" cm="1">
        <f t="array" ref="F3118">IFERROR(_xlfn.XLOOKUP(B3118,Personal!$A:$A,Personal!$F:$F,""),"")</f>
        <v>0</v>
      </c>
      <c r="I3118" s="10" cm="1">
        <f t="array" ref="I3118">IFERROR(INDEX(Precios!$D:$F,MATCH(N3118, Precios!$G:$G, 0),CHOOSE(MATCH(H3118, {"SML";"XL";"XXL"}, 0), 1, 2, 3)), 0)</f>
        <v>0</v>
      </c>
      <c r="K3118" s="10">
        <f t="shared" si="104"/>
        <v>0</v>
      </c>
      <c r="N3118" s="9" t="str">
        <f t="shared" si="105"/>
        <v/>
      </c>
      <c r="O3118" s="9" t="str">
        <f>IF(N3118="","",IF(COUNTIF(Precios!$G:$G,N3118)=0,"⚠ No coincide con Precios","OK"))</f>
        <v/>
      </c>
    </row>
    <row r="3119" spans="3:15" x14ac:dyDescent="0.2">
      <c r="C3119" s="9" cm="1">
        <f t="array" ref="C3119">IFERROR(_xlfn.XLOOKUP(B3119,Personal!$A:$A,Personal!$D:$D,""),"")</f>
        <v>0</v>
      </c>
      <c r="D3119" s="9" cm="1">
        <f t="array" ref="D3119">IFERROR(_xlfn.XLOOKUP(B3119,Personal!$A:$A,Personal!$C:$C,""),"")</f>
        <v>0</v>
      </c>
      <c r="E3119" s="9" t="str" cm="1">
        <f t="array" ref="E3119">IFERROR(_xlfn.XLOOKUP(D3119,Locales!$A:$A,Locales!$B:$B,""),"")</f>
        <v/>
      </c>
      <c r="F3119" s="9" cm="1">
        <f t="array" ref="F3119">IFERROR(_xlfn.XLOOKUP(B3119,Personal!$A:$A,Personal!$F:$F,""),"")</f>
        <v>0</v>
      </c>
      <c r="I3119" s="10" cm="1">
        <f t="array" ref="I3119">IFERROR(INDEX(Precios!$D:$F,MATCH(N3119, Precios!$G:$G, 0),CHOOSE(MATCH(H3119, {"SML";"XL";"XXL"}, 0), 1, 2, 3)), 0)</f>
        <v>0</v>
      </c>
      <c r="K3119" s="10">
        <f t="shared" si="104"/>
        <v>0</v>
      </c>
      <c r="N3119" s="9" t="str">
        <f t="shared" si="105"/>
        <v/>
      </c>
      <c r="O3119" s="9" t="str">
        <f>IF(N3119="","",IF(COUNTIF(Precios!$G:$G,N3119)=0,"⚠ No coincide con Precios","OK"))</f>
        <v/>
      </c>
    </row>
    <row r="3120" spans="3:15" x14ac:dyDescent="0.2">
      <c r="C3120" s="9" cm="1">
        <f t="array" ref="C3120">IFERROR(_xlfn.XLOOKUP(B3120,Personal!$A:$A,Personal!$D:$D,""),"")</f>
        <v>0</v>
      </c>
      <c r="D3120" s="9" cm="1">
        <f t="array" ref="D3120">IFERROR(_xlfn.XLOOKUP(B3120,Personal!$A:$A,Personal!$C:$C,""),"")</f>
        <v>0</v>
      </c>
      <c r="E3120" s="9" t="str" cm="1">
        <f t="array" ref="E3120">IFERROR(_xlfn.XLOOKUP(D3120,Locales!$A:$A,Locales!$B:$B,""),"")</f>
        <v/>
      </c>
      <c r="F3120" s="9" cm="1">
        <f t="array" ref="F3120">IFERROR(_xlfn.XLOOKUP(B3120,Personal!$A:$A,Personal!$F:$F,""),"")</f>
        <v>0</v>
      </c>
      <c r="I3120" s="10" cm="1">
        <f t="array" ref="I3120">IFERROR(INDEX(Precios!$D:$F,MATCH(N3120, Precios!$G:$G, 0),CHOOSE(MATCH(H3120, {"SML";"XL";"XXL"}, 0), 1, 2, 3)), 0)</f>
        <v>0</v>
      </c>
      <c r="K3120" s="10">
        <f t="shared" si="104"/>
        <v>0</v>
      </c>
      <c r="N3120" s="9" t="str">
        <f t="shared" si="105"/>
        <v/>
      </c>
      <c r="O3120" s="9" t="str">
        <f>IF(N3120="","",IF(COUNTIF(Precios!$G:$G,N3120)=0,"⚠ No coincide con Precios","OK"))</f>
        <v/>
      </c>
    </row>
    <row r="3121" spans="3:15" x14ac:dyDescent="0.2">
      <c r="C3121" s="9" cm="1">
        <f t="array" ref="C3121">IFERROR(_xlfn.XLOOKUP(B3121,Personal!$A:$A,Personal!$D:$D,""),"")</f>
        <v>0</v>
      </c>
      <c r="D3121" s="9" cm="1">
        <f t="array" ref="D3121">IFERROR(_xlfn.XLOOKUP(B3121,Personal!$A:$A,Personal!$C:$C,""),"")</f>
        <v>0</v>
      </c>
      <c r="E3121" s="9" t="str" cm="1">
        <f t="array" ref="E3121">IFERROR(_xlfn.XLOOKUP(D3121,Locales!$A:$A,Locales!$B:$B,""),"")</f>
        <v/>
      </c>
      <c r="F3121" s="9" cm="1">
        <f t="array" ref="F3121">IFERROR(_xlfn.XLOOKUP(B3121,Personal!$A:$A,Personal!$F:$F,""),"")</f>
        <v>0</v>
      </c>
      <c r="I3121" s="10" cm="1">
        <f t="array" ref="I3121">IFERROR(INDEX(Precios!$D:$F,MATCH(N3121, Precios!$G:$G, 0),CHOOSE(MATCH(H3121, {"SML";"XL";"XXL"}, 0), 1, 2, 3)), 0)</f>
        <v>0</v>
      </c>
      <c r="K3121" s="10">
        <f t="shared" si="104"/>
        <v>0</v>
      </c>
      <c r="N3121" s="9" t="str">
        <f t="shared" si="105"/>
        <v/>
      </c>
      <c r="O3121" s="9" t="str">
        <f>IF(N3121="","",IF(COUNTIF(Precios!$G:$G,N3121)=0,"⚠ No coincide con Precios","OK"))</f>
        <v/>
      </c>
    </row>
    <row r="3122" spans="3:15" x14ac:dyDescent="0.2">
      <c r="C3122" s="9" cm="1">
        <f t="array" ref="C3122">IFERROR(_xlfn.XLOOKUP(B3122,Personal!$A:$A,Personal!$D:$D,""),"")</f>
        <v>0</v>
      </c>
      <c r="D3122" s="9" cm="1">
        <f t="array" ref="D3122">IFERROR(_xlfn.XLOOKUP(B3122,Personal!$A:$A,Personal!$C:$C,""),"")</f>
        <v>0</v>
      </c>
      <c r="E3122" s="9" t="str" cm="1">
        <f t="array" ref="E3122">IFERROR(_xlfn.XLOOKUP(D3122,Locales!$A:$A,Locales!$B:$B,""),"")</f>
        <v/>
      </c>
      <c r="F3122" s="9" cm="1">
        <f t="array" ref="F3122">IFERROR(_xlfn.XLOOKUP(B3122,Personal!$A:$A,Personal!$F:$F,""),"")</f>
        <v>0</v>
      </c>
      <c r="I3122" s="10" cm="1">
        <f t="array" ref="I3122">IFERROR(INDEX(Precios!$D:$F,MATCH(N3122, Precios!$G:$G, 0),CHOOSE(MATCH(H3122, {"SML";"XL";"XXL"}, 0), 1, 2, 3)), 0)</f>
        <v>0</v>
      </c>
      <c r="K3122" s="10">
        <f t="shared" si="104"/>
        <v>0</v>
      </c>
      <c r="N3122" s="9" t="str">
        <f t="shared" si="105"/>
        <v/>
      </c>
      <c r="O3122" s="9" t="str">
        <f>IF(N3122="","",IF(COUNTIF(Precios!$G:$G,N3122)=0,"⚠ No coincide con Precios","OK"))</f>
        <v/>
      </c>
    </row>
    <row r="3123" spans="3:15" x14ac:dyDescent="0.2">
      <c r="C3123" s="9" cm="1">
        <f t="array" ref="C3123">IFERROR(_xlfn.XLOOKUP(B3123,Personal!$A:$A,Personal!$D:$D,""),"")</f>
        <v>0</v>
      </c>
      <c r="D3123" s="9" cm="1">
        <f t="array" ref="D3123">IFERROR(_xlfn.XLOOKUP(B3123,Personal!$A:$A,Personal!$C:$C,""),"")</f>
        <v>0</v>
      </c>
      <c r="E3123" s="9" t="str" cm="1">
        <f t="array" ref="E3123">IFERROR(_xlfn.XLOOKUP(D3123,Locales!$A:$A,Locales!$B:$B,""),"")</f>
        <v/>
      </c>
      <c r="F3123" s="9" cm="1">
        <f t="array" ref="F3123">IFERROR(_xlfn.XLOOKUP(B3123,Personal!$A:$A,Personal!$F:$F,""),"")</f>
        <v>0</v>
      </c>
      <c r="I3123" s="10" cm="1">
        <f t="array" ref="I3123">IFERROR(INDEX(Precios!$D:$F,MATCH(N3123, Precios!$G:$G, 0),CHOOSE(MATCH(H3123, {"SML";"XL";"XXL"}, 0), 1, 2, 3)), 0)</f>
        <v>0</v>
      </c>
      <c r="K3123" s="10">
        <f t="shared" si="104"/>
        <v>0</v>
      </c>
      <c r="N3123" s="9" t="str">
        <f t="shared" si="105"/>
        <v/>
      </c>
      <c r="O3123" s="9" t="str">
        <f>IF(N3123="","",IF(COUNTIF(Precios!$G:$G,N3123)=0,"⚠ No coincide con Precios","OK"))</f>
        <v/>
      </c>
    </row>
    <row r="3124" spans="3:15" x14ac:dyDescent="0.2">
      <c r="C3124" s="9" cm="1">
        <f t="array" ref="C3124">IFERROR(_xlfn.XLOOKUP(B3124,Personal!$A:$A,Personal!$D:$D,""),"")</f>
        <v>0</v>
      </c>
      <c r="D3124" s="9" cm="1">
        <f t="array" ref="D3124">IFERROR(_xlfn.XLOOKUP(B3124,Personal!$A:$A,Personal!$C:$C,""),"")</f>
        <v>0</v>
      </c>
      <c r="E3124" s="9" t="str" cm="1">
        <f t="array" ref="E3124">IFERROR(_xlfn.XLOOKUP(D3124,Locales!$A:$A,Locales!$B:$B,""),"")</f>
        <v/>
      </c>
      <c r="F3124" s="9" cm="1">
        <f t="array" ref="F3124">IFERROR(_xlfn.XLOOKUP(B3124,Personal!$A:$A,Personal!$F:$F,""),"")</f>
        <v>0</v>
      </c>
      <c r="I3124" s="10" cm="1">
        <f t="array" ref="I3124">IFERROR(INDEX(Precios!$D:$F,MATCH(N3124, Precios!$G:$G, 0),CHOOSE(MATCH(H3124, {"SML";"XL";"XXL"}, 0), 1, 2, 3)), 0)</f>
        <v>0</v>
      </c>
      <c r="K3124" s="10">
        <f t="shared" si="104"/>
        <v>0</v>
      </c>
      <c r="N3124" s="9" t="str">
        <f t="shared" si="105"/>
        <v/>
      </c>
      <c r="O3124" s="9" t="str">
        <f>IF(N3124="","",IF(COUNTIF(Precios!$G:$G,N3124)=0,"⚠ No coincide con Precios","OK"))</f>
        <v/>
      </c>
    </row>
    <row r="3125" spans="3:15" x14ac:dyDescent="0.2">
      <c r="C3125" s="9" cm="1">
        <f t="array" ref="C3125">IFERROR(_xlfn.XLOOKUP(B3125,Personal!$A:$A,Personal!$D:$D,""),"")</f>
        <v>0</v>
      </c>
      <c r="D3125" s="9" cm="1">
        <f t="array" ref="D3125">IFERROR(_xlfn.XLOOKUP(B3125,Personal!$A:$A,Personal!$C:$C,""),"")</f>
        <v>0</v>
      </c>
      <c r="E3125" s="9" t="str" cm="1">
        <f t="array" ref="E3125">IFERROR(_xlfn.XLOOKUP(D3125,Locales!$A:$A,Locales!$B:$B,""),"")</f>
        <v/>
      </c>
      <c r="F3125" s="9" cm="1">
        <f t="array" ref="F3125">IFERROR(_xlfn.XLOOKUP(B3125,Personal!$A:$A,Personal!$F:$F,""),"")</f>
        <v>0</v>
      </c>
      <c r="I3125" s="10" cm="1">
        <f t="array" ref="I3125">IFERROR(INDEX(Precios!$D:$F,MATCH(N3125, Precios!$G:$G, 0),CHOOSE(MATCH(H3125, {"SML";"XL";"XXL"}, 0), 1, 2, 3)), 0)</f>
        <v>0</v>
      </c>
      <c r="K3125" s="10">
        <f t="shared" si="104"/>
        <v>0</v>
      </c>
      <c r="N3125" s="9" t="str">
        <f t="shared" si="105"/>
        <v/>
      </c>
      <c r="O3125" s="9" t="str">
        <f>IF(N3125="","",IF(COUNTIF(Precios!$G:$G,N3125)=0,"⚠ No coincide con Precios","OK"))</f>
        <v/>
      </c>
    </row>
    <row r="3126" spans="3:15" x14ac:dyDescent="0.2">
      <c r="C3126" s="9" cm="1">
        <f t="array" ref="C3126">IFERROR(_xlfn.XLOOKUP(B3126,Personal!$A:$A,Personal!$D:$D,""),"")</f>
        <v>0</v>
      </c>
      <c r="D3126" s="9" cm="1">
        <f t="array" ref="D3126">IFERROR(_xlfn.XLOOKUP(B3126,Personal!$A:$A,Personal!$C:$C,""),"")</f>
        <v>0</v>
      </c>
      <c r="E3126" s="9" t="str" cm="1">
        <f t="array" ref="E3126">IFERROR(_xlfn.XLOOKUP(D3126,Locales!$A:$A,Locales!$B:$B,""),"")</f>
        <v/>
      </c>
      <c r="F3126" s="9" cm="1">
        <f t="array" ref="F3126">IFERROR(_xlfn.XLOOKUP(B3126,Personal!$A:$A,Personal!$F:$F,""),"")</f>
        <v>0</v>
      </c>
      <c r="I3126" s="10" cm="1">
        <f t="array" ref="I3126">IFERROR(INDEX(Precios!$D:$F,MATCH(N3126, Precios!$G:$G, 0),CHOOSE(MATCH(H3126, {"SML";"XL";"XXL"}, 0), 1, 2, 3)), 0)</f>
        <v>0</v>
      </c>
      <c r="K3126" s="10">
        <f t="shared" si="104"/>
        <v>0</v>
      </c>
      <c r="N3126" s="9" t="str">
        <f t="shared" si="105"/>
        <v/>
      </c>
      <c r="O3126" s="9" t="str">
        <f>IF(N3126="","",IF(COUNTIF(Precios!$G:$G,N3126)=0,"⚠ No coincide con Precios","OK"))</f>
        <v/>
      </c>
    </row>
    <row r="3127" spans="3:15" x14ac:dyDescent="0.2">
      <c r="C3127" s="9" cm="1">
        <f t="array" ref="C3127">IFERROR(_xlfn.XLOOKUP(B3127,Personal!$A:$A,Personal!$D:$D,""),"")</f>
        <v>0</v>
      </c>
      <c r="D3127" s="9" cm="1">
        <f t="array" ref="D3127">IFERROR(_xlfn.XLOOKUP(B3127,Personal!$A:$A,Personal!$C:$C,""),"")</f>
        <v>0</v>
      </c>
      <c r="E3127" s="9" t="str" cm="1">
        <f t="array" ref="E3127">IFERROR(_xlfn.XLOOKUP(D3127,Locales!$A:$A,Locales!$B:$B,""),"")</f>
        <v/>
      </c>
      <c r="F3127" s="9" cm="1">
        <f t="array" ref="F3127">IFERROR(_xlfn.XLOOKUP(B3127,Personal!$A:$A,Personal!$F:$F,""),"")</f>
        <v>0</v>
      </c>
      <c r="I3127" s="10" cm="1">
        <f t="array" ref="I3127">IFERROR(INDEX(Precios!$D:$F,MATCH(N3127, Precios!$G:$G, 0),CHOOSE(MATCH(H3127, {"SML";"XL";"XXL"}, 0), 1, 2, 3)), 0)</f>
        <v>0</v>
      </c>
      <c r="K3127" s="10">
        <f t="shared" si="104"/>
        <v>0</v>
      </c>
      <c r="N3127" s="9" t="str">
        <f t="shared" si="105"/>
        <v/>
      </c>
      <c r="O3127" s="9" t="str">
        <f>IF(N3127="","",IF(COUNTIF(Precios!$G:$G,N3127)=0,"⚠ No coincide con Precios","OK"))</f>
        <v/>
      </c>
    </row>
    <row r="3128" spans="3:15" x14ac:dyDescent="0.2">
      <c r="C3128" s="9" cm="1">
        <f t="array" ref="C3128">IFERROR(_xlfn.XLOOKUP(B3128,Personal!$A:$A,Personal!$D:$D,""),"")</f>
        <v>0</v>
      </c>
      <c r="D3128" s="9" cm="1">
        <f t="array" ref="D3128">IFERROR(_xlfn.XLOOKUP(B3128,Personal!$A:$A,Personal!$C:$C,""),"")</f>
        <v>0</v>
      </c>
      <c r="E3128" s="9" t="str" cm="1">
        <f t="array" ref="E3128">IFERROR(_xlfn.XLOOKUP(D3128,Locales!$A:$A,Locales!$B:$B,""),"")</f>
        <v/>
      </c>
      <c r="F3128" s="9" cm="1">
        <f t="array" ref="F3128">IFERROR(_xlfn.XLOOKUP(B3128,Personal!$A:$A,Personal!$F:$F,""),"")</f>
        <v>0</v>
      </c>
      <c r="I3128" s="10" cm="1">
        <f t="array" ref="I3128">IFERROR(INDEX(Precios!$D:$F,MATCH(N3128, Precios!$G:$G, 0),CHOOSE(MATCH(H3128, {"SML";"XL";"XXL"}, 0), 1, 2, 3)), 0)</f>
        <v>0</v>
      </c>
      <c r="K3128" s="10">
        <f t="shared" si="104"/>
        <v>0</v>
      </c>
      <c r="N3128" s="9" t="str">
        <f t="shared" si="105"/>
        <v/>
      </c>
      <c r="O3128" s="9" t="str">
        <f>IF(N3128="","",IF(COUNTIF(Precios!$G:$G,N3128)=0,"⚠ No coincide con Precios","OK"))</f>
        <v/>
      </c>
    </row>
    <row r="3129" spans="3:15" x14ac:dyDescent="0.2">
      <c r="C3129" s="9" cm="1">
        <f t="array" ref="C3129">IFERROR(_xlfn.XLOOKUP(B3129,Personal!$A:$A,Personal!$D:$D,""),"")</f>
        <v>0</v>
      </c>
      <c r="D3129" s="9" cm="1">
        <f t="array" ref="D3129">IFERROR(_xlfn.XLOOKUP(B3129,Personal!$A:$A,Personal!$C:$C,""),"")</f>
        <v>0</v>
      </c>
      <c r="E3129" s="9" t="str" cm="1">
        <f t="array" ref="E3129">IFERROR(_xlfn.XLOOKUP(D3129,Locales!$A:$A,Locales!$B:$B,""),"")</f>
        <v/>
      </c>
      <c r="F3129" s="9" cm="1">
        <f t="array" ref="F3129">IFERROR(_xlfn.XLOOKUP(B3129,Personal!$A:$A,Personal!$F:$F,""),"")</f>
        <v>0</v>
      </c>
      <c r="I3129" s="10" cm="1">
        <f t="array" ref="I3129">IFERROR(INDEX(Precios!$D:$F,MATCH(N3129, Precios!$G:$G, 0),CHOOSE(MATCH(H3129, {"SML";"XL";"XXL"}, 0), 1, 2, 3)), 0)</f>
        <v>0</v>
      </c>
      <c r="K3129" s="10">
        <f t="shared" si="104"/>
        <v>0</v>
      </c>
      <c r="N3129" s="9" t="str">
        <f t="shared" si="105"/>
        <v/>
      </c>
      <c r="O3129" s="9" t="str">
        <f>IF(N3129="","",IF(COUNTIF(Precios!$G:$G,N3129)=0,"⚠ No coincide con Precios","OK"))</f>
        <v/>
      </c>
    </row>
    <row r="3130" spans="3:15" x14ac:dyDescent="0.2">
      <c r="C3130" s="9" cm="1">
        <f t="array" ref="C3130">IFERROR(_xlfn.XLOOKUP(B3130,Personal!$A:$A,Personal!$D:$D,""),"")</f>
        <v>0</v>
      </c>
      <c r="D3130" s="9" cm="1">
        <f t="array" ref="D3130">IFERROR(_xlfn.XLOOKUP(B3130,Personal!$A:$A,Personal!$C:$C,""),"")</f>
        <v>0</v>
      </c>
      <c r="E3130" s="9" t="str" cm="1">
        <f t="array" ref="E3130">IFERROR(_xlfn.XLOOKUP(D3130,Locales!$A:$A,Locales!$B:$B,""),"")</f>
        <v/>
      </c>
      <c r="F3130" s="9" cm="1">
        <f t="array" ref="F3130">IFERROR(_xlfn.XLOOKUP(B3130,Personal!$A:$A,Personal!$F:$F,""),"")</f>
        <v>0</v>
      </c>
      <c r="I3130" s="10" cm="1">
        <f t="array" ref="I3130">IFERROR(INDEX(Precios!$D:$F,MATCH(N3130, Precios!$G:$G, 0),CHOOSE(MATCH(H3130, {"SML";"XL";"XXL"}, 0), 1, 2, 3)), 0)</f>
        <v>0</v>
      </c>
      <c r="K3130" s="10">
        <f t="shared" si="104"/>
        <v>0</v>
      </c>
      <c r="N3130" s="9" t="str">
        <f t="shared" si="105"/>
        <v/>
      </c>
      <c r="O3130" s="9" t="str">
        <f>IF(N3130="","",IF(COUNTIF(Precios!$G:$G,N3130)=0,"⚠ No coincide con Precios","OK"))</f>
        <v/>
      </c>
    </row>
    <row r="3131" spans="3:15" x14ac:dyDescent="0.2">
      <c r="C3131" s="9" cm="1">
        <f t="array" ref="C3131">IFERROR(_xlfn.XLOOKUP(B3131,Personal!$A:$A,Personal!$D:$D,""),"")</f>
        <v>0</v>
      </c>
      <c r="D3131" s="9" cm="1">
        <f t="array" ref="D3131">IFERROR(_xlfn.XLOOKUP(B3131,Personal!$A:$A,Personal!$C:$C,""),"")</f>
        <v>0</v>
      </c>
      <c r="E3131" s="9" t="str" cm="1">
        <f t="array" ref="E3131">IFERROR(_xlfn.XLOOKUP(D3131,Locales!$A:$A,Locales!$B:$B,""),"")</f>
        <v/>
      </c>
      <c r="F3131" s="9" cm="1">
        <f t="array" ref="F3131">IFERROR(_xlfn.XLOOKUP(B3131,Personal!$A:$A,Personal!$F:$F,""),"")</f>
        <v>0</v>
      </c>
      <c r="I3131" s="10" cm="1">
        <f t="array" ref="I3131">IFERROR(INDEX(Precios!$D:$F,MATCH(N3131, Precios!$G:$G, 0),CHOOSE(MATCH(H3131, {"SML";"XL";"XXL"}, 0), 1, 2, 3)), 0)</f>
        <v>0</v>
      </c>
      <c r="K3131" s="10">
        <f t="shared" si="104"/>
        <v>0</v>
      </c>
      <c r="N3131" s="9" t="str">
        <f t="shared" si="105"/>
        <v/>
      </c>
      <c r="O3131" s="9" t="str">
        <f>IF(N3131="","",IF(COUNTIF(Precios!$G:$G,N3131)=0,"⚠ No coincide con Precios","OK"))</f>
        <v/>
      </c>
    </row>
    <row r="3132" spans="3:15" x14ac:dyDescent="0.2">
      <c r="C3132" s="9" cm="1">
        <f t="array" ref="C3132">IFERROR(_xlfn.XLOOKUP(B3132,Personal!$A:$A,Personal!$D:$D,""),"")</f>
        <v>0</v>
      </c>
      <c r="D3132" s="9" cm="1">
        <f t="array" ref="D3132">IFERROR(_xlfn.XLOOKUP(B3132,Personal!$A:$A,Personal!$C:$C,""),"")</f>
        <v>0</v>
      </c>
      <c r="E3132" s="9" t="str" cm="1">
        <f t="array" ref="E3132">IFERROR(_xlfn.XLOOKUP(D3132,Locales!$A:$A,Locales!$B:$B,""),"")</f>
        <v/>
      </c>
      <c r="F3132" s="9" cm="1">
        <f t="array" ref="F3132">IFERROR(_xlfn.XLOOKUP(B3132,Personal!$A:$A,Personal!$F:$F,""),"")</f>
        <v>0</v>
      </c>
      <c r="I3132" s="10" cm="1">
        <f t="array" ref="I3132">IFERROR(INDEX(Precios!$D:$F,MATCH(N3132, Precios!$G:$G, 0),CHOOSE(MATCH(H3132, {"SML";"XL";"XXL"}, 0), 1, 2, 3)), 0)</f>
        <v>0</v>
      </c>
      <c r="K3132" s="10">
        <f t="shared" si="104"/>
        <v>0</v>
      </c>
      <c r="N3132" s="9" t="str">
        <f t="shared" si="105"/>
        <v/>
      </c>
      <c r="O3132" s="9" t="str">
        <f>IF(N3132="","",IF(COUNTIF(Precios!$G:$G,N3132)=0,"⚠ No coincide con Precios","OK"))</f>
        <v/>
      </c>
    </row>
    <row r="3133" spans="3:15" x14ac:dyDescent="0.2">
      <c r="C3133" s="9" cm="1">
        <f t="array" ref="C3133">IFERROR(_xlfn.XLOOKUP(B3133,Personal!$A:$A,Personal!$D:$D,""),"")</f>
        <v>0</v>
      </c>
      <c r="D3133" s="9" cm="1">
        <f t="array" ref="D3133">IFERROR(_xlfn.XLOOKUP(B3133,Personal!$A:$A,Personal!$C:$C,""),"")</f>
        <v>0</v>
      </c>
      <c r="E3133" s="9" t="str" cm="1">
        <f t="array" ref="E3133">IFERROR(_xlfn.XLOOKUP(D3133,Locales!$A:$A,Locales!$B:$B,""),"")</f>
        <v/>
      </c>
      <c r="F3133" s="9" cm="1">
        <f t="array" ref="F3133">IFERROR(_xlfn.XLOOKUP(B3133,Personal!$A:$A,Personal!$F:$F,""),"")</f>
        <v>0</v>
      </c>
      <c r="I3133" s="10" cm="1">
        <f t="array" ref="I3133">IFERROR(INDEX(Precios!$D:$F,MATCH(N3133, Precios!$G:$G, 0),CHOOSE(MATCH(H3133, {"SML";"XL";"XXL"}, 0), 1, 2, 3)), 0)</f>
        <v>0</v>
      </c>
      <c r="K3133" s="10">
        <f t="shared" si="104"/>
        <v>0</v>
      </c>
      <c r="N3133" s="9" t="str">
        <f t="shared" si="105"/>
        <v/>
      </c>
      <c r="O3133" s="9" t="str">
        <f>IF(N3133="","",IF(COUNTIF(Precios!$G:$G,N3133)=0,"⚠ No coincide con Precios","OK"))</f>
        <v/>
      </c>
    </row>
    <row r="3134" spans="3:15" x14ac:dyDescent="0.2">
      <c r="C3134" s="9" cm="1">
        <f t="array" ref="C3134">IFERROR(_xlfn.XLOOKUP(B3134,Personal!$A:$A,Personal!$D:$D,""),"")</f>
        <v>0</v>
      </c>
      <c r="D3134" s="9" cm="1">
        <f t="array" ref="D3134">IFERROR(_xlfn.XLOOKUP(B3134,Personal!$A:$A,Personal!$C:$C,""),"")</f>
        <v>0</v>
      </c>
      <c r="E3134" s="9" t="str" cm="1">
        <f t="array" ref="E3134">IFERROR(_xlfn.XLOOKUP(D3134,Locales!$A:$A,Locales!$B:$B,""),"")</f>
        <v/>
      </c>
      <c r="F3134" s="9" cm="1">
        <f t="array" ref="F3134">IFERROR(_xlfn.XLOOKUP(B3134,Personal!$A:$A,Personal!$F:$F,""),"")</f>
        <v>0</v>
      </c>
      <c r="I3134" s="10" cm="1">
        <f t="array" ref="I3134">IFERROR(INDEX(Precios!$D:$F,MATCH(N3134, Precios!$G:$G, 0),CHOOSE(MATCH(H3134, {"SML";"XL";"XXL"}, 0), 1, 2, 3)), 0)</f>
        <v>0</v>
      </c>
      <c r="K3134" s="10">
        <f t="shared" si="104"/>
        <v>0</v>
      </c>
      <c r="N3134" s="9" t="str">
        <f t="shared" si="105"/>
        <v/>
      </c>
      <c r="O3134" s="9" t="str">
        <f>IF(N3134="","",IF(COUNTIF(Precios!$G:$G,N3134)=0,"⚠ No coincide con Precios","OK"))</f>
        <v/>
      </c>
    </row>
    <row r="3135" spans="3:15" x14ac:dyDescent="0.2">
      <c r="C3135" s="9" cm="1">
        <f t="array" ref="C3135">IFERROR(_xlfn.XLOOKUP(B3135,Personal!$A:$A,Personal!$D:$D,""),"")</f>
        <v>0</v>
      </c>
      <c r="D3135" s="9" cm="1">
        <f t="array" ref="D3135">IFERROR(_xlfn.XLOOKUP(B3135,Personal!$A:$A,Personal!$C:$C,""),"")</f>
        <v>0</v>
      </c>
      <c r="E3135" s="9" t="str" cm="1">
        <f t="array" ref="E3135">IFERROR(_xlfn.XLOOKUP(D3135,Locales!$A:$A,Locales!$B:$B,""),"")</f>
        <v/>
      </c>
      <c r="F3135" s="9" cm="1">
        <f t="array" ref="F3135">IFERROR(_xlfn.XLOOKUP(B3135,Personal!$A:$A,Personal!$F:$F,""),"")</f>
        <v>0</v>
      </c>
      <c r="I3135" s="10" cm="1">
        <f t="array" ref="I3135">IFERROR(INDEX(Precios!$D:$F,MATCH(N3135, Precios!$G:$G, 0),CHOOSE(MATCH(H3135, {"SML";"XL";"XXL"}, 0), 1, 2, 3)), 0)</f>
        <v>0</v>
      </c>
      <c r="K3135" s="10">
        <f t="shared" si="104"/>
        <v>0</v>
      </c>
      <c r="N3135" s="9" t="str">
        <f t="shared" si="105"/>
        <v/>
      </c>
      <c r="O3135" s="9" t="str">
        <f>IF(N3135="","",IF(COUNTIF(Precios!$G:$G,N3135)=0,"⚠ No coincide con Precios","OK"))</f>
        <v/>
      </c>
    </row>
    <row r="3136" spans="3:15" x14ac:dyDescent="0.2">
      <c r="C3136" s="9" cm="1">
        <f t="array" ref="C3136">IFERROR(_xlfn.XLOOKUP(B3136,Personal!$A:$A,Personal!$D:$D,""),"")</f>
        <v>0</v>
      </c>
      <c r="D3136" s="9" cm="1">
        <f t="array" ref="D3136">IFERROR(_xlfn.XLOOKUP(B3136,Personal!$A:$A,Personal!$C:$C,""),"")</f>
        <v>0</v>
      </c>
      <c r="E3136" s="9" t="str" cm="1">
        <f t="array" ref="E3136">IFERROR(_xlfn.XLOOKUP(D3136,Locales!$A:$A,Locales!$B:$B,""),"")</f>
        <v/>
      </c>
      <c r="F3136" s="9" cm="1">
        <f t="array" ref="F3136">IFERROR(_xlfn.XLOOKUP(B3136,Personal!$A:$A,Personal!$F:$F,""),"")</f>
        <v>0</v>
      </c>
      <c r="I3136" s="10" cm="1">
        <f t="array" ref="I3136">IFERROR(INDEX(Precios!$D:$F,MATCH(N3136, Precios!$G:$G, 0),CHOOSE(MATCH(H3136, {"SML";"XL";"XXL"}, 0), 1, 2, 3)), 0)</f>
        <v>0</v>
      </c>
      <c r="K3136" s="10">
        <f t="shared" ref="K3136:K3199" si="106">IFERROR(I3136*J3136,0)</f>
        <v>0</v>
      </c>
      <c r="N3136" s="9" t="str">
        <f t="shared" ref="N3136:N3199" si="107">IF( OR(E3136="",F3136="",G3136=""), "",CLEAN(TRIM(E3136)) &amp; "|" &amp; CLEAN(TRIM(F3136)) &amp; "|" &amp; CLEAN(TRIM(G3136)))</f>
        <v/>
      </c>
      <c r="O3136" s="9" t="str">
        <f>IF(N3136="","",IF(COUNTIF(Precios!$G:$G,N3136)=0,"⚠ No coincide con Precios","OK"))</f>
        <v/>
      </c>
    </row>
    <row r="3137" spans="3:15" x14ac:dyDescent="0.2">
      <c r="C3137" s="9" cm="1">
        <f t="array" ref="C3137">IFERROR(_xlfn.XLOOKUP(B3137,Personal!$A:$A,Personal!$D:$D,""),"")</f>
        <v>0</v>
      </c>
      <c r="D3137" s="9" cm="1">
        <f t="array" ref="D3137">IFERROR(_xlfn.XLOOKUP(B3137,Personal!$A:$A,Personal!$C:$C,""),"")</f>
        <v>0</v>
      </c>
      <c r="E3137" s="9" t="str" cm="1">
        <f t="array" ref="E3137">IFERROR(_xlfn.XLOOKUP(D3137,Locales!$A:$A,Locales!$B:$B,""),"")</f>
        <v/>
      </c>
      <c r="F3137" s="9" cm="1">
        <f t="array" ref="F3137">IFERROR(_xlfn.XLOOKUP(B3137,Personal!$A:$A,Personal!$F:$F,""),"")</f>
        <v>0</v>
      </c>
      <c r="I3137" s="10" cm="1">
        <f t="array" ref="I3137">IFERROR(INDEX(Precios!$D:$F,MATCH(N3137, Precios!$G:$G, 0),CHOOSE(MATCH(H3137, {"SML";"XL";"XXL"}, 0), 1, 2, 3)), 0)</f>
        <v>0</v>
      </c>
      <c r="K3137" s="10">
        <f t="shared" si="106"/>
        <v>0</v>
      </c>
      <c r="N3137" s="9" t="str">
        <f t="shared" si="107"/>
        <v/>
      </c>
      <c r="O3137" s="9" t="str">
        <f>IF(N3137="","",IF(COUNTIF(Precios!$G:$G,N3137)=0,"⚠ No coincide con Precios","OK"))</f>
        <v/>
      </c>
    </row>
    <row r="3138" spans="3:15" x14ac:dyDescent="0.2">
      <c r="C3138" s="9" cm="1">
        <f t="array" ref="C3138">IFERROR(_xlfn.XLOOKUP(B3138,Personal!$A:$A,Personal!$D:$D,""),"")</f>
        <v>0</v>
      </c>
      <c r="D3138" s="9" cm="1">
        <f t="array" ref="D3138">IFERROR(_xlfn.XLOOKUP(B3138,Personal!$A:$A,Personal!$C:$C,""),"")</f>
        <v>0</v>
      </c>
      <c r="E3138" s="9" t="str" cm="1">
        <f t="array" ref="E3138">IFERROR(_xlfn.XLOOKUP(D3138,Locales!$A:$A,Locales!$B:$B,""),"")</f>
        <v/>
      </c>
      <c r="F3138" s="9" cm="1">
        <f t="array" ref="F3138">IFERROR(_xlfn.XLOOKUP(B3138,Personal!$A:$A,Personal!$F:$F,""),"")</f>
        <v>0</v>
      </c>
      <c r="I3138" s="10" cm="1">
        <f t="array" ref="I3138">IFERROR(INDEX(Precios!$D:$F,MATCH(N3138, Precios!$G:$G, 0),CHOOSE(MATCH(H3138, {"SML";"XL";"XXL"}, 0), 1, 2, 3)), 0)</f>
        <v>0</v>
      </c>
      <c r="K3138" s="10">
        <f t="shared" si="106"/>
        <v>0</v>
      </c>
      <c r="N3138" s="9" t="str">
        <f t="shared" si="107"/>
        <v/>
      </c>
      <c r="O3138" s="9" t="str">
        <f>IF(N3138="","",IF(COUNTIF(Precios!$G:$G,N3138)=0,"⚠ No coincide con Precios","OK"))</f>
        <v/>
      </c>
    </row>
    <row r="3139" spans="3:15" x14ac:dyDescent="0.2">
      <c r="C3139" s="9" cm="1">
        <f t="array" ref="C3139">IFERROR(_xlfn.XLOOKUP(B3139,Personal!$A:$A,Personal!$D:$D,""),"")</f>
        <v>0</v>
      </c>
      <c r="D3139" s="9" cm="1">
        <f t="array" ref="D3139">IFERROR(_xlfn.XLOOKUP(B3139,Personal!$A:$A,Personal!$C:$C,""),"")</f>
        <v>0</v>
      </c>
      <c r="E3139" s="9" t="str" cm="1">
        <f t="array" ref="E3139">IFERROR(_xlfn.XLOOKUP(D3139,Locales!$A:$A,Locales!$B:$B,""),"")</f>
        <v/>
      </c>
      <c r="F3139" s="9" cm="1">
        <f t="array" ref="F3139">IFERROR(_xlfn.XLOOKUP(B3139,Personal!$A:$A,Personal!$F:$F,""),"")</f>
        <v>0</v>
      </c>
      <c r="I3139" s="10" cm="1">
        <f t="array" ref="I3139">IFERROR(INDEX(Precios!$D:$F,MATCH(N3139, Precios!$G:$G, 0),CHOOSE(MATCH(H3139, {"SML";"XL";"XXL"}, 0), 1, 2, 3)), 0)</f>
        <v>0</v>
      </c>
      <c r="K3139" s="10">
        <f t="shared" si="106"/>
        <v>0</v>
      </c>
      <c r="N3139" s="9" t="str">
        <f t="shared" si="107"/>
        <v/>
      </c>
      <c r="O3139" s="9" t="str">
        <f>IF(N3139="","",IF(COUNTIF(Precios!$G:$G,N3139)=0,"⚠ No coincide con Precios","OK"))</f>
        <v/>
      </c>
    </row>
    <row r="3140" spans="3:15" x14ac:dyDescent="0.2">
      <c r="C3140" s="9" cm="1">
        <f t="array" ref="C3140">IFERROR(_xlfn.XLOOKUP(B3140,Personal!$A:$A,Personal!$D:$D,""),"")</f>
        <v>0</v>
      </c>
      <c r="D3140" s="9" cm="1">
        <f t="array" ref="D3140">IFERROR(_xlfn.XLOOKUP(B3140,Personal!$A:$A,Personal!$C:$C,""),"")</f>
        <v>0</v>
      </c>
      <c r="E3140" s="9" t="str" cm="1">
        <f t="array" ref="E3140">IFERROR(_xlfn.XLOOKUP(D3140,Locales!$A:$A,Locales!$B:$B,""),"")</f>
        <v/>
      </c>
      <c r="F3140" s="9" cm="1">
        <f t="array" ref="F3140">IFERROR(_xlfn.XLOOKUP(B3140,Personal!$A:$A,Personal!$F:$F,""),"")</f>
        <v>0</v>
      </c>
      <c r="I3140" s="10" cm="1">
        <f t="array" ref="I3140">IFERROR(INDEX(Precios!$D:$F,MATCH(N3140, Precios!$G:$G, 0),CHOOSE(MATCH(H3140, {"SML";"XL";"XXL"}, 0), 1, 2, 3)), 0)</f>
        <v>0</v>
      </c>
      <c r="K3140" s="10">
        <f t="shared" si="106"/>
        <v>0</v>
      </c>
      <c r="N3140" s="9" t="str">
        <f t="shared" si="107"/>
        <v/>
      </c>
      <c r="O3140" s="9" t="str">
        <f>IF(N3140="","",IF(COUNTIF(Precios!$G:$G,N3140)=0,"⚠ No coincide con Precios","OK"))</f>
        <v/>
      </c>
    </row>
    <row r="3141" spans="3:15" x14ac:dyDescent="0.2">
      <c r="C3141" s="9" cm="1">
        <f t="array" ref="C3141">IFERROR(_xlfn.XLOOKUP(B3141,Personal!$A:$A,Personal!$D:$D,""),"")</f>
        <v>0</v>
      </c>
      <c r="D3141" s="9" cm="1">
        <f t="array" ref="D3141">IFERROR(_xlfn.XLOOKUP(B3141,Personal!$A:$A,Personal!$C:$C,""),"")</f>
        <v>0</v>
      </c>
      <c r="E3141" s="9" t="str" cm="1">
        <f t="array" ref="E3141">IFERROR(_xlfn.XLOOKUP(D3141,Locales!$A:$A,Locales!$B:$B,""),"")</f>
        <v/>
      </c>
      <c r="F3141" s="9" cm="1">
        <f t="array" ref="F3141">IFERROR(_xlfn.XLOOKUP(B3141,Personal!$A:$A,Personal!$F:$F,""),"")</f>
        <v>0</v>
      </c>
      <c r="I3141" s="10" cm="1">
        <f t="array" ref="I3141">IFERROR(INDEX(Precios!$D:$F,MATCH(N3141, Precios!$G:$G, 0),CHOOSE(MATCH(H3141, {"SML";"XL";"XXL"}, 0), 1, 2, 3)), 0)</f>
        <v>0</v>
      </c>
      <c r="K3141" s="10">
        <f t="shared" si="106"/>
        <v>0</v>
      </c>
      <c r="N3141" s="9" t="str">
        <f t="shared" si="107"/>
        <v/>
      </c>
      <c r="O3141" s="9" t="str">
        <f>IF(N3141="","",IF(COUNTIF(Precios!$G:$G,N3141)=0,"⚠ No coincide con Precios","OK"))</f>
        <v/>
      </c>
    </row>
    <row r="3142" spans="3:15" x14ac:dyDescent="0.2">
      <c r="C3142" s="9" cm="1">
        <f t="array" ref="C3142">IFERROR(_xlfn.XLOOKUP(B3142,Personal!$A:$A,Personal!$D:$D,""),"")</f>
        <v>0</v>
      </c>
      <c r="D3142" s="9" cm="1">
        <f t="array" ref="D3142">IFERROR(_xlfn.XLOOKUP(B3142,Personal!$A:$A,Personal!$C:$C,""),"")</f>
        <v>0</v>
      </c>
      <c r="E3142" s="9" t="str" cm="1">
        <f t="array" ref="E3142">IFERROR(_xlfn.XLOOKUP(D3142,Locales!$A:$A,Locales!$B:$B,""),"")</f>
        <v/>
      </c>
      <c r="F3142" s="9" cm="1">
        <f t="array" ref="F3142">IFERROR(_xlfn.XLOOKUP(B3142,Personal!$A:$A,Personal!$F:$F,""),"")</f>
        <v>0</v>
      </c>
      <c r="I3142" s="10" cm="1">
        <f t="array" ref="I3142">IFERROR(INDEX(Precios!$D:$F,MATCH(N3142, Precios!$G:$G, 0),CHOOSE(MATCH(H3142, {"SML";"XL";"XXL"}, 0), 1, 2, 3)), 0)</f>
        <v>0</v>
      </c>
      <c r="K3142" s="10">
        <f t="shared" si="106"/>
        <v>0</v>
      </c>
      <c r="N3142" s="9" t="str">
        <f t="shared" si="107"/>
        <v/>
      </c>
      <c r="O3142" s="9" t="str">
        <f>IF(N3142="","",IF(COUNTIF(Precios!$G:$G,N3142)=0,"⚠ No coincide con Precios","OK"))</f>
        <v/>
      </c>
    </row>
    <row r="3143" spans="3:15" x14ac:dyDescent="0.2">
      <c r="C3143" s="9" cm="1">
        <f t="array" ref="C3143">IFERROR(_xlfn.XLOOKUP(B3143,Personal!$A:$A,Personal!$D:$D,""),"")</f>
        <v>0</v>
      </c>
      <c r="D3143" s="9" cm="1">
        <f t="array" ref="D3143">IFERROR(_xlfn.XLOOKUP(B3143,Personal!$A:$A,Personal!$C:$C,""),"")</f>
        <v>0</v>
      </c>
      <c r="E3143" s="9" t="str" cm="1">
        <f t="array" ref="E3143">IFERROR(_xlfn.XLOOKUP(D3143,Locales!$A:$A,Locales!$B:$B,""),"")</f>
        <v/>
      </c>
      <c r="F3143" s="9" cm="1">
        <f t="array" ref="F3143">IFERROR(_xlfn.XLOOKUP(B3143,Personal!$A:$A,Personal!$F:$F,""),"")</f>
        <v>0</v>
      </c>
      <c r="I3143" s="10" cm="1">
        <f t="array" ref="I3143">IFERROR(INDEX(Precios!$D:$F,MATCH(N3143, Precios!$G:$G, 0),CHOOSE(MATCH(H3143, {"SML";"XL";"XXL"}, 0), 1, 2, 3)), 0)</f>
        <v>0</v>
      </c>
      <c r="K3143" s="10">
        <f t="shared" si="106"/>
        <v>0</v>
      </c>
      <c r="N3143" s="9" t="str">
        <f t="shared" si="107"/>
        <v/>
      </c>
      <c r="O3143" s="9" t="str">
        <f>IF(N3143="","",IF(COUNTIF(Precios!$G:$G,N3143)=0,"⚠ No coincide con Precios","OK"))</f>
        <v/>
      </c>
    </row>
    <row r="3144" spans="3:15" x14ac:dyDescent="0.2">
      <c r="C3144" s="9" cm="1">
        <f t="array" ref="C3144">IFERROR(_xlfn.XLOOKUP(B3144,Personal!$A:$A,Personal!$D:$D,""),"")</f>
        <v>0</v>
      </c>
      <c r="D3144" s="9" cm="1">
        <f t="array" ref="D3144">IFERROR(_xlfn.XLOOKUP(B3144,Personal!$A:$A,Personal!$C:$C,""),"")</f>
        <v>0</v>
      </c>
      <c r="E3144" s="9" t="str" cm="1">
        <f t="array" ref="E3144">IFERROR(_xlfn.XLOOKUP(D3144,Locales!$A:$A,Locales!$B:$B,""),"")</f>
        <v/>
      </c>
      <c r="F3144" s="9" cm="1">
        <f t="array" ref="F3144">IFERROR(_xlfn.XLOOKUP(B3144,Personal!$A:$A,Personal!$F:$F,""),"")</f>
        <v>0</v>
      </c>
      <c r="I3144" s="10" cm="1">
        <f t="array" ref="I3144">IFERROR(INDEX(Precios!$D:$F,MATCH(N3144, Precios!$G:$G, 0),CHOOSE(MATCH(H3144, {"SML";"XL";"XXL"}, 0), 1, 2, 3)), 0)</f>
        <v>0</v>
      </c>
      <c r="K3144" s="10">
        <f t="shared" si="106"/>
        <v>0</v>
      </c>
      <c r="N3144" s="9" t="str">
        <f t="shared" si="107"/>
        <v/>
      </c>
      <c r="O3144" s="9" t="str">
        <f>IF(N3144="","",IF(COUNTIF(Precios!$G:$G,N3144)=0,"⚠ No coincide con Precios","OK"))</f>
        <v/>
      </c>
    </row>
    <row r="3145" spans="3:15" x14ac:dyDescent="0.2">
      <c r="C3145" s="9" cm="1">
        <f t="array" ref="C3145">IFERROR(_xlfn.XLOOKUP(B3145,Personal!$A:$A,Personal!$D:$D,""),"")</f>
        <v>0</v>
      </c>
      <c r="D3145" s="9" cm="1">
        <f t="array" ref="D3145">IFERROR(_xlfn.XLOOKUP(B3145,Personal!$A:$A,Personal!$C:$C,""),"")</f>
        <v>0</v>
      </c>
      <c r="E3145" s="9" t="str" cm="1">
        <f t="array" ref="E3145">IFERROR(_xlfn.XLOOKUP(D3145,Locales!$A:$A,Locales!$B:$B,""),"")</f>
        <v/>
      </c>
      <c r="F3145" s="9" cm="1">
        <f t="array" ref="F3145">IFERROR(_xlfn.XLOOKUP(B3145,Personal!$A:$A,Personal!$F:$F,""),"")</f>
        <v>0</v>
      </c>
      <c r="I3145" s="10" cm="1">
        <f t="array" ref="I3145">IFERROR(INDEX(Precios!$D:$F,MATCH(N3145, Precios!$G:$G, 0),CHOOSE(MATCH(H3145, {"SML";"XL";"XXL"}, 0), 1, 2, 3)), 0)</f>
        <v>0</v>
      </c>
      <c r="K3145" s="10">
        <f t="shared" si="106"/>
        <v>0</v>
      </c>
      <c r="N3145" s="9" t="str">
        <f t="shared" si="107"/>
        <v/>
      </c>
      <c r="O3145" s="9" t="str">
        <f>IF(N3145="","",IF(COUNTIF(Precios!$G:$G,N3145)=0,"⚠ No coincide con Precios","OK"))</f>
        <v/>
      </c>
    </row>
    <row r="3146" spans="3:15" x14ac:dyDescent="0.2">
      <c r="C3146" s="9" cm="1">
        <f t="array" ref="C3146">IFERROR(_xlfn.XLOOKUP(B3146,Personal!$A:$A,Personal!$D:$D,""),"")</f>
        <v>0</v>
      </c>
      <c r="D3146" s="9" cm="1">
        <f t="array" ref="D3146">IFERROR(_xlfn.XLOOKUP(B3146,Personal!$A:$A,Personal!$C:$C,""),"")</f>
        <v>0</v>
      </c>
      <c r="E3146" s="9" t="str" cm="1">
        <f t="array" ref="E3146">IFERROR(_xlfn.XLOOKUP(D3146,Locales!$A:$A,Locales!$B:$B,""),"")</f>
        <v/>
      </c>
      <c r="F3146" s="9" cm="1">
        <f t="array" ref="F3146">IFERROR(_xlfn.XLOOKUP(B3146,Personal!$A:$A,Personal!$F:$F,""),"")</f>
        <v>0</v>
      </c>
      <c r="I3146" s="10" cm="1">
        <f t="array" ref="I3146">IFERROR(INDEX(Precios!$D:$F,MATCH(N3146, Precios!$G:$G, 0),CHOOSE(MATCH(H3146, {"SML";"XL";"XXL"}, 0), 1, 2, 3)), 0)</f>
        <v>0</v>
      </c>
      <c r="K3146" s="10">
        <f t="shared" si="106"/>
        <v>0</v>
      </c>
      <c r="N3146" s="9" t="str">
        <f t="shared" si="107"/>
        <v/>
      </c>
      <c r="O3146" s="9" t="str">
        <f>IF(N3146="","",IF(COUNTIF(Precios!$G:$G,N3146)=0,"⚠ No coincide con Precios","OK"))</f>
        <v/>
      </c>
    </row>
    <row r="3147" spans="3:15" x14ac:dyDescent="0.2">
      <c r="C3147" s="9" cm="1">
        <f t="array" ref="C3147">IFERROR(_xlfn.XLOOKUP(B3147,Personal!$A:$A,Personal!$D:$D,""),"")</f>
        <v>0</v>
      </c>
      <c r="D3147" s="9" cm="1">
        <f t="array" ref="D3147">IFERROR(_xlfn.XLOOKUP(B3147,Personal!$A:$A,Personal!$C:$C,""),"")</f>
        <v>0</v>
      </c>
      <c r="E3147" s="9" t="str" cm="1">
        <f t="array" ref="E3147">IFERROR(_xlfn.XLOOKUP(D3147,Locales!$A:$A,Locales!$B:$B,""),"")</f>
        <v/>
      </c>
      <c r="F3147" s="9" cm="1">
        <f t="array" ref="F3147">IFERROR(_xlfn.XLOOKUP(B3147,Personal!$A:$A,Personal!$F:$F,""),"")</f>
        <v>0</v>
      </c>
      <c r="I3147" s="10" cm="1">
        <f t="array" ref="I3147">IFERROR(INDEX(Precios!$D:$F,MATCH(N3147, Precios!$G:$G, 0),CHOOSE(MATCH(H3147, {"SML";"XL";"XXL"}, 0), 1, 2, 3)), 0)</f>
        <v>0</v>
      </c>
      <c r="K3147" s="10">
        <f t="shared" si="106"/>
        <v>0</v>
      </c>
      <c r="N3147" s="9" t="str">
        <f t="shared" si="107"/>
        <v/>
      </c>
      <c r="O3147" s="9" t="str">
        <f>IF(N3147="","",IF(COUNTIF(Precios!$G:$G,N3147)=0,"⚠ No coincide con Precios","OK"))</f>
        <v/>
      </c>
    </row>
    <row r="3148" spans="3:15" x14ac:dyDescent="0.2">
      <c r="C3148" s="9" cm="1">
        <f t="array" ref="C3148">IFERROR(_xlfn.XLOOKUP(B3148,Personal!$A:$A,Personal!$D:$D,""),"")</f>
        <v>0</v>
      </c>
      <c r="D3148" s="9" cm="1">
        <f t="array" ref="D3148">IFERROR(_xlfn.XLOOKUP(B3148,Personal!$A:$A,Personal!$C:$C,""),"")</f>
        <v>0</v>
      </c>
      <c r="E3148" s="9" t="str" cm="1">
        <f t="array" ref="E3148">IFERROR(_xlfn.XLOOKUP(D3148,Locales!$A:$A,Locales!$B:$B,""),"")</f>
        <v/>
      </c>
      <c r="F3148" s="9" cm="1">
        <f t="array" ref="F3148">IFERROR(_xlfn.XLOOKUP(B3148,Personal!$A:$A,Personal!$F:$F,""),"")</f>
        <v>0</v>
      </c>
      <c r="I3148" s="10" cm="1">
        <f t="array" ref="I3148">IFERROR(INDEX(Precios!$D:$F,MATCH(N3148, Precios!$G:$G, 0),CHOOSE(MATCH(H3148, {"SML";"XL";"XXL"}, 0), 1, 2, 3)), 0)</f>
        <v>0</v>
      </c>
      <c r="K3148" s="10">
        <f t="shared" si="106"/>
        <v>0</v>
      </c>
      <c r="N3148" s="9" t="str">
        <f t="shared" si="107"/>
        <v/>
      </c>
      <c r="O3148" s="9" t="str">
        <f>IF(N3148="","",IF(COUNTIF(Precios!$G:$G,N3148)=0,"⚠ No coincide con Precios","OK"))</f>
        <v/>
      </c>
    </row>
    <row r="3149" spans="3:15" x14ac:dyDescent="0.2">
      <c r="C3149" s="9" cm="1">
        <f t="array" ref="C3149">IFERROR(_xlfn.XLOOKUP(B3149,Personal!$A:$A,Personal!$D:$D,""),"")</f>
        <v>0</v>
      </c>
      <c r="D3149" s="9" cm="1">
        <f t="array" ref="D3149">IFERROR(_xlfn.XLOOKUP(B3149,Personal!$A:$A,Personal!$C:$C,""),"")</f>
        <v>0</v>
      </c>
      <c r="E3149" s="9" t="str" cm="1">
        <f t="array" ref="E3149">IFERROR(_xlfn.XLOOKUP(D3149,Locales!$A:$A,Locales!$B:$B,""),"")</f>
        <v/>
      </c>
      <c r="F3149" s="9" cm="1">
        <f t="array" ref="F3149">IFERROR(_xlfn.XLOOKUP(B3149,Personal!$A:$A,Personal!$F:$F,""),"")</f>
        <v>0</v>
      </c>
      <c r="I3149" s="10" cm="1">
        <f t="array" ref="I3149">IFERROR(INDEX(Precios!$D:$F,MATCH(N3149, Precios!$G:$G, 0),CHOOSE(MATCH(H3149, {"SML";"XL";"XXL"}, 0), 1, 2, 3)), 0)</f>
        <v>0</v>
      </c>
      <c r="K3149" s="10">
        <f t="shared" si="106"/>
        <v>0</v>
      </c>
      <c r="N3149" s="9" t="str">
        <f t="shared" si="107"/>
        <v/>
      </c>
      <c r="O3149" s="9" t="str">
        <f>IF(N3149="","",IF(COUNTIF(Precios!$G:$G,N3149)=0,"⚠ No coincide con Precios","OK"))</f>
        <v/>
      </c>
    </row>
    <row r="3150" spans="3:15" x14ac:dyDescent="0.2">
      <c r="C3150" s="9" cm="1">
        <f t="array" ref="C3150">IFERROR(_xlfn.XLOOKUP(B3150,Personal!$A:$A,Personal!$D:$D,""),"")</f>
        <v>0</v>
      </c>
      <c r="D3150" s="9" cm="1">
        <f t="array" ref="D3150">IFERROR(_xlfn.XLOOKUP(B3150,Personal!$A:$A,Personal!$C:$C,""),"")</f>
        <v>0</v>
      </c>
      <c r="E3150" s="9" t="str" cm="1">
        <f t="array" ref="E3150">IFERROR(_xlfn.XLOOKUP(D3150,Locales!$A:$A,Locales!$B:$B,""),"")</f>
        <v/>
      </c>
      <c r="F3150" s="9" cm="1">
        <f t="array" ref="F3150">IFERROR(_xlfn.XLOOKUP(B3150,Personal!$A:$A,Personal!$F:$F,""),"")</f>
        <v>0</v>
      </c>
      <c r="I3150" s="10" cm="1">
        <f t="array" ref="I3150">IFERROR(INDEX(Precios!$D:$F,MATCH(N3150, Precios!$G:$G, 0),CHOOSE(MATCH(H3150, {"SML";"XL";"XXL"}, 0), 1, 2, 3)), 0)</f>
        <v>0</v>
      </c>
      <c r="K3150" s="10">
        <f t="shared" si="106"/>
        <v>0</v>
      </c>
      <c r="N3150" s="9" t="str">
        <f t="shared" si="107"/>
        <v/>
      </c>
      <c r="O3150" s="9" t="str">
        <f>IF(N3150="","",IF(COUNTIF(Precios!$G:$G,N3150)=0,"⚠ No coincide con Precios","OK"))</f>
        <v/>
      </c>
    </row>
    <row r="3151" spans="3:15" x14ac:dyDescent="0.2">
      <c r="C3151" s="9" cm="1">
        <f t="array" ref="C3151">IFERROR(_xlfn.XLOOKUP(B3151,Personal!$A:$A,Personal!$D:$D,""),"")</f>
        <v>0</v>
      </c>
      <c r="D3151" s="9" cm="1">
        <f t="array" ref="D3151">IFERROR(_xlfn.XLOOKUP(B3151,Personal!$A:$A,Personal!$C:$C,""),"")</f>
        <v>0</v>
      </c>
      <c r="E3151" s="9" t="str" cm="1">
        <f t="array" ref="E3151">IFERROR(_xlfn.XLOOKUP(D3151,Locales!$A:$A,Locales!$B:$B,""),"")</f>
        <v/>
      </c>
      <c r="F3151" s="9" cm="1">
        <f t="array" ref="F3151">IFERROR(_xlfn.XLOOKUP(B3151,Personal!$A:$A,Personal!$F:$F,""),"")</f>
        <v>0</v>
      </c>
      <c r="I3151" s="10" cm="1">
        <f t="array" ref="I3151">IFERROR(INDEX(Precios!$D:$F,MATCH(N3151, Precios!$G:$G, 0),CHOOSE(MATCH(H3151, {"SML";"XL";"XXL"}, 0), 1, 2, 3)), 0)</f>
        <v>0</v>
      </c>
      <c r="K3151" s="10">
        <f t="shared" si="106"/>
        <v>0</v>
      </c>
      <c r="N3151" s="9" t="str">
        <f t="shared" si="107"/>
        <v/>
      </c>
      <c r="O3151" s="9" t="str">
        <f>IF(N3151="","",IF(COUNTIF(Precios!$G:$G,N3151)=0,"⚠ No coincide con Precios","OK"))</f>
        <v/>
      </c>
    </row>
    <row r="3152" spans="3:15" x14ac:dyDescent="0.2">
      <c r="C3152" s="9" cm="1">
        <f t="array" ref="C3152">IFERROR(_xlfn.XLOOKUP(B3152,Personal!$A:$A,Personal!$D:$D,""),"")</f>
        <v>0</v>
      </c>
      <c r="D3152" s="9" cm="1">
        <f t="array" ref="D3152">IFERROR(_xlfn.XLOOKUP(B3152,Personal!$A:$A,Personal!$C:$C,""),"")</f>
        <v>0</v>
      </c>
      <c r="E3152" s="9" t="str" cm="1">
        <f t="array" ref="E3152">IFERROR(_xlfn.XLOOKUP(D3152,Locales!$A:$A,Locales!$B:$B,""),"")</f>
        <v/>
      </c>
      <c r="F3152" s="9" cm="1">
        <f t="array" ref="F3152">IFERROR(_xlfn.XLOOKUP(B3152,Personal!$A:$A,Personal!$F:$F,""),"")</f>
        <v>0</v>
      </c>
      <c r="I3152" s="10" cm="1">
        <f t="array" ref="I3152">IFERROR(INDEX(Precios!$D:$F,MATCH(N3152, Precios!$G:$G, 0),CHOOSE(MATCH(H3152, {"SML";"XL";"XXL"}, 0), 1, 2, 3)), 0)</f>
        <v>0</v>
      </c>
      <c r="K3152" s="10">
        <f t="shared" si="106"/>
        <v>0</v>
      </c>
      <c r="N3152" s="9" t="str">
        <f t="shared" si="107"/>
        <v/>
      </c>
      <c r="O3152" s="9" t="str">
        <f>IF(N3152="","",IF(COUNTIF(Precios!$G:$G,N3152)=0,"⚠ No coincide con Precios","OK"))</f>
        <v/>
      </c>
    </row>
    <row r="3153" spans="3:15" x14ac:dyDescent="0.2">
      <c r="C3153" s="9" cm="1">
        <f t="array" ref="C3153">IFERROR(_xlfn.XLOOKUP(B3153,Personal!$A:$A,Personal!$D:$D,""),"")</f>
        <v>0</v>
      </c>
      <c r="D3153" s="9" cm="1">
        <f t="array" ref="D3153">IFERROR(_xlfn.XLOOKUP(B3153,Personal!$A:$A,Personal!$C:$C,""),"")</f>
        <v>0</v>
      </c>
      <c r="E3153" s="9" t="str" cm="1">
        <f t="array" ref="E3153">IFERROR(_xlfn.XLOOKUP(D3153,Locales!$A:$A,Locales!$B:$B,""),"")</f>
        <v/>
      </c>
      <c r="F3153" s="9" cm="1">
        <f t="array" ref="F3153">IFERROR(_xlfn.XLOOKUP(B3153,Personal!$A:$A,Personal!$F:$F,""),"")</f>
        <v>0</v>
      </c>
      <c r="I3153" s="10" cm="1">
        <f t="array" ref="I3153">IFERROR(INDEX(Precios!$D:$F,MATCH(N3153, Precios!$G:$G, 0),CHOOSE(MATCH(H3153, {"SML";"XL";"XXL"}, 0), 1, 2, 3)), 0)</f>
        <v>0</v>
      </c>
      <c r="K3153" s="10">
        <f t="shared" si="106"/>
        <v>0</v>
      </c>
      <c r="N3153" s="9" t="str">
        <f t="shared" si="107"/>
        <v/>
      </c>
      <c r="O3153" s="9" t="str">
        <f>IF(N3153="","",IF(COUNTIF(Precios!$G:$G,N3153)=0,"⚠ No coincide con Precios","OK"))</f>
        <v/>
      </c>
    </row>
    <row r="3154" spans="3:15" x14ac:dyDescent="0.2">
      <c r="C3154" s="9" cm="1">
        <f t="array" ref="C3154">IFERROR(_xlfn.XLOOKUP(B3154,Personal!$A:$A,Personal!$D:$D,""),"")</f>
        <v>0</v>
      </c>
      <c r="D3154" s="9" cm="1">
        <f t="array" ref="D3154">IFERROR(_xlfn.XLOOKUP(B3154,Personal!$A:$A,Personal!$C:$C,""),"")</f>
        <v>0</v>
      </c>
      <c r="E3154" s="9" t="str" cm="1">
        <f t="array" ref="E3154">IFERROR(_xlfn.XLOOKUP(D3154,Locales!$A:$A,Locales!$B:$B,""),"")</f>
        <v/>
      </c>
      <c r="F3154" s="9" cm="1">
        <f t="array" ref="F3154">IFERROR(_xlfn.XLOOKUP(B3154,Personal!$A:$A,Personal!$F:$F,""),"")</f>
        <v>0</v>
      </c>
      <c r="I3154" s="10" cm="1">
        <f t="array" ref="I3154">IFERROR(INDEX(Precios!$D:$F,MATCH(N3154, Precios!$G:$G, 0),CHOOSE(MATCH(H3154, {"SML";"XL";"XXL"}, 0), 1, 2, 3)), 0)</f>
        <v>0</v>
      </c>
      <c r="K3154" s="10">
        <f t="shared" si="106"/>
        <v>0</v>
      </c>
      <c r="N3154" s="9" t="str">
        <f t="shared" si="107"/>
        <v/>
      </c>
      <c r="O3154" s="9" t="str">
        <f>IF(N3154="","",IF(COUNTIF(Precios!$G:$G,N3154)=0,"⚠ No coincide con Precios","OK"))</f>
        <v/>
      </c>
    </row>
    <row r="3155" spans="3:15" x14ac:dyDescent="0.2">
      <c r="C3155" s="9" cm="1">
        <f t="array" ref="C3155">IFERROR(_xlfn.XLOOKUP(B3155,Personal!$A:$A,Personal!$D:$D,""),"")</f>
        <v>0</v>
      </c>
      <c r="D3155" s="9" cm="1">
        <f t="array" ref="D3155">IFERROR(_xlfn.XLOOKUP(B3155,Personal!$A:$A,Personal!$C:$C,""),"")</f>
        <v>0</v>
      </c>
      <c r="E3155" s="9" t="str" cm="1">
        <f t="array" ref="E3155">IFERROR(_xlfn.XLOOKUP(D3155,Locales!$A:$A,Locales!$B:$B,""),"")</f>
        <v/>
      </c>
      <c r="F3155" s="9" cm="1">
        <f t="array" ref="F3155">IFERROR(_xlfn.XLOOKUP(B3155,Personal!$A:$A,Personal!$F:$F,""),"")</f>
        <v>0</v>
      </c>
      <c r="I3155" s="10" cm="1">
        <f t="array" ref="I3155">IFERROR(INDEX(Precios!$D:$F,MATCH(N3155, Precios!$G:$G, 0),CHOOSE(MATCH(H3155, {"SML";"XL";"XXL"}, 0), 1, 2, 3)), 0)</f>
        <v>0</v>
      </c>
      <c r="K3155" s="10">
        <f t="shared" si="106"/>
        <v>0</v>
      </c>
      <c r="N3155" s="9" t="str">
        <f t="shared" si="107"/>
        <v/>
      </c>
      <c r="O3155" s="9" t="str">
        <f>IF(N3155="","",IF(COUNTIF(Precios!$G:$G,N3155)=0,"⚠ No coincide con Precios","OK"))</f>
        <v/>
      </c>
    </row>
    <row r="3156" spans="3:15" x14ac:dyDescent="0.2">
      <c r="C3156" s="9" cm="1">
        <f t="array" ref="C3156">IFERROR(_xlfn.XLOOKUP(B3156,Personal!$A:$A,Personal!$D:$D,""),"")</f>
        <v>0</v>
      </c>
      <c r="D3156" s="9" cm="1">
        <f t="array" ref="D3156">IFERROR(_xlfn.XLOOKUP(B3156,Personal!$A:$A,Personal!$C:$C,""),"")</f>
        <v>0</v>
      </c>
      <c r="E3156" s="9" t="str" cm="1">
        <f t="array" ref="E3156">IFERROR(_xlfn.XLOOKUP(D3156,Locales!$A:$A,Locales!$B:$B,""),"")</f>
        <v/>
      </c>
      <c r="F3156" s="9" cm="1">
        <f t="array" ref="F3156">IFERROR(_xlfn.XLOOKUP(B3156,Personal!$A:$A,Personal!$F:$F,""),"")</f>
        <v>0</v>
      </c>
      <c r="I3156" s="10" cm="1">
        <f t="array" ref="I3156">IFERROR(INDEX(Precios!$D:$F,MATCH(N3156, Precios!$G:$G, 0),CHOOSE(MATCH(H3156, {"SML";"XL";"XXL"}, 0), 1, 2, 3)), 0)</f>
        <v>0</v>
      </c>
      <c r="K3156" s="10">
        <f t="shared" si="106"/>
        <v>0</v>
      </c>
      <c r="N3156" s="9" t="str">
        <f t="shared" si="107"/>
        <v/>
      </c>
      <c r="O3156" s="9" t="str">
        <f>IF(N3156="","",IF(COUNTIF(Precios!$G:$G,N3156)=0,"⚠ No coincide con Precios","OK"))</f>
        <v/>
      </c>
    </row>
    <row r="3157" spans="3:15" x14ac:dyDescent="0.2">
      <c r="C3157" s="9" cm="1">
        <f t="array" ref="C3157">IFERROR(_xlfn.XLOOKUP(B3157,Personal!$A:$A,Personal!$D:$D,""),"")</f>
        <v>0</v>
      </c>
      <c r="D3157" s="9" cm="1">
        <f t="array" ref="D3157">IFERROR(_xlfn.XLOOKUP(B3157,Personal!$A:$A,Personal!$C:$C,""),"")</f>
        <v>0</v>
      </c>
      <c r="E3157" s="9" t="str" cm="1">
        <f t="array" ref="E3157">IFERROR(_xlfn.XLOOKUP(D3157,Locales!$A:$A,Locales!$B:$B,""),"")</f>
        <v/>
      </c>
      <c r="F3157" s="9" cm="1">
        <f t="array" ref="F3157">IFERROR(_xlfn.XLOOKUP(B3157,Personal!$A:$A,Personal!$F:$F,""),"")</f>
        <v>0</v>
      </c>
      <c r="I3157" s="10" cm="1">
        <f t="array" ref="I3157">IFERROR(INDEX(Precios!$D:$F,MATCH(N3157, Precios!$G:$G, 0),CHOOSE(MATCH(H3157, {"SML";"XL";"XXL"}, 0), 1, 2, 3)), 0)</f>
        <v>0</v>
      </c>
      <c r="K3157" s="10">
        <f t="shared" si="106"/>
        <v>0</v>
      </c>
      <c r="N3157" s="9" t="str">
        <f t="shared" si="107"/>
        <v/>
      </c>
      <c r="O3157" s="9" t="str">
        <f>IF(N3157="","",IF(COUNTIF(Precios!$G:$G,N3157)=0,"⚠ No coincide con Precios","OK"))</f>
        <v/>
      </c>
    </row>
    <row r="3158" spans="3:15" x14ac:dyDescent="0.2">
      <c r="C3158" s="9" cm="1">
        <f t="array" ref="C3158">IFERROR(_xlfn.XLOOKUP(B3158,Personal!$A:$A,Personal!$D:$D,""),"")</f>
        <v>0</v>
      </c>
      <c r="D3158" s="9" cm="1">
        <f t="array" ref="D3158">IFERROR(_xlfn.XLOOKUP(B3158,Personal!$A:$A,Personal!$C:$C,""),"")</f>
        <v>0</v>
      </c>
      <c r="E3158" s="9" t="str" cm="1">
        <f t="array" ref="E3158">IFERROR(_xlfn.XLOOKUP(D3158,Locales!$A:$A,Locales!$B:$B,""),"")</f>
        <v/>
      </c>
      <c r="F3158" s="9" cm="1">
        <f t="array" ref="F3158">IFERROR(_xlfn.XLOOKUP(B3158,Personal!$A:$A,Personal!$F:$F,""),"")</f>
        <v>0</v>
      </c>
      <c r="I3158" s="10" cm="1">
        <f t="array" ref="I3158">IFERROR(INDEX(Precios!$D:$F,MATCH(N3158, Precios!$G:$G, 0),CHOOSE(MATCH(H3158, {"SML";"XL";"XXL"}, 0), 1, 2, 3)), 0)</f>
        <v>0</v>
      </c>
      <c r="K3158" s="10">
        <f t="shared" si="106"/>
        <v>0</v>
      </c>
      <c r="N3158" s="9" t="str">
        <f t="shared" si="107"/>
        <v/>
      </c>
      <c r="O3158" s="9" t="str">
        <f>IF(N3158="","",IF(COUNTIF(Precios!$G:$G,N3158)=0,"⚠ No coincide con Precios","OK"))</f>
        <v/>
      </c>
    </row>
    <row r="3159" spans="3:15" x14ac:dyDescent="0.2">
      <c r="C3159" s="9" cm="1">
        <f t="array" ref="C3159">IFERROR(_xlfn.XLOOKUP(B3159,Personal!$A:$A,Personal!$D:$D,""),"")</f>
        <v>0</v>
      </c>
      <c r="D3159" s="9" cm="1">
        <f t="array" ref="D3159">IFERROR(_xlfn.XLOOKUP(B3159,Personal!$A:$A,Personal!$C:$C,""),"")</f>
        <v>0</v>
      </c>
      <c r="E3159" s="9" t="str" cm="1">
        <f t="array" ref="E3159">IFERROR(_xlfn.XLOOKUP(D3159,Locales!$A:$A,Locales!$B:$B,""),"")</f>
        <v/>
      </c>
      <c r="F3159" s="9" cm="1">
        <f t="array" ref="F3159">IFERROR(_xlfn.XLOOKUP(B3159,Personal!$A:$A,Personal!$F:$F,""),"")</f>
        <v>0</v>
      </c>
      <c r="I3159" s="10" cm="1">
        <f t="array" ref="I3159">IFERROR(INDEX(Precios!$D:$F,MATCH(N3159, Precios!$G:$G, 0),CHOOSE(MATCH(H3159, {"SML";"XL";"XXL"}, 0), 1, 2, 3)), 0)</f>
        <v>0</v>
      </c>
      <c r="K3159" s="10">
        <f t="shared" si="106"/>
        <v>0</v>
      </c>
      <c r="N3159" s="9" t="str">
        <f t="shared" si="107"/>
        <v/>
      </c>
      <c r="O3159" s="9" t="str">
        <f>IF(N3159="","",IF(COUNTIF(Precios!$G:$G,N3159)=0,"⚠ No coincide con Precios","OK"))</f>
        <v/>
      </c>
    </row>
    <row r="3160" spans="3:15" x14ac:dyDescent="0.2">
      <c r="C3160" s="9" cm="1">
        <f t="array" ref="C3160">IFERROR(_xlfn.XLOOKUP(B3160,Personal!$A:$A,Personal!$D:$D,""),"")</f>
        <v>0</v>
      </c>
      <c r="D3160" s="9" cm="1">
        <f t="array" ref="D3160">IFERROR(_xlfn.XLOOKUP(B3160,Personal!$A:$A,Personal!$C:$C,""),"")</f>
        <v>0</v>
      </c>
      <c r="E3160" s="9" t="str" cm="1">
        <f t="array" ref="E3160">IFERROR(_xlfn.XLOOKUP(D3160,Locales!$A:$A,Locales!$B:$B,""),"")</f>
        <v/>
      </c>
      <c r="F3160" s="9" cm="1">
        <f t="array" ref="F3160">IFERROR(_xlfn.XLOOKUP(B3160,Personal!$A:$A,Personal!$F:$F,""),"")</f>
        <v>0</v>
      </c>
      <c r="I3160" s="10" cm="1">
        <f t="array" ref="I3160">IFERROR(INDEX(Precios!$D:$F,MATCH(N3160, Precios!$G:$G, 0),CHOOSE(MATCH(H3160, {"SML";"XL";"XXL"}, 0), 1, 2, 3)), 0)</f>
        <v>0</v>
      </c>
      <c r="K3160" s="10">
        <f t="shared" si="106"/>
        <v>0</v>
      </c>
      <c r="N3160" s="9" t="str">
        <f t="shared" si="107"/>
        <v/>
      </c>
      <c r="O3160" s="9" t="str">
        <f>IF(N3160="","",IF(COUNTIF(Precios!$G:$G,N3160)=0,"⚠ No coincide con Precios","OK"))</f>
        <v/>
      </c>
    </row>
    <row r="3161" spans="3:15" x14ac:dyDescent="0.2">
      <c r="C3161" s="9" cm="1">
        <f t="array" ref="C3161">IFERROR(_xlfn.XLOOKUP(B3161,Personal!$A:$A,Personal!$D:$D,""),"")</f>
        <v>0</v>
      </c>
      <c r="D3161" s="9" cm="1">
        <f t="array" ref="D3161">IFERROR(_xlfn.XLOOKUP(B3161,Personal!$A:$A,Personal!$C:$C,""),"")</f>
        <v>0</v>
      </c>
      <c r="E3161" s="9" t="str" cm="1">
        <f t="array" ref="E3161">IFERROR(_xlfn.XLOOKUP(D3161,Locales!$A:$A,Locales!$B:$B,""),"")</f>
        <v/>
      </c>
      <c r="F3161" s="9" cm="1">
        <f t="array" ref="F3161">IFERROR(_xlfn.XLOOKUP(B3161,Personal!$A:$A,Personal!$F:$F,""),"")</f>
        <v>0</v>
      </c>
      <c r="I3161" s="10" cm="1">
        <f t="array" ref="I3161">IFERROR(INDEX(Precios!$D:$F,MATCH(N3161, Precios!$G:$G, 0),CHOOSE(MATCH(H3161, {"SML";"XL";"XXL"}, 0), 1, 2, 3)), 0)</f>
        <v>0</v>
      </c>
      <c r="K3161" s="10">
        <f t="shared" si="106"/>
        <v>0</v>
      </c>
      <c r="N3161" s="9" t="str">
        <f t="shared" si="107"/>
        <v/>
      </c>
      <c r="O3161" s="9" t="str">
        <f>IF(N3161="","",IF(COUNTIF(Precios!$G:$G,N3161)=0,"⚠ No coincide con Precios","OK"))</f>
        <v/>
      </c>
    </row>
    <row r="3162" spans="3:15" x14ac:dyDescent="0.2">
      <c r="C3162" s="9" cm="1">
        <f t="array" ref="C3162">IFERROR(_xlfn.XLOOKUP(B3162,Personal!$A:$A,Personal!$D:$D,""),"")</f>
        <v>0</v>
      </c>
      <c r="D3162" s="9" cm="1">
        <f t="array" ref="D3162">IFERROR(_xlfn.XLOOKUP(B3162,Personal!$A:$A,Personal!$C:$C,""),"")</f>
        <v>0</v>
      </c>
      <c r="E3162" s="9" t="str" cm="1">
        <f t="array" ref="E3162">IFERROR(_xlfn.XLOOKUP(D3162,Locales!$A:$A,Locales!$B:$B,""),"")</f>
        <v/>
      </c>
      <c r="F3162" s="9" cm="1">
        <f t="array" ref="F3162">IFERROR(_xlfn.XLOOKUP(B3162,Personal!$A:$A,Personal!$F:$F,""),"")</f>
        <v>0</v>
      </c>
      <c r="I3162" s="10" cm="1">
        <f t="array" ref="I3162">IFERROR(INDEX(Precios!$D:$F,MATCH(N3162, Precios!$G:$G, 0),CHOOSE(MATCH(H3162, {"SML";"XL";"XXL"}, 0), 1, 2, 3)), 0)</f>
        <v>0</v>
      </c>
      <c r="K3162" s="10">
        <f t="shared" si="106"/>
        <v>0</v>
      </c>
      <c r="N3162" s="9" t="str">
        <f t="shared" si="107"/>
        <v/>
      </c>
      <c r="O3162" s="9" t="str">
        <f>IF(N3162="","",IF(COUNTIF(Precios!$G:$G,N3162)=0,"⚠ No coincide con Precios","OK"))</f>
        <v/>
      </c>
    </row>
    <row r="3163" spans="3:15" x14ac:dyDescent="0.2">
      <c r="C3163" s="9" cm="1">
        <f t="array" ref="C3163">IFERROR(_xlfn.XLOOKUP(B3163,Personal!$A:$A,Personal!$D:$D,""),"")</f>
        <v>0</v>
      </c>
      <c r="D3163" s="9" cm="1">
        <f t="array" ref="D3163">IFERROR(_xlfn.XLOOKUP(B3163,Personal!$A:$A,Personal!$C:$C,""),"")</f>
        <v>0</v>
      </c>
      <c r="E3163" s="9" t="str" cm="1">
        <f t="array" ref="E3163">IFERROR(_xlfn.XLOOKUP(D3163,Locales!$A:$A,Locales!$B:$B,""),"")</f>
        <v/>
      </c>
      <c r="F3163" s="9" cm="1">
        <f t="array" ref="F3163">IFERROR(_xlfn.XLOOKUP(B3163,Personal!$A:$A,Personal!$F:$F,""),"")</f>
        <v>0</v>
      </c>
      <c r="I3163" s="10" cm="1">
        <f t="array" ref="I3163">IFERROR(INDEX(Precios!$D:$F,MATCH(N3163, Precios!$G:$G, 0),CHOOSE(MATCH(H3163, {"SML";"XL";"XXL"}, 0), 1, 2, 3)), 0)</f>
        <v>0</v>
      </c>
      <c r="K3163" s="10">
        <f t="shared" si="106"/>
        <v>0</v>
      </c>
      <c r="N3163" s="9" t="str">
        <f t="shared" si="107"/>
        <v/>
      </c>
      <c r="O3163" s="9" t="str">
        <f>IF(N3163="","",IF(COUNTIF(Precios!$G:$G,N3163)=0,"⚠ No coincide con Precios","OK"))</f>
        <v/>
      </c>
    </row>
    <row r="3164" spans="3:15" x14ac:dyDescent="0.2">
      <c r="C3164" s="9" cm="1">
        <f t="array" ref="C3164">IFERROR(_xlfn.XLOOKUP(B3164,Personal!$A:$A,Personal!$D:$D,""),"")</f>
        <v>0</v>
      </c>
      <c r="D3164" s="9" cm="1">
        <f t="array" ref="D3164">IFERROR(_xlfn.XLOOKUP(B3164,Personal!$A:$A,Personal!$C:$C,""),"")</f>
        <v>0</v>
      </c>
      <c r="E3164" s="9" t="str" cm="1">
        <f t="array" ref="E3164">IFERROR(_xlfn.XLOOKUP(D3164,Locales!$A:$A,Locales!$B:$B,""),"")</f>
        <v/>
      </c>
      <c r="F3164" s="9" cm="1">
        <f t="array" ref="F3164">IFERROR(_xlfn.XLOOKUP(B3164,Personal!$A:$A,Personal!$F:$F,""),"")</f>
        <v>0</v>
      </c>
      <c r="I3164" s="10" cm="1">
        <f t="array" ref="I3164">IFERROR(INDEX(Precios!$D:$F,MATCH(N3164, Precios!$G:$G, 0),CHOOSE(MATCH(H3164, {"SML";"XL";"XXL"}, 0), 1, 2, 3)), 0)</f>
        <v>0</v>
      </c>
      <c r="K3164" s="10">
        <f t="shared" si="106"/>
        <v>0</v>
      </c>
      <c r="N3164" s="9" t="str">
        <f t="shared" si="107"/>
        <v/>
      </c>
      <c r="O3164" s="9" t="str">
        <f>IF(N3164="","",IF(COUNTIF(Precios!$G:$G,N3164)=0,"⚠ No coincide con Precios","OK"))</f>
        <v/>
      </c>
    </row>
    <row r="3165" spans="3:15" x14ac:dyDescent="0.2">
      <c r="C3165" s="9" cm="1">
        <f t="array" ref="C3165">IFERROR(_xlfn.XLOOKUP(B3165,Personal!$A:$A,Personal!$D:$D,""),"")</f>
        <v>0</v>
      </c>
      <c r="D3165" s="9" cm="1">
        <f t="array" ref="D3165">IFERROR(_xlfn.XLOOKUP(B3165,Personal!$A:$A,Personal!$C:$C,""),"")</f>
        <v>0</v>
      </c>
      <c r="E3165" s="9" t="str" cm="1">
        <f t="array" ref="E3165">IFERROR(_xlfn.XLOOKUP(D3165,Locales!$A:$A,Locales!$B:$B,""),"")</f>
        <v/>
      </c>
      <c r="F3165" s="9" cm="1">
        <f t="array" ref="F3165">IFERROR(_xlfn.XLOOKUP(B3165,Personal!$A:$A,Personal!$F:$F,""),"")</f>
        <v>0</v>
      </c>
      <c r="I3165" s="10" cm="1">
        <f t="array" ref="I3165">IFERROR(INDEX(Precios!$D:$F,MATCH(N3165, Precios!$G:$G, 0),CHOOSE(MATCH(H3165, {"SML";"XL";"XXL"}, 0), 1, 2, 3)), 0)</f>
        <v>0</v>
      </c>
      <c r="K3165" s="10">
        <f t="shared" si="106"/>
        <v>0</v>
      </c>
      <c r="N3165" s="9" t="str">
        <f t="shared" si="107"/>
        <v/>
      </c>
      <c r="O3165" s="9" t="str">
        <f>IF(N3165="","",IF(COUNTIF(Precios!$G:$G,N3165)=0,"⚠ No coincide con Precios","OK"))</f>
        <v/>
      </c>
    </row>
    <row r="3166" spans="3:15" x14ac:dyDescent="0.2">
      <c r="C3166" s="9" cm="1">
        <f t="array" ref="C3166">IFERROR(_xlfn.XLOOKUP(B3166,Personal!$A:$A,Personal!$D:$D,""),"")</f>
        <v>0</v>
      </c>
      <c r="D3166" s="9" cm="1">
        <f t="array" ref="D3166">IFERROR(_xlfn.XLOOKUP(B3166,Personal!$A:$A,Personal!$C:$C,""),"")</f>
        <v>0</v>
      </c>
      <c r="E3166" s="9" t="str" cm="1">
        <f t="array" ref="E3166">IFERROR(_xlfn.XLOOKUP(D3166,Locales!$A:$A,Locales!$B:$B,""),"")</f>
        <v/>
      </c>
      <c r="F3166" s="9" cm="1">
        <f t="array" ref="F3166">IFERROR(_xlfn.XLOOKUP(B3166,Personal!$A:$A,Personal!$F:$F,""),"")</f>
        <v>0</v>
      </c>
      <c r="I3166" s="10" cm="1">
        <f t="array" ref="I3166">IFERROR(INDEX(Precios!$D:$F,MATCH(N3166, Precios!$G:$G, 0),CHOOSE(MATCH(H3166, {"SML";"XL";"XXL"}, 0), 1, 2, 3)), 0)</f>
        <v>0</v>
      </c>
      <c r="K3166" s="10">
        <f t="shared" si="106"/>
        <v>0</v>
      </c>
      <c r="N3166" s="9" t="str">
        <f t="shared" si="107"/>
        <v/>
      </c>
      <c r="O3166" s="9" t="str">
        <f>IF(N3166="","",IF(COUNTIF(Precios!$G:$G,N3166)=0,"⚠ No coincide con Precios","OK"))</f>
        <v/>
      </c>
    </row>
    <row r="3167" spans="3:15" x14ac:dyDescent="0.2">
      <c r="C3167" s="9" cm="1">
        <f t="array" ref="C3167">IFERROR(_xlfn.XLOOKUP(B3167,Personal!$A:$A,Personal!$D:$D,""),"")</f>
        <v>0</v>
      </c>
      <c r="D3167" s="9" cm="1">
        <f t="array" ref="D3167">IFERROR(_xlfn.XLOOKUP(B3167,Personal!$A:$A,Personal!$C:$C,""),"")</f>
        <v>0</v>
      </c>
      <c r="E3167" s="9" t="str" cm="1">
        <f t="array" ref="E3167">IFERROR(_xlfn.XLOOKUP(D3167,Locales!$A:$A,Locales!$B:$B,""),"")</f>
        <v/>
      </c>
      <c r="F3167" s="9" cm="1">
        <f t="array" ref="F3167">IFERROR(_xlfn.XLOOKUP(B3167,Personal!$A:$A,Personal!$F:$F,""),"")</f>
        <v>0</v>
      </c>
      <c r="I3167" s="10" cm="1">
        <f t="array" ref="I3167">IFERROR(INDEX(Precios!$D:$F,MATCH(N3167, Precios!$G:$G, 0),CHOOSE(MATCH(H3167, {"SML";"XL";"XXL"}, 0), 1, 2, 3)), 0)</f>
        <v>0</v>
      </c>
      <c r="K3167" s="10">
        <f t="shared" si="106"/>
        <v>0</v>
      </c>
      <c r="N3167" s="9" t="str">
        <f t="shared" si="107"/>
        <v/>
      </c>
      <c r="O3167" s="9" t="str">
        <f>IF(N3167="","",IF(COUNTIF(Precios!$G:$G,N3167)=0,"⚠ No coincide con Precios","OK"))</f>
        <v/>
      </c>
    </row>
    <row r="3168" spans="3:15" x14ac:dyDescent="0.2">
      <c r="C3168" s="9" cm="1">
        <f t="array" ref="C3168">IFERROR(_xlfn.XLOOKUP(B3168,Personal!$A:$A,Personal!$D:$D,""),"")</f>
        <v>0</v>
      </c>
      <c r="D3168" s="9" cm="1">
        <f t="array" ref="D3168">IFERROR(_xlfn.XLOOKUP(B3168,Personal!$A:$A,Personal!$C:$C,""),"")</f>
        <v>0</v>
      </c>
      <c r="E3168" s="9" t="str" cm="1">
        <f t="array" ref="E3168">IFERROR(_xlfn.XLOOKUP(D3168,Locales!$A:$A,Locales!$B:$B,""),"")</f>
        <v/>
      </c>
      <c r="F3168" s="9" cm="1">
        <f t="array" ref="F3168">IFERROR(_xlfn.XLOOKUP(B3168,Personal!$A:$A,Personal!$F:$F,""),"")</f>
        <v>0</v>
      </c>
      <c r="I3168" s="10" cm="1">
        <f t="array" ref="I3168">IFERROR(INDEX(Precios!$D:$F,MATCH(N3168, Precios!$G:$G, 0),CHOOSE(MATCH(H3168, {"SML";"XL";"XXL"}, 0), 1, 2, 3)), 0)</f>
        <v>0</v>
      </c>
      <c r="K3168" s="10">
        <f t="shared" si="106"/>
        <v>0</v>
      </c>
      <c r="N3168" s="9" t="str">
        <f t="shared" si="107"/>
        <v/>
      </c>
      <c r="O3168" s="9" t="str">
        <f>IF(N3168="","",IF(COUNTIF(Precios!$G:$G,N3168)=0,"⚠ No coincide con Precios","OK"))</f>
        <v/>
      </c>
    </row>
    <row r="3169" spans="3:15" x14ac:dyDescent="0.2">
      <c r="C3169" s="9" cm="1">
        <f t="array" ref="C3169">IFERROR(_xlfn.XLOOKUP(B3169,Personal!$A:$A,Personal!$D:$D,""),"")</f>
        <v>0</v>
      </c>
      <c r="D3169" s="9" cm="1">
        <f t="array" ref="D3169">IFERROR(_xlfn.XLOOKUP(B3169,Personal!$A:$A,Personal!$C:$C,""),"")</f>
        <v>0</v>
      </c>
      <c r="E3169" s="9" t="str" cm="1">
        <f t="array" ref="E3169">IFERROR(_xlfn.XLOOKUP(D3169,Locales!$A:$A,Locales!$B:$B,""),"")</f>
        <v/>
      </c>
      <c r="F3169" s="9" cm="1">
        <f t="array" ref="F3169">IFERROR(_xlfn.XLOOKUP(B3169,Personal!$A:$A,Personal!$F:$F,""),"")</f>
        <v>0</v>
      </c>
      <c r="I3169" s="10" cm="1">
        <f t="array" ref="I3169">IFERROR(INDEX(Precios!$D:$F,MATCH(N3169, Precios!$G:$G, 0),CHOOSE(MATCH(H3169, {"SML";"XL";"XXL"}, 0), 1, 2, 3)), 0)</f>
        <v>0</v>
      </c>
      <c r="K3169" s="10">
        <f t="shared" si="106"/>
        <v>0</v>
      </c>
      <c r="N3169" s="9" t="str">
        <f t="shared" si="107"/>
        <v/>
      </c>
      <c r="O3169" s="9" t="str">
        <f>IF(N3169="","",IF(COUNTIF(Precios!$G:$G,N3169)=0,"⚠ No coincide con Precios","OK"))</f>
        <v/>
      </c>
    </row>
    <row r="3170" spans="3:15" x14ac:dyDescent="0.2">
      <c r="C3170" s="9" cm="1">
        <f t="array" ref="C3170">IFERROR(_xlfn.XLOOKUP(B3170,Personal!$A:$A,Personal!$D:$D,""),"")</f>
        <v>0</v>
      </c>
      <c r="D3170" s="9" cm="1">
        <f t="array" ref="D3170">IFERROR(_xlfn.XLOOKUP(B3170,Personal!$A:$A,Personal!$C:$C,""),"")</f>
        <v>0</v>
      </c>
      <c r="E3170" s="9" t="str" cm="1">
        <f t="array" ref="E3170">IFERROR(_xlfn.XLOOKUP(D3170,Locales!$A:$A,Locales!$B:$B,""),"")</f>
        <v/>
      </c>
      <c r="F3170" s="9" cm="1">
        <f t="array" ref="F3170">IFERROR(_xlfn.XLOOKUP(B3170,Personal!$A:$A,Personal!$F:$F,""),"")</f>
        <v>0</v>
      </c>
      <c r="I3170" s="10" cm="1">
        <f t="array" ref="I3170">IFERROR(INDEX(Precios!$D:$F,MATCH(N3170, Precios!$G:$G, 0),CHOOSE(MATCH(H3170, {"SML";"XL";"XXL"}, 0), 1, 2, 3)), 0)</f>
        <v>0</v>
      </c>
      <c r="K3170" s="10">
        <f t="shared" si="106"/>
        <v>0</v>
      </c>
      <c r="N3170" s="9" t="str">
        <f t="shared" si="107"/>
        <v/>
      </c>
      <c r="O3170" s="9" t="str">
        <f>IF(N3170="","",IF(COUNTIF(Precios!$G:$G,N3170)=0,"⚠ No coincide con Precios","OK"))</f>
        <v/>
      </c>
    </row>
    <row r="3171" spans="3:15" x14ac:dyDescent="0.2">
      <c r="C3171" s="9" cm="1">
        <f t="array" ref="C3171">IFERROR(_xlfn.XLOOKUP(B3171,Personal!$A:$A,Personal!$D:$D,""),"")</f>
        <v>0</v>
      </c>
      <c r="D3171" s="9" cm="1">
        <f t="array" ref="D3171">IFERROR(_xlfn.XLOOKUP(B3171,Personal!$A:$A,Personal!$C:$C,""),"")</f>
        <v>0</v>
      </c>
      <c r="E3171" s="9" t="str" cm="1">
        <f t="array" ref="E3171">IFERROR(_xlfn.XLOOKUP(D3171,Locales!$A:$A,Locales!$B:$B,""),"")</f>
        <v/>
      </c>
      <c r="F3171" s="9" cm="1">
        <f t="array" ref="F3171">IFERROR(_xlfn.XLOOKUP(B3171,Personal!$A:$A,Personal!$F:$F,""),"")</f>
        <v>0</v>
      </c>
      <c r="I3171" s="10" cm="1">
        <f t="array" ref="I3171">IFERROR(INDEX(Precios!$D:$F,MATCH(N3171, Precios!$G:$G, 0),CHOOSE(MATCH(H3171, {"SML";"XL";"XXL"}, 0), 1, 2, 3)), 0)</f>
        <v>0</v>
      </c>
      <c r="K3171" s="10">
        <f t="shared" si="106"/>
        <v>0</v>
      </c>
      <c r="N3171" s="9" t="str">
        <f t="shared" si="107"/>
        <v/>
      </c>
      <c r="O3171" s="9" t="str">
        <f>IF(N3171="","",IF(COUNTIF(Precios!$G:$G,N3171)=0,"⚠ No coincide con Precios","OK"))</f>
        <v/>
      </c>
    </row>
    <row r="3172" spans="3:15" x14ac:dyDescent="0.2">
      <c r="C3172" s="9" cm="1">
        <f t="array" ref="C3172">IFERROR(_xlfn.XLOOKUP(B3172,Personal!$A:$A,Personal!$D:$D,""),"")</f>
        <v>0</v>
      </c>
      <c r="D3172" s="9" cm="1">
        <f t="array" ref="D3172">IFERROR(_xlfn.XLOOKUP(B3172,Personal!$A:$A,Personal!$C:$C,""),"")</f>
        <v>0</v>
      </c>
      <c r="E3172" s="9" t="str" cm="1">
        <f t="array" ref="E3172">IFERROR(_xlfn.XLOOKUP(D3172,Locales!$A:$A,Locales!$B:$B,""),"")</f>
        <v/>
      </c>
      <c r="F3172" s="9" cm="1">
        <f t="array" ref="F3172">IFERROR(_xlfn.XLOOKUP(B3172,Personal!$A:$A,Personal!$F:$F,""),"")</f>
        <v>0</v>
      </c>
      <c r="I3172" s="10" cm="1">
        <f t="array" ref="I3172">IFERROR(INDEX(Precios!$D:$F,MATCH(N3172, Precios!$G:$G, 0),CHOOSE(MATCH(H3172, {"SML";"XL";"XXL"}, 0), 1, 2, 3)), 0)</f>
        <v>0</v>
      </c>
      <c r="K3172" s="10">
        <f t="shared" si="106"/>
        <v>0</v>
      </c>
      <c r="N3172" s="9" t="str">
        <f t="shared" si="107"/>
        <v/>
      </c>
      <c r="O3172" s="9" t="str">
        <f>IF(N3172="","",IF(COUNTIF(Precios!$G:$G,N3172)=0,"⚠ No coincide con Precios","OK"))</f>
        <v/>
      </c>
    </row>
    <row r="3173" spans="3:15" x14ac:dyDescent="0.2">
      <c r="C3173" s="9" cm="1">
        <f t="array" ref="C3173">IFERROR(_xlfn.XLOOKUP(B3173,Personal!$A:$A,Personal!$D:$D,""),"")</f>
        <v>0</v>
      </c>
      <c r="D3173" s="9" cm="1">
        <f t="array" ref="D3173">IFERROR(_xlfn.XLOOKUP(B3173,Personal!$A:$A,Personal!$C:$C,""),"")</f>
        <v>0</v>
      </c>
      <c r="E3173" s="9" t="str" cm="1">
        <f t="array" ref="E3173">IFERROR(_xlfn.XLOOKUP(D3173,Locales!$A:$A,Locales!$B:$B,""),"")</f>
        <v/>
      </c>
      <c r="F3173" s="9" cm="1">
        <f t="array" ref="F3173">IFERROR(_xlfn.XLOOKUP(B3173,Personal!$A:$A,Personal!$F:$F,""),"")</f>
        <v>0</v>
      </c>
      <c r="I3173" s="10" cm="1">
        <f t="array" ref="I3173">IFERROR(INDEX(Precios!$D:$F,MATCH(N3173, Precios!$G:$G, 0),CHOOSE(MATCH(H3173, {"SML";"XL";"XXL"}, 0), 1, 2, 3)), 0)</f>
        <v>0</v>
      </c>
      <c r="K3173" s="10">
        <f t="shared" si="106"/>
        <v>0</v>
      </c>
      <c r="N3173" s="9" t="str">
        <f t="shared" si="107"/>
        <v/>
      </c>
      <c r="O3173" s="9" t="str">
        <f>IF(N3173="","",IF(COUNTIF(Precios!$G:$G,N3173)=0,"⚠ No coincide con Precios","OK"))</f>
        <v/>
      </c>
    </row>
    <row r="3174" spans="3:15" x14ac:dyDescent="0.2">
      <c r="C3174" s="9" cm="1">
        <f t="array" ref="C3174">IFERROR(_xlfn.XLOOKUP(B3174,Personal!$A:$A,Personal!$D:$D,""),"")</f>
        <v>0</v>
      </c>
      <c r="D3174" s="9" cm="1">
        <f t="array" ref="D3174">IFERROR(_xlfn.XLOOKUP(B3174,Personal!$A:$A,Personal!$C:$C,""),"")</f>
        <v>0</v>
      </c>
      <c r="E3174" s="9" t="str" cm="1">
        <f t="array" ref="E3174">IFERROR(_xlfn.XLOOKUP(D3174,Locales!$A:$A,Locales!$B:$B,""),"")</f>
        <v/>
      </c>
      <c r="F3174" s="9" cm="1">
        <f t="array" ref="F3174">IFERROR(_xlfn.XLOOKUP(B3174,Personal!$A:$A,Personal!$F:$F,""),"")</f>
        <v>0</v>
      </c>
      <c r="I3174" s="10" cm="1">
        <f t="array" ref="I3174">IFERROR(INDEX(Precios!$D:$F,MATCH(N3174, Precios!$G:$G, 0),CHOOSE(MATCH(H3174, {"SML";"XL";"XXL"}, 0), 1, 2, 3)), 0)</f>
        <v>0</v>
      </c>
      <c r="K3174" s="10">
        <f t="shared" si="106"/>
        <v>0</v>
      </c>
      <c r="N3174" s="9" t="str">
        <f t="shared" si="107"/>
        <v/>
      </c>
      <c r="O3174" s="9" t="str">
        <f>IF(N3174="","",IF(COUNTIF(Precios!$G:$G,N3174)=0,"⚠ No coincide con Precios","OK"))</f>
        <v/>
      </c>
    </row>
    <row r="3175" spans="3:15" x14ac:dyDescent="0.2">
      <c r="C3175" s="9" cm="1">
        <f t="array" ref="C3175">IFERROR(_xlfn.XLOOKUP(B3175,Personal!$A:$A,Personal!$D:$D,""),"")</f>
        <v>0</v>
      </c>
      <c r="D3175" s="9" cm="1">
        <f t="array" ref="D3175">IFERROR(_xlfn.XLOOKUP(B3175,Personal!$A:$A,Personal!$C:$C,""),"")</f>
        <v>0</v>
      </c>
      <c r="E3175" s="9" t="str" cm="1">
        <f t="array" ref="E3175">IFERROR(_xlfn.XLOOKUP(D3175,Locales!$A:$A,Locales!$B:$B,""),"")</f>
        <v/>
      </c>
      <c r="F3175" s="9" cm="1">
        <f t="array" ref="F3175">IFERROR(_xlfn.XLOOKUP(B3175,Personal!$A:$A,Personal!$F:$F,""),"")</f>
        <v>0</v>
      </c>
      <c r="I3175" s="10" cm="1">
        <f t="array" ref="I3175">IFERROR(INDEX(Precios!$D:$F,MATCH(N3175, Precios!$G:$G, 0),CHOOSE(MATCH(H3175, {"SML";"XL";"XXL"}, 0), 1, 2, 3)), 0)</f>
        <v>0</v>
      </c>
      <c r="K3175" s="10">
        <f t="shared" si="106"/>
        <v>0</v>
      </c>
      <c r="N3175" s="9" t="str">
        <f t="shared" si="107"/>
        <v/>
      </c>
      <c r="O3175" s="9" t="str">
        <f>IF(N3175="","",IF(COUNTIF(Precios!$G:$G,N3175)=0,"⚠ No coincide con Precios","OK"))</f>
        <v/>
      </c>
    </row>
    <row r="3176" spans="3:15" x14ac:dyDescent="0.2">
      <c r="C3176" s="9" cm="1">
        <f t="array" ref="C3176">IFERROR(_xlfn.XLOOKUP(B3176,Personal!$A:$A,Personal!$D:$D,""),"")</f>
        <v>0</v>
      </c>
      <c r="D3176" s="9" cm="1">
        <f t="array" ref="D3176">IFERROR(_xlfn.XLOOKUP(B3176,Personal!$A:$A,Personal!$C:$C,""),"")</f>
        <v>0</v>
      </c>
      <c r="E3176" s="9" t="str" cm="1">
        <f t="array" ref="E3176">IFERROR(_xlfn.XLOOKUP(D3176,Locales!$A:$A,Locales!$B:$B,""),"")</f>
        <v/>
      </c>
      <c r="F3176" s="9" cm="1">
        <f t="array" ref="F3176">IFERROR(_xlfn.XLOOKUP(B3176,Personal!$A:$A,Personal!$F:$F,""),"")</f>
        <v>0</v>
      </c>
      <c r="I3176" s="10" cm="1">
        <f t="array" ref="I3176">IFERROR(INDEX(Precios!$D:$F,MATCH(N3176, Precios!$G:$G, 0),CHOOSE(MATCH(H3176, {"SML";"XL";"XXL"}, 0), 1, 2, 3)), 0)</f>
        <v>0</v>
      </c>
      <c r="K3176" s="10">
        <f t="shared" si="106"/>
        <v>0</v>
      </c>
      <c r="N3176" s="9" t="str">
        <f t="shared" si="107"/>
        <v/>
      </c>
      <c r="O3176" s="9" t="str">
        <f>IF(N3176="","",IF(COUNTIF(Precios!$G:$G,N3176)=0,"⚠ No coincide con Precios","OK"))</f>
        <v/>
      </c>
    </row>
    <row r="3177" spans="3:15" x14ac:dyDescent="0.2">
      <c r="C3177" s="9" cm="1">
        <f t="array" ref="C3177">IFERROR(_xlfn.XLOOKUP(B3177,Personal!$A:$A,Personal!$D:$D,""),"")</f>
        <v>0</v>
      </c>
      <c r="D3177" s="9" cm="1">
        <f t="array" ref="D3177">IFERROR(_xlfn.XLOOKUP(B3177,Personal!$A:$A,Personal!$C:$C,""),"")</f>
        <v>0</v>
      </c>
      <c r="E3177" s="9" t="str" cm="1">
        <f t="array" ref="E3177">IFERROR(_xlfn.XLOOKUP(D3177,Locales!$A:$A,Locales!$B:$B,""),"")</f>
        <v/>
      </c>
      <c r="F3177" s="9" cm="1">
        <f t="array" ref="F3177">IFERROR(_xlfn.XLOOKUP(B3177,Personal!$A:$A,Personal!$F:$F,""),"")</f>
        <v>0</v>
      </c>
      <c r="I3177" s="10" cm="1">
        <f t="array" ref="I3177">IFERROR(INDEX(Precios!$D:$F,MATCH(N3177, Precios!$G:$G, 0),CHOOSE(MATCH(H3177, {"SML";"XL";"XXL"}, 0), 1, 2, 3)), 0)</f>
        <v>0</v>
      </c>
      <c r="K3177" s="10">
        <f t="shared" si="106"/>
        <v>0</v>
      </c>
      <c r="N3177" s="9" t="str">
        <f t="shared" si="107"/>
        <v/>
      </c>
      <c r="O3177" s="9" t="str">
        <f>IF(N3177="","",IF(COUNTIF(Precios!$G:$G,N3177)=0,"⚠ No coincide con Precios","OK"))</f>
        <v/>
      </c>
    </row>
    <row r="3178" spans="3:15" x14ac:dyDescent="0.2">
      <c r="C3178" s="9" cm="1">
        <f t="array" ref="C3178">IFERROR(_xlfn.XLOOKUP(B3178,Personal!$A:$A,Personal!$D:$D,""),"")</f>
        <v>0</v>
      </c>
      <c r="D3178" s="9" cm="1">
        <f t="array" ref="D3178">IFERROR(_xlfn.XLOOKUP(B3178,Personal!$A:$A,Personal!$C:$C,""),"")</f>
        <v>0</v>
      </c>
      <c r="E3178" s="9" t="str" cm="1">
        <f t="array" ref="E3178">IFERROR(_xlfn.XLOOKUP(D3178,Locales!$A:$A,Locales!$B:$B,""),"")</f>
        <v/>
      </c>
      <c r="F3178" s="9" cm="1">
        <f t="array" ref="F3178">IFERROR(_xlfn.XLOOKUP(B3178,Personal!$A:$A,Personal!$F:$F,""),"")</f>
        <v>0</v>
      </c>
      <c r="I3178" s="10" cm="1">
        <f t="array" ref="I3178">IFERROR(INDEX(Precios!$D:$F,MATCH(N3178, Precios!$G:$G, 0),CHOOSE(MATCH(H3178, {"SML";"XL";"XXL"}, 0), 1, 2, 3)), 0)</f>
        <v>0</v>
      </c>
      <c r="K3178" s="10">
        <f t="shared" si="106"/>
        <v>0</v>
      </c>
      <c r="N3178" s="9" t="str">
        <f t="shared" si="107"/>
        <v/>
      </c>
      <c r="O3178" s="9" t="str">
        <f>IF(N3178="","",IF(COUNTIF(Precios!$G:$G,N3178)=0,"⚠ No coincide con Precios","OK"))</f>
        <v/>
      </c>
    </row>
    <row r="3179" spans="3:15" x14ac:dyDescent="0.2">
      <c r="C3179" s="9" cm="1">
        <f t="array" ref="C3179">IFERROR(_xlfn.XLOOKUP(B3179,Personal!$A:$A,Personal!$D:$D,""),"")</f>
        <v>0</v>
      </c>
      <c r="D3179" s="9" cm="1">
        <f t="array" ref="D3179">IFERROR(_xlfn.XLOOKUP(B3179,Personal!$A:$A,Personal!$C:$C,""),"")</f>
        <v>0</v>
      </c>
      <c r="E3179" s="9" t="str" cm="1">
        <f t="array" ref="E3179">IFERROR(_xlfn.XLOOKUP(D3179,Locales!$A:$A,Locales!$B:$B,""),"")</f>
        <v/>
      </c>
      <c r="F3179" s="9" cm="1">
        <f t="array" ref="F3179">IFERROR(_xlfn.XLOOKUP(B3179,Personal!$A:$A,Personal!$F:$F,""),"")</f>
        <v>0</v>
      </c>
      <c r="I3179" s="10" cm="1">
        <f t="array" ref="I3179">IFERROR(INDEX(Precios!$D:$F,MATCH(N3179, Precios!$G:$G, 0),CHOOSE(MATCH(H3179, {"SML";"XL";"XXL"}, 0), 1, 2, 3)), 0)</f>
        <v>0</v>
      </c>
      <c r="K3179" s="10">
        <f t="shared" si="106"/>
        <v>0</v>
      </c>
      <c r="N3179" s="9" t="str">
        <f t="shared" si="107"/>
        <v/>
      </c>
      <c r="O3179" s="9" t="str">
        <f>IF(N3179="","",IF(COUNTIF(Precios!$G:$G,N3179)=0,"⚠ No coincide con Precios","OK"))</f>
        <v/>
      </c>
    </row>
    <row r="3180" spans="3:15" x14ac:dyDescent="0.2">
      <c r="C3180" s="9" cm="1">
        <f t="array" ref="C3180">IFERROR(_xlfn.XLOOKUP(B3180,Personal!$A:$A,Personal!$D:$D,""),"")</f>
        <v>0</v>
      </c>
      <c r="D3180" s="9" cm="1">
        <f t="array" ref="D3180">IFERROR(_xlfn.XLOOKUP(B3180,Personal!$A:$A,Personal!$C:$C,""),"")</f>
        <v>0</v>
      </c>
      <c r="E3180" s="9" t="str" cm="1">
        <f t="array" ref="E3180">IFERROR(_xlfn.XLOOKUP(D3180,Locales!$A:$A,Locales!$B:$B,""),"")</f>
        <v/>
      </c>
      <c r="F3180" s="9" cm="1">
        <f t="array" ref="F3180">IFERROR(_xlfn.XLOOKUP(B3180,Personal!$A:$A,Personal!$F:$F,""),"")</f>
        <v>0</v>
      </c>
      <c r="I3180" s="10" cm="1">
        <f t="array" ref="I3180">IFERROR(INDEX(Precios!$D:$F,MATCH(N3180, Precios!$G:$G, 0),CHOOSE(MATCH(H3180, {"SML";"XL";"XXL"}, 0), 1, 2, 3)), 0)</f>
        <v>0</v>
      </c>
      <c r="K3180" s="10">
        <f t="shared" si="106"/>
        <v>0</v>
      </c>
      <c r="N3180" s="9" t="str">
        <f t="shared" si="107"/>
        <v/>
      </c>
      <c r="O3180" s="9" t="str">
        <f>IF(N3180="","",IF(COUNTIF(Precios!$G:$G,N3180)=0,"⚠ No coincide con Precios","OK"))</f>
        <v/>
      </c>
    </row>
    <row r="3181" spans="3:15" x14ac:dyDescent="0.2">
      <c r="C3181" s="9" cm="1">
        <f t="array" ref="C3181">IFERROR(_xlfn.XLOOKUP(B3181,Personal!$A:$A,Personal!$D:$D,""),"")</f>
        <v>0</v>
      </c>
      <c r="D3181" s="9" cm="1">
        <f t="array" ref="D3181">IFERROR(_xlfn.XLOOKUP(B3181,Personal!$A:$A,Personal!$C:$C,""),"")</f>
        <v>0</v>
      </c>
      <c r="E3181" s="9" t="str" cm="1">
        <f t="array" ref="E3181">IFERROR(_xlfn.XLOOKUP(D3181,Locales!$A:$A,Locales!$B:$B,""),"")</f>
        <v/>
      </c>
      <c r="F3181" s="9" cm="1">
        <f t="array" ref="F3181">IFERROR(_xlfn.XLOOKUP(B3181,Personal!$A:$A,Personal!$F:$F,""),"")</f>
        <v>0</v>
      </c>
      <c r="I3181" s="10" cm="1">
        <f t="array" ref="I3181">IFERROR(INDEX(Precios!$D:$F,MATCH(N3181, Precios!$G:$G, 0),CHOOSE(MATCH(H3181, {"SML";"XL";"XXL"}, 0), 1, 2, 3)), 0)</f>
        <v>0</v>
      </c>
      <c r="K3181" s="10">
        <f t="shared" si="106"/>
        <v>0</v>
      </c>
      <c r="N3181" s="9" t="str">
        <f t="shared" si="107"/>
        <v/>
      </c>
      <c r="O3181" s="9" t="str">
        <f>IF(N3181="","",IF(COUNTIF(Precios!$G:$G,N3181)=0,"⚠ No coincide con Precios","OK"))</f>
        <v/>
      </c>
    </row>
    <row r="3182" spans="3:15" x14ac:dyDescent="0.2">
      <c r="C3182" s="9" cm="1">
        <f t="array" ref="C3182">IFERROR(_xlfn.XLOOKUP(B3182,Personal!$A:$A,Personal!$D:$D,""),"")</f>
        <v>0</v>
      </c>
      <c r="D3182" s="9" cm="1">
        <f t="array" ref="D3182">IFERROR(_xlfn.XLOOKUP(B3182,Personal!$A:$A,Personal!$C:$C,""),"")</f>
        <v>0</v>
      </c>
      <c r="E3182" s="9" t="str" cm="1">
        <f t="array" ref="E3182">IFERROR(_xlfn.XLOOKUP(D3182,Locales!$A:$A,Locales!$B:$B,""),"")</f>
        <v/>
      </c>
      <c r="F3182" s="9" cm="1">
        <f t="array" ref="F3182">IFERROR(_xlfn.XLOOKUP(B3182,Personal!$A:$A,Personal!$F:$F,""),"")</f>
        <v>0</v>
      </c>
      <c r="I3182" s="10" cm="1">
        <f t="array" ref="I3182">IFERROR(INDEX(Precios!$D:$F,MATCH(N3182, Precios!$G:$G, 0),CHOOSE(MATCH(H3182, {"SML";"XL";"XXL"}, 0), 1, 2, 3)), 0)</f>
        <v>0</v>
      </c>
      <c r="K3182" s="10">
        <f t="shared" si="106"/>
        <v>0</v>
      </c>
      <c r="N3182" s="9" t="str">
        <f t="shared" si="107"/>
        <v/>
      </c>
      <c r="O3182" s="9" t="str">
        <f>IF(N3182="","",IF(COUNTIF(Precios!$G:$G,N3182)=0,"⚠ No coincide con Precios","OK"))</f>
        <v/>
      </c>
    </row>
    <row r="3183" spans="3:15" x14ac:dyDescent="0.2">
      <c r="C3183" s="9" cm="1">
        <f t="array" ref="C3183">IFERROR(_xlfn.XLOOKUP(B3183,Personal!$A:$A,Personal!$D:$D,""),"")</f>
        <v>0</v>
      </c>
      <c r="D3183" s="9" cm="1">
        <f t="array" ref="D3183">IFERROR(_xlfn.XLOOKUP(B3183,Personal!$A:$A,Personal!$C:$C,""),"")</f>
        <v>0</v>
      </c>
      <c r="E3183" s="9" t="str" cm="1">
        <f t="array" ref="E3183">IFERROR(_xlfn.XLOOKUP(D3183,Locales!$A:$A,Locales!$B:$B,""),"")</f>
        <v/>
      </c>
      <c r="F3183" s="9" cm="1">
        <f t="array" ref="F3183">IFERROR(_xlfn.XLOOKUP(B3183,Personal!$A:$A,Personal!$F:$F,""),"")</f>
        <v>0</v>
      </c>
      <c r="I3183" s="10" cm="1">
        <f t="array" ref="I3183">IFERROR(INDEX(Precios!$D:$F,MATCH(N3183, Precios!$G:$G, 0),CHOOSE(MATCH(H3183, {"SML";"XL";"XXL"}, 0), 1, 2, 3)), 0)</f>
        <v>0</v>
      </c>
      <c r="K3183" s="10">
        <f t="shared" si="106"/>
        <v>0</v>
      </c>
      <c r="N3183" s="9" t="str">
        <f t="shared" si="107"/>
        <v/>
      </c>
      <c r="O3183" s="9" t="str">
        <f>IF(N3183="","",IF(COUNTIF(Precios!$G:$G,N3183)=0,"⚠ No coincide con Precios","OK"))</f>
        <v/>
      </c>
    </row>
    <row r="3184" spans="3:15" x14ac:dyDescent="0.2">
      <c r="C3184" s="9" cm="1">
        <f t="array" ref="C3184">IFERROR(_xlfn.XLOOKUP(B3184,Personal!$A:$A,Personal!$D:$D,""),"")</f>
        <v>0</v>
      </c>
      <c r="D3184" s="9" cm="1">
        <f t="array" ref="D3184">IFERROR(_xlfn.XLOOKUP(B3184,Personal!$A:$A,Personal!$C:$C,""),"")</f>
        <v>0</v>
      </c>
      <c r="E3184" s="9" t="str" cm="1">
        <f t="array" ref="E3184">IFERROR(_xlfn.XLOOKUP(D3184,Locales!$A:$A,Locales!$B:$B,""),"")</f>
        <v/>
      </c>
      <c r="F3184" s="9" cm="1">
        <f t="array" ref="F3184">IFERROR(_xlfn.XLOOKUP(B3184,Personal!$A:$A,Personal!$F:$F,""),"")</f>
        <v>0</v>
      </c>
      <c r="I3184" s="10" cm="1">
        <f t="array" ref="I3184">IFERROR(INDEX(Precios!$D:$F,MATCH(N3184, Precios!$G:$G, 0),CHOOSE(MATCH(H3184, {"SML";"XL";"XXL"}, 0), 1, 2, 3)), 0)</f>
        <v>0</v>
      </c>
      <c r="K3184" s="10">
        <f t="shared" si="106"/>
        <v>0</v>
      </c>
      <c r="N3184" s="9" t="str">
        <f t="shared" si="107"/>
        <v/>
      </c>
      <c r="O3184" s="9" t="str">
        <f>IF(N3184="","",IF(COUNTIF(Precios!$G:$G,N3184)=0,"⚠ No coincide con Precios","OK"))</f>
        <v/>
      </c>
    </row>
    <row r="3185" spans="3:15" x14ac:dyDescent="0.2">
      <c r="C3185" s="9" cm="1">
        <f t="array" ref="C3185">IFERROR(_xlfn.XLOOKUP(B3185,Personal!$A:$A,Personal!$D:$D,""),"")</f>
        <v>0</v>
      </c>
      <c r="D3185" s="9" cm="1">
        <f t="array" ref="D3185">IFERROR(_xlfn.XLOOKUP(B3185,Personal!$A:$A,Personal!$C:$C,""),"")</f>
        <v>0</v>
      </c>
      <c r="E3185" s="9" t="str" cm="1">
        <f t="array" ref="E3185">IFERROR(_xlfn.XLOOKUP(D3185,Locales!$A:$A,Locales!$B:$B,""),"")</f>
        <v/>
      </c>
      <c r="F3185" s="9" cm="1">
        <f t="array" ref="F3185">IFERROR(_xlfn.XLOOKUP(B3185,Personal!$A:$A,Personal!$F:$F,""),"")</f>
        <v>0</v>
      </c>
      <c r="I3185" s="10" cm="1">
        <f t="array" ref="I3185">IFERROR(INDEX(Precios!$D:$F,MATCH(N3185, Precios!$G:$G, 0),CHOOSE(MATCH(H3185, {"SML";"XL";"XXL"}, 0), 1, 2, 3)), 0)</f>
        <v>0</v>
      </c>
      <c r="K3185" s="10">
        <f t="shared" si="106"/>
        <v>0</v>
      </c>
      <c r="N3185" s="9" t="str">
        <f t="shared" si="107"/>
        <v/>
      </c>
      <c r="O3185" s="9" t="str">
        <f>IF(N3185="","",IF(COUNTIF(Precios!$G:$G,N3185)=0,"⚠ No coincide con Precios","OK"))</f>
        <v/>
      </c>
    </row>
    <row r="3186" spans="3:15" x14ac:dyDescent="0.2">
      <c r="C3186" s="9" cm="1">
        <f t="array" ref="C3186">IFERROR(_xlfn.XLOOKUP(B3186,Personal!$A:$A,Personal!$D:$D,""),"")</f>
        <v>0</v>
      </c>
      <c r="D3186" s="9" cm="1">
        <f t="array" ref="D3186">IFERROR(_xlfn.XLOOKUP(B3186,Personal!$A:$A,Personal!$C:$C,""),"")</f>
        <v>0</v>
      </c>
      <c r="E3186" s="9" t="str" cm="1">
        <f t="array" ref="E3186">IFERROR(_xlfn.XLOOKUP(D3186,Locales!$A:$A,Locales!$B:$B,""),"")</f>
        <v/>
      </c>
      <c r="F3186" s="9" cm="1">
        <f t="array" ref="F3186">IFERROR(_xlfn.XLOOKUP(B3186,Personal!$A:$A,Personal!$F:$F,""),"")</f>
        <v>0</v>
      </c>
      <c r="I3186" s="10" cm="1">
        <f t="array" ref="I3186">IFERROR(INDEX(Precios!$D:$F,MATCH(N3186, Precios!$G:$G, 0),CHOOSE(MATCH(H3186, {"SML";"XL";"XXL"}, 0), 1, 2, 3)), 0)</f>
        <v>0</v>
      </c>
      <c r="K3186" s="10">
        <f t="shared" si="106"/>
        <v>0</v>
      </c>
      <c r="N3186" s="9" t="str">
        <f t="shared" si="107"/>
        <v/>
      </c>
      <c r="O3186" s="9" t="str">
        <f>IF(N3186="","",IF(COUNTIF(Precios!$G:$G,N3186)=0,"⚠ No coincide con Precios","OK"))</f>
        <v/>
      </c>
    </row>
    <row r="3187" spans="3:15" x14ac:dyDescent="0.2">
      <c r="C3187" s="9" cm="1">
        <f t="array" ref="C3187">IFERROR(_xlfn.XLOOKUP(B3187,Personal!$A:$A,Personal!$D:$D,""),"")</f>
        <v>0</v>
      </c>
      <c r="D3187" s="9" cm="1">
        <f t="array" ref="D3187">IFERROR(_xlfn.XLOOKUP(B3187,Personal!$A:$A,Personal!$C:$C,""),"")</f>
        <v>0</v>
      </c>
      <c r="E3187" s="9" t="str" cm="1">
        <f t="array" ref="E3187">IFERROR(_xlfn.XLOOKUP(D3187,Locales!$A:$A,Locales!$B:$B,""),"")</f>
        <v/>
      </c>
      <c r="F3187" s="9" cm="1">
        <f t="array" ref="F3187">IFERROR(_xlfn.XLOOKUP(B3187,Personal!$A:$A,Personal!$F:$F,""),"")</f>
        <v>0</v>
      </c>
      <c r="I3187" s="10" cm="1">
        <f t="array" ref="I3187">IFERROR(INDEX(Precios!$D:$F,MATCH(N3187, Precios!$G:$G, 0),CHOOSE(MATCH(H3187, {"SML";"XL";"XXL"}, 0), 1, 2, 3)), 0)</f>
        <v>0</v>
      </c>
      <c r="K3187" s="10">
        <f t="shared" si="106"/>
        <v>0</v>
      </c>
      <c r="N3187" s="9" t="str">
        <f t="shared" si="107"/>
        <v/>
      </c>
      <c r="O3187" s="9" t="str">
        <f>IF(N3187="","",IF(COUNTIF(Precios!$G:$G,N3187)=0,"⚠ No coincide con Precios","OK"))</f>
        <v/>
      </c>
    </row>
    <row r="3188" spans="3:15" x14ac:dyDescent="0.2">
      <c r="C3188" s="9" cm="1">
        <f t="array" ref="C3188">IFERROR(_xlfn.XLOOKUP(B3188,Personal!$A:$A,Personal!$D:$D,""),"")</f>
        <v>0</v>
      </c>
      <c r="D3188" s="9" cm="1">
        <f t="array" ref="D3188">IFERROR(_xlfn.XLOOKUP(B3188,Personal!$A:$A,Personal!$C:$C,""),"")</f>
        <v>0</v>
      </c>
      <c r="E3188" s="9" t="str" cm="1">
        <f t="array" ref="E3188">IFERROR(_xlfn.XLOOKUP(D3188,Locales!$A:$A,Locales!$B:$B,""),"")</f>
        <v/>
      </c>
      <c r="F3188" s="9" cm="1">
        <f t="array" ref="F3188">IFERROR(_xlfn.XLOOKUP(B3188,Personal!$A:$A,Personal!$F:$F,""),"")</f>
        <v>0</v>
      </c>
      <c r="I3188" s="10" cm="1">
        <f t="array" ref="I3188">IFERROR(INDEX(Precios!$D:$F,MATCH(N3188, Precios!$G:$G, 0),CHOOSE(MATCH(H3188, {"SML";"XL";"XXL"}, 0), 1, 2, 3)), 0)</f>
        <v>0</v>
      </c>
      <c r="K3188" s="10">
        <f t="shared" si="106"/>
        <v>0</v>
      </c>
      <c r="N3188" s="9" t="str">
        <f t="shared" si="107"/>
        <v/>
      </c>
      <c r="O3188" s="9" t="str">
        <f>IF(N3188="","",IF(COUNTIF(Precios!$G:$G,N3188)=0,"⚠ No coincide con Precios","OK"))</f>
        <v/>
      </c>
    </row>
    <row r="3189" spans="3:15" x14ac:dyDescent="0.2">
      <c r="C3189" s="9" cm="1">
        <f t="array" ref="C3189">IFERROR(_xlfn.XLOOKUP(B3189,Personal!$A:$A,Personal!$D:$D,""),"")</f>
        <v>0</v>
      </c>
      <c r="D3189" s="9" cm="1">
        <f t="array" ref="D3189">IFERROR(_xlfn.XLOOKUP(B3189,Personal!$A:$A,Personal!$C:$C,""),"")</f>
        <v>0</v>
      </c>
      <c r="E3189" s="9" t="str" cm="1">
        <f t="array" ref="E3189">IFERROR(_xlfn.XLOOKUP(D3189,Locales!$A:$A,Locales!$B:$B,""),"")</f>
        <v/>
      </c>
      <c r="F3189" s="9" cm="1">
        <f t="array" ref="F3189">IFERROR(_xlfn.XLOOKUP(B3189,Personal!$A:$A,Personal!$F:$F,""),"")</f>
        <v>0</v>
      </c>
      <c r="I3189" s="10" cm="1">
        <f t="array" ref="I3189">IFERROR(INDEX(Precios!$D:$F,MATCH(N3189, Precios!$G:$G, 0),CHOOSE(MATCH(H3189, {"SML";"XL";"XXL"}, 0), 1, 2, 3)), 0)</f>
        <v>0</v>
      </c>
      <c r="K3189" s="10">
        <f t="shared" si="106"/>
        <v>0</v>
      </c>
      <c r="N3189" s="9" t="str">
        <f t="shared" si="107"/>
        <v/>
      </c>
      <c r="O3189" s="9" t="str">
        <f>IF(N3189="","",IF(COUNTIF(Precios!$G:$G,N3189)=0,"⚠ No coincide con Precios","OK"))</f>
        <v/>
      </c>
    </row>
    <row r="3190" spans="3:15" x14ac:dyDescent="0.2">
      <c r="C3190" s="9" cm="1">
        <f t="array" ref="C3190">IFERROR(_xlfn.XLOOKUP(B3190,Personal!$A:$A,Personal!$D:$D,""),"")</f>
        <v>0</v>
      </c>
      <c r="D3190" s="9" cm="1">
        <f t="array" ref="D3190">IFERROR(_xlfn.XLOOKUP(B3190,Personal!$A:$A,Personal!$C:$C,""),"")</f>
        <v>0</v>
      </c>
      <c r="E3190" s="9" t="str" cm="1">
        <f t="array" ref="E3190">IFERROR(_xlfn.XLOOKUP(D3190,Locales!$A:$A,Locales!$B:$B,""),"")</f>
        <v/>
      </c>
      <c r="F3190" s="9" cm="1">
        <f t="array" ref="F3190">IFERROR(_xlfn.XLOOKUP(B3190,Personal!$A:$A,Personal!$F:$F,""),"")</f>
        <v>0</v>
      </c>
      <c r="I3190" s="10" cm="1">
        <f t="array" ref="I3190">IFERROR(INDEX(Precios!$D:$F,MATCH(N3190, Precios!$G:$G, 0),CHOOSE(MATCH(H3190, {"SML";"XL";"XXL"}, 0), 1, 2, 3)), 0)</f>
        <v>0</v>
      </c>
      <c r="K3190" s="10">
        <f t="shared" si="106"/>
        <v>0</v>
      </c>
      <c r="N3190" s="9" t="str">
        <f t="shared" si="107"/>
        <v/>
      </c>
      <c r="O3190" s="9" t="str">
        <f>IF(N3190="","",IF(COUNTIF(Precios!$G:$G,N3190)=0,"⚠ No coincide con Precios","OK"))</f>
        <v/>
      </c>
    </row>
    <row r="3191" spans="3:15" x14ac:dyDescent="0.2">
      <c r="C3191" s="9" cm="1">
        <f t="array" ref="C3191">IFERROR(_xlfn.XLOOKUP(B3191,Personal!$A:$A,Personal!$D:$D,""),"")</f>
        <v>0</v>
      </c>
      <c r="D3191" s="9" cm="1">
        <f t="array" ref="D3191">IFERROR(_xlfn.XLOOKUP(B3191,Personal!$A:$A,Personal!$C:$C,""),"")</f>
        <v>0</v>
      </c>
      <c r="E3191" s="9" t="str" cm="1">
        <f t="array" ref="E3191">IFERROR(_xlfn.XLOOKUP(D3191,Locales!$A:$A,Locales!$B:$B,""),"")</f>
        <v/>
      </c>
      <c r="F3191" s="9" cm="1">
        <f t="array" ref="F3191">IFERROR(_xlfn.XLOOKUP(B3191,Personal!$A:$A,Personal!$F:$F,""),"")</f>
        <v>0</v>
      </c>
      <c r="I3191" s="10" cm="1">
        <f t="array" ref="I3191">IFERROR(INDEX(Precios!$D:$F,MATCH(N3191, Precios!$G:$G, 0),CHOOSE(MATCH(H3191, {"SML";"XL";"XXL"}, 0), 1, 2, 3)), 0)</f>
        <v>0</v>
      </c>
      <c r="K3191" s="10">
        <f t="shared" si="106"/>
        <v>0</v>
      </c>
      <c r="N3191" s="9" t="str">
        <f t="shared" si="107"/>
        <v/>
      </c>
      <c r="O3191" s="9" t="str">
        <f>IF(N3191="","",IF(COUNTIF(Precios!$G:$G,N3191)=0,"⚠ No coincide con Precios","OK"))</f>
        <v/>
      </c>
    </row>
    <row r="3192" spans="3:15" x14ac:dyDescent="0.2">
      <c r="C3192" s="9" cm="1">
        <f t="array" ref="C3192">IFERROR(_xlfn.XLOOKUP(B3192,Personal!$A:$A,Personal!$D:$D,""),"")</f>
        <v>0</v>
      </c>
      <c r="D3192" s="9" cm="1">
        <f t="array" ref="D3192">IFERROR(_xlfn.XLOOKUP(B3192,Personal!$A:$A,Personal!$C:$C,""),"")</f>
        <v>0</v>
      </c>
      <c r="E3192" s="9" t="str" cm="1">
        <f t="array" ref="E3192">IFERROR(_xlfn.XLOOKUP(D3192,Locales!$A:$A,Locales!$B:$B,""),"")</f>
        <v/>
      </c>
      <c r="F3192" s="9" cm="1">
        <f t="array" ref="F3192">IFERROR(_xlfn.XLOOKUP(B3192,Personal!$A:$A,Personal!$F:$F,""),"")</f>
        <v>0</v>
      </c>
      <c r="I3192" s="10" cm="1">
        <f t="array" ref="I3192">IFERROR(INDEX(Precios!$D:$F,MATCH(N3192, Precios!$G:$G, 0),CHOOSE(MATCH(H3192, {"SML";"XL";"XXL"}, 0), 1, 2, 3)), 0)</f>
        <v>0</v>
      </c>
      <c r="K3192" s="10">
        <f t="shared" si="106"/>
        <v>0</v>
      </c>
      <c r="N3192" s="9" t="str">
        <f t="shared" si="107"/>
        <v/>
      </c>
      <c r="O3192" s="9" t="str">
        <f>IF(N3192="","",IF(COUNTIF(Precios!$G:$G,N3192)=0,"⚠ No coincide con Precios","OK"))</f>
        <v/>
      </c>
    </row>
    <row r="3193" spans="3:15" x14ac:dyDescent="0.2">
      <c r="C3193" s="9" cm="1">
        <f t="array" ref="C3193">IFERROR(_xlfn.XLOOKUP(B3193,Personal!$A:$A,Personal!$D:$D,""),"")</f>
        <v>0</v>
      </c>
      <c r="D3193" s="9" cm="1">
        <f t="array" ref="D3193">IFERROR(_xlfn.XLOOKUP(B3193,Personal!$A:$A,Personal!$C:$C,""),"")</f>
        <v>0</v>
      </c>
      <c r="E3193" s="9" t="str" cm="1">
        <f t="array" ref="E3193">IFERROR(_xlfn.XLOOKUP(D3193,Locales!$A:$A,Locales!$B:$B,""),"")</f>
        <v/>
      </c>
      <c r="F3193" s="9" cm="1">
        <f t="array" ref="F3193">IFERROR(_xlfn.XLOOKUP(B3193,Personal!$A:$A,Personal!$F:$F,""),"")</f>
        <v>0</v>
      </c>
      <c r="I3193" s="10" cm="1">
        <f t="array" ref="I3193">IFERROR(INDEX(Precios!$D:$F,MATCH(N3193, Precios!$G:$G, 0),CHOOSE(MATCH(H3193, {"SML";"XL";"XXL"}, 0), 1, 2, 3)), 0)</f>
        <v>0</v>
      </c>
      <c r="K3193" s="10">
        <f t="shared" si="106"/>
        <v>0</v>
      </c>
      <c r="N3193" s="9" t="str">
        <f t="shared" si="107"/>
        <v/>
      </c>
      <c r="O3193" s="9" t="str">
        <f>IF(N3193="","",IF(COUNTIF(Precios!$G:$G,N3193)=0,"⚠ No coincide con Precios","OK"))</f>
        <v/>
      </c>
    </row>
    <row r="3194" spans="3:15" x14ac:dyDescent="0.2">
      <c r="C3194" s="9" cm="1">
        <f t="array" ref="C3194">IFERROR(_xlfn.XLOOKUP(B3194,Personal!$A:$A,Personal!$D:$D,""),"")</f>
        <v>0</v>
      </c>
      <c r="D3194" s="9" cm="1">
        <f t="array" ref="D3194">IFERROR(_xlfn.XLOOKUP(B3194,Personal!$A:$A,Personal!$C:$C,""),"")</f>
        <v>0</v>
      </c>
      <c r="E3194" s="9" t="str" cm="1">
        <f t="array" ref="E3194">IFERROR(_xlfn.XLOOKUP(D3194,Locales!$A:$A,Locales!$B:$B,""),"")</f>
        <v/>
      </c>
      <c r="F3194" s="9" cm="1">
        <f t="array" ref="F3194">IFERROR(_xlfn.XLOOKUP(B3194,Personal!$A:$A,Personal!$F:$F,""),"")</f>
        <v>0</v>
      </c>
      <c r="I3194" s="10" cm="1">
        <f t="array" ref="I3194">IFERROR(INDEX(Precios!$D:$F,MATCH(N3194, Precios!$G:$G, 0),CHOOSE(MATCH(H3194, {"SML";"XL";"XXL"}, 0), 1, 2, 3)), 0)</f>
        <v>0</v>
      </c>
      <c r="K3194" s="10">
        <f t="shared" si="106"/>
        <v>0</v>
      </c>
      <c r="N3194" s="9" t="str">
        <f t="shared" si="107"/>
        <v/>
      </c>
      <c r="O3194" s="9" t="str">
        <f>IF(N3194="","",IF(COUNTIF(Precios!$G:$G,N3194)=0,"⚠ No coincide con Precios","OK"))</f>
        <v/>
      </c>
    </row>
    <row r="3195" spans="3:15" x14ac:dyDescent="0.2">
      <c r="C3195" s="9" cm="1">
        <f t="array" ref="C3195">IFERROR(_xlfn.XLOOKUP(B3195,Personal!$A:$A,Personal!$D:$D,""),"")</f>
        <v>0</v>
      </c>
      <c r="D3195" s="9" cm="1">
        <f t="array" ref="D3195">IFERROR(_xlfn.XLOOKUP(B3195,Personal!$A:$A,Personal!$C:$C,""),"")</f>
        <v>0</v>
      </c>
      <c r="E3195" s="9" t="str" cm="1">
        <f t="array" ref="E3195">IFERROR(_xlfn.XLOOKUP(D3195,Locales!$A:$A,Locales!$B:$B,""),"")</f>
        <v/>
      </c>
      <c r="F3195" s="9" cm="1">
        <f t="array" ref="F3195">IFERROR(_xlfn.XLOOKUP(B3195,Personal!$A:$A,Personal!$F:$F,""),"")</f>
        <v>0</v>
      </c>
      <c r="I3195" s="10" cm="1">
        <f t="array" ref="I3195">IFERROR(INDEX(Precios!$D:$F,MATCH(N3195, Precios!$G:$G, 0),CHOOSE(MATCH(H3195, {"SML";"XL";"XXL"}, 0), 1, 2, 3)), 0)</f>
        <v>0</v>
      </c>
      <c r="K3195" s="10">
        <f t="shared" si="106"/>
        <v>0</v>
      </c>
      <c r="N3195" s="9" t="str">
        <f t="shared" si="107"/>
        <v/>
      </c>
      <c r="O3195" s="9" t="str">
        <f>IF(N3195="","",IF(COUNTIF(Precios!$G:$G,N3195)=0,"⚠ No coincide con Precios","OK"))</f>
        <v/>
      </c>
    </row>
    <row r="3196" spans="3:15" x14ac:dyDescent="0.2">
      <c r="C3196" s="9" cm="1">
        <f t="array" ref="C3196">IFERROR(_xlfn.XLOOKUP(B3196,Personal!$A:$A,Personal!$D:$D,""),"")</f>
        <v>0</v>
      </c>
      <c r="D3196" s="9" cm="1">
        <f t="array" ref="D3196">IFERROR(_xlfn.XLOOKUP(B3196,Personal!$A:$A,Personal!$C:$C,""),"")</f>
        <v>0</v>
      </c>
      <c r="E3196" s="9" t="str" cm="1">
        <f t="array" ref="E3196">IFERROR(_xlfn.XLOOKUP(D3196,Locales!$A:$A,Locales!$B:$B,""),"")</f>
        <v/>
      </c>
      <c r="F3196" s="9" cm="1">
        <f t="array" ref="F3196">IFERROR(_xlfn.XLOOKUP(B3196,Personal!$A:$A,Personal!$F:$F,""),"")</f>
        <v>0</v>
      </c>
      <c r="I3196" s="10" cm="1">
        <f t="array" ref="I3196">IFERROR(INDEX(Precios!$D:$F,MATCH(N3196, Precios!$G:$G, 0),CHOOSE(MATCH(H3196, {"SML";"XL";"XXL"}, 0), 1, 2, 3)), 0)</f>
        <v>0</v>
      </c>
      <c r="K3196" s="10">
        <f t="shared" si="106"/>
        <v>0</v>
      </c>
      <c r="N3196" s="9" t="str">
        <f t="shared" si="107"/>
        <v/>
      </c>
      <c r="O3196" s="9" t="str">
        <f>IF(N3196="","",IF(COUNTIF(Precios!$G:$G,N3196)=0,"⚠ No coincide con Precios","OK"))</f>
        <v/>
      </c>
    </row>
    <row r="3197" spans="3:15" x14ac:dyDescent="0.2">
      <c r="C3197" s="9" cm="1">
        <f t="array" ref="C3197">IFERROR(_xlfn.XLOOKUP(B3197,Personal!$A:$A,Personal!$D:$D,""),"")</f>
        <v>0</v>
      </c>
      <c r="D3197" s="9" cm="1">
        <f t="array" ref="D3197">IFERROR(_xlfn.XLOOKUP(B3197,Personal!$A:$A,Personal!$C:$C,""),"")</f>
        <v>0</v>
      </c>
      <c r="E3197" s="9" t="str" cm="1">
        <f t="array" ref="E3197">IFERROR(_xlfn.XLOOKUP(D3197,Locales!$A:$A,Locales!$B:$B,""),"")</f>
        <v/>
      </c>
      <c r="F3197" s="9" cm="1">
        <f t="array" ref="F3197">IFERROR(_xlfn.XLOOKUP(B3197,Personal!$A:$A,Personal!$F:$F,""),"")</f>
        <v>0</v>
      </c>
      <c r="I3197" s="10" cm="1">
        <f t="array" ref="I3197">IFERROR(INDEX(Precios!$D:$F,MATCH(N3197, Precios!$G:$G, 0),CHOOSE(MATCH(H3197, {"SML";"XL";"XXL"}, 0), 1, 2, 3)), 0)</f>
        <v>0</v>
      </c>
      <c r="K3197" s="10">
        <f t="shared" si="106"/>
        <v>0</v>
      </c>
      <c r="N3197" s="9" t="str">
        <f t="shared" si="107"/>
        <v/>
      </c>
      <c r="O3197" s="9" t="str">
        <f>IF(N3197="","",IF(COUNTIF(Precios!$G:$G,N3197)=0,"⚠ No coincide con Precios","OK"))</f>
        <v/>
      </c>
    </row>
    <row r="3198" spans="3:15" x14ac:dyDescent="0.2">
      <c r="C3198" s="9" cm="1">
        <f t="array" ref="C3198">IFERROR(_xlfn.XLOOKUP(B3198,Personal!$A:$A,Personal!$D:$D,""),"")</f>
        <v>0</v>
      </c>
      <c r="D3198" s="9" cm="1">
        <f t="array" ref="D3198">IFERROR(_xlfn.XLOOKUP(B3198,Personal!$A:$A,Personal!$C:$C,""),"")</f>
        <v>0</v>
      </c>
      <c r="E3198" s="9" t="str" cm="1">
        <f t="array" ref="E3198">IFERROR(_xlfn.XLOOKUP(D3198,Locales!$A:$A,Locales!$B:$B,""),"")</f>
        <v/>
      </c>
      <c r="F3198" s="9" cm="1">
        <f t="array" ref="F3198">IFERROR(_xlfn.XLOOKUP(B3198,Personal!$A:$A,Personal!$F:$F,""),"")</f>
        <v>0</v>
      </c>
      <c r="I3198" s="10" cm="1">
        <f t="array" ref="I3198">IFERROR(INDEX(Precios!$D:$F,MATCH(N3198, Precios!$G:$G, 0),CHOOSE(MATCH(H3198, {"SML";"XL";"XXL"}, 0), 1, 2, 3)), 0)</f>
        <v>0</v>
      </c>
      <c r="K3198" s="10">
        <f t="shared" si="106"/>
        <v>0</v>
      </c>
      <c r="N3198" s="9" t="str">
        <f t="shared" si="107"/>
        <v/>
      </c>
      <c r="O3198" s="9" t="str">
        <f>IF(N3198="","",IF(COUNTIF(Precios!$G:$G,N3198)=0,"⚠ No coincide con Precios","OK"))</f>
        <v/>
      </c>
    </row>
    <row r="3199" spans="3:15" x14ac:dyDescent="0.2">
      <c r="C3199" s="9" cm="1">
        <f t="array" ref="C3199">IFERROR(_xlfn.XLOOKUP(B3199,Personal!$A:$A,Personal!$D:$D,""),"")</f>
        <v>0</v>
      </c>
      <c r="D3199" s="9" cm="1">
        <f t="array" ref="D3199">IFERROR(_xlfn.XLOOKUP(B3199,Personal!$A:$A,Personal!$C:$C,""),"")</f>
        <v>0</v>
      </c>
      <c r="E3199" s="9" t="str" cm="1">
        <f t="array" ref="E3199">IFERROR(_xlfn.XLOOKUP(D3199,Locales!$A:$A,Locales!$B:$B,""),"")</f>
        <v/>
      </c>
      <c r="F3199" s="9" cm="1">
        <f t="array" ref="F3199">IFERROR(_xlfn.XLOOKUP(B3199,Personal!$A:$A,Personal!$F:$F,""),"")</f>
        <v>0</v>
      </c>
      <c r="I3199" s="10" cm="1">
        <f t="array" ref="I3199">IFERROR(INDEX(Precios!$D:$F,MATCH(N3199, Precios!$G:$G, 0),CHOOSE(MATCH(H3199, {"SML";"XL";"XXL"}, 0), 1, 2, 3)), 0)</f>
        <v>0</v>
      </c>
      <c r="K3199" s="10">
        <f t="shared" si="106"/>
        <v>0</v>
      </c>
      <c r="N3199" s="9" t="str">
        <f t="shared" si="107"/>
        <v/>
      </c>
      <c r="O3199" s="9" t="str">
        <f>IF(N3199="","",IF(COUNTIF(Precios!$G:$G,N3199)=0,"⚠ No coincide con Precios","OK"))</f>
        <v/>
      </c>
    </row>
    <row r="3200" spans="3:15" x14ac:dyDescent="0.2">
      <c r="C3200" s="9" cm="1">
        <f t="array" ref="C3200">IFERROR(_xlfn.XLOOKUP(B3200,Personal!$A:$A,Personal!$D:$D,""),"")</f>
        <v>0</v>
      </c>
      <c r="D3200" s="9" cm="1">
        <f t="array" ref="D3200">IFERROR(_xlfn.XLOOKUP(B3200,Personal!$A:$A,Personal!$C:$C,""),"")</f>
        <v>0</v>
      </c>
      <c r="E3200" s="9" t="str" cm="1">
        <f t="array" ref="E3200">IFERROR(_xlfn.XLOOKUP(D3200,Locales!$A:$A,Locales!$B:$B,""),"")</f>
        <v/>
      </c>
      <c r="F3200" s="9" cm="1">
        <f t="array" ref="F3200">IFERROR(_xlfn.XLOOKUP(B3200,Personal!$A:$A,Personal!$F:$F,""),"")</f>
        <v>0</v>
      </c>
      <c r="I3200" s="10" cm="1">
        <f t="array" ref="I3200">IFERROR(INDEX(Precios!$D:$F,MATCH(N3200, Precios!$G:$G, 0),CHOOSE(MATCH(H3200, {"SML";"XL";"XXL"}, 0), 1, 2, 3)), 0)</f>
        <v>0</v>
      </c>
      <c r="K3200" s="10">
        <f t="shared" ref="K3200:K3229" si="108">IFERROR(I3200*J3200,0)</f>
        <v>0</v>
      </c>
      <c r="N3200" s="9" t="str">
        <f t="shared" ref="N3200:N3229" si="109">IF( OR(E3200="",F3200="",G3200=""), "",CLEAN(TRIM(E3200)) &amp; "|" &amp; CLEAN(TRIM(F3200)) &amp; "|" &amp; CLEAN(TRIM(G3200)))</f>
        <v/>
      </c>
      <c r="O3200" s="9" t="str">
        <f>IF(N3200="","",IF(COUNTIF(Precios!$G:$G,N3200)=0,"⚠ No coincide con Precios","OK"))</f>
        <v/>
      </c>
    </row>
    <row r="3201" spans="3:15" x14ac:dyDescent="0.2">
      <c r="C3201" s="9" cm="1">
        <f t="array" ref="C3201">IFERROR(_xlfn.XLOOKUP(B3201,Personal!$A:$A,Personal!$D:$D,""),"")</f>
        <v>0</v>
      </c>
      <c r="D3201" s="9" cm="1">
        <f t="array" ref="D3201">IFERROR(_xlfn.XLOOKUP(B3201,Personal!$A:$A,Personal!$C:$C,""),"")</f>
        <v>0</v>
      </c>
      <c r="E3201" s="9" t="str" cm="1">
        <f t="array" ref="E3201">IFERROR(_xlfn.XLOOKUP(D3201,Locales!$A:$A,Locales!$B:$B,""),"")</f>
        <v/>
      </c>
      <c r="F3201" s="9" cm="1">
        <f t="array" ref="F3201">IFERROR(_xlfn.XLOOKUP(B3201,Personal!$A:$A,Personal!$F:$F,""),"")</f>
        <v>0</v>
      </c>
      <c r="I3201" s="10" cm="1">
        <f t="array" ref="I3201">IFERROR(INDEX(Precios!$D:$F,MATCH(N3201, Precios!$G:$G, 0),CHOOSE(MATCH(H3201, {"SML";"XL";"XXL"}, 0), 1, 2, 3)), 0)</f>
        <v>0</v>
      </c>
      <c r="K3201" s="10">
        <f t="shared" si="108"/>
        <v>0</v>
      </c>
      <c r="N3201" s="9" t="str">
        <f t="shared" si="109"/>
        <v/>
      </c>
      <c r="O3201" s="9" t="str">
        <f>IF(N3201="","",IF(COUNTIF(Precios!$G:$G,N3201)=0,"⚠ No coincide con Precios","OK"))</f>
        <v/>
      </c>
    </row>
    <row r="3202" spans="3:15" x14ac:dyDescent="0.2">
      <c r="C3202" s="9" cm="1">
        <f t="array" ref="C3202">IFERROR(_xlfn.XLOOKUP(B3202,Personal!$A:$A,Personal!$D:$D,""),"")</f>
        <v>0</v>
      </c>
      <c r="D3202" s="9" cm="1">
        <f t="array" ref="D3202">IFERROR(_xlfn.XLOOKUP(B3202,Personal!$A:$A,Personal!$C:$C,""),"")</f>
        <v>0</v>
      </c>
      <c r="E3202" s="9" t="str" cm="1">
        <f t="array" ref="E3202">IFERROR(_xlfn.XLOOKUP(D3202,Locales!$A:$A,Locales!$B:$B,""),"")</f>
        <v/>
      </c>
      <c r="F3202" s="9" cm="1">
        <f t="array" ref="F3202">IFERROR(_xlfn.XLOOKUP(B3202,Personal!$A:$A,Personal!$F:$F,""),"")</f>
        <v>0</v>
      </c>
      <c r="I3202" s="10" cm="1">
        <f t="array" ref="I3202">IFERROR(INDEX(Precios!$D:$F,MATCH(N3202, Precios!$G:$G, 0),CHOOSE(MATCH(H3202, {"SML";"XL";"XXL"}, 0), 1, 2, 3)), 0)</f>
        <v>0</v>
      </c>
      <c r="K3202" s="10">
        <f t="shared" si="108"/>
        <v>0</v>
      </c>
      <c r="N3202" s="9" t="str">
        <f t="shared" si="109"/>
        <v/>
      </c>
      <c r="O3202" s="9" t="str">
        <f>IF(N3202="","",IF(COUNTIF(Precios!$G:$G,N3202)=0,"⚠ No coincide con Precios","OK"))</f>
        <v/>
      </c>
    </row>
    <row r="3203" spans="3:15" x14ac:dyDescent="0.2">
      <c r="C3203" s="9" cm="1">
        <f t="array" ref="C3203">IFERROR(_xlfn.XLOOKUP(B3203,Personal!$A:$A,Personal!$D:$D,""),"")</f>
        <v>0</v>
      </c>
      <c r="D3203" s="9" cm="1">
        <f t="array" ref="D3203">IFERROR(_xlfn.XLOOKUP(B3203,Personal!$A:$A,Personal!$C:$C,""),"")</f>
        <v>0</v>
      </c>
      <c r="E3203" s="9" t="str" cm="1">
        <f t="array" ref="E3203">IFERROR(_xlfn.XLOOKUP(D3203,Locales!$A:$A,Locales!$B:$B,""),"")</f>
        <v/>
      </c>
      <c r="F3203" s="9" cm="1">
        <f t="array" ref="F3203">IFERROR(_xlfn.XLOOKUP(B3203,Personal!$A:$A,Personal!$F:$F,""),"")</f>
        <v>0</v>
      </c>
      <c r="I3203" s="10" cm="1">
        <f t="array" ref="I3203">IFERROR(INDEX(Precios!$D:$F,MATCH(N3203, Precios!$G:$G, 0),CHOOSE(MATCH(H3203, {"SML";"XL";"XXL"}, 0), 1, 2, 3)), 0)</f>
        <v>0</v>
      </c>
      <c r="K3203" s="10">
        <f t="shared" si="108"/>
        <v>0</v>
      </c>
      <c r="N3203" s="9" t="str">
        <f t="shared" si="109"/>
        <v/>
      </c>
      <c r="O3203" s="9" t="str">
        <f>IF(N3203="","",IF(COUNTIF(Precios!$G:$G,N3203)=0,"⚠ No coincide con Precios","OK"))</f>
        <v/>
      </c>
    </row>
    <row r="3204" spans="3:15" x14ac:dyDescent="0.2">
      <c r="C3204" s="9" cm="1">
        <f t="array" ref="C3204">IFERROR(_xlfn.XLOOKUP(B3204,Personal!$A:$A,Personal!$D:$D,""),"")</f>
        <v>0</v>
      </c>
      <c r="D3204" s="9" cm="1">
        <f t="array" ref="D3204">IFERROR(_xlfn.XLOOKUP(B3204,Personal!$A:$A,Personal!$C:$C,""),"")</f>
        <v>0</v>
      </c>
      <c r="E3204" s="9" t="str" cm="1">
        <f t="array" ref="E3204">IFERROR(_xlfn.XLOOKUP(D3204,Locales!$A:$A,Locales!$B:$B,""),"")</f>
        <v/>
      </c>
      <c r="F3204" s="9" cm="1">
        <f t="array" ref="F3204">IFERROR(_xlfn.XLOOKUP(B3204,Personal!$A:$A,Personal!$F:$F,""),"")</f>
        <v>0</v>
      </c>
      <c r="I3204" s="10" cm="1">
        <f t="array" ref="I3204">IFERROR(INDEX(Precios!$D:$F,MATCH(N3204, Precios!$G:$G, 0),CHOOSE(MATCH(H3204, {"SML";"XL";"XXL"}, 0), 1, 2, 3)), 0)</f>
        <v>0</v>
      </c>
      <c r="K3204" s="10">
        <f t="shared" si="108"/>
        <v>0</v>
      </c>
      <c r="N3204" s="9" t="str">
        <f t="shared" si="109"/>
        <v/>
      </c>
      <c r="O3204" s="9" t="str">
        <f>IF(N3204="","",IF(COUNTIF(Precios!$G:$G,N3204)=0,"⚠ No coincide con Precios","OK"))</f>
        <v/>
      </c>
    </row>
    <row r="3205" spans="3:15" x14ac:dyDescent="0.2">
      <c r="C3205" s="9" cm="1">
        <f t="array" ref="C3205">IFERROR(_xlfn.XLOOKUP(B3205,Personal!$A:$A,Personal!$D:$D,""),"")</f>
        <v>0</v>
      </c>
      <c r="D3205" s="9" cm="1">
        <f t="array" ref="D3205">IFERROR(_xlfn.XLOOKUP(B3205,Personal!$A:$A,Personal!$C:$C,""),"")</f>
        <v>0</v>
      </c>
      <c r="E3205" s="9" t="str" cm="1">
        <f t="array" ref="E3205">IFERROR(_xlfn.XLOOKUP(D3205,Locales!$A:$A,Locales!$B:$B,""),"")</f>
        <v/>
      </c>
      <c r="F3205" s="9" cm="1">
        <f t="array" ref="F3205">IFERROR(_xlfn.XLOOKUP(B3205,Personal!$A:$A,Personal!$F:$F,""),"")</f>
        <v>0</v>
      </c>
      <c r="I3205" s="10" cm="1">
        <f t="array" ref="I3205">IFERROR(INDEX(Precios!$D:$F,MATCH(N3205, Precios!$G:$G, 0),CHOOSE(MATCH(H3205, {"SML";"XL";"XXL"}, 0), 1, 2, 3)), 0)</f>
        <v>0</v>
      </c>
      <c r="K3205" s="10">
        <f t="shared" si="108"/>
        <v>0</v>
      </c>
      <c r="N3205" s="9" t="str">
        <f t="shared" si="109"/>
        <v/>
      </c>
      <c r="O3205" s="9" t="str">
        <f>IF(N3205="","",IF(COUNTIF(Precios!$G:$G,N3205)=0,"⚠ No coincide con Precios","OK"))</f>
        <v/>
      </c>
    </row>
    <row r="3206" spans="3:15" x14ac:dyDescent="0.2">
      <c r="C3206" s="9" cm="1">
        <f t="array" ref="C3206">IFERROR(_xlfn.XLOOKUP(B3206,Personal!$A:$A,Personal!$D:$D,""),"")</f>
        <v>0</v>
      </c>
      <c r="D3206" s="9" cm="1">
        <f t="array" ref="D3206">IFERROR(_xlfn.XLOOKUP(B3206,Personal!$A:$A,Personal!$C:$C,""),"")</f>
        <v>0</v>
      </c>
      <c r="E3206" s="9" t="str" cm="1">
        <f t="array" ref="E3206">IFERROR(_xlfn.XLOOKUP(D3206,Locales!$A:$A,Locales!$B:$B,""),"")</f>
        <v/>
      </c>
      <c r="F3206" s="9" cm="1">
        <f t="array" ref="F3206">IFERROR(_xlfn.XLOOKUP(B3206,Personal!$A:$A,Personal!$F:$F,""),"")</f>
        <v>0</v>
      </c>
      <c r="I3206" s="10" cm="1">
        <f t="array" ref="I3206">IFERROR(INDEX(Precios!$D:$F,MATCH(N3206, Precios!$G:$G, 0),CHOOSE(MATCH(H3206, {"SML";"XL";"XXL"}, 0), 1, 2, 3)), 0)</f>
        <v>0</v>
      </c>
      <c r="K3206" s="10">
        <f t="shared" si="108"/>
        <v>0</v>
      </c>
      <c r="N3206" s="9" t="str">
        <f t="shared" si="109"/>
        <v/>
      </c>
      <c r="O3206" s="9" t="str">
        <f>IF(N3206="","",IF(COUNTIF(Precios!$G:$G,N3206)=0,"⚠ No coincide con Precios","OK"))</f>
        <v/>
      </c>
    </row>
    <row r="3207" spans="3:15" x14ac:dyDescent="0.2">
      <c r="C3207" s="9" cm="1">
        <f t="array" ref="C3207">IFERROR(_xlfn.XLOOKUP(B3207,Personal!$A:$A,Personal!$D:$D,""),"")</f>
        <v>0</v>
      </c>
      <c r="D3207" s="9" cm="1">
        <f t="array" ref="D3207">IFERROR(_xlfn.XLOOKUP(B3207,Personal!$A:$A,Personal!$C:$C,""),"")</f>
        <v>0</v>
      </c>
      <c r="E3207" s="9" t="str" cm="1">
        <f t="array" ref="E3207">IFERROR(_xlfn.XLOOKUP(D3207,Locales!$A:$A,Locales!$B:$B,""),"")</f>
        <v/>
      </c>
      <c r="F3207" s="9" cm="1">
        <f t="array" ref="F3207">IFERROR(_xlfn.XLOOKUP(B3207,Personal!$A:$A,Personal!$F:$F,""),"")</f>
        <v>0</v>
      </c>
      <c r="I3207" s="10" cm="1">
        <f t="array" ref="I3207">IFERROR(INDEX(Precios!$D:$F,MATCH(N3207, Precios!$G:$G, 0),CHOOSE(MATCH(H3207, {"SML";"XL";"XXL"}, 0), 1, 2, 3)), 0)</f>
        <v>0</v>
      </c>
      <c r="K3207" s="10">
        <f t="shared" si="108"/>
        <v>0</v>
      </c>
      <c r="N3207" s="9" t="str">
        <f t="shared" si="109"/>
        <v/>
      </c>
      <c r="O3207" s="9" t="str">
        <f>IF(N3207="","",IF(COUNTIF(Precios!$G:$G,N3207)=0,"⚠ No coincide con Precios","OK"))</f>
        <v/>
      </c>
    </row>
    <row r="3208" spans="3:15" x14ac:dyDescent="0.2">
      <c r="C3208" s="9" cm="1">
        <f t="array" ref="C3208">IFERROR(_xlfn.XLOOKUP(B3208,Personal!$A:$A,Personal!$D:$D,""),"")</f>
        <v>0</v>
      </c>
      <c r="D3208" s="9" cm="1">
        <f t="array" ref="D3208">IFERROR(_xlfn.XLOOKUP(B3208,Personal!$A:$A,Personal!$C:$C,""),"")</f>
        <v>0</v>
      </c>
      <c r="E3208" s="9" t="str" cm="1">
        <f t="array" ref="E3208">IFERROR(_xlfn.XLOOKUP(D3208,Locales!$A:$A,Locales!$B:$B,""),"")</f>
        <v/>
      </c>
      <c r="F3208" s="9" cm="1">
        <f t="array" ref="F3208">IFERROR(_xlfn.XLOOKUP(B3208,Personal!$A:$A,Personal!$F:$F,""),"")</f>
        <v>0</v>
      </c>
      <c r="I3208" s="10" cm="1">
        <f t="array" ref="I3208">IFERROR(INDEX(Precios!$D:$F,MATCH(N3208, Precios!$G:$G, 0),CHOOSE(MATCH(H3208, {"SML";"XL";"XXL"}, 0), 1, 2, 3)), 0)</f>
        <v>0</v>
      </c>
      <c r="K3208" s="10">
        <f t="shared" si="108"/>
        <v>0</v>
      </c>
      <c r="N3208" s="9" t="str">
        <f t="shared" si="109"/>
        <v/>
      </c>
      <c r="O3208" s="9" t="str">
        <f>IF(N3208="","",IF(COUNTIF(Precios!$G:$G,N3208)=0,"⚠ No coincide con Precios","OK"))</f>
        <v/>
      </c>
    </row>
    <row r="3209" spans="3:15" x14ac:dyDescent="0.2">
      <c r="C3209" s="9" cm="1">
        <f t="array" ref="C3209">IFERROR(_xlfn.XLOOKUP(B3209,Personal!$A:$A,Personal!$D:$D,""),"")</f>
        <v>0</v>
      </c>
      <c r="D3209" s="9" cm="1">
        <f t="array" ref="D3209">IFERROR(_xlfn.XLOOKUP(B3209,Personal!$A:$A,Personal!$C:$C,""),"")</f>
        <v>0</v>
      </c>
      <c r="E3209" s="9" t="str" cm="1">
        <f t="array" ref="E3209">IFERROR(_xlfn.XLOOKUP(D3209,Locales!$A:$A,Locales!$B:$B,""),"")</f>
        <v/>
      </c>
      <c r="F3209" s="9" cm="1">
        <f t="array" ref="F3209">IFERROR(_xlfn.XLOOKUP(B3209,Personal!$A:$A,Personal!$F:$F,""),"")</f>
        <v>0</v>
      </c>
      <c r="I3209" s="10" cm="1">
        <f t="array" ref="I3209">IFERROR(INDEX(Precios!$D:$F,MATCH(N3209, Precios!$G:$G, 0),CHOOSE(MATCH(H3209, {"SML";"XL";"XXL"}, 0), 1, 2, 3)), 0)</f>
        <v>0</v>
      </c>
      <c r="K3209" s="10">
        <f t="shared" si="108"/>
        <v>0</v>
      </c>
      <c r="N3209" s="9" t="str">
        <f t="shared" si="109"/>
        <v/>
      </c>
      <c r="O3209" s="9" t="str">
        <f>IF(N3209="","",IF(COUNTIF(Precios!$G:$G,N3209)=0,"⚠ No coincide con Precios","OK"))</f>
        <v/>
      </c>
    </row>
    <row r="3210" spans="3:15" x14ac:dyDescent="0.2">
      <c r="C3210" s="9" cm="1">
        <f t="array" ref="C3210">IFERROR(_xlfn.XLOOKUP(B3210,Personal!$A:$A,Personal!$D:$D,""),"")</f>
        <v>0</v>
      </c>
      <c r="D3210" s="9" cm="1">
        <f t="array" ref="D3210">IFERROR(_xlfn.XLOOKUP(B3210,Personal!$A:$A,Personal!$C:$C,""),"")</f>
        <v>0</v>
      </c>
      <c r="E3210" s="9" t="str" cm="1">
        <f t="array" ref="E3210">IFERROR(_xlfn.XLOOKUP(D3210,Locales!$A:$A,Locales!$B:$B,""),"")</f>
        <v/>
      </c>
      <c r="F3210" s="9" cm="1">
        <f t="array" ref="F3210">IFERROR(_xlfn.XLOOKUP(B3210,Personal!$A:$A,Personal!$F:$F,""),"")</f>
        <v>0</v>
      </c>
      <c r="I3210" s="10" cm="1">
        <f t="array" ref="I3210">IFERROR(INDEX(Precios!$D:$F,MATCH(N3210, Precios!$G:$G, 0),CHOOSE(MATCH(H3210, {"SML";"XL";"XXL"}, 0), 1, 2, 3)), 0)</f>
        <v>0</v>
      </c>
      <c r="K3210" s="10">
        <f t="shared" si="108"/>
        <v>0</v>
      </c>
      <c r="N3210" s="9" t="str">
        <f t="shared" si="109"/>
        <v/>
      </c>
      <c r="O3210" s="9" t="str">
        <f>IF(N3210="","",IF(COUNTIF(Precios!$G:$G,N3210)=0,"⚠ No coincide con Precios","OK"))</f>
        <v/>
      </c>
    </row>
    <row r="3211" spans="3:15" x14ac:dyDescent="0.2">
      <c r="C3211" s="9" cm="1">
        <f t="array" ref="C3211">IFERROR(_xlfn.XLOOKUP(B3211,Personal!$A:$A,Personal!$D:$D,""),"")</f>
        <v>0</v>
      </c>
      <c r="D3211" s="9" cm="1">
        <f t="array" ref="D3211">IFERROR(_xlfn.XLOOKUP(B3211,Personal!$A:$A,Personal!$C:$C,""),"")</f>
        <v>0</v>
      </c>
      <c r="E3211" s="9" t="str" cm="1">
        <f t="array" ref="E3211">IFERROR(_xlfn.XLOOKUP(D3211,Locales!$A:$A,Locales!$B:$B,""),"")</f>
        <v/>
      </c>
      <c r="F3211" s="9" cm="1">
        <f t="array" ref="F3211">IFERROR(_xlfn.XLOOKUP(B3211,Personal!$A:$A,Personal!$F:$F,""),"")</f>
        <v>0</v>
      </c>
      <c r="I3211" s="10" cm="1">
        <f t="array" ref="I3211">IFERROR(INDEX(Precios!$D:$F,MATCH(N3211, Precios!$G:$G, 0),CHOOSE(MATCH(H3211, {"SML";"XL";"XXL"}, 0), 1, 2, 3)), 0)</f>
        <v>0</v>
      </c>
      <c r="K3211" s="10">
        <f t="shared" si="108"/>
        <v>0</v>
      </c>
      <c r="N3211" s="9" t="str">
        <f t="shared" si="109"/>
        <v/>
      </c>
      <c r="O3211" s="9" t="str">
        <f>IF(N3211="","",IF(COUNTIF(Precios!$G:$G,N3211)=0,"⚠ No coincide con Precios","OK"))</f>
        <v/>
      </c>
    </row>
    <row r="3212" spans="3:15" x14ac:dyDescent="0.2">
      <c r="C3212" s="9" cm="1">
        <f t="array" ref="C3212">IFERROR(_xlfn.XLOOKUP(B3212,Personal!$A:$A,Personal!$D:$D,""),"")</f>
        <v>0</v>
      </c>
      <c r="D3212" s="9" cm="1">
        <f t="array" ref="D3212">IFERROR(_xlfn.XLOOKUP(B3212,Personal!$A:$A,Personal!$C:$C,""),"")</f>
        <v>0</v>
      </c>
      <c r="E3212" s="9" t="str" cm="1">
        <f t="array" ref="E3212">IFERROR(_xlfn.XLOOKUP(D3212,Locales!$A:$A,Locales!$B:$B,""),"")</f>
        <v/>
      </c>
      <c r="F3212" s="9" cm="1">
        <f t="array" ref="F3212">IFERROR(_xlfn.XLOOKUP(B3212,Personal!$A:$A,Personal!$F:$F,""),"")</f>
        <v>0</v>
      </c>
      <c r="I3212" s="10" cm="1">
        <f t="array" ref="I3212">IFERROR(INDEX(Precios!$D:$F,MATCH(N3212, Precios!$G:$G, 0),CHOOSE(MATCH(H3212, {"SML";"XL";"XXL"}, 0), 1, 2, 3)), 0)</f>
        <v>0</v>
      </c>
      <c r="K3212" s="10">
        <f t="shared" si="108"/>
        <v>0</v>
      </c>
      <c r="N3212" s="9" t="str">
        <f t="shared" si="109"/>
        <v/>
      </c>
      <c r="O3212" s="9" t="str">
        <f>IF(N3212="","",IF(COUNTIF(Precios!$G:$G,N3212)=0,"⚠ No coincide con Precios","OK"))</f>
        <v/>
      </c>
    </row>
    <row r="3213" spans="3:15" x14ac:dyDescent="0.2">
      <c r="C3213" s="9" cm="1">
        <f t="array" ref="C3213">IFERROR(_xlfn.XLOOKUP(B3213,Personal!$A:$A,Personal!$D:$D,""),"")</f>
        <v>0</v>
      </c>
      <c r="D3213" s="9" cm="1">
        <f t="array" ref="D3213">IFERROR(_xlfn.XLOOKUP(B3213,Personal!$A:$A,Personal!$C:$C,""),"")</f>
        <v>0</v>
      </c>
      <c r="E3213" s="9" t="str" cm="1">
        <f t="array" ref="E3213">IFERROR(_xlfn.XLOOKUP(D3213,Locales!$A:$A,Locales!$B:$B,""),"")</f>
        <v/>
      </c>
      <c r="F3213" s="9" cm="1">
        <f t="array" ref="F3213">IFERROR(_xlfn.XLOOKUP(B3213,Personal!$A:$A,Personal!$F:$F,""),"")</f>
        <v>0</v>
      </c>
      <c r="I3213" s="10" cm="1">
        <f t="array" ref="I3213">IFERROR(INDEX(Precios!$D:$F,MATCH(N3213, Precios!$G:$G, 0),CHOOSE(MATCH(H3213, {"SML";"XL";"XXL"}, 0), 1, 2, 3)), 0)</f>
        <v>0</v>
      </c>
      <c r="K3213" s="10">
        <f t="shared" si="108"/>
        <v>0</v>
      </c>
      <c r="N3213" s="9" t="str">
        <f t="shared" si="109"/>
        <v/>
      </c>
      <c r="O3213" s="9" t="str">
        <f>IF(N3213="","",IF(COUNTIF(Precios!$G:$G,N3213)=0,"⚠ No coincide con Precios","OK"))</f>
        <v/>
      </c>
    </row>
    <row r="3214" spans="3:15" x14ac:dyDescent="0.2">
      <c r="C3214" s="9" cm="1">
        <f t="array" ref="C3214">IFERROR(_xlfn.XLOOKUP(B3214,Personal!$A:$A,Personal!$D:$D,""),"")</f>
        <v>0</v>
      </c>
      <c r="D3214" s="9" cm="1">
        <f t="array" ref="D3214">IFERROR(_xlfn.XLOOKUP(B3214,Personal!$A:$A,Personal!$C:$C,""),"")</f>
        <v>0</v>
      </c>
      <c r="E3214" s="9" t="str" cm="1">
        <f t="array" ref="E3214">IFERROR(_xlfn.XLOOKUP(D3214,Locales!$A:$A,Locales!$B:$B,""),"")</f>
        <v/>
      </c>
      <c r="F3214" s="9" cm="1">
        <f t="array" ref="F3214">IFERROR(_xlfn.XLOOKUP(B3214,Personal!$A:$A,Personal!$F:$F,""),"")</f>
        <v>0</v>
      </c>
      <c r="I3214" s="10" cm="1">
        <f t="array" ref="I3214">IFERROR(INDEX(Precios!$D:$F,MATCH(N3214, Precios!$G:$G, 0),CHOOSE(MATCH(H3214, {"SML";"XL";"XXL"}, 0), 1, 2, 3)), 0)</f>
        <v>0</v>
      </c>
      <c r="K3214" s="10">
        <f t="shared" si="108"/>
        <v>0</v>
      </c>
      <c r="N3214" s="9" t="str">
        <f t="shared" si="109"/>
        <v/>
      </c>
      <c r="O3214" s="9" t="str">
        <f>IF(N3214="","",IF(COUNTIF(Precios!$G:$G,N3214)=0,"⚠ No coincide con Precios","OK"))</f>
        <v/>
      </c>
    </row>
    <row r="3215" spans="3:15" x14ac:dyDescent="0.2">
      <c r="C3215" s="9" cm="1">
        <f t="array" ref="C3215">IFERROR(_xlfn.XLOOKUP(B3215,Personal!$A:$A,Personal!$D:$D,""),"")</f>
        <v>0</v>
      </c>
      <c r="D3215" s="9" cm="1">
        <f t="array" ref="D3215">IFERROR(_xlfn.XLOOKUP(B3215,Personal!$A:$A,Personal!$C:$C,""),"")</f>
        <v>0</v>
      </c>
      <c r="E3215" s="9" t="str" cm="1">
        <f t="array" ref="E3215">IFERROR(_xlfn.XLOOKUP(D3215,Locales!$A:$A,Locales!$B:$B,""),"")</f>
        <v/>
      </c>
      <c r="F3215" s="9" cm="1">
        <f t="array" ref="F3215">IFERROR(_xlfn.XLOOKUP(B3215,Personal!$A:$A,Personal!$F:$F,""),"")</f>
        <v>0</v>
      </c>
      <c r="I3215" s="10" cm="1">
        <f t="array" ref="I3215">IFERROR(INDEX(Precios!$D:$F,MATCH(N3215, Precios!$G:$G, 0),CHOOSE(MATCH(H3215, {"SML";"XL";"XXL"}, 0), 1, 2, 3)), 0)</f>
        <v>0</v>
      </c>
      <c r="K3215" s="10">
        <f t="shared" si="108"/>
        <v>0</v>
      </c>
      <c r="N3215" s="9" t="str">
        <f t="shared" si="109"/>
        <v/>
      </c>
      <c r="O3215" s="9" t="str">
        <f>IF(N3215="","",IF(COUNTIF(Precios!$G:$G,N3215)=0,"⚠ No coincide con Precios","OK"))</f>
        <v/>
      </c>
    </row>
    <row r="3216" spans="3:15" x14ac:dyDescent="0.2">
      <c r="C3216" s="9" cm="1">
        <f t="array" ref="C3216">IFERROR(_xlfn.XLOOKUP(B3216,Personal!$A:$A,Personal!$D:$D,""),"")</f>
        <v>0</v>
      </c>
      <c r="D3216" s="9" cm="1">
        <f t="array" ref="D3216">IFERROR(_xlfn.XLOOKUP(B3216,Personal!$A:$A,Personal!$C:$C,""),"")</f>
        <v>0</v>
      </c>
      <c r="E3216" s="9" t="str" cm="1">
        <f t="array" ref="E3216">IFERROR(_xlfn.XLOOKUP(D3216,Locales!$A:$A,Locales!$B:$B,""),"")</f>
        <v/>
      </c>
      <c r="F3216" s="9" cm="1">
        <f t="array" ref="F3216">IFERROR(_xlfn.XLOOKUP(B3216,Personal!$A:$A,Personal!$F:$F,""),"")</f>
        <v>0</v>
      </c>
      <c r="I3216" s="10" cm="1">
        <f t="array" ref="I3216">IFERROR(INDEX(Precios!$D:$F,MATCH(N3216, Precios!$G:$G, 0),CHOOSE(MATCH(H3216, {"SML";"XL";"XXL"}, 0), 1, 2, 3)), 0)</f>
        <v>0</v>
      </c>
      <c r="K3216" s="10">
        <f t="shared" si="108"/>
        <v>0</v>
      </c>
      <c r="N3216" s="9" t="str">
        <f t="shared" si="109"/>
        <v/>
      </c>
      <c r="O3216" s="9" t="str">
        <f>IF(N3216="","",IF(COUNTIF(Precios!$G:$G,N3216)=0,"⚠ No coincide con Precios","OK"))</f>
        <v/>
      </c>
    </row>
    <row r="3217" spans="3:15" x14ac:dyDescent="0.2">
      <c r="C3217" s="9" cm="1">
        <f t="array" ref="C3217">IFERROR(_xlfn.XLOOKUP(B3217,Personal!$A:$A,Personal!$D:$D,""),"")</f>
        <v>0</v>
      </c>
      <c r="D3217" s="9" cm="1">
        <f t="array" ref="D3217">IFERROR(_xlfn.XLOOKUP(B3217,Personal!$A:$A,Personal!$C:$C,""),"")</f>
        <v>0</v>
      </c>
      <c r="E3217" s="9" t="str" cm="1">
        <f t="array" ref="E3217">IFERROR(_xlfn.XLOOKUP(D3217,Locales!$A:$A,Locales!$B:$B,""),"")</f>
        <v/>
      </c>
      <c r="F3217" s="9" cm="1">
        <f t="array" ref="F3217">IFERROR(_xlfn.XLOOKUP(B3217,Personal!$A:$A,Personal!$F:$F,""),"")</f>
        <v>0</v>
      </c>
      <c r="I3217" s="10" cm="1">
        <f t="array" ref="I3217">IFERROR(INDEX(Precios!$D:$F,MATCH(N3217, Precios!$G:$G, 0),CHOOSE(MATCH(H3217, {"SML";"XL";"XXL"}, 0), 1, 2, 3)), 0)</f>
        <v>0</v>
      </c>
      <c r="K3217" s="10">
        <f t="shared" si="108"/>
        <v>0</v>
      </c>
      <c r="N3217" s="9" t="str">
        <f t="shared" si="109"/>
        <v/>
      </c>
      <c r="O3217" s="9" t="str">
        <f>IF(N3217="","",IF(COUNTIF(Precios!$G:$G,N3217)=0,"⚠ No coincide con Precios","OK"))</f>
        <v/>
      </c>
    </row>
    <row r="3218" spans="3:15" x14ac:dyDescent="0.2">
      <c r="C3218" s="9" cm="1">
        <f t="array" ref="C3218">IFERROR(_xlfn.XLOOKUP(B3218,Personal!$A:$A,Personal!$D:$D,""),"")</f>
        <v>0</v>
      </c>
      <c r="D3218" s="9" cm="1">
        <f t="array" ref="D3218">IFERROR(_xlfn.XLOOKUP(B3218,Personal!$A:$A,Personal!$C:$C,""),"")</f>
        <v>0</v>
      </c>
      <c r="E3218" s="9" t="str" cm="1">
        <f t="array" ref="E3218">IFERROR(_xlfn.XLOOKUP(D3218,Locales!$A:$A,Locales!$B:$B,""),"")</f>
        <v/>
      </c>
      <c r="F3218" s="9" cm="1">
        <f t="array" ref="F3218">IFERROR(_xlfn.XLOOKUP(B3218,Personal!$A:$A,Personal!$F:$F,""),"")</f>
        <v>0</v>
      </c>
      <c r="I3218" s="10" cm="1">
        <f t="array" ref="I3218">IFERROR(INDEX(Precios!$D:$F,MATCH(N3218, Precios!$G:$G, 0),CHOOSE(MATCH(H3218, {"SML";"XL";"XXL"}, 0), 1, 2, 3)), 0)</f>
        <v>0</v>
      </c>
      <c r="K3218" s="10">
        <f t="shared" si="108"/>
        <v>0</v>
      </c>
      <c r="N3218" s="9" t="str">
        <f t="shared" si="109"/>
        <v/>
      </c>
      <c r="O3218" s="9" t="str">
        <f>IF(N3218="","",IF(COUNTIF(Precios!$G:$G,N3218)=0,"⚠ No coincide con Precios","OK"))</f>
        <v/>
      </c>
    </row>
    <row r="3219" spans="3:15" x14ac:dyDescent="0.2">
      <c r="C3219" s="9" cm="1">
        <f t="array" ref="C3219">IFERROR(_xlfn.XLOOKUP(B3219,Personal!$A:$A,Personal!$D:$D,""),"")</f>
        <v>0</v>
      </c>
      <c r="D3219" s="9" cm="1">
        <f t="array" ref="D3219">IFERROR(_xlfn.XLOOKUP(B3219,Personal!$A:$A,Personal!$C:$C,""),"")</f>
        <v>0</v>
      </c>
      <c r="E3219" s="9" t="str" cm="1">
        <f t="array" ref="E3219">IFERROR(_xlfn.XLOOKUP(D3219,Locales!$A:$A,Locales!$B:$B,""),"")</f>
        <v/>
      </c>
      <c r="F3219" s="9" cm="1">
        <f t="array" ref="F3219">IFERROR(_xlfn.XLOOKUP(B3219,Personal!$A:$A,Personal!$F:$F,""),"")</f>
        <v>0</v>
      </c>
      <c r="I3219" s="10" cm="1">
        <f t="array" ref="I3219">IFERROR(INDEX(Precios!$D:$F,MATCH(N3219, Precios!$G:$G, 0),CHOOSE(MATCH(H3219, {"SML";"XL";"XXL"}, 0), 1, 2, 3)), 0)</f>
        <v>0</v>
      </c>
      <c r="K3219" s="10">
        <f t="shared" si="108"/>
        <v>0</v>
      </c>
      <c r="N3219" s="9" t="str">
        <f t="shared" si="109"/>
        <v/>
      </c>
      <c r="O3219" s="9" t="str">
        <f>IF(N3219="","",IF(COUNTIF(Precios!$G:$G,N3219)=0,"⚠ No coincide con Precios","OK"))</f>
        <v/>
      </c>
    </row>
    <row r="3220" spans="3:15" x14ac:dyDescent="0.2">
      <c r="C3220" s="9" cm="1">
        <f t="array" ref="C3220">IFERROR(_xlfn.XLOOKUP(B3220,Personal!$A:$A,Personal!$D:$D,""),"")</f>
        <v>0</v>
      </c>
      <c r="D3220" s="9" cm="1">
        <f t="array" ref="D3220">IFERROR(_xlfn.XLOOKUP(B3220,Personal!$A:$A,Personal!$C:$C,""),"")</f>
        <v>0</v>
      </c>
      <c r="E3220" s="9" t="str" cm="1">
        <f t="array" ref="E3220">IFERROR(_xlfn.XLOOKUP(D3220,Locales!$A:$A,Locales!$B:$B,""),"")</f>
        <v/>
      </c>
      <c r="F3220" s="9" cm="1">
        <f t="array" ref="F3220">IFERROR(_xlfn.XLOOKUP(B3220,Personal!$A:$A,Personal!$F:$F,""),"")</f>
        <v>0</v>
      </c>
      <c r="I3220" s="10" cm="1">
        <f t="array" ref="I3220">IFERROR(INDEX(Precios!$D:$F,MATCH(N3220, Precios!$G:$G, 0),CHOOSE(MATCH(H3220, {"SML";"XL";"XXL"}, 0), 1, 2, 3)), 0)</f>
        <v>0</v>
      </c>
      <c r="K3220" s="10">
        <f t="shared" si="108"/>
        <v>0</v>
      </c>
      <c r="N3220" s="9" t="str">
        <f t="shared" si="109"/>
        <v/>
      </c>
      <c r="O3220" s="9" t="str">
        <f>IF(N3220="","",IF(COUNTIF(Precios!$G:$G,N3220)=0,"⚠ No coincide con Precios","OK"))</f>
        <v/>
      </c>
    </row>
    <row r="3221" spans="3:15" x14ac:dyDescent="0.2">
      <c r="C3221" s="9" cm="1">
        <f t="array" ref="C3221">IFERROR(_xlfn.XLOOKUP(B3221,Personal!$A:$A,Personal!$D:$D,""),"")</f>
        <v>0</v>
      </c>
      <c r="D3221" s="9" cm="1">
        <f t="array" ref="D3221">IFERROR(_xlfn.XLOOKUP(B3221,Personal!$A:$A,Personal!$C:$C,""),"")</f>
        <v>0</v>
      </c>
      <c r="E3221" s="9" t="str" cm="1">
        <f t="array" ref="E3221">IFERROR(_xlfn.XLOOKUP(D3221,Locales!$A:$A,Locales!$B:$B,""),"")</f>
        <v/>
      </c>
      <c r="F3221" s="9" cm="1">
        <f t="array" ref="F3221">IFERROR(_xlfn.XLOOKUP(B3221,Personal!$A:$A,Personal!$F:$F,""),"")</f>
        <v>0</v>
      </c>
      <c r="I3221" s="10" cm="1">
        <f t="array" ref="I3221">IFERROR(INDEX(Precios!$D:$F,MATCH(N3221, Precios!$G:$G, 0),CHOOSE(MATCH(H3221, {"SML";"XL";"XXL"}, 0), 1, 2, 3)), 0)</f>
        <v>0</v>
      </c>
      <c r="K3221" s="10">
        <f t="shared" si="108"/>
        <v>0</v>
      </c>
      <c r="N3221" s="9" t="str">
        <f t="shared" si="109"/>
        <v/>
      </c>
      <c r="O3221" s="9" t="str">
        <f>IF(N3221="","",IF(COUNTIF(Precios!$G:$G,N3221)=0,"⚠ No coincide con Precios","OK"))</f>
        <v/>
      </c>
    </row>
    <row r="3222" spans="3:15" x14ac:dyDescent="0.2">
      <c r="C3222" s="9" cm="1">
        <f t="array" ref="C3222">IFERROR(_xlfn.XLOOKUP(B3222,Personal!$A:$A,Personal!$D:$D,""),"")</f>
        <v>0</v>
      </c>
      <c r="D3222" s="9" cm="1">
        <f t="array" ref="D3222">IFERROR(_xlfn.XLOOKUP(B3222,Personal!$A:$A,Personal!$C:$C,""),"")</f>
        <v>0</v>
      </c>
      <c r="E3222" s="9" t="str" cm="1">
        <f t="array" ref="E3222">IFERROR(_xlfn.XLOOKUP(D3222,Locales!$A:$A,Locales!$B:$B,""),"")</f>
        <v/>
      </c>
      <c r="F3222" s="9" cm="1">
        <f t="array" ref="F3222">IFERROR(_xlfn.XLOOKUP(B3222,Personal!$A:$A,Personal!$F:$F,""),"")</f>
        <v>0</v>
      </c>
      <c r="I3222" s="10" cm="1">
        <f t="array" ref="I3222">IFERROR(INDEX(Precios!$D:$F,MATCH(N3222, Precios!$G:$G, 0),CHOOSE(MATCH(H3222, {"SML";"XL";"XXL"}, 0), 1, 2, 3)), 0)</f>
        <v>0</v>
      </c>
      <c r="K3222" s="10">
        <f t="shared" si="108"/>
        <v>0</v>
      </c>
      <c r="N3222" s="9" t="str">
        <f t="shared" si="109"/>
        <v/>
      </c>
      <c r="O3222" s="9" t="str">
        <f>IF(N3222="","",IF(COUNTIF(Precios!$G:$G,N3222)=0,"⚠ No coincide con Precios","OK"))</f>
        <v/>
      </c>
    </row>
    <row r="3223" spans="3:15" x14ac:dyDescent="0.2">
      <c r="C3223" s="9" cm="1">
        <f t="array" ref="C3223">IFERROR(_xlfn.XLOOKUP(B3223,Personal!$A:$A,Personal!$D:$D,""),"")</f>
        <v>0</v>
      </c>
      <c r="D3223" s="9" cm="1">
        <f t="array" ref="D3223">IFERROR(_xlfn.XLOOKUP(B3223,Personal!$A:$A,Personal!$C:$C,""),"")</f>
        <v>0</v>
      </c>
      <c r="E3223" s="9" t="str" cm="1">
        <f t="array" ref="E3223">IFERROR(_xlfn.XLOOKUP(D3223,Locales!$A:$A,Locales!$B:$B,""),"")</f>
        <v/>
      </c>
      <c r="F3223" s="9" cm="1">
        <f t="array" ref="F3223">IFERROR(_xlfn.XLOOKUP(B3223,Personal!$A:$A,Personal!$F:$F,""),"")</f>
        <v>0</v>
      </c>
      <c r="I3223" s="10" cm="1">
        <f t="array" ref="I3223">IFERROR(INDEX(Precios!$D:$F,MATCH(N3223, Precios!$G:$G, 0),CHOOSE(MATCH(H3223, {"SML";"XL";"XXL"}, 0), 1, 2, 3)), 0)</f>
        <v>0</v>
      </c>
      <c r="K3223" s="10">
        <f t="shared" si="108"/>
        <v>0</v>
      </c>
      <c r="N3223" s="9" t="str">
        <f t="shared" si="109"/>
        <v/>
      </c>
      <c r="O3223" s="9" t="str">
        <f>IF(N3223="","",IF(COUNTIF(Precios!$G:$G,N3223)=0,"⚠ No coincide con Precios","OK"))</f>
        <v/>
      </c>
    </row>
    <row r="3224" spans="3:15" x14ac:dyDescent="0.2">
      <c r="C3224" s="9" cm="1">
        <f t="array" ref="C3224">IFERROR(_xlfn.XLOOKUP(B3224,Personal!$A:$A,Personal!$D:$D,""),"")</f>
        <v>0</v>
      </c>
      <c r="D3224" s="9" cm="1">
        <f t="array" ref="D3224">IFERROR(_xlfn.XLOOKUP(B3224,Personal!$A:$A,Personal!$C:$C,""),"")</f>
        <v>0</v>
      </c>
      <c r="E3224" s="9" t="str" cm="1">
        <f t="array" ref="E3224">IFERROR(_xlfn.XLOOKUP(D3224,Locales!$A:$A,Locales!$B:$B,""),"")</f>
        <v/>
      </c>
      <c r="F3224" s="9" cm="1">
        <f t="array" ref="F3224">IFERROR(_xlfn.XLOOKUP(B3224,Personal!$A:$A,Personal!$F:$F,""),"")</f>
        <v>0</v>
      </c>
      <c r="I3224" s="10" cm="1">
        <f t="array" ref="I3224">IFERROR(INDEX(Precios!$D:$F,MATCH(N3224, Precios!$G:$G, 0),CHOOSE(MATCH(H3224, {"SML";"XL";"XXL"}, 0), 1, 2, 3)), 0)</f>
        <v>0</v>
      </c>
      <c r="K3224" s="10">
        <f t="shared" si="108"/>
        <v>0</v>
      </c>
      <c r="N3224" s="9" t="str">
        <f t="shared" si="109"/>
        <v/>
      </c>
      <c r="O3224" s="9" t="str">
        <f>IF(N3224="","",IF(COUNTIF(Precios!$G:$G,N3224)=0,"⚠ No coincide con Precios","OK"))</f>
        <v/>
      </c>
    </row>
    <row r="3225" spans="3:15" x14ac:dyDescent="0.2">
      <c r="C3225" s="9" cm="1">
        <f t="array" ref="C3225">IFERROR(_xlfn.XLOOKUP(B3225,Personal!$A:$A,Personal!$D:$D,""),"")</f>
        <v>0</v>
      </c>
      <c r="D3225" s="9" cm="1">
        <f t="array" ref="D3225">IFERROR(_xlfn.XLOOKUP(B3225,Personal!$A:$A,Personal!$C:$C,""),"")</f>
        <v>0</v>
      </c>
      <c r="E3225" s="9" t="str" cm="1">
        <f t="array" ref="E3225">IFERROR(_xlfn.XLOOKUP(D3225,Locales!$A:$A,Locales!$B:$B,""),"")</f>
        <v/>
      </c>
      <c r="F3225" s="9" cm="1">
        <f t="array" ref="F3225">IFERROR(_xlfn.XLOOKUP(B3225,Personal!$A:$A,Personal!$F:$F,""),"")</f>
        <v>0</v>
      </c>
      <c r="I3225" s="10" cm="1">
        <f t="array" ref="I3225">IFERROR(INDEX(Precios!$D:$F,MATCH(N3225, Precios!$G:$G, 0),CHOOSE(MATCH(H3225, {"SML";"XL";"XXL"}, 0), 1, 2, 3)), 0)</f>
        <v>0</v>
      </c>
      <c r="K3225" s="10">
        <f t="shared" si="108"/>
        <v>0</v>
      </c>
      <c r="N3225" s="9" t="str">
        <f t="shared" si="109"/>
        <v/>
      </c>
      <c r="O3225" s="9" t="str">
        <f>IF(N3225="","",IF(COUNTIF(Precios!$G:$G,N3225)=0,"⚠ No coincide con Precios","OK"))</f>
        <v/>
      </c>
    </row>
    <row r="3226" spans="3:15" x14ac:dyDescent="0.2">
      <c r="C3226" s="9" cm="1">
        <f t="array" ref="C3226">IFERROR(_xlfn.XLOOKUP(B3226,Personal!$A:$A,Personal!$D:$D,""),"")</f>
        <v>0</v>
      </c>
      <c r="D3226" s="9" cm="1">
        <f t="array" ref="D3226">IFERROR(_xlfn.XLOOKUP(B3226,Personal!$A:$A,Personal!$C:$C,""),"")</f>
        <v>0</v>
      </c>
      <c r="E3226" s="9" t="str" cm="1">
        <f t="array" ref="E3226">IFERROR(_xlfn.XLOOKUP(D3226,Locales!$A:$A,Locales!$B:$B,""),"")</f>
        <v/>
      </c>
      <c r="F3226" s="9" cm="1">
        <f t="array" ref="F3226">IFERROR(_xlfn.XLOOKUP(B3226,Personal!$A:$A,Personal!$F:$F,""),"")</f>
        <v>0</v>
      </c>
      <c r="I3226" s="10" cm="1">
        <f t="array" ref="I3226">IFERROR(INDEX(Precios!$D:$F,MATCH(N3226, Precios!$G:$G, 0),CHOOSE(MATCH(H3226, {"SML";"XL";"XXL"}, 0), 1, 2, 3)), 0)</f>
        <v>0</v>
      </c>
      <c r="K3226" s="10">
        <f t="shared" si="108"/>
        <v>0</v>
      </c>
      <c r="N3226" s="9" t="str">
        <f t="shared" si="109"/>
        <v/>
      </c>
      <c r="O3226" s="9" t="str">
        <f>IF(N3226="","",IF(COUNTIF(Precios!$G:$G,N3226)=0,"⚠ No coincide con Precios","OK"))</f>
        <v/>
      </c>
    </row>
    <row r="3227" spans="3:15" x14ac:dyDescent="0.2">
      <c r="C3227" s="9" cm="1">
        <f t="array" ref="C3227">IFERROR(_xlfn.XLOOKUP(B3227,Personal!$A:$A,Personal!$D:$D,""),"")</f>
        <v>0</v>
      </c>
      <c r="D3227" s="9" cm="1">
        <f t="array" ref="D3227">IFERROR(_xlfn.XLOOKUP(B3227,Personal!$A:$A,Personal!$C:$C,""),"")</f>
        <v>0</v>
      </c>
      <c r="E3227" s="9" t="str" cm="1">
        <f t="array" ref="E3227">IFERROR(_xlfn.XLOOKUP(D3227,Locales!$A:$A,Locales!$B:$B,""),"")</f>
        <v/>
      </c>
      <c r="F3227" s="9" cm="1">
        <f t="array" ref="F3227">IFERROR(_xlfn.XLOOKUP(B3227,Personal!$A:$A,Personal!$F:$F,""),"")</f>
        <v>0</v>
      </c>
      <c r="I3227" s="10" cm="1">
        <f t="array" ref="I3227">IFERROR(INDEX(Precios!$D:$F,MATCH(N3227, Precios!$G:$G, 0),CHOOSE(MATCH(H3227, {"SML";"XL";"XXL"}, 0), 1, 2, 3)), 0)</f>
        <v>0</v>
      </c>
      <c r="K3227" s="10">
        <f t="shared" si="108"/>
        <v>0</v>
      </c>
      <c r="N3227" s="9" t="str">
        <f t="shared" si="109"/>
        <v/>
      </c>
      <c r="O3227" s="9" t="str">
        <f>IF(N3227="","",IF(COUNTIF(Precios!$G:$G,N3227)=0,"⚠ No coincide con Precios","OK"))</f>
        <v/>
      </c>
    </row>
    <row r="3228" spans="3:15" x14ac:dyDescent="0.2">
      <c r="C3228" s="9" cm="1">
        <f t="array" ref="C3228">IFERROR(_xlfn.XLOOKUP(B3228,Personal!$A:$A,Personal!$D:$D,""),"")</f>
        <v>0</v>
      </c>
      <c r="D3228" s="9" cm="1">
        <f t="array" ref="D3228">IFERROR(_xlfn.XLOOKUP(B3228,Personal!$A:$A,Personal!$C:$C,""),"")</f>
        <v>0</v>
      </c>
      <c r="E3228" s="9" t="str" cm="1">
        <f t="array" ref="E3228">IFERROR(_xlfn.XLOOKUP(D3228,Locales!$A:$A,Locales!$B:$B,""),"")</f>
        <v/>
      </c>
      <c r="F3228" s="9" cm="1">
        <f t="array" ref="F3228">IFERROR(_xlfn.XLOOKUP(B3228,Personal!$A:$A,Personal!$F:$F,""),"")</f>
        <v>0</v>
      </c>
      <c r="I3228" s="10" cm="1">
        <f t="array" ref="I3228">IFERROR(INDEX(Precios!$D:$F,MATCH(N3228, Precios!$G:$G, 0),CHOOSE(MATCH(H3228, {"SML";"XL";"XXL"}, 0), 1, 2, 3)), 0)</f>
        <v>0</v>
      </c>
      <c r="K3228" s="10">
        <f t="shared" si="108"/>
        <v>0</v>
      </c>
      <c r="N3228" s="9" t="str">
        <f t="shared" si="109"/>
        <v/>
      </c>
      <c r="O3228" s="9" t="str">
        <f>IF(N3228="","",IF(COUNTIF(Precios!$G:$G,N3228)=0,"⚠ No coincide con Precios","OK"))</f>
        <v/>
      </c>
    </row>
    <row r="3229" spans="3:15" x14ac:dyDescent="0.2">
      <c r="C3229" s="9" cm="1">
        <f t="array" ref="C3229">IFERROR(_xlfn.XLOOKUP(B3229,Personal!$A:$A,Personal!$D:$D,""),"")</f>
        <v>0</v>
      </c>
      <c r="D3229" s="9" cm="1">
        <f t="array" ref="D3229">IFERROR(_xlfn.XLOOKUP(B3229,Personal!$A:$A,Personal!$C:$C,""),"")</f>
        <v>0</v>
      </c>
      <c r="E3229" s="9" t="str" cm="1">
        <f t="array" ref="E3229">IFERROR(_xlfn.XLOOKUP(D3229,Locales!$A:$A,Locales!$B:$B,""),"")</f>
        <v/>
      </c>
      <c r="F3229" s="9" cm="1">
        <f t="array" ref="F3229">IFERROR(_xlfn.XLOOKUP(B3229,Personal!$A:$A,Personal!$F:$F,""),"")</f>
        <v>0</v>
      </c>
      <c r="I3229" s="10" cm="1">
        <f t="array" ref="I3229">IFERROR(INDEX(Precios!$D:$F,MATCH(N3229, Precios!$G:$G, 0),CHOOSE(MATCH(H3229, {"SML";"XL";"XXL"}, 0), 1, 2, 3)), 0)</f>
        <v>0</v>
      </c>
      <c r="K3229" s="10">
        <f t="shared" si="108"/>
        <v>0</v>
      </c>
      <c r="N3229" s="9" t="str">
        <f t="shared" si="109"/>
        <v/>
      </c>
      <c r="O3229" s="9" t="str">
        <f>IF(N3229="","",IF(COUNTIF(Precios!$G:$G,N3229)=0,"⚠ No coincide con Precios","OK"))</f>
        <v/>
      </c>
    </row>
  </sheetData>
  <phoneticPr fontId="9" type="noConversion"/>
  <conditionalFormatting sqref="B2:B209">
    <cfRule type="duplicateValues" dxfId="5" priority="73"/>
    <cfRule type="duplicateValues" dxfId="4" priority="74"/>
    <cfRule type="duplicateValues" dxfId="3" priority="75"/>
    <cfRule type="duplicateValues" dxfId="2" priority="76"/>
    <cfRule type="duplicateValues" dxfId="1" priority="77"/>
    <cfRule type="duplicateValues" dxfId="0" priority="78"/>
  </conditionalFormatting>
  <dataValidations count="4">
    <dataValidation type="whole" operator="greaterThanOrEqual" allowBlank="1" showInputMessage="1" showErrorMessage="1" sqref="J2:J3229" xr:uid="{00000000-0002-0000-0500-000002000000}">
      <formula1>0</formula1>
    </dataValidation>
    <dataValidation type="list" allowBlank="1" showInputMessage="1" showErrorMessage="1" sqref="H2:H3229" xr:uid="{00000000-0002-0000-0500-000001000000}">
      <formula1>"SML,XL,XXL"</formula1>
    </dataValidation>
    <dataValidation type="list" allowBlank="1" showInputMessage="1" showErrorMessage="1" sqref="L2:L3229" xr:uid="{00000000-0002-0000-0500-000003000000}">
      <formula1>"PENDIENTE,LISTO,ENTREGADO"</formula1>
    </dataValidation>
    <dataValidation type="list" allowBlank="1" showInputMessage="1" showErrorMessage="1" sqref="G2:G3229" xr:uid="{00000000-0002-0000-0500-000000000000}">
      <formula1>ListaMateriales</formula1>
    </dataValidation>
  </dataValidation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7" r:id="rId3" name="Button 5">
              <controlPr defaultSize="0" print="0" autoFill="0" autoPict="0" macro="[0]!ProcesarEntregas">
                <anchor moveWithCells="1" sizeWithCells="1">
                  <from>
                    <xdr:col>15</xdr:col>
                    <xdr:colOff>38100</xdr:colOff>
                    <xdr:row>1</xdr:row>
                    <xdr:rowOff>152400</xdr:rowOff>
                  </from>
                  <to>
                    <xdr:col>18</xdr:col>
                    <xdr:colOff>127000</xdr:colOff>
                    <xdr:row>4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/>
  <dimension ref="A1:I1194"/>
  <sheetViews>
    <sheetView topLeftCell="A25" zoomScale="80" zoomScaleNormal="80" workbookViewId="0">
      <selection activeCell="D11" sqref="D11"/>
    </sheetView>
  </sheetViews>
  <sheetFormatPr baseColWidth="10" defaultColWidth="8.6640625" defaultRowHeight="15" x14ac:dyDescent="0.2"/>
  <cols>
    <col min="1" max="1" width="14.6640625" customWidth="1"/>
    <col min="2" max="3" width="20.6640625" customWidth="1"/>
    <col min="4" max="4" width="28.6640625" customWidth="1"/>
    <col min="5" max="5" width="24.6640625" customWidth="1"/>
    <col min="6" max="6" width="17" customWidth="1"/>
    <col min="7" max="8" width="19.83203125" customWidth="1"/>
    <col min="9" max="9" width="14.83203125" style="8" customWidth="1"/>
  </cols>
  <sheetData>
    <row r="1" spans="1:9" x14ac:dyDescent="0.2">
      <c r="A1" s="1" t="s">
        <v>34</v>
      </c>
      <c r="B1" s="1" t="s">
        <v>35</v>
      </c>
      <c r="C1" s="1" t="s">
        <v>0</v>
      </c>
      <c r="D1" s="1" t="s">
        <v>36</v>
      </c>
      <c r="E1" s="1" t="s">
        <v>40</v>
      </c>
      <c r="F1" s="1" t="s">
        <v>39</v>
      </c>
      <c r="G1" s="1" t="s">
        <v>59</v>
      </c>
      <c r="H1" s="1" t="s">
        <v>60</v>
      </c>
      <c r="I1" s="1" t="s">
        <v>61</v>
      </c>
    </row>
    <row r="2" spans="1:9" x14ac:dyDescent="0.2">
      <c r="A2">
        <v>74415759</v>
      </c>
      <c r="B2" t="s">
        <v>4726</v>
      </c>
      <c r="C2" t="s">
        <v>3102</v>
      </c>
      <c r="D2" t="s">
        <v>4141</v>
      </c>
      <c r="E2" t="s">
        <v>4207</v>
      </c>
      <c r="F2" s="15">
        <v>45733</v>
      </c>
      <c r="G2" s="15">
        <v>45974</v>
      </c>
      <c r="H2" t="s">
        <v>4727</v>
      </c>
      <c r="I2" s="8">
        <v>27</v>
      </c>
    </row>
    <row r="3" spans="1:9" x14ac:dyDescent="0.2">
      <c r="A3">
        <v>73233227</v>
      </c>
      <c r="B3" t="s">
        <v>4635</v>
      </c>
      <c r="C3" t="s">
        <v>3102</v>
      </c>
      <c r="D3" t="s">
        <v>4144</v>
      </c>
      <c r="E3" t="s">
        <v>110</v>
      </c>
      <c r="F3" s="15">
        <v>45870</v>
      </c>
      <c r="G3" s="15">
        <v>45974</v>
      </c>
      <c r="H3" t="s">
        <v>4727</v>
      </c>
      <c r="I3" s="8">
        <v>27</v>
      </c>
    </row>
    <row r="4" spans="1:9" x14ac:dyDescent="0.2">
      <c r="A4">
        <v>46192476</v>
      </c>
      <c r="B4" t="s">
        <v>4635</v>
      </c>
      <c r="C4" t="s">
        <v>3102</v>
      </c>
      <c r="D4" t="s">
        <v>4148</v>
      </c>
      <c r="E4" t="s">
        <v>110</v>
      </c>
      <c r="F4" s="15">
        <v>45901</v>
      </c>
      <c r="G4" s="15">
        <v>45974</v>
      </c>
      <c r="H4" t="s">
        <v>4727</v>
      </c>
      <c r="I4" s="8">
        <v>27</v>
      </c>
    </row>
    <row r="5" spans="1:9" x14ac:dyDescent="0.2">
      <c r="A5">
        <v>77100486</v>
      </c>
      <c r="B5" t="s">
        <v>4635</v>
      </c>
      <c r="C5" t="s">
        <v>3102</v>
      </c>
      <c r="D5" t="s">
        <v>4149</v>
      </c>
      <c r="E5" t="s">
        <v>110</v>
      </c>
      <c r="F5" s="15">
        <v>45903</v>
      </c>
      <c r="G5" s="15">
        <v>45974</v>
      </c>
      <c r="H5" t="s">
        <v>4727</v>
      </c>
      <c r="I5" s="8">
        <v>27</v>
      </c>
    </row>
    <row r="6" spans="1:9" x14ac:dyDescent="0.2">
      <c r="A6">
        <v>43347817</v>
      </c>
      <c r="B6" t="s">
        <v>4726</v>
      </c>
      <c r="C6" t="s">
        <v>3102</v>
      </c>
      <c r="D6" t="s">
        <v>4112</v>
      </c>
      <c r="E6" t="s">
        <v>3866</v>
      </c>
      <c r="F6" s="15">
        <v>45627</v>
      </c>
      <c r="G6" s="15">
        <v>45974</v>
      </c>
      <c r="H6" t="s">
        <v>4727</v>
      </c>
      <c r="I6" s="8">
        <v>106.5</v>
      </c>
    </row>
    <row r="7" spans="1:9" x14ac:dyDescent="0.2">
      <c r="A7">
        <v>62814712</v>
      </c>
      <c r="B7" t="s">
        <v>4726</v>
      </c>
      <c r="C7" t="s">
        <v>3102</v>
      </c>
      <c r="D7" t="s">
        <v>4140</v>
      </c>
      <c r="E7" t="s">
        <v>3866</v>
      </c>
      <c r="F7" s="15">
        <v>45733</v>
      </c>
      <c r="G7" s="15">
        <v>45974</v>
      </c>
      <c r="H7" t="s">
        <v>4727</v>
      </c>
      <c r="I7" s="8">
        <v>106.5</v>
      </c>
    </row>
    <row r="8" spans="1:9" x14ac:dyDescent="0.2">
      <c r="A8">
        <v>74415806</v>
      </c>
      <c r="B8" t="s">
        <v>4635</v>
      </c>
      <c r="C8" t="s">
        <v>3102</v>
      </c>
      <c r="D8" t="s">
        <v>4143</v>
      </c>
      <c r="E8" t="s">
        <v>3866</v>
      </c>
      <c r="F8" s="15">
        <v>45824</v>
      </c>
      <c r="G8" s="15">
        <v>45974</v>
      </c>
      <c r="H8" t="s">
        <v>4727</v>
      </c>
      <c r="I8" s="8">
        <v>106.5</v>
      </c>
    </row>
    <row r="9" spans="1:9" x14ac:dyDescent="0.2">
      <c r="A9">
        <v>62814713</v>
      </c>
      <c r="B9" t="s">
        <v>4635</v>
      </c>
      <c r="C9" t="s">
        <v>3102</v>
      </c>
      <c r="D9" t="s">
        <v>4150</v>
      </c>
      <c r="E9" t="s">
        <v>3866</v>
      </c>
      <c r="F9" s="15">
        <v>45908</v>
      </c>
      <c r="G9" s="15">
        <v>45974</v>
      </c>
      <c r="H9" t="s">
        <v>4727</v>
      </c>
      <c r="I9" s="8">
        <v>106.5</v>
      </c>
    </row>
    <row r="10" spans="1:9" x14ac:dyDescent="0.2">
      <c r="A10">
        <v>42792686</v>
      </c>
      <c r="B10" t="s">
        <v>3037</v>
      </c>
      <c r="C10" t="s">
        <v>3102</v>
      </c>
      <c r="D10" t="s">
        <v>3315</v>
      </c>
      <c r="E10" t="s">
        <v>3866</v>
      </c>
      <c r="F10" s="15">
        <v>45505</v>
      </c>
      <c r="G10" s="15">
        <v>45974</v>
      </c>
      <c r="H10" t="s">
        <v>4727</v>
      </c>
      <c r="I10" s="8">
        <v>106.5</v>
      </c>
    </row>
    <row r="11" spans="1:9" x14ac:dyDescent="0.2">
      <c r="A11">
        <v>42949350</v>
      </c>
      <c r="B11" t="s">
        <v>4726</v>
      </c>
      <c r="C11" t="s">
        <v>3102</v>
      </c>
      <c r="D11" t="s">
        <v>4138</v>
      </c>
      <c r="E11" t="s">
        <v>3866</v>
      </c>
      <c r="F11" s="15">
        <v>45661</v>
      </c>
      <c r="G11" s="15">
        <v>45974</v>
      </c>
      <c r="H11" t="s">
        <v>4727</v>
      </c>
      <c r="I11" s="8">
        <v>106.5</v>
      </c>
    </row>
    <row r="12" spans="1:9" x14ac:dyDescent="0.2">
      <c r="A12">
        <v>43446883</v>
      </c>
      <c r="B12" t="s">
        <v>4726</v>
      </c>
      <c r="C12" t="s">
        <v>3102</v>
      </c>
      <c r="D12" t="s">
        <v>4142</v>
      </c>
      <c r="E12" t="s">
        <v>126</v>
      </c>
      <c r="F12" s="15">
        <v>45792</v>
      </c>
      <c r="G12" s="15">
        <v>45974</v>
      </c>
      <c r="H12" t="s">
        <v>4727</v>
      </c>
      <c r="I12" s="8">
        <v>27</v>
      </c>
    </row>
    <row r="13" spans="1:9" x14ac:dyDescent="0.2">
      <c r="A13">
        <v>45038713</v>
      </c>
      <c r="B13" t="s">
        <v>4726</v>
      </c>
      <c r="C13" t="s">
        <v>3102</v>
      </c>
      <c r="D13" t="s">
        <v>4111</v>
      </c>
      <c r="E13" t="s">
        <v>3872</v>
      </c>
      <c r="F13" s="15">
        <v>45616</v>
      </c>
      <c r="G13" s="15">
        <v>45974</v>
      </c>
      <c r="H13" t="s">
        <v>4727</v>
      </c>
      <c r="I13" s="8">
        <v>30</v>
      </c>
    </row>
    <row r="14" spans="1:9" x14ac:dyDescent="0.2">
      <c r="A14">
        <v>45038713</v>
      </c>
      <c r="B14" t="s">
        <v>4726</v>
      </c>
      <c r="C14" t="s">
        <v>3102</v>
      </c>
      <c r="D14" t="s">
        <v>4111</v>
      </c>
      <c r="E14" t="s">
        <v>3872</v>
      </c>
      <c r="F14" s="15">
        <v>45616</v>
      </c>
      <c r="G14" s="15">
        <v>45987</v>
      </c>
      <c r="H14" t="s">
        <v>4727</v>
      </c>
      <c r="I14" s="8">
        <v>10</v>
      </c>
    </row>
    <row r="15" spans="1:9" x14ac:dyDescent="0.2">
      <c r="A15">
        <v>5710071</v>
      </c>
      <c r="B15" t="s">
        <v>4635</v>
      </c>
      <c r="C15" t="s">
        <v>3102</v>
      </c>
      <c r="D15" t="s">
        <v>4392</v>
      </c>
      <c r="E15" t="s">
        <v>3872</v>
      </c>
      <c r="F15" s="15">
        <v>45931</v>
      </c>
      <c r="G15" s="15">
        <v>45974</v>
      </c>
      <c r="H15" t="s">
        <v>4727</v>
      </c>
      <c r="I15" s="8">
        <v>30</v>
      </c>
    </row>
    <row r="16" spans="1:9" x14ac:dyDescent="0.2">
      <c r="A16">
        <v>5710071</v>
      </c>
      <c r="B16" t="s">
        <v>4635</v>
      </c>
      <c r="C16" t="s">
        <v>3102</v>
      </c>
      <c r="D16" t="s">
        <v>4392</v>
      </c>
      <c r="E16" t="s">
        <v>3872</v>
      </c>
      <c r="F16" s="15">
        <v>45931</v>
      </c>
      <c r="G16" s="15">
        <v>45987</v>
      </c>
      <c r="H16" t="s">
        <v>4727</v>
      </c>
      <c r="I16" s="8">
        <v>46</v>
      </c>
    </row>
    <row r="17" spans="1:9" x14ac:dyDescent="0.2">
      <c r="A17">
        <v>71595082</v>
      </c>
      <c r="B17" t="s">
        <v>189</v>
      </c>
      <c r="C17" t="s">
        <v>17</v>
      </c>
      <c r="D17" t="s">
        <v>4614</v>
      </c>
      <c r="E17" t="s">
        <v>127</v>
      </c>
      <c r="F17" s="15">
        <v>45985</v>
      </c>
      <c r="G17" s="15">
        <v>45996</v>
      </c>
      <c r="H17" t="s">
        <v>4727</v>
      </c>
      <c r="I17" s="8">
        <v>54.5</v>
      </c>
    </row>
    <row r="18" spans="1:9" x14ac:dyDescent="0.2">
      <c r="A18">
        <v>75432796</v>
      </c>
      <c r="B18" t="s">
        <v>189</v>
      </c>
      <c r="C18" t="s">
        <v>17</v>
      </c>
      <c r="D18" t="s">
        <v>4372</v>
      </c>
      <c r="E18" t="s">
        <v>29</v>
      </c>
      <c r="F18" s="15">
        <v>45964</v>
      </c>
      <c r="G18" s="15">
        <v>45988</v>
      </c>
      <c r="H18" t="s">
        <v>4727</v>
      </c>
      <c r="I18" s="8">
        <v>54.5</v>
      </c>
    </row>
    <row r="19" spans="1:9" x14ac:dyDescent="0.2">
      <c r="A19">
        <v>62748664</v>
      </c>
      <c r="B19" t="s">
        <v>189</v>
      </c>
      <c r="C19" t="s">
        <v>17</v>
      </c>
      <c r="D19" t="s">
        <v>4374</v>
      </c>
      <c r="E19" t="s">
        <v>4206</v>
      </c>
      <c r="F19" s="15">
        <v>45964</v>
      </c>
      <c r="G19" s="15">
        <v>45988</v>
      </c>
      <c r="H19" t="s">
        <v>4727</v>
      </c>
      <c r="I19" s="8">
        <v>71</v>
      </c>
    </row>
    <row r="20" spans="1:9" x14ac:dyDescent="0.2">
      <c r="A20">
        <v>63123345</v>
      </c>
      <c r="B20" t="s">
        <v>189</v>
      </c>
      <c r="C20" t="s">
        <v>17</v>
      </c>
      <c r="D20" t="s">
        <v>279</v>
      </c>
      <c r="E20" t="s">
        <v>3866</v>
      </c>
      <c r="F20" s="15">
        <v>44409</v>
      </c>
      <c r="G20" s="15">
        <v>45988</v>
      </c>
      <c r="H20" t="s">
        <v>4727</v>
      </c>
      <c r="I20" s="8">
        <v>91.5</v>
      </c>
    </row>
    <row r="21" spans="1:9" x14ac:dyDescent="0.2">
      <c r="A21">
        <v>46958052</v>
      </c>
      <c r="B21" t="s">
        <v>189</v>
      </c>
      <c r="C21" t="s">
        <v>17</v>
      </c>
      <c r="D21" t="s">
        <v>481</v>
      </c>
      <c r="E21" t="s">
        <v>3866</v>
      </c>
      <c r="F21" s="15">
        <v>45536</v>
      </c>
      <c r="G21" s="15">
        <v>45996</v>
      </c>
      <c r="H21" t="s">
        <v>4727</v>
      </c>
      <c r="I21" s="8">
        <v>91.5</v>
      </c>
    </row>
    <row r="22" spans="1:9" x14ac:dyDescent="0.2">
      <c r="A22">
        <v>71588119</v>
      </c>
      <c r="B22" t="s">
        <v>189</v>
      </c>
      <c r="C22" t="s">
        <v>17</v>
      </c>
      <c r="D22" t="s">
        <v>381</v>
      </c>
      <c r="E22" t="s">
        <v>3866</v>
      </c>
      <c r="F22" s="15">
        <v>45090</v>
      </c>
      <c r="G22" s="15">
        <v>45996</v>
      </c>
      <c r="H22" t="s">
        <v>4727</v>
      </c>
      <c r="I22" s="8">
        <v>91.5</v>
      </c>
    </row>
    <row r="23" spans="1:9" x14ac:dyDescent="0.2">
      <c r="A23">
        <v>7750014</v>
      </c>
      <c r="B23" t="s">
        <v>189</v>
      </c>
      <c r="C23" t="s">
        <v>17</v>
      </c>
      <c r="D23" t="s">
        <v>4728</v>
      </c>
      <c r="E23" t="s">
        <v>3866</v>
      </c>
      <c r="F23" s="15">
        <v>45530</v>
      </c>
      <c r="G23" s="15">
        <v>45996</v>
      </c>
      <c r="H23" t="s">
        <v>4727</v>
      </c>
      <c r="I23" s="8">
        <v>91.5</v>
      </c>
    </row>
    <row r="24" spans="1:9" x14ac:dyDescent="0.2">
      <c r="A24">
        <v>43461367</v>
      </c>
      <c r="B24" t="s">
        <v>189</v>
      </c>
      <c r="C24" t="s">
        <v>17</v>
      </c>
      <c r="D24" t="s">
        <v>423</v>
      </c>
      <c r="E24" t="s">
        <v>3866</v>
      </c>
      <c r="F24" s="15">
        <v>45328</v>
      </c>
      <c r="G24" s="15">
        <v>45996</v>
      </c>
      <c r="H24" t="s">
        <v>4727</v>
      </c>
      <c r="I24" s="8">
        <v>91.5</v>
      </c>
    </row>
    <row r="25" spans="1:9" x14ac:dyDescent="0.2">
      <c r="A25">
        <v>60054734</v>
      </c>
      <c r="B25" t="s">
        <v>189</v>
      </c>
      <c r="C25" t="s">
        <v>17</v>
      </c>
      <c r="D25" t="s">
        <v>4365</v>
      </c>
      <c r="E25" t="s">
        <v>3866</v>
      </c>
      <c r="F25" s="15">
        <v>45950</v>
      </c>
      <c r="G25" s="15">
        <v>45996</v>
      </c>
      <c r="H25" t="s">
        <v>4727</v>
      </c>
      <c r="I25" s="8">
        <v>91.5</v>
      </c>
    </row>
    <row r="26" spans="1:9" x14ac:dyDescent="0.2">
      <c r="A26">
        <v>76334625</v>
      </c>
      <c r="B26" t="s">
        <v>189</v>
      </c>
      <c r="C26" t="s">
        <v>17</v>
      </c>
      <c r="D26" t="s">
        <v>430</v>
      </c>
      <c r="E26" t="s">
        <v>3866</v>
      </c>
      <c r="F26" s="15">
        <v>45369</v>
      </c>
      <c r="G26" s="15">
        <v>45996</v>
      </c>
      <c r="H26" t="s">
        <v>4727</v>
      </c>
      <c r="I26" s="8">
        <v>91.5</v>
      </c>
    </row>
    <row r="27" spans="1:9" x14ac:dyDescent="0.2">
      <c r="A27">
        <v>75007703</v>
      </c>
      <c r="B27" t="s">
        <v>2078</v>
      </c>
      <c r="C27" t="s">
        <v>2177</v>
      </c>
      <c r="D27" t="s">
        <v>4169</v>
      </c>
      <c r="E27" t="s">
        <v>4207</v>
      </c>
      <c r="F27" s="15">
        <v>45936</v>
      </c>
      <c r="G27" s="15">
        <v>45975</v>
      </c>
      <c r="H27" t="s">
        <v>4727</v>
      </c>
      <c r="I27" s="8">
        <v>36</v>
      </c>
    </row>
    <row r="28" spans="1:9" x14ac:dyDescent="0.2">
      <c r="A28">
        <v>75780895</v>
      </c>
      <c r="B28" t="s">
        <v>2078</v>
      </c>
      <c r="C28" t="s">
        <v>2177</v>
      </c>
      <c r="D28" t="s">
        <v>4356</v>
      </c>
      <c r="E28" t="s">
        <v>127</v>
      </c>
      <c r="F28" s="15">
        <v>45943</v>
      </c>
      <c r="G28" s="15">
        <v>45975</v>
      </c>
      <c r="H28" t="s">
        <v>4727</v>
      </c>
      <c r="I28" s="8">
        <v>54.5</v>
      </c>
    </row>
    <row r="29" spans="1:9" x14ac:dyDescent="0.2">
      <c r="A29">
        <v>43965735</v>
      </c>
      <c r="B29" t="s">
        <v>2078</v>
      </c>
      <c r="C29" t="s">
        <v>2177</v>
      </c>
      <c r="D29" t="s">
        <v>2180</v>
      </c>
      <c r="E29" t="s">
        <v>3866</v>
      </c>
      <c r="F29" s="15">
        <v>42887</v>
      </c>
      <c r="G29" s="15">
        <v>45975</v>
      </c>
      <c r="H29" t="s">
        <v>4727</v>
      </c>
      <c r="I29" s="8">
        <v>15</v>
      </c>
    </row>
    <row r="30" spans="1:9" x14ac:dyDescent="0.2">
      <c r="A30">
        <v>47008833</v>
      </c>
      <c r="B30" t="s">
        <v>2078</v>
      </c>
      <c r="C30" t="s">
        <v>2177</v>
      </c>
      <c r="D30" t="s">
        <v>4729</v>
      </c>
      <c r="E30" t="s">
        <v>3872</v>
      </c>
      <c r="F30" s="15">
        <v>45200</v>
      </c>
      <c r="G30" s="15">
        <v>45975</v>
      </c>
      <c r="H30" t="s">
        <v>4727</v>
      </c>
      <c r="I30" s="8">
        <v>45</v>
      </c>
    </row>
    <row r="31" spans="1:9" x14ac:dyDescent="0.2">
      <c r="A31">
        <v>71752533</v>
      </c>
      <c r="B31" t="s">
        <v>2078</v>
      </c>
      <c r="C31" t="s">
        <v>2177</v>
      </c>
      <c r="D31" t="s">
        <v>2508</v>
      </c>
      <c r="E31" t="s">
        <v>3872</v>
      </c>
      <c r="F31" s="15">
        <v>45383</v>
      </c>
      <c r="G31" s="15">
        <v>45975</v>
      </c>
      <c r="H31" t="s">
        <v>4727</v>
      </c>
      <c r="I31" s="8">
        <v>45</v>
      </c>
    </row>
    <row r="32" spans="1:9" x14ac:dyDescent="0.2">
      <c r="A32">
        <v>73141256</v>
      </c>
      <c r="B32" t="s">
        <v>2078</v>
      </c>
      <c r="C32" t="s">
        <v>2177</v>
      </c>
      <c r="D32" t="s">
        <v>2619</v>
      </c>
      <c r="E32" t="s">
        <v>3872</v>
      </c>
      <c r="F32" s="15">
        <v>45627</v>
      </c>
      <c r="G32" s="15">
        <v>45975</v>
      </c>
      <c r="H32" t="s">
        <v>4727</v>
      </c>
      <c r="I32" s="8">
        <v>45</v>
      </c>
    </row>
    <row r="33" spans="1:9" x14ac:dyDescent="0.2">
      <c r="A33">
        <v>76460420</v>
      </c>
      <c r="B33" t="s">
        <v>2078</v>
      </c>
      <c r="C33" t="s">
        <v>2177</v>
      </c>
      <c r="D33" t="s">
        <v>4387</v>
      </c>
      <c r="E33" t="s">
        <v>3863</v>
      </c>
      <c r="F33" s="15">
        <v>45965</v>
      </c>
      <c r="G33" s="15">
        <v>45975</v>
      </c>
      <c r="H33" t="s">
        <v>4727</v>
      </c>
      <c r="I33" s="8">
        <v>87</v>
      </c>
    </row>
    <row r="34" spans="1:9" x14ac:dyDescent="0.2">
      <c r="A34">
        <v>72631387</v>
      </c>
      <c r="B34" t="s">
        <v>2078</v>
      </c>
      <c r="C34" t="s">
        <v>2177</v>
      </c>
      <c r="D34" t="s">
        <v>2425</v>
      </c>
      <c r="E34" t="s">
        <v>126</v>
      </c>
      <c r="F34" s="15">
        <v>45108</v>
      </c>
      <c r="G34" s="15">
        <v>45975</v>
      </c>
      <c r="H34" t="s">
        <v>4727</v>
      </c>
      <c r="I34" s="8">
        <v>34</v>
      </c>
    </row>
    <row r="35" spans="1:9" x14ac:dyDescent="0.2">
      <c r="A35">
        <v>73870740</v>
      </c>
      <c r="B35" t="s">
        <v>2078</v>
      </c>
      <c r="C35" t="s">
        <v>2177</v>
      </c>
      <c r="D35" t="s">
        <v>4353</v>
      </c>
      <c r="E35" t="s">
        <v>126</v>
      </c>
      <c r="F35" s="15">
        <v>45931</v>
      </c>
      <c r="G35" s="15">
        <v>45975</v>
      </c>
      <c r="H35" t="s">
        <v>4727</v>
      </c>
      <c r="I35" s="8">
        <v>73</v>
      </c>
    </row>
    <row r="36" spans="1:9" x14ac:dyDescent="0.2">
      <c r="A36">
        <v>76411894</v>
      </c>
      <c r="B36" t="s">
        <v>2078</v>
      </c>
      <c r="C36" t="s">
        <v>2177</v>
      </c>
      <c r="D36" t="s">
        <v>4386</v>
      </c>
      <c r="E36" t="s">
        <v>126</v>
      </c>
      <c r="F36" s="15">
        <v>45965</v>
      </c>
      <c r="G36" s="15">
        <v>45975</v>
      </c>
      <c r="H36" t="s">
        <v>4727</v>
      </c>
      <c r="I36" s="8">
        <v>83</v>
      </c>
    </row>
    <row r="37" spans="1:9" x14ac:dyDescent="0.2">
      <c r="A37">
        <v>76282405</v>
      </c>
      <c r="B37" t="s">
        <v>189</v>
      </c>
      <c r="C37" t="s">
        <v>21</v>
      </c>
      <c r="D37" t="s">
        <v>367</v>
      </c>
      <c r="E37" t="s">
        <v>3866</v>
      </c>
      <c r="F37" s="15">
        <v>45034</v>
      </c>
      <c r="G37" s="15">
        <v>45987</v>
      </c>
      <c r="H37" t="s">
        <v>4727</v>
      </c>
      <c r="I37" s="8">
        <v>91.5</v>
      </c>
    </row>
    <row r="38" spans="1:9" x14ac:dyDescent="0.2">
      <c r="A38">
        <v>47188415</v>
      </c>
      <c r="B38" t="s">
        <v>189</v>
      </c>
      <c r="C38" t="s">
        <v>21</v>
      </c>
      <c r="D38" t="s">
        <v>237</v>
      </c>
      <c r="E38" t="s">
        <v>3866</v>
      </c>
      <c r="F38" s="15">
        <v>43601</v>
      </c>
      <c r="G38" s="15">
        <v>45987</v>
      </c>
      <c r="H38" t="s">
        <v>4727</v>
      </c>
      <c r="I38" s="8">
        <v>91.5</v>
      </c>
    </row>
    <row r="39" spans="1:9" x14ac:dyDescent="0.2">
      <c r="A39">
        <v>61053284</v>
      </c>
      <c r="B39" t="s">
        <v>189</v>
      </c>
      <c r="C39" t="s">
        <v>21</v>
      </c>
      <c r="D39" t="s">
        <v>4730</v>
      </c>
      <c r="E39" t="s">
        <v>3866</v>
      </c>
      <c r="F39" s="15">
        <v>45090</v>
      </c>
      <c r="G39" s="15">
        <v>45987</v>
      </c>
      <c r="H39" t="s">
        <v>4727</v>
      </c>
      <c r="I39" s="8">
        <v>91.5</v>
      </c>
    </row>
    <row r="40" spans="1:9" x14ac:dyDescent="0.2">
      <c r="A40">
        <v>46722628</v>
      </c>
      <c r="B40" t="s">
        <v>3037</v>
      </c>
      <c r="C40" t="s">
        <v>25</v>
      </c>
      <c r="D40" t="s">
        <v>3264</v>
      </c>
      <c r="E40" t="s">
        <v>3872</v>
      </c>
      <c r="F40" s="15">
        <v>45170</v>
      </c>
      <c r="G40" s="15">
        <v>45975</v>
      </c>
      <c r="H40" t="s">
        <v>4727</v>
      </c>
      <c r="I40" s="8">
        <v>40</v>
      </c>
    </row>
    <row r="41" spans="1:9" x14ac:dyDescent="0.2">
      <c r="A41">
        <v>72670432</v>
      </c>
      <c r="B41" t="s">
        <v>2078</v>
      </c>
      <c r="C41" t="s">
        <v>25</v>
      </c>
      <c r="D41" t="s">
        <v>2598</v>
      </c>
      <c r="E41" t="s">
        <v>3872</v>
      </c>
      <c r="F41" s="15">
        <v>45607</v>
      </c>
      <c r="G41" s="15">
        <v>45975</v>
      </c>
      <c r="H41" t="s">
        <v>4727</v>
      </c>
      <c r="I41" s="8">
        <v>10</v>
      </c>
    </row>
    <row r="42" spans="1:9" x14ac:dyDescent="0.2">
      <c r="A42">
        <v>41983477</v>
      </c>
      <c r="B42" t="s">
        <v>2078</v>
      </c>
      <c r="C42" t="s">
        <v>5</v>
      </c>
      <c r="D42" t="s">
        <v>2862</v>
      </c>
      <c r="E42" t="s">
        <v>29</v>
      </c>
      <c r="F42" s="15">
        <v>45839</v>
      </c>
      <c r="G42" s="15">
        <v>45902</v>
      </c>
      <c r="H42" t="s">
        <v>4727</v>
      </c>
      <c r="I42" s="8">
        <v>54.5</v>
      </c>
    </row>
    <row r="43" spans="1:9" x14ac:dyDescent="0.2">
      <c r="A43">
        <v>47115854</v>
      </c>
      <c r="B43" t="s">
        <v>2078</v>
      </c>
      <c r="C43" t="s">
        <v>5</v>
      </c>
      <c r="D43" t="s">
        <v>2199</v>
      </c>
      <c r="E43" t="s">
        <v>3866</v>
      </c>
      <c r="F43" s="15">
        <v>43221</v>
      </c>
      <c r="G43" s="15">
        <v>45973</v>
      </c>
      <c r="H43" t="s">
        <v>4727</v>
      </c>
      <c r="I43" s="8">
        <v>91.5</v>
      </c>
    </row>
    <row r="44" spans="1:9" x14ac:dyDescent="0.2">
      <c r="A44">
        <v>32933368</v>
      </c>
      <c r="B44" t="s">
        <v>2078</v>
      </c>
      <c r="C44" t="s">
        <v>5</v>
      </c>
      <c r="D44" t="s">
        <v>2375</v>
      </c>
      <c r="E44" t="s">
        <v>3866</v>
      </c>
      <c r="F44" s="15">
        <v>44869</v>
      </c>
      <c r="G44" s="15">
        <v>45943</v>
      </c>
      <c r="H44" t="s">
        <v>4727</v>
      </c>
      <c r="I44" s="8">
        <v>91.5</v>
      </c>
    </row>
    <row r="45" spans="1:9" x14ac:dyDescent="0.2">
      <c r="A45">
        <v>71033861</v>
      </c>
      <c r="B45" t="s">
        <v>3037</v>
      </c>
      <c r="C45" t="s">
        <v>14</v>
      </c>
      <c r="D45" t="s">
        <v>4179</v>
      </c>
      <c r="E45" t="s">
        <v>29</v>
      </c>
      <c r="F45" s="15">
        <v>45922</v>
      </c>
      <c r="G45" s="15">
        <v>45973</v>
      </c>
      <c r="H45" t="s">
        <v>4727</v>
      </c>
      <c r="I45" s="8">
        <v>54.5</v>
      </c>
    </row>
    <row r="46" spans="1:9" x14ac:dyDescent="0.2">
      <c r="A46">
        <v>45003200</v>
      </c>
      <c r="B46" t="s">
        <v>2078</v>
      </c>
      <c r="C46" t="s">
        <v>2082</v>
      </c>
      <c r="D46" t="s">
        <v>2373</v>
      </c>
      <c r="E46" t="s">
        <v>200</v>
      </c>
      <c r="F46" s="15">
        <v>44867</v>
      </c>
      <c r="G46" s="15">
        <v>45944</v>
      </c>
      <c r="H46" t="s">
        <v>4727</v>
      </c>
      <c r="I46" s="8">
        <v>75</v>
      </c>
    </row>
    <row r="47" spans="1:9" x14ac:dyDescent="0.2">
      <c r="A47">
        <v>76278772</v>
      </c>
      <c r="B47" t="s">
        <v>2078</v>
      </c>
      <c r="C47" t="s">
        <v>2082</v>
      </c>
      <c r="D47" t="s">
        <v>2976</v>
      </c>
      <c r="E47" t="s">
        <v>4206</v>
      </c>
      <c r="F47" s="15">
        <v>45880</v>
      </c>
      <c r="G47" s="15">
        <v>45944</v>
      </c>
      <c r="H47" t="s">
        <v>4727</v>
      </c>
      <c r="I47" s="8">
        <v>71</v>
      </c>
    </row>
    <row r="48" spans="1:9" x14ac:dyDescent="0.2">
      <c r="A48">
        <v>62602264</v>
      </c>
      <c r="B48" t="s">
        <v>2078</v>
      </c>
      <c r="C48" t="s">
        <v>2082</v>
      </c>
      <c r="D48" t="s">
        <v>2558</v>
      </c>
      <c r="E48" t="s">
        <v>4206</v>
      </c>
      <c r="F48" s="15">
        <v>45530</v>
      </c>
      <c r="G48" s="15">
        <v>45944</v>
      </c>
      <c r="H48" t="s">
        <v>4727</v>
      </c>
      <c r="I48" s="8">
        <v>71</v>
      </c>
    </row>
    <row r="49" spans="1:9" x14ac:dyDescent="0.2">
      <c r="A49">
        <v>44265083</v>
      </c>
      <c r="B49" t="s">
        <v>2078</v>
      </c>
      <c r="C49" t="s">
        <v>2082</v>
      </c>
      <c r="D49" t="s">
        <v>2450</v>
      </c>
      <c r="E49" t="s">
        <v>3866</v>
      </c>
      <c r="F49" s="15">
        <v>45195</v>
      </c>
      <c r="G49" s="15">
        <v>45944</v>
      </c>
      <c r="H49" t="s">
        <v>4727</v>
      </c>
      <c r="I49" s="8">
        <v>91.5</v>
      </c>
    </row>
    <row r="50" spans="1:9" x14ac:dyDescent="0.2">
      <c r="A50">
        <v>28108075</v>
      </c>
      <c r="B50" t="s">
        <v>2078</v>
      </c>
      <c r="C50" t="s">
        <v>2082</v>
      </c>
      <c r="D50" t="s">
        <v>2083</v>
      </c>
      <c r="E50" t="s">
        <v>3866</v>
      </c>
      <c r="F50" s="15">
        <v>38930</v>
      </c>
      <c r="G50" s="15">
        <v>45944</v>
      </c>
      <c r="H50" t="s">
        <v>4727</v>
      </c>
      <c r="I50" s="8">
        <v>91.5</v>
      </c>
    </row>
    <row r="51" spans="1:9" x14ac:dyDescent="0.2">
      <c r="A51">
        <v>43121150</v>
      </c>
      <c r="B51" t="s">
        <v>2078</v>
      </c>
      <c r="C51" t="s">
        <v>2082</v>
      </c>
      <c r="D51" t="s">
        <v>2296</v>
      </c>
      <c r="E51" t="s">
        <v>3866</v>
      </c>
      <c r="F51" s="15">
        <v>44410</v>
      </c>
      <c r="G51" s="15">
        <v>45944</v>
      </c>
      <c r="H51" t="s">
        <v>4727</v>
      </c>
      <c r="I51" s="8">
        <v>91.5</v>
      </c>
    </row>
    <row r="52" spans="1:9" x14ac:dyDescent="0.2">
      <c r="A52">
        <v>5370773</v>
      </c>
      <c r="B52" t="s">
        <v>2078</v>
      </c>
      <c r="C52" t="s">
        <v>2082</v>
      </c>
      <c r="D52" t="s">
        <v>2700</v>
      </c>
      <c r="E52" t="s">
        <v>3866</v>
      </c>
      <c r="F52" s="15">
        <v>45698</v>
      </c>
      <c r="G52" s="15">
        <v>45944</v>
      </c>
      <c r="H52" t="s">
        <v>4727</v>
      </c>
      <c r="I52" s="8">
        <v>91.5</v>
      </c>
    </row>
    <row r="53" spans="1:9" x14ac:dyDescent="0.2">
      <c r="A53">
        <v>47438680</v>
      </c>
      <c r="B53" t="s">
        <v>2078</v>
      </c>
      <c r="C53" t="s">
        <v>2082</v>
      </c>
      <c r="D53" t="s">
        <v>2431</v>
      </c>
      <c r="E53" t="s">
        <v>3866</v>
      </c>
      <c r="F53" s="15">
        <v>45112</v>
      </c>
      <c r="G53" s="15">
        <v>45944</v>
      </c>
      <c r="H53" t="s">
        <v>4727</v>
      </c>
      <c r="I53" s="8">
        <v>91.5</v>
      </c>
    </row>
    <row r="54" spans="1:9" x14ac:dyDescent="0.2">
      <c r="A54">
        <v>75549316</v>
      </c>
      <c r="B54" t="s">
        <v>2078</v>
      </c>
      <c r="C54" t="s">
        <v>2082</v>
      </c>
      <c r="D54" t="s">
        <v>2592</v>
      </c>
      <c r="E54" t="s">
        <v>3863</v>
      </c>
      <c r="F54" s="15">
        <v>45600</v>
      </c>
      <c r="G54" s="15">
        <v>45944</v>
      </c>
      <c r="H54" t="s">
        <v>4727</v>
      </c>
      <c r="I54" s="8">
        <v>87</v>
      </c>
    </row>
    <row r="55" spans="1:9" x14ac:dyDescent="0.2">
      <c r="A55">
        <v>73029252</v>
      </c>
      <c r="B55" t="s">
        <v>2078</v>
      </c>
      <c r="C55" t="s">
        <v>2082</v>
      </c>
      <c r="D55" t="s">
        <v>4731</v>
      </c>
      <c r="E55" t="s">
        <v>3863</v>
      </c>
      <c r="F55" s="15">
        <v>45670</v>
      </c>
      <c r="G55" s="15">
        <v>45944</v>
      </c>
      <c r="H55" t="s">
        <v>4727</v>
      </c>
      <c r="I55" s="8">
        <v>87</v>
      </c>
    </row>
    <row r="56" spans="1:9" x14ac:dyDescent="0.2">
      <c r="A56">
        <v>42813234</v>
      </c>
      <c r="B56" t="s">
        <v>2078</v>
      </c>
      <c r="C56" t="s">
        <v>2082</v>
      </c>
      <c r="D56" t="s">
        <v>2161</v>
      </c>
      <c r="E56" t="s">
        <v>3863</v>
      </c>
      <c r="F56" s="15">
        <v>42644</v>
      </c>
      <c r="G56" s="15">
        <v>45944</v>
      </c>
      <c r="H56" t="s">
        <v>4727</v>
      </c>
      <c r="I56" s="8">
        <v>87</v>
      </c>
    </row>
    <row r="57" spans="1:9" x14ac:dyDescent="0.2">
      <c r="A57">
        <v>72511903</v>
      </c>
      <c r="B57" t="s">
        <v>3037</v>
      </c>
      <c r="C57" t="s">
        <v>626</v>
      </c>
      <c r="D57" t="s">
        <v>4720</v>
      </c>
      <c r="E57" t="s">
        <v>126</v>
      </c>
      <c r="F57" s="15">
        <v>45901</v>
      </c>
      <c r="G57" s="15">
        <v>45903</v>
      </c>
      <c r="H57" t="s">
        <v>4727</v>
      </c>
      <c r="I57" s="8">
        <v>83</v>
      </c>
    </row>
    <row r="58" spans="1:9" x14ac:dyDescent="0.2">
      <c r="A58">
        <v>75912094</v>
      </c>
      <c r="B58" t="s">
        <v>3037</v>
      </c>
      <c r="C58" t="s">
        <v>626</v>
      </c>
      <c r="D58" t="s">
        <v>3421</v>
      </c>
      <c r="E58" t="s">
        <v>127</v>
      </c>
      <c r="F58" s="15">
        <v>45870</v>
      </c>
      <c r="G58" s="15">
        <v>45951</v>
      </c>
      <c r="H58" t="s">
        <v>4727</v>
      </c>
      <c r="I58" s="8">
        <v>37</v>
      </c>
    </row>
    <row r="59" spans="1:9" x14ac:dyDescent="0.2">
      <c r="A59">
        <v>75069157</v>
      </c>
      <c r="B59" t="s">
        <v>3037</v>
      </c>
      <c r="C59" t="s">
        <v>626</v>
      </c>
      <c r="D59" t="s">
        <v>3369</v>
      </c>
      <c r="E59" t="s">
        <v>3863</v>
      </c>
      <c r="F59" s="15">
        <v>45689</v>
      </c>
      <c r="G59" s="15">
        <v>45951</v>
      </c>
      <c r="H59" t="s">
        <v>4727</v>
      </c>
      <c r="I59" s="8">
        <v>87</v>
      </c>
    </row>
    <row r="60" spans="1:9" x14ac:dyDescent="0.2">
      <c r="A60">
        <v>72566971</v>
      </c>
      <c r="B60" t="s">
        <v>3037</v>
      </c>
      <c r="C60" t="s">
        <v>626</v>
      </c>
      <c r="D60" t="s">
        <v>3391</v>
      </c>
      <c r="E60" t="s">
        <v>3863</v>
      </c>
      <c r="F60" s="15">
        <v>45757</v>
      </c>
      <c r="G60" s="15">
        <v>45951</v>
      </c>
      <c r="H60" t="s">
        <v>4727</v>
      </c>
      <c r="I60" s="8">
        <v>87</v>
      </c>
    </row>
    <row r="61" spans="1:9" x14ac:dyDescent="0.2">
      <c r="A61">
        <v>62817635</v>
      </c>
      <c r="B61" t="s">
        <v>189</v>
      </c>
      <c r="C61" t="s">
        <v>626</v>
      </c>
      <c r="D61" t="s">
        <v>627</v>
      </c>
      <c r="E61" t="s">
        <v>3866</v>
      </c>
      <c r="F61" s="15">
        <v>45873</v>
      </c>
      <c r="G61" s="15">
        <v>45951</v>
      </c>
      <c r="H61" t="s">
        <v>4727</v>
      </c>
      <c r="I61" s="8">
        <v>91.5</v>
      </c>
    </row>
    <row r="62" spans="1:9" x14ac:dyDescent="0.2">
      <c r="A62">
        <v>71102334</v>
      </c>
      <c r="B62" t="s">
        <v>3037</v>
      </c>
      <c r="C62" t="s">
        <v>3038</v>
      </c>
      <c r="D62" t="s">
        <v>3199</v>
      </c>
      <c r="E62" t="s">
        <v>4132</v>
      </c>
      <c r="F62" s="15">
        <v>44805</v>
      </c>
      <c r="G62" s="15">
        <v>46006</v>
      </c>
      <c r="H62" t="s">
        <v>4727</v>
      </c>
      <c r="I62" s="8">
        <v>13.5</v>
      </c>
    </row>
    <row r="63" spans="1:9" x14ac:dyDescent="0.2">
      <c r="A63">
        <v>71835514</v>
      </c>
      <c r="B63" t="s">
        <v>3037</v>
      </c>
      <c r="C63" t="s">
        <v>16</v>
      </c>
      <c r="D63" t="s">
        <v>3163</v>
      </c>
      <c r="E63" t="s">
        <v>3866</v>
      </c>
      <c r="F63" s="15">
        <v>44627</v>
      </c>
      <c r="G63" s="15">
        <v>46003</v>
      </c>
      <c r="H63" t="s">
        <v>4727</v>
      </c>
      <c r="I63" s="8">
        <v>96.5</v>
      </c>
    </row>
    <row r="64" spans="1:9" x14ac:dyDescent="0.2">
      <c r="A64">
        <v>76299473</v>
      </c>
      <c r="B64" t="s">
        <v>3037</v>
      </c>
      <c r="C64" t="s">
        <v>16</v>
      </c>
      <c r="D64" t="s">
        <v>3335</v>
      </c>
      <c r="E64" t="s">
        <v>3866</v>
      </c>
      <c r="F64" s="15">
        <v>45587</v>
      </c>
      <c r="G64" s="15">
        <v>46003</v>
      </c>
      <c r="H64" t="s">
        <v>4727</v>
      </c>
      <c r="I64" s="8">
        <v>91.5</v>
      </c>
    </row>
    <row r="65" spans="1:9" x14ac:dyDescent="0.2">
      <c r="A65">
        <v>61245443</v>
      </c>
      <c r="B65" t="s">
        <v>3037</v>
      </c>
      <c r="C65" t="s">
        <v>16</v>
      </c>
      <c r="D65" t="s">
        <v>4604</v>
      </c>
      <c r="E65" t="s">
        <v>3866</v>
      </c>
      <c r="F65" s="15">
        <v>45971</v>
      </c>
      <c r="G65" s="15">
        <v>46003</v>
      </c>
      <c r="H65" t="s">
        <v>4727</v>
      </c>
      <c r="I65" s="8">
        <v>91.5</v>
      </c>
    </row>
    <row r="66" spans="1:9" x14ac:dyDescent="0.2">
      <c r="A66">
        <v>61297592</v>
      </c>
      <c r="B66" t="s">
        <v>3037</v>
      </c>
      <c r="C66" t="s">
        <v>16</v>
      </c>
      <c r="D66" t="s">
        <v>4363</v>
      </c>
      <c r="E66" t="s">
        <v>127</v>
      </c>
      <c r="F66" s="15">
        <v>45950</v>
      </c>
      <c r="G66" s="15">
        <v>46003</v>
      </c>
      <c r="H66" t="s">
        <v>4727</v>
      </c>
      <c r="I66" s="8">
        <v>54.5</v>
      </c>
    </row>
    <row r="67" spans="1:9" x14ac:dyDescent="0.2">
      <c r="A67">
        <v>76773665</v>
      </c>
      <c r="B67" t="s">
        <v>189</v>
      </c>
      <c r="C67" t="s">
        <v>195</v>
      </c>
      <c r="D67" t="s">
        <v>472</v>
      </c>
      <c r="E67" t="s">
        <v>3863</v>
      </c>
      <c r="F67" s="15">
        <v>45516</v>
      </c>
      <c r="G67" s="15">
        <v>46010</v>
      </c>
      <c r="H67" t="s">
        <v>4727</v>
      </c>
      <c r="I67" s="8">
        <v>87</v>
      </c>
    </row>
    <row r="68" spans="1:9" x14ac:dyDescent="0.2">
      <c r="A68">
        <v>46831171</v>
      </c>
      <c r="B68" t="s">
        <v>2078</v>
      </c>
      <c r="C68" t="s">
        <v>2079</v>
      </c>
      <c r="D68" t="s">
        <v>2536</v>
      </c>
      <c r="E68" t="s">
        <v>3863</v>
      </c>
      <c r="F68" s="15">
        <v>45474</v>
      </c>
      <c r="G68" s="15">
        <v>46010</v>
      </c>
      <c r="H68" t="s">
        <v>4727</v>
      </c>
      <c r="I68" s="8">
        <v>87</v>
      </c>
    </row>
    <row r="69" spans="1:9" x14ac:dyDescent="0.2">
      <c r="F69" s="15"/>
      <c r="G69" s="15"/>
    </row>
    <row r="70" spans="1:9" x14ac:dyDescent="0.2">
      <c r="F70" s="15"/>
      <c r="G70" s="15"/>
    </row>
    <row r="71" spans="1:9" x14ac:dyDescent="0.2">
      <c r="F71" s="15"/>
      <c r="G71" s="15"/>
    </row>
    <row r="72" spans="1:9" x14ac:dyDescent="0.2">
      <c r="F72" s="15"/>
      <c r="G72" s="15"/>
    </row>
    <row r="73" spans="1:9" x14ac:dyDescent="0.2">
      <c r="F73" s="15"/>
      <c r="G73" s="15"/>
    </row>
    <row r="74" spans="1:9" x14ac:dyDescent="0.2">
      <c r="F74" s="15"/>
      <c r="G74" s="15"/>
    </row>
    <row r="75" spans="1:9" x14ac:dyDescent="0.2">
      <c r="F75" s="15"/>
      <c r="G75" s="15"/>
    </row>
    <row r="76" spans="1:9" x14ac:dyDescent="0.2">
      <c r="F76" s="15"/>
      <c r="G76" s="15"/>
    </row>
    <row r="77" spans="1:9" x14ac:dyDescent="0.2">
      <c r="F77" s="15"/>
      <c r="G77" s="15"/>
    </row>
    <row r="78" spans="1:9" x14ac:dyDescent="0.2">
      <c r="F78" s="15"/>
      <c r="G78" s="15"/>
    </row>
    <row r="79" spans="1:9" x14ac:dyDescent="0.2">
      <c r="F79" s="15"/>
      <c r="G79" s="15"/>
    </row>
    <row r="80" spans="1:9" x14ac:dyDescent="0.2">
      <c r="F80" s="15"/>
      <c r="G80" s="15"/>
    </row>
    <row r="81" spans="6:7" x14ac:dyDescent="0.2">
      <c r="F81" s="15"/>
      <c r="G81" s="15"/>
    </row>
    <row r="82" spans="6:7" x14ac:dyDescent="0.2">
      <c r="F82" s="15"/>
      <c r="G82" s="15"/>
    </row>
    <row r="83" spans="6:7" x14ac:dyDescent="0.2">
      <c r="F83" s="15"/>
      <c r="G83" s="15"/>
    </row>
    <row r="84" spans="6:7" x14ac:dyDescent="0.2">
      <c r="F84" s="15"/>
      <c r="G84" s="15"/>
    </row>
    <row r="85" spans="6:7" x14ac:dyDescent="0.2">
      <c r="F85" s="15"/>
      <c r="G85" s="15"/>
    </row>
    <row r="86" spans="6:7" x14ac:dyDescent="0.2">
      <c r="F86" s="15"/>
      <c r="G86" s="15"/>
    </row>
    <row r="87" spans="6:7" x14ac:dyDescent="0.2">
      <c r="F87" s="15"/>
      <c r="G87" s="15"/>
    </row>
    <row r="88" spans="6:7" x14ac:dyDescent="0.2">
      <c r="F88" s="15"/>
      <c r="G88" s="15"/>
    </row>
    <row r="89" spans="6:7" x14ac:dyDescent="0.2">
      <c r="F89" s="15"/>
      <c r="G89" s="15"/>
    </row>
    <row r="90" spans="6:7" x14ac:dyDescent="0.2">
      <c r="F90" s="15"/>
      <c r="G90" s="15"/>
    </row>
    <row r="91" spans="6:7" x14ac:dyDescent="0.2">
      <c r="F91" s="15"/>
      <c r="G91" s="15"/>
    </row>
    <row r="92" spans="6:7" x14ac:dyDescent="0.2">
      <c r="F92" s="15"/>
      <c r="G92" s="15"/>
    </row>
    <row r="93" spans="6:7" x14ac:dyDescent="0.2">
      <c r="F93" s="15"/>
      <c r="G93" s="15"/>
    </row>
    <row r="94" spans="6:7" x14ac:dyDescent="0.2">
      <c r="F94" s="15"/>
      <c r="G94" s="15"/>
    </row>
    <row r="95" spans="6:7" x14ac:dyDescent="0.2">
      <c r="F95" s="15"/>
      <c r="G95" s="15"/>
    </row>
    <row r="96" spans="6:7" x14ac:dyDescent="0.2">
      <c r="F96" s="15"/>
      <c r="G96" s="15"/>
    </row>
    <row r="97" spans="6:7" x14ac:dyDescent="0.2">
      <c r="F97" s="15"/>
      <c r="G97" s="15"/>
    </row>
    <row r="98" spans="6:7" x14ac:dyDescent="0.2">
      <c r="F98" s="15"/>
      <c r="G98" s="15"/>
    </row>
    <row r="99" spans="6:7" x14ac:dyDescent="0.2">
      <c r="F99" s="15"/>
      <c r="G99" s="15"/>
    </row>
    <row r="100" spans="6:7" x14ac:dyDescent="0.2">
      <c r="F100" s="15"/>
      <c r="G100" s="15"/>
    </row>
    <row r="101" spans="6:7" x14ac:dyDescent="0.2">
      <c r="F101" s="15"/>
      <c r="G101" s="15"/>
    </row>
    <row r="102" spans="6:7" x14ac:dyDescent="0.2">
      <c r="F102" s="15"/>
      <c r="G102" s="15"/>
    </row>
    <row r="103" spans="6:7" x14ac:dyDescent="0.2">
      <c r="F103" s="15"/>
      <c r="G103" s="15"/>
    </row>
    <row r="104" spans="6:7" x14ac:dyDescent="0.2">
      <c r="F104" s="15"/>
      <c r="G104" s="15"/>
    </row>
    <row r="105" spans="6:7" x14ac:dyDescent="0.2">
      <c r="F105" s="15"/>
      <c r="G105" s="15"/>
    </row>
    <row r="106" spans="6:7" x14ac:dyDescent="0.2">
      <c r="F106" s="15"/>
      <c r="G106" s="15"/>
    </row>
    <row r="107" spans="6:7" x14ac:dyDescent="0.2">
      <c r="F107" s="15"/>
      <c r="G107" s="15"/>
    </row>
    <row r="108" spans="6:7" x14ac:dyDescent="0.2">
      <c r="F108" s="15"/>
      <c r="G108" s="15"/>
    </row>
    <row r="109" spans="6:7" x14ac:dyDescent="0.2">
      <c r="F109" s="15"/>
      <c r="G109" s="15"/>
    </row>
    <row r="110" spans="6:7" x14ac:dyDescent="0.2">
      <c r="F110" s="15"/>
      <c r="G110" s="15"/>
    </row>
    <row r="111" spans="6:7" x14ac:dyDescent="0.2">
      <c r="F111" s="15"/>
      <c r="G111" s="15"/>
    </row>
    <row r="112" spans="6:7" x14ac:dyDescent="0.2">
      <c r="F112" s="15"/>
      <c r="G112" s="15"/>
    </row>
    <row r="113" spans="6:7" x14ac:dyDescent="0.2">
      <c r="F113" s="15"/>
      <c r="G113" s="15"/>
    </row>
    <row r="114" spans="6:7" x14ac:dyDescent="0.2">
      <c r="F114" s="15"/>
      <c r="G114" s="15"/>
    </row>
    <row r="115" spans="6:7" x14ac:dyDescent="0.2">
      <c r="F115" s="15"/>
      <c r="G115" s="15"/>
    </row>
    <row r="116" spans="6:7" x14ac:dyDescent="0.2">
      <c r="F116" s="15"/>
      <c r="G116" s="15"/>
    </row>
    <row r="117" spans="6:7" x14ac:dyDescent="0.2">
      <c r="F117" s="15"/>
      <c r="G117" s="15"/>
    </row>
    <row r="118" spans="6:7" x14ac:dyDescent="0.2">
      <c r="F118" s="15"/>
      <c r="G118" s="15"/>
    </row>
    <row r="119" spans="6:7" x14ac:dyDescent="0.2">
      <c r="F119" s="15"/>
      <c r="G119" s="15"/>
    </row>
    <row r="120" spans="6:7" x14ac:dyDescent="0.2">
      <c r="F120" s="15"/>
      <c r="G120" s="15"/>
    </row>
    <row r="121" spans="6:7" x14ac:dyDescent="0.2">
      <c r="F121" s="15"/>
      <c r="G121" s="15"/>
    </row>
    <row r="122" spans="6:7" x14ac:dyDescent="0.2">
      <c r="F122" s="15"/>
      <c r="G122" s="15"/>
    </row>
    <row r="123" spans="6:7" x14ac:dyDescent="0.2">
      <c r="F123" s="15"/>
      <c r="G123" s="15"/>
    </row>
    <row r="124" spans="6:7" x14ac:dyDescent="0.2">
      <c r="F124" s="15"/>
      <c r="G124" s="15"/>
    </row>
    <row r="125" spans="6:7" x14ac:dyDescent="0.2">
      <c r="F125" s="15"/>
      <c r="G125" s="15"/>
    </row>
    <row r="126" spans="6:7" x14ac:dyDescent="0.2">
      <c r="F126" s="15"/>
      <c r="G126" s="15"/>
    </row>
    <row r="127" spans="6:7" x14ac:dyDescent="0.2">
      <c r="F127" s="15"/>
      <c r="G127" s="15"/>
    </row>
    <row r="128" spans="6:7" x14ac:dyDescent="0.2">
      <c r="F128" s="15"/>
      <c r="G128" s="15"/>
    </row>
    <row r="129" spans="6:7" x14ac:dyDescent="0.2">
      <c r="F129" s="15"/>
      <c r="G129" s="15"/>
    </row>
    <row r="130" spans="6:7" x14ac:dyDescent="0.2">
      <c r="F130" s="15"/>
      <c r="G130" s="15"/>
    </row>
    <row r="131" spans="6:7" x14ac:dyDescent="0.2">
      <c r="F131" s="15"/>
      <c r="G131" s="15"/>
    </row>
    <row r="132" spans="6:7" x14ac:dyDescent="0.2">
      <c r="F132" s="15"/>
      <c r="G132" s="15"/>
    </row>
    <row r="133" spans="6:7" x14ac:dyDescent="0.2">
      <c r="F133" s="15"/>
      <c r="G133" s="15"/>
    </row>
    <row r="134" spans="6:7" x14ac:dyDescent="0.2">
      <c r="F134" s="15"/>
      <c r="G134" s="15"/>
    </row>
    <row r="135" spans="6:7" x14ac:dyDescent="0.2">
      <c r="F135" s="15"/>
      <c r="G135" s="15"/>
    </row>
    <row r="136" spans="6:7" x14ac:dyDescent="0.2">
      <c r="F136" s="15"/>
      <c r="G136" s="15"/>
    </row>
    <row r="137" spans="6:7" x14ac:dyDescent="0.2">
      <c r="F137" s="15"/>
      <c r="G137" s="15"/>
    </row>
    <row r="138" spans="6:7" x14ac:dyDescent="0.2">
      <c r="F138" s="15"/>
      <c r="G138" s="15"/>
    </row>
    <row r="139" spans="6:7" x14ac:dyDescent="0.2">
      <c r="F139" s="15"/>
      <c r="G139" s="15"/>
    </row>
    <row r="140" spans="6:7" x14ac:dyDescent="0.2">
      <c r="F140" s="15"/>
      <c r="G140" s="15"/>
    </row>
    <row r="141" spans="6:7" x14ac:dyDescent="0.2">
      <c r="F141" s="15"/>
      <c r="G141" s="15"/>
    </row>
    <row r="142" spans="6:7" x14ac:dyDescent="0.2">
      <c r="F142" s="15"/>
      <c r="G142" s="15"/>
    </row>
    <row r="143" spans="6:7" x14ac:dyDescent="0.2">
      <c r="F143" s="15"/>
      <c r="G143" s="15"/>
    </row>
    <row r="144" spans="6:7" x14ac:dyDescent="0.2">
      <c r="F144" s="15"/>
      <c r="G144" s="15"/>
    </row>
    <row r="145" spans="6:7" x14ac:dyDescent="0.2">
      <c r="F145" s="15"/>
      <c r="G145" s="15"/>
    </row>
    <row r="146" spans="6:7" x14ac:dyDescent="0.2">
      <c r="F146" s="15"/>
      <c r="G146" s="15"/>
    </row>
    <row r="147" spans="6:7" x14ac:dyDescent="0.2">
      <c r="F147" s="15"/>
      <c r="G147" s="15"/>
    </row>
    <row r="148" spans="6:7" x14ac:dyDescent="0.2">
      <c r="F148" s="15"/>
      <c r="G148" s="15"/>
    </row>
    <row r="149" spans="6:7" x14ac:dyDescent="0.2">
      <c r="F149" s="15"/>
      <c r="G149" s="15"/>
    </row>
    <row r="150" spans="6:7" x14ac:dyDescent="0.2">
      <c r="F150" s="15"/>
      <c r="G150" s="15"/>
    </row>
    <row r="151" spans="6:7" x14ac:dyDescent="0.2">
      <c r="F151" s="15"/>
      <c r="G151" s="15"/>
    </row>
    <row r="152" spans="6:7" x14ac:dyDescent="0.2">
      <c r="F152" s="15"/>
      <c r="G152" s="15"/>
    </row>
    <row r="153" spans="6:7" x14ac:dyDescent="0.2">
      <c r="F153" s="15"/>
      <c r="G153" s="15"/>
    </row>
    <row r="154" spans="6:7" x14ac:dyDescent="0.2">
      <c r="F154" s="15"/>
      <c r="G154" s="15"/>
    </row>
    <row r="155" spans="6:7" x14ac:dyDescent="0.2">
      <c r="F155" s="15"/>
      <c r="G155" s="15"/>
    </row>
    <row r="156" spans="6:7" x14ac:dyDescent="0.2">
      <c r="F156" s="15"/>
      <c r="G156" s="15"/>
    </row>
    <row r="157" spans="6:7" x14ac:dyDescent="0.2">
      <c r="F157" s="15"/>
      <c r="G157" s="15"/>
    </row>
    <row r="158" spans="6:7" x14ac:dyDescent="0.2">
      <c r="F158" s="15"/>
      <c r="G158" s="15"/>
    </row>
    <row r="159" spans="6:7" x14ac:dyDescent="0.2">
      <c r="F159" s="15"/>
      <c r="G159" s="15"/>
    </row>
    <row r="160" spans="6:7" x14ac:dyDescent="0.2">
      <c r="F160" s="15"/>
      <c r="G160" s="15"/>
    </row>
    <row r="161" spans="6:7" x14ac:dyDescent="0.2">
      <c r="F161" s="15"/>
      <c r="G161" s="15"/>
    </row>
    <row r="162" spans="6:7" x14ac:dyDescent="0.2">
      <c r="F162" s="15"/>
      <c r="G162" s="15"/>
    </row>
    <row r="163" spans="6:7" x14ac:dyDescent="0.2">
      <c r="F163" s="15"/>
      <c r="G163" s="15"/>
    </row>
    <row r="164" spans="6:7" x14ac:dyDescent="0.2">
      <c r="F164" s="15"/>
      <c r="G164" s="15"/>
    </row>
    <row r="165" spans="6:7" x14ac:dyDescent="0.2">
      <c r="F165" s="15"/>
      <c r="G165" s="15"/>
    </row>
    <row r="166" spans="6:7" x14ac:dyDescent="0.2">
      <c r="F166" s="15"/>
      <c r="G166" s="15"/>
    </row>
    <row r="167" spans="6:7" x14ac:dyDescent="0.2">
      <c r="F167" s="15"/>
      <c r="G167" s="15"/>
    </row>
    <row r="168" spans="6:7" x14ac:dyDescent="0.2">
      <c r="F168" s="15"/>
      <c r="G168" s="15"/>
    </row>
    <row r="169" spans="6:7" x14ac:dyDescent="0.2">
      <c r="F169" s="15"/>
      <c r="G169" s="15"/>
    </row>
    <row r="170" spans="6:7" x14ac:dyDescent="0.2">
      <c r="F170" s="15"/>
      <c r="G170" s="15"/>
    </row>
    <row r="171" spans="6:7" x14ac:dyDescent="0.2">
      <c r="F171" s="15"/>
      <c r="G171" s="15"/>
    </row>
    <row r="172" spans="6:7" x14ac:dyDescent="0.2">
      <c r="F172" s="15"/>
      <c r="G172" s="15"/>
    </row>
    <row r="173" spans="6:7" x14ac:dyDescent="0.2">
      <c r="F173" s="15"/>
      <c r="G173" s="15"/>
    </row>
    <row r="174" spans="6:7" x14ac:dyDescent="0.2">
      <c r="F174" s="15"/>
      <c r="G174" s="15"/>
    </row>
    <row r="175" spans="6:7" x14ac:dyDescent="0.2">
      <c r="F175" s="15"/>
      <c r="G175" s="15"/>
    </row>
    <row r="176" spans="6:7" x14ac:dyDescent="0.2">
      <c r="F176" s="15"/>
      <c r="G176" s="15"/>
    </row>
    <row r="177" spans="6:7" x14ac:dyDescent="0.2">
      <c r="F177" s="15"/>
      <c r="G177" s="15"/>
    </row>
    <row r="178" spans="6:7" x14ac:dyDescent="0.2">
      <c r="F178" s="15"/>
      <c r="G178" s="15"/>
    </row>
    <row r="179" spans="6:7" x14ac:dyDescent="0.2">
      <c r="F179" s="15"/>
      <c r="G179" s="15"/>
    </row>
    <row r="180" spans="6:7" x14ac:dyDescent="0.2">
      <c r="F180" s="15"/>
      <c r="G180" s="15"/>
    </row>
    <row r="181" spans="6:7" x14ac:dyDescent="0.2">
      <c r="F181" s="15"/>
      <c r="G181" s="15"/>
    </row>
    <row r="182" spans="6:7" x14ac:dyDescent="0.2">
      <c r="F182" s="15"/>
      <c r="G182" s="15"/>
    </row>
    <row r="183" spans="6:7" x14ac:dyDescent="0.2">
      <c r="F183" s="15"/>
      <c r="G183" s="15"/>
    </row>
    <row r="184" spans="6:7" x14ac:dyDescent="0.2">
      <c r="F184" s="15"/>
      <c r="G184" s="15"/>
    </row>
    <row r="185" spans="6:7" x14ac:dyDescent="0.2">
      <c r="F185" s="15"/>
      <c r="G185" s="15"/>
    </row>
    <row r="186" spans="6:7" x14ac:dyDescent="0.2">
      <c r="F186" s="15"/>
      <c r="G186" s="15"/>
    </row>
    <row r="187" spans="6:7" x14ac:dyDescent="0.2">
      <c r="F187" s="15"/>
      <c r="G187" s="15"/>
    </row>
    <row r="188" spans="6:7" x14ac:dyDescent="0.2">
      <c r="F188" s="15"/>
      <c r="G188" s="15"/>
    </row>
    <row r="189" spans="6:7" x14ac:dyDescent="0.2">
      <c r="F189" s="15"/>
      <c r="G189" s="15"/>
    </row>
    <row r="190" spans="6:7" x14ac:dyDescent="0.2">
      <c r="F190" s="15"/>
      <c r="G190" s="15"/>
    </row>
    <row r="191" spans="6:7" x14ac:dyDescent="0.2">
      <c r="F191" s="15"/>
      <c r="G191" s="15"/>
    </row>
    <row r="192" spans="6:7" x14ac:dyDescent="0.2">
      <c r="F192" s="15"/>
      <c r="G192" s="15"/>
    </row>
    <row r="193" spans="6:7" x14ac:dyDescent="0.2">
      <c r="F193" s="15"/>
      <c r="G193" s="15"/>
    </row>
    <row r="194" spans="6:7" x14ac:dyDescent="0.2">
      <c r="F194" s="15"/>
      <c r="G194" s="15"/>
    </row>
    <row r="195" spans="6:7" x14ac:dyDescent="0.2">
      <c r="F195" s="15"/>
      <c r="G195" s="15"/>
    </row>
    <row r="196" spans="6:7" x14ac:dyDescent="0.2">
      <c r="F196" s="15"/>
      <c r="G196" s="15"/>
    </row>
    <row r="197" spans="6:7" x14ac:dyDescent="0.2">
      <c r="F197" s="15"/>
      <c r="G197" s="15"/>
    </row>
    <row r="198" spans="6:7" x14ac:dyDescent="0.2">
      <c r="F198" s="15"/>
      <c r="G198" s="15"/>
    </row>
    <row r="199" spans="6:7" x14ac:dyDescent="0.2">
      <c r="F199" s="15"/>
      <c r="G199" s="15"/>
    </row>
    <row r="200" spans="6:7" x14ac:dyDescent="0.2">
      <c r="F200" s="15"/>
      <c r="G200" s="15"/>
    </row>
    <row r="201" spans="6:7" x14ac:dyDescent="0.2">
      <c r="F201" s="15"/>
      <c r="G201" s="15"/>
    </row>
    <row r="202" spans="6:7" x14ac:dyDescent="0.2">
      <c r="F202" s="15"/>
      <c r="G202" s="15"/>
    </row>
    <row r="203" spans="6:7" x14ac:dyDescent="0.2">
      <c r="F203" s="15"/>
      <c r="G203" s="15"/>
    </row>
    <row r="204" spans="6:7" x14ac:dyDescent="0.2">
      <c r="F204" s="15"/>
      <c r="G204" s="15"/>
    </row>
    <row r="205" spans="6:7" x14ac:dyDescent="0.2">
      <c r="F205" s="15"/>
      <c r="G205" s="15"/>
    </row>
    <row r="206" spans="6:7" x14ac:dyDescent="0.2">
      <c r="F206" s="15"/>
      <c r="G206" s="15"/>
    </row>
    <row r="207" spans="6:7" x14ac:dyDescent="0.2">
      <c r="F207" s="15"/>
      <c r="G207" s="15"/>
    </row>
    <row r="208" spans="6:7" x14ac:dyDescent="0.2">
      <c r="F208" s="15"/>
      <c r="G208" s="15"/>
    </row>
    <row r="209" spans="6:7" x14ac:dyDescent="0.2">
      <c r="F209" s="15"/>
      <c r="G209" s="15"/>
    </row>
    <row r="210" spans="6:7" x14ac:dyDescent="0.2">
      <c r="F210" s="15"/>
      <c r="G210" s="15"/>
    </row>
    <row r="211" spans="6:7" x14ac:dyDescent="0.2">
      <c r="F211" s="15"/>
      <c r="G211" s="15"/>
    </row>
    <row r="212" spans="6:7" x14ac:dyDescent="0.2">
      <c r="F212" s="15"/>
      <c r="G212" s="15"/>
    </row>
    <row r="213" spans="6:7" x14ac:dyDescent="0.2">
      <c r="F213" s="15"/>
      <c r="G213" s="15"/>
    </row>
    <row r="214" spans="6:7" x14ac:dyDescent="0.2">
      <c r="F214" s="15"/>
      <c r="G214" s="15"/>
    </row>
    <row r="215" spans="6:7" x14ac:dyDescent="0.2">
      <c r="F215" s="15"/>
      <c r="G215" s="15"/>
    </row>
    <row r="216" spans="6:7" x14ac:dyDescent="0.2">
      <c r="F216" s="15"/>
      <c r="G216" s="15"/>
    </row>
    <row r="217" spans="6:7" x14ac:dyDescent="0.2">
      <c r="F217" s="15"/>
      <c r="G217" s="15"/>
    </row>
    <row r="218" spans="6:7" x14ac:dyDescent="0.2">
      <c r="F218" s="15"/>
      <c r="G218" s="15"/>
    </row>
    <row r="219" spans="6:7" x14ac:dyDescent="0.2">
      <c r="F219" s="15"/>
      <c r="G219" s="15"/>
    </row>
    <row r="220" spans="6:7" x14ac:dyDescent="0.2">
      <c r="F220" s="15"/>
      <c r="G220" s="15"/>
    </row>
    <row r="221" spans="6:7" x14ac:dyDescent="0.2">
      <c r="F221" s="15"/>
      <c r="G221" s="15"/>
    </row>
    <row r="222" spans="6:7" x14ac:dyDescent="0.2">
      <c r="F222" s="15"/>
      <c r="G222" s="15"/>
    </row>
    <row r="223" spans="6:7" x14ac:dyDescent="0.2">
      <c r="F223" s="15"/>
      <c r="G223" s="15"/>
    </row>
    <row r="224" spans="6:7" x14ac:dyDescent="0.2">
      <c r="F224" s="15"/>
      <c r="G224" s="15"/>
    </row>
    <row r="225" spans="6:7" x14ac:dyDescent="0.2">
      <c r="F225" s="15"/>
      <c r="G225" s="15"/>
    </row>
    <row r="226" spans="6:7" x14ac:dyDescent="0.2">
      <c r="F226" s="15"/>
      <c r="G226" s="15"/>
    </row>
    <row r="227" spans="6:7" x14ac:dyDescent="0.2">
      <c r="F227" s="15"/>
      <c r="G227" s="15"/>
    </row>
    <row r="228" spans="6:7" x14ac:dyDescent="0.2">
      <c r="F228" s="15"/>
      <c r="G228" s="15"/>
    </row>
    <row r="229" spans="6:7" x14ac:dyDescent="0.2">
      <c r="F229" s="15"/>
      <c r="G229" s="15"/>
    </row>
    <row r="230" spans="6:7" x14ac:dyDescent="0.2">
      <c r="F230" s="15"/>
      <c r="G230" s="15"/>
    </row>
    <row r="231" spans="6:7" x14ac:dyDescent="0.2">
      <c r="F231" s="15"/>
    </row>
    <row r="232" spans="6:7" x14ac:dyDescent="0.2">
      <c r="F232" s="15"/>
    </row>
    <row r="233" spans="6:7" x14ac:dyDescent="0.2">
      <c r="F233" s="15"/>
    </row>
    <row r="234" spans="6:7" x14ac:dyDescent="0.2">
      <c r="F234" s="15"/>
    </row>
    <row r="235" spans="6:7" x14ac:dyDescent="0.2">
      <c r="F235" s="15"/>
    </row>
    <row r="236" spans="6:7" x14ac:dyDescent="0.2">
      <c r="F236" s="15"/>
    </row>
    <row r="237" spans="6:7" x14ac:dyDescent="0.2">
      <c r="F237" s="15"/>
    </row>
    <row r="238" spans="6:7" x14ac:dyDescent="0.2">
      <c r="F238" s="15"/>
    </row>
    <row r="239" spans="6:7" x14ac:dyDescent="0.2">
      <c r="F239" s="15"/>
    </row>
    <row r="240" spans="6:7" x14ac:dyDescent="0.2">
      <c r="F240" s="15"/>
    </row>
    <row r="241" spans="6:6" x14ac:dyDescent="0.2">
      <c r="F241" s="15"/>
    </row>
    <row r="242" spans="6:6" x14ac:dyDescent="0.2">
      <c r="F242" s="15"/>
    </row>
    <row r="243" spans="6:6" x14ac:dyDescent="0.2">
      <c r="F243" s="15"/>
    </row>
    <row r="244" spans="6:6" x14ac:dyDescent="0.2">
      <c r="F244" s="15"/>
    </row>
    <row r="245" spans="6:6" x14ac:dyDescent="0.2">
      <c r="F245" s="15"/>
    </row>
    <row r="246" spans="6:6" x14ac:dyDescent="0.2">
      <c r="F246" s="15"/>
    </row>
    <row r="247" spans="6:6" x14ac:dyDescent="0.2">
      <c r="F247" s="15"/>
    </row>
    <row r="248" spans="6:6" x14ac:dyDescent="0.2">
      <c r="F248" s="15"/>
    </row>
    <row r="249" spans="6:6" x14ac:dyDescent="0.2">
      <c r="F249" s="15"/>
    </row>
    <row r="250" spans="6:6" x14ac:dyDescent="0.2">
      <c r="F250" s="15"/>
    </row>
    <row r="251" spans="6:6" x14ac:dyDescent="0.2">
      <c r="F251" s="15"/>
    </row>
    <row r="252" spans="6:6" x14ac:dyDescent="0.2">
      <c r="F252" s="15"/>
    </row>
    <row r="253" spans="6:6" x14ac:dyDescent="0.2">
      <c r="F253" s="15"/>
    </row>
    <row r="254" spans="6:6" x14ac:dyDescent="0.2">
      <c r="F254" s="15"/>
    </row>
    <row r="255" spans="6:6" x14ac:dyDescent="0.2">
      <c r="F255" s="15"/>
    </row>
    <row r="256" spans="6:6" x14ac:dyDescent="0.2">
      <c r="F256" s="15"/>
    </row>
    <row r="257" spans="6:6" x14ac:dyDescent="0.2">
      <c r="F257" s="15"/>
    </row>
    <row r="258" spans="6:6" x14ac:dyDescent="0.2">
      <c r="F258" s="15"/>
    </row>
    <row r="259" spans="6:6" x14ac:dyDescent="0.2">
      <c r="F259" s="15"/>
    </row>
    <row r="260" spans="6:6" x14ac:dyDescent="0.2">
      <c r="F260" s="15"/>
    </row>
    <row r="261" spans="6:6" x14ac:dyDescent="0.2">
      <c r="F261" s="15"/>
    </row>
    <row r="262" spans="6:6" x14ac:dyDescent="0.2">
      <c r="F262" s="15"/>
    </row>
    <row r="263" spans="6:6" x14ac:dyDescent="0.2">
      <c r="F263" s="15"/>
    </row>
    <row r="264" spans="6:6" x14ac:dyDescent="0.2">
      <c r="F264" s="15"/>
    </row>
    <row r="265" spans="6:6" x14ac:dyDescent="0.2">
      <c r="F265" s="15"/>
    </row>
    <row r="266" spans="6:6" x14ac:dyDescent="0.2">
      <c r="F266" s="15"/>
    </row>
    <row r="267" spans="6:6" x14ac:dyDescent="0.2">
      <c r="F267" s="15"/>
    </row>
    <row r="268" spans="6:6" x14ac:dyDescent="0.2">
      <c r="F268" s="15"/>
    </row>
    <row r="269" spans="6:6" x14ac:dyDescent="0.2">
      <c r="F269" s="15"/>
    </row>
    <row r="270" spans="6:6" x14ac:dyDescent="0.2">
      <c r="F270" s="15"/>
    </row>
    <row r="271" spans="6:6" x14ac:dyDescent="0.2">
      <c r="F271" s="15"/>
    </row>
    <row r="272" spans="6:6" x14ac:dyDescent="0.2">
      <c r="F272" s="15"/>
    </row>
    <row r="273" spans="6:6" x14ac:dyDescent="0.2">
      <c r="F273" s="15"/>
    </row>
    <row r="274" spans="6:6" x14ac:dyDescent="0.2">
      <c r="F274" s="15"/>
    </row>
    <row r="275" spans="6:6" x14ac:dyDescent="0.2">
      <c r="F275" s="15"/>
    </row>
    <row r="276" spans="6:6" x14ac:dyDescent="0.2">
      <c r="F276" s="15"/>
    </row>
    <row r="277" spans="6:6" x14ac:dyDescent="0.2">
      <c r="F277" s="15"/>
    </row>
    <row r="278" spans="6:6" x14ac:dyDescent="0.2">
      <c r="F278" s="15"/>
    </row>
    <row r="279" spans="6:6" x14ac:dyDescent="0.2">
      <c r="F279" s="15"/>
    </row>
    <row r="280" spans="6:6" x14ac:dyDescent="0.2">
      <c r="F280" s="15"/>
    </row>
    <row r="281" spans="6:6" x14ac:dyDescent="0.2">
      <c r="F281" s="15"/>
    </row>
    <row r="282" spans="6:6" x14ac:dyDescent="0.2">
      <c r="F282" s="15"/>
    </row>
    <row r="283" spans="6:6" x14ac:dyDescent="0.2">
      <c r="F283" s="15"/>
    </row>
    <row r="284" spans="6:6" x14ac:dyDescent="0.2">
      <c r="F284" s="15"/>
    </row>
    <row r="285" spans="6:6" x14ac:dyDescent="0.2">
      <c r="F285" s="15"/>
    </row>
    <row r="286" spans="6:6" x14ac:dyDescent="0.2">
      <c r="F286" s="15"/>
    </row>
    <row r="287" spans="6:6" x14ac:dyDescent="0.2">
      <c r="F287" s="15"/>
    </row>
    <row r="288" spans="6:6" x14ac:dyDescent="0.2">
      <c r="F288" s="15"/>
    </row>
    <row r="289" spans="6:6" x14ac:dyDescent="0.2">
      <c r="F289" s="15"/>
    </row>
    <row r="290" spans="6:6" x14ac:dyDescent="0.2">
      <c r="F290" s="15"/>
    </row>
    <row r="291" spans="6:6" x14ac:dyDescent="0.2">
      <c r="F291" s="15"/>
    </row>
    <row r="292" spans="6:6" x14ac:dyDescent="0.2">
      <c r="F292" s="15"/>
    </row>
    <row r="293" spans="6:6" x14ac:dyDescent="0.2">
      <c r="F293" s="15"/>
    </row>
    <row r="294" spans="6:6" x14ac:dyDescent="0.2">
      <c r="F294" s="15"/>
    </row>
    <row r="295" spans="6:6" x14ac:dyDescent="0.2">
      <c r="F295" s="15"/>
    </row>
    <row r="296" spans="6:6" x14ac:dyDescent="0.2">
      <c r="F296" s="15"/>
    </row>
    <row r="297" spans="6:6" x14ac:dyDescent="0.2">
      <c r="F297" s="15"/>
    </row>
    <row r="298" spans="6:6" x14ac:dyDescent="0.2">
      <c r="F298" s="15"/>
    </row>
    <row r="299" spans="6:6" x14ac:dyDescent="0.2">
      <c r="F299" s="15"/>
    </row>
    <row r="300" spans="6:6" x14ac:dyDescent="0.2">
      <c r="F300" s="15"/>
    </row>
    <row r="301" spans="6:6" x14ac:dyDescent="0.2">
      <c r="F301" s="15"/>
    </row>
    <row r="302" spans="6:6" x14ac:dyDescent="0.2">
      <c r="F302" s="15"/>
    </row>
    <row r="303" spans="6:6" x14ac:dyDescent="0.2">
      <c r="F303" s="15"/>
    </row>
    <row r="304" spans="6:6" x14ac:dyDescent="0.2">
      <c r="F304" s="15"/>
    </row>
    <row r="305" spans="6:6" x14ac:dyDescent="0.2">
      <c r="F305" s="15"/>
    </row>
    <row r="306" spans="6:6" x14ac:dyDescent="0.2">
      <c r="F306" s="15"/>
    </row>
    <row r="307" spans="6:6" x14ac:dyDescent="0.2">
      <c r="F307" s="15"/>
    </row>
    <row r="308" spans="6:6" x14ac:dyDescent="0.2">
      <c r="F308" s="15"/>
    </row>
    <row r="309" spans="6:6" x14ac:dyDescent="0.2">
      <c r="F309" s="15"/>
    </row>
    <row r="310" spans="6:6" x14ac:dyDescent="0.2">
      <c r="F310" s="15"/>
    </row>
    <row r="311" spans="6:6" x14ac:dyDescent="0.2">
      <c r="F311" s="15"/>
    </row>
    <row r="312" spans="6:6" x14ac:dyDescent="0.2">
      <c r="F312" s="15"/>
    </row>
    <row r="313" spans="6:6" x14ac:dyDescent="0.2">
      <c r="F313" s="15"/>
    </row>
    <row r="314" spans="6:6" x14ac:dyDescent="0.2">
      <c r="F314" s="15"/>
    </row>
    <row r="315" spans="6:6" x14ac:dyDescent="0.2">
      <c r="F315" s="15"/>
    </row>
    <row r="316" spans="6:6" x14ac:dyDescent="0.2">
      <c r="F316" s="15"/>
    </row>
    <row r="317" spans="6:6" x14ac:dyDescent="0.2">
      <c r="F317" s="15"/>
    </row>
    <row r="318" spans="6:6" x14ac:dyDescent="0.2">
      <c r="F318" s="15"/>
    </row>
    <row r="319" spans="6:6" x14ac:dyDescent="0.2">
      <c r="F319" s="15"/>
    </row>
    <row r="320" spans="6:6" x14ac:dyDescent="0.2">
      <c r="F320" s="15"/>
    </row>
    <row r="321" spans="6:6" x14ac:dyDescent="0.2">
      <c r="F321" s="15"/>
    </row>
    <row r="322" spans="6:6" x14ac:dyDescent="0.2">
      <c r="F322" s="15"/>
    </row>
    <row r="323" spans="6:6" x14ac:dyDescent="0.2">
      <c r="F323" s="15"/>
    </row>
    <row r="324" spans="6:6" x14ac:dyDescent="0.2">
      <c r="F324" s="15"/>
    </row>
    <row r="325" spans="6:6" x14ac:dyDescent="0.2">
      <c r="F325" s="15"/>
    </row>
    <row r="326" spans="6:6" x14ac:dyDescent="0.2">
      <c r="F326" s="15"/>
    </row>
    <row r="327" spans="6:6" x14ac:dyDescent="0.2">
      <c r="F327" s="15"/>
    </row>
    <row r="328" spans="6:6" x14ac:dyDescent="0.2">
      <c r="F328" s="15"/>
    </row>
    <row r="329" spans="6:6" x14ac:dyDescent="0.2">
      <c r="F329" s="15"/>
    </row>
    <row r="330" spans="6:6" x14ac:dyDescent="0.2">
      <c r="F330" s="15"/>
    </row>
    <row r="331" spans="6:6" x14ac:dyDescent="0.2">
      <c r="F331" s="15"/>
    </row>
    <row r="332" spans="6:6" x14ac:dyDescent="0.2">
      <c r="F332" s="15"/>
    </row>
    <row r="333" spans="6:6" x14ac:dyDescent="0.2">
      <c r="F333" s="15"/>
    </row>
    <row r="334" spans="6:6" x14ac:dyDescent="0.2">
      <c r="F334" s="15"/>
    </row>
    <row r="335" spans="6:6" x14ac:dyDescent="0.2">
      <c r="F335" s="15"/>
    </row>
    <row r="336" spans="6:6" x14ac:dyDescent="0.2">
      <c r="F336" s="15"/>
    </row>
    <row r="337" spans="6:6" x14ac:dyDescent="0.2">
      <c r="F337" s="15"/>
    </row>
    <row r="338" spans="6:6" x14ac:dyDescent="0.2">
      <c r="F338" s="15"/>
    </row>
    <row r="339" spans="6:6" x14ac:dyDescent="0.2">
      <c r="F339" s="15"/>
    </row>
    <row r="340" spans="6:6" x14ac:dyDescent="0.2">
      <c r="F340" s="15"/>
    </row>
    <row r="341" spans="6:6" x14ac:dyDescent="0.2">
      <c r="F341" s="15"/>
    </row>
    <row r="342" spans="6:6" x14ac:dyDescent="0.2">
      <c r="F342" s="15"/>
    </row>
    <row r="343" spans="6:6" x14ac:dyDescent="0.2">
      <c r="F343" s="15"/>
    </row>
    <row r="344" spans="6:6" x14ac:dyDescent="0.2">
      <c r="F344" s="15"/>
    </row>
    <row r="345" spans="6:6" x14ac:dyDescent="0.2">
      <c r="F345" s="15"/>
    </row>
    <row r="346" spans="6:6" x14ac:dyDescent="0.2">
      <c r="F346" s="15"/>
    </row>
    <row r="347" spans="6:6" x14ac:dyDescent="0.2">
      <c r="F347" s="15"/>
    </row>
    <row r="348" spans="6:6" x14ac:dyDescent="0.2">
      <c r="F348" s="15"/>
    </row>
    <row r="349" spans="6:6" x14ac:dyDescent="0.2">
      <c r="F349" s="15"/>
    </row>
    <row r="350" spans="6:6" x14ac:dyDescent="0.2">
      <c r="F350" s="15"/>
    </row>
    <row r="351" spans="6:6" x14ac:dyDescent="0.2">
      <c r="F351" s="15"/>
    </row>
    <row r="352" spans="6:6" x14ac:dyDescent="0.2">
      <c r="F352" s="15"/>
    </row>
    <row r="353" spans="6:6" x14ac:dyDescent="0.2">
      <c r="F353" s="15"/>
    </row>
    <row r="354" spans="6:6" x14ac:dyDescent="0.2">
      <c r="F354" s="15"/>
    </row>
    <row r="355" spans="6:6" x14ac:dyDescent="0.2">
      <c r="F355" s="15"/>
    </row>
    <row r="356" spans="6:6" x14ac:dyDescent="0.2">
      <c r="F356" s="15"/>
    </row>
    <row r="357" spans="6:6" x14ac:dyDescent="0.2">
      <c r="F357" s="15"/>
    </row>
    <row r="358" spans="6:6" x14ac:dyDescent="0.2">
      <c r="F358" s="15"/>
    </row>
    <row r="359" spans="6:6" x14ac:dyDescent="0.2">
      <c r="F359" s="15"/>
    </row>
    <row r="360" spans="6:6" x14ac:dyDescent="0.2">
      <c r="F360" s="15"/>
    </row>
    <row r="361" spans="6:6" x14ac:dyDescent="0.2">
      <c r="F361" s="15"/>
    </row>
    <row r="362" spans="6:6" x14ac:dyDescent="0.2">
      <c r="F362" s="15"/>
    </row>
    <row r="363" spans="6:6" x14ac:dyDescent="0.2">
      <c r="F363" s="15"/>
    </row>
    <row r="364" spans="6:6" x14ac:dyDescent="0.2">
      <c r="F364" s="15"/>
    </row>
    <row r="365" spans="6:6" x14ac:dyDescent="0.2">
      <c r="F365" s="15"/>
    </row>
    <row r="366" spans="6:6" x14ac:dyDescent="0.2">
      <c r="F366" s="15"/>
    </row>
    <row r="367" spans="6:6" x14ac:dyDescent="0.2">
      <c r="F367" s="15"/>
    </row>
    <row r="368" spans="6:6" x14ac:dyDescent="0.2">
      <c r="F368" s="15"/>
    </row>
    <row r="369" spans="6:6" x14ac:dyDescent="0.2">
      <c r="F369" s="15"/>
    </row>
    <row r="370" spans="6:6" x14ac:dyDescent="0.2">
      <c r="F370" s="15"/>
    </row>
    <row r="371" spans="6:6" x14ac:dyDescent="0.2">
      <c r="F371" s="15"/>
    </row>
    <row r="372" spans="6:6" x14ac:dyDescent="0.2">
      <c r="F372" s="15"/>
    </row>
    <row r="373" spans="6:6" x14ac:dyDescent="0.2">
      <c r="F373" s="15"/>
    </row>
    <row r="374" spans="6:6" x14ac:dyDescent="0.2">
      <c r="F374" s="15"/>
    </row>
    <row r="375" spans="6:6" x14ac:dyDescent="0.2">
      <c r="F375" s="15"/>
    </row>
    <row r="376" spans="6:6" x14ac:dyDescent="0.2">
      <c r="F376" s="15"/>
    </row>
    <row r="377" spans="6:6" x14ac:dyDescent="0.2">
      <c r="F377" s="15"/>
    </row>
    <row r="378" spans="6:6" x14ac:dyDescent="0.2">
      <c r="F378" s="15"/>
    </row>
    <row r="379" spans="6:6" x14ac:dyDescent="0.2">
      <c r="F379" s="15"/>
    </row>
    <row r="380" spans="6:6" x14ac:dyDescent="0.2">
      <c r="F380" s="15"/>
    </row>
    <row r="381" spans="6:6" x14ac:dyDescent="0.2">
      <c r="F381" s="15"/>
    </row>
    <row r="382" spans="6:6" x14ac:dyDescent="0.2">
      <c r="F382" s="15"/>
    </row>
    <row r="383" spans="6:6" x14ac:dyDescent="0.2">
      <c r="F383" s="15"/>
    </row>
    <row r="384" spans="6:6" x14ac:dyDescent="0.2">
      <c r="F384" s="15"/>
    </row>
    <row r="385" spans="6:6" x14ac:dyDescent="0.2">
      <c r="F385" s="15"/>
    </row>
    <row r="386" spans="6:6" x14ac:dyDescent="0.2">
      <c r="F386" s="15"/>
    </row>
    <row r="387" spans="6:6" x14ac:dyDescent="0.2">
      <c r="F387" s="15"/>
    </row>
    <row r="388" spans="6:6" x14ac:dyDescent="0.2">
      <c r="F388" s="15"/>
    </row>
    <row r="389" spans="6:6" x14ac:dyDescent="0.2">
      <c r="F389" s="15"/>
    </row>
    <row r="390" spans="6:6" x14ac:dyDescent="0.2">
      <c r="F390" s="15"/>
    </row>
    <row r="391" spans="6:6" x14ac:dyDescent="0.2">
      <c r="F391" s="15"/>
    </row>
    <row r="392" spans="6:6" x14ac:dyDescent="0.2">
      <c r="F392" s="15"/>
    </row>
    <row r="393" spans="6:6" x14ac:dyDescent="0.2">
      <c r="F393" s="15"/>
    </row>
    <row r="394" spans="6:6" x14ac:dyDescent="0.2">
      <c r="F394" s="15"/>
    </row>
    <row r="395" spans="6:6" x14ac:dyDescent="0.2">
      <c r="F395" s="15"/>
    </row>
    <row r="396" spans="6:6" x14ac:dyDescent="0.2">
      <c r="F396" s="15"/>
    </row>
    <row r="397" spans="6:6" x14ac:dyDescent="0.2">
      <c r="F397" s="15"/>
    </row>
    <row r="398" spans="6:6" x14ac:dyDescent="0.2">
      <c r="F398" s="15"/>
    </row>
    <row r="399" spans="6:6" x14ac:dyDescent="0.2">
      <c r="F399" s="15"/>
    </row>
    <row r="400" spans="6:6" x14ac:dyDescent="0.2">
      <c r="F400" s="15"/>
    </row>
    <row r="401" spans="6:6" x14ac:dyDescent="0.2">
      <c r="F401" s="15"/>
    </row>
    <row r="402" spans="6:6" x14ac:dyDescent="0.2">
      <c r="F402" s="15"/>
    </row>
    <row r="403" spans="6:6" x14ac:dyDescent="0.2">
      <c r="F403" s="15"/>
    </row>
    <row r="404" spans="6:6" x14ac:dyDescent="0.2">
      <c r="F404" s="15"/>
    </row>
    <row r="405" spans="6:6" x14ac:dyDescent="0.2">
      <c r="F405" s="15"/>
    </row>
    <row r="406" spans="6:6" x14ac:dyDescent="0.2">
      <c r="F406" s="15"/>
    </row>
    <row r="407" spans="6:6" x14ac:dyDescent="0.2">
      <c r="F407" s="15"/>
    </row>
    <row r="408" spans="6:6" x14ac:dyDescent="0.2">
      <c r="F408" s="15"/>
    </row>
    <row r="409" spans="6:6" x14ac:dyDescent="0.2">
      <c r="F409" s="15"/>
    </row>
    <row r="410" spans="6:6" x14ac:dyDescent="0.2">
      <c r="F410" s="15"/>
    </row>
    <row r="411" spans="6:6" x14ac:dyDescent="0.2">
      <c r="F411" s="15"/>
    </row>
    <row r="412" spans="6:6" x14ac:dyDescent="0.2">
      <c r="F412" s="15"/>
    </row>
    <row r="413" spans="6:6" x14ac:dyDescent="0.2">
      <c r="F413" s="15"/>
    </row>
    <row r="414" spans="6:6" x14ac:dyDescent="0.2">
      <c r="F414" s="15"/>
    </row>
    <row r="415" spans="6:6" x14ac:dyDescent="0.2">
      <c r="F415" s="15"/>
    </row>
    <row r="416" spans="6:6" x14ac:dyDescent="0.2">
      <c r="F416" s="15"/>
    </row>
    <row r="417" spans="6:6" x14ac:dyDescent="0.2">
      <c r="F417" s="15"/>
    </row>
    <row r="418" spans="6:6" x14ac:dyDescent="0.2">
      <c r="F418" s="15"/>
    </row>
    <row r="419" spans="6:6" x14ac:dyDescent="0.2">
      <c r="F419" s="15"/>
    </row>
    <row r="420" spans="6:6" x14ac:dyDescent="0.2">
      <c r="F420" s="15"/>
    </row>
    <row r="421" spans="6:6" x14ac:dyDescent="0.2">
      <c r="F421" s="15"/>
    </row>
    <row r="422" spans="6:6" x14ac:dyDescent="0.2">
      <c r="F422" s="15"/>
    </row>
    <row r="423" spans="6:6" x14ac:dyDescent="0.2">
      <c r="F423" s="15"/>
    </row>
    <row r="424" spans="6:6" x14ac:dyDescent="0.2">
      <c r="F424" s="15"/>
    </row>
    <row r="425" spans="6:6" x14ac:dyDescent="0.2">
      <c r="F425" s="15"/>
    </row>
    <row r="426" spans="6:6" x14ac:dyDescent="0.2">
      <c r="F426" s="15"/>
    </row>
    <row r="427" spans="6:6" x14ac:dyDescent="0.2">
      <c r="F427" s="15"/>
    </row>
    <row r="428" spans="6:6" x14ac:dyDescent="0.2">
      <c r="F428" s="15"/>
    </row>
    <row r="429" spans="6:6" x14ac:dyDescent="0.2">
      <c r="F429" s="15"/>
    </row>
    <row r="430" spans="6:6" x14ac:dyDescent="0.2">
      <c r="F430" s="15"/>
    </row>
    <row r="431" spans="6:6" x14ac:dyDescent="0.2">
      <c r="F431" s="15"/>
    </row>
    <row r="432" spans="6:6" x14ac:dyDescent="0.2">
      <c r="F432" s="15"/>
    </row>
    <row r="433" spans="6:6" x14ac:dyDescent="0.2">
      <c r="F433" s="15"/>
    </row>
    <row r="434" spans="6:6" x14ac:dyDescent="0.2">
      <c r="F434" s="15"/>
    </row>
    <row r="435" spans="6:6" x14ac:dyDescent="0.2">
      <c r="F435" s="15"/>
    </row>
    <row r="436" spans="6:6" x14ac:dyDescent="0.2">
      <c r="F436" s="15"/>
    </row>
    <row r="437" spans="6:6" x14ac:dyDescent="0.2">
      <c r="F437" s="15"/>
    </row>
    <row r="438" spans="6:6" x14ac:dyDescent="0.2">
      <c r="F438" s="15"/>
    </row>
    <row r="439" spans="6:6" x14ac:dyDescent="0.2">
      <c r="F439" s="15"/>
    </row>
    <row r="440" spans="6:6" x14ac:dyDescent="0.2">
      <c r="F440" s="15"/>
    </row>
    <row r="441" spans="6:6" x14ac:dyDescent="0.2">
      <c r="F441" s="15"/>
    </row>
    <row r="442" spans="6:6" x14ac:dyDescent="0.2">
      <c r="F442" s="15"/>
    </row>
    <row r="443" spans="6:6" x14ac:dyDescent="0.2">
      <c r="F443" s="15"/>
    </row>
    <row r="444" spans="6:6" x14ac:dyDescent="0.2">
      <c r="F444" s="15"/>
    </row>
    <row r="445" spans="6:6" x14ac:dyDescent="0.2">
      <c r="F445" s="15"/>
    </row>
    <row r="446" spans="6:6" x14ac:dyDescent="0.2">
      <c r="F446" s="15"/>
    </row>
    <row r="447" spans="6:6" x14ac:dyDescent="0.2">
      <c r="F447" s="15"/>
    </row>
    <row r="448" spans="6:6" x14ac:dyDescent="0.2">
      <c r="F448" s="15"/>
    </row>
    <row r="449" spans="6:6" x14ac:dyDescent="0.2">
      <c r="F449" s="15"/>
    </row>
    <row r="450" spans="6:6" x14ac:dyDescent="0.2">
      <c r="F450" s="15"/>
    </row>
    <row r="451" spans="6:6" x14ac:dyDescent="0.2">
      <c r="F451" s="15"/>
    </row>
    <row r="452" spans="6:6" x14ac:dyDescent="0.2">
      <c r="F452" s="15"/>
    </row>
    <row r="453" spans="6:6" x14ac:dyDescent="0.2">
      <c r="F453" s="15"/>
    </row>
    <row r="454" spans="6:6" x14ac:dyDescent="0.2">
      <c r="F454" s="15"/>
    </row>
    <row r="455" spans="6:6" x14ac:dyDescent="0.2">
      <c r="F455" s="15"/>
    </row>
    <row r="456" spans="6:6" x14ac:dyDescent="0.2">
      <c r="F456" s="15"/>
    </row>
    <row r="457" spans="6:6" x14ac:dyDescent="0.2">
      <c r="F457" s="15"/>
    </row>
    <row r="458" spans="6:6" x14ac:dyDescent="0.2">
      <c r="F458" s="15"/>
    </row>
    <row r="459" spans="6:6" x14ac:dyDescent="0.2">
      <c r="F459" s="15"/>
    </row>
    <row r="460" spans="6:6" x14ac:dyDescent="0.2">
      <c r="F460" s="15"/>
    </row>
    <row r="461" spans="6:6" x14ac:dyDescent="0.2">
      <c r="F461" s="15"/>
    </row>
    <row r="462" spans="6:6" x14ac:dyDescent="0.2">
      <c r="F462" s="15"/>
    </row>
    <row r="463" spans="6:6" x14ac:dyDescent="0.2">
      <c r="F463" s="15"/>
    </row>
    <row r="464" spans="6:6" x14ac:dyDescent="0.2">
      <c r="F464" s="15"/>
    </row>
    <row r="465" spans="6:6" x14ac:dyDescent="0.2">
      <c r="F465" s="15"/>
    </row>
    <row r="466" spans="6:6" x14ac:dyDescent="0.2">
      <c r="F466" s="15"/>
    </row>
    <row r="467" spans="6:6" x14ac:dyDescent="0.2">
      <c r="F467" s="15"/>
    </row>
    <row r="468" spans="6:6" x14ac:dyDescent="0.2">
      <c r="F468" s="15"/>
    </row>
    <row r="469" spans="6:6" x14ac:dyDescent="0.2">
      <c r="F469" s="15"/>
    </row>
    <row r="470" spans="6:6" x14ac:dyDescent="0.2">
      <c r="F470" s="15"/>
    </row>
    <row r="471" spans="6:6" x14ac:dyDescent="0.2">
      <c r="F471" s="15"/>
    </row>
    <row r="472" spans="6:6" x14ac:dyDescent="0.2">
      <c r="F472" s="15"/>
    </row>
    <row r="473" spans="6:6" x14ac:dyDescent="0.2">
      <c r="F473" s="15"/>
    </row>
    <row r="474" spans="6:6" x14ac:dyDescent="0.2">
      <c r="F474" s="15"/>
    </row>
    <row r="475" spans="6:6" x14ac:dyDescent="0.2">
      <c r="F475" s="15"/>
    </row>
    <row r="476" spans="6:6" x14ac:dyDescent="0.2">
      <c r="F476" s="15"/>
    </row>
    <row r="477" spans="6:6" x14ac:dyDescent="0.2">
      <c r="F477" s="15"/>
    </row>
    <row r="478" spans="6:6" x14ac:dyDescent="0.2">
      <c r="F478" s="15"/>
    </row>
    <row r="479" spans="6:6" x14ac:dyDescent="0.2">
      <c r="F479" s="15"/>
    </row>
    <row r="480" spans="6:6" x14ac:dyDescent="0.2">
      <c r="F480" s="15"/>
    </row>
    <row r="481" spans="6:6" x14ac:dyDescent="0.2">
      <c r="F481" s="15"/>
    </row>
    <row r="482" spans="6:6" x14ac:dyDescent="0.2">
      <c r="F482" s="15"/>
    </row>
    <row r="483" spans="6:6" x14ac:dyDescent="0.2">
      <c r="F483" s="15"/>
    </row>
    <row r="484" spans="6:6" x14ac:dyDescent="0.2">
      <c r="F484" s="15"/>
    </row>
    <row r="485" spans="6:6" x14ac:dyDescent="0.2">
      <c r="F485" s="15"/>
    </row>
    <row r="486" spans="6:6" x14ac:dyDescent="0.2">
      <c r="F486" s="15"/>
    </row>
    <row r="487" spans="6:6" x14ac:dyDescent="0.2">
      <c r="F487" s="15"/>
    </row>
    <row r="488" spans="6:6" x14ac:dyDescent="0.2">
      <c r="F488" s="15"/>
    </row>
    <row r="489" spans="6:6" x14ac:dyDescent="0.2">
      <c r="F489" s="15"/>
    </row>
    <row r="490" spans="6:6" x14ac:dyDescent="0.2">
      <c r="F490" s="15"/>
    </row>
    <row r="491" spans="6:6" x14ac:dyDescent="0.2">
      <c r="F491" s="15"/>
    </row>
    <row r="492" spans="6:6" x14ac:dyDescent="0.2">
      <c r="F492" s="15"/>
    </row>
    <row r="493" spans="6:6" x14ac:dyDescent="0.2">
      <c r="F493" s="15"/>
    </row>
    <row r="494" spans="6:6" x14ac:dyDescent="0.2">
      <c r="F494" s="15"/>
    </row>
    <row r="495" spans="6:6" x14ac:dyDescent="0.2">
      <c r="F495" s="15"/>
    </row>
    <row r="496" spans="6:6" x14ac:dyDescent="0.2">
      <c r="F496" s="15"/>
    </row>
    <row r="497" spans="6:6" x14ac:dyDescent="0.2">
      <c r="F497" s="15"/>
    </row>
    <row r="498" spans="6:6" x14ac:dyDescent="0.2">
      <c r="F498" s="15"/>
    </row>
    <row r="499" spans="6:6" x14ac:dyDescent="0.2">
      <c r="F499" s="15"/>
    </row>
    <row r="500" spans="6:6" x14ac:dyDescent="0.2">
      <c r="F500" s="15"/>
    </row>
    <row r="501" spans="6:6" x14ac:dyDescent="0.2">
      <c r="F501" s="15"/>
    </row>
    <row r="502" spans="6:6" x14ac:dyDescent="0.2">
      <c r="F502" s="15"/>
    </row>
    <row r="503" spans="6:6" x14ac:dyDescent="0.2">
      <c r="F503" s="15"/>
    </row>
    <row r="504" spans="6:6" x14ac:dyDescent="0.2">
      <c r="F504" s="15"/>
    </row>
    <row r="505" spans="6:6" x14ac:dyDescent="0.2">
      <c r="F505" s="15"/>
    </row>
    <row r="506" spans="6:6" x14ac:dyDescent="0.2">
      <c r="F506" s="15"/>
    </row>
    <row r="507" spans="6:6" x14ac:dyDescent="0.2">
      <c r="F507" s="15"/>
    </row>
    <row r="508" spans="6:6" x14ac:dyDescent="0.2">
      <c r="F508" s="15"/>
    </row>
    <row r="509" spans="6:6" x14ac:dyDescent="0.2">
      <c r="F509" s="15"/>
    </row>
    <row r="510" spans="6:6" x14ac:dyDescent="0.2">
      <c r="F510" s="15"/>
    </row>
    <row r="511" spans="6:6" x14ac:dyDescent="0.2">
      <c r="F511" s="15"/>
    </row>
    <row r="512" spans="6:6" x14ac:dyDescent="0.2">
      <c r="F512" s="15"/>
    </row>
    <row r="513" spans="6:6" x14ac:dyDescent="0.2">
      <c r="F513" s="15"/>
    </row>
    <row r="514" spans="6:6" x14ac:dyDescent="0.2">
      <c r="F514" s="15"/>
    </row>
    <row r="515" spans="6:6" x14ac:dyDescent="0.2">
      <c r="F515" s="15"/>
    </row>
    <row r="516" spans="6:6" x14ac:dyDescent="0.2">
      <c r="F516" s="15"/>
    </row>
    <row r="517" spans="6:6" x14ac:dyDescent="0.2">
      <c r="F517" s="15"/>
    </row>
    <row r="518" spans="6:6" x14ac:dyDescent="0.2">
      <c r="F518" s="15"/>
    </row>
    <row r="519" spans="6:6" x14ac:dyDescent="0.2">
      <c r="F519" s="15"/>
    </row>
    <row r="520" spans="6:6" x14ac:dyDescent="0.2">
      <c r="F520" s="15"/>
    </row>
    <row r="521" spans="6:6" x14ac:dyDescent="0.2">
      <c r="F521" s="15"/>
    </row>
    <row r="522" spans="6:6" x14ac:dyDescent="0.2">
      <c r="F522" s="15"/>
    </row>
    <row r="523" spans="6:6" x14ac:dyDescent="0.2">
      <c r="F523" s="15"/>
    </row>
    <row r="524" spans="6:6" x14ac:dyDescent="0.2">
      <c r="F524" s="15"/>
    </row>
    <row r="525" spans="6:6" x14ac:dyDescent="0.2">
      <c r="F525" s="15"/>
    </row>
    <row r="526" spans="6:6" x14ac:dyDescent="0.2">
      <c r="F526" s="15"/>
    </row>
    <row r="527" spans="6:6" x14ac:dyDescent="0.2">
      <c r="F527" s="15"/>
    </row>
    <row r="528" spans="6:6" x14ac:dyDescent="0.2">
      <c r="F528" s="15"/>
    </row>
    <row r="529" spans="6:6" x14ac:dyDescent="0.2">
      <c r="F529" s="15"/>
    </row>
    <row r="530" spans="6:6" x14ac:dyDescent="0.2">
      <c r="F530" s="15"/>
    </row>
    <row r="531" spans="6:6" x14ac:dyDescent="0.2">
      <c r="F531" s="15"/>
    </row>
    <row r="532" spans="6:6" x14ac:dyDescent="0.2">
      <c r="F532" s="15"/>
    </row>
    <row r="533" spans="6:6" x14ac:dyDescent="0.2">
      <c r="F533" s="15"/>
    </row>
    <row r="534" spans="6:6" x14ac:dyDescent="0.2">
      <c r="F534" s="15"/>
    </row>
    <row r="535" spans="6:6" x14ac:dyDescent="0.2">
      <c r="F535" s="15"/>
    </row>
    <row r="536" spans="6:6" x14ac:dyDescent="0.2">
      <c r="F536" s="15"/>
    </row>
    <row r="537" spans="6:6" x14ac:dyDescent="0.2">
      <c r="F537" s="15"/>
    </row>
    <row r="538" spans="6:6" x14ac:dyDescent="0.2">
      <c r="F538" s="15"/>
    </row>
    <row r="539" spans="6:6" x14ac:dyDescent="0.2">
      <c r="F539" s="15"/>
    </row>
    <row r="540" spans="6:6" x14ac:dyDescent="0.2">
      <c r="F540" s="15"/>
    </row>
    <row r="541" spans="6:6" x14ac:dyDescent="0.2">
      <c r="F541" s="15"/>
    </row>
    <row r="542" spans="6:6" x14ac:dyDescent="0.2">
      <c r="F542" s="15"/>
    </row>
    <row r="543" spans="6:6" x14ac:dyDescent="0.2">
      <c r="F543" s="15"/>
    </row>
    <row r="544" spans="6:6" x14ac:dyDescent="0.2">
      <c r="F544" s="15"/>
    </row>
    <row r="545" spans="6:6" x14ac:dyDescent="0.2">
      <c r="F545" s="15"/>
    </row>
    <row r="546" spans="6:6" x14ac:dyDescent="0.2">
      <c r="F546" s="15"/>
    </row>
    <row r="547" spans="6:6" x14ac:dyDescent="0.2">
      <c r="F547" s="15"/>
    </row>
    <row r="548" spans="6:6" x14ac:dyDescent="0.2">
      <c r="F548" s="15"/>
    </row>
    <row r="549" spans="6:6" x14ac:dyDescent="0.2">
      <c r="F549" s="15"/>
    </row>
    <row r="550" spans="6:6" x14ac:dyDescent="0.2">
      <c r="F550" s="15"/>
    </row>
    <row r="551" spans="6:6" x14ac:dyDescent="0.2">
      <c r="F551" s="15"/>
    </row>
    <row r="552" spans="6:6" x14ac:dyDescent="0.2">
      <c r="F552" s="15"/>
    </row>
    <row r="553" spans="6:6" x14ac:dyDescent="0.2">
      <c r="F553" s="15"/>
    </row>
    <row r="554" spans="6:6" x14ac:dyDescent="0.2">
      <c r="F554" s="15"/>
    </row>
    <row r="555" spans="6:6" x14ac:dyDescent="0.2">
      <c r="F555" s="15"/>
    </row>
    <row r="556" spans="6:6" x14ac:dyDescent="0.2">
      <c r="F556" s="15"/>
    </row>
    <row r="557" spans="6:6" x14ac:dyDescent="0.2">
      <c r="F557" s="15"/>
    </row>
    <row r="558" spans="6:6" x14ac:dyDescent="0.2">
      <c r="F558" s="15"/>
    </row>
    <row r="559" spans="6:6" x14ac:dyDescent="0.2">
      <c r="F559" s="15"/>
    </row>
    <row r="560" spans="6:6" x14ac:dyDescent="0.2">
      <c r="F560" s="15"/>
    </row>
    <row r="561" spans="6:6" x14ac:dyDescent="0.2">
      <c r="F561" s="15"/>
    </row>
    <row r="562" spans="6:6" x14ac:dyDescent="0.2">
      <c r="F562" s="15"/>
    </row>
    <row r="563" spans="6:6" x14ac:dyDescent="0.2">
      <c r="F563" s="15"/>
    </row>
    <row r="564" spans="6:6" x14ac:dyDescent="0.2">
      <c r="F564" s="15"/>
    </row>
    <row r="565" spans="6:6" x14ac:dyDescent="0.2">
      <c r="F565" s="15"/>
    </row>
    <row r="566" spans="6:6" x14ac:dyDescent="0.2">
      <c r="F566" s="15"/>
    </row>
    <row r="567" spans="6:6" x14ac:dyDescent="0.2">
      <c r="F567" s="15"/>
    </row>
    <row r="568" spans="6:6" x14ac:dyDescent="0.2">
      <c r="F568" s="15"/>
    </row>
    <row r="569" spans="6:6" x14ac:dyDescent="0.2">
      <c r="F569" s="15"/>
    </row>
    <row r="570" spans="6:6" x14ac:dyDescent="0.2">
      <c r="F570" s="15"/>
    </row>
    <row r="571" spans="6:6" x14ac:dyDescent="0.2">
      <c r="F571" s="15"/>
    </row>
    <row r="572" spans="6:6" x14ac:dyDescent="0.2">
      <c r="F572" s="15"/>
    </row>
    <row r="573" spans="6:6" x14ac:dyDescent="0.2">
      <c r="F573" s="15"/>
    </row>
    <row r="574" spans="6:6" x14ac:dyDescent="0.2">
      <c r="F574" s="15"/>
    </row>
    <row r="575" spans="6:6" x14ac:dyDescent="0.2">
      <c r="F575" s="15"/>
    </row>
    <row r="576" spans="6:6" x14ac:dyDescent="0.2">
      <c r="F576" s="15"/>
    </row>
    <row r="577" spans="6:6" x14ac:dyDescent="0.2">
      <c r="F577" s="15"/>
    </row>
    <row r="578" spans="6:6" x14ac:dyDescent="0.2">
      <c r="F578" s="15"/>
    </row>
    <row r="579" spans="6:6" x14ac:dyDescent="0.2">
      <c r="F579" s="15"/>
    </row>
    <row r="580" spans="6:6" x14ac:dyDescent="0.2">
      <c r="F580" s="15"/>
    </row>
    <row r="581" spans="6:6" x14ac:dyDescent="0.2">
      <c r="F581" s="15"/>
    </row>
    <row r="582" spans="6:6" x14ac:dyDescent="0.2">
      <c r="F582" s="15"/>
    </row>
    <row r="583" spans="6:6" x14ac:dyDescent="0.2">
      <c r="F583" s="15"/>
    </row>
    <row r="584" spans="6:6" x14ac:dyDescent="0.2">
      <c r="F584" s="15"/>
    </row>
    <row r="585" spans="6:6" x14ac:dyDescent="0.2">
      <c r="F585" s="15"/>
    </row>
    <row r="586" spans="6:6" x14ac:dyDescent="0.2">
      <c r="F586" s="15"/>
    </row>
    <row r="587" spans="6:6" x14ac:dyDescent="0.2">
      <c r="F587" s="15"/>
    </row>
    <row r="588" spans="6:6" x14ac:dyDescent="0.2">
      <c r="F588" s="15"/>
    </row>
    <row r="589" spans="6:6" x14ac:dyDescent="0.2">
      <c r="F589" s="15"/>
    </row>
    <row r="590" spans="6:6" x14ac:dyDescent="0.2">
      <c r="F590" s="15"/>
    </row>
    <row r="591" spans="6:6" x14ac:dyDescent="0.2">
      <c r="F591" s="15"/>
    </row>
    <row r="592" spans="6:6" x14ac:dyDescent="0.2">
      <c r="F592" s="15"/>
    </row>
    <row r="593" spans="6:6" x14ac:dyDescent="0.2">
      <c r="F593" s="15"/>
    </row>
    <row r="594" spans="6:6" x14ac:dyDescent="0.2">
      <c r="F594" s="15"/>
    </row>
    <row r="595" spans="6:6" x14ac:dyDescent="0.2">
      <c r="F595" s="15"/>
    </row>
    <row r="596" spans="6:6" x14ac:dyDescent="0.2">
      <c r="F596" s="15"/>
    </row>
    <row r="597" spans="6:6" x14ac:dyDescent="0.2">
      <c r="F597" s="15"/>
    </row>
    <row r="598" spans="6:6" x14ac:dyDescent="0.2">
      <c r="F598" s="15"/>
    </row>
    <row r="599" spans="6:6" x14ac:dyDescent="0.2">
      <c r="F599" s="15"/>
    </row>
    <row r="600" spans="6:6" x14ac:dyDescent="0.2">
      <c r="F600" s="15"/>
    </row>
    <row r="601" spans="6:6" x14ac:dyDescent="0.2">
      <c r="F601" s="15"/>
    </row>
    <row r="602" spans="6:6" x14ac:dyDescent="0.2">
      <c r="F602" s="15"/>
    </row>
    <row r="603" spans="6:6" x14ac:dyDescent="0.2">
      <c r="F603" s="15"/>
    </row>
    <row r="604" spans="6:6" x14ac:dyDescent="0.2">
      <c r="F604" s="15"/>
    </row>
    <row r="605" spans="6:6" x14ac:dyDescent="0.2">
      <c r="F605" s="15"/>
    </row>
    <row r="606" spans="6:6" x14ac:dyDescent="0.2">
      <c r="F606" s="15"/>
    </row>
    <row r="607" spans="6:6" x14ac:dyDescent="0.2">
      <c r="F607" s="15"/>
    </row>
    <row r="608" spans="6:6" x14ac:dyDescent="0.2">
      <c r="F608" s="15"/>
    </row>
    <row r="609" spans="6:6" x14ac:dyDescent="0.2">
      <c r="F609" s="15"/>
    </row>
    <row r="610" spans="6:6" x14ac:dyDescent="0.2">
      <c r="F610" s="15"/>
    </row>
    <row r="611" spans="6:6" x14ac:dyDescent="0.2">
      <c r="F611" s="15"/>
    </row>
    <row r="612" spans="6:6" x14ac:dyDescent="0.2">
      <c r="F612" s="15"/>
    </row>
    <row r="613" spans="6:6" x14ac:dyDescent="0.2">
      <c r="F613" s="15"/>
    </row>
    <row r="614" spans="6:6" x14ac:dyDescent="0.2">
      <c r="F614" s="15"/>
    </row>
    <row r="615" spans="6:6" x14ac:dyDescent="0.2">
      <c r="F615" s="15"/>
    </row>
    <row r="616" spans="6:6" x14ac:dyDescent="0.2">
      <c r="F616" s="15"/>
    </row>
    <row r="617" spans="6:6" x14ac:dyDescent="0.2">
      <c r="F617" s="15"/>
    </row>
    <row r="618" spans="6:6" x14ac:dyDescent="0.2">
      <c r="F618" s="15"/>
    </row>
    <row r="619" spans="6:6" x14ac:dyDescent="0.2">
      <c r="F619" s="15"/>
    </row>
    <row r="620" spans="6:6" x14ac:dyDescent="0.2">
      <c r="F620" s="15"/>
    </row>
    <row r="621" spans="6:6" x14ac:dyDescent="0.2">
      <c r="F621" s="15"/>
    </row>
    <row r="622" spans="6:6" x14ac:dyDescent="0.2">
      <c r="F622" s="15"/>
    </row>
    <row r="623" spans="6:6" x14ac:dyDescent="0.2">
      <c r="F623" s="15"/>
    </row>
    <row r="624" spans="6:6" x14ac:dyDescent="0.2">
      <c r="F624" s="15"/>
    </row>
    <row r="625" spans="6:6" x14ac:dyDescent="0.2">
      <c r="F625" s="15"/>
    </row>
    <row r="626" spans="6:6" x14ac:dyDescent="0.2">
      <c r="F626" s="15"/>
    </row>
    <row r="627" spans="6:6" x14ac:dyDescent="0.2">
      <c r="F627" s="15"/>
    </row>
    <row r="628" spans="6:6" x14ac:dyDescent="0.2">
      <c r="F628" s="15"/>
    </row>
    <row r="629" spans="6:6" x14ac:dyDescent="0.2">
      <c r="F629" s="15"/>
    </row>
    <row r="630" spans="6:6" x14ac:dyDescent="0.2">
      <c r="F630" s="15"/>
    </row>
    <row r="631" spans="6:6" x14ac:dyDescent="0.2">
      <c r="F631" s="15"/>
    </row>
    <row r="632" spans="6:6" x14ac:dyDescent="0.2">
      <c r="F632" s="15"/>
    </row>
    <row r="633" spans="6:6" x14ac:dyDescent="0.2">
      <c r="F633" s="15"/>
    </row>
    <row r="634" spans="6:6" x14ac:dyDescent="0.2">
      <c r="F634" s="15"/>
    </row>
    <row r="635" spans="6:6" x14ac:dyDescent="0.2">
      <c r="F635" s="15"/>
    </row>
    <row r="636" spans="6:6" x14ac:dyDescent="0.2">
      <c r="F636" s="15"/>
    </row>
    <row r="637" spans="6:6" x14ac:dyDescent="0.2">
      <c r="F637" s="15"/>
    </row>
    <row r="638" spans="6:6" x14ac:dyDescent="0.2">
      <c r="F638" s="15"/>
    </row>
    <row r="639" spans="6:6" x14ac:dyDescent="0.2">
      <c r="F639" s="15"/>
    </row>
    <row r="640" spans="6:6" x14ac:dyDescent="0.2">
      <c r="F640" s="15"/>
    </row>
    <row r="641" spans="6:6" x14ac:dyDescent="0.2">
      <c r="F641" s="15"/>
    </row>
    <row r="642" spans="6:6" x14ac:dyDescent="0.2">
      <c r="F642" s="15"/>
    </row>
    <row r="643" spans="6:6" x14ac:dyDescent="0.2">
      <c r="F643" s="15"/>
    </row>
    <row r="644" spans="6:6" x14ac:dyDescent="0.2">
      <c r="F644" s="15"/>
    </row>
    <row r="645" spans="6:6" x14ac:dyDescent="0.2">
      <c r="F645" s="15"/>
    </row>
    <row r="646" spans="6:6" x14ac:dyDescent="0.2">
      <c r="F646" s="15"/>
    </row>
    <row r="647" spans="6:6" x14ac:dyDescent="0.2">
      <c r="F647" s="15"/>
    </row>
    <row r="648" spans="6:6" x14ac:dyDescent="0.2">
      <c r="F648" s="15"/>
    </row>
    <row r="649" spans="6:6" x14ac:dyDescent="0.2">
      <c r="F649" s="15"/>
    </row>
    <row r="650" spans="6:6" x14ac:dyDescent="0.2">
      <c r="F650" s="15"/>
    </row>
    <row r="651" spans="6:6" x14ac:dyDescent="0.2">
      <c r="F651" s="15"/>
    </row>
    <row r="652" spans="6:6" x14ac:dyDescent="0.2">
      <c r="F652" s="15"/>
    </row>
    <row r="653" spans="6:6" x14ac:dyDescent="0.2">
      <c r="F653" s="15"/>
    </row>
    <row r="654" spans="6:6" x14ac:dyDescent="0.2">
      <c r="F654" s="15"/>
    </row>
    <row r="655" spans="6:6" x14ac:dyDescent="0.2">
      <c r="F655" s="15"/>
    </row>
    <row r="656" spans="6:6" x14ac:dyDescent="0.2">
      <c r="F656" s="15"/>
    </row>
    <row r="657" spans="6:6" x14ac:dyDescent="0.2">
      <c r="F657" s="15"/>
    </row>
    <row r="658" spans="6:6" x14ac:dyDescent="0.2">
      <c r="F658" s="15"/>
    </row>
    <row r="659" spans="6:6" x14ac:dyDescent="0.2">
      <c r="F659" s="15"/>
    </row>
    <row r="660" spans="6:6" x14ac:dyDescent="0.2">
      <c r="F660" s="15"/>
    </row>
    <row r="661" spans="6:6" x14ac:dyDescent="0.2">
      <c r="F661" s="15"/>
    </row>
    <row r="662" spans="6:6" x14ac:dyDescent="0.2">
      <c r="F662" s="15"/>
    </row>
    <row r="663" spans="6:6" x14ac:dyDescent="0.2">
      <c r="F663" s="15"/>
    </row>
    <row r="664" spans="6:6" x14ac:dyDescent="0.2">
      <c r="F664" s="15"/>
    </row>
    <row r="665" spans="6:6" x14ac:dyDescent="0.2">
      <c r="F665" s="15"/>
    </row>
    <row r="666" spans="6:6" x14ac:dyDescent="0.2">
      <c r="F666" s="15"/>
    </row>
    <row r="667" spans="6:6" x14ac:dyDescent="0.2">
      <c r="F667" s="15"/>
    </row>
    <row r="668" spans="6:6" x14ac:dyDescent="0.2">
      <c r="F668" s="15"/>
    </row>
    <row r="669" spans="6:6" x14ac:dyDescent="0.2">
      <c r="F669" s="15"/>
    </row>
    <row r="670" spans="6:6" x14ac:dyDescent="0.2">
      <c r="F670" s="15"/>
    </row>
    <row r="671" spans="6:6" x14ac:dyDescent="0.2">
      <c r="F671" s="15"/>
    </row>
    <row r="672" spans="6:6" x14ac:dyDescent="0.2">
      <c r="F672" s="15"/>
    </row>
    <row r="673" spans="6:6" x14ac:dyDescent="0.2">
      <c r="F673" s="15"/>
    </row>
    <row r="674" spans="6:6" x14ac:dyDescent="0.2">
      <c r="F674" s="15"/>
    </row>
    <row r="675" spans="6:6" x14ac:dyDescent="0.2">
      <c r="F675" s="15"/>
    </row>
    <row r="676" spans="6:6" x14ac:dyDescent="0.2">
      <c r="F676" s="15"/>
    </row>
    <row r="677" spans="6:6" x14ac:dyDescent="0.2">
      <c r="F677" s="15"/>
    </row>
    <row r="678" spans="6:6" x14ac:dyDescent="0.2">
      <c r="F678" s="15"/>
    </row>
    <row r="679" spans="6:6" x14ac:dyDescent="0.2">
      <c r="F679" s="15"/>
    </row>
    <row r="680" spans="6:6" x14ac:dyDescent="0.2">
      <c r="F680" s="15"/>
    </row>
    <row r="681" spans="6:6" x14ac:dyDescent="0.2">
      <c r="F681" s="15"/>
    </row>
    <row r="682" spans="6:6" x14ac:dyDescent="0.2">
      <c r="F682" s="15"/>
    </row>
    <row r="683" spans="6:6" x14ac:dyDescent="0.2">
      <c r="F683" s="15"/>
    </row>
    <row r="684" spans="6:6" x14ac:dyDescent="0.2">
      <c r="F684" s="15"/>
    </row>
    <row r="685" spans="6:6" x14ac:dyDescent="0.2">
      <c r="F685" s="15"/>
    </row>
    <row r="686" spans="6:6" x14ac:dyDescent="0.2">
      <c r="F686" s="15"/>
    </row>
    <row r="687" spans="6:6" x14ac:dyDescent="0.2">
      <c r="F687" s="15"/>
    </row>
    <row r="688" spans="6:6" x14ac:dyDescent="0.2">
      <c r="F688" s="15"/>
    </row>
    <row r="689" spans="6:6" x14ac:dyDescent="0.2">
      <c r="F689" s="15"/>
    </row>
    <row r="690" spans="6:6" x14ac:dyDescent="0.2">
      <c r="F690" s="15"/>
    </row>
    <row r="691" spans="6:6" x14ac:dyDescent="0.2">
      <c r="F691" s="15"/>
    </row>
    <row r="692" spans="6:6" x14ac:dyDescent="0.2">
      <c r="F692" s="15"/>
    </row>
    <row r="693" spans="6:6" x14ac:dyDescent="0.2">
      <c r="F693" s="15"/>
    </row>
    <row r="694" spans="6:6" x14ac:dyDescent="0.2">
      <c r="F694" s="15"/>
    </row>
    <row r="695" spans="6:6" x14ac:dyDescent="0.2">
      <c r="F695" s="15"/>
    </row>
    <row r="696" spans="6:6" x14ac:dyDescent="0.2">
      <c r="F696" s="15"/>
    </row>
    <row r="697" spans="6:6" x14ac:dyDescent="0.2">
      <c r="F697" s="15"/>
    </row>
    <row r="698" spans="6:6" x14ac:dyDescent="0.2">
      <c r="F698" s="15"/>
    </row>
    <row r="699" spans="6:6" x14ac:dyDescent="0.2">
      <c r="F699" s="15"/>
    </row>
    <row r="700" spans="6:6" x14ac:dyDescent="0.2">
      <c r="F700" s="15"/>
    </row>
    <row r="701" spans="6:6" x14ac:dyDescent="0.2">
      <c r="F701" s="15"/>
    </row>
    <row r="702" spans="6:6" x14ac:dyDescent="0.2">
      <c r="F702" s="15"/>
    </row>
    <row r="703" spans="6:6" x14ac:dyDescent="0.2">
      <c r="F703" s="15"/>
    </row>
    <row r="704" spans="6:6" x14ac:dyDescent="0.2">
      <c r="F704" s="15"/>
    </row>
    <row r="705" spans="6:6" x14ac:dyDescent="0.2">
      <c r="F705" s="15"/>
    </row>
    <row r="706" spans="6:6" x14ac:dyDescent="0.2">
      <c r="F706" s="15"/>
    </row>
    <row r="707" spans="6:6" x14ac:dyDescent="0.2">
      <c r="F707" s="15"/>
    </row>
    <row r="708" spans="6:6" x14ac:dyDescent="0.2">
      <c r="F708" s="15"/>
    </row>
    <row r="709" spans="6:6" x14ac:dyDescent="0.2">
      <c r="F709" s="15"/>
    </row>
    <row r="710" spans="6:6" x14ac:dyDescent="0.2">
      <c r="F710" s="15"/>
    </row>
    <row r="711" spans="6:6" x14ac:dyDescent="0.2">
      <c r="F711" s="15"/>
    </row>
    <row r="712" spans="6:6" x14ac:dyDescent="0.2">
      <c r="F712" s="15"/>
    </row>
    <row r="713" spans="6:6" x14ac:dyDescent="0.2">
      <c r="F713" s="15"/>
    </row>
    <row r="714" spans="6:6" x14ac:dyDescent="0.2">
      <c r="F714" s="15"/>
    </row>
    <row r="715" spans="6:6" x14ac:dyDescent="0.2">
      <c r="F715" s="15"/>
    </row>
    <row r="716" spans="6:6" x14ac:dyDescent="0.2">
      <c r="F716" s="15"/>
    </row>
    <row r="717" spans="6:6" x14ac:dyDescent="0.2">
      <c r="F717" s="15"/>
    </row>
    <row r="718" spans="6:6" x14ac:dyDescent="0.2">
      <c r="F718" s="15"/>
    </row>
    <row r="719" spans="6:6" x14ac:dyDescent="0.2">
      <c r="F719" s="15"/>
    </row>
    <row r="720" spans="6:6" x14ac:dyDescent="0.2">
      <c r="F720" s="15"/>
    </row>
    <row r="721" spans="6:6" x14ac:dyDescent="0.2">
      <c r="F721" s="15"/>
    </row>
    <row r="722" spans="6:6" x14ac:dyDescent="0.2">
      <c r="F722" s="15"/>
    </row>
    <row r="723" spans="6:6" x14ac:dyDescent="0.2">
      <c r="F723" s="15"/>
    </row>
    <row r="724" spans="6:6" x14ac:dyDescent="0.2">
      <c r="F724" s="15"/>
    </row>
    <row r="725" spans="6:6" x14ac:dyDescent="0.2">
      <c r="F725" s="15"/>
    </row>
    <row r="726" spans="6:6" x14ac:dyDescent="0.2">
      <c r="F726" s="15"/>
    </row>
    <row r="727" spans="6:6" x14ac:dyDescent="0.2">
      <c r="F727" s="15"/>
    </row>
    <row r="728" spans="6:6" x14ac:dyDescent="0.2">
      <c r="F728" s="15"/>
    </row>
    <row r="729" spans="6:6" x14ac:dyDescent="0.2">
      <c r="F729" s="15"/>
    </row>
    <row r="730" spans="6:6" x14ac:dyDescent="0.2">
      <c r="F730" s="15"/>
    </row>
    <row r="731" spans="6:6" x14ac:dyDescent="0.2">
      <c r="F731" s="15"/>
    </row>
    <row r="732" spans="6:6" x14ac:dyDescent="0.2">
      <c r="F732" s="15"/>
    </row>
    <row r="733" spans="6:6" x14ac:dyDescent="0.2">
      <c r="F733" s="15"/>
    </row>
    <row r="734" spans="6:6" x14ac:dyDescent="0.2">
      <c r="F734" s="15"/>
    </row>
    <row r="735" spans="6:6" x14ac:dyDescent="0.2">
      <c r="F735" s="15"/>
    </row>
    <row r="736" spans="6:6" x14ac:dyDescent="0.2">
      <c r="F736" s="15"/>
    </row>
    <row r="737" spans="6:6" x14ac:dyDescent="0.2">
      <c r="F737" s="15"/>
    </row>
    <row r="738" spans="6:6" x14ac:dyDescent="0.2">
      <c r="F738" s="15"/>
    </row>
    <row r="739" spans="6:6" x14ac:dyDescent="0.2">
      <c r="F739" s="15"/>
    </row>
    <row r="740" spans="6:6" x14ac:dyDescent="0.2">
      <c r="F740" s="15"/>
    </row>
    <row r="741" spans="6:6" x14ac:dyDescent="0.2">
      <c r="F741" s="15"/>
    </row>
    <row r="742" spans="6:6" x14ac:dyDescent="0.2">
      <c r="F742" s="15"/>
    </row>
    <row r="743" spans="6:6" x14ac:dyDescent="0.2">
      <c r="F743" s="15"/>
    </row>
    <row r="744" spans="6:6" x14ac:dyDescent="0.2">
      <c r="F744" s="15"/>
    </row>
    <row r="745" spans="6:6" x14ac:dyDescent="0.2">
      <c r="F745" s="15"/>
    </row>
    <row r="746" spans="6:6" x14ac:dyDescent="0.2">
      <c r="F746" s="15"/>
    </row>
    <row r="747" spans="6:6" x14ac:dyDescent="0.2">
      <c r="F747" s="15"/>
    </row>
    <row r="748" spans="6:6" x14ac:dyDescent="0.2">
      <c r="F748" s="15"/>
    </row>
    <row r="749" spans="6:6" x14ac:dyDescent="0.2">
      <c r="F749" s="15"/>
    </row>
    <row r="750" spans="6:6" x14ac:dyDescent="0.2">
      <c r="F750" s="15"/>
    </row>
    <row r="751" spans="6:6" x14ac:dyDescent="0.2">
      <c r="F751" s="15"/>
    </row>
    <row r="752" spans="6:6" x14ac:dyDescent="0.2">
      <c r="F752" s="15"/>
    </row>
    <row r="753" spans="6:6" x14ac:dyDescent="0.2">
      <c r="F753" s="15"/>
    </row>
    <row r="754" spans="6:6" x14ac:dyDescent="0.2">
      <c r="F754" s="15"/>
    </row>
    <row r="755" spans="6:6" x14ac:dyDescent="0.2">
      <c r="F755" s="15"/>
    </row>
    <row r="756" spans="6:6" x14ac:dyDescent="0.2">
      <c r="F756" s="15"/>
    </row>
    <row r="757" spans="6:6" x14ac:dyDescent="0.2">
      <c r="F757" s="15"/>
    </row>
    <row r="758" spans="6:6" x14ac:dyDescent="0.2">
      <c r="F758" s="15"/>
    </row>
    <row r="759" spans="6:6" x14ac:dyDescent="0.2">
      <c r="F759" s="15"/>
    </row>
    <row r="760" spans="6:6" x14ac:dyDescent="0.2">
      <c r="F760" s="15"/>
    </row>
    <row r="761" spans="6:6" x14ac:dyDescent="0.2">
      <c r="F761" s="15"/>
    </row>
    <row r="762" spans="6:6" x14ac:dyDescent="0.2">
      <c r="F762" s="15"/>
    </row>
    <row r="763" spans="6:6" x14ac:dyDescent="0.2">
      <c r="F763" s="15"/>
    </row>
    <row r="764" spans="6:6" x14ac:dyDescent="0.2">
      <c r="F764" s="15"/>
    </row>
    <row r="765" spans="6:6" x14ac:dyDescent="0.2">
      <c r="F765" s="15"/>
    </row>
    <row r="766" spans="6:6" x14ac:dyDescent="0.2">
      <c r="F766" s="15"/>
    </row>
    <row r="767" spans="6:6" x14ac:dyDescent="0.2">
      <c r="F767" s="15"/>
    </row>
    <row r="768" spans="6:6" x14ac:dyDescent="0.2">
      <c r="F768" s="15"/>
    </row>
    <row r="769" spans="6:6" x14ac:dyDescent="0.2">
      <c r="F769" s="15"/>
    </row>
    <row r="770" spans="6:6" x14ac:dyDescent="0.2">
      <c r="F770" s="15"/>
    </row>
    <row r="771" spans="6:6" x14ac:dyDescent="0.2">
      <c r="F771" s="15"/>
    </row>
    <row r="772" spans="6:6" x14ac:dyDescent="0.2">
      <c r="F772" s="15"/>
    </row>
    <row r="773" spans="6:6" x14ac:dyDescent="0.2">
      <c r="F773" s="15"/>
    </row>
    <row r="774" spans="6:6" x14ac:dyDescent="0.2">
      <c r="F774" s="15"/>
    </row>
    <row r="775" spans="6:6" x14ac:dyDescent="0.2">
      <c r="F775" s="15"/>
    </row>
    <row r="776" spans="6:6" x14ac:dyDescent="0.2">
      <c r="F776" s="15"/>
    </row>
    <row r="777" spans="6:6" x14ac:dyDescent="0.2">
      <c r="F777" s="15"/>
    </row>
    <row r="778" spans="6:6" x14ac:dyDescent="0.2">
      <c r="F778" s="15"/>
    </row>
    <row r="779" spans="6:6" x14ac:dyDescent="0.2">
      <c r="F779" s="15"/>
    </row>
    <row r="780" spans="6:6" x14ac:dyDescent="0.2">
      <c r="F780" s="15"/>
    </row>
    <row r="781" spans="6:6" x14ac:dyDescent="0.2">
      <c r="F781" s="15"/>
    </row>
    <row r="782" spans="6:6" x14ac:dyDescent="0.2">
      <c r="F782" s="15"/>
    </row>
    <row r="783" spans="6:6" x14ac:dyDescent="0.2">
      <c r="F783" s="15"/>
    </row>
    <row r="784" spans="6:6" x14ac:dyDescent="0.2">
      <c r="F784" s="15"/>
    </row>
    <row r="785" spans="6:6" x14ac:dyDescent="0.2">
      <c r="F785" s="15"/>
    </row>
    <row r="786" spans="6:6" x14ac:dyDescent="0.2">
      <c r="F786" s="15"/>
    </row>
    <row r="787" spans="6:6" x14ac:dyDescent="0.2">
      <c r="F787" s="15"/>
    </row>
    <row r="788" spans="6:6" x14ac:dyDescent="0.2">
      <c r="F788" s="15"/>
    </row>
    <row r="789" spans="6:6" x14ac:dyDescent="0.2">
      <c r="F789" s="15"/>
    </row>
    <row r="790" spans="6:6" x14ac:dyDescent="0.2">
      <c r="F790" s="15"/>
    </row>
    <row r="791" spans="6:6" x14ac:dyDescent="0.2">
      <c r="F791" s="15"/>
    </row>
    <row r="792" spans="6:6" x14ac:dyDescent="0.2">
      <c r="F792" s="15"/>
    </row>
    <row r="793" spans="6:6" x14ac:dyDescent="0.2">
      <c r="F793" s="15"/>
    </row>
    <row r="794" spans="6:6" x14ac:dyDescent="0.2">
      <c r="F794" s="15"/>
    </row>
    <row r="795" spans="6:6" x14ac:dyDescent="0.2">
      <c r="F795" s="15"/>
    </row>
    <row r="796" spans="6:6" x14ac:dyDescent="0.2">
      <c r="F796" s="15"/>
    </row>
    <row r="797" spans="6:6" x14ac:dyDescent="0.2">
      <c r="F797" s="15"/>
    </row>
    <row r="798" spans="6:6" x14ac:dyDescent="0.2">
      <c r="F798" s="15"/>
    </row>
    <row r="799" spans="6:6" x14ac:dyDescent="0.2">
      <c r="F799" s="15"/>
    </row>
    <row r="800" spans="6:6" x14ac:dyDescent="0.2">
      <c r="F800" s="15"/>
    </row>
    <row r="801" spans="6:6" x14ac:dyDescent="0.2">
      <c r="F801" s="15"/>
    </row>
    <row r="802" spans="6:6" x14ac:dyDescent="0.2">
      <c r="F802" s="15"/>
    </row>
    <row r="803" spans="6:6" x14ac:dyDescent="0.2">
      <c r="F803" s="15"/>
    </row>
    <row r="804" spans="6:6" x14ac:dyDescent="0.2">
      <c r="F804" s="15"/>
    </row>
    <row r="805" spans="6:6" x14ac:dyDescent="0.2">
      <c r="F805" s="15"/>
    </row>
    <row r="806" spans="6:6" x14ac:dyDescent="0.2">
      <c r="F806" s="15"/>
    </row>
    <row r="807" spans="6:6" x14ac:dyDescent="0.2">
      <c r="F807" s="15"/>
    </row>
    <row r="808" spans="6:6" x14ac:dyDescent="0.2">
      <c r="F808" s="15"/>
    </row>
    <row r="809" spans="6:6" x14ac:dyDescent="0.2">
      <c r="F809" s="15"/>
    </row>
    <row r="810" spans="6:6" x14ac:dyDescent="0.2">
      <c r="F810" s="15"/>
    </row>
    <row r="811" spans="6:6" x14ac:dyDescent="0.2">
      <c r="F811" s="15"/>
    </row>
    <row r="812" spans="6:6" x14ac:dyDescent="0.2">
      <c r="F812" s="15"/>
    </row>
    <row r="813" spans="6:6" x14ac:dyDescent="0.2">
      <c r="F813" s="15"/>
    </row>
    <row r="814" spans="6:6" x14ac:dyDescent="0.2">
      <c r="F814" s="15"/>
    </row>
    <row r="815" spans="6:6" x14ac:dyDescent="0.2">
      <c r="F815" s="15"/>
    </row>
    <row r="816" spans="6:6" x14ac:dyDescent="0.2">
      <c r="F816" s="15"/>
    </row>
    <row r="817" spans="6:6" x14ac:dyDescent="0.2">
      <c r="F817" s="15"/>
    </row>
    <row r="818" spans="6:6" x14ac:dyDescent="0.2">
      <c r="F818" s="15"/>
    </row>
    <row r="819" spans="6:6" x14ac:dyDescent="0.2">
      <c r="F819" s="15"/>
    </row>
    <row r="820" spans="6:6" x14ac:dyDescent="0.2">
      <c r="F820" s="15"/>
    </row>
    <row r="821" spans="6:6" x14ac:dyDescent="0.2">
      <c r="F821" s="15"/>
    </row>
    <row r="822" spans="6:6" x14ac:dyDescent="0.2">
      <c r="F822" s="15"/>
    </row>
    <row r="823" spans="6:6" x14ac:dyDescent="0.2">
      <c r="F823" s="15"/>
    </row>
    <row r="824" spans="6:6" x14ac:dyDescent="0.2">
      <c r="F824" s="15"/>
    </row>
    <row r="825" spans="6:6" x14ac:dyDescent="0.2">
      <c r="F825" s="15"/>
    </row>
    <row r="826" spans="6:6" x14ac:dyDescent="0.2">
      <c r="F826" s="15"/>
    </row>
    <row r="827" spans="6:6" x14ac:dyDescent="0.2">
      <c r="F827" s="15"/>
    </row>
    <row r="828" spans="6:6" x14ac:dyDescent="0.2">
      <c r="F828" s="15"/>
    </row>
    <row r="829" spans="6:6" x14ac:dyDescent="0.2">
      <c r="F829" s="15"/>
    </row>
    <row r="830" spans="6:6" x14ac:dyDescent="0.2">
      <c r="F830" s="15"/>
    </row>
    <row r="831" spans="6:6" x14ac:dyDescent="0.2">
      <c r="F831" s="15"/>
    </row>
    <row r="832" spans="6:6" x14ac:dyDescent="0.2">
      <c r="F832" s="15"/>
    </row>
    <row r="833" spans="6:6" x14ac:dyDescent="0.2">
      <c r="F833" s="15"/>
    </row>
    <row r="834" spans="6:6" x14ac:dyDescent="0.2">
      <c r="F834" s="15"/>
    </row>
    <row r="835" spans="6:6" x14ac:dyDescent="0.2">
      <c r="F835" s="15"/>
    </row>
    <row r="836" spans="6:6" x14ac:dyDescent="0.2">
      <c r="F836" s="15"/>
    </row>
    <row r="837" spans="6:6" x14ac:dyDescent="0.2">
      <c r="F837" s="15"/>
    </row>
    <row r="838" spans="6:6" x14ac:dyDescent="0.2">
      <c r="F838" s="15"/>
    </row>
    <row r="839" spans="6:6" x14ac:dyDescent="0.2">
      <c r="F839" s="15"/>
    </row>
    <row r="840" spans="6:6" x14ac:dyDescent="0.2">
      <c r="F840" s="15"/>
    </row>
    <row r="841" spans="6:6" x14ac:dyDescent="0.2">
      <c r="F841" s="15"/>
    </row>
    <row r="842" spans="6:6" x14ac:dyDescent="0.2">
      <c r="F842" s="15"/>
    </row>
    <row r="843" spans="6:6" x14ac:dyDescent="0.2">
      <c r="F843" s="15"/>
    </row>
    <row r="844" spans="6:6" x14ac:dyDescent="0.2">
      <c r="F844" s="15"/>
    </row>
    <row r="845" spans="6:6" x14ac:dyDescent="0.2">
      <c r="F845" s="15"/>
    </row>
    <row r="846" spans="6:6" x14ac:dyDescent="0.2">
      <c r="F846" s="15"/>
    </row>
    <row r="847" spans="6:6" x14ac:dyDescent="0.2">
      <c r="F847" s="15"/>
    </row>
    <row r="848" spans="6:6" x14ac:dyDescent="0.2">
      <c r="F848" s="15"/>
    </row>
    <row r="849" spans="6:6" x14ac:dyDescent="0.2">
      <c r="F849" s="15"/>
    </row>
    <row r="850" spans="6:6" x14ac:dyDescent="0.2">
      <c r="F850" s="15"/>
    </row>
    <row r="851" spans="6:6" x14ac:dyDescent="0.2">
      <c r="F851" s="15"/>
    </row>
    <row r="852" spans="6:6" x14ac:dyDescent="0.2">
      <c r="F852" s="15"/>
    </row>
    <row r="853" spans="6:6" x14ac:dyDescent="0.2">
      <c r="F853" s="15"/>
    </row>
    <row r="854" spans="6:6" x14ac:dyDescent="0.2">
      <c r="F854" s="15"/>
    </row>
    <row r="855" spans="6:6" x14ac:dyDescent="0.2">
      <c r="F855" s="15"/>
    </row>
    <row r="856" spans="6:6" x14ac:dyDescent="0.2">
      <c r="F856" s="15"/>
    </row>
    <row r="857" spans="6:6" x14ac:dyDescent="0.2">
      <c r="F857" s="15"/>
    </row>
    <row r="858" spans="6:6" x14ac:dyDescent="0.2">
      <c r="F858" s="15"/>
    </row>
    <row r="859" spans="6:6" x14ac:dyDescent="0.2">
      <c r="F859" s="15"/>
    </row>
    <row r="860" spans="6:6" x14ac:dyDescent="0.2">
      <c r="F860" s="15"/>
    </row>
    <row r="861" spans="6:6" x14ac:dyDescent="0.2">
      <c r="F861" s="15"/>
    </row>
    <row r="862" spans="6:6" x14ac:dyDescent="0.2">
      <c r="F862" s="15"/>
    </row>
    <row r="863" spans="6:6" x14ac:dyDescent="0.2">
      <c r="F863" s="15"/>
    </row>
    <row r="864" spans="6:6" x14ac:dyDescent="0.2">
      <c r="F864" s="15"/>
    </row>
    <row r="865" spans="6:6" x14ac:dyDescent="0.2">
      <c r="F865" s="15"/>
    </row>
    <row r="866" spans="6:6" x14ac:dyDescent="0.2">
      <c r="F866" s="15"/>
    </row>
    <row r="867" spans="6:6" x14ac:dyDescent="0.2">
      <c r="F867" s="15"/>
    </row>
    <row r="868" spans="6:6" x14ac:dyDescent="0.2">
      <c r="F868" s="15"/>
    </row>
    <row r="869" spans="6:6" x14ac:dyDescent="0.2">
      <c r="F869" s="15"/>
    </row>
    <row r="870" spans="6:6" x14ac:dyDescent="0.2">
      <c r="F870" s="15"/>
    </row>
    <row r="871" spans="6:6" x14ac:dyDescent="0.2">
      <c r="F871" s="15"/>
    </row>
    <row r="872" spans="6:6" x14ac:dyDescent="0.2">
      <c r="F872" s="15"/>
    </row>
    <row r="873" spans="6:6" x14ac:dyDescent="0.2">
      <c r="F873" s="15"/>
    </row>
    <row r="874" spans="6:6" x14ac:dyDescent="0.2">
      <c r="F874" s="15"/>
    </row>
    <row r="875" spans="6:6" x14ac:dyDescent="0.2">
      <c r="F875" s="15"/>
    </row>
    <row r="876" spans="6:6" x14ac:dyDescent="0.2">
      <c r="F876" s="15"/>
    </row>
    <row r="877" spans="6:6" x14ac:dyDescent="0.2">
      <c r="F877" s="15"/>
    </row>
    <row r="878" spans="6:6" x14ac:dyDescent="0.2">
      <c r="F878" s="15"/>
    </row>
    <row r="879" spans="6:6" x14ac:dyDescent="0.2">
      <c r="F879" s="15"/>
    </row>
    <row r="880" spans="6:6" x14ac:dyDescent="0.2">
      <c r="F880" s="15"/>
    </row>
    <row r="881" spans="6:6" x14ac:dyDescent="0.2">
      <c r="F881" s="15"/>
    </row>
    <row r="882" spans="6:6" x14ac:dyDescent="0.2">
      <c r="F882" s="15"/>
    </row>
    <row r="883" spans="6:6" x14ac:dyDescent="0.2">
      <c r="F883" s="15"/>
    </row>
    <row r="884" spans="6:6" x14ac:dyDescent="0.2">
      <c r="F884" s="15"/>
    </row>
    <row r="885" spans="6:6" x14ac:dyDescent="0.2">
      <c r="F885" s="15"/>
    </row>
    <row r="886" spans="6:6" x14ac:dyDescent="0.2">
      <c r="F886" s="15"/>
    </row>
    <row r="887" spans="6:6" x14ac:dyDescent="0.2">
      <c r="F887" s="15"/>
    </row>
    <row r="888" spans="6:6" x14ac:dyDescent="0.2">
      <c r="F888" s="15"/>
    </row>
    <row r="889" spans="6:6" x14ac:dyDescent="0.2">
      <c r="F889" s="15"/>
    </row>
    <row r="890" spans="6:6" x14ac:dyDescent="0.2">
      <c r="F890" s="15"/>
    </row>
    <row r="891" spans="6:6" x14ac:dyDescent="0.2">
      <c r="F891" s="15"/>
    </row>
    <row r="892" spans="6:6" x14ac:dyDescent="0.2">
      <c r="F892" s="15"/>
    </row>
    <row r="893" spans="6:6" x14ac:dyDescent="0.2">
      <c r="F893" s="15"/>
    </row>
    <row r="894" spans="6:6" x14ac:dyDescent="0.2">
      <c r="F894" s="15"/>
    </row>
    <row r="895" spans="6:6" x14ac:dyDescent="0.2">
      <c r="F895" s="15"/>
    </row>
    <row r="896" spans="6:6" x14ac:dyDescent="0.2">
      <c r="F896" s="15"/>
    </row>
    <row r="897" spans="6:6" x14ac:dyDescent="0.2">
      <c r="F897" s="15"/>
    </row>
    <row r="898" spans="6:6" x14ac:dyDescent="0.2">
      <c r="F898" s="15"/>
    </row>
    <row r="899" spans="6:6" x14ac:dyDescent="0.2">
      <c r="F899" s="15"/>
    </row>
    <row r="900" spans="6:6" x14ac:dyDescent="0.2">
      <c r="F900" s="15"/>
    </row>
    <row r="901" spans="6:6" x14ac:dyDescent="0.2">
      <c r="F901" s="15"/>
    </row>
    <row r="902" spans="6:6" x14ac:dyDescent="0.2">
      <c r="F902" s="15"/>
    </row>
    <row r="903" spans="6:6" x14ac:dyDescent="0.2">
      <c r="F903" s="15"/>
    </row>
    <row r="904" spans="6:6" x14ac:dyDescent="0.2">
      <c r="F904" s="15"/>
    </row>
    <row r="905" spans="6:6" x14ac:dyDescent="0.2">
      <c r="F905" s="15"/>
    </row>
    <row r="906" spans="6:6" x14ac:dyDescent="0.2">
      <c r="F906" s="15"/>
    </row>
    <row r="907" spans="6:6" x14ac:dyDescent="0.2">
      <c r="F907" s="15"/>
    </row>
    <row r="908" spans="6:6" x14ac:dyDescent="0.2">
      <c r="F908" s="15"/>
    </row>
    <row r="909" spans="6:6" x14ac:dyDescent="0.2">
      <c r="F909" s="15"/>
    </row>
    <row r="910" spans="6:6" x14ac:dyDescent="0.2">
      <c r="F910" s="15"/>
    </row>
    <row r="911" spans="6:6" x14ac:dyDescent="0.2">
      <c r="F911" s="15"/>
    </row>
    <row r="912" spans="6:6" x14ac:dyDescent="0.2">
      <c r="F912" s="15"/>
    </row>
    <row r="913" spans="6:6" x14ac:dyDescent="0.2">
      <c r="F913" s="15"/>
    </row>
    <row r="914" spans="6:6" x14ac:dyDescent="0.2">
      <c r="F914" s="15"/>
    </row>
    <row r="915" spans="6:6" x14ac:dyDescent="0.2">
      <c r="F915" s="15"/>
    </row>
    <row r="916" spans="6:6" x14ac:dyDescent="0.2">
      <c r="F916" s="15"/>
    </row>
    <row r="917" spans="6:6" x14ac:dyDescent="0.2">
      <c r="F917" s="15"/>
    </row>
    <row r="918" spans="6:6" x14ac:dyDescent="0.2">
      <c r="F918" s="15"/>
    </row>
    <row r="919" spans="6:6" x14ac:dyDescent="0.2">
      <c r="F919" s="15"/>
    </row>
    <row r="920" spans="6:6" x14ac:dyDescent="0.2">
      <c r="F920" s="15"/>
    </row>
    <row r="921" spans="6:6" x14ac:dyDescent="0.2">
      <c r="F921" s="15"/>
    </row>
    <row r="922" spans="6:6" x14ac:dyDescent="0.2">
      <c r="F922" s="15"/>
    </row>
    <row r="923" spans="6:6" x14ac:dyDescent="0.2">
      <c r="F923" s="15"/>
    </row>
    <row r="924" spans="6:6" x14ac:dyDescent="0.2">
      <c r="F924" s="15"/>
    </row>
    <row r="925" spans="6:6" x14ac:dyDescent="0.2">
      <c r="F925" s="15"/>
    </row>
    <row r="926" spans="6:6" x14ac:dyDescent="0.2">
      <c r="F926" s="15"/>
    </row>
    <row r="927" spans="6:6" x14ac:dyDescent="0.2">
      <c r="F927" s="15"/>
    </row>
    <row r="928" spans="6:6" x14ac:dyDescent="0.2">
      <c r="F928" s="15"/>
    </row>
    <row r="929" spans="6:6" x14ac:dyDescent="0.2">
      <c r="F929" s="15"/>
    </row>
    <row r="930" spans="6:6" x14ac:dyDescent="0.2">
      <c r="F930" s="15"/>
    </row>
    <row r="931" spans="6:6" x14ac:dyDescent="0.2">
      <c r="F931" s="15"/>
    </row>
    <row r="932" spans="6:6" x14ac:dyDescent="0.2">
      <c r="F932" s="15"/>
    </row>
    <row r="933" spans="6:6" x14ac:dyDescent="0.2">
      <c r="F933" s="15"/>
    </row>
    <row r="934" spans="6:6" x14ac:dyDescent="0.2">
      <c r="F934" s="15"/>
    </row>
    <row r="935" spans="6:6" x14ac:dyDescent="0.2">
      <c r="F935" s="15"/>
    </row>
    <row r="936" spans="6:6" x14ac:dyDescent="0.2">
      <c r="F936" s="15"/>
    </row>
    <row r="937" spans="6:6" x14ac:dyDescent="0.2">
      <c r="F937" s="15"/>
    </row>
    <row r="938" spans="6:6" x14ac:dyDescent="0.2">
      <c r="F938" s="15"/>
    </row>
    <row r="939" spans="6:6" x14ac:dyDescent="0.2">
      <c r="F939" s="15"/>
    </row>
    <row r="940" spans="6:6" x14ac:dyDescent="0.2">
      <c r="F940" s="15"/>
    </row>
    <row r="941" spans="6:6" x14ac:dyDescent="0.2">
      <c r="F941" s="15"/>
    </row>
    <row r="942" spans="6:6" x14ac:dyDescent="0.2">
      <c r="F942" s="15"/>
    </row>
    <row r="943" spans="6:6" x14ac:dyDescent="0.2">
      <c r="F943" s="15"/>
    </row>
    <row r="944" spans="6:6" x14ac:dyDescent="0.2">
      <c r="F944" s="15"/>
    </row>
    <row r="945" spans="6:6" x14ac:dyDescent="0.2">
      <c r="F945" s="15"/>
    </row>
    <row r="946" spans="6:6" x14ac:dyDescent="0.2">
      <c r="F946" s="15"/>
    </row>
    <row r="947" spans="6:6" x14ac:dyDescent="0.2">
      <c r="F947" s="15"/>
    </row>
    <row r="948" spans="6:6" x14ac:dyDescent="0.2">
      <c r="F948" s="15"/>
    </row>
    <row r="949" spans="6:6" x14ac:dyDescent="0.2">
      <c r="F949" s="15"/>
    </row>
    <row r="950" spans="6:6" x14ac:dyDescent="0.2">
      <c r="F950" s="15"/>
    </row>
    <row r="951" spans="6:6" x14ac:dyDescent="0.2">
      <c r="F951" s="15"/>
    </row>
    <row r="952" spans="6:6" x14ac:dyDescent="0.2">
      <c r="F952" s="15"/>
    </row>
    <row r="953" spans="6:6" x14ac:dyDescent="0.2">
      <c r="F953" s="15"/>
    </row>
    <row r="954" spans="6:6" x14ac:dyDescent="0.2">
      <c r="F954" s="15"/>
    </row>
    <row r="955" spans="6:6" x14ac:dyDescent="0.2">
      <c r="F955" s="15"/>
    </row>
    <row r="956" spans="6:6" x14ac:dyDescent="0.2">
      <c r="F956" s="15"/>
    </row>
    <row r="957" spans="6:6" x14ac:dyDescent="0.2">
      <c r="F957" s="15"/>
    </row>
    <row r="958" spans="6:6" x14ac:dyDescent="0.2">
      <c r="F958" s="15"/>
    </row>
    <row r="959" spans="6:6" x14ac:dyDescent="0.2">
      <c r="F959" s="15"/>
    </row>
    <row r="960" spans="6:6" x14ac:dyDescent="0.2">
      <c r="F960" s="15"/>
    </row>
    <row r="961" spans="6:6" x14ac:dyDescent="0.2">
      <c r="F961" s="15"/>
    </row>
    <row r="962" spans="6:6" x14ac:dyDescent="0.2">
      <c r="F962" s="15"/>
    </row>
    <row r="963" spans="6:6" x14ac:dyDescent="0.2">
      <c r="F963" s="15"/>
    </row>
    <row r="964" spans="6:6" x14ac:dyDescent="0.2">
      <c r="F964" s="15"/>
    </row>
    <row r="965" spans="6:6" x14ac:dyDescent="0.2">
      <c r="F965" s="15"/>
    </row>
    <row r="966" spans="6:6" x14ac:dyDescent="0.2">
      <c r="F966" s="15"/>
    </row>
    <row r="967" spans="6:6" x14ac:dyDescent="0.2">
      <c r="F967" s="15"/>
    </row>
    <row r="968" spans="6:6" x14ac:dyDescent="0.2">
      <c r="F968" s="15"/>
    </row>
    <row r="969" spans="6:6" x14ac:dyDescent="0.2">
      <c r="F969" s="15"/>
    </row>
    <row r="970" spans="6:6" x14ac:dyDescent="0.2">
      <c r="F970" s="15"/>
    </row>
    <row r="971" spans="6:6" x14ac:dyDescent="0.2">
      <c r="F971" s="15"/>
    </row>
    <row r="972" spans="6:6" x14ac:dyDescent="0.2">
      <c r="F972" s="15"/>
    </row>
    <row r="973" spans="6:6" x14ac:dyDescent="0.2">
      <c r="F973" s="15"/>
    </row>
    <row r="974" spans="6:6" x14ac:dyDescent="0.2">
      <c r="F974" s="15"/>
    </row>
    <row r="975" spans="6:6" x14ac:dyDescent="0.2">
      <c r="F975" s="15"/>
    </row>
    <row r="976" spans="6:6" x14ac:dyDescent="0.2">
      <c r="F976" s="15"/>
    </row>
    <row r="977" spans="6:6" x14ac:dyDescent="0.2">
      <c r="F977" s="15"/>
    </row>
    <row r="978" spans="6:6" x14ac:dyDescent="0.2">
      <c r="F978" s="15"/>
    </row>
    <row r="979" spans="6:6" x14ac:dyDescent="0.2">
      <c r="F979" s="15"/>
    </row>
    <row r="980" spans="6:6" x14ac:dyDescent="0.2">
      <c r="F980" s="15"/>
    </row>
    <row r="981" spans="6:6" x14ac:dyDescent="0.2">
      <c r="F981" s="15"/>
    </row>
    <row r="982" spans="6:6" x14ac:dyDescent="0.2">
      <c r="F982" s="15"/>
    </row>
    <row r="983" spans="6:6" x14ac:dyDescent="0.2">
      <c r="F983" s="15"/>
    </row>
    <row r="984" spans="6:6" x14ac:dyDescent="0.2">
      <c r="F984" s="15"/>
    </row>
    <row r="985" spans="6:6" x14ac:dyDescent="0.2">
      <c r="F985" s="15"/>
    </row>
    <row r="986" spans="6:6" x14ac:dyDescent="0.2">
      <c r="F986" s="15"/>
    </row>
    <row r="987" spans="6:6" x14ac:dyDescent="0.2">
      <c r="F987" s="15"/>
    </row>
    <row r="988" spans="6:6" x14ac:dyDescent="0.2">
      <c r="F988" s="15"/>
    </row>
    <row r="989" spans="6:6" x14ac:dyDescent="0.2">
      <c r="F989" s="15"/>
    </row>
    <row r="990" spans="6:6" x14ac:dyDescent="0.2">
      <c r="F990" s="15"/>
    </row>
    <row r="991" spans="6:6" x14ac:dyDescent="0.2">
      <c r="F991" s="15"/>
    </row>
    <row r="992" spans="6:6" x14ac:dyDescent="0.2">
      <c r="F992" s="15"/>
    </row>
    <row r="993" spans="6:6" x14ac:dyDescent="0.2">
      <c r="F993" s="15"/>
    </row>
    <row r="994" spans="6:6" x14ac:dyDescent="0.2">
      <c r="F994" s="15"/>
    </row>
    <row r="995" spans="6:6" x14ac:dyDescent="0.2">
      <c r="F995" s="15"/>
    </row>
    <row r="996" spans="6:6" x14ac:dyDescent="0.2">
      <c r="F996" s="15"/>
    </row>
    <row r="997" spans="6:6" x14ac:dyDescent="0.2">
      <c r="F997" s="15"/>
    </row>
    <row r="998" spans="6:6" x14ac:dyDescent="0.2">
      <c r="F998" s="15"/>
    </row>
    <row r="999" spans="6:6" x14ac:dyDescent="0.2">
      <c r="F999" s="15"/>
    </row>
    <row r="1000" spans="6:6" x14ac:dyDescent="0.2">
      <c r="F1000" s="15"/>
    </row>
    <row r="1001" spans="6:6" x14ac:dyDescent="0.2">
      <c r="F1001" s="15"/>
    </row>
    <row r="1002" spans="6:6" x14ac:dyDescent="0.2">
      <c r="F1002" s="15"/>
    </row>
    <row r="1003" spans="6:6" x14ac:dyDescent="0.2">
      <c r="F1003" s="15"/>
    </row>
    <row r="1004" spans="6:6" x14ac:dyDescent="0.2">
      <c r="F1004" s="15"/>
    </row>
    <row r="1005" spans="6:6" x14ac:dyDescent="0.2">
      <c r="F1005" s="15"/>
    </row>
    <row r="1006" spans="6:6" x14ac:dyDescent="0.2">
      <c r="F1006" s="15"/>
    </row>
    <row r="1007" spans="6:6" x14ac:dyDescent="0.2">
      <c r="F1007" s="15"/>
    </row>
    <row r="1008" spans="6:6" x14ac:dyDescent="0.2">
      <c r="F1008" s="15"/>
    </row>
    <row r="1009" spans="6:6" x14ac:dyDescent="0.2">
      <c r="F1009" s="15"/>
    </row>
    <row r="1010" spans="6:6" x14ac:dyDescent="0.2">
      <c r="F1010" s="15"/>
    </row>
    <row r="1011" spans="6:6" x14ac:dyDescent="0.2">
      <c r="F1011" s="15"/>
    </row>
    <row r="1012" spans="6:6" x14ac:dyDescent="0.2">
      <c r="F1012" s="15"/>
    </row>
    <row r="1013" spans="6:6" x14ac:dyDescent="0.2">
      <c r="F1013" s="15"/>
    </row>
    <row r="1014" spans="6:6" x14ac:dyDescent="0.2">
      <c r="F1014" s="15"/>
    </row>
    <row r="1015" spans="6:6" x14ac:dyDescent="0.2">
      <c r="F1015" s="15"/>
    </row>
    <row r="1016" spans="6:6" x14ac:dyDescent="0.2">
      <c r="F1016" s="15"/>
    </row>
    <row r="1017" spans="6:6" x14ac:dyDescent="0.2">
      <c r="F1017" s="15"/>
    </row>
    <row r="1018" spans="6:6" x14ac:dyDescent="0.2">
      <c r="F1018" s="15"/>
    </row>
    <row r="1019" spans="6:6" x14ac:dyDescent="0.2">
      <c r="F1019" s="15"/>
    </row>
    <row r="1020" spans="6:6" x14ac:dyDescent="0.2">
      <c r="F1020" s="15"/>
    </row>
    <row r="1021" spans="6:6" x14ac:dyDescent="0.2">
      <c r="F1021" s="15"/>
    </row>
    <row r="1022" spans="6:6" x14ac:dyDescent="0.2">
      <c r="F1022" s="15"/>
    </row>
    <row r="1023" spans="6:6" x14ac:dyDescent="0.2">
      <c r="F1023" s="15"/>
    </row>
    <row r="1024" spans="6:6" x14ac:dyDescent="0.2">
      <c r="F1024" s="15"/>
    </row>
    <row r="1025" spans="6:6" x14ac:dyDescent="0.2">
      <c r="F1025" s="15"/>
    </row>
    <row r="1026" spans="6:6" x14ac:dyDescent="0.2">
      <c r="F1026" s="15"/>
    </row>
    <row r="1027" spans="6:6" x14ac:dyDescent="0.2">
      <c r="F1027" s="15"/>
    </row>
    <row r="1028" spans="6:6" x14ac:dyDescent="0.2">
      <c r="F1028" s="15"/>
    </row>
    <row r="1029" spans="6:6" x14ac:dyDescent="0.2">
      <c r="F1029" s="15"/>
    </row>
    <row r="1030" spans="6:6" x14ac:dyDescent="0.2">
      <c r="F1030" s="15"/>
    </row>
    <row r="1031" spans="6:6" x14ac:dyDescent="0.2">
      <c r="F1031" s="15"/>
    </row>
    <row r="1032" spans="6:6" x14ac:dyDescent="0.2">
      <c r="F1032" s="15"/>
    </row>
    <row r="1033" spans="6:6" x14ac:dyDescent="0.2">
      <c r="F1033" s="15"/>
    </row>
    <row r="1034" spans="6:6" x14ac:dyDescent="0.2">
      <c r="F1034" s="15"/>
    </row>
    <row r="1035" spans="6:6" x14ac:dyDescent="0.2">
      <c r="F1035" s="15"/>
    </row>
    <row r="1036" spans="6:6" x14ac:dyDescent="0.2">
      <c r="F1036" s="15"/>
    </row>
    <row r="1037" spans="6:6" x14ac:dyDescent="0.2">
      <c r="F1037" s="15"/>
    </row>
    <row r="1038" spans="6:6" x14ac:dyDescent="0.2">
      <c r="F1038" s="15"/>
    </row>
    <row r="1039" spans="6:6" x14ac:dyDescent="0.2">
      <c r="F1039" s="15"/>
    </row>
    <row r="1040" spans="6:6" x14ac:dyDescent="0.2">
      <c r="F1040" s="15"/>
    </row>
    <row r="1041" spans="6:6" x14ac:dyDescent="0.2">
      <c r="F1041" s="15"/>
    </row>
    <row r="1042" spans="6:6" x14ac:dyDescent="0.2">
      <c r="F1042" s="15"/>
    </row>
    <row r="1043" spans="6:6" x14ac:dyDescent="0.2">
      <c r="F1043" s="15"/>
    </row>
    <row r="1044" spans="6:6" x14ac:dyDescent="0.2">
      <c r="F1044" s="15"/>
    </row>
    <row r="1045" spans="6:6" x14ac:dyDescent="0.2">
      <c r="F1045" s="15"/>
    </row>
    <row r="1046" spans="6:6" x14ac:dyDescent="0.2">
      <c r="F1046" s="15"/>
    </row>
    <row r="1047" spans="6:6" x14ac:dyDescent="0.2">
      <c r="F1047" s="15"/>
    </row>
    <row r="1048" spans="6:6" x14ac:dyDescent="0.2">
      <c r="F1048" s="15"/>
    </row>
    <row r="1049" spans="6:6" x14ac:dyDescent="0.2">
      <c r="F1049" s="15"/>
    </row>
    <row r="1050" spans="6:6" x14ac:dyDescent="0.2">
      <c r="F1050" s="15"/>
    </row>
    <row r="1051" spans="6:6" x14ac:dyDescent="0.2">
      <c r="F1051" s="15"/>
    </row>
    <row r="1052" spans="6:6" x14ac:dyDescent="0.2">
      <c r="F1052" s="15"/>
    </row>
    <row r="1053" spans="6:6" x14ac:dyDescent="0.2">
      <c r="F1053" s="15"/>
    </row>
    <row r="1054" spans="6:6" x14ac:dyDescent="0.2">
      <c r="F1054" s="15"/>
    </row>
    <row r="1055" spans="6:6" x14ac:dyDescent="0.2">
      <c r="F1055" s="15"/>
    </row>
    <row r="1056" spans="6:6" x14ac:dyDescent="0.2">
      <c r="F1056" s="15"/>
    </row>
    <row r="1057" spans="6:6" x14ac:dyDescent="0.2">
      <c r="F1057" s="15"/>
    </row>
    <row r="1058" spans="6:6" x14ac:dyDescent="0.2">
      <c r="F1058" s="15"/>
    </row>
    <row r="1059" spans="6:6" x14ac:dyDescent="0.2">
      <c r="F1059" s="15"/>
    </row>
    <row r="1060" spans="6:6" x14ac:dyDescent="0.2">
      <c r="F1060" s="15"/>
    </row>
    <row r="1061" spans="6:6" x14ac:dyDescent="0.2">
      <c r="F1061" s="15"/>
    </row>
    <row r="1062" spans="6:6" x14ac:dyDescent="0.2">
      <c r="F1062" s="15"/>
    </row>
    <row r="1063" spans="6:6" x14ac:dyDescent="0.2">
      <c r="F1063" s="15"/>
    </row>
    <row r="1064" spans="6:6" x14ac:dyDescent="0.2">
      <c r="F1064" s="15"/>
    </row>
    <row r="1065" spans="6:6" x14ac:dyDescent="0.2">
      <c r="F1065" s="15"/>
    </row>
    <row r="1066" spans="6:6" x14ac:dyDescent="0.2">
      <c r="F1066" s="15"/>
    </row>
    <row r="1067" spans="6:6" x14ac:dyDescent="0.2">
      <c r="F1067" s="15"/>
    </row>
    <row r="1068" spans="6:6" x14ac:dyDescent="0.2">
      <c r="F1068" s="15"/>
    </row>
    <row r="1069" spans="6:6" x14ac:dyDescent="0.2">
      <c r="F1069" s="15"/>
    </row>
    <row r="1070" spans="6:6" x14ac:dyDescent="0.2">
      <c r="F1070" s="15"/>
    </row>
    <row r="1071" spans="6:6" x14ac:dyDescent="0.2">
      <c r="F1071" s="15"/>
    </row>
    <row r="1072" spans="6:6" x14ac:dyDescent="0.2">
      <c r="F1072" s="15"/>
    </row>
    <row r="1073" spans="6:6" x14ac:dyDescent="0.2">
      <c r="F1073" s="15"/>
    </row>
    <row r="1074" spans="6:6" x14ac:dyDescent="0.2">
      <c r="F1074" s="15"/>
    </row>
    <row r="1075" spans="6:6" x14ac:dyDescent="0.2">
      <c r="F1075" s="15"/>
    </row>
    <row r="1076" spans="6:6" x14ac:dyDescent="0.2">
      <c r="F1076" s="15"/>
    </row>
    <row r="1077" spans="6:6" x14ac:dyDescent="0.2">
      <c r="F1077" s="15"/>
    </row>
    <row r="1078" spans="6:6" x14ac:dyDescent="0.2">
      <c r="F1078" s="15"/>
    </row>
    <row r="1079" spans="6:6" x14ac:dyDescent="0.2">
      <c r="F1079" s="15"/>
    </row>
    <row r="1080" spans="6:6" x14ac:dyDescent="0.2">
      <c r="F1080" s="15"/>
    </row>
    <row r="1081" spans="6:6" x14ac:dyDescent="0.2">
      <c r="F1081" s="15"/>
    </row>
    <row r="1082" spans="6:6" x14ac:dyDescent="0.2">
      <c r="F1082" s="15"/>
    </row>
    <row r="1083" spans="6:6" x14ac:dyDescent="0.2">
      <c r="F1083" s="15"/>
    </row>
    <row r="1084" spans="6:6" x14ac:dyDescent="0.2">
      <c r="F1084" s="15"/>
    </row>
    <row r="1085" spans="6:6" x14ac:dyDescent="0.2">
      <c r="F1085" s="15"/>
    </row>
    <row r="1086" spans="6:6" x14ac:dyDescent="0.2">
      <c r="F1086" s="15"/>
    </row>
    <row r="1087" spans="6:6" x14ac:dyDescent="0.2">
      <c r="F1087" s="15"/>
    </row>
    <row r="1088" spans="6:6" x14ac:dyDescent="0.2">
      <c r="F1088" s="15"/>
    </row>
    <row r="1089" spans="6:6" x14ac:dyDescent="0.2">
      <c r="F1089" s="15"/>
    </row>
    <row r="1090" spans="6:6" x14ac:dyDescent="0.2">
      <c r="F1090" s="15"/>
    </row>
    <row r="1091" spans="6:6" x14ac:dyDescent="0.2">
      <c r="F1091" s="15"/>
    </row>
    <row r="1092" spans="6:6" x14ac:dyDescent="0.2">
      <c r="F1092" s="15"/>
    </row>
    <row r="1093" spans="6:6" x14ac:dyDescent="0.2">
      <c r="F1093" s="15"/>
    </row>
    <row r="1094" spans="6:6" x14ac:dyDescent="0.2">
      <c r="F1094" s="15"/>
    </row>
    <row r="1095" spans="6:6" x14ac:dyDescent="0.2">
      <c r="F1095" s="15"/>
    </row>
    <row r="1096" spans="6:6" x14ac:dyDescent="0.2">
      <c r="F1096" s="15"/>
    </row>
    <row r="1097" spans="6:6" x14ac:dyDescent="0.2">
      <c r="F1097" s="15"/>
    </row>
    <row r="1098" spans="6:6" x14ac:dyDescent="0.2">
      <c r="F1098" s="15"/>
    </row>
    <row r="1099" spans="6:6" x14ac:dyDescent="0.2">
      <c r="F1099" s="15"/>
    </row>
    <row r="1100" spans="6:6" x14ac:dyDescent="0.2">
      <c r="F1100" s="15"/>
    </row>
    <row r="1101" spans="6:6" x14ac:dyDescent="0.2">
      <c r="F1101" s="15"/>
    </row>
    <row r="1102" spans="6:6" x14ac:dyDescent="0.2">
      <c r="F1102" s="15"/>
    </row>
    <row r="1103" spans="6:6" x14ac:dyDescent="0.2">
      <c r="F1103" s="15"/>
    </row>
    <row r="1104" spans="6:6" x14ac:dyDescent="0.2">
      <c r="F1104" s="15"/>
    </row>
    <row r="1105" spans="6:6" x14ac:dyDescent="0.2">
      <c r="F1105" s="15"/>
    </row>
    <row r="1106" spans="6:6" x14ac:dyDescent="0.2">
      <c r="F1106" s="15"/>
    </row>
    <row r="1107" spans="6:6" x14ac:dyDescent="0.2">
      <c r="F1107" s="15"/>
    </row>
    <row r="1108" spans="6:6" x14ac:dyDescent="0.2">
      <c r="F1108" s="15"/>
    </row>
    <row r="1109" spans="6:6" x14ac:dyDescent="0.2">
      <c r="F1109" s="15"/>
    </row>
    <row r="1110" spans="6:6" x14ac:dyDescent="0.2">
      <c r="F1110" s="15"/>
    </row>
    <row r="1111" spans="6:6" x14ac:dyDescent="0.2">
      <c r="F1111" s="15"/>
    </row>
    <row r="1112" spans="6:6" x14ac:dyDescent="0.2">
      <c r="F1112" s="15"/>
    </row>
    <row r="1113" spans="6:6" x14ac:dyDescent="0.2">
      <c r="F1113" s="15"/>
    </row>
    <row r="1114" spans="6:6" x14ac:dyDescent="0.2">
      <c r="F1114" s="15"/>
    </row>
    <row r="1115" spans="6:6" x14ac:dyDescent="0.2">
      <c r="F1115" s="15"/>
    </row>
    <row r="1116" spans="6:6" x14ac:dyDescent="0.2">
      <c r="F1116" s="15"/>
    </row>
    <row r="1117" spans="6:6" x14ac:dyDescent="0.2">
      <c r="F1117" s="15"/>
    </row>
    <row r="1118" spans="6:6" x14ac:dyDescent="0.2">
      <c r="F1118" s="15"/>
    </row>
    <row r="1119" spans="6:6" x14ac:dyDescent="0.2">
      <c r="F1119" s="15"/>
    </row>
    <row r="1120" spans="6:6" x14ac:dyDescent="0.2">
      <c r="F1120" s="15"/>
    </row>
    <row r="1121" spans="6:6" x14ac:dyDescent="0.2">
      <c r="F1121" s="15"/>
    </row>
    <row r="1122" spans="6:6" x14ac:dyDescent="0.2">
      <c r="F1122" s="15"/>
    </row>
    <row r="1123" spans="6:6" x14ac:dyDescent="0.2">
      <c r="F1123" s="15"/>
    </row>
    <row r="1124" spans="6:6" x14ac:dyDescent="0.2">
      <c r="F1124" s="15"/>
    </row>
    <row r="1125" spans="6:6" x14ac:dyDescent="0.2">
      <c r="F1125" s="15"/>
    </row>
    <row r="1126" spans="6:6" x14ac:dyDescent="0.2">
      <c r="F1126" s="15"/>
    </row>
    <row r="1127" spans="6:6" x14ac:dyDescent="0.2">
      <c r="F1127" s="15"/>
    </row>
    <row r="1128" spans="6:6" x14ac:dyDescent="0.2">
      <c r="F1128" s="15"/>
    </row>
    <row r="1129" spans="6:6" x14ac:dyDescent="0.2">
      <c r="F1129" s="15"/>
    </row>
    <row r="1130" spans="6:6" x14ac:dyDescent="0.2">
      <c r="F1130" s="15"/>
    </row>
    <row r="1131" spans="6:6" x14ac:dyDescent="0.2">
      <c r="F1131" s="15"/>
    </row>
    <row r="1132" spans="6:6" x14ac:dyDescent="0.2">
      <c r="F1132" s="15"/>
    </row>
    <row r="1133" spans="6:6" x14ac:dyDescent="0.2">
      <c r="F1133" s="15"/>
    </row>
    <row r="1134" spans="6:6" x14ac:dyDescent="0.2">
      <c r="F1134" s="15"/>
    </row>
    <row r="1135" spans="6:6" x14ac:dyDescent="0.2">
      <c r="F1135" s="15"/>
    </row>
    <row r="1136" spans="6:6" x14ac:dyDescent="0.2">
      <c r="F1136" s="15"/>
    </row>
    <row r="1137" spans="6:6" x14ac:dyDescent="0.2">
      <c r="F1137" s="15"/>
    </row>
    <row r="1138" spans="6:6" x14ac:dyDescent="0.2">
      <c r="F1138" s="15"/>
    </row>
    <row r="1139" spans="6:6" x14ac:dyDescent="0.2">
      <c r="F1139" s="15"/>
    </row>
    <row r="1140" spans="6:6" x14ac:dyDescent="0.2">
      <c r="F1140" s="15"/>
    </row>
    <row r="1141" spans="6:6" x14ac:dyDescent="0.2">
      <c r="F1141" s="15"/>
    </row>
    <row r="1142" spans="6:6" x14ac:dyDescent="0.2">
      <c r="F1142" s="15"/>
    </row>
    <row r="1143" spans="6:6" x14ac:dyDescent="0.2">
      <c r="F1143" s="15"/>
    </row>
    <row r="1144" spans="6:6" x14ac:dyDescent="0.2">
      <c r="F1144" s="15"/>
    </row>
    <row r="1145" spans="6:6" x14ac:dyDescent="0.2">
      <c r="F1145" s="15"/>
    </row>
    <row r="1146" spans="6:6" x14ac:dyDescent="0.2">
      <c r="F1146" s="15"/>
    </row>
    <row r="1147" spans="6:6" x14ac:dyDescent="0.2">
      <c r="F1147" s="15"/>
    </row>
    <row r="1148" spans="6:6" x14ac:dyDescent="0.2">
      <c r="F1148" s="15"/>
    </row>
    <row r="1149" spans="6:6" x14ac:dyDescent="0.2">
      <c r="F1149" s="15"/>
    </row>
    <row r="1150" spans="6:6" x14ac:dyDescent="0.2">
      <c r="F1150" s="15"/>
    </row>
    <row r="1151" spans="6:6" x14ac:dyDescent="0.2">
      <c r="F1151" s="15"/>
    </row>
    <row r="1152" spans="6:6" x14ac:dyDescent="0.2">
      <c r="F1152" s="15"/>
    </row>
    <row r="1153" spans="6:6" x14ac:dyDescent="0.2">
      <c r="F1153" s="15"/>
    </row>
    <row r="1154" spans="6:6" x14ac:dyDescent="0.2">
      <c r="F1154" s="15"/>
    </row>
    <row r="1155" spans="6:6" x14ac:dyDescent="0.2">
      <c r="F1155" s="15"/>
    </row>
    <row r="1156" spans="6:6" x14ac:dyDescent="0.2">
      <c r="F1156" s="15"/>
    </row>
    <row r="1157" spans="6:6" x14ac:dyDescent="0.2">
      <c r="F1157" s="15"/>
    </row>
    <row r="1158" spans="6:6" x14ac:dyDescent="0.2">
      <c r="F1158" s="15"/>
    </row>
    <row r="1159" spans="6:6" x14ac:dyDescent="0.2">
      <c r="F1159" s="15"/>
    </row>
    <row r="1160" spans="6:6" x14ac:dyDescent="0.2">
      <c r="F1160" s="15"/>
    </row>
    <row r="1161" spans="6:6" x14ac:dyDescent="0.2">
      <c r="F1161" s="15"/>
    </row>
    <row r="1162" spans="6:6" x14ac:dyDescent="0.2">
      <c r="F1162" s="15"/>
    </row>
    <row r="1163" spans="6:6" x14ac:dyDescent="0.2">
      <c r="F1163" s="15"/>
    </row>
    <row r="1164" spans="6:6" x14ac:dyDescent="0.2">
      <c r="F1164" s="15"/>
    </row>
    <row r="1165" spans="6:6" x14ac:dyDescent="0.2">
      <c r="F1165" s="15"/>
    </row>
    <row r="1166" spans="6:6" x14ac:dyDescent="0.2">
      <c r="F1166" s="15"/>
    </row>
    <row r="1167" spans="6:6" x14ac:dyDescent="0.2">
      <c r="F1167" s="15"/>
    </row>
    <row r="1168" spans="6:6" x14ac:dyDescent="0.2">
      <c r="F1168" s="15"/>
    </row>
    <row r="1169" spans="6:6" x14ac:dyDescent="0.2">
      <c r="F1169" s="15"/>
    </row>
    <row r="1170" spans="6:6" x14ac:dyDescent="0.2">
      <c r="F1170" s="15"/>
    </row>
    <row r="1171" spans="6:6" x14ac:dyDescent="0.2">
      <c r="F1171" s="15"/>
    </row>
    <row r="1172" spans="6:6" x14ac:dyDescent="0.2">
      <c r="F1172" s="15"/>
    </row>
    <row r="1173" spans="6:6" x14ac:dyDescent="0.2">
      <c r="F1173" s="15"/>
    </row>
    <row r="1174" spans="6:6" x14ac:dyDescent="0.2">
      <c r="F1174" s="15"/>
    </row>
    <row r="1175" spans="6:6" x14ac:dyDescent="0.2">
      <c r="F1175" s="15"/>
    </row>
    <row r="1176" spans="6:6" x14ac:dyDescent="0.2">
      <c r="F1176" s="15"/>
    </row>
    <row r="1177" spans="6:6" x14ac:dyDescent="0.2">
      <c r="F1177" s="15"/>
    </row>
    <row r="1178" spans="6:6" x14ac:dyDescent="0.2">
      <c r="F1178" s="15"/>
    </row>
    <row r="1179" spans="6:6" x14ac:dyDescent="0.2">
      <c r="F1179" s="15"/>
    </row>
    <row r="1180" spans="6:6" x14ac:dyDescent="0.2">
      <c r="F1180" s="15"/>
    </row>
    <row r="1181" spans="6:6" x14ac:dyDescent="0.2">
      <c r="F1181" s="15"/>
    </row>
    <row r="1182" spans="6:6" x14ac:dyDescent="0.2">
      <c r="F1182" s="15"/>
    </row>
    <row r="1183" spans="6:6" x14ac:dyDescent="0.2">
      <c r="F1183" s="15"/>
    </row>
    <row r="1184" spans="6:6" x14ac:dyDescent="0.2">
      <c r="F1184" s="15"/>
    </row>
    <row r="1185" spans="6:6" x14ac:dyDescent="0.2">
      <c r="F1185" s="15"/>
    </row>
    <row r="1186" spans="6:6" x14ac:dyDescent="0.2">
      <c r="F1186" s="15"/>
    </row>
    <row r="1187" spans="6:6" x14ac:dyDescent="0.2">
      <c r="F1187" s="15"/>
    </row>
    <row r="1188" spans="6:6" x14ac:dyDescent="0.2">
      <c r="F1188" s="15"/>
    </row>
    <row r="1189" spans="6:6" x14ac:dyDescent="0.2">
      <c r="F1189" s="15"/>
    </row>
    <row r="1190" spans="6:6" x14ac:dyDescent="0.2">
      <c r="F1190" s="15"/>
    </row>
    <row r="1191" spans="6:6" x14ac:dyDescent="0.2">
      <c r="F1191" s="15"/>
    </row>
    <row r="1192" spans="6:6" x14ac:dyDescent="0.2">
      <c r="F1192" s="15"/>
    </row>
    <row r="1193" spans="6:6" x14ac:dyDescent="0.2">
      <c r="F1193" s="15"/>
    </row>
    <row r="1194" spans="6:6" x14ac:dyDescent="0.2">
      <c r="F1194" s="15"/>
    </row>
  </sheetData>
  <autoFilter ref="A1:I1" xr:uid="{00000000-0001-0000-0600-000000000000}">
    <sortState xmlns:xlrd2="http://schemas.microsoft.com/office/spreadsheetml/2017/richdata2" ref="A2:I61">
      <sortCondition ref="C1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/>
  <dimension ref="A1:O745"/>
  <sheetViews>
    <sheetView zoomScale="70" zoomScaleNormal="70" workbookViewId="0">
      <selection activeCell="A2" sqref="A2"/>
    </sheetView>
  </sheetViews>
  <sheetFormatPr baseColWidth="10" defaultColWidth="8.6640625" defaultRowHeight="15" x14ac:dyDescent="0.2"/>
  <cols>
    <col min="1" max="1" width="12.6640625" customWidth="1"/>
    <col min="2" max="2" width="10.6640625" customWidth="1"/>
    <col min="3" max="4" width="20.6640625" customWidth="1"/>
    <col min="5" max="5" width="24.6640625" customWidth="1"/>
    <col min="6" max="6" width="50.6640625" customWidth="1"/>
    <col min="7" max="7" width="10.6640625" customWidth="1"/>
    <col min="8" max="8" width="16.6640625" customWidth="1"/>
    <col min="9" max="9" width="14.6640625" customWidth="1"/>
    <col min="10" max="11" width="10.6640625" customWidth="1"/>
    <col min="12" max="12" width="12.6640625" customWidth="1"/>
    <col min="13" max="13" width="12.6640625" style="17" customWidth="1"/>
    <col min="14" max="14" width="18.6640625" customWidth="1"/>
    <col min="15" max="15" width="14.6640625" customWidth="1"/>
  </cols>
  <sheetData>
    <row r="1" spans="1:15" x14ac:dyDescent="0.2">
      <c r="A1" s="1" t="s">
        <v>48</v>
      </c>
      <c r="B1" s="1" t="s">
        <v>62</v>
      </c>
      <c r="C1" s="1" t="s">
        <v>0</v>
      </c>
      <c r="D1" s="1" t="s">
        <v>1</v>
      </c>
      <c r="E1" s="1" t="s">
        <v>40</v>
      </c>
      <c r="F1" s="1" t="s">
        <v>41</v>
      </c>
      <c r="G1" s="1" t="s">
        <v>50</v>
      </c>
      <c r="H1" s="1" t="s">
        <v>52</v>
      </c>
      <c r="I1" s="1" t="s">
        <v>34</v>
      </c>
      <c r="J1" s="1" t="s">
        <v>63</v>
      </c>
      <c r="K1" s="1" t="s">
        <v>64</v>
      </c>
      <c r="L1" s="1" t="s">
        <v>65</v>
      </c>
      <c r="M1" s="16" t="s">
        <v>66</v>
      </c>
      <c r="N1" s="1" t="s">
        <v>53</v>
      </c>
      <c r="O1" s="1" t="s">
        <v>67</v>
      </c>
    </row>
    <row r="2" spans="1:15" x14ac:dyDescent="0.2">
      <c r="A2" s="15">
        <v>45974</v>
      </c>
      <c r="B2" t="s">
        <v>4724</v>
      </c>
      <c r="C2" t="s">
        <v>3102</v>
      </c>
      <c r="D2" t="s">
        <v>24</v>
      </c>
      <c r="E2" t="s">
        <v>4207</v>
      </c>
      <c r="F2" t="s">
        <v>4232</v>
      </c>
      <c r="G2" t="s">
        <v>3876</v>
      </c>
      <c r="I2">
        <v>74415759</v>
      </c>
      <c r="J2">
        <v>0</v>
      </c>
      <c r="K2">
        <v>2</v>
      </c>
      <c r="L2">
        <v>13.5</v>
      </c>
      <c r="M2" s="17">
        <v>-27</v>
      </c>
      <c r="N2" t="s">
        <v>4725</v>
      </c>
    </row>
    <row r="3" spans="1:15" x14ac:dyDescent="0.2">
      <c r="A3" s="15">
        <v>45974</v>
      </c>
      <c r="B3" t="s">
        <v>4724</v>
      </c>
      <c r="C3" t="s">
        <v>3102</v>
      </c>
      <c r="D3" t="s">
        <v>24</v>
      </c>
      <c r="E3" t="s">
        <v>110</v>
      </c>
      <c r="F3" t="s">
        <v>4230</v>
      </c>
      <c r="G3" t="s">
        <v>3876</v>
      </c>
      <c r="I3">
        <v>73233227</v>
      </c>
      <c r="J3">
        <v>0</v>
      </c>
      <c r="K3">
        <v>2</v>
      </c>
      <c r="L3">
        <v>13.5</v>
      </c>
      <c r="M3" s="17">
        <v>-27</v>
      </c>
      <c r="N3" t="s">
        <v>4725</v>
      </c>
    </row>
    <row r="4" spans="1:15" x14ac:dyDescent="0.2">
      <c r="A4" s="15">
        <v>45974</v>
      </c>
      <c r="B4" t="s">
        <v>4724</v>
      </c>
      <c r="C4" t="s">
        <v>3102</v>
      </c>
      <c r="D4" t="s">
        <v>24</v>
      </c>
      <c r="E4" t="s">
        <v>110</v>
      </c>
      <c r="F4" t="s">
        <v>4230</v>
      </c>
      <c r="G4" t="s">
        <v>3876</v>
      </c>
      <c r="I4">
        <v>46192476</v>
      </c>
      <c r="J4">
        <v>0</v>
      </c>
      <c r="K4">
        <v>2</v>
      </c>
      <c r="L4">
        <v>13.5</v>
      </c>
      <c r="M4" s="17">
        <v>-27</v>
      </c>
      <c r="N4" t="s">
        <v>4725</v>
      </c>
    </row>
    <row r="5" spans="1:15" x14ac:dyDescent="0.2">
      <c r="A5" s="15">
        <v>45974</v>
      </c>
      <c r="B5" t="s">
        <v>4724</v>
      </c>
      <c r="C5" t="s">
        <v>3102</v>
      </c>
      <c r="D5" t="s">
        <v>24</v>
      </c>
      <c r="E5" t="s">
        <v>110</v>
      </c>
      <c r="F5" t="s">
        <v>4230</v>
      </c>
      <c r="G5" t="s">
        <v>3876</v>
      </c>
      <c r="I5">
        <v>77100486</v>
      </c>
      <c r="J5">
        <v>0</v>
      </c>
      <c r="K5">
        <v>2</v>
      </c>
      <c r="L5">
        <v>13.5</v>
      </c>
      <c r="M5" s="17">
        <v>-27</v>
      </c>
      <c r="N5" t="s">
        <v>4725</v>
      </c>
    </row>
    <row r="6" spans="1:15" x14ac:dyDescent="0.2">
      <c r="A6" s="15">
        <v>45974</v>
      </c>
      <c r="B6" t="s">
        <v>4724</v>
      </c>
      <c r="C6" t="s">
        <v>3102</v>
      </c>
      <c r="D6" t="s">
        <v>24</v>
      </c>
      <c r="E6" t="s">
        <v>3866</v>
      </c>
      <c r="F6" t="s">
        <v>47</v>
      </c>
      <c r="G6" t="s">
        <v>3876</v>
      </c>
      <c r="I6">
        <v>43347817</v>
      </c>
      <c r="J6">
        <v>0</v>
      </c>
      <c r="K6">
        <v>2</v>
      </c>
      <c r="L6">
        <v>16.25</v>
      </c>
      <c r="M6" s="17">
        <v>-32.5</v>
      </c>
      <c r="N6" t="s">
        <v>4725</v>
      </c>
    </row>
    <row r="7" spans="1:15" x14ac:dyDescent="0.2">
      <c r="A7" s="15">
        <v>45974</v>
      </c>
      <c r="B7" t="s">
        <v>4724</v>
      </c>
      <c r="C7" t="s">
        <v>3102</v>
      </c>
      <c r="D7" t="s">
        <v>24</v>
      </c>
      <c r="E7" t="s">
        <v>3866</v>
      </c>
      <c r="F7" t="s">
        <v>3867</v>
      </c>
      <c r="G7" t="s">
        <v>3876</v>
      </c>
      <c r="I7">
        <v>43347817</v>
      </c>
      <c r="J7">
        <v>0</v>
      </c>
      <c r="K7">
        <v>2</v>
      </c>
      <c r="L7">
        <v>11</v>
      </c>
      <c r="M7" s="17">
        <v>-22</v>
      </c>
      <c r="N7" t="s">
        <v>4725</v>
      </c>
    </row>
    <row r="8" spans="1:15" x14ac:dyDescent="0.2">
      <c r="A8" s="15">
        <v>45974</v>
      </c>
      <c r="B8" t="s">
        <v>4724</v>
      </c>
      <c r="C8" t="s">
        <v>3102</v>
      </c>
      <c r="D8" t="s">
        <v>24</v>
      </c>
      <c r="E8" t="s">
        <v>3866</v>
      </c>
      <c r="F8" t="s">
        <v>3868</v>
      </c>
      <c r="G8" t="s">
        <v>3876</v>
      </c>
      <c r="I8">
        <v>43347817</v>
      </c>
      <c r="J8">
        <v>0</v>
      </c>
      <c r="K8">
        <v>2</v>
      </c>
      <c r="L8">
        <v>6.5</v>
      </c>
      <c r="M8" s="17">
        <v>-13</v>
      </c>
      <c r="N8" t="s">
        <v>4725</v>
      </c>
    </row>
    <row r="9" spans="1:15" x14ac:dyDescent="0.2">
      <c r="A9" s="15">
        <v>45974</v>
      </c>
      <c r="B9" t="s">
        <v>4724</v>
      </c>
      <c r="C9" t="s">
        <v>3102</v>
      </c>
      <c r="D9" t="s">
        <v>24</v>
      </c>
      <c r="E9" t="s">
        <v>3866</v>
      </c>
      <c r="F9" t="s">
        <v>3869</v>
      </c>
      <c r="G9" t="s">
        <v>3876</v>
      </c>
      <c r="I9">
        <v>43347817</v>
      </c>
      <c r="J9">
        <v>0</v>
      </c>
      <c r="K9">
        <v>2</v>
      </c>
      <c r="L9">
        <v>4.5</v>
      </c>
      <c r="M9" s="17">
        <v>-9</v>
      </c>
      <c r="N9" t="s">
        <v>4725</v>
      </c>
    </row>
    <row r="10" spans="1:15" x14ac:dyDescent="0.2">
      <c r="A10" s="15">
        <v>45974</v>
      </c>
      <c r="B10" t="s">
        <v>4724</v>
      </c>
      <c r="C10" t="s">
        <v>3102</v>
      </c>
      <c r="D10" t="s">
        <v>24</v>
      </c>
      <c r="E10" t="s">
        <v>3866</v>
      </c>
      <c r="F10" t="s">
        <v>3862</v>
      </c>
      <c r="G10" t="s">
        <v>3876</v>
      </c>
      <c r="I10">
        <v>43347817</v>
      </c>
      <c r="J10">
        <v>0</v>
      </c>
      <c r="K10">
        <v>4</v>
      </c>
      <c r="L10">
        <v>7.5</v>
      </c>
      <c r="M10" s="17">
        <v>-30</v>
      </c>
      <c r="N10" t="s">
        <v>4725</v>
      </c>
    </row>
    <row r="11" spans="1:15" x14ac:dyDescent="0.2">
      <c r="A11" s="15">
        <v>45974</v>
      </c>
      <c r="B11" t="s">
        <v>4724</v>
      </c>
      <c r="C11" t="s">
        <v>3102</v>
      </c>
      <c r="D11" t="s">
        <v>24</v>
      </c>
      <c r="E11" t="s">
        <v>3866</v>
      </c>
      <c r="F11" t="s">
        <v>47</v>
      </c>
      <c r="G11" t="s">
        <v>3876</v>
      </c>
      <c r="I11">
        <v>62814712</v>
      </c>
      <c r="J11">
        <v>0</v>
      </c>
      <c r="K11">
        <v>2</v>
      </c>
      <c r="L11">
        <v>16.25</v>
      </c>
      <c r="M11" s="17">
        <v>-32.5</v>
      </c>
      <c r="N11" t="s">
        <v>4725</v>
      </c>
    </row>
    <row r="12" spans="1:15" x14ac:dyDescent="0.2">
      <c r="A12" s="15">
        <v>45974</v>
      </c>
      <c r="B12" t="s">
        <v>4724</v>
      </c>
      <c r="C12" t="s">
        <v>3102</v>
      </c>
      <c r="D12" t="s">
        <v>24</v>
      </c>
      <c r="E12" t="s">
        <v>3866</v>
      </c>
      <c r="F12" t="s">
        <v>3867</v>
      </c>
      <c r="G12" t="s">
        <v>3876</v>
      </c>
      <c r="I12">
        <v>62814712</v>
      </c>
      <c r="J12">
        <v>0</v>
      </c>
      <c r="K12">
        <v>2</v>
      </c>
      <c r="L12">
        <v>11</v>
      </c>
      <c r="M12" s="17">
        <v>-22</v>
      </c>
      <c r="N12" t="s">
        <v>4725</v>
      </c>
    </row>
    <row r="13" spans="1:15" x14ac:dyDescent="0.2">
      <c r="A13" s="15">
        <v>45974</v>
      </c>
      <c r="B13" t="s">
        <v>4724</v>
      </c>
      <c r="C13" t="s">
        <v>3102</v>
      </c>
      <c r="D13" t="s">
        <v>24</v>
      </c>
      <c r="E13" t="s">
        <v>3866</v>
      </c>
      <c r="F13" t="s">
        <v>3868</v>
      </c>
      <c r="G13" t="s">
        <v>3876</v>
      </c>
      <c r="I13">
        <v>62814712</v>
      </c>
      <c r="J13">
        <v>0</v>
      </c>
      <c r="K13">
        <v>2</v>
      </c>
      <c r="L13">
        <v>6.5</v>
      </c>
      <c r="M13" s="17">
        <v>-13</v>
      </c>
      <c r="N13" t="s">
        <v>4725</v>
      </c>
    </row>
    <row r="14" spans="1:15" x14ac:dyDescent="0.2">
      <c r="A14" s="15">
        <v>45974</v>
      </c>
      <c r="B14" t="s">
        <v>4724</v>
      </c>
      <c r="C14" t="s">
        <v>3102</v>
      </c>
      <c r="D14" t="s">
        <v>24</v>
      </c>
      <c r="E14" t="s">
        <v>3866</v>
      </c>
      <c r="F14" t="s">
        <v>3869</v>
      </c>
      <c r="G14" t="s">
        <v>3876</v>
      </c>
      <c r="I14">
        <v>62814712</v>
      </c>
      <c r="J14">
        <v>0</v>
      </c>
      <c r="K14">
        <v>2</v>
      </c>
      <c r="L14">
        <v>4.5</v>
      </c>
      <c r="M14" s="17">
        <v>-9</v>
      </c>
      <c r="N14" t="s">
        <v>4725</v>
      </c>
    </row>
    <row r="15" spans="1:15" x14ac:dyDescent="0.2">
      <c r="A15" s="15">
        <v>45974</v>
      </c>
      <c r="B15" t="s">
        <v>4724</v>
      </c>
      <c r="C15" t="s">
        <v>3102</v>
      </c>
      <c r="D15" t="s">
        <v>24</v>
      </c>
      <c r="E15" t="s">
        <v>3866</v>
      </c>
      <c r="F15" t="s">
        <v>3862</v>
      </c>
      <c r="G15" t="s">
        <v>3876</v>
      </c>
      <c r="I15">
        <v>62814712</v>
      </c>
      <c r="J15">
        <v>0</v>
      </c>
      <c r="K15">
        <v>4</v>
      </c>
      <c r="L15">
        <v>7.5</v>
      </c>
      <c r="M15" s="17">
        <v>-30</v>
      </c>
      <c r="N15" t="s">
        <v>4725</v>
      </c>
    </row>
    <row r="16" spans="1:15" x14ac:dyDescent="0.2">
      <c r="A16" s="15">
        <v>45974</v>
      </c>
      <c r="B16" t="s">
        <v>4724</v>
      </c>
      <c r="C16" t="s">
        <v>3102</v>
      </c>
      <c r="D16" t="s">
        <v>24</v>
      </c>
      <c r="E16" t="s">
        <v>3866</v>
      </c>
      <c r="F16" t="s">
        <v>47</v>
      </c>
      <c r="G16" t="s">
        <v>3876</v>
      </c>
      <c r="I16">
        <v>74415806</v>
      </c>
      <c r="J16">
        <v>0</v>
      </c>
      <c r="K16">
        <v>2</v>
      </c>
      <c r="L16">
        <v>16.25</v>
      </c>
      <c r="M16" s="17">
        <v>-32.5</v>
      </c>
      <c r="N16" t="s">
        <v>4725</v>
      </c>
    </row>
    <row r="17" spans="1:14" x14ac:dyDescent="0.2">
      <c r="A17" s="15">
        <v>45974</v>
      </c>
      <c r="B17" t="s">
        <v>4724</v>
      </c>
      <c r="C17" t="s">
        <v>3102</v>
      </c>
      <c r="D17" t="s">
        <v>24</v>
      </c>
      <c r="E17" t="s">
        <v>3866</v>
      </c>
      <c r="F17" t="s">
        <v>3867</v>
      </c>
      <c r="G17" t="s">
        <v>3876</v>
      </c>
      <c r="I17">
        <v>74415806</v>
      </c>
      <c r="J17">
        <v>0</v>
      </c>
      <c r="K17">
        <v>2</v>
      </c>
      <c r="L17">
        <v>11</v>
      </c>
      <c r="M17" s="17">
        <v>-22</v>
      </c>
      <c r="N17" t="s">
        <v>4725</v>
      </c>
    </row>
    <row r="18" spans="1:14" x14ac:dyDescent="0.2">
      <c r="A18" s="15">
        <v>45974</v>
      </c>
      <c r="B18" t="s">
        <v>4724</v>
      </c>
      <c r="C18" t="s">
        <v>3102</v>
      </c>
      <c r="D18" t="s">
        <v>24</v>
      </c>
      <c r="E18" t="s">
        <v>3866</v>
      </c>
      <c r="F18" t="s">
        <v>3868</v>
      </c>
      <c r="G18" t="s">
        <v>3876</v>
      </c>
      <c r="I18">
        <v>74415806</v>
      </c>
      <c r="J18">
        <v>0</v>
      </c>
      <c r="K18">
        <v>2</v>
      </c>
      <c r="L18">
        <v>6.5</v>
      </c>
      <c r="M18" s="17">
        <v>-13</v>
      </c>
      <c r="N18" t="s">
        <v>4725</v>
      </c>
    </row>
    <row r="19" spans="1:14" x14ac:dyDescent="0.2">
      <c r="A19" s="15">
        <v>45974</v>
      </c>
      <c r="B19" t="s">
        <v>4724</v>
      </c>
      <c r="C19" t="s">
        <v>3102</v>
      </c>
      <c r="D19" t="s">
        <v>24</v>
      </c>
      <c r="E19" t="s">
        <v>3866</v>
      </c>
      <c r="F19" t="s">
        <v>3869</v>
      </c>
      <c r="G19" t="s">
        <v>3876</v>
      </c>
      <c r="I19">
        <v>74415806</v>
      </c>
      <c r="J19">
        <v>0</v>
      </c>
      <c r="K19">
        <v>2</v>
      </c>
      <c r="L19">
        <v>4.5</v>
      </c>
      <c r="M19" s="17">
        <v>-9</v>
      </c>
      <c r="N19" t="s">
        <v>4725</v>
      </c>
    </row>
    <row r="20" spans="1:14" x14ac:dyDescent="0.2">
      <c r="A20" s="15">
        <v>45974</v>
      </c>
      <c r="B20" t="s">
        <v>4724</v>
      </c>
      <c r="C20" t="s">
        <v>3102</v>
      </c>
      <c r="D20" t="s">
        <v>24</v>
      </c>
      <c r="E20" t="s">
        <v>3866</v>
      </c>
      <c r="F20" t="s">
        <v>3862</v>
      </c>
      <c r="G20" t="s">
        <v>3876</v>
      </c>
      <c r="I20">
        <v>74415806</v>
      </c>
      <c r="J20">
        <v>0</v>
      </c>
      <c r="K20">
        <v>4</v>
      </c>
      <c r="L20">
        <v>7.5</v>
      </c>
      <c r="M20" s="17">
        <v>-30</v>
      </c>
      <c r="N20" t="s">
        <v>4725</v>
      </c>
    </row>
    <row r="21" spans="1:14" x14ac:dyDescent="0.2">
      <c r="A21" s="15">
        <v>45974</v>
      </c>
      <c r="B21" t="s">
        <v>4724</v>
      </c>
      <c r="C21" t="s">
        <v>3102</v>
      </c>
      <c r="D21" t="s">
        <v>24</v>
      </c>
      <c r="E21" t="s">
        <v>3866</v>
      </c>
      <c r="F21" t="s">
        <v>47</v>
      </c>
      <c r="G21" t="s">
        <v>3876</v>
      </c>
      <c r="I21">
        <v>62814713</v>
      </c>
      <c r="J21">
        <v>0</v>
      </c>
      <c r="K21">
        <v>2</v>
      </c>
      <c r="L21">
        <v>16.25</v>
      </c>
      <c r="M21" s="17">
        <v>-32.5</v>
      </c>
      <c r="N21" t="s">
        <v>4725</v>
      </c>
    </row>
    <row r="22" spans="1:14" x14ac:dyDescent="0.2">
      <c r="A22" s="15">
        <v>45974</v>
      </c>
      <c r="B22" t="s">
        <v>4724</v>
      </c>
      <c r="C22" t="s">
        <v>3102</v>
      </c>
      <c r="D22" t="s">
        <v>24</v>
      </c>
      <c r="E22" t="s">
        <v>3866</v>
      </c>
      <c r="F22" t="s">
        <v>3867</v>
      </c>
      <c r="G22" t="s">
        <v>3876</v>
      </c>
      <c r="I22">
        <v>62814713</v>
      </c>
      <c r="J22">
        <v>0</v>
      </c>
      <c r="K22">
        <v>2</v>
      </c>
      <c r="L22">
        <v>11</v>
      </c>
      <c r="M22" s="17">
        <v>-22</v>
      </c>
      <c r="N22" t="s">
        <v>4725</v>
      </c>
    </row>
    <row r="23" spans="1:14" x14ac:dyDescent="0.2">
      <c r="A23" s="15">
        <v>45974</v>
      </c>
      <c r="B23" t="s">
        <v>4724</v>
      </c>
      <c r="C23" t="s">
        <v>3102</v>
      </c>
      <c r="D23" t="s">
        <v>24</v>
      </c>
      <c r="E23" t="s">
        <v>3866</v>
      </c>
      <c r="F23" t="s">
        <v>3868</v>
      </c>
      <c r="G23" t="s">
        <v>3876</v>
      </c>
      <c r="I23">
        <v>62814713</v>
      </c>
      <c r="J23">
        <v>0</v>
      </c>
      <c r="K23">
        <v>2</v>
      </c>
      <c r="L23">
        <v>6.5</v>
      </c>
      <c r="M23" s="17">
        <v>-13</v>
      </c>
      <c r="N23" t="s">
        <v>4725</v>
      </c>
    </row>
    <row r="24" spans="1:14" x14ac:dyDescent="0.2">
      <c r="A24" s="15">
        <v>45974</v>
      </c>
      <c r="B24" t="s">
        <v>4724</v>
      </c>
      <c r="C24" t="s">
        <v>3102</v>
      </c>
      <c r="D24" t="s">
        <v>24</v>
      </c>
      <c r="E24" t="s">
        <v>3866</v>
      </c>
      <c r="F24" t="s">
        <v>3869</v>
      </c>
      <c r="G24" t="s">
        <v>3876</v>
      </c>
      <c r="I24">
        <v>62814713</v>
      </c>
      <c r="J24">
        <v>0</v>
      </c>
      <c r="K24">
        <v>2</v>
      </c>
      <c r="L24">
        <v>4.5</v>
      </c>
      <c r="M24" s="17">
        <v>-9</v>
      </c>
      <c r="N24" t="s">
        <v>4725</v>
      </c>
    </row>
    <row r="25" spans="1:14" x14ac:dyDescent="0.2">
      <c r="A25" s="15">
        <v>45974</v>
      </c>
      <c r="B25" t="s">
        <v>4724</v>
      </c>
      <c r="C25" t="s">
        <v>3102</v>
      </c>
      <c r="D25" t="s">
        <v>24</v>
      </c>
      <c r="E25" t="s">
        <v>3866</v>
      </c>
      <c r="F25" t="s">
        <v>3862</v>
      </c>
      <c r="G25" t="s">
        <v>3876</v>
      </c>
      <c r="I25">
        <v>62814713</v>
      </c>
      <c r="J25">
        <v>0</v>
      </c>
      <c r="K25">
        <v>4</v>
      </c>
      <c r="L25">
        <v>7.5</v>
      </c>
      <c r="M25" s="17">
        <v>-30</v>
      </c>
      <c r="N25" t="s">
        <v>4725</v>
      </c>
    </row>
    <row r="26" spans="1:14" x14ac:dyDescent="0.2">
      <c r="A26" s="15">
        <v>45974</v>
      </c>
      <c r="B26" t="s">
        <v>4724</v>
      </c>
      <c r="C26" t="s">
        <v>3102</v>
      </c>
      <c r="D26" t="s">
        <v>24</v>
      </c>
      <c r="E26" t="s">
        <v>3866</v>
      </c>
      <c r="F26" t="s">
        <v>47</v>
      </c>
      <c r="G26" t="s">
        <v>3876</v>
      </c>
      <c r="I26">
        <v>42792686</v>
      </c>
      <c r="J26">
        <v>0</v>
      </c>
      <c r="K26">
        <v>2</v>
      </c>
      <c r="L26">
        <v>16.25</v>
      </c>
      <c r="M26" s="17">
        <v>-32.5</v>
      </c>
      <c r="N26" t="s">
        <v>4725</v>
      </c>
    </row>
    <row r="27" spans="1:14" x14ac:dyDescent="0.2">
      <c r="A27" s="15">
        <v>45974</v>
      </c>
      <c r="B27" t="s">
        <v>4724</v>
      </c>
      <c r="C27" t="s">
        <v>3102</v>
      </c>
      <c r="D27" t="s">
        <v>24</v>
      </c>
      <c r="E27" t="s">
        <v>3866</v>
      </c>
      <c r="F27" t="s">
        <v>3867</v>
      </c>
      <c r="G27" t="s">
        <v>3876</v>
      </c>
      <c r="I27">
        <v>42792686</v>
      </c>
      <c r="J27">
        <v>0</v>
      </c>
      <c r="K27">
        <v>2</v>
      </c>
      <c r="L27">
        <v>11</v>
      </c>
      <c r="M27" s="17">
        <v>-22</v>
      </c>
      <c r="N27" t="s">
        <v>4725</v>
      </c>
    </row>
    <row r="28" spans="1:14" x14ac:dyDescent="0.2">
      <c r="A28" s="15">
        <v>45974</v>
      </c>
      <c r="B28" t="s">
        <v>4724</v>
      </c>
      <c r="C28" t="s">
        <v>3102</v>
      </c>
      <c r="D28" t="s">
        <v>24</v>
      </c>
      <c r="E28" t="s">
        <v>3866</v>
      </c>
      <c r="F28" t="s">
        <v>3868</v>
      </c>
      <c r="G28" t="s">
        <v>3876</v>
      </c>
      <c r="I28">
        <v>42792686</v>
      </c>
      <c r="J28">
        <v>0</v>
      </c>
      <c r="K28">
        <v>2</v>
      </c>
      <c r="L28">
        <v>6.5</v>
      </c>
      <c r="M28" s="17">
        <v>-13</v>
      </c>
      <c r="N28" t="s">
        <v>4725</v>
      </c>
    </row>
    <row r="29" spans="1:14" x14ac:dyDescent="0.2">
      <c r="A29" s="15">
        <v>45974</v>
      </c>
      <c r="B29" t="s">
        <v>4724</v>
      </c>
      <c r="C29" t="s">
        <v>3102</v>
      </c>
      <c r="D29" t="s">
        <v>24</v>
      </c>
      <c r="E29" t="s">
        <v>3866</v>
      </c>
      <c r="F29" t="s">
        <v>3869</v>
      </c>
      <c r="G29" t="s">
        <v>3876</v>
      </c>
      <c r="I29">
        <v>42792686</v>
      </c>
      <c r="J29">
        <v>0</v>
      </c>
      <c r="K29">
        <v>2</v>
      </c>
      <c r="L29">
        <v>4.5</v>
      </c>
      <c r="M29" s="17">
        <v>-9</v>
      </c>
      <c r="N29" t="s">
        <v>4725</v>
      </c>
    </row>
    <row r="30" spans="1:14" x14ac:dyDescent="0.2">
      <c r="A30" s="15">
        <v>45974</v>
      </c>
      <c r="B30" t="s">
        <v>4724</v>
      </c>
      <c r="C30" t="s">
        <v>3102</v>
      </c>
      <c r="D30" t="s">
        <v>24</v>
      </c>
      <c r="E30" t="s">
        <v>3866</v>
      </c>
      <c r="F30" t="s">
        <v>3862</v>
      </c>
      <c r="G30" t="s">
        <v>3876</v>
      </c>
      <c r="I30">
        <v>42792686</v>
      </c>
      <c r="J30">
        <v>0</v>
      </c>
      <c r="K30">
        <v>4</v>
      </c>
      <c r="L30">
        <v>7.5</v>
      </c>
      <c r="M30" s="17">
        <v>-30</v>
      </c>
      <c r="N30" t="s">
        <v>4725</v>
      </c>
    </row>
    <row r="31" spans="1:14" x14ac:dyDescent="0.2">
      <c r="A31" s="15">
        <v>45974</v>
      </c>
      <c r="B31" t="s">
        <v>4724</v>
      </c>
      <c r="C31" t="s">
        <v>3102</v>
      </c>
      <c r="D31" t="s">
        <v>24</v>
      </c>
      <c r="E31" t="s">
        <v>3866</v>
      </c>
      <c r="F31" t="s">
        <v>47</v>
      </c>
      <c r="G31" t="s">
        <v>3876</v>
      </c>
      <c r="I31">
        <v>42949350</v>
      </c>
      <c r="J31">
        <v>0</v>
      </c>
      <c r="K31">
        <v>2</v>
      </c>
      <c r="L31">
        <v>16.25</v>
      </c>
      <c r="M31" s="17">
        <v>-32.5</v>
      </c>
      <c r="N31" t="s">
        <v>4725</v>
      </c>
    </row>
    <row r="32" spans="1:14" x14ac:dyDescent="0.2">
      <c r="A32" s="15">
        <v>45974</v>
      </c>
      <c r="B32" t="s">
        <v>4724</v>
      </c>
      <c r="C32" t="s">
        <v>3102</v>
      </c>
      <c r="D32" t="s">
        <v>24</v>
      </c>
      <c r="E32" t="s">
        <v>3866</v>
      </c>
      <c r="F32" t="s">
        <v>3867</v>
      </c>
      <c r="G32" t="s">
        <v>3876</v>
      </c>
      <c r="I32">
        <v>42949350</v>
      </c>
      <c r="J32">
        <v>0</v>
      </c>
      <c r="K32">
        <v>2</v>
      </c>
      <c r="L32">
        <v>11</v>
      </c>
      <c r="M32" s="17">
        <v>-22</v>
      </c>
      <c r="N32" t="s">
        <v>4725</v>
      </c>
    </row>
    <row r="33" spans="1:14" x14ac:dyDescent="0.2">
      <c r="A33" s="15">
        <v>45974</v>
      </c>
      <c r="B33" t="s">
        <v>4724</v>
      </c>
      <c r="C33" t="s">
        <v>3102</v>
      </c>
      <c r="D33" t="s">
        <v>24</v>
      </c>
      <c r="E33" t="s">
        <v>3866</v>
      </c>
      <c r="F33" t="s">
        <v>3868</v>
      </c>
      <c r="G33" t="s">
        <v>3876</v>
      </c>
      <c r="I33">
        <v>42949350</v>
      </c>
      <c r="J33">
        <v>0</v>
      </c>
      <c r="K33">
        <v>2</v>
      </c>
      <c r="L33">
        <v>6.5</v>
      </c>
      <c r="M33" s="17">
        <v>-13</v>
      </c>
      <c r="N33" t="s">
        <v>4725</v>
      </c>
    </row>
    <row r="34" spans="1:14" x14ac:dyDescent="0.2">
      <c r="A34" s="15">
        <v>45974</v>
      </c>
      <c r="B34" t="s">
        <v>4724</v>
      </c>
      <c r="C34" t="s">
        <v>3102</v>
      </c>
      <c r="D34" t="s">
        <v>24</v>
      </c>
      <c r="E34" t="s">
        <v>3866</v>
      </c>
      <c r="F34" t="s">
        <v>3869</v>
      </c>
      <c r="G34" t="s">
        <v>3876</v>
      </c>
      <c r="I34">
        <v>42949350</v>
      </c>
      <c r="J34">
        <v>0</v>
      </c>
      <c r="K34">
        <v>2</v>
      </c>
      <c r="L34">
        <v>4.5</v>
      </c>
      <c r="M34" s="17">
        <v>-9</v>
      </c>
      <c r="N34" t="s">
        <v>4725</v>
      </c>
    </row>
    <row r="35" spans="1:14" x14ac:dyDescent="0.2">
      <c r="A35" s="15">
        <v>45974</v>
      </c>
      <c r="B35" t="s">
        <v>4724</v>
      </c>
      <c r="C35" t="s">
        <v>3102</v>
      </c>
      <c r="D35" t="s">
        <v>24</v>
      </c>
      <c r="E35" t="s">
        <v>3866</v>
      </c>
      <c r="F35" t="s">
        <v>3862</v>
      </c>
      <c r="G35" t="s">
        <v>3876</v>
      </c>
      <c r="I35">
        <v>42949350</v>
      </c>
      <c r="J35">
        <v>0</v>
      </c>
      <c r="K35">
        <v>4</v>
      </c>
      <c r="L35">
        <v>7.5</v>
      </c>
      <c r="M35" s="17">
        <v>-30</v>
      </c>
      <c r="N35" t="s">
        <v>4725</v>
      </c>
    </row>
    <row r="36" spans="1:14" x14ac:dyDescent="0.2">
      <c r="A36" s="15">
        <v>45974</v>
      </c>
      <c r="B36" t="s">
        <v>4724</v>
      </c>
      <c r="C36" t="s">
        <v>3102</v>
      </c>
      <c r="D36" t="s">
        <v>24</v>
      </c>
      <c r="E36" t="s">
        <v>126</v>
      </c>
      <c r="F36" t="s">
        <v>4227</v>
      </c>
      <c r="G36" t="s">
        <v>3876</v>
      </c>
      <c r="I36">
        <v>43446883</v>
      </c>
      <c r="J36">
        <v>0</v>
      </c>
      <c r="K36">
        <v>2</v>
      </c>
      <c r="L36">
        <v>13.5</v>
      </c>
      <c r="M36" s="17">
        <v>-27</v>
      </c>
      <c r="N36" t="s">
        <v>4725</v>
      </c>
    </row>
    <row r="37" spans="1:14" x14ac:dyDescent="0.2">
      <c r="A37" s="15">
        <v>45974</v>
      </c>
      <c r="B37" t="s">
        <v>4724</v>
      </c>
      <c r="C37" t="s">
        <v>3102</v>
      </c>
      <c r="D37" t="s">
        <v>24</v>
      </c>
      <c r="E37" t="s">
        <v>3872</v>
      </c>
      <c r="F37" t="s">
        <v>4490</v>
      </c>
      <c r="G37" t="s">
        <v>3876</v>
      </c>
      <c r="I37">
        <v>45038713</v>
      </c>
      <c r="J37">
        <v>0</v>
      </c>
      <c r="K37">
        <v>2</v>
      </c>
      <c r="L37">
        <v>15</v>
      </c>
      <c r="M37" s="17">
        <v>-30</v>
      </c>
      <c r="N37" t="s">
        <v>4725</v>
      </c>
    </row>
    <row r="38" spans="1:14" x14ac:dyDescent="0.2">
      <c r="A38" s="15">
        <v>45987</v>
      </c>
      <c r="B38" t="s">
        <v>4724</v>
      </c>
      <c r="C38" t="s">
        <v>3102</v>
      </c>
      <c r="D38" t="s">
        <v>24</v>
      </c>
      <c r="E38" t="s">
        <v>3872</v>
      </c>
      <c r="F38" t="s">
        <v>4493</v>
      </c>
      <c r="G38" t="s">
        <v>3876</v>
      </c>
      <c r="I38">
        <v>45038713</v>
      </c>
      <c r="J38">
        <v>0</v>
      </c>
      <c r="K38">
        <v>2</v>
      </c>
      <c r="L38">
        <v>5</v>
      </c>
      <c r="M38" s="17">
        <v>-10</v>
      </c>
      <c r="N38" t="s">
        <v>4725</v>
      </c>
    </row>
    <row r="39" spans="1:14" x14ac:dyDescent="0.2">
      <c r="A39" s="15">
        <v>45974</v>
      </c>
      <c r="B39" t="s">
        <v>4724</v>
      </c>
      <c r="C39" t="s">
        <v>3102</v>
      </c>
      <c r="D39" t="s">
        <v>24</v>
      </c>
      <c r="E39" t="s">
        <v>3872</v>
      </c>
      <c r="F39" t="s">
        <v>4490</v>
      </c>
      <c r="G39" t="s">
        <v>3876</v>
      </c>
      <c r="I39">
        <v>5710071</v>
      </c>
      <c r="J39">
        <v>0</v>
      </c>
      <c r="K39">
        <v>2</v>
      </c>
      <c r="L39">
        <v>15</v>
      </c>
      <c r="M39" s="17">
        <v>-30</v>
      </c>
      <c r="N39" t="s">
        <v>4725</v>
      </c>
    </row>
    <row r="40" spans="1:14" x14ac:dyDescent="0.2">
      <c r="A40" s="15">
        <v>45987</v>
      </c>
      <c r="B40" t="s">
        <v>4724</v>
      </c>
      <c r="C40" t="s">
        <v>3102</v>
      </c>
      <c r="D40" t="s">
        <v>24</v>
      </c>
      <c r="E40" t="s">
        <v>3872</v>
      </c>
      <c r="F40" t="s">
        <v>3846</v>
      </c>
      <c r="G40" t="s">
        <v>3876</v>
      </c>
      <c r="I40">
        <v>5710071</v>
      </c>
      <c r="J40">
        <v>0</v>
      </c>
      <c r="K40">
        <v>2</v>
      </c>
      <c r="L40">
        <v>18</v>
      </c>
      <c r="M40" s="17">
        <v>-36</v>
      </c>
      <c r="N40" t="s">
        <v>4725</v>
      </c>
    </row>
    <row r="41" spans="1:14" x14ac:dyDescent="0.2">
      <c r="A41" s="15">
        <v>45987</v>
      </c>
      <c r="B41" t="s">
        <v>4724</v>
      </c>
      <c r="C41" t="s">
        <v>3102</v>
      </c>
      <c r="D41" t="s">
        <v>24</v>
      </c>
      <c r="E41" t="s">
        <v>3872</v>
      </c>
      <c r="F41" t="s">
        <v>4493</v>
      </c>
      <c r="G41" t="s">
        <v>3876</v>
      </c>
      <c r="I41">
        <v>5710071</v>
      </c>
      <c r="J41">
        <v>0</v>
      </c>
      <c r="K41">
        <v>2</v>
      </c>
      <c r="L41">
        <v>5</v>
      </c>
      <c r="M41" s="17">
        <v>-10</v>
      </c>
      <c r="N41" t="s">
        <v>4725</v>
      </c>
    </row>
    <row r="42" spans="1:14" x14ac:dyDescent="0.2">
      <c r="A42" s="15">
        <v>45996</v>
      </c>
      <c r="B42" t="s">
        <v>4724</v>
      </c>
      <c r="C42" t="s">
        <v>17</v>
      </c>
      <c r="D42" t="s">
        <v>3</v>
      </c>
      <c r="E42" t="s">
        <v>127</v>
      </c>
      <c r="F42" t="s">
        <v>3855</v>
      </c>
      <c r="G42" t="s">
        <v>3876</v>
      </c>
      <c r="I42">
        <v>71595082</v>
      </c>
      <c r="J42">
        <v>0</v>
      </c>
      <c r="K42">
        <v>2</v>
      </c>
      <c r="L42">
        <v>18.5</v>
      </c>
      <c r="M42" s="17">
        <v>-37</v>
      </c>
      <c r="N42" t="s">
        <v>4725</v>
      </c>
    </row>
    <row r="43" spans="1:14" x14ac:dyDescent="0.2">
      <c r="A43" s="15">
        <v>45996</v>
      </c>
      <c r="B43" t="s">
        <v>4724</v>
      </c>
      <c r="C43" t="s">
        <v>17</v>
      </c>
      <c r="D43" t="s">
        <v>3</v>
      </c>
      <c r="E43" t="s">
        <v>127</v>
      </c>
      <c r="F43" t="s">
        <v>3853</v>
      </c>
      <c r="G43" t="s">
        <v>3876</v>
      </c>
      <c r="I43">
        <v>71595082</v>
      </c>
      <c r="J43">
        <v>0</v>
      </c>
      <c r="K43">
        <v>2</v>
      </c>
      <c r="L43">
        <v>7</v>
      </c>
      <c r="M43" s="17">
        <v>-14</v>
      </c>
      <c r="N43" t="s">
        <v>4725</v>
      </c>
    </row>
    <row r="44" spans="1:14" x14ac:dyDescent="0.2">
      <c r="A44" s="15">
        <v>45996</v>
      </c>
      <c r="B44" t="s">
        <v>4724</v>
      </c>
      <c r="C44" t="s">
        <v>17</v>
      </c>
      <c r="D44" t="s">
        <v>3</v>
      </c>
      <c r="E44" t="s">
        <v>127</v>
      </c>
      <c r="F44" t="s">
        <v>3854</v>
      </c>
      <c r="G44" t="s">
        <v>3876</v>
      </c>
      <c r="I44">
        <v>71595082</v>
      </c>
      <c r="J44">
        <v>0</v>
      </c>
      <c r="K44">
        <v>2</v>
      </c>
      <c r="L44">
        <v>1.75</v>
      </c>
      <c r="M44" s="17">
        <v>-3.5</v>
      </c>
      <c r="N44" t="s">
        <v>4725</v>
      </c>
    </row>
    <row r="45" spans="1:14" x14ac:dyDescent="0.2">
      <c r="A45" s="15">
        <v>45988</v>
      </c>
      <c r="B45" t="s">
        <v>4724</v>
      </c>
      <c r="C45" t="s">
        <v>17</v>
      </c>
      <c r="D45" t="s">
        <v>3</v>
      </c>
      <c r="E45" t="s">
        <v>29</v>
      </c>
      <c r="F45" t="s">
        <v>3852</v>
      </c>
      <c r="G45" t="s">
        <v>3876</v>
      </c>
      <c r="I45">
        <v>75432796</v>
      </c>
      <c r="J45">
        <v>0</v>
      </c>
      <c r="K45">
        <v>2</v>
      </c>
      <c r="L45">
        <v>18.5</v>
      </c>
      <c r="M45" s="17">
        <v>-37</v>
      </c>
      <c r="N45" t="s">
        <v>4725</v>
      </c>
    </row>
    <row r="46" spans="1:14" x14ac:dyDescent="0.2">
      <c r="A46" s="15">
        <v>45988</v>
      </c>
      <c r="B46" t="s">
        <v>4724</v>
      </c>
      <c r="C46" t="s">
        <v>17</v>
      </c>
      <c r="D46" t="s">
        <v>3</v>
      </c>
      <c r="E46" t="s">
        <v>29</v>
      </c>
      <c r="F46" t="s">
        <v>3853</v>
      </c>
      <c r="G46" t="s">
        <v>3876</v>
      </c>
      <c r="I46">
        <v>75432796</v>
      </c>
      <c r="J46">
        <v>0</v>
      </c>
      <c r="K46">
        <v>2</v>
      </c>
      <c r="L46">
        <v>7</v>
      </c>
      <c r="M46" s="17">
        <v>-14</v>
      </c>
      <c r="N46" t="s">
        <v>4725</v>
      </c>
    </row>
    <row r="47" spans="1:14" x14ac:dyDescent="0.2">
      <c r="A47" s="15">
        <v>45988</v>
      </c>
      <c r="B47" t="s">
        <v>4724</v>
      </c>
      <c r="C47" t="s">
        <v>17</v>
      </c>
      <c r="D47" t="s">
        <v>3</v>
      </c>
      <c r="E47" t="s">
        <v>29</v>
      </c>
      <c r="F47" t="s">
        <v>3854</v>
      </c>
      <c r="G47" t="s">
        <v>3876</v>
      </c>
      <c r="I47">
        <v>75432796</v>
      </c>
      <c r="J47">
        <v>0</v>
      </c>
      <c r="K47">
        <v>2</v>
      </c>
      <c r="L47">
        <v>1.75</v>
      </c>
      <c r="M47" s="17">
        <v>-3.5</v>
      </c>
      <c r="N47" t="s">
        <v>4725</v>
      </c>
    </row>
    <row r="48" spans="1:14" x14ac:dyDescent="0.2">
      <c r="A48" s="15">
        <v>45988</v>
      </c>
      <c r="B48" t="s">
        <v>4724</v>
      </c>
      <c r="C48" t="s">
        <v>17</v>
      </c>
      <c r="D48" t="s">
        <v>3</v>
      </c>
      <c r="E48" t="s">
        <v>4206</v>
      </c>
      <c r="F48" t="s">
        <v>3858</v>
      </c>
      <c r="G48" t="s">
        <v>3876</v>
      </c>
      <c r="I48">
        <v>62748664</v>
      </c>
      <c r="J48">
        <v>0</v>
      </c>
      <c r="K48">
        <v>2</v>
      </c>
      <c r="L48">
        <v>18</v>
      </c>
      <c r="M48" s="17">
        <v>-36</v>
      </c>
      <c r="N48" t="s">
        <v>4725</v>
      </c>
    </row>
    <row r="49" spans="1:14" x14ac:dyDescent="0.2">
      <c r="A49" s="15">
        <v>45988</v>
      </c>
      <c r="B49" t="s">
        <v>4724</v>
      </c>
      <c r="C49" t="s">
        <v>17</v>
      </c>
      <c r="D49" t="s">
        <v>3</v>
      </c>
      <c r="E49" t="s">
        <v>4206</v>
      </c>
      <c r="F49" t="s">
        <v>4224</v>
      </c>
      <c r="G49" t="s">
        <v>3876</v>
      </c>
      <c r="I49">
        <v>62748664</v>
      </c>
      <c r="J49">
        <v>0</v>
      </c>
      <c r="K49">
        <v>1</v>
      </c>
      <c r="L49">
        <v>35</v>
      </c>
      <c r="M49" s="17">
        <v>-35</v>
      </c>
      <c r="N49" t="s">
        <v>4725</v>
      </c>
    </row>
    <row r="50" spans="1:14" x14ac:dyDescent="0.2">
      <c r="A50" s="15">
        <v>45988</v>
      </c>
      <c r="B50" t="s">
        <v>4724</v>
      </c>
      <c r="C50" t="s">
        <v>17</v>
      </c>
      <c r="D50" t="s">
        <v>3</v>
      </c>
      <c r="E50" t="s">
        <v>3866</v>
      </c>
      <c r="F50" t="s">
        <v>47</v>
      </c>
      <c r="G50" t="s">
        <v>3876</v>
      </c>
      <c r="I50">
        <v>63123345</v>
      </c>
      <c r="J50">
        <v>0</v>
      </c>
      <c r="K50">
        <v>2</v>
      </c>
      <c r="L50">
        <v>16.25</v>
      </c>
      <c r="M50" s="17">
        <v>-32.5</v>
      </c>
      <c r="N50" t="s">
        <v>4725</v>
      </c>
    </row>
    <row r="51" spans="1:14" x14ac:dyDescent="0.2">
      <c r="A51" s="15">
        <v>45988</v>
      </c>
      <c r="B51" t="s">
        <v>4724</v>
      </c>
      <c r="C51" t="s">
        <v>17</v>
      </c>
      <c r="D51" t="s">
        <v>3</v>
      </c>
      <c r="E51" t="s">
        <v>3866</v>
      </c>
      <c r="F51" t="s">
        <v>3867</v>
      </c>
      <c r="G51" t="s">
        <v>3876</v>
      </c>
      <c r="I51">
        <v>63123345</v>
      </c>
      <c r="J51">
        <v>0</v>
      </c>
      <c r="K51">
        <v>2</v>
      </c>
      <c r="L51">
        <v>11</v>
      </c>
      <c r="M51" s="17">
        <v>-22</v>
      </c>
      <c r="N51" t="s">
        <v>4725</v>
      </c>
    </row>
    <row r="52" spans="1:14" x14ac:dyDescent="0.2">
      <c r="A52" s="15">
        <v>45988</v>
      </c>
      <c r="B52" t="s">
        <v>4724</v>
      </c>
      <c r="C52" t="s">
        <v>17</v>
      </c>
      <c r="D52" t="s">
        <v>3</v>
      </c>
      <c r="E52" t="s">
        <v>3866</v>
      </c>
      <c r="F52" t="s">
        <v>3868</v>
      </c>
      <c r="G52" t="s">
        <v>3876</v>
      </c>
      <c r="I52">
        <v>63123345</v>
      </c>
      <c r="J52">
        <v>0</v>
      </c>
      <c r="K52">
        <v>2</v>
      </c>
      <c r="L52">
        <v>6.5</v>
      </c>
      <c r="M52" s="17">
        <v>-13</v>
      </c>
      <c r="N52" t="s">
        <v>4725</v>
      </c>
    </row>
    <row r="53" spans="1:14" x14ac:dyDescent="0.2">
      <c r="A53" s="15">
        <v>45988</v>
      </c>
      <c r="B53" t="s">
        <v>4724</v>
      </c>
      <c r="C53" t="s">
        <v>17</v>
      </c>
      <c r="D53" t="s">
        <v>3</v>
      </c>
      <c r="E53" t="s">
        <v>3866</v>
      </c>
      <c r="F53" t="s">
        <v>3869</v>
      </c>
      <c r="G53" t="s">
        <v>3876</v>
      </c>
      <c r="I53">
        <v>63123345</v>
      </c>
      <c r="J53">
        <v>0</v>
      </c>
      <c r="K53">
        <v>2</v>
      </c>
      <c r="L53">
        <v>4.5</v>
      </c>
      <c r="M53" s="17">
        <v>-9</v>
      </c>
      <c r="N53" t="s">
        <v>4725</v>
      </c>
    </row>
    <row r="54" spans="1:14" x14ac:dyDescent="0.2">
      <c r="A54" s="15">
        <v>45988</v>
      </c>
      <c r="B54" t="s">
        <v>4724</v>
      </c>
      <c r="C54" t="s">
        <v>17</v>
      </c>
      <c r="D54" t="s">
        <v>3</v>
      </c>
      <c r="E54" t="s">
        <v>3866</v>
      </c>
      <c r="F54" t="s">
        <v>3862</v>
      </c>
      <c r="G54" t="s">
        <v>3876</v>
      </c>
      <c r="I54">
        <v>63123345</v>
      </c>
      <c r="J54">
        <v>0</v>
      </c>
      <c r="K54">
        <v>2</v>
      </c>
      <c r="L54">
        <v>7.5</v>
      </c>
      <c r="M54" s="17">
        <v>-15</v>
      </c>
      <c r="N54" t="s">
        <v>4725</v>
      </c>
    </row>
    <row r="55" spans="1:14" x14ac:dyDescent="0.2">
      <c r="A55" s="15">
        <v>45996</v>
      </c>
      <c r="B55" t="s">
        <v>4724</v>
      </c>
      <c r="C55" t="s">
        <v>17</v>
      </c>
      <c r="D55" t="s">
        <v>3</v>
      </c>
      <c r="E55" t="s">
        <v>3866</v>
      </c>
      <c r="F55" t="s">
        <v>47</v>
      </c>
      <c r="G55" t="s">
        <v>3876</v>
      </c>
      <c r="I55">
        <v>46958052</v>
      </c>
      <c r="J55">
        <v>0</v>
      </c>
      <c r="K55">
        <v>2</v>
      </c>
      <c r="L55">
        <v>16.25</v>
      </c>
      <c r="M55" s="17">
        <v>-32.5</v>
      </c>
      <c r="N55" t="s">
        <v>4725</v>
      </c>
    </row>
    <row r="56" spans="1:14" x14ac:dyDescent="0.2">
      <c r="A56" s="15">
        <v>45996</v>
      </c>
      <c r="B56" t="s">
        <v>4724</v>
      </c>
      <c r="C56" t="s">
        <v>17</v>
      </c>
      <c r="D56" t="s">
        <v>3</v>
      </c>
      <c r="E56" t="s">
        <v>3866</v>
      </c>
      <c r="F56" t="s">
        <v>3867</v>
      </c>
      <c r="G56" t="s">
        <v>3876</v>
      </c>
      <c r="I56">
        <v>46958052</v>
      </c>
      <c r="J56">
        <v>0</v>
      </c>
      <c r="K56">
        <v>2</v>
      </c>
      <c r="L56">
        <v>11</v>
      </c>
      <c r="M56" s="17">
        <v>-22</v>
      </c>
      <c r="N56" t="s">
        <v>4725</v>
      </c>
    </row>
    <row r="57" spans="1:14" x14ac:dyDescent="0.2">
      <c r="A57" s="15">
        <v>45996</v>
      </c>
      <c r="B57" t="s">
        <v>4724</v>
      </c>
      <c r="C57" t="s">
        <v>17</v>
      </c>
      <c r="D57" t="s">
        <v>3</v>
      </c>
      <c r="E57" t="s">
        <v>3866</v>
      </c>
      <c r="F57" t="s">
        <v>3868</v>
      </c>
      <c r="G57" t="s">
        <v>3876</v>
      </c>
      <c r="I57">
        <v>46958052</v>
      </c>
      <c r="J57">
        <v>0</v>
      </c>
      <c r="K57">
        <v>2</v>
      </c>
      <c r="L57">
        <v>6.5</v>
      </c>
      <c r="M57" s="17">
        <v>-13</v>
      </c>
      <c r="N57" t="s">
        <v>4725</v>
      </c>
    </row>
    <row r="58" spans="1:14" x14ac:dyDescent="0.2">
      <c r="A58" s="15">
        <v>45996</v>
      </c>
      <c r="B58" t="s">
        <v>4724</v>
      </c>
      <c r="C58" t="s">
        <v>17</v>
      </c>
      <c r="D58" t="s">
        <v>3</v>
      </c>
      <c r="E58" t="s">
        <v>3866</v>
      </c>
      <c r="F58" t="s">
        <v>3869</v>
      </c>
      <c r="G58" t="s">
        <v>3876</v>
      </c>
      <c r="I58">
        <v>46958052</v>
      </c>
      <c r="J58">
        <v>0</v>
      </c>
      <c r="K58">
        <v>2</v>
      </c>
      <c r="L58">
        <v>4.5</v>
      </c>
      <c r="M58" s="17">
        <v>-9</v>
      </c>
      <c r="N58" t="s">
        <v>4725</v>
      </c>
    </row>
    <row r="59" spans="1:14" x14ac:dyDescent="0.2">
      <c r="A59" s="15">
        <v>45996</v>
      </c>
      <c r="B59" t="s">
        <v>4724</v>
      </c>
      <c r="C59" t="s">
        <v>17</v>
      </c>
      <c r="D59" t="s">
        <v>3</v>
      </c>
      <c r="E59" t="s">
        <v>3866</v>
      </c>
      <c r="F59" t="s">
        <v>3862</v>
      </c>
      <c r="G59" t="s">
        <v>3876</v>
      </c>
      <c r="I59">
        <v>46958052</v>
      </c>
      <c r="J59">
        <v>0</v>
      </c>
      <c r="K59">
        <v>2</v>
      </c>
      <c r="L59">
        <v>7.5</v>
      </c>
      <c r="M59" s="17">
        <v>-15</v>
      </c>
      <c r="N59" t="s">
        <v>4725</v>
      </c>
    </row>
    <row r="60" spans="1:14" x14ac:dyDescent="0.2">
      <c r="A60" s="15">
        <v>45996</v>
      </c>
      <c r="B60" t="s">
        <v>4724</v>
      </c>
      <c r="C60" t="s">
        <v>17</v>
      </c>
      <c r="D60" t="s">
        <v>3</v>
      </c>
      <c r="E60" t="s">
        <v>3866</v>
      </c>
      <c r="F60" t="s">
        <v>47</v>
      </c>
      <c r="G60" t="s">
        <v>3876</v>
      </c>
      <c r="I60">
        <v>71588119</v>
      </c>
      <c r="J60">
        <v>0</v>
      </c>
      <c r="K60">
        <v>2</v>
      </c>
      <c r="L60">
        <v>16.25</v>
      </c>
      <c r="M60" s="17">
        <v>-32.5</v>
      </c>
      <c r="N60" t="s">
        <v>4725</v>
      </c>
    </row>
    <row r="61" spans="1:14" x14ac:dyDescent="0.2">
      <c r="A61" s="15">
        <v>45996</v>
      </c>
      <c r="B61" t="s">
        <v>4724</v>
      </c>
      <c r="C61" t="s">
        <v>17</v>
      </c>
      <c r="D61" t="s">
        <v>3</v>
      </c>
      <c r="E61" t="s">
        <v>3866</v>
      </c>
      <c r="F61" t="s">
        <v>3867</v>
      </c>
      <c r="G61" t="s">
        <v>3876</v>
      </c>
      <c r="I61">
        <v>71588119</v>
      </c>
      <c r="J61">
        <v>0</v>
      </c>
      <c r="K61">
        <v>2</v>
      </c>
      <c r="L61">
        <v>11</v>
      </c>
      <c r="M61" s="17">
        <v>-22</v>
      </c>
      <c r="N61" t="s">
        <v>4725</v>
      </c>
    </row>
    <row r="62" spans="1:14" x14ac:dyDescent="0.2">
      <c r="A62" s="15">
        <v>45996</v>
      </c>
      <c r="B62" t="s">
        <v>4724</v>
      </c>
      <c r="C62" t="s">
        <v>17</v>
      </c>
      <c r="D62" t="s">
        <v>3</v>
      </c>
      <c r="E62" t="s">
        <v>3866</v>
      </c>
      <c r="F62" t="s">
        <v>3868</v>
      </c>
      <c r="G62" t="s">
        <v>3876</v>
      </c>
      <c r="I62">
        <v>71588119</v>
      </c>
      <c r="J62">
        <v>0</v>
      </c>
      <c r="K62">
        <v>2</v>
      </c>
      <c r="L62">
        <v>6.5</v>
      </c>
      <c r="M62" s="17">
        <v>-13</v>
      </c>
      <c r="N62" t="s">
        <v>4725</v>
      </c>
    </row>
    <row r="63" spans="1:14" x14ac:dyDescent="0.2">
      <c r="A63" s="15">
        <v>45996</v>
      </c>
      <c r="B63" t="s">
        <v>4724</v>
      </c>
      <c r="C63" t="s">
        <v>17</v>
      </c>
      <c r="D63" t="s">
        <v>3</v>
      </c>
      <c r="E63" t="s">
        <v>3866</v>
      </c>
      <c r="F63" t="s">
        <v>3869</v>
      </c>
      <c r="G63" t="s">
        <v>3876</v>
      </c>
      <c r="I63">
        <v>71588119</v>
      </c>
      <c r="J63">
        <v>0</v>
      </c>
      <c r="K63">
        <v>2</v>
      </c>
      <c r="L63">
        <v>4.5</v>
      </c>
      <c r="M63" s="17">
        <v>-9</v>
      </c>
      <c r="N63" t="s">
        <v>4725</v>
      </c>
    </row>
    <row r="64" spans="1:14" x14ac:dyDescent="0.2">
      <c r="A64" s="15">
        <v>45996</v>
      </c>
      <c r="B64" t="s">
        <v>4724</v>
      </c>
      <c r="C64" t="s">
        <v>17</v>
      </c>
      <c r="D64" t="s">
        <v>3</v>
      </c>
      <c r="E64" t="s">
        <v>3866</v>
      </c>
      <c r="F64" t="s">
        <v>3862</v>
      </c>
      <c r="G64" t="s">
        <v>3876</v>
      </c>
      <c r="I64">
        <v>71588119</v>
      </c>
      <c r="J64">
        <v>0</v>
      </c>
      <c r="K64">
        <v>2</v>
      </c>
      <c r="L64">
        <v>7.5</v>
      </c>
      <c r="M64" s="17">
        <v>-15</v>
      </c>
      <c r="N64" t="s">
        <v>4725</v>
      </c>
    </row>
    <row r="65" spans="1:14" x14ac:dyDescent="0.2">
      <c r="A65" s="15">
        <v>45996</v>
      </c>
      <c r="B65" t="s">
        <v>4724</v>
      </c>
      <c r="C65" t="s">
        <v>17</v>
      </c>
      <c r="D65" t="s">
        <v>3</v>
      </c>
      <c r="E65" t="s">
        <v>3866</v>
      </c>
      <c r="F65" t="s">
        <v>47</v>
      </c>
      <c r="G65" t="s">
        <v>3876</v>
      </c>
      <c r="I65">
        <v>7750014</v>
      </c>
      <c r="J65">
        <v>0</v>
      </c>
      <c r="K65">
        <v>2</v>
      </c>
      <c r="L65">
        <v>16.25</v>
      </c>
      <c r="M65" s="17">
        <v>-32.5</v>
      </c>
      <c r="N65" t="s">
        <v>4725</v>
      </c>
    </row>
    <row r="66" spans="1:14" x14ac:dyDescent="0.2">
      <c r="A66" s="15">
        <v>45996</v>
      </c>
      <c r="B66" t="s">
        <v>4724</v>
      </c>
      <c r="C66" t="s">
        <v>17</v>
      </c>
      <c r="D66" t="s">
        <v>3</v>
      </c>
      <c r="E66" t="s">
        <v>3866</v>
      </c>
      <c r="F66" t="s">
        <v>3867</v>
      </c>
      <c r="G66" t="s">
        <v>3876</v>
      </c>
      <c r="I66">
        <v>7750014</v>
      </c>
      <c r="J66">
        <v>0</v>
      </c>
      <c r="K66">
        <v>2</v>
      </c>
      <c r="L66">
        <v>11</v>
      </c>
      <c r="M66" s="17">
        <v>-22</v>
      </c>
      <c r="N66" t="s">
        <v>4725</v>
      </c>
    </row>
    <row r="67" spans="1:14" x14ac:dyDescent="0.2">
      <c r="A67" s="15">
        <v>45996</v>
      </c>
      <c r="B67" t="s">
        <v>4724</v>
      </c>
      <c r="C67" t="s">
        <v>17</v>
      </c>
      <c r="D67" t="s">
        <v>3</v>
      </c>
      <c r="E67" t="s">
        <v>3866</v>
      </c>
      <c r="F67" t="s">
        <v>3868</v>
      </c>
      <c r="G67" t="s">
        <v>3876</v>
      </c>
      <c r="I67">
        <v>7750014</v>
      </c>
      <c r="J67">
        <v>0</v>
      </c>
      <c r="K67">
        <v>2</v>
      </c>
      <c r="L67">
        <v>6.5</v>
      </c>
      <c r="M67" s="17">
        <v>-13</v>
      </c>
      <c r="N67" t="s">
        <v>4725</v>
      </c>
    </row>
    <row r="68" spans="1:14" x14ac:dyDescent="0.2">
      <c r="A68" s="15">
        <v>45996</v>
      </c>
      <c r="B68" t="s">
        <v>4724</v>
      </c>
      <c r="C68" t="s">
        <v>17</v>
      </c>
      <c r="D68" t="s">
        <v>3</v>
      </c>
      <c r="E68" t="s">
        <v>3866</v>
      </c>
      <c r="F68" t="s">
        <v>3869</v>
      </c>
      <c r="G68" t="s">
        <v>3876</v>
      </c>
      <c r="I68">
        <v>7750014</v>
      </c>
      <c r="J68">
        <v>0</v>
      </c>
      <c r="K68">
        <v>2</v>
      </c>
      <c r="L68">
        <v>4.5</v>
      </c>
      <c r="M68" s="17">
        <v>-9</v>
      </c>
      <c r="N68" t="s">
        <v>4725</v>
      </c>
    </row>
    <row r="69" spans="1:14" x14ac:dyDescent="0.2">
      <c r="A69" s="15">
        <v>45996</v>
      </c>
      <c r="B69" t="s">
        <v>4724</v>
      </c>
      <c r="C69" t="s">
        <v>17</v>
      </c>
      <c r="D69" t="s">
        <v>3</v>
      </c>
      <c r="E69" t="s">
        <v>3866</v>
      </c>
      <c r="F69" t="s">
        <v>3862</v>
      </c>
      <c r="G69" t="s">
        <v>3876</v>
      </c>
      <c r="I69">
        <v>7750014</v>
      </c>
      <c r="J69">
        <v>0</v>
      </c>
      <c r="K69">
        <v>2</v>
      </c>
      <c r="L69">
        <v>7.5</v>
      </c>
      <c r="M69" s="17">
        <v>-15</v>
      </c>
      <c r="N69" t="s">
        <v>4725</v>
      </c>
    </row>
    <row r="70" spans="1:14" x14ac:dyDescent="0.2">
      <c r="A70" s="15">
        <v>45996</v>
      </c>
      <c r="B70" t="s">
        <v>4724</v>
      </c>
      <c r="C70" t="s">
        <v>17</v>
      </c>
      <c r="D70" t="s">
        <v>3</v>
      </c>
      <c r="E70" t="s">
        <v>3866</v>
      </c>
      <c r="F70" t="s">
        <v>47</v>
      </c>
      <c r="G70" t="s">
        <v>3876</v>
      </c>
      <c r="I70">
        <v>43461367</v>
      </c>
      <c r="J70">
        <v>0</v>
      </c>
      <c r="K70">
        <v>2</v>
      </c>
      <c r="L70">
        <v>16.25</v>
      </c>
      <c r="M70" s="17">
        <v>-32.5</v>
      </c>
      <c r="N70" t="s">
        <v>4725</v>
      </c>
    </row>
    <row r="71" spans="1:14" x14ac:dyDescent="0.2">
      <c r="A71" s="15">
        <v>45996</v>
      </c>
      <c r="B71" t="s">
        <v>4724</v>
      </c>
      <c r="C71" t="s">
        <v>17</v>
      </c>
      <c r="D71" t="s">
        <v>3</v>
      </c>
      <c r="E71" t="s">
        <v>3866</v>
      </c>
      <c r="F71" t="s">
        <v>3867</v>
      </c>
      <c r="G71" t="s">
        <v>3876</v>
      </c>
      <c r="I71">
        <v>43461367</v>
      </c>
      <c r="J71">
        <v>0</v>
      </c>
      <c r="K71">
        <v>2</v>
      </c>
      <c r="L71">
        <v>11</v>
      </c>
      <c r="M71" s="17">
        <v>-22</v>
      </c>
      <c r="N71" t="s">
        <v>4725</v>
      </c>
    </row>
    <row r="72" spans="1:14" x14ac:dyDescent="0.2">
      <c r="A72" s="15">
        <v>45996</v>
      </c>
      <c r="B72" t="s">
        <v>4724</v>
      </c>
      <c r="C72" t="s">
        <v>17</v>
      </c>
      <c r="D72" t="s">
        <v>3</v>
      </c>
      <c r="E72" t="s">
        <v>3866</v>
      </c>
      <c r="F72" t="s">
        <v>3868</v>
      </c>
      <c r="G72" t="s">
        <v>3876</v>
      </c>
      <c r="I72">
        <v>43461367</v>
      </c>
      <c r="J72">
        <v>0</v>
      </c>
      <c r="K72">
        <v>2</v>
      </c>
      <c r="L72">
        <v>6.5</v>
      </c>
      <c r="M72" s="17">
        <v>-13</v>
      </c>
      <c r="N72" t="s">
        <v>4725</v>
      </c>
    </row>
    <row r="73" spans="1:14" x14ac:dyDescent="0.2">
      <c r="A73" s="15">
        <v>45996</v>
      </c>
      <c r="B73" t="s">
        <v>4724</v>
      </c>
      <c r="C73" t="s">
        <v>17</v>
      </c>
      <c r="D73" t="s">
        <v>3</v>
      </c>
      <c r="E73" t="s">
        <v>3866</v>
      </c>
      <c r="F73" t="s">
        <v>3869</v>
      </c>
      <c r="G73" t="s">
        <v>3876</v>
      </c>
      <c r="I73">
        <v>43461367</v>
      </c>
      <c r="J73">
        <v>0</v>
      </c>
      <c r="K73">
        <v>2</v>
      </c>
      <c r="L73">
        <v>4.5</v>
      </c>
      <c r="M73" s="17">
        <v>-9</v>
      </c>
      <c r="N73" t="s">
        <v>4725</v>
      </c>
    </row>
    <row r="74" spans="1:14" x14ac:dyDescent="0.2">
      <c r="A74" s="15">
        <v>45996</v>
      </c>
      <c r="B74" t="s">
        <v>4724</v>
      </c>
      <c r="C74" t="s">
        <v>17</v>
      </c>
      <c r="D74" t="s">
        <v>3</v>
      </c>
      <c r="E74" t="s">
        <v>3866</v>
      </c>
      <c r="F74" t="s">
        <v>3862</v>
      </c>
      <c r="G74" t="s">
        <v>3876</v>
      </c>
      <c r="I74">
        <v>43461367</v>
      </c>
      <c r="J74">
        <v>0</v>
      </c>
      <c r="K74">
        <v>2</v>
      </c>
      <c r="L74">
        <v>7.5</v>
      </c>
      <c r="M74" s="17">
        <v>-15</v>
      </c>
      <c r="N74" t="s">
        <v>4725</v>
      </c>
    </row>
    <row r="75" spans="1:14" x14ac:dyDescent="0.2">
      <c r="A75" s="15">
        <v>45996</v>
      </c>
      <c r="B75" t="s">
        <v>4724</v>
      </c>
      <c r="C75" t="s">
        <v>17</v>
      </c>
      <c r="D75" t="s">
        <v>3</v>
      </c>
      <c r="E75" t="s">
        <v>3866</v>
      </c>
      <c r="F75" t="s">
        <v>47</v>
      </c>
      <c r="G75" t="s">
        <v>3876</v>
      </c>
      <c r="I75">
        <v>60054734</v>
      </c>
      <c r="J75">
        <v>0</v>
      </c>
      <c r="K75">
        <v>2</v>
      </c>
      <c r="L75">
        <v>16.25</v>
      </c>
      <c r="M75" s="17">
        <v>-32.5</v>
      </c>
      <c r="N75" t="s">
        <v>4725</v>
      </c>
    </row>
    <row r="76" spans="1:14" x14ac:dyDescent="0.2">
      <c r="A76" s="15">
        <v>45996</v>
      </c>
      <c r="B76" t="s">
        <v>4724</v>
      </c>
      <c r="C76" t="s">
        <v>17</v>
      </c>
      <c r="D76" t="s">
        <v>3</v>
      </c>
      <c r="E76" t="s">
        <v>3866</v>
      </c>
      <c r="F76" t="s">
        <v>3867</v>
      </c>
      <c r="G76" t="s">
        <v>3876</v>
      </c>
      <c r="I76">
        <v>60054734</v>
      </c>
      <c r="J76">
        <v>0</v>
      </c>
      <c r="K76">
        <v>2</v>
      </c>
      <c r="L76">
        <v>11</v>
      </c>
      <c r="M76" s="17">
        <v>-22</v>
      </c>
      <c r="N76" t="s">
        <v>4725</v>
      </c>
    </row>
    <row r="77" spans="1:14" x14ac:dyDescent="0.2">
      <c r="A77" s="15">
        <v>45996</v>
      </c>
      <c r="B77" t="s">
        <v>4724</v>
      </c>
      <c r="C77" t="s">
        <v>17</v>
      </c>
      <c r="D77" t="s">
        <v>3</v>
      </c>
      <c r="E77" t="s">
        <v>3866</v>
      </c>
      <c r="F77" t="s">
        <v>3868</v>
      </c>
      <c r="G77" t="s">
        <v>3876</v>
      </c>
      <c r="I77">
        <v>60054734</v>
      </c>
      <c r="J77">
        <v>0</v>
      </c>
      <c r="K77">
        <v>2</v>
      </c>
      <c r="L77">
        <v>6.5</v>
      </c>
      <c r="M77" s="17">
        <v>-13</v>
      </c>
      <c r="N77" t="s">
        <v>4725</v>
      </c>
    </row>
    <row r="78" spans="1:14" x14ac:dyDescent="0.2">
      <c r="A78" s="15">
        <v>45996</v>
      </c>
      <c r="B78" t="s">
        <v>4724</v>
      </c>
      <c r="C78" t="s">
        <v>17</v>
      </c>
      <c r="D78" t="s">
        <v>3</v>
      </c>
      <c r="E78" t="s">
        <v>3866</v>
      </c>
      <c r="F78" t="s">
        <v>3869</v>
      </c>
      <c r="G78" t="s">
        <v>3876</v>
      </c>
      <c r="I78">
        <v>60054734</v>
      </c>
      <c r="J78">
        <v>0</v>
      </c>
      <c r="K78">
        <v>2</v>
      </c>
      <c r="L78">
        <v>4.5</v>
      </c>
      <c r="M78" s="17">
        <v>-9</v>
      </c>
      <c r="N78" t="s">
        <v>4725</v>
      </c>
    </row>
    <row r="79" spans="1:14" x14ac:dyDescent="0.2">
      <c r="A79" s="15">
        <v>45996</v>
      </c>
      <c r="B79" t="s">
        <v>4724</v>
      </c>
      <c r="C79" t="s">
        <v>17</v>
      </c>
      <c r="D79" t="s">
        <v>3</v>
      </c>
      <c r="E79" t="s">
        <v>3866</v>
      </c>
      <c r="F79" t="s">
        <v>3862</v>
      </c>
      <c r="G79" t="s">
        <v>3876</v>
      </c>
      <c r="I79">
        <v>60054734</v>
      </c>
      <c r="J79">
        <v>0</v>
      </c>
      <c r="K79">
        <v>2</v>
      </c>
      <c r="L79">
        <v>7.5</v>
      </c>
      <c r="M79" s="17">
        <v>-15</v>
      </c>
      <c r="N79" t="s">
        <v>4725</v>
      </c>
    </row>
    <row r="80" spans="1:14" x14ac:dyDescent="0.2">
      <c r="A80" s="15">
        <v>45996</v>
      </c>
      <c r="B80" t="s">
        <v>4724</v>
      </c>
      <c r="C80" t="s">
        <v>17</v>
      </c>
      <c r="D80" t="s">
        <v>3</v>
      </c>
      <c r="E80" t="s">
        <v>3866</v>
      </c>
      <c r="F80" t="s">
        <v>47</v>
      </c>
      <c r="G80" t="s">
        <v>3876</v>
      </c>
      <c r="I80">
        <v>76334625</v>
      </c>
      <c r="J80">
        <v>0</v>
      </c>
      <c r="K80">
        <v>2</v>
      </c>
      <c r="L80">
        <v>16.25</v>
      </c>
      <c r="M80" s="17">
        <v>-32.5</v>
      </c>
      <c r="N80" t="s">
        <v>4725</v>
      </c>
    </row>
    <row r="81" spans="1:14" x14ac:dyDescent="0.2">
      <c r="A81" s="15">
        <v>45996</v>
      </c>
      <c r="B81" t="s">
        <v>4724</v>
      </c>
      <c r="C81" t="s">
        <v>17</v>
      </c>
      <c r="D81" t="s">
        <v>3</v>
      </c>
      <c r="E81" t="s">
        <v>3866</v>
      </c>
      <c r="F81" t="s">
        <v>3867</v>
      </c>
      <c r="G81" t="s">
        <v>3876</v>
      </c>
      <c r="I81">
        <v>76334625</v>
      </c>
      <c r="J81">
        <v>0</v>
      </c>
      <c r="K81">
        <v>2</v>
      </c>
      <c r="L81">
        <v>11</v>
      </c>
      <c r="M81" s="17">
        <v>-22</v>
      </c>
      <c r="N81" t="s">
        <v>4725</v>
      </c>
    </row>
    <row r="82" spans="1:14" x14ac:dyDescent="0.2">
      <c r="A82" s="15">
        <v>45996</v>
      </c>
      <c r="B82" t="s">
        <v>4724</v>
      </c>
      <c r="C82" t="s">
        <v>17</v>
      </c>
      <c r="D82" t="s">
        <v>3</v>
      </c>
      <c r="E82" t="s">
        <v>3866</v>
      </c>
      <c r="F82" t="s">
        <v>3868</v>
      </c>
      <c r="G82" t="s">
        <v>3876</v>
      </c>
      <c r="I82">
        <v>76334625</v>
      </c>
      <c r="J82">
        <v>0</v>
      </c>
      <c r="K82">
        <v>2</v>
      </c>
      <c r="L82">
        <v>6.5</v>
      </c>
      <c r="M82" s="17">
        <v>-13</v>
      </c>
      <c r="N82" t="s">
        <v>4725</v>
      </c>
    </row>
    <row r="83" spans="1:14" x14ac:dyDescent="0.2">
      <c r="A83" s="15">
        <v>45996</v>
      </c>
      <c r="B83" t="s">
        <v>4724</v>
      </c>
      <c r="C83" t="s">
        <v>17</v>
      </c>
      <c r="D83" t="s">
        <v>3</v>
      </c>
      <c r="E83" t="s">
        <v>3866</v>
      </c>
      <c r="F83" t="s">
        <v>3869</v>
      </c>
      <c r="G83" t="s">
        <v>3876</v>
      </c>
      <c r="I83">
        <v>76334625</v>
      </c>
      <c r="J83">
        <v>0</v>
      </c>
      <c r="K83">
        <v>2</v>
      </c>
      <c r="L83">
        <v>4.5</v>
      </c>
      <c r="M83" s="17">
        <v>-9</v>
      </c>
      <c r="N83" t="s">
        <v>4725</v>
      </c>
    </row>
    <row r="84" spans="1:14" x14ac:dyDescent="0.2">
      <c r="A84" s="15">
        <v>45996</v>
      </c>
      <c r="B84" t="s">
        <v>4724</v>
      </c>
      <c r="C84" t="s">
        <v>17</v>
      </c>
      <c r="D84" t="s">
        <v>3</v>
      </c>
      <c r="E84" t="s">
        <v>3866</v>
      </c>
      <c r="F84" t="s">
        <v>3862</v>
      </c>
      <c r="G84" t="s">
        <v>3876</v>
      </c>
      <c r="I84">
        <v>76334625</v>
      </c>
      <c r="J84">
        <v>0</v>
      </c>
      <c r="K84">
        <v>2</v>
      </c>
      <c r="L84">
        <v>7.5</v>
      </c>
      <c r="M84" s="17">
        <v>-15</v>
      </c>
      <c r="N84" t="s">
        <v>4725</v>
      </c>
    </row>
    <row r="85" spans="1:14" x14ac:dyDescent="0.2">
      <c r="A85" s="15">
        <v>45975</v>
      </c>
      <c r="B85" t="s">
        <v>4724</v>
      </c>
      <c r="C85" t="s">
        <v>2177</v>
      </c>
      <c r="D85" t="s">
        <v>3</v>
      </c>
      <c r="E85" t="s">
        <v>4207</v>
      </c>
      <c r="F85" t="s">
        <v>3851</v>
      </c>
      <c r="G85" t="s">
        <v>3876</v>
      </c>
      <c r="I85">
        <v>75007703</v>
      </c>
      <c r="J85">
        <v>0</v>
      </c>
      <c r="K85">
        <v>2</v>
      </c>
      <c r="L85">
        <v>18</v>
      </c>
      <c r="M85" s="17">
        <v>-36</v>
      </c>
      <c r="N85" t="s">
        <v>4725</v>
      </c>
    </row>
    <row r="86" spans="1:14" x14ac:dyDescent="0.2">
      <c r="A86" s="15">
        <v>45975</v>
      </c>
      <c r="B86" t="s">
        <v>4724</v>
      </c>
      <c r="C86" t="s">
        <v>2177</v>
      </c>
      <c r="D86" t="s">
        <v>3</v>
      </c>
      <c r="E86" t="s">
        <v>127</v>
      </c>
      <c r="F86" t="s">
        <v>3855</v>
      </c>
      <c r="G86" t="s">
        <v>3876</v>
      </c>
      <c r="I86">
        <v>75780895</v>
      </c>
      <c r="J86">
        <v>0</v>
      </c>
      <c r="K86">
        <v>2</v>
      </c>
      <c r="L86">
        <v>18.5</v>
      </c>
      <c r="M86" s="17">
        <v>-37</v>
      </c>
      <c r="N86" t="s">
        <v>4725</v>
      </c>
    </row>
    <row r="87" spans="1:14" x14ac:dyDescent="0.2">
      <c r="A87" s="15">
        <v>45975</v>
      </c>
      <c r="B87" t="s">
        <v>4724</v>
      </c>
      <c r="C87" t="s">
        <v>2177</v>
      </c>
      <c r="D87" t="s">
        <v>3</v>
      </c>
      <c r="E87" t="s">
        <v>127</v>
      </c>
      <c r="F87" t="s">
        <v>3853</v>
      </c>
      <c r="G87" t="s">
        <v>3876</v>
      </c>
      <c r="I87">
        <v>75780895</v>
      </c>
      <c r="J87">
        <v>0</v>
      </c>
      <c r="K87">
        <v>2</v>
      </c>
      <c r="L87">
        <v>7</v>
      </c>
      <c r="M87" s="17">
        <v>-14</v>
      </c>
      <c r="N87" t="s">
        <v>4725</v>
      </c>
    </row>
    <row r="88" spans="1:14" x14ac:dyDescent="0.2">
      <c r="A88" s="15">
        <v>45975</v>
      </c>
      <c r="B88" t="s">
        <v>4724</v>
      </c>
      <c r="C88" t="s">
        <v>2177</v>
      </c>
      <c r="D88" t="s">
        <v>3</v>
      </c>
      <c r="E88" t="s">
        <v>127</v>
      </c>
      <c r="F88" t="s">
        <v>3854</v>
      </c>
      <c r="G88" t="s">
        <v>3876</v>
      </c>
      <c r="I88">
        <v>75780895</v>
      </c>
      <c r="J88">
        <v>0</v>
      </c>
      <c r="K88">
        <v>2</v>
      </c>
      <c r="L88">
        <v>1.75</v>
      </c>
      <c r="M88" s="17">
        <v>-3.5</v>
      </c>
      <c r="N88" t="s">
        <v>4725</v>
      </c>
    </row>
    <row r="89" spans="1:14" x14ac:dyDescent="0.2">
      <c r="A89" s="15">
        <v>45975</v>
      </c>
      <c r="B89" t="s">
        <v>4724</v>
      </c>
      <c r="C89" t="s">
        <v>2177</v>
      </c>
      <c r="D89" t="s">
        <v>3</v>
      </c>
      <c r="E89" t="s">
        <v>3866</v>
      </c>
      <c r="F89" t="s">
        <v>3862</v>
      </c>
      <c r="G89" t="s">
        <v>3876</v>
      </c>
      <c r="I89">
        <v>43965735</v>
      </c>
      <c r="J89">
        <v>0</v>
      </c>
      <c r="K89">
        <v>2</v>
      </c>
      <c r="L89">
        <v>7.5</v>
      </c>
      <c r="M89" s="17">
        <v>-15</v>
      </c>
      <c r="N89" t="s">
        <v>4725</v>
      </c>
    </row>
    <row r="90" spans="1:14" x14ac:dyDescent="0.2">
      <c r="A90" s="15">
        <v>45975</v>
      </c>
      <c r="B90" t="s">
        <v>4724</v>
      </c>
      <c r="C90" t="s">
        <v>2177</v>
      </c>
      <c r="D90" t="s">
        <v>3</v>
      </c>
      <c r="E90" t="s">
        <v>3872</v>
      </c>
      <c r="F90" t="s">
        <v>4490</v>
      </c>
      <c r="G90" t="s">
        <v>3876</v>
      </c>
      <c r="I90">
        <v>47008833</v>
      </c>
      <c r="J90">
        <v>0</v>
      </c>
      <c r="K90">
        <v>3</v>
      </c>
      <c r="L90">
        <v>15</v>
      </c>
      <c r="M90" s="17">
        <v>-45</v>
      </c>
      <c r="N90" t="s">
        <v>4725</v>
      </c>
    </row>
    <row r="91" spans="1:14" x14ac:dyDescent="0.2">
      <c r="A91" s="15">
        <v>45975</v>
      </c>
      <c r="B91" t="s">
        <v>4724</v>
      </c>
      <c r="C91" t="s">
        <v>2177</v>
      </c>
      <c r="D91" t="s">
        <v>3</v>
      </c>
      <c r="E91" t="s">
        <v>3872</v>
      </c>
      <c r="F91" t="s">
        <v>4490</v>
      </c>
      <c r="G91" t="s">
        <v>3876</v>
      </c>
      <c r="I91">
        <v>71752533</v>
      </c>
      <c r="J91">
        <v>0</v>
      </c>
      <c r="K91">
        <v>3</v>
      </c>
      <c r="L91">
        <v>15</v>
      </c>
      <c r="M91" s="17">
        <v>-45</v>
      </c>
      <c r="N91" t="s">
        <v>4725</v>
      </c>
    </row>
    <row r="92" spans="1:14" x14ac:dyDescent="0.2">
      <c r="A92" s="15">
        <v>45975</v>
      </c>
      <c r="B92" t="s">
        <v>4724</v>
      </c>
      <c r="C92" t="s">
        <v>2177</v>
      </c>
      <c r="D92" t="s">
        <v>3</v>
      </c>
      <c r="E92" t="s">
        <v>3872</v>
      </c>
      <c r="F92" t="s">
        <v>4490</v>
      </c>
      <c r="G92" t="s">
        <v>3876</v>
      </c>
      <c r="I92">
        <v>73141256</v>
      </c>
      <c r="J92">
        <v>0</v>
      </c>
      <c r="K92">
        <v>3</v>
      </c>
      <c r="L92">
        <v>15</v>
      </c>
      <c r="M92" s="17">
        <v>-45</v>
      </c>
      <c r="N92" t="s">
        <v>4725</v>
      </c>
    </row>
    <row r="93" spans="1:14" x14ac:dyDescent="0.2">
      <c r="A93" s="15">
        <v>45975</v>
      </c>
      <c r="B93" t="s">
        <v>4724</v>
      </c>
      <c r="C93" t="s">
        <v>2177</v>
      </c>
      <c r="D93" t="s">
        <v>3</v>
      </c>
      <c r="E93" t="s">
        <v>3863</v>
      </c>
      <c r="F93" t="s">
        <v>3864</v>
      </c>
      <c r="G93" t="s">
        <v>3876</v>
      </c>
      <c r="I93">
        <v>76460420</v>
      </c>
      <c r="J93">
        <v>0</v>
      </c>
      <c r="K93">
        <v>2</v>
      </c>
      <c r="L93">
        <v>16.5</v>
      </c>
      <c r="M93" s="17">
        <v>-33</v>
      </c>
      <c r="N93" t="s">
        <v>4725</v>
      </c>
    </row>
    <row r="94" spans="1:14" x14ac:dyDescent="0.2">
      <c r="A94" s="15">
        <v>45975</v>
      </c>
      <c r="B94" t="s">
        <v>4724</v>
      </c>
      <c r="C94" t="s">
        <v>2177</v>
      </c>
      <c r="D94" t="s">
        <v>3</v>
      </c>
      <c r="E94" t="s">
        <v>3863</v>
      </c>
      <c r="F94" t="s">
        <v>3865</v>
      </c>
      <c r="G94" t="s">
        <v>3876</v>
      </c>
      <c r="I94">
        <v>76460420</v>
      </c>
      <c r="J94">
        <v>0</v>
      </c>
      <c r="K94">
        <v>2</v>
      </c>
      <c r="L94">
        <v>19.5</v>
      </c>
      <c r="M94" s="17">
        <v>-39</v>
      </c>
      <c r="N94" t="s">
        <v>4725</v>
      </c>
    </row>
    <row r="95" spans="1:14" x14ac:dyDescent="0.2">
      <c r="A95" s="15">
        <v>45975</v>
      </c>
      <c r="B95" t="s">
        <v>4724</v>
      </c>
      <c r="C95" t="s">
        <v>2177</v>
      </c>
      <c r="D95" t="s">
        <v>3</v>
      </c>
      <c r="E95" t="s">
        <v>3863</v>
      </c>
      <c r="F95" t="s">
        <v>3862</v>
      </c>
      <c r="G95" t="s">
        <v>3876</v>
      </c>
      <c r="I95">
        <v>76460420</v>
      </c>
      <c r="J95">
        <v>0</v>
      </c>
      <c r="K95">
        <v>2</v>
      </c>
      <c r="L95">
        <v>7.5</v>
      </c>
      <c r="M95" s="17">
        <v>-15</v>
      </c>
      <c r="N95" t="s">
        <v>4725</v>
      </c>
    </row>
    <row r="96" spans="1:14" x14ac:dyDescent="0.2">
      <c r="A96" s="15">
        <v>45975</v>
      </c>
      <c r="B96" t="s">
        <v>4724</v>
      </c>
      <c r="C96" t="s">
        <v>2177</v>
      </c>
      <c r="D96" t="s">
        <v>3</v>
      </c>
      <c r="E96" t="s">
        <v>126</v>
      </c>
      <c r="F96" t="s">
        <v>4217</v>
      </c>
      <c r="G96" t="s">
        <v>3876</v>
      </c>
      <c r="I96">
        <v>72631387</v>
      </c>
      <c r="J96">
        <v>0</v>
      </c>
      <c r="K96">
        <v>2</v>
      </c>
      <c r="L96">
        <v>17</v>
      </c>
      <c r="M96" s="17">
        <v>-34</v>
      </c>
      <c r="N96" t="s">
        <v>4725</v>
      </c>
    </row>
    <row r="97" spans="1:14" x14ac:dyDescent="0.2">
      <c r="A97" s="15">
        <v>45975</v>
      </c>
      <c r="B97" t="s">
        <v>4724</v>
      </c>
      <c r="C97" t="s">
        <v>2177</v>
      </c>
      <c r="D97" t="s">
        <v>3</v>
      </c>
      <c r="E97" t="s">
        <v>126</v>
      </c>
      <c r="F97" t="s">
        <v>4217</v>
      </c>
      <c r="G97" t="s">
        <v>3876</v>
      </c>
      <c r="I97">
        <v>73870740</v>
      </c>
      <c r="J97">
        <v>0</v>
      </c>
      <c r="K97">
        <v>2</v>
      </c>
      <c r="L97">
        <v>17</v>
      </c>
      <c r="M97" s="17">
        <v>-34</v>
      </c>
      <c r="N97" t="s">
        <v>4725</v>
      </c>
    </row>
    <row r="98" spans="1:14" x14ac:dyDescent="0.2">
      <c r="A98" s="15">
        <v>45975</v>
      </c>
      <c r="B98" t="s">
        <v>4724</v>
      </c>
      <c r="C98" t="s">
        <v>2177</v>
      </c>
      <c r="D98" t="s">
        <v>3</v>
      </c>
      <c r="E98" t="s">
        <v>126</v>
      </c>
      <c r="F98" t="s">
        <v>4229</v>
      </c>
      <c r="G98" t="s">
        <v>3876</v>
      </c>
      <c r="I98">
        <v>73870740</v>
      </c>
      <c r="J98">
        <v>0</v>
      </c>
      <c r="K98">
        <v>1</v>
      </c>
      <c r="L98">
        <v>39</v>
      </c>
      <c r="M98" s="17">
        <v>-39</v>
      </c>
      <c r="N98" t="s">
        <v>4725</v>
      </c>
    </row>
    <row r="99" spans="1:14" x14ac:dyDescent="0.2">
      <c r="A99" s="15">
        <v>45975</v>
      </c>
      <c r="B99" t="s">
        <v>4724</v>
      </c>
      <c r="C99" t="s">
        <v>2177</v>
      </c>
      <c r="D99" t="s">
        <v>3</v>
      </c>
      <c r="E99" t="s">
        <v>126</v>
      </c>
      <c r="F99" t="s">
        <v>4217</v>
      </c>
      <c r="G99" t="s">
        <v>3876</v>
      </c>
      <c r="I99">
        <v>76411894</v>
      </c>
      <c r="J99">
        <v>0</v>
      </c>
      <c r="K99">
        <v>2</v>
      </c>
      <c r="L99">
        <v>17</v>
      </c>
      <c r="M99" s="17">
        <v>-34</v>
      </c>
      <c r="N99" t="s">
        <v>4725</v>
      </c>
    </row>
    <row r="100" spans="1:14" x14ac:dyDescent="0.2">
      <c r="A100" s="15">
        <v>45975</v>
      </c>
      <c r="B100" t="s">
        <v>4724</v>
      </c>
      <c r="C100" t="s">
        <v>2177</v>
      </c>
      <c r="D100" t="s">
        <v>3</v>
      </c>
      <c r="E100" t="s">
        <v>126</v>
      </c>
      <c r="F100" t="s">
        <v>4229</v>
      </c>
      <c r="G100" t="s">
        <v>3876</v>
      </c>
      <c r="I100">
        <v>76411894</v>
      </c>
      <c r="J100">
        <v>0</v>
      </c>
      <c r="K100">
        <v>1</v>
      </c>
      <c r="L100">
        <v>39</v>
      </c>
      <c r="M100" s="17">
        <v>-39</v>
      </c>
      <c r="N100" t="s">
        <v>4725</v>
      </c>
    </row>
    <row r="101" spans="1:14" x14ac:dyDescent="0.2">
      <c r="A101" s="15">
        <v>45975</v>
      </c>
      <c r="B101" t="s">
        <v>4724</v>
      </c>
      <c r="C101" t="s">
        <v>2177</v>
      </c>
      <c r="D101" t="s">
        <v>3</v>
      </c>
      <c r="E101" t="s">
        <v>126</v>
      </c>
      <c r="F101" t="s">
        <v>4219</v>
      </c>
      <c r="G101" t="s">
        <v>3876</v>
      </c>
      <c r="I101">
        <v>76411894</v>
      </c>
      <c r="J101">
        <v>0</v>
      </c>
      <c r="K101">
        <v>2</v>
      </c>
      <c r="L101">
        <v>5</v>
      </c>
      <c r="M101" s="17">
        <v>-10</v>
      </c>
      <c r="N101" t="s">
        <v>4725</v>
      </c>
    </row>
    <row r="102" spans="1:14" x14ac:dyDescent="0.2">
      <c r="A102" s="15">
        <v>45987</v>
      </c>
      <c r="B102" t="s">
        <v>4724</v>
      </c>
      <c r="C102" t="s">
        <v>21</v>
      </c>
      <c r="D102" t="s">
        <v>3</v>
      </c>
      <c r="E102" t="s">
        <v>3866</v>
      </c>
      <c r="F102" t="s">
        <v>47</v>
      </c>
      <c r="G102" t="s">
        <v>3876</v>
      </c>
      <c r="I102">
        <v>76282405</v>
      </c>
      <c r="J102">
        <v>0</v>
      </c>
      <c r="K102">
        <v>2</v>
      </c>
      <c r="L102">
        <v>16.25</v>
      </c>
      <c r="M102" s="17">
        <v>-32.5</v>
      </c>
      <c r="N102" t="s">
        <v>4725</v>
      </c>
    </row>
    <row r="103" spans="1:14" x14ac:dyDescent="0.2">
      <c r="A103" s="15">
        <v>45987</v>
      </c>
      <c r="B103" t="s">
        <v>4724</v>
      </c>
      <c r="C103" t="s">
        <v>21</v>
      </c>
      <c r="D103" t="s">
        <v>3</v>
      </c>
      <c r="E103" t="s">
        <v>3866</v>
      </c>
      <c r="F103" t="s">
        <v>3867</v>
      </c>
      <c r="G103" t="s">
        <v>3876</v>
      </c>
      <c r="I103">
        <v>76282405</v>
      </c>
      <c r="J103">
        <v>0</v>
      </c>
      <c r="K103">
        <v>2</v>
      </c>
      <c r="L103">
        <v>11</v>
      </c>
      <c r="M103" s="17">
        <v>-22</v>
      </c>
      <c r="N103" t="s">
        <v>4725</v>
      </c>
    </row>
    <row r="104" spans="1:14" x14ac:dyDescent="0.2">
      <c r="A104" s="15">
        <v>45987</v>
      </c>
      <c r="B104" t="s">
        <v>4724</v>
      </c>
      <c r="C104" t="s">
        <v>21</v>
      </c>
      <c r="D104" t="s">
        <v>3</v>
      </c>
      <c r="E104" t="s">
        <v>3866</v>
      </c>
      <c r="F104" t="s">
        <v>3868</v>
      </c>
      <c r="G104" t="s">
        <v>3876</v>
      </c>
      <c r="I104">
        <v>76282405</v>
      </c>
      <c r="J104">
        <v>0</v>
      </c>
      <c r="K104">
        <v>2</v>
      </c>
      <c r="L104">
        <v>6.5</v>
      </c>
      <c r="M104" s="17">
        <v>-13</v>
      </c>
      <c r="N104" t="s">
        <v>4725</v>
      </c>
    </row>
    <row r="105" spans="1:14" x14ac:dyDescent="0.2">
      <c r="A105" s="15">
        <v>45987</v>
      </c>
      <c r="B105" t="s">
        <v>4724</v>
      </c>
      <c r="C105" t="s">
        <v>21</v>
      </c>
      <c r="D105" t="s">
        <v>3</v>
      </c>
      <c r="E105" t="s">
        <v>3866</v>
      </c>
      <c r="F105" t="s">
        <v>3869</v>
      </c>
      <c r="G105" t="s">
        <v>3876</v>
      </c>
      <c r="I105">
        <v>76282405</v>
      </c>
      <c r="J105">
        <v>0</v>
      </c>
      <c r="K105">
        <v>2</v>
      </c>
      <c r="L105">
        <v>4.5</v>
      </c>
      <c r="M105" s="17">
        <v>-9</v>
      </c>
      <c r="N105" t="s">
        <v>4725</v>
      </c>
    </row>
    <row r="106" spans="1:14" x14ac:dyDescent="0.2">
      <c r="A106" s="15">
        <v>45987</v>
      </c>
      <c r="B106" t="s">
        <v>4724</v>
      </c>
      <c r="C106" t="s">
        <v>21</v>
      </c>
      <c r="D106" t="s">
        <v>3</v>
      </c>
      <c r="E106" t="s">
        <v>3866</v>
      </c>
      <c r="F106" t="s">
        <v>3862</v>
      </c>
      <c r="G106" t="s">
        <v>3876</v>
      </c>
      <c r="I106">
        <v>76282405</v>
      </c>
      <c r="J106">
        <v>0</v>
      </c>
      <c r="K106">
        <v>2</v>
      </c>
      <c r="L106">
        <v>7.5</v>
      </c>
      <c r="M106" s="17">
        <v>-15</v>
      </c>
      <c r="N106" t="s">
        <v>4725</v>
      </c>
    </row>
    <row r="107" spans="1:14" x14ac:dyDescent="0.2">
      <c r="A107" s="15">
        <v>45987</v>
      </c>
      <c r="B107" t="s">
        <v>4724</v>
      </c>
      <c r="C107" t="s">
        <v>21</v>
      </c>
      <c r="D107" t="s">
        <v>3</v>
      </c>
      <c r="E107" t="s">
        <v>3866</v>
      </c>
      <c r="F107" t="s">
        <v>47</v>
      </c>
      <c r="G107" t="s">
        <v>3876</v>
      </c>
      <c r="I107">
        <v>47188415</v>
      </c>
      <c r="J107">
        <v>0</v>
      </c>
      <c r="K107">
        <v>2</v>
      </c>
      <c r="L107">
        <v>16.25</v>
      </c>
      <c r="M107" s="17">
        <v>-32.5</v>
      </c>
      <c r="N107" t="s">
        <v>4725</v>
      </c>
    </row>
    <row r="108" spans="1:14" x14ac:dyDescent="0.2">
      <c r="A108" s="15">
        <v>45987</v>
      </c>
      <c r="B108" t="s">
        <v>4724</v>
      </c>
      <c r="C108" t="s">
        <v>21</v>
      </c>
      <c r="D108" t="s">
        <v>3</v>
      </c>
      <c r="E108" t="s">
        <v>3866</v>
      </c>
      <c r="F108" t="s">
        <v>3867</v>
      </c>
      <c r="G108" t="s">
        <v>3876</v>
      </c>
      <c r="I108">
        <v>47188415</v>
      </c>
      <c r="J108">
        <v>0</v>
      </c>
      <c r="K108">
        <v>2</v>
      </c>
      <c r="L108">
        <v>11</v>
      </c>
      <c r="M108" s="17">
        <v>-22</v>
      </c>
      <c r="N108" t="s">
        <v>4725</v>
      </c>
    </row>
    <row r="109" spans="1:14" x14ac:dyDescent="0.2">
      <c r="A109" s="15">
        <v>45987</v>
      </c>
      <c r="B109" t="s">
        <v>4724</v>
      </c>
      <c r="C109" t="s">
        <v>21</v>
      </c>
      <c r="D109" t="s">
        <v>3</v>
      </c>
      <c r="E109" t="s">
        <v>3866</v>
      </c>
      <c r="F109" t="s">
        <v>3868</v>
      </c>
      <c r="G109" t="s">
        <v>3876</v>
      </c>
      <c r="I109">
        <v>47188415</v>
      </c>
      <c r="J109">
        <v>0</v>
      </c>
      <c r="K109">
        <v>2</v>
      </c>
      <c r="L109">
        <v>6.5</v>
      </c>
      <c r="M109" s="17">
        <v>-13</v>
      </c>
      <c r="N109" t="s">
        <v>4725</v>
      </c>
    </row>
    <row r="110" spans="1:14" x14ac:dyDescent="0.2">
      <c r="A110" s="15">
        <v>45987</v>
      </c>
      <c r="B110" t="s">
        <v>4724</v>
      </c>
      <c r="C110" t="s">
        <v>21</v>
      </c>
      <c r="D110" t="s">
        <v>3</v>
      </c>
      <c r="E110" t="s">
        <v>3866</v>
      </c>
      <c r="F110" t="s">
        <v>3869</v>
      </c>
      <c r="G110" t="s">
        <v>3876</v>
      </c>
      <c r="I110">
        <v>47188415</v>
      </c>
      <c r="J110">
        <v>0</v>
      </c>
      <c r="K110">
        <v>2</v>
      </c>
      <c r="L110">
        <v>4.5</v>
      </c>
      <c r="M110" s="17">
        <v>-9</v>
      </c>
      <c r="N110" t="s">
        <v>4725</v>
      </c>
    </row>
    <row r="111" spans="1:14" x14ac:dyDescent="0.2">
      <c r="A111" s="15">
        <v>45987</v>
      </c>
      <c r="B111" t="s">
        <v>4724</v>
      </c>
      <c r="C111" t="s">
        <v>21</v>
      </c>
      <c r="D111" t="s">
        <v>3</v>
      </c>
      <c r="E111" t="s">
        <v>3866</v>
      </c>
      <c r="F111" t="s">
        <v>3862</v>
      </c>
      <c r="G111" t="s">
        <v>3876</v>
      </c>
      <c r="I111">
        <v>47188415</v>
      </c>
      <c r="J111">
        <v>0</v>
      </c>
      <c r="K111">
        <v>2</v>
      </c>
      <c r="L111">
        <v>7.5</v>
      </c>
      <c r="M111" s="17">
        <v>-15</v>
      </c>
      <c r="N111" t="s">
        <v>4725</v>
      </c>
    </row>
    <row r="112" spans="1:14" x14ac:dyDescent="0.2">
      <c r="A112" s="15">
        <v>45987</v>
      </c>
      <c r="B112" t="s">
        <v>4724</v>
      </c>
      <c r="C112" t="s">
        <v>21</v>
      </c>
      <c r="D112" t="s">
        <v>3</v>
      </c>
      <c r="E112" t="s">
        <v>3866</v>
      </c>
      <c r="F112" t="s">
        <v>47</v>
      </c>
      <c r="G112" t="s">
        <v>3876</v>
      </c>
      <c r="I112">
        <v>61053284</v>
      </c>
      <c r="J112">
        <v>0</v>
      </c>
      <c r="K112">
        <v>2</v>
      </c>
      <c r="L112">
        <v>16.25</v>
      </c>
      <c r="M112" s="17">
        <v>-32.5</v>
      </c>
      <c r="N112" t="s">
        <v>4725</v>
      </c>
    </row>
    <row r="113" spans="1:14" x14ac:dyDescent="0.2">
      <c r="A113" s="15">
        <v>45987</v>
      </c>
      <c r="B113" t="s">
        <v>4724</v>
      </c>
      <c r="C113" t="s">
        <v>21</v>
      </c>
      <c r="D113" t="s">
        <v>3</v>
      </c>
      <c r="E113" t="s">
        <v>3866</v>
      </c>
      <c r="F113" t="s">
        <v>3867</v>
      </c>
      <c r="G113" t="s">
        <v>3876</v>
      </c>
      <c r="I113">
        <v>61053284</v>
      </c>
      <c r="J113">
        <v>0</v>
      </c>
      <c r="K113">
        <v>2</v>
      </c>
      <c r="L113">
        <v>11</v>
      </c>
      <c r="M113" s="17">
        <v>-22</v>
      </c>
      <c r="N113" t="s">
        <v>4725</v>
      </c>
    </row>
    <row r="114" spans="1:14" x14ac:dyDescent="0.2">
      <c r="A114" s="15">
        <v>45987</v>
      </c>
      <c r="B114" t="s">
        <v>4724</v>
      </c>
      <c r="C114" t="s">
        <v>21</v>
      </c>
      <c r="D114" t="s">
        <v>3</v>
      </c>
      <c r="E114" t="s">
        <v>3866</v>
      </c>
      <c r="F114" t="s">
        <v>3868</v>
      </c>
      <c r="G114" t="s">
        <v>3876</v>
      </c>
      <c r="I114">
        <v>61053284</v>
      </c>
      <c r="J114">
        <v>0</v>
      </c>
      <c r="K114">
        <v>2</v>
      </c>
      <c r="L114">
        <v>6.5</v>
      </c>
      <c r="M114" s="17">
        <v>-13</v>
      </c>
      <c r="N114" t="s">
        <v>4725</v>
      </c>
    </row>
    <row r="115" spans="1:14" x14ac:dyDescent="0.2">
      <c r="A115" s="15">
        <v>45987</v>
      </c>
      <c r="B115" t="s">
        <v>4724</v>
      </c>
      <c r="C115" t="s">
        <v>21</v>
      </c>
      <c r="D115" t="s">
        <v>3</v>
      </c>
      <c r="E115" t="s">
        <v>3866</v>
      </c>
      <c r="F115" t="s">
        <v>3869</v>
      </c>
      <c r="G115" t="s">
        <v>3876</v>
      </c>
      <c r="I115">
        <v>61053284</v>
      </c>
      <c r="J115">
        <v>0</v>
      </c>
      <c r="K115">
        <v>2</v>
      </c>
      <c r="L115">
        <v>4.5</v>
      </c>
      <c r="M115" s="17">
        <v>-9</v>
      </c>
      <c r="N115" t="s">
        <v>4725</v>
      </c>
    </row>
    <row r="116" spans="1:14" x14ac:dyDescent="0.2">
      <c r="A116" s="15">
        <v>45987</v>
      </c>
      <c r="B116" t="s">
        <v>4724</v>
      </c>
      <c r="C116" t="s">
        <v>21</v>
      </c>
      <c r="D116" t="s">
        <v>3</v>
      </c>
      <c r="E116" t="s">
        <v>3866</v>
      </c>
      <c r="F116" t="s">
        <v>3862</v>
      </c>
      <c r="G116" t="s">
        <v>3876</v>
      </c>
      <c r="I116">
        <v>61053284</v>
      </c>
      <c r="J116">
        <v>0</v>
      </c>
      <c r="K116">
        <v>2</v>
      </c>
      <c r="L116">
        <v>7.5</v>
      </c>
      <c r="M116" s="17">
        <v>-15</v>
      </c>
      <c r="N116" t="s">
        <v>4725</v>
      </c>
    </row>
    <row r="117" spans="1:14" x14ac:dyDescent="0.2">
      <c r="A117" s="15">
        <v>45975</v>
      </c>
      <c r="B117" t="s">
        <v>4724</v>
      </c>
      <c r="C117" t="s">
        <v>25</v>
      </c>
      <c r="D117" t="s">
        <v>24</v>
      </c>
      <c r="E117" t="s">
        <v>3872</v>
      </c>
      <c r="F117" t="s">
        <v>4490</v>
      </c>
      <c r="G117" t="s">
        <v>3876</v>
      </c>
      <c r="I117">
        <v>46722628</v>
      </c>
      <c r="J117">
        <v>0</v>
      </c>
      <c r="K117">
        <v>2</v>
      </c>
      <c r="L117">
        <v>15</v>
      </c>
      <c r="M117" s="17">
        <v>-30</v>
      </c>
      <c r="N117" t="s">
        <v>4725</v>
      </c>
    </row>
    <row r="118" spans="1:14" x14ac:dyDescent="0.2">
      <c r="A118" s="15">
        <v>45975</v>
      </c>
      <c r="B118" t="s">
        <v>4724</v>
      </c>
      <c r="C118" t="s">
        <v>25</v>
      </c>
      <c r="D118" t="s">
        <v>24</v>
      </c>
      <c r="E118" t="s">
        <v>3872</v>
      </c>
      <c r="F118" t="s">
        <v>4493</v>
      </c>
      <c r="G118" t="s">
        <v>3876</v>
      </c>
      <c r="I118">
        <v>46722628</v>
      </c>
      <c r="J118">
        <v>0</v>
      </c>
      <c r="K118">
        <v>2</v>
      </c>
      <c r="L118">
        <v>5</v>
      </c>
      <c r="M118" s="17">
        <v>-10</v>
      </c>
      <c r="N118" t="s">
        <v>4725</v>
      </c>
    </row>
    <row r="119" spans="1:14" x14ac:dyDescent="0.2">
      <c r="A119" s="15">
        <v>45975</v>
      </c>
      <c r="B119" t="s">
        <v>4724</v>
      </c>
      <c r="C119" t="s">
        <v>25</v>
      </c>
      <c r="D119" t="s">
        <v>24</v>
      </c>
      <c r="E119" t="s">
        <v>3872</v>
      </c>
      <c r="F119" t="s">
        <v>4493</v>
      </c>
      <c r="G119" t="s">
        <v>3876</v>
      </c>
      <c r="I119">
        <v>72670432</v>
      </c>
      <c r="J119">
        <v>0</v>
      </c>
      <c r="K119">
        <v>2</v>
      </c>
      <c r="L119">
        <v>5</v>
      </c>
      <c r="M119" s="17">
        <v>-10</v>
      </c>
      <c r="N119" t="s">
        <v>4725</v>
      </c>
    </row>
    <row r="120" spans="1:14" x14ac:dyDescent="0.2">
      <c r="A120" s="15">
        <v>45902</v>
      </c>
      <c r="B120" t="s">
        <v>4724</v>
      </c>
      <c r="C120" t="s">
        <v>5</v>
      </c>
      <c r="D120" t="s">
        <v>3</v>
      </c>
      <c r="E120" t="s">
        <v>29</v>
      </c>
      <c r="F120" t="s">
        <v>3852</v>
      </c>
      <c r="G120" t="s">
        <v>3876</v>
      </c>
      <c r="I120">
        <v>41983477</v>
      </c>
      <c r="J120">
        <v>0</v>
      </c>
      <c r="K120">
        <v>2</v>
      </c>
      <c r="L120">
        <v>18.5</v>
      </c>
      <c r="M120" s="17">
        <v>-37</v>
      </c>
      <c r="N120" t="s">
        <v>4725</v>
      </c>
    </row>
    <row r="121" spans="1:14" x14ac:dyDescent="0.2">
      <c r="A121" s="15">
        <v>45902</v>
      </c>
      <c r="B121" t="s">
        <v>4724</v>
      </c>
      <c r="C121" t="s">
        <v>5</v>
      </c>
      <c r="D121" t="s">
        <v>3</v>
      </c>
      <c r="E121" t="s">
        <v>29</v>
      </c>
      <c r="F121" t="s">
        <v>3853</v>
      </c>
      <c r="G121" t="s">
        <v>3876</v>
      </c>
      <c r="I121">
        <v>41983477</v>
      </c>
      <c r="J121">
        <v>0</v>
      </c>
      <c r="K121">
        <v>2</v>
      </c>
      <c r="L121">
        <v>7</v>
      </c>
      <c r="M121" s="17">
        <v>-14</v>
      </c>
      <c r="N121" t="s">
        <v>4725</v>
      </c>
    </row>
    <row r="122" spans="1:14" x14ac:dyDescent="0.2">
      <c r="A122" s="15">
        <v>45902</v>
      </c>
      <c r="B122" t="s">
        <v>4724</v>
      </c>
      <c r="C122" t="s">
        <v>5</v>
      </c>
      <c r="D122" t="s">
        <v>3</v>
      </c>
      <c r="E122" t="s">
        <v>29</v>
      </c>
      <c r="F122" t="s">
        <v>3854</v>
      </c>
      <c r="G122" t="s">
        <v>3876</v>
      </c>
      <c r="I122">
        <v>41983477</v>
      </c>
      <c r="J122">
        <v>0</v>
      </c>
      <c r="K122">
        <v>2</v>
      </c>
      <c r="L122">
        <v>1.75</v>
      </c>
      <c r="M122" s="17">
        <v>-3.5</v>
      </c>
      <c r="N122" t="s">
        <v>4725</v>
      </c>
    </row>
    <row r="123" spans="1:14" x14ac:dyDescent="0.2">
      <c r="A123" s="15">
        <v>45973</v>
      </c>
      <c r="B123" t="s">
        <v>4724</v>
      </c>
      <c r="C123" t="s">
        <v>5</v>
      </c>
      <c r="D123" t="s">
        <v>3</v>
      </c>
      <c r="E123" t="s">
        <v>3866</v>
      </c>
      <c r="F123" t="s">
        <v>47</v>
      </c>
      <c r="G123" t="s">
        <v>3876</v>
      </c>
      <c r="I123">
        <v>47115854</v>
      </c>
      <c r="J123">
        <v>0</v>
      </c>
      <c r="K123">
        <v>2</v>
      </c>
      <c r="L123">
        <v>16.25</v>
      </c>
      <c r="M123" s="17">
        <v>-32.5</v>
      </c>
      <c r="N123" t="s">
        <v>4725</v>
      </c>
    </row>
    <row r="124" spans="1:14" x14ac:dyDescent="0.2">
      <c r="A124" s="15">
        <v>45973</v>
      </c>
      <c r="B124" t="s">
        <v>4724</v>
      </c>
      <c r="C124" t="s">
        <v>5</v>
      </c>
      <c r="D124" t="s">
        <v>3</v>
      </c>
      <c r="E124" t="s">
        <v>3866</v>
      </c>
      <c r="F124" t="s">
        <v>3867</v>
      </c>
      <c r="G124" t="s">
        <v>3876</v>
      </c>
      <c r="I124">
        <v>47115854</v>
      </c>
      <c r="J124">
        <v>0</v>
      </c>
      <c r="K124">
        <v>2</v>
      </c>
      <c r="L124">
        <v>11</v>
      </c>
      <c r="M124" s="17">
        <v>-22</v>
      </c>
      <c r="N124" t="s">
        <v>4725</v>
      </c>
    </row>
    <row r="125" spans="1:14" x14ac:dyDescent="0.2">
      <c r="A125" s="15">
        <v>45973</v>
      </c>
      <c r="B125" t="s">
        <v>4724</v>
      </c>
      <c r="C125" t="s">
        <v>5</v>
      </c>
      <c r="D125" t="s">
        <v>3</v>
      </c>
      <c r="E125" t="s">
        <v>3866</v>
      </c>
      <c r="F125" t="s">
        <v>3868</v>
      </c>
      <c r="G125" t="s">
        <v>3876</v>
      </c>
      <c r="I125">
        <v>47115854</v>
      </c>
      <c r="J125">
        <v>0</v>
      </c>
      <c r="K125">
        <v>2</v>
      </c>
      <c r="L125">
        <v>6.5</v>
      </c>
      <c r="M125" s="17">
        <v>-13</v>
      </c>
      <c r="N125" t="s">
        <v>4725</v>
      </c>
    </row>
    <row r="126" spans="1:14" x14ac:dyDescent="0.2">
      <c r="A126" s="15">
        <v>45973</v>
      </c>
      <c r="B126" t="s">
        <v>4724</v>
      </c>
      <c r="C126" t="s">
        <v>5</v>
      </c>
      <c r="D126" t="s">
        <v>3</v>
      </c>
      <c r="E126" t="s">
        <v>3866</v>
      </c>
      <c r="F126" t="s">
        <v>3869</v>
      </c>
      <c r="G126" t="s">
        <v>3876</v>
      </c>
      <c r="I126">
        <v>47115854</v>
      </c>
      <c r="J126">
        <v>0</v>
      </c>
      <c r="K126">
        <v>2</v>
      </c>
      <c r="L126">
        <v>4.5</v>
      </c>
      <c r="M126" s="17">
        <v>-9</v>
      </c>
      <c r="N126" t="s">
        <v>4725</v>
      </c>
    </row>
    <row r="127" spans="1:14" x14ac:dyDescent="0.2">
      <c r="A127" s="15">
        <v>45973</v>
      </c>
      <c r="B127" t="s">
        <v>4724</v>
      </c>
      <c r="C127" t="s">
        <v>5</v>
      </c>
      <c r="D127" t="s">
        <v>3</v>
      </c>
      <c r="E127" t="s">
        <v>3866</v>
      </c>
      <c r="F127" t="s">
        <v>3862</v>
      </c>
      <c r="G127" t="s">
        <v>3876</v>
      </c>
      <c r="I127">
        <v>47115854</v>
      </c>
      <c r="J127">
        <v>0</v>
      </c>
      <c r="K127">
        <v>2</v>
      </c>
      <c r="L127">
        <v>7.5</v>
      </c>
      <c r="M127" s="17">
        <v>-15</v>
      </c>
      <c r="N127" t="s">
        <v>4725</v>
      </c>
    </row>
    <row r="128" spans="1:14" x14ac:dyDescent="0.2">
      <c r="A128" s="15">
        <v>45943</v>
      </c>
      <c r="B128" t="s">
        <v>4724</v>
      </c>
      <c r="C128" t="s">
        <v>5</v>
      </c>
      <c r="D128" t="s">
        <v>3</v>
      </c>
      <c r="E128" t="s">
        <v>3866</v>
      </c>
      <c r="F128" t="s">
        <v>47</v>
      </c>
      <c r="G128" t="s">
        <v>3876</v>
      </c>
      <c r="I128">
        <v>32933368</v>
      </c>
      <c r="J128">
        <v>0</v>
      </c>
      <c r="K128">
        <v>2</v>
      </c>
      <c r="L128">
        <v>16.25</v>
      </c>
      <c r="M128" s="17">
        <v>-32.5</v>
      </c>
      <c r="N128" t="s">
        <v>4725</v>
      </c>
    </row>
    <row r="129" spans="1:14" x14ac:dyDescent="0.2">
      <c r="A129" s="15">
        <v>45943</v>
      </c>
      <c r="B129" t="s">
        <v>4724</v>
      </c>
      <c r="C129" t="s">
        <v>5</v>
      </c>
      <c r="D129" t="s">
        <v>3</v>
      </c>
      <c r="E129" t="s">
        <v>3866</v>
      </c>
      <c r="F129" t="s">
        <v>3867</v>
      </c>
      <c r="G129" t="s">
        <v>3876</v>
      </c>
      <c r="I129">
        <v>32933368</v>
      </c>
      <c r="J129">
        <v>0</v>
      </c>
      <c r="K129">
        <v>2</v>
      </c>
      <c r="L129">
        <v>11</v>
      </c>
      <c r="M129" s="17">
        <v>-22</v>
      </c>
      <c r="N129" t="s">
        <v>4725</v>
      </c>
    </row>
    <row r="130" spans="1:14" x14ac:dyDescent="0.2">
      <c r="A130" s="15">
        <v>45943</v>
      </c>
      <c r="B130" t="s">
        <v>4724</v>
      </c>
      <c r="C130" t="s">
        <v>5</v>
      </c>
      <c r="D130" t="s">
        <v>3</v>
      </c>
      <c r="E130" t="s">
        <v>3866</v>
      </c>
      <c r="F130" t="s">
        <v>3868</v>
      </c>
      <c r="G130" t="s">
        <v>3876</v>
      </c>
      <c r="I130">
        <v>32933368</v>
      </c>
      <c r="J130">
        <v>0</v>
      </c>
      <c r="K130">
        <v>2</v>
      </c>
      <c r="L130">
        <v>6.5</v>
      </c>
      <c r="M130" s="17">
        <v>-13</v>
      </c>
      <c r="N130" t="s">
        <v>4725</v>
      </c>
    </row>
    <row r="131" spans="1:14" x14ac:dyDescent="0.2">
      <c r="A131" s="15">
        <v>45943</v>
      </c>
      <c r="B131" t="s">
        <v>4724</v>
      </c>
      <c r="C131" t="s">
        <v>5</v>
      </c>
      <c r="D131" t="s">
        <v>3</v>
      </c>
      <c r="E131" t="s">
        <v>3866</v>
      </c>
      <c r="F131" t="s">
        <v>3869</v>
      </c>
      <c r="G131" t="s">
        <v>3876</v>
      </c>
      <c r="I131">
        <v>32933368</v>
      </c>
      <c r="J131">
        <v>0</v>
      </c>
      <c r="K131">
        <v>2</v>
      </c>
      <c r="L131">
        <v>4.5</v>
      </c>
      <c r="M131" s="17">
        <v>-9</v>
      </c>
      <c r="N131" t="s">
        <v>4725</v>
      </c>
    </row>
    <row r="132" spans="1:14" x14ac:dyDescent="0.2">
      <c r="A132" s="15">
        <v>45943</v>
      </c>
      <c r="B132" t="s">
        <v>4724</v>
      </c>
      <c r="C132" t="s">
        <v>5</v>
      </c>
      <c r="D132" t="s">
        <v>3</v>
      </c>
      <c r="E132" t="s">
        <v>3866</v>
      </c>
      <c r="F132" t="s">
        <v>3862</v>
      </c>
      <c r="G132" t="s">
        <v>3876</v>
      </c>
      <c r="I132">
        <v>32933368</v>
      </c>
      <c r="J132">
        <v>0</v>
      </c>
      <c r="K132">
        <v>2</v>
      </c>
      <c r="L132">
        <v>7.5</v>
      </c>
      <c r="M132" s="17">
        <v>-15</v>
      </c>
      <c r="N132" t="s">
        <v>4725</v>
      </c>
    </row>
    <row r="133" spans="1:14" x14ac:dyDescent="0.2">
      <c r="A133" s="15">
        <v>45973</v>
      </c>
      <c r="B133" t="s">
        <v>4724</v>
      </c>
      <c r="C133" t="s">
        <v>14</v>
      </c>
      <c r="D133" t="s">
        <v>3</v>
      </c>
      <c r="E133" t="s">
        <v>29</v>
      </c>
      <c r="F133" t="s">
        <v>3852</v>
      </c>
      <c r="G133" t="s">
        <v>4211</v>
      </c>
      <c r="I133">
        <v>71033861</v>
      </c>
      <c r="J133">
        <v>0</v>
      </c>
      <c r="K133">
        <v>2</v>
      </c>
      <c r="L133">
        <v>18.5</v>
      </c>
      <c r="M133" s="17">
        <v>-37</v>
      </c>
      <c r="N133" t="s">
        <v>4725</v>
      </c>
    </row>
    <row r="134" spans="1:14" x14ac:dyDescent="0.2">
      <c r="A134" s="15">
        <v>45973</v>
      </c>
      <c r="B134" t="s">
        <v>4724</v>
      </c>
      <c r="C134" t="s">
        <v>14</v>
      </c>
      <c r="D134" t="s">
        <v>3</v>
      </c>
      <c r="E134" t="s">
        <v>29</v>
      </c>
      <c r="F134" t="s">
        <v>3853</v>
      </c>
      <c r="G134" t="s">
        <v>4211</v>
      </c>
      <c r="I134">
        <v>71033861</v>
      </c>
      <c r="J134">
        <v>0</v>
      </c>
      <c r="K134">
        <v>2</v>
      </c>
      <c r="L134">
        <v>7</v>
      </c>
      <c r="M134" s="17">
        <v>-14</v>
      </c>
      <c r="N134" t="s">
        <v>4725</v>
      </c>
    </row>
    <row r="135" spans="1:14" x14ac:dyDescent="0.2">
      <c r="A135" s="15">
        <v>45973</v>
      </c>
      <c r="B135" t="s">
        <v>4724</v>
      </c>
      <c r="C135" t="s">
        <v>14</v>
      </c>
      <c r="D135" t="s">
        <v>3</v>
      </c>
      <c r="E135" t="s">
        <v>29</v>
      </c>
      <c r="F135" t="s">
        <v>3854</v>
      </c>
      <c r="G135" t="s">
        <v>4211</v>
      </c>
      <c r="I135">
        <v>71033861</v>
      </c>
      <c r="J135">
        <v>0</v>
      </c>
      <c r="K135">
        <v>2</v>
      </c>
      <c r="L135">
        <v>1.75</v>
      </c>
      <c r="M135" s="17">
        <v>-3.5</v>
      </c>
      <c r="N135" t="s">
        <v>4725</v>
      </c>
    </row>
    <row r="136" spans="1:14" x14ac:dyDescent="0.2">
      <c r="A136" s="15">
        <v>45944</v>
      </c>
      <c r="B136" t="s">
        <v>4724</v>
      </c>
      <c r="C136" t="s">
        <v>2082</v>
      </c>
      <c r="D136" t="s">
        <v>3</v>
      </c>
      <c r="E136" t="s">
        <v>200</v>
      </c>
      <c r="F136" t="s">
        <v>3856</v>
      </c>
      <c r="G136" t="s">
        <v>3876</v>
      </c>
      <c r="I136">
        <v>45003200</v>
      </c>
      <c r="J136">
        <v>0</v>
      </c>
      <c r="K136">
        <v>2</v>
      </c>
      <c r="L136">
        <v>18</v>
      </c>
      <c r="M136" s="17">
        <v>-36</v>
      </c>
      <c r="N136" t="s">
        <v>4725</v>
      </c>
    </row>
    <row r="137" spans="1:14" x14ac:dyDescent="0.2">
      <c r="A137" s="15">
        <v>45944</v>
      </c>
      <c r="B137" t="s">
        <v>4724</v>
      </c>
      <c r="C137" t="s">
        <v>2082</v>
      </c>
      <c r="D137" t="s">
        <v>3</v>
      </c>
      <c r="E137" t="s">
        <v>200</v>
      </c>
      <c r="F137" t="s">
        <v>4222</v>
      </c>
      <c r="G137" t="s">
        <v>3876</v>
      </c>
      <c r="I137">
        <v>45003200</v>
      </c>
      <c r="J137">
        <v>0</v>
      </c>
      <c r="K137">
        <v>1</v>
      </c>
      <c r="L137">
        <v>39</v>
      </c>
      <c r="M137" s="17">
        <v>-39</v>
      </c>
      <c r="N137" t="s">
        <v>4725</v>
      </c>
    </row>
    <row r="138" spans="1:14" x14ac:dyDescent="0.2">
      <c r="A138" s="15">
        <v>45944</v>
      </c>
      <c r="B138" t="s">
        <v>4724</v>
      </c>
      <c r="C138" t="s">
        <v>2082</v>
      </c>
      <c r="D138" t="s">
        <v>3</v>
      </c>
      <c r="E138" t="s">
        <v>4206</v>
      </c>
      <c r="F138" t="s">
        <v>3858</v>
      </c>
      <c r="G138" t="s">
        <v>3876</v>
      </c>
      <c r="I138">
        <v>76278772</v>
      </c>
      <c r="J138">
        <v>0</v>
      </c>
      <c r="K138">
        <v>2</v>
      </c>
      <c r="L138">
        <v>18</v>
      </c>
      <c r="M138" s="17">
        <v>-36</v>
      </c>
      <c r="N138" t="s">
        <v>4725</v>
      </c>
    </row>
    <row r="139" spans="1:14" x14ac:dyDescent="0.2">
      <c r="A139" s="15">
        <v>45944</v>
      </c>
      <c r="B139" t="s">
        <v>4724</v>
      </c>
      <c r="C139" t="s">
        <v>2082</v>
      </c>
      <c r="D139" t="s">
        <v>3</v>
      </c>
      <c r="E139" t="s">
        <v>4206</v>
      </c>
      <c r="F139" t="s">
        <v>4224</v>
      </c>
      <c r="G139" t="s">
        <v>3876</v>
      </c>
      <c r="I139">
        <v>76278772</v>
      </c>
      <c r="J139">
        <v>0</v>
      </c>
      <c r="K139">
        <v>1</v>
      </c>
      <c r="L139">
        <v>35</v>
      </c>
      <c r="M139" s="17">
        <v>-35</v>
      </c>
      <c r="N139" t="s">
        <v>4725</v>
      </c>
    </row>
    <row r="140" spans="1:14" x14ac:dyDescent="0.2">
      <c r="A140" s="15">
        <v>45944</v>
      </c>
      <c r="B140" t="s">
        <v>4724</v>
      </c>
      <c r="C140" t="s">
        <v>2082</v>
      </c>
      <c r="D140" t="s">
        <v>3</v>
      </c>
      <c r="E140" t="s">
        <v>4206</v>
      </c>
      <c r="F140" t="s">
        <v>3858</v>
      </c>
      <c r="G140" t="s">
        <v>3876</v>
      </c>
      <c r="I140">
        <v>62602264</v>
      </c>
      <c r="J140">
        <v>0</v>
      </c>
      <c r="K140">
        <v>2</v>
      </c>
      <c r="L140">
        <v>18</v>
      </c>
      <c r="M140" s="17">
        <v>-36</v>
      </c>
      <c r="N140" t="s">
        <v>4725</v>
      </c>
    </row>
    <row r="141" spans="1:14" x14ac:dyDescent="0.2">
      <c r="A141" s="15">
        <v>45944</v>
      </c>
      <c r="B141" t="s">
        <v>4724</v>
      </c>
      <c r="C141" t="s">
        <v>2082</v>
      </c>
      <c r="D141" t="s">
        <v>3</v>
      </c>
      <c r="E141" t="s">
        <v>4206</v>
      </c>
      <c r="F141" t="s">
        <v>4224</v>
      </c>
      <c r="G141" t="s">
        <v>3876</v>
      </c>
      <c r="I141">
        <v>62602264</v>
      </c>
      <c r="J141">
        <v>0</v>
      </c>
      <c r="K141">
        <v>1</v>
      </c>
      <c r="L141">
        <v>35</v>
      </c>
      <c r="M141" s="17">
        <v>-35</v>
      </c>
      <c r="N141" t="s">
        <v>4725</v>
      </c>
    </row>
    <row r="142" spans="1:14" x14ac:dyDescent="0.2">
      <c r="A142" s="15">
        <v>45944</v>
      </c>
      <c r="B142" t="s">
        <v>4724</v>
      </c>
      <c r="C142" t="s">
        <v>2082</v>
      </c>
      <c r="D142" t="s">
        <v>3</v>
      </c>
      <c r="E142" t="s">
        <v>3866</v>
      </c>
      <c r="F142" t="s">
        <v>47</v>
      </c>
      <c r="G142" t="s">
        <v>3876</v>
      </c>
      <c r="I142">
        <v>44265083</v>
      </c>
      <c r="J142">
        <v>0</v>
      </c>
      <c r="K142">
        <v>2</v>
      </c>
      <c r="L142">
        <v>16.25</v>
      </c>
      <c r="M142" s="17">
        <v>-32.5</v>
      </c>
      <c r="N142" t="s">
        <v>4725</v>
      </c>
    </row>
    <row r="143" spans="1:14" x14ac:dyDescent="0.2">
      <c r="A143" s="15">
        <v>45944</v>
      </c>
      <c r="B143" t="s">
        <v>4724</v>
      </c>
      <c r="C143" t="s">
        <v>2082</v>
      </c>
      <c r="D143" t="s">
        <v>3</v>
      </c>
      <c r="E143" t="s">
        <v>3866</v>
      </c>
      <c r="F143" t="s">
        <v>3867</v>
      </c>
      <c r="G143" t="s">
        <v>3876</v>
      </c>
      <c r="I143">
        <v>44265083</v>
      </c>
      <c r="J143">
        <v>0</v>
      </c>
      <c r="K143">
        <v>2</v>
      </c>
      <c r="L143">
        <v>11</v>
      </c>
      <c r="M143" s="17">
        <v>-22</v>
      </c>
      <c r="N143" t="s">
        <v>4725</v>
      </c>
    </row>
    <row r="144" spans="1:14" x14ac:dyDescent="0.2">
      <c r="A144" s="15">
        <v>45944</v>
      </c>
      <c r="B144" t="s">
        <v>4724</v>
      </c>
      <c r="C144" t="s">
        <v>2082</v>
      </c>
      <c r="D144" t="s">
        <v>3</v>
      </c>
      <c r="E144" t="s">
        <v>3866</v>
      </c>
      <c r="F144" t="s">
        <v>3868</v>
      </c>
      <c r="G144" t="s">
        <v>3876</v>
      </c>
      <c r="I144">
        <v>44265083</v>
      </c>
      <c r="J144">
        <v>0</v>
      </c>
      <c r="K144">
        <v>2</v>
      </c>
      <c r="L144">
        <v>6.5</v>
      </c>
      <c r="M144" s="17">
        <v>-13</v>
      </c>
      <c r="N144" t="s">
        <v>4725</v>
      </c>
    </row>
    <row r="145" spans="1:14" x14ac:dyDescent="0.2">
      <c r="A145" s="15">
        <v>45944</v>
      </c>
      <c r="B145" t="s">
        <v>4724</v>
      </c>
      <c r="C145" t="s">
        <v>2082</v>
      </c>
      <c r="D145" t="s">
        <v>3</v>
      </c>
      <c r="E145" t="s">
        <v>3866</v>
      </c>
      <c r="F145" t="s">
        <v>3869</v>
      </c>
      <c r="G145" t="s">
        <v>3876</v>
      </c>
      <c r="I145">
        <v>44265083</v>
      </c>
      <c r="J145">
        <v>0</v>
      </c>
      <c r="K145">
        <v>2</v>
      </c>
      <c r="L145">
        <v>4.5</v>
      </c>
      <c r="M145" s="17">
        <v>-9</v>
      </c>
      <c r="N145" t="s">
        <v>4725</v>
      </c>
    </row>
    <row r="146" spans="1:14" x14ac:dyDescent="0.2">
      <c r="A146" s="15">
        <v>45944</v>
      </c>
      <c r="B146" t="s">
        <v>4724</v>
      </c>
      <c r="C146" t="s">
        <v>2082</v>
      </c>
      <c r="D146" t="s">
        <v>3</v>
      </c>
      <c r="E146" t="s">
        <v>3866</v>
      </c>
      <c r="F146" t="s">
        <v>3862</v>
      </c>
      <c r="G146" t="s">
        <v>3876</v>
      </c>
      <c r="I146">
        <v>44265083</v>
      </c>
      <c r="J146">
        <v>0</v>
      </c>
      <c r="K146">
        <v>2</v>
      </c>
      <c r="L146">
        <v>7.5</v>
      </c>
      <c r="M146" s="17">
        <v>-15</v>
      </c>
      <c r="N146" t="s">
        <v>4725</v>
      </c>
    </row>
    <row r="147" spans="1:14" x14ac:dyDescent="0.2">
      <c r="A147" s="15">
        <v>45944</v>
      </c>
      <c r="B147" t="s">
        <v>4724</v>
      </c>
      <c r="C147" t="s">
        <v>2082</v>
      </c>
      <c r="D147" t="s">
        <v>3</v>
      </c>
      <c r="E147" t="s">
        <v>3866</v>
      </c>
      <c r="F147" t="s">
        <v>47</v>
      </c>
      <c r="G147" t="s">
        <v>3876</v>
      </c>
      <c r="I147">
        <v>28108075</v>
      </c>
      <c r="J147">
        <v>0</v>
      </c>
      <c r="K147">
        <v>2</v>
      </c>
      <c r="L147">
        <v>16.25</v>
      </c>
      <c r="M147" s="17">
        <v>-32.5</v>
      </c>
      <c r="N147" t="s">
        <v>4725</v>
      </c>
    </row>
    <row r="148" spans="1:14" x14ac:dyDescent="0.2">
      <c r="A148" s="15">
        <v>45944</v>
      </c>
      <c r="B148" t="s">
        <v>4724</v>
      </c>
      <c r="C148" t="s">
        <v>2082</v>
      </c>
      <c r="D148" t="s">
        <v>3</v>
      </c>
      <c r="E148" t="s">
        <v>3866</v>
      </c>
      <c r="F148" t="s">
        <v>3867</v>
      </c>
      <c r="G148" t="s">
        <v>3876</v>
      </c>
      <c r="I148">
        <v>28108075</v>
      </c>
      <c r="J148">
        <v>0</v>
      </c>
      <c r="K148">
        <v>2</v>
      </c>
      <c r="L148">
        <v>11</v>
      </c>
      <c r="M148" s="17">
        <v>-22</v>
      </c>
      <c r="N148" t="s">
        <v>4725</v>
      </c>
    </row>
    <row r="149" spans="1:14" x14ac:dyDescent="0.2">
      <c r="A149" s="15">
        <v>45944</v>
      </c>
      <c r="B149" t="s">
        <v>4724</v>
      </c>
      <c r="C149" t="s">
        <v>2082</v>
      </c>
      <c r="D149" t="s">
        <v>3</v>
      </c>
      <c r="E149" t="s">
        <v>3866</v>
      </c>
      <c r="F149" t="s">
        <v>3868</v>
      </c>
      <c r="G149" t="s">
        <v>3876</v>
      </c>
      <c r="I149">
        <v>28108075</v>
      </c>
      <c r="J149">
        <v>0</v>
      </c>
      <c r="K149">
        <v>2</v>
      </c>
      <c r="L149">
        <v>6.5</v>
      </c>
      <c r="M149" s="17">
        <v>-13</v>
      </c>
      <c r="N149" t="s">
        <v>4725</v>
      </c>
    </row>
    <row r="150" spans="1:14" x14ac:dyDescent="0.2">
      <c r="A150" s="15">
        <v>45944</v>
      </c>
      <c r="B150" t="s">
        <v>4724</v>
      </c>
      <c r="C150" t="s">
        <v>2082</v>
      </c>
      <c r="D150" t="s">
        <v>3</v>
      </c>
      <c r="E150" t="s">
        <v>3866</v>
      </c>
      <c r="F150" t="s">
        <v>3869</v>
      </c>
      <c r="G150" t="s">
        <v>3876</v>
      </c>
      <c r="I150">
        <v>28108075</v>
      </c>
      <c r="J150">
        <v>0</v>
      </c>
      <c r="K150">
        <v>2</v>
      </c>
      <c r="L150">
        <v>4.5</v>
      </c>
      <c r="M150" s="17">
        <v>-9</v>
      </c>
      <c r="N150" t="s">
        <v>4725</v>
      </c>
    </row>
    <row r="151" spans="1:14" x14ac:dyDescent="0.2">
      <c r="A151" s="15">
        <v>45944</v>
      </c>
      <c r="B151" t="s">
        <v>4724</v>
      </c>
      <c r="C151" t="s">
        <v>2082</v>
      </c>
      <c r="D151" t="s">
        <v>3</v>
      </c>
      <c r="E151" t="s">
        <v>3866</v>
      </c>
      <c r="F151" t="s">
        <v>3862</v>
      </c>
      <c r="G151" t="s">
        <v>3876</v>
      </c>
      <c r="I151">
        <v>28108075</v>
      </c>
      <c r="J151">
        <v>0</v>
      </c>
      <c r="K151">
        <v>2</v>
      </c>
      <c r="L151">
        <v>7.5</v>
      </c>
      <c r="M151" s="17">
        <v>-15</v>
      </c>
      <c r="N151" t="s">
        <v>4725</v>
      </c>
    </row>
    <row r="152" spans="1:14" x14ac:dyDescent="0.2">
      <c r="A152" s="15">
        <v>45944</v>
      </c>
      <c r="B152" t="s">
        <v>4724</v>
      </c>
      <c r="C152" t="s">
        <v>2082</v>
      </c>
      <c r="D152" t="s">
        <v>3</v>
      </c>
      <c r="E152" t="s">
        <v>3866</v>
      </c>
      <c r="F152" t="s">
        <v>47</v>
      </c>
      <c r="G152" t="s">
        <v>3876</v>
      </c>
      <c r="I152">
        <v>43121150</v>
      </c>
      <c r="J152">
        <v>0</v>
      </c>
      <c r="K152">
        <v>2</v>
      </c>
      <c r="L152">
        <v>16.25</v>
      </c>
      <c r="M152" s="17">
        <v>-32.5</v>
      </c>
      <c r="N152" t="s">
        <v>4725</v>
      </c>
    </row>
    <row r="153" spans="1:14" x14ac:dyDescent="0.2">
      <c r="A153" s="15">
        <v>45944</v>
      </c>
      <c r="B153" t="s">
        <v>4724</v>
      </c>
      <c r="C153" t="s">
        <v>2082</v>
      </c>
      <c r="D153" t="s">
        <v>3</v>
      </c>
      <c r="E153" t="s">
        <v>3866</v>
      </c>
      <c r="F153" t="s">
        <v>3867</v>
      </c>
      <c r="G153" t="s">
        <v>3876</v>
      </c>
      <c r="I153">
        <v>43121150</v>
      </c>
      <c r="J153">
        <v>0</v>
      </c>
      <c r="K153">
        <v>2</v>
      </c>
      <c r="L153">
        <v>11</v>
      </c>
      <c r="M153" s="17">
        <v>-22</v>
      </c>
      <c r="N153" t="s">
        <v>4725</v>
      </c>
    </row>
    <row r="154" spans="1:14" x14ac:dyDescent="0.2">
      <c r="A154" s="15">
        <v>45944</v>
      </c>
      <c r="B154" t="s">
        <v>4724</v>
      </c>
      <c r="C154" t="s">
        <v>2082</v>
      </c>
      <c r="D154" t="s">
        <v>3</v>
      </c>
      <c r="E154" t="s">
        <v>3866</v>
      </c>
      <c r="F154" t="s">
        <v>3868</v>
      </c>
      <c r="G154" t="s">
        <v>3876</v>
      </c>
      <c r="I154">
        <v>43121150</v>
      </c>
      <c r="J154">
        <v>0</v>
      </c>
      <c r="K154">
        <v>2</v>
      </c>
      <c r="L154">
        <v>6.5</v>
      </c>
      <c r="M154" s="17">
        <v>-13</v>
      </c>
      <c r="N154" t="s">
        <v>4725</v>
      </c>
    </row>
    <row r="155" spans="1:14" x14ac:dyDescent="0.2">
      <c r="A155" s="15">
        <v>45944</v>
      </c>
      <c r="B155" t="s">
        <v>4724</v>
      </c>
      <c r="C155" t="s">
        <v>2082</v>
      </c>
      <c r="D155" t="s">
        <v>3</v>
      </c>
      <c r="E155" t="s">
        <v>3866</v>
      </c>
      <c r="F155" t="s">
        <v>3869</v>
      </c>
      <c r="G155" t="s">
        <v>3876</v>
      </c>
      <c r="I155">
        <v>43121150</v>
      </c>
      <c r="J155">
        <v>0</v>
      </c>
      <c r="K155">
        <v>2</v>
      </c>
      <c r="L155">
        <v>4.5</v>
      </c>
      <c r="M155" s="17">
        <v>-9</v>
      </c>
      <c r="N155" t="s">
        <v>4725</v>
      </c>
    </row>
    <row r="156" spans="1:14" x14ac:dyDescent="0.2">
      <c r="A156" s="15">
        <v>45944</v>
      </c>
      <c r="B156" t="s">
        <v>4724</v>
      </c>
      <c r="C156" t="s">
        <v>2082</v>
      </c>
      <c r="D156" t="s">
        <v>3</v>
      </c>
      <c r="E156" t="s">
        <v>3866</v>
      </c>
      <c r="F156" t="s">
        <v>3862</v>
      </c>
      <c r="G156" t="s">
        <v>3876</v>
      </c>
      <c r="I156">
        <v>43121150</v>
      </c>
      <c r="J156">
        <v>0</v>
      </c>
      <c r="K156">
        <v>2</v>
      </c>
      <c r="L156">
        <v>7.5</v>
      </c>
      <c r="M156" s="17">
        <v>-15</v>
      </c>
      <c r="N156" t="s">
        <v>4725</v>
      </c>
    </row>
    <row r="157" spans="1:14" x14ac:dyDescent="0.2">
      <c r="A157" s="15">
        <v>45944</v>
      </c>
      <c r="B157" t="s">
        <v>4724</v>
      </c>
      <c r="C157" t="s">
        <v>2082</v>
      </c>
      <c r="D157" t="s">
        <v>3</v>
      </c>
      <c r="E157" t="s">
        <v>3866</v>
      </c>
      <c r="F157" t="s">
        <v>47</v>
      </c>
      <c r="G157" t="s">
        <v>3876</v>
      </c>
      <c r="I157">
        <v>5370773</v>
      </c>
      <c r="J157">
        <v>0</v>
      </c>
      <c r="K157">
        <v>2</v>
      </c>
      <c r="L157">
        <v>16.25</v>
      </c>
      <c r="M157" s="17">
        <v>-32.5</v>
      </c>
      <c r="N157" t="s">
        <v>4725</v>
      </c>
    </row>
    <row r="158" spans="1:14" x14ac:dyDescent="0.2">
      <c r="A158" s="15">
        <v>45944</v>
      </c>
      <c r="B158" t="s">
        <v>4724</v>
      </c>
      <c r="C158" t="s">
        <v>2082</v>
      </c>
      <c r="D158" t="s">
        <v>3</v>
      </c>
      <c r="E158" t="s">
        <v>3866</v>
      </c>
      <c r="F158" t="s">
        <v>3867</v>
      </c>
      <c r="G158" t="s">
        <v>3876</v>
      </c>
      <c r="I158">
        <v>5370773</v>
      </c>
      <c r="J158">
        <v>0</v>
      </c>
      <c r="K158">
        <v>2</v>
      </c>
      <c r="L158">
        <v>11</v>
      </c>
      <c r="M158" s="17">
        <v>-22</v>
      </c>
      <c r="N158" t="s">
        <v>4725</v>
      </c>
    </row>
    <row r="159" spans="1:14" x14ac:dyDescent="0.2">
      <c r="A159" s="15">
        <v>45944</v>
      </c>
      <c r="B159" t="s">
        <v>4724</v>
      </c>
      <c r="C159" t="s">
        <v>2082</v>
      </c>
      <c r="D159" t="s">
        <v>3</v>
      </c>
      <c r="E159" t="s">
        <v>3866</v>
      </c>
      <c r="F159" t="s">
        <v>3868</v>
      </c>
      <c r="G159" t="s">
        <v>3876</v>
      </c>
      <c r="I159">
        <v>5370773</v>
      </c>
      <c r="J159">
        <v>0</v>
      </c>
      <c r="K159">
        <v>2</v>
      </c>
      <c r="L159">
        <v>6.5</v>
      </c>
      <c r="M159" s="17">
        <v>-13</v>
      </c>
      <c r="N159" t="s">
        <v>4725</v>
      </c>
    </row>
    <row r="160" spans="1:14" x14ac:dyDescent="0.2">
      <c r="A160" s="15">
        <v>45944</v>
      </c>
      <c r="B160" t="s">
        <v>4724</v>
      </c>
      <c r="C160" t="s">
        <v>2082</v>
      </c>
      <c r="D160" t="s">
        <v>3</v>
      </c>
      <c r="E160" t="s">
        <v>3866</v>
      </c>
      <c r="F160" t="s">
        <v>3869</v>
      </c>
      <c r="G160" t="s">
        <v>3876</v>
      </c>
      <c r="I160">
        <v>5370773</v>
      </c>
      <c r="J160">
        <v>0</v>
      </c>
      <c r="K160">
        <v>2</v>
      </c>
      <c r="L160">
        <v>4.5</v>
      </c>
      <c r="M160" s="17">
        <v>-9</v>
      </c>
      <c r="N160" t="s">
        <v>4725</v>
      </c>
    </row>
    <row r="161" spans="1:14" x14ac:dyDescent="0.2">
      <c r="A161" s="15">
        <v>45944</v>
      </c>
      <c r="B161" t="s">
        <v>4724</v>
      </c>
      <c r="C161" t="s">
        <v>2082</v>
      </c>
      <c r="D161" t="s">
        <v>3</v>
      </c>
      <c r="E161" t="s">
        <v>3866</v>
      </c>
      <c r="F161" t="s">
        <v>3862</v>
      </c>
      <c r="G161" t="s">
        <v>3876</v>
      </c>
      <c r="I161">
        <v>5370773</v>
      </c>
      <c r="J161">
        <v>0</v>
      </c>
      <c r="K161">
        <v>2</v>
      </c>
      <c r="L161">
        <v>7.5</v>
      </c>
      <c r="M161" s="17">
        <v>-15</v>
      </c>
      <c r="N161" t="s">
        <v>4725</v>
      </c>
    </row>
    <row r="162" spans="1:14" x14ac:dyDescent="0.2">
      <c r="A162" s="15">
        <v>45944</v>
      </c>
      <c r="B162" t="s">
        <v>4724</v>
      </c>
      <c r="C162" t="s">
        <v>2082</v>
      </c>
      <c r="D162" t="s">
        <v>3</v>
      </c>
      <c r="E162" t="s">
        <v>3866</v>
      </c>
      <c r="F162" t="s">
        <v>47</v>
      </c>
      <c r="G162" t="s">
        <v>3876</v>
      </c>
      <c r="I162">
        <v>47438680</v>
      </c>
      <c r="J162">
        <v>0</v>
      </c>
      <c r="K162">
        <v>2</v>
      </c>
      <c r="L162">
        <v>16.25</v>
      </c>
      <c r="M162" s="17">
        <v>-32.5</v>
      </c>
      <c r="N162" t="s">
        <v>4725</v>
      </c>
    </row>
    <row r="163" spans="1:14" x14ac:dyDescent="0.2">
      <c r="A163" s="15">
        <v>45944</v>
      </c>
      <c r="B163" t="s">
        <v>4724</v>
      </c>
      <c r="C163" t="s">
        <v>2082</v>
      </c>
      <c r="D163" t="s">
        <v>3</v>
      </c>
      <c r="E163" t="s">
        <v>3866</v>
      </c>
      <c r="F163" t="s">
        <v>3867</v>
      </c>
      <c r="G163" t="s">
        <v>3876</v>
      </c>
      <c r="I163">
        <v>47438680</v>
      </c>
      <c r="J163">
        <v>0</v>
      </c>
      <c r="K163">
        <v>2</v>
      </c>
      <c r="L163">
        <v>11</v>
      </c>
      <c r="M163" s="17">
        <v>-22</v>
      </c>
      <c r="N163" t="s">
        <v>4725</v>
      </c>
    </row>
    <row r="164" spans="1:14" x14ac:dyDescent="0.2">
      <c r="A164" s="15">
        <v>45944</v>
      </c>
      <c r="B164" t="s">
        <v>4724</v>
      </c>
      <c r="C164" t="s">
        <v>2082</v>
      </c>
      <c r="D164" t="s">
        <v>3</v>
      </c>
      <c r="E164" t="s">
        <v>3866</v>
      </c>
      <c r="F164" t="s">
        <v>3868</v>
      </c>
      <c r="G164" t="s">
        <v>3876</v>
      </c>
      <c r="I164">
        <v>47438680</v>
      </c>
      <c r="J164">
        <v>0</v>
      </c>
      <c r="K164">
        <v>2</v>
      </c>
      <c r="L164">
        <v>6.5</v>
      </c>
      <c r="M164" s="17">
        <v>-13</v>
      </c>
      <c r="N164" t="s">
        <v>4725</v>
      </c>
    </row>
    <row r="165" spans="1:14" x14ac:dyDescent="0.2">
      <c r="A165" s="15">
        <v>45944</v>
      </c>
      <c r="B165" t="s">
        <v>4724</v>
      </c>
      <c r="C165" t="s">
        <v>2082</v>
      </c>
      <c r="D165" t="s">
        <v>3</v>
      </c>
      <c r="E165" t="s">
        <v>3866</v>
      </c>
      <c r="F165" t="s">
        <v>3869</v>
      </c>
      <c r="G165" t="s">
        <v>3876</v>
      </c>
      <c r="I165">
        <v>47438680</v>
      </c>
      <c r="J165">
        <v>0</v>
      </c>
      <c r="K165">
        <v>2</v>
      </c>
      <c r="L165">
        <v>4.5</v>
      </c>
      <c r="M165" s="17">
        <v>-9</v>
      </c>
      <c r="N165" t="s">
        <v>4725</v>
      </c>
    </row>
    <row r="166" spans="1:14" x14ac:dyDescent="0.2">
      <c r="A166" s="15">
        <v>45944</v>
      </c>
      <c r="B166" t="s">
        <v>4724</v>
      </c>
      <c r="C166" t="s">
        <v>2082</v>
      </c>
      <c r="D166" t="s">
        <v>3</v>
      </c>
      <c r="E166" t="s">
        <v>3866</v>
      </c>
      <c r="F166" t="s">
        <v>3862</v>
      </c>
      <c r="G166" t="s">
        <v>3876</v>
      </c>
      <c r="I166">
        <v>47438680</v>
      </c>
      <c r="J166">
        <v>0</v>
      </c>
      <c r="K166">
        <v>2</v>
      </c>
      <c r="L166">
        <v>7.5</v>
      </c>
      <c r="M166" s="17">
        <v>-15</v>
      </c>
      <c r="N166" t="s">
        <v>4725</v>
      </c>
    </row>
    <row r="167" spans="1:14" x14ac:dyDescent="0.2">
      <c r="A167" s="15">
        <v>45944</v>
      </c>
      <c r="B167" t="s">
        <v>4724</v>
      </c>
      <c r="C167" t="s">
        <v>2082</v>
      </c>
      <c r="D167" t="s">
        <v>3</v>
      </c>
      <c r="E167" t="s">
        <v>3863</v>
      </c>
      <c r="F167" t="s">
        <v>3864</v>
      </c>
      <c r="G167" t="s">
        <v>3876</v>
      </c>
      <c r="I167">
        <v>75549316</v>
      </c>
      <c r="J167">
        <v>0</v>
      </c>
      <c r="K167">
        <v>2</v>
      </c>
      <c r="L167">
        <v>16.5</v>
      </c>
      <c r="M167" s="17">
        <v>-33</v>
      </c>
      <c r="N167" t="s">
        <v>4725</v>
      </c>
    </row>
    <row r="168" spans="1:14" x14ac:dyDescent="0.2">
      <c r="A168" s="15">
        <v>45944</v>
      </c>
      <c r="B168" t="s">
        <v>4724</v>
      </c>
      <c r="C168" t="s">
        <v>2082</v>
      </c>
      <c r="D168" t="s">
        <v>3</v>
      </c>
      <c r="E168" t="s">
        <v>3863</v>
      </c>
      <c r="F168" t="s">
        <v>3865</v>
      </c>
      <c r="G168" t="s">
        <v>3876</v>
      </c>
      <c r="I168">
        <v>75549316</v>
      </c>
      <c r="J168">
        <v>0</v>
      </c>
      <c r="K168">
        <v>2</v>
      </c>
      <c r="L168">
        <v>19.5</v>
      </c>
      <c r="M168" s="17">
        <v>-39</v>
      </c>
      <c r="N168" t="s">
        <v>4725</v>
      </c>
    </row>
    <row r="169" spans="1:14" x14ac:dyDescent="0.2">
      <c r="A169" s="15">
        <v>45944</v>
      </c>
      <c r="B169" t="s">
        <v>4724</v>
      </c>
      <c r="C169" t="s">
        <v>2082</v>
      </c>
      <c r="D169" t="s">
        <v>3</v>
      </c>
      <c r="E169" t="s">
        <v>3863</v>
      </c>
      <c r="F169" t="s">
        <v>3862</v>
      </c>
      <c r="G169" t="s">
        <v>3876</v>
      </c>
      <c r="I169">
        <v>75549316</v>
      </c>
      <c r="J169">
        <v>0</v>
      </c>
      <c r="K169">
        <v>2</v>
      </c>
      <c r="L169">
        <v>7.5</v>
      </c>
      <c r="M169" s="17">
        <v>-15</v>
      </c>
      <c r="N169" t="s">
        <v>4725</v>
      </c>
    </row>
    <row r="170" spans="1:14" x14ac:dyDescent="0.2">
      <c r="A170" s="15">
        <v>45944</v>
      </c>
      <c r="B170" t="s">
        <v>4724</v>
      </c>
      <c r="C170" t="s">
        <v>2082</v>
      </c>
      <c r="D170" t="s">
        <v>3</v>
      </c>
      <c r="E170" t="s">
        <v>3863</v>
      </c>
      <c r="F170" t="s">
        <v>3864</v>
      </c>
      <c r="G170" t="s">
        <v>3876</v>
      </c>
      <c r="I170">
        <v>73029252</v>
      </c>
      <c r="J170">
        <v>0</v>
      </c>
      <c r="K170">
        <v>2</v>
      </c>
      <c r="L170">
        <v>16.5</v>
      </c>
      <c r="M170" s="17">
        <v>-33</v>
      </c>
      <c r="N170" t="s">
        <v>4725</v>
      </c>
    </row>
    <row r="171" spans="1:14" x14ac:dyDescent="0.2">
      <c r="A171" s="15">
        <v>45944</v>
      </c>
      <c r="B171" t="s">
        <v>4724</v>
      </c>
      <c r="C171" t="s">
        <v>2082</v>
      </c>
      <c r="D171" t="s">
        <v>3</v>
      </c>
      <c r="E171" t="s">
        <v>3863</v>
      </c>
      <c r="F171" t="s">
        <v>3865</v>
      </c>
      <c r="G171" t="s">
        <v>3876</v>
      </c>
      <c r="I171">
        <v>73029252</v>
      </c>
      <c r="J171">
        <v>0</v>
      </c>
      <c r="K171">
        <v>2</v>
      </c>
      <c r="L171">
        <v>19.5</v>
      </c>
      <c r="M171" s="17">
        <v>-39</v>
      </c>
      <c r="N171" t="s">
        <v>4725</v>
      </c>
    </row>
    <row r="172" spans="1:14" x14ac:dyDescent="0.2">
      <c r="A172" s="15">
        <v>45944</v>
      </c>
      <c r="B172" t="s">
        <v>4724</v>
      </c>
      <c r="C172" t="s">
        <v>2082</v>
      </c>
      <c r="D172" t="s">
        <v>3</v>
      </c>
      <c r="E172" t="s">
        <v>3863</v>
      </c>
      <c r="F172" t="s">
        <v>3862</v>
      </c>
      <c r="G172" t="s">
        <v>3876</v>
      </c>
      <c r="I172">
        <v>73029252</v>
      </c>
      <c r="J172">
        <v>0</v>
      </c>
      <c r="K172">
        <v>2</v>
      </c>
      <c r="L172">
        <v>7.5</v>
      </c>
      <c r="M172" s="17">
        <v>-15</v>
      </c>
      <c r="N172" t="s">
        <v>4725</v>
      </c>
    </row>
    <row r="173" spans="1:14" x14ac:dyDescent="0.2">
      <c r="A173" s="15">
        <v>45944</v>
      </c>
      <c r="B173" t="s">
        <v>4724</v>
      </c>
      <c r="C173" t="s">
        <v>2082</v>
      </c>
      <c r="D173" t="s">
        <v>3</v>
      </c>
      <c r="E173" t="s">
        <v>3863</v>
      </c>
      <c r="F173" t="s">
        <v>3864</v>
      </c>
      <c r="G173" t="s">
        <v>3876</v>
      </c>
      <c r="I173">
        <v>42813234</v>
      </c>
      <c r="J173">
        <v>0</v>
      </c>
      <c r="K173">
        <v>2</v>
      </c>
      <c r="L173">
        <v>16.5</v>
      </c>
      <c r="M173" s="17">
        <v>-33</v>
      </c>
      <c r="N173" t="s">
        <v>4725</v>
      </c>
    </row>
    <row r="174" spans="1:14" x14ac:dyDescent="0.2">
      <c r="A174" s="15">
        <v>45944</v>
      </c>
      <c r="B174" t="s">
        <v>4724</v>
      </c>
      <c r="C174" t="s">
        <v>2082</v>
      </c>
      <c r="D174" t="s">
        <v>3</v>
      </c>
      <c r="E174" t="s">
        <v>3863</v>
      </c>
      <c r="F174" t="s">
        <v>3865</v>
      </c>
      <c r="G174" t="s">
        <v>3876</v>
      </c>
      <c r="I174">
        <v>42813234</v>
      </c>
      <c r="J174">
        <v>0</v>
      </c>
      <c r="K174">
        <v>2</v>
      </c>
      <c r="L174">
        <v>19.5</v>
      </c>
      <c r="M174" s="17">
        <v>-39</v>
      </c>
      <c r="N174" t="s">
        <v>4725</v>
      </c>
    </row>
    <row r="175" spans="1:14" x14ac:dyDescent="0.2">
      <c r="A175" s="15">
        <v>45944</v>
      </c>
      <c r="B175" t="s">
        <v>4724</v>
      </c>
      <c r="C175" t="s">
        <v>2082</v>
      </c>
      <c r="D175" t="s">
        <v>3</v>
      </c>
      <c r="E175" t="s">
        <v>3863</v>
      </c>
      <c r="F175" t="s">
        <v>3862</v>
      </c>
      <c r="G175" t="s">
        <v>3876</v>
      </c>
      <c r="I175">
        <v>42813234</v>
      </c>
      <c r="J175">
        <v>0</v>
      </c>
      <c r="K175">
        <v>2</v>
      </c>
      <c r="L175">
        <v>7.5</v>
      </c>
      <c r="M175" s="17">
        <v>-15</v>
      </c>
      <c r="N175" t="s">
        <v>4725</v>
      </c>
    </row>
    <row r="176" spans="1:14" x14ac:dyDescent="0.2">
      <c r="A176" s="15">
        <v>45903</v>
      </c>
      <c r="B176" t="s">
        <v>4724</v>
      </c>
      <c r="C176" t="s">
        <v>626</v>
      </c>
      <c r="D176" t="s">
        <v>3</v>
      </c>
      <c r="E176" t="s">
        <v>126</v>
      </c>
      <c r="F176" t="s">
        <v>4217</v>
      </c>
      <c r="G176" t="s">
        <v>3876</v>
      </c>
      <c r="I176">
        <v>72511903</v>
      </c>
      <c r="J176">
        <v>0</v>
      </c>
      <c r="K176">
        <v>2</v>
      </c>
      <c r="L176">
        <v>17</v>
      </c>
      <c r="M176" s="17">
        <v>-34</v>
      </c>
      <c r="N176" t="s">
        <v>4725</v>
      </c>
    </row>
    <row r="177" spans="1:14" x14ac:dyDescent="0.2">
      <c r="A177" s="15">
        <v>45903</v>
      </c>
      <c r="B177" t="s">
        <v>4724</v>
      </c>
      <c r="C177" t="s">
        <v>626</v>
      </c>
      <c r="D177" t="s">
        <v>3</v>
      </c>
      <c r="E177" t="s">
        <v>126</v>
      </c>
      <c r="F177" t="s">
        <v>4229</v>
      </c>
      <c r="G177" t="s">
        <v>3876</v>
      </c>
      <c r="I177">
        <v>72511903</v>
      </c>
      <c r="J177">
        <v>0</v>
      </c>
      <c r="K177">
        <v>1</v>
      </c>
      <c r="L177">
        <v>39</v>
      </c>
      <c r="M177" s="17">
        <v>-39</v>
      </c>
      <c r="N177" t="s">
        <v>4725</v>
      </c>
    </row>
    <row r="178" spans="1:14" x14ac:dyDescent="0.2">
      <c r="A178" s="15">
        <v>45903</v>
      </c>
      <c r="B178" t="s">
        <v>4724</v>
      </c>
      <c r="C178" t="s">
        <v>626</v>
      </c>
      <c r="D178" t="s">
        <v>3</v>
      </c>
      <c r="E178" t="s">
        <v>126</v>
      </c>
      <c r="F178" t="s">
        <v>4219</v>
      </c>
      <c r="G178" t="s">
        <v>3876</v>
      </c>
      <c r="I178">
        <v>72511903</v>
      </c>
      <c r="J178">
        <v>0</v>
      </c>
      <c r="K178">
        <v>2</v>
      </c>
      <c r="L178">
        <v>5</v>
      </c>
      <c r="M178" s="17">
        <v>-10</v>
      </c>
      <c r="N178" t="s">
        <v>4725</v>
      </c>
    </row>
    <row r="179" spans="1:14" x14ac:dyDescent="0.2">
      <c r="A179" s="15">
        <v>45951</v>
      </c>
      <c r="B179" t="s">
        <v>4724</v>
      </c>
      <c r="C179" t="s">
        <v>626</v>
      </c>
      <c r="D179" t="s">
        <v>3</v>
      </c>
      <c r="E179" t="s">
        <v>127</v>
      </c>
      <c r="F179" t="s">
        <v>3855</v>
      </c>
      <c r="G179" t="s">
        <v>3876</v>
      </c>
      <c r="I179">
        <v>75912094</v>
      </c>
      <c r="J179">
        <v>0</v>
      </c>
      <c r="K179">
        <v>2</v>
      </c>
      <c r="L179">
        <v>18.5</v>
      </c>
      <c r="M179" s="17">
        <v>-37</v>
      </c>
      <c r="N179" t="s">
        <v>4725</v>
      </c>
    </row>
    <row r="180" spans="1:14" x14ac:dyDescent="0.2">
      <c r="A180" s="15">
        <v>45951</v>
      </c>
      <c r="B180" t="s">
        <v>4724</v>
      </c>
      <c r="C180" t="s">
        <v>626</v>
      </c>
      <c r="D180" t="s">
        <v>3</v>
      </c>
      <c r="E180" t="s">
        <v>3863</v>
      </c>
      <c r="F180" t="s">
        <v>3864</v>
      </c>
      <c r="G180" t="s">
        <v>3876</v>
      </c>
      <c r="I180">
        <v>75069157</v>
      </c>
      <c r="J180">
        <v>0</v>
      </c>
      <c r="K180">
        <v>2</v>
      </c>
      <c r="L180">
        <v>16.5</v>
      </c>
      <c r="M180" s="17">
        <v>-33</v>
      </c>
      <c r="N180" t="s">
        <v>4725</v>
      </c>
    </row>
    <row r="181" spans="1:14" x14ac:dyDescent="0.2">
      <c r="A181" s="15">
        <v>45951</v>
      </c>
      <c r="B181" t="s">
        <v>4724</v>
      </c>
      <c r="C181" t="s">
        <v>626</v>
      </c>
      <c r="D181" t="s">
        <v>3</v>
      </c>
      <c r="E181" t="s">
        <v>3863</v>
      </c>
      <c r="F181" t="s">
        <v>3865</v>
      </c>
      <c r="G181" t="s">
        <v>3876</v>
      </c>
      <c r="I181">
        <v>75069157</v>
      </c>
      <c r="J181">
        <v>0</v>
      </c>
      <c r="K181">
        <v>2</v>
      </c>
      <c r="L181">
        <v>19.5</v>
      </c>
      <c r="M181" s="17">
        <v>-39</v>
      </c>
      <c r="N181" t="s">
        <v>4725</v>
      </c>
    </row>
    <row r="182" spans="1:14" x14ac:dyDescent="0.2">
      <c r="A182" s="15">
        <v>45951</v>
      </c>
      <c r="B182" t="s">
        <v>4724</v>
      </c>
      <c r="C182" t="s">
        <v>626</v>
      </c>
      <c r="D182" t="s">
        <v>3</v>
      </c>
      <c r="E182" t="s">
        <v>3863</v>
      </c>
      <c r="F182" t="s">
        <v>3862</v>
      </c>
      <c r="G182" t="s">
        <v>3876</v>
      </c>
      <c r="I182">
        <v>75069157</v>
      </c>
      <c r="J182">
        <v>0</v>
      </c>
      <c r="K182">
        <v>2</v>
      </c>
      <c r="L182">
        <v>7.5</v>
      </c>
      <c r="M182" s="17">
        <v>-15</v>
      </c>
      <c r="N182" t="s">
        <v>4725</v>
      </c>
    </row>
    <row r="183" spans="1:14" x14ac:dyDescent="0.2">
      <c r="A183" s="15">
        <v>45951</v>
      </c>
      <c r="B183" t="s">
        <v>4724</v>
      </c>
      <c r="C183" t="s">
        <v>626</v>
      </c>
      <c r="D183" t="s">
        <v>3</v>
      </c>
      <c r="E183" t="s">
        <v>3863</v>
      </c>
      <c r="F183" t="s">
        <v>3864</v>
      </c>
      <c r="G183" t="s">
        <v>3876</v>
      </c>
      <c r="I183">
        <v>72566971</v>
      </c>
      <c r="J183">
        <v>0</v>
      </c>
      <c r="K183">
        <v>2</v>
      </c>
      <c r="L183">
        <v>16.5</v>
      </c>
      <c r="M183" s="17">
        <v>-33</v>
      </c>
      <c r="N183" t="s">
        <v>4725</v>
      </c>
    </row>
    <row r="184" spans="1:14" x14ac:dyDescent="0.2">
      <c r="A184" s="15">
        <v>45951</v>
      </c>
      <c r="B184" t="s">
        <v>4724</v>
      </c>
      <c r="C184" t="s">
        <v>626</v>
      </c>
      <c r="D184" t="s">
        <v>3</v>
      </c>
      <c r="E184" t="s">
        <v>3863</v>
      </c>
      <c r="F184" t="s">
        <v>3865</v>
      </c>
      <c r="G184" t="s">
        <v>3876</v>
      </c>
      <c r="I184">
        <v>72566971</v>
      </c>
      <c r="J184">
        <v>0</v>
      </c>
      <c r="K184">
        <v>2</v>
      </c>
      <c r="L184">
        <v>19.5</v>
      </c>
      <c r="M184" s="17">
        <v>-39</v>
      </c>
      <c r="N184" t="s">
        <v>4725</v>
      </c>
    </row>
    <row r="185" spans="1:14" x14ac:dyDescent="0.2">
      <c r="A185" s="15">
        <v>45951</v>
      </c>
      <c r="B185" t="s">
        <v>4724</v>
      </c>
      <c r="C185" t="s">
        <v>626</v>
      </c>
      <c r="D185" t="s">
        <v>3</v>
      </c>
      <c r="E185" t="s">
        <v>3863</v>
      </c>
      <c r="F185" t="s">
        <v>3862</v>
      </c>
      <c r="G185" t="s">
        <v>3876</v>
      </c>
      <c r="I185">
        <v>72566971</v>
      </c>
      <c r="J185">
        <v>0</v>
      </c>
      <c r="K185">
        <v>2</v>
      </c>
      <c r="L185">
        <v>7.5</v>
      </c>
      <c r="M185" s="17">
        <v>-15</v>
      </c>
      <c r="N185" t="s">
        <v>4725</v>
      </c>
    </row>
    <row r="186" spans="1:14" x14ac:dyDescent="0.2">
      <c r="A186" s="15">
        <v>45951</v>
      </c>
      <c r="B186" t="s">
        <v>4724</v>
      </c>
      <c r="C186" t="s">
        <v>626</v>
      </c>
      <c r="D186" t="s">
        <v>3</v>
      </c>
      <c r="E186" t="s">
        <v>3866</v>
      </c>
      <c r="F186" t="s">
        <v>47</v>
      </c>
      <c r="G186" t="s">
        <v>3876</v>
      </c>
      <c r="I186">
        <v>62817635</v>
      </c>
      <c r="J186">
        <v>0</v>
      </c>
      <c r="K186">
        <v>2</v>
      </c>
      <c r="L186">
        <v>16.25</v>
      </c>
      <c r="M186" s="17">
        <v>-32.5</v>
      </c>
      <c r="N186" t="s">
        <v>4725</v>
      </c>
    </row>
    <row r="187" spans="1:14" x14ac:dyDescent="0.2">
      <c r="A187" s="15">
        <v>45951</v>
      </c>
      <c r="B187" t="s">
        <v>4724</v>
      </c>
      <c r="C187" t="s">
        <v>626</v>
      </c>
      <c r="D187" t="s">
        <v>3</v>
      </c>
      <c r="E187" t="s">
        <v>3866</v>
      </c>
      <c r="F187" t="s">
        <v>3867</v>
      </c>
      <c r="G187" t="s">
        <v>3876</v>
      </c>
      <c r="I187">
        <v>62817635</v>
      </c>
      <c r="J187">
        <v>0</v>
      </c>
      <c r="K187">
        <v>2</v>
      </c>
      <c r="L187">
        <v>11</v>
      </c>
      <c r="M187" s="17">
        <v>-22</v>
      </c>
      <c r="N187" t="s">
        <v>4725</v>
      </c>
    </row>
    <row r="188" spans="1:14" x14ac:dyDescent="0.2">
      <c r="A188" s="15">
        <v>45951</v>
      </c>
      <c r="B188" t="s">
        <v>4724</v>
      </c>
      <c r="C188" t="s">
        <v>626</v>
      </c>
      <c r="D188" t="s">
        <v>3</v>
      </c>
      <c r="E188" t="s">
        <v>3866</v>
      </c>
      <c r="F188" t="s">
        <v>3868</v>
      </c>
      <c r="G188" t="s">
        <v>3876</v>
      </c>
      <c r="I188">
        <v>62817635</v>
      </c>
      <c r="J188">
        <v>0</v>
      </c>
      <c r="K188">
        <v>2</v>
      </c>
      <c r="L188">
        <v>6.5</v>
      </c>
      <c r="M188" s="17">
        <v>-13</v>
      </c>
      <c r="N188" t="s">
        <v>4725</v>
      </c>
    </row>
    <row r="189" spans="1:14" x14ac:dyDescent="0.2">
      <c r="A189" s="15">
        <v>45951</v>
      </c>
      <c r="B189" t="s">
        <v>4724</v>
      </c>
      <c r="C189" t="s">
        <v>626</v>
      </c>
      <c r="D189" t="s">
        <v>3</v>
      </c>
      <c r="E189" t="s">
        <v>3866</v>
      </c>
      <c r="F189" t="s">
        <v>3869</v>
      </c>
      <c r="G189" t="s">
        <v>3876</v>
      </c>
      <c r="I189">
        <v>62817635</v>
      </c>
      <c r="J189">
        <v>0</v>
      </c>
      <c r="K189">
        <v>2</v>
      </c>
      <c r="L189">
        <v>4.5</v>
      </c>
      <c r="M189" s="17">
        <v>-9</v>
      </c>
      <c r="N189" t="s">
        <v>4725</v>
      </c>
    </row>
    <row r="190" spans="1:14" x14ac:dyDescent="0.2">
      <c r="A190" s="15">
        <v>45951</v>
      </c>
      <c r="B190" t="s">
        <v>4724</v>
      </c>
      <c r="C190" t="s">
        <v>626</v>
      </c>
      <c r="D190" t="s">
        <v>3</v>
      </c>
      <c r="E190" t="s">
        <v>3866</v>
      </c>
      <c r="F190" t="s">
        <v>3862</v>
      </c>
      <c r="G190" t="s">
        <v>3876</v>
      </c>
      <c r="I190">
        <v>62817635</v>
      </c>
      <c r="J190">
        <v>0</v>
      </c>
      <c r="K190">
        <v>2</v>
      </c>
      <c r="L190">
        <v>7.5</v>
      </c>
      <c r="M190" s="17">
        <v>-15</v>
      </c>
      <c r="N190" t="s">
        <v>4725</v>
      </c>
    </row>
    <row r="191" spans="1:14" x14ac:dyDescent="0.2">
      <c r="A191" s="15">
        <v>46006</v>
      </c>
      <c r="B191" t="s">
        <v>4724</v>
      </c>
      <c r="C191" t="s">
        <v>3038</v>
      </c>
      <c r="D191" t="s">
        <v>3</v>
      </c>
      <c r="E191" t="s">
        <v>4132</v>
      </c>
      <c r="F191" t="s">
        <v>4722</v>
      </c>
      <c r="G191" t="s">
        <v>3876</v>
      </c>
      <c r="I191">
        <v>71102334</v>
      </c>
      <c r="J191">
        <v>0</v>
      </c>
      <c r="K191">
        <v>1</v>
      </c>
      <c r="L191">
        <v>13.5</v>
      </c>
      <c r="M191" s="17">
        <v>-13.5</v>
      </c>
      <c r="N191" t="s">
        <v>4725</v>
      </c>
    </row>
    <row r="192" spans="1:14" x14ac:dyDescent="0.2">
      <c r="A192" s="15">
        <v>46003</v>
      </c>
      <c r="B192" t="s">
        <v>4724</v>
      </c>
      <c r="C192" t="s">
        <v>16</v>
      </c>
      <c r="D192" t="s">
        <v>3</v>
      </c>
      <c r="E192" t="s">
        <v>3866</v>
      </c>
      <c r="F192" t="s">
        <v>47</v>
      </c>
      <c r="G192" t="s">
        <v>4491</v>
      </c>
      <c r="I192">
        <v>71835514</v>
      </c>
      <c r="J192">
        <v>0</v>
      </c>
      <c r="K192">
        <v>2</v>
      </c>
      <c r="L192">
        <v>17.25</v>
      </c>
      <c r="M192" s="17">
        <v>-34.5</v>
      </c>
      <c r="N192" t="s">
        <v>4725</v>
      </c>
    </row>
    <row r="193" spans="1:14" x14ac:dyDescent="0.2">
      <c r="A193" s="15">
        <v>46003</v>
      </c>
      <c r="B193" t="s">
        <v>4724</v>
      </c>
      <c r="C193" t="s">
        <v>16</v>
      </c>
      <c r="D193" t="s">
        <v>3</v>
      </c>
      <c r="E193" t="s">
        <v>3866</v>
      </c>
      <c r="F193" t="s">
        <v>3867</v>
      </c>
      <c r="G193" t="s">
        <v>4491</v>
      </c>
      <c r="I193">
        <v>71835514</v>
      </c>
      <c r="J193">
        <v>0</v>
      </c>
      <c r="K193">
        <v>2</v>
      </c>
      <c r="L193">
        <v>11.5</v>
      </c>
      <c r="M193" s="17">
        <v>-23</v>
      </c>
      <c r="N193" t="s">
        <v>4725</v>
      </c>
    </row>
    <row r="194" spans="1:14" x14ac:dyDescent="0.2">
      <c r="A194" s="15">
        <v>46003</v>
      </c>
      <c r="B194" t="s">
        <v>4724</v>
      </c>
      <c r="C194" t="s">
        <v>16</v>
      </c>
      <c r="D194" t="s">
        <v>3</v>
      </c>
      <c r="E194" t="s">
        <v>3866</v>
      </c>
      <c r="F194" t="s">
        <v>3868</v>
      </c>
      <c r="G194" t="s">
        <v>4491</v>
      </c>
      <c r="I194">
        <v>71835514</v>
      </c>
      <c r="J194">
        <v>0</v>
      </c>
      <c r="K194">
        <v>2</v>
      </c>
      <c r="L194">
        <v>6.5</v>
      </c>
      <c r="M194" s="17">
        <v>-13</v>
      </c>
      <c r="N194" t="s">
        <v>4725</v>
      </c>
    </row>
    <row r="195" spans="1:14" x14ac:dyDescent="0.2">
      <c r="A195" s="15">
        <v>46003</v>
      </c>
      <c r="B195" t="s">
        <v>4724</v>
      </c>
      <c r="C195" t="s">
        <v>16</v>
      </c>
      <c r="D195" t="s">
        <v>3</v>
      </c>
      <c r="E195" t="s">
        <v>3866</v>
      </c>
      <c r="F195" t="s">
        <v>3869</v>
      </c>
      <c r="G195" t="s">
        <v>4491</v>
      </c>
      <c r="I195">
        <v>71835514</v>
      </c>
      <c r="J195">
        <v>0</v>
      </c>
      <c r="K195">
        <v>2</v>
      </c>
      <c r="L195">
        <v>4.5</v>
      </c>
      <c r="M195" s="17">
        <v>-9</v>
      </c>
      <c r="N195" t="s">
        <v>4725</v>
      </c>
    </row>
    <row r="196" spans="1:14" x14ac:dyDescent="0.2">
      <c r="A196" s="15">
        <v>46003</v>
      </c>
      <c r="B196" t="s">
        <v>4724</v>
      </c>
      <c r="C196" t="s">
        <v>16</v>
      </c>
      <c r="D196" t="s">
        <v>3</v>
      </c>
      <c r="E196" t="s">
        <v>3866</v>
      </c>
      <c r="F196" t="s">
        <v>3862</v>
      </c>
      <c r="G196" t="s">
        <v>4491</v>
      </c>
      <c r="I196">
        <v>71835514</v>
      </c>
      <c r="J196">
        <v>0</v>
      </c>
      <c r="K196">
        <v>2</v>
      </c>
      <c r="L196">
        <v>8.5</v>
      </c>
      <c r="M196" s="17">
        <v>-17</v>
      </c>
      <c r="N196" t="s">
        <v>4725</v>
      </c>
    </row>
    <row r="197" spans="1:14" x14ac:dyDescent="0.2">
      <c r="A197" s="15">
        <v>46003</v>
      </c>
      <c r="B197" t="s">
        <v>4724</v>
      </c>
      <c r="C197" t="s">
        <v>16</v>
      </c>
      <c r="D197" t="s">
        <v>3</v>
      </c>
      <c r="E197" t="s">
        <v>3866</v>
      </c>
      <c r="F197" t="s">
        <v>47</v>
      </c>
      <c r="G197" t="s">
        <v>3876</v>
      </c>
      <c r="I197">
        <v>76299473</v>
      </c>
      <c r="J197">
        <v>0</v>
      </c>
      <c r="K197">
        <v>2</v>
      </c>
      <c r="L197">
        <v>16.25</v>
      </c>
      <c r="M197" s="17">
        <v>-32.5</v>
      </c>
      <c r="N197" t="s">
        <v>4725</v>
      </c>
    </row>
    <row r="198" spans="1:14" x14ac:dyDescent="0.2">
      <c r="A198" s="15">
        <v>46003</v>
      </c>
      <c r="B198" t="s">
        <v>4724</v>
      </c>
      <c r="C198" t="s">
        <v>16</v>
      </c>
      <c r="D198" t="s">
        <v>3</v>
      </c>
      <c r="E198" t="s">
        <v>3866</v>
      </c>
      <c r="F198" t="s">
        <v>3867</v>
      </c>
      <c r="G198" t="s">
        <v>3876</v>
      </c>
      <c r="I198">
        <v>76299473</v>
      </c>
      <c r="J198">
        <v>0</v>
      </c>
      <c r="K198">
        <v>2</v>
      </c>
      <c r="L198">
        <v>11</v>
      </c>
      <c r="M198" s="17">
        <v>-22</v>
      </c>
      <c r="N198" t="s">
        <v>4725</v>
      </c>
    </row>
    <row r="199" spans="1:14" x14ac:dyDescent="0.2">
      <c r="A199" s="15">
        <v>46003</v>
      </c>
      <c r="B199" t="s">
        <v>4724</v>
      </c>
      <c r="C199" t="s">
        <v>16</v>
      </c>
      <c r="D199" t="s">
        <v>3</v>
      </c>
      <c r="E199" t="s">
        <v>3866</v>
      </c>
      <c r="F199" t="s">
        <v>3868</v>
      </c>
      <c r="G199" t="s">
        <v>3876</v>
      </c>
      <c r="I199">
        <v>76299473</v>
      </c>
      <c r="J199">
        <v>0</v>
      </c>
      <c r="K199">
        <v>2</v>
      </c>
      <c r="L199">
        <v>6.5</v>
      </c>
      <c r="M199" s="17">
        <v>-13</v>
      </c>
      <c r="N199" t="s">
        <v>4725</v>
      </c>
    </row>
    <row r="200" spans="1:14" x14ac:dyDescent="0.2">
      <c r="A200" s="15">
        <v>46003</v>
      </c>
      <c r="B200" t="s">
        <v>4724</v>
      </c>
      <c r="C200" t="s">
        <v>16</v>
      </c>
      <c r="D200" t="s">
        <v>3</v>
      </c>
      <c r="E200" t="s">
        <v>3866</v>
      </c>
      <c r="F200" t="s">
        <v>3869</v>
      </c>
      <c r="G200" t="s">
        <v>3876</v>
      </c>
      <c r="I200">
        <v>76299473</v>
      </c>
      <c r="J200">
        <v>0</v>
      </c>
      <c r="K200">
        <v>2</v>
      </c>
      <c r="L200">
        <v>4.5</v>
      </c>
      <c r="M200" s="17">
        <v>-9</v>
      </c>
      <c r="N200" t="s">
        <v>4725</v>
      </c>
    </row>
    <row r="201" spans="1:14" x14ac:dyDescent="0.2">
      <c r="A201" s="15">
        <v>46003</v>
      </c>
      <c r="B201" t="s">
        <v>4724</v>
      </c>
      <c r="C201" t="s">
        <v>16</v>
      </c>
      <c r="D201" t="s">
        <v>3</v>
      </c>
      <c r="E201" t="s">
        <v>3866</v>
      </c>
      <c r="F201" t="s">
        <v>3862</v>
      </c>
      <c r="G201" t="s">
        <v>3876</v>
      </c>
      <c r="I201">
        <v>76299473</v>
      </c>
      <c r="J201">
        <v>0</v>
      </c>
      <c r="K201">
        <v>2</v>
      </c>
      <c r="L201">
        <v>7.5</v>
      </c>
      <c r="M201" s="17">
        <v>-15</v>
      </c>
      <c r="N201" t="s">
        <v>4725</v>
      </c>
    </row>
    <row r="202" spans="1:14" x14ac:dyDescent="0.2">
      <c r="A202" s="15">
        <v>46003</v>
      </c>
      <c r="B202" t="s">
        <v>4724</v>
      </c>
      <c r="C202" t="s">
        <v>16</v>
      </c>
      <c r="D202" t="s">
        <v>3</v>
      </c>
      <c r="E202" t="s">
        <v>3866</v>
      </c>
      <c r="F202" t="s">
        <v>47</v>
      </c>
      <c r="G202" t="s">
        <v>3876</v>
      </c>
      <c r="I202">
        <v>61245443</v>
      </c>
      <c r="J202">
        <v>0</v>
      </c>
      <c r="K202">
        <v>2</v>
      </c>
      <c r="L202">
        <v>16.25</v>
      </c>
      <c r="M202" s="17">
        <v>-32.5</v>
      </c>
      <c r="N202" t="s">
        <v>4725</v>
      </c>
    </row>
    <row r="203" spans="1:14" x14ac:dyDescent="0.2">
      <c r="A203" s="15">
        <v>46003</v>
      </c>
      <c r="B203" t="s">
        <v>4724</v>
      </c>
      <c r="C203" t="s">
        <v>16</v>
      </c>
      <c r="D203" t="s">
        <v>3</v>
      </c>
      <c r="E203" t="s">
        <v>3866</v>
      </c>
      <c r="F203" t="s">
        <v>3867</v>
      </c>
      <c r="G203" t="s">
        <v>3876</v>
      </c>
      <c r="I203">
        <v>61245443</v>
      </c>
      <c r="J203">
        <v>0</v>
      </c>
      <c r="K203">
        <v>2</v>
      </c>
      <c r="L203">
        <v>11</v>
      </c>
      <c r="M203" s="17">
        <v>-22</v>
      </c>
      <c r="N203" t="s">
        <v>4725</v>
      </c>
    </row>
    <row r="204" spans="1:14" x14ac:dyDescent="0.2">
      <c r="A204" s="15">
        <v>46003</v>
      </c>
      <c r="B204" t="s">
        <v>4724</v>
      </c>
      <c r="C204" t="s">
        <v>16</v>
      </c>
      <c r="D204" t="s">
        <v>3</v>
      </c>
      <c r="E204" t="s">
        <v>3866</v>
      </c>
      <c r="F204" t="s">
        <v>3868</v>
      </c>
      <c r="G204" t="s">
        <v>3876</v>
      </c>
      <c r="I204">
        <v>61245443</v>
      </c>
      <c r="J204">
        <v>0</v>
      </c>
      <c r="K204">
        <v>2</v>
      </c>
      <c r="L204">
        <v>6.5</v>
      </c>
      <c r="M204" s="17">
        <v>-13</v>
      </c>
      <c r="N204" t="s">
        <v>4725</v>
      </c>
    </row>
    <row r="205" spans="1:14" x14ac:dyDescent="0.2">
      <c r="A205" s="15">
        <v>46003</v>
      </c>
      <c r="B205" t="s">
        <v>4724</v>
      </c>
      <c r="C205" t="s">
        <v>16</v>
      </c>
      <c r="D205" t="s">
        <v>3</v>
      </c>
      <c r="E205" t="s">
        <v>3866</v>
      </c>
      <c r="F205" t="s">
        <v>3869</v>
      </c>
      <c r="G205" t="s">
        <v>3876</v>
      </c>
      <c r="I205">
        <v>61245443</v>
      </c>
      <c r="J205">
        <v>0</v>
      </c>
      <c r="K205">
        <v>2</v>
      </c>
      <c r="L205">
        <v>4.5</v>
      </c>
      <c r="M205" s="17">
        <v>-9</v>
      </c>
      <c r="N205" t="s">
        <v>4725</v>
      </c>
    </row>
    <row r="206" spans="1:14" x14ac:dyDescent="0.2">
      <c r="A206" s="15">
        <v>46003</v>
      </c>
      <c r="B206" t="s">
        <v>4724</v>
      </c>
      <c r="C206" t="s">
        <v>16</v>
      </c>
      <c r="D206" t="s">
        <v>3</v>
      </c>
      <c r="E206" t="s">
        <v>3866</v>
      </c>
      <c r="F206" t="s">
        <v>3862</v>
      </c>
      <c r="G206" t="s">
        <v>3876</v>
      </c>
      <c r="I206">
        <v>61245443</v>
      </c>
      <c r="J206">
        <v>0</v>
      </c>
      <c r="K206">
        <v>2</v>
      </c>
      <c r="L206">
        <v>7.5</v>
      </c>
      <c r="M206" s="17">
        <v>-15</v>
      </c>
      <c r="N206" t="s">
        <v>4725</v>
      </c>
    </row>
    <row r="207" spans="1:14" x14ac:dyDescent="0.2">
      <c r="A207" s="15">
        <v>46003</v>
      </c>
      <c r="B207" t="s">
        <v>4724</v>
      </c>
      <c r="C207" t="s">
        <v>16</v>
      </c>
      <c r="D207" t="s">
        <v>3</v>
      </c>
      <c r="E207" t="s">
        <v>127</v>
      </c>
      <c r="F207" t="s">
        <v>3855</v>
      </c>
      <c r="G207" t="s">
        <v>3876</v>
      </c>
      <c r="I207">
        <v>61297592</v>
      </c>
      <c r="J207">
        <v>0</v>
      </c>
      <c r="K207">
        <v>2</v>
      </c>
      <c r="L207">
        <v>18.5</v>
      </c>
      <c r="M207" s="17">
        <v>-37</v>
      </c>
      <c r="N207" t="s">
        <v>4725</v>
      </c>
    </row>
    <row r="208" spans="1:14" x14ac:dyDescent="0.2">
      <c r="A208" s="15">
        <v>46003</v>
      </c>
      <c r="B208" t="s">
        <v>4724</v>
      </c>
      <c r="C208" t="s">
        <v>16</v>
      </c>
      <c r="D208" t="s">
        <v>3</v>
      </c>
      <c r="E208" t="s">
        <v>127</v>
      </c>
      <c r="F208" t="s">
        <v>3853</v>
      </c>
      <c r="G208" t="s">
        <v>3876</v>
      </c>
      <c r="I208">
        <v>61297592</v>
      </c>
      <c r="J208">
        <v>0</v>
      </c>
      <c r="K208">
        <v>2</v>
      </c>
      <c r="L208">
        <v>7</v>
      </c>
      <c r="M208" s="17">
        <v>-14</v>
      </c>
      <c r="N208" t="s">
        <v>4725</v>
      </c>
    </row>
    <row r="209" spans="1:14" x14ac:dyDescent="0.2">
      <c r="A209" s="15">
        <v>46003</v>
      </c>
      <c r="B209" t="s">
        <v>4724</v>
      </c>
      <c r="C209" t="s">
        <v>16</v>
      </c>
      <c r="D209" t="s">
        <v>3</v>
      </c>
      <c r="E209" t="s">
        <v>127</v>
      </c>
      <c r="F209" t="s">
        <v>3854</v>
      </c>
      <c r="G209" t="s">
        <v>3876</v>
      </c>
      <c r="I209">
        <v>61297592</v>
      </c>
      <c r="J209">
        <v>0</v>
      </c>
      <c r="K209">
        <v>2</v>
      </c>
      <c r="L209">
        <v>1.75</v>
      </c>
      <c r="M209" s="17">
        <v>-3.5</v>
      </c>
      <c r="N209" t="s">
        <v>4725</v>
      </c>
    </row>
    <row r="210" spans="1:14" x14ac:dyDescent="0.2">
      <c r="A210" s="15">
        <v>46010</v>
      </c>
      <c r="B210" t="s">
        <v>4724</v>
      </c>
      <c r="C210" t="s">
        <v>195</v>
      </c>
      <c r="D210" t="s">
        <v>3</v>
      </c>
      <c r="E210" t="s">
        <v>3863</v>
      </c>
      <c r="F210" t="s">
        <v>3864</v>
      </c>
      <c r="G210" t="s">
        <v>3876</v>
      </c>
      <c r="I210">
        <v>76773665</v>
      </c>
      <c r="J210">
        <v>0</v>
      </c>
      <c r="K210">
        <v>2</v>
      </c>
      <c r="L210">
        <v>16.5</v>
      </c>
      <c r="M210" s="17">
        <v>-33</v>
      </c>
      <c r="N210" t="s">
        <v>4725</v>
      </c>
    </row>
    <row r="211" spans="1:14" x14ac:dyDescent="0.2">
      <c r="A211" s="15">
        <v>46010</v>
      </c>
      <c r="B211" t="s">
        <v>4724</v>
      </c>
      <c r="C211" t="s">
        <v>195</v>
      </c>
      <c r="D211" t="s">
        <v>3</v>
      </c>
      <c r="E211" t="s">
        <v>3863</v>
      </c>
      <c r="F211" t="s">
        <v>3865</v>
      </c>
      <c r="G211" t="s">
        <v>3876</v>
      </c>
      <c r="I211">
        <v>76773665</v>
      </c>
      <c r="J211">
        <v>0</v>
      </c>
      <c r="K211">
        <v>2</v>
      </c>
      <c r="L211">
        <v>19.5</v>
      </c>
      <c r="M211" s="17">
        <v>-39</v>
      </c>
      <c r="N211" t="s">
        <v>4725</v>
      </c>
    </row>
    <row r="212" spans="1:14" x14ac:dyDescent="0.2">
      <c r="A212" s="15">
        <v>46010</v>
      </c>
      <c r="B212" t="s">
        <v>4724</v>
      </c>
      <c r="C212" t="s">
        <v>195</v>
      </c>
      <c r="D212" t="s">
        <v>3</v>
      </c>
      <c r="E212" t="s">
        <v>3863</v>
      </c>
      <c r="F212" t="s">
        <v>3862</v>
      </c>
      <c r="G212" t="s">
        <v>3876</v>
      </c>
      <c r="I212">
        <v>76773665</v>
      </c>
      <c r="J212">
        <v>0</v>
      </c>
      <c r="K212">
        <v>2</v>
      </c>
      <c r="L212">
        <v>7.5</v>
      </c>
      <c r="M212" s="17">
        <v>-15</v>
      </c>
      <c r="N212" t="s">
        <v>4725</v>
      </c>
    </row>
    <row r="213" spans="1:14" x14ac:dyDescent="0.2">
      <c r="A213" s="15">
        <v>46010</v>
      </c>
      <c r="B213" t="s">
        <v>4724</v>
      </c>
      <c r="C213" t="s">
        <v>2079</v>
      </c>
      <c r="D213" t="s">
        <v>3</v>
      </c>
      <c r="E213" t="s">
        <v>3863</v>
      </c>
      <c r="F213" t="s">
        <v>3864</v>
      </c>
      <c r="G213" t="s">
        <v>3876</v>
      </c>
      <c r="I213">
        <v>46831171</v>
      </c>
      <c r="J213">
        <v>0</v>
      </c>
      <c r="K213">
        <v>2</v>
      </c>
      <c r="L213">
        <v>16.5</v>
      </c>
      <c r="M213" s="17">
        <v>-33</v>
      </c>
      <c r="N213" t="s">
        <v>4725</v>
      </c>
    </row>
    <row r="214" spans="1:14" x14ac:dyDescent="0.2">
      <c r="A214" s="15">
        <v>46010</v>
      </c>
      <c r="B214" t="s">
        <v>4724</v>
      </c>
      <c r="C214" t="s">
        <v>2079</v>
      </c>
      <c r="D214" t="s">
        <v>3</v>
      </c>
      <c r="E214" t="s">
        <v>3863</v>
      </c>
      <c r="F214" t="s">
        <v>3865</v>
      </c>
      <c r="G214" t="s">
        <v>3876</v>
      </c>
      <c r="I214">
        <v>46831171</v>
      </c>
      <c r="J214">
        <v>0</v>
      </c>
      <c r="K214">
        <v>2</v>
      </c>
      <c r="L214">
        <v>19.5</v>
      </c>
      <c r="M214" s="17">
        <v>-39</v>
      </c>
      <c r="N214" t="s">
        <v>4725</v>
      </c>
    </row>
    <row r="215" spans="1:14" x14ac:dyDescent="0.2">
      <c r="A215" s="15">
        <v>46010</v>
      </c>
      <c r="B215" t="s">
        <v>4724</v>
      </c>
      <c r="C215" t="s">
        <v>2079</v>
      </c>
      <c r="D215" t="s">
        <v>3</v>
      </c>
      <c r="E215" t="s">
        <v>3863</v>
      </c>
      <c r="F215" t="s">
        <v>3862</v>
      </c>
      <c r="G215" t="s">
        <v>3876</v>
      </c>
      <c r="I215">
        <v>46831171</v>
      </c>
      <c r="J215">
        <v>0</v>
      </c>
      <c r="K215">
        <v>2</v>
      </c>
      <c r="L215">
        <v>7.5</v>
      </c>
      <c r="M215" s="17">
        <v>-15</v>
      </c>
      <c r="N215" t="s">
        <v>4725</v>
      </c>
    </row>
    <row r="216" spans="1:14" x14ac:dyDescent="0.2">
      <c r="A216" s="15"/>
    </row>
    <row r="217" spans="1:14" x14ac:dyDescent="0.2">
      <c r="A217" s="15"/>
    </row>
    <row r="218" spans="1:14" x14ac:dyDescent="0.2">
      <c r="A218" s="15"/>
    </row>
    <row r="219" spans="1:14" x14ac:dyDescent="0.2">
      <c r="A219" s="15"/>
    </row>
    <row r="220" spans="1:14" x14ac:dyDescent="0.2">
      <c r="A220" s="15"/>
    </row>
    <row r="221" spans="1:14" x14ac:dyDescent="0.2">
      <c r="A221" s="15"/>
    </row>
    <row r="222" spans="1:14" x14ac:dyDescent="0.2">
      <c r="A222" s="15"/>
    </row>
    <row r="223" spans="1:14" x14ac:dyDescent="0.2">
      <c r="A223" s="15"/>
    </row>
    <row r="224" spans="1:14" x14ac:dyDescent="0.2">
      <c r="A224" s="15"/>
    </row>
    <row r="225" spans="1:1" x14ac:dyDescent="0.2">
      <c r="A225" s="15"/>
    </row>
    <row r="226" spans="1:1" x14ac:dyDescent="0.2">
      <c r="A226" s="15"/>
    </row>
    <row r="227" spans="1:1" x14ac:dyDescent="0.2">
      <c r="A227" s="15"/>
    </row>
    <row r="228" spans="1:1" x14ac:dyDescent="0.2">
      <c r="A228" s="15"/>
    </row>
    <row r="229" spans="1:1" x14ac:dyDescent="0.2">
      <c r="A229" s="15"/>
    </row>
    <row r="230" spans="1:1" x14ac:dyDescent="0.2">
      <c r="A230" s="15"/>
    </row>
    <row r="231" spans="1:1" x14ac:dyDescent="0.2">
      <c r="A231" s="15"/>
    </row>
    <row r="232" spans="1:1" x14ac:dyDescent="0.2">
      <c r="A232" s="15"/>
    </row>
    <row r="233" spans="1:1" x14ac:dyDescent="0.2">
      <c r="A233" s="15"/>
    </row>
    <row r="234" spans="1:1" x14ac:dyDescent="0.2">
      <c r="A234" s="15"/>
    </row>
    <row r="235" spans="1:1" x14ac:dyDescent="0.2">
      <c r="A235" s="15"/>
    </row>
    <row r="236" spans="1:1" x14ac:dyDescent="0.2">
      <c r="A236" s="15"/>
    </row>
    <row r="237" spans="1:1" x14ac:dyDescent="0.2">
      <c r="A237" s="15"/>
    </row>
    <row r="238" spans="1:1" x14ac:dyDescent="0.2">
      <c r="A238" s="15"/>
    </row>
    <row r="239" spans="1:1" x14ac:dyDescent="0.2">
      <c r="A239" s="15"/>
    </row>
    <row r="240" spans="1:1" x14ac:dyDescent="0.2">
      <c r="A240" s="15"/>
    </row>
    <row r="241" spans="1:1" x14ac:dyDescent="0.2">
      <c r="A241" s="15"/>
    </row>
    <row r="242" spans="1:1" x14ac:dyDescent="0.2">
      <c r="A242" s="15"/>
    </row>
    <row r="243" spans="1:1" x14ac:dyDescent="0.2">
      <c r="A243" s="15"/>
    </row>
    <row r="244" spans="1:1" x14ac:dyDescent="0.2">
      <c r="A244" s="15"/>
    </row>
    <row r="245" spans="1:1" x14ac:dyDescent="0.2">
      <c r="A245" s="15"/>
    </row>
    <row r="246" spans="1:1" x14ac:dyDescent="0.2">
      <c r="A246" s="15"/>
    </row>
    <row r="247" spans="1:1" x14ac:dyDescent="0.2">
      <c r="A247" s="15"/>
    </row>
    <row r="248" spans="1:1" x14ac:dyDescent="0.2">
      <c r="A248" s="15"/>
    </row>
    <row r="249" spans="1:1" x14ac:dyDescent="0.2">
      <c r="A249" s="15"/>
    </row>
    <row r="250" spans="1:1" x14ac:dyDescent="0.2">
      <c r="A250" s="15"/>
    </row>
    <row r="251" spans="1:1" x14ac:dyDescent="0.2">
      <c r="A251" s="15"/>
    </row>
    <row r="252" spans="1:1" x14ac:dyDescent="0.2">
      <c r="A252" s="15"/>
    </row>
    <row r="253" spans="1:1" x14ac:dyDescent="0.2">
      <c r="A253" s="15"/>
    </row>
    <row r="254" spans="1:1" x14ac:dyDescent="0.2">
      <c r="A254" s="15"/>
    </row>
    <row r="255" spans="1:1" x14ac:dyDescent="0.2">
      <c r="A255" s="15"/>
    </row>
    <row r="256" spans="1:1" x14ac:dyDescent="0.2">
      <c r="A256" s="15"/>
    </row>
    <row r="257" spans="1:1" x14ac:dyDescent="0.2">
      <c r="A257" s="15"/>
    </row>
    <row r="258" spans="1:1" x14ac:dyDescent="0.2">
      <c r="A258" s="15"/>
    </row>
    <row r="259" spans="1:1" x14ac:dyDescent="0.2">
      <c r="A259" s="15"/>
    </row>
    <row r="260" spans="1:1" x14ac:dyDescent="0.2">
      <c r="A260" s="15"/>
    </row>
    <row r="261" spans="1:1" x14ac:dyDescent="0.2">
      <c r="A261" s="15"/>
    </row>
    <row r="262" spans="1:1" x14ac:dyDescent="0.2">
      <c r="A262" s="15"/>
    </row>
    <row r="263" spans="1:1" x14ac:dyDescent="0.2">
      <c r="A263" s="15"/>
    </row>
    <row r="264" spans="1:1" x14ac:dyDescent="0.2">
      <c r="A264" s="15"/>
    </row>
    <row r="265" spans="1:1" x14ac:dyDescent="0.2">
      <c r="A265" s="15"/>
    </row>
    <row r="266" spans="1:1" x14ac:dyDescent="0.2">
      <c r="A266" s="15"/>
    </row>
    <row r="267" spans="1:1" x14ac:dyDescent="0.2">
      <c r="A267" s="15"/>
    </row>
    <row r="268" spans="1:1" x14ac:dyDescent="0.2">
      <c r="A268" s="15"/>
    </row>
    <row r="269" spans="1:1" x14ac:dyDescent="0.2">
      <c r="A269" s="15"/>
    </row>
    <row r="270" spans="1:1" x14ac:dyDescent="0.2">
      <c r="A270" s="15"/>
    </row>
    <row r="271" spans="1:1" x14ac:dyDescent="0.2">
      <c r="A271" s="15"/>
    </row>
    <row r="272" spans="1:1" x14ac:dyDescent="0.2">
      <c r="A272" s="15"/>
    </row>
    <row r="273" spans="1:1" x14ac:dyDescent="0.2">
      <c r="A273" s="15"/>
    </row>
    <row r="274" spans="1:1" x14ac:dyDescent="0.2">
      <c r="A274" s="15"/>
    </row>
    <row r="275" spans="1:1" x14ac:dyDescent="0.2">
      <c r="A275" s="15"/>
    </row>
    <row r="276" spans="1:1" x14ac:dyDescent="0.2">
      <c r="A276" s="15"/>
    </row>
    <row r="277" spans="1:1" x14ac:dyDescent="0.2">
      <c r="A277" s="15"/>
    </row>
    <row r="278" spans="1:1" x14ac:dyDescent="0.2">
      <c r="A278" s="15"/>
    </row>
    <row r="279" spans="1:1" x14ac:dyDescent="0.2">
      <c r="A279" s="15"/>
    </row>
    <row r="280" spans="1:1" x14ac:dyDescent="0.2">
      <c r="A280" s="15"/>
    </row>
    <row r="281" spans="1:1" x14ac:dyDescent="0.2">
      <c r="A281" s="15"/>
    </row>
    <row r="282" spans="1:1" x14ac:dyDescent="0.2">
      <c r="A282" s="15"/>
    </row>
    <row r="283" spans="1:1" x14ac:dyDescent="0.2">
      <c r="A283" s="15"/>
    </row>
    <row r="284" spans="1:1" x14ac:dyDescent="0.2">
      <c r="A284" s="15"/>
    </row>
    <row r="285" spans="1:1" x14ac:dyDescent="0.2">
      <c r="A285" s="15"/>
    </row>
    <row r="286" spans="1:1" x14ac:dyDescent="0.2">
      <c r="A286" s="15"/>
    </row>
    <row r="287" spans="1:1" x14ac:dyDescent="0.2">
      <c r="A287" s="15"/>
    </row>
    <row r="288" spans="1:1" x14ac:dyDescent="0.2">
      <c r="A288" s="15"/>
    </row>
    <row r="289" spans="1:1" x14ac:dyDescent="0.2">
      <c r="A289" s="15"/>
    </row>
    <row r="290" spans="1:1" x14ac:dyDescent="0.2">
      <c r="A290" s="15"/>
    </row>
    <row r="291" spans="1:1" x14ac:dyDescent="0.2">
      <c r="A291" s="15"/>
    </row>
    <row r="292" spans="1:1" x14ac:dyDescent="0.2">
      <c r="A292" s="15"/>
    </row>
    <row r="293" spans="1:1" x14ac:dyDescent="0.2">
      <c r="A293" s="15"/>
    </row>
    <row r="294" spans="1:1" x14ac:dyDescent="0.2">
      <c r="A294" s="15"/>
    </row>
    <row r="295" spans="1:1" x14ac:dyDescent="0.2">
      <c r="A295" s="15"/>
    </row>
    <row r="296" spans="1:1" x14ac:dyDescent="0.2">
      <c r="A296" s="15"/>
    </row>
    <row r="297" spans="1:1" x14ac:dyDescent="0.2">
      <c r="A297" s="15"/>
    </row>
    <row r="298" spans="1:1" x14ac:dyDescent="0.2">
      <c r="A298" s="15"/>
    </row>
    <row r="299" spans="1:1" x14ac:dyDescent="0.2">
      <c r="A299" s="15"/>
    </row>
    <row r="300" spans="1:1" x14ac:dyDescent="0.2">
      <c r="A300" s="15"/>
    </row>
    <row r="301" spans="1:1" x14ac:dyDescent="0.2">
      <c r="A301" s="15"/>
    </row>
    <row r="302" spans="1:1" x14ac:dyDescent="0.2">
      <c r="A302" s="15"/>
    </row>
    <row r="303" spans="1:1" x14ac:dyDescent="0.2">
      <c r="A303" s="15"/>
    </row>
    <row r="304" spans="1:1" x14ac:dyDescent="0.2">
      <c r="A304" s="15"/>
    </row>
    <row r="305" spans="1:1" x14ac:dyDescent="0.2">
      <c r="A305" s="15"/>
    </row>
    <row r="306" spans="1:1" x14ac:dyDescent="0.2">
      <c r="A306" s="15"/>
    </row>
    <row r="307" spans="1:1" x14ac:dyDescent="0.2">
      <c r="A307" s="15"/>
    </row>
    <row r="308" spans="1:1" x14ac:dyDescent="0.2">
      <c r="A308" s="15"/>
    </row>
    <row r="309" spans="1:1" x14ac:dyDescent="0.2">
      <c r="A309" s="15"/>
    </row>
    <row r="310" spans="1:1" x14ac:dyDescent="0.2">
      <c r="A310" s="15"/>
    </row>
    <row r="311" spans="1:1" x14ac:dyDescent="0.2">
      <c r="A311" s="15"/>
    </row>
    <row r="312" spans="1:1" x14ac:dyDescent="0.2">
      <c r="A312" s="15"/>
    </row>
    <row r="313" spans="1:1" x14ac:dyDescent="0.2">
      <c r="A313" s="15"/>
    </row>
    <row r="314" spans="1:1" x14ac:dyDescent="0.2">
      <c r="A314" s="15"/>
    </row>
    <row r="315" spans="1:1" x14ac:dyDescent="0.2">
      <c r="A315" s="15"/>
    </row>
    <row r="316" spans="1:1" x14ac:dyDescent="0.2">
      <c r="A316" s="15"/>
    </row>
    <row r="317" spans="1:1" x14ac:dyDescent="0.2">
      <c r="A317" s="15"/>
    </row>
    <row r="318" spans="1:1" x14ac:dyDescent="0.2">
      <c r="A318" s="15"/>
    </row>
    <row r="319" spans="1:1" x14ac:dyDescent="0.2">
      <c r="A319" s="15"/>
    </row>
    <row r="320" spans="1:1" x14ac:dyDescent="0.2">
      <c r="A320" s="15"/>
    </row>
    <row r="321" spans="1:1" x14ac:dyDescent="0.2">
      <c r="A321" s="15"/>
    </row>
    <row r="322" spans="1:1" x14ac:dyDescent="0.2">
      <c r="A322" s="15"/>
    </row>
    <row r="323" spans="1:1" x14ac:dyDescent="0.2">
      <c r="A323" s="15"/>
    </row>
    <row r="324" spans="1:1" x14ac:dyDescent="0.2">
      <c r="A324" s="15"/>
    </row>
    <row r="325" spans="1:1" x14ac:dyDescent="0.2">
      <c r="A325" s="15"/>
    </row>
    <row r="326" spans="1:1" x14ac:dyDescent="0.2">
      <c r="A326" s="15"/>
    </row>
    <row r="327" spans="1:1" x14ac:dyDescent="0.2">
      <c r="A327" s="15"/>
    </row>
    <row r="328" spans="1:1" x14ac:dyDescent="0.2">
      <c r="A328" s="15"/>
    </row>
    <row r="329" spans="1:1" x14ac:dyDescent="0.2">
      <c r="A329" s="15"/>
    </row>
    <row r="330" spans="1:1" x14ac:dyDescent="0.2">
      <c r="A330" s="15"/>
    </row>
    <row r="331" spans="1:1" x14ac:dyDescent="0.2">
      <c r="A331" s="15"/>
    </row>
    <row r="332" spans="1:1" x14ac:dyDescent="0.2">
      <c r="A332" s="15"/>
    </row>
    <row r="333" spans="1:1" x14ac:dyDescent="0.2">
      <c r="A333" s="15"/>
    </row>
    <row r="334" spans="1:1" x14ac:dyDescent="0.2">
      <c r="A334" s="15"/>
    </row>
    <row r="335" spans="1:1" x14ac:dyDescent="0.2">
      <c r="A335" s="15"/>
    </row>
    <row r="336" spans="1:1" x14ac:dyDescent="0.2">
      <c r="A336" s="15"/>
    </row>
    <row r="337" spans="1:1" x14ac:dyDescent="0.2">
      <c r="A337" s="15"/>
    </row>
    <row r="338" spans="1:1" x14ac:dyDescent="0.2">
      <c r="A338" s="15"/>
    </row>
    <row r="339" spans="1:1" x14ac:dyDescent="0.2">
      <c r="A339" s="15"/>
    </row>
    <row r="340" spans="1:1" x14ac:dyDescent="0.2">
      <c r="A340" s="15"/>
    </row>
    <row r="341" spans="1:1" x14ac:dyDescent="0.2">
      <c r="A341" s="15"/>
    </row>
    <row r="342" spans="1:1" x14ac:dyDescent="0.2">
      <c r="A342" s="15"/>
    </row>
    <row r="343" spans="1:1" x14ac:dyDescent="0.2">
      <c r="A343" s="15"/>
    </row>
    <row r="344" spans="1:1" x14ac:dyDescent="0.2">
      <c r="A344" s="15"/>
    </row>
    <row r="345" spans="1:1" x14ac:dyDescent="0.2">
      <c r="A345" s="15"/>
    </row>
    <row r="346" spans="1:1" x14ac:dyDescent="0.2">
      <c r="A346" s="15"/>
    </row>
    <row r="347" spans="1:1" x14ac:dyDescent="0.2">
      <c r="A347" s="15"/>
    </row>
    <row r="348" spans="1:1" x14ac:dyDescent="0.2">
      <c r="A348" s="15"/>
    </row>
    <row r="349" spans="1:1" x14ac:dyDescent="0.2">
      <c r="A349" s="15"/>
    </row>
    <row r="350" spans="1:1" x14ac:dyDescent="0.2">
      <c r="A350" s="15"/>
    </row>
    <row r="351" spans="1:1" x14ac:dyDescent="0.2">
      <c r="A351" s="15"/>
    </row>
    <row r="352" spans="1:1" x14ac:dyDescent="0.2">
      <c r="A352" s="15"/>
    </row>
    <row r="353" spans="1:1" x14ac:dyDescent="0.2">
      <c r="A353" s="15"/>
    </row>
    <row r="354" spans="1:1" x14ac:dyDescent="0.2">
      <c r="A354" s="15"/>
    </row>
    <row r="355" spans="1:1" x14ac:dyDescent="0.2">
      <c r="A355" s="15"/>
    </row>
    <row r="356" spans="1:1" x14ac:dyDescent="0.2">
      <c r="A356" s="15"/>
    </row>
    <row r="357" spans="1:1" x14ac:dyDescent="0.2">
      <c r="A357" s="15"/>
    </row>
    <row r="358" spans="1:1" x14ac:dyDescent="0.2">
      <c r="A358" s="15"/>
    </row>
    <row r="359" spans="1:1" x14ac:dyDescent="0.2">
      <c r="A359" s="15"/>
    </row>
    <row r="360" spans="1:1" x14ac:dyDescent="0.2">
      <c r="A360" s="15"/>
    </row>
    <row r="361" spans="1:1" x14ac:dyDescent="0.2">
      <c r="A361" s="15"/>
    </row>
    <row r="362" spans="1:1" x14ac:dyDescent="0.2">
      <c r="A362" s="15"/>
    </row>
    <row r="363" spans="1:1" x14ac:dyDescent="0.2">
      <c r="A363" s="15"/>
    </row>
    <row r="364" spans="1:1" x14ac:dyDescent="0.2">
      <c r="A364" s="15"/>
    </row>
    <row r="365" spans="1:1" x14ac:dyDescent="0.2">
      <c r="A365" s="15"/>
    </row>
    <row r="366" spans="1:1" x14ac:dyDescent="0.2">
      <c r="A366" s="15"/>
    </row>
    <row r="367" spans="1:1" x14ac:dyDescent="0.2">
      <c r="A367" s="15"/>
    </row>
    <row r="368" spans="1:1" x14ac:dyDescent="0.2">
      <c r="A368" s="15"/>
    </row>
    <row r="369" spans="1:1" x14ac:dyDescent="0.2">
      <c r="A369" s="15"/>
    </row>
    <row r="370" spans="1:1" x14ac:dyDescent="0.2">
      <c r="A370" s="15"/>
    </row>
    <row r="371" spans="1:1" x14ac:dyDescent="0.2">
      <c r="A371" s="15"/>
    </row>
    <row r="372" spans="1:1" x14ac:dyDescent="0.2">
      <c r="A372" s="15"/>
    </row>
    <row r="373" spans="1:1" x14ac:dyDescent="0.2">
      <c r="A373" s="15"/>
    </row>
    <row r="374" spans="1:1" x14ac:dyDescent="0.2">
      <c r="A374" s="15"/>
    </row>
    <row r="375" spans="1:1" x14ac:dyDescent="0.2">
      <c r="A375" s="15"/>
    </row>
    <row r="376" spans="1:1" x14ac:dyDescent="0.2">
      <c r="A376" s="15"/>
    </row>
    <row r="377" spans="1:1" x14ac:dyDescent="0.2">
      <c r="A377" s="15"/>
    </row>
    <row r="378" spans="1:1" x14ac:dyDescent="0.2">
      <c r="A378" s="15"/>
    </row>
    <row r="379" spans="1:1" x14ac:dyDescent="0.2">
      <c r="A379" s="15"/>
    </row>
    <row r="380" spans="1:1" x14ac:dyDescent="0.2">
      <c r="A380" s="15"/>
    </row>
    <row r="381" spans="1:1" x14ac:dyDescent="0.2">
      <c r="A381" s="15"/>
    </row>
    <row r="382" spans="1:1" x14ac:dyDescent="0.2">
      <c r="A382" s="15"/>
    </row>
    <row r="383" spans="1:1" x14ac:dyDescent="0.2">
      <c r="A383" s="15"/>
    </row>
    <row r="384" spans="1:1" x14ac:dyDescent="0.2">
      <c r="A384" s="15"/>
    </row>
    <row r="385" spans="1:1" x14ac:dyDescent="0.2">
      <c r="A385" s="15"/>
    </row>
    <row r="386" spans="1:1" x14ac:dyDescent="0.2">
      <c r="A386" s="15"/>
    </row>
    <row r="387" spans="1:1" x14ac:dyDescent="0.2">
      <c r="A387" s="15"/>
    </row>
    <row r="388" spans="1:1" x14ac:dyDescent="0.2">
      <c r="A388" s="15"/>
    </row>
    <row r="389" spans="1:1" x14ac:dyDescent="0.2">
      <c r="A389" s="15"/>
    </row>
    <row r="390" spans="1:1" x14ac:dyDescent="0.2">
      <c r="A390" s="15"/>
    </row>
    <row r="391" spans="1:1" x14ac:dyDescent="0.2">
      <c r="A391" s="15"/>
    </row>
    <row r="392" spans="1:1" x14ac:dyDescent="0.2">
      <c r="A392" s="15"/>
    </row>
    <row r="393" spans="1:1" x14ac:dyDescent="0.2">
      <c r="A393" s="15"/>
    </row>
    <row r="394" spans="1:1" x14ac:dyDescent="0.2">
      <c r="A394" s="15"/>
    </row>
    <row r="395" spans="1:1" x14ac:dyDescent="0.2">
      <c r="A395" s="15"/>
    </row>
    <row r="396" spans="1:1" x14ac:dyDescent="0.2">
      <c r="A396" s="15"/>
    </row>
    <row r="397" spans="1:1" x14ac:dyDescent="0.2">
      <c r="A397" s="15"/>
    </row>
    <row r="398" spans="1:1" x14ac:dyDescent="0.2">
      <c r="A398" s="15"/>
    </row>
    <row r="399" spans="1:1" x14ac:dyDescent="0.2">
      <c r="A399" s="15"/>
    </row>
    <row r="400" spans="1:1" x14ac:dyDescent="0.2">
      <c r="A400" s="15"/>
    </row>
    <row r="401" spans="1:1" x14ac:dyDescent="0.2">
      <c r="A401" s="15"/>
    </row>
    <row r="402" spans="1:1" x14ac:dyDescent="0.2">
      <c r="A402" s="15"/>
    </row>
    <row r="403" spans="1:1" x14ac:dyDescent="0.2">
      <c r="A403" s="15"/>
    </row>
    <row r="404" spans="1:1" x14ac:dyDescent="0.2">
      <c r="A404" s="15"/>
    </row>
    <row r="405" spans="1:1" x14ac:dyDescent="0.2">
      <c r="A405" s="15"/>
    </row>
    <row r="406" spans="1:1" x14ac:dyDescent="0.2">
      <c r="A406" s="15"/>
    </row>
    <row r="407" spans="1:1" x14ac:dyDescent="0.2">
      <c r="A407" s="15"/>
    </row>
    <row r="408" spans="1:1" x14ac:dyDescent="0.2">
      <c r="A408" s="15"/>
    </row>
    <row r="409" spans="1:1" x14ac:dyDescent="0.2">
      <c r="A409" s="15"/>
    </row>
    <row r="410" spans="1:1" x14ac:dyDescent="0.2">
      <c r="A410" s="15"/>
    </row>
    <row r="411" spans="1:1" x14ac:dyDescent="0.2">
      <c r="A411" s="15"/>
    </row>
    <row r="412" spans="1:1" x14ac:dyDescent="0.2">
      <c r="A412" s="15"/>
    </row>
    <row r="413" spans="1:1" x14ac:dyDescent="0.2">
      <c r="A413" s="15"/>
    </row>
    <row r="414" spans="1:1" x14ac:dyDescent="0.2">
      <c r="A414" s="15"/>
    </row>
    <row r="415" spans="1:1" x14ac:dyDescent="0.2">
      <c r="A415" s="15"/>
    </row>
    <row r="416" spans="1:1" x14ac:dyDescent="0.2">
      <c r="A416" s="15"/>
    </row>
    <row r="417" spans="1:1" x14ac:dyDescent="0.2">
      <c r="A417" s="15"/>
    </row>
    <row r="418" spans="1:1" x14ac:dyDescent="0.2">
      <c r="A418" s="15"/>
    </row>
    <row r="419" spans="1:1" x14ac:dyDescent="0.2">
      <c r="A419" s="15"/>
    </row>
    <row r="420" spans="1:1" x14ac:dyDescent="0.2">
      <c r="A420" s="15"/>
    </row>
    <row r="421" spans="1:1" x14ac:dyDescent="0.2">
      <c r="A421" s="15"/>
    </row>
    <row r="422" spans="1:1" x14ac:dyDescent="0.2">
      <c r="A422" s="15"/>
    </row>
    <row r="423" spans="1:1" x14ac:dyDescent="0.2">
      <c r="A423" s="15"/>
    </row>
    <row r="424" spans="1:1" x14ac:dyDescent="0.2">
      <c r="A424" s="15"/>
    </row>
    <row r="425" spans="1:1" x14ac:dyDescent="0.2">
      <c r="A425" s="15"/>
    </row>
    <row r="426" spans="1:1" x14ac:dyDescent="0.2">
      <c r="A426" s="15"/>
    </row>
    <row r="427" spans="1:1" x14ac:dyDescent="0.2">
      <c r="A427" s="15"/>
    </row>
    <row r="428" spans="1:1" x14ac:dyDescent="0.2">
      <c r="A428" s="15"/>
    </row>
    <row r="429" spans="1:1" x14ac:dyDescent="0.2">
      <c r="A429" s="15"/>
    </row>
    <row r="430" spans="1:1" x14ac:dyDescent="0.2">
      <c r="A430" s="15"/>
    </row>
    <row r="431" spans="1:1" x14ac:dyDescent="0.2">
      <c r="A431" s="15"/>
    </row>
    <row r="432" spans="1:1" x14ac:dyDescent="0.2">
      <c r="A432" s="15"/>
    </row>
    <row r="433" spans="1:1" x14ac:dyDescent="0.2">
      <c r="A433" s="15"/>
    </row>
    <row r="434" spans="1:1" x14ac:dyDescent="0.2">
      <c r="A434" s="15"/>
    </row>
    <row r="435" spans="1:1" x14ac:dyDescent="0.2">
      <c r="A435" s="15"/>
    </row>
    <row r="436" spans="1:1" x14ac:dyDescent="0.2">
      <c r="A436" s="15"/>
    </row>
    <row r="437" spans="1:1" x14ac:dyDescent="0.2">
      <c r="A437" s="15"/>
    </row>
    <row r="438" spans="1:1" x14ac:dyDescent="0.2">
      <c r="A438" s="15"/>
    </row>
    <row r="439" spans="1:1" x14ac:dyDescent="0.2">
      <c r="A439" s="15"/>
    </row>
    <row r="440" spans="1:1" x14ac:dyDescent="0.2">
      <c r="A440" s="15"/>
    </row>
    <row r="441" spans="1:1" x14ac:dyDescent="0.2">
      <c r="A441" s="15"/>
    </row>
    <row r="442" spans="1:1" x14ac:dyDescent="0.2">
      <c r="A442" s="15"/>
    </row>
    <row r="443" spans="1:1" x14ac:dyDescent="0.2">
      <c r="A443" s="15"/>
    </row>
    <row r="444" spans="1:1" x14ac:dyDescent="0.2">
      <c r="A444" s="15"/>
    </row>
    <row r="445" spans="1:1" x14ac:dyDescent="0.2">
      <c r="A445" s="15"/>
    </row>
    <row r="446" spans="1:1" x14ac:dyDescent="0.2">
      <c r="A446" s="15"/>
    </row>
    <row r="447" spans="1:1" x14ac:dyDescent="0.2">
      <c r="A447" s="15"/>
    </row>
    <row r="448" spans="1:1" x14ac:dyDescent="0.2">
      <c r="A448" s="15"/>
    </row>
    <row r="449" spans="1:1" x14ac:dyDescent="0.2">
      <c r="A449" s="15"/>
    </row>
    <row r="450" spans="1:1" x14ac:dyDescent="0.2">
      <c r="A450" s="15"/>
    </row>
    <row r="451" spans="1:1" x14ac:dyDescent="0.2">
      <c r="A451" s="15"/>
    </row>
    <row r="452" spans="1:1" x14ac:dyDescent="0.2">
      <c r="A452" s="15"/>
    </row>
    <row r="453" spans="1:1" x14ac:dyDescent="0.2">
      <c r="A453" s="15"/>
    </row>
    <row r="454" spans="1:1" x14ac:dyDescent="0.2">
      <c r="A454" s="15"/>
    </row>
    <row r="455" spans="1:1" x14ac:dyDescent="0.2">
      <c r="A455" s="15"/>
    </row>
    <row r="456" spans="1:1" x14ac:dyDescent="0.2">
      <c r="A456" s="15"/>
    </row>
    <row r="457" spans="1:1" x14ac:dyDescent="0.2">
      <c r="A457" s="15"/>
    </row>
    <row r="458" spans="1:1" x14ac:dyDescent="0.2">
      <c r="A458" s="15"/>
    </row>
    <row r="459" spans="1:1" x14ac:dyDescent="0.2">
      <c r="A459" s="15"/>
    </row>
    <row r="460" spans="1:1" x14ac:dyDescent="0.2">
      <c r="A460" s="15"/>
    </row>
    <row r="461" spans="1:1" x14ac:dyDescent="0.2">
      <c r="A461" s="15"/>
    </row>
    <row r="462" spans="1:1" x14ac:dyDescent="0.2">
      <c r="A462" s="15"/>
    </row>
    <row r="463" spans="1:1" x14ac:dyDescent="0.2">
      <c r="A463" s="15"/>
    </row>
    <row r="464" spans="1:1" x14ac:dyDescent="0.2">
      <c r="A464" s="15"/>
    </row>
    <row r="465" spans="1:1" x14ac:dyDescent="0.2">
      <c r="A465" s="15"/>
    </row>
    <row r="466" spans="1:1" x14ac:dyDescent="0.2">
      <c r="A466" s="15"/>
    </row>
    <row r="467" spans="1:1" x14ac:dyDescent="0.2">
      <c r="A467" s="15"/>
    </row>
    <row r="468" spans="1:1" x14ac:dyDescent="0.2">
      <c r="A468" s="15"/>
    </row>
    <row r="469" spans="1:1" x14ac:dyDescent="0.2">
      <c r="A469" s="15"/>
    </row>
    <row r="470" spans="1:1" x14ac:dyDescent="0.2">
      <c r="A470" s="15"/>
    </row>
    <row r="471" spans="1:1" x14ac:dyDescent="0.2">
      <c r="A471" s="15"/>
    </row>
    <row r="472" spans="1:1" x14ac:dyDescent="0.2">
      <c r="A472" s="15"/>
    </row>
    <row r="473" spans="1:1" x14ac:dyDescent="0.2">
      <c r="A473" s="15"/>
    </row>
    <row r="474" spans="1:1" x14ac:dyDescent="0.2">
      <c r="A474" s="15"/>
    </row>
    <row r="475" spans="1:1" x14ac:dyDescent="0.2">
      <c r="A475" s="15"/>
    </row>
    <row r="476" spans="1:1" x14ac:dyDescent="0.2">
      <c r="A476" s="15"/>
    </row>
    <row r="477" spans="1:1" x14ac:dyDescent="0.2">
      <c r="A477" s="15"/>
    </row>
    <row r="478" spans="1:1" x14ac:dyDescent="0.2">
      <c r="A478" s="15"/>
    </row>
    <row r="479" spans="1:1" x14ac:dyDescent="0.2">
      <c r="A479" s="15"/>
    </row>
    <row r="480" spans="1:1" x14ac:dyDescent="0.2">
      <c r="A480" s="15"/>
    </row>
    <row r="481" spans="1:1" x14ac:dyDescent="0.2">
      <c r="A481" s="15"/>
    </row>
    <row r="482" spans="1:1" x14ac:dyDescent="0.2">
      <c r="A482" s="15"/>
    </row>
    <row r="483" spans="1:1" x14ac:dyDescent="0.2">
      <c r="A483" s="15"/>
    </row>
    <row r="484" spans="1:1" x14ac:dyDescent="0.2">
      <c r="A484" s="15"/>
    </row>
    <row r="485" spans="1:1" x14ac:dyDescent="0.2">
      <c r="A485" s="15"/>
    </row>
    <row r="486" spans="1:1" x14ac:dyDescent="0.2">
      <c r="A486" s="15"/>
    </row>
    <row r="487" spans="1:1" x14ac:dyDescent="0.2">
      <c r="A487" s="15"/>
    </row>
    <row r="488" spans="1:1" x14ac:dyDescent="0.2">
      <c r="A488" s="15"/>
    </row>
    <row r="489" spans="1:1" x14ac:dyDescent="0.2">
      <c r="A489" s="15"/>
    </row>
    <row r="490" spans="1:1" x14ac:dyDescent="0.2">
      <c r="A490" s="15"/>
    </row>
    <row r="491" spans="1:1" x14ac:dyDescent="0.2">
      <c r="A491" s="15"/>
    </row>
    <row r="492" spans="1:1" x14ac:dyDescent="0.2">
      <c r="A492" s="15"/>
    </row>
    <row r="493" spans="1:1" x14ac:dyDescent="0.2">
      <c r="A493" s="15"/>
    </row>
    <row r="494" spans="1:1" x14ac:dyDescent="0.2">
      <c r="A494" s="15"/>
    </row>
    <row r="495" spans="1:1" x14ac:dyDescent="0.2">
      <c r="A495" s="15"/>
    </row>
    <row r="496" spans="1:1" x14ac:dyDescent="0.2">
      <c r="A496" s="15"/>
    </row>
    <row r="497" spans="1:1" x14ac:dyDescent="0.2">
      <c r="A497" s="15"/>
    </row>
    <row r="498" spans="1:1" x14ac:dyDescent="0.2">
      <c r="A498" s="15"/>
    </row>
    <row r="499" spans="1:1" x14ac:dyDescent="0.2">
      <c r="A499" s="15"/>
    </row>
    <row r="500" spans="1:1" x14ac:dyDescent="0.2">
      <c r="A500" s="15"/>
    </row>
    <row r="501" spans="1:1" x14ac:dyDescent="0.2">
      <c r="A501" s="15"/>
    </row>
    <row r="502" spans="1:1" x14ac:dyDescent="0.2">
      <c r="A502" s="15"/>
    </row>
    <row r="503" spans="1:1" x14ac:dyDescent="0.2">
      <c r="A503" s="15"/>
    </row>
    <row r="504" spans="1:1" x14ac:dyDescent="0.2">
      <c r="A504" s="15"/>
    </row>
    <row r="505" spans="1:1" x14ac:dyDescent="0.2">
      <c r="A505" s="15"/>
    </row>
    <row r="506" spans="1:1" x14ac:dyDescent="0.2">
      <c r="A506" s="15"/>
    </row>
    <row r="507" spans="1:1" x14ac:dyDescent="0.2">
      <c r="A507" s="15"/>
    </row>
    <row r="508" spans="1:1" x14ac:dyDescent="0.2">
      <c r="A508" s="15"/>
    </row>
    <row r="509" spans="1:1" x14ac:dyDescent="0.2">
      <c r="A509" s="15"/>
    </row>
    <row r="510" spans="1:1" x14ac:dyDescent="0.2">
      <c r="A510" s="15"/>
    </row>
    <row r="511" spans="1:1" x14ac:dyDescent="0.2">
      <c r="A511" s="15"/>
    </row>
    <row r="512" spans="1:1" x14ac:dyDescent="0.2">
      <c r="A512" s="15"/>
    </row>
    <row r="513" spans="1:1" x14ac:dyDescent="0.2">
      <c r="A513" s="15"/>
    </row>
    <row r="514" spans="1:1" x14ac:dyDescent="0.2">
      <c r="A514" s="15"/>
    </row>
    <row r="515" spans="1:1" x14ac:dyDescent="0.2">
      <c r="A515" s="15"/>
    </row>
    <row r="516" spans="1:1" x14ac:dyDescent="0.2">
      <c r="A516" s="15"/>
    </row>
    <row r="517" spans="1:1" x14ac:dyDescent="0.2">
      <c r="A517" s="15"/>
    </row>
    <row r="518" spans="1:1" x14ac:dyDescent="0.2">
      <c r="A518" s="15"/>
    </row>
    <row r="519" spans="1:1" x14ac:dyDescent="0.2">
      <c r="A519" s="15"/>
    </row>
    <row r="520" spans="1:1" x14ac:dyDescent="0.2">
      <c r="A520" s="15"/>
    </row>
    <row r="521" spans="1:1" x14ac:dyDescent="0.2">
      <c r="A521" s="15"/>
    </row>
    <row r="522" spans="1:1" x14ac:dyDescent="0.2">
      <c r="A522" s="15"/>
    </row>
    <row r="523" spans="1:1" x14ac:dyDescent="0.2">
      <c r="A523" s="15"/>
    </row>
    <row r="524" spans="1:1" x14ac:dyDescent="0.2">
      <c r="A524" s="15"/>
    </row>
    <row r="525" spans="1:1" x14ac:dyDescent="0.2">
      <c r="A525" s="15"/>
    </row>
    <row r="526" spans="1:1" x14ac:dyDescent="0.2">
      <c r="A526" s="15"/>
    </row>
    <row r="527" spans="1:1" x14ac:dyDescent="0.2">
      <c r="A527" s="15"/>
    </row>
    <row r="528" spans="1:1" x14ac:dyDescent="0.2">
      <c r="A528" s="15"/>
    </row>
    <row r="529" spans="1:1" x14ac:dyDescent="0.2">
      <c r="A529" s="15"/>
    </row>
    <row r="530" spans="1:1" x14ac:dyDescent="0.2">
      <c r="A530" s="15"/>
    </row>
    <row r="531" spans="1:1" x14ac:dyDescent="0.2">
      <c r="A531" s="15"/>
    </row>
    <row r="532" spans="1:1" x14ac:dyDescent="0.2">
      <c r="A532" s="15"/>
    </row>
    <row r="533" spans="1:1" x14ac:dyDescent="0.2">
      <c r="A533" s="15"/>
    </row>
    <row r="534" spans="1:1" x14ac:dyDescent="0.2">
      <c r="A534" s="15"/>
    </row>
    <row r="535" spans="1:1" x14ac:dyDescent="0.2">
      <c r="A535" s="15"/>
    </row>
    <row r="536" spans="1:1" x14ac:dyDescent="0.2">
      <c r="A536" s="15"/>
    </row>
    <row r="537" spans="1:1" x14ac:dyDescent="0.2">
      <c r="A537" s="15"/>
    </row>
    <row r="538" spans="1:1" x14ac:dyDescent="0.2">
      <c r="A538" s="15"/>
    </row>
    <row r="539" spans="1:1" x14ac:dyDescent="0.2">
      <c r="A539" s="15"/>
    </row>
    <row r="540" spans="1:1" x14ac:dyDescent="0.2">
      <c r="A540" s="15"/>
    </row>
    <row r="541" spans="1:1" x14ac:dyDescent="0.2">
      <c r="A541" s="15"/>
    </row>
    <row r="542" spans="1:1" x14ac:dyDescent="0.2">
      <c r="A542" s="15"/>
    </row>
    <row r="543" spans="1:1" x14ac:dyDescent="0.2">
      <c r="A543" s="15"/>
    </row>
    <row r="544" spans="1:1" x14ac:dyDescent="0.2">
      <c r="A544" s="15"/>
    </row>
    <row r="545" spans="1:1" x14ac:dyDescent="0.2">
      <c r="A545" s="15"/>
    </row>
    <row r="546" spans="1:1" x14ac:dyDescent="0.2">
      <c r="A546" s="15"/>
    </row>
    <row r="547" spans="1:1" x14ac:dyDescent="0.2">
      <c r="A547" s="15"/>
    </row>
    <row r="548" spans="1:1" x14ac:dyDescent="0.2">
      <c r="A548" s="15"/>
    </row>
    <row r="549" spans="1:1" x14ac:dyDescent="0.2">
      <c r="A549" s="15"/>
    </row>
    <row r="550" spans="1:1" x14ac:dyDescent="0.2">
      <c r="A550" s="15"/>
    </row>
    <row r="551" spans="1:1" x14ac:dyDescent="0.2">
      <c r="A551" s="15"/>
    </row>
    <row r="552" spans="1:1" x14ac:dyDescent="0.2">
      <c r="A552" s="15"/>
    </row>
    <row r="553" spans="1:1" x14ac:dyDescent="0.2">
      <c r="A553" s="15"/>
    </row>
    <row r="554" spans="1:1" x14ac:dyDescent="0.2">
      <c r="A554" s="15"/>
    </row>
    <row r="555" spans="1:1" x14ac:dyDescent="0.2">
      <c r="A555" s="15"/>
    </row>
    <row r="556" spans="1:1" x14ac:dyDescent="0.2">
      <c r="A556" s="15"/>
    </row>
    <row r="557" spans="1:1" x14ac:dyDescent="0.2">
      <c r="A557" s="15"/>
    </row>
    <row r="558" spans="1:1" x14ac:dyDescent="0.2">
      <c r="A558" s="15"/>
    </row>
    <row r="559" spans="1:1" x14ac:dyDescent="0.2">
      <c r="A559" s="15"/>
    </row>
    <row r="560" spans="1:1" x14ac:dyDescent="0.2">
      <c r="A560" s="15"/>
    </row>
    <row r="561" spans="1:1" x14ac:dyDescent="0.2">
      <c r="A561" s="15"/>
    </row>
    <row r="562" spans="1:1" x14ac:dyDescent="0.2">
      <c r="A562" s="15"/>
    </row>
    <row r="563" spans="1:1" x14ac:dyDescent="0.2">
      <c r="A563" s="15"/>
    </row>
    <row r="564" spans="1:1" x14ac:dyDescent="0.2">
      <c r="A564" s="15"/>
    </row>
    <row r="565" spans="1:1" x14ac:dyDescent="0.2">
      <c r="A565" s="15"/>
    </row>
    <row r="566" spans="1:1" x14ac:dyDescent="0.2">
      <c r="A566" s="15"/>
    </row>
    <row r="567" spans="1:1" x14ac:dyDescent="0.2">
      <c r="A567" s="15"/>
    </row>
    <row r="568" spans="1:1" x14ac:dyDescent="0.2">
      <c r="A568" s="15"/>
    </row>
    <row r="569" spans="1:1" x14ac:dyDescent="0.2">
      <c r="A569" s="15"/>
    </row>
    <row r="570" spans="1:1" x14ac:dyDescent="0.2">
      <c r="A570" s="15"/>
    </row>
    <row r="571" spans="1:1" x14ac:dyDescent="0.2">
      <c r="A571" s="15"/>
    </row>
    <row r="572" spans="1:1" x14ac:dyDescent="0.2">
      <c r="A572" s="15"/>
    </row>
    <row r="573" spans="1:1" x14ac:dyDescent="0.2">
      <c r="A573" s="15"/>
    </row>
    <row r="574" spans="1:1" x14ac:dyDescent="0.2">
      <c r="A574" s="15"/>
    </row>
    <row r="575" spans="1:1" x14ac:dyDescent="0.2">
      <c r="A575" s="15"/>
    </row>
    <row r="576" spans="1:1" x14ac:dyDescent="0.2">
      <c r="A576" s="15"/>
    </row>
    <row r="577" spans="1:1" x14ac:dyDescent="0.2">
      <c r="A577" s="15"/>
    </row>
    <row r="578" spans="1:1" x14ac:dyDescent="0.2">
      <c r="A578" s="15"/>
    </row>
    <row r="579" spans="1:1" x14ac:dyDescent="0.2">
      <c r="A579" s="15"/>
    </row>
    <row r="580" spans="1:1" x14ac:dyDescent="0.2">
      <c r="A580" s="15"/>
    </row>
    <row r="581" spans="1:1" x14ac:dyDescent="0.2">
      <c r="A581" s="15"/>
    </row>
    <row r="582" spans="1:1" x14ac:dyDescent="0.2">
      <c r="A582" s="15"/>
    </row>
    <row r="583" spans="1:1" x14ac:dyDescent="0.2">
      <c r="A583" s="15"/>
    </row>
    <row r="584" spans="1:1" x14ac:dyDescent="0.2">
      <c r="A584" s="15"/>
    </row>
    <row r="585" spans="1:1" x14ac:dyDescent="0.2">
      <c r="A585" s="15"/>
    </row>
    <row r="586" spans="1:1" x14ac:dyDescent="0.2">
      <c r="A586" s="15"/>
    </row>
    <row r="587" spans="1:1" x14ac:dyDescent="0.2">
      <c r="A587" s="15"/>
    </row>
    <row r="588" spans="1:1" x14ac:dyDescent="0.2">
      <c r="A588" s="15"/>
    </row>
    <row r="589" spans="1:1" x14ac:dyDescent="0.2">
      <c r="A589" s="15"/>
    </row>
    <row r="590" spans="1:1" x14ac:dyDescent="0.2">
      <c r="A590" s="15"/>
    </row>
    <row r="591" spans="1:1" x14ac:dyDescent="0.2">
      <c r="A591" s="15"/>
    </row>
    <row r="592" spans="1:1" x14ac:dyDescent="0.2">
      <c r="A592" s="15"/>
    </row>
    <row r="593" spans="1:1" x14ac:dyDescent="0.2">
      <c r="A593" s="15"/>
    </row>
    <row r="594" spans="1:1" x14ac:dyDescent="0.2">
      <c r="A594" s="15"/>
    </row>
    <row r="595" spans="1:1" x14ac:dyDescent="0.2">
      <c r="A595" s="15"/>
    </row>
    <row r="596" spans="1:1" x14ac:dyDescent="0.2">
      <c r="A596" s="15"/>
    </row>
    <row r="597" spans="1:1" x14ac:dyDescent="0.2">
      <c r="A597" s="15"/>
    </row>
    <row r="598" spans="1:1" x14ac:dyDescent="0.2">
      <c r="A598" s="15"/>
    </row>
    <row r="599" spans="1:1" x14ac:dyDescent="0.2">
      <c r="A599" s="15"/>
    </row>
    <row r="600" spans="1:1" x14ac:dyDescent="0.2">
      <c r="A600" s="15"/>
    </row>
    <row r="601" spans="1:1" x14ac:dyDescent="0.2">
      <c r="A601" s="15"/>
    </row>
    <row r="602" spans="1:1" x14ac:dyDescent="0.2">
      <c r="A602" s="15"/>
    </row>
    <row r="603" spans="1:1" x14ac:dyDescent="0.2">
      <c r="A603" s="15"/>
    </row>
    <row r="604" spans="1:1" x14ac:dyDescent="0.2">
      <c r="A604" s="15"/>
    </row>
    <row r="605" spans="1:1" x14ac:dyDescent="0.2">
      <c r="A605" s="15"/>
    </row>
    <row r="606" spans="1:1" x14ac:dyDescent="0.2">
      <c r="A606" s="15"/>
    </row>
    <row r="607" spans="1:1" x14ac:dyDescent="0.2">
      <c r="A607" s="15"/>
    </row>
    <row r="608" spans="1:1" x14ac:dyDescent="0.2">
      <c r="A608" s="15"/>
    </row>
    <row r="609" spans="1:1" x14ac:dyDescent="0.2">
      <c r="A609" s="15"/>
    </row>
    <row r="610" spans="1:1" x14ac:dyDescent="0.2">
      <c r="A610" s="15"/>
    </row>
    <row r="611" spans="1:1" x14ac:dyDescent="0.2">
      <c r="A611" s="15"/>
    </row>
    <row r="612" spans="1:1" x14ac:dyDescent="0.2">
      <c r="A612" s="15"/>
    </row>
    <row r="613" spans="1:1" x14ac:dyDescent="0.2">
      <c r="A613" s="15"/>
    </row>
    <row r="614" spans="1:1" x14ac:dyDescent="0.2">
      <c r="A614" s="15"/>
    </row>
    <row r="615" spans="1:1" x14ac:dyDescent="0.2">
      <c r="A615" s="15"/>
    </row>
    <row r="616" spans="1:1" x14ac:dyDescent="0.2">
      <c r="A616" s="15"/>
    </row>
    <row r="617" spans="1:1" x14ac:dyDescent="0.2">
      <c r="A617" s="15"/>
    </row>
    <row r="618" spans="1:1" x14ac:dyDescent="0.2">
      <c r="A618" s="15"/>
    </row>
    <row r="619" spans="1:1" x14ac:dyDescent="0.2">
      <c r="A619" s="15"/>
    </row>
    <row r="620" spans="1:1" x14ac:dyDescent="0.2">
      <c r="A620" s="15"/>
    </row>
    <row r="621" spans="1:1" x14ac:dyDescent="0.2">
      <c r="A621" s="15"/>
    </row>
    <row r="622" spans="1:1" x14ac:dyDescent="0.2">
      <c r="A622" s="15"/>
    </row>
    <row r="623" spans="1:1" x14ac:dyDescent="0.2">
      <c r="A623" s="15"/>
    </row>
    <row r="624" spans="1:1" x14ac:dyDescent="0.2">
      <c r="A624" s="15"/>
    </row>
    <row r="625" spans="1:1" x14ac:dyDescent="0.2">
      <c r="A625" s="15"/>
    </row>
    <row r="626" spans="1:1" x14ac:dyDescent="0.2">
      <c r="A626" s="15"/>
    </row>
    <row r="627" spans="1:1" x14ac:dyDescent="0.2">
      <c r="A627" s="15"/>
    </row>
    <row r="628" spans="1:1" x14ac:dyDescent="0.2">
      <c r="A628" s="15"/>
    </row>
    <row r="629" spans="1:1" x14ac:dyDescent="0.2">
      <c r="A629" s="15"/>
    </row>
    <row r="630" spans="1:1" x14ac:dyDescent="0.2">
      <c r="A630" s="15"/>
    </row>
    <row r="631" spans="1:1" x14ac:dyDescent="0.2">
      <c r="A631" s="15"/>
    </row>
    <row r="632" spans="1:1" x14ac:dyDescent="0.2">
      <c r="A632" s="15"/>
    </row>
    <row r="633" spans="1:1" x14ac:dyDescent="0.2">
      <c r="A633" s="15"/>
    </row>
    <row r="634" spans="1:1" x14ac:dyDescent="0.2">
      <c r="A634" s="15"/>
    </row>
    <row r="635" spans="1:1" x14ac:dyDescent="0.2">
      <c r="A635" s="15"/>
    </row>
    <row r="636" spans="1:1" x14ac:dyDescent="0.2">
      <c r="A636" s="15"/>
    </row>
    <row r="637" spans="1:1" x14ac:dyDescent="0.2">
      <c r="A637" s="15"/>
    </row>
    <row r="638" spans="1:1" x14ac:dyDescent="0.2">
      <c r="A638" s="15"/>
    </row>
    <row r="639" spans="1:1" x14ac:dyDescent="0.2">
      <c r="A639" s="15"/>
    </row>
    <row r="640" spans="1:1" x14ac:dyDescent="0.2">
      <c r="A640" s="15"/>
    </row>
    <row r="641" spans="1:1" x14ac:dyDescent="0.2">
      <c r="A641" s="15"/>
    </row>
    <row r="642" spans="1:1" x14ac:dyDescent="0.2">
      <c r="A642" s="15"/>
    </row>
    <row r="643" spans="1:1" x14ac:dyDescent="0.2">
      <c r="A643" s="15"/>
    </row>
    <row r="644" spans="1:1" x14ac:dyDescent="0.2">
      <c r="A644" s="15"/>
    </row>
    <row r="645" spans="1:1" x14ac:dyDescent="0.2">
      <c r="A645" s="15"/>
    </row>
    <row r="646" spans="1:1" x14ac:dyDescent="0.2">
      <c r="A646" s="15"/>
    </row>
    <row r="647" spans="1:1" x14ac:dyDescent="0.2">
      <c r="A647" s="15"/>
    </row>
    <row r="648" spans="1:1" x14ac:dyDescent="0.2">
      <c r="A648" s="15"/>
    </row>
    <row r="649" spans="1:1" x14ac:dyDescent="0.2">
      <c r="A649" s="15"/>
    </row>
    <row r="650" spans="1:1" x14ac:dyDescent="0.2">
      <c r="A650" s="15"/>
    </row>
    <row r="651" spans="1:1" x14ac:dyDescent="0.2">
      <c r="A651" s="15"/>
    </row>
    <row r="652" spans="1:1" x14ac:dyDescent="0.2">
      <c r="A652" s="15"/>
    </row>
    <row r="653" spans="1:1" x14ac:dyDescent="0.2">
      <c r="A653" s="15"/>
    </row>
    <row r="654" spans="1:1" x14ac:dyDescent="0.2">
      <c r="A654" s="15"/>
    </row>
    <row r="655" spans="1:1" x14ac:dyDescent="0.2">
      <c r="A655" s="15"/>
    </row>
    <row r="656" spans="1:1" x14ac:dyDescent="0.2">
      <c r="A656" s="15"/>
    </row>
    <row r="657" spans="1:1" x14ac:dyDescent="0.2">
      <c r="A657" s="15"/>
    </row>
    <row r="658" spans="1:1" x14ac:dyDescent="0.2">
      <c r="A658" s="15"/>
    </row>
    <row r="659" spans="1:1" x14ac:dyDescent="0.2">
      <c r="A659" s="15"/>
    </row>
    <row r="660" spans="1:1" x14ac:dyDescent="0.2">
      <c r="A660" s="15"/>
    </row>
    <row r="661" spans="1:1" x14ac:dyDescent="0.2">
      <c r="A661" s="15"/>
    </row>
    <row r="662" spans="1:1" x14ac:dyDescent="0.2">
      <c r="A662" s="15"/>
    </row>
    <row r="663" spans="1:1" x14ac:dyDescent="0.2">
      <c r="A663" s="15"/>
    </row>
    <row r="664" spans="1:1" x14ac:dyDescent="0.2">
      <c r="A664" s="15"/>
    </row>
    <row r="665" spans="1:1" x14ac:dyDescent="0.2">
      <c r="A665" s="15"/>
    </row>
    <row r="666" spans="1:1" x14ac:dyDescent="0.2">
      <c r="A666" s="15"/>
    </row>
    <row r="667" spans="1:1" x14ac:dyDescent="0.2">
      <c r="A667" s="15"/>
    </row>
    <row r="668" spans="1:1" x14ac:dyDescent="0.2">
      <c r="A668" s="15"/>
    </row>
    <row r="669" spans="1:1" x14ac:dyDescent="0.2">
      <c r="A669" s="15"/>
    </row>
    <row r="670" spans="1:1" x14ac:dyDescent="0.2">
      <c r="A670" s="15"/>
    </row>
    <row r="671" spans="1:1" x14ac:dyDescent="0.2">
      <c r="A671" s="15"/>
    </row>
    <row r="672" spans="1:1" x14ac:dyDescent="0.2">
      <c r="A672" s="15"/>
    </row>
    <row r="673" spans="1:1" x14ac:dyDescent="0.2">
      <c r="A673" s="15"/>
    </row>
    <row r="674" spans="1:1" x14ac:dyDescent="0.2">
      <c r="A674" s="15"/>
    </row>
    <row r="675" spans="1:1" x14ac:dyDescent="0.2">
      <c r="A675" s="15"/>
    </row>
    <row r="676" spans="1:1" x14ac:dyDescent="0.2">
      <c r="A676" s="15"/>
    </row>
    <row r="677" spans="1:1" x14ac:dyDescent="0.2">
      <c r="A677" s="15"/>
    </row>
    <row r="678" spans="1:1" x14ac:dyDescent="0.2">
      <c r="A678" s="15"/>
    </row>
    <row r="679" spans="1:1" x14ac:dyDescent="0.2">
      <c r="A679" s="15"/>
    </row>
    <row r="680" spans="1:1" x14ac:dyDescent="0.2">
      <c r="A680" s="15"/>
    </row>
    <row r="681" spans="1:1" x14ac:dyDescent="0.2">
      <c r="A681" s="15"/>
    </row>
    <row r="682" spans="1:1" x14ac:dyDescent="0.2">
      <c r="A682" s="15"/>
    </row>
    <row r="683" spans="1:1" x14ac:dyDescent="0.2">
      <c r="A683" s="15"/>
    </row>
    <row r="684" spans="1:1" x14ac:dyDescent="0.2">
      <c r="A684" s="15"/>
    </row>
    <row r="685" spans="1:1" x14ac:dyDescent="0.2">
      <c r="A685" s="15"/>
    </row>
    <row r="686" spans="1:1" x14ac:dyDescent="0.2">
      <c r="A686" s="15"/>
    </row>
    <row r="687" spans="1:1" x14ac:dyDescent="0.2">
      <c r="A687" s="15"/>
    </row>
    <row r="688" spans="1:1" x14ac:dyDescent="0.2">
      <c r="A688" s="15"/>
    </row>
    <row r="689" spans="1:1" x14ac:dyDescent="0.2">
      <c r="A689" s="15"/>
    </row>
    <row r="690" spans="1:1" x14ac:dyDescent="0.2">
      <c r="A690" s="15"/>
    </row>
    <row r="691" spans="1:1" x14ac:dyDescent="0.2">
      <c r="A691" s="15"/>
    </row>
    <row r="692" spans="1:1" x14ac:dyDescent="0.2">
      <c r="A692" s="15"/>
    </row>
    <row r="693" spans="1:1" x14ac:dyDescent="0.2">
      <c r="A693" s="15"/>
    </row>
    <row r="694" spans="1:1" x14ac:dyDescent="0.2">
      <c r="A694" s="15"/>
    </row>
    <row r="695" spans="1:1" x14ac:dyDescent="0.2">
      <c r="A695" s="15"/>
    </row>
    <row r="696" spans="1:1" x14ac:dyDescent="0.2">
      <c r="A696" s="15"/>
    </row>
    <row r="697" spans="1:1" x14ac:dyDescent="0.2">
      <c r="A697" s="15"/>
    </row>
    <row r="698" spans="1:1" x14ac:dyDescent="0.2">
      <c r="A698" s="15"/>
    </row>
    <row r="699" spans="1:1" x14ac:dyDescent="0.2">
      <c r="A699" s="15"/>
    </row>
    <row r="700" spans="1:1" x14ac:dyDescent="0.2">
      <c r="A700" s="15"/>
    </row>
    <row r="701" spans="1:1" x14ac:dyDescent="0.2">
      <c r="A701" s="15"/>
    </row>
    <row r="702" spans="1:1" x14ac:dyDescent="0.2">
      <c r="A702" s="15"/>
    </row>
    <row r="703" spans="1:1" x14ac:dyDescent="0.2">
      <c r="A703" s="15"/>
    </row>
    <row r="704" spans="1:1" x14ac:dyDescent="0.2">
      <c r="A704" s="15"/>
    </row>
    <row r="705" spans="1:1" x14ac:dyDescent="0.2">
      <c r="A705" s="15"/>
    </row>
    <row r="706" spans="1:1" x14ac:dyDescent="0.2">
      <c r="A706" s="15"/>
    </row>
    <row r="707" spans="1:1" x14ac:dyDescent="0.2">
      <c r="A707" s="15"/>
    </row>
    <row r="708" spans="1:1" x14ac:dyDescent="0.2">
      <c r="A708" s="15"/>
    </row>
    <row r="709" spans="1:1" x14ac:dyDescent="0.2">
      <c r="A709" s="15"/>
    </row>
    <row r="710" spans="1:1" x14ac:dyDescent="0.2">
      <c r="A710" s="15"/>
    </row>
    <row r="711" spans="1:1" x14ac:dyDescent="0.2">
      <c r="A711" s="15"/>
    </row>
    <row r="712" spans="1:1" x14ac:dyDescent="0.2">
      <c r="A712" s="15"/>
    </row>
    <row r="713" spans="1:1" x14ac:dyDescent="0.2">
      <c r="A713" s="15"/>
    </row>
    <row r="714" spans="1:1" x14ac:dyDescent="0.2">
      <c r="A714" s="15"/>
    </row>
    <row r="715" spans="1:1" x14ac:dyDescent="0.2">
      <c r="A715" s="15"/>
    </row>
    <row r="716" spans="1:1" x14ac:dyDescent="0.2">
      <c r="A716" s="15"/>
    </row>
    <row r="717" spans="1:1" x14ac:dyDescent="0.2">
      <c r="A717" s="15"/>
    </row>
    <row r="718" spans="1:1" x14ac:dyDescent="0.2">
      <c r="A718" s="15"/>
    </row>
    <row r="719" spans="1:1" x14ac:dyDescent="0.2">
      <c r="A719" s="15"/>
    </row>
    <row r="720" spans="1:1" x14ac:dyDescent="0.2">
      <c r="A720" s="15"/>
    </row>
    <row r="721" spans="1:1" x14ac:dyDescent="0.2">
      <c r="A721" s="15"/>
    </row>
    <row r="722" spans="1:1" x14ac:dyDescent="0.2">
      <c r="A722" s="15"/>
    </row>
    <row r="723" spans="1:1" x14ac:dyDescent="0.2">
      <c r="A723" s="15"/>
    </row>
    <row r="724" spans="1:1" x14ac:dyDescent="0.2">
      <c r="A724" s="15"/>
    </row>
    <row r="725" spans="1:1" x14ac:dyDescent="0.2">
      <c r="A725" s="15"/>
    </row>
    <row r="726" spans="1:1" x14ac:dyDescent="0.2">
      <c r="A726" s="15"/>
    </row>
    <row r="727" spans="1:1" x14ac:dyDescent="0.2">
      <c r="A727" s="15"/>
    </row>
    <row r="728" spans="1:1" x14ac:dyDescent="0.2">
      <c r="A728" s="15"/>
    </row>
    <row r="729" spans="1:1" x14ac:dyDescent="0.2">
      <c r="A729" s="15"/>
    </row>
    <row r="730" spans="1:1" x14ac:dyDescent="0.2">
      <c r="A730" s="15"/>
    </row>
    <row r="731" spans="1:1" x14ac:dyDescent="0.2">
      <c r="A731" s="15"/>
    </row>
    <row r="732" spans="1:1" x14ac:dyDescent="0.2">
      <c r="A732" s="15"/>
    </row>
    <row r="733" spans="1:1" x14ac:dyDescent="0.2">
      <c r="A733" s="15"/>
    </row>
    <row r="734" spans="1:1" x14ac:dyDescent="0.2">
      <c r="A734" s="15"/>
    </row>
    <row r="735" spans="1:1" x14ac:dyDescent="0.2">
      <c r="A735" s="15"/>
    </row>
    <row r="736" spans="1:1" x14ac:dyDescent="0.2">
      <c r="A736" s="15"/>
    </row>
    <row r="737" spans="1:1" x14ac:dyDescent="0.2">
      <c r="A737" s="15"/>
    </row>
    <row r="738" spans="1:1" x14ac:dyDescent="0.2">
      <c r="A738" s="15"/>
    </row>
    <row r="739" spans="1:1" x14ac:dyDescent="0.2">
      <c r="A739" s="15"/>
    </row>
    <row r="740" spans="1:1" x14ac:dyDescent="0.2">
      <c r="A740" s="15"/>
    </row>
    <row r="741" spans="1:1" x14ac:dyDescent="0.2">
      <c r="A741" s="15"/>
    </row>
    <row r="742" spans="1:1" x14ac:dyDescent="0.2">
      <c r="A742" s="15"/>
    </row>
    <row r="743" spans="1:1" x14ac:dyDescent="0.2">
      <c r="A743" s="15"/>
    </row>
    <row r="744" spans="1:1" x14ac:dyDescent="0.2">
      <c r="A744" s="15"/>
    </row>
    <row r="745" spans="1:1" x14ac:dyDescent="0.2">
      <c r="A745" s="1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/>
  <dimension ref="A1:H2999"/>
  <sheetViews>
    <sheetView zoomScale="80" zoomScaleNormal="80" workbookViewId="0">
      <selection activeCell="A2" sqref="A2"/>
    </sheetView>
  </sheetViews>
  <sheetFormatPr baseColWidth="10" defaultColWidth="8.6640625" defaultRowHeight="15" x14ac:dyDescent="0.2"/>
  <cols>
    <col min="1" max="1" width="22.6640625" customWidth="1"/>
    <col min="2" max="2" width="24.6640625" customWidth="1"/>
    <col min="3" max="3" width="50.6640625" customWidth="1"/>
    <col min="4" max="5" width="16.6640625" customWidth="1"/>
    <col min="6" max="6" width="18.83203125" customWidth="1"/>
    <col min="7" max="8" width="16.6640625" customWidth="1"/>
  </cols>
  <sheetData>
    <row r="1" spans="1:8" x14ac:dyDescent="0.2">
      <c r="A1" s="1" t="s">
        <v>1</v>
      </c>
      <c r="B1" s="1" t="s">
        <v>40</v>
      </c>
      <c r="C1" s="1" t="s">
        <v>41</v>
      </c>
      <c r="D1" s="1" t="s">
        <v>50</v>
      </c>
      <c r="E1" s="1" t="s">
        <v>68</v>
      </c>
      <c r="F1" s="1" t="s">
        <v>4209</v>
      </c>
      <c r="G1" s="1" t="s">
        <v>69</v>
      </c>
      <c r="H1" s="1" t="s">
        <v>70</v>
      </c>
    </row>
    <row r="2" spans="1:8" x14ac:dyDescent="0.2">
      <c r="A2" t="s">
        <v>3</v>
      </c>
      <c r="B2" t="s">
        <v>126</v>
      </c>
      <c r="C2" t="s">
        <v>4217</v>
      </c>
      <c r="D2" t="s">
        <v>3876</v>
      </c>
      <c r="E2" s="5">
        <v>0</v>
      </c>
      <c r="F2" s="5">
        <v>26</v>
      </c>
      <c r="G2" s="5">
        <v>0</v>
      </c>
      <c r="H2" s="5">
        <v>-26</v>
      </c>
    </row>
    <row r="3" spans="1:8" x14ac:dyDescent="0.2">
      <c r="A3" t="s">
        <v>3</v>
      </c>
      <c r="B3" t="s">
        <v>126</v>
      </c>
      <c r="C3" t="s">
        <v>4219</v>
      </c>
      <c r="D3" t="s">
        <v>3876</v>
      </c>
      <c r="E3" s="5">
        <v>0</v>
      </c>
      <c r="F3" s="5">
        <v>20</v>
      </c>
      <c r="G3" s="5">
        <v>0</v>
      </c>
      <c r="H3" s="5">
        <v>-20</v>
      </c>
    </row>
    <row r="4" spans="1:8" x14ac:dyDescent="0.2">
      <c r="A4" t="s">
        <v>3</v>
      </c>
      <c r="B4" t="s">
        <v>126</v>
      </c>
      <c r="C4" t="s">
        <v>4229</v>
      </c>
      <c r="D4" t="s">
        <v>3876</v>
      </c>
      <c r="E4" s="5">
        <v>0</v>
      </c>
      <c r="F4" s="5">
        <v>18</v>
      </c>
      <c r="G4" s="5">
        <v>0</v>
      </c>
      <c r="H4" s="5">
        <v>-18</v>
      </c>
    </row>
    <row r="5" spans="1:8" x14ac:dyDescent="0.2">
      <c r="A5" t="s">
        <v>3</v>
      </c>
      <c r="B5" t="s">
        <v>126</v>
      </c>
      <c r="C5" t="s">
        <v>4217</v>
      </c>
      <c r="D5" t="s">
        <v>4211</v>
      </c>
      <c r="E5" s="5">
        <v>0</v>
      </c>
      <c r="F5" s="5">
        <v>4</v>
      </c>
      <c r="G5" s="5">
        <v>0</v>
      </c>
      <c r="H5" s="5">
        <v>-4</v>
      </c>
    </row>
    <row r="6" spans="1:8" x14ac:dyDescent="0.2">
      <c r="A6" t="s">
        <v>3</v>
      </c>
      <c r="B6" t="s">
        <v>126</v>
      </c>
      <c r="C6" t="s">
        <v>4219</v>
      </c>
      <c r="D6" t="s">
        <v>4211</v>
      </c>
      <c r="E6" s="5">
        <v>0</v>
      </c>
      <c r="F6" s="5">
        <v>4</v>
      </c>
      <c r="G6" s="5">
        <v>0</v>
      </c>
      <c r="H6" s="5">
        <v>-4</v>
      </c>
    </row>
    <row r="7" spans="1:8" x14ac:dyDescent="0.2">
      <c r="A7" t="s">
        <v>3</v>
      </c>
      <c r="B7" t="s">
        <v>126</v>
      </c>
      <c r="C7" t="s">
        <v>4229</v>
      </c>
      <c r="D7" t="s">
        <v>4211</v>
      </c>
      <c r="E7" s="5">
        <v>0</v>
      </c>
      <c r="F7" s="5">
        <v>2</v>
      </c>
      <c r="G7" s="5">
        <v>0</v>
      </c>
      <c r="H7" s="5">
        <v>-2</v>
      </c>
    </row>
    <row r="8" spans="1:8" x14ac:dyDescent="0.2">
      <c r="A8" t="s">
        <v>3</v>
      </c>
      <c r="B8" t="s">
        <v>127</v>
      </c>
      <c r="C8" t="s">
        <v>3855</v>
      </c>
      <c r="D8" t="s">
        <v>3876</v>
      </c>
      <c r="E8" s="5">
        <v>0</v>
      </c>
      <c r="F8" s="5">
        <v>36</v>
      </c>
      <c r="G8" s="5">
        <v>0</v>
      </c>
      <c r="H8" s="5">
        <v>-36</v>
      </c>
    </row>
    <row r="9" spans="1:8" x14ac:dyDescent="0.2">
      <c r="A9" t="s">
        <v>3</v>
      </c>
      <c r="B9" t="s">
        <v>127</v>
      </c>
      <c r="C9" t="s">
        <v>3853</v>
      </c>
      <c r="D9" t="s">
        <v>3876</v>
      </c>
      <c r="E9" s="5">
        <v>0</v>
      </c>
      <c r="F9" s="5">
        <v>28</v>
      </c>
      <c r="G9" s="5">
        <v>0</v>
      </c>
      <c r="H9" s="5">
        <v>-28</v>
      </c>
    </row>
    <row r="10" spans="1:8" x14ac:dyDescent="0.2">
      <c r="A10" t="s">
        <v>3</v>
      </c>
      <c r="B10" t="s">
        <v>127</v>
      </c>
      <c r="C10" t="s">
        <v>3854</v>
      </c>
      <c r="D10" t="s">
        <v>3876</v>
      </c>
      <c r="E10" s="5">
        <v>0</v>
      </c>
      <c r="F10" s="5">
        <v>24</v>
      </c>
      <c r="G10" s="5">
        <v>0</v>
      </c>
      <c r="H10" s="5">
        <v>-24</v>
      </c>
    </row>
    <row r="11" spans="1:8" x14ac:dyDescent="0.2">
      <c r="A11" t="s">
        <v>3</v>
      </c>
      <c r="B11" t="s">
        <v>29</v>
      </c>
      <c r="C11" t="s">
        <v>3852</v>
      </c>
      <c r="D11" t="s">
        <v>3876</v>
      </c>
      <c r="E11" s="5">
        <v>0</v>
      </c>
      <c r="F11" s="5">
        <v>77</v>
      </c>
      <c r="G11" s="5">
        <v>0</v>
      </c>
      <c r="H11" s="5">
        <v>-77</v>
      </c>
    </row>
    <row r="12" spans="1:8" x14ac:dyDescent="0.2">
      <c r="A12" t="s">
        <v>3</v>
      </c>
      <c r="B12" t="s">
        <v>29</v>
      </c>
      <c r="C12" t="s">
        <v>3853</v>
      </c>
      <c r="D12" t="s">
        <v>3876</v>
      </c>
      <c r="E12" s="5">
        <v>0</v>
      </c>
      <c r="F12" s="5">
        <v>65</v>
      </c>
      <c r="G12" s="5">
        <v>0</v>
      </c>
      <c r="H12" s="5">
        <v>-65</v>
      </c>
    </row>
    <row r="13" spans="1:8" x14ac:dyDescent="0.2">
      <c r="A13" t="s">
        <v>3</v>
      </c>
      <c r="B13" t="s">
        <v>29</v>
      </c>
      <c r="C13" t="s">
        <v>3854</v>
      </c>
      <c r="D13" t="s">
        <v>3876</v>
      </c>
      <c r="E13" s="5">
        <v>0</v>
      </c>
      <c r="F13" s="5">
        <v>60</v>
      </c>
      <c r="G13" s="5">
        <v>0</v>
      </c>
      <c r="H13" s="5">
        <v>-60</v>
      </c>
    </row>
    <row r="14" spans="1:8" x14ac:dyDescent="0.2">
      <c r="A14" t="s">
        <v>3</v>
      </c>
      <c r="B14" t="s">
        <v>160</v>
      </c>
      <c r="C14" t="s">
        <v>4216</v>
      </c>
      <c r="D14" t="s">
        <v>3876</v>
      </c>
      <c r="E14" s="5">
        <v>0</v>
      </c>
      <c r="F14" s="5">
        <v>6</v>
      </c>
      <c r="G14" s="5">
        <v>0</v>
      </c>
      <c r="H14" s="5">
        <v>-6</v>
      </c>
    </row>
    <row r="15" spans="1:8" x14ac:dyDescent="0.2">
      <c r="A15" t="s">
        <v>3</v>
      </c>
      <c r="B15" t="s">
        <v>160</v>
      </c>
      <c r="C15" t="s">
        <v>4220</v>
      </c>
      <c r="D15" t="s">
        <v>3876</v>
      </c>
      <c r="E15" s="5">
        <v>0</v>
      </c>
      <c r="F15" s="5">
        <v>6</v>
      </c>
      <c r="G15" s="5">
        <v>0</v>
      </c>
      <c r="H15" s="5">
        <v>-6</v>
      </c>
    </row>
    <row r="16" spans="1:8" x14ac:dyDescent="0.2">
      <c r="A16" t="s">
        <v>24</v>
      </c>
      <c r="B16" t="s">
        <v>126</v>
      </c>
      <c r="C16" t="s">
        <v>4227</v>
      </c>
      <c r="D16" t="s">
        <v>3876</v>
      </c>
      <c r="E16" s="5">
        <v>0</v>
      </c>
      <c r="F16" s="5">
        <v>4</v>
      </c>
      <c r="G16" s="5">
        <v>0</v>
      </c>
      <c r="H16" s="5">
        <v>-4</v>
      </c>
    </row>
    <row r="17" spans="1:8" x14ac:dyDescent="0.2">
      <c r="A17" t="s">
        <v>24</v>
      </c>
      <c r="B17" t="s">
        <v>126</v>
      </c>
      <c r="C17" t="s">
        <v>4228</v>
      </c>
      <c r="D17" t="s">
        <v>3876</v>
      </c>
      <c r="E17" s="5">
        <v>0</v>
      </c>
      <c r="F17" s="5">
        <v>2</v>
      </c>
      <c r="G17" s="5">
        <v>0</v>
      </c>
      <c r="H17" s="5">
        <v>-2</v>
      </c>
    </row>
    <row r="18" spans="1:8" x14ac:dyDescent="0.2">
      <c r="A18" t="s">
        <v>24</v>
      </c>
      <c r="B18" t="s">
        <v>110</v>
      </c>
      <c r="C18" t="s">
        <v>4230</v>
      </c>
      <c r="D18" t="s">
        <v>3876</v>
      </c>
      <c r="E18" s="5">
        <v>0</v>
      </c>
      <c r="F18" s="5">
        <v>12</v>
      </c>
      <c r="G18" s="5">
        <v>0</v>
      </c>
      <c r="H18" s="5">
        <v>-12</v>
      </c>
    </row>
    <row r="19" spans="1:8" x14ac:dyDescent="0.2">
      <c r="A19" t="s">
        <v>24</v>
      </c>
      <c r="B19" t="s">
        <v>110</v>
      </c>
      <c r="C19" t="s">
        <v>4231</v>
      </c>
      <c r="D19" t="s">
        <v>3876</v>
      </c>
      <c r="E19" s="5">
        <v>0</v>
      </c>
      <c r="F19" s="5">
        <v>6</v>
      </c>
      <c r="G19" s="5">
        <v>0</v>
      </c>
      <c r="H19" s="5">
        <v>-6</v>
      </c>
    </row>
    <row r="20" spans="1:8" x14ac:dyDescent="0.2">
      <c r="A20" t="s">
        <v>24</v>
      </c>
      <c r="B20" t="s">
        <v>4207</v>
      </c>
      <c r="C20" t="s">
        <v>4232</v>
      </c>
      <c r="D20" t="s">
        <v>3876</v>
      </c>
      <c r="E20" s="5">
        <v>0</v>
      </c>
      <c r="F20" s="5">
        <v>4</v>
      </c>
      <c r="G20" s="5">
        <v>0</v>
      </c>
      <c r="H20" s="5">
        <v>-4</v>
      </c>
    </row>
    <row r="21" spans="1:8" x14ac:dyDescent="0.2">
      <c r="A21" t="s">
        <v>24</v>
      </c>
      <c r="B21" t="s">
        <v>4207</v>
      </c>
      <c r="C21" t="s">
        <v>4233</v>
      </c>
      <c r="D21" t="s">
        <v>3876</v>
      </c>
      <c r="E21" s="5">
        <v>0</v>
      </c>
      <c r="F21" s="5">
        <v>2</v>
      </c>
      <c r="G21" s="5">
        <v>0</v>
      </c>
      <c r="H21" s="5">
        <v>-2</v>
      </c>
    </row>
    <row r="22" spans="1:8" x14ac:dyDescent="0.2">
      <c r="A22" t="s">
        <v>3</v>
      </c>
      <c r="B22" t="s">
        <v>29</v>
      </c>
      <c r="C22" t="s">
        <v>3852</v>
      </c>
      <c r="D22" t="s">
        <v>4211</v>
      </c>
      <c r="E22" s="5">
        <v>0</v>
      </c>
      <c r="F22" s="5">
        <v>4</v>
      </c>
      <c r="G22" s="5">
        <v>0</v>
      </c>
      <c r="H22" s="5">
        <v>-4</v>
      </c>
    </row>
    <row r="23" spans="1:8" x14ac:dyDescent="0.2">
      <c r="A23" t="s">
        <v>3</v>
      </c>
      <c r="B23" t="s">
        <v>3866</v>
      </c>
      <c r="C23" t="s">
        <v>3867</v>
      </c>
      <c r="D23" t="s">
        <v>3876</v>
      </c>
      <c r="E23" s="5">
        <v>0</v>
      </c>
      <c r="F23" s="5">
        <v>207</v>
      </c>
      <c r="G23" s="5">
        <v>0</v>
      </c>
      <c r="H23" s="5">
        <v>-207</v>
      </c>
    </row>
    <row r="24" spans="1:8" x14ac:dyDescent="0.2">
      <c r="A24" t="s">
        <v>3</v>
      </c>
      <c r="B24" t="s">
        <v>3866</v>
      </c>
      <c r="C24" t="s">
        <v>3868</v>
      </c>
      <c r="D24" t="s">
        <v>3876</v>
      </c>
      <c r="E24" s="5">
        <v>0</v>
      </c>
      <c r="F24" s="5">
        <v>229</v>
      </c>
      <c r="G24" s="5">
        <v>0</v>
      </c>
      <c r="H24" s="5">
        <v>-229</v>
      </c>
    </row>
    <row r="25" spans="1:8" x14ac:dyDescent="0.2">
      <c r="A25" t="s">
        <v>3</v>
      </c>
      <c r="B25" t="s">
        <v>3866</v>
      </c>
      <c r="C25" t="s">
        <v>3869</v>
      </c>
      <c r="D25" t="s">
        <v>3876</v>
      </c>
      <c r="E25" s="5">
        <v>0</v>
      </c>
      <c r="F25" s="5">
        <v>218</v>
      </c>
      <c r="G25" s="5">
        <v>0</v>
      </c>
      <c r="H25" s="5">
        <v>-218</v>
      </c>
    </row>
    <row r="26" spans="1:8" x14ac:dyDescent="0.2">
      <c r="A26" t="s">
        <v>3</v>
      </c>
      <c r="B26" t="s">
        <v>3866</v>
      </c>
      <c r="C26" t="s">
        <v>47</v>
      </c>
      <c r="D26" t="s">
        <v>3876</v>
      </c>
      <c r="E26" s="5">
        <v>0</v>
      </c>
      <c r="F26" s="5">
        <v>210</v>
      </c>
      <c r="G26" s="5">
        <v>0</v>
      </c>
      <c r="H26" s="5">
        <v>-210</v>
      </c>
    </row>
    <row r="27" spans="1:8" x14ac:dyDescent="0.2">
      <c r="A27" t="s">
        <v>3</v>
      </c>
      <c r="B27" t="s">
        <v>3866</v>
      </c>
      <c r="C27" t="s">
        <v>3862</v>
      </c>
      <c r="D27" t="s">
        <v>3876</v>
      </c>
      <c r="E27" s="5">
        <v>0</v>
      </c>
      <c r="F27" s="5">
        <v>220</v>
      </c>
      <c r="G27" s="5">
        <v>0</v>
      </c>
      <c r="H27" s="5">
        <v>-220</v>
      </c>
    </row>
    <row r="28" spans="1:8" x14ac:dyDescent="0.2">
      <c r="A28" t="s">
        <v>3</v>
      </c>
      <c r="B28" t="s">
        <v>200</v>
      </c>
      <c r="C28" t="s">
        <v>3856</v>
      </c>
      <c r="D28" t="s">
        <v>3876</v>
      </c>
      <c r="E28" s="5">
        <v>0</v>
      </c>
      <c r="F28" s="5">
        <v>28</v>
      </c>
      <c r="G28" s="5">
        <v>0</v>
      </c>
      <c r="H28" s="5">
        <v>-28</v>
      </c>
    </row>
    <row r="29" spans="1:8" x14ac:dyDescent="0.2">
      <c r="A29" t="s">
        <v>3</v>
      </c>
      <c r="B29" t="s">
        <v>200</v>
      </c>
      <c r="C29" t="s">
        <v>4222</v>
      </c>
      <c r="D29" t="s">
        <v>3876</v>
      </c>
      <c r="E29" s="5">
        <v>0</v>
      </c>
      <c r="F29" s="5">
        <v>15</v>
      </c>
      <c r="G29" s="5">
        <v>0</v>
      </c>
      <c r="H29" s="5">
        <v>-15</v>
      </c>
    </row>
    <row r="30" spans="1:8" x14ac:dyDescent="0.2">
      <c r="A30" t="s">
        <v>24</v>
      </c>
      <c r="B30" t="s">
        <v>4207</v>
      </c>
      <c r="C30" t="s">
        <v>4237</v>
      </c>
      <c r="D30" t="s">
        <v>3876</v>
      </c>
      <c r="E30" s="5">
        <v>0</v>
      </c>
      <c r="F30" s="5">
        <v>1</v>
      </c>
      <c r="G30" s="5">
        <v>0</v>
      </c>
      <c r="H30" s="5">
        <v>-1</v>
      </c>
    </row>
    <row r="31" spans="1:8" x14ac:dyDescent="0.2">
      <c r="A31" t="s">
        <v>24</v>
      </c>
      <c r="B31" t="s">
        <v>110</v>
      </c>
      <c r="C31" t="s">
        <v>4238</v>
      </c>
      <c r="D31" t="s">
        <v>3876</v>
      </c>
      <c r="E31" s="5">
        <v>0</v>
      </c>
      <c r="F31" s="5">
        <v>2</v>
      </c>
      <c r="G31" s="5">
        <v>0</v>
      </c>
      <c r="H31" s="5">
        <v>-2</v>
      </c>
    </row>
    <row r="32" spans="1:8" x14ac:dyDescent="0.2">
      <c r="A32" t="s">
        <v>22</v>
      </c>
      <c r="B32" t="s">
        <v>126</v>
      </c>
      <c r="C32" t="s">
        <v>4227</v>
      </c>
      <c r="D32" t="s">
        <v>3876</v>
      </c>
      <c r="E32" s="5">
        <v>0</v>
      </c>
      <c r="F32" s="5">
        <v>6</v>
      </c>
      <c r="G32" s="5">
        <v>0</v>
      </c>
      <c r="H32" s="5">
        <v>-6</v>
      </c>
    </row>
    <row r="33" spans="1:8" x14ac:dyDescent="0.2">
      <c r="A33" t="s">
        <v>22</v>
      </c>
      <c r="B33" t="s">
        <v>126</v>
      </c>
      <c r="C33" t="s">
        <v>4228</v>
      </c>
      <c r="D33" t="s">
        <v>3876</v>
      </c>
      <c r="E33" s="5">
        <v>0</v>
      </c>
      <c r="F33" s="5">
        <v>6</v>
      </c>
      <c r="G33" s="5">
        <v>0</v>
      </c>
      <c r="H33" s="5">
        <v>-6</v>
      </c>
    </row>
    <row r="34" spans="1:8" x14ac:dyDescent="0.2">
      <c r="A34" t="s">
        <v>22</v>
      </c>
      <c r="B34" t="s">
        <v>126</v>
      </c>
      <c r="C34" t="s">
        <v>4229</v>
      </c>
      <c r="D34" t="s">
        <v>3876</v>
      </c>
      <c r="E34" s="5">
        <v>0</v>
      </c>
      <c r="F34" s="5">
        <v>3</v>
      </c>
      <c r="G34" s="5">
        <v>0</v>
      </c>
      <c r="H34" s="5">
        <v>-3</v>
      </c>
    </row>
    <row r="35" spans="1:8" x14ac:dyDescent="0.2">
      <c r="A35" t="s">
        <v>22</v>
      </c>
      <c r="B35" t="s">
        <v>127</v>
      </c>
      <c r="C35" t="s">
        <v>3871</v>
      </c>
      <c r="D35" t="s">
        <v>3876</v>
      </c>
      <c r="E35" s="5">
        <v>0</v>
      </c>
      <c r="F35" s="5">
        <v>10</v>
      </c>
      <c r="G35" s="5">
        <v>0</v>
      </c>
      <c r="H35" s="5">
        <v>-10</v>
      </c>
    </row>
    <row r="36" spans="1:8" x14ac:dyDescent="0.2">
      <c r="A36" t="s">
        <v>22</v>
      </c>
      <c r="B36" t="s">
        <v>127</v>
      </c>
      <c r="C36" t="s">
        <v>3853</v>
      </c>
      <c r="D36" t="s">
        <v>3876</v>
      </c>
      <c r="E36" s="5">
        <v>0</v>
      </c>
      <c r="F36" s="5">
        <v>10</v>
      </c>
      <c r="G36" s="5">
        <v>0</v>
      </c>
      <c r="H36" s="5">
        <v>-10</v>
      </c>
    </row>
    <row r="37" spans="1:8" x14ac:dyDescent="0.2">
      <c r="A37" t="s">
        <v>22</v>
      </c>
      <c r="B37" t="s">
        <v>127</v>
      </c>
      <c r="C37" t="s">
        <v>3854</v>
      </c>
      <c r="D37" t="s">
        <v>3876</v>
      </c>
      <c r="E37" s="5">
        <v>0</v>
      </c>
      <c r="F37" s="5">
        <v>10</v>
      </c>
      <c r="G37" s="5">
        <v>0</v>
      </c>
      <c r="H37" s="5">
        <v>-10</v>
      </c>
    </row>
    <row r="38" spans="1:8" x14ac:dyDescent="0.2">
      <c r="A38" t="s">
        <v>22</v>
      </c>
      <c r="B38" t="s">
        <v>29</v>
      </c>
      <c r="C38" t="s">
        <v>3870</v>
      </c>
      <c r="D38" t="s">
        <v>3876</v>
      </c>
      <c r="E38" s="5">
        <v>0</v>
      </c>
      <c r="F38" s="5">
        <v>14</v>
      </c>
      <c r="G38" s="5">
        <v>0</v>
      </c>
      <c r="H38" s="5">
        <v>-14</v>
      </c>
    </row>
    <row r="39" spans="1:8" x14ac:dyDescent="0.2">
      <c r="A39" t="s">
        <v>22</v>
      </c>
      <c r="B39" t="s">
        <v>29</v>
      </c>
      <c r="C39" t="s">
        <v>3853</v>
      </c>
      <c r="D39" t="s">
        <v>3876</v>
      </c>
      <c r="E39" s="5">
        <v>0</v>
      </c>
      <c r="F39" s="5">
        <v>14</v>
      </c>
      <c r="G39" s="5">
        <v>0</v>
      </c>
      <c r="H39" s="5">
        <v>-14</v>
      </c>
    </row>
    <row r="40" spans="1:8" x14ac:dyDescent="0.2">
      <c r="A40" t="s">
        <v>22</v>
      </c>
      <c r="B40" t="s">
        <v>29</v>
      </c>
      <c r="C40" t="s">
        <v>3854</v>
      </c>
      <c r="D40" t="s">
        <v>3876</v>
      </c>
      <c r="E40" s="5">
        <v>0</v>
      </c>
      <c r="F40" s="5">
        <v>14</v>
      </c>
      <c r="G40" s="5">
        <v>0</v>
      </c>
      <c r="H40" s="5">
        <v>-14</v>
      </c>
    </row>
    <row r="41" spans="1:8" x14ac:dyDescent="0.2">
      <c r="A41" t="s">
        <v>24</v>
      </c>
      <c r="B41" t="s">
        <v>3872</v>
      </c>
      <c r="C41" t="s">
        <v>4236</v>
      </c>
      <c r="D41" t="s">
        <v>3876</v>
      </c>
      <c r="E41" s="5">
        <v>0</v>
      </c>
      <c r="F41" s="5">
        <v>1</v>
      </c>
      <c r="G41" s="5">
        <v>0</v>
      </c>
      <c r="H41" s="5">
        <v>-1</v>
      </c>
    </row>
    <row r="42" spans="1:8" x14ac:dyDescent="0.2">
      <c r="A42" t="s">
        <v>3</v>
      </c>
      <c r="B42" t="s">
        <v>3872</v>
      </c>
      <c r="C42" t="s">
        <v>3867</v>
      </c>
      <c r="D42" t="s">
        <v>3876</v>
      </c>
      <c r="E42" s="5">
        <v>0</v>
      </c>
      <c r="F42" s="5">
        <v>4</v>
      </c>
      <c r="G42" s="5">
        <v>0</v>
      </c>
      <c r="H42" s="5">
        <v>-4</v>
      </c>
    </row>
    <row r="43" spans="1:8" x14ac:dyDescent="0.2">
      <c r="A43" t="s">
        <v>3</v>
      </c>
      <c r="B43" t="s">
        <v>3872</v>
      </c>
      <c r="C43" t="s">
        <v>3868</v>
      </c>
      <c r="D43" t="s">
        <v>3876</v>
      </c>
      <c r="E43" s="5">
        <v>0</v>
      </c>
      <c r="F43" s="5">
        <v>4</v>
      </c>
      <c r="G43" s="5">
        <v>0</v>
      </c>
      <c r="H43" s="5">
        <v>-4</v>
      </c>
    </row>
    <row r="44" spans="1:8" x14ac:dyDescent="0.2">
      <c r="A44" t="s">
        <v>3</v>
      </c>
      <c r="B44" t="s">
        <v>3872</v>
      </c>
      <c r="C44" t="s">
        <v>3869</v>
      </c>
      <c r="D44" t="s">
        <v>3876</v>
      </c>
      <c r="E44" s="5">
        <v>0</v>
      </c>
      <c r="F44" s="5">
        <v>4</v>
      </c>
      <c r="G44" s="5">
        <v>0</v>
      </c>
      <c r="H44" s="5">
        <v>-4</v>
      </c>
    </row>
    <row r="45" spans="1:8" x14ac:dyDescent="0.2">
      <c r="A45" t="s">
        <v>3</v>
      </c>
      <c r="B45" t="s">
        <v>3872</v>
      </c>
      <c r="C45" t="s">
        <v>47</v>
      </c>
      <c r="D45" t="s">
        <v>3876</v>
      </c>
      <c r="E45" s="5">
        <v>0</v>
      </c>
      <c r="F45" s="5">
        <v>4</v>
      </c>
      <c r="G45" s="5">
        <v>0</v>
      </c>
      <c r="H45" s="5">
        <v>-4</v>
      </c>
    </row>
    <row r="46" spans="1:8" x14ac:dyDescent="0.2">
      <c r="A46" t="s">
        <v>3</v>
      </c>
      <c r="B46" t="s">
        <v>3872</v>
      </c>
      <c r="C46" t="s">
        <v>3862</v>
      </c>
      <c r="D46" t="s">
        <v>3876</v>
      </c>
      <c r="E46" s="5">
        <v>0</v>
      </c>
      <c r="F46" s="5">
        <v>4</v>
      </c>
      <c r="G46" s="5">
        <v>0</v>
      </c>
      <c r="H46" s="5">
        <v>-4</v>
      </c>
    </row>
    <row r="47" spans="1:8" x14ac:dyDescent="0.2">
      <c r="A47" t="s">
        <v>3</v>
      </c>
      <c r="B47" t="s">
        <v>200</v>
      </c>
      <c r="C47" t="s">
        <v>3856</v>
      </c>
      <c r="D47" t="s">
        <v>4211</v>
      </c>
      <c r="E47" s="5">
        <v>0</v>
      </c>
      <c r="F47" s="5">
        <v>4</v>
      </c>
      <c r="G47" s="5">
        <v>0</v>
      </c>
      <c r="H47" s="5">
        <v>-4</v>
      </c>
    </row>
    <row r="48" spans="1:8" x14ac:dyDescent="0.2">
      <c r="A48" t="s">
        <v>3</v>
      </c>
      <c r="B48" t="s">
        <v>200</v>
      </c>
      <c r="C48" t="s">
        <v>4222</v>
      </c>
      <c r="D48" t="s">
        <v>4211</v>
      </c>
      <c r="E48" s="5">
        <v>0</v>
      </c>
      <c r="F48" s="5">
        <v>2</v>
      </c>
      <c r="G48" s="5">
        <v>0</v>
      </c>
      <c r="H48" s="5">
        <v>-2</v>
      </c>
    </row>
    <row r="49" spans="1:8" x14ac:dyDescent="0.2">
      <c r="A49" t="s">
        <v>3</v>
      </c>
      <c r="B49" t="s">
        <v>4206</v>
      </c>
      <c r="C49" t="s">
        <v>3858</v>
      </c>
      <c r="D49" t="s">
        <v>3876</v>
      </c>
      <c r="E49" s="5">
        <v>0</v>
      </c>
      <c r="F49" s="5">
        <v>41</v>
      </c>
      <c r="G49" s="5">
        <v>0</v>
      </c>
      <c r="H49" s="5">
        <v>-41</v>
      </c>
    </row>
    <row r="50" spans="1:8" x14ac:dyDescent="0.2">
      <c r="A50" t="s">
        <v>3</v>
      </c>
      <c r="B50" t="s">
        <v>4206</v>
      </c>
      <c r="C50" t="s">
        <v>4224</v>
      </c>
      <c r="D50" t="s">
        <v>3876</v>
      </c>
      <c r="E50" s="5">
        <v>0</v>
      </c>
      <c r="F50" s="5">
        <v>21</v>
      </c>
      <c r="G50" s="5">
        <v>0</v>
      </c>
      <c r="H50" s="5">
        <v>-21</v>
      </c>
    </row>
    <row r="51" spans="1:8" x14ac:dyDescent="0.2">
      <c r="A51" t="s">
        <v>3</v>
      </c>
      <c r="B51" t="s">
        <v>3863</v>
      </c>
      <c r="C51" t="s">
        <v>3864</v>
      </c>
      <c r="D51" t="s">
        <v>3876</v>
      </c>
      <c r="E51" s="5">
        <v>0</v>
      </c>
      <c r="F51" s="5">
        <v>74</v>
      </c>
      <c r="G51" s="5">
        <v>0</v>
      </c>
      <c r="H51" s="5">
        <v>-74</v>
      </c>
    </row>
    <row r="52" spans="1:8" x14ac:dyDescent="0.2">
      <c r="A52" t="s">
        <v>3</v>
      </c>
      <c r="B52" t="s">
        <v>3863</v>
      </c>
      <c r="C52" t="s">
        <v>3865</v>
      </c>
      <c r="D52" t="s">
        <v>3876</v>
      </c>
      <c r="E52" s="5">
        <v>0</v>
      </c>
      <c r="F52" s="5">
        <v>73</v>
      </c>
      <c r="G52" s="5">
        <v>0</v>
      </c>
      <c r="H52" s="5">
        <v>-73</v>
      </c>
    </row>
    <row r="53" spans="1:8" x14ac:dyDescent="0.2">
      <c r="A53" t="s">
        <v>3</v>
      </c>
      <c r="B53" t="s">
        <v>3863</v>
      </c>
      <c r="C53" t="s">
        <v>3862</v>
      </c>
      <c r="D53" t="s">
        <v>3876</v>
      </c>
      <c r="E53" s="5">
        <v>0</v>
      </c>
      <c r="F53" s="5">
        <v>74</v>
      </c>
      <c r="G53" s="5">
        <v>0</v>
      </c>
      <c r="H53" s="5">
        <v>-74</v>
      </c>
    </row>
    <row r="54" spans="1:8" x14ac:dyDescent="0.2">
      <c r="A54" t="s">
        <v>24</v>
      </c>
      <c r="B54" t="s">
        <v>3872</v>
      </c>
      <c r="C54" t="s">
        <v>4490</v>
      </c>
      <c r="D54" t="s">
        <v>4491</v>
      </c>
      <c r="E54" s="5">
        <v>0</v>
      </c>
      <c r="F54" s="5">
        <v>3</v>
      </c>
      <c r="G54" s="5">
        <v>0</v>
      </c>
      <c r="H54" s="5">
        <v>-3</v>
      </c>
    </row>
    <row r="55" spans="1:8" x14ac:dyDescent="0.2">
      <c r="A55" t="s">
        <v>24</v>
      </c>
      <c r="B55" t="s">
        <v>3866</v>
      </c>
      <c r="C55" t="s">
        <v>3867</v>
      </c>
      <c r="D55" t="s">
        <v>3876</v>
      </c>
      <c r="E55" s="5">
        <v>0</v>
      </c>
      <c r="F55" s="5">
        <v>16</v>
      </c>
      <c r="G55" s="5">
        <v>0</v>
      </c>
      <c r="H55" s="5">
        <v>-16</v>
      </c>
    </row>
    <row r="56" spans="1:8" x14ac:dyDescent="0.2">
      <c r="A56" t="s">
        <v>24</v>
      </c>
      <c r="B56" t="s">
        <v>3866</v>
      </c>
      <c r="C56" t="s">
        <v>3868</v>
      </c>
      <c r="D56" t="s">
        <v>3876</v>
      </c>
      <c r="E56" s="5">
        <v>0</v>
      </c>
      <c r="F56" s="5">
        <v>20</v>
      </c>
      <c r="G56" s="5">
        <v>0</v>
      </c>
      <c r="H56" s="5">
        <v>-20</v>
      </c>
    </row>
    <row r="57" spans="1:8" x14ac:dyDescent="0.2">
      <c r="A57" t="s">
        <v>24</v>
      </c>
      <c r="B57" t="s">
        <v>3866</v>
      </c>
      <c r="C57" t="s">
        <v>3869</v>
      </c>
      <c r="D57" t="s">
        <v>3876</v>
      </c>
      <c r="E57" s="5">
        <v>0</v>
      </c>
      <c r="F57" s="5">
        <v>20</v>
      </c>
      <c r="G57" s="5">
        <v>0</v>
      </c>
      <c r="H57" s="5">
        <v>-20</v>
      </c>
    </row>
    <row r="58" spans="1:8" x14ac:dyDescent="0.2">
      <c r="A58" t="s">
        <v>24</v>
      </c>
      <c r="B58" t="s">
        <v>3866</v>
      </c>
      <c r="C58" t="s">
        <v>47</v>
      </c>
      <c r="D58" t="s">
        <v>3876</v>
      </c>
      <c r="E58" s="5">
        <v>0</v>
      </c>
      <c r="F58" s="5">
        <v>20</v>
      </c>
      <c r="G58" s="5">
        <v>0</v>
      </c>
      <c r="H58" s="5">
        <v>-20</v>
      </c>
    </row>
    <row r="59" spans="1:8" x14ac:dyDescent="0.2">
      <c r="A59" t="s">
        <v>24</v>
      </c>
      <c r="B59" t="s">
        <v>3866</v>
      </c>
      <c r="C59" t="s">
        <v>3862</v>
      </c>
      <c r="D59" t="s">
        <v>3876</v>
      </c>
      <c r="E59" s="5">
        <v>0</v>
      </c>
      <c r="F59" s="5">
        <v>32</v>
      </c>
      <c r="G59" s="5">
        <v>0</v>
      </c>
      <c r="H59" s="5">
        <v>-32</v>
      </c>
    </row>
    <row r="60" spans="1:8" x14ac:dyDescent="0.2">
      <c r="A60" t="s">
        <v>24</v>
      </c>
      <c r="B60" t="s">
        <v>3866</v>
      </c>
      <c r="C60" t="s">
        <v>3867</v>
      </c>
      <c r="D60" t="s">
        <v>4211</v>
      </c>
      <c r="E60" s="5">
        <v>0</v>
      </c>
      <c r="F60" s="5">
        <v>4</v>
      </c>
      <c r="G60" s="5">
        <v>0</v>
      </c>
      <c r="H60" s="5">
        <v>-4</v>
      </c>
    </row>
    <row r="61" spans="1:8" x14ac:dyDescent="0.2">
      <c r="A61" t="s">
        <v>3</v>
      </c>
      <c r="B61" t="s">
        <v>4207</v>
      </c>
      <c r="C61" t="s">
        <v>3851</v>
      </c>
      <c r="D61" t="s">
        <v>4211</v>
      </c>
      <c r="E61" s="5">
        <v>0</v>
      </c>
      <c r="F61" s="5">
        <v>1</v>
      </c>
      <c r="G61" s="5">
        <v>0</v>
      </c>
      <c r="H61" s="5">
        <v>-1</v>
      </c>
    </row>
    <row r="62" spans="1:8" x14ac:dyDescent="0.2">
      <c r="A62" t="s">
        <v>3</v>
      </c>
      <c r="B62" t="s">
        <v>3866</v>
      </c>
      <c r="C62" t="s">
        <v>3867</v>
      </c>
      <c r="D62" t="s">
        <v>4211</v>
      </c>
      <c r="E62" s="5">
        <v>0</v>
      </c>
      <c r="F62" s="5">
        <v>4</v>
      </c>
      <c r="G62" s="5">
        <v>0</v>
      </c>
      <c r="H62" s="5">
        <v>-4</v>
      </c>
    </row>
    <row r="63" spans="1:8" x14ac:dyDescent="0.2">
      <c r="A63" t="s">
        <v>3</v>
      </c>
      <c r="B63" t="s">
        <v>3866</v>
      </c>
      <c r="C63" t="s">
        <v>3868</v>
      </c>
      <c r="D63" t="s">
        <v>4211</v>
      </c>
      <c r="E63" s="5">
        <v>0</v>
      </c>
      <c r="F63" s="5">
        <v>2</v>
      </c>
      <c r="G63" s="5">
        <v>0</v>
      </c>
      <c r="H63" s="5">
        <v>-2</v>
      </c>
    </row>
    <row r="64" spans="1:8" x14ac:dyDescent="0.2">
      <c r="A64" t="s">
        <v>3</v>
      </c>
      <c r="B64" t="s">
        <v>3866</v>
      </c>
      <c r="C64" t="s">
        <v>3869</v>
      </c>
      <c r="D64" t="s">
        <v>4211</v>
      </c>
      <c r="E64" s="5">
        <v>0</v>
      </c>
      <c r="F64" s="5">
        <v>2</v>
      </c>
      <c r="G64" s="5">
        <v>0</v>
      </c>
      <c r="H64" s="5">
        <v>-2</v>
      </c>
    </row>
    <row r="65" spans="1:8" x14ac:dyDescent="0.2">
      <c r="A65" t="s">
        <v>3</v>
      </c>
      <c r="B65" t="s">
        <v>3866</v>
      </c>
      <c r="C65" t="s">
        <v>47</v>
      </c>
      <c r="D65" t="s">
        <v>4211</v>
      </c>
      <c r="E65" s="5">
        <v>0</v>
      </c>
      <c r="F65" s="5">
        <v>2</v>
      </c>
      <c r="G65" s="5">
        <v>0</v>
      </c>
      <c r="H65" s="5">
        <v>-2</v>
      </c>
    </row>
    <row r="66" spans="1:8" x14ac:dyDescent="0.2">
      <c r="A66" t="s">
        <v>3</v>
      </c>
      <c r="B66" t="s">
        <v>3866</v>
      </c>
      <c r="C66" t="s">
        <v>3862</v>
      </c>
      <c r="D66" t="s">
        <v>4211</v>
      </c>
      <c r="E66" s="5">
        <v>0</v>
      </c>
      <c r="F66" s="5">
        <v>4</v>
      </c>
      <c r="G66" s="5">
        <v>0</v>
      </c>
      <c r="H66" s="5">
        <v>-4</v>
      </c>
    </row>
    <row r="67" spans="1:8" x14ac:dyDescent="0.2">
      <c r="A67" t="s">
        <v>3</v>
      </c>
      <c r="B67" t="s">
        <v>160</v>
      </c>
      <c r="C67" t="s">
        <v>4492</v>
      </c>
      <c r="D67" t="s">
        <v>3876</v>
      </c>
      <c r="E67" s="5">
        <v>0</v>
      </c>
      <c r="F67" s="5">
        <v>2</v>
      </c>
      <c r="G67" s="5">
        <v>0</v>
      </c>
      <c r="H67" s="5">
        <v>-2</v>
      </c>
    </row>
    <row r="68" spans="1:8" x14ac:dyDescent="0.2">
      <c r="A68" t="s">
        <v>3</v>
      </c>
      <c r="B68" t="s">
        <v>3863</v>
      </c>
      <c r="C68" t="s">
        <v>3864</v>
      </c>
      <c r="D68" t="s">
        <v>4211</v>
      </c>
      <c r="E68" s="5">
        <v>0</v>
      </c>
      <c r="F68" s="5">
        <v>4</v>
      </c>
      <c r="G68" s="5">
        <v>0</v>
      </c>
      <c r="H68" s="5">
        <v>-4</v>
      </c>
    </row>
    <row r="69" spans="1:8" x14ac:dyDescent="0.2">
      <c r="A69" t="s">
        <v>3</v>
      </c>
      <c r="B69" t="s">
        <v>3863</v>
      </c>
      <c r="C69" t="s">
        <v>3865</v>
      </c>
      <c r="D69" t="s">
        <v>4211</v>
      </c>
      <c r="E69" s="5">
        <v>0</v>
      </c>
      <c r="F69" s="5">
        <v>4</v>
      </c>
      <c r="G69" s="5">
        <v>0</v>
      </c>
      <c r="H69" s="5">
        <v>-4</v>
      </c>
    </row>
    <row r="70" spans="1:8" x14ac:dyDescent="0.2">
      <c r="A70" t="s">
        <v>3</v>
      </c>
      <c r="B70" t="s">
        <v>3863</v>
      </c>
      <c r="C70" t="s">
        <v>3862</v>
      </c>
      <c r="D70" t="s">
        <v>4211</v>
      </c>
      <c r="E70" s="5">
        <v>0</v>
      </c>
      <c r="F70" s="5">
        <v>4</v>
      </c>
      <c r="G70" s="5">
        <v>0</v>
      </c>
      <c r="H70" s="5">
        <v>-4</v>
      </c>
    </row>
    <row r="71" spans="1:8" x14ac:dyDescent="0.2">
      <c r="A71" t="s">
        <v>3</v>
      </c>
      <c r="B71" t="s">
        <v>4206</v>
      </c>
      <c r="C71" t="s">
        <v>3857</v>
      </c>
      <c r="D71" t="s">
        <v>3876</v>
      </c>
      <c r="E71" s="5">
        <v>0</v>
      </c>
      <c r="F71" s="5">
        <v>4</v>
      </c>
      <c r="G71" s="5">
        <v>0</v>
      </c>
      <c r="H71" s="5">
        <v>-4</v>
      </c>
    </row>
    <row r="72" spans="1:8" x14ac:dyDescent="0.2">
      <c r="A72" t="s">
        <v>3</v>
      </c>
      <c r="B72" t="s">
        <v>29</v>
      </c>
      <c r="C72" t="s">
        <v>4495</v>
      </c>
      <c r="D72" t="s">
        <v>4211</v>
      </c>
      <c r="E72" s="5">
        <v>0</v>
      </c>
      <c r="F72" s="5">
        <v>4</v>
      </c>
      <c r="G72" s="5">
        <v>0</v>
      </c>
      <c r="H72" s="5">
        <v>-4</v>
      </c>
    </row>
    <row r="73" spans="1:8" x14ac:dyDescent="0.2">
      <c r="A73" t="s">
        <v>3</v>
      </c>
      <c r="B73" t="s">
        <v>29</v>
      </c>
      <c r="C73" t="s">
        <v>4496</v>
      </c>
      <c r="D73" t="s">
        <v>4211</v>
      </c>
      <c r="E73" s="5">
        <v>0</v>
      </c>
      <c r="F73" s="5">
        <v>4</v>
      </c>
      <c r="G73" s="5">
        <v>0</v>
      </c>
      <c r="H73" s="5">
        <v>-4</v>
      </c>
    </row>
    <row r="74" spans="1:8" x14ac:dyDescent="0.2">
      <c r="A74" t="s">
        <v>3</v>
      </c>
      <c r="B74" t="s">
        <v>29</v>
      </c>
      <c r="C74" t="s">
        <v>4495</v>
      </c>
      <c r="D74" t="s">
        <v>3876</v>
      </c>
      <c r="E74" s="5">
        <v>0</v>
      </c>
      <c r="F74" s="5">
        <v>4</v>
      </c>
      <c r="G74" s="5">
        <v>0</v>
      </c>
      <c r="H74" s="5">
        <v>-4</v>
      </c>
    </row>
    <row r="75" spans="1:8" x14ac:dyDescent="0.2">
      <c r="A75" t="s">
        <v>3</v>
      </c>
      <c r="B75" t="s">
        <v>29</v>
      </c>
      <c r="C75" t="s">
        <v>4496</v>
      </c>
      <c r="D75" t="s">
        <v>3876</v>
      </c>
      <c r="E75" s="5">
        <v>0</v>
      </c>
      <c r="F75" s="5">
        <v>4</v>
      </c>
      <c r="G75" s="5">
        <v>0</v>
      </c>
      <c r="H75" s="5">
        <v>-4</v>
      </c>
    </row>
    <row r="76" spans="1:8" x14ac:dyDescent="0.2">
      <c r="A76" t="s">
        <v>3</v>
      </c>
      <c r="B76" t="s">
        <v>29</v>
      </c>
      <c r="C76" t="s">
        <v>4497</v>
      </c>
      <c r="D76" t="s">
        <v>3876</v>
      </c>
      <c r="E76" s="5">
        <v>0</v>
      </c>
      <c r="F76" s="5">
        <v>5</v>
      </c>
      <c r="G76" s="5">
        <v>0</v>
      </c>
      <c r="H76" s="5">
        <v>-5</v>
      </c>
    </row>
    <row r="77" spans="1:8" x14ac:dyDescent="0.2">
      <c r="A77" t="s">
        <v>3</v>
      </c>
      <c r="B77" t="s">
        <v>200</v>
      </c>
      <c r="C77" t="s">
        <v>3856</v>
      </c>
      <c r="D77" t="s">
        <v>4491</v>
      </c>
      <c r="E77" s="5">
        <v>0</v>
      </c>
      <c r="F77" s="5">
        <v>4</v>
      </c>
      <c r="G77" s="5">
        <v>0</v>
      </c>
      <c r="H77" s="5">
        <v>-4</v>
      </c>
    </row>
    <row r="78" spans="1:8" x14ac:dyDescent="0.2">
      <c r="A78" t="s">
        <v>3</v>
      </c>
      <c r="B78" t="s">
        <v>200</v>
      </c>
      <c r="C78" t="s">
        <v>4222</v>
      </c>
      <c r="D78" t="s">
        <v>4491</v>
      </c>
      <c r="E78" s="5">
        <v>0</v>
      </c>
      <c r="F78" s="5">
        <v>2</v>
      </c>
      <c r="G78" s="5">
        <v>0</v>
      </c>
      <c r="H78" s="5">
        <v>-2</v>
      </c>
    </row>
    <row r="79" spans="1:8" x14ac:dyDescent="0.2">
      <c r="A79" t="s">
        <v>3</v>
      </c>
      <c r="B79" t="s">
        <v>127</v>
      </c>
      <c r="C79" t="s">
        <v>3853</v>
      </c>
      <c r="D79" t="s">
        <v>4211</v>
      </c>
      <c r="E79" s="5">
        <v>0</v>
      </c>
      <c r="F79" s="5">
        <v>2</v>
      </c>
      <c r="G79" s="5">
        <v>0</v>
      </c>
      <c r="H79" s="5">
        <v>-2</v>
      </c>
    </row>
    <row r="80" spans="1:8" x14ac:dyDescent="0.2">
      <c r="A80" t="s">
        <v>3</v>
      </c>
      <c r="B80" t="s">
        <v>127</v>
      </c>
      <c r="C80" t="s">
        <v>3854</v>
      </c>
      <c r="D80" t="s">
        <v>4211</v>
      </c>
      <c r="E80" s="5">
        <v>0</v>
      </c>
      <c r="F80" s="5">
        <v>2</v>
      </c>
      <c r="G80" s="5">
        <v>0</v>
      </c>
      <c r="H80" s="5">
        <v>-2</v>
      </c>
    </row>
    <row r="81" spans="1:8" x14ac:dyDescent="0.2">
      <c r="A81" t="s">
        <v>3</v>
      </c>
      <c r="B81" t="s">
        <v>127</v>
      </c>
      <c r="C81" t="s">
        <v>3855</v>
      </c>
      <c r="D81" t="s">
        <v>4211</v>
      </c>
      <c r="E81" s="5">
        <v>0</v>
      </c>
      <c r="F81" s="5">
        <v>2</v>
      </c>
      <c r="G81" s="5">
        <v>0</v>
      </c>
      <c r="H81" s="5">
        <v>-2</v>
      </c>
    </row>
    <row r="82" spans="1:8" x14ac:dyDescent="0.2">
      <c r="A82" t="s">
        <v>22</v>
      </c>
      <c r="B82" t="s">
        <v>3866</v>
      </c>
      <c r="C82" t="s">
        <v>3867</v>
      </c>
      <c r="D82" t="s">
        <v>3876</v>
      </c>
      <c r="E82" s="5">
        <v>0</v>
      </c>
      <c r="F82" s="5">
        <v>12</v>
      </c>
      <c r="G82" s="5">
        <v>0</v>
      </c>
      <c r="H82" s="5">
        <v>-12</v>
      </c>
    </row>
    <row r="83" spans="1:8" x14ac:dyDescent="0.2">
      <c r="A83" t="s">
        <v>22</v>
      </c>
      <c r="B83" t="s">
        <v>3866</v>
      </c>
      <c r="C83" t="s">
        <v>3868</v>
      </c>
      <c r="D83" t="s">
        <v>3876</v>
      </c>
      <c r="E83" s="5">
        <v>0</v>
      </c>
      <c r="F83" s="5">
        <v>12</v>
      </c>
      <c r="G83" s="5">
        <v>0</v>
      </c>
      <c r="H83" s="5">
        <v>-12</v>
      </c>
    </row>
    <row r="84" spans="1:8" x14ac:dyDescent="0.2">
      <c r="A84" t="s">
        <v>22</v>
      </c>
      <c r="B84" t="s">
        <v>3866</v>
      </c>
      <c r="C84" t="s">
        <v>3869</v>
      </c>
      <c r="D84" t="s">
        <v>3876</v>
      </c>
      <c r="E84" s="5">
        <v>0</v>
      </c>
      <c r="F84" s="5">
        <v>12</v>
      </c>
      <c r="G84" s="5">
        <v>0</v>
      </c>
      <c r="H84" s="5">
        <v>-12</v>
      </c>
    </row>
    <row r="85" spans="1:8" x14ac:dyDescent="0.2">
      <c r="A85" t="s">
        <v>22</v>
      </c>
      <c r="B85" t="s">
        <v>3866</v>
      </c>
      <c r="C85" t="s">
        <v>47</v>
      </c>
      <c r="D85" t="s">
        <v>3876</v>
      </c>
      <c r="E85" s="5">
        <v>0</v>
      </c>
      <c r="F85" s="5">
        <v>12</v>
      </c>
      <c r="G85" s="5">
        <v>0</v>
      </c>
      <c r="H85" s="5">
        <v>-12</v>
      </c>
    </row>
    <row r="86" spans="1:8" x14ac:dyDescent="0.2">
      <c r="A86" t="s">
        <v>22</v>
      </c>
      <c r="B86" t="s">
        <v>3866</v>
      </c>
      <c r="C86" t="s">
        <v>3862</v>
      </c>
      <c r="D86" t="s">
        <v>3876</v>
      </c>
      <c r="E86" s="5">
        <v>0</v>
      </c>
      <c r="F86" s="5">
        <v>12</v>
      </c>
      <c r="G86" s="5">
        <v>0</v>
      </c>
      <c r="H86" s="5">
        <v>-12</v>
      </c>
    </row>
    <row r="87" spans="1:8" x14ac:dyDescent="0.2">
      <c r="A87" t="s">
        <v>22</v>
      </c>
      <c r="B87" t="s">
        <v>3863</v>
      </c>
      <c r="C87" t="s">
        <v>3864</v>
      </c>
      <c r="D87" t="s">
        <v>3876</v>
      </c>
      <c r="E87" s="5">
        <v>0</v>
      </c>
      <c r="F87" s="5">
        <v>2</v>
      </c>
      <c r="G87" s="5">
        <v>0</v>
      </c>
      <c r="H87" s="5">
        <v>-2</v>
      </c>
    </row>
    <row r="88" spans="1:8" x14ac:dyDescent="0.2">
      <c r="A88" t="s">
        <v>22</v>
      </c>
      <c r="B88" t="s">
        <v>3863</v>
      </c>
      <c r="C88" t="s">
        <v>3865</v>
      </c>
      <c r="D88" t="s">
        <v>3876</v>
      </c>
      <c r="E88" s="5">
        <v>0</v>
      </c>
      <c r="F88" s="5">
        <v>2</v>
      </c>
      <c r="G88" s="5">
        <v>0</v>
      </c>
      <c r="H88" s="5">
        <v>-2</v>
      </c>
    </row>
    <row r="89" spans="1:8" x14ac:dyDescent="0.2">
      <c r="A89" t="s">
        <v>22</v>
      </c>
      <c r="B89" t="s">
        <v>3863</v>
      </c>
      <c r="C89" t="s">
        <v>3862</v>
      </c>
      <c r="D89" t="s">
        <v>3876</v>
      </c>
      <c r="E89" s="5">
        <v>0</v>
      </c>
      <c r="F89" s="5">
        <v>2</v>
      </c>
      <c r="G89" s="5">
        <v>0</v>
      </c>
      <c r="H89" s="5">
        <v>-2</v>
      </c>
    </row>
    <row r="90" spans="1:8" x14ac:dyDescent="0.2">
      <c r="A90" t="s">
        <v>24</v>
      </c>
      <c r="B90" t="s">
        <v>3872</v>
      </c>
      <c r="C90" t="s">
        <v>4490</v>
      </c>
      <c r="D90" t="s">
        <v>3876</v>
      </c>
      <c r="E90" s="5">
        <v>0</v>
      </c>
      <c r="F90" s="5">
        <v>6</v>
      </c>
      <c r="G90" s="5">
        <v>0</v>
      </c>
      <c r="H90" s="5">
        <v>-6</v>
      </c>
    </row>
    <row r="91" spans="1:8" x14ac:dyDescent="0.2">
      <c r="A91" t="s">
        <v>24</v>
      </c>
      <c r="B91" t="s">
        <v>3872</v>
      </c>
      <c r="C91" t="s">
        <v>4493</v>
      </c>
      <c r="D91" t="s">
        <v>3876</v>
      </c>
      <c r="E91" s="5">
        <v>0</v>
      </c>
      <c r="F91" s="5">
        <v>8</v>
      </c>
      <c r="G91" s="5">
        <v>0</v>
      </c>
      <c r="H91" s="5">
        <v>-8</v>
      </c>
    </row>
    <row r="92" spans="1:8" x14ac:dyDescent="0.2">
      <c r="A92" t="s">
        <v>24</v>
      </c>
      <c r="B92" t="s">
        <v>3872</v>
      </c>
      <c r="C92" t="s">
        <v>3846</v>
      </c>
      <c r="D92" t="s">
        <v>3876</v>
      </c>
      <c r="E92" s="5">
        <v>0</v>
      </c>
      <c r="F92" s="5">
        <v>2</v>
      </c>
      <c r="G92" s="5">
        <v>0</v>
      </c>
      <c r="H92" s="5">
        <v>-2</v>
      </c>
    </row>
    <row r="93" spans="1:8" x14ac:dyDescent="0.2">
      <c r="A93" t="s">
        <v>3</v>
      </c>
      <c r="B93" t="s">
        <v>4207</v>
      </c>
      <c r="C93" t="s">
        <v>3851</v>
      </c>
      <c r="D93" t="s">
        <v>3876</v>
      </c>
      <c r="E93" s="5">
        <v>0</v>
      </c>
      <c r="F93" s="5">
        <v>2</v>
      </c>
      <c r="G93" s="5">
        <v>0</v>
      </c>
      <c r="H93" s="5">
        <v>-2</v>
      </c>
    </row>
    <row r="94" spans="1:8" x14ac:dyDescent="0.2">
      <c r="A94" t="s">
        <v>3</v>
      </c>
      <c r="B94" t="s">
        <v>3872</v>
      </c>
      <c r="C94" t="s">
        <v>4490</v>
      </c>
      <c r="D94" t="s">
        <v>3876</v>
      </c>
      <c r="E94" s="5">
        <v>0</v>
      </c>
      <c r="F94" s="5">
        <v>9</v>
      </c>
      <c r="G94" s="5">
        <v>0</v>
      </c>
      <c r="H94" s="5">
        <v>-9</v>
      </c>
    </row>
    <row r="95" spans="1:8" x14ac:dyDescent="0.2">
      <c r="A95" t="s">
        <v>3</v>
      </c>
      <c r="B95" t="s">
        <v>29</v>
      </c>
      <c r="C95" t="s">
        <v>3853</v>
      </c>
      <c r="D95" t="s">
        <v>4211</v>
      </c>
      <c r="E95" s="5">
        <v>0</v>
      </c>
      <c r="F95" s="5">
        <v>2</v>
      </c>
      <c r="G95" s="5">
        <v>0</v>
      </c>
      <c r="H95" s="5">
        <v>-2</v>
      </c>
    </row>
    <row r="96" spans="1:8" x14ac:dyDescent="0.2">
      <c r="A96" t="s">
        <v>3</v>
      </c>
      <c r="B96" t="s">
        <v>29</v>
      </c>
      <c r="C96" t="s">
        <v>3854</v>
      </c>
      <c r="D96" t="s">
        <v>4211</v>
      </c>
      <c r="E96" s="5">
        <v>0</v>
      </c>
      <c r="F96" s="5">
        <v>2</v>
      </c>
      <c r="G96" s="5">
        <v>0</v>
      </c>
      <c r="H96" s="5">
        <v>-2</v>
      </c>
    </row>
    <row r="97" spans="1:8" x14ac:dyDescent="0.2">
      <c r="A97" t="s">
        <v>3</v>
      </c>
      <c r="B97" t="s">
        <v>4132</v>
      </c>
      <c r="C97" t="s">
        <v>4722</v>
      </c>
      <c r="D97" t="s">
        <v>3876</v>
      </c>
      <c r="E97" s="5">
        <v>0</v>
      </c>
      <c r="F97" s="5">
        <v>1</v>
      </c>
      <c r="G97" s="5">
        <v>0</v>
      </c>
      <c r="H97" s="5">
        <v>-1</v>
      </c>
    </row>
    <row r="98" spans="1:8" x14ac:dyDescent="0.2">
      <c r="A98" t="s">
        <v>3</v>
      </c>
      <c r="B98" t="s">
        <v>3866</v>
      </c>
      <c r="C98" t="s">
        <v>47</v>
      </c>
      <c r="D98" t="s">
        <v>4491</v>
      </c>
      <c r="E98" s="5">
        <v>0</v>
      </c>
      <c r="F98" s="5">
        <v>2</v>
      </c>
      <c r="G98" s="5">
        <v>0</v>
      </c>
      <c r="H98" s="5">
        <v>-2</v>
      </c>
    </row>
    <row r="99" spans="1:8" x14ac:dyDescent="0.2">
      <c r="A99" t="s">
        <v>3</v>
      </c>
      <c r="B99" t="s">
        <v>3866</v>
      </c>
      <c r="C99" t="s">
        <v>3867</v>
      </c>
      <c r="D99" t="s">
        <v>4491</v>
      </c>
      <c r="E99" s="5">
        <v>0</v>
      </c>
      <c r="F99" s="5">
        <v>2</v>
      </c>
      <c r="G99" s="5">
        <v>0</v>
      </c>
      <c r="H99" s="5">
        <v>-2</v>
      </c>
    </row>
    <row r="100" spans="1:8" x14ac:dyDescent="0.2">
      <c r="A100" t="s">
        <v>3</v>
      </c>
      <c r="B100" t="s">
        <v>3866</v>
      </c>
      <c r="C100" t="s">
        <v>3868</v>
      </c>
      <c r="D100" t="s">
        <v>4491</v>
      </c>
      <c r="E100" s="5">
        <v>0</v>
      </c>
      <c r="F100" s="5">
        <v>2</v>
      </c>
      <c r="G100" s="5">
        <v>0</v>
      </c>
      <c r="H100" s="5">
        <v>-2</v>
      </c>
    </row>
    <row r="101" spans="1:8" x14ac:dyDescent="0.2">
      <c r="A101" t="s">
        <v>3</v>
      </c>
      <c r="B101" t="s">
        <v>3866</v>
      </c>
      <c r="C101" t="s">
        <v>3869</v>
      </c>
      <c r="D101" t="s">
        <v>4491</v>
      </c>
      <c r="E101" s="5">
        <v>0</v>
      </c>
      <c r="F101" s="5">
        <v>2</v>
      </c>
      <c r="G101" s="5">
        <v>0</v>
      </c>
      <c r="H101" s="5">
        <v>-2</v>
      </c>
    </row>
    <row r="102" spans="1:8" x14ac:dyDescent="0.2">
      <c r="A102" t="s">
        <v>3</v>
      </c>
      <c r="B102" t="s">
        <v>3866</v>
      </c>
      <c r="C102" t="s">
        <v>3862</v>
      </c>
      <c r="D102" t="s">
        <v>4491</v>
      </c>
      <c r="E102" s="5">
        <v>0</v>
      </c>
      <c r="F102" s="5">
        <v>2</v>
      </c>
      <c r="G102" s="5">
        <v>0</v>
      </c>
      <c r="H102" s="5">
        <v>-2</v>
      </c>
    </row>
    <row r="103" spans="1:8" x14ac:dyDescent="0.2">
      <c r="E103" s="5"/>
      <c r="F103" s="5"/>
      <c r="G103" s="5"/>
      <c r="H103" s="5"/>
    </row>
    <row r="104" spans="1:8" x14ac:dyDescent="0.2">
      <c r="E104" s="5"/>
      <c r="F104" s="5"/>
      <c r="G104" s="5"/>
      <c r="H104" s="5"/>
    </row>
    <row r="105" spans="1:8" x14ac:dyDescent="0.2">
      <c r="E105" s="5"/>
      <c r="F105" s="5"/>
      <c r="G105" s="5"/>
      <c r="H105" s="5"/>
    </row>
    <row r="106" spans="1:8" x14ac:dyDescent="0.2">
      <c r="E106" s="5"/>
      <c r="F106" s="5"/>
      <c r="G106" s="5"/>
      <c r="H106" s="5"/>
    </row>
    <row r="107" spans="1:8" x14ac:dyDescent="0.2">
      <c r="E107" s="5"/>
      <c r="F107" s="5"/>
      <c r="G107" s="5"/>
      <c r="H107" s="5"/>
    </row>
    <row r="108" spans="1:8" x14ac:dyDescent="0.2">
      <c r="E108" s="5"/>
      <c r="F108" s="5"/>
      <c r="G108" s="5"/>
      <c r="H108" s="5"/>
    </row>
    <row r="109" spans="1:8" x14ac:dyDescent="0.2">
      <c r="E109" s="5"/>
      <c r="F109" s="5"/>
      <c r="G109" s="5"/>
      <c r="H109" s="5"/>
    </row>
    <row r="110" spans="1:8" x14ac:dyDescent="0.2">
      <c r="E110" s="5"/>
      <c r="F110" s="5"/>
      <c r="G110" s="5"/>
      <c r="H110" s="5"/>
    </row>
    <row r="111" spans="1:8" x14ac:dyDescent="0.2">
      <c r="E111" s="5"/>
      <c r="F111" s="5"/>
      <c r="G111" s="5"/>
      <c r="H111" s="5"/>
    </row>
    <row r="112" spans="1:8" x14ac:dyDescent="0.2">
      <c r="E112" s="5"/>
      <c r="F112" s="5"/>
      <c r="G112" s="5"/>
      <c r="H112" s="5"/>
    </row>
    <row r="113" spans="5:8" x14ac:dyDescent="0.2">
      <c r="E113" s="5"/>
      <c r="F113" s="5"/>
      <c r="G113" s="5"/>
      <c r="H113" s="5"/>
    </row>
    <row r="114" spans="5:8" x14ac:dyDescent="0.2">
      <c r="E114" s="5"/>
      <c r="F114" s="5"/>
      <c r="G114" s="5"/>
      <c r="H114" s="5"/>
    </row>
    <row r="115" spans="5:8" x14ac:dyDescent="0.2">
      <c r="E115" s="5"/>
      <c r="F115" s="5"/>
      <c r="G115" s="5"/>
      <c r="H115" s="5"/>
    </row>
    <row r="116" spans="5:8" x14ac:dyDescent="0.2">
      <c r="E116" s="5"/>
      <c r="F116" s="5"/>
      <c r="G116" s="5"/>
      <c r="H116" s="5"/>
    </row>
    <row r="117" spans="5:8" x14ac:dyDescent="0.2">
      <c r="E117" s="5"/>
      <c r="F117" s="5"/>
      <c r="G117" s="5"/>
      <c r="H117" s="5"/>
    </row>
    <row r="118" spans="5:8" x14ac:dyDescent="0.2">
      <c r="E118" s="5"/>
      <c r="F118" s="5"/>
      <c r="G118" s="5"/>
      <c r="H118" s="5"/>
    </row>
    <row r="119" spans="5:8" x14ac:dyDescent="0.2">
      <c r="E119" s="5"/>
      <c r="F119" s="5"/>
      <c r="G119" s="5"/>
      <c r="H119" s="5"/>
    </row>
    <row r="120" spans="5:8" x14ac:dyDescent="0.2">
      <c r="E120" s="5"/>
      <c r="F120" s="5"/>
      <c r="G120" s="5"/>
      <c r="H120" s="5"/>
    </row>
    <row r="121" spans="5:8" x14ac:dyDescent="0.2">
      <c r="E121" s="5"/>
      <c r="F121" s="5"/>
      <c r="G121" s="5"/>
      <c r="H121" s="5"/>
    </row>
    <row r="122" spans="5:8" x14ac:dyDescent="0.2">
      <c r="E122" s="5"/>
      <c r="F122" s="5"/>
      <c r="G122" s="5"/>
      <c r="H122" s="5"/>
    </row>
    <row r="123" spans="5:8" x14ac:dyDescent="0.2">
      <c r="E123" s="5"/>
      <c r="F123" s="5"/>
      <c r="G123" s="5"/>
      <c r="H123" s="5"/>
    </row>
    <row r="124" spans="5:8" x14ac:dyDescent="0.2">
      <c r="E124" s="5"/>
      <c r="F124" s="5"/>
      <c r="G124" s="5"/>
      <c r="H124" s="5"/>
    </row>
    <row r="125" spans="5:8" x14ac:dyDescent="0.2">
      <c r="E125" s="5"/>
      <c r="F125" s="5"/>
      <c r="G125" s="5"/>
      <c r="H125" s="5"/>
    </row>
    <row r="126" spans="5:8" x14ac:dyDescent="0.2">
      <c r="E126" s="5"/>
      <c r="F126" s="5"/>
      <c r="G126" s="5"/>
      <c r="H126" s="5"/>
    </row>
    <row r="127" spans="5:8" x14ac:dyDescent="0.2">
      <c r="E127" s="5"/>
      <c r="F127" s="5"/>
      <c r="G127" s="5"/>
      <c r="H127" s="5"/>
    </row>
    <row r="128" spans="5:8" x14ac:dyDescent="0.2">
      <c r="E128" s="5"/>
      <c r="F128" s="5"/>
      <c r="G128" s="5"/>
      <c r="H128" s="5"/>
    </row>
    <row r="129" spans="5:8" x14ac:dyDescent="0.2">
      <c r="E129" s="5"/>
      <c r="F129" s="5"/>
      <c r="G129" s="5"/>
      <c r="H129" s="5"/>
    </row>
    <row r="130" spans="5:8" x14ac:dyDescent="0.2">
      <c r="E130" s="5"/>
      <c r="F130" s="5"/>
      <c r="G130" s="5"/>
      <c r="H130" s="5"/>
    </row>
    <row r="131" spans="5:8" x14ac:dyDescent="0.2">
      <c r="E131" s="5"/>
      <c r="F131" s="5"/>
      <c r="G131" s="5"/>
      <c r="H131" s="5"/>
    </row>
    <row r="132" spans="5:8" x14ac:dyDescent="0.2">
      <c r="E132" s="5"/>
      <c r="F132" s="5"/>
      <c r="G132" s="5"/>
      <c r="H132" s="5"/>
    </row>
    <row r="133" spans="5:8" x14ac:dyDescent="0.2">
      <c r="E133" s="5"/>
      <c r="F133" s="5"/>
      <c r="G133" s="5"/>
      <c r="H133" s="5"/>
    </row>
    <row r="134" spans="5:8" x14ac:dyDescent="0.2">
      <c r="E134" s="5"/>
      <c r="F134" s="5"/>
      <c r="G134" s="5"/>
      <c r="H134" s="5"/>
    </row>
    <row r="135" spans="5:8" x14ac:dyDescent="0.2">
      <c r="E135" s="5"/>
      <c r="F135" s="5"/>
      <c r="G135" s="5"/>
      <c r="H135" s="5"/>
    </row>
    <row r="136" spans="5:8" x14ac:dyDescent="0.2">
      <c r="E136" s="5"/>
      <c r="F136" s="5"/>
      <c r="G136" s="5"/>
      <c r="H136" s="5"/>
    </row>
    <row r="137" spans="5:8" x14ac:dyDescent="0.2">
      <c r="E137" s="5"/>
      <c r="F137" s="5"/>
      <c r="G137" s="5"/>
      <c r="H137" s="5"/>
    </row>
    <row r="138" spans="5:8" x14ac:dyDescent="0.2">
      <c r="E138" s="5"/>
      <c r="F138" s="5"/>
      <c r="G138" s="5"/>
      <c r="H138" s="5"/>
    </row>
    <row r="139" spans="5:8" x14ac:dyDescent="0.2">
      <c r="E139" s="5"/>
      <c r="F139" s="5"/>
      <c r="G139" s="5"/>
      <c r="H139" s="5"/>
    </row>
    <row r="140" spans="5:8" x14ac:dyDescent="0.2">
      <c r="E140" s="5"/>
      <c r="F140" s="5"/>
      <c r="G140" s="5"/>
      <c r="H140" s="5"/>
    </row>
    <row r="141" spans="5:8" x14ac:dyDescent="0.2">
      <c r="E141" s="5"/>
      <c r="F141" s="5"/>
      <c r="G141" s="5"/>
      <c r="H141" s="5"/>
    </row>
    <row r="142" spans="5:8" x14ac:dyDescent="0.2">
      <c r="E142" s="5"/>
      <c r="F142" s="5"/>
      <c r="G142" s="5"/>
      <c r="H142" s="5"/>
    </row>
    <row r="143" spans="5:8" x14ac:dyDescent="0.2">
      <c r="E143" s="5"/>
      <c r="F143" s="5"/>
      <c r="G143" s="5"/>
      <c r="H143" s="5"/>
    </row>
    <row r="144" spans="5:8" x14ac:dyDescent="0.2">
      <c r="E144" s="5"/>
      <c r="F144" s="5"/>
      <c r="G144" s="5"/>
      <c r="H144" s="5"/>
    </row>
    <row r="145" spans="5:8" x14ac:dyDescent="0.2">
      <c r="E145" s="5"/>
      <c r="F145" s="5"/>
      <c r="G145" s="5"/>
      <c r="H145" s="5"/>
    </row>
    <row r="146" spans="5:8" x14ac:dyDescent="0.2">
      <c r="E146" s="5"/>
      <c r="F146" s="5"/>
      <c r="G146" s="5"/>
      <c r="H146" s="5"/>
    </row>
    <row r="147" spans="5:8" x14ac:dyDescent="0.2">
      <c r="E147" s="5"/>
      <c r="F147" s="5"/>
      <c r="G147" s="5"/>
      <c r="H147" s="5"/>
    </row>
    <row r="148" spans="5:8" x14ac:dyDescent="0.2">
      <c r="E148" s="5"/>
      <c r="F148" s="5"/>
      <c r="G148" s="5"/>
      <c r="H148" s="5"/>
    </row>
    <row r="149" spans="5:8" x14ac:dyDescent="0.2">
      <c r="E149" s="5"/>
      <c r="F149" s="5"/>
      <c r="G149" s="5"/>
      <c r="H149" s="5"/>
    </row>
    <row r="150" spans="5:8" x14ac:dyDescent="0.2">
      <c r="E150" s="5"/>
      <c r="F150" s="5"/>
      <c r="G150" s="5"/>
      <c r="H150" s="5"/>
    </row>
    <row r="151" spans="5:8" x14ac:dyDescent="0.2">
      <c r="E151" s="5"/>
      <c r="F151" s="5"/>
      <c r="G151" s="5"/>
      <c r="H151" s="5"/>
    </row>
    <row r="152" spans="5:8" x14ac:dyDescent="0.2">
      <c r="E152" s="5"/>
      <c r="F152" s="5"/>
      <c r="G152" s="5"/>
      <c r="H152" s="5"/>
    </row>
    <row r="153" spans="5:8" x14ac:dyDescent="0.2">
      <c r="E153" s="5"/>
      <c r="F153" s="5"/>
      <c r="G153" s="5"/>
      <c r="H153" s="5"/>
    </row>
    <row r="154" spans="5:8" x14ac:dyDescent="0.2">
      <c r="E154" s="5"/>
      <c r="F154" s="5"/>
      <c r="G154" s="5"/>
      <c r="H154" s="5"/>
    </row>
    <row r="155" spans="5:8" x14ac:dyDescent="0.2">
      <c r="E155" s="5"/>
      <c r="F155" s="5"/>
      <c r="G155" s="5"/>
      <c r="H155" s="5"/>
    </row>
    <row r="156" spans="5:8" x14ac:dyDescent="0.2">
      <c r="E156" s="5"/>
      <c r="F156" s="5"/>
      <c r="G156" s="5"/>
      <c r="H156" s="5"/>
    </row>
    <row r="157" spans="5:8" x14ac:dyDescent="0.2">
      <c r="E157" s="5"/>
      <c r="F157" s="5"/>
      <c r="G157" s="5"/>
      <c r="H157" s="5"/>
    </row>
    <row r="158" spans="5:8" x14ac:dyDescent="0.2">
      <c r="E158" s="5"/>
      <c r="F158" s="5"/>
      <c r="G158" s="5"/>
      <c r="H158" s="5"/>
    </row>
    <row r="159" spans="5:8" x14ac:dyDescent="0.2">
      <c r="E159" s="5"/>
      <c r="F159" s="5"/>
      <c r="G159" s="5"/>
      <c r="H159" s="5"/>
    </row>
    <row r="160" spans="5:8" x14ac:dyDescent="0.2">
      <c r="E160" s="5"/>
      <c r="F160" s="5"/>
      <c r="G160" s="5"/>
      <c r="H160" s="5"/>
    </row>
    <row r="161" spans="5:8" x14ac:dyDescent="0.2">
      <c r="E161" s="5"/>
      <c r="F161" s="5"/>
      <c r="G161" s="5"/>
      <c r="H161" s="5"/>
    </row>
    <row r="162" spans="5:8" x14ac:dyDescent="0.2">
      <c r="E162" s="5"/>
      <c r="F162" s="5"/>
      <c r="G162" s="5"/>
      <c r="H162" s="5"/>
    </row>
    <row r="163" spans="5:8" x14ac:dyDescent="0.2">
      <c r="E163" s="5"/>
      <c r="F163" s="5"/>
      <c r="G163" s="5"/>
      <c r="H163" s="5"/>
    </row>
    <row r="164" spans="5:8" x14ac:dyDescent="0.2">
      <c r="E164" s="5"/>
      <c r="F164" s="5"/>
      <c r="G164" s="5"/>
      <c r="H164" s="5"/>
    </row>
    <row r="165" spans="5:8" x14ac:dyDescent="0.2">
      <c r="E165" s="5"/>
      <c r="F165" s="5"/>
      <c r="G165" s="5"/>
      <c r="H165" s="5"/>
    </row>
    <row r="166" spans="5:8" x14ac:dyDescent="0.2">
      <c r="E166" s="5"/>
      <c r="F166" s="5"/>
      <c r="G166" s="5"/>
      <c r="H166" s="5"/>
    </row>
    <row r="167" spans="5:8" x14ac:dyDescent="0.2">
      <c r="E167" s="5"/>
      <c r="F167" s="5"/>
      <c r="G167" s="5"/>
      <c r="H167" s="5"/>
    </row>
    <row r="168" spans="5:8" x14ac:dyDescent="0.2">
      <c r="E168" s="5"/>
      <c r="F168" s="5"/>
      <c r="G168" s="5"/>
      <c r="H168" s="5"/>
    </row>
    <row r="169" spans="5:8" x14ac:dyDescent="0.2">
      <c r="E169" s="5"/>
      <c r="F169" s="5"/>
      <c r="G169" s="5"/>
      <c r="H169" s="5"/>
    </row>
    <row r="170" spans="5:8" x14ac:dyDescent="0.2">
      <c r="E170" s="5"/>
      <c r="F170" s="5"/>
      <c r="G170" s="5"/>
      <c r="H170" s="5"/>
    </row>
    <row r="171" spans="5:8" x14ac:dyDescent="0.2">
      <c r="E171" s="5"/>
      <c r="F171" s="5"/>
      <c r="G171" s="5"/>
      <c r="H171" s="5"/>
    </row>
    <row r="172" spans="5:8" x14ac:dyDescent="0.2">
      <c r="E172" s="5"/>
      <c r="F172" s="5"/>
      <c r="G172" s="5"/>
      <c r="H172" s="5"/>
    </row>
    <row r="173" spans="5:8" x14ac:dyDescent="0.2">
      <c r="E173" s="5"/>
      <c r="F173" s="5"/>
      <c r="G173" s="5"/>
      <c r="H173" s="5"/>
    </row>
    <row r="174" spans="5:8" x14ac:dyDescent="0.2">
      <c r="E174" s="5"/>
      <c r="F174" s="5"/>
      <c r="G174" s="5"/>
      <c r="H174" s="5"/>
    </row>
    <row r="175" spans="5:8" x14ac:dyDescent="0.2">
      <c r="E175" s="5"/>
      <c r="F175" s="5"/>
      <c r="G175" s="5"/>
      <c r="H175" s="5"/>
    </row>
    <row r="176" spans="5:8" x14ac:dyDescent="0.2">
      <c r="E176" s="5"/>
      <c r="F176" s="5"/>
      <c r="G176" s="5"/>
      <c r="H176" s="5"/>
    </row>
    <row r="177" spans="5:8" x14ac:dyDescent="0.2">
      <c r="E177" s="5"/>
      <c r="F177" s="5"/>
      <c r="G177" s="5"/>
      <c r="H177" s="5"/>
    </row>
    <row r="178" spans="5:8" x14ac:dyDescent="0.2">
      <c r="E178" s="5"/>
      <c r="F178" s="5"/>
      <c r="G178" s="5"/>
      <c r="H178" s="5"/>
    </row>
    <row r="179" spans="5:8" x14ac:dyDescent="0.2">
      <c r="E179" s="5"/>
      <c r="F179" s="5"/>
      <c r="G179" s="5"/>
      <c r="H179" s="5"/>
    </row>
    <row r="180" spans="5:8" x14ac:dyDescent="0.2">
      <c r="E180" s="5"/>
      <c r="F180" s="5"/>
      <c r="G180" s="5"/>
      <c r="H180" s="5"/>
    </row>
    <row r="181" spans="5:8" x14ac:dyDescent="0.2">
      <c r="E181" s="5"/>
      <c r="F181" s="5"/>
      <c r="G181" s="5"/>
      <c r="H181" s="5"/>
    </row>
    <row r="182" spans="5:8" x14ac:dyDescent="0.2">
      <c r="E182" s="5"/>
      <c r="F182" s="5"/>
      <c r="G182" s="5"/>
      <c r="H182" s="5"/>
    </row>
    <row r="183" spans="5:8" x14ac:dyDescent="0.2">
      <c r="E183" s="5"/>
      <c r="F183" s="5"/>
      <c r="G183" s="5"/>
      <c r="H183" s="5"/>
    </row>
    <row r="184" spans="5:8" x14ac:dyDescent="0.2">
      <c r="E184" s="5"/>
      <c r="F184" s="5"/>
      <c r="G184" s="5"/>
      <c r="H184" s="5"/>
    </row>
    <row r="185" spans="5:8" x14ac:dyDescent="0.2">
      <c r="E185" s="5"/>
      <c r="F185" s="5"/>
      <c r="G185" s="5"/>
      <c r="H185" s="5"/>
    </row>
    <row r="186" spans="5:8" x14ac:dyDescent="0.2">
      <c r="E186" s="5"/>
      <c r="F186" s="5"/>
      <c r="G186" s="5"/>
      <c r="H186" s="5"/>
    </row>
    <row r="187" spans="5:8" x14ac:dyDescent="0.2">
      <c r="E187" s="5"/>
      <c r="F187" s="5"/>
      <c r="G187" s="5"/>
      <c r="H187" s="5"/>
    </row>
    <row r="188" spans="5:8" x14ac:dyDescent="0.2">
      <c r="E188" s="5"/>
      <c r="F188" s="5"/>
      <c r="G188" s="5"/>
      <c r="H188" s="5"/>
    </row>
    <row r="189" spans="5:8" x14ac:dyDescent="0.2">
      <c r="E189" s="5"/>
      <c r="F189" s="5"/>
      <c r="G189" s="5"/>
      <c r="H189" s="5"/>
    </row>
    <row r="190" spans="5:8" x14ac:dyDescent="0.2">
      <c r="E190" s="5"/>
      <c r="F190" s="5"/>
      <c r="G190" s="5"/>
      <c r="H190" s="5"/>
    </row>
    <row r="191" spans="5:8" x14ac:dyDescent="0.2">
      <c r="E191" s="5"/>
      <c r="F191" s="5"/>
      <c r="G191" s="5"/>
      <c r="H191" s="5"/>
    </row>
    <row r="192" spans="5:8" x14ac:dyDescent="0.2">
      <c r="E192" s="5"/>
      <c r="F192" s="5"/>
      <c r="G192" s="5"/>
      <c r="H192" s="5"/>
    </row>
    <row r="193" spans="5:8" x14ac:dyDescent="0.2">
      <c r="E193" s="5"/>
      <c r="F193" s="5"/>
      <c r="G193" s="5"/>
      <c r="H193" s="5"/>
    </row>
    <row r="194" spans="5:8" x14ac:dyDescent="0.2">
      <c r="E194" s="5"/>
      <c r="F194" s="5"/>
      <c r="G194" s="5"/>
      <c r="H194" s="5"/>
    </row>
    <row r="195" spans="5:8" x14ac:dyDescent="0.2">
      <c r="E195" s="5"/>
      <c r="F195" s="5"/>
      <c r="G195" s="5"/>
      <c r="H195" s="5"/>
    </row>
    <row r="196" spans="5:8" x14ac:dyDescent="0.2">
      <c r="E196" s="5"/>
      <c r="F196" s="5"/>
      <c r="G196" s="5"/>
      <c r="H196" s="5"/>
    </row>
    <row r="197" spans="5:8" x14ac:dyDescent="0.2">
      <c r="E197" s="5"/>
      <c r="F197" s="5"/>
      <c r="G197" s="5"/>
      <c r="H197" s="5"/>
    </row>
    <row r="198" spans="5:8" x14ac:dyDescent="0.2">
      <c r="E198" s="5"/>
      <c r="F198" s="5"/>
      <c r="G198" s="5"/>
      <c r="H198" s="5"/>
    </row>
    <row r="199" spans="5:8" x14ac:dyDescent="0.2">
      <c r="E199" s="5"/>
      <c r="F199" s="5"/>
      <c r="G199" s="5"/>
      <c r="H199" s="5"/>
    </row>
    <row r="200" spans="5:8" x14ac:dyDescent="0.2">
      <c r="E200" s="5"/>
      <c r="F200" s="5"/>
      <c r="G200" s="5"/>
      <c r="H200" s="5"/>
    </row>
    <row r="201" spans="5:8" x14ac:dyDescent="0.2">
      <c r="E201" s="5"/>
      <c r="F201" s="5"/>
      <c r="G201" s="5"/>
      <c r="H201" s="5"/>
    </row>
    <row r="202" spans="5:8" x14ac:dyDescent="0.2">
      <c r="E202" s="5"/>
      <c r="F202" s="5"/>
      <c r="G202" s="5"/>
      <c r="H202" s="5"/>
    </row>
    <row r="203" spans="5:8" x14ac:dyDescent="0.2">
      <c r="E203" s="5"/>
      <c r="F203" s="5"/>
      <c r="G203" s="5"/>
      <c r="H203" s="5"/>
    </row>
    <row r="204" spans="5:8" x14ac:dyDescent="0.2">
      <c r="E204" s="5"/>
      <c r="F204" s="5"/>
      <c r="G204" s="5"/>
      <c r="H204" s="5"/>
    </row>
    <row r="205" spans="5:8" x14ac:dyDescent="0.2">
      <c r="E205" s="5"/>
      <c r="F205" s="5"/>
      <c r="G205" s="5"/>
      <c r="H205" s="5"/>
    </row>
    <row r="206" spans="5:8" x14ac:dyDescent="0.2">
      <c r="E206" s="5"/>
      <c r="F206" s="5"/>
      <c r="G206" s="5"/>
      <c r="H206" s="5"/>
    </row>
    <row r="207" spans="5:8" x14ac:dyDescent="0.2">
      <c r="E207" s="5"/>
      <c r="F207" s="5"/>
      <c r="G207" s="5"/>
      <c r="H207" s="5"/>
    </row>
    <row r="208" spans="5:8" x14ac:dyDescent="0.2">
      <c r="E208" s="5"/>
      <c r="F208" s="5"/>
      <c r="G208" s="5"/>
      <c r="H208" s="5"/>
    </row>
    <row r="209" spans="5:8" x14ac:dyDescent="0.2">
      <c r="E209" s="5"/>
      <c r="F209" s="5"/>
      <c r="G209" s="5"/>
      <c r="H209" s="5"/>
    </row>
    <row r="210" spans="5:8" x14ac:dyDescent="0.2">
      <c r="E210" s="5"/>
      <c r="F210" s="5"/>
      <c r="G210" s="5"/>
      <c r="H210" s="5"/>
    </row>
    <row r="211" spans="5:8" x14ac:dyDescent="0.2">
      <c r="E211" s="5"/>
      <c r="F211" s="5"/>
      <c r="G211" s="5"/>
      <c r="H211" s="5"/>
    </row>
    <row r="212" spans="5:8" x14ac:dyDescent="0.2">
      <c r="E212" s="5"/>
      <c r="F212" s="5"/>
      <c r="G212" s="5"/>
      <c r="H212" s="5"/>
    </row>
    <row r="213" spans="5:8" x14ac:dyDescent="0.2">
      <c r="E213" s="5"/>
      <c r="F213" s="5"/>
      <c r="G213" s="5"/>
      <c r="H213" s="5"/>
    </row>
    <row r="214" spans="5:8" x14ac:dyDescent="0.2">
      <c r="E214" s="5"/>
      <c r="F214" s="5"/>
      <c r="G214" s="5"/>
      <c r="H214" s="5"/>
    </row>
    <row r="215" spans="5:8" x14ac:dyDescent="0.2">
      <c r="E215" s="5"/>
      <c r="F215" s="5"/>
      <c r="G215" s="5"/>
      <c r="H215" s="5"/>
    </row>
    <row r="216" spans="5:8" x14ac:dyDescent="0.2">
      <c r="E216" s="5"/>
      <c r="F216" s="5"/>
      <c r="G216" s="5"/>
      <c r="H216" s="5"/>
    </row>
    <row r="217" spans="5:8" x14ac:dyDescent="0.2">
      <c r="E217" s="5"/>
      <c r="F217" s="5"/>
      <c r="G217" s="5"/>
      <c r="H217" s="5"/>
    </row>
    <row r="218" spans="5:8" x14ac:dyDescent="0.2">
      <c r="E218" s="5"/>
      <c r="F218" s="5"/>
      <c r="G218" s="5"/>
      <c r="H218" s="5"/>
    </row>
    <row r="219" spans="5:8" x14ac:dyDescent="0.2">
      <c r="E219" s="5"/>
      <c r="F219" s="5"/>
      <c r="G219" s="5"/>
      <c r="H219" s="5"/>
    </row>
    <row r="220" spans="5:8" x14ac:dyDescent="0.2">
      <c r="E220" s="5"/>
      <c r="F220" s="5"/>
      <c r="G220" s="5"/>
      <c r="H220" s="5"/>
    </row>
    <row r="221" spans="5:8" x14ac:dyDescent="0.2">
      <c r="E221" s="5"/>
      <c r="F221" s="5"/>
      <c r="G221" s="5"/>
      <c r="H221" s="5"/>
    </row>
    <row r="222" spans="5:8" x14ac:dyDescent="0.2">
      <c r="E222" s="5"/>
      <c r="F222" s="5"/>
      <c r="G222" s="5"/>
      <c r="H222" s="5"/>
    </row>
    <row r="223" spans="5:8" x14ac:dyDescent="0.2">
      <c r="E223" s="5"/>
      <c r="F223" s="5"/>
      <c r="G223" s="5"/>
      <c r="H223" s="5"/>
    </row>
    <row r="224" spans="5:8" x14ac:dyDescent="0.2">
      <c r="E224" s="5"/>
      <c r="F224" s="5"/>
      <c r="G224" s="5"/>
      <c r="H224" s="5"/>
    </row>
    <row r="225" spans="5:8" x14ac:dyDescent="0.2">
      <c r="E225" s="5"/>
      <c r="F225" s="5"/>
      <c r="G225" s="5"/>
      <c r="H225" s="5"/>
    </row>
    <row r="226" spans="5:8" x14ac:dyDescent="0.2">
      <c r="E226" s="5"/>
      <c r="F226" s="5"/>
      <c r="G226" s="5"/>
      <c r="H226" s="5"/>
    </row>
    <row r="227" spans="5:8" x14ac:dyDescent="0.2">
      <c r="E227" s="5"/>
      <c r="F227" s="5"/>
      <c r="G227" s="5"/>
      <c r="H227" s="5"/>
    </row>
    <row r="228" spans="5:8" x14ac:dyDescent="0.2">
      <c r="E228" s="5"/>
      <c r="F228" s="5"/>
      <c r="G228" s="5"/>
      <c r="H228" s="5"/>
    </row>
    <row r="229" spans="5:8" x14ac:dyDescent="0.2">
      <c r="E229" s="5"/>
      <c r="F229" s="5"/>
      <c r="G229" s="5"/>
      <c r="H229" s="5"/>
    </row>
    <row r="230" spans="5:8" x14ac:dyDescent="0.2">
      <c r="E230" s="5"/>
      <c r="F230" s="5"/>
      <c r="G230" s="5"/>
      <c r="H230" s="5"/>
    </row>
    <row r="231" spans="5:8" x14ac:dyDescent="0.2">
      <c r="E231" s="5"/>
      <c r="F231" s="5"/>
      <c r="G231" s="5"/>
      <c r="H231" s="5"/>
    </row>
    <row r="232" spans="5:8" x14ac:dyDescent="0.2">
      <c r="E232" s="5"/>
      <c r="F232" s="5"/>
      <c r="G232" s="5"/>
      <c r="H232" s="5"/>
    </row>
    <row r="233" spans="5:8" x14ac:dyDescent="0.2">
      <c r="E233" s="5"/>
      <c r="F233" s="5"/>
      <c r="G233" s="5"/>
      <c r="H233" s="5"/>
    </row>
    <row r="234" spans="5:8" x14ac:dyDescent="0.2">
      <c r="E234" s="5"/>
      <c r="F234" s="5"/>
      <c r="G234" s="5"/>
      <c r="H234" s="5"/>
    </row>
    <row r="235" spans="5:8" x14ac:dyDescent="0.2">
      <c r="E235" s="5"/>
      <c r="F235" s="5"/>
      <c r="G235" s="5"/>
      <c r="H235" s="5"/>
    </row>
    <row r="236" spans="5:8" x14ac:dyDescent="0.2">
      <c r="E236" s="5"/>
      <c r="F236" s="5"/>
      <c r="G236" s="5"/>
      <c r="H236" s="5"/>
    </row>
    <row r="237" spans="5:8" x14ac:dyDescent="0.2">
      <c r="E237" s="5"/>
      <c r="F237" s="5"/>
      <c r="G237" s="5"/>
      <c r="H237" s="5"/>
    </row>
    <row r="238" spans="5:8" x14ac:dyDescent="0.2">
      <c r="E238" s="5"/>
      <c r="F238" s="5"/>
      <c r="G238" s="5"/>
      <c r="H238" s="5"/>
    </row>
    <row r="239" spans="5:8" x14ac:dyDescent="0.2">
      <c r="E239" s="5"/>
      <c r="F239" s="5"/>
      <c r="G239" s="5"/>
      <c r="H239" s="5"/>
    </row>
    <row r="240" spans="5:8" x14ac:dyDescent="0.2">
      <c r="E240" s="5"/>
      <c r="F240" s="5"/>
      <c r="G240" s="5"/>
      <c r="H240" s="5"/>
    </row>
    <row r="241" spans="5:8" x14ac:dyDescent="0.2">
      <c r="E241" s="5"/>
      <c r="F241" s="5"/>
      <c r="G241" s="5"/>
      <c r="H241" s="5"/>
    </row>
    <row r="242" spans="5:8" x14ac:dyDescent="0.2">
      <c r="E242" s="5"/>
      <c r="F242" s="5"/>
      <c r="G242" s="5"/>
      <c r="H242" s="5"/>
    </row>
    <row r="243" spans="5:8" x14ac:dyDescent="0.2">
      <c r="E243" s="5"/>
      <c r="F243" s="5"/>
      <c r="G243" s="5"/>
      <c r="H243" s="5"/>
    </row>
    <row r="244" spans="5:8" x14ac:dyDescent="0.2">
      <c r="E244" s="5"/>
      <c r="F244" s="5"/>
      <c r="G244" s="5"/>
      <c r="H244" s="5"/>
    </row>
    <row r="245" spans="5:8" x14ac:dyDescent="0.2">
      <c r="E245" s="5"/>
      <c r="F245" s="5"/>
      <c r="G245" s="5"/>
      <c r="H245" s="5"/>
    </row>
    <row r="246" spans="5:8" x14ac:dyDescent="0.2">
      <c r="E246" s="5"/>
      <c r="F246" s="5"/>
      <c r="G246" s="5"/>
      <c r="H246" s="5"/>
    </row>
    <row r="247" spans="5:8" x14ac:dyDescent="0.2">
      <c r="E247" s="5"/>
      <c r="F247" s="5"/>
      <c r="G247" s="5"/>
      <c r="H247" s="5"/>
    </row>
    <row r="248" spans="5:8" x14ac:dyDescent="0.2">
      <c r="E248" s="5"/>
      <c r="F248" s="5"/>
      <c r="G248" s="5"/>
      <c r="H248" s="5"/>
    </row>
    <row r="249" spans="5:8" x14ac:dyDescent="0.2">
      <c r="E249" s="5"/>
      <c r="F249" s="5"/>
      <c r="G249" s="5"/>
      <c r="H249" s="5"/>
    </row>
    <row r="250" spans="5:8" x14ac:dyDescent="0.2">
      <c r="E250" s="5"/>
      <c r="F250" s="5"/>
      <c r="G250" s="5"/>
      <c r="H250" s="5"/>
    </row>
    <row r="251" spans="5:8" x14ac:dyDescent="0.2">
      <c r="E251" s="5"/>
      <c r="F251" s="5"/>
      <c r="G251" s="5"/>
      <c r="H251" s="5"/>
    </row>
    <row r="252" spans="5:8" x14ac:dyDescent="0.2">
      <c r="E252" s="5"/>
      <c r="F252" s="5"/>
      <c r="G252" s="5"/>
      <c r="H252" s="5"/>
    </row>
    <row r="253" spans="5:8" x14ac:dyDescent="0.2">
      <c r="E253" s="5"/>
      <c r="F253" s="5"/>
      <c r="G253" s="5"/>
      <c r="H253" s="5"/>
    </row>
    <row r="254" spans="5:8" x14ac:dyDescent="0.2">
      <c r="E254" s="5"/>
      <c r="F254" s="5"/>
      <c r="G254" s="5"/>
      <c r="H254" s="5"/>
    </row>
    <row r="255" spans="5:8" x14ac:dyDescent="0.2">
      <c r="E255" s="5"/>
      <c r="F255" s="5"/>
      <c r="G255" s="5"/>
      <c r="H255" s="5"/>
    </row>
    <row r="256" spans="5:8" x14ac:dyDescent="0.2">
      <c r="E256" s="5"/>
      <c r="F256" s="5"/>
      <c r="G256" s="5"/>
      <c r="H256" s="5"/>
    </row>
    <row r="257" spans="5:8" x14ac:dyDescent="0.2">
      <c r="E257" s="5"/>
      <c r="F257" s="5"/>
      <c r="G257" s="5"/>
      <c r="H257" s="5"/>
    </row>
    <row r="258" spans="5:8" x14ac:dyDescent="0.2">
      <c r="E258" s="5"/>
      <c r="F258" s="5"/>
      <c r="G258" s="5"/>
      <c r="H258" s="5"/>
    </row>
    <row r="259" spans="5:8" x14ac:dyDescent="0.2">
      <c r="E259" s="5"/>
      <c r="F259" s="5"/>
      <c r="G259" s="5"/>
      <c r="H259" s="5"/>
    </row>
    <row r="260" spans="5:8" x14ac:dyDescent="0.2">
      <c r="E260" s="5"/>
      <c r="F260" s="5"/>
      <c r="G260" s="5"/>
      <c r="H260" s="5"/>
    </row>
    <row r="261" spans="5:8" x14ac:dyDescent="0.2">
      <c r="E261" s="5"/>
      <c r="F261" s="5"/>
      <c r="G261" s="5"/>
      <c r="H261" s="5"/>
    </row>
    <row r="262" spans="5:8" x14ac:dyDescent="0.2">
      <c r="E262" s="5"/>
      <c r="F262" s="5"/>
      <c r="G262" s="5"/>
      <c r="H262" s="5"/>
    </row>
    <row r="263" spans="5:8" x14ac:dyDescent="0.2">
      <c r="E263" s="5"/>
      <c r="F263" s="5"/>
      <c r="G263" s="5"/>
      <c r="H263" s="5"/>
    </row>
    <row r="264" spans="5:8" x14ac:dyDescent="0.2">
      <c r="E264" s="5"/>
      <c r="F264" s="5"/>
      <c r="G264" s="5"/>
      <c r="H264" s="5"/>
    </row>
    <row r="265" spans="5:8" x14ac:dyDescent="0.2">
      <c r="E265" s="5"/>
      <c r="F265" s="5"/>
      <c r="G265" s="5"/>
      <c r="H265" s="5"/>
    </row>
    <row r="266" spans="5:8" x14ac:dyDescent="0.2">
      <c r="E266" s="5"/>
      <c r="F266" s="5"/>
      <c r="G266" s="5"/>
      <c r="H266" s="5"/>
    </row>
    <row r="267" spans="5:8" x14ac:dyDescent="0.2">
      <c r="E267" s="5"/>
      <c r="F267" s="5"/>
      <c r="G267" s="5"/>
      <c r="H267" s="5"/>
    </row>
    <row r="268" spans="5:8" x14ac:dyDescent="0.2">
      <c r="E268" s="5"/>
      <c r="F268" s="5"/>
      <c r="G268" s="5"/>
      <c r="H268" s="5"/>
    </row>
    <row r="269" spans="5:8" x14ac:dyDescent="0.2">
      <c r="E269" s="5"/>
      <c r="F269" s="5"/>
      <c r="G269" s="5"/>
      <c r="H269" s="5"/>
    </row>
    <row r="270" spans="5:8" x14ac:dyDescent="0.2">
      <c r="E270" s="5"/>
      <c r="F270" s="5"/>
      <c r="G270" s="5"/>
      <c r="H270" s="5"/>
    </row>
    <row r="271" spans="5:8" x14ac:dyDescent="0.2">
      <c r="E271" s="5"/>
      <c r="F271" s="5"/>
      <c r="G271" s="5"/>
      <c r="H271" s="5"/>
    </row>
    <row r="272" spans="5:8" x14ac:dyDescent="0.2">
      <c r="E272" s="5"/>
      <c r="F272" s="5"/>
      <c r="G272" s="5"/>
      <c r="H272" s="5"/>
    </row>
    <row r="273" spans="5:8" x14ac:dyDescent="0.2">
      <c r="E273" s="5"/>
      <c r="F273" s="5"/>
      <c r="G273" s="5"/>
      <c r="H273" s="5"/>
    </row>
    <row r="274" spans="5:8" x14ac:dyDescent="0.2">
      <c r="E274" s="5"/>
      <c r="F274" s="5"/>
      <c r="G274" s="5"/>
      <c r="H274" s="5"/>
    </row>
    <row r="275" spans="5:8" x14ac:dyDescent="0.2">
      <c r="E275" s="5"/>
      <c r="F275" s="5"/>
      <c r="G275" s="5"/>
      <c r="H275" s="5"/>
    </row>
    <row r="276" spans="5:8" x14ac:dyDescent="0.2">
      <c r="E276" s="5"/>
      <c r="F276" s="5"/>
      <c r="G276" s="5"/>
      <c r="H276" s="5"/>
    </row>
    <row r="277" spans="5:8" x14ac:dyDescent="0.2">
      <c r="E277" s="5"/>
      <c r="F277" s="5"/>
      <c r="G277" s="5"/>
      <c r="H277" s="5"/>
    </row>
    <row r="278" spans="5:8" x14ac:dyDescent="0.2">
      <c r="E278" s="5"/>
      <c r="F278" s="5"/>
      <c r="G278" s="5"/>
      <c r="H278" s="5"/>
    </row>
    <row r="279" spans="5:8" x14ac:dyDescent="0.2">
      <c r="E279" s="5"/>
      <c r="F279" s="5"/>
      <c r="G279" s="5"/>
      <c r="H279" s="5"/>
    </row>
    <row r="280" spans="5:8" x14ac:dyDescent="0.2">
      <c r="E280" s="5"/>
      <c r="F280" s="5"/>
      <c r="G280" s="5"/>
      <c r="H280" s="5"/>
    </row>
    <row r="281" spans="5:8" x14ac:dyDescent="0.2">
      <c r="E281" s="5"/>
      <c r="F281" s="5"/>
      <c r="G281" s="5"/>
      <c r="H281" s="5"/>
    </row>
    <row r="282" spans="5:8" x14ac:dyDescent="0.2">
      <c r="E282" s="5"/>
      <c r="F282" s="5"/>
      <c r="G282" s="5"/>
      <c r="H282" s="5"/>
    </row>
    <row r="283" spans="5:8" x14ac:dyDescent="0.2">
      <c r="E283" s="5"/>
      <c r="F283" s="5"/>
      <c r="G283" s="5"/>
      <c r="H283" s="5"/>
    </row>
    <row r="284" spans="5:8" x14ac:dyDescent="0.2">
      <c r="E284" s="5"/>
      <c r="F284" s="5"/>
      <c r="G284" s="5"/>
      <c r="H284" s="5"/>
    </row>
    <row r="285" spans="5:8" x14ac:dyDescent="0.2">
      <c r="E285" s="5"/>
      <c r="F285" s="5"/>
      <c r="G285" s="5"/>
      <c r="H285" s="5"/>
    </row>
    <row r="286" spans="5:8" x14ac:dyDescent="0.2">
      <c r="E286" s="5"/>
      <c r="F286" s="5"/>
      <c r="G286" s="5"/>
      <c r="H286" s="5"/>
    </row>
    <row r="287" spans="5:8" x14ac:dyDescent="0.2">
      <c r="E287" s="5"/>
      <c r="F287" s="5"/>
      <c r="G287" s="5"/>
      <c r="H287" s="5"/>
    </row>
    <row r="288" spans="5:8" x14ac:dyDescent="0.2">
      <c r="E288" s="5"/>
      <c r="F288" s="5"/>
      <c r="G288" s="5"/>
      <c r="H288" s="5"/>
    </row>
    <row r="289" spans="5:8" x14ac:dyDescent="0.2">
      <c r="E289" s="5"/>
      <c r="F289" s="5"/>
      <c r="G289" s="5"/>
      <c r="H289" s="5"/>
    </row>
    <row r="290" spans="5:8" x14ac:dyDescent="0.2">
      <c r="E290" s="5"/>
      <c r="F290" s="5"/>
      <c r="G290" s="5"/>
      <c r="H290" s="5"/>
    </row>
    <row r="291" spans="5:8" x14ac:dyDescent="0.2">
      <c r="E291" s="5"/>
      <c r="F291" s="5"/>
      <c r="G291" s="5"/>
      <c r="H291" s="5"/>
    </row>
    <row r="292" spans="5:8" x14ac:dyDescent="0.2">
      <c r="E292" s="5"/>
      <c r="F292" s="5"/>
      <c r="G292" s="5"/>
      <c r="H292" s="5"/>
    </row>
    <row r="293" spans="5:8" x14ac:dyDescent="0.2">
      <c r="E293" s="5"/>
      <c r="F293" s="5"/>
      <c r="G293" s="5"/>
      <c r="H293" s="5"/>
    </row>
    <row r="294" spans="5:8" x14ac:dyDescent="0.2">
      <c r="E294" s="5"/>
      <c r="F294" s="5"/>
      <c r="G294" s="5"/>
      <c r="H294" s="5"/>
    </row>
    <row r="295" spans="5:8" x14ac:dyDescent="0.2">
      <c r="E295" s="5"/>
      <c r="F295" s="5"/>
      <c r="G295" s="5"/>
      <c r="H295" s="5"/>
    </row>
    <row r="296" spans="5:8" x14ac:dyDescent="0.2">
      <c r="E296" s="5"/>
      <c r="F296" s="5"/>
      <c r="G296" s="5"/>
      <c r="H296" s="5"/>
    </row>
    <row r="297" spans="5:8" x14ac:dyDescent="0.2">
      <c r="E297" s="5"/>
      <c r="F297" s="5"/>
      <c r="G297" s="5"/>
      <c r="H297" s="5"/>
    </row>
    <row r="298" spans="5:8" x14ac:dyDescent="0.2">
      <c r="E298" s="5"/>
      <c r="F298" s="5"/>
      <c r="G298" s="5"/>
      <c r="H298" s="5"/>
    </row>
    <row r="299" spans="5:8" x14ac:dyDescent="0.2">
      <c r="E299" s="5"/>
      <c r="F299" s="5"/>
      <c r="G299" s="5"/>
      <c r="H299" s="5"/>
    </row>
    <row r="300" spans="5:8" x14ac:dyDescent="0.2">
      <c r="E300" s="5"/>
      <c r="F300" s="5"/>
      <c r="G300" s="5"/>
      <c r="H300" s="5"/>
    </row>
    <row r="301" spans="5:8" x14ac:dyDescent="0.2">
      <c r="E301" s="5"/>
      <c r="F301" s="5"/>
      <c r="G301" s="5"/>
      <c r="H301" s="5"/>
    </row>
    <row r="302" spans="5:8" x14ac:dyDescent="0.2">
      <c r="E302" s="5"/>
      <c r="F302" s="5"/>
      <c r="G302" s="5"/>
      <c r="H302" s="5"/>
    </row>
    <row r="303" spans="5:8" x14ac:dyDescent="0.2">
      <c r="E303" s="5"/>
      <c r="F303" s="5"/>
      <c r="G303" s="5"/>
      <c r="H303" s="5"/>
    </row>
    <row r="304" spans="5:8" x14ac:dyDescent="0.2">
      <c r="E304" s="5"/>
      <c r="F304" s="5"/>
      <c r="G304" s="5"/>
      <c r="H304" s="5"/>
    </row>
    <row r="305" spans="5:8" x14ac:dyDescent="0.2">
      <c r="E305" s="5"/>
      <c r="F305" s="5"/>
      <c r="G305" s="5"/>
      <c r="H305" s="5"/>
    </row>
    <row r="306" spans="5:8" x14ac:dyDescent="0.2">
      <c r="E306" s="5"/>
      <c r="F306" s="5"/>
      <c r="G306" s="5"/>
      <c r="H306" s="5"/>
    </row>
    <row r="307" spans="5:8" x14ac:dyDescent="0.2">
      <c r="E307" s="5"/>
      <c r="F307" s="5"/>
      <c r="G307" s="5"/>
      <c r="H307" s="5"/>
    </row>
    <row r="308" spans="5:8" x14ac:dyDescent="0.2">
      <c r="E308" s="5"/>
      <c r="F308" s="5"/>
      <c r="G308" s="5"/>
      <c r="H308" s="5"/>
    </row>
    <row r="309" spans="5:8" x14ac:dyDescent="0.2">
      <c r="E309" s="5"/>
      <c r="F309" s="5"/>
      <c r="G309" s="5"/>
      <c r="H309" s="5"/>
    </row>
    <row r="310" spans="5:8" x14ac:dyDescent="0.2">
      <c r="E310" s="5"/>
      <c r="F310" s="5"/>
      <c r="G310" s="5"/>
      <c r="H310" s="5"/>
    </row>
    <row r="311" spans="5:8" x14ac:dyDescent="0.2">
      <c r="E311" s="5"/>
      <c r="F311" s="5"/>
      <c r="G311" s="5"/>
      <c r="H311" s="5"/>
    </row>
    <row r="312" spans="5:8" x14ac:dyDescent="0.2">
      <c r="E312" s="5"/>
      <c r="F312" s="5"/>
      <c r="G312" s="5"/>
      <c r="H312" s="5"/>
    </row>
    <row r="313" spans="5:8" x14ac:dyDescent="0.2">
      <c r="E313" s="5"/>
      <c r="F313" s="5"/>
      <c r="G313" s="5"/>
      <c r="H313" s="5"/>
    </row>
    <row r="314" spans="5:8" x14ac:dyDescent="0.2">
      <c r="E314" s="5"/>
      <c r="F314" s="5"/>
      <c r="G314" s="5"/>
      <c r="H314" s="5"/>
    </row>
    <row r="315" spans="5:8" x14ac:dyDescent="0.2">
      <c r="E315" s="5"/>
      <c r="F315" s="5"/>
      <c r="G315" s="5"/>
      <c r="H315" s="5"/>
    </row>
    <row r="316" spans="5:8" x14ac:dyDescent="0.2">
      <c r="E316" s="5"/>
      <c r="F316" s="5"/>
      <c r="G316" s="5"/>
      <c r="H316" s="5"/>
    </row>
    <row r="317" spans="5:8" x14ac:dyDescent="0.2">
      <c r="E317" s="5"/>
      <c r="F317" s="5"/>
      <c r="G317" s="5"/>
      <c r="H317" s="5"/>
    </row>
    <row r="318" spans="5:8" x14ac:dyDescent="0.2">
      <c r="E318" s="5"/>
      <c r="F318" s="5"/>
      <c r="G318" s="5"/>
      <c r="H318" s="5"/>
    </row>
    <row r="319" spans="5:8" x14ac:dyDescent="0.2">
      <c r="E319" s="5"/>
      <c r="F319" s="5"/>
      <c r="G319" s="5"/>
      <c r="H319" s="5"/>
    </row>
    <row r="320" spans="5:8" x14ac:dyDescent="0.2">
      <c r="E320" s="5"/>
      <c r="F320" s="5"/>
      <c r="G320" s="5"/>
      <c r="H320" s="5"/>
    </row>
    <row r="321" spans="5:8" x14ac:dyDescent="0.2">
      <c r="E321" s="5"/>
      <c r="F321" s="5"/>
      <c r="G321" s="5"/>
      <c r="H321" s="5"/>
    </row>
    <row r="322" spans="5:8" x14ac:dyDescent="0.2">
      <c r="E322" s="5"/>
      <c r="F322" s="5"/>
      <c r="G322" s="5"/>
      <c r="H322" s="5"/>
    </row>
    <row r="323" spans="5:8" x14ac:dyDescent="0.2">
      <c r="E323" s="5"/>
      <c r="F323" s="5"/>
      <c r="G323" s="5"/>
      <c r="H323" s="5"/>
    </row>
    <row r="324" spans="5:8" x14ac:dyDescent="0.2">
      <c r="E324" s="5"/>
      <c r="F324" s="5"/>
      <c r="G324" s="5"/>
      <c r="H324" s="5"/>
    </row>
    <row r="325" spans="5:8" x14ac:dyDescent="0.2">
      <c r="E325" s="5"/>
      <c r="F325" s="5"/>
      <c r="G325" s="5"/>
      <c r="H325" s="5"/>
    </row>
    <row r="326" spans="5:8" x14ac:dyDescent="0.2">
      <c r="E326" s="5"/>
      <c r="F326" s="5"/>
      <c r="G326" s="5"/>
      <c r="H326" s="5"/>
    </row>
    <row r="327" spans="5:8" x14ac:dyDescent="0.2">
      <c r="E327" s="5"/>
      <c r="F327" s="5"/>
      <c r="G327" s="5"/>
      <c r="H327" s="5"/>
    </row>
    <row r="328" spans="5:8" x14ac:dyDescent="0.2">
      <c r="E328" s="5"/>
      <c r="F328" s="5"/>
      <c r="G328" s="5"/>
      <c r="H328" s="5"/>
    </row>
    <row r="329" spans="5:8" x14ac:dyDescent="0.2">
      <c r="E329" s="5"/>
      <c r="F329" s="5"/>
      <c r="G329" s="5"/>
      <c r="H329" s="5"/>
    </row>
    <row r="330" spans="5:8" x14ac:dyDescent="0.2">
      <c r="E330" s="5"/>
      <c r="F330" s="5"/>
      <c r="G330" s="5"/>
      <c r="H330" s="5"/>
    </row>
    <row r="331" spans="5:8" x14ac:dyDescent="0.2">
      <c r="E331" s="5"/>
      <c r="F331" s="5"/>
      <c r="G331" s="5"/>
      <c r="H331" s="5"/>
    </row>
    <row r="332" spans="5:8" x14ac:dyDescent="0.2">
      <c r="E332" s="5"/>
      <c r="F332" s="5"/>
      <c r="G332" s="5"/>
      <c r="H332" s="5"/>
    </row>
    <row r="333" spans="5:8" x14ac:dyDescent="0.2">
      <c r="E333" s="5"/>
      <c r="F333" s="5"/>
      <c r="G333" s="5"/>
      <c r="H333" s="5"/>
    </row>
    <row r="334" spans="5:8" x14ac:dyDescent="0.2">
      <c r="E334" s="5"/>
      <c r="F334" s="5"/>
      <c r="G334" s="5"/>
      <c r="H334" s="5"/>
    </row>
    <row r="335" spans="5:8" x14ac:dyDescent="0.2">
      <c r="E335" s="5"/>
      <c r="F335" s="5"/>
      <c r="G335" s="5"/>
      <c r="H335" s="5"/>
    </row>
    <row r="336" spans="5:8" x14ac:dyDescent="0.2">
      <c r="E336" s="5"/>
      <c r="F336" s="5"/>
      <c r="G336" s="5"/>
      <c r="H336" s="5"/>
    </row>
    <row r="337" spans="5:8" x14ac:dyDescent="0.2">
      <c r="E337" s="5"/>
      <c r="F337" s="5"/>
      <c r="G337" s="5"/>
      <c r="H337" s="5"/>
    </row>
    <row r="338" spans="5:8" x14ac:dyDescent="0.2">
      <c r="E338" s="5"/>
      <c r="F338" s="5"/>
      <c r="G338" s="5"/>
      <c r="H338" s="5"/>
    </row>
    <row r="339" spans="5:8" x14ac:dyDescent="0.2">
      <c r="E339" s="5"/>
      <c r="F339" s="5"/>
      <c r="G339" s="5"/>
      <c r="H339" s="5"/>
    </row>
    <row r="340" spans="5:8" x14ac:dyDescent="0.2">
      <c r="E340" s="5"/>
      <c r="F340" s="5"/>
      <c r="G340" s="5"/>
      <c r="H340" s="5"/>
    </row>
    <row r="341" spans="5:8" x14ac:dyDescent="0.2">
      <c r="E341" s="5"/>
      <c r="F341" s="5"/>
      <c r="G341" s="5"/>
      <c r="H341" s="5"/>
    </row>
    <row r="342" spans="5:8" x14ac:dyDescent="0.2">
      <c r="E342" s="5"/>
      <c r="F342" s="5"/>
      <c r="G342" s="5"/>
      <c r="H342" s="5"/>
    </row>
    <row r="343" spans="5:8" x14ac:dyDescent="0.2">
      <c r="E343" s="5"/>
      <c r="F343" s="5"/>
      <c r="G343" s="5"/>
      <c r="H343" s="5"/>
    </row>
    <row r="344" spans="5:8" x14ac:dyDescent="0.2">
      <c r="E344" s="5"/>
      <c r="F344" s="5"/>
      <c r="G344" s="5"/>
      <c r="H344" s="5"/>
    </row>
    <row r="345" spans="5:8" x14ac:dyDescent="0.2">
      <c r="E345" s="5"/>
      <c r="F345" s="5"/>
      <c r="G345" s="5"/>
      <c r="H345" s="5"/>
    </row>
    <row r="346" spans="5:8" x14ac:dyDescent="0.2">
      <c r="E346" s="5"/>
      <c r="F346" s="5"/>
      <c r="G346" s="5"/>
      <c r="H346" s="5"/>
    </row>
    <row r="347" spans="5:8" x14ac:dyDescent="0.2">
      <c r="E347" s="5"/>
      <c r="F347" s="5"/>
      <c r="G347" s="5"/>
      <c r="H347" s="5"/>
    </row>
    <row r="348" spans="5:8" x14ac:dyDescent="0.2">
      <c r="E348" s="5"/>
      <c r="F348" s="5"/>
      <c r="G348" s="5"/>
      <c r="H348" s="5"/>
    </row>
    <row r="349" spans="5:8" x14ac:dyDescent="0.2">
      <c r="E349" s="5"/>
      <c r="F349" s="5"/>
      <c r="G349" s="5"/>
      <c r="H349" s="5"/>
    </row>
    <row r="350" spans="5:8" x14ac:dyDescent="0.2">
      <c r="E350" s="5"/>
      <c r="F350" s="5"/>
      <c r="G350" s="5"/>
      <c r="H350" s="5"/>
    </row>
    <row r="351" spans="5:8" x14ac:dyDescent="0.2">
      <c r="E351" s="5"/>
      <c r="F351" s="5"/>
      <c r="G351" s="5"/>
      <c r="H351" s="5"/>
    </row>
    <row r="352" spans="5:8" x14ac:dyDescent="0.2">
      <c r="E352" s="5"/>
      <c r="F352" s="5"/>
      <c r="G352" s="5"/>
      <c r="H352" s="5"/>
    </row>
    <row r="353" spans="5:8" x14ac:dyDescent="0.2">
      <c r="E353" s="5"/>
      <c r="F353" s="5"/>
      <c r="G353" s="5"/>
      <c r="H353" s="5"/>
    </row>
    <row r="354" spans="5:8" x14ac:dyDescent="0.2">
      <c r="E354" s="5"/>
      <c r="F354" s="5"/>
      <c r="G354" s="5"/>
      <c r="H354" s="5"/>
    </row>
    <row r="355" spans="5:8" x14ac:dyDescent="0.2">
      <c r="E355" s="5"/>
      <c r="F355" s="5"/>
      <c r="G355" s="5"/>
      <c r="H355" s="5"/>
    </row>
    <row r="356" spans="5:8" x14ac:dyDescent="0.2">
      <c r="E356" s="5"/>
      <c r="F356" s="5"/>
      <c r="G356" s="5"/>
      <c r="H356" s="5"/>
    </row>
    <row r="357" spans="5:8" x14ac:dyDescent="0.2">
      <c r="E357" s="5"/>
      <c r="F357" s="5"/>
      <c r="G357" s="5"/>
      <c r="H357" s="5"/>
    </row>
    <row r="358" spans="5:8" x14ac:dyDescent="0.2">
      <c r="E358" s="5"/>
      <c r="F358" s="5"/>
      <c r="G358" s="5"/>
      <c r="H358" s="5"/>
    </row>
    <row r="359" spans="5:8" x14ac:dyDescent="0.2">
      <c r="E359" s="5"/>
      <c r="F359" s="5"/>
      <c r="G359" s="5"/>
      <c r="H359" s="5"/>
    </row>
    <row r="360" spans="5:8" x14ac:dyDescent="0.2">
      <c r="E360" s="5"/>
      <c r="F360" s="5"/>
      <c r="G360" s="5"/>
      <c r="H360" s="5"/>
    </row>
    <row r="361" spans="5:8" x14ac:dyDescent="0.2">
      <c r="E361" s="5"/>
      <c r="F361" s="5"/>
      <c r="G361" s="5"/>
      <c r="H361" s="5"/>
    </row>
    <row r="362" spans="5:8" x14ac:dyDescent="0.2">
      <c r="E362" s="5"/>
      <c r="F362" s="5"/>
      <c r="G362" s="5"/>
      <c r="H362" s="5"/>
    </row>
    <row r="363" spans="5:8" x14ac:dyDescent="0.2">
      <c r="E363" s="5"/>
      <c r="F363" s="5"/>
      <c r="G363" s="5"/>
      <c r="H363" s="5"/>
    </row>
    <row r="364" spans="5:8" x14ac:dyDescent="0.2">
      <c r="E364" s="5"/>
      <c r="F364" s="5"/>
      <c r="G364" s="5"/>
      <c r="H364" s="5"/>
    </row>
    <row r="365" spans="5:8" x14ac:dyDescent="0.2">
      <c r="E365" s="5"/>
      <c r="F365" s="5"/>
      <c r="G365" s="5"/>
      <c r="H365" s="5"/>
    </row>
    <row r="366" spans="5:8" x14ac:dyDescent="0.2">
      <c r="E366" s="5"/>
      <c r="F366" s="5"/>
      <c r="G366" s="5"/>
      <c r="H366" s="5"/>
    </row>
    <row r="367" spans="5:8" x14ac:dyDescent="0.2">
      <c r="E367" s="5"/>
      <c r="F367" s="5"/>
      <c r="G367" s="5"/>
      <c r="H367" s="5"/>
    </row>
    <row r="368" spans="5:8" x14ac:dyDescent="0.2">
      <c r="E368" s="5"/>
      <c r="F368" s="5"/>
      <c r="G368" s="5"/>
      <c r="H368" s="5"/>
    </row>
    <row r="369" spans="5:8" x14ac:dyDescent="0.2">
      <c r="E369" s="5"/>
      <c r="F369" s="5"/>
      <c r="G369" s="5"/>
      <c r="H369" s="5"/>
    </row>
    <row r="370" spans="5:8" x14ac:dyDescent="0.2">
      <c r="E370" s="5"/>
      <c r="F370" s="5"/>
      <c r="G370" s="5"/>
      <c r="H370" s="5"/>
    </row>
    <row r="371" spans="5:8" x14ac:dyDescent="0.2">
      <c r="E371" s="5"/>
      <c r="F371" s="5"/>
      <c r="G371" s="5"/>
      <c r="H371" s="5"/>
    </row>
    <row r="372" spans="5:8" x14ac:dyDescent="0.2">
      <c r="E372" s="5"/>
      <c r="F372" s="5"/>
      <c r="G372" s="5"/>
      <c r="H372" s="5"/>
    </row>
    <row r="373" spans="5:8" x14ac:dyDescent="0.2">
      <c r="E373" s="5"/>
      <c r="F373" s="5"/>
      <c r="G373" s="5"/>
      <c r="H373" s="5"/>
    </row>
    <row r="374" spans="5:8" x14ac:dyDescent="0.2">
      <c r="E374" s="5"/>
      <c r="F374" s="5"/>
      <c r="G374" s="5"/>
      <c r="H374" s="5"/>
    </row>
    <row r="375" spans="5:8" x14ac:dyDescent="0.2">
      <c r="E375" s="5"/>
      <c r="F375" s="5"/>
      <c r="G375" s="5"/>
      <c r="H375" s="5"/>
    </row>
    <row r="376" spans="5:8" x14ac:dyDescent="0.2">
      <c r="E376" s="5"/>
      <c r="F376" s="5"/>
      <c r="G376" s="5"/>
      <c r="H376" s="5"/>
    </row>
    <row r="377" spans="5:8" x14ac:dyDescent="0.2">
      <c r="E377" s="5"/>
      <c r="F377" s="5"/>
      <c r="G377" s="5"/>
      <c r="H377" s="5"/>
    </row>
    <row r="378" spans="5:8" x14ac:dyDescent="0.2">
      <c r="E378" s="5"/>
      <c r="F378" s="5"/>
      <c r="G378" s="5"/>
      <c r="H378" s="5"/>
    </row>
    <row r="379" spans="5:8" x14ac:dyDescent="0.2">
      <c r="E379" s="5"/>
      <c r="F379" s="5"/>
      <c r="G379" s="5"/>
      <c r="H379" s="5"/>
    </row>
    <row r="380" spans="5:8" x14ac:dyDescent="0.2">
      <c r="E380" s="5"/>
      <c r="F380" s="5"/>
      <c r="G380" s="5"/>
      <c r="H380" s="5"/>
    </row>
    <row r="381" spans="5:8" x14ac:dyDescent="0.2">
      <c r="E381" s="5"/>
      <c r="F381" s="5"/>
      <c r="G381" s="5"/>
      <c r="H381" s="5"/>
    </row>
    <row r="382" spans="5:8" x14ac:dyDescent="0.2">
      <c r="E382" s="5"/>
      <c r="F382" s="5"/>
      <c r="G382" s="5"/>
      <c r="H382" s="5"/>
    </row>
    <row r="383" spans="5:8" x14ac:dyDescent="0.2">
      <c r="E383" s="5"/>
      <c r="F383" s="5"/>
      <c r="G383" s="5"/>
      <c r="H383" s="5"/>
    </row>
    <row r="384" spans="5:8" x14ac:dyDescent="0.2">
      <c r="E384" s="5"/>
      <c r="F384" s="5"/>
      <c r="G384" s="5"/>
      <c r="H384" s="5"/>
    </row>
    <row r="385" spans="5:8" x14ac:dyDescent="0.2">
      <c r="E385" s="5"/>
      <c r="F385" s="5"/>
      <c r="G385" s="5"/>
      <c r="H385" s="5"/>
    </row>
    <row r="386" spans="5:8" x14ac:dyDescent="0.2">
      <c r="E386" s="5"/>
      <c r="F386" s="5"/>
      <c r="G386" s="5"/>
      <c r="H386" s="5"/>
    </row>
    <row r="387" spans="5:8" x14ac:dyDescent="0.2">
      <c r="E387" s="5"/>
      <c r="F387" s="5"/>
      <c r="G387" s="5"/>
      <c r="H387" s="5"/>
    </row>
    <row r="388" spans="5:8" x14ac:dyDescent="0.2">
      <c r="E388" s="5"/>
      <c r="F388" s="5"/>
      <c r="G388" s="5"/>
      <c r="H388" s="5"/>
    </row>
    <row r="389" spans="5:8" x14ac:dyDescent="0.2">
      <c r="E389" s="5"/>
      <c r="F389" s="5"/>
      <c r="G389" s="5"/>
      <c r="H389" s="5"/>
    </row>
    <row r="390" spans="5:8" x14ac:dyDescent="0.2">
      <c r="E390" s="5"/>
      <c r="F390" s="5"/>
      <c r="G390" s="5"/>
      <c r="H390" s="5"/>
    </row>
    <row r="391" spans="5:8" x14ac:dyDescent="0.2">
      <c r="E391" s="5"/>
      <c r="F391" s="5"/>
      <c r="G391" s="5"/>
      <c r="H391" s="5"/>
    </row>
    <row r="392" spans="5:8" x14ac:dyDescent="0.2">
      <c r="E392" s="5"/>
      <c r="F392" s="5"/>
      <c r="G392" s="5"/>
      <c r="H392" s="5"/>
    </row>
    <row r="393" spans="5:8" x14ac:dyDescent="0.2">
      <c r="E393" s="5"/>
      <c r="F393" s="5"/>
      <c r="G393" s="5"/>
      <c r="H393" s="5"/>
    </row>
    <row r="394" spans="5:8" x14ac:dyDescent="0.2">
      <c r="E394" s="5"/>
      <c r="F394" s="5"/>
      <c r="G394" s="5"/>
      <c r="H394" s="5"/>
    </row>
    <row r="395" spans="5:8" x14ac:dyDescent="0.2">
      <c r="E395" s="5"/>
      <c r="F395" s="5"/>
      <c r="G395" s="5"/>
      <c r="H395" s="5"/>
    </row>
    <row r="396" spans="5:8" x14ac:dyDescent="0.2">
      <c r="E396" s="5"/>
      <c r="F396" s="5"/>
      <c r="G396" s="5"/>
      <c r="H396" s="5"/>
    </row>
    <row r="397" spans="5:8" x14ac:dyDescent="0.2">
      <c r="E397" s="5"/>
      <c r="F397" s="5"/>
      <c r="G397" s="5"/>
      <c r="H397" s="5"/>
    </row>
    <row r="398" spans="5:8" x14ac:dyDescent="0.2">
      <c r="E398" s="5"/>
      <c r="F398" s="5"/>
      <c r="G398" s="5"/>
      <c r="H398" s="5"/>
    </row>
    <row r="399" spans="5:8" x14ac:dyDescent="0.2">
      <c r="E399" s="5"/>
      <c r="F399" s="5"/>
      <c r="G399" s="5"/>
      <c r="H399" s="5"/>
    </row>
    <row r="400" spans="5:8" x14ac:dyDescent="0.2">
      <c r="E400" s="5"/>
      <c r="F400" s="5"/>
      <c r="G400" s="5"/>
      <c r="H400" s="5"/>
    </row>
    <row r="401" spans="5:8" x14ac:dyDescent="0.2">
      <c r="E401" s="5"/>
      <c r="F401" s="5"/>
      <c r="G401" s="5"/>
      <c r="H401" s="5"/>
    </row>
    <row r="402" spans="5:8" x14ac:dyDescent="0.2">
      <c r="E402" s="5"/>
      <c r="F402" s="5"/>
      <c r="G402" s="5"/>
      <c r="H402" s="5"/>
    </row>
    <row r="403" spans="5:8" x14ac:dyDescent="0.2">
      <c r="E403" s="5"/>
      <c r="F403" s="5"/>
      <c r="G403" s="5"/>
      <c r="H403" s="5"/>
    </row>
    <row r="404" spans="5:8" x14ac:dyDescent="0.2">
      <c r="E404" s="5"/>
      <c r="F404" s="5"/>
      <c r="G404" s="5"/>
      <c r="H404" s="5"/>
    </row>
    <row r="405" spans="5:8" x14ac:dyDescent="0.2">
      <c r="E405" s="5"/>
      <c r="F405" s="5"/>
      <c r="G405" s="5"/>
      <c r="H405" s="5"/>
    </row>
    <row r="406" spans="5:8" x14ac:dyDescent="0.2">
      <c r="E406" s="5"/>
      <c r="F406" s="5"/>
      <c r="G406" s="5"/>
      <c r="H406" s="5"/>
    </row>
    <row r="407" spans="5:8" x14ac:dyDescent="0.2">
      <c r="E407" s="5"/>
      <c r="F407" s="5"/>
      <c r="G407" s="5"/>
      <c r="H407" s="5"/>
    </row>
    <row r="408" spans="5:8" x14ac:dyDescent="0.2">
      <c r="E408" s="5"/>
      <c r="F408" s="5"/>
      <c r="G408" s="5"/>
      <c r="H408" s="5"/>
    </row>
    <row r="409" spans="5:8" x14ac:dyDescent="0.2">
      <c r="E409" s="5"/>
      <c r="F409" s="5"/>
      <c r="G409" s="5"/>
      <c r="H409" s="5"/>
    </row>
    <row r="410" spans="5:8" x14ac:dyDescent="0.2">
      <c r="E410" s="5"/>
      <c r="F410" s="5"/>
      <c r="G410" s="5"/>
      <c r="H410" s="5"/>
    </row>
    <row r="411" spans="5:8" x14ac:dyDescent="0.2">
      <c r="E411" s="5"/>
      <c r="F411" s="5"/>
      <c r="G411" s="5"/>
      <c r="H411" s="5"/>
    </row>
    <row r="412" spans="5:8" x14ac:dyDescent="0.2">
      <c r="E412" s="5"/>
      <c r="F412" s="5"/>
      <c r="G412" s="5"/>
      <c r="H412" s="5"/>
    </row>
    <row r="413" spans="5:8" x14ac:dyDescent="0.2">
      <c r="E413" s="5"/>
      <c r="F413" s="5"/>
      <c r="G413" s="5"/>
      <c r="H413" s="5"/>
    </row>
    <row r="414" spans="5:8" x14ac:dyDescent="0.2">
      <c r="E414" s="5"/>
      <c r="F414" s="5"/>
      <c r="G414" s="5"/>
      <c r="H414" s="5"/>
    </row>
    <row r="415" spans="5:8" x14ac:dyDescent="0.2">
      <c r="E415" s="5"/>
      <c r="F415" s="5"/>
      <c r="G415" s="5"/>
      <c r="H415" s="5"/>
    </row>
    <row r="416" spans="5:8" x14ac:dyDescent="0.2">
      <c r="E416" s="5"/>
      <c r="F416" s="5"/>
      <c r="G416" s="5"/>
      <c r="H416" s="5"/>
    </row>
    <row r="417" spans="5:8" x14ac:dyDescent="0.2">
      <c r="E417" s="5"/>
      <c r="F417" s="5"/>
      <c r="G417" s="5"/>
      <c r="H417" s="5"/>
    </row>
    <row r="418" spans="5:8" x14ac:dyDescent="0.2">
      <c r="E418" s="5"/>
      <c r="F418" s="5"/>
      <c r="G418" s="5"/>
      <c r="H418" s="5"/>
    </row>
    <row r="419" spans="5:8" x14ac:dyDescent="0.2">
      <c r="E419" s="5"/>
      <c r="F419" s="5"/>
      <c r="G419" s="5"/>
      <c r="H419" s="5"/>
    </row>
    <row r="420" spans="5:8" x14ac:dyDescent="0.2">
      <c r="E420" s="5"/>
      <c r="F420" s="5"/>
      <c r="G420" s="5"/>
      <c r="H420" s="5"/>
    </row>
    <row r="421" spans="5:8" x14ac:dyDescent="0.2">
      <c r="E421" s="5"/>
      <c r="F421" s="5"/>
      <c r="G421" s="5"/>
      <c r="H421" s="5"/>
    </row>
    <row r="422" spans="5:8" x14ac:dyDescent="0.2">
      <c r="E422" s="5"/>
      <c r="F422" s="5"/>
      <c r="G422" s="5"/>
      <c r="H422" s="5"/>
    </row>
    <row r="423" spans="5:8" x14ac:dyDescent="0.2">
      <c r="E423" s="5"/>
      <c r="F423" s="5"/>
      <c r="G423" s="5"/>
      <c r="H423" s="5"/>
    </row>
    <row r="424" spans="5:8" x14ac:dyDescent="0.2">
      <c r="E424" s="5"/>
      <c r="F424" s="5"/>
      <c r="G424" s="5"/>
      <c r="H424" s="5"/>
    </row>
    <row r="425" spans="5:8" x14ac:dyDescent="0.2">
      <c r="E425" s="5"/>
      <c r="F425" s="5"/>
      <c r="G425" s="5"/>
      <c r="H425" s="5"/>
    </row>
    <row r="426" spans="5:8" x14ac:dyDescent="0.2">
      <c r="E426" s="5"/>
      <c r="F426" s="5"/>
      <c r="G426" s="5"/>
      <c r="H426" s="5"/>
    </row>
    <row r="427" spans="5:8" x14ac:dyDescent="0.2">
      <c r="E427" s="5"/>
      <c r="F427" s="5"/>
      <c r="G427" s="5"/>
      <c r="H427" s="5"/>
    </row>
    <row r="428" spans="5:8" x14ac:dyDescent="0.2">
      <c r="E428" s="5"/>
      <c r="F428" s="5"/>
      <c r="G428" s="5"/>
      <c r="H428" s="5"/>
    </row>
    <row r="429" spans="5:8" x14ac:dyDescent="0.2">
      <c r="E429" s="5"/>
      <c r="F429" s="5"/>
      <c r="G429" s="5"/>
      <c r="H429" s="5"/>
    </row>
    <row r="430" spans="5:8" x14ac:dyDescent="0.2">
      <c r="E430" s="5"/>
      <c r="F430" s="5"/>
      <c r="G430" s="5"/>
      <c r="H430" s="5"/>
    </row>
    <row r="431" spans="5:8" x14ac:dyDescent="0.2">
      <c r="E431" s="5"/>
      <c r="F431" s="5"/>
      <c r="G431" s="5"/>
      <c r="H431" s="5"/>
    </row>
    <row r="432" spans="5:8" x14ac:dyDescent="0.2">
      <c r="E432" s="5"/>
      <c r="F432" s="5"/>
      <c r="G432" s="5"/>
      <c r="H432" s="5"/>
    </row>
    <row r="433" spans="5:8" x14ac:dyDescent="0.2">
      <c r="E433" s="5"/>
      <c r="F433" s="5"/>
      <c r="G433" s="5"/>
      <c r="H433" s="5"/>
    </row>
    <row r="434" spans="5:8" x14ac:dyDescent="0.2">
      <c r="E434" s="5"/>
      <c r="F434" s="5"/>
      <c r="G434" s="5"/>
      <c r="H434" s="5"/>
    </row>
    <row r="435" spans="5:8" x14ac:dyDescent="0.2">
      <c r="E435" s="5"/>
      <c r="F435" s="5"/>
      <c r="G435" s="5"/>
      <c r="H435" s="5"/>
    </row>
    <row r="436" spans="5:8" x14ac:dyDescent="0.2">
      <c r="E436" s="5"/>
      <c r="F436" s="5"/>
      <c r="G436" s="5"/>
      <c r="H436" s="5"/>
    </row>
    <row r="437" spans="5:8" x14ac:dyDescent="0.2">
      <c r="E437" s="5"/>
      <c r="F437" s="5"/>
      <c r="G437" s="5"/>
      <c r="H437" s="5"/>
    </row>
    <row r="438" spans="5:8" x14ac:dyDescent="0.2">
      <c r="E438" s="5"/>
      <c r="F438" s="5"/>
      <c r="G438" s="5"/>
      <c r="H438" s="5"/>
    </row>
    <row r="439" spans="5:8" x14ac:dyDescent="0.2">
      <c r="E439" s="5"/>
      <c r="F439" s="5"/>
      <c r="G439" s="5"/>
      <c r="H439" s="5"/>
    </row>
    <row r="440" spans="5:8" x14ac:dyDescent="0.2">
      <c r="E440" s="5"/>
      <c r="F440" s="5"/>
      <c r="G440" s="5"/>
      <c r="H440" s="5"/>
    </row>
    <row r="441" spans="5:8" x14ac:dyDescent="0.2">
      <c r="E441" s="5"/>
      <c r="F441" s="5"/>
      <c r="G441" s="5"/>
      <c r="H441" s="5"/>
    </row>
    <row r="442" spans="5:8" x14ac:dyDescent="0.2">
      <c r="E442" s="5"/>
      <c r="F442" s="5"/>
      <c r="G442" s="5"/>
      <c r="H442" s="5"/>
    </row>
    <row r="443" spans="5:8" x14ac:dyDescent="0.2">
      <c r="E443" s="5"/>
      <c r="F443" s="5"/>
      <c r="G443" s="5"/>
      <c r="H443" s="5"/>
    </row>
    <row r="444" spans="5:8" x14ac:dyDescent="0.2">
      <c r="E444" s="5"/>
      <c r="F444" s="5"/>
      <c r="G444" s="5"/>
      <c r="H444" s="5"/>
    </row>
    <row r="445" spans="5:8" x14ac:dyDescent="0.2">
      <c r="E445" s="5"/>
      <c r="F445" s="5"/>
      <c r="G445" s="5"/>
      <c r="H445" s="5"/>
    </row>
    <row r="446" spans="5:8" x14ac:dyDescent="0.2">
      <c r="E446" s="5"/>
      <c r="F446" s="5"/>
      <c r="G446" s="5"/>
      <c r="H446" s="5"/>
    </row>
    <row r="447" spans="5:8" x14ac:dyDescent="0.2">
      <c r="E447" s="5"/>
      <c r="F447" s="5"/>
      <c r="G447" s="5"/>
      <c r="H447" s="5"/>
    </row>
    <row r="448" spans="5:8" x14ac:dyDescent="0.2">
      <c r="E448" s="5"/>
      <c r="F448" s="5"/>
      <c r="G448" s="5"/>
      <c r="H448" s="5"/>
    </row>
    <row r="449" spans="5:8" x14ac:dyDescent="0.2">
      <c r="E449" s="5"/>
      <c r="F449" s="5"/>
      <c r="G449" s="5"/>
      <c r="H449" s="5"/>
    </row>
    <row r="450" spans="5:8" x14ac:dyDescent="0.2">
      <c r="E450" s="5"/>
      <c r="F450" s="5"/>
      <c r="G450" s="5"/>
      <c r="H450" s="5"/>
    </row>
    <row r="451" spans="5:8" x14ac:dyDescent="0.2">
      <c r="E451" s="5"/>
      <c r="F451" s="5"/>
      <c r="G451" s="5"/>
      <c r="H451" s="5"/>
    </row>
    <row r="452" spans="5:8" x14ac:dyDescent="0.2">
      <c r="E452" s="5"/>
      <c r="F452" s="5"/>
      <c r="G452" s="5"/>
      <c r="H452" s="5"/>
    </row>
    <row r="453" spans="5:8" x14ac:dyDescent="0.2">
      <c r="E453" s="5"/>
      <c r="F453" s="5"/>
      <c r="G453" s="5"/>
      <c r="H453" s="5"/>
    </row>
    <row r="454" spans="5:8" x14ac:dyDescent="0.2">
      <c r="E454" s="5"/>
      <c r="F454" s="5"/>
      <c r="G454" s="5"/>
      <c r="H454" s="5"/>
    </row>
    <row r="455" spans="5:8" x14ac:dyDescent="0.2">
      <c r="E455" s="5"/>
      <c r="F455" s="5"/>
      <c r="G455" s="5"/>
      <c r="H455" s="5"/>
    </row>
    <row r="456" spans="5:8" x14ac:dyDescent="0.2">
      <c r="E456" s="5"/>
      <c r="F456" s="5"/>
      <c r="G456" s="5"/>
      <c r="H456" s="5"/>
    </row>
    <row r="457" spans="5:8" x14ac:dyDescent="0.2">
      <c r="E457" s="5"/>
      <c r="F457" s="5"/>
      <c r="G457" s="5"/>
      <c r="H457" s="5"/>
    </row>
    <row r="458" spans="5:8" x14ac:dyDescent="0.2">
      <c r="E458" s="5"/>
      <c r="F458" s="5"/>
      <c r="G458" s="5"/>
      <c r="H458" s="5"/>
    </row>
    <row r="459" spans="5:8" x14ac:dyDescent="0.2">
      <c r="E459" s="5"/>
      <c r="F459" s="5"/>
      <c r="G459" s="5"/>
      <c r="H459" s="5"/>
    </row>
    <row r="460" spans="5:8" x14ac:dyDescent="0.2">
      <c r="E460" s="5"/>
      <c r="F460" s="5"/>
      <c r="G460" s="5"/>
      <c r="H460" s="5"/>
    </row>
    <row r="461" spans="5:8" x14ac:dyDescent="0.2">
      <c r="E461" s="5"/>
      <c r="F461" s="5"/>
      <c r="G461" s="5"/>
      <c r="H461" s="5"/>
    </row>
    <row r="462" spans="5:8" x14ac:dyDescent="0.2">
      <c r="E462" s="5"/>
      <c r="F462" s="5"/>
      <c r="G462" s="5"/>
      <c r="H462" s="5"/>
    </row>
    <row r="463" spans="5:8" x14ac:dyDescent="0.2">
      <c r="E463" s="5"/>
      <c r="F463" s="5"/>
      <c r="G463" s="5"/>
      <c r="H463" s="5"/>
    </row>
    <row r="464" spans="5:8" x14ac:dyDescent="0.2">
      <c r="E464" s="5"/>
      <c r="F464" s="5"/>
      <c r="G464" s="5"/>
      <c r="H464" s="5"/>
    </row>
    <row r="465" spans="5:8" x14ac:dyDescent="0.2">
      <c r="E465" s="5"/>
      <c r="F465" s="5"/>
      <c r="G465" s="5"/>
      <c r="H465" s="5"/>
    </row>
    <row r="466" spans="5:8" x14ac:dyDescent="0.2">
      <c r="E466" s="5"/>
      <c r="F466" s="5"/>
      <c r="G466" s="5"/>
      <c r="H466" s="5"/>
    </row>
    <row r="467" spans="5:8" x14ac:dyDescent="0.2">
      <c r="E467" s="5"/>
      <c r="F467" s="5"/>
      <c r="G467" s="5"/>
      <c r="H467" s="5"/>
    </row>
    <row r="468" spans="5:8" x14ac:dyDescent="0.2">
      <c r="E468" s="5"/>
      <c r="F468" s="5"/>
      <c r="G468" s="5"/>
      <c r="H468" s="5"/>
    </row>
    <row r="469" spans="5:8" x14ac:dyDescent="0.2">
      <c r="E469" s="5"/>
      <c r="F469" s="5"/>
      <c r="G469" s="5"/>
      <c r="H469" s="5"/>
    </row>
    <row r="470" spans="5:8" x14ac:dyDescent="0.2">
      <c r="E470" s="5"/>
      <c r="F470" s="5"/>
      <c r="G470" s="5"/>
      <c r="H470" s="5"/>
    </row>
    <row r="471" spans="5:8" x14ac:dyDescent="0.2">
      <c r="E471" s="5"/>
      <c r="F471" s="5"/>
      <c r="G471" s="5"/>
      <c r="H471" s="5"/>
    </row>
    <row r="472" spans="5:8" x14ac:dyDescent="0.2">
      <c r="E472" s="5"/>
      <c r="F472" s="5"/>
      <c r="G472" s="5"/>
      <c r="H472" s="5"/>
    </row>
    <row r="473" spans="5:8" x14ac:dyDescent="0.2">
      <c r="E473" s="5"/>
      <c r="F473" s="5"/>
      <c r="G473" s="5"/>
      <c r="H473" s="5"/>
    </row>
    <row r="474" spans="5:8" x14ac:dyDescent="0.2">
      <c r="E474" s="5"/>
      <c r="F474" s="5"/>
      <c r="G474" s="5"/>
      <c r="H474" s="5"/>
    </row>
    <row r="475" spans="5:8" x14ac:dyDescent="0.2">
      <c r="E475" s="5"/>
      <c r="F475" s="5"/>
      <c r="G475" s="5"/>
      <c r="H475" s="5"/>
    </row>
    <row r="476" spans="5:8" x14ac:dyDescent="0.2">
      <c r="E476" s="5"/>
      <c r="F476" s="5"/>
      <c r="G476" s="5"/>
      <c r="H476" s="5"/>
    </row>
    <row r="477" spans="5:8" x14ac:dyDescent="0.2">
      <c r="E477" s="5"/>
      <c r="F477" s="5"/>
      <c r="G477" s="5"/>
      <c r="H477" s="5"/>
    </row>
    <row r="478" spans="5:8" x14ac:dyDescent="0.2">
      <c r="E478" s="5"/>
      <c r="F478" s="5"/>
      <c r="G478" s="5"/>
      <c r="H478" s="5"/>
    </row>
    <row r="479" spans="5:8" x14ac:dyDescent="0.2">
      <c r="E479" s="5"/>
      <c r="F479" s="5"/>
      <c r="G479" s="5"/>
      <c r="H479" s="5"/>
    </row>
    <row r="480" spans="5:8" x14ac:dyDescent="0.2">
      <c r="E480" s="5"/>
      <c r="F480" s="5"/>
      <c r="G480" s="5"/>
      <c r="H480" s="5"/>
    </row>
    <row r="481" spans="5:8" x14ac:dyDescent="0.2">
      <c r="E481" s="5"/>
      <c r="F481" s="5"/>
      <c r="G481" s="5"/>
      <c r="H481" s="5"/>
    </row>
    <row r="482" spans="5:8" x14ac:dyDescent="0.2">
      <c r="E482" s="5"/>
      <c r="F482" s="5"/>
      <c r="G482" s="5"/>
      <c r="H482" s="5"/>
    </row>
    <row r="483" spans="5:8" x14ac:dyDescent="0.2">
      <c r="E483" s="5"/>
      <c r="F483" s="5"/>
      <c r="G483" s="5"/>
      <c r="H483" s="5"/>
    </row>
    <row r="484" spans="5:8" x14ac:dyDescent="0.2">
      <c r="E484" s="5"/>
      <c r="F484" s="5"/>
      <c r="G484" s="5"/>
      <c r="H484" s="5"/>
    </row>
    <row r="485" spans="5:8" x14ac:dyDescent="0.2">
      <c r="E485" s="5"/>
      <c r="F485" s="5"/>
      <c r="G485" s="5"/>
      <c r="H485" s="5"/>
    </row>
    <row r="486" spans="5:8" x14ac:dyDescent="0.2">
      <c r="E486" s="5"/>
      <c r="F486" s="5"/>
      <c r="G486" s="5"/>
      <c r="H486" s="5"/>
    </row>
    <row r="487" spans="5:8" x14ac:dyDescent="0.2">
      <c r="E487" s="5"/>
      <c r="F487" s="5"/>
      <c r="G487" s="5"/>
      <c r="H487" s="5"/>
    </row>
    <row r="488" spans="5:8" x14ac:dyDescent="0.2">
      <c r="E488" s="5"/>
      <c r="F488" s="5"/>
      <c r="G488" s="5"/>
      <c r="H488" s="5"/>
    </row>
    <row r="489" spans="5:8" x14ac:dyDescent="0.2">
      <c r="E489" s="5"/>
      <c r="F489" s="5"/>
      <c r="G489" s="5"/>
      <c r="H489" s="5"/>
    </row>
    <row r="490" spans="5:8" x14ac:dyDescent="0.2">
      <c r="E490" s="5"/>
      <c r="F490" s="5"/>
      <c r="G490" s="5"/>
      <c r="H490" s="5"/>
    </row>
    <row r="491" spans="5:8" x14ac:dyDescent="0.2">
      <c r="E491" s="5"/>
      <c r="F491" s="5"/>
      <c r="G491" s="5"/>
      <c r="H491" s="5"/>
    </row>
    <row r="492" spans="5:8" x14ac:dyDescent="0.2">
      <c r="E492" s="5"/>
      <c r="F492" s="5"/>
      <c r="G492" s="5"/>
      <c r="H492" s="5"/>
    </row>
    <row r="493" spans="5:8" x14ac:dyDescent="0.2">
      <c r="E493" s="5"/>
      <c r="F493" s="5"/>
      <c r="G493" s="5"/>
      <c r="H493" s="5"/>
    </row>
    <row r="494" spans="5:8" x14ac:dyDescent="0.2">
      <c r="E494" s="5"/>
      <c r="F494" s="5"/>
      <c r="G494" s="5"/>
      <c r="H494" s="5"/>
    </row>
    <row r="495" spans="5:8" x14ac:dyDescent="0.2">
      <c r="E495" s="5"/>
      <c r="F495" s="5"/>
      <c r="G495" s="5"/>
      <c r="H495" s="5"/>
    </row>
    <row r="496" spans="5:8" x14ac:dyDescent="0.2">
      <c r="E496" s="5"/>
      <c r="F496" s="5"/>
      <c r="G496" s="5"/>
      <c r="H496" s="5"/>
    </row>
    <row r="497" spans="5:8" x14ac:dyDescent="0.2">
      <c r="E497" s="5"/>
      <c r="F497" s="5"/>
      <c r="G497" s="5"/>
      <c r="H497" s="5"/>
    </row>
    <row r="498" spans="5:8" x14ac:dyDescent="0.2">
      <c r="E498" s="5"/>
      <c r="F498" s="5"/>
      <c r="G498" s="5"/>
      <c r="H498" s="5"/>
    </row>
    <row r="499" spans="5:8" x14ac:dyDescent="0.2">
      <c r="E499" s="5"/>
      <c r="F499" s="5"/>
      <c r="G499" s="5"/>
      <c r="H499" s="5"/>
    </row>
    <row r="500" spans="5:8" x14ac:dyDescent="0.2">
      <c r="E500" s="5"/>
      <c r="F500" s="5"/>
      <c r="G500" s="5"/>
      <c r="H500" s="5"/>
    </row>
    <row r="501" spans="5:8" x14ac:dyDescent="0.2">
      <c r="E501" s="5"/>
      <c r="F501" s="5"/>
      <c r="G501" s="5"/>
      <c r="H501" s="5"/>
    </row>
    <row r="502" spans="5:8" x14ac:dyDescent="0.2">
      <c r="E502" s="5"/>
      <c r="F502" s="5"/>
      <c r="G502" s="5"/>
      <c r="H502" s="5"/>
    </row>
    <row r="503" spans="5:8" x14ac:dyDescent="0.2">
      <c r="E503" s="5"/>
      <c r="F503" s="5"/>
      <c r="G503" s="5"/>
      <c r="H503" s="5"/>
    </row>
    <row r="504" spans="5:8" x14ac:dyDescent="0.2">
      <c r="E504" s="5"/>
      <c r="F504" s="5"/>
      <c r="G504" s="5"/>
      <c r="H504" s="5"/>
    </row>
    <row r="505" spans="5:8" x14ac:dyDescent="0.2">
      <c r="E505" s="5"/>
      <c r="F505" s="5"/>
      <c r="G505" s="5"/>
      <c r="H505" s="5"/>
    </row>
    <row r="506" spans="5:8" x14ac:dyDescent="0.2">
      <c r="E506" s="5"/>
      <c r="F506" s="5"/>
      <c r="G506" s="5"/>
      <c r="H506" s="5"/>
    </row>
    <row r="507" spans="5:8" x14ac:dyDescent="0.2">
      <c r="E507" s="5"/>
      <c r="F507" s="5"/>
      <c r="G507" s="5"/>
      <c r="H507" s="5"/>
    </row>
    <row r="508" spans="5:8" x14ac:dyDescent="0.2">
      <c r="E508" s="5"/>
      <c r="F508" s="5"/>
      <c r="G508" s="5"/>
      <c r="H508" s="5"/>
    </row>
    <row r="509" spans="5:8" x14ac:dyDescent="0.2">
      <c r="E509" s="5"/>
      <c r="F509" s="5"/>
      <c r="G509" s="5"/>
      <c r="H509" s="5"/>
    </row>
    <row r="510" spans="5:8" x14ac:dyDescent="0.2">
      <c r="E510" s="5"/>
      <c r="F510" s="5"/>
      <c r="G510" s="5"/>
      <c r="H510" s="5"/>
    </row>
    <row r="511" spans="5:8" x14ac:dyDescent="0.2">
      <c r="E511" s="5"/>
      <c r="F511" s="5"/>
      <c r="G511" s="5"/>
      <c r="H511" s="5"/>
    </row>
    <row r="512" spans="5:8" x14ac:dyDescent="0.2">
      <c r="E512" s="5"/>
      <c r="F512" s="5"/>
      <c r="G512" s="5"/>
      <c r="H512" s="5"/>
    </row>
    <row r="513" spans="5:8" x14ac:dyDescent="0.2">
      <c r="E513" s="5"/>
      <c r="F513" s="5"/>
      <c r="G513" s="5"/>
      <c r="H513" s="5"/>
    </row>
    <row r="514" spans="5:8" x14ac:dyDescent="0.2">
      <c r="E514" s="5"/>
      <c r="F514" s="5"/>
      <c r="G514" s="5"/>
      <c r="H514" s="5"/>
    </row>
    <row r="515" spans="5:8" x14ac:dyDescent="0.2">
      <c r="E515" s="5"/>
      <c r="F515" s="5"/>
      <c r="G515" s="5"/>
      <c r="H515" s="5"/>
    </row>
    <row r="516" spans="5:8" x14ac:dyDescent="0.2">
      <c r="E516" s="5"/>
      <c r="F516" s="5"/>
      <c r="G516" s="5"/>
      <c r="H516" s="5"/>
    </row>
    <row r="517" spans="5:8" x14ac:dyDescent="0.2">
      <c r="E517" s="5"/>
      <c r="F517" s="5"/>
      <c r="G517" s="5"/>
      <c r="H517" s="5"/>
    </row>
    <row r="518" spans="5:8" x14ac:dyDescent="0.2">
      <c r="E518" s="5"/>
      <c r="F518" s="5"/>
      <c r="G518" s="5"/>
      <c r="H518" s="5"/>
    </row>
    <row r="519" spans="5:8" x14ac:dyDescent="0.2">
      <c r="E519" s="5"/>
      <c r="F519" s="5"/>
      <c r="G519" s="5"/>
      <c r="H519" s="5"/>
    </row>
    <row r="520" spans="5:8" x14ac:dyDescent="0.2">
      <c r="E520" s="5"/>
      <c r="F520" s="5"/>
      <c r="G520" s="5"/>
      <c r="H520" s="5"/>
    </row>
    <row r="521" spans="5:8" x14ac:dyDescent="0.2">
      <c r="E521" s="5"/>
      <c r="F521" s="5"/>
      <c r="G521" s="5"/>
      <c r="H521" s="5"/>
    </row>
    <row r="522" spans="5:8" x14ac:dyDescent="0.2">
      <c r="E522" s="5"/>
      <c r="F522" s="5"/>
      <c r="G522" s="5"/>
      <c r="H522" s="5"/>
    </row>
    <row r="523" spans="5:8" x14ac:dyDescent="0.2">
      <c r="E523" s="5"/>
      <c r="F523" s="5"/>
      <c r="G523" s="5"/>
      <c r="H523" s="5"/>
    </row>
    <row r="524" spans="5:8" x14ac:dyDescent="0.2">
      <c r="E524" s="5"/>
      <c r="F524" s="5"/>
      <c r="G524" s="5"/>
      <c r="H524" s="5"/>
    </row>
    <row r="525" spans="5:8" x14ac:dyDescent="0.2">
      <c r="E525" s="5"/>
      <c r="F525" s="5"/>
      <c r="G525" s="5"/>
      <c r="H525" s="5"/>
    </row>
    <row r="526" spans="5:8" x14ac:dyDescent="0.2">
      <c r="E526" s="5"/>
      <c r="F526" s="5"/>
      <c r="G526" s="5"/>
      <c r="H526" s="5"/>
    </row>
    <row r="527" spans="5:8" x14ac:dyDescent="0.2">
      <c r="E527" s="5"/>
      <c r="F527" s="5"/>
      <c r="G527" s="5"/>
      <c r="H527" s="5"/>
    </row>
    <row r="528" spans="5:8" x14ac:dyDescent="0.2">
      <c r="E528" s="5"/>
      <c r="F528" s="5"/>
      <c r="G528" s="5"/>
      <c r="H528" s="5"/>
    </row>
    <row r="529" spans="5:8" x14ac:dyDescent="0.2">
      <c r="E529" s="5"/>
      <c r="F529" s="5"/>
      <c r="G529" s="5"/>
      <c r="H529" s="5"/>
    </row>
    <row r="530" spans="5:8" x14ac:dyDescent="0.2">
      <c r="E530" s="5"/>
      <c r="F530" s="5"/>
      <c r="G530" s="5"/>
      <c r="H530" s="5"/>
    </row>
    <row r="531" spans="5:8" x14ac:dyDescent="0.2">
      <c r="E531" s="5"/>
      <c r="F531" s="5"/>
      <c r="G531" s="5"/>
      <c r="H531" s="5"/>
    </row>
    <row r="532" spans="5:8" x14ac:dyDescent="0.2">
      <c r="E532" s="5"/>
      <c r="F532" s="5"/>
      <c r="G532" s="5"/>
      <c r="H532" s="5"/>
    </row>
    <row r="533" spans="5:8" x14ac:dyDescent="0.2">
      <c r="E533" s="5"/>
      <c r="F533" s="5"/>
      <c r="G533" s="5"/>
      <c r="H533" s="5"/>
    </row>
    <row r="534" spans="5:8" x14ac:dyDescent="0.2">
      <c r="E534" s="5"/>
      <c r="F534" s="5"/>
      <c r="G534" s="5"/>
      <c r="H534" s="5"/>
    </row>
    <row r="535" spans="5:8" x14ac:dyDescent="0.2">
      <c r="E535" s="5"/>
      <c r="F535" s="5"/>
      <c r="G535" s="5"/>
      <c r="H535" s="5"/>
    </row>
    <row r="536" spans="5:8" x14ac:dyDescent="0.2">
      <c r="E536" s="5"/>
      <c r="F536" s="5"/>
      <c r="G536" s="5"/>
      <c r="H536" s="5"/>
    </row>
    <row r="537" spans="5:8" x14ac:dyDescent="0.2">
      <c r="E537" s="5"/>
      <c r="F537" s="5"/>
      <c r="G537" s="5"/>
      <c r="H537" s="5"/>
    </row>
    <row r="538" spans="5:8" x14ac:dyDescent="0.2">
      <c r="E538" s="5"/>
      <c r="F538" s="5"/>
      <c r="G538" s="5"/>
      <c r="H538" s="5"/>
    </row>
    <row r="539" spans="5:8" x14ac:dyDescent="0.2">
      <c r="E539" s="5"/>
      <c r="F539" s="5"/>
      <c r="G539" s="5"/>
      <c r="H539" s="5"/>
    </row>
    <row r="540" spans="5:8" x14ac:dyDescent="0.2">
      <c r="E540" s="5"/>
      <c r="F540" s="5"/>
      <c r="G540" s="5"/>
      <c r="H540" s="5"/>
    </row>
    <row r="541" spans="5:8" x14ac:dyDescent="0.2">
      <c r="E541" s="5"/>
      <c r="F541" s="5"/>
      <c r="G541" s="5"/>
      <c r="H541" s="5"/>
    </row>
    <row r="542" spans="5:8" x14ac:dyDescent="0.2">
      <c r="E542" s="5"/>
      <c r="F542" s="5"/>
      <c r="G542" s="5"/>
      <c r="H542" s="5"/>
    </row>
    <row r="543" spans="5:8" x14ac:dyDescent="0.2">
      <c r="E543" s="5"/>
      <c r="F543" s="5"/>
      <c r="G543" s="5"/>
      <c r="H543" s="5"/>
    </row>
    <row r="544" spans="5:8" x14ac:dyDescent="0.2">
      <c r="E544" s="5"/>
      <c r="F544" s="5"/>
      <c r="G544" s="5"/>
      <c r="H544" s="5"/>
    </row>
    <row r="545" spans="5:8" x14ac:dyDescent="0.2">
      <c r="E545" s="5"/>
      <c r="F545" s="5"/>
      <c r="G545" s="5"/>
      <c r="H545" s="5"/>
    </row>
    <row r="546" spans="5:8" x14ac:dyDescent="0.2">
      <c r="E546" s="5"/>
      <c r="F546" s="5"/>
      <c r="G546" s="5"/>
      <c r="H546" s="5"/>
    </row>
    <row r="547" spans="5:8" x14ac:dyDescent="0.2">
      <c r="E547" s="5"/>
      <c r="F547" s="5"/>
      <c r="G547" s="5"/>
      <c r="H547" s="5"/>
    </row>
    <row r="548" spans="5:8" x14ac:dyDescent="0.2">
      <c r="E548" s="5"/>
      <c r="F548" s="5"/>
      <c r="G548" s="5"/>
      <c r="H548" s="5"/>
    </row>
    <row r="549" spans="5:8" x14ac:dyDescent="0.2">
      <c r="E549" s="5"/>
      <c r="F549" s="5"/>
      <c r="G549" s="5"/>
      <c r="H549" s="5"/>
    </row>
    <row r="550" spans="5:8" x14ac:dyDescent="0.2">
      <c r="E550" s="5"/>
      <c r="F550" s="5"/>
      <c r="G550" s="5"/>
      <c r="H550" s="5"/>
    </row>
    <row r="551" spans="5:8" x14ac:dyDescent="0.2">
      <c r="E551" s="5"/>
      <c r="F551" s="5"/>
      <c r="G551" s="5"/>
      <c r="H551" s="5"/>
    </row>
    <row r="552" spans="5:8" x14ac:dyDescent="0.2">
      <c r="E552" s="5"/>
      <c r="F552" s="5"/>
      <c r="G552" s="5"/>
      <c r="H552" s="5"/>
    </row>
    <row r="553" spans="5:8" x14ac:dyDescent="0.2">
      <c r="E553" s="5"/>
      <c r="F553" s="5"/>
      <c r="G553" s="5"/>
      <c r="H553" s="5"/>
    </row>
    <row r="554" spans="5:8" x14ac:dyDescent="0.2">
      <c r="E554" s="5"/>
      <c r="F554" s="5"/>
      <c r="G554" s="5"/>
      <c r="H554" s="5"/>
    </row>
    <row r="555" spans="5:8" x14ac:dyDescent="0.2">
      <c r="E555" s="5"/>
      <c r="F555" s="5"/>
      <c r="G555" s="5"/>
      <c r="H555" s="5"/>
    </row>
    <row r="556" spans="5:8" x14ac:dyDescent="0.2">
      <c r="E556" s="5"/>
      <c r="F556" s="5"/>
      <c r="G556" s="5"/>
      <c r="H556" s="5"/>
    </row>
    <row r="557" spans="5:8" x14ac:dyDescent="0.2">
      <c r="E557" s="5"/>
      <c r="F557" s="5"/>
      <c r="G557" s="5"/>
      <c r="H557" s="5"/>
    </row>
    <row r="558" spans="5:8" x14ac:dyDescent="0.2">
      <c r="E558" s="5"/>
      <c r="F558" s="5"/>
      <c r="G558" s="5"/>
      <c r="H558" s="5"/>
    </row>
    <row r="559" spans="5:8" x14ac:dyDescent="0.2">
      <c r="E559" s="5"/>
      <c r="F559" s="5"/>
      <c r="G559" s="5"/>
      <c r="H559" s="5"/>
    </row>
    <row r="560" spans="5:8" x14ac:dyDescent="0.2">
      <c r="E560" s="5"/>
      <c r="F560" s="5"/>
      <c r="G560" s="5"/>
      <c r="H560" s="5"/>
    </row>
    <row r="561" spans="5:8" x14ac:dyDescent="0.2">
      <c r="E561" s="5"/>
      <c r="F561" s="5"/>
      <c r="G561" s="5"/>
      <c r="H561" s="5"/>
    </row>
    <row r="562" spans="5:8" x14ac:dyDescent="0.2">
      <c r="E562" s="5"/>
      <c r="F562" s="5"/>
      <c r="G562" s="5"/>
      <c r="H562" s="5"/>
    </row>
    <row r="563" spans="5:8" x14ac:dyDescent="0.2">
      <c r="E563" s="5"/>
      <c r="F563" s="5"/>
      <c r="G563" s="5"/>
      <c r="H563" s="5"/>
    </row>
    <row r="564" spans="5:8" x14ac:dyDescent="0.2">
      <c r="E564" s="5"/>
      <c r="F564" s="5"/>
      <c r="G564" s="5"/>
      <c r="H564" s="5"/>
    </row>
    <row r="565" spans="5:8" x14ac:dyDescent="0.2">
      <c r="E565" s="5"/>
      <c r="F565" s="5"/>
      <c r="G565" s="5"/>
      <c r="H565" s="5"/>
    </row>
    <row r="566" spans="5:8" x14ac:dyDescent="0.2">
      <c r="E566" s="5"/>
      <c r="F566" s="5"/>
      <c r="G566" s="5"/>
      <c r="H566" s="5"/>
    </row>
    <row r="567" spans="5:8" x14ac:dyDescent="0.2">
      <c r="E567" s="5"/>
      <c r="F567" s="5"/>
      <c r="G567" s="5"/>
      <c r="H567" s="5"/>
    </row>
    <row r="568" spans="5:8" x14ac:dyDescent="0.2">
      <c r="E568" s="5"/>
      <c r="F568" s="5"/>
      <c r="G568" s="5"/>
      <c r="H568" s="5"/>
    </row>
    <row r="569" spans="5:8" x14ac:dyDescent="0.2">
      <c r="E569" s="5"/>
      <c r="F569" s="5"/>
      <c r="G569" s="5"/>
      <c r="H569" s="5"/>
    </row>
    <row r="570" spans="5:8" x14ac:dyDescent="0.2">
      <c r="E570" s="5"/>
      <c r="F570" s="5"/>
      <c r="G570" s="5"/>
      <c r="H570" s="5"/>
    </row>
    <row r="571" spans="5:8" x14ac:dyDescent="0.2">
      <c r="E571" s="5"/>
      <c r="F571" s="5"/>
      <c r="G571" s="5"/>
      <c r="H571" s="5"/>
    </row>
    <row r="572" spans="5:8" x14ac:dyDescent="0.2">
      <c r="E572" s="5"/>
      <c r="F572" s="5"/>
      <c r="G572" s="5"/>
      <c r="H572" s="5"/>
    </row>
    <row r="573" spans="5:8" x14ac:dyDescent="0.2">
      <c r="E573" s="5"/>
      <c r="F573" s="5"/>
      <c r="G573" s="5"/>
      <c r="H573" s="5"/>
    </row>
    <row r="574" spans="5:8" x14ac:dyDescent="0.2">
      <c r="E574" s="5"/>
      <c r="F574" s="5"/>
      <c r="G574" s="5"/>
      <c r="H574" s="5"/>
    </row>
    <row r="575" spans="5:8" x14ac:dyDescent="0.2">
      <c r="E575" s="5"/>
      <c r="F575" s="5"/>
      <c r="G575" s="5"/>
      <c r="H575" s="5"/>
    </row>
    <row r="576" spans="5:8" x14ac:dyDescent="0.2">
      <c r="E576" s="5"/>
      <c r="F576" s="5"/>
      <c r="G576" s="5"/>
      <c r="H576" s="5"/>
    </row>
    <row r="577" spans="5:8" x14ac:dyDescent="0.2">
      <c r="E577" s="5"/>
      <c r="F577" s="5"/>
      <c r="G577" s="5"/>
      <c r="H577" s="5"/>
    </row>
    <row r="578" spans="5:8" x14ac:dyDescent="0.2">
      <c r="E578" s="5"/>
      <c r="F578" s="5"/>
      <c r="G578" s="5"/>
      <c r="H578" s="5"/>
    </row>
    <row r="579" spans="5:8" x14ac:dyDescent="0.2">
      <c r="E579" s="5"/>
      <c r="F579" s="5"/>
      <c r="G579" s="5"/>
      <c r="H579" s="5"/>
    </row>
    <row r="580" spans="5:8" x14ac:dyDescent="0.2">
      <c r="E580" s="5"/>
      <c r="F580" s="5"/>
      <c r="G580" s="5"/>
      <c r="H580" s="5"/>
    </row>
    <row r="581" spans="5:8" x14ac:dyDescent="0.2">
      <c r="E581" s="5"/>
      <c r="F581" s="5"/>
      <c r="G581" s="5"/>
      <c r="H581" s="5"/>
    </row>
    <row r="582" spans="5:8" x14ac:dyDescent="0.2">
      <c r="E582" s="5"/>
      <c r="F582" s="5"/>
      <c r="G582" s="5"/>
      <c r="H582" s="5"/>
    </row>
    <row r="583" spans="5:8" x14ac:dyDescent="0.2">
      <c r="E583" s="5"/>
      <c r="F583" s="5"/>
      <c r="G583" s="5"/>
      <c r="H583" s="5"/>
    </row>
    <row r="584" spans="5:8" x14ac:dyDescent="0.2">
      <c r="E584" s="5"/>
      <c r="F584" s="5"/>
      <c r="G584" s="5"/>
      <c r="H584" s="5"/>
    </row>
    <row r="585" spans="5:8" x14ac:dyDescent="0.2">
      <c r="E585" s="5"/>
      <c r="F585" s="5"/>
      <c r="G585" s="5"/>
      <c r="H585" s="5"/>
    </row>
    <row r="586" spans="5:8" x14ac:dyDescent="0.2">
      <c r="E586" s="5"/>
      <c r="F586" s="5"/>
      <c r="G586" s="5"/>
      <c r="H586" s="5"/>
    </row>
    <row r="587" spans="5:8" x14ac:dyDescent="0.2">
      <c r="E587" s="5"/>
      <c r="F587" s="5"/>
      <c r="G587" s="5"/>
      <c r="H587" s="5"/>
    </row>
    <row r="588" spans="5:8" x14ac:dyDescent="0.2">
      <c r="E588" s="5"/>
      <c r="F588" s="5"/>
      <c r="G588" s="5"/>
      <c r="H588" s="5"/>
    </row>
    <row r="589" spans="5:8" x14ac:dyDescent="0.2">
      <c r="E589" s="5"/>
      <c r="F589" s="5"/>
      <c r="G589" s="5"/>
      <c r="H589" s="5"/>
    </row>
    <row r="590" spans="5:8" x14ac:dyDescent="0.2">
      <c r="E590" s="5"/>
      <c r="F590" s="5"/>
      <c r="G590" s="5"/>
      <c r="H590" s="5"/>
    </row>
    <row r="591" spans="5:8" x14ac:dyDescent="0.2">
      <c r="E591" s="5"/>
      <c r="F591" s="5"/>
      <c r="G591" s="5"/>
      <c r="H591" s="5"/>
    </row>
    <row r="592" spans="5:8" x14ac:dyDescent="0.2">
      <c r="E592" s="5"/>
      <c r="F592" s="5"/>
      <c r="G592" s="5"/>
      <c r="H592" s="5"/>
    </row>
    <row r="593" spans="5:8" x14ac:dyDescent="0.2">
      <c r="E593" s="5"/>
      <c r="F593" s="5"/>
      <c r="G593" s="5"/>
      <c r="H593" s="5"/>
    </row>
    <row r="594" spans="5:8" x14ac:dyDescent="0.2">
      <c r="E594" s="5"/>
      <c r="F594" s="5"/>
      <c r="G594" s="5"/>
      <c r="H594" s="5"/>
    </row>
    <row r="595" spans="5:8" x14ac:dyDescent="0.2">
      <c r="E595" s="5"/>
      <c r="F595" s="5"/>
      <c r="G595" s="5"/>
      <c r="H595" s="5"/>
    </row>
    <row r="596" spans="5:8" x14ac:dyDescent="0.2">
      <c r="E596" s="5"/>
      <c r="F596" s="5"/>
      <c r="G596" s="5"/>
      <c r="H596" s="5"/>
    </row>
    <row r="597" spans="5:8" x14ac:dyDescent="0.2">
      <c r="E597" s="5"/>
      <c r="F597" s="5"/>
      <c r="G597" s="5"/>
      <c r="H597" s="5"/>
    </row>
    <row r="598" spans="5:8" x14ac:dyDescent="0.2">
      <c r="E598" s="5"/>
      <c r="F598" s="5"/>
      <c r="G598" s="5"/>
      <c r="H598" s="5"/>
    </row>
    <row r="599" spans="5:8" x14ac:dyDescent="0.2">
      <c r="E599" s="5"/>
      <c r="F599" s="5"/>
      <c r="G599" s="5"/>
      <c r="H599" s="5"/>
    </row>
    <row r="600" spans="5:8" x14ac:dyDescent="0.2">
      <c r="E600" s="5"/>
      <c r="F600" s="5"/>
      <c r="G600" s="5"/>
      <c r="H600" s="5"/>
    </row>
    <row r="601" spans="5:8" x14ac:dyDescent="0.2">
      <c r="E601" s="5"/>
      <c r="F601" s="5"/>
      <c r="G601" s="5"/>
      <c r="H601" s="5"/>
    </row>
    <row r="602" spans="5:8" x14ac:dyDescent="0.2">
      <c r="E602" s="5"/>
      <c r="F602" s="5"/>
      <c r="G602" s="5"/>
      <c r="H602" s="5"/>
    </row>
    <row r="603" spans="5:8" x14ac:dyDescent="0.2">
      <c r="E603" s="5"/>
      <c r="F603" s="5"/>
      <c r="G603" s="5"/>
      <c r="H603" s="5"/>
    </row>
    <row r="604" spans="5:8" x14ac:dyDescent="0.2">
      <c r="E604" s="5"/>
      <c r="F604" s="5"/>
      <c r="G604" s="5"/>
      <c r="H604" s="5"/>
    </row>
    <row r="605" spans="5:8" x14ac:dyDescent="0.2">
      <c r="E605" s="5"/>
      <c r="F605" s="5"/>
      <c r="G605" s="5"/>
      <c r="H605" s="5"/>
    </row>
    <row r="606" spans="5:8" x14ac:dyDescent="0.2">
      <c r="E606" s="5"/>
      <c r="F606" s="5"/>
      <c r="G606" s="5"/>
      <c r="H606" s="5"/>
    </row>
    <row r="607" spans="5:8" x14ac:dyDescent="0.2">
      <c r="E607" s="5"/>
      <c r="F607" s="5"/>
      <c r="G607" s="5"/>
      <c r="H607" s="5"/>
    </row>
    <row r="608" spans="5:8" x14ac:dyDescent="0.2">
      <c r="E608" s="5"/>
      <c r="F608" s="5"/>
      <c r="G608" s="5"/>
      <c r="H608" s="5"/>
    </row>
    <row r="609" spans="5:8" x14ac:dyDescent="0.2">
      <c r="E609" s="5"/>
      <c r="F609" s="5"/>
      <c r="G609" s="5"/>
      <c r="H609" s="5"/>
    </row>
    <row r="610" spans="5:8" x14ac:dyDescent="0.2">
      <c r="E610" s="5"/>
      <c r="F610" s="5"/>
      <c r="G610" s="5"/>
      <c r="H610" s="5"/>
    </row>
    <row r="611" spans="5:8" x14ac:dyDescent="0.2">
      <c r="E611" s="5"/>
      <c r="F611" s="5"/>
      <c r="G611" s="5"/>
      <c r="H611" s="5"/>
    </row>
    <row r="612" spans="5:8" x14ac:dyDescent="0.2">
      <c r="E612" s="5"/>
      <c r="F612" s="5"/>
      <c r="G612" s="5"/>
      <c r="H612" s="5"/>
    </row>
    <row r="613" spans="5:8" x14ac:dyDescent="0.2">
      <c r="E613" s="5"/>
      <c r="F613" s="5"/>
      <c r="G613" s="5"/>
      <c r="H613" s="5"/>
    </row>
    <row r="614" spans="5:8" x14ac:dyDescent="0.2">
      <c r="E614" s="5"/>
      <c r="F614" s="5"/>
      <c r="G614" s="5"/>
      <c r="H614" s="5"/>
    </row>
    <row r="615" spans="5:8" x14ac:dyDescent="0.2">
      <c r="E615" s="5"/>
      <c r="F615" s="5"/>
      <c r="G615" s="5"/>
      <c r="H615" s="5"/>
    </row>
    <row r="616" spans="5:8" x14ac:dyDescent="0.2">
      <c r="E616" s="5"/>
      <c r="F616" s="5"/>
      <c r="G616" s="5"/>
      <c r="H616" s="5"/>
    </row>
    <row r="617" spans="5:8" x14ac:dyDescent="0.2">
      <c r="E617" s="5"/>
      <c r="F617" s="5"/>
      <c r="G617" s="5"/>
      <c r="H617" s="5"/>
    </row>
    <row r="618" spans="5:8" x14ac:dyDescent="0.2">
      <c r="E618" s="5"/>
      <c r="F618" s="5"/>
      <c r="G618" s="5"/>
      <c r="H618" s="5"/>
    </row>
    <row r="619" spans="5:8" x14ac:dyDescent="0.2">
      <c r="E619" s="5"/>
      <c r="F619" s="5"/>
      <c r="G619" s="5"/>
      <c r="H619" s="5"/>
    </row>
    <row r="620" spans="5:8" x14ac:dyDescent="0.2">
      <c r="E620" s="5"/>
      <c r="F620" s="5"/>
      <c r="G620" s="5"/>
      <c r="H620" s="5"/>
    </row>
    <row r="621" spans="5:8" x14ac:dyDescent="0.2">
      <c r="E621" s="5"/>
      <c r="F621" s="5"/>
      <c r="G621" s="5"/>
      <c r="H621" s="5"/>
    </row>
    <row r="622" spans="5:8" x14ac:dyDescent="0.2">
      <c r="E622" s="5"/>
      <c r="F622" s="5"/>
      <c r="G622" s="5"/>
      <c r="H622" s="5"/>
    </row>
    <row r="623" spans="5:8" x14ac:dyDescent="0.2">
      <c r="E623" s="5"/>
      <c r="F623" s="5"/>
      <c r="G623" s="5"/>
      <c r="H623" s="5"/>
    </row>
    <row r="624" spans="5:8" x14ac:dyDescent="0.2">
      <c r="E624" s="5"/>
      <c r="F624" s="5"/>
      <c r="G624" s="5"/>
      <c r="H624" s="5"/>
    </row>
    <row r="625" spans="5:8" x14ac:dyDescent="0.2">
      <c r="E625" s="5"/>
      <c r="F625" s="5"/>
      <c r="G625" s="5"/>
      <c r="H625" s="5"/>
    </row>
    <row r="626" spans="5:8" x14ac:dyDescent="0.2">
      <c r="E626" s="5"/>
      <c r="F626" s="5"/>
      <c r="G626" s="5"/>
      <c r="H626" s="5"/>
    </row>
    <row r="627" spans="5:8" x14ac:dyDescent="0.2">
      <c r="E627" s="5"/>
      <c r="F627" s="5"/>
      <c r="G627" s="5"/>
      <c r="H627" s="5"/>
    </row>
    <row r="628" spans="5:8" x14ac:dyDescent="0.2">
      <c r="E628" s="5"/>
      <c r="F628" s="5"/>
      <c r="G628" s="5"/>
      <c r="H628" s="5"/>
    </row>
    <row r="629" spans="5:8" x14ac:dyDescent="0.2">
      <c r="E629" s="5"/>
      <c r="F629" s="5"/>
      <c r="G629" s="5"/>
      <c r="H629" s="5"/>
    </row>
    <row r="630" spans="5:8" x14ac:dyDescent="0.2">
      <c r="E630" s="5"/>
      <c r="F630" s="5"/>
      <c r="G630" s="5"/>
      <c r="H630" s="5"/>
    </row>
    <row r="631" spans="5:8" x14ac:dyDescent="0.2">
      <c r="E631" s="5"/>
      <c r="F631" s="5"/>
      <c r="G631" s="5"/>
      <c r="H631" s="5"/>
    </row>
    <row r="632" spans="5:8" x14ac:dyDescent="0.2">
      <c r="E632" s="5"/>
      <c r="F632" s="5"/>
      <c r="G632" s="5"/>
      <c r="H632" s="5"/>
    </row>
    <row r="633" spans="5:8" x14ac:dyDescent="0.2">
      <c r="E633" s="5"/>
      <c r="F633" s="5"/>
      <c r="G633" s="5"/>
      <c r="H633" s="5"/>
    </row>
    <row r="634" spans="5:8" x14ac:dyDescent="0.2">
      <c r="E634" s="5"/>
      <c r="F634" s="5"/>
      <c r="G634" s="5"/>
      <c r="H634" s="5"/>
    </row>
    <row r="635" spans="5:8" x14ac:dyDescent="0.2">
      <c r="E635" s="5"/>
      <c r="F635" s="5"/>
      <c r="G635" s="5"/>
      <c r="H635" s="5"/>
    </row>
    <row r="636" spans="5:8" x14ac:dyDescent="0.2">
      <c r="E636" s="5"/>
      <c r="F636" s="5"/>
      <c r="G636" s="5"/>
      <c r="H636" s="5"/>
    </row>
    <row r="637" spans="5:8" x14ac:dyDescent="0.2">
      <c r="E637" s="5"/>
      <c r="F637" s="5"/>
      <c r="G637" s="5"/>
      <c r="H637" s="5"/>
    </row>
    <row r="638" spans="5:8" x14ac:dyDescent="0.2">
      <c r="E638" s="5"/>
      <c r="F638" s="5"/>
      <c r="G638" s="5"/>
      <c r="H638" s="5"/>
    </row>
    <row r="639" spans="5:8" x14ac:dyDescent="0.2">
      <c r="E639" s="5"/>
      <c r="F639" s="5"/>
      <c r="G639" s="5"/>
      <c r="H639" s="5"/>
    </row>
    <row r="640" spans="5:8" x14ac:dyDescent="0.2">
      <c r="E640" s="5"/>
      <c r="F640" s="5"/>
      <c r="G640" s="5"/>
      <c r="H640" s="5"/>
    </row>
    <row r="641" spans="5:8" x14ac:dyDescent="0.2">
      <c r="E641" s="5"/>
      <c r="F641" s="5"/>
      <c r="G641" s="5"/>
      <c r="H641" s="5"/>
    </row>
    <row r="642" spans="5:8" x14ac:dyDescent="0.2">
      <c r="E642" s="5"/>
      <c r="F642" s="5"/>
      <c r="G642" s="5"/>
      <c r="H642" s="5"/>
    </row>
    <row r="643" spans="5:8" x14ac:dyDescent="0.2">
      <c r="E643" s="5"/>
      <c r="F643" s="5"/>
      <c r="G643" s="5"/>
      <c r="H643" s="5"/>
    </row>
    <row r="644" spans="5:8" x14ac:dyDescent="0.2">
      <c r="E644" s="5"/>
      <c r="F644" s="5"/>
      <c r="G644" s="5"/>
      <c r="H644" s="5"/>
    </row>
    <row r="645" spans="5:8" x14ac:dyDescent="0.2">
      <c r="E645" s="5"/>
      <c r="F645" s="5"/>
      <c r="G645" s="5"/>
      <c r="H645" s="5"/>
    </row>
    <row r="646" spans="5:8" x14ac:dyDescent="0.2">
      <c r="E646" s="5"/>
      <c r="F646" s="5"/>
      <c r="G646" s="5"/>
      <c r="H646" s="5"/>
    </row>
    <row r="647" spans="5:8" x14ac:dyDescent="0.2">
      <c r="E647" s="5"/>
      <c r="F647" s="5"/>
      <c r="G647" s="5"/>
      <c r="H647" s="5"/>
    </row>
    <row r="648" spans="5:8" x14ac:dyDescent="0.2">
      <c r="E648" s="5"/>
      <c r="F648" s="5"/>
      <c r="G648" s="5"/>
      <c r="H648" s="5"/>
    </row>
    <row r="649" spans="5:8" x14ac:dyDescent="0.2">
      <c r="E649" s="5"/>
      <c r="F649" s="5"/>
      <c r="G649" s="5"/>
      <c r="H649" s="5"/>
    </row>
    <row r="650" spans="5:8" x14ac:dyDescent="0.2">
      <c r="E650" s="5"/>
      <c r="F650" s="5"/>
      <c r="G650" s="5"/>
      <c r="H650" s="5"/>
    </row>
    <row r="651" spans="5:8" x14ac:dyDescent="0.2">
      <c r="E651" s="5"/>
      <c r="F651" s="5"/>
      <c r="G651" s="5"/>
      <c r="H651" s="5"/>
    </row>
    <row r="652" spans="5:8" x14ac:dyDescent="0.2">
      <c r="E652" s="5"/>
      <c r="F652" s="5"/>
      <c r="G652" s="5"/>
      <c r="H652" s="5"/>
    </row>
    <row r="653" spans="5:8" x14ac:dyDescent="0.2">
      <c r="E653" s="5"/>
      <c r="F653" s="5"/>
      <c r="G653" s="5"/>
      <c r="H653" s="5"/>
    </row>
    <row r="654" spans="5:8" x14ac:dyDescent="0.2">
      <c r="E654" s="5"/>
      <c r="F654" s="5"/>
      <c r="G654" s="5"/>
      <c r="H654" s="5"/>
    </row>
    <row r="655" spans="5:8" x14ac:dyDescent="0.2">
      <c r="E655" s="5"/>
      <c r="F655" s="5"/>
      <c r="G655" s="5"/>
      <c r="H655" s="5"/>
    </row>
    <row r="656" spans="5:8" x14ac:dyDescent="0.2">
      <c r="E656" s="5"/>
      <c r="F656" s="5"/>
      <c r="G656" s="5"/>
      <c r="H656" s="5"/>
    </row>
    <row r="657" spans="5:8" x14ac:dyDescent="0.2">
      <c r="E657" s="5"/>
      <c r="F657" s="5"/>
      <c r="G657" s="5"/>
      <c r="H657" s="5"/>
    </row>
    <row r="658" spans="5:8" x14ac:dyDescent="0.2">
      <c r="E658" s="5"/>
      <c r="F658" s="5"/>
      <c r="G658" s="5"/>
      <c r="H658" s="5"/>
    </row>
    <row r="659" spans="5:8" x14ac:dyDescent="0.2">
      <c r="E659" s="5"/>
      <c r="F659" s="5"/>
      <c r="G659" s="5"/>
      <c r="H659" s="5"/>
    </row>
    <row r="660" spans="5:8" x14ac:dyDescent="0.2">
      <c r="E660" s="5"/>
      <c r="F660" s="5"/>
      <c r="G660" s="5"/>
      <c r="H660" s="5"/>
    </row>
    <row r="661" spans="5:8" x14ac:dyDescent="0.2">
      <c r="E661" s="5"/>
      <c r="F661" s="5"/>
      <c r="G661" s="5"/>
      <c r="H661" s="5"/>
    </row>
    <row r="662" spans="5:8" x14ac:dyDescent="0.2">
      <c r="E662" s="5"/>
      <c r="F662" s="5"/>
      <c r="G662" s="5"/>
      <c r="H662" s="5"/>
    </row>
    <row r="663" spans="5:8" x14ac:dyDescent="0.2">
      <c r="E663" s="5"/>
      <c r="F663" s="5"/>
      <c r="G663" s="5"/>
      <c r="H663" s="5"/>
    </row>
    <row r="664" spans="5:8" x14ac:dyDescent="0.2">
      <c r="E664" s="5"/>
      <c r="F664" s="5"/>
      <c r="G664" s="5"/>
      <c r="H664" s="5"/>
    </row>
    <row r="665" spans="5:8" x14ac:dyDescent="0.2">
      <c r="E665" s="5"/>
      <c r="F665" s="5"/>
      <c r="G665" s="5"/>
      <c r="H665" s="5"/>
    </row>
    <row r="666" spans="5:8" x14ac:dyDescent="0.2">
      <c r="E666" s="5"/>
      <c r="F666" s="5"/>
      <c r="G666" s="5"/>
      <c r="H666" s="5"/>
    </row>
    <row r="667" spans="5:8" x14ac:dyDescent="0.2">
      <c r="E667" s="5"/>
      <c r="F667" s="5"/>
      <c r="G667" s="5"/>
      <c r="H667" s="5"/>
    </row>
    <row r="668" spans="5:8" x14ac:dyDescent="0.2">
      <c r="E668" s="5"/>
      <c r="F668" s="5"/>
      <c r="G668" s="5"/>
      <c r="H668" s="5"/>
    </row>
    <row r="669" spans="5:8" x14ac:dyDescent="0.2">
      <c r="E669" s="5"/>
      <c r="F669" s="5"/>
      <c r="G669" s="5"/>
      <c r="H669" s="5"/>
    </row>
    <row r="670" spans="5:8" x14ac:dyDescent="0.2">
      <c r="E670" s="5"/>
      <c r="F670" s="5"/>
      <c r="G670" s="5"/>
      <c r="H670" s="5"/>
    </row>
    <row r="671" spans="5:8" x14ac:dyDescent="0.2">
      <c r="E671" s="5"/>
      <c r="F671" s="5"/>
      <c r="G671" s="5"/>
      <c r="H671" s="5"/>
    </row>
    <row r="672" spans="5:8" x14ac:dyDescent="0.2">
      <c r="E672" s="5"/>
      <c r="F672" s="5"/>
      <c r="G672" s="5"/>
      <c r="H672" s="5"/>
    </row>
    <row r="673" spans="5:8" x14ac:dyDescent="0.2">
      <c r="E673" s="5"/>
      <c r="F673" s="5"/>
      <c r="G673" s="5"/>
      <c r="H673" s="5"/>
    </row>
    <row r="674" spans="5:8" x14ac:dyDescent="0.2">
      <c r="E674" s="5"/>
      <c r="F674" s="5"/>
      <c r="G674" s="5"/>
      <c r="H674" s="5"/>
    </row>
    <row r="675" spans="5:8" x14ac:dyDescent="0.2">
      <c r="E675" s="5"/>
      <c r="F675" s="5"/>
      <c r="G675" s="5"/>
      <c r="H675" s="5"/>
    </row>
    <row r="676" spans="5:8" x14ac:dyDescent="0.2">
      <c r="E676" s="5"/>
      <c r="F676" s="5"/>
      <c r="G676" s="5"/>
      <c r="H676" s="5"/>
    </row>
    <row r="677" spans="5:8" x14ac:dyDescent="0.2">
      <c r="E677" s="5"/>
      <c r="F677" s="5"/>
      <c r="G677" s="5"/>
      <c r="H677" s="5"/>
    </row>
    <row r="678" spans="5:8" x14ac:dyDescent="0.2">
      <c r="E678" s="5"/>
      <c r="F678" s="5"/>
      <c r="G678" s="5"/>
      <c r="H678" s="5"/>
    </row>
    <row r="679" spans="5:8" x14ac:dyDescent="0.2">
      <c r="E679" s="5"/>
      <c r="F679" s="5"/>
      <c r="G679" s="5"/>
      <c r="H679" s="5"/>
    </row>
    <row r="680" spans="5:8" x14ac:dyDescent="0.2">
      <c r="E680" s="5"/>
      <c r="F680" s="5"/>
      <c r="G680" s="5"/>
      <c r="H680" s="5"/>
    </row>
    <row r="681" spans="5:8" x14ac:dyDescent="0.2">
      <c r="E681" s="5"/>
      <c r="F681" s="5"/>
      <c r="G681" s="5"/>
      <c r="H681" s="5"/>
    </row>
    <row r="682" spans="5:8" x14ac:dyDescent="0.2">
      <c r="E682" s="5"/>
      <c r="F682" s="5"/>
      <c r="G682" s="5"/>
      <c r="H682" s="5"/>
    </row>
    <row r="683" spans="5:8" x14ac:dyDescent="0.2">
      <c r="E683" s="5"/>
      <c r="F683" s="5"/>
      <c r="G683" s="5"/>
      <c r="H683" s="5"/>
    </row>
    <row r="684" spans="5:8" x14ac:dyDescent="0.2">
      <c r="E684" s="5"/>
      <c r="F684" s="5"/>
      <c r="G684" s="5"/>
      <c r="H684" s="5"/>
    </row>
    <row r="685" spans="5:8" x14ac:dyDescent="0.2">
      <c r="E685" s="5"/>
      <c r="F685" s="5"/>
      <c r="G685" s="5"/>
      <c r="H685" s="5"/>
    </row>
    <row r="686" spans="5:8" x14ac:dyDescent="0.2">
      <c r="E686" s="5"/>
      <c r="F686" s="5"/>
      <c r="G686" s="5"/>
      <c r="H686" s="5"/>
    </row>
    <row r="687" spans="5:8" x14ac:dyDescent="0.2">
      <c r="E687" s="5"/>
      <c r="F687" s="5"/>
      <c r="G687" s="5"/>
      <c r="H687" s="5"/>
    </row>
    <row r="688" spans="5:8" x14ac:dyDescent="0.2">
      <c r="E688" s="5"/>
      <c r="F688" s="5"/>
      <c r="G688" s="5"/>
      <c r="H688" s="5"/>
    </row>
    <row r="689" spans="5:8" x14ac:dyDescent="0.2">
      <c r="E689" s="5"/>
      <c r="F689" s="5"/>
      <c r="G689" s="5"/>
      <c r="H689" s="5"/>
    </row>
    <row r="690" spans="5:8" x14ac:dyDescent="0.2">
      <c r="E690" s="5"/>
      <c r="F690" s="5"/>
      <c r="G690" s="5"/>
      <c r="H690" s="5"/>
    </row>
    <row r="691" spans="5:8" x14ac:dyDescent="0.2">
      <c r="E691" s="5"/>
      <c r="F691" s="5"/>
      <c r="G691" s="5"/>
      <c r="H691" s="5"/>
    </row>
    <row r="692" spans="5:8" x14ac:dyDescent="0.2">
      <c r="E692" s="5"/>
      <c r="F692" s="5"/>
      <c r="G692" s="5"/>
      <c r="H692" s="5"/>
    </row>
    <row r="693" spans="5:8" x14ac:dyDescent="0.2">
      <c r="E693" s="5"/>
      <c r="F693" s="5"/>
      <c r="G693" s="5"/>
      <c r="H693" s="5"/>
    </row>
    <row r="694" spans="5:8" x14ac:dyDescent="0.2">
      <c r="E694" s="5"/>
      <c r="F694" s="5"/>
      <c r="G694" s="5"/>
      <c r="H694" s="5"/>
    </row>
    <row r="695" spans="5:8" x14ac:dyDescent="0.2">
      <c r="E695" s="5"/>
      <c r="F695" s="5"/>
      <c r="G695" s="5"/>
      <c r="H695" s="5"/>
    </row>
    <row r="696" spans="5:8" x14ac:dyDescent="0.2">
      <c r="E696" s="5"/>
      <c r="F696" s="5"/>
      <c r="G696" s="5"/>
      <c r="H696" s="5"/>
    </row>
    <row r="697" spans="5:8" x14ac:dyDescent="0.2">
      <c r="E697" s="5"/>
      <c r="F697" s="5"/>
      <c r="G697" s="5"/>
      <c r="H697" s="5"/>
    </row>
    <row r="698" spans="5:8" x14ac:dyDescent="0.2">
      <c r="E698" s="5"/>
      <c r="F698" s="5"/>
      <c r="G698" s="5"/>
      <c r="H698" s="5"/>
    </row>
    <row r="699" spans="5:8" x14ac:dyDescent="0.2">
      <c r="E699" s="5"/>
      <c r="F699" s="5"/>
      <c r="G699" s="5"/>
      <c r="H699" s="5"/>
    </row>
    <row r="700" spans="5:8" x14ac:dyDescent="0.2">
      <c r="E700" s="5"/>
      <c r="F700" s="5"/>
      <c r="G700" s="5"/>
      <c r="H700" s="5"/>
    </row>
    <row r="701" spans="5:8" x14ac:dyDescent="0.2">
      <c r="E701" s="5"/>
      <c r="F701" s="5"/>
      <c r="G701" s="5"/>
      <c r="H701" s="5"/>
    </row>
    <row r="702" spans="5:8" x14ac:dyDescent="0.2">
      <c r="E702" s="5"/>
      <c r="F702" s="5"/>
      <c r="G702" s="5"/>
      <c r="H702" s="5"/>
    </row>
    <row r="703" spans="5:8" x14ac:dyDescent="0.2">
      <c r="E703" s="5"/>
      <c r="F703" s="5"/>
      <c r="G703" s="5"/>
      <c r="H703" s="5"/>
    </row>
    <row r="704" spans="5:8" x14ac:dyDescent="0.2">
      <c r="E704" s="5"/>
      <c r="F704" s="5"/>
      <c r="G704" s="5"/>
      <c r="H704" s="5"/>
    </row>
    <row r="705" spans="5:8" x14ac:dyDescent="0.2">
      <c r="E705" s="5"/>
      <c r="F705" s="5"/>
      <c r="G705" s="5"/>
      <c r="H705" s="5"/>
    </row>
    <row r="706" spans="5:8" x14ac:dyDescent="0.2">
      <c r="E706" s="5"/>
      <c r="F706" s="5"/>
      <c r="G706" s="5"/>
      <c r="H706" s="5"/>
    </row>
    <row r="707" spans="5:8" x14ac:dyDescent="0.2">
      <c r="E707" s="5"/>
      <c r="F707" s="5"/>
      <c r="G707" s="5"/>
      <c r="H707" s="5"/>
    </row>
    <row r="708" spans="5:8" x14ac:dyDescent="0.2">
      <c r="E708" s="5"/>
      <c r="F708" s="5"/>
      <c r="G708" s="5"/>
      <c r="H708" s="5"/>
    </row>
    <row r="709" spans="5:8" x14ac:dyDescent="0.2">
      <c r="E709" s="5"/>
      <c r="F709" s="5"/>
      <c r="G709" s="5"/>
      <c r="H709" s="5"/>
    </row>
    <row r="710" spans="5:8" x14ac:dyDescent="0.2">
      <c r="E710" s="5"/>
      <c r="F710" s="5"/>
      <c r="G710" s="5"/>
      <c r="H710" s="5"/>
    </row>
    <row r="711" spans="5:8" x14ac:dyDescent="0.2">
      <c r="E711" s="5"/>
      <c r="F711" s="5"/>
      <c r="G711" s="5"/>
      <c r="H711" s="5"/>
    </row>
    <row r="712" spans="5:8" x14ac:dyDescent="0.2">
      <c r="E712" s="5"/>
      <c r="F712" s="5"/>
      <c r="G712" s="5"/>
      <c r="H712" s="5"/>
    </row>
    <row r="713" spans="5:8" x14ac:dyDescent="0.2">
      <c r="E713" s="5"/>
      <c r="F713" s="5"/>
      <c r="G713" s="5"/>
      <c r="H713" s="5"/>
    </row>
    <row r="714" spans="5:8" x14ac:dyDescent="0.2">
      <c r="E714" s="5"/>
      <c r="F714" s="5"/>
      <c r="G714" s="5"/>
      <c r="H714" s="5"/>
    </row>
    <row r="715" spans="5:8" x14ac:dyDescent="0.2">
      <c r="E715" s="5"/>
      <c r="F715" s="5"/>
      <c r="G715" s="5"/>
      <c r="H715" s="5"/>
    </row>
    <row r="716" spans="5:8" x14ac:dyDescent="0.2">
      <c r="E716" s="5"/>
      <c r="F716" s="5"/>
      <c r="G716" s="5"/>
      <c r="H716" s="5"/>
    </row>
    <row r="717" spans="5:8" x14ac:dyDescent="0.2">
      <c r="E717" s="5"/>
      <c r="F717" s="5"/>
      <c r="G717" s="5"/>
      <c r="H717" s="5"/>
    </row>
    <row r="718" spans="5:8" x14ac:dyDescent="0.2">
      <c r="E718" s="5"/>
      <c r="F718" s="5"/>
      <c r="G718" s="5"/>
      <c r="H718" s="5"/>
    </row>
    <row r="719" spans="5:8" x14ac:dyDescent="0.2">
      <c r="E719" s="5"/>
      <c r="F719" s="5"/>
      <c r="G719" s="5"/>
      <c r="H719" s="5"/>
    </row>
    <row r="720" spans="5:8" x14ac:dyDescent="0.2">
      <c r="E720" s="5"/>
      <c r="F720" s="5"/>
      <c r="G720" s="5"/>
      <c r="H720" s="5"/>
    </row>
    <row r="721" spans="5:8" x14ac:dyDescent="0.2">
      <c r="E721" s="5"/>
      <c r="F721" s="5"/>
      <c r="G721" s="5"/>
      <c r="H721" s="5"/>
    </row>
    <row r="722" spans="5:8" x14ac:dyDescent="0.2">
      <c r="E722" s="5"/>
      <c r="F722" s="5"/>
      <c r="G722" s="5"/>
      <c r="H722" s="5"/>
    </row>
    <row r="723" spans="5:8" x14ac:dyDescent="0.2">
      <c r="E723" s="5"/>
      <c r="F723" s="5"/>
      <c r="G723" s="5"/>
      <c r="H723" s="5"/>
    </row>
    <row r="724" spans="5:8" x14ac:dyDescent="0.2">
      <c r="E724" s="5"/>
      <c r="F724" s="5"/>
      <c r="G724" s="5"/>
      <c r="H724" s="5"/>
    </row>
    <row r="725" spans="5:8" x14ac:dyDescent="0.2">
      <c r="E725" s="5"/>
      <c r="F725" s="5"/>
      <c r="G725" s="5"/>
      <c r="H725" s="5"/>
    </row>
    <row r="726" spans="5:8" x14ac:dyDescent="0.2">
      <c r="E726" s="5"/>
      <c r="F726" s="5"/>
      <c r="G726" s="5"/>
      <c r="H726" s="5"/>
    </row>
    <row r="727" spans="5:8" x14ac:dyDescent="0.2">
      <c r="E727" s="5"/>
      <c r="F727" s="5"/>
      <c r="G727" s="5"/>
      <c r="H727" s="5"/>
    </row>
    <row r="728" spans="5:8" x14ac:dyDescent="0.2">
      <c r="E728" s="5"/>
      <c r="F728" s="5"/>
      <c r="G728" s="5"/>
      <c r="H728" s="5"/>
    </row>
    <row r="729" spans="5:8" x14ac:dyDescent="0.2">
      <c r="E729" s="5"/>
      <c r="F729" s="5"/>
      <c r="G729" s="5"/>
      <c r="H729" s="5"/>
    </row>
    <row r="730" spans="5:8" x14ac:dyDescent="0.2">
      <c r="E730" s="5"/>
      <c r="F730" s="5"/>
      <c r="G730" s="5"/>
      <c r="H730" s="5"/>
    </row>
    <row r="731" spans="5:8" x14ac:dyDescent="0.2">
      <c r="E731" s="5"/>
      <c r="F731" s="5"/>
      <c r="G731" s="5"/>
      <c r="H731" s="5"/>
    </row>
    <row r="732" spans="5:8" x14ac:dyDescent="0.2">
      <c r="E732" s="5"/>
      <c r="F732" s="5"/>
      <c r="G732" s="5"/>
      <c r="H732" s="5"/>
    </row>
    <row r="733" spans="5:8" x14ac:dyDescent="0.2">
      <c r="E733" s="5"/>
      <c r="F733" s="5"/>
      <c r="G733" s="5"/>
      <c r="H733" s="5"/>
    </row>
    <row r="734" spans="5:8" x14ac:dyDescent="0.2">
      <c r="E734" s="5"/>
      <c r="F734" s="5"/>
      <c r="G734" s="5"/>
      <c r="H734" s="5"/>
    </row>
    <row r="735" spans="5:8" x14ac:dyDescent="0.2">
      <c r="E735" s="5"/>
      <c r="F735" s="5"/>
      <c r="G735" s="5"/>
      <c r="H735" s="5"/>
    </row>
    <row r="736" spans="5:8" x14ac:dyDescent="0.2">
      <c r="E736" s="5"/>
      <c r="F736" s="5"/>
      <c r="G736" s="5"/>
      <c r="H736" s="5"/>
    </row>
    <row r="737" spans="5:8" x14ac:dyDescent="0.2">
      <c r="E737" s="5"/>
      <c r="F737" s="5"/>
      <c r="G737" s="5"/>
      <c r="H737" s="5"/>
    </row>
    <row r="738" spans="5:8" x14ac:dyDescent="0.2">
      <c r="E738" s="5"/>
      <c r="F738" s="5"/>
      <c r="G738" s="5"/>
      <c r="H738" s="5"/>
    </row>
    <row r="739" spans="5:8" x14ac:dyDescent="0.2">
      <c r="E739" s="5"/>
      <c r="F739" s="5"/>
      <c r="G739" s="5"/>
      <c r="H739" s="5"/>
    </row>
    <row r="740" spans="5:8" x14ac:dyDescent="0.2">
      <c r="E740" s="5"/>
      <c r="F740" s="5"/>
      <c r="G740" s="5"/>
      <c r="H740" s="5"/>
    </row>
    <row r="741" spans="5:8" x14ac:dyDescent="0.2">
      <c r="E741" s="5"/>
      <c r="F741" s="5"/>
      <c r="G741" s="5"/>
      <c r="H741" s="5"/>
    </row>
    <row r="742" spans="5:8" x14ac:dyDescent="0.2">
      <c r="E742" s="5"/>
      <c r="F742" s="5"/>
      <c r="G742" s="5"/>
      <c r="H742" s="5"/>
    </row>
    <row r="743" spans="5:8" x14ac:dyDescent="0.2">
      <c r="E743" s="5"/>
      <c r="F743" s="5"/>
      <c r="G743" s="5"/>
      <c r="H743" s="5"/>
    </row>
    <row r="744" spans="5:8" x14ac:dyDescent="0.2">
      <c r="E744" s="5"/>
      <c r="F744" s="5"/>
      <c r="G744" s="5"/>
      <c r="H744" s="5"/>
    </row>
    <row r="745" spans="5:8" x14ac:dyDescent="0.2">
      <c r="E745" s="5"/>
      <c r="F745" s="5"/>
      <c r="G745" s="5"/>
      <c r="H745" s="5"/>
    </row>
    <row r="746" spans="5:8" x14ac:dyDescent="0.2">
      <c r="E746" s="5"/>
      <c r="F746" s="5"/>
      <c r="G746" s="5"/>
      <c r="H746" s="5"/>
    </row>
    <row r="747" spans="5:8" x14ac:dyDescent="0.2">
      <c r="E747" s="5"/>
      <c r="F747" s="5"/>
      <c r="G747" s="5"/>
      <c r="H747" s="5"/>
    </row>
    <row r="748" spans="5:8" x14ac:dyDescent="0.2">
      <c r="E748" s="5"/>
      <c r="F748" s="5"/>
      <c r="G748" s="5"/>
      <c r="H748" s="5"/>
    </row>
    <row r="749" spans="5:8" x14ac:dyDescent="0.2">
      <c r="E749" s="5"/>
      <c r="F749" s="5"/>
      <c r="G749" s="5"/>
      <c r="H749" s="5"/>
    </row>
    <row r="750" spans="5:8" x14ac:dyDescent="0.2">
      <c r="E750" s="5"/>
      <c r="F750" s="5"/>
      <c r="G750" s="5"/>
      <c r="H750" s="5"/>
    </row>
    <row r="751" spans="5:8" x14ac:dyDescent="0.2">
      <c r="E751" s="5"/>
      <c r="F751" s="5"/>
      <c r="G751" s="5"/>
      <c r="H751" s="5"/>
    </row>
    <row r="752" spans="5:8" x14ac:dyDescent="0.2">
      <c r="E752" s="5"/>
      <c r="F752" s="5"/>
      <c r="G752" s="5"/>
      <c r="H752" s="5"/>
    </row>
    <row r="753" spans="5:8" x14ac:dyDescent="0.2">
      <c r="E753" s="5"/>
      <c r="F753" s="5"/>
      <c r="G753" s="5"/>
      <c r="H753" s="5"/>
    </row>
    <row r="754" spans="5:8" x14ac:dyDescent="0.2">
      <c r="E754" s="5"/>
      <c r="F754" s="5"/>
      <c r="G754" s="5"/>
      <c r="H754" s="5"/>
    </row>
    <row r="755" spans="5:8" x14ac:dyDescent="0.2">
      <c r="E755" s="5"/>
      <c r="F755" s="5"/>
      <c r="G755" s="5"/>
      <c r="H755" s="5"/>
    </row>
    <row r="756" spans="5:8" x14ac:dyDescent="0.2">
      <c r="E756" s="5"/>
      <c r="F756" s="5"/>
      <c r="G756" s="5"/>
      <c r="H756" s="5"/>
    </row>
    <row r="757" spans="5:8" x14ac:dyDescent="0.2">
      <c r="E757" s="5"/>
      <c r="F757" s="5"/>
      <c r="G757" s="5"/>
      <c r="H757" s="5"/>
    </row>
    <row r="758" spans="5:8" x14ac:dyDescent="0.2">
      <c r="E758" s="5"/>
      <c r="F758" s="5"/>
      <c r="G758" s="5"/>
      <c r="H758" s="5"/>
    </row>
    <row r="759" spans="5:8" x14ac:dyDescent="0.2">
      <c r="E759" s="5"/>
      <c r="F759" s="5"/>
      <c r="G759" s="5"/>
      <c r="H759" s="5"/>
    </row>
    <row r="760" spans="5:8" x14ac:dyDescent="0.2">
      <c r="E760" s="5"/>
      <c r="F760" s="5"/>
      <c r="G760" s="5"/>
      <c r="H760" s="5"/>
    </row>
    <row r="761" spans="5:8" x14ac:dyDescent="0.2">
      <c r="E761" s="5"/>
      <c r="F761" s="5"/>
      <c r="G761" s="5"/>
      <c r="H761" s="5"/>
    </row>
    <row r="762" spans="5:8" x14ac:dyDescent="0.2">
      <c r="E762" s="5"/>
      <c r="F762" s="5"/>
      <c r="G762" s="5"/>
      <c r="H762" s="5"/>
    </row>
    <row r="763" spans="5:8" x14ac:dyDescent="0.2">
      <c r="E763" s="5"/>
      <c r="F763" s="5"/>
      <c r="G763" s="5"/>
      <c r="H763" s="5"/>
    </row>
    <row r="764" spans="5:8" x14ac:dyDescent="0.2">
      <c r="E764" s="5"/>
      <c r="F764" s="5"/>
      <c r="G764" s="5"/>
      <c r="H764" s="5"/>
    </row>
    <row r="765" spans="5:8" x14ac:dyDescent="0.2">
      <c r="E765" s="5"/>
      <c r="F765" s="5"/>
      <c r="G765" s="5"/>
      <c r="H765" s="5"/>
    </row>
    <row r="766" spans="5:8" x14ac:dyDescent="0.2">
      <c r="E766" s="5"/>
      <c r="F766" s="5"/>
      <c r="G766" s="5"/>
      <c r="H766" s="5"/>
    </row>
    <row r="767" spans="5:8" x14ac:dyDescent="0.2">
      <c r="E767" s="5"/>
      <c r="F767" s="5"/>
      <c r="G767" s="5"/>
      <c r="H767" s="5"/>
    </row>
    <row r="768" spans="5:8" x14ac:dyDescent="0.2">
      <c r="E768" s="5"/>
      <c r="F768" s="5"/>
      <c r="G768" s="5"/>
      <c r="H768" s="5"/>
    </row>
    <row r="769" spans="5:8" x14ac:dyDescent="0.2">
      <c r="E769" s="5"/>
      <c r="F769" s="5"/>
      <c r="G769" s="5"/>
      <c r="H769" s="5"/>
    </row>
    <row r="770" spans="5:8" x14ac:dyDescent="0.2">
      <c r="E770" s="5"/>
      <c r="F770" s="5"/>
      <c r="G770" s="5"/>
      <c r="H770" s="5"/>
    </row>
    <row r="771" spans="5:8" x14ac:dyDescent="0.2">
      <c r="E771" s="5"/>
      <c r="F771" s="5"/>
      <c r="G771" s="5"/>
      <c r="H771" s="5"/>
    </row>
    <row r="772" spans="5:8" x14ac:dyDescent="0.2">
      <c r="E772" s="5"/>
      <c r="F772" s="5"/>
      <c r="G772" s="5"/>
      <c r="H772" s="5"/>
    </row>
    <row r="773" spans="5:8" x14ac:dyDescent="0.2">
      <c r="E773" s="5"/>
      <c r="F773" s="5"/>
      <c r="G773" s="5"/>
      <c r="H773" s="5"/>
    </row>
    <row r="774" spans="5:8" x14ac:dyDescent="0.2">
      <c r="E774" s="5"/>
      <c r="F774" s="5"/>
      <c r="G774" s="5"/>
      <c r="H774" s="5"/>
    </row>
    <row r="775" spans="5:8" x14ac:dyDescent="0.2">
      <c r="E775" s="5"/>
      <c r="F775" s="5"/>
      <c r="G775" s="5"/>
      <c r="H775" s="5"/>
    </row>
    <row r="776" spans="5:8" x14ac:dyDescent="0.2">
      <c r="E776" s="5"/>
      <c r="F776" s="5"/>
      <c r="G776" s="5"/>
      <c r="H776" s="5"/>
    </row>
    <row r="777" spans="5:8" x14ac:dyDescent="0.2">
      <c r="E777" s="5"/>
      <c r="F777" s="5"/>
      <c r="G777" s="5"/>
      <c r="H777" s="5"/>
    </row>
    <row r="778" spans="5:8" x14ac:dyDescent="0.2">
      <c r="E778" s="5"/>
      <c r="F778" s="5"/>
      <c r="G778" s="5"/>
      <c r="H778" s="5"/>
    </row>
    <row r="779" spans="5:8" x14ac:dyDescent="0.2">
      <c r="E779" s="5"/>
      <c r="F779" s="5"/>
      <c r="G779" s="5"/>
      <c r="H779" s="5"/>
    </row>
    <row r="780" spans="5:8" x14ac:dyDescent="0.2">
      <c r="E780" s="5"/>
      <c r="F780" s="5"/>
      <c r="G780" s="5"/>
      <c r="H780" s="5"/>
    </row>
    <row r="781" spans="5:8" x14ac:dyDescent="0.2">
      <c r="E781" s="5"/>
      <c r="F781" s="5"/>
      <c r="G781" s="5"/>
      <c r="H781" s="5"/>
    </row>
    <row r="782" spans="5:8" x14ac:dyDescent="0.2">
      <c r="E782" s="5"/>
      <c r="F782" s="5"/>
      <c r="G782" s="5"/>
      <c r="H782" s="5"/>
    </row>
    <row r="783" spans="5:8" x14ac:dyDescent="0.2">
      <c r="E783" s="5"/>
      <c r="F783" s="5"/>
      <c r="G783" s="5"/>
      <c r="H783" s="5"/>
    </row>
    <row r="784" spans="5:8" x14ac:dyDescent="0.2">
      <c r="E784" s="5"/>
      <c r="F784" s="5"/>
      <c r="G784" s="5"/>
      <c r="H784" s="5"/>
    </row>
    <row r="785" spans="5:8" x14ac:dyDescent="0.2">
      <c r="E785" s="5"/>
      <c r="F785" s="5"/>
      <c r="G785" s="5"/>
      <c r="H785" s="5"/>
    </row>
    <row r="786" spans="5:8" x14ac:dyDescent="0.2">
      <c r="E786" s="5"/>
      <c r="F786" s="5"/>
      <c r="G786" s="5"/>
      <c r="H786" s="5"/>
    </row>
    <row r="787" spans="5:8" x14ac:dyDescent="0.2">
      <c r="E787" s="5"/>
      <c r="F787" s="5"/>
      <c r="G787" s="5"/>
      <c r="H787" s="5"/>
    </row>
    <row r="788" spans="5:8" x14ac:dyDescent="0.2">
      <c r="E788" s="5"/>
      <c r="F788" s="5"/>
      <c r="G788" s="5"/>
      <c r="H788" s="5"/>
    </row>
    <row r="789" spans="5:8" x14ac:dyDescent="0.2">
      <c r="E789" s="5"/>
      <c r="F789" s="5"/>
      <c r="G789" s="5"/>
      <c r="H789" s="5"/>
    </row>
    <row r="790" spans="5:8" x14ac:dyDescent="0.2">
      <c r="E790" s="5"/>
      <c r="F790" s="5"/>
      <c r="G790" s="5"/>
      <c r="H790" s="5"/>
    </row>
    <row r="791" spans="5:8" x14ac:dyDescent="0.2">
      <c r="E791" s="5"/>
      <c r="F791" s="5"/>
      <c r="G791" s="5"/>
      <c r="H791" s="5"/>
    </row>
    <row r="792" spans="5:8" x14ac:dyDescent="0.2">
      <c r="E792" s="5"/>
      <c r="F792" s="5"/>
      <c r="G792" s="5"/>
      <c r="H792" s="5"/>
    </row>
    <row r="793" spans="5:8" x14ac:dyDescent="0.2">
      <c r="E793" s="5"/>
      <c r="F793" s="5"/>
      <c r="G793" s="5"/>
      <c r="H793" s="5"/>
    </row>
    <row r="794" spans="5:8" x14ac:dyDescent="0.2">
      <c r="E794" s="5"/>
      <c r="F794" s="5"/>
      <c r="G794" s="5"/>
      <c r="H794" s="5"/>
    </row>
    <row r="795" spans="5:8" x14ac:dyDescent="0.2">
      <c r="E795" s="5"/>
      <c r="F795" s="5"/>
      <c r="G795" s="5"/>
      <c r="H795" s="5"/>
    </row>
    <row r="796" spans="5:8" x14ac:dyDescent="0.2">
      <c r="E796" s="5"/>
      <c r="F796" s="5"/>
      <c r="G796" s="5"/>
      <c r="H796" s="5"/>
    </row>
    <row r="797" spans="5:8" x14ac:dyDescent="0.2">
      <c r="E797" s="5"/>
      <c r="F797" s="5"/>
      <c r="G797" s="5"/>
      <c r="H797" s="5"/>
    </row>
    <row r="798" spans="5:8" x14ac:dyDescent="0.2">
      <c r="E798" s="5"/>
      <c r="F798" s="5"/>
      <c r="G798" s="5"/>
      <c r="H798" s="5"/>
    </row>
    <row r="799" spans="5:8" x14ac:dyDescent="0.2">
      <c r="E799" s="5"/>
      <c r="F799" s="5"/>
      <c r="G799" s="5"/>
      <c r="H799" s="5"/>
    </row>
    <row r="800" spans="5:8" x14ac:dyDescent="0.2">
      <c r="E800" s="5"/>
      <c r="F800" s="5"/>
      <c r="G800" s="5"/>
      <c r="H800" s="5"/>
    </row>
    <row r="801" spans="5:8" x14ac:dyDescent="0.2">
      <c r="E801" s="5"/>
      <c r="F801" s="5"/>
      <c r="G801" s="5"/>
      <c r="H801" s="5"/>
    </row>
    <row r="802" spans="5:8" x14ac:dyDescent="0.2">
      <c r="E802" s="5"/>
      <c r="F802" s="5"/>
      <c r="G802" s="5"/>
      <c r="H802" s="5"/>
    </row>
    <row r="803" spans="5:8" x14ac:dyDescent="0.2">
      <c r="E803" s="5"/>
      <c r="F803" s="5"/>
      <c r="G803" s="5"/>
      <c r="H803" s="5"/>
    </row>
    <row r="804" spans="5:8" x14ac:dyDescent="0.2">
      <c r="E804" s="5"/>
      <c r="F804" s="5"/>
      <c r="G804" s="5"/>
      <c r="H804" s="5"/>
    </row>
    <row r="805" spans="5:8" x14ac:dyDescent="0.2">
      <c r="E805" s="5"/>
      <c r="F805" s="5"/>
      <c r="G805" s="5"/>
      <c r="H805" s="5"/>
    </row>
    <row r="806" spans="5:8" x14ac:dyDescent="0.2">
      <c r="E806" s="5"/>
      <c r="F806" s="5"/>
      <c r="G806" s="5"/>
      <c r="H806" s="5"/>
    </row>
    <row r="807" spans="5:8" x14ac:dyDescent="0.2">
      <c r="E807" s="5"/>
      <c r="F807" s="5"/>
      <c r="G807" s="5"/>
      <c r="H807" s="5"/>
    </row>
    <row r="808" spans="5:8" x14ac:dyDescent="0.2">
      <c r="E808" s="5"/>
      <c r="F808" s="5"/>
      <c r="G808" s="5"/>
      <c r="H808" s="5"/>
    </row>
    <row r="809" spans="5:8" x14ac:dyDescent="0.2">
      <c r="E809" s="5"/>
      <c r="F809" s="5"/>
      <c r="G809" s="5"/>
      <c r="H809" s="5"/>
    </row>
    <row r="810" spans="5:8" x14ac:dyDescent="0.2">
      <c r="E810" s="5"/>
      <c r="F810" s="5"/>
      <c r="G810" s="5"/>
      <c r="H810" s="5"/>
    </row>
    <row r="811" spans="5:8" x14ac:dyDescent="0.2">
      <c r="E811" s="5"/>
      <c r="F811" s="5"/>
      <c r="G811" s="5"/>
      <c r="H811" s="5"/>
    </row>
    <row r="812" spans="5:8" x14ac:dyDescent="0.2">
      <c r="E812" s="5"/>
      <c r="F812" s="5"/>
      <c r="G812" s="5"/>
      <c r="H812" s="5"/>
    </row>
    <row r="813" spans="5:8" x14ac:dyDescent="0.2">
      <c r="E813" s="5"/>
      <c r="F813" s="5"/>
      <c r="G813" s="5"/>
      <c r="H813" s="5"/>
    </row>
    <row r="814" spans="5:8" x14ac:dyDescent="0.2">
      <c r="E814" s="5"/>
      <c r="F814" s="5"/>
      <c r="G814" s="5"/>
      <c r="H814" s="5"/>
    </row>
    <row r="815" spans="5:8" x14ac:dyDescent="0.2">
      <c r="E815" s="5"/>
      <c r="F815" s="5"/>
      <c r="G815" s="5"/>
      <c r="H815" s="5"/>
    </row>
    <row r="816" spans="5:8" x14ac:dyDescent="0.2">
      <c r="E816" s="5"/>
      <c r="F816" s="5"/>
      <c r="G816" s="5"/>
      <c r="H816" s="5"/>
    </row>
    <row r="817" spans="5:8" x14ac:dyDescent="0.2">
      <c r="E817" s="5"/>
      <c r="F817" s="5"/>
      <c r="G817" s="5"/>
      <c r="H817" s="5"/>
    </row>
    <row r="818" spans="5:8" x14ac:dyDescent="0.2">
      <c r="E818" s="5"/>
      <c r="F818" s="5"/>
      <c r="G818" s="5"/>
      <c r="H818" s="5"/>
    </row>
    <row r="819" spans="5:8" x14ac:dyDescent="0.2">
      <c r="E819" s="5"/>
      <c r="F819" s="5"/>
      <c r="G819" s="5"/>
      <c r="H819" s="5"/>
    </row>
    <row r="820" spans="5:8" x14ac:dyDescent="0.2">
      <c r="E820" s="5"/>
      <c r="F820" s="5"/>
      <c r="G820" s="5"/>
      <c r="H820" s="5"/>
    </row>
    <row r="821" spans="5:8" x14ac:dyDescent="0.2">
      <c r="E821" s="5"/>
      <c r="F821" s="5"/>
      <c r="G821" s="5"/>
      <c r="H821" s="5"/>
    </row>
    <row r="822" spans="5:8" x14ac:dyDescent="0.2">
      <c r="E822" s="5"/>
      <c r="F822" s="5"/>
      <c r="G822" s="5"/>
      <c r="H822" s="5"/>
    </row>
    <row r="823" spans="5:8" x14ac:dyDescent="0.2">
      <c r="E823" s="5"/>
      <c r="F823" s="5"/>
      <c r="G823" s="5"/>
      <c r="H823" s="5"/>
    </row>
    <row r="824" spans="5:8" x14ac:dyDescent="0.2">
      <c r="E824" s="5"/>
      <c r="F824" s="5"/>
      <c r="G824" s="5"/>
      <c r="H824" s="5"/>
    </row>
    <row r="825" spans="5:8" x14ac:dyDescent="0.2">
      <c r="E825" s="5"/>
      <c r="F825" s="5"/>
      <c r="G825" s="5"/>
      <c r="H825" s="5"/>
    </row>
    <row r="826" spans="5:8" x14ac:dyDescent="0.2">
      <c r="E826" s="5"/>
      <c r="F826" s="5"/>
      <c r="G826" s="5"/>
      <c r="H826" s="5"/>
    </row>
    <row r="827" spans="5:8" x14ac:dyDescent="0.2">
      <c r="E827" s="5"/>
      <c r="F827" s="5"/>
      <c r="G827" s="5"/>
      <c r="H827" s="5"/>
    </row>
    <row r="828" spans="5:8" x14ac:dyDescent="0.2">
      <c r="E828" s="5"/>
      <c r="F828" s="5"/>
      <c r="G828" s="5"/>
      <c r="H828" s="5"/>
    </row>
    <row r="829" spans="5:8" x14ac:dyDescent="0.2">
      <c r="E829" s="5"/>
      <c r="F829" s="5"/>
      <c r="G829" s="5"/>
      <c r="H829" s="5"/>
    </row>
    <row r="830" spans="5:8" x14ac:dyDescent="0.2">
      <c r="E830" s="5"/>
      <c r="F830" s="5"/>
      <c r="G830" s="5"/>
      <c r="H830" s="5"/>
    </row>
    <row r="831" spans="5:8" x14ac:dyDescent="0.2">
      <c r="E831" s="5"/>
      <c r="F831" s="5"/>
      <c r="G831" s="5"/>
      <c r="H831" s="5"/>
    </row>
    <row r="832" spans="5:8" x14ac:dyDescent="0.2">
      <c r="E832" s="5"/>
      <c r="F832" s="5"/>
      <c r="G832" s="5"/>
      <c r="H832" s="5"/>
    </row>
    <row r="833" spans="5:8" x14ac:dyDescent="0.2">
      <c r="E833" s="5"/>
      <c r="F833" s="5"/>
      <c r="G833" s="5"/>
      <c r="H833" s="5"/>
    </row>
    <row r="834" spans="5:8" x14ac:dyDescent="0.2">
      <c r="E834" s="5"/>
      <c r="F834" s="5"/>
      <c r="G834" s="5"/>
      <c r="H834" s="5"/>
    </row>
    <row r="835" spans="5:8" x14ac:dyDescent="0.2">
      <c r="E835" s="5"/>
      <c r="F835" s="5"/>
      <c r="G835" s="5"/>
      <c r="H835" s="5"/>
    </row>
    <row r="836" spans="5:8" x14ac:dyDescent="0.2">
      <c r="E836" s="5"/>
      <c r="F836" s="5"/>
      <c r="G836" s="5"/>
      <c r="H836" s="5"/>
    </row>
    <row r="837" spans="5:8" x14ac:dyDescent="0.2">
      <c r="E837" s="5"/>
      <c r="F837" s="5"/>
      <c r="G837" s="5"/>
      <c r="H837" s="5"/>
    </row>
    <row r="838" spans="5:8" x14ac:dyDescent="0.2">
      <c r="E838" s="5"/>
      <c r="F838" s="5"/>
      <c r="G838" s="5"/>
      <c r="H838" s="5"/>
    </row>
    <row r="839" spans="5:8" x14ac:dyDescent="0.2">
      <c r="E839" s="5"/>
      <c r="F839" s="5"/>
      <c r="G839" s="5"/>
      <c r="H839" s="5"/>
    </row>
    <row r="840" spans="5:8" x14ac:dyDescent="0.2">
      <c r="E840" s="5"/>
      <c r="F840" s="5"/>
      <c r="G840" s="5"/>
      <c r="H840" s="5"/>
    </row>
    <row r="841" spans="5:8" x14ac:dyDescent="0.2">
      <c r="E841" s="5"/>
      <c r="F841" s="5"/>
      <c r="G841" s="5"/>
      <c r="H841" s="5"/>
    </row>
    <row r="842" spans="5:8" x14ac:dyDescent="0.2">
      <c r="E842" s="5"/>
      <c r="F842" s="5"/>
      <c r="G842" s="5"/>
      <c r="H842" s="5"/>
    </row>
    <row r="843" spans="5:8" x14ac:dyDescent="0.2">
      <c r="E843" s="5"/>
      <c r="F843" s="5"/>
      <c r="G843" s="5"/>
      <c r="H843" s="5"/>
    </row>
    <row r="844" spans="5:8" x14ac:dyDescent="0.2">
      <c r="E844" s="5"/>
      <c r="F844" s="5"/>
      <c r="G844" s="5"/>
      <c r="H844" s="5"/>
    </row>
    <row r="845" spans="5:8" x14ac:dyDescent="0.2">
      <c r="E845" s="5"/>
      <c r="F845" s="5"/>
      <c r="G845" s="5"/>
      <c r="H845" s="5"/>
    </row>
    <row r="846" spans="5:8" x14ac:dyDescent="0.2">
      <c r="E846" s="5"/>
      <c r="F846" s="5"/>
      <c r="G846" s="5"/>
      <c r="H846" s="5"/>
    </row>
    <row r="847" spans="5:8" x14ac:dyDescent="0.2">
      <c r="E847" s="5"/>
      <c r="F847" s="5"/>
      <c r="G847" s="5"/>
      <c r="H847" s="5"/>
    </row>
    <row r="848" spans="5:8" x14ac:dyDescent="0.2">
      <c r="E848" s="5"/>
      <c r="F848" s="5"/>
      <c r="G848" s="5"/>
      <c r="H848" s="5"/>
    </row>
    <row r="849" spans="5:8" x14ac:dyDescent="0.2">
      <c r="E849" s="5"/>
      <c r="F849" s="5"/>
      <c r="G849" s="5"/>
      <c r="H849" s="5"/>
    </row>
    <row r="850" spans="5:8" x14ac:dyDescent="0.2">
      <c r="E850" s="5"/>
      <c r="F850" s="5"/>
      <c r="G850" s="5"/>
      <c r="H850" s="5"/>
    </row>
    <row r="851" spans="5:8" x14ac:dyDescent="0.2">
      <c r="E851" s="5"/>
      <c r="F851" s="5"/>
      <c r="G851" s="5"/>
      <c r="H851" s="5"/>
    </row>
    <row r="852" spans="5:8" x14ac:dyDescent="0.2">
      <c r="E852" s="5"/>
      <c r="F852" s="5"/>
      <c r="G852" s="5"/>
      <c r="H852" s="5"/>
    </row>
    <row r="853" spans="5:8" x14ac:dyDescent="0.2">
      <c r="E853" s="5"/>
      <c r="F853" s="5"/>
      <c r="G853" s="5"/>
      <c r="H853" s="5"/>
    </row>
    <row r="854" spans="5:8" x14ac:dyDescent="0.2">
      <c r="E854" s="5"/>
      <c r="F854" s="5"/>
      <c r="G854" s="5"/>
      <c r="H854" s="5"/>
    </row>
    <row r="855" spans="5:8" x14ac:dyDescent="0.2">
      <c r="E855" s="5"/>
      <c r="F855" s="5"/>
      <c r="G855" s="5"/>
      <c r="H855" s="5"/>
    </row>
    <row r="856" spans="5:8" x14ac:dyDescent="0.2">
      <c r="E856" s="5"/>
      <c r="F856" s="5"/>
      <c r="G856" s="5"/>
      <c r="H856" s="5"/>
    </row>
    <row r="857" spans="5:8" x14ac:dyDescent="0.2">
      <c r="E857" s="5"/>
      <c r="F857" s="5"/>
      <c r="G857" s="5"/>
      <c r="H857" s="5"/>
    </row>
    <row r="858" spans="5:8" x14ac:dyDescent="0.2">
      <c r="E858" s="5"/>
      <c r="F858" s="5"/>
      <c r="G858" s="5"/>
      <c r="H858" s="5"/>
    </row>
    <row r="859" spans="5:8" x14ac:dyDescent="0.2">
      <c r="E859" s="5"/>
      <c r="F859" s="5"/>
      <c r="G859" s="5"/>
      <c r="H859" s="5"/>
    </row>
    <row r="860" spans="5:8" x14ac:dyDescent="0.2">
      <c r="E860" s="5"/>
      <c r="F860" s="5"/>
      <c r="G860" s="5"/>
      <c r="H860" s="5"/>
    </row>
    <row r="861" spans="5:8" x14ac:dyDescent="0.2">
      <c r="E861" s="5"/>
      <c r="F861" s="5"/>
      <c r="G861" s="5"/>
      <c r="H861" s="5"/>
    </row>
    <row r="862" spans="5:8" x14ac:dyDescent="0.2">
      <c r="E862" s="5"/>
      <c r="F862" s="5"/>
      <c r="G862" s="5"/>
      <c r="H862" s="5"/>
    </row>
    <row r="863" spans="5:8" x14ac:dyDescent="0.2">
      <c r="E863" s="5"/>
      <c r="F863" s="5"/>
      <c r="G863" s="5"/>
      <c r="H863" s="5"/>
    </row>
    <row r="864" spans="5:8" x14ac:dyDescent="0.2">
      <c r="E864" s="5"/>
      <c r="F864" s="5"/>
      <c r="G864" s="5"/>
      <c r="H864" s="5"/>
    </row>
    <row r="865" spans="5:8" x14ac:dyDescent="0.2">
      <c r="E865" s="5"/>
      <c r="F865" s="5"/>
      <c r="G865" s="5"/>
      <c r="H865" s="5"/>
    </row>
    <row r="866" spans="5:8" x14ac:dyDescent="0.2">
      <c r="E866" s="5"/>
      <c r="F866" s="5"/>
      <c r="G866" s="5"/>
      <c r="H866" s="5"/>
    </row>
    <row r="867" spans="5:8" x14ac:dyDescent="0.2">
      <c r="E867" s="5"/>
      <c r="F867" s="5"/>
      <c r="G867" s="5"/>
      <c r="H867" s="5"/>
    </row>
    <row r="868" spans="5:8" x14ac:dyDescent="0.2">
      <c r="E868" s="5"/>
      <c r="F868" s="5"/>
      <c r="G868" s="5"/>
      <c r="H868" s="5"/>
    </row>
    <row r="869" spans="5:8" x14ac:dyDescent="0.2">
      <c r="E869" s="5"/>
      <c r="F869" s="5"/>
      <c r="G869" s="5"/>
      <c r="H869" s="5"/>
    </row>
    <row r="870" spans="5:8" x14ac:dyDescent="0.2">
      <c r="E870" s="5"/>
      <c r="F870" s="5"/>
      <c r="G870" s="5"/>
      <c r="H870" s="5"/>
    </row>
    <row r="871" spans="5:8" x14ac:dyDescent="0.2">
      <c r="E871" s="5"/>
      <c r="F871" s="5"/>
      <c r="G871" s="5"/>
      <c r="H871" s="5"/>
    </row>
    <row r="872" spans="5:8" x14ac:dyDescent="0.2">
      <c r="E872" s="5"/>
      <c r="F872" s="5"/>
      <c r="G872" s="5"/>
      <c r="H872" s="5"/>
    </row>
    <row r="873" spans="5:8" x14ac:dyDescent="0.2">
      <c r="E873" s="5"/>
      <c r="F873" s="5"/>
      <c r="G873" s="5"/>
      <c r="H873" s="5"/>
    </row>
    <row r="874" spans="5:8" x14ac:dyDescent="0.2">
      <c r="E874" s="5"/>
      <c r="F874" s="5"/>
      <c r="G874" s="5"/>
      <c r="H874" s="5"/>
    </row>
    <row r="875" spans="5:8" x14ac:dyDescent="0.2">
      <c r="E875" s="5"/>
      <c r="F875" s="5"/>
      <c r="G875" s="5"/>
      <c r="H875" s="5"/>
    </row>
    <row r="876" spans="5:8" x14ac:dyDescent="0.2">
      <c r="E876" s="5"/>
      <c r="F876" s="5"/>
      <c r="G876" s="5"/>
      <c r="H876" s="5"/>
    </row>
    <row r="877" spans="5:8" x14ac:dyDescent="0.2">
      <c r="E877" s="5"/>
      <c r="F877" s="5"/>
      <c r="G877" s="5"/>
      <c r="H877" s="5"/>
    </row>
    <row r="878" spans="5:8" x14ac:dyDescent="0.2">
      <c r="E878" s="5"/>
      <c r="F878" s="5"/>
      <c r="G878" s="5"/>
      <c r="H878" s="5"/>
    </row>
    <row r="879" spans="5:8" x14ac:dyDescent="0.2">
      <c r="E879" s="5"/>
      <c r="F879" s="5"/>
      <c r="G879" s="5"/>
      <c r="H879" s="5"/>
    </row>
    <row r="880" spans="5:8" x14ac:dyDescent="0.2">
      <c r="E880" s="5"/>
      <c r="F880" s="5"/>
      <c r="G880" s="5"/>
      <c r="H880" s="5"/>
    </row>
    <row r="881" spans="5:8" x14ac:dyDescent="0.2">
      <c r="E881" s="5"/>
      <c r="F881" s="5"/>
      <c r="G881" s="5"/>
      <c r="H881" s="5"/>
    </row>
    <row r="882" spans="5:8" x14ac:dyDescent="0.2">
      <c r="E882" s="5"/>
      <c r="F882" s="5"/>
      <c r="G882" s="5"/>
      <c r="H882" s="5"/>
    </row>
    <row r="883" spans="5:8" x14ac:dyDescent="0.2">
      <c r="E883" s="5"/>
      <c r="F883" s="5"/>
      <c r="G883" s="5"/>
      <c r="H883" s="5"/>
    </row>
    <row r="884" spans="5:8" x14ac:dyDescent="0.2">
      <c r="E884" s="5"/>
      <c r="F884" s="5"/>
      <c r="G884" s="5"/>
      <c r="H884" s="5"/>
    </row>
    <row r="885" spans="5:8" x14ac:dyDescent="0.2">
      <c r="E885" s="5"/>
      <c r="F885" s="5"/>
      <c r="G885" s="5"/>
      <c r="H885" s="5"/>
    </row>
    <row r="886" spans="5:8" x14ac:dyDescent="0.2">
      <c r="E886" s="5"/>
      <c r="F886" s="5"/>
      <c r="G886" s="5"/>
      <c r="H886" s="5"/>
    </row>
    <row r="887" spans="5:8" x14ac:dyDescent="0.2">
      <c r="E887" s="5"/>
      <c r="F887" s="5"/>
      <c r="G887" s="5"/>
      <c r="H887" s="5"/>
    </row>
    <row r="888" spans="5:8" x14ac:dyDescent="0.2">
      <c r="E888" s="5"/>
      <c r="F888" s="5"/>
      <c r="G888" s="5"/>
      <c r="H888" s="5"/>
    </row>
    <row r="889" spans="5:8" x14ac:dyDescent="0.2">
      <c r="E889" s="5"/>
      <c r="F889" s="5"/>
      <c r="G889" s="5"/>
      <c r="H889" s="5"/>
    </row>
    <row r="890" spans="5:8" x14ac:dyDescent="0.2">
      <c r="E890" s="5"/>
      <c r="F890" s="5"/>
      <c r="G890" s="5"/>
      <c r="H890" s="5"/>
    </row>
    <row r="891" spans="5:8" x14ac:dyDescent="0.2">
      <c r="E891" s="5"/>
      <c r="F891" s="5"/>
      <c r="G891" s="5"/>
      <c r="H891" s="5"/>
    </row>
    <row r="892" spans="5:8" x14ac:dyDescent="0.2">
      <c r="E892" s="5"/>
      <c r="F892" s="5"/>
      <c r="G892" s="5"/>
      <c r="H892" s="5"/>
    </row>
    <row r="893" spans="5:8" x14ac:dyDescent="0.2">
      <c r="E893" s="5"/>
      <c r="F893" s="5"/>
      <c r="G893" s="5"/>
      <c r="H893" s="5"/>
    </row>
    <row r="894" spans="5:8" x14ac:dyDescent="0.2">
      <c r="E894" s="5"/>
      <c r="F894" s="5"/>
      <c r="G894" s="5"/>
      <c r="H894" s="5"/>
    </row>
    <row r="895" spans="5:8" x14ac:dyDescent="0.2">
      <c r="E895" s="5"/>
      <c r="F895" s="5"/>
      <c r="G895" s="5"/>
      <c r="H895" s="5"/>
    </row>
    <row r="896" spans="5:8" x14ac:dyDescent="0.2">
      <c r="E896" s="5"/>
      <c r="F896" s="5"/>
      <c r="G896" s="5"/>
      <c r="H896" s="5"/>
    </row>
    <row r="897" spans="5:8" x14ac:dyDescent="0.2">
      <c r="E897" s="5"/>
      <c r="F897" s="5"/>
      <c r="G897" s="5"/>
      <c r="H897" s="5"/>
    </row>
    <row r="898" spans="5:8" x14ac:dyDescent="0.2">
      <c r="E898" s="5"/>
      <c r="F898" s="5"/>
      <c r="G898" s="5"/>
      <c r="H898" s="5"/>
    </row>
    <row r="899" spans="5:8" x14ac:dyDescent="0.2">
      <c r="E899" s="5"/>
      <c r="F899" s="5"/>
      <c r="G899" s="5"/>
      <c r="H899" s="5"/>
    </row>
    <row r="900" spans="5:8" x14ac:dyDescent="0.2">
      <c r="E900" s="5"/>
      <c r="F900" s="5"/>
      <c r="G900" s="5"/>
      <c r="H900" s="5"/>
    </row>
    <row r="901" spans="5:8" x14ac:dyDescent="0.2">
      <c r="E901" s="5"/>
      <c r="F901" s="5"/>
      <c r="G901" s="5"/>
      <c r="H901" s="5"/>
    </row>
    <row r="902" spans="5:8" x14ac:dyDescent="0.2">
      <c r="E902" s="5"/>
      <c r="F902" s="5"/>
      <c r="G902" s="5"/>
      <c r="H902" s="5"/>
    </row>
    <row r="903" spans="5:8" x14ac:dyDescent="0.2">
      <c r="E903" s="5"/>
      <c r="F903" s="5"/>
      <c r="G903" s="5"/>
      <c r="H903" s="5"/>
    </row>
    <row r="904" spans="5:8" x14ac:dyDescent="0.2">
      <c r="E904" s="5"/>
      <c r="F904" s="5"/>
      <c r="G904" s="5"/>
      <c r="H904" s="5"/>
    </row>
    <row r="905" spans="5:8" x14ac:dyDescent="0.2">
      <c r="E905" s="5"/>
      <c r="F905" s="5"/>
      <c r="G905" s="5"/>
      <c r="H905" s="5"/>
    </row>
    <row r="906" spans="5:8" x14ac:dyDescent="0.2">
      <c r="E906" s="5"/>
      <c r="F906" s="5"/>
      <c r="G906" s="5"/>
      <c r="H906" s="5"/>
    </row>
    <row r="907" spans="5:8" x14ac:dyDescent="0.2">
      <c r="E907" s="5"/>
      <c r="F907" s="5"/>
      <c r="G907" s="5"/>
      <c r="H907" s="5"/>
    </row>
    <row r="908" spans="5:8" x14ac:dyDescent="0.2">
      <c r="E908" s="5"/>
      <c r="F908" s="5"/>
      <c r="G908" s="5"/>
      <c r="H908" s="5"/>
    </row>
    <row r="909" spans="5:8" x14ac:dyDescent="0.2">
      <c r="E909" s="5"/>
      <c r="F909" s="5"/>
      <c r="G909" s="5"/>
      <c r="H909" s="5"/>
    </row>
    <row r="910" spans="5:8" x14ac:dyDescent="0.2">
      <c r="E910" s="5"/>
      <c r="F910" s="5"/>
      <c r="G910" s="5"/>
      <c r="H910" s="5"/>
    </row>
    <row r="911" spans="5:8" x14ac:dyDescent="0.2">
      <c r="E911" s="5"/>
      <c r="F911" s="5"/>
      <c r="G911" s="5"/>
      <c r="H911" s="5"/>
    </row>
    <row r="912" spans="5:8" x14ac:dyDescent="0.2">
      <c r="E912" s="5"/>
      <c r="F912" s="5"/>
      <c r="G912" s="5"/>
      <c r="H912" s="5"/>
    </row>
    <row r="913" spans="5:8" x14ac:dyDescent="0.2">
      <c r="E913" s="5"/>
      <c r="F913" s="5"/>
      <c r="G913" s="5"/>
      <c r="H913" s="5"/>
    </row>
    <row r="914" spans="5:8" x14ac:dyDescent="0.2">
      <c r="E914" s="5"/>
      <c r="F914" s="5"/>
      <c r="G914" s="5"/>
      <c r="H914" s="5"/>
    </row>
    <row r="915" spans="5:8" x14ac:dyDescent="0.2">
      <c r="E915" s="5"/>
      <c r="F915" s="5"/>
      <c r="G915" s="5"/>
      <c r="H915" s="5"/>
    </row>
    <row r="916" spans="5:8" x14ac:dyDescent="0.2">
      <c r="E916" s="5"/>
      <c r="F916" s="5"/>
      <c r="G916" s="5"/>
      <c r="H916" s="5"/>
    </row>
    <row r="917" spans="5:8" x14ac:dyDescent="0.2">
      <c r="E917" s="5"/>
      <c r="F917" s="5"/>
      <c r="G917" s="5"/>
      <c r="H917" s="5"/>
    </row>
    <row r="918" spans="5:8" x14ac:dyDescent="0.2">
      <c r="E918" s="5"/>
      <c r="F918" s="5"/>
      <c r="G918" s="5"/>
      <c r="H918" s="5"/>
    </row>
    <row r="919" spans="5:8" x14ac:dyDescent="0.2">
      <c r="E919" s="5"/>
      <c r="F919" s="5"/>
      <c r="G919" s="5"/>
      <c r="H919" s="5"/>
    </row>
    <row r="920" spans="5:8" x14ac:dyDescent="0.2">
      <c r="E920" s="5"/>
      <c r="F920" s="5"/>
      <c r="G920" s="5"/>
      <c r="H920" s="5"/>
    </row>
    <row r="921" spans="5:8" x14ac:dyDescent="0.2">
      <c r="E921" s="5"/>
      <c r="F921" s="5"/>
      <c r="G921" s="5"/>
      <c r="H921" s="5"/>
    </row>
    <row r="922" spans="5:8" x14ac:dyDescent="0.2">
      <c r="E922" s="5"/>
      <c r="F922" s="5"/>
      <c r="G922" s="5"/>
      <c r="H922" s="5"/>
    </row>
    <row r="923" spans="5:8" x14ac:dyDescent="0.2">
      <c r="E923" s="5"/>
      <c r="F923" s="5"/>
      <c r="G923" s="5"/>
      <c r="H923" s="5"/>
    </row>
    <row r="924" spans="5:8" x14ac:dyDescent="0.2">
      <c r="E924" s="5"/>
      <c r="F924" s="5"/>
      <c r="G924" s="5"/>
      <c r="H924" s="5"/>
    </row>
    <row r="925" spans="5:8" x14ac:dyDescent="0.2">
      <c r="E925" s="5"/>
      <c r="F925" s="5"/>
      <c r="G925" s="5"/>
      <c r="H925" s="5"/>
    </row>
    <row r="926" spans="5:8" x14ac:dyDescent="0.2">
      <c r="E926" s="5"/>
      <c r="F926" s="5"/>
      <c r="G926" s="5"/>
      <c r="H926" s="5"/>
    </row>
    <row r="927" spans="5:8" x14ac:dyDescent="0.2">
      <c r="E927" s="5"/>
      <c r="F927" s="5"/>
      <c r="G927" s="5"/>
      <c r="H927" s="5"/>
    </row>
    <row r="928" spans="5:8" x14ac:dyDescent="0.2">
      <c r="E928" s="5"/>
      <c r="F928" s="5"/>
      <c r="G928" s="5"/>
      <c r="H928" s="5"/>
    </row>
    <row r="929" spans="5:8" x14ac:dyDescent="0.2">
      <c r="E929" s="5"/>
      <c r="F929" s="5"/>
      <c r="G929" s="5"/>
      <c r="H929" s="5"/>
    </row>
    <row r="930" spans="5:8" x14ac:dyDescent="0.2">
      <c r="E930" s="5"/>
      <c r="F930" s="5"/>
      <c r="G930" s="5"/>
      <c r="H930" s="5"/>
    </row>
    <row r="931" spans="5:8" x14ac:dyDescent="0.2">
      <c r="E931" s="5"/>
      <c r="F931" s="5"/>
      <c r="G931" s="5"/>
      <c r="H931" s="5"/>
    </row>
    <row r="932" spans="5:8" x14ac:dyDescent="0.2">
      <c r="E932" s="5"/>
      <c r="F932" s="5"/>
      <c r="G932" s="5"/>
      <c r="H932" s="5"/>
    </row>
    <row r="933" spans="5:8" x14ac:dyDescent="0.2">
      <c r="E933" s="5"/>
      <c r="F933" s="5"/>
      <c r="G933" s="5"/>
      <c r="H933" s="5"/>
    </row>
    <row r="934" spans="5:8" x14ac:dyDescent="0.2">
      <c r="E934" s="5"/>
      <c r="F934" s="5"/>
      <c r="G934" s="5"/>
      <c r="H934" s="5"/>
    </row>
    <row r="935" spans="5:8" x14ac:dyDescent="0.2">
      <c r="E935" s="5"/>
      <c r="F935" s="5"/>
      <c r="G935" s="5"/>
      <c r="H935" s="5"/>
    </row>
    <row r="936" spans="5:8" x14ac:dyDescent="0.2">
      <c r="E936" s="5"/>
      <c r="F936" s="5"/>
      <c r="G936" s="5"/>
      <c r="H936" s="5"/>
    </row>
    <row r="937" spans="5:8" x14ac:dyDescent="0.2">
      <c r="E937" s="5"/>
      <c r="F937" s="5"/>
      <c r="G937" s="5"/>
      <c r="H937" s="5"/>
    </row>
    <row r="938" spans="5:8" x14ac:dyDescent="0.2">
      <c r="E938" s="5"/>
      <c r="F938" s="5"/>
      <c r="G938" s="5"/>
      <c r="H938" s="5"/>
    </row>
    <row r="939" spans="5:8" x14ac:dyDescent="0.2">
      <c r="E939" s="5"/>
      <c r="F939" s="5"/>
      <c r="G939" s="5"/>
      <c r="H939" s="5"/>
    </row>
    <row r="940" spans="5:8" x14ac:dyDescent="0.2">
      <c r="E940" s="5"/>
      <c r="F940" s="5"/>
      <c r="G940" s="5"/>
      <c r="H940" s="5"/>
    </row>
    <row r="941" spans="5:8" x14ac:dyDescent="0.2">
      <c r="E941" s="5"/>
      <c r="F941" s="5"/>
      <c r="G941" s="5"/>
      <c r="H941" s="5"/>
    </row>
    <row r="942" spans="5:8" x14ac:dyDescent="0.2">
      <c r="E942" s="5"/>
      <c r="F942" s="5"/>
      <c r="G942" s="5"/>
      <c r="H942" s="5"/>
    </row>
    <row r="943" spans="5:8" x14ac:dyDescent="0.2">
      <c r="E943" s="5"/>
      <c r="F943" s="5"/>
      <c r="G943" s="5"/>
      <c r="H943" s="5"/>
    </row>
    <row r="944" spans="5:8" x14ac:dyDescent="0.2">
      <c r="E944" s="5"/>
      <c r="F944" s="5"/>
      <c r="G944" s="5"/>
      <c r="H944" s="5"/>
    </row>
    <row r="945" spans="5:8" x14ac:dyDescent="0.2">
      <c r="E945" s="5"/>
      <c r="F945" s="5"/>
      <c r="G945" s="5"/>
      <c r="H945" s="5"/>
    </row>
    <row r="946" spans="5:8" x14ac:dyDescent="0.2">
      <c r="E946" s="5"/>
      <c r="F946" s="5"/>
      <c r="G946" s="5"/>
      <c r="H946" s="5"/>
    </row>
    <row r="947" spans="5:8" x14ac:dyDescent="0.2">
      <c r="E947" s="5"/>
      <c r="F947" s="5"/>
      <c r="G947" s="5"/>
      <c r="H947" s="5"/>
    </row>
    <row r="948" spans="5:8" x14ac:dyDescent="0.2">
      <c r="E948" s="5"/>
      <c r="F948" s="5"/>
      <c r="G948" s="5"/>
      <c r="H948" s="5"/>
    </row>
    <row r="949" spans="5:8" x14ac:dyDescent="0.2">
      <c r="E949" s="5"/>
      <c r="F949" s="5"/>
      <c r="G949" s="5"/>
      <c r="H949" s="5"/>
    </row>
    <row r="950" spans="5:8" x14ac:dyDescent="0.2">
      <c r="E950" s="5"/>
      <c r="F950" s="5"/>
      <c r="G950" s="5"/>
      <c r="H950" s="5"/>
    </row>
    <row r="951" spans="5:8" x14ac:dyDescent="0.2">
      <c r="E951" s="5"/>
      <c r="F951" s="5"/>
      <c r="G951" s="5"/>
      <c r="H951" s="5"/>
    </row>
    <row r="952" spans="5:8" x14ac:dyDescent="0.2">
      <c r="E952" s="5"/>
      <c r="F952" s="5"/>
      <c r="G952" s="5"/>
      <c r="H952" s="5"/>
    </row>
    <row r="953" spans="5:8" x14ac:dyDescent="0.2">
      <c r="E953" s="5"/>
      <c r="F953" s="5"/>
      <c r="G953" s="5"/>
      <c r="H953" s="5"/>
    </row>
    <row r="954" spans="5:8" x14ac:dyDescent="0.2">
      <c r="E954" s="5"/>
      <c r="F954" s="5"/>
      <c r="G954" s="5"/>
      <c r="H954" s="5"/>
    </row>
    <row r="955" spans="5:8" x14ac:dyDescent="0.2">
      <c r="E955" s="5"/>
      <c r="F955" s="5"/>
      <c r="G955" s="5"/>
      <c r="H955" s="5"/>
    </row>
    <row r="956" spans="5:8" x14ac:dyDescent="0.2">
      <c r="E956" s="5"/>
      <c r="F956" s="5"/>
      <c r="G956" s="5"/>
      <c r="H956" s="5"/>
    </row>
    <row r="957" spans="5:8" x14ac:dyDescent="0.2">
      <c r="E957" s="5"/>
      <c r="F957" s="5"/>
      <c r="G957" s="5"/>
      <c r="H957" s="5"/>
    </row>
    <row r="958" spans="5:8" x14ac:dyDescent="0.2">
      <c r="E958" s="5"/>
      <c r="F958" s="5"/>
      <c r="G958" s="5"/>
      <c r="H958" s="5"/>
    </row>
    <row r="959" spans="5:8" x14ac:dyDescent="0.2">
      <c r="E959" s="5"/>
      <c r="F959" s="5"/>
      <c r="G959" s="5"/>
      <c r="H959" s="5"/>
    </row>
    <row r="960" spans="5:8" x14ac:dyDescent="0.2">
      <c r="E960" s="5"/>
      <c r="F960" s="5"/>
      <c r="G960" s="5"/>
      <c r="H960" s="5"/>
    </row>
    <row r="961" spans="5:8" x14ac:dyDescent="0.2">
      <c r="E961" s="5"/>
      <c r="F961" s="5"/>
      <c r="G961" s="5"/>
      <c r="H961" s="5"/>
    </row>
    <row r="962" spans="5:8" x14ac:dyDescent="0.2">
      <c r="E962" s="5"/>
      <c r="F962" s="5"/>
      <c r="G962" s="5"/>
      <c r="H962" s="5"/>
    </row>
    <row r="963" spans="5:8" x14ac:dyDescent="0.2">
      <c r="E963" s="5"/>
      <c r="F963" s="5"/>
      <c r="G963" s="5"/>
      <c r="H963" s="5"/>
    </row>
    <row r="964" spans="5:8" x14ac:dyDescent="0.2">
      <c r="E964" s="5"/>
      <c r="F964" s="5"/>
      <c r="G964" s="5"/>
      <c r="H964" s="5"/>
    </row>
    <row r="965" spans="5:8" x14ac:dyDescent="0.2">
      <c r="E965" s="5"/>
      <c r="F965" s="5"/>
      <c r="G965" s="5"/>
      <c r="H965" s="5"/>
    </row>
    <row r="966" spans="5:8" x14ac:dyDescent="0.2">
      <c r="E966" s="5"/>
      <c r="F966" s="5"/>
      <c r="G966" s="5"/>
      <c r="H966" s="5"/>
    </row>
    <row r="967" spans="5:8" x14ac:dyDescent="0.2">
      <c r="E967" s="5"/>
      <c r="F967" s="5"/>
      <c r="G967" s="5"/>
      <c r="H967" s="5"/>
    </row>
    <row r="968" spans="5:8" x14ac:dyDescent="0.2">
      <c r="E968" s="5"/>
      <c r="F968" s="5"/>
      <c r="G968" s="5"/>
      <c r="H968" s="5"/>
    </row>
    <row r="969" spans="5:8" x14ac:dyDescent="0.2">
      <c r="E969" s="5"/>
      <c r="F969" s="5"/>
      <c r="G969" s="5"/>
      <c r="H969" s="5"/>
    </row>
    <row r="970" spans="5:8" x14ac:dyDescent="0.2">
      <c r="E970" s="5"/>
      <c r="F970" s="5"/>
      <c r="G970" s="5"/>
      <c r="H970" s="5"/>
    </row>
    <row r="971" spans="5:8" x14ac:dyDescent="0.2">
      <c r="E971" s="5"/>
      <c r="F971" s="5"/>
      <c r="G971" s="5"/>
      <c r="H971" s="5"/>
    </row>
    <row r="972" spans="5:8" x14ac:dyDescent="0.2">
      <c r="E972" s="5"/>
      <c r="F972" s="5"/>
      <c r="G972" s="5"/>
      <c r="H972" s="5"/>
    </row>
    <row r="973" spans="5:8" x14ac:dyDescent="0.2">
      <c r="E973" s="5"/>
      <c r="F973" s="5"/>
      <c r="G973" s="5"/>
      <c r="H973" s="5"/>
    </row>
    <row r="974" spans="5:8" x14ac:dyDescent="0.2">
      <c r="E974" s="5"/>
      <c r="F974" s="5"/>
      <c r="G974" s="5"/>
      <c r="H974" s="5"/>
    </row>
    <row r="975" spans="5:8" x14ac:dyDescent="0.2">
      <c r="E975" s="5"/>
      <c r="F975" s="5"/>
      <c r="G975" s="5"/>
      <c r="H975" s="5"/>
    </row>
    <row r="976" spans="5:8" x14ac:dyDescent="0.2">
      <c r="E976" s="5"/>
      <c r="F976" s="5"/>
      <c r="G976" s="5"/>
      <c r="H976" s="5"/>
    </row>
    <row r="977" spans="5:8" x14ac:dyDescent="0.2">
      <c r="E977" s="5"/>
      <c r="F977" s="5"/>
      <c r="G977" s="5"/>
      <c r="H977" s="5"/>
    </row>
    <row r="978" spans="5:8" x14ac:dyDescent="0.2">
      <c r="E978" s="5"/>
      <c r="F978" s="5"/>
      <c r="G978" s="5"/>
      <c r="H978" s="5"/>
    </row>
    <row r="979" spans="5:8" x14ac:dyDescent="0.2">
      <c r="E979" s="5"/>
      <c r="F979" s="5"/>
      <c r="G979" s="5"/>
      <c r="H979" s="5"/>
    </row>
    <row r="980" spans="5:8" x14ac:dyDescent="0.2">
      <c r="E980" s="5"/>
      <c r="F980" s="5"/>
      <c r="G980" s="5"/>
      <c r="H980" s="5"/>
    </row>
    <row r="981" spans="5:8" x14ac:dyDescent="0.2">
      <c r="E981" s="5"/>
      <c r="F981" s="5"/>
      <c r="G981" s="5"/>
      <c r="H981" s="5"/>
    </row>
    <row r="982" spans="5:8" x14ac:dyDescent="0.2">
      <c r="E982" s="5"/>
      <c r="F982" s="5"/>
      <c r="G982" s="5"/>
      <c r="H982" s="5"/>
    </row>
    <row r="983" spans="5:8" x14ac:dyDescent="0.2">
      <c r="E983" s="5"/>
      <c r="F983" s="5"/>
      <c r="G983" s="5"/>
      <c r="H983" s="5"/>
    </row>
    <row r="984" spans="5:8" x14ac:dyDescent="0.2">
      <c r="E984" s="5"/>
      <c r="F984" s="5"/>
      <c r="G984" s="5"/>
      <c r="H984" s="5"/>
    </row>
    <row r="985" spans="5:8" x14ac:dyDescent="0.2">
      <c r="E985" s="5"/>
      <c r="F985" s="5"/>
      <c r="G985" s="5"/>
      <c r="H985" s="5"/>
    </row>
    <row r="986" spans="5:8" x14ac:dyDescent="0.2">
      <c r="E986" s="5"/>
      <c r="F986" s="5"/>
      <c r="G986" s="5"/>
      <c r="H986" s="5"/>
    </row>
    <row r="987" spans="5:8" x14ac:dyDescent="0.2">
      <c r="E987" s="5"/>
      <c r="F987" s="5"/>
      <c r="G987" s="5"/>
      <c r="H987" s="5"/>
    </row>
    <row r="988" spans="5:8" x14ac:dyDescent="0.2">
      <c r="E988" s="5"/>
      <c r="F988" s="5"/>
      <c r="G988" s="5"/>
      <c r="H988" s="5"/>
    </row>
    <row r="989" spans="5:8" x14ac:dyDescent="0.2">
      <c r="E989" s="5"/>
      <c r="F989" s="5"/>
      <c r="G989" s="5"/>
      <c r="H989" s="5"/>
    </row>
    <row r="990" spans="5:8" x14ac:dyDescent="0.2">
      <c r="E990" s="5"/>
      <c r="F990" s="5"/>
      <c r="G990" s="5"/>
      <c r="H990" s="5"/>
    </row>
    <row r="991" spans="5:8" x14ac:dyDescent="0.2">
      <c r="E991" s="5"/>
      <c r="F991" s="5"/>
      <c r="G991" s="5"/>
      <c r="H991" s="5"/>
    </row>
    <row r="992" spans="5:8" x14ac:dyDescent="0.2">
      <c r="E992" s="5"/>
      <c r="F992" s="5"/>
      <c r="G992" s="5"/>
      <c r="H992" s="5"/>
    </row>
    <row r="993" spans="5:8" x14ac:dyDescent="0.2">
      <c r="E993" s="5"/>
      <c r="F993" s="5"/>
      <c r="G993" s="5"/>
      <c r="H993" s="5"/>
    </row>
    <row r="994" spans="5:8" x14ac:dyDescent="0.2">
      <c r="E994" s="5"/>
      <c r="F994" s="5"/>
      <c r="G994" s="5"/>
      <c r="H994" s="5"/>
    </row>
    <row r="995" spans="5:8" x14ac:dyDescent="0.2">
      <c r="E995" s="5"/>
      <c r="F995" s="5"/>
      <c r="G995" s="5"/>
      <c r="H995" s="5"/>
    </row>
    <row r="996" spans="5:8" x14ac:dyDescent="0.2">
      <c r="E996" s="5"/>
      <c r="F996" s="5"/>
      <c r="G996" s="5"/>
      <c r="H996" s="5"/>
    </row>
    <row r="997" spans="5:8" x14ac:dyDescent="0.2">
      <c r="E997" s="5"/>
      <c r="F997" s="5"/>
      <c r="G997" s="5"/>
      <c r="H997" s="5"/>
    </row>
    <row r="998" spans="5:8" x14ac:dyDescent="0.2">
      <c r="E998" s="5"/>
      <c r="F998" s="5"/>
      <c r="G998" s="5"/>
      <c r="H998" s="5"/>
    </row>
    <row r="999" spans="5:8" x14ac:dyDescent="0.2">
      <c r="E999" s="5"/>
      <c r="F999" s="5"/>
      <c r="G999" s="5"/>
      <c r="H999" s="5"/>
    </row>
    <row r="1000" spans="5:8" x14ac:dyDescent="0.2">
      <c r="E1000" s="5"/>
      <c r="F1000" s="5"/>
      <c r="G1000" s="5"/>
      <c r="H1000" s="5"/>
    </row>
    <row r="1001" spans="5:8" x14ac:dyDescent="0.2">
      <c r="E1001" s="5"/>
      <c r="F1001" s="5"/>
      <c r="G1001" s="5"/>
      <c r="H1001" s="5"/>
    </row>
    <row r="1002" spans="5:8" x14ac:dyDescent="0.2">
      <c r="E1002" s="5"/>
      <c r="F1002" s="5"/>
      <c r="G1002" s="5"/>
      <c r="H1002" s="5"/>
    </row>
    <row r="1003" spans="5:8" x14ac:dyDescent="0.2">
      <c r="E1003" s="5"/>
      <c r="F1003" s="5"/>
      <c r="G1003" s="5"/>
      <c r="H1003" s="5"/>
    </row>
    <row r="1004" spans="5:8" x14ac:dyDescent="0.2">
      <c r="E1004" s="5"/>
      <c r="F1004" s="5"/>
      <c r="G1004" s="5"/>
      <c r="H1004" s="5"/>
    </row>
    <row r="1005" spans="5:8" x14ac:dyDescent="0.2">
      <c r="E1005" s="5"/>
      <c r="F1005" s="5"/>
      <c r="G1005" s="5"/>
      <c r="H1005" s="5"/>
    </row>
    <row r="1006" spans="5:8" x14ac:dyDescent="0.2">
      <c r="E1006" s="5"/>
      <c r="F1006" s="5"/>
      <c r="G1006" s="5"/>
      <c r="H1006" s="5"/>
    </row>
    <row r="1007" spans="5:8" x14ac:dyDescent="0.2">
      <c r="E1007" s="5"/>
      <c r="F1007" s="5"/>
      <c r="G1007" s="5"/>
      <c r="H1007" s="5"/>
    </row>
    <row r="1008" spans="5:8" x14ac:dyDescent="0.2">
      <c r="E1008" s="5"/>
      <c r="F1008" s="5"/>
      <c r="G1008" s="5"/>
      <c r="H1008" s="5"/>
    </row>
    <row r="1009" spans="5:8" x14ac:dyDescent="0.2">
      <c r="E1009" s="5"/>
      <c r="F1009" s="5"/>
      <c r="G1009" s="5"/>
      <c r="H1009" s="5"/>
    </row>
    <row r="1010" spans="5:8" x14ac:dyDescent="0.2">
      <c r="E1010" s="5"/>
      <c r="F1010" s="5"/>
      <c r="G1010" s="5"/>
      <c r="H1010" s="5"/>
    </row>
    <row r="1011" spans="5:8" x14ac:dyDescent="0.2">
      <c r="E1011" s="5"/>
      <c r="F1011" s="5"/>
      <c r="G1011" s="5"/>
      <c r="H1011" s="5"/>
    </row>
    <row r="1012" spans="5:8" x14ac:dyDescent="0.2">
      <c r="E1012" s="5"/>
      <c r="F1012" s="5"/>
      <c r="G1012" s="5"/>
      <c r="H1012" s="5"/>
    </row>
    <row r="1013" spans="5:8" x14ac:dyDescent="0.2">
      <c r="E1013" s="5"/>
      <c r="F1013" s="5"/>
      <c r="G1013" s="5"/>
      <c r="H1013" s="5"/>
    </row>
    <row r="1014" spans="5:8" x14ac:dyDescent="0.2">
      <c r="E1014" s="5"/>
      <c r="F1014" s="5"/>
      <c r="G1014" s="5"/>
      <c r="H1014" s="5"/>
    </row>
    <row r="1015" spans="5:8" x14ac:dyDescent="0.2">
      <c r="E1015" s="5"/>
      <c r="F1015" s="5"/>
      <c r="G1015" s="5"/>
      <c r="H1015" s="5"/>
    </row>
    <row r="1016" spans="5:8" x14ac:dyDescent="0.2">
      <c r="E1016" s="5"/>
      <c r="F1016" s="5"/>
      <c r="G1016" s="5"/>
      <c r="H1016" s="5"/>
    </row>
    <row r="1017" spans="5:8" x14ac:dyDescent="0.2">
      <c r="E1017" s="5"/>
      <c r="F1017" s="5"/>
      <c r="G1017" s="5"/>
      <c r="H1017" s="5"/>
    </row>
    <row r="1018" spans="5:8" x14ac:dyDescent="0.2">
      <c r="E1018" s="5"/>
      <c r="F1018" s="5"/>
      <c r="G1018" s="5"/>
      <c r="H1018" s="5"/>
    </row>
    <row r="1019" spans="5:8" x14ac:dyDescent="0.2">
      <c r="E1019" s="5"/>
      <c r="F1019" s="5"/>
      <c r="G1019" s="5"/>
      <c r="H1019" s="5"/>
    </row>
    <row r="1020" spans="5:8" x14ac:dyDescent="0.2">
      <c r="E1020" s="5"/>
      <c r="F1020" s="5"/>
      <c r="G1020" s="5"/>
      <c r="H1020" s="5"/>
    </row>
    <row r="1021" spans="5:8" x14ac:dyDescent="0.2">
      <c r="E1021" s="5"/>
      <c r="F1021" s="5"/>
      <c r="G1021" s="5"/>
      <c r="H1021" s="5"/>
    </row>
    <row r="1022" spans="5:8" x14ac:dyDescent="0.2">
      <c r="E1022" s="5"/>
      <c r="F1022" s="5"/>
      <c r="G1022" s="5"/>
      <c r="H1022" s="5"/>
    </row>
    <row r="1023" spans="5:8" x14ac:dyDescent="0.2">
      <c r="E1023" s="5"/>
      <c r="F1023" s="5"/>
      <c r="G1023" s="5"/>
      <c r="H1023" s="5"/>
    </row>
    <row r="1024" spans="5:8" x14ac:dyDescent="0.2">
      <c r="E1024" s="5"/>
      <c r="F1024" s="5"/>
      <c r="G1024" s="5"/>
      <c r="H1024" s="5"/>
    </row>
    <row r="1025" spans="5:8" x14ac:dyDescent="0.2">
      <c r="E1025" s="5"/>
      <c r="F1025" s="5"/>
      <c r="G1025" s="5"/>
      <c r="H1025" s="5"/>
    </row>
    <row r="1026" spans="5:8" x14ac:dyDescent="0.2">
      <c r="E1026" s="5"/>
      <c r="F1026" s="5"/>
      <c r="G1026" s="5"/>
      <c r="H1026" s="5"/>
    </row>
    <row r="1027" spans="5:8" x14ac:dyDescent="0.2">
      <c r="E1027" s="5"/>
      <c r="F1027" s="5"/>
      <c r="G1027" s="5"/>
      <c r="H1027" s="5"/>
    </row>
    <row r="1028" spans="5:8" x14ac:dyDescent="0.2">
      <c r="E1028" s="5"/>
      <c r="F1028" s="5"/>
      <c r="G1028" s="5"/>
      <c r="H1028" s="5"/>
    </row>
    <row r="1029" spans="5:8" x14ac:dyDescent="0.2">
      <c r="E1029" s="5"/>
      <c r="F1029" s="5"/>
      <c r="G1029" s="5"/>
      <c r="H1029" s="5"/>
    </row>
    <row r="1030" spans="5:8" x14ac:dyDescent="0.2">
      <c r="E1030" s="5"/>
      <c r="F1030" s="5"/>
      <c r="G1030" s="5"/>
      <c r="H1030" s="5"/>
    </row>
    <row r="1031" spans="5:8" x14ac:dyDescent="0.2">
      <c r="E1031" s="5"/>
      <c r="F1031" s="5"/>
      <c r="G1031" s="5"/>
      <c r="H1031" s="5"/>
    </row>
    <row r="1032" spans="5:8" x14ac:dyDescent="0.2">
      <c r="E1032" s="5"/>
      <c r="F1032" s="5"/>
      <c r="G1032" s="5"/>
      <c r="H1032" s="5"/>
    </row>
    <row r="1033" spans="5:8" x14ac:dyDescent="0.2">
      <c r="E1033" s="5"/>
      <c r="F1033" s="5"/>
      <c r="G1033" s="5"/>
      <c r="H1033" s="5"/>
    </row>
    <row r="1034" spans="5:8" x14ac:dyDescent="0.2">
      <c r="E1034" s="5"/>
      <c r="F1034" s="5"/>
      <c r="G1034" s="5"/>
      <c r="H1034" s="5"/>
    </row>
    <row r="1035" spans="5:8" x14ac:dyDescent="0.2">
      <c r="E1035" s="5"/>
      <c r="F1035" s="5"/>
      <c r="G1035" s="5"/>
      <c r="H1035" s="5"/>
    </row>
    <row r="1036" spans="5:8" x14ac:dyDescent="0.2">
      <c r="E1036" s="5"/>
      <c r="F1036" s="5"/>
      <c r="G1036" s="5"/>
      <c r="H1036" s="5"/>
    </row>
    <row r="1037" spans="5:8" x14ac:dyDescent="0.2">
      <c r="E1037" s="5"/>
      <c r="F1037" s="5"/>
      <c r="G1037" s="5"/>
      <c r="H1037" s="5"/>
    </row>
    <row r="1038" spans="5:8" x14ac:dyDescent="0.2">
      <c r="E1038" s="5"/>
      <c r="F1038" s="5"/>
      <c r="G1038" s="5"/>
      <c r="H1038" s="5"/>
    </row>
    <row r="1039" spans="5:8" x14ac:dyDescent="0.2">
      <c r="E1039" s="5"/>
      <c r="F1039" s="5"/>
      <c r="G1039" s="5"/>
      <c r="H1039" s="5"/>
    </row>
    <row r="1040" spans="5:8" x14ac:dyDescent="0.2">
      <c r="E1040" s="5"/>
      <c r="F1040" s="5"/>
      <c r="G1040" s="5"/>
      <c r="H1040" s="5"/>
    </row>
    <row r="1041" spans="5:8" x14ac:dyDescent="0.2">
      <c r="E1041" s="5"/>
      <c r="F1041" s="5"/>
      <c r="G1041" s="5"/>
      <c r="H1041" s="5"/>
    </row>
    <row r="1042" spans="5:8" x14ac:dyDescent="0.2">
      <c r="E1042" s="5"/>
      <c r="F1042" s="5"/>
      <c r="G1042" s="5"/>
      <c r="H1042" s="5"/>
    </row>
    <row r="1043" spans="5:8" x14ac:dyDescent="0.2">
      <c r="E1043" s="5"/>
      <c r="F1043" s="5"/>
      <c r="G1043" s="5"/>
      <c r="H1043" s="5"/>
    </row>
    <row r="1044" spans="5:8" x14ac:dyDescent="0.2">
      <c r="E1044" s="5"/>
      <c r="F1044" s="5"/>
      <c r="G1044" s="5"/>
      <c r="H1044" s="5"/>
    </row>
    <row r="1045" spans="5:8" x14ac:dyDescent="0.2">
      <c r="E1045" s="5"/>
      <c r="F1045" s="5"/>
      <c r="G1045" s="5"/>
      <c r="H1045" s="5"/>
    </row>
    <row r="1046" spans="5:8" x14ac:dyDescent="0.2">
      <c r="E1046" s="5"/>
      <c r="F1046" s="5"/>
      <c r="G1046" s="5"/>
      <c r="H1046" s="5"/>
    </row>
    <row r="1047" spans="5:8" x14ac:dyDescent="0.2">
      <c r="E1047" s="5"/>
      <c r="F1047" s="5"/>
      <c r="G1047" s="5"/>
      <c r="H1047" s="5"/>
    </row>
    <row r="1048" spans="5:8" x14ac:dyDescent="0.2">
      <c r="E1048" s="5"/>
      <c r="F1048" s="5"/>
      <c r="G1048" s="5"/>
      <c r="H1048" s="5"/>
    </row>
    <row r="1049" spans="5:8" x14ac:dyDescent="0.2">
      <c r="E1049" s="5"/>
      <c r="F1049" s="5"/>
      <c r="G1049" s="5"/>
      <c r="H1049" s="5"/>
    </row>
    <row r="1050" spans="5:8" x14ac:dyDescent="0.2">
      <c r="E1050" s="5"/>
      <c r="F1050" s="5"/>
      <c r="G1050" s="5"/>
      <c r="H1050" s="5"/>
    </row>
    <row r="1051" spans="5:8" x14ac:dyDescent="0.2">
      <c r="E1051" s="5"/>
      <c r="F1051" s="5"/>
      <c r="G1051" s="5"/>
      <c r="H1051" s="5"/>
    </row>
    <row r="1052" spans="5:8" x14ac:dyDescent="0.2">
      <c r="E1052" s="5"/>
      <c r="F1052" s="5"/>
      <c r="G1052" s="5"/>
      <c r="H1052" s="5"/>
    </row>
    <row r="1053" spans="5:8" x14ac:dyDescent="0.2">
      <c r="E1053" s="5"/>
      <c r="F1053" s="5"/>
      <c r="G1053" s="5"/>
      <c r="H1053" s="5"/>
    </row>
    <row r="1054" spans="5:8" x14ac:dyDescent="0.2">
      <c r="E1054" s="5"/>
      <c r="F1054" s="5"/>
      <c r="G1054" s="5"/>
      <c r="H1054" s="5"/>
    </row>
    <row r="1055" spans="5:8" x14ac:dyDescent="0.2">
      <c r="E1055" s="5"/>
      <c r="F1055" s="5"/>
      <c r="G1055" s="5"/>
      <c r="H1055" s="5"/>
    </row>
    <row r="1056" spans="5:8" x14ac:dyDescent="0.2">
      <c r="E1056" s="5"/>
      <c r="F1056" s="5"/>
      <c r="G1056" s="5"/>
      <c r="H1056" s="5"/>
    </row>
    <row r="1057" spans="5:8" x14ac:dyDescent="0.2">
      <c r="E1057" s="5"/>
      <c r="F1057" s="5"/>
      <c r="G1057" s="5"/>
      <c r="H1057" s="5"/>
    </row>
    <row r="1058" spans="5:8" x14ac:dyDescent="0.2">
      <c r="E1058" s="5"/>
      <c r="F1058" s="5"/>
      <c r="G1058" s="5"/>
      <c r="H1058" s="5"/>
    </row>
    <row r="1059" spans="5:8" x14ac:dyDescent="0.2">
      <c r="E1059" s="5"/>
      <c r="F1059" s="5"/>
      <c r="G1059" s="5"/>
      <c r="H1059" s="5"/>
    </row>
    <row r="1060" spans="5:8" x14ac:dyDescent="0.2">
      <c r="E1060" s="5"/>
      <c r="F1060" s="5"/>
      <c r="G1060" s="5"/>
      <c r="H1060" s="5"/>
    </row>
    <row r="1061" spans="5:8" x14ac:dyDescent="0.2">
      <c r="E1061" s="5"/>
      <c r="F1061" s="5"/>
      <c r="G1061" s="5"/>
      <c r="H1061" s="5"/>
    </row>
    <row r="1062" spans="5:8" x14ac:dyDescent="0.2">
      <c r="E1062" s="5"/>
      <c r="F1062" s="5"/>
      <c r="G1062" s="5"/>
      <c r="H1062" s="5"/>
    </row>
    <row r="1063" spans="5:8" x14ac:dyDescent="0.2">
      <c r="E1063" s="5"/>
      <c r="F1063" s="5"/>
      <c r="G1063" s="5"/>
      <c r="H1063" s="5"/>
    </row>
    <row r="1064" spans="5:8" x14ac:dyDescent="0.2">
      <c r="E1064" s="5"/>
      <c r="F1064" s="5"/>
      <c r="G1064" s="5"/>
      <c r="H1064" s="5"/>
    </row>
    <row r="1065" spans="5:8" x14ac:dyDescent="0.2">
      <c r="E1065" s="5"/>
      <c r="F1065" s="5"/>
      <c r="G1065" s="5"/>
      <c r="H1065" s="5"/>
    </row>
    <row r="1066" spans="5:8" x14ac:dyDescent="0.2">
      <c r="E1066" s="5"/>
      <c r="F1066" s="5"/>
      <c r="G1066" s="5"/>
      <c r="H1066" s="5"/>
    </row>
    <row r="1067" spans="5:8" x14ac:dyDescent="0.2">
      <c r="E1067" s="5"/>
      <c r="F1067" s="5"/>
      <c r="G1067" s="5"/>
      <c r="H1067" s="5"/>
    </row>
    <row r="1068" spans="5:8" x14ac:dyDescent="0.2">
      <c r="E1068" s="5"/>
      <c r="F1068" s="5"/>
      <c r="G1068" s="5"/>
      <c r="H1068" s="5"/>
    </row>
    <row r="1069" spans="5:8" x14ac:dyDescent="0.2">
      <c r="E1069" s="5"/>
      <c r="F1069" s="5"/>
      <c r="G1069" s="5"/>
      <c r="H1069" s="5"/>
    </row>
    <row r="1070" spans="5:8" x14ac:dyDescent="0.2">
      <c r="E1070" s="5"/>
      <c r="F1070" s="5"/>
      <c r="G1070" s="5"/>
      <c r="H1070" s="5"/>
    </row>
    <row r="1071" spans="5:8" x14ac:dyDescent="0.2">
      <c r="E1071" s="5"/>
      <c r="F1071" s="5"/>
      <c r="G1071" s="5"/>
      <c r="H1071" s="5"/>
    </row>
    <row r="1072" spans="5:8" x14ac:dyDescent="0.2">
      <c r="E1072" s="5"/>
      <c r="F1072" s="5"/>
      <c r="G1072" s="5"/>
      <c r="H1072" s="5"/>
    </row>
    <row r="1073" spans="5:8" x14ac:dyDescent="0.2">
      <c r="E1073" s="5"/>
      <c r="F1073" s="5"/>
      <c r="G1073" s="5"/>
      <c r="H1073" s="5"/>
    </row>
    <row r="1074" spans="5:8" x14ac:dyDescent="0.2">
      <c r="E1074" s="5"/>
      <c r="F1074" s="5"/>
      <c r="G1074" s="5"/>
      <c r="H1074" s="5"/>
    </row>
    <row r="1075" spans="5:8" x14ac:dyDescent="0.2">
      <c r="E1075" s="5"/>
      <c r="F1075" s="5"/>
      <c r="G1075" s="5"/>
      <c r="H1075" s="5"/>
    </row>
    <row r="1076" spans="5:8" x14ac:dyDescent="0.2">
      <c r="E1076" s="5"/>
      <c r="F1076" s="5"/>
      <c r="G1076" s="5"/>
      <c r="H1076" s="5"/>
    </row>
    <row r="1077" spans="5:8" x14ac:dyDescent="0.2">
      <c r="E1077" s="5"/>
      <c r="F1077" s="5"/>
      <c r="G1077" s="5"/>
      <c r="H1077" s="5"/>
    </row>
    <row r="1078" spans="5:8" x14ac:dyDescent="0.2">
      <c r="E1078" s="5"/>
      <c r="F1078" s="5"/>
      <c r="G1078" s="5"/>
      <c r="H1078" s="5"/>
    </row>
    <row r="1079" spans="5:8" x14ac:dyDescent="0.2">
      <c r="E1079" s="5"/>
      <c r="F1079" s="5"/>
      <c r="G1079" s="5"/>
      <c r="H1079" s="5"/>
    </row>
    <row r="1080" spans="5:8" x14ac:dyDescent="0.2">
      <c r="E1080" s="5"/>
      <c r="F1080" s="5"/>
      <c r="G1080" s="5"/>
      <c r="H1080" s="5"/>
    </row>
    <row r="1081" spans="5:8" x14ac:dyDescent="0.2">
      <c r="E1081" s="5"/>
      <c r="F1081" s="5"/>
      <c r="G1081" s="5"/>
      <c r="H1081" s="5"/>
    </row>
    <row r="1082" spans="5:8" x14ac:dyDescent="0.2">
      <c r="E1082" s="5"/>
      <c r="F1082" s="5"/>
      <c r="G1082" s="5"/>
      <c r="H1082" s="5"/>
    </row>
    <row r="1083" spans="5:8" x14ac:dyDescent="0.2">
      <c r="E1083" s="5"/>
      <c r="F1083" s="5"/>
      <c r="G1083" s="5"/>
      <c r="H1083" s="5"/>
    </row>
    <row r="1084" spans="5:8" x14ac:dyDescent="0.2">
      <c r="E1084" s="5"/>
      <c r="F1084" s="5"/>
      <c r="G1084" s="5"/>
      <c r="H1084" s="5"/>
    </row>
    <row r="1085" spans="5:8" x14ac:dyDescent="0.2">
      <c r="E1085" s="5"/>
      <c r="F1085" s="5"/>
      <c r="G1085" s="5"/>
      <c r="H1085" s="5"/>
    </row>
    <row r="1086" spans="5:8" x14ac:dyDescent="0.2">
      <c r="E1086" s="5"/>
      <c r="F1086" s="5"/>
      <c r="G1086" s="5"/>
      <c r="H1086" s="5"/>
    </row>
    <row r="1087" spans="5:8" x14ac:dyDescent="0.2">
      <c r="E1087" s="5"/>
      <c r="F1087" s="5"/>
      <c r="G1087" s="5"/>
      <c r="H1087" s="5"/>
    </row>
    <row r="1088" spans="5:8" x14ac:dyDescent="0.2">
      <c r="E1088" s="5"/>
      <c r="F1088" s="5"/>
      <c r="G1088" s="5"/>
      <c r="H1088" s="5"/>
    </row>
    <row r="1089" spans="5:8" x14ac:dyDescent="0.2">
      <c r="E1089" s="5"/>
      <c r="F1089" s="5"/>
      <c r="G1089" s="5"/>
      <c r="H1089" s="5"/>
    </row>
    <row r="1090" spans="5:8" x14ac:dyDescent="0.2">
      <c r="E1090" s="5"/>
      <c r="F1090" s="5"/>
      <c r="G1090" s="5"/>
      <c r="H1090" s="5"/>
    </row>
    <row r="1091" spans="5:8" x14ac:dyDescent="0.2">
      <c r="E1091" s="5"/>
      <c r="F1091" s="5"/>
      <c r="G1091" s="5"/>
      <c r="H1091" s="5"/>
    </row>
    <row r="1092" spans="5:8" x14ac:dyDescent="0.2">
      <c r="E1092" s="5"/>
      <c r="F1092" s="5"/>
      <c r="G1092" s="5"/>
      <c r="H1092" s="5"/>
    </row>
    <row r="1093" spans="5:8" x14ac:dyDescent="0.2">
      <c r="E1093" s="5"/>
      <c r="F1093" s="5"/>
      <c r="G1093" s="5"/>
      <c r="H1093" s="5"/>
    </row>
    <row r="1094" spans="5:8" x14ac:dyDescent="0.2">
      <c r="E1094" s="5"/>
      <c r="F1094" s="5"/>
      <c r="G1094" s="5"/>
      <c r="H1094" s="5"/>
    </row>
    <row r="1095" spans="5:8" x14ac:dyDescent="0.2">
      <c r="E1095" s="5"/>
      <c r="F1095" s="5"/>
      <c r="G1095" s="5"/>
      <c r="H1095" s="5"/>
    </row>
    <row r="1096" spans="5:8" x14ac:dyDescent="0.2">
      <c r="E1096" s="5"/>
      <c r="F1096" s="5"/>
      <c r="G1096" s="5"/>
      <c r="H1096" s="5"/>
    </row>
    <row r="1097" spans="5:8" x14ac:dyDescent="0.2">
      <c r="E1097" s="5"/>
      <c r="F1097" s="5"/>
      <c r="G1097" s="5"/>
      <c r="H1097" s="5"/>
    </row>
    <row r="1098" spans="5:8" x14ac:dyDescent="0.2">
      <c r="E1098" s="5"/>
      <c r="F1098" s="5"/>
      <c r="G1098" s="5"/>
      <c r="H1098" s="5"/>
    </row>
    <row r="1099" spans="5:8" x14ac:dyDescent="0.2">
      <c r="E1099" s="5"/>
      <c r="F1099" s="5"/>
      <c r="G1099" s="5"/>
      <c r="H1099" s="5"/>
    </row>
    <row r="1100" spans="5:8" x14ac:dyDescent="0.2">
      <c r="E1100" s="5"/>
      <c r="F1100" s="5"/>
      <c r="G1100" s="5"/>
      <c r="H1100" s="5"/>
    </row>
    <row r="1101" spans="5:8" x14ac:dyDescent="0.2">
      <c r="E1101" s="5"/>
      <c r="F1101" s="5"/>
      <c r="G1101" s="5"/>
      <c r="H1101" s="5"/>
    </row>
    <row r="1102" spans="5:8" x14ac:dyDescent="0.2">
      <c r="E1102" s="5"/>
      <c r="F1102" s="5"/>
      <c r="G1102" s="5"/>
      <c r="H1102" s="5"/>
    </row>
    <row r="1103" spans="5:8" x14ac:dyDescent="0.2">
      <c r="E1103" s="5"/>
      <c r="F1103" s="5"/>
      <c r="G1103" s="5"/>
      <c r="H1103" s="5"/>
    </row>
    <row r="1104" spans="5:8" x14ac:dyDescent="0.2">
      <c r="E1104" s="5"/>
      <c r="F1104" s="5"/>
      <c r="G1104" s="5"/>
      <c r="H1104" s="5"/>
    </row>
    <row r="1105" spans="5:8" x14ac:dyDescent="0.2">
      <c r="E1105" s="5"/>
      <c r="F1105" s="5"/>
      <c r="G1105" s="5"/>
      <c r="H1105" s="5"/>
    </row>
    <row r="1106" spans="5:8" x14ac:dyDescent="0.2">
      <c r="E1106" s="5"/>
      <c r="F1106" s="5"/>
      <c r="G1106" s="5"/>
      <c r="H1106" s="5"/>
    </row>
    <row r="1107" spans="5:8" x14ac:dyDescent="0.2">
      <c r="E1107" s="5"/>
      <c r="F1107" s="5"/>
      <c r="G1107" s="5"/>
      <c r="H1107" s="5"/>
    </row>
    <row r="1108" spans="5:8" x14ac:dyDescent="0.2">
      <c r="E1108" s="5"/>
      <c r="F1108" s="5"/>
      <c r="G1108" s="5"/>
      <c r="H1108" s="5"/>
    </row>
    <row r="1109" spans="5:8" x14ac:dyDescent="0.2">
      <c r="E1109" s="5"/>
      <c r="F1109" s="5"/>
      <c r="G1109" s="5"/>
      <c r="H1109" s="5"/>
    </row>
    <row r="1110" spans="5:8" x14ac:dyDescent="0.2">
      <c r="E1110" s="5"/>
      <c r="F1110" s="5"/>
      <c r="G1110" s="5"/>
      <c r="H1110" s="5"/>
    </row>
    <row r="1111" spans="5:8" x14ac:dyDescent="0.2">
      <c r="E1111" s="5"/>
      <c r="F1111" s="5"/>
      <c r="G1111" s="5"/>
      <c r="H1111" s="5"/>
    </row>
    <row r="1112" spans="5:8" x14ac:dyDescent="0.2">
      <c r="E1112" s="5"/>
      <c r="F1112" s="5"/>
      <c r="G1112" s="5"/>
      <c r="H1112" s="5"/>
    </row>
    <row r="1113" spans="5:8" x14ac:dyDescent="0.2">
      <c r="E1113" s="5"/>
      <c r="F1113" s="5"/>
      <c r="G1113" s="5"/>
      <c r="H1113" s="5"/>
    </row>
    <row r="1114" spans="5:8" x14ac:dyDescent="0.2">
      <c r="E1114" s="5"/>
      <c r="F1114" s="5"/>
      <c r="G1114" s="5"/>
      <c r="H1114" s="5"/>
    </row>
    <row r="1115" spans="5:8" x14ac:dyDescent="0.2">
      <c r="E1115" s="5"/>
      <c r="F1115" s="5"/>
      <c r="G1115" s="5"/>
      <c r="H1115" s="5"/>
    </row>
    <row r="1116" spans="5:8" x14ac:dyDescent="0.2">
      <c r="E1116" s="5"/>
      <c r="F1116" s="5"/>
      <c r="G1116" s="5"/>
      <c r="H1116" s="5"/>
    </row>
    <row r="1117" spans="5:8" x14ac:dyDescent="0.2">
      <c r="E1117" s="5"/>
      <c r="F1117" s="5"/>
      <c r="G1117" s="5"/>
      <c r="H1117" s="5"/>
    </row>
    <row r="1118" spans="5:8" x14ac:dyDescent="0.2">
      <c r="E1118" s="5"/>
      <c r="F1118" s="5"/>
      <c r="G1118" s="5"/>
      <c r="H1118" s="5"/>
    </row>
    <row r="1119" spans="5:8" x14ac:dyDescent="0.2">
      <c r="E1119" s="5"/>
      <c r="F1119" s="5"/>
      <c r="G1119" s="5"/>
      <c r="H1119" s="5"/>
    </row>
    <row r="1120" spans="5:8" x14ac:dyDescent="0.2">
      <c r="E1120" s="5"/>
      <c r="F1120" s="5"/>
      <c r="G1120" s="5"/>
      <c r="H1120" s="5"/>
    </row>
    <row r="1121" spans="5:8" x14ac:dyDescent="0.2">
      <c r="E1121" s="5"/>
      <c r="F1121" s="5"/>
      <c r="G1121" s="5"/>
      <c r="H1121" s="5"/>
    </row>
    <row r="1122" spans="5:8" x14ac:dyDescent="0.2">
      <c r="E1122" s="5"/>
      <c r="F1122" s="5"/>
      <c r="G1122" s="5"/>
      <c r="H1122" s="5"/>
    </row>
    <row r="1123" spans="5:8" x14ac:dyDescent="0.2">
      <c r="E1123" s="5"/>
      <c r="F1123" s="5"/>
      <c r="G1123" s="5"/>
      <c r="H1123" s="5"/>
    </row>
    <row r="1124" spans="5:8" x14ac:dyDescent="0.2">
      <c r="E1124" s="5"/>
      <c r="F1124" s="5"/>
      <c r="G1124" s="5"/>
      <c r="H1124" s="5"/>
    </row>
    <row r="1125" spans="5:8" x14ac:dyDescent="0.2">
      <c r="E1125" s="5"/>
      <c r="F1125" s="5"/>
      <c r="G1125" s="5"/>
      <c r="H1125" s="5"/>
    </row>
    <row r="1126" spans="5:8" x14ac:dyDescent="0.2">
      <c r="E1126" s="5"/>
      <c r="F1126" s="5"/>
      <c r="G1126" s="5"/>
      <c r="H1126" s="5"/>
    </row>
    <row r="1127" spans="5:8" x14ac:dyDescent="0.2">
      <c r="E1127" s="5"/>
      <c r="F1127" s="5"/>
      <c r="G1127" s="5"/>
      <c r="H1127" s="5"/>
    </row>
    <row r="1128" spans="5:8" x14ac:dyDescent="0.2">
      <c r="E1128" s="5"/>
      <c r="F1128" s="5"/>
      <c r="G1128" s="5"/>
      <c r="H1128" s="5"/>
    </row>
    <row r="1129" spans="5:8" x14ac:dyDescent="0.2">
      <c r="E1129" s="5"/>
      <c r="F1129" s="5"/>
      <c r="G1129" s="5"/>
      <c r="H1129" s="5"/>
    </row>
    <row r="1130" spans="5:8" x14ac:dyDescent="0.2">
      <c r="E1130" s="5"/>
      <c r="F1130" s="5"/>
      <c r="G1130" s="5"/>
      <c r="H1130" s="5"/>
    </row>
    <row r="1131" spans="5:8" x14ac:dyDescent="0.2">
      <c r="E1131" s="5"/>
      <c r="F1131" s="5"/>
      <c r="G1131" s="5"/>
      <c r="H1131" s="5"/>
    </row>
    <row r="1132" spans="5:8" x14ac:dyDescent="0.2">
      <c r="E1132" s="5"/>
      <c r="F1132" s="5"/>
      <c r="G1132" s="5"/>
      <c r="H1132" s="5"/>
    </row>
    <row r="1133" spans="5:8" x14ac:dyDescent="0.2">
      <c r="E1133" s="5"/>
      <c r="F1133" s="5"/>
      <c r="G1133" s="5"/>
      <c r="H1133" s="5"/>
    </row>
    <row r="1134" spans="5:8" x14ac:dyDescent="0.2">
      <c r="E1134" s="5"/>
      <c r="F1134" s="5"/>
      <c r="G1134" s="5"/>
      <c r="H1134" s="5"/>
    </row>
    <row r="1135" spans="5:8" x14ac:dyDescent="0.2">
      <c r="E1135" s="5"/>
      <c r="F1135" s="5"/>
      <c r="G1135" s="5"/>
      <c r="H1135" s="5"/>
    </row>
    <row r="1136" spans="5:8" x14ac:dyDescent="0.2">
      <c r="E1136" s="5"/>
      <c r="F1136" s="5"/>
      <c r="G1136" s="5"/>
      <c r="H1136" s="5"/>
    </row>
    <row r="1137" spans="5:8" x14ac:dyDescent="0.2">
      <c r="E1137" s="5"/>
      <c r="F1137" s="5"/>
      <c r="G1137" s="5"/>
      <c r="H1137" s="5"/>
    </row>
    <row r="1138" spans="5:8" x14ac:dyDescent="0.2">
      <c r="E1138" s="5"/>
      <c r="F1138" s="5"/>
      <c r="G1138" s="5"/>
      <c r="H1138" s="5"/>
    </row>
    <row r="1139" spans="5:8" x14ac:dyDescent="0.2">
      <c r="E1139" s="5"/>
      <c r="F1139" s="5"/>
      <c r="G1139" s="5"/>
      <c r="H1139" s="5"/>
    </row>
    <row r="1140" spans="5:8" x14ac:dyDescent="0.2">
      <c r="E1140" s="5"/>
      <c r="F1140" s="5"/>
      <c r="G1140" s="5"/>
      <c r="H1140" s="5"/>
    </row>
    <row r="1141" spans="5:8" x14ac:dyDescent="0.2">
      <c r="E1141" s="5"/>
      <c r="F1141" s="5"/>
      <c r="G1141" s="5"/>
      <c r="H1141" s="5"/>
    </row>
    <row r="1142" spans="5:8" x14ac:dyDescent="0.2">
      <c r="E1142" s="5"/>
      <c r="F1142" s="5"/>
      <c r="G1142" s="5"/>
      <c r="H1142" s="5"/>
    </row>
    <row r="1143" spans="5:8" x14ac:dyDescent="0.2">
      <c r="E1143" s="5"/>
      <c r="F1143" s="5"/>
      <c r="G1143" s="5"/>
      <c r="H1143" s="5"/>
    </row>
    <row r="1144" spans="5:8" x14ac:dyDescent="0.2">
      <c r="E1144" s="5"/>
      <c r="F1144" s="5"/>
      <c r="G1144" s="5"/>
      <c r="H1144" s="5"/>
    </row>
    <row r="1145" spans="5:8" x14ac:dyDescent="0.2">
      <c r="E1145" s="5"/>
      <c r="F1145" s="5"/>
      <c r="G1145" s="5"/>
      <c r="H1145" s="5"/>
    </row>
    <row r="1146" spans="5:8" x14ac:dyDescent="0.2">
      <c r="E1146" s="5"/>
      <c r="F1146" s="5"/>
      <c r="G1146" s="5"/>
      <c r="H1146" s="5"/>
    </row>
    <row r="1147" spans="5:8" x14ac:dyDescent="0.2">
      <c r="E1147" s="5"/>
      <c r="F1147" s="5"/>
      <c r="G1147" s="5"/>
      <c r="H1147" s="5"/>
    </row>
    <row r="1148" spans="5:8" x14ac:dyDescent="0.2">
      <c r="E1148" s="5"/>
      <c r="F1148" s="5"/>
      <c r="G1148" s="5"/>
      <c r="H1148" s="5"/>
    </row>
    <row r="1149" spans="5:8" x14ac:dyDescent="0.2">
      <c r="E1149" s="5"/>
      <c r="F1149" s="5"/>
      <c r="G1149" s="5"/>
      <c r="H1149" s="5"/>
    </row>
    <row r="1150" spans="5:8" x14ac:dyDescent="0.2">
      <c r="E1150" s="5"/>
      <c r="F1150" s="5"/>
      <c r="G1150" s="5"/>
      <c r="H1150" s="5"/>
    </row>
    <row r="1151" spans="5:8" x14ac:dyDescent="0.2">
      <c r="E1151" s="5"/>
      <c r="F1151" s="5"/>
      <c r="G1151" s="5"/>
      <c r="H1151" s="5"/>
    </row>
    <row r="1152" spans="5:8" x14ac:dyDescent="0.2">
      <c r="E1152" s="5"/>
      <c r="F1152" s="5"/>
      <c r="G1152" s="5"/>
      <c r="H1152" s="5"/>
    </row>
    <row r="1153" spans="5:8" x14ac:dyDescent="0.2">
      <c r="E1153" s="5"/>
      <c r="F1153" s="5"/>
      <c r="G1153" s="5"/>
      <c r="H1153" s="5"/>
    </row>
    <row r="1154" spans="5:8" x14ac:dyDescent="0.2">
      <c r="E1154" s="5"/>
      <c r="F1154" s="5"/>
      <c r="G1154" s="5"/>
      <c r="H1154" s="5"/>
    </row>
    <row r="1155" spans="5:8" x14ac:dyDescent="0.2">
      <c r="E1155" s="5"/>
      <c r="F1155" s="5"/>
      <c r="G1155" s="5"/>
      <c r="H1155" s="5"/>
    </row>
    <row r="1156" spans="5:8" x14ac:dyDescent="0.2">
      <c r="E1156" s="5"/>
      <c r="F1156" s="5"/>
      <c r="G1156" s="5"/>
      <c r="H1156" s="5"/>
    </row>
    <row r="1157" spans="5:8" x14ac:dyDescent="0.2">
      <c r="E1157" s="5"/>
      <c r="F1157" s="5"/>
      <c r="G1157" s="5"/>
      <c r="H1157" s="5"/>
    </row>
    <row r="1158" spans="5:8" x14ac:dyDescent="0.2">
      <c r="E1158" s="5"/>
      <c r="F1158" s="5"/>
      <c r="G1158" s="5"/>
      <c r="H1158" s="5"/>
    </row>
    <row r="1159" spans="5:8" x14ac:dyDescent="0.2">
      <c r="E1159" s="5"/>
      <c r="F1159" s="5"/>
      <c r="G1159" s="5"/>
      <c r="H1159" s="5"/>
    </row>
    <row r="1160" spans="5:8" x14ac:dyDescent="0.2">
      <c r="E1160" s="5"/>
      <c r="F1160" s="5"/>
      <c r="G1160" s="5"/>
      <c r="H1160" s="5"/>
    </row>
    <row r="1161" spans="5:8" x14ac:dyDescent="0.2">
      <c r="E1161" s="5"/>
      <c r="F1161" s="5"/>
      <c r="G1161" s="5"/>
      <c r="H1161" s="5"/>
    </row>
    <row r="1162" spans="5:8" x14ac:dyDescent="0.2">
      <c r="E1162" s="5"/>
      <c r="F1162" s="5"/>
      <c r="G1162" s="5"/>
      <c r="H1162" s="5"/>
    </row>
    <row r="1163" spans="5:8" x14ac:dyDescent="0.2">
      <c r="E1163" s="5"/>
      <c r="F1163" s="5"/>
      <c r="G1163" s="5"/>
      <c r="H1163" s="5"/>
    </row>
    <row r="1164" spans="5:8" x14ac:dyDescent="0.2">
      <c r="E1164" s="5"/>
      <c r="F1164" s="5"/>
      <c r="G1164" s="5"/>
      <c r="H1164" s="5"/>
    </row>
    <row r="1165" spans="5:8" x14ac:dyDescent="0.2">
      <c r="E1165" s="5"/>
      <c r="F1165" s="5"/>
      <c r="G1165" s="5"/>
      <c r="H1165" s="5"/>
    </row>
    <row r="1166" spans="5:8" x14ac:dyDescent="0.2">
      <c r="E1166" s="5"/>
      <c r="F1166" s="5"/>
      <c r="G1166" s="5"/>
      <c r="H1166" s="5"/>
    </row>
    <row r="1167" spans="5:8" x14ac:dyDescent="0.2">
      <c r="E1167" s="5"/>
      <c r="F1167" s="5"/>
      <c r="G1167" s="5"/>
      <c r="H1167" s="5"/>
    </row>
    <row r="1168" spans="5:8" x14ac:dyDescent="0.2">
      <c r="E1168" s="5"/>
      <c r="F1168" s="5"/>
      <c r="G1168" s="5"/>
      <c r="H1168" s="5"/>
    </row>
    <row r="1169" spans="5:8" x14ac:dyDescent="0.2">
      <c r="E1169" s="5"/>
      <c r="F1169" s="5"/>
      <c r="G1169" s="5"/>
      <c r="H1169" s="5"/>
    </row>
    <row r="1170" spans="5:8" x14ac:dyDescent="0.2">
      <c r="E1170" s="5"/>
      <c r="F1170" s="5"/>
      <c r="G1170" s="5"/>
      <c r="H1170" s="5"/>
    </row>
    <row r="1171" spans="5:8" x14ac:dyDescent="0.2">
      <c r="E1171" s="5"/>
      <c r="F1171" s="5"/>
      <c r="G1171" s="5"/>
      <c r="H1171" s="5"/>
    </row>
    <row r="1172" spans="5:8" x14ac:dyDescent="0.2">
      <c r="E1172" s="5"/>
      <c r="F1172" s="5"/>
      <c r="G1172" s="5"/>
      <c r="H1172" s="5"/>
    </row>
    <row r="1173" spans="5:8" x14ac:dyDescent="0.2">
      <c r="E1173" s="5"/>
      <c r="F1173" s="5"/>
      <c r="G1173" s="5"/>
      <c r="H1173" s="5"/>
    </row>
    <row r="1174" spans="5:8" x14ac:dyDescent="0.2">
      <c r="E1174" s="5"/>
      <c r="F1174" s="5"/>
      <c r="G1174" s="5"/>
      <c r="H1174" s="5"/>
    </row>
    <row r="1175" spans="5:8" x14ac:dyDescent="0.2">
      <c r="E1175" s="5"/>
      <c r="F1175" s="5"/>
      <c r="G1175" s="5"/>
      <c r="H1175" s="5"/>
    </row>
    <row r="1176" spans="5:8" x14ac:dyDescent="0.2">
      <c r="E1176" s="5"/>
      <c r="F1176" s="5"/>
      <c r="G1176" s="5"/>
      <c r="H1176" s="5"/>
    </row>
    <row r="1177" spans="5:8" x14ac:dyDescent="0.2">
      <c r="E1177" s="5"/>
      <c r="F1177" s="5"/>
      <c r="G1177" s="5"/>
      <c r="H1177" s="5"/>
    </row>
    <row r="1178" spans="5:8" x14ac:dyDescent="0.2">
      <c r="E1178" s="5"/>
      <c r="F1178" s="5"/>
      <c r="G1178" s="5"/>
      <c r="H1178" s="5"/>
    </row>
    <row r="1179" spans="5:8" x14ac:dyDescent="0.2">
      <c r="E1179" s="5"/>
      <c r="F1179" s="5"/>
      <c r="G1179" s="5"/>
      <c r="H1179" s="5"/>
    </row>
    <row r="1180" spans="5:8" x14ac:dyDescent="0.2">
      <c r="E1180" s="5"/>
      <c r="F1180" s="5"/>
      <c r="G1180" s="5"/>
      <c r="H1180" s="5"/>
    </row>
    <row r="1181" spans="5:8" x14ac:dyDescent="0.2">
      <c r="E1181" s="5"/>
      <c r="F1181" s="5"/>
      <c r="G1181" s="5"/>
      <c r="H1181" s="5"/>
    </row>
    <row r="1182" spans="5:8" x14ac:dyDescent="0.2">
      <c r="E1182" s="5"/>
      <c r="F1182" s="5"/>
      <c r="G1182" s="5"/>
      <c r="H1182" s="5"/>
    </row>
    <row r="1183" spans="5:8" x14ac:dyDescent="0.2">
      <c r="E1183" s="5"/>
      <c r="F1183" s="5"/>
      <c r="G1183" s="5"/>
      <c r="H1183" s="5"/>
    </row>
    <row r="1184" spans="5:8" x14ac:dyDescent="0.2">
      <c r="E1184" s="5"/>
      <c r="F1184" s="5"/>
      <c r="G1184" s="5"/>
      <c r="H1184" s="5"/>
    </row>
    <row r="1185" spans="5:8" x14ac:dyDescent="0.2">
      <c r="E1185" s="5"/>
      <c r="F1185" s="5"/>
      <c r="G1185" s="5"/>
      <c r="H1185" s="5"/>
    </row>
    <row r="1186" spans="5:8" x14ac:dyDescent="0.2">
      <c r="E1186" s="5"/>
      <c r="F1186" s="5"/>
      <c r="G1186" s="5"/>
      <c r="H1186" s="5"/>
    </row>
    <row r="1187" spans="5:8" x14ac:dyDescent="0.2">
      <c r="E1187" s="5"/>
      <c r="F1187" s="5"/>
      <c r="G1187" s="5"/>
      <c r="H1187" s="5"/>
    </row>
    <row r="1188" spans="5:8" x14ac:dyDescent="0.2">
      <c r="E1188" s="5"/>
      <c r="F1188" s="5"/>
      <c r="G1188" s="5"/>
      <c r="H1188" s="5"/>
    </row>
    <row r="1189" spans="5:8" x14ac:dyDescent="0.2">
      <c r="E1189" s="5"/>
      <c r="F1189" s="5"/>
      <c r="G1189" s="5"/>
      <c r="H1189" s="5"/>
    </row>
    <row r="1190" spans="5:8" x14ac:dyDescent="0.2">
      <c r="E1190" s="5"/>
      <c r="F1190" s="5"/>
      <c r="G1190" s="5"/>
      <c r="H1190" s="5"/>
    </row>
    <row r="1191" spans="5:8" x14ac:dyDescent="0.2">
      <c r="E1191" s="5"/>
      <c r="F1191" s="5"/>
      <c r="G1191" s="5"/>
      <c r="H1191" s="5"/>
    </row>
    <row r="1192" spans="5:8" x14ac:dyDescent="0.2">
      <c r="E1192" s="5"/>
      <c r="F1192" s="5"/>
      <c r="G1192" s="5"/>
      <c r="H1192" s="5"/>
    </row>
    <row r="1193" spans="5:8" x14ac:dyDescent="0.2">
      <c r="E1193" s="5"/>
      <c r="F1193" s="5"/>
      <c r="G1193" s="5"/>
      <c r="H1193" s="5"/>
    </row>
    <row r="1194" spans="5:8" x14ac:dyDescent="0.2">
      <c r="E1194" s="5"/>
      <c r="F1194" s="5"/>
      <c r="G1194" s="5"/>
      <c r="H1194" s="5"/>
    </row>
    <row r="1195" spans="5:8" x14ac:dyDescent="0.2">
      <c r="E1195" s="5"/>
      <c r="F1195" s="5"/>
      <c r="G1195" s="5"/>
      <c r="H1195" s="5"/>
    </row>
    <row r="1196" spans="5:8" x14ac:dyDescent="0.2">
      <c r="E1196" s="5"/>
      <c r="F1196" s="5"/>
      <c r="G1196" s="5"/>
      <c r="H1196" s="5"/>
    </row>
    <row r="1197" spans="5:8" x14ac:dyDescent="0.2">
      <c r="E1197" s="5"/>
      <c r="F1197" s="5"/>
      <c r="G1197" s="5"/>
      <c r="H1197" s="5"/>
    </row>
    <row r="1198" spans="5:8" x14ac:dyDescent="0.2">
      <c r="E1198" s="5"/>
      <c r="F1198" s="5"/>
      <c r="G1198" s="5"/>
      <c r="H1198" s="5"/>
    </row>
    <row r="1199" spans="5:8" x14ac:dyDescent="0.2">
      <c r="E1199" s="5"/>
      <c r="F1199" s="5"/>
      <c r="G1199" s="5"/>
      <c r="H1199" s="5"/>
    </row>
    <row r="1200" spans="5:8" x14ac:dyDescent="0.2">
      <c r="E1200" s="5"/>
      <c r="F1200" s="5"/>
      <c r="G1200" s="5"/>
      <c r="H1200" s="5"/>
    </row>
    <row r="1201" spans="5:8" x14ac:dyDescent="0.2">
      <c r="E1201" s="5"/>
      <c r="F1201" s="5"/>
      <c r="G1201" s="5"/>
      <c r="H1201" s="5"/>
    </row>
    <row r="1202" spans="5:8" x14ac:dyDescent="0.2">
      <c r="E1202" s="5"/>
      <c r="F1202" s="5"/>
      <c r="G1202" s="5"/>
      <c r="H1202" s="5"/>
    </row>
    <row r="1203" spans="5:8" x14ac:dyDescent="0.2">
      <c r="E1203" s="5"/>
      <c r="F1203" s="5"/>
      <c r="G1203" s="5"/>
      <c r="H1203" s="5"/>
    </row>
    <row r="1204" spans="5:8" x14ac:dyDescent="0.2">
      <c r="E1204" s="5"/>
      <c r="F1204" s="5"/>
      <c r="G1204" s="5"/>
      <c r="H1204" s="5"/>
    </row>
    <row r="1205" spans="5:8" x14ac:dyDescent="0.2">
      <c r="E1205" s="5"/>
      <c r="F1205" s="5"/>
      <c r="G1205" s="5"/>
      <c r="H1205" s="5"/>
    </row>
    <row r="1206" spans="5:8" x14ac:dyDescent="0.2">
      <c r="E1206" s="5"/>
      <c r="F1206" s="5"/>
      <c r="G1206" s="5"/>
      <c r="H1206" s="5"/>
    </row>
    <row r="1207" spans="5:8" x14ac:dyDescent="0.2">
      <c r="E1207" s="5"/>
      <c r="F1207" s="5"/>
      <c r="G1207" s="5"/>
      <c r="H1207" s="5"/>
    </row>
    <row r="1208" spans="5:8" x14ac:dyDescent="0.2">
      <c r="E1208" s="5"/>
      <c r="F1208" s="5"/>
      <c r="G1208" s="5"/>
      <c r="H1208" s="5"/>
    </row>
    <row r="1209" spans="5:8" x14ac:dyDescent="0.2">
      <c r="E1209" s="5"/>
      <c r="F1209" s="5"/>
      <c r="G1209" s="5"/>
      <c r="H1209" s="5"/>
    </row>
    <row r="1210" spans="5:8" x14ac:dyDescent="0.2">
      <c r="E1210" s="5"/>
      <c r="F1210" s="5"/>
      <c r="G1210" s="5"/>
      <c r="H1210" s="5"/>
    </row>
    <row r="1211" spans="5:8" x14ac:dyDescent="0.2">
      <c r="E1211" s="5"/>
      <c r="F1211" s="5"/>
      <c r="G1211" s="5"/>
      <c r="H1211" s="5"/>
    </row>
    <row r="1212" spans="5:8" x14ac:dyDescent="0.2">
      <c r="E1212" s="5"/>
      <c r="F1212" s="5"/>
      <c r="G1212" s="5"/>
      <c r="H1212" s="5"/>
    </row>
    <row r="1213" spans="5:8" x14ac:dyDescent="0.2">
      <c r="E1213" s="5"/>
      <c r="F1213" s="5"/>
      <c r="G1213" s="5"/>
      <c r="H1213" s="5"/>
    </row>
    <row r="1214" spans="5:8" x14ac:dyDescent="0.2">
      <c r="E1214" s="5"/>
      <c r="F1214" s="5"/>
      <c r="G1214" s="5"/>
      <c r="H1214" s="5"/>
    </row>
    <row r="1215" spans="5:8" x14ac:dyDescent="0.2">
      <c r="E1215" s="5"/>
      <c r="F1215" s="5"/>
      <c r="G1215" s="5"/>
      <c r="H1215" s="5"/>
    </row>
    <row r="1216" spans="5:8" x14ac:dyDescent="0.2">
      <c r="E1216" s="5"/>
      <c r="F1216" s="5"/>
      <c r="G1216" s="5"/>
      <c r="H1216" s="5"/>
    </row>
    <row r="1217" spans="5:8" x14ac:dyDescent="0.2">
      <c r="E1217" s="5"/>
      <c r="F1217" s="5"/>
      <c r="G1217" s="5"/>
      <c r="H1217" s="5"/>
    </row>
    <row r="1218" spans="5:8" x14ac:dyDescent="0.2">
      <c r="E1218" s="5"/>
      <c r="F1218" s="5"/>
      <c r="G1218" s="5"/>
      <c r="H1218" s="5"/>
    </row>
    <row r="1219" spans="5:8" x14ac:dyDescent="0.2">
      <c r="E1219" s="5"/>
      <c r="F1219" s="5"/>
      <c r="G1219" s="5"/>
      <c r="H1219" s="5"/>
    </row>
    <row r="1220" spans="5:8" x14ac:dyDescent="0.2">
      <c r="E1220" s="5"/>
      <c r="F1220" s="5"/>
      <c r="G1220" s="5"/>
      <c r="H1220" s="5"/>
    </row>
    <row r="1221" spans="5:8" x14ac:dyDescent="0.2">
      <c r="E1221" s="5"/>
      <c r="F1221" s="5"/>
      <c r="G1221" s="5"/>
      <c r="H1221" s="5"/>
    </row>
    <row r="1222" spans="5:8" x14ac:dyDescent="0.2">
      <c r="E1222" s="5"/>
      <c r="F1222" s="5"/>
      <c r="G1222" s="5"/>
      <c r="H1222" s="5"/>
    </row>
    <row r="1223" spans="5:8" x14ac:dyDescent="0.2">
      <c r="E1223" s="5"/>
      <c r="F1223" s="5"/>
      <c r="G1223" s="5"/>
      <c r="H1223" s="5"/>
    </row>
    <row r="1224" spans="5:8" x14ac:dyDescent="0.2">
      <c r="E1224" s="5"/>
      <c r="F1224" s="5"/>
      <c r="G1224" s="5"/>
      <c r="H1224" s="5"/>
    </row>
    <row r="1225" spans="5:8" x14ac:dyDescent="0.2">
      <c r="E1225" s="5"/>
      <c r="F1225" s="5"/>
      <c r="G1225" s="5"/>
      <c r="H1225" s="5"/>
    </row>
    <row r="1226" spans="5:8" x14ac:dyDescent="0.2">
      <c r="E1226" s="5"/>
      <c r="F1226" s="5"/>
      <c r="G1226" s="5"/>
      <c r="H1226" s="5"/>
    </row>
    <row r="1227" spans="5:8" x14ac:dyDescent="0.2">
      <c r="E1227" s="5"/>
      <c r="F1227" s="5"/>
      <c r="G1227" s="5"/>
      <c r="H1227" s="5"/>
    </row>
    <row r="1228" spans="5:8" x14ac:dyDescent="0.2">
      <c r="E1228" s="5"/>
      <c r="F1228" s="5"/>
      <c r="G1228" s="5"/>
      <c r="H1228" s="5"/>
    </row>
    <row r="1229" spans="5:8" x14ac:dyDescent="0.2">
      <c r="E1229" s="5"/>
      <c r="F1229" s="5"/>
      <c r="G1229" s="5"/>
      <c r="H1229" s="5"/>
    </row>
    <row r="1230" spans="5:8" x14ac:dyDescent="0.2">
      <c r="E1230" s="5"/>
      <c r="F1230" s="5"/>
      <c r="G1230" s="5"/>
      <c r="H1230" s="5"/>
    </row>
    <row r="1231" spans="5:8" x14ac:dyDescent="0.2">
      <c r="E1231" s="5"/>
      <c r="F1231" s="5"/>
      <c r="G1231" s="5"/>
      <c r="H1231" s="5"/>
    </row>
    <row r="1232" spans="5:8" x14ac:dyDescent="0.2">
      <c r="E1232" s="5"/>
      <c r="F1232" s="5"/>
      <c r="G1232" s="5"/>
      <c r="H1232" s="5"/>
    </row>
    <row r="1233" spans="5:8" x14ac:dyDescent="0.2">
      <c r="E1233" s="5"/>
      <c r="F1233" s="5"/>
      <c r="G1233" s="5"/>
      <c r="H1233" s="5"/>
    </row>
    <row r="1234" spans="5:8" x14ac:dyDescent="0.2">
      <c r="E1234" s="5"/>
      <c r="F1234" s="5"/>
      <c r="G1234" s="5"/>
      <c r="H1234" s="5"/>
    </row>
    <row r="1235" spans="5:8" x14ac:dyDescent="0.2">
      <c r="E1235" s="5"/>
      <c r="F1235" s="5"/>
      <c r="G1235" s="5"/>
      <c r="H1235" s="5"/>
    </row>
    <row r="1236" spans="5:8" x14ac:dyDescent="0.2">
      <c r="E1236" s="5"/>
      <c r="F1236" s="5"/>
      <c r="G1236" s="5"/>
      <c r="H1236" s="5"/>
    </row>
    <row r="1237" spans="5:8" x14ac:dyDescent="0.2">
      <c r="E1237" s="5"/>
      <c r="F1237" s="5"/>
      <c r="G1237" s="5"/>
      <c r="H1237" s="5"/>
    </row>
    <row r="1238" spans="5:8" x14ac:dyDescent="0.2">
      <c r="E1238" s="5"/>
      <c r="F1238" s="5"/>
      <c r="G1238" s="5"/>
      <c r="H1238" s="5"/>
    </row>
    <row r="1239" spans="5:8" x14ac:dyDescent="0.2">
      <c r="E1239" s="5"/>
      <c r="F1239" s="5"/>
      <c r="G1239" s="5"/>
      <c r="H1239" s="5"/>
    </row>
    <row r="1240" spans="5:8" x14ac:dyDescent="0.2">
      <c r="E1240" s="5"/>
      <c r="F1240" s="5"/>
      <c r="G1240" s="5"/>
      <c r="H1240" s="5"/>
    </row>
    <row r="1241" spans="5:8" x14ac:dyDescent="0.2">
      <c r="E1241" s="5"/>
      <c r="F1241" s="5"/>
      <c r="G1241" s="5"/>
      <c r="H1241" s="5"/>
    </row>
    <row r="1242" spans="5:8" x14ac:dyDescent="0.2">
      <c r="E1242" s="5"/>
      <c r="F1242" s="5"/>
      <c r="G1242" s="5"/>
      <c r="H1242" s="5"/>
    </row>
    <row r="1243" spans="5:8" x14ac:dyDescent="0.2">
      <c r="E1243" s="5"/>
      <c r="F1243" s="5"/>
      <c r="G1243" s="5"/>
      <c r="H1243" s="5"/>
    </row>
    <row r="1244" spans="5:8" x14ac:dyDescent="0.2">
      <c r="E1244" s="5"/>
      <c r="F1244" s="5"/>
      <c r="G1244" s="5"/>
      <c r="H1244" s="5"/>
    </row>
    <row r="1245" spans="5:8" x14ac:dyDescent="0.2">
      <c r="E1245" s="5"/>
      <c r="F1245" s="5"/>
      <c r="G1245" s="5"/>
      <c r="H1245" s="5"/>
    </row>
    <row r="1246" spans="5:8" x14ac:dyDescent="0.2">
      <c r="E1246" s="5"/>
      <c r="F1246" s="5"/>
      <c r="G1246" s="5"/>
      <c r="H1246" s="5"/>
    </row>
    <row r="1247" spans="5:8" x14ac:dyDescent="0.2">
      <c r="E1247" s="5"/>
      <c r="F1247" s="5"/>
      <c r="G1247" s="5"/>
      <c r="H1247" s="5"/>
    </row>
    <row r="1248" spans="5:8" x14ac:dyDescent="0.2">
      <c r="E1248" s="5"/>
      <c r="F1248" s="5"/>
      <c r="G1248" s="5"/>
      <c r="H1248" s="5"/>
    </row>
    <row r="1249" spans="5:8" x14ac:dyDescent="0.2">
      <c r="E1249" s="5"/>
      <c r="F1249" s="5"/>
      <c r="G1249" s="5"/>
      <c r="H1249" s="5"/>
    </row>
    <row r="1250" spans="5:8" x14ac:dyDescent="0.2">
      <c r="E1250" s="5"/>
      <c r="F1250" s="5"/>
      <c r="G1250" s="5"/>
      <c r="H1250" s="5"/>
    </row>
    <row r="1251" spans="5:8" x14ac:dyDescent="0.2">
      <c r="E1251" s="5"/>
      <c r="F1251" s="5"/>
      <c r="G1251" s="5"/>
      <c r="H1251" s="5"/>
    </row>
    <row r="1252" spans="5:8" x14ac:dyDescent="0.2">
      <c r="E1252" s="5"/>
      <c r="F1252" s="5"/>
      <c r="G1252" s="5"/>
      <c r="H1252" s="5"/>
    </row>
    <row r="1253" spans="5:8" x14ac:dyDescent="0.2">
      <c r="E1253" s="5"/>
      <c r="F1253" s="5"/>
      <c r="G1253" s="5"/>
      <c r="H1253" s="5"/>
    </row>
    <row r="1254" spans="5:8" x14ac:dyDescent="0.2">
      <c r="E1254" s="5"/>
      <c r="F1254" s="5"/>
      <c r="G1254" s="5"/>
      <c r="H1254" s="5"/>
    </row>
    <row r="1255" spans="5:8" x14ac:dyDescent="0.2">
      <c r="E1255" s="5"/>
      <c r="F1255" s="5"/>
      <c r="G1255" s="5"/>
      <c r="H1255" s="5"/>
    </row>
    <row r="1256" spans="5:8" x14ac:dyDescent="0.2">
      <c r="E1256" s="5"/>
      <c r="F1256" s="5"/>
      <c r="G1256" s="5"/>
      <c r="H1256" s="5"/>
    </row>
    <row r="1257" spans="5:8" x14ac:dyDescent="0.2">
      <c r="E1257" s="5"/>
      <c r="F1257" s="5"/>
      <c r="G1257" s="5"/>
      <c r="H1257" s="5"/>
    </row>
    <row r="1258" spans="5:8" x14ac:dyDescent="0.2">
      <c r="E1258" s="5"/>
      <c r="F1258" s="5"/>
      <c r="G1258" s="5"/>
      <c r="H1258" s="5"/>
    </row>
    <row r="1259" spans="5:8" x14ac:dyDescent="0.2">
      <c r="E1259" s="5"/>
      <c r="F1259" s="5"/>
      <c r="G1259" s="5"/>
      <c r="H1259" s="5"/>
    </row>
    <row r="1260" spans="5:8" x14ac:dyDescent="0.2">
      <c r="E1260" s="5"/>
      <c r="F1260" s="5"/>
      <c r="G1260" s="5"/>
      <c r="H1260" s="5"/>
    </row>
    <row r="1261" spans="5:8" x14ac:dyDescent="0.2">
      <c r="E1261" s="5"/>
      <c r="F1261" s="5"/>
      <c r="G1261" s="5"/>
      <c r="H1261" s="5"/>
    </row>
    <row r="1262" spans="5:8" x14ac:dyDescent="0.2">
      <c r="E1262" s="5"/>
      <c r="F1262" s="5"/>
      <c r="G1262" s="5"/>
      <c r="H1262" s="5"/>
    </row>
    <row r="1263" spans="5:8" x14ac:dyDescent="0.2">
      <c r="E1263" s="5"/>
      <c r="F1263" s="5"/>
      <c r="G1263" s="5"/>
      <c r="H1263" s="5"/>
    </row>
    <row r="1264" spans="5:8" x14ac:dyDescent="0.2">
      <c r="E1264" s="5"/>
      <c r="F1264" s="5"/>
      <c r="G1264" s="5"/>
      <c r="H1264" s="5"/>
    </row>
    <row r="1265" spans="5:8" x14ac:dyDescent="0.2">
      <c r="E1265" s="5"/>
      <c r="F1265" s="5"/>
      <c r="G1265" s="5"/>
      <c r="H1265" s="5"/>
    </row>
    <row r="1266" spans="5:8" x14ac:dyDescent="0.2">
      <c r="E1266" s="5"/>
      <c r="F1266" s="5"/>
      <c r="G1266" s="5"/>
      <c r="H1266" s="5"/>
    </row>
    <row r="1267" spans="5:8" x14ac:dyDescent="0.2">
      <c r="E1267" s="5"/>
      <c r="F1267" s="5"/>
      <c r="G1267" s="5"/>
      <c r="H1267" s="5"/>
    </row>
    <row r="1268" spans="5:8" x14ac:dyDescent="0.2">
      <c r="E1268" s="5"/>
      <c r="F1268" s="5"/>
      <c r="G1268" s="5"/>
      <c r="H1268" s="5"/>
    </row>
    <row r="1269" spans="5:8" x14ac:dyDescent="0.2">
      <c r="E1269" s="5"/>
      <c r="F1269" s="5"/>
      <c r="G1269" s="5"/>
      <c r="H1269" s="5"/>
    </row>
    <row r="1270" spans="5:8" x14ac:dyDescent="0.2">
      <c r="E1270" s="5"/>
      <c r="F1270" s="5"/>
      <c r="G1270" s="5"/>
      <c r="H1270" s="5"/>
    </row>
    <row r="1271" spans="5:8" x14ac:dyDescent="0.2">
      <c r="E1271" s="5"/>
      <c r="F1271" s="5"/>
      <c r="G1271" s="5"/>
      <c r="H1271" s="5"/>
    </row>
    <row r="1272" spans="5:8" x14ac:dyDescent="0.2">
      <c r="E1272" s="5"/>
      <c r="F1272" s="5"/>
      <c r="G1272" s="5"/>
      <c r="H1272" s="5"/>
    </row>
    <row r="1273" spans="5:8" x14ac:dyDescent="0.2">
      <c r="E1273" s="5"/>
      <c r="F1273" s="5"/>
      <c r="G1273" s="5"/>
      <c r="H1273" s="5"/>
    </row>
    <row r="1274" spans="5:8" x14ac:dyDescent="0.2">
      <c r="E1274" s="5"/>
      <c r="F1274" s="5"/>
      <c r="G1274" s="5"/>
      <c r="H1274" s="5"/>
    </row>
    <row r="1275" spans="5:8" x14ac:dyDescent="0.2">
      <c r="E1275" s="5"/>
      <c r="F1275" s="5"/>
      <c r="G1275" s="5"/>
      <c r="H1275" s="5"/>
    </row>
    <row r="1276" spans="5:8" x14ac:dyDescent="0.2">
      <c r="E1276" s="5"/>
      <c r="F1276" s="5"/>
      <c r="G1276" s="5"/>
      <c r="H1276" s="5"/>
    </row>
    <row r="1277" spans="5:8" x14ac:dyDescent="0.2">
      <c r="E1277" s="5"/>
      <c r="F1277" s="5"/>
      <c r="G1277" s="5"/>
      <c r="H1277" s="5"/>
    </row>
    <row r="1278" spans="5:8" x14ac:dyDescent="0.2">
      <c r="E1278" s="5"/>
      <c r="F1278" s="5"/>
      <c r="G1278" s="5"/>
      <c r="H1278" s="5"/>
    </row>
    <row r="1279" spans="5:8" x14ac:dyDescent="0.2">
      <c r="E1279" s="5"/>
      <c r="F1279" s="5"/>
      <c r="G1279" s="5"/>
      <c r="H1279" s="5"/>
    </row>
    <row r="1280" spans="5:8" x14ac:dyDescent="0.2">
      <c r="E1280" s="5"/>
      <c r="F1280" s="5"/>
      <c r="G1280" s="5"/>
      <c r="H1280" s="5"/>
    </row>
    <row r="1281" spans="5:8" x14ac:dyDescent="0.2">
      <c r="E1281" s="5"/>
      <c r="F1281" s="5"/>
      <c r="G1281" s="5"/>
      <c r="H1281" s="5"/>
    </row>
    <row r="1282" spans="5:8" x14ac:dyDescent="0.2">
      <c r="E1282" s="5"/>
      <c r="F1282" s="5"/>
      <c r="G1282" s="5"/>
      <c r="H1282" s="5"/>
    </row>
    <row r="1283" spans="5:8" x14ac:dyDescent="0.2">
      <c r="E1283" s="5"/>
      <c r="F1283" s="5"/>
      <c r="G1283" s="5"/>
      <c r="H1283" s="5"/>
    </row>
    <row r="1284" spans="5:8" x14ac:dyDescent="0.2">
      <c r="E1284" s="5"/>
      <c r="F1284" s="5"/>
      <c r="G1284" s="5"/>
      <c r="H1284" s="5"/>
    </row>
    <row r="1285" spans="5:8" x14ac:dyDescent="0.2">
      <c r="E1285" s="5"/>
      <c r="F1285" s="5"/>
      <c r="G1285" s="5"/>
      <c r="H1285" s="5"/>
    </row>
    <row r="1286" spans="5:8" x14ac:dyDescent="0.2">
      <c r="E1286" s="5"/>
      <c r="F1286" s="5"/>
      <c r="G1286" s="5"/>
      <c r="H1286" s="5"/>
    </row>
    <row r="1287" spans="5:8" x14ac:dyDescent="0.2">
      <c r="E1287" s="5"/>
      <c r="F1287" s="5"/>
      <c r="G1287" s="5"/>
      <c r="H1287" s="5"/>
    </row>
    <row r="1288" spans="5:8" x14ac:dyDescent="0.2">
      <c r="E1288" s="5"/>
      <c r="F1288" s="5"/>
      <c r="G1288" s="5"/>
      <c r="H1288" s="5"/>
    </row>
    <row r="1289" spans="5:8" x14ac:dyDescent="0.2">
      <c r="E1289" s="5"/>
      <c r="F1289" s="5"/>
      <c r="G1289" s="5"/>
      <c r="H1289" s="5"/>
    </row>
    <row r="1290" spans="5:8" x14ac:dyDescent="0.2">
      <c r="E1290" s="5"/>
      <c r="F1290" s="5"/>
      <c r="G1290" s="5"/>
      <c r="H1290" s="5"/>
    </row>
    <row r="1291" spans="5:8" x14ac:dyDescent="0.2">
      <c r="E1291" s="5"/>
      <c r="F1291" s="5"/>
      <c r="G1291" s="5"/>
      <c r="H1291" s="5"/>
    </row>
    <row r="1292" spans="5:8" x14ac:dyDescent="0.2">
      <c r="E1292" s="5"/>
      <c r="F1292" s="5"/>
      <c r="G1292" s="5"/>
      <c r="H1292" s="5"/>
    </row>
    <row r="1293" spans="5:8" x14ac:dyDescent="0.2">
      <c r="E1293" s="5"/>
      <c r="F1293" s="5"/>
      <c r="G1293" s="5"/>
      <c r="H1293" s="5"/>
    </row>
    <row r="1294" spans="5:8" x14ac:dyDescent="0.2">
      <c r="E1294" s="5"/>
      <c r="F1294" s="5"/>
      <c r="G1294" s="5"/>
      <c r="H1294" s="5"/>
    </row>
    <row r="1295" spans="5:8" x14ac:dyDescent="0.2">
      <c r="E1295" s="5"/>
      <c r="F1295" s="5"/>
      <c r="G1295" s="5"/>
      <c r="H1295" s="5"/>
    </row>
    <row r="1296" spans="5:8" x14ac:dyDescent="0.2">
      <c r="E1296" s="5"/>
      <c r="F1296" s="5"/>
      <c r="G1296" s="5"/>
      <c r="H1296" s="5"/>
    </row>
    <row r="1297" spans="5:8" x14ac:dyDescent="0.2">
      <c r="E1297" s="5"/>
      <c r="F1297" s="5"/>
      <c r="G1297" s="5"/>
      <c r="H1297" s="5"/>
    </row>
    <row r="1298" spans="5:8" x14ac:dyDescent="0.2">
      <c r="E1298" s="5"/>
      <c r="F1298" s="5"/>
      <c r="G1298" s="5"/>
      <c r="H1298" s="5"/>
    </row>
    <row r="1299" spans="5:8" x14ac:dyDescent="0.2">
      <c r="E1299" s="5"/>
      <c r="F1299" s="5"/>
      <c r="G1299" s="5"/>
      <c r="H1299" s="5"/>
    </row>
    <row r="1300" spans="5:8" x14ac:dyDescent="0.2">
      <c r="E1300" s="5"/>
      <c r="F1300" s="5"/>
      <c r="G1300" s="5"/>
      <c r="H1300" s="5"/>
    </row>
    <row r="1301" spans="5:8" x14ac:dyDescent="0.2">
      <c r="E1301" s="5"/>
      <c r="F1301" s="5"/>
      <c r="G1301" s="5"/>
      <c r="H1301" s="5"/>
    </row>
    <row r="1302" spans="5:8" x14ac:dyDescent="0.2">
      <c r="E1302" s="5"/>
      <c r="F1302" s="5"/>
      <c r="G1302" s="5"/>
      <c r="H1302" s="5"/>
    </row>
    <row r="1303" spans="5:8" x14ac:dyDescent="0.2">
      <c r="E1303" s="5"/>
      <c r="F1303" s="5"/>
      <c r="G1303" s="5"/>
      <c r="H1303" s="5"/>
    </row>
    <row r="1304" spans="5:8" x14ac:dyDescent="0.2">
      <c r="E1304" s="5"/>
      <c r="F1304" s="5"/>
      <c r="G1304" s="5"/>
      <c r="H1304" s="5"/>
    </row>
    <row r="1305" spans="5:8" x14ac:dyDescent="0.2">
      <c r="E1305" s="5"/>
      <c r="F1305" s="5"/>
      <c r="G1305" s="5"/>
      <c r="H1305" s="5"/>
    </row>
    <row r="1306" spans="5:8" x14ac:dyDescent="0.2">
      <c r="E1306" s="5"/>
      <c r="F1306" s="5"/>
      <c r="G1306" s="5"/>
      <c r="H1306" s="5"/>
    </row>
    <row r="1307" spans="5:8" x14ac:dyDescent="0.2">
      <c r="E1307" s="5"/>
      <c r="F1307" s="5"/>
      <c r="G1307" s="5"/>
      <c r="H1307" s="5"/>
    </row>
    <row r="1308" spans="5:8" x14ac:dyDescent="0.2">
      <c r="E1308" s="5"/>
      <c r="F1308" s="5"/>
      <c r="G1308" s="5"/>
      <c r="H1308" s="5"/>
    </row>
    <row r="1309" spans="5:8" x14ac:dyDescent="0.2">
      <c r="E1309" s="5"/>
      <c r="F1309" s="5"/>
      <c r="G1309" s="5"/>
      <c r="H1309" s="5"/>
    </row>
    <row r="1310" spans="5:8" x14ac:dyDescent="0.2">
      <c r="E1310" s="5"/>
      <c r="F1310" s="5"/>
      <c r="G1310" s="5"/>
      <c r="H1310" s="5"/>
    </row>
    <row r="1311" spans="5:8" x14ac:dyDescent="0.2">
      <c r="E1311" s="5"/>
      <c r="F1311" s="5"/>
      <c r="G1311" s="5"/>
      <c r="H1311" s="5"/>
    </row>
    <row r="1312" spans="5:8" x14ac:dyDescent="0.2">
      <c r="E1312" s="5"/>
      <c r="F1312" s="5"/>
      <c r="G1312" s="5"/>
      <c r="H1312" s="5"/>
    </row>
    <row r="1313" spans="5:8" x14ac:dyDescent="0.2">
      <c r="E1313" s="5"/>
      <c r="F1313" s="5"/>
      <c r="G1313" s="5"/>
      <c r="H1313" s="5"/>
    </row>
    <row r="1314" spans="5:8" x14ac:dyDescent="0.2">
      <c r="E1314" s="5"/>
      <c r="F1314" s="5"/>
      <c r="G1314" s="5"/>
      <c r="H1314" s="5"/>
    </row>
    <row r="1315" spans="5:8" x14ac:dyDescent="0.2">
      <c r="E1315" s="5"/>
      <c r="F1315" s="5"/>
      <c r="G1315" s="5"/>
      <c r="H1315" s="5"/>
    </row>
    <row r="1316" spans="5:8" x14ac:dyDescent="0.2">
      <c r="E1316" s="5"/>
      <c r="F1316" s="5"/>
      <c r="G1316" s="5"/>
      <c r="H1316" s="5"/>
    </row>
    <row r="1317" spans="5:8" x14ac:dyDescent="0.2">
      <c r="E1317" s="5"/>
      <c r="F1317" s="5"/>
      <c r="G1317" s="5"/>
      <c r="H1317" s="5"/>
    </row>
    <row r="1318" spans="5:8" x14ac:dyDescent="0.2">
      <c r="E1318" s="5"/>
      <c r="F1318" s="5"/>
      <c r="G1318" s="5"/>
      <c r="H1318" s="5"/>
    </row>
    <row r="1319" spans="5:8" x14ac:dyDescent="0.2">
      <c r="E1319" s="5"/>
      <c r="F1319" s="5"/>
      <c r="G1319" s="5"/>
      <c r="H1319" s="5"/>
    </row>
    <row r="1320" spans="5:8" x14ac:dyDescent="0.2">
      <c r="E1320" s="5"/>
      <c r="F1320" s="5"/>
      <c r="G1320" s="5"/>
      <c r="H1320" s="5"/>
    </row>
    <row r="1321" spans="5:8" x14ac:dyDescent="0.2">
      <c r="E1321" s="5"/>
      <c r="F1321" s="5"/>
      <c r="G1321" s="5"/>
      <c r="H1321" s="5"/>
    </row>
    <row r="1322" spans="5:8" x14ac:dyDescent="0.2">
      <c r="E1322" s="5"/>
      <c r="F1322" s="5"/>
      <c r="G1322" s="5"/>
      <c r="H1322" s="5"/>
    </row>
    <row r="1323" spans="5:8" x14ac:dyDescent="0.2">
      <c r="E1323" s="5"/>
      <c r="F1323" s="5"/>
      <c r="G1323" s="5"/>
      <c r="H1323" s="5"/>
    </row>
    <row r="1324" spans="5:8" x14ac:dyDescent="0.2">
      <c r="E1324" s="5"/>
      <c r="F1324" s="5"/>
      <c r="G1324" s="5"/>
      <c r="H1324" s="5"/>
    </row>
    <row r="1325" spans="5:8" x14ac:dyDescent="0.2">
      <c r="E1325" s="5"/>
      <c r="F1325" s="5"/>
      <c r="G1325" s="5"/>
      <c r="H1325" s="5"/>
    </row>
    <row r="1326" spans="5:8" x14ac:dyDescent="0.2">
      <c r="E1326" s="5"/>
      <c r="F1326" s="5"/>
      <c r="G1326" s="5"/>
      <c r="H1326" s="5"/>
    </row>
    <row r="1327" spans="5:8" x14ac:dyDescent="0.2">
      <c r="E1327" s="5"/>
      <c r="F1327" s="5"/>
      <c r="G1327" s="5"/>
      <c r="H1327" s="5"/>
    </row>
    <row r="1328" spans="5:8" x14ac:dyDescent="0.2">
      <c r="E1328" s="5"/>
      <c r="F1328" s="5"/>
      <c r="G1328" s="5"/>
      <c r="H1328" s="5"/>
    </row>
    <row r="1329" spans="5:8" x14ac:dyDescent="0.2">
      <c r="E1329" s="5"/>
      <c r="F1329" s="5"/>
      <c r="G1329" s="5"/>
      <c r="H1329" s="5"/>
    </row>
    <row r="1330" spans="5:8" x14ac:dyDescent="0.2">
      <c r="E1330" s="5"/>
      <c r="F1330" s="5"/>
      <c r="G1330" s="5"/>
      <c r="H1330" s="5"/>
    </row>
    <row r="1331" spans="5:8" x14ac:dyDescent="0.2">
      <c r="E1331" s="5"/>
      <c r="F1331" s="5"/>
      <c r="G1331" s="5"/>
      <c r="H1331" s="5"/>
    </row>
    <row r="1332" spans="5:8" x14ac:dyDescent="0.2">
      <c r="E1332" s="5"/>
      <c r="F1332" s="5"/>
      <c r="G1332" s="5"/>
      <c r="H1332" s="5"/>
    </row>
    <row r="1333" spans="5:8" x14ac:dyDescent="0.2">
      <c r="E1333" s="5"/>
      <c r="F1333" s="5"/>
      <c r="G1333" s="5"/>
      <c r="H1333" s="5"/>
    </row>
    <row r="1334" spans="5:8" x14ac:dyDescent="0.2">
      <c r="E1334" s="5"/>
      <c r="F1334" s="5"/>
      <c r="G1334" s="5"/>
      <c r="H1334" s="5"/>
    </row>
    <row r="1335" spans="5:8" x14ac:dyDescent="0.2">
      <c r="E1335" s="5"/>
      <c r="F1335" s="5"/>
      <c r="G1335" s="5"/>
      <c r="H1335" s="5"/>
    </row>
    <row r="1336" spans="5:8" x14ac:dyDescent="0.2">
      <c r="E1336" s="5"/>
      <c r="F1336" s="5"/>
      <c r="G1336" s="5"/>
      <c r="H1336" s="5"/>
    </row>
    <row r="1337" spans="5:8" x14ac:dyDescent="0.2">
      <c r="E1337" s="5"/>
      <c r="F1337" s="5"/>
      <c r="G1337" s="5"/>
      <c r="H1337" s="5"/>
    </row>
    <row r="1338" spans="5:8" x14ac:dyDescent="0.2">
      <c r="E1338" s="5"/>
      <c r="F1338" s="5"/>
      <c r="G1338" s="5"/>
      <c r="H1338" s="5"/>
    </row>
    <row r="1339" spans="5:8" x14ac:dyDescent="0.2">
      <c r="E1339" s="5"/>
      <c r="F1339" s="5"/>
      <c r="G1339" s="5"/>
      <c r="H1339" s="5"/>
    </row>
    <row r="1340" spans="5:8" x14ac:dyDescent="0.2">
      <c r="E1340" s="5"/>
      <c r="F1340" s="5"/>
      <c r="G1340" s="5"/>
      <c r="H1340" s="5"/>
    </row>
    <row r="1341" spans="5:8" x14ac:dyDescent="0.2">
      <c r="E1341" s="5"/>
      <c r="F1341" s="5"/>
      <c r="G1341" s="5"/>
      <c r="H1341" s="5"/>
    </row>
    <row r="1342" spans="5:8" x14ac:dyDescent="0.2">
      <c r="E1342" s="5"/>
      <c r="F1342" s="5"/>
      <c r="G1342" s="5"/>
      <c r="H1342" s="5"/>
    </row>
    <row r="1343" spans="5:8" x14ac:dyDescent="0.2">
      <c r="E1343" s="5"/>
      <c r="F1343" s="5"/>
      <c r="G1343" s="5"/>
      <c r="H1343" s="5"/>
    </row>
    <row r="1344" spans="5:8" x14ac:dyDescent="0.2">
      <c r="E1344" s="5"/>
      <c r="F1344" s="5"/>
      <c r="G1344" s="5"/>
      <c r="H1344" s="5"/>
    </row>
    <row r="1345" spans="5:8" x14ac:dyDescent="0.2">
      <c r="E1345" s="5"/>
      <c r="F1345" s="5"/>
      <c r="G1345" s="5"/>
      <c r="H1345" s="5"/>
    </row>
    <row r="1346" spans="5:8" x14ac:dyDescent="0.2">
      <c r="E1346" s="5"/>
      <c r="F1346" s="5"/>
      <c r="G1346" s="5"/>
      <c r="H1346" s="5"/>
    </row>
    <row r="1347" spans="5:8" x14ac:dyDescent="0.2">
      <c r="E1347" s="5"/>
      <c r="F1347" s="5"/>
      <c r="G1347" s="5"/>
      <c r="H1347" s="5"/>
    </row>
    <row r="1348" spans="5:8" x14ac:dyDescent="0.2">
      <c r="E1348" s="5"/>
      <c r="F1348" s="5"/>
      <c r="G1348" s="5"/>
      <c r="H1348" s="5"/>
    </row>
    <row r="1349" spans="5:8" x14ac:dyDescent="0.2">
      <c r="E1349" s="5"/>
      <c r="F1349" s="5"/>
      <c r="G1349" s="5"/>
      <c r="H1349" s="5"/>
    </row>
    <row r="1350" spans="5:8" x14ac:dyDescent="0.2">
      <c r="E1350" s="5"/>
      <c r="F1350" s="5"/>
      <c r="G1350" s="5"/>
      <c r="H1350" s="5"/>
    </row>
    <row r="1351" spans="5:8" x14ac:dyDescent="0.2">
      <c r="E1351" s="5"/>
      <c r="F1351" s="5"/>
      <c r="G1351" s="5"/>
      <c r="H1351" s="5"/>
    </row>
    <row r="1352" spans="5:8" x14ac:dyDescent="0.2">
      <c r="E1352" s="5"/>
      <c r="F1352" s="5"/>
      <c r="G1352" s="5"/>
      <c r="H1352" s="5"/>
    </row>
    <row r="1353" spans="5:8" x14ac:dyDescent="0.2">
      <c r="E1353" s="5"/>
      <c r="F1353" s="5"/>
      <c r="G1353" s="5"/>
      <c r="H1353" s="5"/>
    </row>
    <row r="1354" spans="5:8" x14ac:dyDescent="0.2">
      <c r="E1354" s="5"/>
      <c r="F1354" s="5"/>
      <c r="G1354" s="5"/>
      <c r="H1354" s="5"/>
    </row>
    <row r="1355" spans="5:8" x14ac:dyDescent="0.2">
      <c r="E1355" s="5"/>
      <c r="F1355" s="5"/>
      <c r="G1355" s="5"/>
      <c r="H1355" s="5"/>
    </row>
    <row r="1356" spans="5:8" x14ac:dyDescent="0.2">
      <c r="E1356" s="5"/>
      <c r="F1356" s="5"/>
      <c r="G1356" s="5"/>
      <c r="H1356" s="5"/>
    </row>
    <row r="1357" spans="5:8" x14ac:dyDescent="0.2">
      <c r="E1357" s="5"/>
      <c r="F1357" s="5"/>
      <c r="G1357" s="5"/>
      <c r="H1357" s="5"/>
    </row>
    <row r="1358" spans="5:8" x14ac:dyDescent="0.2">
      <c r="E1358" s="5"/>
      <c r="F1358" s="5"/>
      <c r="G1358" s="5"/>
      <c r="H1358" s="5"/>
    </row>
    <row r="1359" spans="5:8" x14ac:dyDescent="0.2">
      <c r="E1359" s="5"/>
      <c r="F1359" s="5"/>
      <c r="G1359" s="5"/>
      <c r="H1359" s="5"/>
    </row>
    <row r="1360" spans="5:8" x14ac:dyDescent="0.2">
      <c r="E1360" s="5"/>
      <c r="F1360" s="5"/>
      <c r="G1360" s="5"/>
      <c r="H1360" s="5"/>
    </row>
    <row r="1361" spans="5:8" x14ac:dyDescent="0.2">
      <c r="E1361" s="5"/>
      <c r="F1361" s="5"/>
      <c r="G1361" s="5"/>
      <c r="H1361" s="5"/>
    </row>
    <row r="1362" spans="5:8" x14ac:dyDescent="0.2">
      <c r="E1362" s="5"/>
      <c r="F1362" s="5"/>
      <c r="G1362" s="5"/>
      <c r="H1362" s="5"/>
    </row>
    <row r="1363" spans="5:8" x14ac:dyDescent="0.2">
      <c r="E1363" s="5"/>
      <c r="F1363" s="5"/>
      <c r="G1363" s="5"/>
      <c r="H1363" s="5"/>
    </row>
    <row r="1364" spans="5:8" x14ac:dyDescent="0.2">
      <c r="E1364" s="5"/>
      <c r="F1364" s="5"/>
      <c r="G1364" s="5"/>
      <c r="H1364" s="5"/>
    </row>
    <row r="1365" spans="5:8" x14ac:dyDescent="0.2">
      <c r="E1365" s="5"/>
      <c r="F1365" s="5"/>
      <c r="G1365" s="5"/>
      <c r="H1365" s="5"/>
    </row>
    <row r="1366" spans="5:8" x14ac:dyDescent="0.2">
      <c r="E1366" s="5"/>
      <c r="F1366" s="5"/>
      <c r="G1366" s="5"/>
      <c r="H1366" s="5"/>
    </row>
    <row r="1367" spans="5:8" x14ac:dyDescent="0.2">
      <c r="E1367" s="5"/>
      <c r="F1367" s="5"/>
      <c r="G1367" s="5"/>
      <c r="H1367" s="5"/>
    </row>
    <row r="1368" spans="5:8" x14ac:dyDescent="0.2">
      <c r="E1368" s="5"/>
      <c r="F1368" s="5"/>
      <c r="G1368" s="5"/>
      <c r="H1368" s="5"/>
    </row>
    <row r="1369" spans="5:8" x14ac:dyDescent="0.2">
      <c r="E1369" s="5"/>
      <c r="F1369" s="5"/>
      <c r="G1369" s="5"/>
      <c r="H1369" s="5"/>
    </row>
    <row r="1370" spans="5:8" x14ac:dyDescent="0.2">
      <c r="E1370" s="5"/>
      <c r="F1370" s="5"/>
      <c r="G1370" s="5"/>
      <c r="H1370" s="5"/>
    </row>
    <row r="1371" spans="5:8" x14ac:dyDescent="0.2">
      <c r="E1371" s="5"/>
      <c r="F1371" s="5"/>
      <c r="G1371" s="5"/>
      <c r="H1371" s="5"/>
    </row>
    <row r="1372" spans="5:8" x14ac:dyDescent="0.2">
      <c r="E1372" s="5"/>
      <c r="F1372" s="5"/>
      <c r="G1372" s="5"/>
      <c r="H1372" s="5"/>
    </row>
    <row r="1373" spans="5:8" x14ac:dyDescent="0.2">
      <c r="E1373" s="5"/>
      <c r="F1373" s="5"/>
      <c r="G1373" s="5"/>
      <c r="H1373" s="5"/>
    </row>
    <row r="1374" spans="5:8" x14ac:dyDescent="0.2">
      <c r="E1374" s="5"/>
      <c r="F1374" s="5"/>
      <c r="G1374" s="5"/>
      <c r="H1374" s="5"/>
    </row>
    <row r="1375" spans="5:8" x14ac:dyDescent="0.2">
      <c r="E1375" s="5"/>
      <c r="F1375" s="5"/>
      <c r="G1375" s="5"/>
      <c r="H1375" s="5"/>
    </row>
    <row r="1376" spans="5:8" x14ac:dyDescent="0.2">
      <c r="E1376" s="5"/>
      <c r="F1376" s="5"/>
      <c r="G1376" s="5"/>
      <c r="H1376" s="5"/>
    </row>
    <row r="1377" spans="5:8" x14ac:dyDescent="0.2">
      <c r="E1377" s="5"/>
      <c r="F1377" s="5"/>
      <c r="G1377" s="5"/>
      <c r="H1377" s="5"/>
    </row>
    <row r="1378" spans="5:8" x14ac:dyDescent="0.2">
      <c r="E1378" s="5"/>
      <c r="F1378" s="5"/>
      <c r="G1378" s="5"/>
      <c r="H1378" s="5"/>
    </row>
    <row r="1379" spans="5:8" x14ac:dyDescent="0.2">
      <c r="E1379" s="5"/>
      <c r="F1379" s="5"/>
      <c r="G1379" s="5"/>
      <c r="H1379" s="5"/>
    </row>
    <row r="1380" spans="5:8" x14ac:dyDescent="0.2">
      <c r="E1380" s="5"/>
      <c r="F1380" s="5"/>
      <c r="G1380" s="5"/>
      <c r="H1380" s="5"/>
    </row>
    <row r="1381" spans="5:8" x14ac:dyDescent="0.2">
      <c r="E1381" s="5"/>
      <c r="F1381" s="5"/>
      <c r="G1381" s="5"/>
      <c r="H1381" s="5"/>
    </row>
    <row r="1382" spans="5:8" x14ac:dyDescent="0.2">
      <c r="E1382" s="5"/>
      <c r="F1382" s="5"/>
      <c r="G1382" s="5"/>
      <c r="H1382" s="5"/>
    </row>
    <row r="1383" spans="5:8" x14ac:dyDescent="0.2">
      <c r="E1383" s="5"/>
      <c r="F1383" s="5"/>
      <c r="G1383" s="5"/>
      <c r="H1383" s="5"/>
    </row>
    <row r="1384" spans="5:8" x14ac:dyDescent="0.2">
      <c r="E1384" s="5"/>
      <c r="F1384" s="5"/>
      <c r="G1384" s="5"/>
      <c r="H1384" s="5"/>
    </row>
    <row r="1385" spans="5:8" x14ac:dyDescent="0.2">
      <c r="E1385" s="5"/>
      <c r="F1385" s="5"/>
      <c r="G1385" s="5"/>
      <c r="H1385" s="5"/>
    </row>
    <row r="1386" spans="5:8" x14ac:dyDescent="0.2">
      <c r="E1386" s="5"/>
      <c r="F1386" s="5"/>
      <c r="G1386" s="5"/>
      <c r="H1386" s="5"/>
    </row>
    <row r="1387" spans="5:8" x14ac:dyDescent="0.2">
      <c r="E1387" s="5"/>
      <c r="F1387" s="5"/>
      <c r="G1387" s="5"/>
      <c r="H1387" s="5"/>
    </row>
    <row r="1388" spans="5:8" x14ac:dyDescent="0.2">
      <c r="E1388" s="5"/>
      <c r="F1388" s="5"/>
      <c r="G1388" s="5"/>
      <c r="H1388" s="5"/>
    </row>
    <row r="1389" spans="5:8" x14ac:dyDescent="0.2">
      <c r="E1389" s="5"/>
      <c r="F1389" s="5"/>
      <c r="G1389" s="5"/>
      <c r="H1389" s="5"/>
    </row>
    <row r="1390" spans="5:8" x14ac:dyDescent="0.2">
      <c r="E1390" s="5"/>
      <c r="F1390" s="5"/>
      <c r="G1390" s="5"/>
      <c r="H1390" s="5"/>
    </row>
    <row r="1391" spans="5:8" x14ac:dyDescent="0.2">
      <c r="E1391" s="5"/>
      <c r="F1391" s="5"/>
      <c r="G1391" s="5"/>
      <c r="H1391" s="5"/>
    </row>
    <row r="1392" spans="5:8" x14ac:dyDescent="0.2">
      <c r="E1392" s="5"/>
      <c r="F1392" s="5"/>
      <c r="G1392" s="5"/>
      <c r="H1392" s="5"/>
    </row>
    <row r="1393" spans="5:8" x14ac:dyDescent="0.2">
      <c r="E1393" s="5"/>
      <c r="F1393" s="5"/>
      <c r="G1393" s="5"/>
      <c r="H1393" s="5"/>
    </row>
    <row r="1394" spans="5:8" x14ac:dyDescent="0.2">
      <c r="E1394" s="5"/>
      <c r="F1394" s="5"/>
      <c r="G1394" s="5"/>
      <c r="H1394" s="5"/>
    </row>
    <row r="1395" spans="5:8" x14ac:dyDescent="0.2">
      <c r="E1395" s="5"/>
      <c r="F1395" s="5"/>
      <c r="G1395" s="5"/>
      <c r="H1395" s="5"/>
    </row>
    <row r="1396" spans="5:8" x14ac:dyDescent="0.2">
      <c r="E1396" s="5"/>
      <c r="F1396" s="5"/>
      <c r="G1396" s="5"/>
      <c r="H1396" s="5"/>
    </row>
    <row r="1397" spans="5:8" x14ac:dyDescent="0.2">
      <c r="E1397" s="5"/>
      <c r="F1397" s="5"/>
      <c r="G1397" s="5"/>
      <c r="H1397" s="5"/>
    </row>
    <row r="1398" spans="5:8" x14ac:dyDescent="0.2">
      <c r="E1398" s="5"/>
      <c r="F1398" s="5"/>
      <c r="G1398" s="5"/>
      <c r="H1398" s="5"/>
    </row>
    <row r="1399" spans="5:8" x14ac:dyDescent="0.2">
      <c r="E1399" s="5"/>
      <c r="F1399" s="5"/>
      <c r="G1399" s="5"/>
      <c r="H1399" s="5"/>
    </row>
    <row r="1400" spans="5:8" x14ac:dyDescent="0.2">
      <c r="E1400" s="5"/>
      <c r="F1400" s="5"/>
      <c r="G1400" s="5"/>
      <c r="H1400" s="5"/>
    </row>
    <row r="1401" spans="5:8" x14ac:dyDescent="0.2">
      <c r="E1401" s="5"/>
      <c r="F1401" s="5"/>
      <c r="G1401" s="5"/>
      <c r="H1401" s="5"/>
    </row>
    <row r="1402" spans="5:8" x14ac:dyDescent="0.2">
      <c r="E1402" s="5"/>
      <c r="F1402" s="5"/>
      <c r="G1402" s="5"/>
      <c r="H1402" s="5"/>
    </row>
    <row r="1403" spans="5:8" x14ac:dyDescent="0.2">
      <c r="E1403" s="5"/>
      <c r="F1403" s="5"/>
      <c r="G1403" s="5"/>
      <c r="H1403" s="5"/>
    </row>
    <row r="1404" spans="5:8" x14ac:dyDescent="0.2">
      <c r="E1404" s="5"/>
      <c r="F1404" s="5"/>
      <c r="G1404" s="5"/>
      <c r="H1404" s="5"/>
    </row>
    <row r="1405" spans="5:8" x14ac:dyDescent="0.2">
      <c r="E1405" s="5"/>
      <c r="F1405" s="5"/>
      <c r="G1405" s="5"/>
      <c r="H1405" s="5"/>
    </row>
    <row r="1406" spans="5:8" x14ac:dyDescent="0.2">
      <c r="E1406" s="5"/>
      <c r="F1406" s="5"/>
      <c r="G1406" s="5"/>
      <c r="H1406" s="5"/>
    </row>
    <row r="1407" spans="5:8" x14ac:dyDescent="0.2">
      <c r="E1407" s="5"/>
      <c r="F1407" s="5"/>
      <c r="G1407" s="5"/>
      <c r="H1407" s="5"/>
    </row>
    <row r="1408" spans="5:8" x14ac:dyDescent="0.2">
      <c r="E1408" s="5"/>
      <c r="F1408" s="5"/>
      <c r="G1408" s="5"/>
      <c r="H1408" s="5"/>
    </row>
    <row r="1409" spans="5:8" x14ac:dyDescent="0.2">
      <c r="E1409" s="5"/>
      <c r="F1409" s="5"/>
      <c r="G1409" s="5"/>
      <c r="H1409" s="5"/>
    </row>
    <row r="1410" spans="5:8" x14ac:dyDescent="0.2">
      <c r="E1410" s="5"/>
      <c r="F1410" s="5"/>
      <c r="G1410" s="5"/>
      <c r="H1410" s="5"/>
    </row>
    <row r="1411" spans="5:8" x14ac:dyDescent="0.2">
      <c r="E1411" s="5"/>
      <c r="F1411" s="5"/>
      <c r="G1411" s="5"/>
      <c r="H1411" s="5"/>
    </row>
    <row r="1412" spans="5:8" x14ac:dyDescent="0.2">
      <c r="E1412" s="5"/>
      <c r="F1412" s="5"/>
      <c r="G1412" s="5"/>
      <c r="H1412" s="5"/>
    </row>
    <row r="1413" spans="5:8" x14ac:dyDescent="0.2">
      <c r="E1413" s="5"/>
      <c r="F1413" s="5"/>
      <c r="G1413" s="5"/>
      <c r="H1413" s="5"/>
    </row>
    <row r="1414" spans="5:8" x14ac:dyDescent="0.2">
      <c r="E1414" s="5"/>
      <c r="F1414" s="5"/>
      <c r="G1414" s="5"/>
      <c r="H1414" s="5"/>
    </row>
    <row r="1415" spans="5:8" x14ac:dyDescent="0.2">
      <c r="E1415" s="5"/>
      <c r="F1415" s="5"/>
      <c r="G1415" s="5"/>
      <c r="H1415" s="5"/>
    </row>
    <row r="1416" spans="5:8" x14ac:dyDescent="0.2">
      <c r="E1416" s="5"/>
      <c r="F1416" s="5"/>
      <c r="G1416" s="5"/>
      <c r="H1416" s="5"/>
    </row>
    <row r="1417" spans="5:8" x14ac:dyDescent="0.2">
      <c r="E1417" s="5"/>
      <c r="F1417" s="5"/>
      <c r="G1417" s="5"/>
      <c r="H1417" s="5"/>
    </row>
    <row r="1418" spans="5:8" x14ac:dyDescent="0.2">
      <c r="E1418" s="5"/>
      <c r="F1418" s="5"/>
      <c r="G1418" s="5"/>
      <c r="H1418" s="5"/>
    </row>
    <row r="1419" spans="5:8" x14ac:dyDescent="0.2">
      <c r="E1419" s="5"/>
      <c r="F1419" s="5"/>
      <c r="G1419" s="5"/>
      <c r="H1419" s="5"/>
    </row>
    <row r="1420" spans="5:8" x14ac:dyDescent="0.2">
      <c r="E1420" s="5"/>
      <c r="F1420" s="5"/>
      <c r="G1420" s="5"/>
      <c r="H1420" s="5"/>
    </row>
    <row r="1421" spans="5:8" x14ac:dyDescent="0.2">
      <c r="E1421" s="5"/>
      <c r="F1421" s="5"/>
      <c r="G1421" s="5"/>
      <c r="H1421" s="5"/>
    </row>
    <row r="1422" spans="5:8" x14ac:dyDescent="0.2">
      <c r="E1422" s="5"/>
      <c r="F1422" s="5"/>
      <c r="G1422" s="5"/>
      <c r="H1422" s="5"/>
    </row>
    <row r="1423" spans="5:8" x14ac:dyDescent="0.2">
      <c r="E1423" s="5"/>
      <c r="F1423" s="5"/>
      <c r="G1423" s="5"/>
      <c r="H1423" s="5"/>
    </row>
    <row r="1424" spans="5:8" x14ac:dyDescent="0.2">
      <c r="E1424" s="5"/>
      <c r="F1424" s="5"/>
      <c r="G1424" s="5"/>
      <c r="H1424" s="5"/>
    </row>
    <row r="1425" spans="5:8" x14ac:dyDescent="0.2">
      <c r="E1425" s="5"/>
      <c r="F1425" s="5"/>
      <c r="G1425" s="5"/>
      <c r="H1425" s="5"/>
    </row>
    <row r="1426" spans="5:8" x14ac:dyDescent="0.2">
      <c r="E1426" s="5"/>
      <c r="F1426" s="5"/>
      <c r="G1426" s="5"/>
      <c r="H1426" s="5"/>
    </row>
    <row r="1427" spans="5:8" x14ac:dyDescent="0.2">
      <c r="E1427" s="5"/>
      <c r="F1427" s="5"/>
      <c r="G1427" s="5"/>
      <c r="H1427" s="5"/>
    </row>
    <row r="1428" spans="5:8" x14ac:dyDescent="0.2">
      <c r="E1428" s="5"/>
      <c r="F1428" s="5"/>
      <c r="G1428" s="5"/>
      <c r="H1428" s="5"/>
    </row>
    <row r="1429" spans="5:8" x14ac:dyDescent="0.2">
      <c r="E1429" s="5"/>
      <c r="F1429" s="5"/>
      <c r="G1429" s="5"/>
      <c r="H1429" s="5"/>
    </row>
    <row r="1430" spans="5:8" x14ac:dyDescent="0.2">
      <c r="E1430" s="5"/>
      <c r="F1430" s="5"/>
      <c r="G1430" s="5"/>
      <c r="H1430" s="5"/>
    </row>
    <row r="1431" spans="5:8" x14ac:dyDescent="0.2">
      <c r="E1431" s="5"/>
      <c r="F1431" s="5"/>
      <c r="G1431" s="5"/>
      <c r="H1431" s="5"/>
    </row>
    <row r="1432" spans="5:8" x14ac:dyDescent="0.2">
      <c r="E1432" s="5"/>
      <c r="F1432" s="5"/>
      <c r="G1432" s="5"/>
      <c r="H1432" s="5"/>
    </row>
    <row r="1433" spans="5:8" x14ac:dyDescent="0.2">
      <c r="E1433" s="5"/>
      <c r="F1433" s="5"/>
      <c r="G1433" s="5"/>
      <c r="H1433" s="5"/>
    </row>
    <row r="1434" spans="5:8" x14ac:dyDescent="0.2">
      <c r="E1434" s="5"/>
      <c r="F1434" s="5"/>
      <c r="G1434" s="5"/>
      <c r="H1434" s="5"/>
    </row>
    <row r="1435" spans="5:8" x14ac:dyDescent="0.2">
      <c r="E1435" s="5"/>
      <c r="F1435" s="5"/>
      <c r="G1435" s="5"/>
      <c r="H1435" s="5"/>
    </row>
    <row r="1436" spans="5:8" x14ac:dyDescent="0.2">
      <c r="E1436" s="5"/>
      <c r="F1436" s="5"/>
      <c r="G1436" s="5"/>
      <c r="H1436" s="5"/>
    </row>
    <row r="1437" spans="5:8" x14ac:dyDescent="0.2">
      <c r="E1437" s="5"/>
      <c r="F1437" s="5"/>
      <c r="G1437" s="5"/>
      <c r="H1437" s="5"/>
    </row>
    <row r="1438" spans="5:8" x14ac:dyDescent="0.2">
      <c r="E1438" s="5"/>
      <c r="F1438" s="5"/>
      <c r="G1438" s="5"/>
      <c r="H1438" s="5"/>
    </row>
    <row r="1439" spans="5:8" x14ac:dyDescent="0.2">
      <c r="E1439" s="5"/>
      <c r="F1439" s="5"/>
      <c r="G1439" s="5"/>
      <c r="H1439" s="5"/>
    </row>
    <row r="1440" spans="5:8" x14ac:dyDescent="0.2">
      <c r="E1440" s="5"/>
      <c r="F1440" s="5"/>
      <c r="G1440" s="5"/>
      <c r="H1440" s="5"/>
    </row>
    <row r="1441" spans="5:8" x14ac:dyDescent="0.2">
      <c r="E1441" s="5"/>
      <c r="F1441" s="5"/>
      <c r="G1441" s="5"/>
      <c r="H1441" s="5"/>
    </row>
    <row r="1442" spans="5:8" x14ac:dyDescent="0.2">
      <c r="E1442" s="5"/>
      <c r="F1442" s="5"/>
      <c r="G1442" s="5"/>
      <c r="H1442" s="5"/>
    </row>
    <row r="1443" spans="5:8" x14ac:dyDescent="0.2">
      <c r="E1443" s="5"/>
      <c r="F1443" s="5"/>
      <c r="G1443" s="5"/>
      <c r="H1443" s="5"/>
    </row>
    <row r="1444" spans="5:8" x14ac:dyDescent="0.2">
      <c r="E1444" s="5"/>
      <c r="F1444" s="5"/>
      <c r="G1444" s="5"/>
      <c r="H1444" s="5"/>
    </row>
    <row r="1445" spans="5:8" x14ac:dyDescent="0.2">
      <c r="E1445" s="5"/>
      <c r="F1445" s="5"/>
      <c r="G1445" s="5"/>
      <c r="H1445" s="5"/>
    </row>
    <row r="1446" spans="5:8" x14ac:dyDescent="0.2">
      <c r="E1446" s="5"/>
      <c r="F1446" s="5"/>
      <c r="G1446" s="5"/>
      <c r="H1446" s="5"/>
    </row>
    <row r="1447" spans="5:8" x14ac:dyDescent="0.2">
      <c r="E1447" s="5"/>
      <c r="F1447" s="5"/>
      <c r="G1447" s="5"/>
      <c r="H1447" s="5"/>
    </row>
    <row r="1448" spans="5:8" x14ac:dyDescent="0.2">
      <c r="E1448" s="5"/>
      <c r="F1448" s="5"/>
      <c r="G1448" s="5"/>
      <c r="H1448" s="5"/>
    </row>
    <row r="1449" spans="5:8" x14ac:dyDescent="0.2">
      <c r="E1449" s="5"/>
      <c r="F1449" s="5"/>
      <c r="G1449" s="5"/>
      <c r="H1449" s="5"/>
    </row>
    <row r="1450" spans="5:8" x14ac:dyDescent="0.2">
      <c r="E1450" s="5"/>
      <c r="F1450" s="5"/>
      <c r="G1450" s="5"/>
      <c r="H1450" s="5"/>
    </row>
    <row r="1451" spans="5:8" x14ac:dyDescent="0.2">
      <c r="E1451" s="5"/>
      <c r="F1451" s="5"/>
      <c r="G1451" s="5"/>
      <c r="H1451" s="5"/>
    </row>
    <row r="1452" spans="5:8" x14ac:dyDescent="0.2">
      <c r="E1452" s="5"/>
      <c r="F1452" s="5"/>
      <c r="G1452" s="5"/>
      <c r="H1452" s="5"/>
    </row>
    <row r="1453" spans="5:8" x14ac:dyDescent="0.2">
      <c r="E1453" s="5"/>
      <c r="F1453" s="5"/>
      <c r="G1453" s="5"/>
      <c r="H1453" s="5"/>
    </row>
    <row r="1454" spans="5:8" x14ac:dyDescent="0.2">
      <c r="E1454" s="5"/>
      <c r="F1454" s="5"/>
      <c r="G1454" s="5"/>
      <c r="H1454" s="5"/>
    </row>
    <row r="1455" spans="5:8" x14ac:dyDescent="0.2">
      <c r="E1455" s="5"/>
      <c r="F1455" s="5"/>
      <c r="G1455" s="5"/>
      <c r="H1455" s="5"/>
    </row>
    <row r="1456" spans="5:8" x14ac:dyDescent="0.2">
      <c r="E1456" s="5"/>
      <c r="F1456" s="5"/>
      <c r="G1456" s="5"/>
      <c r="H1456" s="5"/>
    </row>
    <row r="1457" spans="5:8" x14ac:dyDescent="0.2">
      <c r="E1457" s="5"/>
      <c r="F1457" s="5"/>
      <c r="G1457" s="5"/>
      <c r="H1457" s="5"/>
    </row>
    <row r="1458" spans="5:8" x14ac:dyDescent="0.2">
      <c r="E1458" s="5"/>
      <c r="F1458" s="5"/>
      <c r="G1458" s="5"/>
      <c r="H1458" s="5"/>
    </row>
    <row r="1459" spans="5:8" x14ac:dyDescent="0.2">
      <c r="E1459" s="5"/>
      <c r="F1459" s="5"/>
      <c r="G1459" s="5"/>
      <c r="H1459" s="5"/>
    </row>
    <row r="1460" spans="5:8" x14ac:dyDescent="0.2">
      <c r="E1460" s="5"/>
      <c r="F1460" s="5"/>
      <c r="G1460" s="5"/>
      <c r="H1460" s="5"/>
    </row>
    <row r="1461" spans="5:8" x14ac:dyDescent="0.2">
      <c r="E1461" s="5"/>
      <c r="F1461" s="5"/>
      <c r="G1461" s="5"/>
      <c r="H1461" s="5"/>
    </row>
    <row r="1462" spans="5:8" x14ac:dyDescent="0.2">
      <c r="E1462" s="5"/>
      <c r="F1462" s="5"/>
      <c r="G1462" s="5"/>
      <c r="H1462" s="5"/>
    </row>
    <row r="1463" spans="5:8" x14ac:dyDescent="0.2">
      <c r="E1463" s="5"/>
      <c r="F1463" s="5"/>
      <c r="G1463" s="5"/>
      <c r="H1463" s="5"/>
    </row>
    <row r="1464" spans="5:8" x14ac:dyDescent="0.2">
      <c r="E1464" s="5"/>
      <c r="F1464" s="5"/>
      <c r="G1464" s="5"/>
      <c r="H1464" s="5"/>
    </row>
    <row r="1465" spans="5:8" x14ac:dyDescent="0.2">
      <c r="E1465" s="5"/>
      <c r="F1465" s="5"/>
      <c r="G1465" s="5"/>
      <c r="H1465" s="5"/>
    </row>
    <row r="1466" spans="5:8" x14ac:dyDescent="0.2">
      <c r="E1466" s="5"/>
      <c r="F1466" s="5"/>
      <c r="G1466" s="5"/>
      <c r="H1466" s="5"/>
    </row>
    <row r="1467" spans="5:8" x14ac:dyDescent="0.2">
      <c r="E1467" s="5"/>
      <c r="F1467" s="5"/>
      <c r="G1467" s="5"/>
      <c r="H1467" s="5"/>
    </row>
    <row r="1468" spans="5:8" x14ac:dyDescent="0.2">
      <c r="E1468" s="5"/>
      <c r="F1468" s="5"/>
      <c r="G1468" s="5"/>
      <c r="H1468" s="5"/>
    </row>
    <row r="1469" spans="5:8" x14ac:dyDescent="0.2">
      <c r="E1469" s="5"/>
      <c r="F1469" s="5"/>
      <c r="G1469" s="5"/>
      <c r="H1469" s="5"/>
    </row>
    <row r="1470" spans="5:8" x14ac:dyDescent="0.2">
      <c r="E1470" s="5"/>
      <c r="F1470" s="5"/>
      <c r="G1470" s="5"/>
      <c r="H1470" s="5"/>
    </row>
    <row r="1471" spans="5:8" x14ac:dyDescent="0.2">
      <c r="E1471" s="5"/>
      <c r="F1471" s="5"/>
      <c r="G1471" s="5"/>
      <c r="H1471" s="5"/>
    </row>
    <row r="1472" spans="5:8" x14ac:dyDescent="0.2">
      <c r="E1472" s="5"/>
      <c r="F1472" s="5"/>
      <c r="G1472" s="5"/>
      <c r="H1472" s="5"/>
    </row>
    <row r="1473" spans="5:8" x14ac:dyDescent="0.2">
      <c r="E1473" s="5"/>
      <c r="F1473" s="5"/>
      <c r="G1473" s="5"/>
      <c r="H1473" s="5"/>
    </row>
    <row r="1474" spans="5:8" x14ac:dyDescent="0.2">
      <c r="E1474" s="5"/>
      <c r="F1474" s="5"/>
      <c r="G1474" s="5"/>
      <c r="H1474" s="5"/>
    </row>
    <row r="1475" spans="5:8" x14ac:dyDescent="0.2">
      <c r="E1475" s="5"/>
      <c r="F1475" s="5"/>
      <c r="G1475" s="5"/>
      <c r="H1475" s="5"/>
    </row>
    <row r="1476" spans="5:8" x14ac:dyDescent="0.2">
      <c r="E1476" s="5"/>
      <c r="F1476" s="5"/>
      <c r="G1476" s="5"/>
      <c r="H1476" s="5"/>
    </row>
    <row r="1477" spans="5:8" x14ac:dyDescent="0.2">
      <c r="E1477" s="5"/>
      <c r="F1477" s="5"/>
      <c r="G1477" s="5"/>
      <c r="H1477" s="5"/>
    </row>
    <row r="1478" spans="5:8" x14ac:dyDescent="0.2">
      <c r="E1478" s="5"/>
      <c r="F1478" s="5"/>
      <c r="G1478" s="5"/>
      <c r="H1478" s="5"/>
    </row>
    <row r="1479" spans="5:8" x14ac:dyDescent="0.2">
      <c r="E1479" s="5"/>
      <c r="F1479" s="5"/>
      <c r="G1479" s="5"/>
      <c r="H1479" s="5"/>
    </row>
    <row r="1480" spans="5:8" x14ac:dyDescent="0.2">
      <c r="E1480" s="5"/>
      <c r="F1480" s="5"/>
      <c r="G1480" s="5"/>
      <c r="H1480" s="5"/>
    </row>
    <row r="1481" spans="5:8" x14ac:dyDescent="0.2">
      <c r="E1481" s="5"/>
      <c r="F1481" s="5"/>
      <c r="G1481" s="5"/>
      <c r="H1481" s="5"/>
    </row>
    <row r="1482" spans="5:8" x14ac:dyDescent="0.2">
      <c r="E1482" s="5"/>
      <c r="F1482" s="5"/>
      <c r="G1482" s="5"/>
      <c r="H1482" s="5"/>
    </row>
    <row r="1483" spans="5:8" x14ac:dyDescent="0.2">
      <c r="E1483" s="5"/>
      <c r="F1483" s="5"/>
      <c r="G1483" s="5"/>
      <c r="H1483" s="5"/>
    </row>
    <row r="1484" spans="5:8" x14ac:dyDescent="0.2">
      <c r="E1484" s="5"/>
      <c r="F1484" s="5"/>
      <c r="G1484" s="5"/>
      <c r="H1484" s="5"/>
    </row>
    <row r="1485" spans="5:8" x14ac:dyDescent="0.2">
      <c r="E1485" s="5"/>
      <c r="F1485" s="5"/>
      <c r="G1485" s="5"/>
      <c r="H1485" s="5"/>
    </row>
    <row r="1486" spans="5:8" x14ac:dyDescent="0.2">
      <c r="E1486" s="5"/>
      <c r="F1486" s="5"/>
      <c r="G1486" s="5"/>
      <c r="H1486" s="5"/>
    </row>
    <row r="1487" spans="5:8" x14ac:dyDescent="0.2">
      <c r="E1487" s="5"/>
      <c r="F1487" s="5"/>
      <c r="G1487" s="5"/>
      <c r="H1487" s="5"/>
    </row>
    <row r="1488" spans="5:8" x14ac:dyDescent="0.2">
      <c r="E1488" s="5"/>
      <c r="F1488" s="5"/>
      <c r="G1488" s="5"/>
      <c r="H1488" s="5"/>
    </row>
    <row r="1489" spans="5:8" x14ac:dyDescent="0.2">
      <c r="E1489" s="5"/>
      <c r="F1489" s="5"/>
      <c r="G1489" s="5"/>
      <c r="H1489" s="5"/>
    </row>
    <row r="1490" spans="5:8" x14ac:dyDescent="0.2">
      <c r="E1490" s="5"/>
      <c r="F1490" s="5"/>
      <c r="G1490" s="5"/>
      <c r="H1490" s="5"/>
    </row>
    <row r="1491" spans="5:8" x14ac:dyDescent="0.2">
      <c r="E1491" s="5"/>
      <c r="F1491" s="5"/>
      <c r="G1491" s="5"/>
      <c r="H1491" s="5"/>
    </row>
    <row r="1492" spans="5:8" x14ac:dyDescent="0.2">
      <c r="E1492" s="5"/>
      <c r="F1492" s="5"/>
      <c r="G1492" s="5"/>
      <c r="H1492" s="5"/>
    </row>
    <row r="1493" spans="5:8" x14ac:dyDescent="0.2">
      <c r="E1493" s="5"/>
      <c r="F1493" s="5"/>
      <c r="G1493" s="5"/>
      <c r="H1493" s="5"/>
    </row>
    <row r="1494" spans="5:8" x14ac:dyDescent="0.2">
      <c r="E1494" s="5"/>
      <c r="F1494" s="5"/>
      <c r="G1494" s="5"/>
      <c r="H1494" s="5"/>
    </row>
    <row r="1495" spans="5:8" x14ac:dyDescent="0.2">
      <c r="E1495" s="5"/>
      <c r="F1495" s="5"/>
      <c r="G1495" s="5"/>
      <c r="H1495" s="5"/>
    </row>
    <row r="1496" spans="5:8" x14ac:dyDescent="0.2">
      <c r="E1496" s="5"/>
      <c r="F1496" s="5"/>
      <c r="G1496" s="5"/>
      <c r="H1496" s="5"/>
    </row>
    <row r="1497" spans="5:8" x14ac:dyDescent="0.2">
      <c r="E1497" s="5"/>
      <c r="F1497" s="5"/>
      <c r="G1497" s="5"/>
      <c r="H1497" s="5"/>
    </row>
    <row r="1498" spans="5:8" x14ac:dyDescent="0.2">
      <c r="E1498" s="5"/>
      <c r="F1498" s="5"/>
      <c r="G1498" s="5"/>
      <c r="H1498" s="5"/>
    </row>
    <row r="1499" spans="5:8" x14ac:dyDescent="0.2">
      <c r="E1499" s="5"/>
      <c r="F1499" s="5"/>
      <c r="G1499" s="5"/>
      <c r="H1499" s="5"/>
    </row>
    <row r="1500" spans="5:8" x14ac:dyDescent="0.2">
      <c r="E1500" s="5"/>
      <c r="F1500" s="5"/>
      <c r="G1500" s="5"/>
      <c r="H1500" s="5"/>
    </row>
    <row r="1501" spans="5:8" x14ac:dyDescent="0.2">
      <c r="E1501" s="5"/>
      <c r="F1501" s="5"/>
      <c r="G1501" s="5"/>
      <c r="H1501" s="5"/>
    </row>
    <row r="1502" spans="5:8" x14ac:dyDescent="0.2">
      <c r="E1502" s="5"/>
      <c r="F1502" s="5"/>
      <c r="G1502" s="5"/>
      <c r="H1502" s="5"/>
    </row>
    <row r="1503" spans="5:8" x14ac:dyDescent="0.2">
      <c r="E1503" s="5"/>
      <c r="F1503" s="5"/>
      <c r="G1503" s="5"/>
      <c r="H1503" s="5"/>
    </row>
    <row r="1504" spans="5:8" x14ac:dyDescent="0.2">
      <c r="E1504" s="5"/>
      <c r="F1504" s="5"/>
      <c r="G1504" s="5"/>
      <c r="H1504" s="5"/>
    </row>
    <row r="1505" spans="5:8" x14ac:dyDescent="0.2">
      <c r="E1505" s="5"/>
      <c r="F1505" s="5"/>
      <c r="G1505" s="5"/>
      <c r="H1505" s="5"/>
    </row>
    <row r="1506" spans="5:8" x14ac:dyDescent="0.2">
      <c r="E1506" s="5"/>
      <c r="F1506" s="5"/>
      <c r="G1506" s="5"/>
      <c r="H1506" s="5"/>
    </row>
    <row r="1507" spans="5:8" x14ac:dyDescent="0.2">
      <c r="E1507" s="5"/>
      <c r="F1507" s="5"/>
      <c r="G1507" s="5"/>
      <c r="H1507" s="5"/>
    </row>
    <row r="1508" spans="5:8" x14ac:dyDescent="0.2">
      <c r="E1508" s="5"/>
      <c r="F1508" s="5"/>
      <c r="G1508" s="5"/>
      <c r="H1508" s="5"/>
    </row>
    <row r="1509" spans="5:8" x14ac:dyDescent="0.2">
      <c r="E1509" s="5"/>
      <c r="F1509" s="5"/>
      <c r="G1509" s="5"/>
      <c r="H1509" s="5"/>
    </row>
    <row r="1510" spans="5:8" x14ac:dyDescent="0.2">
      <c r="E1510" s="5"/>
      <c r="F1510" s="5"/>
      <c r="G1510" s="5"/>
      <c r="H1510" s="5"/>
    </row>
    <row r="1511" spans="5:8" x14ac:dyDescent="0.2">
      <c r="E1511" s="5"/>
      <c r="F1511" s="5"/>
      <c r="G1511" s="5"/>
      <c r="H1511" s="5"/>
    </row>
    <row r="1512" spans="5:8" x14ac:dyDescent="0.2">
      <c r="E1512" s="5"/>
      <c r="F1512" s="5"/>
      <c r="G1512" s="5"/>
      <c r="H1512" s="5"/>
    </row>
    <row r="1513" spans="5:8" x14ac:dyDescent="0.2">
      <c r="E1513" s="5"/>
      <c r="F1513" s="5"/>
      <c r="G1513" s="5"/>
      <c r="H1513" s="5"/>
    </row>
    <row r="1514" spans="5:8" x14ac:dyDescent="0.2">
      <c r="E1514" s="5"/>
      <c r="F1514" s="5"/>
      <c r="G1514" s="5"/>
      <c r="H1514" s="5"/>
    </row>
    <row r="1515" spans="5:8" x14ac:dyDescent="0.2">
      <c r="E1515" s="5"/>
      <c r="F1515" s="5"/>
      <c r="G1515" s="5"/>
      <c r="H1515" s="5"/>
    </row>
    <row r="1516" spans="5:8" x14ac:dyDescent="0.2">
      <c r="E1516" s="5"/>
      <c r="F1516" s="5"/>
      <c r="G1516" s="5"/>
      <c r="H1516" s="5"/>
    </row>
    <row r="1517" spans="5:8" x14ac:dyDescent="0.2">
      <c r="E1517" s="5"/>
      <c r="F1517" s="5"/>
      <c r="G1517" s="5"/>
      <c r="H1517" s="5"/>
    </row>
    <row r="1518" spans="5:8" x14ac:dyDescent="0.2">
      <c r="E1518" s="5"/>
      <c r="F1518" s="5"/>
      <c r="G1518" s="5"/>
      <c r="H1518" s="5"/>
    </row>
    <row r="1519" spans="5:8" x14ac:dyDescent="0.2">
      <c r="E1519" s="5"/>
      <c r="F1519" s="5"/>
      <c r="G1519" s="5"/>
      <c r="H1519" s="5"/>
    </row>
    <row r="1520" spans="5:8" x14ac:dyDescent="0.2">
      <c r="E1520" s="5"/>
      <c r="F1520" s="5"/>
      <c r="G1520" s="5"/>
      <c r="H1520" s="5"/>
    </row>
    <row r="1521" spans="5:8" x14ac:dyDescent="0.2">
      <c r="E1521" s="5"/>
      <c r="F1521" s="5"/>
      <c r="G1521" s="5"/>
      <c r="H1521" s="5"/>
    </row>
    <row r="1522" spans="5:8" x14ac:dyDescent="0.2">
      <c r="E1522" s="5"/>
      <c r="F1522" s="5"/>
      <c r="G1522" s="5"/>
      <c r="H1522" s="5"/>
    </row>
    <row r="1523" spans="5:8" x14ac:dyDescent="0.2">
      <c r="E1523" s="5"/>
      <c r="F1523" s="5"/>
      <c r="G1523" s="5"/>
      <c r="H1523" s="5"/>
    </row>
    <row r="1524" spans="5:8" x14ac:dyDescent="0.2">
      <c r="E1524" s="5"/>
      <c r="F1524" s="5"/>
      <c r="G1524" s="5"/>
      <c r="H1524" s="5"/>
    </row>
    <row r="1525" spans="5:8" x14ac:dyDescent="0.2">
      <c r="E1525" s="5"/>
      <c r="F1525" s="5"/>
      <c r="G1525" s="5"/>
      <c r="H1525" s="5"/>
    </row>
    <row r="1526" spans="5:8" x14ac:dyDescent="0.2">
      <c r="E1526" s="5"/>
      <c r="F1526" s="5"/>
      <c r="G1526" s="5"/>
      <c r="H1526" s="5"/>
    </row>
    <row r="1527" spans="5:8" x14ac:dyDescent="0.2">
      <c r="E1527" s="5"/>
      <c r="F1527" s="5"/>
      <c r="G1527" s="5"/>
      <c r="H1527" s="5"/>
    </row>
    <row r="1528" spans="5:8" x14ac:dyDescent="0.2">
      <c r="E1528" s="5"/>
      <c r="F1528" s="5"/>
      <c r="G1528" s="5"/>
      <c r="H1528" s="5"/>
    </row>
    <row r="1529" spans="5:8" x14ac:dyDescent="0.2">
      <c r="E1529" s="5"/>
      <c r="F1529" s="5"/>
      <c r="G1529" s="5"/>
      <c r="H1529" s="5"/>
    </row>
    <row r="1530" spans="5:8" x14ac:dyDescent="0.2">
      <c r="E1530" s="5"/>
      <c r="F1530" s="5"/>
      <c r="G1530" s="5"/>
      <c r="H1530" s="5"/>
    </row>
    <row r="1531" spans="5:8" x14ac:dyDescent="0.2">
      <c r="E1531" s="5"/>
      <c r="F1531" s="5"/>
      <c r="G1531" s="5"/>
      <c r="H1531" s="5"/>
    </row>
    <row r="1532" spans="5:8" x14ac:dyDescent="0.2">
      <c r="E1532" s="5"/>
      <c r="F1532" s="5"/>
      <c r="G1532" s="5"/>
      <c r="H1532" s="5"/>
    </row>
    <row r="1533" spans="5:8" x14ac:dyDescent="0.2">
      <c r="E1533" s="5"/>
      <c r="F1533" s="5"/>
      <c r="G1533" s="5"/>
      <c r="H1533" s="5"/>
    </row>
    <row r="1534" spans="5:8" x14ac:dyDescent="0.2">
      <c r="E1534" s="5"/>
      <c r="F1534" s="5"/>
      <c r="G1534" s="5"/>
      <c r="H1534" s="5"/>
    </row>
    <row r="1535" spans="5:8" x14ac:dyDescent="0.2">
      <c r="E1535" s="5"/>
      <c r="F1535" s="5"/>
      <c r="G1535" s="5"/>
      <c r="H1535" s="5"/>
    </row>
    <row r="1536" spans="5:8" x14ac:dyDescent="0.2">
      <c r="E1536" s="5"/>
      <c r="F1536" s="5"/>
      <c r="G1536" s="5"/>
      <c r="H1536" s="5"/>
    </row>
    <row r="1537" spans="5:8" x14ac:dyDescent="0.2">
      <c r="E1537" s="5"/>
      <c r="F1537" s="5"/>
      <c r="G1537" s="5"/>
      <c r="H1537" s="5"/>
    </row>
    <row r="1538" spans="5:8" x14ac:dyDescent="0.2">
      <c r="E1538" s="5"/>
      <c r="F1538" s="5"/>
      <c r="G1538" s="5"/>
      <c r="H1538" s="5"/>
    </row>
    <row r="1539" spans="5:8" x14ac:dyDescent="0.2">
      <c r="E1539" s="5"/>
      <c r="F1539" s="5"/>
      <c r="G1539" s="5"/>
      <c r="H1539" s="5"/>
    </row>
    <row r="1540" spans="5:8" x14ac:dyDescent="0.2">
      <c r="E1540" s="5"/>
      <c r="F1540" s="5"/>
      <c r="G1540" s="5"/>
      <c r="H1540" s="5"/>
    </row>
    <row r="1541" spans="5:8" x14ac:dyDescent="0.2">
      <c r="E1541" s="5"/>
      <c r="F1541" s="5"/>
      <c r="G1541" s="5"/>
      <c r="H1541" s="5"/>
    </row>
    <row r="1542" spans="5:8" x14ac:dyDescent="0.2">
      <c r="E1542" s="5"/>
      <c r="F1542" s="5"/>
      <c r="G1542" s="5"/>
      <c r="H1542" s="5"/>
    </row>
    <row r="1543" spans="5:8" x14ac:dyDescent="0.2">
      <c r="E1543" s="5"/>
      <c r="F1543" s="5"/>
      <c r="G1543" s="5"/>
      <c r="H1543" s="5"/>
    </row>
    <row r="1544" spans="5:8" x14ac:dyDescent="0.2">
      <c r="E1544" s="5"/>
      <c r="F1544" s="5"/>
      <c r="G1544" s="5"/>
      <c r="H1544" s="5"/>
    </row>
    <row r="1545" spans="5:8" x14ac:dyDescent="0.2">
      <c r="E1545" s="5"/>
      <c r="F1545" s="5"/>
      <c r="G1545" s="5"/>
      <c r="H1545" s="5"/>
    </row>
    <row r="1546" spans="5:8" x14ac:dyDescent="0.2">
      <c r="E1546" s="5"/>
      <c r="F1546" s="5"/>
      <c r="G1546" s="5"/>
      <c r="H1546" s="5"/>
    </row>
    <row r="1547" spans="5:8" x14ac:dyDescent="0.2">
      <c r="E1547" s="5"/>
      <c r="F1547" s="5"/>
      <c r="G1547" s="5"/>
      <c r="H1547" s="5"/>
    </row>
    <row r="1548" spans="5:8" x14ac:dyDescent="0.2">
      <c r="E1548" s="5"/>
      <c r="F1548" s="5"/>
      <c r="G1548" s="5"/>
      <c r="H1548" s="5"/>
    </row>
    <row r="1549" spans="5:8" x14ac:dyDescent="0.2">
      <c r="E1549" s="5"/>
      <c r="F1549" s="5"/>
      <c r="G1549" s="5"/>
      <c r="H1549" s="5"/>
    </row>
    <row r="1550" spans="5:8" x14ac:dyDescent="0.2">
      <c r="E1550" s="5"/>
      <c r="F1550" s="5"/>
      <c r="G1550" s="5"/>
      <c r="H1550" s="5"/>
    </row>
    <row r="1551" spans="5:8" x14ac:dyDescent="0.2">
      <c r="E1551" s="5"/>
      <c r="F1551" s="5"/>
      <c r="G1551" s="5"/>
      <c r="H1551" s="5"/>
    </row>
    <row r="1552" spans="5:8" x14ac:dyDescent="0.2">
      <c r="E1552" s="5"/>
      <c r="F1552" s="5"/>
      <c r="G1552" s="5"/>
      <c r="H1552" s="5"/>
    </row>
    <row r="1553" spans="5:8" x14ac:dyDescent="0.2">
      <c r="E1553" s="5"/>
      <c r="F1553" s="5"/>
      <c r="G1553" s="5"/>
      <c r="H1553" s="5"/>
    </row>
    <row r="1554" spans="5:8" x14ac:dyDescent="0.2">
      <c r="E1554" s="5"/>
      <c r="F1554" s="5"/>
      <c r="G1554" s="5"/>
      <c r="H1554" s="5"/>
    </row>
    <row r="1555" spans="5:8" x14ac:dyDescent="0.2">
      <c r="E1555" s="5"/>
      <c r="F1555" s="5"/>
      <c r="G1555" s="5"/>
      <c r="H1555" s="5"/>
    </row>
    <row r="1556" spans="5:8" x14ac:dyDescent="0.2">
      <c r="E1556" s="5"/>
      <c r="F1556" s="5"/>
      <c r="G1556" s="5"/>
      <c r="H1556" s="5"/>
    </row>
    <row r="1557" spans="5:8" x14ac:dyDescent="0.2">
      <c r="E1557" s="5"/>
      <c r="F1557" s="5"/>
      <c r="G1557" s="5"/>
      <c r="H1557" s="5"/>
    </row>
    <row r="1558" spans="5:8" x14ac:dyDescent="0.2">
      <c r="E1558" s="5"/>
      <c r="F1558" s="5"/>
      <c r="G1558" s="5"/>
      <c r="H1558" s="5"/>
    </row>
    <row r="1559" spans="5:8" x14ac:dyDescent="0.2">
      <c r="E1559" s="5"/>
      <c r="F1559" s="5"/>
      <c r="G1559" s="5"/>
      <c r="H1559" s="5"/>
    </row>
    <row r="1560" spans="5:8" x14ac:dyDescent="0.2">
      <c r="E1560" s="5"/>
      <c r="F1560" s="5"/>
      <c r="G1560" s="5"/>
      <c r="H1560" s="5"/>
    </row>
    <row r="1561" spans="5:8" x14ac:dyDescent="0.2">
      <c r="E1561" s="5"/>
      <c r="F1561" s="5"/>
      <c r="G1561" s="5"/>
      <c r="H1561" s="5"/>
    </row>
    <row r="1562" spans="5:8" x14ac:dyDescent="0.2">
      <c r="E1562" s="5"/>
      <c r="F1562" s="5"/>
      <c r="G1562" s="5"/>
      <c r="H1562" s="5"/>
    </row>
    <row r="1563" spans="5:8" x14ac:dyDescent="0.2">
      <c r="E1563" s="5"/>
      <c r="F1563" s="5"/>
      <c r="G1563" s="5"/>
      <c r="H1563" s="5"/>
    </row>
    <row r="1564" spans="5:8" x14ac:dyDescent="0.2">
      <c r="E1564" s="5"/>
      <c r="F1564" s="5"/>
      <c r="G1564" s="5"/>
      <c r="H1564" s="5"/>
    </row>
    <row r="1565" spans="5:8" x14ac:dyDescent="0.2">
      <c r="E1565" s="5"/>
      <c r="F1565" s="5"/>
      <c r="G1565" s="5"/>
      <c r="H1565" s="5"/>
    </row>
    <row r="1566" spans="5:8" x14ac:dyDescent="0.2">
      <c r="E1566" s="5"/>
      <c r="F1566" s="5"/>
      <c r="G1566" s="5"/>
      <c r="H1566" s="5"/>
    </row>
    <row r="1567" spans="5:8" x14ac:dyDescent="0.2">
      <c r="E1567" s="5"/>
      <c r="F1567" s="5"/>
      <c r="G1567" s="5"/>
      <c r="H1567" s="5"/>
    </row>
    <row r="1568" spans="5:8" x14ac:dyDescent="0.2">
      <c r="E1568" s="5"/>
      <c r="F1568" s="5"/>
      <c r="G1568" s="5"/>
      <c r="H1568" s="5"/>
    </row>
    <row r="1569" spans="5:8" x14ac:dyDescent="0.2">
      <c r="E1569" s="5"/>
      <c r="F1569" s="5"/>
      <c r="G1569" s="5"/>
      <c r="H1569" s="5"/>
    </row>
    <row r="1570" spans="5:8" x14ac:dyDescent="0.2">
      <c r="E1570" s="5"/>
      <c r="F1570" s="5"/>
      <c r="G1570" s="5"/>
      <c r="H1570" s="5"/>
    </row>
    <row r="1571" spans="5:8" x14ac:dyDescent="0.2">
      <c r="E1571" s="5"/>
      <c r="F1571" s="5"/>
      <c r="G1571" s="5"/>
      <c r="H1571" s="5"/>
    </row>
    <row r="1572" spans="5:8" x14ac:dyDescent="0.2">
      <c r="E1572" s="5"/>
      <c r="F1572" s="5"/>
      <c r="G1572" s="5"/>
      <c r="H1572" s="5"/>
    </row>
    <row r="1573" spans="5:8" x14ac:dyDescent="0.2">
      <c r="E1573" s="5"/>
      <c r="F1573" s="5"/>
      <c r="G1573" s="5"/>
      <c r="H1573" s="5"/>
    </row>
    <row r="1574" spans="5:8" x14ac:dyDescent="0.2">
      <c r="E1574" s="5"/>
      <c r="F1574" s="5"/>
      <c r="G1574" s="5"/>
      <c r="H1574" s="5"/>
    </row>
    <row r="1575" spans="5:8" x14ac:dyDescent="0.2">
      <c r="E1575" s="5"/>
      <c r="F1575" s="5"/>
      <c r="G1575" s="5"/>
      <c r="H1575" s="5"/>
    </row>
    <row r="1576" spans="5:8" x14ac:dyDescent="0.2">
      <c r="E1576" s="5"/>
      <c r="F1576" s="5"/>
      <c r="G1576" s="5"/>
      <c r="H1576" s="5"/>
    </row>
    <row r="1577" spans="5:8" x14ac:dyDescent="0.2">
      <c r="E1577" s="5"/>
      <c r="F1577" s="5"/>
      <c r="G1577" s="5"/>
      <c r="H1577" s="5"/>
    </row>
    <row r="1578" spans="5:8" x14ac:dyDescent="0.2">
      <c r="E1578" s="5"/>
      <c r="F1578" s="5"/>
      <c r="G1578" s="5"/>
      <c r="H1578" s="5"/>
    </row>
    <row r="1579" spans="5:8" x14ac:dyDescent="0.2">
      <c r="E1579" s="5"/>
      <c r="F1579" s="5"/>
      <c r="G1579" s="5"/>
      <c r="H1579" s="5"/>
    </row>
    <row r="1580" spans="5:8" x14ac:dyDescent="0.2">
      <c r="E1580" s="5"/>
      <c r="F1580" s="5"/>
      <c r="G1580" s="5"/>
      <c r="H1580" s="5"/>
    </row>
    <row r="1581" spans="5:8" x14ac:dyDescent="0.2">
      <c r="E1581" s="5"/>
      <c r="F1581" s="5"/>
      <c r="G1581" s="5"/>
      <c r="H1581" s="5"/>
    </row>
    <row r="1582" spans="5:8" x14ac:dyDescent="0.2">
      <c r="E1582" s="5"/>
      <c r="F1582" s="5"/>
      <c r="G1582" s="5"/>
      <c r="H1582" s="5"/>
    </row>
    <row r="1583" spans="5:8" x14ac:dyDescent="0.2">
      <c r="E1583" s="5"/>
      <c r="F1583" s="5"/>
      <c r="G1583" s="5"/>
      <c r="H1583" s="5"/>
    </row>
    <row r="1584" spans="5:8" x14ac:dyDescent="0.2">
      <c r="E1584" s="5"/>
      <c r="F1584" s="5"/>
      <c r="G1584" s="5"/>
      <c r="H1584" s="5"/>
    </row>
    <row r="1585" spans="5:8" x14ac:dyDescent="0.2">
      <c r="E1585" s="5"/>
      <c r="F1585" s="5"/>
      <c r="G1585" s="5"/>
      <c r="H1585" s="5"/>
    </row>
    <row r="1586" spans="5:8" x14ac:dyDescent="0.2">
      <c r="E1586" s="5"/>
      <c r="F1586" s="5"/>
      <c r="G1586" s="5"/>
      <c r="H1586" s="5"/>
    </row>
    <row r="1587" spans="5:8" x14ac:dyDescent="0.2">
      <c r="E1587" s="5"/>
      <c r="F1587" s="5"/>
      <c r="G1587" s="5"/>
      <c r="H1587" s="5"/>
    </row>
    <row r="1588" spans="5:8" x14ac:dyDescent="0.2">
      <c r="E1588" s="5"/>
      <c r="F1588" s="5"/>
      <c r="G1588" s="5"/>
      <c r="H1588" s="5"/>
    </row>
    <row r="1589" spans="5:8" x14ac:dyDescent="0.2">
      <c r="E1589" s="5"/>
      <c r="F1589" s="5"/>
      <c r="G1589" s="5"/>
      <c r="H1589" s="5"/>
    </row>
    <row r="1590" spans="5:8" x14ac:dyDescent="0.2">
      <c r="E1590" s="5"/>
      <c r="F1590" s="5"/>
      <c r="G1590" s="5"/>
      <c r="H1590" s="5"/>
    </row>
    <row r="1591" spans="5:8" x14ac:dyDescent="0.2">
      <c r="E1591" s="5"/>
      <c r="F1591" s="5"/>
      <c r="G1591" s="5"/>
      <c r="H1591" s="5"/>
    </row>
    <row r="1592" spans="5:8" x14ac:dyDescent="0.2">
      <c r="E1592" s="5"/>
      <c r="F1592" s="5"/>
      <c r="G1592" s="5"/>
      <c r="H1592" s="5"/>
    </row>
    <row r="1593" spans="5:8" x14ac:dyDescent="0.2">
      <c r="E1593" s="5"/>
      <c r="F1593" s="5"/>
      <c r="G1593" s="5"/>
      <c r="H1593" s="5"/>
    </row>
    <row r="1594" spans="5:8" x14ac:dyDescent="0.2">
      <c r="E1594" s="5"/>
      <c r="F1594" s="5"/>
      <c r="G1594" s="5"/>
      <c r="H1594" s="5"/>
    </row>
    <row r="1595" spans="5:8" x14ac:dyDescent="0.2">
      <c r="E1595" s="5"/>
      <c r="F1595" s="5"/>
      <c r="G1595" s="5"/>
      <c r="H1595" s="5"/>
    </row>
    <row r="1596" spans="5:8" x14ac:dyDescent="0.2">
      <c r="E1596" s="5"/>
      <c r="F1596" s="5"/>
      <c r="G1596" s="5"/>
      <c r="H1596" s="5"/>
    </row>
    <row r="1597" spans="5:8" x14ac:dyDescent="0.2">
      <c r="E1597" s="5"/>
      <c r="F1597" s="5"/>
      <c r="G1597" s="5"/>
      <c r="H1597" s="5"/>
    </row>
    <row r="1598" spans="5:8" x14ac:dyDescent="0.2">
      <c r="E1598" s="5"/>
      <c r="F1598" s="5"/>
      <c r="G1598" s="5"/>
      <c r="H1598" s="5"/>
    </row>
    <row r="1599" spans="5:8" x14ac:dyDescent="0.2">
      <c r="E1599" s="5"/>
      <c r="F1599" s="5"/>
      <c r="G1599" s="5"/>
      <c r="H1599" s="5"/>
    </row>
    <row r="1600" spans="5:8" x14ac:dyDescent="0.2">
      <c r="E1600" s="5"/>
      <c r="F1600" s="5"/>
      <c r="G1600" s="5"/>
      <c r="H1600" s="5"/>
    </row>
    <row r="1601" spans="5:8" x14ac:dyDescent="0.2">
      <c r="E1601" s="5"/>
      <c r="F1601" s="5"/>
      <c r="G1601" s="5"/>
      <c r="H1601" s="5"/>
    </row>
    <row r="1602" spans="5:8" x14ac:dyDescent="0.2">
      <c r="E1602" s="5"/>
      <c r="F1602" s="5"/>
      <c r="G1602" s="5"/>
      <c r="H1602" s="5"/>
    </row>
    <row r="1603" spans="5:8" x14ac:dyDescent="0.2">
      <c r="E1603" s="5"/>
      <c r="F1603" s="5"/>
      <c r="G1603" s="5"/>
      <c r="H1603" s="5"/>
    </row>
    <row r="1604" spans="5:8" x14ac:dyDescent="0.2">
      <c r="E1604" s="5"/>
      <c r="F1604" s="5"/>
      <c r="G1604" s="5"/>
      <c r="H1604" s="5"/>
    </row>
    <row r="1605" spans="5:8" x14ac:dyDescent="0.2">
      <c r="E1605" s="5"/>
      <c r="F1605" s="5"/>
      <c r="G1605" s="5"/>
      <c r="H1605" s="5"/>
    </row>
    <row r="1606" spans="5:8" x14ac:dyDescent="0.2">
      <c r="E1606" s="5"/>
      <c r="F1606" s="5"/>
      <c r="G1606" s="5"/>
      <c r="H1606" s="5"/>
    </row>
    <row r="1607" spans="5:8" x14ac:dyDescent="0.2">
      <c r="E1607" s="5"/>
      <c r="F1607" s="5"/>
      <c r="G1607" s="5"/>
      <c r="H1607" s="5"/>
    </row>
    <row r="1608" spans="5:8" x14ac:dyDescent="0.2">
      <c r="E1608" s="5"/>
      <c r="F1608" s="5"/>
      <c r="G1608" s="5"/>
      <c r="H1608" s="5"/>
    </row>
    <row r="1609" spans="5:8" x14ac:dyDescent="0.2">
      <c r="E1609" s="5"/>
      <c r="F1609" s="5"/>
      <c r="G1609" s="5"/>
      <c r="H1609" s="5"/>
    </row>
    <row r="1610" spans="5:8" x14ac:dyDescent="0.2">
      <c r="E1610" s="5"/>
      <c r="F1610" s="5"/>
      <c r="G1610" s="5"/>
      <c r="H1610" s="5"/>
    </row>
    <row r="1611" spans="5:8" x14ac:dyDescent="0.2">
      <c r="E1611" s="5"/>
      <c r="F1611" s="5"/>
      <c r="G1611" s="5"/>
      <c r="H1611" s="5"/>
    </row>
    <row r="1612" spans="5:8" x14ac:dyDescent="0.2">
      <c r="E1612" s="5"/>
      <c r="F1612" s="5"/>
      <c r="G1612" s="5"/>
      <c r="H1612" s="5"/>
    </row>
    <row r="1613" spans="5:8" x14ac:dyDescent="0.2">
      <c r="E1613" s="5"/>
      <c r="F1613" s="5"/>
      <c r="G1613" s="5"/>
      <c r="H1613" s="5"/>
    </row>
    <row r="1614" spans="5:8" x14ac:dyDescent="0.2">
      <c r="E1614" s="5"/>
      <c r="F1614" s="5"/>
      <c r="G1614" s="5"/>
      <c r="H1614" s="5"/>
    </row>
    <row r="1615" spans="5:8" x14ac:dyDescent="0.2">
      <c r="E1615" s="5"/>
      <c r="F1615" s="5"/>
      <c r="G1615" s="5"/>
      <c r="H1615" s="5"/>
    </row>
    <row r="1616" spans="5:8" x14ac:dyDescent="0.2">
      <c r="E1616" s="5"/>
      <c r="F1616" s="5"/>
      <c r="G1616" s="5"/>
      <c r="H1616" s="5"/>
    </row>
    <row r="1617" spans="5:8" x14ac:dyDescent="0.2">
      <c r="E1617" s="5"/>
      <c r="F1617" s="5"/>
      <c r="G1617" s="5"/>
      <c r="H1617" s="5"/>
    </row>
    <row r="1618" spans="5:8" x14ac:dyDescent="0.2">
      <c r="E1618" s="5"/>
      <c r="F1618" s="5"/>
      <c r="G1618" s="5"/>
      <c r="H1618" s="5"/>
    </row>
    <row r="1619" spans="5:8" x14ac:dyDescent="0.2">
      <c r="E1619" s="5"/>
      <c r="F1619" s="5"/>
      <c r="G1619" s="5"/>
      <c r="H1619" s="5"/>
    </row>
    <row r="1620" spans="5:8" x14ac:dyDescent="0.2">
      <c r="E1620" s="5"/>
      <c r="F1620" s="5"/>
      <c r="G1620" s="5"/>
      <c r="H1620" s="5"/>
    </row>
    <row r="1621" spans="5:8" x14ac:dyDescent="0.2">
      <c r="E1621" s="5"/>
      <c r="F1621" s="5"/>
      <c r="G1621" s="5"/>
      <c r="H1621" s="5"/>
    </row>
    <row r="1622" spans="5:8" x14ac:dyDescent="0.2">
      <c r="E1622" s="5"/>
      <c r="F1622" s="5"/>
      <c r="G1622" s="5"/>
      <c r="H1622" s="5"/>
    </row>
    <row r="1623" spans="5:8" x14ac:dyDescent="0.2">
      <c r="E1623" s="5"/>
      <c r="F1623" s="5"/>
      <c r="G1623" s="5"/>
      <c r="H1623" s="5"/>
    </row>
    <row r="1624" spans="5:8" x14ac:dyDescent="0.2">
      <c r="E1624" s="5"/>
      <c r="F1624" s="5"/>
      <c r="G1624" s="5"/>
      <c r="H1624" s="5"/>
    </row>
    <row r="1625" spans="5:8" x14ac:dyDescent="0.2">
      <c r="E1625" s="5"/>
      <c r="F1625" s="5"/>
      <c r="G1625" s="5"/>
      <c r="H1625" s="5"/>
    </row>
    <row r="1626" spans="5:8" x14ac:dyDescent="0.2">
      <c r="E1626" s="5"/>
      <c r="F1626" s="5"/>
      <c r="G1626" s="5"/>
      <c r="H1626" s="5"/>
    </row>
    <row r="1627" spans="5:8" x14ac:dyDescent="0.2">
      <c r="E1627" s="5"/>
      <c r="F1627" s="5"/>
      <c r="G1627" s="5"/>
      <c r="H1627" s="5"/>
    </row>
    <row r="1628" spans="5:8" x14ac:dyDescent="0.2">
      <c r="E1628" s="5"/>
      <c r="F1628" s="5"/>
      <c r="G1628" s="5"/>
      <c r="H1628" s="5"/>
    </row>
    <row r="1629" spans="5:8" x14ac:dyDescent="0.2">
      <c r="E1629" s="5"/>
      <c r="F1629" s="5"/>
      <c r="G1629" s="5"/>
      <c r="H1629" s="5"/>
    </row>
    <row r="1630" spans="5:8" x14ac:dyDescent="0.2">
      <c r="E1630" s="5"/>
      <c r="F1630" s="5"/>
      <c r="G1630" s="5"/>
      <c r="H1630" s="5"/>
    </row>
    <row r="1631" spans="5:8" x14ac:dyDescent="0.2">
      <c r="E1631" s="5"/>
      <c r="F1631" s="5"/>
      <c r="G1631" s="5"/>
      <c r="H1631" s="5"/>
    </row>
    <row r="1632" spans="5:8" x14ac:dyDescent="0.2">
      <c r="E1632" s="5"/>
      <c r="F1632" s="5"/>
      <c r="G1632" s="5"/>
      <c r="H1632" s="5"/>
    </row>
    <row r="1633" spans="5:8" x14ac:dyDescent="0.2">
      <c r="E1633" s="5"/>
      <c r="F1633" s="5"/>
      <c r="G1633" s="5"/>
      <c r="H1633" s="5"/>
    </row>
    <row r="1634" spans="5:8" x14ac:dyDescent="0.2">
      <c r="E1634" s="5"/>
      <c r="F1634" s="5"/>
      <c r="G1634" s="5"/>
      <c r="H1634" s="5"/>
    </row>
    <row r="1635" spans="5:8" x14ac:dyDescent="0.2">
      <c r="E1635" s="5"/>
      <c r="F1635" s="5"/>
      <c r="G1635" s="5"/>
      <c r="H1635" s="5"/>
    </row>
    <row r="1636" spans="5:8" x14ac:dyDescent="0.2">
      <c r="E1636" s="5"/>
      <c r="F1636" s="5"/>
      <c r="G1636" s="5"/>
      <c r="H1636" s="5"/>
    </row>
    <row r="1637" spans="5:8" x14ac:dyDescent="0.2">
      <c r="E1637" s="5"/>
      <c r="F1637" s="5"/>
      <c r="G1637" s="5"/>
      <c r="H1637" s="5"/>
    </row>
    <row r="1638" spans="5:8" x14ac:dyDescent="0.2">
      <c r="E1638" s="5"/>
      <c r="F1638" s="5"/>
      <c r="G1638" s="5"/>
      <c r="H1638" s="5"/>
    </row>
    <row r="1639" spans="5:8" x14ac:dyDescent="0.2">
      <c r="E1639" s="5"/>
      <c r="F1639" s="5"/>
      <c r="G1639" s="5"/>
      <c r="H1639" s="5"/>
    </row>
    <row r="1640" spans="5:8" x14ac:dyDescent="0.2">
      <c r="E1640" s="5"/>
      <c r="F1640" s="5"/>
      <c r="G1640" s="5"/>
      <c r="H1640" s="5"/>
    </row>
    <row r="1641" spans="5:8" x14ac:dyDescent="0.2">
      <c r="E1641" s="5"/>
      <c r="F1641" s="5"/>
      <c r="G1641" s="5"/>
      <c r="H1641" s="5"/>
    </row>
    <row r="1642" spans="5:8" x14ac:dyDescent="0.2">
      <c r="E1642" s="5"/>
      <c r="F1642" s="5"/>
      <c r="G1642" s="5"/>
      <c r="H1642" s="5"/>
    </row>
    <row r="1643" spans="5:8" x14ac:dyDescent="0.2">
      <c r="E1643" s="5"/>
      <c r="F1643" s="5"/>
      <c r="G1643" s="5"/>
      <c r="H1643" s="5"/>
    </row>
    <row r="1644" spans="5:8" x14ac:dyDescent="0.2">
      <c r="E1644" s="5"/>
      <c r="F1644" s="5"/>
      <c r="G1644" s="5"/>
      <c r="H1644" s="5"/>
    </row>
    <row r="1645" spans="5:8" x14ac:dyDescent="0.2">
      <c r="E1645" s="5"/>
      <c r="F1645" s="5"/>
      <c r="G1645" s="5"/>
      <c r="H1645" s="5"/>
    </row>
    <row r="1646" spans="5:8" x14ac:dyDescent="0.2">
      <c r="E1646" s="5"/>
      <c r="F1646" s="5"/>
      <c r="G1646" s="5"/>
      <c r="H1646" s="5"/>
    </row>
    <row r="1647" spans="5:8" x14ac:dyDescent="0.2">
      <c r="E1647" s="5"/>
      <c r="F1647" s="5"/>
      <c r="G1647" s="5"/>
      <c r="H1647" s="5"/>
    </row>
    <row r="1648" spans="5:8" x14ac:dyDescent="0.2">
      <c r="E1648" s="5"/>
      <c r="F1648" s="5"/>
      <c r="G1648" s="5"/>
      <c r="H1648" s="5"/>
    </row>
    <row r="1649" spans="5:8" x14ac:dyDescent="0.2">
      <c r="E1649" s="5"/>
      <c r="F1649" s="5"/>
      <c r="G1649" s="5"/>
      <c r="H1649" s="5"/>
    </row>
    <row r="1650" spans="5:8" x14ac:dyDescent="0.2">
      <c r="E1650" s="5"/>
      <c r="F1650" s="5"/>
      <c r="G1650" s="5"/>
      <c r="H1650" s="5"/>
    </row>
    <row r="1651" spans="5:8" x14ac:dyDescent="0.2">
      <c r="E1651" s="5"/>
      <c r="F1651" s="5"/>
      <c r="G1651" s="5"/>
      <c r="H1651" s="5"/>
    </row>
    <row r="1652" spans="5:8" x14ac:dyDescent="0.2">
      <c r="E1652" s="5"/>
      <c r="F1652" s="5"/>
      <c r="G1652" s="5"/>
      <c r="H1652" s="5"/>
    </row>
    <row r="1653" spans="5:8" x14ac:dyDescent="0.2">
      <c r="E1653" s="5"/>
      <c r="F1653" s="5"/>
      <c r="G1653" s="5"/>
      <c r="H1653" s="5"/>
    </row>
    <row r="1654" spans="5:8" x14ac:dyDescent="0.2">
      <c r="E1654" s="5"/>
      <c r="F1654" s="5"/>
      <c r="G1654" s="5"/>
      <c r="H1654" s="5"/>
    </row>
    <row r="1655" spans="5:8" x14ac:dyDescent="0.2">
      <c r="E1655" s="5"/>
      <c r="F1655" s="5"/>
      <c r="G1655" s="5"/>
      <c r="H1655" s="5"/>
    </row>
    <row r="1656" spans="5:8" x14ac:dyDescent="0.2">
      <c r="E1656" s="5"/>
      <c r="F1656" s="5"/>
      <c r="G1656" s="5"/>
      <c r="H1656" s="5"/>
    </row>
    <row r="1657" spans="5:8" x14ac:dyDescent="0.2">
      <c r="E1657" s="5"/>
      <c r="F1657" s="5"/>
      <c r="G1657" s="5"/>
      <c r="H1657" s="5"/>
    </row>
    <row r="1658" spans="5:8" x14ac:dyDescent="0.2">
      <c r="E1658" s="5"/>
      <c r="F1658" s="5"/>
      <c r="G1658" s="5"/>
      <c r="H1658" s="5"/>
    </row>
    <row r="1659" spans="5:8" x14ac:dyDescent="0.2">
      <c r="E1659" s="5"/>
      <c r="F1659" s="5"/>
      <c r="G1659" s="5"/>
      <c r="H1659" s="5"/>
    </row>
    <row r="1660" spans="5:8" x14ac:dyDescent="0.2">
      <c r="E1660" s="5"/>
      <c r="F1660" s="5"/>
      <c r="G1660" s="5"/>
      <c r="H1660" s="5"/>
    </row>
    <row r="1661" spans="5:8" x14ac:dyDescent="0.2">
      <c r="E1661" s="5"/>
      <c r="F1661" s="5"/>
      <c r="G1661" s="5"/>
      <c r="H1661" s="5"/>
    </row>
    <row r="1662" spans="5:8" x14ac:dyDescent="0.2">
      <c r="E1662" s="5"/>
      <c r="F1662" s="5"/>
      <c r="G1662" s="5"/>
      <c r="H1662" s="5"/>
    </row>
    <row r="1663" spans="5:8" x14ac:dyDescent="0.2">
      <c r="E1663" s="5"/>
      <c r="F1663" s="5"/>
      <c r="G1663" s="5"/>
      <c r="H1663" s="5"/>
    </row>
    <row r="1664" spans="5:8" x14ac:dyDescent="0.2">
      <c r="E1664" s="5"/>
      <c r="F1664" s="5"/>
      <c r="G1664" s="5"/>
      <c r="H1664" s="5"/>
    </row>
    <row r="1665" spans="5:8" x14ac:dyDescent="0.2">
      <c r="E1665" s="5"/>
      <c r="F1665" s="5"/>
      <c r="G1665" s="5"/>
      <c r="H1665" s="5"/>
    </row>
    <row r="1666" spans="5:8" x14ac:dyDescent="0.2">
      <c r="E1666" s="5"/>
      <c r="F1666" s="5"/>
      <c r="G1666" s="5"/>
      <c r="H1666" s="5"/>
    </row>
    <row r="1667" spans="5:8" x14ac:dyDescent="0.2">
      <c r="E1667" s="5"/>
      <c r="F1667" s="5"/>
      <c r="G1667" s="5"/>
      <c r="H1667" s="5"/>
    </row>
    <row r="1668" spans="5:8" x14ac:dyDescent="0.2">
      <c r="E1668" s="5"/>
      <c r="F1668" s="5"/>
      <c r="G1668" s="5"/>
      <c r="H1668" s="5"/>
    </row>
    <row r="1669" spans="5:8" x14ac:dyDescent="0.2">
      <c r="E1669" s="5"/>
      <c r="F1669" s="5"/>
      <c r="G1669" s="5"/>
      <c r="H1669" s="5"/>
    </row>
    <row r="1670" spans="5:8" x14ac:dyDescent="0.2">
      <c r="E1670" s="5"/>
      <c r="F1670" s="5"/>
      <c r="G1670" s="5"/>
      <c r="H1670" s="5"/>
    </row>
    <row r="1671" spans="5:8" x14ac:dyDescent="0.2">
      <c r="E1671" s="5"/>
      <c r="F1671" s="5"/>
      <c r="G1671" s="5"/>
      <c r="H1671" s="5"/>
    </row>
    <row r="1672" spans="5:8" x14ac:dyDescent="0.2">
      <c r="E1672" s="5"/>
      <c r="F1672" s="5"/>
      <c r="G1672" s="5"/>
      <c r="H1672" s="5"/>
    </row>
    <row r="1673" spans="5:8" x14ac:dyDescent="0.2">
      <c r="E1673" s="5"/>
      <c r="F1673" s="5"/>
      <c r="G1673" s="5"/>
      <c r="H1673" s="5"/>
    </row>
    <row r="1674" spans="5:8" x14ac:dyDescent="0.2">
      <c r="E1674" s="5"/>
      <c r="F1674" s="5"/>
      <c r="G1674" s="5"/>
      <c r="H1674" s="5"/>
    </row>
    <row r="1675" spans="5:8" x14ac:dyDescent="0.2">
      <c r="E1675" s="5"/>
      <c r="F1675" s="5"/>
      <c r="G1675" s="5"/>
      <c r="H1675" s="5"/>
    </row>
    <row r="1676" spans="5:8" x14ac:dyDescent="0.2">
      <c r="E1676" s="5"/>
      <c r="F1676" s="5"/>
      <c r="G1676" s="5"/>
      <c r="H1676" s="5"/>
    </row>
    <row r="1677" spans="5:8" x14ac:dyDescent="0.2">
      <c r="E1677" s="5"/>
      <c r="F1677" s="5"/>
      <c r="G1677" s="5"/>
      <c r="H1677" s="5"/>
    </row>
    <row r="1678" spans="5:8" x14ac:dyDescent="0.2">
      <c r="E1678" s="5"/>
      <c r="F1678" s="5"/>
      <c r="G1678" s="5"/>
      <c r="H1678" s="5"/>
    </row>
    <row r="1679" spans="5:8" x14ac:dyDescent="0.2">
      <c r="E1679" s="5"/>
      <c r="F1679" s="5"/>
      <c r="G1679" s="5"/>
      <c r="H1679" s="5"/>
    </row>
    <row r="1680" spans="5:8" x14ac:dyDescent="0.2">
      <c r="E1680" s="5"/>
      <c r="F1680" s="5"/>
      <c r="G1680" s="5"/>
      <c r="H1680" s="5"/>
    </row>
    <row r="1681" spans="5:8" x14ac:dyDescent="0.2">
      <c r="E1681" s="5"/>
      <c r="F1681" s="5"/>
      <c r="G1681" s="5"/>
      <c r="H1681" s="5"/>
    </row>
    <row r="1682" spans="5:8" x14ac:dyDescent="0.2">
      <c r="E1682" s="5"/>
      <c r="F1682" s="5"/>
      <c r="G1682" s="5"/>
      <c r="H1682" s="5"/>
    </row>
    <row r="1683" spans="5:8" x14ac:dyDescent="0.2">
      <c r="E1683" s="5"/>
      <c r="F1683" s="5"/>
      <c r="G1683" s="5"/>
      <c r="H1683" s="5"/>
    </row>
    <row r="1684" spans="5:8" x14ac:dyDescent="0.2">
      <c r="E1684" s="5"/>
      <c r="F1684" s="5"/>
      <c r="G1684" s="5"/>
      <c r="H1684" s="5"/>
    </row>
    <row r="1685" spans="5:8" x14ac:dyDescent="0.2">
      <c r="E1685" s="5"/>
      <c r="F1685" s="5"/>
      <c r="G1685" s="5"/>
      <c r="H1685" s="5"/>
    </row>
    <row r="1686" spans="5:8" x14ac:dyDescent="0.2">
      <c r="E1686" s="5"/>
      <c r="F1686" s="5"/>
      <c r="G1686" s="5"/>
      <c r="H1686" s="5"/>
    </row>
    <row r="1687" spans="5:8" x14ac:dyDescent="0.2">
      <c r="E1687" s="5"/>
      <c r="F1687" s="5"/>
      <c r="G1687" s="5"/>
      <c r="H1687" s="5"/>
    </row>
    <row r="1688" spans="5:8" x14ac:dyDescent="0.2">
      <c r="E1688" s="5"/>
      <c r="F1688" s="5"/>
      <c r="G1688" s="5"/>
      <c r="H1688" s="5"/>
    </row>
    <row r="1689" spans="5:8" x14ac:dyDescent="0.2">
      <c r="E1689" s="5"/>
      <c r="F1689" s="5"/>
      <c r="G1689" s="5"/>
      <c r="H1689" s="5"/>
    </row>
    <row r="1690" spans="5:8" x14ac:dyDescent="0.2">
      <c r="E1690" s="5"/>
      <c r="F1690" s="5"/>
      <c r="G1690" s="5"/>
      <c r="H1690" s="5"/>
    </row>
    <row r="1691" spans="5:8" x14ac:dyDescent="0.2">
      <c r="E1691" s="5"/>
      <c r="F1691" s="5"/>
      <c r="G1691" s="5"/>
      <c r="H1691" s="5"/>
    </row>
    <row r="1692" spans="5:8" x14ac:dyDescent="0.2">
      <c r="E1692" s="5"/>
      <c r="F1692" s="5"/>
      <c r="G1692" s="5"/>
      <c r="H1692" s="5"/>
    </row>
    <row r="1693" spans="5:8" x14ac:dyDescent="0.2">
      <c r="E1693" s="5"/>
      <c r="F1693" s="5"/>
      <c r="G1693" s="5"/>
      <c r="H1693" s="5"/>
    </row>
    <row r="1694" spans="5:8" x14ac:dyDescent="0.2">
      <c r="E1694" s="5"/>
      <c r="F1694" s="5"/>
      <c r="G1694" s="5"/>
      <c r="H1694" s="5"/>
    </row>
    <row r="1695" spans="5:8" x14ac:dyDescent="0.2">
      <c r="E1695" s="5"/>
      <c r="F1695" s="5"/>
      <c r="G1695" s="5"/>
      <c r="H1695" s="5"/>
    </row>
    <row r="1696" spans="5:8" x14ac:dyDescent="0.2">
      <c r="E1696" s="5"/>
      <c r="F1696" s="5"/>
      <c r="G1696" s="5"/>
      <c r="H1696" s="5"/>
    </row>
    <row r="1697" spans="5:8" x14ac:dyDescent="0.2">
      <c r="E1697" s="5"/>
      <c r="F1697" s="5"/>
      <c r="G1697" s="5"/>
      <c r="H1697" s="5"/>
    </row>
    <row r="1698" spans="5:8" x14ac:dyDescent="0.2">
      <c r="E1698" s="5"/>
      <c r="F1698" s="5"/>
      <c r="G1698" s="5"/>
      <c r="H1698" s="5"/>
    </row>
    <row r="1699" spans="5:8" x14ac:dyDescent="0.2">
      <c r="E1699" s="5"/>
      <c r="F1699" s="5"/>
      <c r="G1699" s="5"/>
      <c r="H1699" s="5"/>
    </row>
    <row r="1700" spans="5:8" x14ac:dyDescent="0.2">
      <c r="E1700" s="5"/>
      <c r="F1700" s="5"/>
      <c r="G1700" s="5"/>
      <c r="H1700" s="5"/>
    </row>
    <row r="1701" spans="5:8" x14ac:dyDescent="0.2">
      <c r="E1701" s="5"/>
      <c r="F1701" s="5"/>
      <c r="G1701" s="5"/>
      <c r="H1701" s="5"/>
    </row>
    <row r="1702" spans="5:8" x14ac:dyDescent="0.2">
      <c r="E1702" s="5"/>
      <c r="F1702" s="5"/>
      <c r="G1702" s="5"/>
      <c r="H1702" s="5"/>
    </row>
    <row r="1703" spans="5:8" x14ac:dyDescent="0.2">
      <c r="E1703" s="5"/>
      <c r="F1703" s="5"/>
      <c r="G1703" s="5"/>
      <c r="H1703" s="5"/>
    </row>
    <row r="1704" spans="5:8" x14ac:dyDescent="0.2">
      <c r="E1704" s="5"/>
      <c r="F1704" s="5"/>
      <c r="G1704" s="5"/>
      <c r="H1704" s="5"/>
    </row>
    <row r="1705" spans="5:8" x14ac:dyDescent="0.2">
      <c r="E1705" s="5"/>
      <c r="F1705" s="5"/>
      <c r="G1705" s="5"/>
      <c r="H1705" s="5"/>
    </row>
    <row r="1706" spans="5:8" x14ac:dyDescent="0.2">
      <c r="E1706" s="5"/>
      <c r="F1706" s="5"/>
      <c r="G1706" s="5"/>
      <c r="H1706" s="5"/>
    </row>
    <row r="1707" spans="5:8" x14ac:dyDescent="0.2">
      <c r="E1707" s="5"/>
      <c r="F1707" s="5"/>
      <c r="G1707" s="5"/>
      <c r="H1707" s="5"/>
    </row>
    <row r="1708" spans="5:8" x14ac:dyDescent="0.2">
      <c r="E1708" s="5"/>
      <c r="F1708" s="5"/>
      <c r="G1708" s="5"/>
      <c r="H1708" s="5"/>
    </row>
    <row r="1709" spans="5:8" x14ac:dyDescent="0.2">
      <c r="E1709" s="5"/>
      <c r="F1709" s="5"/>
      <c r="G1709" s="5"/>
      <c r="H1709" s="5"/>
    </row>
    <row r="1710" spans="5:8" x14ac:dyDescent="0.2">
      <c r="E1710" s="5"/>
      <c r="F1710" s="5"/>
      <c r="G1710" s="5"/>
      <c r="H1710" s="5"/>
    </row>
    <row r="1711" spans="5:8" x14ac:dyDescent="0.2">
      <c r="E1711" s="5"/>
      <c r="F1711" s="5"/>
      <c r="G1711" s="5"/>
      <c r="H1711" s="5"/>
    </row>
    <row r="1712" spans="5:8" x14ac:dyDescent="0.2">
      <c r="E1712" s="5"/>
      <c r="F1712" s="5"/>
      <c r="G1712" s="5"/>
      <c r="H1712" s="5"/>
    </row>
    <row r="1713" spans="5:8" x14ac:dyDescent="0.2">
      <c r="E1713" s="5"/>
      <c r="F1713" s="5"/>
      <c r="G1713" s="5"/>
      <c r="H1713" s="5"/>
    </row>
    <row r="1714" spans="5:8" x14ac:dyDescent="0.2">
      <c r="E1714" s="5"/>
      <c r="F1714" s="5"/>
      <c r="G1714" s="5"/>
      <c r="H1714" s="5"/>
    </row>
    <row r="1715" spans="5:8" x14ac:dyDescent="0.2">
      <c r="E1715" s="5"/>
      <c r="F1715" s="5"/>
      <c r="G1715" s="5"/>
      <c r="H1715" s="5"/>
    </row>
    <row r="1716" spans="5:8" x14ac:dyDescent="0.2">
      <c r="E1716" s="5"/>
      <c r="F1716" s="5"/>
      <c r="G1716" s="5"/>
      <c r="H1716" s="5"/>
    </row>
    <row r="1717" spans="5:8" x14ac:dyDescent="0.2">
      <c r="E1717" s="5"/>
      <c r="F1717" s="5"/>
      <c r="G1717" s="5"/>
      <c r="H1717" s="5"/>
    </row>
    <row r="1718" spans="5:8" x14ac:dyDescent="0.2">
      <c r="E1718" s="5"/>
      <c r="F1718" s="5"/>
      <c r="G1718" s="5"/>
      <c r="H1718" s="5"/>
    </row>
    <row r="1719" spans="5:8" x14ac:dyDescent="0.2">
      <c r="E1719" s="5"/>
      <c r="F1719" s="5"/>
      <c r="G1719" s="5"/>
      <c r="H1719" s="5"/>
    </row>
    <row r="1720" spans="5:8" x14ac:dyDescent="0.2">
      <c r="E1720" s="5"/>
      <c r="F1720" s="5"/>
      <c r="G1720" s="5"/>
      <c r="H1720" s="5"/>
    </row>
    <row r="1721" spans="5:8" x14ac:dyDescent="0.2">
      <c r="E1721" s="5"/>
      <c r="F1721" s="5"/>
      <c r="G1721" s="5"/>
      <c r="H1721" s="5"/>
    </row>
    <row r="1722" spans="5:8" x14ac:dyDescent="0.2">
      <c r="E1722" s="5"/>
      <c r="F1722" s="5"/>
      <c r="G1722" s="5"/>
      <c r="H1722" s="5"/>
    </row>
    <row r="1723" spans="5:8" x14ac:dyDescent="0.2">
      <c r="E1723" s="5"/>
      <c r="F1723" s="5"/>
      <c r="G1723" s="5"/>
      <c r="H1723" s="5"/>
    </row>
    <row r="1724" spans="5:8" x14ac:dyDescent="0.2">
      <c r="E1724" s="5"/>
      <c r="F1724" s="5"/>
      <c r="G1724" s="5"/>
      <c r="H1724" s="5"/>
    </row>
    <row r="1725" spans="5:8" x14ac:dyDescent="0.2">
      <c r="E1725" s="5"/>
      <c r="F1725" s="5"/>
      <c r="G1725" s="5"/>
      <c r="H1725" s="5"/>
    </row>
    <row r="1726" spans="5:8" x14ac:dyDescent="0.2">
      <c r="E1726" s="5"/>
      <c r="F1726" s="5"/>
      <c r="G1726" s="5"/>
      <c r="H1726" s="5"/>
    </row>
    <row r="1727" spans="5:8" x14ac:dyDescent="0.2">
      <c r="E1727" s="5"/>
      <c r="F1727" s="5"/>
      <c r="G1727" s="5"/>
      <c r="H1727" s="5"/>
    </row>
    <row r="1728" spans="5:8" x14ac:dyDescent="0.2">
      <c r="E1728" s="5"/>
      <c r="F1728" s="5"/>
      <c r="G1728" s="5"/>
      <c r="H1728" s="5"/>
    </row>
    <row r="1729" spans="5:8" x14ac:dyDescent="0.2">
      <c r="E1729" s="5"/>
      <c r="F1729" s="5"/>
      <c r="G1729" s="5"/>
      <c r="H1729" s="5"/>
    </row>
    <row r="1730" spans="5:8" x14ac:dyDescent="0.2">
      <c r="E1730" s="5"/>
      <c r="F1730" s="5"/>
      <c r="G1730" s="5"/>
      <c r="H1730" s="5"/>
    </row>
    <row r="1731" spans="5:8" x14ac:dyDescent="0.2">
      <c r="E1731" s="5"/>
      <c r="F1731" s="5"/>
      <c r="G1731" s="5"/>
      <c r="H1731" s="5"/>
    </row>
    <row r="1732" spans="5:8" x14ac:dyDescent="0.2">
      <c r="E1732" s="5"/>
      <c r="F1732" s="5"/>
      <c r="G1732" s="5"/>
      <c r="H1732" s="5"/>
    </row>
    <row r="1733" spans="5:8" x14ac:dyDescent="0.2">
      <c r="E1733" s="5"/>
      <c r="F1733" s="5"/>
      <c r="G1733" s="5"/>
      <c r="H1733" s="5"/>
    </row>
    <row r="1734" spans="5:8" x14ac:dyDescent="0.2">
      <c r="E1734" s="5"/>
      <c r="F1734" s="5"/>
      <c r="G1734" s="5"/>
      <c r="H1734" s="5"/>
    </row>
    <row r="1735" spans="5:8" x14ac:dyDescent="0.2">
      <c r="E1735" s="5"/>
      <c r="F1735" s="5"/>
      <c r="G1735" s="5"/>
      <c r="H1735" s="5"/>
    </row>
    <row r="1736" spans="5:8" x14ac:dyDescent="0.2">
      <c r="E1736" s="5"/>
      <c r="F1736" s="5"/>
      <c r="G1736" s="5"/>
      <c r="H1736" s="5"/>
    </row>
    <row r="1737" spans="5:8" x14ac:dyDescent="0.2">
      <c r="E1737" s="5"/>
      <c r="F1737" s="5"/>
      <c r="G1737" s="5"/>
      <c r="H1737" s="5"/>
    </row>
    <row r="1738" spans="5:8" x14ac:dyDescent="0.2">
      <c r="E1738" s="5"/>
      <c r="F1738" s="5"/>
      <c r="G1738" s="5"/>
      <c r="H1738" s="5"/>
    </row>
    <row r="1739" spans="5:8" x14ac:dyDescent="0.2">
      <c r="E1739" s="5"/>
      <c r="F1739" s="5"/>
      <c r="G1739" s="5"/>
      <c r="H1739" s="5"/>
    </row>
    <row r="1740" spans="5:8" x14ac:dyDescent="0.2">
      <c r="E1740" s="5"/>
      <c r="F1740" s="5"/>
      <c r="G1740" s="5"/>
      <c r="H1740" s="5"/>
    </row>
    <row r="1741" spans="5:8" x14ac:dyDescent="0.2">
      <c r="E1741" s="5"/>
      <c r="F1741" s="5"/>
      <c r="G1741" s="5"/>
      <c r="H1741" s="5"/>
    </row>
    <row r="1742" spans="5:8" x14ac:dyDescent="0.2">
      <c r="E1742" s="5"/>
      <c r="F1742" s="5"/>
      <c r="G1742" s="5"/>
      <c r="H1742" s="5"/>
    </row>
    <row r="1743" spans="5:8" x14ac:dyDescent="0.2">
      <c r="E1743" s="5"/>
      <c r="F1743" s="5"/>
      <c r="G1743" s="5"/>
      <c r="H1743" s="5"/>
    </row>
    <row r="1744" spans="5:8" x14ac:dyDescent="0.2">
      <c r="E1744" s="5"/>
      <c r="F1744" s="5"/>
      <c r="G1744" s="5"/>
      <c r="H1744" s="5"/>
    </row>
    <row r="1745" spans="5:8" x14ac:dyDescent="0.2">
      <c r="E1745" s="5"/>
      <c r="F1745" s="5"/>
      <c r="G1745" s="5"/>
      <c r="H1745" s="5"/>
    </row>
    <row r="1746" spans="5:8" x14ac:dyDescent="0.2">
      <c r="E1746" s="5"/>
      <c r="F1746" s="5"/>
      <c r="G1746" s="5"/>
      <c r="H1746" s="5"/>
    </row>
    <row r="1747" spans="5:8" x14ac:dyDescent="0.2">
      <c r="E1747" s="5"/>
      <c r="F1747" s="5"/>
      <c r="G1747" s="5"/>
      <c r="H1747" s="5"/>
    </row>
    <row r="1748" spans="5:8" x14ac:dyDescent="0.2">
      <c r="E1748" s="5"/>
      <c r="F1748" s="5"/>
      <c r="G1748" s="5"/>
      <c r="H1748" s="5"/>
    </row>
    <row r="1749" spans="5:8" x14ac:dyDescent="0.2">
      <c r="E1749" s="5"/>
      <c r="F1749" s="5"/>
      <c r="G1749" s="5"/>
      <c r="H1749" s="5"/>
    </row>
    <row r="1750" spans="5:8" x14ac:dyDescent="0.2">
      <c r="E1750" s="5"/>
      <c r="F1750" s="5"/>
      <c r="G1750" s="5"/>
      <c r="H1750" s="5"/>
    </row>
    <row r="1751" spans="5:8" x14ac:dyDescent="0.2">
      <c r="E1751" s="5"/>
      <c r="F1751" s="5"/>
      <c r="G1751" s="5"/>
      <c r="H1751" s="5"/>
    </row>
    <row r="1752" spans="5:8" x14ac:dyDescent="0.2">
      <c r="E1752" s="5"/>
      <c r="F1752" s="5"/>
      <c r="G1752" s="5"/>
      <c r="H1752" s="5"/>
    </row>
    <row r="1753" spans="5:8" x14ac:dyDescent="0.2">
      <c r="E1753" s="5"/>
      <c r="F1753" s="5"/>
      <c r="G1753" s="5"/>
      <c r="H1753" s="5"/>
    </row>
    <row r="1754" spans="5:8" x14ac:dyDescent="0.2">
      <c r="E1754" s="5"/>
      <c r="F1754" s="5"/>
      <c r="G1754" s="5"/>
      <c r="H1754" s="5"/>
    </row>
    <row r="1755" spans="5:8" x14ac:dyDescent="0.2">
      <c r="E1755" s="5"/>
      <c r="F1755" s="5"/>
      <c r="G1755" s="5"/>
      <c r="H1755" s="5"/>
    </row>
    <row r="1756" spans="5:8" x14ac:dyDescent="0.2">
      <c r="E1756" s="5"/>
      <c r="F1756" s="5"/>
      <c r="G1756" s="5"/>
      <c r="H1756" s="5"/>
    </row>
    <row r="1757" spans="5:8" x14ac:dyDescent="0.2">
      <c r="E1757" s="5"/>
      <c r="F1757" s="5"/>
      <c r="G1757" s="5"/>
      <c r="H1757" s="5"/>
    </row>
    <row r="1758" spans="5:8" x14ac:dyDescent="0.2">
      <c r="E1758" s="5"/>
      <c r="F1758" s="5"/>
      <c r="G1758" s="5"/>
      <c r="H1758" s="5"/>
    </row>
    <row r="1759" spans="5:8" x14ac:dyDescent="0.2">
      <c r="E1759" s="5"/>
      <c r="F1759" s="5"/>
      <c r="G1759" s="5"/>
      <c r="H1759" s="5"/>
    </row>
    <row r="1760" spans="5:8" x14ac:dyDescent="0.2">
      <c r="E1760" s="5"/>
      <c r="F1760" s="5"/>
      <c r="G1760" s="5"/>
      <c r="H1760" s="5"/>
    </row>
    <row r="1761" spans="5:8" x14ac:dyDescent="0.2">
      <c r="E1761" s="5"/>
      <c r="F1761" s="5"/>
      <c r="G1761" s="5"/>
      <c r="H1761" s="5"/>
    </row>
    <row r="1762" spans="5:8" x14ac:dyDescent="0.2">
      <c r="E1762" s="5"/>
      <c r="F1762" s="5"/>
      <c r="G1762" s="5"/>
      <c r="H1762" s="5"/>
    </row>
    <row r="1763" spans="5:8" x14ac:dyDescent="0.2">
      <c r="E1763" s="5"/>
      <c r="F1763" s="5"/>
      <c r="G1763" s="5"/>
      <c r="H1763" s="5"/>
    </row>
    <row r="1764" spans="5:8" x14ac:dyDescent="0.2">
      <c r="E1764" s="5"/>
      <c r="F1764" s="5"/>
      <c r="G1764" s="5"/>
      <c r="H1764" s="5"/>
    </row>
    <row r="1765" spans="5:8" x14ac:dyDescent="0.2">
      <c r="E1765" s="5"/>
      <c r="F1765" s="5"/>
      <c r="G1765" s="5"/>
      <c r="H1765" s="5"/>
    </row>
    <row r="1766" spans="5:8" x14ac:dyDescent="0.2">
      <c r="E1766" s="5"/>
      <c r="F1766" s="5"/>
      <c r="G1766" s="5"/>
      <c r="H1766" s="5"/>
    </row>
    <row r="1767" spans="5:8" x14ac:dyDescent="0.2">
      <c r="E1767" s="5"/>
      <c r="F1767" s="5"/>
      <c r="G1767" s="5"/>
      <c r="H1767" s="5"/>
    </row>
    <row r="1768" spans="5:8" x14ac:dyDescent="0.2">
      <c r="E1768" s="5"/>
      <c r="F1768" s="5"/>
      <c r="G1768" s="5"/>
      <c r="H1768" s="5"/>
    </row>
    <row r="1769" spans="5:8" x14ac:dyDescent="0.2">
      <c r="E1769" s="5"/>
      <c r="F1769" s="5"/>
      <c r="G1769" s="5"/>
      <c r="H1769" s="5"/>
    </row>
    <row r="1770" spans="5:8" x14ac:dyDescent="0.2">
      <c r="E1770" s="5"/>
      <c r="F1770" s="5"/>
      <c r="G1770" s="5"/>
      <c r="H1770" s="5"/>
    </row>
    <row r="1771" spans="5:8" x14ac:dyDescent="0.2">
      <c r="E1771" s="5"/>
      <c r="F1771" s="5"/>
      <c r="G1771" s="5"/>
      <c r="H1771" s="5"/>
    </row>
    <row r="1772" spans="5:8" x14ac:dyDescent="0.2">
      <c r="E1772" s="5"/>
      <c r="F1772" s="5"/>
      <c r="G1772" s="5"/>
      <c r="H1772" s="5"/>
    </row>
    <row r="1773" spans="5:8" x14ac:dyDescent="0.2">
      <c r="E1773" s="5"/>
      <c r="F1773" s="5"/>
      <c r="G1773" s="5"/>
      <c r="H1773" s="5"/>
    </row>
    <row r="1774" spans="5:8" x14ac:dyDescent="0.2">
      <c r="E1774" s="5"/>
      <c r="F1774" s="5"/>
      <c r="G1774" s="5"/>
      <c r="H1774" s="5"/>
    </row>
    <row r="1775" spans="5:8" x14ac:dyDescent="0.2">
      <c r="E1775" s="5"/>
      <c r="F1775" s="5"/>
      <c r="G1775" s="5"/>
      <c r="H1775" s="5"/>
    </row>
    <row r="1776" spans="5:8" x14ac:dyDescent="0.2">
      <c r="E1776" s="5"/>
      <c r="F1776" s="5"/>
      <c r="G1776" s="5"/>
      <c r="H1776" s="5"/>
    </row>
    <row r="1777" spans="5:8" x14ac:dyDescent="0.2">
      <c r="E1777" s="5"/>
      <c r="F1777" s="5"/>
      <c r="G1777" s="5"/>
      <c r="H1777" s="5"/>
    </row>
    <row r="1778" spans="5:8" x14ac:dyDescent="0.2">
      <c r="E1778" s="5"/>
      <c r="F1778" s="5"/>
      <c r="G1778" s="5"/>
      <c r="H1778" s="5"/>
    </row>
    <row r="1779" spans="5:8" x14ac:dyDescent="0.2">
      <c r="E1779" s="5"/>
      <c r="F1779" s="5"/>
      <c r="G1779" s="5"/>
      <c r="H1779" s="5"/>
    </row>
    <row r="1780" spans="5:8" x14ac:dyDescent="0.2">
      <c r="E1780" s="5"/>
      <c r="F1780" s="5"/>
      <c r="G1780" s="5"/>
      <c r="H1780" s="5"/>
    </row>
    <row r="1781" spans="5:8" x14ac:dyDescent="0.2">
      <c r="E1781" s="5"/>
      <c r="F1781" s="5"/>
      <c r="G1781" s="5"/>
      <c r="H1781" s="5"/>
    </row>
    <row r="1782" spans="5:8" x14ac:dyDescent="0.2">
      <c r="E1782" s="5"/>
      <c r="F1782" s="5"/>
      <c r="G1782" s="5"/>
      <c r="H1782" s="5"/>
    </row>
    <row r="1783" spans="5:8" x14ac:dyDescent="0.2">
      <c r="E1783" s="5"/>
      <c r="F1783" s="5"/>
      <c r="G1783" s="5"/>
      <c r="H1783" s="5"/>
    </row>
    <row r="1784" spans="5:8" x14ac:dyDescent="0.2">
      <c r="E1784" s="5"/>
      <c r="F1784" s="5"/>
      <c r="G1784" s="5"/>
      <c r="H1784" s="5"/>
    </row>
    <row r="1785" spans="5:8" x14ac:dyDescent="0.2">
      <c r="E1785" s="5"/>
      <c r="F1785" s="5"/>
      <c r="G1785" s="5"/>
      <c r="H1785" s="5"/>
    </row>
    <row r="1786" spans="5:8" x14ac:dyDescent="0.2">
      <c r="E1786" s="5"/>
      <c r="F1786" s="5"/>
      <c r="G1786" s="5"/>
      <c r="H1786" s="5"/>
    </row>
    <row r="1787" spans="5:8" x14ac:dyDescent="0.2">
      <c r="E1787" s="5"/>
      <c r="F1787" s="5"/>
      <c r="G1787" s="5"/>
      <c r="H1787" s="5"/>
    </row>
    <row r="1788" spans="5:8" x14ac:dyDescent="0.2">
      <c r="E1788" s="5"/>
      <c r="F1788" s="5"/>
      <c r="G1788" s="5"/>
      <c r="H1788" s="5"/>
    </row>
    <row r="1789" spans="5:8" x14ac:dyDescent="0.2">
      <c r="E1789" s="5"/>
      <c r="F1789" s="5"/>
      <c r="G1789" s="5"/>
      <c r="H1789" s="5"/>
    </row>
    <row r="1790" spans="5:8" x14ac:dyDescent="0.2">
      <c r="E1790" s="5"/>
      <c r="F1790" s="5"/>
      <c r="G1790" s="5"/>
      <c r="H1790" s="5"/>
    </row>
    <row r="1791" spans="5:8" x14ac:dyDescent="0.2">
      <c r="E1791" s="5"/>
      <c r="F1791" s="5"/>
      <c r="G1791" s="5"/>
      <c r="H1791" s="5"/>
    </row>
    <row r="1792" spans="5:8" x14ac:dyDescent="0.2">
      <c r="E1792" s="5"/>
      <c r="F1792" s="5"/>
      <c r="G1792" s="5"/>
      <c r="H1792" s="5"/>
    </row>
    <row r="1793" spans="5:8" x14ac:dyDescent="0.2">
      <c r="E1793" s="5"/>
      <c r="F1793" s="5"/>
      <c r="G1793" s="5"/>
      <c r="H1793" s="5"/>
    </row>
    <row r="1794" spans="5:8" x14ac:dyDescent="0.2">
      <c r="E1794" s="5"/>
      <c r="F1794" s="5"/>
      <c r="G1794" s="5"/>
      <c r="H1794" s="5"/>
    </row>
    <row r="1795" spans="5:8" x14ac:dyDescent="0.2">
      <c r="E1795" s="5"/>
      <c r="F1795" s="5"/>
      <c r="G1795" s="5"/>
      <c r="H1795" s="5"/>
    </row>
    <row r="1796" spans="5:8" x14ac:dyDescent="0.2">
      <c r="E1796" s="5"/>
      <c r="F1796" s="5"/>
      <c r="G1796" s="5"/>
      <c r="H1796" s="5"/>
    </row>
    <row r="1797" spans="5:8" x14ac:dyDescent="0.2">
      <c r="E1797" s="5"/>
      <c r="F1797" s="5"/>
      <c r="G1797" s="5"/>
      <c r="H1797" s="5"/>
    </row>
    <row r="1798" spans="5:8" x14ac:dyDescent="0.2">
      <c r="E1798" s="5"/>
      <c r="F1798" s="5"/>
      <c r="G1798" s="5"/>
      <c r="H1798" s="5"/>
    </row>
    <row r="1799" spans="5:8" x14ac:dyDescent="0.2">
      <c r="E1799" s="5"/>
      <c r="F1799" s="5"/>
      <c r="G1799" s="5"/>
      <c r="H1799" s="5"/>
    </row>
    <row r="1800" spans="5:8" x14ac:dyDescent="0.2">
      <c r="E1800" s="5"/>
      <c r="F1800" s="5"/>
      <c r="G1800" s="5"/>
      <c r="H1800" s="5"/>
    </row>
    <row r="1801" spans="5:8" x14ac:dyDescent="0.2">
      <c r="E1801" s="5"/>
      <c r="F1801" s="5"/>
      <c r="G1801" s="5"/>
      <c r="H1801" s="5"/>
    </row>
    <row r="1802" spans="5:8" x14ac:dyDescent="0.2">
      <c r="E1802" s="5"/>
      <c r="F1802" s="5"/>
      <c r="G1802" s="5"/>
      <c r="H1802" s="5"/>
    </row>
    <row r="1803" spans="5:8" x14ac:dyDescent="0.2">
      <c r="E1803" s="5"/>
      <c r="F1803" s="5"/>
      <c r="G1803" s="5"/>
      <c r="H1803" s="5"/>
    </row>
    <row r="1804" spans="5:8" x14ac:dyDescent="0.2">
      <c r="E1804" s="5"/>
      <c r="F1804" s="5"/>
      <c r="G1804" s="5"/>
      <c r="H1804" s="5"/>
    </row>
    <row r="1805" spans="5:8" x14ac:dyDescent="0.2">
      <c r="E1805" s="5"/>
      <c r="F1805" s="5"/>
      <c r="G1805" s="5"/>
      <c r="H1805" s="5"/>
    </row>
    <row r="1806" spans="5:8" x14ac:dyDescent="0.2">
      <c r="E1806" s="5"/>
      <c r="F1806" s="5"/>
      <c r="G1806" s="5"/>
      <c r="H1806" s="5"/>
    </row>
    <row r="1807" spans="5:8" x14ac:dyDescent="0.2">
      <c r="E1807" s="5"/>
      <c r="F1807" s="5"/>
      <c r="G1807" s="5"/>
      <c r="H1807" s="5"/>
    </row>
    <row r="1808" spans="5:8" x14ac:dyDescent="0.2">
      <c r="E1808" s="5"/>
      <c r="F1808" s="5"/>
      <c r="G1808" s="5"/>
      <c r="H1808" s="5"/>
    </row>
    <row r="1809" spans="5:8" x14ac:dyDescent="0.2">
      <c r="E1809" s="5"/>
      <c r="F1809" s="5"/>
      <c r="G1809" s="5"/>
      <c r="H1809" s="5"/>
    </row>
    <row r="1810" spans="5:8" x14ac:dyDescent="0.2">
      <c r="E1810" s="5"/>
      <c r="F1810" s="5"/>
      <c r="G1810" s="5"/>
      <c r="H1810" s="5"/>
    </row>
    <row r="1811" spans="5:8" x14ac:dyDescent="0.2">
      <c r="E1811" s="5"/>
      <c r="F1811" s="5"/>
      <c r="G1811" s="5"/>
      <c r="H1811" s="5"/>
    </row>
    <row r="1812" spans="5:8" x14ac:dyDescent="0.2">
      <c r="E1812" s="5"/>
      <c r="F1812" s="5"/>
      <c r="G1812" s="5"/>
      <c r="H1812" s="5"/>
    </row>
    <row r="1813" spans="5:8" x14ac:dyDescent="0.2">
      <c r="E1813" s="5"/>
      <c r="F1813" s="5"/>
      <c r="G1813" s="5"/>
      <c r="H1813" s="5"/>
    </row>
    <row r="1814" spans="5:8" x14ac:dyDescent="0.2">
      <c r="E1814" s="5"/>
      <c r="F1814" s="5"/>
      <c r="G1814" s="5"/>
      <c r="H1814" s="5"/>
    </row>
    <row r="1815" spans="5:8" x14ac:dyDescent="0.2">
      <c r="E1815" s="5"/>
      <c r="F1815" s="5"/>
      <c r="G1815" s="5"/>
      <c r="H1815" s="5"/>
    </row>
    <row r="1816" spans="5:8" x14ac:dyDescent="0.2">
      <c r="E1816" s="5"/>
      <c r="F1816" s="5"/>
      <c r="G1816" s="5"/>
      <c r="H1816" s="5"/>
    </row>
    <row r="1817" spans="5:8" x14ac:dyDescent="0.2">
      <c r="E1817" s="5"/>
      <c r="F1817" s="5"/>
      <c r="G1817" s="5"/>
      <c r="H1817" s="5"/>
    </row>
    <row r="1818" spans="5:8" x14ac:dyDescent="0.2">
      <c r="E1818" s="5"/>
      <c r="F1818" s="5"/>
      <c r="G1818" s="5"/>
      <c r="H1818" s="5"/>
    </row>
    <row r="1819" spans="5:8" x14ac:dyDescent="0.2">
      <c r="E1819" s="5"/>
      <c r="F1819" s="5"/>
      <c r="G1819" s="5"/>
      <c r="H1819" s="5"/>
    </row>
    <row r="1820" spans="5:8" x14ac:dyDescent="0.2">
      <c r="E1820" s="5"/>
      <c r="F1820" s="5"/>
      <c r="G1820" s="5"/>
      <c r="H1820" s="5"/>
    </row>
    <row r="1821" spans="5:8" x14ac:dyDescent="0.2">
      <c r="E1821" s="5"/>
      <c r="F1821" s="5"/>
      <c r="G1821" s="5"/>
      <c r="H1821" s="5"/>
    </row>
    <row r="1822" spans="5:8" x14ac:dyDescent="0.2">
      <c r="E1822" s="5"/>
      <c r="F1822" s="5"/>
      <c r="G1822" s="5"/>
      <c r="H1822" s="5"/>
    </row>
    <row r="1823" spans="5:8" x14ac:dyDescent="0.2">
      <c r="E1823" s="5"/>
      <c r="F1823" s="5"/>
      <c r="G1823" s="5"/>
      <c r="H1823" s="5"/>
    </row>
    <row r="1824" spans="5:8" x14ac:dyDescent="0.2">
      <c r="E1824" s="5"/>
      <c r="F1824" s="5"/>
      <c r="G1824" s="5"/>
      <c r="H1824" s="5"/>
    </row>
    <row r="1825" spans="5:8" x14ac:dyDescent="0.2">
      <c r="E1825" s="5"/>
      <c r="F1825" s="5"/>
      <c r="G1825" s="5"/>
      <c r="H1825" s="5"/>
    </row>
    <row r="1826" spans="5:8" x14ac:dyDescent="0.2">
      <c r="E1826" s="5"/>
      <c r="F1826" s="5"/>
      <c r="G1826" s="5"/>
      <c r="H1826" s="5"/>
    </row>
    <row r="1827" spans="5:8" x14ac:dyDescent="0.2">
      <c r="E1827" s="5"/>
      <c r="F1827" s="5"/>
      <c r="G1827" s="5"/>
      <c r="H1827" s="5"/>
    </row>
    <row r="1828" spans="5:8" x14ac:dyDescent="0.2">
      <c r="E1828" s="5"/>
      <c r="F1828" s="5"/>
      <c r="G1828" s="5"/>
      <c r="H1828" s="5"/>
    </row>
    <row r="1829" spans="5:8" x14ac:dyDescent="0.2">
      <c r="E1829" s="5"/>
      <c r="F1829" s="5"/>
      <c r="G1829" s="5"/>
      <c r="H1829" s="5"/>
    </row>
    <row r="1830" spans="5:8" x14ac:dyDescent="0.2">
      <c r="E1830" s="5"/>
      <c r="F1830" s="5"/>
      <c r="G1830" s="5"/>
      <c r="H1830" s="5"/>
    </row>
    <row r="1831" spans="5:8" x14ac:dyDescent="0.2">
      <c r="E1831" s="5"/>
      <c r="F1831" s="5"/>
      <c r="G1831" s="5"/>
      <c r="H1831" s="5"/>
    </row>
    <row r="1832" spans="5:8" x14ac:dyDescent="0.2">
      <c r="E1832" s="5"/>
      <c r="F1832" s="5"/>
      <c r="G1832" s="5"/>
      <c r="H1832" s="5"/>
    </row>
    <row r="1833" spans="5:8" x14ac:dyDescent="0.2">
      <c r="E1833" s="5"/>
      <c r="F1833" s="5"/>
      <c r="G1833" s="5"/>
      <c r="H1833" s="5"/>
    </row>
    <row r="1834" spans="5:8" x14ac:dyDescent="0.2">
      <c r="E1834" s="5"/>
      <c r="F1834" s="5"/>
      <c r="G1834" s="5"/>
      <c r="H1834" s="5"/>
    </row>
    <row r="1835" spans="5:8" x14ac:dyDescent="0.2">
      <c r="E1835" s="5"/>
      <c r="F1835" s="5"/>
      <c r="G1835" s="5"/>
      <c r="H1835" s="5"/>
    </row>
    <row r="1836" spans="5:8" x14ac:dyDescent="0.2">
      <c r="E1836" s="5"/>
      <c r="F1836" s="5"/>
      <c r="G1836" s="5"/>
      <c r="H1836" s="5"/>
    </row>
    <row r="1837" spans="5:8" x14ac:dyDescent="0.2">
      <c r="E1837" s="5"/>
      <c r="F1837" s="5"/>
      <c r="G1837" s="5"/>
      <c r="H1837" s="5"/>
    </row>
    <row r="1838" spans="5:8" x14ac:dyDescent="0.2">
      <c r="E1838" s="5"/>
      <c r="F1838" s="5"/>
      <c r="G1838" s="5"/>
      <c r="H1838" s="5"/>
    </row>
    <row r="1839" spans="5:8" x14ac:dyDescent="0.2">
      <c r="E1839" s="5"/>
      <c r="F1839" s="5"/>
      <c r="G1839" s="5"/>
      <c r="H1839" s="5"/>
    </row>
    <row r="1840" spans="5:8" x14ac:dyDescent="0.2">
      <c r="E1840" s="5"/>
      <c r="F1840" s="5"/>
      <c r="G1840" s="5"/>
      <c r="H1840" s="5"/>
    </row>
    <row r="1841" spans="5:8" x14ac:dyDescent="0.2">
      <c r="E1841" s="5"/>
      <c r="F1841" s="5"/>
      <c r="G1841" s="5"/>
      <c r="H1841" s="5"/>
    </row>
    <row r="1842" spans="5:8" x14ac:dyDescent="0.2">
      <c r="E1842" s="5"/>
      <c r="F1842" s="5"/>
      <c r="G1842" s="5"/>
      <c r="H1842" s="5"/>
    </row>
    <row r="1843" spans="5:8" x14ac:dyDescent="0.2">
      <c r="E1843" s="5"/>
      <c r="F1843" s="5"/>
      <c r="G1843" s="5"/>
      <c r="H1843" s="5"/>
    </row>
    <row r="1844" spans="5:8" x14ac:dyDescent="0.2">
      <c r="E1844" s="5"/>
      <c r="F1844" s="5"/>
      <c r="G1844" s="5"/>
      <c r="H1844" s="5"/>
    </row>
    <row r="1845" spans="5:8" x14ac:dyDescent="0.2">
      <c r="E1845" s="5"/>
      <c r="F1845" s="5"/>
      <c r="G1845" s="5"/>
      <c r="H1845" s="5"/>
    </row>
    <row r="1846" spans="5:8" x14ac:dyDescent="0.2">
      <c r="E1846" s="5"/>
      <c r="F1846" s="5"/>
      <c r="G1846" s="5"/>
      <c r="H1846" s="5"/>
    </row>
    <row r="1847" spans="5:8" x14ac:dyDescent="0.2">
      <c r="E1847" s="5"/>
      <c r="F1847" s="5"/>
      <c r="G1847" s="5"/>
      <c r="H1847" s="5"/>
    </row>
    <row r="1848" spans="5:8" x14ac:dyDescent="0.2">
      <c r="E1848" s="5"/>
      <c r="F1848" s="5"/>
      <c r="G1848" s="5"/>
      <c r="H1848" s="5"/>
    </row>
    <row r="1849" spans="5:8" x14ac:dyDescent="0.2">
      <c r="E1849" s="5"/>
      <c r="F1849" s="5"/>
      <c r="G1849" s="5"/>
      <c r="H1849" s="5"/>
    </row>
    <row r="1850" spans="5:8" x14ac:dyDescent="0.2">
      <c r="E1850" s="5"/>
      <c r="F1850" s="5"/>
      <c r="G1850" s="5"/>
      <c r="H1850" s="5"/>
    </row>
    <row r="1851" spans="5:8" x14ac:dyDescent="0.2">
      <c r="E1851" s="5"/>
      <c r="F1851" s="5"/>
      <c r="G1851" s="5"/>
      <c r="H1851" s="5"/>
    </row>
    <row r="1852" spans="5:8" x14ac:dyDescent="0.2">
      <c r="E1852" s="5"/>
      <c r="F1852" s="5"/>
      <c r="G1852" s="5"/>
      <c r="H1852" s="5"/>
    </row>
    <row r="1853" spans="5:8" x14ac:dyDescent="0.2">
      <c r="E1853" s="5"/>
      <c r="F1853" s="5"/>
      <c r="G1853" s="5"/>
      <c r="H1853" s="5"/>
    </row>
    <row r="1854" spans="5:8" x14ac:dyDescent="0.2">
      <c r="E1854" s="5"/>
      <c r="F1854" s="5"/>
      <c r="G1854" s="5"/>
      <c r="H1854" s="5"/>
    </row>
    <row r="1855" spans="5:8" x14ac:dyDescent="0.2">
      <c r="E1855" s="5"/>
      <c r="F1855" s="5"/>
      <c r="G1855" s="5"/>
      <c r="H1855" s="5"/>
    </row>
    <row r="1856" spans="5:8" x14ac:dyDescent="0.2">
      <c r="E1856" s="5"/>
      <c r="F1856" s="5"/>
      <c r="G1856" s="5"/>
      <c r="H1856" s="5"/>
    </row>
    <row r="1857" spans="5:8" x14ac:dyDescent="0.2">
      <c r="E1857" s="5"/>
      <c r="F1857" s="5"/>
      <c r="G1857" s="5"/>
      <c r="H1857" s="5"/>
    </row>
    <row r="1858" spans="5:8" x14ac:dyDescent="0.2">
      <c r="E1858" s="5"/>
      <c r="F1858" s="5"/>
      <c r="G1858" s="5"/>
      <c r="H1858" s="5"/>
    </row>
    <row r="1859" spans="5:8" x14ac:dyDescent="0.2">
      <c r="E1859" s="5"/>
      <c r="F1859" s="5"/>
      <c r="G1859" s="5"/>
      <c r="H1859" s="5"/>
    </row>
    <row r="1860" spans="5:8" x14ac:dyDescent="0.2">
      <c r="E1860" s="5"/>
      <c r="F1860" s="5"/>
      <c r="G1860" s="5"/>
      <c r="H1860" s="5"/>
    </row>
    <row r="1861" spans="5:8" x14ac:dyDescent="0.2">
      <c r="E1861" s="5"/>
      <c r="F1861" s="5"/>
      <c r="G1861" s="5"/>
      <c r="H1861" s="5"/>
    </row>
    <row r="1862" spans="5:8" x14ac:dyDescent="0.2">
      <c r="E1862" s="5"/>
      <c r="F1862" s="5"/>
      <c r="G1862" s="5"/>
      <c r="H1862" s="5"/>
    </row>
    <row r="1863" spans="5:8" x14ac:dyDescent="0.2">
      <c r="E1863" s="5"/>
      <c r="F1863" s="5"/>
      <c r="G1863" s="5"/>
      <c r="H1863" s="5"/>
    </row>
    <row r="1864" spans="5:8" x14ac:dyDescent="0.2">
      <c r="E1864" s="5"/>
      <c r="F1864" s="5"/>
      <c r="G1864" s="5"/>
      <c r="H1864" s="5"/>
    </row>
    <row r="1865" spans="5:8" x14ac:dyDescent="0.2">
      <c r="E1865" s="5"/>
      <c r="F1865" s="5"/>
      <c r="G1865" s="5"/>
      <c r="H1865" s="5"/>
    </row>
    <row r="1866" spans="5:8" x14ac:dyDescent="0.2">
      <c r="E1866" s="5"/>
      <c r="F1866" s="5"/>
      <c r="G1866" s="5"/>
      <c r="H1866" s="5"/>
    </row>
    <row r="1867" spans="5:8" x14ac:dyDescent="0.2">
      <c r="E1867" s="5"/>
      <c r="F1867" s="5"/>
      <c r="G1867" s="5"/>
      <c r="H1867" s="5"/>
    </row>
    <row r="1868" spans="5:8" x14ac:dyDescent="0.2">
      <c r="E1868" s="5"/>
      <c r="F1868" s="5"/>
      <c r="G1868" s="5"/>
      <c r="H1868" s="5"/>
    </row>
    <row r="1869" spans="5:8" x14ac:dyDescent="0.2">
      <c r="E1869" s="5"/>
      <c r="F1869" s="5"/>
      <c r="G1869" s="5"/>
      <c r="H1869" s="5"/>
    </row>
    <row r="1870" spans="5:8" x14ac:dyDescent="0.2">
      <c r="E1870" s="5"/>
      <c r="F1870" s="5"/>
      <c r="G1870" s="5"/>
      <c r="H1870" s="5"/>
    </row>
    <row r="1871" spans="5:8" x14ac:dyDescent="0.2">
      <c r="E1871" s="5"/>
      <c r="F1871" s="5"/>
      <c r="G1871" s="5"/>
      <c r="H1871" s="5"/>
    </row>
    <row r="1872" spans="5:8" x14ac:dyDescent="0.2">
      <c r="E1872" s="5"/>
      <c r="F1872" s="5"/>
      <c r="G1872" s="5"/>
      <c r="H1872" s="5"/>
    </row>
    <row r="1873" spans="5:8" x14ac:dyDescent="0.2">
      <c r="E1873" s="5"/>
      <c r="F1873" s="5"/>
      <c r="G1873" s="5"/>
      <c r="H1873" s="5"/>
    </row>
    <row r="1874" spans="5:8" x14ac:dyDescent="0.2">
      <c r="E1874" s="5"/>
      <c r="F1874" s="5"/>
      <c r="G1874" s="5"/>
      <c r="H1874" s="5"/>
    </row>
    <row r="1875" spans="5:8" x14ac:dyDescent="0.2">
      <c r="E1875" s="5"/>
      <c r="F1875" s="5"/>
      <c r="G1875" s="5"/>
      <c r="H1875" s="5"/>
    </row>
    <row r="1876" spans="5:8" x14ac:dyDescent="0.2">
      <c r="E1876" s="5"/>
      <c r="F1876" s="5"/>
      <c r="G1876" s="5"/>
      <c r="H1876" s="5"/>
    </row>
    <row r="1877" spans="5:8" x14ac:dyDescent="0.2">
      <c r="E1877" s="5"/>
      <c r="F1877" s="5"/>
      <c r="G1877" s="5"/>
      <c r="H1877" s="5"/>
    </row>
    <row r="1878" spans="5:8" x14ac:dyDescent="0.2">
      <c r="E1878" s="5"/>
      <c r="F1878" s="5"/>
      <c r="G1878" s="5"/>
      <c r="H1878" s="5"/>
    </row>
    <row r="1879" spans="5:8" x14ac:dyDescent="0.2">
      <c r="E1879" s="5"/>
      <c r="F1879" s="5"/>
      <c r="G1879" s="5"/>
      <c r="H1879" s="5"/>
    </row>
    <row r="1880" spans="5:8" x14ac:dyDescent="0.2">
      <c r="E1880" s="5"/>
      <c r="F1880" s="5"/>
      <c r="G1880" s="5"/>
      <c r="H1880" s="5"/>
    </row>
    <row r="1881" spans="5:8" x14ac:dyDescent="0.2">
      <c r="E1881" s="5"/>
      <c r="F1881" s="5"/>
      <c r="G1881" s="5"/>
      <c r="H1881" s="5"/>
    </row>
    <row r="1882" spans="5:8" x14ac:dyDescent="0.2">
      <c r="E1882" s="5"/>
      <c r="F1882" s="5"/>
      <c r="G1882" s="5"/>
      <c r="H1882" s="5"/>
    </row>
    <row r="1883" spans="5:8" x14ac:dyDescent="0.2">
      <c r="E1883" s="5"/>
      <c r="F1883" s="5"/>
      <c r="G1883" s="5"/>
      <c r="H1883" s="5"/>
    </row>
    <row r="1884" spans="5:8" x14ac:dyDescent="0.2">
      <c r="E1884" s="5"/>
      <c r="F1884" s="5"/>
      <c r="G1884" s="5"/>
      <c r="H1884" s="5"/>
    </row>
    <row r="1885" spans="5:8" x14ac:dyDescent="0.2">
      <c r="E1885" s="5"/>
      <c r="F1885" s="5"/>
      <c r="G1885" s="5"/>
      <c r="H1885" s="5"/>
    </row>
    <row r="1886" spans="5:8" x14ac:dyDescent="0.2">
      <c r="E1886" s="5"/>
      <c r="F1886" s="5"/>
      <c r="G1886" s="5"/>
      <c r="H1886" s="5"/>
    </row>
    <row r="1887" spans="5:8" x14ac:dyDescent="0.2">
      <c r="E1887" s="5"/>
      <c r="F1887" s="5"/>
      <c r="G1887" s="5"/>
      <c r="H1887" s="5"/>
    </row>
    <row r="1888" spans="5:8" x14ac:dyDescent="0.2">
      <c r="E1888" s="5"/>
      <c r="F1888" s="5"/>
      <c r="G1888" s="5"/>
      <c r="H1888" s="5"/>
    </row>
    <row r="1889" spans="5:8" x14ac:dyDescent="0.2">
      <c r="E1889" s="5"/>
      <c r="F1889" s="5"/>
      <c r="G1889" s="5"/>
      <c r="H1889" s="5"/>
    </row>
    <row r="1890" spans="5:8" x14ac:dyDescent="0.2">
      <c r="E1890" s="5"/>
      <c r="F1890" s="5"/>
      <c r="G1890" s="5"/>
      <c r="H1890" s="5"/>
    </row>
    <row r="1891" spans="5:8" x14ac:dyDescent="0.2">
      <c r="E1891" s="5"/>
      <c r="F1891" s="5"/>
      <c r="G1891" s="5"/>
      <c r="H1891" s="5"/>
    </row>
    <row r="1892" spans="5:8" x14ac:dyDescent="0.2">
      <c r="E1892" s="5"/>
      <c r="F1892" s="5"/>
      <c r="G1892" s="5"/>
      <c r="H1892" s="5"/>
    </row>
    <row r="1893" spans="5:8" x14ac:dyDescent="0.2">
      <c r="E1893" s="5"/>
      <c r="F1893" s="5"/>
      <c r="G1893" s="5"/>
      <c r="H1893" s="5"/>
    </row>
    <row r="1894" spans="5:8" x14ac:dyDescent="0.2">
      <c r="E1894" s="5"/>
      <c r="F1894" s="5"/>
      <c r="G1894" s="5"/>
      <c r="H1894" s="5"/>
    </row>
    <row r="1895" spans="5:8" x14ac:dyDescent="0.2">
      <c r="E1895" s="5"/>
      <c r="F1895" s="5"/>
      <c r="G1895" s="5"/>
      <c r="H1895" s="5"/>
    </row>
    <row r="1896" spans="5:8" x14ac:dyDescent="0.2">
      <c r="E1896" s="5"/>
      <c r="F1896" s="5"/>
      <c r="G1896" s="5"/>
      <c r="H1896" s="5"/>
    </row>
    <row r="1897" spans="5:8" x14ac:dyDescent="0.2">
      <c r="E1897" s="5"/>
      <c r="F1897" s="5"/>
      <c r="G1897" s="5"/>
      <c r="H1897" s="5"/>
    </row>
    <row r="1898" spans="5:8" x14ac:dyDescent="0.2">
      <c r="E1898" s="5"/>
      <c r="F1898" s="5"/>
      <c r="G1898" s="5"/>
      <c r="H1898" s="5"/>
    </row>
    <row r="1899" spans="5:8" x14ac:dyDescent="0.2">
      <c r="E1899" s="5"/>
      <c r="F1899" s="5"/>
      <c r="G1899" s="5"/>
      <c r="H1899" s="5"/>
    </row>
    <row r="1900" spans="5:8" x14ac:dyDescent="0.2">
      <c r="E1900" s="5"/>
      <c r="F1900" s="5"/>
      <c r="G1900" s="5"/>
      <c r="H1900" s="5"/>
    </row>
    <row r="1901" spans="5:8" x14ac:dyDescent="0.2">
      <c r="E1901" s="5"/>
      <c r="F1901" s="5"/>
      <c r="G1901" s="5"/>
      <c r="H1901" s="5"/>
    </row>
    <row r="1902" spans="5:8" x14ac:dyDescent="0.2">
      <c r="E1902" s="5"/>
      <c r="F1902" s="5"/>
      <c r="G1902" s="5"/>
      <c r="H1902" s="5"/>
    </row>
    <row r="1903" spans="5:8" x14ac:dyDescent="0.2">
      <c r="E1903" s="5"/>
      <c r="F1903" s="5"/>
      <c r="G1903" s="5"/>
      <c r="H1903" s="5"/>
    </row>
    <row r="1904" spans="5:8" x14ac:dyDescent="0.2">
      <c r="E1904" s="5"/>
      <c r="F1904" s="5"/>
      <c r="G1904" s="5"/>
      <c r="H1904" s="5"/>
    </row>
    <row r="1905" spans="5:8" x14ac:dyDescent="0.2">
      <c r="E1905" s="5"/>
      <c r="F1905" s="5"/>
      <c r="G1905" s="5"/>
      <c r="H1905" s="5"/>
    </row>
    <row r="1906" spans="5:8" x14ac:dyDescent="0.2">
      <c r="E1906" s="5"/>
      <c r="F1906" s="5"/>
      <c r="G1906" s="5"/>
      <c r="H1906" s="5"/>
    </row>
    <row r="1907" spans="5:8" x14ac:dyDescent="0.2">
      <c r="E1907" s="5"/>
      <c r="F1907" s="5"/>
      <c r="G1907" s="5"/>
      <c r="H1907" s="5"/>
    </row>
    <row r="1908" spans="5:8" x14ac:dyDescent="0.2">
      <c r="E1908" s="5"/>
      <c r="F1908" s="5"/>
      <c r="G1908" s="5"/>
      <c r="H1908" s="5"/>
    </row>
    <row r="1909" spans="5:8" x14ac:dyDescent="0.2">
      <c r="E1909" s="5"/>
      <c r="F1909" s="5"/>
      <c r="G1909" s="5"/>
      <c r="H1909" s="5"/>
    </row>
    <row r="1910" spans="5:8" x14ac:dyDescent="0.2">
      <c r="E1910" s="5"/>
      <c r="F1910" s="5"/>
      <c r="G1910" s="5"/>
      <c r="H1910" s="5"/>
    </row>
    <row r="1911" spans="5:8" x14ac:dyDescent="0.2">
      <c r="E1911" s="5"/>
      <c r="F1911" s="5"/>
      <c r="G1911" s="5"/>
      <c r="H1911" s="5"/>
    </row>
    <row r="1912" spans="5:8" x14ac:dyDescent="0.2">
      <c r="E1912" s="5"/>
      <c r="F1912" s="5"/>
      <c r="G1912" s="5"/>
      <c r="H1912" s="5"/>
    </row>
    <row r="1913" spans="5:8" x14ac:dyDescent="0.2">
      <c r="E1913" s="5"/>
      <c r="F1913" s="5"/>
      <c r="G1913" s="5"/>
      <c r="H1913" s="5"/>
    </row>
    <row r="1914" spans="5:8" x14ac:dyDescent="0.2">
      <c r="E1914" s="5"/>
      <c r="F1914" s="5"/>
      <c r="G1914" s="5"/>
      <c r="H1914" s="5"/>
    </row>
    <row r="1915" spans="5:8" x14ac:dyDescent="0.2">
      <c r="E1915" s="5"/>
      <c r="F1915" s="5"/>
      <c r="G1915" s="5"/>
      <c r="H1915" s="5"/>
    </row>
    <row r="1916" spans="5:8" x14ac:dyDescent="0.2">
      <c r="E1916" s="5"/>
      <c r="F1916" s="5"/>
      <c r="G1916" s="5"/>
      <c r="H1916" s="5"/>
    </row>
    <row r="1917" spans="5:8" x14ac:dyDescent="0.2">
      <c r="E1917" s="5"/>
      <c r="F1917" s="5"/>
      <c r="G1917" s="5"/>
      <c r="H1917" s="5"/>
    </row>
    <row r="1918" spans="5:8" x14ac:dyDescent="0.2">
      <c r="E1918" s="5"/>
      <c r="F1918" s="5"/>
      <c r="G1918" s="5"/>
      <c r="H1918" s="5"/>
    </row>
    <row r="1919" spans="5:8" x14ac:dyDescent="0.2">
      <c r="E1919" s="5"/>
      <c r="F1919" s="5"/>
      <c r="G1919" s="5"/>
      <c r="H1919" s="5"/>
    </row>
    <row r="1920" spans="5:8" x14ac:dyDescent="0.2">
      <c r="E1920" s="5"/>
      <c r="F1920" s="5"/>
      <c r="G1920" s="5"/>
      <c r="H1920" s="5"/>
    </row>
    <row r="1921" spans="5:8" x14ac:dyDescent="0.2">
      <c r="E1921" s="5"/>
      <c r="F1921" s="5"/>
      <c r="G1921" s="5"/>
      <c r="H1921" s="5"/>
    </row>
    <row r="1922" spans="5:8" x14ac:dyDescent="0.2">
      <c r="E1922" s="5"/>
      <c r="F1922" s="5"/>
      <c r="G1922" s="5"/>
      <c r="H1922" s="5"/>
    </row>
    <row r="1923" spans="5:8" x14ac:dyDescent="0.2">
      <c r="E1923" s="5"/>
      <c r="F1923" s="5"/>
      <c r="G1923" s="5"/>
      <c r="H1923" s="5"/>
    </row>
    <row r="1924" spans="5:8" x14ac:dyDescent="0.2">
      <c r="E1924" s="5"/>
      <c r="F1924" s="5"/>
      <c r="G1924" s="5"/>
      <c r="H1924" s="5"/>
    </row>
    <row r="1925" spans="5:8" x14ac:dyDescent="0.2">
      <c r="E1925" s="5"/>
      <c r="F1925" s="5"/>
      <c r="G1925" s="5"/>
      <c r="H1925" s="5"/>
    </row>
    <row r="1926" spans="5:8" x14ac:dyDescent="0.2">
      <c r="E1926" s="5"/>
      <c r="F1926" s="5"/>
      <c r="G1926" s="5"/>
      <c r="H1926" s="5"/>
    </row>
    <row r="1927" spans="5:8" x14ac:dyDescent="0.2">
      <c r="E1927" s="5"/>
      <c r="F1927" s="5"/>
      <c r="G1927" s="5"/>
      <c r="H1927" s="5"/>
    </row>
    <row r="1928" spans="5:8" x14ac:dyDescent="0.2">
      <c r="E1928" s="5"/>
      <c r="F1928" s="5"/>
      <c r="G1928" s="5"/>
      <c r="H1928" s="5"/>
    </row>
    <row r="1929" spans="5:8" x14ac:dyDescent="0.2">
      <c r="E1929" s="5"/>
      <c r="F1929" s="5"/>
      <c r="G1929" s="5"/>
      <c r="H1929" s="5"/>
    </row>
    <row r="1930" spans="5:8" x14ac:dyDescent="0.2">
      <c r="E1930" s="5"/>
      <c r="F1930" s="5"/>
      <c r="G1930" s="5"/>
      <c r="H1930" s="5"/>
    </row>
    <row r="1931" spans="5:8" x14ac:dyDescent="0.2">
      <c r="E1931" s="5"/>
      <c r="F1931" s="5"/>
      <c r="G1931" s="5"/>
      <c r="H1931" s="5"/>
    </row>
    <row r="1932" spans="5:8" x14ac:dyDescent="0.2">
      <c r="E1932" s="5"/>
      <c r="F1932" s="5"/>
      <c r="G1932" s="5"/>
      <c r="H1932" s="5"/>
    </row>
    <row r="1933" spans="5:8" x14ac:dyDescent="0.2">
      <c r="E1933" s="5"/>
      <c r="F1933" s="5"/>
      <c r="G1933" s="5"/>
      <c r="H1933" s="5"/>
    </row>
    <row r="1934" spans="5:8" x14ac:dyDescent="0.2">
      <c r="E1934" s="5"/>
      <c r="F1934" s="5"/>
      <c r="G1934" s="5"/>
      <c r="H1934" s="5"/>
    </row>
    <row r="1935" spans="5:8" x14ac:dyDescent="0.2">
      <c r="E1935" s="5"/>
      <c r="F1935" s="5"/>
      <c r="G1935" s="5"/>
      <c r="H1935" s="5"/>
    </row>
    <row r="1936" spans="5:8" x14ac:dyDescent="0.2">
      <c r="E1936" s="5"/>
      <c r="F1936" s="5"/>
      <c r="G1936" s="5"/>
      <c r="H1936" s="5"/>
    </row>
    <row r="1937" spans="5:8" x14ac:dyDescent="0.2">
      <c r="E1937" s="5"/>
      <c r="F1937" s="5"/>
      <c r="G1937" s="5"/>
      <c r="H1937" s="5"/>
    </row>
    <row r="1938" spans="5:8" x14ac:dyDescent="0.2">
      <c r="E1938" s="5"/>
      <c r="F1938" s="5"/>
      <c r="G1938" s="5"/>
      <c r="H1938" s="5"/>
    </row>
    <row r="1939" spans="5:8" x14ac:dyDescent="0.2">
      <c r="E1939" s="5"/>
      <c r="F1939" s="5"/>
      <c r="G1939" s="5"/>
      <c r="H1939" s="5"/>
    </row>
    <row r="1940" spans="5:8" x14ac:dyDescent="0.2">
      <c r="E1940" s="5"/>
      <c r="F1940" s="5"/>
      <c r="G1940" s="5"/>
      <c r="H1940" s="5"/>
    </row>
    <row r="1941" spans="5:8" x14ac:dyDescent="0.2">
      <c r="E1941" s="5"/>
      <c r="F1941" s="5"/>
      <c r="G1941" s="5"/>
      <c r="H1941" s="5"/>
    </row>
    <row r="1942" spans="5:8" x14ac:dyDescent="0.2">
      <c r="E1942" s="5"/>
      <c r="F1942" s="5"/>
      <c r="G1942" s="5"/>
      <c r="H1942" s="5"/>
    </row>
    <row r="1943" spans="5:8" x14ac:dyDescent="0.2">
      <c r="E1943" s="5"/>
      <c r="F1943" s="5"/>
      <c r="G1943" s="5"/>
      <c r="H1943" s="5"/>
    </row>
    <row r="1944" spans="5:8" x14ac:dyDescent="0.2">
      <c r="E1944" s="5"/>
      <c r="F1944" s="5"/>
      <c r="G1944" s="5"/>
      <c r="H1944" s="5"/>
    </row>
    <row r="1945" spans="5:8" x14ac:dyDescent="0.2">
      <c r="E1945" s="5"/>
      <c r="F1945" s="5"/>
      <c r="G1945" s="5"/>
      <c r="H1945" s="5"/>
    </row>
    <row r="1946" spans="5:8" x14ac:dyDescent="0.2">
      <c r="E1946" s="5"/>
      <c r="F1946" s="5"/>
      <c r="G1946" s="5"/>
      <c r="H1946" s="5"/>
    </row>
    <row r="1947" spans="5:8" x14ac:dyDescent="0.2">
      <c r="E1947" s="5"/>
      <c r="F1947" s="5"/>
      <c r="G1947" s="5"/>
      <c r="H1947" s="5"/>
    </row>
    <row r="1948" spans="5:8" x14ac:dyDescent="0.2">
      <c r="E1948" s="5"/>
      <c r="F1948" s="5"/>
      <c r="G1948" s="5"/>
      <c r="H1948" s="5"/>
    </row>
    <row r="1949" spans="5:8" x14ac:dyDescent="0.2">
      <c r="E1949" s="5"/>
      <c r="F1949" s="5"/>
      <c r="G1949" s="5"/>
      <c r="H1949" s="5"/>
    </row>
    <row r="1950" spans="5:8" x14ac:dyDescent="0.2">
      <c r="E1950" s="5"/>
      <c r="F1950" s="5"/>
      <c r="G1950" s="5"/>
      <c r="H1950" s="5"/>
    </row>
    <row r="1951" spans="5:8" x14ac:dyDescent="0.2">
      <c r="E1951" s="5"/>
      <c r="F1951" s="5"/>
      <c r="G1951" s="5"/>
      <c r="H1951" s="5"/>
    </row>
    <row r="1952" spans="5:8" x14ac:dyDescent="0.2">
      <c r="E1952" s="5"/>
      <c r="F1952" s="5"/>
      <c r="G1952" s="5"/>
      <c r="H1952" s="5"/>
    </row>
    <row r="1953" spans="5:8" x14ac:dyDescent="0.2">
      <c r="E1953" s="5"/>
      <c r="F1953" s="5"/>
      <c r="G1953" s="5"/>
      <c r="H1953" s="5"/>
    </row>
    <row r="1954" spans="5:8" x14ac:dyDescent="0.2">
      <c r="E1954" s="5"/>
      <c r="F1954" s="5"/>
      <c r="G1954" s="5"/>
      <c r="H1954" s="5"/>
    </row>
    <row r="1955" spans="5:8" x14ac:dyDescent="0.2">
      <c r="E1955" s="5"/>
      <c r="F1955" s="5"/>
      <c r="G1955" s="5"/>
      <c r="H1955" s="5"/>
    </row>
    <row r="1956" spans="5:8" x14ac:dyDescent="0.2">
      <c r="E1956" s="5"/>
      <c r="F1956" s="5"/>
      <c r="G1956" s="5"/>
      <c r="H1956" s="5"/>
    </row>
    <row r="1957" spans="5:8" x14ac:dyDescent="0.2">
      <c r="E1957" s="5"/>
      <c r="F1957" s="5"/>
      <c r="G1957" s="5"/>
      <c r="H1957" s="5"/>
    </row>
    <row r="1958" spans="5:8" x14ac:dyDescent="0.2">
      <c r="E1958" s="5"/>
      <c r="F1958" s="5"/>
      <c r="G1958" s="5"/>
      <c r="H1958" s="5"/>
    </row>
    <row r="1959" spans="5:8" x14ac:dyDescent="0.2">
      <c r="E1959" s="5"/>
      <c r="F1959" s="5"/>
      <c r="G1959" s="5"/>
      <c r="H1959" s="5"/>
    </row>
    <row r="1960" spans="5:8" x14ac:dyDescent="0.2">
      <c r="E1960" s="5"/>
      <c r="F1960" s="5"/>
      <c r="G1960" s="5"/>
      <c r="H1960" s="5"/>
    </row>
    <row r="1961" spans="5:8" x14ac:dyDescent="0.2">
      <c r="E1961" s="5"/>
      <c r="F1961" s="5"/>
      <c r="G1961" s="5"/>
      <c r="H1961" s="5"/>
    </row>
    <row r="1962" spans="5:8" x14ac:dyDescent="0.2">
      <c r="E1962" s="5"/>
      <c r="F1962" s="5"/>
      <c r="G1962" s="5"/>
      <c r="H1962" s="5"/>
    </row>
    <row r="1963" spans="5:8" x14ac:dyDescent="0.2">
      <c r="E1963" s="5"/>
      <c r="F1963" s="5"/>
      <c r="G1963" s="5"/>
      <c r="H1963" s="5"/>
    </row>
    <row r="1964" spans="5:8" x14ac:dyDescent="0.2">
      <c r="E1964" s="5"/>
      <c r="F1964" s="5"/>
      <c r="G1964" s="5"/>
      <c r="H1964" s="5"/>
    </row>
    <row r="1965" spans="5:8" x14ac:dyDescent="0.2">
      <c r="E1965" s="5"/>
      <c r="F1965" s="5"/>
      <c r="G1965" s="5"/>
      <c r="H1965" s="5"/>
    </row>
    <row r="1966" spans="5:8" x14ac:dyDescent="0.2">
      <c r="E1966" s="5"/>
      <c r="F1966" s="5"/>
      <c r="G1966" s="5"/>
      <c r="H1966" s="5"/>
    </row>
    <row r="1967" spans="5:8" x14ac:dyDescent="0.2">
      <c r="E1967" s="5"/>
      <c r="F1967" s="5"/>
      <c r="G1967" s="5"/>
      <c r="H1967" s="5"/>
    </row>
    <row r="1968" spans="5:8" x14ac:dyDescent="0.2">
      <c r="E1968" s="5"/>
      <c r="F1968" s="5"/>
      <c r="G1968" s="5"/>
      <c r="H1968" s="5"/>
    </row>
    <row r="1969" spans="5:8" x14ac:dyDescent="0.2">
      <c r="E1969" s="5"/>
      <c r="F1969" s="5"/>
      <c r="G1969" s="5"/>
      <c r="H1969" s="5"/>
    </row>
    <row r="1970" spans="5:8" x14ac:dyDescent="0.2">
      <c r="E1970" s="5"/>
      <c r="F1970" s="5"/>
      <c r="G1970" s="5"/>
      <c r="H1970" s="5"/>
    </row>
    <row r="1971" spans="5:8" x14ac:dyDescent="0.2">
      <c r="E1971" s="5"/>
      <c r="F1971" s="5"/>
      <c r="G1971" s="5"/>
      <c r="H1971" s="5"/>
    </row>
    <row r="1972" spans="5:8" x14ac:dyDescent="0.2">
      <c r="E1972" s="5"/>
      <c r="F1972" s="5"/>
      <c r="G1972" s="5"/>
      <c r="H1972" s="5"/>
    </row>
    <row r="1973" spans="5:8" x14ac:dyDescent="0.2">
      <c r="E1973" s="5"/>
      <c r="F1973" s="5"/>
      <c r="G1973" s="5"/>
      <c r="H1973" s="5"/>
    </row>
    <row r="1974" spans="5:8" x14ac:dyDescent="0.2">
      <c r="E1974" s="5"/>
      <c r="F1974" s="5"/>
      <c r="G1974" s="5"/>
      <c r="H1974" s="5"/>
    </row>
    <row r="1975" spans="5:8" x14ac:dyDescent="0.2">
      <c r="E1975" s="5"/>
      <c r="F1975" s="5"/>
      <c r="G1975" s="5"/>
      <c r="H1975" s="5"/>
    </row>
    <row r="1976" spans="5:8" x14ac:dyDescent="0.2">
      <c r="E1976" s="5"/>
      <c r="F1976" s="5"/>
      <c r="G1976" s="5"/>
      <c r="H1976" s="5"/>
    </row>
    <row r="1977" spans="5:8" x14ac:dyDescent="0.2">
      <c r="E1977" s="5"/>
      <c r="F1977" s="5"/>
      <c r="G1977" s="5"/>
      <c r="H1977" s="5"/>
    </row>
    <row r="1978" spans="5:8" x14ac:dyDescent="0.2">
      <c r="E1978" s="5"/>
      <c r="F1978" s="5"/>
      <c r="G1978" s="5"/>
      <c r="H1978" s="5"/>
    </row>
    <row r="1979" spans="5:8" x14ac:dyDescent="0.2">
      <c r="E1979" s="5"/>
      <c r="F1979" s="5"/>
      <c r="G1979" s="5"/>
      <c r="H1979" s="5"/>
    </row>
    <row r="1980" spans="5:8" x14ac:dyDescent="0.2">
      <c r="E1980" s="5"/>
      <c r="F1980" s="5"/>
      <c r="G1980" s="5"/>
      <c r="H1980" s="5"/>
    </row>
    <row r="1981" spans="5:8" x14ac:dyDescent="0.2">
      <c r="E1981" s="5"/>
      <c r="F1981" s="5"/>
      <c r="G1981" s="5"/>
      <c r="H1981" s="5"/>
    </row>
    <row r="1982" spans="5:8" x14ac:dyDescent="0.2">
      <c r="E1982" s="5"/>
      <c r="F1982" s="5"/>
      <c r="G1982" s="5"/>
      <c r="H1982" s="5"/>
    </row>
    <row r="1983" spans="5:8" x14ac:dyDescent="0.2">
      <c r="E1983" s="5"/>
      <c r="F1983" s="5"/>
      <c r="G1983" s="5"/>
      <c r="H1983" s="5"/>
    </row>
    <row r="1984" spans="5:8" x14ac:dyDescent="0.2">
      <c r="E1984" s="5"/>
      <c r="F1984" s="5"/>
      <c r="G1984" s="5"/>
      <c r="H1984" s="5"/>
    </row>
    <row r="1985" spans="5:8" x14ac:dyDescent="0.2">
      <c r="E1985" s="5"/>
      <c r="F1985" s="5"/>
      <c r="G1985" s="5"/>
      <c r="H1985" s="5"/>
    </row>
    <row r="1986" spans="5:8" x14ac:dyDescent="0.2">
      <c r="E1986" s="5"/>
      <c r="F1986" s="5"/>
      <c r="G1986" s="5"/>
      <c r="H1986" s="5"/>
    </row>
    <row r="1987" spans="5:8" x14ac:dyDescent="0.2">
      <c r="E1987" s="5"/>
      <c r="F1987" s="5"/>
      <c r="G1987" s="5"/>
      <c r="H1987" s="5"/>
    </row>
    <row r="1988" spans="5:8" x14ac:dyDescent="0.2">
      <c r="E1988" s="5"/>
      <c r="F1988" s="5"/>
      <c r="G1988" s="5"/>
      <c r="H1988" s="5"/>
    </row>
    <row r="1989" spans="5:8" x14ac:dyDescent="0.2">
      <c r="E1989" s="5"/>
      <c r="F1989" s="5"/>
      <c r="G1989" s="5"/>
      <c r="H1989" s="5"/>
    </row>
    <row r="1990" spans="5:8" x14ac:dyDescent="0.2">
      <c r="E1990" s="5"/>
      <c r="F1990" s="5"/>
      <c r="G1990" s="5"/>
      <c r="H1990" s="5"/>
    </row>
    <row r="1991" spans="5:8" x14ac:dyDescent="0.2">
      <c r="E1991" s="5"/>
      <c r="F1991" s="5"/>
      <c r="G1991" s="5"/>
      <c r="H1991" s="5"/>
    </row>
    <row r="1992" spans="5:8" x14ac:dyDescent="0.2">
      <c r="E1992" s="5"/>
      <c r="F1992" s="5"/>
      <c r="G1992" s="5"/>
      <c r="H1992" s="5"/>
    </row>
    <row r="1993" spans="5:8" x14ac:dyDescent="0.2">
      <c r="E1993" s="5"/>
      <c r="F1993" s="5"/>
      <c r="G1993" s="5"/>
      <c r="H1993" s="5"/>
    </row>
    <row r="1994" spans="5:8" x14ac:dyDescent="0.2">
      <c r="E1994" s="5"/>
      <c r="F1994" s="5"/>
      <c r="G1994" s="5"/>
      <c r="H1994" s="5"/>
    </row>
    <row r="1995" spans="5:8" x14ac:dyDescent="0.2">
      <c r="E1995" s="5"/>
      <c r="F1995" s="5"/>
      <c r="G1995" s="5"/>
      <c r="H1995" s="5"/>
    </row>
    <row r="1996" spans="5:8" x14ac:dyDescent="0.2">
      <c r="E1996" s="5"/>
      <c r="F1996" s="5"/>
      <c r="G1996" s="5"/>
      <c r="H1996" s="5"/>
    </row>
    <row r="1997" spans="5:8" x14ac:dyDescent="0.2">
      <c r="E1997" s="5"/>
      <c r="F1997" s="5"/>
      <c r="G1997" s="5"/>
      <c r="H1997" s="5"/>
    </row>
    <row r="1998" spans="5:8" x14ac:dyDescent="0.2">
      <c r="E1998" s="5"/>
      <c r="F1998" s="5"/>
      <c r="G1998" s="5"/>
      <c r="H1998" s="5"/>
    </row>
    <row r="1999" spans="5:8" x14ac:dyDescent="0.2">
      <c r="E1999" s="5"/>
      <c r="F1999" s="5"/>
      <c r="G1999" s="5"/>
      <c r="H1999" s="5"/>
    </row>
    <row r="2000" spans="5:8" x14ac:dyDescent="0.2">
      <c r="E2000" s="5"/>
      <c r="F2000" s="5"/>
      <c r="G2000" s="5"/>
      <c r="H2000" s="5"/>
    </row>
    <row r="2001" spans="5:8" x14ac:dyDescent="0.2">
      <c r="E2001" s="5"/>
      <c r="F2001" s="5"/>
      <c r="G2001" s="5"/>
      <c r="H2001" s="5"/>
    </row>
    <row r="2002" spans="5:8" x14ac:dyDescent="0.2">
      <c r="E2002" s="5"/>
      <c r="F2002" s="5"/>
      <c r="G2002" s="5"/>
      <c r="H2002" s="5"/>
    </row>
    <row r="2003" spans="5:8" x14ac:dyDescent="0.2">
      <c r="E2003" s="5"/>
      <c r="F2003" s="5"/>
      <c r="G2003" s="5"/>
      <c r="H2003" s="5"/>
    </row>
    <row r="2004" spans="5:8" x14ac:dyDescent="0.2">
      <c r="E2004" s="5"/>
      <c r="F2004" s="5"/>
      <c r="G2004" s="5"/>
      <c r="H2004" s="5"/>
    </row>
    <row r="2005" spans="5:8" x14ac:dyDescent="0.2">
      <c r="E2005" s="5"/>
      <c r="F2005" s="5"/>
      <c r="G2005" s="5"/>
      <c r="H2005" s="5"/>
    </row>
    <row r="2006" spans="5:8" x14ac:dyDescent="0.2">
      <c r="E2006" s="5"/>
      <c r="F2006" s="5"/>
      <c r="G2006" s="5"/>
      <c r="H2006" s="5"/>
    </row>
    <row r="2007" spans="5:8" x14ac:dyDescent="0.2">
      <c r="E2007" s="5"/>
      <c r="F2007" s="5"/>
      <c r="G2007" s="5"/>
      <c r="H2007" s="5"/>
    </row>
    <row r="2008" spans="5:8" x14ac:dyDescent="0.2">
      <c r="E2008" s="5"/>
      <c r="F2008" s="5"/>
      <c r="G2008" s="5"/>
      <c r="H2008" s="5"/>
    </row>
    <row r="2009" spans="5:8" x14ac:dyDescent="0.2">
      <c r="E2009" s="5"/>
      <c r="F2009" s="5"/>
      <c r="G2009" s="5"/>
      <c r="H2009" s="5"/>
    </row>
    <row r="2010" spans="5:8" x14ac:dyDescent="0.2">
      <c r="E2010" s="5"/>
      <c r="F2010" s="5"/>
      <c r="G2010" s="5"/>
      <c r="H2010" s="5"/>
    </row>
    <row r="2011" spans="5:8" x14ac:dyDescent="0.2">
      <c r="E2011" s="5"/>
      <c r="F2011" s="5"/>
      <c r="G2011" s="5"/>
      <c r="H2011" s="5"/>
    </row>
    <row r="2012" spans="5:8" x14ac:dyDescent="0.2">
      <c r="E2012" s="5"/>
      <c r="F2012" s="5"/>
      <c r="G2012" s="5"/>
      <c r="H2012" s="5"/>
    </row>
    <row r="2013" spans="5:8" x14ac:dyDescent="0.2">
      <c r="E2013" s="5"/>
      <c r="F2013" s="5"/>
      <c r="G2013" s="5"/>
      <c r="H2013" s="5"/>
    </row>
    <row r="2014" spans="5:8" x14ac:dyDescent="0.2">
      <c r="E2014" s="5"/>
      <c r="F2014" s="5"/>
      <c r="G2014" s="5"/>
      <c r="H2014" s="5"/>
    </row>
    <row r="2015" spans="5:8" x14ac:dyDescent="0.2">
      <c r="E2015" s="5"/>
      <c r="F2015" s="5"/>
      <c r="G2015" s="5"/>
      <c r="H2015" s="5"/>
    </row>
    <row r="2016" spans="5:8" x14ac:dyDescent="0.2">
      <c r="E2016" s="5"/>
      <c r="F2016" s="5"/>
      <c r="G2016" s="5"/>
      <c r="H2016" s="5"/>
    </row>
    <row r="2017" spans="5:8" x14ac:dyDescent="0.2">
      <c r="E2017" s="5"/>
      <c r="F2017" s="5"/>
      <c r="G2017" s="5"/>
      <c r="H2017" s="5"/>
    </row>
    <row r="2018" spans="5:8" x14ac:dyDescent="0.2">
      <c r="E2018" s="5"/>
      <c r="F2018" s="5"/>
      <c r="G2018" s="5"/>
      <c r="H2018" s="5"/>
    </row>
    <row r="2019" spans="5:8" x14ac:dyDescent="0.2">
      <c r="E2019" s="5"/>
      <c r="F2019" s="5"/>
      <c r="G2019" s="5"/>
      <c r="H2019" s="5"/>
    </row>
    <row r="2020" spans="5:8" x14ac:dyDescent="0.2">
      <c r="E2020" s="5"/>
      <c r="F2020" s="5"/>
      <c r="G2020" s="5"/>
      <c r="H2020" s="5"/>
    </row>
    <row r="2021" spans="5:8" x14ac:dyDescent="0.2">
      <c r="E2021" s="5"/>
      <c r="F2021" s="5"/>
      <c r="G2021" s="5"/>
      <c r="H2021" s="5"/>
    </row>
    <row r="2022" spans="5:8" x14ac:dyDescent="0.2">
      <c r="E2022" s="5"/>
      <c r="F2022" s="5"/>
      <c r="G2022" s="5"/>
      <c r="H2022" s="5"/>
    </row>
    <row r="2023" spans="5:8" x14ac:dyDescent="0.2">
      <c r="E2023" s="5"/>
      <c r="F2023" s="5"/>
      <c r="G2023" s="5"/>
      <c r="H2023" s="5"/>
    </row>
    <row r="2024" spans="5:8" x14ac:dyDescent="0.2">
      <c r="E2024" s="5"/>
      <c r="F2024" s="5"/>
      <c r="G2024" s="5"/>
      <c r="H2024" s="5"/>
    </row>
    <row r="2025" spans="5:8" x14ac:dyDescent="0.2">
      <c r="E2025" s="5"/>
      <c r="F2025" s="5"/>
      <c r="G2025" s="5"/>
      <c r="H2025" s="5"/>
    </row>
    <row r="2026" spans="5:8" x14ac:dyDescent="0.2">
      <c r="E2026" s="5"/>
      <c r="F2026" s="5"/>
      <c r="G2026" s="5"/>
      <c r="H2026" s="5"/>
    </row>
    <row r="2027" spans="5:8" x14ac:dyDescent="0.2">
      <c r="E2027" s="5"/>
      <c r="F2027" s="5"/>
      <c r="G2027" s="5"/>
      <c r="H2027" s="5"/>
    </row>
    <row r="2028" spans="5:8" x14ac:dyDescent="0.2">
      <c r="E2028" s="5"/>
      <c r="F2028" s="5"/>
      <c r="G2028" s="5"/>
      <c r="H2028" s="5"/>
    </row>
    <row r="2029" spans="5:8" x14ac:dyDescent="0.2">
      <c r="E2029" s="5"/>
      <c r="F2029" s="5"/>
      <c r="G2029" s="5"/>
      <c r="H2029" s="5"/>
    </row>
    <row r="2030" spans="5:8" x14ac:dyDescent="0.2">
      <c r="E2030" s="5"/>
      <c r="F2030" s="5"/>
      <c r="G2030" s="5"/>
      <c r="H2030" s="5"/>
    </row>
    <row r="2031" spans="5:8" x14ac:dyDescent="0.2">
      <c r="E2031" s="5"/>
      <c r="F2031" s="5"/>
      <c r="G2031" s="5"/>
      <c r="H2031" s="5"/>
    </row>
    <row r="2032" spans="5:8" x14ac:dyDescent="0.2">
      <c r="E2032" s="5"/>
      <c r="F2032" s="5"/>
      <c r="G2032" s="5"/>
      <c r="H2032" s="5"/>
    </row>
    <row r="2033" spans="5:8" x14ac:dyDescent="0.2">
      <c r="E2033" s="5"/>
      <c r="F2033" s="5"/>
      <c r="G2033" s="5"/>
      <c r="H2033" s="5"/>
    </row>
    <row r="2034" spans="5:8" x14ac:dyDescent="0.2">
      <c r="E2034" s="5"/>
      <c r="F2034" s="5"/>
      <c r="G2034" s="5"/>
      <c r="H2034" s="5"/>
    </row>
    <row r="2035" spans="5:8" x14ac:dyDescent="0.2">
      <c r="E2035" s="5"/>
      <c r="F2035" s="5"/>
      <c r="G2035" s="5"/>
      <c r="H2035" s="5"/>
    </row>
    <row r="2036" spans="5:8" x14ac:dyDescent="0.2">
      <c r="E2036" s="5"/>
      <c r="F2036" s="5"/>
      <c r="G2036" s="5"/>
      <c r="H2036" s="5"/>
    </row>
    <row r="2037" spans="5:8" x14ac:dyDescent="0.2">
      <c r="E2037" s="5"/>
      <c r="F2037" s="5"/>
      <c r="G2037" s="5"/>
      <c r="H2037" s="5"/>
    </row>
    <row r="2038" spans="5:8" x14ac:dyDescent="0.2">
      <c r="E2038" s="5"/>
      <c r="F2038" s="5"/>
      <c r="G2038" s="5"/>
      <c r="H2038" s="5"/>
    </row>
    <row r="2039" spans="5:8" x14ac:dyDescent="0.2">
      <c r="E2039" s="5"/>
      <c r="F2039" s="5"/>
      <c r="G2039" s="5"/>
      <c r="H2039" s="5"/>
    </row>
    <row r="2040" spans="5:8" x14ac:dyDescent="0.2">
      <c r="E2040" s="5"/>
      <c r="F2040" s="5"/>
      <c r="G2040" s="5"/>
      <c r="H2040" s="5"/>
    </row>
    <row r="2041" spans="5:8" x14ac:dyDescent="0.2">
      <c r="E2041" s="5"/>
      <c r="F2041" s="5"/>
      <c r="G2041" s="5"/>
      <c r="H2041" s="5"/>
    </row>
    <row r="2042" spans="5:8" x14ac:dyDescent="0.2">
      <c r="E2042" s="5"/>
      <c r="F2042" s="5"/>
      <c r="G2042" s="5"/>
      <c r="H2042" s="5"/>
    </row>
    <row r="2043" spans="5:8" x14ac:dyDescent="0.2">
      <c r="E2043" s="5"/>
      <c r="F2043" s="5"/>
      <c r="G2043" s="5"/>
      <c r="H2043" s="5"/>
    </row>
    <row r="2044" spans="5:8" x14ac:dyDescent="0.2">
      <c r="E2044" s="5"/>
      <c r="F2044" s="5"/>
      <c r="G2044" s="5"/>
      <c r="H2044" s="5"/>
    </row>
    <row r="2045" spans="5:8" x14ac:dyDescent="0.2">
      <c r="E2045" s="5"/>
      <c r="F2045" s="5"/>
      <c r="G2045" s="5"/>
      <c r="H2045" s="5"/>
    </row>
    <row r="2046" spans="5:8" x14ac:dyDescent="0.2">
      <c r="E2046" s="5"/>
      <c r="F2046" s="5"/>
      <c r="G2046" s="5"/>
      <c r="H2046" s="5"/>
    </row>
    <row r="2047" spans="5:8" x14ac:dyDescent="0.2">
      <c r="E2047" s="5"/>
      <c r="F2047" s="5"/>
      <c r="G2047" s="5"/>
      <c r="H2047" s="5"/>
    </row>
    <row r="2048" spans="5:8" x14ac:dyDescent="0.2">
      <c r="E2048" s="5"/>
      <c r="F2048" s="5"/>
      <c r="G2048" s="5"/>
      <c r="H2048" s="5"/>
    </row>
    <row r="2049" spans="5:8" x14ac:dyDescent="0.2">
      <c r="E2049" s="5"/>
      <c r="F2049" s="5"/>
      <c r="G2049" s="5"/>
      <c r="H2049" s="5"/>
    </row>
    <row r="2050" spans="5:8" x14ac:dyDescent="0.2">
      <c r="E2050" s="5"/>
      <c r="F2050" s="5"/>
      <c r="G2050" s="5"/>
      <c r="H2050" s="5"/>
    </row>
    <row r="2051" spans="5:8" x14ac:dyDescent="0.2">
      <c r="E2051" s="5"/>
      <c r="F2051" s="5"/>
      <c r="G2051" s="5"/>
      <c r="H2051" s="5"/>
    </row>
    <row r="2052" spans="5:8" x14ac:dyDescent="0.2">
      <c r="E2052" s="5"/>
      <c r="F2052" s="5"/>
      <c r="G2052" s="5"/>
      <c r="H2052" s="5"/>
    </row>
    <row r="2053" spans="5:8" x14ac:dyDescent="0.2">
      <c r="E2053" s="5"/>
      <c r="F2053" s="5"/>
      <c r="G2053" s="5"/>
      <c r="H2053" s="5"/>
    </row>
    <row r="2054" spans="5:8" x14ac:dyDescent="0.2">
      <c r="E2054" s="5"/>
      <c r="F2054" s="5"/>
      <c r="G2054" s="5"/>
      <c r="H2054" s="5"/>
    </row>
    <row r="2055" spans="5:8" x14ac:dyDescent="0.2">
      <c r="E2055" s="5"/>
      <c r="F2055" s="5"/>
      <c r="G2055" s="5"/>
      <c r="H2055" s="5"/>
    </row>
    <row r="2056" spans="5:8" x14ac:dyDescent="0.2">
      <c r="E2056" s="5"/>
      <c r="F2056" s="5"/>
      <c r="G2056" s="5"/>
      <c r="H2056" s="5"/>
    </row>
    <row r="2057" spans="5:8" x14ac:dyDescent="0.2">
      <c r="E2057" s="5"/>
      <c r="F2057" s="5"/>
      <c r="G2057" s="5"/>
      <c r="H2057" s="5"/>
    </row>
    <row r="2058" spans="5:8" x14ac:dyDescent="0.2">
      <c r="E2058" s="5"/>
      <c r="F2058" s="5"/>
      <c r="G2058" s="5"/>
      <c r="H2058" s="5"/>
    </row>
    <row r="2059" spans="5:8" x14ac:dyDescent="0.2">
      <c r="E2059" s="5"/>
      <c r="F2059" s="5"/>
      <c r="G2059" s="5"/>
      <c r="H2059" s="5"/>
    </row>
    <row r="2060" spans="5:8" x14ac:dyDescent="0.2">
      <c r="E2060" s="5"/>
      <c r="F2060" s="5"/>
      <c r="G2060" s="5"/>
      <c r="H2060" s="5"/>
    </row>
    <row r="2061" spans="5:8" x14ac:dyDescent="0.2">
      <c r="E2061" s="5"/>
      <c r="F2061" s="5"/>
      <c r="G2061" s="5"/>
      <c r="H2061" s="5"/>
    </row>
    <row r="2062" spans="5:8" x14ac:dyDescent="0.2">
      <c r="E2062" s="5"/>
      <c r="F2062" s="5"/>
      <c r="G2062" s="5"/>
      <c r="H2062" s="5"/>
    </row>
    <row r="2063" spans="5:8" x14ac:dyDescent="0.2">
      <c r="E2063" s="5"/>
      <c r="F2063" s="5"/>
      <c r="G2063" s="5"/>
      <c r="H2063" s="5"/>
    </row>
    <row r="2064" spans="5:8" x14ac:dyDescent="0.2">
      <c r="E2064" s="5"/>
      <c r="F2064" s="5"/>
      <c r="G2064" s="5"/>
      <c r="H2064" s="5"/>
    </row>
    <row r="2065" spans="5:8" x14ac:dyDescent="0.2">
      <c r="E2065" s="5"/>
      <c r="F2065" s="5"/>
      <c r="G2065" s="5"/>
      <c r="H2065" s="5"/>
    </row>
    <row r="2066" spans="5:8" x14ac:dyDescent="0.2">
      <c r="E2066" s="5"/>
      <c r="F2066" s="5"/>
      <c r="G2066" s="5"/>
      <c r="H2066" s="5"/>
    </row>
    <row r="2067" spans="5:8" x14ac:dyDescent="0.2">
      <c r="E2067" s="5"/>
      <c r="F2067" s="5"/>
      <c r="G2067" s="5"/>
      <c r="H2067" s="5"/>
    </row>
    <row r="2068" spans="5:8" x14ac:dyDescent="0.2">
      <c r="E2068" s="5"/>
      <c r="F2068" s="5"/>
      <c r="G2068" s="5"/>
      <c r="H2068" s="5"/>
    </row>
    <row r="2069" spans="5:8" x14ac:dyDescent="0.2">
      <c r="E2069" s="5"/>
      <c r="F2069" s="5"/>
      <c r="G2069" s="5"/>
      <c r="H2069" s="5"/>
    </row>
    <row r="2070" spans="5:8" x14ac:dyDescent="0.2">
      <c r="E2070" s="5"/>
      <c r="F2070" s="5"/>
      <c r="G2070" s="5"/>
      <c r="H2070" s="5"/>
    </row>
    <row r="2071" spans="5:8" x14ac:dyDescent="0.2">
      <c r="E2071" s="5"/>
      <c r="F2071" s="5"/>
      <c r="G2071" s="5"/>
      <c r="H2071" s="5"/>
    </row>
    <row r="2072" spans="5:8" x14ac:dyDescent="0.2">
      <c r="E2072" s="5"/>
      <c r="F2072" s="5"/>
      <c r="G2072" s="5"/>
      <c r="H2072" s="5"/>
    </row>
    <row r="2073" spans="5:8" x14ac:dyDescent="0.2">
      <c r="E2073" s="5"/>
      <c r="F2073" s="5"/>
      <c r="G2073" s="5"/>
      <c r="H2073" s="5"/>
    </row>
    <row r="2074" spans="5:8" x14ac:dyDescent="0.2">
      <c r="E2074" s="5"/>
      <c r="F2074" s="5"/>
      <c r="G2074" s="5"/>
      <c r="H2074" s="5"/>
    </row>
    <row r="2075" spans="5:8" x14ac:dyDescent="0.2">
      <c r="E2075" s="5"/>
      <c r="F2075" s="5"/>
      <c r="G2075" s="5"/>
      <c r="H2075" s="5"/>
    </row>
    <row r="2076" spans="5:8" x14ac:dyDescent="0.2">
      <c r="E2076" s="5"/>
      <c r="F2076" s="5"/>
      <c r="G2076" s="5"/>
      <c r="H2076" s="5"/>
    </row>
    <row r="2077" spans="5:8" x14ac:dyDescent="0.2">
      <c r="E2077" s="5"/>
      <c r="F2077" s="5"/>
      <c r="G2077" s="5"/>
      <c r="H2077" s="5"/>
    </row>
    <row r="2078" spans="5:8" x14ac:dyDescent="0.2">
      <c r="E2078" s="5"/>
      <c r="F2078" s="5"/>
      <c r="G2078" s="5"/>
      <c r="H2078" s="5"/>
    </row>
    <row r="2079" spans="5:8" x14ac:dyDescent="0.2">
      <c r="E2079" s="5"/>
      <c r="F2079" s="5"/>
      <c r="G2079" s="5"/>
      <c r="H2079" s="5"/>
    </row>
    <row r="2080" spans="5:8" x14ac:dyDescent="0.2">
      <c r="E2080" s="5"/>
      <c r="F2080" s="5"/>
      <c r="G2080" s="5"/>
      <c r="H2080" s="5"/>
    </row>
    <row r="2081" spans="5:8" x14ac:dyDescent="0.2">
      <c r="E2081" s="5"/>
      <c r="F2081" s="5"/>
      <c r="G2081" s="5"/>
      <c r="H2081" s="5"/>
    </row>
    <row r="2082" spans="5:8" x14ac:dyDescent="0.2">
      <c r="E2082" s="5"/>
      <c r="F2082" s="5"/>
      <c r="G2082" s="5"/>
      <c r="H2082" s="5"/>
    </row>
    <row r="2083" spans="5:8" x14ac:dyDescent="0.2">
      <c r="E2083" s="5"/>
      <c r="F2083" s="5"/>
      <c r="G2083" s="5"/>
      <c r="H2083" s="5"/>
    </row>
    <row r="2084" spans="5:8" x14ac:dyDescent="0.2">
      <c r="E2084" s="5"/>
      <c r="F2084" s="5"/>
      <c r="G2084" s="5"/>
      <c r="H2084" s="5"/>
    </row>
    <row r="2085" spans="5:8" x14ac:dyDescent="0.2">
      <c r="E2085" s="5"/>
      <c r="F2085" s="5"/>
      <c r="G2085" s="5"/>
      <c r="H2085" s="5"/>
    </row>
    <row r="2086" spans="5:8" x14ac:dyDescent="0.2">
      <c r="E2086" s="5"/>
      <c r="F2086" s="5"/>
      <c r="G2086" s="5"/>
      <c r="H2086" s="5"/>
    </row>
    <row r="2087" spans="5:8" x14ac:dyDescent="0.2">
      <c r="E2087" s="5"/>
      <c r="F2087" s="5"/>
      <c r="G2087" s="5"/>
      <c r="H2087" s="5"/>
    </row>
    <row r="2088" spans="5:8" x14ac:dyDescent="0.2">
      <c r="E2088" s="5"/>
      <c r="F2088" s="5"/>
      <c r="G2088" s="5"/>
      <c r="H2088" s="5"/>
    </row>
    <row r="2089" spans="5:8" x14ac:dyDescent="0.2">
      <c r="E2089" s="5"/>
      <c r="F2089" s="5"/>
      <c r="G2089" s="5"/>
      <c r="H2089" s="5"/>
    </row>
    <row r="2090" spans="5:8" x14ac:dyDescent="0.2">
      <c r="E2090" s="5"/>
      <c r="F2090" s="5"/>
      <c r="G2090" s="5"/>
      <c r="H2090" s="5"/>
    </row>
    <row r="2091" spans="5:8" x14ac:dyDescent="0.2">
      <c r="E2091" s="5"/>
      <c r="F2091" s="5"/>
      <c r="G2091" s="5"/>
      <c r="H2091" s="5"/>
    </row>
    <row r="2092" spans="5:8" x14ac:dyDescent="0.2">
      <c r="E2092" s="5"/>
      <c r="F2092" s="5"/>
      <c r="G2092" s="5"/>
      <c r="H2092" s="5"/>
    </row>
    <row r="2093" spans="5:8" x14ac:dyDescent="0.2">
      <c r="E2093" s="5"/>
      <c r="F2093" s="5"/>
      <c r="G2093" s="5"/>
      <c r="H2093" s="5"/>
    </row>
    <row r="2094" spans="5:8" x14ac:dyDescent="0.2">
      <c r="E2094" s="5"/>
      <c r="F2094" s="5"/>
      <c r="G2094" s="5"/>
      <c r="H2094" s="5"/>
    </row>
    <row r="2095" spans="5:8" x14ac:dyDescent="0.2">
      <c r="E2095" s="5"/>
      <c r="F2095" s="5"/>
      <c r="G2095" s="5"/>
      <c r="H2095" s="5"/>
    </row>
    <row r="2096" spans="5:8" x14ac:dyDescent="0.2">
      <c r="E2096" s="5"/>
      <c r="F2096" s="5"/>
      <c r="G2096" s="5"/>
      <c r="H2096" s="5"/>
    </row>
    <row r="2097" spans="5:8" x14ac:dyDescent="0.2">
      <c r="E2097" s="5"/>
      <c r="F2097" s="5"/>
      <c r="G2097" s="5"/>
      <c r="H2097" s="5"/>
    </row>
    <row r="2098" spans="5:8" x14ac:dyDescent="0.2">
      <c r="E2098" s="5"/>
      <c r="F2098" s="5"/>
      <c r="G2098" s="5"/>
      <c r="H2098" s="5"/>
    </row>
    <row r="2099" spans="5:8" x14ac:dyDescent="0.2">
      <c r="E2099" s="5"/>
      <c r="F2099" s="5"/>
      <c r="G2099" s="5"/>
      <c r="H2099" s="5"/>
    </row>
    <row r="2100" spans="5:8" x14ac:dyDescent="0.2">
      <c r="E2100" s="5"/>
      <c r="F2100" s="5"/>
      <c r="G2100" s="5"/>
      <c r="H2100" s="5"/>
    </row>
    <row r="2101" spans="5:8" x14ac:dyDescent="0.2">
      <c r="E2101" s="5"/>
      <c r="F2101" s="5"/>
      <c r="G2101" s="5"/>
      <c r="H2101" s="5"/>
    </row>
    <row r="2102" spans="5:8" x14ac:dyDescent="0.2">
      <c r="E2102" s="5"/>
      <c r="F2102" s="5"/>
      <c r="G2102" s="5"/>
      <c r="H2102" s="5"/>
    </row>
    <row r="2103" spans="5:8" x14ac:dyDescent="0.2">
      <c r="E2103" s="5"/>
      <c r="F2103" s="5"/>
      <c r="G2103" s="5"/>
      <c r="H2103" s="5"/>
    </row>
    <row r="2104" spans="5:8" x14ac:dyDescent="0.2">
      <c r="E2104" s="5"/>
      <c r="F2104" s="5"/>
      <c r="G2104" s="5"/>
      <c r="H2104" s="5"/>
    </row>
    <row r="2105" spans="5:8" x14ac:dyDescent="0.2">
      <c r="E2105" s="5"/>
      <c r="F2105" s="5"/>
      <c r="G2105" s="5"/>
      <c r="H2105" s="5"/>
    </row>
    <row r="2106" spans="5:8" x14ac:dyDescent="0.2">
      <c r="E2106" s="5"/>
      <c r="F2106" s="5"/>
      <c r="G2106" s="5"/>
      <c r="H2106" s="5"/>
    </row>
    <row r="2107" spans="5:8" x14ac:dyDescent="0.2">
      <c r="E2107" s="5"/>
      <c r="F2107" s="5"/>
      <c r="G2107" s="5"/>
      <c r="H2107" s="5"/>
    </row>
    <row r="2108" spans="5:8" x14ac:dyDescent="0.2">
      <c r="E2108" s="5"/>
      <c r="F2108" s="5"/>
      <c r="G2108" s="5"/>
      <c r="H2108" s="5"/>
    </row>
    <row r="2109" spans="5:8" x14ac:dyDescent="0.2">
      <c r="E2109" s="5"/>
      <c r="F2109" s="5"/>
      <c r="G2109" s="5"/>
      <c r="H2109" s="5"/>
    </row>
    <row r="2110" spans="5:8" x14ac:dyDescent="0.2">
      <c r="E2110" s="5"/>
      <c r="F2110" s="5"/>
      <c r="G2110" s="5"/>
      <c r="H2110" s="5"/>
    </row>
    <row r="2111" spans="5:8" x14ac:dyDescent="0.2">
      <c r="E2111" s="5"/>
      <c r="F2111" s="5"/>
      <c r="G2111" s="5"/>
      <c r="H2111" s="5"/>
    </row>
    <row r="2112" spans="5:8" x14ac:dyDescent="0.2">
      <c r="E2112" s="5"/>
      <c r="F2112" s="5"/>
      <c r="G2112" s="5"/>
      <c r="H2112" s="5"/>
    </row>
    <row r="2113" spans="5:8" x14ac:dyDescent="0.2">
      <c r="E2113" s="5"/>
      <c r="F2113" s="5"/>
      <c r="G2113" s="5"/>
      <c r="H2113" s="5"/>
    </row>
    <row r="2114" spans="5:8" x14ac:dyDescent="0.2">
      <c r="E2114" s="5"/>
      <c r="F2114" s="5"/>
      <c r="G2114" s="5"/>
      <c r="H2114" s="5"/>
    </row>
    <row r="2115" spans="5:8" x14ac:dyDescent="0.2">
      <c r="E2115" s="5"/>
      <c r="F2115" s="5"/>
      <c r="G2115" s="5"/>
      <c r="H2115" s="5"/>
    </row>
    <row r="2116" spans="5:8" x14ac:dyDescent="0.2">
      <c r="E2116" s="5"/>
      <c r="F2116" s="5"/>
      <c r="G2116" s="5"/>
      <c r="H2116" s="5"/>
    </row>
    <row r="2117" spans="5:8" x14ac:dyDescent="0.2">
      <c r="E2117" s="5"/>
      <c r="F2117" s="5"/>
      <c r="G2117" s="5"/>
      <c r="H2117" s="5"/>
    </row>
    <row r="2118" spans="5:8" x14ac:dyDescent="0.2">
      <c r="E2118" s="5"/>
      <c r="F2118" s="5"/>
      <c r="G2118" s="5"/>
      <c r="H2118" s="5"/>
    </row>
    <row r="2119" spans="5:8" x14ac:dyDescent="0.2">
      <c r="E2119" s="5"/>
      <c r="F2119" s="5"/>
      <c r="G2119" s="5"/>
      <c r="H2119" s="5"/>
    </row>
    <row r="2120" spans="5:8" x14ac:dyDescent="0.2">
      <c r="E2120" s="5"/>
      <c r="F2120" s="5"/>
      <c r="G2120" s="5"/>
      <c r="H2120" s="5"/>
    </row>
    <row r="2121" spans="5:8" x14ac:dyDescent="0.2">
      <c r="E2121" s="5"/>
      <c r="F2121" s="5"/>
      <c r="G2121" s="5"/>
      <c r="H2121" s="5"/>
    </row>
    <row r="2122" spans="5:8" x14ac:dyDescent="0.2">
      <c r="E2122" s="5"/>
      <c r="F2122" s="5"/>
      <c r="G2122" s="5"/>
      <c r="H2122" s="5"/>
    </row>
    <row r="2123" spans="5:8" x14ac:dyDescent="0.2">
      <c r="E2123" s="5"/>
      <c r="F2123" s="5"/>
      <c r="G2123" s="5"/>
      <c r="H2123" s="5"/>
    </row>
    <row r="2124" spans="5:8" x14ac:dyDescent="0.2">
      <c r="E2124" s="5"/>
      <c r="F2124" s="5"/>
      <c r="G2124" s="5"/>
      <c r="H2124" s="5"/>
    </row>
    <row r="2125" spans="5:8" x14ac:dyDescent="0.2">
      <c r="E2125" s="5"/>
      <c r="F2125" s="5"/>
      <c r="G2125" s="5"/>
      <c r="H2125" s="5"/>
    </row>
    <row r="2126" spans="5:8" x14ac:dyDescent="0.2">
      <c r="E2126" s="5"/>
      <c r="F2126" s="5"/>
      <c r="G2126" s="5"/>
      <c r="H2126" s="5"/>
    </row>
    <row r="2127" spans="5:8" x14ac:dyDescent="0.2">
      <c r="E2127" s="5"/>
      <c r="F2127" s="5"/>
      <c r="G2127" s="5"/>
      <c r="H2127" s="5"/>
    </row>
    <row r="2128" spans="5:8" x14ac:dyDescent="0.2">
      <c r="E2128" s="5"/>
      <c r="F2128" s="5"/>
      <c r="G2128" s="5"/>
      <c r="H2128" s="5"/>
    </row>
    <row r="2129" spans="5:8" x14ac:dyDescent="0.2">
      <c r="E2129" s="5"/>
      <c r="F2129" s="5"/>
      <c r="G2129" s="5"/>
      <c r="H2129" s="5"/>
    </row>
    <row r="2130" spans="5:8" x14ac:dyDescent="0.2">
      <c r="E2130" s="5"/>
      <c r="F2130" s="5"/>
      <c r="G2130" s="5"/>
      <c r="H2130" s="5"/>
    </row>
    <row r="2131" spans="5:8" x14ac:dyDescent="0.2">
      <c r="E2131" s="5"/>
      <c r="F2131" s="5"/>
      <c r="G2131" s="5"/>
      <c r="H2131" s="5"/>
    </row>
    <row r="2132" spans="5:8" x14ac:dyDescent="0.2">
      <c r="E2132" s="5"/>
      <c r="F2132" s="5"/>
      <c r="G2132" s="5"/>
      <c r="H2132" s="5"/>
    </row>
    <row r="2133" spans="5:8" x14ac:dyDescent="0.2">
      <c r="E2133" s="5"/>
      <c r="F2133" s="5"/>
      <c r="G2133" s="5"/>
      <c r="H2133" s="5"/>
    </row>
    <row r="2134" spans="5:8" x14ac:dyDescent="0.2">
      <c r="E2134" s="5"/>
      <c r="F2134" s="5"/>
      <c r="G2134" s="5"/>
      <c r="H2134" s="5"/>
    </row>
    <row r="2135" spans="5:8" x14ac:dyDescent="0.2">
      <c r="E2135" s="5"/>
      <c r="F2135" s="5"/>
      <c r="G2135" s="5"/>
      <c r="H2135" s="5"/>
    </row>
    <row r="2136" spans="5:8" x14ac:dyDescent="0.2">
      <c r="E2136" s="5"/>
      <c r="F2136" s="5"/>
      <c r="G2136" s="5"/>
      <c r="H2136" s="5"/>
    </row>
    <row r="2137" spans="5:8" x14ac:dyDescent="0.2">
      <c r="E2137" s="5"/>
      <c r="F2137" s="5"/>
      <c r="G2137" s="5"/>
      <c r="H2137" s="5"/>
    </row>
    <row r="2138" spans="5:8" x14ac:dyDescent="0.2">
      <c r="E2138" s="5"/>
      <c r="F2138" s="5"/>
      <c r="G2138" s="5"/>
      <c r="H2138" s="5"/>
    </row>
    <row r="2139" spans="5:8" x14ac:dyDescent="0.2">
      <c r="E2139" s="5"/>
      <c r="F2139" s="5"/>
      <c r="G2139" s="5"/>
      <c r="H2139" s="5"/>
    </row>
    <row r="2140" spans="5:8" x14ac:dyDescent="0.2">
      <c r="E2140" s="5"/>
      <c r="F2140" s="5"/>
      <c r="G2140" s="5"/>
      <c r="H2140" s="5"/>
    </row>
    <row r="2141" spans="5:8" x14ac:dyDescent="0.2">
      <c r="E2141" s="5"/>
      <c r="F2141" s="5"/>
      <c r="G2141" s="5"/>
      <c r="H2141" s="5"/>
    </row>
    <row r="2142" spans="5:8" x14ac:dyDescent="0.2">
      <c r="E2142" s="5"/>
      <c r="F2142" s="5"/>
      <c r="G2142" s="5"/>
      <c r="H2142" s="5"/>
    </row>
    <row r="2143" spans="5:8" x14ac:dyDescent="0.2">
      <c r="E2143" s="5"/>
      <c r="F2143" s="5"/>
      <c r="G2143" s="5"/>
      <c r="H2143" s="5"/>
    </row>
    <row r="2144" spans="5:8" x14ac:dyDescent="0.2">
      <c r="E2144" s="5"/>
      <c r="F2144" s="5"/>
      <c r="G2144" s="5"/>
      <c r="H2144" s="5"/>
    </row>
    <row r="2145" spans="5:8" x14ac:dyDescent="0.2">
      <c r="E2145" s="5"/>
      <c r="F2145" s="5"/>
      <c r="G2145" s="5"/>
      <c r="H2145" s="5"/>
    </row>
    <row r="2146" spans="5:8" x14ac:dyDescent="0.2">
      <c r="E2146" s="5"/>
      <c r="F2146" s="5"/>
      <c r="G2146" s="5"/>
      <c r="H2146" s="5"/>
    </row>
    <row r="2147" spans="5:8" x14ac:dyDescent="0.2">
      <c r="E2147" s="5"/>
      <c r="F2147" s="5"/>
      <c r="G2147" s="5"/>
      <c r="H2147" s="5"/>
    </row>
    <row r="2148" spans="5:8" x14ac:dyDescent="0.2">
      <c r="E2148" s="5"/>
      <c r="F2148" s="5"/>
      <c r="G2148" s="5"/>
      <c r="H2148" s="5"/>
    </row>
    <row r="2149" spans="5:8" x14ac:dyDescent="0.2">
      <c r="E2149" s="5"/>
      <c r="F2149" s="5"/>
      <c r="G2149" s="5"/>
      <c r="H2149" s="5"/>
    </row>
    <row r="2150" spans="5:8" x14ac:dyDescent="0.2">
      <c r="E2150" s="5"/>
      <c r="F2150" s="5"/>
      <c r="G2150" s="5"/>
      <c r="H2150" s="5"/>
    </row>
    <row r="2151" spans="5:8" x14ac:dyDescent="0.2">
      <c r="E2151" s="5"/>
      <c r="F2151" s="5"/>
      <c r="G2151" s="5"/>
      <c r="H2151" s="5"/>
    </row>
    <row r="2152" spans="5:8" x14ac:dyDescent="0.2">
      <c r="E2152" s="5"/>
      <c r="F2152" s="5"/>
      <c r="G2152" s="5"/>
      <c r="H2152" s="5"/>
    </row>
    <row r="2153" spans="5:8" x14ac:dyDescent="0.2">
      <c r="E2153" s="5"/>
      <c r="F2153" s="5"/>
      <c r="G2153" s="5"/>
      <c r="H2153" s="5"/>
    </row>
    <row r="2154" spans="5:8" x14ac:dyDescent="0.2">
      <c r="E2154" s="5"/>
      <c r="F2154" s="5"/>
      <c r="G2154" s="5"/>
      <c r="H2154" s="5"/>
    </row>
    <row r="2155" spans="5:8" x14ac:dyDescent="0.2">
      <c r="E2155" s="5"/>
      <c r="F2155" s="5"/>
      <c r="G2155" s="5"/>
      <c r="H2155" s="5"/>
    </row>
    <row r="2156" spans="5:8" x14ac:dyDescent="0.2">
      <c r="E2156" s="5"/>
      <c r="F2156" s="5"/>
      <c r="G2156" s="5"/>
      <c r="H2156" s="5"/>
    </row>
    <row r="2157" spans="5:8" x14ac:dyDescent="0.2">
      <c r="E2157" s="5"/>
      <c r="F2157" s="5"/>
      <c r="G2157" s="5"/>
      <c r="H2157" s="5"/>
    </row>
    <row r="2158" spans="5:8" x14ac:dyDescent="0.2">
      <c r="E2158" s="5"/>
      <c r="F2158" s="5"/>
      <c r="G2158" s="5"/>
      <c r="H2158" s="5"/>
    </row>
    <row r="2159" spans="5:8" x14ac:dyDescent="0.2">
      <c r="E2159" s="5"/>
      <c r="F2159" s="5"/>
      <c r="G2159" s="5"/>
      <c r="H2159" s="5"/>
    </row>
    <row r="2160" spans="5:8" x14ac:dyDescent="0.2">
      <c r="E2160" s="5"/>
      <c r="F2160" s="5"/>
      <c r="G2160" s="5"/>
      <c r="H2160" s="5"/>
    </row>
    <row r="2161" spans="5:8" x14ac:dyDescent="0.2">
      <c r="E2161" s="5"/>
      <c r="F2161" s="5"/>
      <c r="G2161" s="5"/>
      <c r="H2161" s="5"/>
    </row>
    <row r="2162" spans="5:8" x14ac:dyDescent="0.2">
      <c r="E2162" s="5"/>
      <c r="F2162" s="5"/>
      <c r="G2162" s="5"/>
      <c r="H2162" s="5"/>
    </row>
    <row r="2163" spans="5:8" x14ac:dyDescent="0.2">
      <c r="E2163" s="5"/>
      <c r="F2163" s="5"/>
      <c r="G2163" s="5"/>
      <c r="H2163" s="5"/>
    </row>
    <row r="2164" spans="5:8" x14ac:dyDescent="0.2">
      <c r="E2164" s="5"/>
      <c r="F2164" s="5"/>
      <c r="G2164" s="5"/>
      <c r="H2164" s="5"/>
    </row>
    <row r="2165" spans="5:8" x14ac:dyDescent="0.2">
      <c r="E2165" s="5"/>
      <c r="F2165" s="5"/>
      <c r="G2165" s="5"/>
      <c r="H2165" s="5"/>
    </row>
    <row r="2166" spans="5:8" x14ac:dyDescent="0.2">
      <c r="E2166" s="5"/>
      <c r="F2166" s="5"/>
      <c r="G2166" s="5"/>
      <c r="H2166" s="5"/>
    </row>
    <row r="2167" spans="5:8" x14ac:dyDescent="0.2">
      <c r="E2167" s="5"/>
      <c r="F2167" s="5"/>
      <c r="G2167" s="5"/>
      <c r="H2167" s="5"/>
    </row>
    <row r="2168" spans="5:8" x14ac:dyDescent="0.2">
      <c r="E2168" s="5"/>
      <c r="F2168" s="5"/>
      <c r="G2168" s="5"/>
      <c r="H2168" s="5"/>
    </row>
    <row r="2169" spans="5:8" x14ac:dyDescent="0.2">
      <c r="E2169" s="5"/>
      <c r="F2169" s="5"/>
      <c r="G2169" s="5"/>
      <c r="H2169" s="5"/>
    </row>
    <row r="2170" spans="5:8" x14ac:dyDescent="0.2">
      <c r="E2170" s="5"/>
      <c r="F2170" s="5"/>
      <c r="G2170" s="5"/>
      <c r="H2170" s="5"/>
    </row>
    <row r="2171" spans="5:8" x14ac:dyDescent="0.2">
      <c r="E2171" s="5"/>
      <c r="F2171" s="5"/>
      <c r="G2171" s="5"/>
      <c r="H2171" s="5"/>
    </row>
    <row r="2172" spans="5:8" x14ac:dyDescent="0.2">
      <c r="E2172" s="5"/>
      <c r="F2172" s="5"/>
      <c r="G2172" s="5"/>
      <c r="H2172" s="5"/>
    </row>
    <row r="2173" spans="5:8" x14ac:dyDescent="0.2">
      <c r="E2173" s="5"/>
      <c r="F2173" s="5"/>
      <c r="G2173" s="5"/>
      <c r="H2173" s="5"/>
    </row>
    <row r="2174" spans="5:8" x14ac:dyDescent="0.2">
      <c r="E2174" s="5"/>
      <c r="F2174" s="5"/>
      <c r="G2174" s="5"/>
      <c r="H2174" s="5"/>
    </row>
    <row r="2175" spans="5:8" x14ac:dyDescent="0.2">
      <c r="E2175" s="5"/>
      <c r="F2175" s="5"/>
      <c r="G2175" s="5"/>
      <c r="H2175" s="5"/>
    </row>
    <row r="2176" spans="5:8" x14ac:dyDescent="0.2">
      <c r="E2176" s="5"/>
      <c r="F2176" s="5"/>
      <c r="G2176" s="5"/>
      <c r="H2176" s="5"/>
    </row>
    <row r="2177" spans="5:8" x14ac:dyDescent="0.2">
      <c r="E2177" s="5"/>
      <c r="F2177" s="5"/>
      <c r="G2177" s="5"/>
      <c r="H2177" s="5"/>
    </row>
    <row r="2178" spans="5:8" x14ac:dyDescent="0.2">
      <c r="E2178" s="5"/>
      <c r="F2178" s="5"/>
      <c r="G2178" s="5"/>
      <c r="H2178" s="5"/>
    </row>
    <row r="2179" spans="5:8" x14ac:dyDescent="0.2">
      <c r="E2179" s="5"/>
      <c r="F2179" s="5"/>
      <c r="G2179" s="5"/>
      <c r="H2179" s="5"/>
    </row>
    <row r="2180" spans="5:8" x14ac:dyDescent="0.2">
      <c r="E2180" s="5"/>
      <c r="F2180" s="5"/>
      <c r="G2180" s="5"/>
      <c r="H2180" s="5"/>
    </row>
    <row r="2181" spans="5:8" x14ac:dyDescent="0.2">
      <c r="E2181" s="5"/>
      <c r="F2181" s="5"/>
      <c r="G2181" s="5"/>
      <c r="H2181" s="5"/>
    </row>
    <row r="2182" spans="5:8" x14ac:dyDescent="0.2">
      <c r="E2182" s="5"/>
      <c r="F2182" s="5"/>
      <c r="G2182" s="5"/>
      <c r="H2182" s="5"/>
    </row>
    <row r="2183" spans="5:8" x14ac:dyDescent="0.2">
      <c r="E2183" s="5"/>
      <c r="F2183" s="5"/>
      <c r="G2183" s="5"/>
      <c r="H2183" s="5"/>
    </row>
    <row r="2184" spans="5:8" x14ac:dyDescent="0.2">
      <c r="E2184" s="5"/>
      <c r="F2184" s="5"/>
      <c r="G2184" s="5"/>
      <c r="H2184" s="5"/>
    </row>
    <row r="2185" spans="5:8" x14ac:dyDescent="0.2">
      <c r="E2185" s="5"/>
      <c r="F2185" s="5"/>
      <c r="G2185" s="5"/>
      <c r="H2185" s="5"/>
    </row>
    <row r="2186" spans="5:8" x14ac:dyDescent="0.2">
      <c r="E2186" s="5"/>
      <c r="F2186" s="5"/>
      <c r="G2186" s="5"/>
      <c r="H2186" s="5"/>
    </row>
    <row r="2187" spans="5:8" x14ac:dyDescent="0.2">
      <c r="E2187" s="5"/>
      <c r="F2187" s="5"/>
      <c r="G2187" s="5"/>
      <c r="H2187" s="5"/>
    </row>
    <row r="2188" spans="5:8" x14ac:dyDescent="0.2">
      <c r="E2188" s="5"/>
      <c r="F2188" s="5"/>
      <c r="G2188" s="5"/>
      <c r="H2188" s="5"/>
    </row>
    <row r="2189" spans="5:8" x14ac:dyDescent="0.2">
      <c r="E2189" s="5"/>
      <c r="F2189" s="5"/>
      <c r="G2189" s="5"/>
      <c r="H2189" s="5"/>
    </row>
    <row r="2190" spans="5:8" x14ac:dyDescent="0.2">
      <c r="E2190" s="5"/>
      <c r="F2190" s="5"/>
      <c r="G2190" s="5"/>
      <c r="H2190" s="5"/>
    </row>
    <row r="2191" spans="5:8" x14ac:dyDescent="0.2">
      <c r="E2191" s="5"/>
      <c r="F2191" s="5"/>
      <c r="G2191" s="5"/>
      <c r="H2191" s="5"/>
    </row>
    <row r="2192" spans="5:8" x14ac:dyDescent="0.2">
      <c r="E2192" s="5"/>
      <c r="F2192" s="5"/>
      <c r="G2192" s="5"/>
      <c r="H2192" s="5"/>
    </row>
    <row r="2193" spans="5:8" x14ac:dyDescent="0.2">
      <c r="E2193" s="5"/>
      <c r="F2193" s="5"/>
      <c r="G2193" s="5"/>
      <c r="H2193" s="5"/>
    </row>
    <row r="2194" spans="5:8" x14ac:dyDescent="0.2">
      <c r="E2194" s="5"/>
      <c r="F2194" s="5"/>
      <c r="G2194" s="5"/>
      <c r="H2194" s="5"/>
    </row>
    <row r="2195" spans="5:8" x14ac:dyDescent="0.2">
      <c r="E2195" s="5"/>
      <c r="F2195" s="5"/>
      <c r="G2195" s="5"/>
      <c r="H2195" s="5"/>
    </row>
    <row r="2196" spans="5:8" x14ac:dyDescent="0.2">
      <c r="E2196" s="5"/>
      <c r="F2196" s="5"/>
      <c r="G2196" s="5"/>
      <c r="H2196" s="5"/>
    </row>
    <row r="2197" spans="5:8" x14ac:dyDescent="0.2">
      <c r="E2197" s="5"/>
      <c r="F2197" s="5"/>
      <c r="G2197" s="5"/>
      <c r="H2197" s="5"/>
    </row>
    <row r="2198" spans="5:8" x14ac:dyDescent="0.2">
      <c r="E2198" s="5"/>
      <c r="F2198" s="5"/>
      <c r="G2198" s="5"/>
      <c r="H2198" s="5"/>
    </row>
    <row r="2199" spans="5:8" x14ac:dyDescent="0.2">
      <c r="E2199" s="5"/>
      <c r="F2199" s="5"/>
      <c r="G2199" s="5"/>
      <c r="H2199" s="5"/>
    </row>
    <row r="2200" spans="5:8" x14ac:dyDescent="0.2">
      <c r="E2200" s="5"/>
      <c r="F2200" s="5"/>
      <c r="G2200" s="5"/>
      <c r="H2200" s="5"/>
    </row>
    <row r="2201" spans="5:8" x14ac:dyDescent="0.2">
      <c r="E2201" s="5"/>
      <c r="F2201" s="5"/>
      <c r="G2201" s="5"/>
      <c r="H2201" s="5"/>
    </row>
    <row r="2202" spans="5:8" x14ac:dyDescent="0.2">
      <c r="E2202" s="5"/>
      <c r="F2202" s="5"/>
      <c r="G2202" s="5"/>
      <c r="H2202" s="5"/>
    </row>
    <row r="2203" spans="5:8" x14ac:dyDescent="0.2">
      <c r="E2203" s="5"/>
      <c r="F2203" s="5"/>
      <c r="G2203" s="5"/>
      <c r="H2203" s="5"/>
    </row>
    <row r="2204" spans="5:8" x14ac:dyDescent="0.2">
      <c r="E2204" s="5"/>
      <c r="F2204" s="5"/>
      <c r="G2204" s="5"/>
      <c r="H2204" s="5"/>
    </row>
    <row r="2205" spans="5:8" x14ac:dyDescent="0.2">
      <c r="E2205" s="5"/>
      <c r="F2205" s="5"/>
      <c r="G2205" s="5"/>
      <c r="H2205" s="5"/>
    </row>
    <row r="2206" spans="5:8" x14ac:dyDescent="0.2">
      <c r="E2206" s="5"/>
      <c r="F2206" s="5"/>
      <c r="G2206" s="5"/>
      <c r="H2206" s="5"/>
    </row>
    <row r="2207" spans="5:8" x14ac:dyDescent="0.2">
      <c r="E2207" s="5"/>
      <c r="F2207" s="5"/>
      <c r="G2207" s="5"/>
      <c r="H2207" s="5"/>
    </row>
    <row r="2208" spans="5:8" x14ac:dyDescent="0.2">
      <c r="E2208" s="5"/>
      <c r="F2208" s="5"/>
      <c r="G2208" s="5"/>
      <c r="H2208" s="5"/>
    </row>
    <row r="2209" spans="5:8" x14ac:dyDescent="0.2">
      <c r="E2209" s="5"/>
      <c r="F2209" s="5"/>
      <c r="G2209" s="5"/>
      <c r="H2209" s="5"/>
    </row>
    <row r="2210" spans="5:8" x14ac:dyDescent="0.2">
      <c r="E2210" s="5"/>
      <c r="F2210" s="5"/>
      <c r="G2210" s="5"/>
      <c r="H2210" s="5"/>
    </row>
    <row r="2211" spans="5:8" x14ac:dyDescent="0.2">
      <c r="E2211" s="5"/>
      <c r="F2211" s="5"/>
      <c r="G2211" s="5"/>
      <c r="H2211" s="5"/>
    </row>
    <row r="2212" spans="5:8" x14ac:dyDescent="0.2">
      <c r="E2212" s="5"/>
      <c r="F2212" s="5"/>
      <c r="G2212" s="5"/>
      <c r="H2212" s="5"/>
    </row>
    <row r="2213" spans="5:8" x14ac:dyDescent="0.2">
      <c r="E2213" s="5"/>
      <c r="F2213" s="5"/>
      <c r="G2213" s="5"/>
      <c r="H2213" s="5"/>
    </row>
    <row r="2214" spans="5:8" x14ac:dyDescent="0.2">
      <c r="E2214" s="5"/>
      <c r="F2214" s="5"/>
      <c r="G2214" s="5"/>
      <c r="H2214" s="5"/>
    </row>
    <row r="2215" spans="5:8" x14ac:dyDescent="0.2">
      <c r="E2215" s="5"/>
      <c r="F2215" s="5"/>
      <c r="G2215" s="5"/>
      <c r="H2215" s="5"/>
    </row>
    <row r="2216" spans="5:8" x14ac:dyDescent="0.2">
      <c r="E2216" s="5"/>
      <c r="F2216" s="5"/>
      <c r="G2216" s="5"/>
      <c r="H2216" s="5"/>
    </row>
    <row r="2217" spans="5:8" x14ac:dyDescent="0.2">
      <c r="E2217" s="5"/>
      <c r="F2217" s="5"/>
      <c r="G2217" s="5"/>
      <c r="H2217" s="5"/>
    </row>
    <row r="2218" spans="5:8" x14ac:dyDescent="0.2">
      <c r="E2218" s="5"/>
      <c r="F2218" s="5"/>
      <c r="G2218" s="5"/>
      <c r="H2218" s="5"/>
    </row>
    <row r="2219" spans="5:8" x14ac:dyDescent="0.2">
      <c r="E2219" s="5"/>
      <c r="F2219" s="5"/>
      <c r="G2219" s="5"/>
      <c r="H2219" s="5"/>
    </row>
    <row r="2220" spans="5:8" x14ac:dyDescent="0.2">
      <c r="E2220" s="5"/>
      <c r="F2220" s="5"/>
      <c r="G2220" s="5"/>
      <c r="H2220" s="5"/>
    </row>
    <row r="2221" spans="5:8" x14ac:dyDescent="0.2">
      <c r="E2221" s="5"/>
      <c r="F2221" s="5"/>
      <c r="G2221" s="5"/>
      <c r="H2221" s="5"/>
    </row>
    <row r="2222" spans="5:8" x14ac:dyDescent="0.2">
      <c r="E2222" s="5"/>
      <c r="F2222" s="5"/>
      <c r="G2222" s="5"/>
      <c r="H2222" s="5"/>
    </row>
    <row r="2223" spans="5:8" x14ac:dyDescent="0.2">
      <c r="E2223" s="5"/>
      <c r="F2223" s="5"/>
      <c r="G2223" s="5"/>
      <c r="H2223" s="5"/>
    </row>
    <row r="2224" spans="5:8" x14ac:dyDescent="0.2">
      <c r="E2224" s="5"/>
      <c r="F2224" s="5"/>
      <c r="G2224" s="5"/>
      <c r="H2224" s="5"/>
    </row>
    <row r="2225" spans="5:8" x14ac:dyDescent="0.2">
      <c r="E2225" s="5"/>
      <c r="F2225" s="5"/>
      <c r="G2225" s="5"/>
      <c r="H2225" s="5"/>
    </row>
    <row r="2226" spans="5:8" x14ac:dyDescent="0.2">
      <c r="E2226" s="5"/>
      <c r="F2226" s="5"/>
      <c r="G2226" s="5"/>
      <c r="H2226" s="5"/>
    </row>
    <row r="2227" spans="5:8" x14ac:dyDescent="0.2">
      <c r="E2227" s="5"/>
      <c r="F2227" s="5"/>
      <c r="G2227" s="5"/>
      <c r="H2227" s="5"/>
    </row>
    <row r="2228" spans="5:8" x14ac:dyDescent="0.2">
      <c r="E2228" s="5"/>
      <c r="F2228" s="5"/>
      <c r="G2228" s="5"/>
      <c r="H2228" s="5"/>
    </row>
    <row r="2229" spans="5:8" x14ac:dyDescent="0.2">
      <c r="E2229" s="5"/>
      <c r="F2229" s="5"/>
      <c r="G2229" s="5"/>
      <c r="H2229" s="5"/>
    </row>
    <row r="2230" spans="5:8" x14ac:dyDescent="0.2">
      <c r="E2230" s="5"/>
      <c r="F2230" s="5"/>
      <c r="G2230" s="5"/>
      <c r="H2230" s="5"/>
    </row>
    <row r="2231" spans="5:8" x14ac:dyDescent="0.2">
      <c r="E2231" s="5"/>
      <c r="F2231" s="5"/>
      <c r="G2231" s="5"/>
      <c r="H2231" s="5"/>
    </row>
    <row r="2232" spans="5:8" x14ac:dyDescent="0.2">
      <c r="E2232" s="5"/>
      <c r="F2232" s="5"/>
      <c r="G2232" s="5"/>
      <c r="H2232" s="5"/>
    </row>
    <row r="2233" spans="5:8" x14ac:dyDescent="0.2">
      <c r="E2233" s="5"/>
      <c r="F2233" s="5"/>
      <c r="G2233" s="5"/>
      <c r="H2233" s="5"/>
    </row>
    <row r="2234" spans="5:8" x14ac:dyDescent="0.2">
      <c r="E2234" s="5"/>
      <c r="F2234" s="5"/>
      <c r="G2234" s="5"/>
      <c r="H2234" s="5"/>
    </row>
    <row r="2235" spans="5:8" x14ac:dyDescent="0.2">
      <c r="E2235" s="5"/>
      <c r="F2235" s="5"/>
      <c r="G2235" s="5"/>
      <c r="H2235" s="5"/>
    </row>
    <row r="2236" spans="5:8" x14ac:dyDescent="0.2">
      <c r="E2236" s="5"/>
      <c r="F2236" s="5"/>
      <c r="G2236" s="5"/>
      <c r="H2236" s="5"/>
    </row>
    <row r="2237" spans="5:8" x14ac:dyDescent="0.2">
      <c r="E2237" s="5"/>
      <c r="F2237" s="5"/>
      <c r="G2237" s="5"/>
      <c r="H2237" s="5"/>
    </row>
    <row r="2238" spans="5:8" x14ac:dyDescent="0.2">
      <c r="E2238" s="5"/>
      <c r="F2238" s="5"/>
      <c r="G2238" s="5"/>
      <c r="H2238" s="5"/>
    </row>
    <row r="2239" spans="5:8" x14ac:dyDescent="0.2">
      <c r="E2239" s="5"/>
      <c r="F2239" s="5"/>
      <c r="G2239" s="5"/>
      <c r="H2239" s="5"/>
    </row>
    <row r="2240" spans="5:8" x14ac:dyDescent="0.2">
      <c r="E2240" s="5"/>
      <c r="F2240" s="5"/>
      <c r="G2240" s="5"/>
      <c r="H2240" s="5"/>
    </row>
    <row r="2241" spans="5:8" x14ac:dyDescent="0.2">
      <c r="E2241" s="5"/>
      <c r="F2241" s="5"/>
      <c r="G2241" s="5"/>
      <c r="H2241" s="5"/>
    </row>
    <row r="2242" spans="5:8" x14ac:dyDescent="0.2">
      <c r="E2242" s="5"/>
      <c r="F2242" s="5"/>
      <c r="G2242" s="5"/>
      <c r="H2242" s="5"/>
    </row>
    <row r="2243" spans="5:8" x14ac:dyDescent="0.2">
      <c r="E2243" s="5"/>
      <c r="F2243" s="5"/>
      <c r="G2243" s="5"/>
      <c r="H2243" s="5"/>
    </row>
    <row r="2244" spans="5:8" x14ac:dyDescent="0.2">
      <c r="E2244" s="5"/>
      <c r="F2244" s="5"/>
      <c r="G2244" s="5"/>
      <c r="H2244" s="5"/>
    </row>
    <row r="2245" spans="5:8" x14ac:dyDescent="0.2">
      <c r="E2245" s="5"/>
      <c r="F2245" s="5"/>
      <c r="G2245" s="5"/>
      <c r="H2245" s="5"/>
    </row>
    <row r="2246" spans="5:8" x14ac:dyDescent="0.2">
      <c r="E2246" s="5"/>
      <c r="F2246" s="5"/>
      <c r="G2246" s="5"/>
      <c r="H2246" s="5"/>
    </row>
    <row r="2247" spans="5:8" x14ac:dyDescent="0.2">
      <c r="E2247" s="5"/>
      <c r="F2247" s="5"/>
      <c r="G2247" s="5"/>
      <c r="H2247" s="5"/>
    </row>
    <row r="2248" spans="5:8" x14ac:dyDescent="0.2">
      <c r="E2248" s="5"/>
      <c r="F2248" s="5"/>
      <c r="G2248" s="5"/>
      <c r="H2248" s="5"/>
    </row>
    <row r="2249" spans="5:8" x14ac:dyDescent="0.2">
      <c r="E2249" s="5"/>
      <c r="F2249" s="5"/>
      <c r="G2249" s="5"/>
      <c r="H2249" s="5"/>
    </row>
    <row r="2250" spans="5:8" x14ac:dyDescent="0.2">
      <c r="E2250" s="5"/>
      <c r="F2250" s="5"/>
      <c r="G2250" s="5"/>
      <c r="H2250" s="5"/>
    </row>
    <row r="2251" spans="5:8" x14ac:dyDescent="0.2">
      <c r="E2251" s="5"/>
      <c r="F2251" s="5"/>
      <c r="G2251" s="5"/>
      <c r="H2251" s="5"/>
    </row>
    <row r="2252" spans="5:8" x14ac:dyDescent="0.2">
      <c r="E2252" s="5"/>
      <c r="F2252" s="5"/>
      <c r="G2252" s="5"/>
      <c r="H2252" s="5"/>
    </row>
    <row r="2253" spans="5:8" x14ac:dyDescent="0.2">
      <c r="E2253" s="5"/>
      <c r="F2253" s="5"/>
      <c r="G2253" s="5"/>
      <c r="H2253" s="5"/>
    </row>
    <row r="2254" spans="5:8" x14ac:dyDescent="0.2">
      <c r="E2254" s="5"/>
      <c r="F2254" s="5"/>
      <c r="G2254" s="5"/>
      <c r="H2254" s="5"/>
    </row>
    <row r="2255" spans="5:8" x14ac:dyDescent="0.2">
      <c r="E2255" s="5"/>
      <c r="F2255" s="5"/>
      <c r="G2255" s="5"/>
      <c r="H2255" s="5"/>
    </row>
    <row r="2256" spans="5:8" x14ac:dyDescent="0.2">
      <c r="E2256" s="5"/>
      <c r="F2256" s="5"/>
      <c r="G2256" s="5"/>
      <c r="H2256" s="5"/>
    </row>
    <row r="2257" spans="5:8" x14ac:dyDescent="0.2">
      <c r="E2257" s="5"/>
      <c r="F2257" s="5"/>
      <c r="G2257" s="5"/>
      <c r="H2257" s="5"/>
    </row>
    <row r="2258" spans="5:8" x14ac:dyDescent="0.2">
      <c r="E2258" s="5"/>
      <c r="F2258" s="5"/>
      <c r="G2258" s="5"/>
      <c r="H2258" s="5"/>
    </row>
    <row r="2259" spans="5:8" x14ac:dyDescent="0.2">
      <c r="E2259" s="5"/>
      <c r="F2259" s="5"/>
      <c r="G2259" s="5"/>
      <c r="H2259" s="5"/>
    </row>
    <row r="2260" spans="5:8" x14ac:dyDescent="0.2">
      <c r="E2260" s="5"/>
      <c r="F2260" s="5"/>
      <c r="G2260" s="5"/>
      <c r="H2260" s="5"/>
    </row>
    <row r="2261" spans="5:8" x14ac:dyDescent="0.2">
      <c r="E2261" s="5"/>
      <c r="F2261" s="5"/>
      <c r="G2261" s="5"/>
      <c r="H2261" s="5"/>
    </row>
    <row r="2262" spans="5:8" x14ac:dyDescent="0.2">
      <c r="E2262" s="5"/>
      <c r="F2262" s="5"/>
      <c r="G2262" s="5"/>
      <c r="H2262" s="5"/>
    </row>
    <row r="2263" spans="5:8" x14ac:dyDescent="0.2">
      <c r="E2263" s="5"/>
      <c r="F2263" s="5"/>
      <c r="G2263" s="5"/>
      <c r="H2263" s="5"/>
    </row>
    <row r="2264" spans="5:8" x14ac:dyDescent="0.2">
      <c r="E2264" s="5"/>
      <c r="F2264" s="5"/>
      <c r="G2264" s="5"/>
      <c r="H2264" s="5"/>
    </row>
    <row r="2265" spans="5:8" x14ac:dyDescent="0.2">
      <c r="E2265" s="5"/>
      <c r="F2265" s="5"/>
      <c r="G2265" s="5"/>
      <c r="H2265" s="5"/>
    </row>
    <row r="2266" spans="5:8" x14ac:dyDescent="0.2">
      <c r="E2266" s="5"/>
      <c r="F2266" s="5"/>
      <c r="G2266" s="5"/>
      <c r="H2266" s="5"/>
    </row>
    <row r="2267" spans="5:8" x14ac:dyDescent="0.2">
      <c r="E2267" s="5"/>
      <c r="F2267" s="5"/>
      <c r="G2267" s="5"/>
      <c r="H2267" s="5"/>
    </row>
    <row r="2268" spans="5:8" x14ac:dyDescent="0.2">
      <c r="E2268" s="5"/>
      <c r="F2268" s="5"/>
      <c r="G2268" s="5"/>
      <c r="H2268" s="5"/>
    </row>
    <row r="2269" spans="5:8" x14ac:dyDescent="0.2">
      <c r="E2269" s="5"/>
      <c r="F2269" s="5"/>
      <c r="G2269" s="5"/>
      <c r="H2269" s="5"/>
    </row>
    <row r="2270" spans="5:8" x14ac:dyDescent="0.2">
      <c r="E2270" s="5"/>
      <c r="F2270" s="5"/>
      <c r="G2270" s="5"/>
      <c r="H2270" s="5"/>
    </row>
    <row r="2271" spans="5:8" x14ac:dyDescent="0.2">
      <c r="E2271" s="5"/>
      <c r="F2271" s="5"/>
      <c r="G2271" s="5"/>
      <c r="H2271" s="5"/>
    </row>
    <row r="2272" spans="5:8" x14ac:dyDescent="0.2">
      <c r="E2272" s="5"/>
      <c r="F2272" s="5"/>
      <c r="G2272" s="5"/>
      <c r="H2272" s="5"/>
    </row>
    <row r="2273" spans="5:8" x14ac:dyDescent="0.2">
      <c r="E2273" s="5"/>
      <c r="F2273" s="5"/>
      <c r="G2273" s="5"/>
      <c r="H2273" s="5"/>
    </row>
    <row r="2274" spans="5:8" x14ac:dyDescent="0.2">
      <c r="E2274" s="5"/>
      <c r="F2274" s="5"/>
      <c r="G2274" s="5"/>
      <c r="H2274" s="5"/>
    </row>
    <row r="2275" spans="5:8" x14ac:dyDescent="0.2">
      <c r="E2275" s="5"/>
      <c r="F2275" s="5"/>
      <c r="G2275" s="5"/>
      <c r="H2275" s="5"/>
    </row>
    <row r="2276" spans="5:8" x14ac:dyDescent="0.2">
      <c r="E2276" s="5"/>
      <c r="F2276" s="5"/>
      <c r="G2276" s="5"/>
      <c r="H2276" s="5"/>
    </row>
    <row r="2277" spans="5:8" x14ac:dyDescent="0.2">
      <c r="E2277" s="5"/>
      <c r="F2277" s="5"/>
      <c r="G2277" s="5"/>
      <c r="H2277" s="5"/>
    </row>
    <row r="2278" spans="5:8" x14ac:dyDescent="0.2">
      <c r="E2278" s="5"/>
      <c r="F2278" s="5"/>
      <c r="G2278" s="5"/>
      <c r="H2278" s="5"/>
    </row>
    <row r="2279" spans="5:8" x14ac:dyDescent="0.2">
      <c r="E2279" s="5"/>
      <c r="F2279" s="5"/>
      <c r="G2279" s="5"/>
      <c r="H2279" s="5"/>
    </row>
    <row r="2280" spans="5:8" x14ac:dyDescent="0.2">
      <c r="E2280" s="5"/>
      <c r="F2280" s="5"/>
      <c r="G2280" s="5"/>
      <c r="H2280" s="5"/>
    </row>
    <row r="2281" spans="5:8" x14ac:dyDescent="0.2">
      <c r="E2281" s="5"/>
      <c r="F2281" s="5"/>
      <c r="G2281" s="5"/>
      <c r="H2281" s="5"/>
    </row>
    <row r="2282" spans="5:8" x14ac:dyDescent="0.2">
      <c r="E2282" s="5"/>
      <c r="F2282" s="5"/>
      <c r="G2282" s="5"/>
      <c r="H2282" s="5"/>
    </row>
    <row r="2283" spans="5:8" x14ac:dyDescent="0.2">
      <c r="E2283" s="5"/>
      <c r="F2283" s="5"/>
      <c r="G2283" s="5"/>
      <c r="H2283" s="5"/>
    </row>
    <row r="2284" spans="5:8" x14ac:dyDescent="0.2">
      <c r="E2284" s="5"/>
      <c r="F2284" s="5"/>
      <c r="G2284" s="5"/>
      <c r="H2284" s="5"/>
    </row>
    <row r="2285" spans="5:8" x14ac:dyDescent="0.2">
      <c r="E2285" s="5"/>
      <c r="F2285" s="5"/>
      <c r="G2285" s="5"/>
      <c r="H2285" s="5"/>
    </row>
    <row r="2286" spans="5:8" x14ac:dyDescent="0.2">
      <c r="E2286" s="5"/>
      <c r="F2286" s="5"/>
      <c r="G2286" s="5"/>
      <c r="H2286" s="5"/>
    </row>
    <row r="2287" spans="5:8" x14ac:dyDescent="0.2">
      <c r="E2287" s="5"/>
      <c r="F2287" s="5"/>
      <c r="G2287" s="5"/>
      <c r="H2287" s="5"/>
    </row>
    <row r="2288" spans="5:8" x14ac:dyDescent="0.2">
      <c r="E2288" s="5"/>
      <c r="F2288" s="5"/>
      <c r="G2288" s="5"/>
      <c r="H2288" s="5"/>
    </row>
    <row r="2289" spans="5:8" x14ac:dyDescent="0.2">
      <c r="E2289" s="5"/>
      <c r="F2289" s="5"/>
      <c r="G2289" s="5"/>
      <c r="H2289" s="5"/>
    </row>
    <row r="2290" spans="5:8" x14ac:dyDescent="0.2">
      <c r="E2290" s="5"/>
      <c r="F2290" s="5"/>
      <c r="G2290" s="5"/>
      <c r="H2290" s="5"/>
    </row>
    <row r="2291" spans="5:8" x14ac:dyDescent="0.2">
      <c r="E2291" s="5"/>
      <c r="F2291" s="5"/>
      <c r="G2291" s="5"/>
      <c r="H2291" s="5"/>
    </row>
    <row r="2292" spans="5:8" x14ac:dyDescent="0.2">
      <c r="E2292" s="5"/>
      <c r="F2292" s="5"/>
      <c r="G2292" s="5"/>
      <c r="H2292" s="5"/>
    </row>
    <row r="2293" spans="5:8" x14ac:dyDescent="0.2">
      <c r="E2293" s="5"/>
      <c r="F2293" s="5"/>
      <c r="G2293" s="5"/>
      <c r="H2293" s="5"/>
    </row>
    <row r="2294" spans="5:8" x14ac:dyDescent="0.2">
      <c r="E2294" s="5"/>
      <c r="F2294" s="5"/>
      <c r="G2294" s="5"/>
      <c r="H2294" s="5"/>
    </row>
    <row r="2295" spans="5:8" x14ac:dyDescent="0.2">
      <c r="E2295" s="5"/>
      <c r="F2295" s="5"/>
      <c r="G2295" s="5"/>
      <c r="H2295" s="5"/>
    </row>
    <row r="2296" spans="5:8" x14ac:dyDescent="0.2">
      <c r="E2296" s="5"/>
      <c r="F2296" s="5"/>
      <c r="G2296" s="5"/>
      <c r="H2296" s="5"/>
    </row>
    <row r="2297" spans="5:8" x14ac:dyDescent="0.2">
      <c r="E2297" s="5"/>
      <c r="F2297" s="5"/>
      <c r="G2297" s="5"/>
      <c r="H2297" s="5"/>
    </row>
    <row r="2298" spans="5:8" x14ac:dyDescent="0.2">
      <c r="E2298" s="5"/>
      <c r="F2298" s="5"/>
      <c r="G2298" s="5"/>
      <c r="H2298" s="5"/>
    </row>
    <row r="2299" spans="5:8" x14ac:dyDescent="0.2">
      <c r="E2299" s="5"/>
      <c r="F2299" s="5"/>
      <c r="G2299" s="5"/>
      <c r="H2299" s="5"/>
    </row>
    <row r="2300" spans="5:8" x14ac:dyDescent="0.2">
      <c r="E2300" s="5"/>
      <c r="F2300" s="5"/>
      <c r="G2300" s="5"/>
      <c r="H2300" s="5"/>
    </row>
    <row r="2301" spans="5:8" x14ac:dyDescent="0.2">
      <c r="E2301" s="5"/>
      <c r="F2301" s="5"/>
      <c r="G2301" s="5"/>
      <c r="H2301" s="5"/>
    </row>
    <row r="2302" spans="5:8" x14ac:dyDescent="0.2">
      <c r="E2302" s="5"/>
      <c r="F2302" s="5"/>
      <c r="G2302" s="5"/>
      <c r="H2302" s="5"/>
    </row>
    <row r="2303" spans="5:8" x14ac:dyDescent="0.2">
      <c r="E2303" s="5"/>
      <c r="F2303" s="5"/>
      <c r="G2303" s="5"/>
      <c r="H2303" s="5"/>
    </row>
    <row r="2304" spans="5:8" x14ac:dyDescent="0.2">
      <c r="E2304" s="5"/>
      <c r="F2304" s="5"/>
      <c r="G2304" s="5"/>
      <c r="H2304" s="5"/>
    </row>
    <row r="2305" spans="5:8" x14ac:dyDescent="0.2">
      <c r="E2305" s="5"/>
      <c r="F2305" s="5"/>
      <c r="G2305" s="5"/>
      <c r="H2305" s="5"/>
    </row>
    <row r="2306" spans="5:8" x14ac:dyDescent="0.2">
      <c r="E2306" s="5"/>
      <c r="F2306" s="5"/>
      <c r="G2306" s="5"/>
      <c r="H2306" s="5"/>
    </row>
    <row r="2307" spans="5:8" x14ac:dyDescent="0.2">
      <c r="E2307" s="5"/>
      <c r="F2307" s="5"/>
      <c r="G2307" s="5"/>
      <c r="H2307" s="5"/>
    </row>
    <row r="2308" spans="5:8" x14ac:dyDescent="0.2">
      <c r="E2308" s="5"/>
      <c r="F2308" s="5"/>
      <c r="G2308" s="5"/>
      <c r="H2308" s="5"/>
    </row>
    <row r="2309" spans="5:8" x14ac:dyDescent="0.2">
      <c r="E2309" s="5"/>
      <c r="F2309" s="5"/>
      <c r="G2309" s="5"/>
      <c r="H2309" s="5"/>
    </row>
    <row r="2310" spans="5:8" x14ac:dyDescent="0.2">
      <c r="E2310" s="5"/>
      <c r="F2310" s="5"/>
      <c r="G2310" s="5"/>
      <c r="H2310" s="5"/>
    </row>
    <row r="2311" spans="5:8" x14ac:dyDescent="0.2">
      <c r="E2311" s="5"/>
      <c r="F2311" s="5"/>
      <c r="G2311" s="5"/>
      <c r="H2311" s="5"/>
    </row>
    <row r="2312" spans="5:8" x14ac:dyDescent="0.2">
      <c r="E2312" s="5"/>
      <c r="F2312" s="5"/>
      <c r="G2312" s="5"/>
      <c r="H2312" s="5"/>
    </row>
    <row r="2313" spans="5:8" x14ac:dyDescent="0.2">
      <c r="E2313" s="5"/>
      <c r="F2313" s="5"/>
      <c r="G2313" s="5"/>
      <c r="H2313" s="5"/>
    </row>
    <row r="2314" spans="5:8" x14ac:dyDescent="0.2">
      <c r="E2314" s="5"/>
      <c r="F2314" s="5"/>
      <c r="G2314" s="5"/>
      <c r="H2314" s="5"/>
    </row>
    <row r="2315" spans="5:8" x14ac:dyDescent="0.2">
      <c r="E2315" s="5"/>
      <c r="F2315" s="5"/>
      <c r="G2315" s="5"/>
      <c r="H2315" s="5"/>
    </row>
    <row r="2316" spans="5:8" x14ac:dyDescent="0.2">
      <c r="E2316" s="5"/>
      <c r="F2316" s="5"/>
      <c r="G2316" s="5"/>
      <c r="H2316" s="5"/>
    </row>
    <row r="2317" spans="5:8" x14ac:dyDescent="0.2">
      <c r="E2317" s="5"/>
      <c r="F2317" s="5"/>
      <c r="G2317" s="5"/>
      <c r="H2317" s="5"/>
    </row>
    <row r="2318" spans="5:8" x14ac:dyDescent="0.2">
      <c r="E2318" s="5"/>
      <c r="F2318" s="5"/>
      <c r="G2318" s="5"/>
      <c r="H2318" s="5"/>
    </row>
    <row r="2319" spans="5:8" x14ac:dyDescent="0.2">
      <c r="E2319" s="5"/>
      <c r="F2319" s="5"/>
      <c r="G2319" s="5"/>
      <c r="H2319" s="5"/>
    </row>
    <row r="2320" spans="5:8" x14ac:dyDescent="0.2">
      <c r="E2320" s="5"/>
      <c r="F2320" s="5"/>
      <c r="G2320" s="5"/>
      <c r="H2320" s="5"/>
    </row>
    <row r="2321" spans="5:8" x14ac:dyDescent="0.2">
      <c r="E2321" s="5"/>
      <c r="F2321" s="5"/>
      <c r="G2321" s="5"/>
      <c r="H2321" s="5"/>
    </row>
    <row r="2322" spans="5:8" x14ac:dyDescent="0.2">
      <c r="E2322" s="5"/>
      <c r="F2322" s="5"/>
      <c r="G2322" s="5"/>
      <c r="H2322" s="5"/>
    </row>
    <row r="2323" spans="5:8" x14ac:dyDescent="0.2">
      <c r="E2323" s="5"/>
      <c r="F2323" s="5"/>
      <c r="G2323" s="5"/>
      <c r="H2323" s="5"/>
    </row>
    <row r="2324" spans="5:8" x14ac:dyDescent="0.2">
      <c r="E2324" s="5"/>
      <c r="F2324" s="5"/>
      <c r="G2324" s="5"/>
      <c r="H2324" s="5"/>
    </row>
    <row r="2325" spans="5:8" x14ac:dyDescent="0.2">
      <c r="E2325" s="5"/>
      <c r="F2325" s="5"/>
      <c r="G2325" s="5"/>
      <c r="H2325" s="5"/>
    </row>
    <row r="2326" spans="5:8" x14ac:dyDescent="0.2">
      <c r="E2326" s="5"/>
      <c r="F2326" s="5"/>
      <c r="G2326" s="5"/>
      <c r="H2326" s="5"/>
    </row>
    <row r="2327" spans="5:8" x14ac:dyDescent="0.2">
      <c r="E2327" s="5"/>
      <c r="F2327" s="5"/>
      <c r="G2327" s="5"/>
      <c r="H2327" s="5"/>
    </row>
    <row r="2328" spans="5:8" x14ac:dyDescent="0.2">
      <c r="E2328" s="5"/>
      <c r="F2328" s="5"/>
      <c r="G2328" s="5"/>
      <c r="H2328" s="5"/>
    </row>
    <row r="2329" spans="5:8" x14ac:dyDescent="0.2">
      <c r="E2329" s="5"/>
      <c r="F2329" s="5"/>
      <c r="G2329" s="5"/>
      <c r="H2329" s="5"/>
    </row>
    <row r="2330" spans="5:8" x14ac:dyDescent="0.2">
      <c r="E2330" s="5"/>
      <c r="F2330" s="5"/>
      <c r="G2330" s="5"/>
      <c r="H2330" s="5"/>
    </row>
    <row r="2331" spans="5:8" x14ac:dyDescent="0.2">
      <c r="E2331" s="5"/>
      <c r="F2331" s="5"/>
      <c r="G2331" s="5"/>
      <c r="H2331" s="5"/>
    </row>
    <row r="2332" spans="5:8" x14ac:dyDescent="0.2">
      <c r="E2332" s="5"/>
      <c r="F2332" s="5"/>
      <c r="G2332" s="5"/>
      <c r="H2332" s="5"/>
    </row>
    <row r="2333" spans="5:8" x14ac:dyDescent="0.2">
      <c r="E2333" s="5"/>
      <c r="F2333" s="5"/>
      <c r="G2333" s="5"/>
      <c r="H2333" s="5"/>
    </row>
    <row r="2334" spans="5:8" x14ac:dyDescent="0.2">
      <c r="E2334" s="5"/>
      <c r="F2334" s="5"/>
      <c r="G2334" s="5"/>
      <c r="H2334" s="5"/>
    </row>
    <row r="2335" spans="5:8" x14ac:dyDescent="0.2">
      <c r="E2335" s="5"/>
      <c r="F2335" s="5"/>
      <c r="G2335" s="5"/>
      <c r="H2335" s="5"/>
    </row>
    <row r="2336" spans="5:8" x14ac:dyDescent="0.2">
      <c r="E2336" s="5"/>
      <c r="F2336" s="5"/>
      <c r="G2336" s="5"/>
      <c r="H2336" s="5"/>
    </row>
    <row r="2337" spans="5:8" x14ac:dyDescent="0.2">
      <c r="E2337" s="5"/>
      <c r="F2337" s="5"/>
      <c r="G2337" s="5"/>
      <c r="H2337" s="5"/>
    </row>
    <row r="2338" spans="5:8" x14ac:dyDescent="0.2">
      <c r="E2338" s="5"/>
      <c r="F2338" s="5"/>
      <c r="G2338" s="5"/>
      <c r="H2338" s="5"/>
    </row>
    <row r="2339" spans="5:8" x14ac:dyDescent="0.2">
      <c r="E2339" s="5"/>
      <c r="F2339" s="5"/>
      <c r="G2339" s="5"/>
      <c r="H2339" s="5"/>
    </row>
    <row r="2340" spans="5:8" x14ac:dyDescent="0.2">
      <c r="E2340" s="5"/>
      <c r="F2340" s="5"/>
      <c r="G2340" s="5"/>
      <c r="H2340" s="5"/>
    </row>
    <row r="2341" spans="5:8" x14ac:dyDescent="0.2">
      <c r="E2341" s="5"/>
      <c r="F2341" s="5"/>
      <c r="G2341" s="5"/>
      <c r="H2341" s="5"/>
    </row>
    <row r="2342" spans="5:8" x14ac:dyDescent="0.2">
      <c r="E2342" s="5"/>
      <c r="F2342" s="5"/>
      <c r="G2342" s="5"/>
      <c r="H2342" s="5"/>
    </row>
    <row r="2343" spans="5:8" x14ac:dyDescent="0.2">
      <c r="E2343" s="5"/>
      <c r="F2343" s="5"/>
      <c r="G2343" s="5"/>
      <c r="H2343" s="5"/>
    </row>
    <row r="2344" spans="5:8" x14ac:dyDescent="0.2">
      <c r="E2344" s="5"/>
      <c r="F2344" s="5"/>
      <c r="G2344" s="5"/>
      <c r="H2344" s="5"/>
    </row>
    <row r="2345" spans="5:8" x14ac:dyDescent="0.2">
      <c r="E2345" s="5"/>
      <c r="F2345" s="5"/>
      <c r="G2345" s="5"/>
      <c r="H2345" s="5"/>
    </row>
    <row r="2346" spans="5:8" x14ac:dyDescent="0.2">
      <c r="E2346" s="5"/>
      <c r="F2346" s="5"/>
      <c r="G2346" s="5"/>
      <c r="H2346" s="5"/>
    </row>
    <row r="2347" spans="5:8" x14ac:dyDescent="0.2">
      <c r="E2347" s="5"/>
      <c r="F2347" s="5"/>
      <c r="G2347" s="5"/>
      <c r="H2347" s="5"/>
    </row>
    <row r="2348" spans="5:8" x14ac:dyDescent="0.2">
      <c r="E2348" s="5"/>
      <c r="F2348" s="5"/>
      <c r="G2348" s="5"/>
      <c r="H2348" s="5"/>
    </row>
    <row r="2349" spans="5:8" x14ac:dyDescent="0.2">
      <c r="E2349" s="5"/>
      <c r="F2349" s="5"/>
      <c r="G2349" s="5"/>
      <c r="H2349" s="5"/>
    </row>
    <row r="2350" spans="5:8" x14ac:dyDescent="0.2">
      <c r="E2350" s="5"/>
      <c r="F2350" s="5"/>
      <c r="G2350" s="5"/>
      <c r="H2350" s="5"/>
    </row>
    <row r="2351" spans="5:8" x14ac:dyDescent="0.2">
      <c r="E2351" s="5"/>
      <c r="F2351" s="5"/>
      <c r="G2351" s="5"/>
      <c r="H2351" s="5"/>
    </row>
    <row r="2352" spans="5:8" x14ac:dyDescent="0.2">
      <c r="E2352" s="5"/>
      <c r="F2352" s="5"/>
      <c r="G2352" s="5"/>
      <c r="H2352" s="5"/>
    </row>
    <row r="2353" spans="5:8" x14ac:dyDescent="0.2">
      <c r="E2353" s="5"/>
      <c r="F2353" s="5"/>
      <c r="G2353" s="5"/>
      <c r="H2353" s="5"/>
    </row>
    <row r="2354" spans="5:8" x14ac:dyDescent="0.2">
      <c r="E2354" s="5"/>
      <c r="F2354" s="5"/>
      <c r="G2354" s="5"/>
      <c r="H2354" s="5"/>
    </row>
    <row r="2355" spans="5:8" x14ac:dyDescent="0.2">
      <c r="E2355" s="5"/>
      <c r="F2355" s="5"/>
      <c r="G2355" s="5"/>
      <c r="H2355" s="5"/>
    </row>
    <row r="2356" spans="5:8" x14ac:dyDescent="0.2">
      <c r="E2356" s="5"/>
      <c r="F2356" s="5"/>
      <c r="G2356" s="5"/>
      <c r="H2356" s="5"/>
    </row>
    <row r="2357" spans="5:8" x14ac:dyDescent="0.2">
      <c r="E2357" s="5"/>
      <c r="F2357" s="5"/>
      <c r="G2357" s="5"/>
      <c r="H2357" s="5"/>
    </row>
    <row r="2358" spans="5:8" x14ac:dyDescent="0.2">
      <c r="E2358" s="5"/>
      <c r="F2358" s="5"/>
      <c r="G2358" s="5"/>
      <c r="H2358" s="5"/>
    </row>
    <row r="2359" spans="5:8" x14ac:dyDescent="0.2">
      <c r="E2359" s="5"/>
      <c r="F2359" s="5"/>
      <c r="G2359" s="5"/>
      <c r="H2359" s="5"/>
    </row>
    <row r="2360" spans="5:8" x14ac:dyDescent="0.2">
      <c r="E2360" s="5"/>
      <c r="F2360" s="5"/>
      <c r="G2360" s="5"/>
      <c r="H2360" s="5"/>
    </row>
    <row r="2361" spans="5:8" x14ac:dyDescent="0.2">
      <c r="E2361" s="5"/>
      <c r="F2361" s="5"/>
      <c r="G2361" s="5"/>
      <c r="H2361" s="5"/>
    </row>
    <row r="2362" spans="5:8" x14ac:dyDescent="0.2">
      <c r="E2362" s="5"/>
      <c r="F2362" s="5"/>
      <c r="G2362" s="5"/>
      <c r="H2362" s="5"/>
    </row>
    <row r="2363" spans="5:8" x14ac:dyDescent="0.2">
      <c r="E2363" s="5"/>
      <c r="F2363" s="5"/>
      <c r="G2363" s="5"/>
      <c r="H2363" s="5"/>
    </row>
    <row r="2364" spans="5:8" x14ac:dyDescent="0.2">
      <c r="E2364" s="5"/>
      <c r="F2364" s="5"/>
      <c r="G2364" s="5"/>
      <c r="H2364" s="5"/>
    </row>
    <row r="2365" spans="5:8" x14ac:dyDescent="0.2">
      <c r="E2365" s="5"/>
      <c r="F2365" s="5"/>
      <c r="G2365" s="5"/>
      <c r="H2365" s="5"/>
    </row>
    <row r="2366" spans="5:8" x14ac:dyDescent="0.2">
      <c r="E2366" s="5"/>
      <c r="F2366" s="5"/>
      <c r="G2366" s="5"/>
      <c r="H2366" s="5"/>
    </row>
    <row r="2367" spans="5:8" x14ac:dyDescent="0.2">
      <c r="E2367" s="5"/>
      <c r="F2367" s="5"/>
      <c r="G2367" s="5"/>
      <c r="H2367" s="5"/>
    </row>
    <row r="2368" spans="5:8" x14ac:dyDescent="0.2">
      <c r="E2368" s="5"/>
      <c r="F2368" s="5"/>
      <c r="G2368" s="5"/>
      <c r="H2368" s="5"/>
    </row>
    <row r="2369" spans="5:8" x14ac:dyDescent="0.2">
      <c r="E2369" s="5"/>
      <c r="F2369" s="5"/>
      <c r="G2369" s="5"/>
      <c r="H2369" s="5"/>
    </row>
    <row r="2370" spans="5:8" x14ac:dyDescent="0.2">
      <c r="E2370" s="5"/>
      <c r="F2370" s="5"/>
      <c r="G2370" s="5"/>
      <c r="H2370" s="5"/>
    </row>
    <row r="2371" spans="5:8" x14ac:dyDescent="0.2">
      <c r="E2371" s="5"/>
      <c r="F2371" s="5"/>
      <c r="G2371" s="5"/>
      <c r="H2371" s="5"/>
    </row>
    <row r="2372" spans="5:8" x14ac:dyDescent="0.2">
      <c r="E2372" s="5"/>
      <c r="F2372" s="5"/>
      <c r="G2372" s="5"/>
      <c r="H2372" s="5"/>
    </row>
    <row r="2373" spans="5:8" x14ac:dyDescent="0.2">
      <c r="E2373" s="5"/>
      <c r="F2373" s="5"/>
      <c r="G2373" s="5"/>
      <c r="H2373" s="5"/>
    </row>
    <row r="2374" spans="5:8" x14ac:dyDescent="0.2">
      <c r="E2374" s="5"/>
      <c r="F2374" s="5"/>
      <c r="G2374" s="5"/>
      <c r="H2374" s="5"/>
    </row>
    <row r="2375" spans="5:8" x14ac:dyDescent="0.2">
      <c r="E2375" s="5"/>
      <c r="F2375" s="5"/>
      <c r="G2375" s="5"/>
      <c r="H2375" s="5"/>
    </row>
    <row r="2376" spans="5:8" x14ac:dyDescent="0.2">
      <c r="E2376" s="5"/>
      <c r="F2376" s="5"/>
      <c r="G2376" s="5"/>
      <c r="H2376" s="5"/>
    </row>
    <row r="2377" spans="5:8" x14ac:dyDescent="0.2">
      <c r="E2377" s="5"/>
      <c r="F2377" s="5"/>
      <c r="G2377" s="5"/>
      <c r="H2377" s="5"/>
    </row>
    <row r="2378" spans="5:8" x14ac:dyDescent="0.2">
      <c r="E2378" s="5"/>
      <c r="F2378" s="5"/>
      <c r="G2378" s="5"/>
      <c r="H2378" s="5"/>
    </row>
    <row r="2379" spans="5:8" x14ac:dyDescent="0.2">
      <c r="E2379" s="5"/>
      <c r="F2379" s="5"/>
      <c r="G2379" s="5"/>
      <c r="H2379" s="5"/>
    </row>
    <row r="2380" spans="5:8" x14ac:dyDescent="0.2">
      <c r="E2380" s="5"/>
      <c r="F2380" s="5"/>
      <c r="G2380" s="5"/>
      <c r="H2380" s="5"/>
    </row>
    <row r="2381" spans="5:8" x14ac:dyDescent="0.2">
      <c r="E2381" s="5"/>
      <c r="F2381" s="5"/>
      <c r="G2381" s="5"/>
      <c r="H2381" s="5"/>
    </row>
    <row r="2382" spans="5:8" x14ac:dyDescent="0.2">
      <c r="E2382" s="5"/>
      <c r="F2382" s="5"/>
      <c r="G2382" s="5"/>
      <c r="H2382" s="5"/>
    </row>
    <row r="2383" spans="5:8" x14ac:dyDescent="0.2">
      <c r="E2383" s="5"/>
      <c r="F2383" s="5"/>
      <c r="G2383" s="5"/>
      <c r="H2383" s="5"/>
    </row>
    <row r="2384" spans="5:8" x14ac:dyDescent="0.2">
      <c r="E2384" s="5"/>
      <c r="F2384" s="5"/>
      <c r="G2384" s="5"/>
      <c r="H2384" s="5"/>
    </row>
    <row r="2385" spans="5:8" x14ac:dyDescent="0.2">
      <c r="E2385" s="5"/>
      <c r="F2385" s="5"/>
      <c r="G2385" s="5"/>
      <c r="H2385" s="5"/>
    </row>
    <row r="2386" spans="5:8" x14ac:dyDescent="0.2">
      <c r="E2386" s="5"/>
      <c r="F2386" s="5"/>
      <c r="G2386" s="5"/>
      <c r="H2386" s="5"/>
    </row>
    <row r="2387" spans="5:8" x14ac:dyDescent="0.2">
      <c r="E2387" s="5"/>
      <c r="F2387" s="5"/>
      <c r="G2387" s="5"/>
      <c r="H2387" s="5"/>
    </row>
    <row r="2388" spans="5:8" x14ac:dyDescent="0.2">
      <c r="E2388" s="5"/>
      <c r="F2388" s="5"/>
      <c r="G2388" s="5"/>
      <c r="H2388" s="5"/>
    </row>
    <row r="2389" spans="5:8" x14ac:dyDescent="0.2">
      <c r="E2389" s="5"/>
      <c r="F2389" s="5"/>
      <c r="G2389" s="5"/>
      <c r="H2389" s="5"/>
    </row>
    <row r="2390" spans="5:8" x14ac:dyDescent="0.2">
      <c r="E2390" s="5"/>
      <c r="F2390" s="5"/>
      <c r="G2390" s="5"/>
      <c r="H2390" s="5"/>
    </row>
    <row r="2391" spans="5:8" x14ac:dyDescent="0.2">
      <c r="E2391" s="5"/>
      <c r="F2391" s="5"/>
      <c r="G2391" s="5"/>
      <c r="H2391" s="5"/>
    </row>
    <row r="2392" spans="5:8" x14ac:dyDescent="0.2">
      <c r="E2392" s="5"/>
      <c r="F2392" s="5"/>
      <c r="G2392" s="5"/>
      <c r="H2392" s="5"/>
    </row>
    <row r="2393" spans="5:8" x14ac:dyDescent="0.2">
      <c r="E2393" s="5"/>
      <c r="F2393" s="5"/>
      <c r="G2393" s="5"/>
      <c r="H2393" s="5"/>
    </row>
    <row r="2394" spans="5:8" x14ac:dyDescent="0.2">
      <c r="E2394" s="5"/>
      <c r="F2394" s="5"/>
      <c r="G2394" s="5"/>
      <c r="H2394" s="5"/>
    </row>
    <row r="2395" spans="5:8" x14ac:dyDescent="0.2">
      <c r="E2395" s="5"/>
      <c r="F2395" s="5"/>
      <c r="G2395" s="5"/>
      <c r="H2395" s="5"/>
    </row>
    <row r="2396" spans="5:8" x14ac:dyDescent="0.2">
      <c r="E2396" s="5"/>
      <c r="F2396" s="5"/>
      <c r="G2396" s="5"/>
      <c r="H2396" s="5"/>
    </row>
    <row r="2397" spans="5:8" x14ac:dyDescent="0.2">
      <c r="E2397" s="5"/>
      <c r="F2397" s="5"/>
      <c r="G2397" s="5"/>
      <c r="H2397" s="5"/>
    </row>
    <row r="2398" spans="5:8" x14ac:dyDescent="0.2">
      <c r="E2398" s="5"/>
      <c r="F2398" s="5"/>
      <c r="G2398" s="5"/>
      <c r="H2398" s="5"/>
    </row>
    <row r="2399" spans="5:8" x14ac:dyDescent="0.2">
      <c r="E2399" s="5"/>
      <c r="F2399" s="5"/>
      <c r="G2399" s="5"/>
      <c r="H2399" s="5"/>
    </row>
    <row r="2400" spans="5:8" x14ac:dyDescent="0.2">
      <c r="E2400" s="5"/>
      <c r="F2400" s="5"/>
      <c r="G2400" s="5"/>
      <c r="H2400" s="5"/>
    </row>
    <row r="2401" spans="5:8" x14ac:dyDescent="0.2">
      <c r="E2401" s="5"/>
      <c r="F2401" s="5"/>
      <c r="G2401" s="5"/>
      <c r="H2401" s="5"/>
    </row>
    <row r="2402" spans="5:8" x14ac:dyDescent="0.2">
      <c r="E2402" s="5"/>
      <c r="F2402" s="5"/>
      <c r="G2402" s="5"/>
      <c r="H2402" s="5"/>
    </row>
    <row r="2403" spans="5:8" x14ac:dyDescent="0.2">
      <c r="E2403" s="5"/>
      <c r="F2403" s="5"/>
      <c r="G2403" s="5"/>
      <c r="H2403" s="5"/>
    </row>
    <row r="2404" spans="5:8" x14ac:dyDescent="0.2">
      <c r="E2404" s="5"/>
      <c r="F2404" s="5"/>
      <c r="G2404" s="5"/>
      <c r="H2404" s="5"/>
    </row>
    <row r="2405" spans="5:8" x14ac:dyDescent="0.2">
      <c r="E2405" s="5"/>
      <c r="F2405" s="5"/>
      <c r="G2405" s="5"/>
      <c r="H2405" s="5"/>
    </row>
    <row r="2406" spans="5:8" x14ac:dyDescent="0.2">
      <c r="E2406" s="5"/>
      <c r="F2406" s="5"/>
      <c r="G2406" s="5"/>
      <c r="H2406" s="5"/>
    </row>
    <row r="2407" spans="5:8" x14ac:dyDescent="0.2">
      <c r="E2407" s="5"/>
      <c r="F2407" s="5"/>
      <c r="G2407" s="5"/>
      <c r="H2407" s="5"/>
    </row>
    <row r="2408" spans="5:8" x14ac:dyDescent="0.2">
      <c r="E2408" s="5"/>
      <c r="F2408" s="5"/>
      <c r="G2408" s="5"/>
      <c r="H2408" s="5"/>
    </row>
    <row r="2409" spans="5:8" x14ac:dyDescent="0.2">
      <c r="E2409" s="5"/>
      <c r="F2409" s="5"/>
      <c r="G2409" s="5"/>
      <c r="H2409" s="5"/>
    </row>
    <row r="2410" spans="5:8" x14ac:dyDescent="0.2">
      <c r="E2410" s="5"/>
      <c r="F2410" s="5"/>
      <c r="G2410" s="5"/>
      <c r="H2410" s="5"/>
    </row>
    <row r="2411" spans="5:8" x14ac:dyDescent="0.2">
      <c r="E2411" s="5"/>
      <c r="F2411" s="5"/>
      <c r="G2411" s="5"/>
      <c r="H2411" s="5"/>
    </row>
    <row r="2412" spans="5:8" x14ac:dyDescent="0.2">
      <c r="E2412" s="5"/>
      <c r="F2412" s="5"/>
      <c r="G2412" s="5"/>
      <c r="H2412" s="5"/>
    </row>
    <row r="2413" spans="5:8" x14ac:dyDescent="0.2">
      <c r="E2413" s="5"/>
      <c r="F2413" s="5"/>
      <c r="G2413" s="5"/>
      <c r="H2413" s="5"/>
    </row>
    <row r="2414" spans="5:8" x14ac:dyDescent="0.2">
      <c r="E2414" s="5"/>
      <c r="F2414" s="5"/>
      <c r="G2414" s="5"/>
      <c r="H2414" s="5"/>
    </row>
    <row r="2415" spans="5:8" x14ac:dyDescent="0.2">
      <c r="E2415" s="5"/>
      <c r="F2415" s="5"/>
      <c r="G2415" s="5"/>
      <c r="H2415" s="5"/>
    </row>
    <row r="2416" spans="5:8" x14ac:dyDescent="0.2">
      <c r="E2416" s="5"/>
      <c r="F2416" s="5"/>
      <c r="G2416" s="5"/>
      <c r="H2416" s="5"/>
    </row>
    <row r="2417" spans="5:8" x14ac:dyDescent="0.2">
      <c r="E2417" s="5"/>
      <c r="F2417" s="5"/>
      <c r="G2417" s="5"/>
      <c r="H2417" s="5"/>
    </row>
    <row r="2418" spans="5:8" x14ac:dyDescent="0.2">
      <c r="E2418" s="5"/>
      <c r="F2418" s="5"/>
      <c r="G2418" s="5"/>
      <c r="H2418" s="5"/>
    </row>
    <row r="2419" spans="5:8" x14ac:dyDescent="0.2">
      <c r="E2419" s="5"/>
      <c r="F2419" s="5"/>
      <c r="G2419" s="5"/>
      <c r="H2419" s="5"/>
    </row>
    <row r="2420" spans="5:8" x14ac:dyDescent="0.2">
      <c r="E2420" s="5"/>
      <c r="F2420" s="5"/>
      <c r="G2420" s="5"/>
      <c r="H2420" s="5"/>
    </row>
    <row r="2421" spans="5:8" x14ac:dyDescent="0.2">
      <c r="E2421" s="5"/>
      <c r="F2421" s="5"/>
      <c r="G2421" s="5"/>
      <c r="H2421" s="5"/>
    </row>
    <row r="2422" spans="5:8" x14ac:dyDescent="0.2">
      <c r="E2422" s="5"/>
      <c r="F2422" s="5"/>
      <c r="G2422" s="5"/>
      <c r="H2422" s="5"/>
    </row>
    <row r="2423" spans="5:8" x14ac:dyDescent="0.2">
      <c r="E2423" s="5"/>
      <c r="F2423" s="5"/>
      <c r="G2423" s="5"/>
      <c r="H2423" s="5"/>
    </row>
    <row r="2424" spans="5:8" x14ac:dyDescent="0.2">
      <c r="E2424" s="5"/>
      <c r="F2424" s="5"/>
      <c r="G2424" s="5"/>
      <c r="H2424" s="5"/>
    </row>
    <row r="2425" spans="5:8" x14ac:dyDescent="0.2">
      <c r="E2425" s="5"/>
      <c r="F2425" s="5"/>
      <c r="G2425" s="5"/>
      <c r="H2425" s="5"/>
    </row>
    <row r="2426" spans="5:8" x14ac:dyDescent="0.2">
      <c r="E2426" s="5"/>
      <c r="F2426" s="5"/>
      <c r="G2426" s="5"/>
      <c r="H2426" s="5"/>
    </row>
    <row r="2427" spans="5:8" x14ac:dyDescent="0.2">
      <c r="E2427" s="5"/>
      <c r="F2427" s="5"/>
      <c r="G2427" s="5"/>
      <c r="H2427" s="5"/>
    </row>
    <row r="2428" spans="5:8" x14ac:dyDescent="0.2">
      <c r="E2428" s="5"/>
      <c r="F2428" s="5"/>
      <c r="G2428" s="5"/>
      <c r="H2428" s="5"/>
    </row>
    <row r="2429" spans="5:8" x14ac:dyDescent="0.2">
      <c r="E2429" s="5"/>
      <c r="F2429" s="5"/>
      <c r="G2429" s="5"/>
      <c r="H2429" s="5"/>
    </row>
    <row r="2430" spans="5:8" x14ac:dyDescent="0.2">
      <c r="E2430" s="5"/>
      <c r="F2430" s="5"/>
      <c r="G2430" s="5"/>
      <c r="H2430" s="5"/>
    </row>
    <row r="2431" spans="5:8" x14ac:dyDescent="0.2">
      <c r="E2431" s="5"/>
      <c r="F2431" s="5"/>
      <c r="G2431" s="5"/>
      <c r="H2431" s="5"/>
    </row>
    <row r="2432" spans="5:8" x14ac:dyDescent="0.2">
      <c r="E2432" s="5"/>
      <c r="F2432" s="5"/>
      <c r="G2432" s="5"/>
      <c r="H2432" s="5"/>
    </row>
    <row r="2433" spans="5:8" x14ac:dyDescent="0.2">
      <c r="E2433" s="5"/>
      <c r="F2433" s="5"/>
      <c r="G2433" s="5"/>
      <c r="H2433" s="5"/>
    </row>
    <row r="2434" spans="5:8" x14ac:dyDescent="0.2">
      <c r="E2434" s="5"/>
      <c r="F2434" s="5"/>
      <c r="G2434" s="5"/>
      <c r="H2434" s="5"/>
    </row>
    <row r="2435" spans="5:8" x14ac:dyDescent="0.2">
      <c r="E2435" s="5"/>
      <c r="F2435" s="5"/>
      <c r="G2435" s="5"/>
      <c r="H2435" s="5"/>
    </row>
    <row r="2436" spans="5:8" x14ac:dyDescent="0.2">
      <c r="E2436" s="5"/>
      <c r="F2436" s="5"/>
      <c r="G2436" s="5"/>
      <c r="H2436" s="5"/>
    </row>
    <row r="2437" spans="5:8" x14ac:dyDescent="0.2">
      <c r="E2437" s="5"/>
      <c r="F2437" s="5"/>
      <c r="G2437" s="5"/>
      <c r="H2437" s="5"/>
    </row>
    <row r="2438" spans="5:8" x14ac:dyDescent="0.2">
      <c r="E2438" s="5"/>
      <c r="F2438" s="5"/>
      <c r="G2438" s="5"/>
      <c r="H2438" s="5"/>
    </row>
    <row r="2439" spans="5:8" x14ac:dyDescent="0.2">
      <c r="E2439" s="5"/>
      <c r="F2439" s="5"/>
      <c r="G2439" s="5"/>
      <c r="H2439" s="5"/>
    </row>
    <row r="2440" spans="5:8" x14ac:dyDescent="0.2">
      <c r="E2440" s="5"/>
      <c r="F2440" s="5"/>
      <c r="G2440" s="5"/>
      <c r="H2440" s="5"/>
    </row>
    <row r="2441" spans="5:8" x14ac:dyDescent="0.2">
      <c r="E2441" s="5"/>
      <c r="F2441" s="5"/>
      <c r="G2441" s="5"/>
      <c r="H2441" s="5"/>
    </row>
    <row r="2442" spans="5:8" x14ac:dyDescent="0.2">
      <c r="E2442" s="5"/>
      <c r="F2442" s="5"/>
      <c r="G2442" s="5"/>
      <c r="H2442" s="5"/>
    </row>
    <row r="2443" spans="5:8" x14ac:dyDescent="0.2">
      <c r="E2443" s="5"/>
      <c r="F2443" s="5"/>
      <c r="G2443" s="5"/>
      <c r="H2443" s="5"/>
    </row>
    <row r="2444" spans="5:8" x14ac:dyDescent="0.2">
      <c r="E2444" s="5"/>
      <c r="F2444" s="5"/>
      <c r="G2444" s="5"/>
      <c r="H2444" s="5"/>
    </row>
    <row r="2445" spans="5:8" x14ac:dyDescent="0.2">
      <c r="E2445" s="5"/>
      <c r="F2445" s="5"/>
      <c r="G2445" s="5"/>
      <c r="H2445" s="5"/>
    </row>
    <row r="2446" spans="5:8" x14ac:dyDescent="0.2">
      <c r="E2446" s="5"/>
      <c r="F2446" s="5"/>
      <c r="G2446" s="5"/>
      <c r="H2446" s="5"/>
    </row>
    <row r="2447" spans="5:8" x14ac:dyDescent="0.2">
      <c r="E2447" s="5"/>
      <c r="F2447" s="5"/>
      <c r="G2447" s="5"/>
      <c r="H2447" s="5"/>
    </row>
    <row r="2448" spans="5:8" x14ac:dyDescent="0.2">
      <c r="E2448" s="5"/>
      <c r="F2448" s="5"/>
      <c r="G2448" s="5"/>
      <c r="H2448" s="5"/>
    </row>
    <row r="2449" spans="5:8" x14ac:dyDescent="0.2">
      <c r="E2449" s="5"/>
      <c r="F2449" s="5"/>
      <c r="G2449" s="5"/>
      <c r="H2449" s="5"/>
    </row>
    <row r="2450" spans="5:8" x14ac:dyDescent="0.2">
      <c r="E2450" s="5"/>
      <c r="F2450" s="5"/>
      <c r="G2450" s="5"/>
      <c r="H2450" s="5"/>
    </row>
    <row r="2451" spans="5:8" x14ac:dyDescent="0.2">
      <c r="E2451" s="5"/>
      <c r="F2451" s="5"/>
      <c r="G2451" s="5"/>
      <c r="H2451" s="5"/>
    </row>
    <row r="2452" spans="5:8" x14ac:dyDescent="0.2">
      <c r="E2452" s="5"/>
      <c r="F2452" s="5"/>
      <c r="G2452" s="5"/>
      <c r="H2452" s="5"/>
    </row>
    <row r="2453" spans="5:8" x14ac:dyDescent="0.2">
      <c r="E2453" s="5"/>
      <c r="F2453" s="5"/>
      <c r="G2453" s="5"/>
      <c r="H2453" s="5"/>
    </row>
    <row r="2454" spans="5:8" x14ac:dyDescent="0.2">
      <c r="E2454" s="5"/>
      <c r="F2454" s="5"/>
      <c r="G2454" s="5"/>
      <c r="H2454" s="5"/>
    </row>
    <row r="2455" spans="5:8" x14ac:dyDescent="0.2">
      <c r="E2455" s="5"/>
      <c r="F2455" s="5"/>
      <c r="G2455" s="5"/>
      <c r="H2455" s="5"/>
    </row>
    <row r="2456" spans="5:8" x14ac:dyDescent="0.2">
      <c r="E2456" s="5"/>
      <c r="F2456" s="5"/>
      <c r="G2456" s="5"/>
      <c r="H2456" s="5"/>
    </row>
    <row r="2457" spans="5:8" x14ac:dyDescent="0.2">
      <c r="E2457" s="5"/>
      <c r="F2457" s="5"/>
      <c r="G2457" s="5"/>
      <c r="H2457" s="5"/>
    </row>
    <row r="2458" spans="5:8" x14ac:dyDescent="0.2">
      <c r="E2458" s="5"/>
      <c r="F2458" s="5"/>
      <c r="G2458" s="5"/>
      <c r="H2458" s="5"/>
    </row>
    <row r="2459" spans="5:8" x14ac:dyDescent="0.2">
      <c r="E2459" s="5"/>
      <c r="F2459" s="5"/>
      <c r="G2459" s="5"/>
      <c r="H2459" s="5"/>
    </row>
    <row r="2460" spans="5:8" x14ac:dyDescent="0.2">
      <c r="E2460" s="5"/>
      <c r="F2460" s="5"/>
      <c r="G2460" s="5"/>
      <c r="H2460" s="5"/>
    </row>
    <row r="2461" spans="5:8" x14ac:dyDescent="0.2">
      <c r="E2461" s="5"/>
      <c r="F2461" s="5"/>
      <c r="G2461" s="5"/>
      <c r="H2461" s="5"/>
    </row>
    <row r="2462" spans="5:8" x14ac:dyDescent="0.2">
      <c r="E2462" s="5"/>
      <c r="F2462" s="5"/>
      <c r="G2462" s="5"/>
      <c r="H2462" s="5"/>
    </row>
    <row r="2463" spans="5:8" x14ac:dyDescent="0.2">
      <c r="E2463" s="5"/>
      <c r="F2463" s="5"/>
      <c r="G2463" s="5"/>
      <c r="H2463" s="5"/>
    </row>
    <row r="2464" spans="5:8" x14ac:dyDescent="0.2">
      <c r="E2464" s="5"/>
      <c r="F2464" s="5"/>
      <c r="G2464" s="5"/>
      <c r="H2464" s="5"/>
    </row>
    <row r="2465" spans="5:8" x14ac:dyDescent="0.2">
      <c r="E2465" s="5"/>
      <c r="F2465" s="5"/>
      <c r="G2465" s="5"/>
      <c r="H2465" s="5"/>
    </row>
    <row r="2466" spans="5:8" x14ac:dyDescent="0.2">
      <c r="E2466" s="5"/>
      <c r="F2466" s="5"/>
      <c r="G2466" s="5"/>
      <c r="H2466" s="5"/>
    </row>
    <row r="2467" spans="5:8" x14ac:dyDescent="0.2">
      <c r="E2467" s="5"/>
      <c r="F2467" s="5"/>
      <c r="G2467" s="5"/>
      <c r="H2467" s="5"/>
    </row>
    <row r="2468" spans="5:8" x14ac:dyDescent="0.2">
      <c r="E2468" s="5"/>
      <c r="F2468" s="5"/>
      <c r="G2468" s="5"/>
      <c r="H2468" s="5"/>
    </row>
    <row r="2469" spans="5:8" x14ac:dyDescent="0.2">
      <c r="E2469" s="5"/>
      <c r="F2469" s="5"/>
      <c r="G2469" s="5"/>
      <c r="H2469" s="5"/>
    </row>
    <row r="2470" spans="5:8" x14ac:dyDescent="0.2">
      <c r="E2470" s="5"/>
      <c r="F2470" s="5"/>
      <c r="G2470" s="5"/>
      <c r="H2470" s="5"/>
    </row>
    <row r="2471" spans="5:8" x14ac:dyDescent="0.2">
      <c r="E2471" s="5"/>
      <c r="F2471" s="5"/>
      <c r="G2471" s="5"/>
      <c r="H2471" s="5"/>
    </row>
    <row r="2472" spans="5:8" x14ac:dyDescent="0.2">
      <c r="E2472" s="5"/>
      <c r="F2472" s="5"/>
      <c r="G2472" s="5"/>
      <c r="H2472" s="5"/>
    </row>
    <row r="2473" spans="5:8" x14ac:dyDescent="0.2">
      <c r="E2473" s="5"/>
      <c r="F2473" s="5"/>
      <c r="G2473" s="5"/>
      <c r="H2473" s="5"/>
    </row>
    <row r="2474" spans="5:8" x14ac:dyDescent="0.2">
      <c r="E2474" s="5"/>
      <c r="F2474" s="5"/>
      <c r="G2474" s="5"/>
      <c r="H2474" s="5"/>
    </row>
    <row r="2475" spans="5:8" x14ac:dyDescent="0.2">
      <c r="E2475" s="5"/>
      <c r="F2475" s="5"/>
      <c r="G2475" s="5"/>
      <c r="H2475" s="5"/>
    </row>
    <row r="2476" spans="5:8" x14ac:dyDescent="0.2">
      <c r="E2476" s="5"/>
      <c r="F2476" s="5"/>
      <c r="G2476" s="5"/>
      <c r="H2476" s="5"/>
    </row>
    <row r="2477" spans="5:8" x14ac:dyDescent="0.2">
      <c r="E2477" s="5"/>
      <c r="F2477" s="5"/>
      <c r="G2477" s="5"/>
      <c r="H2477" s="5"/>
    </row>
    <row r="2478" spans="5:8" x14ac:dyDescent="0.2">
      <c r="E2478" s="5"/>
      <c r="F2478" s="5"/>
      <c r="G2478" s="5"/>
      <c r="H2478" s="5"/>
    </row>
    <row r="2479" spans="5:8" x14ac:dyDescent="0.2">
      <c r="E2479" s="5"/>
      <c r="F2479" s="5"/>
      <c r="G2479" s="5"/>
      <c r="H2479" s="5"/>
    </row>
    <row r="2480" spans="5:8" x14ac:dyDescent="0.2">
      <c r="E2480" s="5"/>
      <c r="F2480" s="5"/>
      <c r="G2480" s="5"/>
      <c r="H2480" s="5"/>
    </row>
    <row r="2481" spans="5:8" x14ac:dyDescent="0.2">
      <c r="E2481" s="5"/>
      <c r="F2481" s="5"/>
      <c r="G2481" s="5"/>
      <c r="H2481" s="5"/>
    </row>
    <row r="2482" spans="5:8" x14ac:dyDescent="0.2">
      <c r="E2482" s="5"/>
      <c r="F2482" s="5"/>
      <c r="G2482" s="5"/>
      <c r="H2482" s="5"/>
    </row>
    <row r="2483" spans="5:8" x14ac:dyDescent="0.2">
      <c r="E2483" s="5"/>
      <c r="F2483" s="5"/>
      <c r="G2483" s="5"/>
      <c r="H2483" s="5"/>
    </row>
    <row r="2484" spans="5:8" x14ac:dyDescent="0.2">
      <c r="E2484" s="5"/>
      <c r="F2484" s="5"/>
      <c r="G2484" s="5"/>
      <c r="H2484" s="5"/>
    </row>
    <row r="2485" spans="5:8" x14ac:dyDescent="0.2">
      <c r="E2485" s="5"/>
      <c r="F2485" s="5"/>
      <c r="G2485" s="5"/>
      <c r="H2485" s="5"/>
    </row>
    <row r="2486" spans="5:8" x14ac:dyDescent="0.2">
      <c r="E2486" s="5"/>
      <c r="F2486" s="5"/>
      <c r="G2486" s="5"/>
      <c r="H2486" s="5"/>
    </row>
    <row r="2487" spans="5:8" x14ac:dyDescent="0.2">
      <c r="E2487" s="5"/>
      <c r="F2487" s="5"/>
      <c r="G2487" s="5"/>
      <c r="H2487" s="5"/>
    </row>
    <row r="2488" spans="5:8" x14ac:dyDescent="0.2">
      <c r="E2488" s="5"/>
      <c r="F2488" s="5"/>
      <c r="G2488" s="5"/>
      <c r="H2488" s="5"/>
    </row>
    <row r="2489" spans="5:8" x14ac:dyDescent="0.2">
      <c r="E2489" s="5"/>
      <c r="F2489" s="5"/>
      <c r="G2489" s="5"/>
      <c r="H2489" s="5"/>
    </row>
    <row r="2490" spans="5:8" x14ac:dyDescent="0.2">
      <c r="E2490" s="5"/>
      <c r="F2490" s="5"/>
      <c r="G2490" s="5"/>
      <c r="H2490" s="5"/>
    </row>
    <row r="2491" spans="5:8" x14ac:dyDescent="0.2">
      <c r="E2491" s="5"/>
      <c r="F2491" s="5"/>
      <c r="G2491" s="5"/>
      <c r="H2491" s="5"/>
    </row>
    <row r="2492" spans="5:8" x14ac:dyDescent="0.2">
      <c r="E2492" s="5"/>
      <c r="F2492" s="5"/>
      <c r="G2492" s="5"/>
      <c r="H2492" s="5"/>
    </row>
    <row r="2493" spans="5:8" x14ac:dyDescent="0.2">
      <c r="E2493" s="5"/>
      <c r="F2493" s="5"/>
      <c r="G2493" s="5"/>
      <c r="H2493" s="5"/>
    </row>
    <row r="2494" spans="5:8" x14ac:dyDescent="0.2">
      <c r="E2494" s="5"/>
      <c r="F2494" s="5"/>
      <c r="G2494" s="5"/>
      <c r="H2494" s="5"/>
    </row>
    <row r="2495" spans="5:8" x14ac:dyDescent="0.2">
      <c r="E2495" s="5"/>
      <c r="F2495" s="5"/>
      <c r="G2495" s="5"/>
      <c r="H2495" s="5"/>
    </row>
    <row r="2496" spans="5:8" x14ac:dyDescent="0.2">
      <c r="E2496" s="5"/>
      <c r="F2496" s="5"/>
      <c r="G2496" s="5"/>
      <c r="H2496" s="5"/>
    </row>
    <row r="2497" spans="5:8" x14ac:dyDescent="0.2">
      <c r="E2497" s="5"/>
      <c r="F2497" s="5"/>
      <c r="G2497" s="5"/>
      <c r="H2497" s="5"/>
    </row>
    <row r="2498" spans="5:8" x14ac:dyDescent="0.2">
      <c r="E2498" s="5"/>
      <c r="F2498" s="5"/>
      <c r="G2498" s="5"/>
      <c r="H2498" s="5"/>
    </row>
    <row r="2499" spans="5:8" x14ac:dyDescent="0.2">
      <c r="E2499" s="5"/>
      <c r="F2499" s="5"/>
      <c r="G2499" s="5"/>
      <c r="H2499" s="5"/>
    </row>
    <row r="2500" spans="5:8" x14ac:dyDescent="0.2">
      <c r="E2500" s="5"/>
      <c r="F2500" s="5"/>
      <c r="G2500" s="5"/>
      <c r="H2500" s="5"/>
    </row>
    <row r="2501" spans="5:8" x14ac:dyDescent="0.2">
      <c r="E2501" s="5"/>
      <c r="F2501" s="5"/>
      <c r="G2501" s="5"/>
      <c r="H2501" s="5"/>
    </row>
    <row r="2502" spans="5:8" x14ac:dyDescent="0.2">
      <c r="E2502" s="5"/>
      <c r="F2502" s="5"/>
      <c r="G2502" s="5"/>
      <c r="H2502" s="5"/>
    </row>
    <row r="2503" spans="5:8" x14ac:dyDescent="0.2">
      <c r="E2503" s="5"/>
      <c r="F2503" s="5"/>
      <c r="G2503" s="5"/>
      <c r="H2503" s="5"/>
    </row>
    <row r="2504" spans="5:8" x14ac:dyDescent="0.2">
      <c r="E2504" s="5"/>
      <c r="F2504" s="5"/>
      <c r="G2504" s="5"/>
      <c r="H2504" s="5"/>
    </row>
    <row r="2505" spans="5:8" x14ac:dyDescent="0.2">
      <c r="E2505" s="5"/>
      <c r="F2505" s="5"/>
      <c r="G2505" s="5"/>
      <c r="H2505" s="5"/>
    </row>
    <row r="2506" spans="5:8" x14ac:dyDescent="0.2">
      <c r="E2506" s="5"/>
      <c r="F2506" s="5"/>
      <c r="G2506" s="5"/>
      <c r="H2506" s="5"/>
    </row>
    <row r="2507" spans="5:8" x14ac:dyDescent="0.2">
      <c r="E2507" s="5"/>
      <c r="F2507" s="5"/>
      <c r="G2507" s="5"/>
      <c r="H2507" s="5"/>
    </row>
    <row r="2508" spans="5:8" x14ac:dyDescent="0.2">
      <c r="E2508" s="5"/>
      <c r="F2508" s="5"/>
      <c r="G2508" s="5"/>
      <c r="H2508" s="5"/>
    </row>
    <row r="2509" spans="5:8" x14ac:dyDescent="0.2">
      <c r="E2509" s="5"/>
      <c r="F2509" s="5"/>
      <c r="G2509" s="5"/>
      <c r="H2509" s="5"/>
    </row>
    <row r="2510" spans="5:8" x14ac:dyDescent="0.2">
      <c r="E2510" s="5"/>
      <c r="F2510" s="5"/>
      <c r="G2510" s="5"/>
      <c r="H2510" s="5"/>
    </row>
    <row r="2511" spans="5:8" x14ac:dyDescent="0.2">
      <c r="E2511" s="5"/>
      <c r="F2511" s="5"/>
      <c r="G2511" s="5"/>
      <c r="H2511" s="5"/>
    </row>
    <row r="2512" spans="5:8" x14ac:dyDescent="0.2">
      <c r="E2512" s="5"/>
      <c r="F2512" s="5"/>
      <c r="G2512" s="5"/>
      <c r="H2512" s="5"/>
    </row>
    <row r="2513" spans="5:8" x14ac:dyDescent="0.2">
      <c r="E2513" s="5"/>
      <c r="F2513" s="5"/>
      <c r="G2513" s="5"/>
      <c r="H2513" s="5"/>
    </row>
    <row r="2514" spans="5:8" x14ac:dyDescent="0.2">
      <c r="E2514" s="5"/>
      <c r="F2514" s="5"/>
      <c r="G2514" s="5"/>
      <c r="H2514" s="5"/>
    </row>
    <row r="2515" spans="5:8" x14ac:dyDescent="0.2">
      <c r="E2515" s="5"/>
      <c r="F2515" s="5"/>
      <c r="G2515" s="5"/>
      <c r="H2515" s="5"/>
    </row>
    <row r="2516" spans="5:8" x14ac:dyDescent="0.2">
      <c r="E2516" s="5"/>
      <c r="F2516" s="5"/>
      <c r="G2516" s="5"/>
      <c r="H2516" s="5"/>
    </row>
    <row r="2517" spans="5:8" x14ac:dyDescent="0.2">
      <c r="E2517" s="5"/>
      <c r="F2517" s="5"/>
      <c r="G2517" s="5"/>
      <c r="H2517" s="5"/>
    </row>
    <row r="2518" spans="5:8" x14ac:dyDescent="0.2">
      <c r="E2518" s="5"/>
      <c r="F2518" s="5"/>
      <c r="G2518" s="5"/>
      <c r="H2518" s="5"/>
    </row>
    <row r="2519" spans="5:8" x14ac:dyDescent="0.2">
      <c r="E2519" s="5"/>
      <c r="F2519" s="5"/>
      <c r="G2519" s="5"/>
      <c r="H2519" s="5"/>
    </row>
    <row r="2520" spans="5:8" x14ac:dyDescent="0.2">
      <c r="E2520" s="5"/>
      <c r="F2520" s="5"/>
      <c r="G2520" s="5"/>
      <c r="H2520" s="5"/>
    </row>
    <row r="2521" spans="5:8" x14ac:dyDescent="0.2">
      <c r="E2521" s="5"/>
      <c r="F2521" s="5"/>
      <c r="G2521" s="5"/>
      <c r="H2521" s="5"/>
    </row>
    <row r="2522" spans="5:8" x14ac:dyDescent="0.2">
      <c r="E2522" s="5"/>
      <c r="F2522" s="5"/>
      <c r="G2522" s="5"/>
      <c r="H2522" s="5"/>
    </row>
    <row r="2523" spans="5:8" x14ac:dyDescent="0.2">
      <c r="E2523" s="5"/>
      <c r="F2523" s="5"/>
      <c r="G2523" s="5"/>
      <c r="H2523" s="5"/>
    </row>
    <row r="2524" spans="5:8" x14ac:dyDescent="0.2">
      <c r="E2524" s="5"/>
      <c r="F2524" s="5"/>
      <c r="G2524" s="5"/>
      <c r="H2524" s="5"/>
    </row>
    <row r="2525" spans="5:8" x14ac:dyDescent="0.2">
      <c r="E2525" s="5"/>
      <c r="F2525" s="5"/>
      <c r="G2525" s="5"/>
      <c r="H2525" s="5"/>
    </row>
    <row r="2526" spans="5:8" x14ac:dyDescent="0.2">
      <c r="E2526" s="5"/>
      <c r="F2526" s="5"/>
      <c r="G2526" s="5"/>
      <c r="H2526" s="5"/>
    </row>
    <row r="2527" spans="5:8" x14ac:dyDescent="0.2">
      <c r="E2527" s="5"/>
      <c r="F2527" s="5"/>
      <c r="G2527" s="5"/>
      <c r="H2527" s="5"/>
    </row>
    <row r="2528" spans="5:8" x14ac:dyDescent="0.2">
      <c r="E2528" s="5"/>
      <c r="F2528" s="5"/>
      <c r="G2528" s="5"/>
      <c r="H2528" s="5"/>
    </row>
    <row r="2529" spans="5:8" x14ac:dyDescent="0.2">
      <c r="E2529" s="5"/>
      <c r="F2529" s="5"/>
      <c r="G2529" s="5"/>
      <c r="H2529" s="5"/>
    </row>
    <row r="2530" spans="5:8" x14ac:dyDescent="0.2">
      <c r="E2530" s="5"/>
      <c r="F2530" s="5"/>
      <c r="G2530" s="5"/>
      <c r="H2530" s="5"/>
    </row>
    <row r="2531" spans="5:8" x14ac:dyDescent="0.2">
      <c r="E2531" s="5"/>
      <c r="F2531" s="5"/>
      <c r="G2531" s="5"/>
      <c r="H2531" s="5"/>
    </row>
    <row r="2532" spans="5:8" x14ac:dyDescent="0.2">
      <c r="E2532" s="5"/>
      <c r="F2532" s="5"/>
      <c r="G2532" s="5"/>
      <c r="H2532" s="5"/>
    </row>
    <row r="2533" spans="5:8" x14ac:dyDescent="0.2">
      <c r="E2533" s="5"/>
      <c r="F2533" s="5"/>
      <c r="G2533" s="5"/>
      <c r="H2533" s="5"/>
    </row>
    <row r="2534" spans="5:8" x14ac:dyDescent="0.2">
      <c r="E2534" s="5"/>
      <c r="F2534" s="5"/>
      <c r="G2534" s="5"/>
      <c r="H2534" s="5"/>
    </row>
    <row r="2535" spans="5:8" x14ac:dyDescent="0.2">
      <c r="E2535" s="5"/>
      <c r="F2535" s="5"/>
      <c r="G2535" s="5"/>
      <c r="H2535" s="5"/>
    </row>
    <row r="2536" spans="5:8" x14ac:dyDescent="0.2">
      <c r="E2536" s="5"/>
      <c r="F2536" s="5"/>
      <c r="G2536" s="5"/>
      <c r="H2536" s="5"/>
    </row>
    <row r="2537" spans="5:8" x14ac:dyDescent="0.2">
      <c r="E2537" s="5"/>
      <c r="F2537" s="5"/>
      <c r="G2537" s="5"/>
      <c r="H2537" s="5"/>
    </row>
    <row r="2538" spans="5:8" x14ac:dyDescent="0.2">
      <c r="E2538" s="5"/>
      <c r="F2538" s="5"/>
      <c r="G2538" s="5"/>
      <c r="H2538" s="5"/>
    </row>
    <row r="2539" spans="5:8" x14ac:dyDescent="0.2">
      <c r="E2539" s="5"/>
      <c r="F2539" s="5"/>
      <c r="G2539" s="5"/>
      <c r="H2539" s="5"/>
    </row>
    <row r="2540" spans="5:8" x14ac:dyDescent="0.2">
      <c r="E2540" s="5"/>
      <c r="F2540" s="5"/>
      <c r="G2540" s="5"/>
      <c r="H2540" s="5"/>
    </row>
    <row r="2541" spans="5:8" x14ac:dyDescent="0.2">
      <c r="E2541" s="5"/>
      <c r="F2541" s="5"/>
      <c r="G2541" s="5"/>
      <c r="H2541" s="5"/>
    </row>
    <row r="2542" spans="5:8" x14ac:dyDescent="0.2">
      <c r="E2542" s="5"/>
      <c r="F2542" s="5"/>
      <c r="G2542" s="5"/>
      <c r="H2542" s="5"/>
    </row>
    <row r="2543" spans="5:8" x14ac:dyDescent="0.2">
      <c r="E2543" s="5"/>
      <c r="F2543" s="5"/>
      <c r="G2543" s="5"/>
      <c r="H2543" s="5"/>
    </row>
    <row r="2544" spans="5:8" x14ac:dyDescent="0.2">
      <c r="E2544" s="5"/>
      <c r="F2544" s="5"/>
      <c r="G2544" s="5"/>
      <c r="H2544" s="5"/>
    </row>
    <row r="2545" spans="5:8" x14ac:dyDescent="0.2">
      <c r="E2545" s="5"/>
      <c r="F2545" s="5"/>
      <c r="G2545" s="5"/>
      <c r="H2545" s="5"/>
    </row>
    <row r="2546" spans="5:8" x14ac:dyDescent="0.2">
      <c r="E2546" s="5"/>
      <c r="F2546" s="5"/>
      <c r="G2546" s="5"/>
      <c r="H2546" s="5"/>
    </row>
    <row r="2547" spans="5:8" x14ac:dyDescent="0.2">
      <c r="E2547" s="5"/>
      <c r="F2547" s="5"/>
      <c r="G2547" s="5"/>
      <c r="H2547" s="5"/>
    </row>
    <row r="2548" spans="5:8" x14ac:dyDescent="0.2">
      <c r="E2548" s="5"/>
      <c r="F2548" s="5"/>
      <c r="G2548" s="5"/>
      <c r="H2548" s="5"/>
    </row>
    <row r="2549" spans="5:8" x14ac:dyDescent="0.2">
      <c r="E2549" s="5"/>
      <c r="F2549" s="5"/>
      <c r="G2549" s="5"/>
      <c r="H2549" s="5"/>
    </row>
    <row r="2550" spans="5:8" x14ac:dyDescent="0.2">
      <c r="E2550" s="5"/>
      <c r="F2550" s="5"/>
      <c r="G2550" s="5"/>
      <c r="H2550" s="5"/>
    </row>
    <row r="2551" spans="5:8" x14ac:dyDescent="0.2">
      <c r="E2551" s="5"/>
      <c r="F2551" s="5"/>
      <c r="G2551" s="5"/>
      <c r="H2551" s="5"/>
    </row>
    <row r="2552" spans="5:8" x14ac:dyDescent="0.2">
      <c r="E2552" s="5"/>
      <c r="F2552" s="5"/>
      <c r="G2552" s="5"/>
      <c r="H2552" s="5"/>
    </row>
    <row r="2553" spans="5:8" x14ac:dyDescent="0.2">
      <c r="E2553" s="5"/>
      <c r="F2553" s="5"/>
      <c r="G2553" s="5"/>
      <c r="H2553" s="5"/>
    </row>
    <row r="2554" spans="5:8" x14ac:dyDescent="0.2">
      <c r="E2554" s="5"/>
      <c r="F2554" s="5"/>
      <c r="G2554" s="5"/>
      <c r="H2554" s="5"/>
    </row>
    <row r="2555" spans="5:8" x14ac:dyDescent="0.2">
      <c r="E2555" s="5"/>
      <c r="F2555" s="5"/>
      <c r="G2555" s="5"/>
      <c r="H2555" s="5"/>
    </row>
    <row r="2556" spans="5:8" x14ac:dyDescent="0.2">
      <c r="E2556" s="5"/>
      <c r="F2556" s="5"/>
      <c r="G2556" s="5"/>
      <c r="H2556" s="5"/>
    </row>
    <row r="2557" spans="5:8" x14ac:dyDescent="0.2">
      <c r="E2557" s="5"/>
      <c r="F2557" s="5"/>
      <c r="G2557" s="5"/>
      <c r="H2557" s="5"/>
    </row>
    <row r="2558" spans="5:8" x14ac:dyDescent="0.2">
      <c r="E2558" s="5"/>
      <c r="F2558" s="5"/>
      <c r="G2558" s="5"/>
      <c r="H2558" s="5"/>
    </row>
    <row r="2559" spans="5:8" x14ac:dyDescent="0.2">
      <c r="E2559" s="5"/>
      <c r="F2559" s="5"/>
      <c r="G2559" s="5"/>
      <c r="H2559" s="5"/>
    </row>
    <row r="2560" spans="5:8" x14ac:dyDescent="0.2">
      <c r="E2560" s="5"/>
      <c r="F2560" s="5"/>
      <c r="G2560" s="5"/>
      <c r="H2560" s="5"/>
    </row>
    <row r="2561" spans="5:8" x14ac:dyDescent="0.2">
      <c r="E2561" s="5"/>
      <c r="F2561" s="5"/>
      <c r="G2561" s="5"/>
      <c r="H2561" s="5"/>
    </row>
    <row r="2562" spans="5:8" x14ac:dyDescent="0.2">
      <c r="E2562" s="5"/>
      <c r="F2562" s="5"/>
      <c r="G2562" s="5"/>
      <c r="H2562" s="5"/>
    </row>
    <row r="2563" spans="5:8" x14ac:dyDescent="0.2">
      <c r="E2563" s="5"/>
      <c r="F2563" s="5"/>
      <c r="G2563" s="5"/>
      <c r="H2563" s="5"/>
    </row>
    <row r="2564" spans="5:8" x14ac:dyDescent="0.2">
      <c r="E2564" s="5"/>
      <c r="F2564" s="5"/>
      <c r="G2564" s="5"/>
      <c r="H2564" s="5"/>
    </row>
    <row r="2565" spans="5:8" x14ac:dyDescent="0.2">
      <c r="E2565" s="5"/>
      <c r="F2565" s="5"/>
      <c r="G2565" s="5"/>
      <c r="H2565" s="5"/>
    </row>
    <row r="2566" spans="5:8" x14ac:dyDescent="0.2">
      <c r="E2566" s="5"/>
      <c r="F2566" s="5"/>
      <c r="G2566" s="5"/>
      <c r="H2566" s="5"/>
    </row>
    <row r="2567" spans="5:8" x14ac:dyDescent="0.2">
      <c r="E2567" s="5"/>
      <c r="F2567" s="5"/>
      <c r="G2567" s="5"/>
      <c r="H2567" s="5"/>
    </row>
    <row r="2568" spans="5:8" x14ac:dyDescent="0.2">
      <c r="E2568" s="5"/>
      <c r="F2568" s="5"/>
      <c r="G2568" s="5"/>
      <c r="H2568" s="5"/>
    </row>
    <row r="2569" spans="5:8" x14ac:dyDescent="0.2">
      <c r="E2569" s="5"/>
      <c r="F2569" s="5"/>
      <c r="G2569" s="5"/>
      <c r="H2569" s="5"/>
    </row>
    <row r="2570" spans="5:8" x14ac:dyDescent="0.2">
      <c r="E2570" s="5"/>
      <c r="F2570" s="5"/>
      <c r="G2570" s="5"/>
      <c r="H2570" s="5"/>
    </row>
    <row r="2571" spans="5:8" x14ac:dyDescent="0.2">
      <c r="E2571" s="5"/>
      <c r="F2571" s="5"/>
      <c r="G2571" s="5"/>
      <c r="H2571" s="5"/>
    </row>
    <row r="2572" spans="5:8" x14ac:dyDescent="0.2">
      <c r="E2572" s="5"/>
      <c r="F2572" s="5"/>
      <c r="G2572" s="5"/>
      <c r="H2572" s="5"/>
    </row>
    <row r="2573" spans="5:8" x14ac:dyDescent="0.2">
      <c r="E2573" s="5"/>
      <c r="F2573" s="5"/>
      <c r="G2573" s="5"/>
      <c r="H2573" s="5"/>
    </row>
    <row r="2574" spans="5:8" x14ac:dyDescent="0.2">
      <c r="E2574" s="5"/>
      <c r="F2574" s="5"/>
      <c r="G2574" s="5"/>
      <c r="H2574" s="5"/>
    </row>
    <row r="2575" spans="5:8" x14ac:dyDescent="0.2">
      <c r="E2575" s="5"/>
      <c r="F2575" s="5"/>
      <c r="G2575" s="5"/>
      <c r="H2575" s="5"/>
    </row>
    <row r="2576" spans="5:8" x14ac:dyDescent="0.2">
      <c r="E2576" s="5"/>
      <c r="F2576" s="5"/>
      <c r="G2576" s="5"/>
      <c r="H2576" s="5"/>
    </row>
    <row r="2577" spans="5:8" x14ac:dyDescent="0.2">
      <c r="E2577" s="5"/>
      <c r="F2577" s="5"/>
      <c r="G2577" s="5"/>
      <c r="H2577" s="5"/>
    </row>
    <row r="2578" spans="5:8" x14ac:dyDescent="0.2">
      <c r="E2578" s="5"/>
      <c r="F2578" s="5"/>
      <c r="G2578" s="5"/>
      <c r="H2578" s="5"/>
    </row>
    <row r="2579" spans="5:8" x14ac:dyDescent="0.2">
      <c r="E2579" s="5"/>
      <c r="F2579" s="5"/>
      <c r="G2579" s="5"/>
      <c r="H2579" s="5"/>
    </row>
    <row r="2580" spans="5:8" x14ac:dyDescent="0.2">
      <c r="E2580" s="5"/>
      <c r="F2580" s="5"/>
      <c r="G2580" s="5"/>
      <c r="H2580" s="5"/>
    </row>
    <row r="2581" spans="5:8" x14ac:dyDescent="0.2">
      <c r="E2581" s="5"/>
      <c r="F2581" s="5"/>
      <c r="G2581" s="5"/>
      <c r="H2581" s="5"/>
    </row>
    <row r="2582" spans="5:8" x14ac:dyDescent="0.2">
      <c r="E2582" s="5"/>
      <c r="F2582" s="5"/>
      <c r="G2582" s="5"/>
      <c r="H2582" s="5"/>
    </row>
    <row r="2583" spans="5:8" x14ac:dyDescent="0.2">
      <c r="E2583" s="5"/>
      <c r="F2583" s="5"/>
      <c r="G2583" s="5"/>
      <c r="H2583" s="5"/>
    </row>
    <row r="2584" spans="5:8" x14ac:dyDescent="0.2">
      <c r="E2584" s="5"/>
      <c r="F2584" s="5"/>
      <c r="G2584" s="5"/>
      <c r="H2584" s="5"/>
    </row>
    <row r="2585" spans="5:8" x14ac:dyDescent="0.2">
      <c r="E2585" s="5"/>
      <c r="F2585" s="5"/>
      <c r="G2585" s="5"/>
      <c r="H2585" s="5"/>
    </row>
    <row r="2586" spans="5:8" x14ac:dyDescent="0.2">
      <c r="E2586" s="5"/>
      <c r="F2586" s="5"/>
      <c r="G2586" s="5"/>
      <c r="H2586" s="5"/>
    </row>
    <row r="2587" spans="5:8" x14ac:dyDescent="0.2">
      <c r="E2587" s="5"/>
      <c r="F2587" s="5"/>
      <c r="G2587" s="5"/>
      <c r="H2587" s="5"/>
    </row>
    <row r="2588" spans="5:8" x14ac:dyDescent="0.2">
      <c r="E2588" s="5"/>
      <c r="F2588" s="5"/>
      <c r="G2588" s="5"/>
      <c r="H2588" s="5"/>
    </row>
    <row r="2589" spans="5:8" x14ac:dyDescent="0.2">
      <c r="E2589" s="5"/>
      <c r="F2589" s="5"/>
      <c r="G2589" s="5"/>
      <c r="H2589" s="5"/>
    </row>
    <row r="2590" spans="5:8" x14ac:dyDescent="0.2">
      <c r="E2590" s="5"/>
      <c r="F2590" s="5"/>
      <c r="G2590" s="5"/>
      <c r="H2590" s="5"/>
    </row>
    <row r="2591" spans="5:8" x14ac:dyDescent="0.2">
      <c r="E2591" s="5"/>
      <c r="F2591" s="5"/>
      <c r="G2591" s="5"/>
      <c r="H2591" s="5"/>
    </row>
    <row r="2592" spans="5:8" x14ac:dyDescent="0.2">
      <c r="E2592" s="5"/>
      <c r="F2592" s="5"/>
      <c r="G2592" s="5"/>
      <c r="H2592" s="5"/>
    </row>
    <row r="2593" spans="5:8" x14ac:dyDescent="0.2">
      <c r="E2593" s="5"/>
      <c r="F2593" s="5"/>
      <c r="G2593" s="5"/>
      <c r="H2593" s="5"/>
    </row>
    <row r="2594" spans="5:8" x14ac:dyDescent="0.2">
      <c r="E2594" s="5"/>
      <c r="F2594" s="5"/>
      <c r="G2594" s="5"/>
      <c r="H2594" s="5"/>
    </row>
    <row r="2595" spans="5:8" x14ac:dyDescent="0.2">
      <c r="E2595" s="5"/>
      <c r="F2595" s="5"/>
      <c r="G2595" s="5"/>
      <c r="H2595" s="5"/>
    </row>
    <row r="2596" spans="5:8" x14ac:dyDescent="0.2">
      <c r="E2596" s="5"/>
      <c r="F2596" s="5"/>
      <c r="G2596" s="5"/>
      <c r="H2596" s="5"/>
    </row>
    <row r="2597" spans="5:8" x14ac:dyDescent="0.2">
      <c r="E2597" s="5"/>
      <c r="F2597" s="5"/>
      <c r="G2597" s="5"/>
      <c r="H2597" s="5"/>
    </row>
    <row r="2598" spans="5:8" x14ac:dyDescent="0.2">
      <c r="E2598" s="5"/>
      <c r="F2598" s="5"/>
      <c r="G2598" s="5"/>
      <c r="H2598" s="5"/>
    </row>
    <row r="2599" spans="5:8" x14ac:dyDescent="0.2">
      <c r="E2599" s="5"/>
      <c r="F2599" s="5"/>
      <c r="G2599" s="5"/>
      <c r="H2599" s="5"/>
    </row>
    <row r="2600" spans="5:8" x14ac:dyDescent="0.2">
      <c r="E2600" s="5"/>
      <c r="F2600" s="5"/>
      <c r="G2600" s="5"/>
      <c r="H2600" s="5"/>
    </row>
    <row r="2601" spans="5:8" x14ac:dyDescent="0.2">
      <c r="E2601" s="5"/>
      <c r="F2601" s="5"/>
      <c r="G2601" s="5"/>
      <c r="H2601" s="5"/>
    </row>
    <row r="2602" spans="5:8" x14ac:dyDescent="0.2">
      <c r="E2602" s="5"/>
      <c r="F2602" s="5"/>
      <c r="G2602" s="5"/>
      <c r="H2602" s="5"/>
    </row>
    <row r="2603" spans="5:8" x14ac:dyDescent="0.2">
      <c r="E2603" s="5"/>
      <c r="F2603" s="5"/>
      <c r="G2603" s="5"/>
      <c r="H2603" s="5"/>
    </row>
    <row r="2604" spans="5:8" x14ac:dyDescent="0.2">
      <c r="E2604" s="5"/>
      <c r="F2604" s="5"/>
      <c r="G2604" s="5"/>
      <c r="H2604" s="5"/>
    </row>
    <row r="2605" spans="5:8" x14ac:dyDescent="0.2">
      <c r="E2605" s="5"/>
      <c r="F2605" s="5"/>
      <c r="G2605" s="5"/>
      <c r="H2605" s="5"/>
    </row>
    <row r="2606" spans="5:8" x14ac:dyDescent="0.2">
      <c r="E2606" s="5"/>
      <c r="F2606" s="5"/>
      <c r="G2606" s="5"/>
      <c r="H2606" s="5"/>
    </row>
    <row r="2607" spans="5:8" x14ac:dyDescent="0.2">
      <c r="E2607" s="5"/>
      <c r="F2607" s="5"/>
      <c r="G2607" s="5"/>
      <c r="H2607" s="5"/>
    </row>
    <row r="2608" spans="5:8" x14ac:dyDescent="0.2">
      <c r="E2608" s="5"/>
      <c r="F2608" s="5"/>
      <c r="G2608" s="5"/>
      <c r="H2608" s="5"/>
    </row>
    <row r="2609" spans="5:8" x14ac:dyDescent="0.2">
      <c r="E2609" s="5"/>
      <c r="F2609" s="5"/>
      <c r="G2609" s="5"/>
      <c r="H2609" s="5"/>
    </row>
    <row r="2610" spans="5:8" x14ac:dyDescent="0.2">
      <c r="E2610" s="5"/>
      <c r="F2610" s="5"/>
      <c r="G2610" s="5"/>
      <c r="H2610" s="5"/>
    </row>
    <row r="2611" spans="5:8" x14ac:dyDescent="0.2">
      <c r="E2611" s="5"/>
      <c r="F2611" s="5"/>
      <c r="G2611" s="5"/>
      <c r="H2611" s="5"/>
    </row>
    <row r="2612" spans="5:8" x14ac:dyDescent="0.2">
      <c r="E2612" s="5"/>
      <c r="F2612" s="5"/>
      <c r="G2612" s="5"/>
      <c r="H2612" s="5"/>
    </row>
    <row r="2613" spans="5:8" x14ac:dyDescent="0.2">
      <c r="E2613" s="5"/>
      <c r="F2613" s="5"/>
      <c r="G2613" s="5"/>
      <c r="H2613" s="5"/>
    </row>
    <row r="2614" spans="5:8" x14ac:dyDescent="0.2">
      <c r="E2614" s="5"/>
      <c r="F2614" s="5"/>
      <c r="G2614" s="5"/>
      <c r="H2614" s="5"/>
    </row>
    <row r="2615" spans="5:8" x14ac:dyDescent="0.2">
      <c r="E2615" s="5"/>
      <c r="F2615" s="5"/>
      <c r="G2615" s="5"/>
      <c r="H2615" s="5"/>
    </row>
    <row r="2616" spans="5:8" x14ac:dyDescent="0.2">
      <c r="E2616" s="5"/>
      <c r="F2616" s="5"/>
      <c r="G2616" s="5"/>
      <c r="H2616" s="5"/>
    </row>
    <row r="2617" spans="5:8" x14ac:dyDescent="0.2">
      <c r="E2617" s="5"/>
      <c r="F2617" s="5"/>
      <c r="G2617" s="5"/>
      <c r="H2617" s="5"/>
    </row>
    <row r="2618" spans="5:8" x14ac:dyDescent="0.2">
      <c r="E2618" s="5"/>
      <c r="F2618" s="5"/>
      <c r="G2618" s="5"/>
      <c r="H2618" s="5"/>
    </row>
    <row r="2619" spans="5:8" x14ac:dyDescent="0.2">
      <c r="E2619" s="5"/>
      <c r="F2619" s="5"/>
      <c r="G2619" s="5"/>
      <c r="H2619" s="5"/>
    </row>
    <row r="2620" spans="5:8" x14ac:dyDescent="0.2">
      <c r="E2620" s="5"/>
      <c r="F2620" s="5"/>
      <c r="G2620" s="5"/>
      <c r="H2620" s="5"/>
    </row>
    <row r="2621" spans="5:8" x14ac:dyDescent="0.2">
      <c r="E2621" s="5"/>
      <c r="F2621" s="5"/>
      <c r="G2621" s="5"/>
      <c r="H2621" s="5"/>
    </row>
    <row r="2622" spans="5:8" x14ac:dyDescent="0.2">
      <c r="E2622" s="5"/>
      <c r="F2622" s="5"/>
      <c r="G2622" s="5"/>
      <c r="H2622" s="5"/>
    </row>
    <row r="2623" spans="5:8" x14ac:dyDescent="0.2">
      <c r="E2623" s="5"/>
      <c r="F2623" s="5"/>
      <c r="G2623" s="5"/>
      <c r="H2623" s="5"/>
    </row>
    <row r="2624" spans="5:8" x14ac:dyDescent="0.2">
      <c r="E2624" s="5"/>
      <c r="F2624" s="5"/>
      <c r="G2624" s="5"/>
      <c r="H2624" s="5"/>
    </row>
    <row r="2625" spans="5:8" x14ac:dyDescent="0.2">
      <c r="E2625" s="5"/>
      <c r="F2625" s="5"/>
      <c r="G2625" s="5"/>
      <c r="H2625" s="5"/>
    </row>
    <row r="2626" spans="5:8" x14ac:dyDescent="0.2">
      <c r="E2626" s="5"/>
      <c r="F2626" s="5"/>
      <c r="G2626" s="5"/>
      <c r="H2626" s="5"/>
    </row>
    <row r="2627" spans="5:8" x14ac:dyDescent="0.2">
      <c r="E2627" s="5"/>
      <c r="F2627" s="5"/>
      <c r="G2627" s="5"/>
      <c r="H2627" s="5"/>
    </row>
    <row r="2628" spans="5:8" x14ac:dyDescent="0.2">
      <c r="E2628" s="5"/>
      <c r="F2628" s="5"/>
      <c r="G2628" s="5"/>
      <c r="H2628" s="5"/>
    </row>
    <row r="2629" spans="5:8" x14ac:dyDescent="0.2">
      <c r="E2629" s="5"/>
      <c r="F2629" s="5"/>
      <c r="G2629" s="5"/>
      <c r="H2629" s="5"/>
    </row>
    <row r="2630" spans="5:8" x14ac:dyDescent="0.2">
      <c r="E2630" s="5"/>
      <c r="F2630" s="5"/>
      <c r="G2630" s="5"/>
      <c r="H2630" s="5"/>
    </row>
    <row r="2631" spans="5:8" x14ac:dyDescent="0.2">
      <c r="E2631" s="5"/>
      <c r="F2631" s="5"/>
      <c r="G2631" s="5"/>
      <c r="H2631" s="5"/>
    </row>
    <row r="2632" spans="5:8" x14ac:dyDescent="0.2">
      <c r="E2632" s="5"/>
      <c r="F2632" s="5"/>
      <c r="G2632" s="5"/>
      <c r="H2632" s="5"/>
    </row>
    <row r="2633" spans="5:8" x14ac:dyDescent="0.2">
      <c r="E2633" s="5"/>
      <c r="F2633" s="5"/>
      <c r="G2633" s="5"/>
      <c r="H2633" s="5"/>
    </row>
    <row r="2634" spans="5:8" x14ac:dyDescent="0.2">
      <c r="E2634" s="5"/>
      <c r="F2634" s="5"/>
      <c r="G2634" s="5"/>
      <c r="H2634" s="5"/>
    </row>
    <row r="2635" spans="5:8" x14ac:dyDescent="0.2">
      <c r="E2635" s="5"/>
      <c r="F2635" s="5"/>
      <c r="G2635" s="5"/>
      <c r="H2635" s="5"/>
    </row>
    <row r="2636" spans="5:8" x14ac:dyDescent="0.2">
      <c r="E2636" s="5"/>
      <c r="F2636" s="5"/>
      <c r="G2636" s="5"/>
      <c r="H2636" s="5"/>
    </row>
    <row r="2637" spans="5:8" x14ac:dyDescent="0.2">
      <c r="E2637" s="5"/>
      <c r="F2637" s="5"/>
      <c r="G2637" s="5"/>
      <c r="H2637" s="5"/>
    </row>
    <row r="2638" spans="5:8" x14ac:dyDescent="0.2">
      <c r="E2638" s="5"/>
      <c r="F2638" s="5"/>
      <c r="G2638" s="5"/>
      <c r="H2638" s="5"/>
    </row>
    <row r="2639" spans="5:8" x14ac:dyDescent="0.2">
      <c r="E2639" s="5"/>
      <c r="F2639" s="5"/>
      <c r="G2639" s="5"/>
      <c r="H2639" s="5"/>
    </row>
    <row r="2640" spans="5:8" x14ac:dyDescent="0.2">
      <c r="E2640" s="5"/>
      <c r="F2640" s="5"/>
      <c r="G2640" s="5"/>
      <c r="H2640" s="5"/>
    </row>
    <row r="2641" spans="5:8" x14ac:dyDescent="0.2">
      <c r="E2641" s="5"/>
      <c r="F2641" s="5"/>
      <c r="G2641" s="5"/>
      <c r="H2641" s="5"/>
    </row>
    <row r="2642" spans="5:8" x14ac:dyDescent="0.2">
      <c r="E2642" s="5"/>
      <c r="F2642" s="5"/>
      <c r="G2642" s="5"/>
      <c r="H2642" s="5"/>
    </row>
    <row r="2643" spans="5:8" x14ac:dyDescent="0.2">
      <c r="E2643" s="5"/>
      <c r="F2643" s="5"/>
      <c r="G2643" s="5"/>
      <c r="H2643" s="5"/>
    </row>
    <row r="2644" spans="5:8" x14ac:dyDescent="0.2">
      <c r="E2644" s="5"/>
      <c r="F2644" s="5"/>
      <c r="G2644" s="5"/>
      <c r="H2644" s="5"/>
    </row>
    <row r="2645" spans="5:8" x14ac:dyDescent="0.2">
      <c r="E2645" s="5"/>
      <c r="F2645" s="5"/>
      <c r="G2645" s="5"/>
      <c r="H2645" s="5"/>
    </row>
    <row r="2646" spans="5:8" x14ac:dyDescent="0.2">
      <c r="E2646" s="5"/>
      <c r="F2646" s="5"/>
      <c r="G2646" s="5"/>
      <c r="H2646" s="5"/>
    </row>
    <row r="2647" spans="5:8" x14ac:dyDescent="0.2">
      <c r="E2647" s="5"/>
      <c r="F2647" s="5"/>
      <c r="G2647" s="5"/>
      <c r="H2647" s="5"/>
    </row>
    <row r="2648" spans="5:8" x14ac:dyDescent="0.2">
      <c r="E2648" s="5"/>
      <c r="F2648" s="5"/>
      <c r="G2648" s="5"/>
      <c r="H2648" s="5"/>
    </row>
    <row r="2649" spans="5:8" x14ac:dyDescent="0.2">
      <c r="E2649" s="5"/>
      <c r="F2649" s="5"/>
      <c r="G2649" s="5"/>
      <c r="H2649" s="5"/>
    </row>
    <row r="2650" spans="5:8" x14ac:dyDescent="0.2">
      <c r="E2650" s="5"/>
      <c r="F2650" s="5"/>
      <c r="G2650" s="5"/>
      <c r="H2650" s="5"/>
    </row>
    <row r="2651" spans="5:8" x14ac:dyDescent="0.2">
      <c r="E2651" s="5"/>
      <c r="F2651" s="5"/>
      <c r="G2651" s="5"/>
      <c r="H2651" s="5"/>
    </row>
    <row r="2652" spans="5:8" x14ac:dyDescent="0.2">
      <c r="E2652" s="5"/>
      <c r="F2652" s="5"/>
      <c r="G2652" s="5"/>
      <c r="H2652" s="5"/>
    </row>
    <row r="2653" spans="5:8" x14ac:dyDescent="0.2">
      <c r="E2653" s="5"/>
      <c r="F2653" s="5"/>
      <c r="G2653" s="5"/>
      <c r="H2653" s="5"/>
    </row>
    <row r="2654" spans="5:8" x14ac:dyDescent="0.2">
      <c r="E2654" s="5"/>
      <c r="F2654" s="5"/>
      <c r="G2654" s="5"/>
      <c r="H2654" s="5"/>
    </row>
    <row r="2655" spans="5:8" x14ac:dyDescent="0.2">
      <c r="E2655" s="5"/>
      <c r="F2655" s="5"/>
      <c r="G2655" s="5"/>
      <c r="H2655" s="5"/>
    </row>
    <row r="2656" spans="5:8" x14ac:dyDescent="0.2">
      <c r="E2656" s="5"/>
      <c r="F2656" s="5"/>
      <c r="G2656" s="5"/>
      <c r="H2656" s="5"/>
    </row>
    <row r="2657" spans="5:8" x14ac:dyDescent="0.2">
      <c r="E2657" s="5"/>
      <c r="F2657" s="5"/>
      <c r="G2657" s="5"/>
      <c r="H2657" s="5"/>
    </row>
    <row r="2658" spans="5:8" x14ac:dyDescent="0.2">
      <c r="E2658" s="5"/>
      <c r="F2658" s="5"/>
      <c r="G2658" s="5"/>
      <c r="H2658" s="5"/>
    </row>
    <row r="2659" spans="5:8" x14ac:dyDescent="0.2">
      <c r="E2659" s="5"/>
      <c r="F2659" s="5"/>
      <c r="G2659" s="5"/>
      <c r="H2659" s="5"/>
    </row>
    <row r="2660" spans="5:8" x14ac:dyDescent="0.2">
      <c r="E2660" s="5"/>
      <c r="F2660" s="5"/>
      <c r="G2660" s="5"/>
      <c r="H2660" s="5"/>
    </row>
    <row r="2661" spans="5:8" x14ac:dyDescent="0.2">
      <c r="E2661" s="5"/>
      <c r="F2661" s="5"/>
      <c r="G2661" s="5"/>
      <c r="H2661" s="5"/>
    </row>
    <row r="2662" spans="5:8" x14ac:dyDescent="0.2">
      <c r="E2662" s="5"/>
      <c r="F2662" s="5"/>
      <c r="G2662" s="5"/>
      <c r="H2662" s="5"/>
    </row>
    <row r="2663" spans="5:8" x14ac:dyDescent="0.2">
      <c r="E2663" s="5"/>
      <c r="F2663" s="5"/>
      <c r="G2663" s="5"/>
      <c r="H2663" s="5"/>
    </row>
    <row r="2664" spans="5:8" x14ac:dyDescent="0.2">
      <c r="E2664" s="5"/>
      <c r="F2664" s="5"/>
      <c r="G2664" s="5"/>
      <c r="H2664" s="5"/>
    </row>
    <row r="2665" spans="5:8" x14ac:dyDescent="0.2">
      <c r="E2665" s="5"/>
      <c r="F2665" s="5"/>
      <c r="G2665" s="5"/>
      <c r="H2665" s="5"/>
    </row>
    <row r="2666" spans="5:8" x14ac:dyDescent="0.2">
      <c r="E2666" s="5"/>
      <c r="F2666" s="5"/>
      <c r="G2666" s="5"/>
      <c r="H2666" s="5"/>
    </row>
    <row r="2667" spans="5:8" x14ac:dyDescent="0.2">
      <c r="E2667" s="5"/>
      <c r="F2667" s="5"/>
      <c r="G2667" s="5"/>
      <c r="H2667" s="5"/>
    </row>
    <row r="2668" spans="5:8" x14ac:dyDescent="0.2">
      <c r="E2668" s="5"/>
      <c r="F2668" s="5"/>
      <c r="G2668" s="5"/>
      <c r="H2668" s="5"/>
    </row>
    <row r="2669" spans="5:8" x14ac:dyDescent="0.2">
      <c r="E2669" s="5"/>
      <c r="F2669" s="5"/>
      <c r="G2669" s="5"/>
      <c r="H2669" s="5"/>
    </row>
    <row r="2670" spans="5:8" x14ac:dyDescent="0.2">
      <c r="E2670" s="5"/>
      <c r="F2670" s="5"/>
      <c r="G2670" s="5"/>
      <c r="H2670" s="5"/>
    </row>
    <row r="2671" spans="5:8" x14ac:dyDescent="0.2">
      <c r="E2671" s="5"/>
      <c r="F2671" s="5"/>
      <c r="G2671" s="5"/>
      <c r="H2671" s="5"/>
    </row>
    <row r="2672" spans="5:8" x14ac:dyDescent="0.2">
      <c r="E2672" s="5"/>
      <c r="F2672" s="5"/>
      <c r="G2672" s="5"/>
      <c r="H2672" s="5"/>
    </row>
    <row r="2673" spans="5:8" x14ac:dyDescent="0.2">
      <c r="E2673" s="5"/>
      <c r="F2673" s="5"/>
      <c r="G2673" s="5"/>
      <c r="H2673" s="5"/>
    </row>
    <row r="2674" spans="5:8" x14ac:dyDescent="0.2">
      <c r="E2674" s="5"/>
      <c r="F2674" s="5"/>
      <c r="G2674" s="5"/>
      <c r="H2674" s="5"/>
    </row>
    <row r="2675" spans="5:8" x14ac:dyDescent="0.2">
      <c r="E2675" s="5"/>
      <c r="F2675" s="5"/>
      <c r="G2675" s="5"/>
      <c r="H2675" s="5"/>
    </row>
    <row r="2676" spans="5:8" x14ac:dyDescent="0.2">
      <c r="E2676" s="5"/>
      <c r="F2676" s="5"/>
      <c r="G2676" s="5"/>
      <c r="H2676" s="5"/>
    </row>
    <row r="2677" spans="5:8" x14ac:dyDescent="0.2">
      <c r="E2677" s="5"/>
      <c r="F2677" s="5"/>
      <c r="G2677" s="5"/>
      <c r="H2677" s="5"/>
    </row>
    <row r="2678" spans="5:8" x14ac:dyDescent="0.2">
      <c r="E2678" s="5"/>
      <c r="F2678" s="5"/>
      <c r="G2678" s="5"/>
      <c r="H2678" s="5"/>
    </row>
    <row r="2679" spans="5:8" x14ac:dyDescent="0.2">
      <c r="E2679" s="5"/>
      <c r="F2679" s="5"/>
      <c r="G2679" s="5"/>
      <c r="H2679" s="5"/>
    </row>
    <row r="2680" spans="5:8" x14ac:dyDescent="0.2">
      <c r="E2680" s="5"/>
      <c r="F2680" s="5"/>
      <c r="G2680" s="5"/>
      <c r="H2680" s="5"/>
    </row>
    <row r="2681" spans="5:8" x14ac:dyDescent="0.2">
      <c r="E2681" s="5"/>
      <c r="F2681" s="5"/>
      <c r="G2681" s="5"/>
      <c r="H2681" s="5"/>
    </row>
    <row r="2682" spans="5:8" x14ac:dyDescent="0.2">
      <c r="E2682" s="5"/>
      <c r="F2682" s="5"/>
      <c r="G2682" s="5"/>
      <c r="H2682" s="5"/>
    </row>
    <row r="2683" spans="5:8" x14ac:dyDescent="0.2">
      <c r="E2683" s="5"/>
      <c r="F2683" s="5"/>
      <c r="G2683" s="5"/>
      <c r="H2683" s="5"/>
    </row>
    <row r="2684" spans="5:8" x14ac:dyDescent="0.2">
      <c r="E2684" s="5"/>
      <c r="F2684" s="5"/>
      <c r="G2684" s="5"/>
      <c r="H2684" s="5"/>
    </row>
    <row r="2685" spans="5:8" x14ac:dyDescent="0.2">
      <c r="E2685" s="5"/>
      <c r="F2685" s="5"/>
      <c r="G2685" s="5"/>
      <c r="H2685" s="5"/>
    </row>
    <row r="2686" spans="5:8" x14ac:dyDescent="0.2">
      <c r="E2686" s="5"/>
      <c r="F2686" s="5"/>
      <c r="G2686" s="5"/>
      <c r="H2686" s="5"/>
    </row>
    <row r="2687" spans="5:8" x14ac:dyDescent="0.2">
      <c r="E2687" s="5"/>
      <c r="F2687" s="5"/>
      <c r="G2687" s="5"/>
      <c r="H2687" s="5"/>
    </row>
    <row r="2688" spans="5:8" x14ac:dyDescent="0.2">
      <c r="E2688" s="5"/>
      <c r="F2688" s="5"/>
      <c r="G2688" s="5"/>
      <c r="H2688" s="5"/>
    </row>
    <row r="2689" spans="5:8" x14ac:dyDescent="0.2">
      <c r="E2689" s="5"/>
      <c r="F2689" s="5"/>
      <c r="G2689" s="5"/>
      <c r="H2689" s="5"/>
    </row>
    <row r="2690" spans="5:8" x14ac:dyDescent="0.2">
      <c r="E2690" s="5"/>
      <c r="F2690" s="5"/>
      <c r="G2690" s="5"/>
      <c r="H2690" s="5"/>
    </row>
    <row r="2691" spans="5:8" x14ac:dyDescent="0.2">
      <c r="E2691" s="5"/>
      <c r="F2691" s="5"/>
      <c r="G2691" s="5"/>
      <c r="H2691" s="5"/>
    </row>
    <row r="2692" spans="5:8" x14ac:dyDescent="0.2">
      <c r="E2692" s="5"/>
      <c r="F2692" s="5"/>
      <c r="G2692" s="5"/>
      <c r="H2692" s="5"/>
    </row>
    <row r="2693" spans="5:8" x14ac:dyDescent="0.2">
      <c r="E2693" s="5"/>
      <c r="F2693" s="5"/>
      <c r="G2693" s="5"/>
      <c r="H2693" s="5"/>
    </row>
    <row r="2694" spans="5:8" x14ac:dyDescent="0.2">
      <c r="E2694" s="5"/>
      <c r="F2694" s="5"/>
      <c r="G2694" s="5"/>
      <c r="H2694" s="5"/>
    </row>
    <row r="2695" spans="5:8" x14ac:dyDescent="0.2">
      <c r="E2695" s="5"/>
      <c r="F2695" s="5"/>
      <c r="G2695" s="5"/>
      <c r="H2695" s="5"/>
    </row>
    <row r="2696" spans="5:8" x14ac:dyDescent="0.2">
      <c r="E2696" s="5"/>
      <c r="F2696" s="5"/>
      <c r="G2696" s="5"/>
      <c r="H2696" s="5"/>
    </row>
    <row r="2697" spans="5:8" x14ac:dyDescent="0.2">
      <c r="E2697" s="5"/>
      <c r="F2697" s="5"/>
      <c r="G2697" s="5"/>
      <c r="H2697" s="5"/>
    </row>
    <row r="2698" spans="5:8" x14ac:dyDescent="0.2">
      <c r="E2698" s="5"/>
      <c r="F2698" s="5"/>
      <c r="G2698" s="5"/>
      <c r="H2698" s="5"/>
    </row>
    <row r="2699" spans="5:8" x14ac:dyDescent="0.2">
      <c r="E2699" s="5"/>
      <c r="F2699" s="5"/>
      <c r="G2699" s="5"/>
      <c r="H2699" s="5"/>
    </row>
    <row r="2700" spans="5:8" x14ac:dyDescent="0.2">
      <c r="E2700" s="5"/>
      <c r="F2700" s="5"/>
      <c r="G2700" s="5"/>
      <c r="H2700" s="5"/>
    </row>
    <row r="2701" spans="5:8" x14ac:dyDescent="0.2">
      <c r="E2701" s="5"/>
      <c r="F2701" s="5"/>
      <c r="G2701" s="5"/>
      <c r="H2701" s="5"/>
    </row>
    <row r="2702" spans="5:8" x14ac:dyDescent="0.2">
      <c r="E2702" s="5"/>
      <c r="F2702" s="5"/>
      <c r="G2702" s="5"/>
      <c r="H2702" s="5"/>
    </row>
    <row r="2703" spans="5:8" x14ac:dyDescent="0.2">
      <c r="E2703" s="5"/>
      <c r="F2703" s="5"/>
      <c r="G2703" s="5"/>
      <c r="H2703" s="5"/>
    </row>
    <row r="2704" spans="5:8" x14ac:dyDescent="0.2">
      <c r="E2704" s="5"/>
      <c r="F2704" s="5"/>
      <c r="G2704" s="5"/>
      <c r="H2704" s="5"/>
    </row>
    <row r="2705" spans="5:8" x14ac:dyDescent="0.2">
      <c r="E2705" s="5"/>
      <c r="F2705" s="5"/>
      <c r="G2705" s="5"/>
      <c r="H2705" s="5"/>
    </row>
    <row r="2706" spans="5:8" x14ac:dyDescent="0.2">
      <c r="E2706" s="5"/>
      <c r="F2706" s="5"/>
      <c r="G2706" s="5"/>
      <c r="H2706" s="5"/>
    </row>
    <row r="2707" spans="5:8" x14ac:dyDescent="0.2">
      <c r="E2707" s="5"/>
      <c r="F2707" s="5"/>
      <c r="G2707" s="5"/>
      <c r="H2707" s="5"/>
    </row>
    <row r="2708" spans="5:8" x14ac:dyDescent="0.2">
      <c r="E2708" s="5"/>
      <c r="F2708" s="5"/>
      <c r="G2708" s="5"/>
      <c r="H2708" s="5"/>
    </row>
    <row r="2709" spans="5:8" x14ac:dyDescent="0.2">
      <c r="E2709" s="5"/>
      <c r="F2709" s="5"/>
      <c r="G2709" s="5"/>
      <c r="H2709" s="5"/>
    </row>
    <row r="2710" spans="5:8" x14ac:dyDescent="0.2">
      <c r="E2710" s="5"/>
      <c r="F2710" s="5"/>
      <c r="G2710" s="5"/>
      <c r="H2710" s="5"/>
    </row>
    <row r="2711" spans="5:8" x14ac:dyDescent="0.2">
      <c r="E2711" s="5"/>
      <c r="F2711" s="5"/>
      <c r="G2711" s="5"/>
      <c r="H2711" s="5"/>
    </row>
    <row r="2712" spans="5:8" x14ac:dyDescent="0.2">
      <c r="E2712" s="5"/>
      <c r="F2712" s="5"/>
      <c r="G2712" s="5"/>
      <c r="H2712" s="5"/>
    </row>
    <row r="2713" spans="5:8" x14ac:dyDescent="0.2">
      <c r="E2713" s="5"/>
      <c r="F2713" s="5"/>
      <c r="G2713" s="5"/>
      <c r="H2713" s="5"/>
    </row>
    <row r="2714" spans="5:8" x14ac:dyDescent="0.2">
      <c r="E2714" s="5"/>
      <c r="F2714" s="5"/>
      <c r="G2714" s="5"/>
      <c r="H2714" s="5"/>
    </row>
    <row r="2715" spans="5:8" x14ac:dyDescent="0.2">
      <c r="E2715" s="5"/>
      <c r="F2715" s="5"/>
      <c r="G2715" s="5"/>
      <c r="H2715" s="5"/>
    </row>
    <row r="2716" spans="5:8" x14ac:dyDescent="0.2">
      <c r="E2716" s="5"/>
      <c r="F2716" s="5"/>
      <c r="G2716" s="5"/>
      <c r="H2716" s="5"/>
    </row>
    <row r="2717" spans="5:8" x14ac:dyDescent="0.2">
      <c r="E2717" s="5"/>
      <c r="F2717" s="5"/>
      <c r="G2717" s="5"/>
      <c r="H2717" s="5"/>
    </row>
    <row r="2718" spans="5:8" x14ac:dyDescent="0.2">
      <c r="E2718" s="5"/>
      <c r="F2718" s="5"/>
      <c r="G2718" s="5"/>
      <c r="H2718" s="5"/>
    </row>
    <row r="2719" spans="5:8" x14ac:dyDescent="0.2">
      <c r="E2719" s="5"/>
      <c r="F2719" s="5"/>
      <c r="G2719" s="5"/>
      <c r="H2719" s="5"/>
    </row>
    <row r="2720" spans="5:8" x14ac:dyDescent="0.2">
      <c r="E2720" s="5"/>
      <c r="F2720" s="5"/>
      <c r="G2720" s="5"/>
      <c r="H2720" s="5"/>
    </row>
    <row r="2721" spans="5:8" x14ac:dyDescent="0.2">
      <c r="E2721" s="5"/>
      <c r="F2721" s="5"/>
      <c r="G2721" s="5"/>
      <c r="H2721" s="5"/>
    </row>
    <row r="2722" spans="5:8" x14ac:dyDescent="0.2">
      <c r="E2722" s="5"/>
      <c r="F2722" s="5"/>
      <c r="G2722" s="5"/>
      <c r="H2722" s="5"/>
    </row>
    <row r="2723" spans="5:8" x14ac:dyDescent="0.2">
      <c r="E2723" s="5"/>
      <c r="F2723" s="5"/>
      <c r="G2723" s="5"/>
      <c r="H2723" s="5"/>
    </row>
    <row r="2724" spans="5:8" x14ac:dyDescent="0.2">
      <c r="E2724" s="5"/>
      <c r="F2724" s="5"/>
      <c r="G2724" s="5"/>
      <c r="H2724" s="5"/>
    </row>
    <row r="2725" spans="5:8" x14ac:dyDescent="0.2">
      <c r="E2725" s="5"/>
      <c r="F2725" s="5"/>
      <c r="G2725" s="5"/>
      <c r="H2725" s="5"/>
    </row>
    <row r="2726" spans="5:8" x14ac:dyDescent="0.2">
      <c r="E2726" s="5"/>
      <c r="F2726" s="5"/>
      <c r="G2726" s="5"/>
      <c r="H2726" s="5"/>
    </row>
    <row r="2727" spans="5:8" x14ac:dyDescent="0.2">
      <c r="E2727" s="5"/>
      <c r="F2727" s="5"/>
      <c r="G2727" s="5"/>
      <c r="H2727" s="5"/>
    </row>
    <row r="2728" spans="5:8" x14ac:dyDescent="0.2">
      <c r="E2728" s="5"/>
      <c r="F2728" s="5"/>
      <c r="G2728" s="5"/>
      <c r="H2728" s="5"/>
    </row>
    <row r="2729" spans="5:8" x14ac:dyDescent="0.2">
      <c r="E2729" s="5"/>
      <c r="F2729" s="5"/>
      <c r="G2729" s="5"/>
      <c r="H2729" s="5"/>
    </row>
    <row r="2730" spans="5:8" x14ac:dyDescent="0.2">
      <c r="E2730" s="5"/>
      <c r="F2730" s="5"/>
      <c r="G2730" s="5"/>
      <c r="H2730" s="5"/>
    </row>
    <row r="2731" spans="5:8" x14ac:dyDescent="0.2">
      <c r="E2731" s="5"/>
      <c r="F2731" s="5"/>
      <c r="G2731" s="5"/>
      <c r="H2731" s="5"/>
    </row>
    <row r="2732" spans="5:8" x14ac:dyDescent="0.2">
      <c r="E2732" s="5"/>
      <c r="F2732" s="5"/>
      <c r="G2732" s="5"/>
      <c r="H2732" s="5"/>
    </row>
    <row r="2733" spans="5:8" x14ac:dyDescent="0.2">
      <c r="E2733" s="5"/>
      <c r="F2733" s="5"/>
      <c r="G2733" s="5"/>
      <c r="H2733" s="5"/>
    </row>
    <row r="2734" spans="5:8" x14ac:dyDescent="0.2">
      <c r="E2734" s="5"/>
      <c r="F2734" s="5"/>
      <c r="G2734" s="5"/>
      <c r="H2734" s="5"/>
    </row>
    <row r="2735" spans="5:8" x14ac:dyDescent="0.2">
      <c r="E2735" s="5"/>
      <c r="F2735" s="5"/>
      <c r="G2735" s="5"/>
      <c r="H2735" s="5"/>
    </row>
    <row r="2736" spans="5:8" x14ac:dyDescent="0.2">
      <c r="E2736" s="5"/>
      <c r="F2736" s="5"/>
      <c r="G2736" s="5"/>
      <c r="H2736" s="5"/>
    </row>
    <row r="2737" spans="5:8" x14ac:dyDescent="0.2">
      <c r="E2737" s="5"/>
      <c r="F2737" s="5"/>
      <c r="G2737" s="5"/>
      <c r="H2737" s="5"/>
    </row>
    <row r="2738" spans="5:8" x14ac:dyDescent="0.2">
      <c r="E2738" s="5"/>
      <c r="F2738" s="5"/>
      <c r="G2738" s="5"/>
      <c r="H2738" s="5"/>
    </row>
    <row r="2739" spans="5:8" x14ac:dyDescent="0.2">
      <c r="E2739" s="5"/>
      <c r="F2739" s="5"/>
      <c r="G2739" s="5"/>
      <c r="H2739" s="5"/>
    </row>
    <row r="2740" spans="5:8" x14ac:dyDescent="0.2">
      <c r="E2740" s="5"/>
      <c r="F2740" s="5"/>
      <c r="G2740" s="5"/>
      <c r="H2740" s="5"/>
    </row>
    <row r="2741" spans="5:8" x14ac:dyDescent="0.2">
      <c r="E2741" s="5"/>
      <c r="F2741" s="5"/>
      <c r="G2741" s="5"/>
      <c r="H2741" s="5"/>
    </row>
    <row r="2742" spans="5:8" x14ac:dyDescent="0.2">
      <c r="E2742" s="5"/>
      <c r="F2742" s="5"/>
      <c r="G2742" s="5"/>
      <c r="H2742" s="5"/>
    </row>
    <row r="2743" spans="5:8" x14ac:dyDescent="0.2">
      <c r="E2743" s="5"/>
      <c r="F2743" s="5"/>
      <c r="G2743" s="5"/>
      <c r="H2743" s="5"/>
    </row>
    <row r="2744" spans="5:8" x14ac:dyDescent="0.2">
      <c r="E2744" s="5"/>
      <c r="F2744" s="5"/>
      <c r="G2744" s="5"/>
      <c r="H2744" s="5"/>
    </row>
    <row r="2745" spans="5:8" x14ac:dyDescent="0.2">
      <c r="E2745" s="5"/>
      <c r="F2745" s="5"/>
      <c r="G2745" s="5"/>
      <c r="H2745" s="5"/>
    </row>
    <row r="2746" spans="5:8" x14ac:dyDescent="0.2">
      <c r="E2746" s="5"/>
      <c r="F2746" s="5"/>
      <c r="G2746" s="5"/>
      <c r="H2746" s="5"/>
    </row>
    <row r="2747" spans="5:8" x14ac:dyDescent="0.2">
      <c r="E2747" s="5"/>
      <c r="F2747" s="5"/>
      <c r="G2747" s="5"/>
      <c r="H2747" s="5"/>
    </row>
    <row r="2748" spans="5:8" x14ac:dyDescent="0.2">
      <c r="E2748" s="5"/>
      <c r="F2748" s="5"/>
      <c r="G2748" s="5"/>
      <c r="H2748" s="5"/>
    </row>
    <row r="2749" spans="5:8" x14ac:dyDescent="0.2">
      <c r="E2749" s="5"/>
      <c r="F2749" s="5"/>
      <c r="G2749" s="5"/>
      <c r="H2749" s="5"/>
    </row>
    <row r="2750" spans="5:8" x14ac:dyDescent="0.2">
      <c r="E2750" s="5"/>
      <c r="F2750" s="5"/>
      <c r="G2750" s="5"/>
      <c r="H2750" s="5"/>
    </row>
    <row r="2751" spans="5:8" x14ac:dyDescent="0.2">
      <c r="E2751" s="5"/>
      <c r="F2751" s="5"/>
      <c r="G2751" s="5"/>
      <c r="H2751" s="5"/>
    </row>
    <row r="2752" spans="5:8" x14ac:dyDescent="0.2">
      <c r="E2752" s="5"/>
      <c r="F2752" s="5"/>
      <c r="G2752" s="5"/>
      <c r="H2752" s="5"/>
    </row>
    <row r="2753" spans="5:8" x14ac:dyDescent="0.2">
      <c r="E2753" s="5"/>
      <c r="F2753" s="5"/>
      <c r="G2753" s="5"/>
      <c r="H2753" s="5"/>
    </row>
    <row r="2754" spans="5:8" x14ac:dyDescent="0.2">
      <c r="E2754" s="5"/>
      <c r="F2754" s="5"/>
      <c r="G2754" s="5"/>
      <c r="H2754" s="5"/>
    </row>
    <row r="2755" spans="5:8" x14ac:dyDescent="0.2">
      <c r="E2755" s="5"/>
      <c r="F2755" s="5"/>
      <c r="G2755" s="5"/>
      <c r="H2755" s="5"/>
    </row>
    <row r="2756" spans="5:8" x14ac:dyDescent="0.2">
      <c r="E2756" s="5"/>
      <c r="F2756" s="5"/>
      <c r="G2756" s="5"/>
      <c r="H2756" s="5"/>
    </row>
    <row r="2757" spans="5:8" x14ac:dyDescent="0.2">
      <c r="E2757" s="5"/>
      <c r="F2757" s="5"/>
      <c r="G2757" s="5"/>
      <c r="H2757" s="5"/>
    </row>
    <row r="2758" spans="5:8" x14ac:dyDescent="0.2">
      <c r="E2758" s="5"/>
      <c r="F2758" s="5"/>
      <c r="G2758" s="5"/>
      <c r="H2758" s="5"/>
    </row>
    <row r="2759" spans="5:8" x14ac:dyDescent="0.2">
      <c r="E2759" s="5"/>
      <c r="F2759" s="5"/>
      <c r="G2759" s="5"/>
      <c r="H2759" s="5"/>
    </row>
    <row r="2760" spans="5:8" x14ac:dyDescent="0.2">
      <c r="E2760" s="5"/>
      <c r="F2760" s="5"/>
      <c r="G2760" s="5"/>
      <c r="H2760" s="5"/>
    </row>
    <row r="2761" spans="5:8" x14ac:dyDescent="0.2">
      <c r="E2761" s="5"/>
      <c r="F2761" s="5"/>
      <c r="G2761" s="5"/>
      <c r="H2761" s="5"/>
    </row>
    <row r="2762" spans="5:8" x14ac:dyDescent="0.2">
      <c r="E2762" s="5"/>
      <c r="F2762" s="5"/>
      <c r="G2762" s="5"/>
      <c r="H2762" s="5"/>
    </row>
    <row r="2763" spans="5:8" x14ac:dyDescent="0.2">
      <c r="E2763" s="5"/>
      <c r="F2763" s="5"/>
      <c r="G2763" s="5"/>
      <c r="H2763" s="5"/>
    </row>
    <row r="2764" spans="5:8" x14ac:dyDescent="0.2">
      <c r="E2764" s="5"/>
      <c r="F2764" s="5"/>
      <c r="G2764" s="5"/>
      <c r="H2764" s="5"/>
    </row>
    <row r="2765" spans="5:8" x14ac:dyDescent="0.2">
      <c r="E2765" s="5"/>
      <c r="F2765" s="5"/>
      <c r="G2765" s="5"/>
      <c r="H2765" s="5"/>
    </row>
    <row r="2766" spans="5:8" x14ac:dyDescent="0.2">
      <c r="E2766" s="5"/>
      <c r="F2766" s="5"/>
      <c r="G2766" s="5"/>
      <c r="H2766" s="5"/>
    </row>
    <row r="2767" spans="5:8" x14ac:dyDescent="0.2">
      <c r="E2767" s="5"/>
      <c r="F2767" s="5"/>
      <c r="G2767" s="5"/>
      <c r="H2767" s="5"/>
    </row>
    <row r="2768" spans="5:8" x14ac:dyDescent="0.2">
      <c r="E2768" s="5"/>
      <c r="F2768" s="5"/>
      <c r="G2768" s="5"/>
      <c r="H2768" s="5"/>
    </row>
    <row r="2769" spans="5:8" x14ac:dyDescent="0.2">
      <c r="E2769" s="5"/>
      <c r="F2769" s="5"/>
      <c r="G2769" s="5"/>
      <c r="H2769" s="5"/>
    </row>
    <row r="2770" spans="5:8" x14ac:dyDescent="0.2">
      <c r="E2770" s="5"/>
      <c r="F2770" s="5"/>
      <c r="G2770" s="5"/>
      <c r="H2770" s="5"/>
    </row>
    <row r="2771" spans="5:8" x14ac:dyDescent="0.2">
      <c r="E2771" s="5"/>
      <c r="F2771" s="5"/>
      <c r="G2771" s="5"/>
      <c r="H2771" s="5"/>
    </row>
    <row r="2772" spans="5:8" x14ac:dyDescent="0.2">
      <c r="E2772" s="5"/>
      <c r="F2772" s="5"/>
      <c r="G2772" s="5"/>
      <c r="H2772" s="5"/>
    </row>
    <row r="2773" spans="5:8" x14ac:dyDescent="0.2">
      <c r="E2773" s="5"/>
      <c r="F2773" s="5"/>
      <c r="G2773" s="5"/>
      <c r="H2773" s="5"/>
    </row>
    <row r="2774" spans="5:8" x14ac:dyDescent="0.2">
      <c r="E2774" s="5"/>
      <c r="F2774" s="5"/>
      <c r="G2774" s="5"/>
      <c r="H2774" s="5"/>
    </row>
    <row r="2775" spans="5:8" x14ac:dyDescent="0.2">
      <c r="E2775" s="5"/>
      <c r="F2775" s="5"/>
      <c r="G2775" s="5"/>
      <c r="H2775" s="5"/>
    </row>
    <row r="2776" spans="5:8" x14ac:dyDescent="0.2">
      <c r="E2776" s="5"/>
      <c r="F2776" s="5"/>
      <c r="G2776" s="5"/>
      <c r="H2776" s="5"/>
    </row>
    <row r="2777" spans="5:8" x14ac:dyDescent="0.2">
      <c r="E2777" s="5"/>
      <c r="F2777" s="5"/>
      <c r="G2777" s="5"/>
      <c r="H2777" s="5"/>
    </row>
    <row r="2778" spans="5:8" x14ac:dyDescent="0.2">
      <c r="E2778" s="5"/>
      <c r="F2778" s="5"/>
      <c r="G2778" s="5"/>
      <c r="H2778" s="5"/>
    </row>
    <row r="2779" spans="5:8" x14ac:dyDescent="0.2">
      <c r="E2779" s="5"/>
      <c r="F2779" s="5"/>
      <c r="G2779" s="5"/>
      <c r="H2779" s="5"/>
    </row>
    <row r="2780" spans="5:8" x14ac:dyDescent="0.2">
      <c r="E2780" s="5"/>
      <c r="F2780" s="5"/>
      <c r="G2780" s="5"/>
      <c r="H2780" s="5"/>
    </row>
    <row r="2781" spans="5:8" x14ac:dyDescent="0.2">
      <c r="E2781" s="5"/>
      <c r="F2781" s="5"/>
      <c r="G2781" s="5"/>
      <c r="H2781" s="5"/>
    </row>
    <row r="2782" spans="5:8" x14ac:dyDescent="0.2">
      <c r="E2782" s="5"/>
      <c r="F2782" s="5"/>
      <c r="G2782" s="5"/>
      <c r="H2782" s="5"/>
    </row>
    <row r="2783" spans="5:8" x14ac:dyDescent="0.2">
      <c r="E2783" s="5"/>
      <c r="F2783" s="5"/>
      <c r="G2783" s="5"/>
      <c r="H2783" s="5"/>
    </row>
    <row r="2784" spans="5:8" x14ac:dyDescent="0.2">
      <c r="E2784" s="5"/>
      <c r="F2784" s="5"/>
      <c r="G2784" s="5"/>
      <c r="H2784" s="5"/>
    </row>
    <row r="2785" spans="5:8" x14ac:dyDescent="0.2">
      <c r="E2785" s="5"/>
      <c r="F2785" s="5"/>
      <c r="G2785" s="5"/>
      <c r="H2785" s="5"/>
    </row>
    <row r="2786" spans="5:8" x14ac:dyDescent="0.2">
      <c r="E2786" s="5"/>
      <c r="F2786" s="5"/>
      <c r="G2786" s="5"/>
      <c r="H2786" s="5"/>
    </row>
    <row r="2787" spans="5:8" x14ac:dyDescent="0.2">
      <c r="E2787" s="5"/>
      <c r="F2787" s="5"/>
      <c r="G2787" s="5"/>
      <c r="H2787" s="5"/>
    </row>
    <row r="2788" spans="5:8" x14ac:dyDescent="0.2">
      <c r="E2788" s="5"/>
      <c r="F2788" s="5"/>
      <c r="G2788" s="5"/>
      <c r="H2788" s="5"/>
    </row>
    <row r="2789" spans="5:8" x14ac:dyDescent="0.2">
      <c r="E2789" s="5"/>
      <c r="F2789" s="5"/>
      <c r="G2789" s="5"/>
      <c r="H2789" s="5"/>
    </row>
    <row r="2790" spans="5:8" x14ac:dyDescent="0.2">
      <c r="E2790" s="5"/>
      <c r="F2790" s="5"/>
      <c r="G2790" s="5"/>
      <c r="H2790" s="5"/>
    </row>
    <row r="2791" spans="5:8" x14ac:dyDescent="0.2">
      <c r="E2791" s="5"/>
      <c r="F2791" s="5"/>
      <c r="G2791" s="5"/>
      <c r="H2791" s="5"/>
    </row>
    <row r="2792" spans="5:8" x14ac:dyDescent="0.2">
      <c r="E2792" s="5"/>
      <c r="F2792" s="5"/>
      <c r="G2792" s="5"/>
      <c r="H2792" s="5"/>
    </row>
    <row r="2793" spans="5:8" x14ac:dyDescent="0.2">
      <c r="E2793" s="5"/>
      <c r="F2793" s="5"/>
      <c r="G2793" s="5"/>
      <c r="H2793" s="5"/>
    </row>
    <row r="2794" spans="5:8" x14ac:dyDescent="0.2">
      <c r="E2794" s="5"/>
      <c r="F2794" s="5"/>
      <c r="G2794" s="5"/>
      <c r="H2794" s="5"/>
    </row>
    <row r="2795" spans="5:8" x14ac:dyDescent="0.2">
      <c r="E2795" s="5"/>
      <c r="F2795" s="5"/>
      <c r="G2795" s="5"/>
      <c r="H2795" s="5"/>
    </row>
    <row r="2796" spans="5:8" x14ac:dyDescent="0.2">
      <c r="E2796" s="5"/>
      <c r="F2796" s="5"/>
      <c r="G2796" s="5"/>
      <c r="H2796" s="5"/>
    </row>
    <row r="2797" spans="5:8" x14ac:dyDescent="0.2">
      <c r="E2797" s="5"/>
      <c r="F2797" s="5"/>
      <c r="G2797" s="5"/>
      <c r="H2797" s="5"/>
    </row>
    <row r="2798" spans="5:8" x14ac:dyDescent="0.2">
      <c r="E2798" s="5"/>
      <c r="F2798" s="5"/>
      <c r="G2798" s="5"/>
      <c r="H2798" s="5"/>
    </row>
    <row r="2799" spans="5:8" x14ac:dyDescent="0.2">
      <c r="E2799" s="5"/>
      <c r="F2799" s="5"/>
      <c r="G2799" s="5"/>
      <c r="H2799" s="5"/>
    </row>
    <row r="2800" spans="5:8" x14ac:dyDescent="0.2">
      <c r="E2800" s="5"/>
      <c r="F2800" s="5"/>
      <c r="G2800" s="5"/>
      <c r="H2800" s="5"/>
    </row>
    <row r="2801" spans="5:8" x14ac:dyDescent="0.2">
      <c r="E2801" s="5"/>
      <c r="F2801" s="5"/>
      <c r="G2801" s="5"/>
      <c r="H2801" s="5"/>
    </row>
    <row r="2802" spans="5:8" x14ac:dyDescent="0.2">
      <c r="E2802" s="5"/>
      <c r="F2802" s="5"/>
      <c r="G2802" s="5"/>
      <c r="H2802" s="5"/>
    </row>
    <row r="2803" spans="5:8" x14ac:dyDescent="0.2">
      <c r="E2803" s="5"/>
      <c r="F2803" s="5"/>
      <c r="G2803" s="5"/>
      <c r="H2803" s="5"/>
    </row>
    <row r="2804" spans="5:8" x14ac:dyDescent="0.2">
      <c r="E2804" s="5"/>
      <c r="F2804" s="5"/>
      <c r="G2804" s="5"/>
      <c r="H2804" s="5"/>
    </row>
    <row r="2805" spans="5:8" x14ac:dyDescent="0.2">
      <c r="E2805" s="5"/>
      <c r="F2805" s="5"/>
      <c r="G2805" s="5"/>
      <c r="H2805" s="5"/>
    </row>
    <row r="2806" spans="5:8" x14ac:dyDescent="0.2">
      <c r="E2806" s="5"/>
      <c r="F2806" s="5"/>
      <c r="G2806" s="5"/>
      <c r="H2806" s="5"/>
    </row>
    <row r="2807" spans="5:8" x14ac:dyDescent="0.2">
      <c r="E2807" s="5"/>
      <c r="F2807" s="5"/>
      <c r="G2807" s="5"/>
      <c r="H2807" s="5"/>
    </row>
    <row r="2808" spans="5:8" x14ac:dyDescent="0.2">
      <c r="E2808" s="5"/>
      <c r="F2808" s="5"/>
      <c r="G2808" s="5"/>
      <c r="H2808" s="5"/>
    </row>
    <row r="2809" spans="5:8" x14ac:dyDescent="0.2">
      <c r="E2809" s="5"/>
      <c r="F2809" s="5"/>
      <c r="G2809" s="5"/>
      <c r="H2809" s="5"/>
    </row>
    <row r="2810" spans="5:8" x14ac:dyDescent="0.2">
      <c r="E2810" s="5"/>
      <c r="F2810" s="5"/>
      <c r="G2810" s="5"/>
      <c r="H2810" s="5"/>
    </row>
    <row r="2811" spans="5:8" x14ac:dyDescent="0.2">
      <c r="E2811" s="5"/>
      <c r="F2811" s="5"/>
      <c r="G2811" s="5"/>
      <c r="H2811" s="5"/>
    </row>
    <row r="2812" spans="5:8" x14ac:dyDescent="0.2">
      <c r="E2812" s="5"/>
      <c r="F2812" s="5"/>
      <c r="G2812" s="5"/>
      <c r="H2812" s="5"/>
    </row>
    <row r="2813" spans="5:8" x14ac:dyDescent="0.2">
      <c r="E2813" s="5"/>
      <c r="F2813" s="5"/>
      <c r="G2813" s="5"/>
      <c r="H2813" s="5"/>
    </row>
    <row r="2814" spans="5:8" x14ac:dyDescent="0.2">
      <c r="E2814" s="5"/>
      <c r="F2814" s="5"/>
      <c r="G2814" s="5"/>
      <c r="H2814" s="5"/>
    </row>
    <row r="2815" spans="5:8" x14ac:dyDescent="0.2">
      <c r="E2815" s="5"/>
      <c r="F2815" s="5"/>
      <c r="G2815" s="5"/>
      <c r="H2815" s="5"/>
    </row>
    <row r="2816" spans="5:8" x14ac:dyDescent="0.2">
      <c r="E2816" s="5"/>
      <c r="F2816" s="5"/>
      <c r="G2816" s="5"/>
      <c r="H2816" s="5"/>
    </row>
    <row r="2817" spans="5:8" x14ac:dyDescent="0.2">
      <c r="E2817" s="5"/>
      <c r="F2817" s="5"/>
      <c r="G2817" s="5"/>
      <c r="H2817" s="5"/>
    </row>
    <row r="2818" spans="5:8" x14ac:dyDescent="0.2">
      <c r="E2818" s="5"/>
      <c r="F2818" s="5"/>
      <c r="G2818" s="5"/>
      <c r="H2818" s="5"/>
    </row>
    <row r="2819" spans="5:8" x14ac:dyDescent="0.2">
      <c r="E2819" s="5"/>
      <c r="F2819" s="5"/>
      <c r="G2819" s="5"/>
      <c r="H2819" s="5"/>
    </row>
    <row r="2820" spans="5:8" x14ac:dyDescent="0.2">
      <c r="E2820" s="5"/>
      <c r="F2820" s="5"/>
      <c r="G2820" s="5"/>
      <c r="H2820" s="5"/>
    </row>
    <row r="2821" spans="5:8" x14ac:dyDescent="0.2">
      <c r="E2821" s="5"/>
      <c r="F2821" s="5"/>
      <c r="G2821" s="5"/>
      <c r="H2821" s="5"/>
    </row>
    <row r="2822" spans="5:8" x14ac:dyDescent="0.2">
      <c r="E2822" s="5"/>
      <c r="F2822" s="5"/>
      <c r="G2822" s="5"/>
      <c r="H2822" s="5"/>
    </row>
    <row r="2823" spans="5:8" x14ac:dyDescent="0.2">
      <c r="E2823" s="5"/>
      <c r="F2823" s="5"/>
      <c r="G2823" s="5"/>
      <c r="H2823" s="5"/>
    </row>
    <row r="2824" spans="5:8" x14ac:dyDescent="0.2">
      <c r="E2824" s="5"/>
      <c r="F2824" s="5"/>
      <c r="G2824" s="5"/>
      <c r="H2824" s="5"/>
    </row>
    <row r="2825" spans="5:8" x14ac:dyDescent="0.2">
      <c r="E2825" s="5"/>
      <c r="F2825" s="5"/>
      <c r="G2825" s="5"/>
      <c r="H2825" s="5"/>
    </row>
    <row r="2826" spans="5:8" x14ac:dyDescent="0.2">
      <c r="E2826" s="5"/>
      <c r="F2826" s="5"/>
      <c r="G2826" s="5"/>
      <c r="H2826" s="5"/>
    </row>
    <row r="2827" spans="5:8" x14ac:dyDescent="0.2">
      <c r="E2827" s="5"/>
      <c r="F2827" s="5"/>
      <c r="G2827" s="5"/>
      <c r="H2827" s="5"/>
    </row>
    <row r="2828" spans="5:8" x14ac:dyDescent="0.2">
      <c r="E2828" s="5"/>
      <c r="F2828" s="5"/>
      <c r="G2828" s="5"/>
      <c r="H2828" s="5"/>
    </row>
    <row r="2829" spans="5:8" x14ac:dyDescent="0.2">
      <c r="E2829" s="5"/>
      <c r="F2829" s="5"/>
      <c r="G2829" s="5"/>
      <c r="H2829" s="5"/>
    </row>
    <row r="2830" spans="5:8" x14ac:dyDescent="0.2">
      <c r="E2830" s="5"/>
      <c r="F2830" s="5"/>
      <c r="G2830" s="5"/>
      <c r="H2830" s="5"/>
    </row>
    <row r="2831" spans="5:8" x14ac:dyDescent="0.2">
      <c r="E2831" s="5"/>
      <c r="F2831" s="5"/>
      <c r="G2831" s="5"/>
      <c r="H2831" s="5"/>
    </row>
    <row r="2832" spans="5:8" x14ac:dyDescent="0.2">
      <c r="E2832" s="5"/>
      <c r="F2832" s="5"/>
      <c r="G2832" s="5"/>
      <c r="H2832" s="5"/>
    </row>
    <row r="2833" spans="5:8" x14ac:dyDescent="0.2">
      <c r="E2833" s="5"/>
      <c r="F2833" s="5"/>
      <c r="G2833" s="5"/>
      <c r="H2833" s="5"/>
    </row>
    <row r="2834" spans="5:8" x14ac:dyDescent="0.2">
      <c r="E2834" s="5"/>
      <c r="F2834" s="5"/>
      <c r="G2834" s="5"/>
      <c r="H2834" s="5"/>
    </row>
    <row r="2835" spans="5:8" x14ac:dyDescent="0.2">
      <c r="E2835" s="5"/>
      <c r="F2835" s="5"/>
      <c r="G2835" s="5"/>
      <c r="H2835" s="5"/>
    </row>
    <row r="2836" spans="5:8" x14ac:dyDescent="0.2">
      <c r="E2836" s="5"/>
      <c r="F2836" s="5"/>
      <c r="G2836" s="5"/>
      <c r="H2836" s="5"/>
    </row>
    <row r="2837" spans="5:8" x14ac:dyDescent="0.2">
      <c r="E2837" s="5"/>
      <c r="F2837" s="5"/>
      <c r="G2837" s="5"/>
      <c r="H2837" s="5"/>
    </row>
    <row r="2838" spans="5:8" x14ac:dyDescent="0.2">
      <c r="E2838" s="5"/>
      <c r="F2838" s="5"/>
      <c r="G2838" s="5"/>
      <c r="H2838" s="5"/>
    </row>
    <row r="2839" spans="5:8" x14ac:dyDescent="0.2">
      <c r="E2839" s="5"/>
      <c r="F2839" s="5"/>
      <c r="G2839" s="5"/>
      <c r="H2839" s="5"/>
    </row>
    <row r="2840" spans="5:8" x14ac:dyDescent="0.2">
      <c r="E2840" s="5"/>
      <c r="F2840" s="5"/>
      <c r="G2840" s="5"/>
      <c r="H2840" s="5"/>
    </row>
    <row r="2841" spans="5:8" x14ac:dyDescent="0.2">
      <c r="E2841" s="5"/>
      <c r="F2841" s="5"/>
      <c r="G2841" s="5"/>
      <c r="H2841" s="5"/>
    </row>
    <row r="2842" spans="5:8" x14ac:dyDescent="0.2">
      <c r="E2842" s="5"/>
      <c r="F2842" s="5"/>
      <c r="G2842" s="5"/>
      <c r="H2842" s="5"/>
    </row>
    <row r="2843" spans="5:8" x14ac:dyDescent="0.2">
      <c r="E2843" s="5"/>
      <c r="F2843" s="5"/>
      <c r="G2843" s="5"/>
      <c r="H2843" s="5"/>
    </row>
    <row r="2844" spans="5:8" x14ac:dyDescent="0.2">
      <c r="E2844" s="5"/>
      <c r="F2844" s="5"/>
      <c r="G2844" s="5"/>
      <c r="H2844" s="5"/>
    </row>
    <row r="2845" spans="5:8" x14ac:dyDescent="0.2">
      <c r="E2845" s="5"/>
      <c r="F2845" s="5"/>
      <c r="G2845" s="5"/>
      <c r="H2845" s="5"/>
    </row>
    <row r="2846" spans="5:8" x14ac:dyDescent="0.2">
      <c r="E2846" s="5"/>
      <c r="F2846" s="5"/>
      <c r="G2846" s="5"/>
      <c r="H2846" s="5"/>
    </row>
    <row r="2847" spans="5:8" x14ac:dyDescent="0.2">
      <c r="E2847" s="5"/>
      <c r="F2847" s="5"/>
      <c r="G2847" s="5"/>
      <c r="H2847" s="5"/>
    </row>
    <row r="2848" spans="5:8" x14ac:dyDescent="0.2">
      <c r="E2848" s="5"/>
      <c r="F2848" s="5"/>
      <c r="G2848" s="5"/>
      <c r="H2848" s="5"/>
    </row>
    <row r="2849" spans="5:8" x14ac:dyDescent="0.2">
      <c r="E2849" s="5"/>
      <c r="F2849" s="5"/>
      <c r="G2849" s="5"/>
      <c r="H2849" s="5"/>
    </row>
    <row r="2850" spans="5:8" x14ac:dyDescent="0.2">
      <c r="E2850" s="5"/>
      <c r="F2850" s="5"/>
      <c r="G2850" s="5"/>
      <c r="H2850" s="5"/>
    </row>
    <row r="2851" spans="5:8" x14ac:dyDescent="0.2">
      <c r="E2851" s="5"/>
      <c r="F2851" s="5"/>
      <c r="G2851" s="5"/>
      <c r="H2851" s="5"/>
    </row>
    <row r="2852" spans="5:8" x14ac:dyDescent="0.2">
      <c r="E2852" s="5"/>
      <c r="F2852" s="5"/>
      <c r="G2852" s="5"/>
      <c r="H2852" s="5"/>
    </row>
    <row r="2853" spans="5:8" x14ac:dyDescent="0.2">
      <c r="E2853" s="5"/>
      <c r="F2853" s="5"/>
      <c r="G2853" s="5"/>
      <c r="H2853" s="5"/>
    </row>
    <row r="2854" spans="5:8" x14ac:dyDescent="0.2">
      <c r="E2854" s="5"/>
      <c r="F2854" s="5"/>
      <c r="G2854" s="5"/>
      <c r="H2854" s="5"/>
    </row>
    <row r="2855" spans="5:8" x14ac:dyDescent="0.2">
      <c r="E2855" s="5"/>
      <c r="F2855" s="5"/>
      <c r="G2855" s="5"/>
      <c r="H2855" s="5"/>
    </row>
    <row r="2856" spans="5:8" x14ac:dyDescent="0.2">
      <c r="E2856" s="5"/>
      <c r="F2856" s="5"/>
      <c r="G2856" s="5"/>
      <c r="H2856" s="5"/>
    </row>
    <row r="2857" spans="5:8" x14ac:dyDescent="0.2">
      <c r="E2857" s="5"/>
      <c r="F2857" s="5"/>
      <c r="G2857" s="5"/>
      <c r="H2857" s="5"/>
    </row>
    <row r="2858" spans="5:8" x14ac:dyDescent="0.2">
      <c r="E2858" s="5"/>
      <c r="F2858" s="5"/>
      <c r="G2858" s="5"/>
      <c r="H2858" s="5"/>
    </row>
    <row r="2859" spans="5:8" x14ac:dyDescent="0.2">
      <c r="E2859" s="5"/>
      <c r="F2859" s="5"/>
      <c r="G2859" s="5"/>
      <c r="H2859" s="5"/>
    </row>
    <row r="2860" spans="5:8" x14ac:dyDescent="0.2">
      <c r="E2860" s="5"/>
      <c r="F2860" s="5"/>
      <c r="G2860" s="5"/>
      <c r="H2860" s="5"/>
    </row>
    <row r="2861" spans="5:8" x14ac:dyDescent="0.2">
      <c r="E2861" s="5"/>
      <c r="F2861" s="5"/>
      <c r="G2861" s="5"/>
      <c r="H2861" s="5"/>
    </row>
    <row r="2862" spans="5:8" x14ac:dyDescent="0.2">
      <c r="E2862" s="5"/>
      <c r="F2862" s="5"/>
      <c r="G2862" s="5"/>
      <c r="H2862" s="5"/>
    </row>
    <row r="2863" spans="5:8" x14ac:dyDescent="0.2">
      <c r="E2863" s="5"/>
      <c r="F2863" s="5"/>
      <c r="G2863" s="5"/>
      <c r="H2863" s="5"/>
    </row>
    <row r="2864" spans="5:8" x14ac:dyDescent="0.2">
      <c r="E2864" s="5"/>
      <c r="F2864" s="5"/>
      <c r="G2864" s="5"/>
      <c r="H2864" s="5"/>
    </row>
    <row r="2865" spans="5:8" x14ac:dyDescent="0.2">
      <c r="E2865" s="5"/>
      <c r="F2865" s="5"/>
      <c r="G2865" s="5"/>
      <c r="H2865" s="5"/>
    </row>
    <row r="2866" spans="5:8" x14ac:dyDescent="0.2">
      <c r="E2866" s="5"/>
      <c r="F2866" s="5"/>
      <c r="G2866" s="5"/>
      <c r="H2866" s="5"/>
    </row>
    <row r="2867" spans="5:8" x14ac:dyDescent="0.2">
      <c r="E2867" s="5"/>
      <c r="F2867" s="5"/>
      <c r="G2867" s="5"/>
      <c r="H2867" s="5"/>
    </row>
    <row r="2868" spans="5:8" x14ac:dyDescent="0.2">
      <c r="E2868" s="5"/>
      <c r="F2868" s="5"/>
      <c r="G2868" s="5"/>
      <c r="H2868" s="5"/>
    </row>
    <row r="2869" spans="5:8" x14ac:dyDescent="0.2">
      <c r="E2869" s="5"/>
      <c r="F2869" s="5"/>
      <c r="G2869" s="5"/>
      <c r="H2869" s="5"/>
    </row>
    <row r="2870" spans="5:8" x14ac:dyDescent="0.2">
      <c r="E2870" s="5"/>
      <c r="F2870" s="5"/>
      <c r="G2870" s="5"/>
      <c r="H2870" s="5"/>
    </row>
    <row r="2871" spans="5:8" x14ac:dyDescent="0.2">
      <c r="E2871" s="5"/>
      <c r="F2871" s="5"/>
      <c r="G2871" s="5"/>
      <c r="H2871" s="5"/>
    </row>
    <row r="2872" spans="5:8" x14ac:dyDescent="0.2">
      <c r="E2872" s="5"/>
      <c r="F2872" s="5"/>
      <c r="G2872" s="5"/>
      <c r="H2872" s="5"/>
    </row>
    <row r="2873" spans="5:8" x14ac:dyDescent="0.2">
      <c r="E2873" s="5"/>
      <c r="F2873" s="5"/>
      <c r="G2873" s="5"/>
      <c r="H2873" s="5"/>
    </row>
    <row r="2874" spans="5:8" x14ac:dyDescent="0.2">
      <c r="E2874" s="5"/>
      <c r="F2874" s="5"/>
      <c r="G2874" s="5"/>
      <c r="H2874" s="5"/>
    </row>
    <row r="2875" spans="5:8" x14ac:dyDescent="0.2">
      <c r="E2875" s="5"/>
      <c r="F2875" s="5"/>
      <c r="G2875" s="5"/>
      <c r="H2875" s="5"/>
    </row>
    <row r="2876" spans="5:8" x14ac:dyDescent="0.2">
      <c r="E2876" s="5"/>
      <c r="F2876" s="5"/>
      <c r="G2876" s="5"/>
      <c r="H2876" s="5"/>
    </row>
    <row r="2877" spans="5:8" x14ac:dyDescent="0.2">
      <c r="E2877" s="5"/>
      <c r="F2877" s="5"/>
      <c r="G2877" s="5"/>
      <c r="H2877" s="5"/>
    </row>
    <row r="2878" spans="5:8" x14ac:dyDescent="0.2">
      <c r="E2878" s="5"/>
      <c r="F2878" s="5"/>
      <c r="G2878" s="5"/>
      <c r="H2878" s="5"/>
    </row>
    <row r="2879" spans="5:8" x14ac:dyDescent="0.2">
      <c r="E2879" s="5"/>
      <c r="F2879" s="5"/>
      <c r="G2879" s="5"/>
      <c r="H2879" s="5"/>
    </row>
    <row r="2880" spans="5:8" x14ac:dyDescent="0.2">
      <c r="E2880" s="5"/>
      <c r="F2880" s="5"/>
      <c r="G2880" s="5"/>
      <c r="H2880" s="5"/>
    </row>
    <row r="2881" spans="5:8" x14ac:dyDescent="0.2">
      <c r="E2881" s="5"/>
      <c r="F2881" s="5"/>
      <c r="G2881" s="5"/>
      <c r="H2881" s="5"/>
    </row>
    <row r="2882" spans="5:8" x14ac:dyDescent="0.2">
      <c r="E2882" s="5"/>
      <c r="F2882" s="5"/>
      <c r="G2882" s="5"/>
      <c r="H2882" s="5"/>
    </row>
    <row r="2883" spans="5:8" x14ac:dyDescent="0.2">
      <c r="E2883" s="5"/>
      <c r="F2883" s="5"/>
      <c r="G2883" s="5"/>
      <c r="H2883" s="5"/>
    </row>
    <row r="2884" spans="5:8" x14ac:dyDescent="0.2">
      <c r="E2884" s="5"/>
      <c r="F2884" s="5"/>
      <c r="G2884" s="5"/>
      <c r="H2884" s="5"/>
    </row>
    <row r="2885" spans="5:8" x14ac:dyDescent="0.2">
      <c r="E2885" s="5"/>
      <c r="F2885" s="5"/>
      <c r="G2885" s="5"/>
      <c r="H2885" s="5"/>
    </row>
    <row r="2886" spans="5:8" x14ac:dyDescent="0.2">
      <c r="E2886" s="5"/>
      <c r="F2886" s="5"/>
      <c r="G2886" s="5"/>
      <c r="H2886" s="5"/>
    </row>
    <row r="2887" spans="5:8" x14ac:dyDescent="0.2">
      <c r="E2887" s="5"/>
      <c r="F2887" s="5"/>
      <c r="G2887" s="5"/>
      <c r="H2887" s="5"/>
    </row>
    <row r="2888" spans="5:8" x14ac:dyDescent="0.2">
      <c r="E2888" s="5"/>
      <c r="F2888" s="5"/>
      <c r="G2888" s="5"/>
      <c r="H2888" s="5"/>
    </row>
    <row r="2889" spans="5:8" x14ac:dyDescent="0.2">
      <c r="E2889" s="5"/>
      <c r="F2889" s="5"/>
      <c r="G2889" s="5"/>
      <c r="H2889" s="5"/>
    </row>
    <row r="2890" spans="5:8" x14ac:dyDescent="0.2">
      <c r="E2890" s="5"/>
      <c r="F2890" s="5"/>
      <c r="G2890" s="5"/>
      <c r="H2890" s="5"/>
    </row>
    <row r="2891" spans="5:8" x14ac:dyDescent="0.2">
      <c r="E2891" s="5"/>
      <c r="F2891" s="5"/>
      <c r="G2891" s="5"/>
      <c r="H2891" s="5"/>
    </row>
    <row r="2892" spans="5:8" x14ac:dyDescent="0.2">
      <c r="E2892" s="5"/>
      <c r="F2892" s="5"/>
      <c r="G2892" s="5"/>
      <c r="H2892" s="5"/>
    </row>
    <row r="2893" spans="5:8" x14ac:dyDescent="0.2">
      <c r="E2893" s="5"/>
      <c r="F2893" s="5"/>
      <c r="G2893" s="5"/>
      <c r="H2893" s="5"/>
    </row>
    <row r="2894" spans="5:8" x14ac:dyDescent="0.2">
      <c r="E2894" s="5"/>
      <c r="F2894" s="5"/>
      <c r="G2894" s="5"/>
      <c r="H2894" s="5"/>
    </row>
    <row r="2895" spans="5:8" x14ac:dyDescent="0.2">
      <c r="E2895" s="5"/>
      <c r="F2895" s="5"/>
      <c r="G2895" s="5"/>
      <c r="H2895" s="5"/>
    </row>
    <row r="2896" spans="5:8" x14ac:dyDescent="0.2">
      <c r="E2896" s="5"/>
      <c r="F2896" s="5"/>
      <c r="G2896" s="5"/>
      <c r="H2896" s="5"/>
    </row>
    <row r="2897" spans="5:8" x14ac:dyDescent="0.2">
      <c r="E2897" s="5"/>
      <c r="F2897" s="5"/>
      <c r="G2897" s="5"/>
      <c r="H2897" s="5"/>
    </row>
    <row r="2898" spans="5:8" x14ac:dyDescent="0.2">
      <c r="E2898" s="5"/>
      <c r="F2898" s="5"/>
      <c r="G2898" s="5"/>
      <c r="H2898" s="5"/>
    </row>
    <row r="2899" spans="5:8" x14ac:dyDescent="0.2">
      <c r="E2899" s="5"/>
      <c r="F2899" s="5"/>
      <c r="G2899" s="5"/>
      <c r="H2899" s="5"/>
    </row>
    <row r="2900" spans="5:8" x14ac:dyDescent="0.2">
      <c r="E2900" s="5"/>
      <c r="F2900" s="5"/>
      <c r="G2900" s="5"/>
      <c r="H2900" s="5"/>
    </row>
    <row r="2901" spans="5:8" x14ac:dyDescent="0.2">
      <c r="E2901" s="5"/>
      <c r="F2901" s="5"/>
      <c r="G2901" s="5"/>
      <c r="H2901" s="5"/>
    </row>
    <row r="2902" spans="5:8" x14ac:dyDescent="0.2">
      <c r="E2902" s="5"/>
      <c r="F2902" s="5"/>
      <c r="G2902" s="5"/>
      <c r="H2902" s="5"/>
    </row>
    <row r="2903" spans="5:8" x14ac:dyDescent="0.2">
      <c r="E2903" s="5"/>
      <c r="F2903" s="5"/>
      <c r="G2903" s="5"/>
      <c r="H2903" s="5"/>
    </row>
    <row r="2904" spans="5:8" x14ac:dyDescent="0.2">
      <c r="E2904" s="5"/>
      <c r="F2904" s="5"/>
      <c r="G2904" s="5"/>
      <c r="H2904" s="5"/>
    </row>
    <row r="2905" spans="5:8" x14ac:dyDescent="0.2">
      <c r="E2905" s="5"/>
      <c r="F2905" s="5"/>
      <c r="G2905" s="5"/>
      <c r="H2905" s="5"/>
    </row>
    <row r="2906" spans="5:8" x14ac:dyDescent="0.2">
      <c r="E2906" s="5"/>
      <c r="F2906" s="5"/>
      <c r="G2906" s="5"/>
      <c r="H2906" s="5"/>
    </row>
    <row r="2907" spans="5:8" x14ac:dyDescent="0.2">
      <c r="E2907" s="5"/>
      <c r="F2907" s="5"/>
      <c r="G2907" s="5"/>
      <c r="H2907" s="5"/>
    </row>
    <row r="2908" spans="5:8" x14ac:dyDescent="0.2">
      <c r="E2908" s="5"/>
      <c r="F2908" s="5"/>
      <c r="G2908" s="5"/>
      <c r="H2908" s="5"/>
    </row>
    <row r="2909" spans="5:8" x14ac:dyDescent="0.2">
      <c r="E2909" s="5"/>
      <c r="F2909" s="5"/>
      <c r="G2909" s="5"/>
      <c r="H2909" s="5"/>
    </row>
    <row r="2910" spans="5:8" x14ac:dyDescent="0.2">
      <c r="E2910" s="5"/>
      <c r="F2910" s="5"/>
      <c r="G2910" s="5"/>
      <c r="H2910" s="5"/>
    </row>
    <row r="2911" spans="5:8" x14ac:dyDescent="0.2">
      <c r="E2911" s="5"/>
      <c r="F2911" s="5"/>
      <c r="G2911" s="5"/>
      <c r="H2911" s="5"/>
    </row>
    <row r="2912" spans="5:8" x14ac:dyDescent="0.2">
      <c r="E2912" s="5"/>
      <c r="F2912" s="5"/>
      <c r="G2912" s="5"/>
      <c r="H2912" s="5"/>
    </row>
    <row r="2913" spans="5:8" x14ac:dyDescent="0.2">
      <c r="E2913" s="5"/>
      <c r="F2913" s="5"/>
      <c r="G2913" s="5"/>
      <c r="H2913" s="5"/>
    </row>
    <row r="2914" spans="5:8" x14ac:dyDescent="0.2">
      <c r="E2914" s="5"/>
      <c r="F2914" s="5"/>
      <c r="G2914" s="5"/>
      <c r="H2914" s="5"/>
    </row>
    <row r="2915" spans="5:8" x14ac:dyDescent="0.2">
      <c r="E2915" s="5"/>
      <c r="F2915" s="5"/>
      <c r="G2915" s="5"/>
      <c r="H2915" s="5"/>
    </row>
    <row r="2916" spans="5:8" x14ac:dyDescent="0.2">
      <c r="E2916" s="5"/>
      <c r="F2916" s="5"/>
      <c r="G2916" s="5"/>
      <c r="H2916" s="5"/>
    </row>
    <row r="2917" spans="5:8" x14ac:dyDescent="0.2">
      <c r="E2917" s="5"/>
      <c r="F2917" s="5"/>
      <c r="G2917" s="5"/>
      <c r="H2917" s="5"/>
    </row>
    <row r="2918" spans="5:8" x14ac:dyDescent="0.2">
      <c r="E2918" s="5"/>
      <c r="F2918" s="5"/>
      <c r="G2918" s="5"/>
      <c r="H2918" s="5"/>
    </row>
    <row r="2919" spans="5:8" x14ac:dyDescent="0.2">
      <c r="E2919" s="5"/>
      <c r="F2919" s="5"/>
      <c r="G2919" s="5"/>
      <c r="H2919" s="5"/>
    </row>
    <row r="2920" spans="5:8" x14ac:dyDescent="0.2">
      <c r="E2920" s="5"/>
      <c r="F2920" s="5"/>
      <c r="G2920" s="5"/>
      <c r="H2920" s="5"/>
    </row>
    <row r="2921" spans="5:8" x14ac:dyDescent="0.2">
      <c r="E2921" s="5"/>
      <c r="F2921" s="5"/>
      <c r="G2921" s="5"/>
      <c r="H2921" s="5"/>
    </row>
    <row r="2922" spans="5:8" x14ac:dyDescent="0.2">
      <c r="E2922" s="5"/>
      <c r="F2922" s="5"/>
      <c r="G2922" s="5"/>
      <c r="H2922" s="5"/>
    </row>
    <row r="2923" spans="5:8" x14ac:dyDescent="0.2">
      <c r="E2923" s="5"/>
      <c r="F2923" s="5"/>
      <c r="G2923" s="5"/>
      <c r="H2923" s="5"/>
    </row>
    <row r="2924" spans="5:8" x14ac:dyDescent="0.2">
      <c r="E2924" s="5"/>
      <c r="F2924" s="5"/>
      <c r="G2924" s="5"/>
      <c r="H2924" s="5"/>
    </row>
    <row r="2925" spans="5:8" x14ac:dyDescent="0.2">
      <c r="E2925" s="5"/>
      <c r="F2925" s="5"/>
      <c r="G2925" s="5"/>
      <c r="H2925" s="5"/>
    </row>
    <row r="2926" spans="5:8" x14ac:dyDescent="0.2">
      <c r="E2926" s="5"/>
      <c r="F2926" s="5"/>
      <c r="G2926" s="5"/>
      <c r="H2926" s="5"/>
    </row>
    <row r="2927" spans="5:8" x14ac:dyDescent="0.2">
      <c r="E2927" s="5"/>
      <c r="F2927" s="5"/>
      <c r="G2927" s="5"/>
      <c r="H2927" s="5"/>
    </row>
    <row r="2928" spans="5:8" x14ac:dyDescent="0.2">
      <c r="E2928" s="5"/>
      <c r="F2928" s="5"/>
      <c r="G2928" s="5"/>
      <c r="H2928" s="5"/>
    </row>
    <row r="2929" spans="5:8" x14ac:dyDescent="0.2">
      <c r="E2929" s="5"/>
      <c r="F2929" s="5"/>
      <c r="G2929" s="5"/>
      <c r="H2929" s="5"/>
    </row>
    <row r="2930" spans="5:8" x14ac:dyDescent="0.2">
      <c r="E2930" s="5"/>
      <c r="F2930" s="5"/>
      <c r="G2930" s="5"/>
      <c r="H2930" s="5"/>
    </row>
    <row r="2931" spans="5:8" x14ac:dyDescent="0.2">
      <c r="E2931" s="5"/>
      <c r="F2931" s="5"/>
      <c r="G2931" s="5"/>
      <c r="H2931" s="5"/>
    </row>
    <row r="2932" spans="5:8" x14ac:dyDescent="0.2">
      <c r="E2932" s="5"/>
      <c r="F2932" s="5"/>
      <c r="G2932" s="5"/>
      <c r="H2932" s="5"/>
    </row>
    <row r="2933" spans="5:8" x14ac:dyDescent="0.2">
      <c r="E2933" s="5"/>
      <c r="F2933" s="5"/>
      <c r="G2933" s="5"/>
      <c r="H2933" s="5"/>
    </row>
    <row r="2934" spans="5:8" x14ac:dyDescent="0.2">
      <c r="E2934" s="5"/>
      <c r="F2934" s="5"/>
      <c r="G2934" s="5"/>
      <c r="H2934" s="5"/>
    </row>
    <row r="2935" spans="5:8" x14ac:dyDescent="0.2">
      <c r="E2935" s="5"/>
      <c r="F2935" s="5"/>
      <c r="G2935" s="5"/>
      <c r="H2935" s="5"/>
    </row>
    <row r="2936" spans="5:8" x14ac:dyDescent="0.2">
      <c r="E2936" s="5"/>
      <c r="F2936" s="5"/>
      <c r="G2936" s="5"/>
      <c r="H2936" s="5"/>
    </row>
    <row r="2937" spans="5:8" x14ac:dyDescent="0.2">
      <c r="E2937" s="5"/>
      <c r="F2937" s="5"/>
      <c r="G2937" s="5"/>
      <c r="H2937" s="5"/>
    </row>
    <row r="2938" spans="5:8" x14ac:dyDescent="0.2">
      <c r="E2938" s="5"/>
      <c r="F2938" s="5"/>
      <c r="G2938" s="5"/>
      <c r="H2938" s="5"/>
    </row>
    <row r="2939" spans="5:8" x14ac:dyDescent="0.2">
      <c r="E2939" s="5"/>
      <c r="F2939" s="5"/>
      <c r="G2939" s="5"/>
      <c r="H2939" s="5"/>
    </row>
    <row r="2940" spans="5:8" x14ac:dyDescent="0.2">
      <c r="E2940" s="5"/>
      <c r="F2940" s="5"/>
      <c r="G2940" s="5"/>
      <c r="H2940" s="5"/>
    </row>
    <row r="2941" spans="5:8" x14ac:dyDescent="0.2">
      <c r="E2941" s="5"/>
      <c r="F2941" s="5"/>
      <c r="G2941" s="5"/>
      <c r="H2941" s="5"/>
    </row>
    <row r="2942" spans="5:8" x14ac:dyDescent="0.2">
      <c r="E2942" s="5"/>
      <c r="F2942" s="5"/>
      <c r="G2942" s="5"/>
      <c r="H2942" s="5"/>
    </row>
    <row r="2943" spans="5:8" x14ac:dyDescent="0.2">
      <c r="E2943" s="5"/>
      <c r="F2943" s="5"/>
      <c r="G2943" s="5"/>
      <c r="H2943" s="5"/>
    </row>
    <row r="2944" spans="5:8" x14ac:dyDescent="0.2">
      <c r="E2944" s="5"/>
      <c r="F2944" s="5"/>
      <c r="G2944" s="5"/>
      <c r="H2944" s="5"/>
    </row>
    <row r="2945" spans="5:8" x14ac:dyDescent="0.2">
      <c r="E2945" s="5"/>
      <c r="F2945" s="5"/>
      <c r="G2945" s="5"/>
      <c r="H2945" s="5"/>
    </row>
    <row r="2946" spans="5:8" x14ac:dyDescent="0.2">
      <c r="E2946" s="5"/>
      <c r="F2946" s="5"/>
      <c r="G2946" s="5"/>
      <c r="H2946" s="5"/>
    </row>
    <row r="2947" spans="5:8" x14ac:dyDescent="0.2">
      <c r="E2947" s="5"/>
      <c r="F2947" s="5"/>
      <c r="G2947" s="5"/>
      <c r="H2947" s="5"/>
    </row>
    <row r="2948" spans="5:8" x14ac:dyDescent="0.2">
      <c r="E2948" s="5"/>
      <c r="F2948" s="5"/>
      <c r="G2948" s="5"/>
      <c r="H2948" s="5"/>
    </row>
    <row r="2949" spans="5:8" x14ac:dyDescent="0.2">
      <c r="E2949" s="5"/>
      <c r="F2949" s="5"/>
      <c r="G2949" s="5"/>
      <c r="H2949" s="5"/>
    </row>
    <row r="2950" spans="5:8" x14ac:dyDescent="0.2">
      <c r="E2950" s="5"/>
      <c r="F2950" s="5"/>
      <c r="G2950" s="5"/>
      <c r="H2950" s="5"/>
    </row>
    <row r="2951" spans="5:8" x14ac:dyDescent="0.2">
      <c r="E2951" s="5"/>
      <c r="F2951" s="5"/>
      <c r="G2951" s="5"/>
      <c r="H2951" s="5"/>
    </row>
    <row r="2952" spans="5:8" x14ac:dyDescent="0.2">
      <c r="E2952" s="5"/>
      <c r="F2952" s="5"/>
      <c r="G2952" s="5"/>
      <c r="H2952" s="5"/>
    </row>
    <row r="2953" spans="5:8" x14ac:dyDescent="0.2">
      <c r="E2953" s="5"/>
      <c r="F2953" s="5"/>
      <c r="G2953" s="5"/>
      <c r="H2953" s="5"/>
    </row>
    <row r="2954" spans="5:8" x14ac:dyDescent="0.2">
      <c r="E2954" s="5"/>
      <c r="F2954" s="5"/>
      <c r="G2954" s="5"/>
      <c r="H2954" s="5"/>
    </row>
    <row r="2955" spans="5:8" x14ac:dyDescent="0.2">
      <c r="E2955" s="5"/>
      <c r="F2955" s="5"/>
      <c r="G2955" s="5"/>
      <c r="H2955" s="5"/>
    </row>
    <row r="2956" spans="5:8" x14ac:dyDescent="0.2">
      <c r="E2956" s="5"/>
      <c r="F2956" s="5"/>
      <c r="G2956" s="5"/>
      <c r="H2956" s="5"/>
    </row>
    <row r="2957" spans="5:8" x14ac:dyDescent="0.2">
      <c r="E2957" s="5"/>
      <c r="F2957" s="5"/>
      <c r="G2957" s="5"/>
      <c r="H2957" s="5"/>
    </row>
    <row r="2958" spans="5:8" x14ac:dyDescent="0.2">
      <c r="E2958" s="5"/>
      <c r="F2958" s="5"/>
      <c r="G2958" s="5"/>
      <c r="H2958" s="5"/>
    </row>
    <row r="2959" spans="5:8" x14ac:dyDescent="0.2">
      <c r="E2959" s="5"/>
      <c r="F2959" s="5"/>
      <c r="G2959" s="5"/>
      <c r="H2959" s="5"/>
    </row>
    <row r="2960" spans="5:8" x14ac:dyDescent="0.2">
      <c r="E2960" s="5"/>
      <c r="F2960" s="5"/>
      <c r="G2960" s="5"/>
      <c r="H2960" s="5"/>
    </row>
    <row r="2961" spans="5:8" x14ac:dyDescent="0.2">
      <c r="E2961" s="5"/>
      <c r="F2961" s="5"/>
      <c r="G2961" s="5"/>
      <c r="H2961" s="5"/>
    </row>
    <row r="2962" spans="5:8" x14ac:dyDescent="0.2">
      <c r="E2962" s="5"/>
      <c r="F2962" s="5"/>
      <c r="G2962" s="5"/>
      <c r="H2962" s="5"/>
    </row>
    <row r="2963" spans="5:8" x14ac:dyDescent="0.2">
      <c r="E2963" s="5"/>
      <c r="F2963" s="5"/>
      <c r="G2963" s="5"/>
      <c r="H2963" s="5"/>
    </row>
    <row r="2964" spans="5:8" x14ac:dyDescent="0.2">
      <c r="E2964" s="5"/>
      <c r="F2964" s="5"/>
      <c r="G2964" s="5"/>
      <c r="H2964" s="5"/>
    </row>
    <row r="2965" spans="5:8" x14ac:dyDescent="0.2">
      <c r="E2965" s="5"/>
      <c r="F2965" s="5"/>
      <c r="G2965" s="5"/>
      <c r="H2965" s="5"/>
    </row>
    <row r="2966" spans="5:8" x14ac:dyDescent="0.2">
      <c r="E2966" s="5"/>
      <c r="F2966" s="5"/>
      <c r="G2966" s="5"/>
      <c r="H2966" s="5"/>
    </row>
    <row r="2967" spans="5:8" x14ac:dyDescent="0.2">
      <c r="E2967" s="5"/>
      <c r="F2967" s="5"/>
      <c r="G2967" s="5"/>
      <c r="H2967" s="5"/>
    </row>
    <row r="2968" spans="5:8" x14ac:dyDescent="0.2">
      <c r="E2968" s="5"/>
      <c r="F2968" s="5"/>
      <c r="G2968" s="5"/>
      <c r="H2968" s="5"/>
    </row>
    <row r="2969" spans="5:8" x14ac:dyDescent="0.2">
      <c r="E2969" s="5"/>
      <c r="F2969" s="5"/>
      <c r="G2969" s="5"/>
      <c r="H2969" s="5"/>
    </row>
    <row r="2970" spans="5:8" x14ac:dyDescent="0.2">
      <c r="E2970" s="5"/>
      <c r="F2970" s="5"/>
      <c r="G2970" s="5"/>
      <c r="H2970" s="5"/>
    </row>
    <row r="2971" spans="5:8" x14ac:dyDescent="0.2">
      <c r="E2971" s="5"/>
      <c r="F2971" s="5"/>
      <c r="G2971" s="5"/>
      <c r="H2971" s="5"/>
    </row>
    <row r="2972" spans="5:8" x14ac:dyDescent="0.2">
      <c r="E2972" s="5"/>
      <c r="F2972" s="5"/>
      <c r="G2972" s="5"/>
      <c r="H2972" s="5"/>
    </row>
    <row r="2973" spans="5:8" x14ac:dyDescent="0.2">
      <c r="E2973" s="5"/>
      <c r="F2973" s="5"/>
      <c r="G2973" s="5"/>
      <c r="H2973" s="5"/>
    </row>
    <row r="2974" spans="5:8" x14ac:dyDescent="0.2">
      <c r="E2974" s="5"/>
      <c r="F2974" s="5"/>
      <c r="G2974" s="5"/>
      <c r="H2974" s="5"/>
    </row>
    <row r="2975" spans="5:8" x14ac:dyDescent="0.2">
      <c r="E2975" s="5"/>
      <c r="F2975" s="5"/>
      <c r="G2975" s="5"/>
      <c r="H2975" s="5"/>
    </row>
    <row r="2976" spans="5:8" x14ac:dyDescent="0.2">
      <c r="E2976" s="5"/>
      <c r="F2976" s="5"/>
      <c r="G2976" s="5"/>
      <c r="H2976" s="5"/>
    </row>
    <row r="2977" spans="5:8" x14ac:dyDescent="0.2">
      <c r="E2977" s="5"/>
      <c r="F2977" s="5"/>
      <c r="G2977" s="5"/>
      <c r="H2977" s="5"/>
    </row>
    <row r="2978" spans="5:8" x14ac:dyDescent="0.2">
      <c r="E2978" s="5"/>
      <c r="F2978" s="5"/>
      <c r="G2978" s="5"/>
      <c r="H2978" s="5"/>
    </row>
    <row r="2979" spans="5:8" x14ac:dyDescent="0.2">
      <c r="E2979" s="5"/>
      <c r="F2979" s="5"/>
      <c r="G2979" s="5"/>
      <c r="H2979" s="5"/>
    </row>
    <row r="2980" spans="5:8" x14ac:dyDescent="0.2">
      <c r="E2980" s="5"/>
      <c r="F2980" s="5"/>
      <c r="G2980" s="5"/>
      <c r="H2980" s="5"/>
    </row>
    <row r="2981" spans="5:8" x14ac:dyDescent="0.2">
      <c r="E2981" s="5"/>
      <c r="F2981" s="5"/>
      <c r="G2981" s="5"/>
      <c r="H2981" s="5"/>
    </row>
    <row r="2982" spans="5:8" x14ac:dyDescent="0.2">
      <c r="E2982" s="5"/>
      <c r="F2982" s="5"/>
      <c r="G2982" s="5"/>
      <c r="H2982" s="5"/>
    </row>
    <row r="2983" spans="5:8" x14ac:dyDescent="0.2">
      <c r="E2983" s="5"/>
      <c r="F2983" s="5"/>
      <c r="G2983" s="5"/>
      <c r="H2983" s="5"/>
    </row>
    <row r="2984" spans="5:8" x14ac:dyDescent="0.2">
      <c r="E2984" s="5"/>
      <c r="F2984" s="5"/>
      <c r="G2984" s="5"/>
      <c r="H2984" s="5"/>
    </row>
    <row r="2985" spans="5:8" x14ac:dyDescent="0.2">
      <c r="E2985" s="5"/>
      <c r="F2985" s="5"/>
      <c r="G2985" s="5"/>
      <c r="H2985" s="5"/>
    </row>
    <row r="2986" spans="5:8" x14ac:dyDescent="0.2">
      <c r="E2986" s="5"/>
      <c r="F2986" s="5"/>
      <c r="G2986" s="5"/>
      <c r="H2986" s="5"/>
    </row>
    <row r="2987" spans="5:8" x14ac:dyDescent="0.2">
      <c r="E2987" s="5"/>
      <c r="F2987" s="5"/>
      <c r="G2987" s="5"/>
      <c r="H2987" s="5"/>
    </row>
    <row r="2988" spans="5:8" x14ac:dyDescent="0.2">
      <c r="E2988" s="5"/>
      <c r="F2988" s="5"/>
      <c r="G2988" s="5"/>
      <c r="H2988" s="5"/>
    </row>
    <row r="2989" spans="5:8" x14ac:dyDescent="0.2">
      <c r="E2989" s="5"/>
      <c r="F2989" s="5"/>
      <c r="G2989" s="5"/>
      <c r="H2989" s="5"/>
    </row>
    <row r="2990" spans="5:8" x14ac:dyDescent="0.2">
      <c r="E2990" s="5"/>
      <c r="F2990" s="5"/>
      <c r="G2990" s="5"/>
      <c r="H2990" s="5"/>
    </row>
    <row r="2991" spans="5:8" x14ac:dyDescent="0.2">
      <c r="E2991" s="5"/>
      <c r="F2991" s="5"/>
      <c r="G2991" s="5"/>
      <c r="H2991" s="5"/>
    </row>
    <row r="2992" spans="5:8" x14ac:dyDescent="0.2">
      <c r="E2992" s="5"/>
      <c r="F2992" s="5"/>
      <c r="G2992" s="5"/>
      <c r="H2992" s="5"/>
    </row>
    <row r="2993" spans="5:8" x14ac:dyDescent="0.2">
      <c r="E2993" s="5"/>
      <c r="F2993" s="5"/>
      <c r="G2993" s="5"/>
      <c r="H2993" s="5"/>
    </row>
    <row r="2994" spans="5:8" x14ac:dyDescent="0.2">
      <c r="E2994" s="5"/>
      <c r="F2994" s="5"/>
      <c r="G2994" s="5"/>
      <c r="H2994" s="5"/>
    </row>
    <row r="2995" spans="5:8" x14ac:dyDescent="0.2">
      <c r="E2995" s="5"/>
      <c r="F2995" s="5"/>
      <c r="G2995" s="5"/>
      <c r="H2995" s="5"/>
    </row>
    <row r="2996" spans="5:8" x14ac:dyDescent="0.2">
      <c r="E2996" s="5"/>
      <c r="F2996" s="5"/>
      <c r="G2996" s="5"/>
      <c r="H2996" s="5"/>
    </row>
    <row r="2997" spans="5:8" x14ac:dyDescent="0.2">
      <c r="E2997" s="5"/>
      <c r="F2997" s="5"/>
      <c r="G2997" s="5"/>
      <c r="H2997" s="5"/>
    </row>
    <row r="2998" spans="5:8" x14ac:dyDescent="0.2">
      <c r="E2998" s="5"/>
      <c r="F2998" s="5"/>
      <c r="G2998" s="5"/>
      <c r="H2998" s="5"/>
    </row>
    <row r="2999" spans="5:8" x14ac:dyDescent="0.2">
      <c r="E2999" s="5"/>
      <c r="F2999" s="5"/>
      <c r="G2999" s="5"/>
      <c r="H2999" s="5"/>
    </row>
  </sheetData>
  <dataValidations count="1">
    <dataValidation type="list" allowBlank="1" showInputMessage="1" showErrorMessage="1" sqref="D2:D2999" xr:uid="{00000000-0002-0000-0800-000000000000}">
      <formula1>"SML,XL,XXL"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/>
  <dimension ref="A1:B5"/>
  <sheetViews>
    <sheetView zoomScale="77" workbookViewId="0">
      <selection activeCell="A2" sqref="A2"/>
    </sheetView>
  </sheetViews>
  <sheetFormatPr baseColWidth="10" defaultColWidth="8.6640625" defaultRowHeight="15" x14ac:dyDescent="0.2"/>
  <cols>
    <col min="1" max="1" width="60.6640625" customWidth="1"/>
    <col min="2" max="2" width="18.6640625" customWidth="1"/>
  </cols>
  <sheetData>
    <row r="1" spans="1:2" x14ac:dyDescent="0.2">
      <c r="A1" s="6" t="s">
        <v>71</v>
      </c>
    </row>
    <row r="3" spans="1:2" x14ac:dyDescent="0.2">
      <c r="A3" s="6" t="s">
        <v>72</v>
      </c>
      <c r="B3" s="4">
        <f>SUMIF(Solicitudes!$L:$L,"ENTREGADO",Solicitudes!$K:$K)</f>
        <v>4687</v>
      </c>
    </row>
    <row r="5" spans="1:2" x14ac:dyDescent="0.2">
      <c r="A5" s="7" t="s">
        <v>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5</vt:i4>
      </vt:variant>
    </vt:vector>
  </HeadingPairs>
  <TitlesOfParts>
    <vt:vector size="15" baseType="lpstr">
      <vt:lpstr>Locales</vt:lpstr>
      <vt:lpstr>MapeoCargos</vt:lpstr>
      <vt:lpstr>Personal</vt:lpstr>
      <vt:lpstr>Precios</vt:lpstr>
      <vt:lpstr>Entradas</vt:lpstr>
      <vt:lpstr>Solicitudes</vt:lpstr>
      <vt:lpstr>Descuentos</vt:lpstr>
      <vt:lpstr>Movimientos</vt:lpstr>
      <vt:lpstr>Stock</vt:lpstr>
      <vt:lpstr>Resumen</vt:lpstr>
      <vt:lpstr>ListaCargosStd</vt:lpstr>
      <vt:lpstr>ListaLocales</vt:lpstr>
      <vt:lpstr>ListaMateriales</vt:lpstr>
      <vt:lpstr>TablaLocales</vt:lpstr>
      <vt:lpstr>TablaMapeoCargos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nicolet91</dc:creator>
  <cp:lastModifiedBy>Leonardo Matias Candio Ormeño</cp:lastModifiedBy>
  <dcterms:created xsi:type="dcterms:W3CDTF">2025-10-09T15:24:25Z</dcterms:created>
  <dcterms:modified xsi:type="dcterms:W3CDTF">2025-12-29T22:58:46Z</dcterms:modified>
</cp:coreProperties>
</file>